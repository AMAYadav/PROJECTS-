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70A59711-B4C1-497B-82A6-42B269F93C11}" xr6:coauthVersionLast="47" xr6:coauthVersionMax="47" xr10:uidLastSave="{00000000-0000-0000-0000-000000000000}"/>
  <bookViews>
    <workbookView xWindow="-110" yWindow="-110" windowWidth="19420" windowHeight="10300" firstSheet="3" activeTab="3" xr2:uid="{E06D621C-4286-49EE-8377-8D91397B69AD}"/>
  </bookViews>
  <sheets>
    <sheet name="Copyright" sheetId="5" state="veryHidden" r:id="rId1"/>
    <sheet name="1" sheetId="2" state="veryHidden" r:id="rId2"/>
    <sheet name="P2T_Input" sheetId="3" state="veryHidden" r:id="rId3"/>
    <sheet name="Warning" sheetId="4" r:id="rId4"/>
  </sheets>
  <definedNames>
    <definedName name="dt">'1'!$C$18</definedName>
    <definedName name="k">'1'!$C$14</definedName>
    <definedName name="r0">'1'!$C$17</definedName>
    <definedName name="theta">'1'!$C$15</definedName>
    <definedName name="vol">'1'!$C$16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" l="1"/>
  <c r="C24" i="2"/>
  <c r="C25" i="2"/>
  <c r="C26" i="2"/>
  <c r="C27" i="2"/>
  <c r="C28" i="2"/>
  <c r="C29" i="2"/>
  <c r="C30" i="2"/>
  <c r="C31" i="2"/>
  <c r="D31" i="2" s="1"/>
  <c r="E31" i="2" s="1"/>
  <c r="F31" i="2" s="1"/>
  <c r="G31" i="2" s="1"/>
  <c r="H31" i="2" s="1"/>
  <c r="I31" i="2" s="1"/>
  <c r="J31" i="2" s="1"/>
  <c r="K31" i="2" s="1"/>
  <c r="L31" i="2" s="1"/>
  <c r="M31" i="2" s="1"/>
  <c r="N31" i="2" s="1"/>
  <c r="O31" i="2" s="1"/>
  <c r="C32" i="2"/>
  <c r="D32" i="2" s="1"/>
  <c r="E32" i="2" s="1"/>
  <c r="F32" i="2" s="1"/>
  <c r="G32" i="2" s="1"/>
  <c r="H32" i="2" s="1"/>
  <c r="I32" i="2" s="1"/>
  <c r="J32" i="2" s="1"/>
  <c r="K32" i="2" s="1"/>
  <c r="L32" i="2" s="1"/>
  <c r="M32" i="2" s="1"/>
  <c r="N32" i="2" s="1"/>
  <c r="O32" i="2" s="1"/>
  <c r="C33" i="2"/>
  <c r="C34" i="2"/>
  <c r="D34" i="2" s="1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O34" i="2" s="1"/>
  <c r="C35" i="2"/>
  <c r="C36" i="2"/>
  <c r="C37" i="2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C38" i="2"/>
  <c r="C39" i="2"/>
  <c r="C40" i="2"/>
  <c r="D40" i="2" s="1"/>
  <c r="E40" i="2" s="1"/>
  <c r="F40" i="2" s="1"/>
  <c r="G40" i="2" s="1"/>
  <c r="H40" i="2" s="1"/>
  <c r="I40" i="2" s="1"/>
  <c r="J40" i="2" s="1"/>
  <c r="K40" i="2" s="1"/>
  <c r="L40" i="2" s="1"/>
  <c r="M40" i="2" s="1"/>
  <c r="N40" i="2" s="1"/>
  <c r="O40" i="2" s="1"/>
  <c r="C41" i="2"/>
  <c r="D41" i="2" s="1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O41" i="2" s="1"/>
  <c r="C42" i="2"/>
  <c r="C43" i="2"/>
  <c r="C44" i="2"/>
  <c r="C45" i="2"/>
  <c r="C46" i="2"/>
  <c r="D46" i="2" s="1"/>
  <c r="E46" i="2" s="1"/>
  <c r="F46" i="2" s="1"/>
  <c r="G46" i="2" s="1"/>
  <c r="H46" i="2" s="1"/>
  <c r="I46" i="2" s="1"/>
  <c r="J46" i="2" s="1"/>
  <c r="K46" i="2" s="1"/>
  <c r="L46" i="2" s="1"/>
  <c r="M46" i="2" s="1"/>
  <c r="N46" i="2" s="1"/>
  <c r="O46" i="2" s="1"/>
  <c r="C47" i="2"/>
  <c r="C48" i="2"/>
  <c r="C49" i="2"/>
  <c r="D49" i="2" s="1"/>
  <c r="E49" i="2" s="1"/>
  <c r="F49" i="2" s="1"/>
  <c r="G49" i="2" s="1"/>
  <c r="H49" i="2" s="1"/>
  <c r="I49" i="2" s="1"/>
  <c r="J49" i="2" s="1"/>
  <c r="K49" i="2" s="1"/>
  <c r="L49" i="2" s="1"/>
  <c r="M49" i="2" s="1"/>
  <c r="N49" i="2" s="1"/>
  <c r="O49" i="2" s="1"/>
  <c r="C50" i="2"/>
  <c r="D50" i="2" s="1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O50" i="2" s="1"/>
  <c r="C51" i="2"/>
  <c r="C52" i="2"/>
  <c r="C53" i="2"/>
  <c r="C54" i="2"/>
  <c r="C55" i="2"/>
  <c r="C56" i="2"/>
  <c r="C57" i="2"/>
  <c r="C58" i="2"/>
  <c r="D58" i="2" s="1"/>
  <c r="E58" i="2" s="1"/>
  <c r="F58" i="2" s="1"/>
  <c r="G58" i="2" s="1"/>
  <c r="H58" i="2" s="1"/>
  <c r="I58" i="2" s="1"/>
  <c r="J58" i="2" s="1"/>
  <c r="K58" i="2" s="1"/>
  <c r="L58" i="2" s="1"/>
  <c r="M58" i="2" s="1"/>
  <c r="N58" i="2" s="1"/>
  <c r="O58" i="2" s="1"/>
  <c r="C59" i="2"/>
  <c r="D59" i="2" s="1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O59" i="2" s="1"/>
  <c r="C60" i="2"/>
  <c r="D60" i="2" s="1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O60" i="2" s="1"/>
  <c r="C61" i="2"/>
  <c r="C62" i="2"/>
  <c r="D62" i="2" s="1"/>
  <c r="E62" i="2" s="1"/>
  <c r="F62" i="2" s="1"/>
  <c r="G62" i="2" s="1"/>
  <c r="H62" i="2" s="1"/>
  <c r="I62" i="2" s="1"/>
  <c r="J62" i="2" s="1"/>
  <c r="K62" i="2" s="1"/>
  <c r="L62" i="2" s="1"/>
  <c r="M62" i="2" s="1"/>
  <c r="N62" i="2" s="1"/>
  <c r="O62" i="2" s="1"/>
  <c r="C63" i="2"/>
  <c r="C64" i="2"/>
  <c r="C65" i="2"/>
  <c r="D65" i="2" s="1"/>
  <c r="E65" i="2" s="1"/>
  <c r="F65" i="2" s="1"/>
  <c r="G65" i="2" s="1"/>
  <c r="H65" i="2" s="1"/>
  <c r="I65" i="2" s="1"/>
  <c r="J65" i="2" s="1"/>
  <c r="K65" i="2" s="1"/>
  <c r="L65" i="2" s="1"/>
  <c r="M65" i="2" s="1"/>
  <c r="N65" i="2" s="1"/>
  <c r="O65" i="2" s="1"/>
  <c r="C66" i="2"/>
  <c r="C67" i="2"/>
  <c r="C68" i="2"/>
  <c r="C69" i="2"/>
  <c r="D69" i="2" s="1"/>
  <c r="E69" i="2" s="1"/>
  <c r="F69" i="2" s="1"/>
  <c r="G69" i="2" s="1"/>
  <c r="H69" i="2" s="1"/>
  <c r="I69" i="2" s="1"/>
  <c r="J69" i="2" s="1"/>
  <c r="K69" i="2" s="1"/>
  <c r="L69" i="2" s="1"/>
  <c r="M69" i="2" s="1"/>
  <c r="N69" i="2" s="1"/>
  <c r="O69" i="2" s="1"/>
  <c r="C70" i="2"/>
  <c r="D70" i="2" s="1"/>
  <c r="E70" i="2" s="1"/>
  <c r="F70" i="2" s="1"/>
  <c r="G70" i="2" s="1"/>
  <c r="H70" i="2" s="1"/>
  <c r="I70" i="2" s="1"/>
  <c r="J70" i="2" s="1"/>
  <c r="K70" i="2" s="1"/>
  <c r="L70" i="2" s="1"/>
  <c r="M70" i="2" s="1"/>
  <c r="N70" i="2" s="1"/>
  <c r="O70" i="2" s="1"/>
  <c r="C71" i="2"/>
  <c r="C72" i="2"/>
  <c r="C73" i="2"/>
  <c r="C74" i="2"/>
  <c r="C75" i="2"/>
  <c r="C76" i="2"/>
  <c r="C77" i="2"/>
  <c r="C78" i="2"/>
  <c r="C79" i="2"/>
  <c r="D79" i="2"/>
  <c r="E79" i="2" s="1"/>
  <c r="F79" i="2" s="1"/>
  <c r="G79" i="2" s="1"/>
  <c r="H79" i="2" s="1"/>
  <c r="I79" i="2" s="1"/>
  <c r="J79" i="2" s="1"/>
  <c r="K79" i="2" s="1"/>
  <c r="L79" i="2" s="1"/>
  <c r="M79" i="2" s="1"/>
  <c r="N79" i="2" s="1"/>
  <c r="O79" i="2" s="1"/>
  <c r="C80" i="2"/>
  <c r="D80" i="2" s="1"/>
  <c r="E80" i="2" s="1"/>
  <c r="F80" i="2" s="1"/>
  <c r="G80" i="2" s="1"/>
  <c r="H80" i="2" s="1"/>
  <c r="I80" i="2" s="1"/>
  <c r="J80" i="2" s="1"/>
  <c r="K80" i="2" s="1"/>
  <c r="L80" i="2" s="1"/>
  <c r="M80" i="2" s="1"/>
  <c r="N80" i="2" s="1"/>
  <c r="O80" i="2" s="1"/>
  <c r="C81" i="2"/>
  <c r="C82" i="2"/>
  <c r="D82" i="2" s="1"/>
  <c r="E82" i="2" s="1"/>
  <c r="F82" i="2" s="1"/>
  <c r="G82" i="2" s="1"/>
  <c r="H82" i="2" s="1"/>
  <c r="I82" i="2" s="1"/>
  <c r="J82" i="2" s="1"/>
  <c r="K82" i="2" s="1"/>
  <c r="L82" i="2" s="1"/>
  <c r="M82" i="2" s="1"/>
  <c r="N82" i="2" s="1"/>
  <c r="O82" i="2" s="1"/>
  <c r="C83" i="2"/>
  <c r="C84" i="2"/>
  <c r="C85" i="2"/>
  <c r="D85" i="2" s="1"/>
  <c r="E85" i="2" s="1"/>
  <c r="F85" i="2" s="1"/>
  <c r="G85" i="2" s="1"/>
  <c r="H85" i="2" s="1"/>
  <c r="I85" i="2" s="1"/>
  <c r="J85" i="2" s="1"/>
  <c r="K85" i="2" s="1"/>
  <c r="L85" i="2" s="1"/>
  <c r="M85" i="2" s="1"/>
  <c r="N85" i="2" s="1"/>
  <c r="O85" i="2" s="1"/>
  <c r="C86" i="2"/>
  <c r="C87" i="2"/>
  <c r="C88" i="2"/>
  <c r="C89" i="2"/>
  <c r="D89" i="2" s="1"/>
  <c r="E89" i="2" s="1"/>
  <c r="F89" i="2" s="1"/>
  <c r="G89" i="2" s="1"/>
  <c r="H89" i="2" s="1"/>
  <c r="I89" i="2" s="1"/>
  <c r="J89" i="2" s="1"/>
  <c r="K89" i="2" s="1"/>
  <c r="L89" i="2" s="1"/>
  <c r="M89" i="2" s="1"/>
  <c r="N89" i="2" s="1"/>
  <c r="O89" i="2" s="1"/>
  <c r="C90" i="2"/>
  <c r="D90" i="2" s="1"/>
  <c r="E90" i="2" s="1"/>
  <c r="F90" i="2" s="1"/>
  <c r="G90" i="2" s="1"/>
  <c r="H90" i="2" s="1"/>
  <c r="I90" i="2" s="1"/>
  <c r="J90" i="2" s="1"/>
  <c r="K90" i="2" s="1"/>
  <c r="L90" i="2" s="1"/>
  <c r="M90" i="2" s="1"/>
  <c r="N90" i="2" s="1"/>
  <c r="O90" i="2" s="1"/>
  <c r="C91" i="2"/>
  <c r="D91" i="2" s="1"/>
  <c r="E91" i="2" s="1"/>
  <c r="F91" i="2" s="1"/>
  <c r="G91" i="2" s="1"/>
  <c r="H91" i="2" s="1"/>
  <c r="I91" i="2" s="1"/>
  <c r="J91" i="2" s="1"/>
  <c r="K91" i="2" s="1"/>
  <c r="L91" i="2" s="1"/>
  <c r="M91" i="2" s="1"/>
  <c r="N91" i="2" s="1"/>
  <c r="O91" i="2" s="1"/>
  <c r="C92" i="2"/>
  <c r="C93" i="2"/>
  <c r="C94" i="2"/>
  <c r="C95" i="2"/>
  <c r="C96" i="2"/>
  <c r="C97" i="2"/>
  <c r="C98" i="2"/>
  <c r="C99" i="2"/>
  <c r="C100" i="2"/>
  <c r="D100" i="2" s="1"/>
  <c r="E100" i="2" s="1"/>
  <c r="F100" i="2" s="1"/>
  <c r="G100" i="2" s="1"/>
  <c r="H100" i="2" s="1"/>
  <c r="I100" i="2" s="1"/>
  <c r="J100" i="2" s="1"/>
  <c r="K100" i="2" s="1"/>
  <c r="L100" i="2" s="1"/>
  <c r="M100" i="2" s="1"/>
  <c r="N100" i="2" s="1"/>
  <c r="O100" i="2" s="1"/>
  <c r="C101" i="2"/>
  <c r="D101" i="2" s="1"/>
  <c r="E101" i="2" s="1"/>
  <c r="F101" i="2" s="1"/>
  <c r="G101" i="2" s="1"/>
  <c r="H101" i="2" s="1"/>
  <c r="I101" i="2" s="1"/>
  <c r="J101" i="2" s="1"/>
  <c r="K101" i="2" s="1"/>
  <c r="L101" i="2" s="1"/>
  <c r="M101" i="2" s="1"/>
  <c r="N101" i="2" s="1"/>
  <c r="O101" i="2" s="1"/>
  <c r="C102" i="2"/>
  <c r="C103" i="2"/>
  <c r="C104" i="2"/>
  <c r="C105" i="2"/>
  <c r="C106" i="2"/>
  <c r="C107" i="2"/>
  <c r="C108" i="2"/>
  <c r="C109" i="2"/>
  <c r="D109" i="2" s="1"/>
  <c r="E109" i="2" s="1"/>
  <c r="F109" i="2" s="1"/>
  <c r="G109" i="2" s="1"/>
  <c r="H109" i="2" s="1"/>
  <c r="I109" i="2" s="1"/>
  <c r="J109" i="2" s="1"/>
  <c r="K109" i="2" s="1"/>
  <c r="L109" i="2" s="1"/>
  <c r="M109" i="2" s="1"/>
  <c r="N109" i="2" s="1"/>
  <c r="O109" i="2" s="1"/>
  <c r="C110" i="2"/>
  <c r="D110" i="2" s="1"/>
  <c r="E110" i="2" s="1"/>
  <c r="F110" i="2" s="1"/>
  <c r="G110" i="2" s="1"/>
  <c r="H110" i="2" s="1"/>
  <c r="I110" i="2" s="1"/>
  <c r="J110" i="2" s="1"/>
  <c r="K110" i="2" s="1"/>
  <c r="L110" i="2" s="1"/>
  <c r="M110" i="2" s="1"/>
  <c r="N110" i="2" s="1"/>
  <c r="O110" i="2" s="1"/>
  <c r="C111" i="2"/>
  <c r="C112" i="2"/>
  <c r="D112" i="2" s="1"/>
  <c r="E112" i="2" s="1"/>
  <c r="F112" i="2" s="1"/>
  <c r="G112" i="2" s="1"/>
  <c r="H112" i="2" s="1"/>
  <c r="I112" i="2" s="1"/>
  <c r="J112" i="2" s="1"/>
  <c r="K112" i="2" s="1"/>
  <c r="L112" i="2" s="1"/>
  <c r="M112" i="2" s="1"/>
  <c r="N112" i="2" s="1"/>
  <c r="O112" i="2" s="1"/>
  <c r="C113" i="2"/>
  <c r="C114" i="2"/>
  <c r="C115" i="2"/>
  <c r="C116" i="2"/>
  <c r="C117" i="2"/>
  <c r="C118" i="2"/>
  <c r="C119" i="2"/>
  <c r="C120" i="2"/>
  <c r="D120" i="2"/>
  <c r="E120" i="2" s="1"/>
  <c r="F120" i="2" s="1"/>
  <c r="G120" i="2" s="1"/>
  <c r="H120" i="2" s="1"/>
  <c r="I120" i="2" s="1"/>
  <c r="J120" i="2" s="1"/>
  <c r="K120" i="2" s="1"/>
  <c r="L120" i="2" s="1"/>
  <c r="M120" i="2" s="1"/>
  <c r="N120" i="2" s="1"/>
  <c r="O120" i="2" s="1"/>
  <c r="C121" i="2"/>
  <c r="C122" i="2"/>
  <c r="D122" i="2" s="1"/>
  <c r="E122" i="2" s="1"/>
  <c r="F122" i="2" s="1"/>
  <c r="G122" i="2" s="1"/>
  <c r="H122" i="2" s="1"/>
  <c r="I122" i="2" s="1"/>
  <c r="J122" i="2" s="1"/>
  <c r="K122" i="2" s="1"/>
  <c r="L122" i="2" s="1"/>
  <c r="M122" i="2" s="1"/>
  <c r="N122" i="2" s="1"/>
  <c r="O122" i="2" s="1"/>
  <c r="C123" i="2"/>
  <c r="C124" i="2"/>
  <c r="C125" i="2"/>
  <c r="D125" i="2" s="1"/>
  <c r="E125" i="2" s="1"/>
  <c r="F125" i="2" s="1"/>
  <c r="G125" i="2" s="1"/>
  <c r="H125" i="2" s="1"/>
  <c r="I125" i="2" s="1"/>
  <c r="J125" i="2" s="1"/>
  <c r="K125" i="2" s="1"/>
  <c r="L125" i="2" s="1"/>
  <c r="M125" i="2" s="1"/>
  <c r="N125" i="2" s="1"/>
  <c r="O125" i="2" s="1"/>
  <c r="C126" i="2"/>
  <c r="C127" i="2"/>
  <c r="D127" i="2" s="1"/>
  <c r="E127" i="2" s="1"/>
  <c r="F127" i="2" s="1"/>
  <c r="G127" i="2" s="1"/>
  <c r="H127" i="2" s="1"/>
  <c r="I127" i="2" s="1"/>
  <c r="J127" i="2" s="1"/>
  <c r="K127" i="2" s="1"/>
  <c r="L127" i="2" s="1"/>
  <c r="M127" i="2" s="1"/>
  <c r="N127" i="2" s="1"/>
  <c r="O127" i="2" s="1"/>
  <c r="C128" i="2"/>
  <c r="D128" i="2"/>
  <c r="E128" i="2" s="1"/>
  <c r="F128" i="2" s="1"/>
  <c r="G128" i="2" s="1"/>
  <c r="H128" i="2" s="1"/>
  <c r="I128" i="2" s="1"/>
  <c r="J128" i="2" s="1"/>
  <c r="K128" i="2" s="1"/>
  <c r="L128" i="2" s="1"/>
  <c r="M128" i="2" s="1"/>
  <c r="N128" i="2" s="1"/>
  <c r="O128" i="2" s="1"/>
  <c r="C129" i="2"/>
  <c r="C130" i="2"/>
  <c r="C131" i="2"/>
  <c r="C132" i="2"/>
  <c r="C133" i="2"/>
  <c r="C134" i="2"/>
  <c r="C135" i="2"/>
  <c r="C136" i="2"/>
  <c r="D136" i="2" s="1"/>
  <c r="E136" i="2" s="1"/>
  <c r="F136" i="2" s="1"/>
  <c r="G136" i="2" s="1"/>
  <c r="H136" i="2" s="1"/>
  <c r="I136" i="2" s="1"/>
  <c r="J136" i="2" s="1"/>
  <c r="K136" i="2" s="1"/>
  <c r="L136" i="2" s="1"/>
  <c r="M136" i="2" s="1"/>
  <c r="N136" i="2" s="1"/>
  <c r="O136" i="2" s="1"/>
  <c r="C137" i="2"/>
  <c r="D137" i="2" s="1"/>
  <c r="E137" i="2" s="1"/>
  <c r="F137" i="2" s="1"/>
  <c r="G137" i="2" s="1"/>
  <c r="H137" i="2" s="1"/>
  <c r="I137" i="2" s="1"/>
  <c r="J137" i="2" s="1"/>
  <c r="K137" i="2" s="1"/>
  <c r="L137" i="2" s="1"/>
  <c r="M137" i="2" s="1"/>
  <c r="N137" i="2" s="1"/>
  <c r="O137" i="2" s="1"/>
  <c r="C138" i="2"/>
  <c r="D138" i="2" s="1"/>
  <c r="E138" i="2" s="1"/>
  <c r="F138" i="2" s="1"/>
  <c r="G138" i="2" s="1"/>
  <c r="H138" i="2" s="1"/>
  <c r="I138" i="2" s="1"/>
  <c r="J138" i="2" s="1"/>
  <c r="K138" i="2" s="1"/>
  <c r="L138" i="2" s="1"/>
  <c r="M138" i="2" s="1"/>
  <c r="N138" i="2" s="1"/>
  <c r="O138" i="2" s="1"/>
  <c r="C139" i="2"/>
  <c r="D139" i="2" s="1"/>
  <c r="E139" i="2" s="1"/>
  <c r="F139" i="2" s="1"/>
  <c r="G139" i="2" s="1"/>
  <c r="H139" i="2" s="1"/>
  <c r="I139" i="2" s="1"/>
  <c r="J139" i="2" s="1"/>
  <c r="K139" i="2" s="1"/>
  <c r="L139" i="2" s="1"/>
  <c r="M139" i="2" s="1"/>
  <c r="N139" i="2" s="1"/>
  <c r="O139" i="2" s="1"/>
  <c r="C140" i="2"/>
  <c r="C141" i="2"/>
  <c r="C142" i="2"/>
  <c r="C143" i="2"/>
  <c r="C144" i="2"/>
  <c r="C145" i="2"/>
  <c r="C146" i="2"/>
  <c r="D146" i="2" s="1"/>
  <c r="E146" i="2" s="1"/>
  <c r="F146" i="2" s="1"/>
  <c r="G146" i="2" s="1"/>
  <c r="H146" i="2" s="1"/>
  <c r="I146" i="2" s="1"/>
  <c r="J146" i="2" s="1"/>
  <c r="K146" i="2" s="1"/>
  <c r="L146" i="2" s="1"/>
  <c r="M146" i="2" s="1"/>
  <c r="N146" i="2" s="1"/>
  <c r="O146" i="2" s="1"/>
  <c r="C147" i="2"/>
  <c r="D147" i="2" s="1"/>
  <c r="E147" i="2" s="1"/>
  <c r="F147" i="2" s="1"/>
  <c r="G147" i="2" s="1"/>
  <c r="H147" i="2" s="1"/>
  <c r="I147" i="2" s="1"/>
  <c r="J147" i="2" s="1"/>
  <c r="K147" i="2" s="1"/>
  <c r="L147" i="2" s="1"/>
  <c r="M147" i="2" s="1"/>
  <c r="N147" i="2" s="1"/>
  <c r="O147" i="2" s="1"/>
  <c r="C148" i="2"/>
  <c r="D148" i="2" s="1"/>
  <c r="E148" i="2" s="1"/>
  <c r="F148" i="2" s="1"/>
  <c r="G148" i="2" s="1"/>
  <c r="H148" i="2" s="1"/>
  <c r="I148" i="2" s="1"/>
  <c r="J148" i="2" s="1"/>
  <c r="K148" i="2" s="1"/>
  <c r="L148" i="2" s="1"/>
  <c r="M148" i="2" s="1"/>
  <c r="N148" i="2" s="1"/>
  <c r="O148" i="2" s="1"/>
  <c r="C149" i="2"/>
  <c r="C150" i="2"/>
  <c r="C151" i="2"/>
  <c r="C152" i="2"/>
  <c r="D152" i="2" s="1"/>
  <c r="E152" i="2" s="1"/>
  <c r="F152" i="2" s="1"/>
  <c r="G152" i="2" s="1"/>
  <c r="H152" i="2" s="1"/>
  <c r="I152" i="2" s="1"/>
  <c r="J152" i="2" s="1"/>
  <c r="K152" i="2" s="1"/>
  <c r="L152" i="2" s="1"/>
  <c r="M152" i="2" s="1"/>
  <c r="N152" i="2" s="1"/>
  <c r="O152" i="2" s="1"/>
  <c r="C153" i="2"/>
  <c r="C154" i="2"/>
  <c r="C155" i="2"/>
  <c r="D155" i="2" s="1"/>
  <c r="E155" i="2" s="1"/>
  <c r="F155" i="2" s="1"/>
  <c r="G155" i="2" s="1"/>
  <c r="H155" i="2" s="1"/>
  <c r="I155" i="2" s="1"/>
  <c r="J155" i="2" s="1"/>
  <c r="K155" i="2" s="1"/>
  <c r="L155" i="2" s="1"/>
  <c r="M155" i="2" s="1"/>
  <c r="N155" i="2" s="1"/>
  <c r="O155" i="2" s="1"/>
  <c r="C156" i="2"/>
  <c r="D156" i="2" s="1"/>
  <c r="E156" i="2" s="1"/>
  <c r="F156" i="2" s="1"/>
  <c r="G156" i="2" s="1"/>
  <c r="H156" i="2" s="1"/>
  <c r="I156" i="2" s="1"/>
  <c r="J156" i="2" s="1"/>
  <c r="K156" i="2" s="1"/>
  <c r="L156" i="2" s="1"/>
  <c r="M156" i="2" s="1"/>
  <c r="N156" i="2" s="1"/>
  <c r="O156" i="2" s="1"/>
  <c r="C157" i="2"/>
  <c r="C158" i="2"/>
  <c r="C159" i="2"/>
  <c r="C160" i="2"/>
  <c r="C161" i="2"/>
  <c r="C162" i="2"/>
  <c r="C163" i="2"/>
  <c r="C164" i="2"/>
  <c r="D164" i="2"/>
  <c r="E164" i="2" s="1"/>
  <c r="F164" i="2" s="1"/>
  <c r="G164" i="2" s="1"/>
  <c r="H164" i="2" s="1"/>
  <c r="I164" i="2" s="1"/>
  <c r="J164" i="2" s="1"/>
  <c r="K164" i="2" s="1"/>
  <c r="L164" i="2" s="1"/>
  <c r="M164" i="2" s="1"/>
  <c r="N164" i="2" s="1"/>
  <c r="O164" i="2" s="1"/>
  <c r="C165" i="2"/>
  <c r="C166" i="2"/>
  <c r="D166" i="2" s="1"/>
  <c r="E166" i="2" s="1"/>
  <c r="F166" i="2" s="1"/>
  <c r="G166" i="2" s="1"/>
  <c r="H166" i="2" s="1"/>
  <c r="I166" i="2" s="1"/>
  <c r="J166" i="2" s="1"/>
  <c r="K166" i="2" s="1"/>
  <c r="L166" i="2" s="1"/>
  <c r="M166" i="2" s="1"/>
  <c r="N166" i="2" s="1"/>
  <c r="O166" i="2" s="1"/>
  <c r="C167" i="2"/>
  <c r="C168" i="2"/>
  <c r="C169" i="2"/>
  <c r="C170" i="2"/>
  <c r="C171" i="2"/>
  <c r="C172" i="2"/>
  <c r="D172" i="2" s="1"/>
  <c r="E172" i="2" s="1"/>
  <c r="F172" i="2" s="1"/>
  <c r="G172" i="2" s="1"/>
  <c r="H172" i="2" s="1"/>
  <c r="I172" i="2" s="1"/>
  <c r="J172" i="2" s="1"/>
  <c r="K172" i="2" s="1"/>
  <c r="L172" i="2" s="1"/>
  <c r="M172" i="2" s="1"/>
  <c r="N172" i="2" s="1"/>
  <c r="O172" i="2" s="1"/>
  <c r="C173" i="2"/>
  <c r="D173" i="2" s="1"/>
  <c r="E173" i="2" s="1"/>
  <c r="F173" i="2" s="1"/>
  <c r="G173" i="2" s="1"/>
  <c r="H173" i="2" s="1"/>
  <c r="I173" i="2" s="1"/>
  <c r="J173" i="2" s="1"/>
  <c r="K173" i="2" s="1"/>
  <c r="L173" i="2" s="1"/>
  <c r="M173" i="2" s="1"/>
  <c r="N173" i="2" s="1"/>
  <c r="O173" i="2" s="1"/>
  <c r="C174" i="2"/>
  <c r="C175" i="2"/>
  <c r="C176" i="2"/>
  <c r="C177" i="2"/>
  <c r="C178" i="2"/>
  <c r="C179" i="2"/>
  <c r="C180" i="2"/>
  <c r="C181" i="2"/>
  <c r="C182" i="2"/>
  <c r="C183" i="2"/>
  <c r="D183" i="2" s="1"/>
  <c r="E183" i="2" s="1"/>
  <c r="F183" i="2" s="1"/>
  <c r="G183" i="2" s="1"/>
  <c r="H183" i="2" s="1"/>
  <c r="I183" i="2" s="1"/>
  <c r="J183" i="2" s="1"/>
  <c r="K183" i="2" s="1"/>
  <c r="L183" i="2" s="1"/>
  <c r="M183" i="2" s="1"/>
  <c r="N183" i="2" s="1"/>
  <c r="O183" i="2" s="1"/>
  <c r="C184" i="2"/>
  <c r="D184" i="2" s="1"/>
  <c r="E184" i="2" s="1"/>
  <c r="F184" i="2" s="1"/>
  <c r="G184" i="2" s="1"/>
  <c r="H184" i="2" s="1"/>
  <c r="I184" i="2" s="1"/>
  <c r="J184" i="2" s="1"/>
  <c r="K184" i="2" s="1"/>
  <c r="L184" i="2" s="1"/>
  <c r="M184" i="2" s="1"/>
  <c r="N184" i="2" s="1"/>
  <c r="O184" i="2" s="1"/>
  <c r="C185" i="2"/>
  <c r="C186" i="2"/>
  <c r="C187" i="2"/>
  <c r="C188" i="2"/>
  <c r="C189" i="2"/>
  <c r="C190" i="2"/>
  <c r="C191" i="2"/>
  <c r="D191" i="2" s="1"/>
  <c r="E191" i="2" s="1"/>
  <c r="F191" i="2" s="1"/>
  <c r="G191" i="2" s="1"/>
  <c r="H191" i="2" s="1"/>
  <c r="I191" i="2" s="1"/>
  <c r="J191" i="2" s="1"/>
  <c r="K191" i="2" s="1"/>
  <c r="L191" i="2" s="1"/>
  <c r="M191" i="2" s="1"/>
  <c r="N191" i="2" s="1"/>
  <c r="O191" i="2" s="1"/>
  <c r="C192" i="2"/>
  <c r="D192" i="2" s="1"/>
  <c r="E192" i="2" s="1"/>
  <c r="F192" i="2" s="1"/>
  <c r="G192" i="2" s="1"/>
  <c r="H192" i="2" s="1"/>
  <c r="I192" i="2" s="1"/>
  <c r="J192" i="2" s="1"/>
  <c r="K192" i="2" s="1"/>
  <c r="L192" i="2" s="1"/>
  <c r="M192" i="2" s="1"/>
  <c r="N192" i="2" s="1"/>
  <c r="O192" i="2" s="1"/>
  <c r="C193" i="2"/>
  <c r="D193" i="2" s="1"/>
  <c r="E193" i="2" s="1"/>
  <c r="F193" i="2" s="1"/>
  <c r="G193" i="2" s="1"/>
  <c r="H193" i="2" s="1"/>
  <c r="I193" i="2" s="1"/>
  <c r="J193" i="2" s="1"/>
  <c r="K193" i="2" s="1"/>
  <c r="L193" i="2" s="1"/>
  <c r="M193" i="2" s="1"/>
  <c r="N193" i="2" s="1"/>
  <c r="O193" i="2" s="1"/>
  <c r="C194" i="2"/>
  <c r="D194" i="2" s="1"/>
  <c r="E194" i="2" s="1"/>
  <c r="F194" i="2" s="1"/>
  <c r="G194" i="2" s="1"/>
  <c r="H194" i="2" s="1"/>
  <c r="I194" i="2" s="1"/>
  <c r="J194" i="2" s="1"/>
  <c r="K194" i="2" s="1"/>
  <c r="L194" i="2" s="1"/>
  <c r="M194" i="2" s="1"/>
  <c r="N194" i="2" s="1"/>
  <c r="O194" i="2" s="1"/>
  <c r="C195" i="2"/>
  <c r="C196" i="2"/>
  <c r="C197" i="2"/>
  <c r="C198" i="2"/>
  <c r="C199" i="2"/>
  <c r="C200" i="2"/>
  <c r="D200" i="2" s="1"/>
  <c r="E200" i="2" s="1"/>
  <c r="F200" i="2" s="1"/>
  <c r="G200" i="2" s="1"/>
  <c r="H200" i="2" s="1"/>
  <c r="I200" i="2" s="1"/>
  <c r="J200" i="2" s="1"/>
  <c r="K200" i="2" s="1"/>
  <c r="L200" i="2" s="1"/>
  <c r="M200" i="2" s="1"/>
  <c r="N200" i="2" s="1"/>
  <c r="O200" i="2" s="1"/>
  <c r="C201" i="2"/>
  <c r="C202" i="2"/>
  <c r="C203" i="2"/>
  <c r="C204" i="2"/>
  <c r="D204" i="2"/>
  <c r="E204" i="2" s="1"/>
  <c r="F204" i="2" s="1"/>
  <c r="G204" i="2" s="1"/>
  <c r="H204" i="2" s="1"/>
  <c r="I204" i="2" s="1"/>
  <c r="J204" i="2" s="1"/>
  <c r="K204" i="2" s="1"/>
  <c r="L204" i="2" s="1"/>
  <c r="M204" i="2" s="1"/>
  <c r="N204" i="2" s="1"/>
  <c r="O204" i="2" s="1"/>
  <c r="C205" i="2"/>
  <c r="C206" i="2"/>
  <c r="D206" i="2" s="1"/>
  <c r="E206" i="2" s="1"/>
  <c r="F206" i="2" s="1"/>
  <c r="G206" i="2" s="1"/>
  <c r="H206" i="2" s="1"/>
  <c r="I206" i="2" s="1"/>
  <c r="J206" i="2" s="1"/>
  <c r="K206" i="2" s="1"/>
  <c r="L206" i="2" s="1"/>
  <c r="M206" i="2" s="1"/>
  <c r="N206" i="2" s="1"/>
  <c r="O206" i="2" s="1"/>
  <c r="C207" i="2"/>
  <c r="C208" i="2"/>
  <c r="C209" i="2"/>
  <c r="C210" i="2"/>
  <c r="C211" i="2"/>
  <c r="C212" i="2"/>
  <c r="D212" i="2"/>
  <c r="E212" i="2" s="1"/>
  <c r="F212" i="2" s="1"/>
  <c r="G212" i="2" s="1"/>
  <c r="H212" i="2" s="1"/>
  <c r="I212" i="2" s="1"/>
  <c r="J212" i="2" s="1"/>
  <c r="K212" i="2" s="1"/>
  <c r="L212" i="2" s="1"/>
  <c r="M212" i="2" s="1"/>
  <c r="N212" i="2" s="1"/>
  <c r="O212" i="2" s="1"/>
  <c r="C213" i="2"/>
  <c r="D213" i="2" s="1"/>
  <c r="E213" i="2" s="1"/>
  <c r="F213" i="2" s="1"/>
  <c r="G213" i="2" s="1"/>
  <c r="H213" i="2" s="1"/>
  <c r="I213" i="2" s="1"/>
  <c r="J213" i="2" s="1"/>
  <c r="K213" i="2" s="1"/>
  <c r="L213" i="2" s="1"/>
  <c r="M213" i="2" s="1"/>
  <c r="N213" i="2" s="1"/>
  <c r="O213" i="2" s="1"/>
  <c r="C214" i="2"/>
  <c r="C215" i="2"/>
  <c r="C216" i="2"/>
  <c r="C217" i="2"/>
  <c r="C218" i="2"/>
  <c r="C219" i="2"/>
  <c r="C220" i="2"/>
  <c r="C221" i="2"/>
  <c r="C222" i="2"/>
  <c r="D222" i="2" s="1"/>
  <c r="E222" i="2" s="1"/>
  <c r="F222" i="2" s="1"/>
  <c r="G222" i="2" s="1"/>
  <c r="H222" i="2" s="1"/>
  <c r="I222" i="2" s="1"/>
  <c r="J222" i="2" s="1"/>
  <c r="K222" i="2" s="1"/>
  <c r="L222" i="2" s="1"/>
  <c r="M222" i="2" s="1"/>
  <c r="N222" i="2" s="1"/>
  <c r="O222" i="2" s="1"/>
  <c r="C223" i="2"/>
  <c r="D223" i="2" s="1"/>
  <c r="E223" i="2" s="1"/>
  <c r="F223" i="2" s="1"/>
  <c r="G223" i="2" s="1"/>
  <c r="H223" i="2" s="1"/>
  <c r="I223" i="2" s="1"/>
  <c r="J223" i="2" s="1"/>
  <c r="K223" i="2" s="1"/>
  <c r="L223" i="2" s="1"/>
  <c r="M223" i="2" s="1"/>
  <c r="N223" i="2" s="1"/>
  <c r="O223" i="2" s="1"/>
  <c r="C224" i="2"/>
  <c r="C225" i="2"/>
  <c r="C226" i="2"/>
  <c r="C227" i="2"/>
  <c r="C228" i="2"/>
  <c r="D228" i="2" s="1"/>
  <c r="E228" i="2" s="1"/>
  <c r="F228" i="2" s="1"/>
  <c r="G228" i="2" s="1"/>
  <c r="H228" i="2" s="1"/>
  <c r="I228" i="2" s="1"/>
  <c r="J228" i="2" s="1"/>
  <c r="K228" i="2" s="1"/>
  <c r="L228" i="2" s="1"/>
  <c r="M228" i="2" s="1"/>
  <c r="N228" i="2" s="1"/>
  <c r="O228" i="2" s="1"/>
  <c r="C229" i="2"/>
  <c r="C230" i="2"/>
  <c r="C231" i="2"/>
  <c r="C232" i="2"/>
  <c r="D232" i="2" s="1"/>
  <c r="E232" i="2" s="1"/>
  <c r="F232" i="2" s="1"/>
  <c r="G232" i="2" s="1"/>
  <c r="H232" i="2" s="1"/>
  <c r="I232" i="2" s="1"/>
  <c r="J232" i="2" s="1"/>
  <c r="K232" i="2" s="1"/>
  <c r="L232" i="2" s="1"/>
  <c r="M232" i="2" s="1"/>
  <c r="N232" i="2" s="1"/>
  <c r="O232" i="2" s="1"/>
  <c r="C233" i="2"/>
  <c r="D233" i="2" s="1"/>
  <c r="E233" i="2" s="1"/>
  <c r="F233" i="2" s="1"/>
  <c r="G233" i="2" s="1"/>
  <c r="H233" i="2" s="1"/>
  <c r="I233" i="2" s="1"/>
  <c r="J233" i="2" s="1"/>
  <c r="K233" i="2" s="1"/>
  <c r="L233" i="2" s="1"/>
  <c r="M233" i="2" s="1"/>
  <c r="N233" i="2" s="1"/>
  <c r="O233" i="2" s="1"/>
  <c r="C234" i="2"/>
  <c r="C235" i="2"/>
  <c r="D235" i="2" s="1"/>
  <c r="E235" i="2" s="1"/>
  <c r="F235" i="2" s="1"/>
  <c r="G235" i="2" s="1"/>
  <c r="H235" i="2" s="1"/>
  <c r="I235" i="2" s="1"/>
  <c r="J235" i="2" s="1"/>
  <c r="K235" i="2" s="1"/>
  <c r="L235" i="2" s="1"/>
  <c r="M235" i="2" s="1"/>
  <c r="N235" i="2" s="1"/>
  <c r="O235" i="2" s="1"/>
  <c r="C236" i="2"/>
  <c r="C237" i="2"/>
  <c r="C238" i="2"/>
  <c r="C239" i="2"/>
  <c r="C240" i="2"/>
  <c r="D240" i="2" s="1"/>
  <c r="E240" i="2" s="1"/>
  <c r="F240" i="2" s="1"/>
  <c r="G240" i="2" s="1"/>
  <c r="H240" i="2" s="1"/>
  <c r="I240" i="2" s="1"/>
  <c r="J240" i="2" s="1"/>
  <c r="K240" i="2" s="1"/>
  <c r="L240" i="2" s="1"/>
  <c r="M240" i="2" s="1"/>
  <c r="N240" i="2" s="1"/>
  <c r="O240" i="2" s="1"/>
  <c r="C241" i="2"/>
  <c r="D241" i="2" s="1"/>
  <c r="E241" i="2" s="1"/>
  <c r="F241" i="2" s="1"/>
  <c r="G241" i="2" s="1"/>
  <c r="H241" i="2" s="1"/>
  <c r="I241" i="2" s="1"/>
  <c r="J241" i="2" s="1"/>
  <c r="K241" i="2" s="1"/>
  <c r="L241" i="2" s="1"/>
  <c r="M241" i="2" s="1"/>
  <c r="N241" i="2" s="1"/>
  <c r="O241" i="2" s="1"/>
  <c r="C242" i="2"/>
  <c r="D242" i="2" s="1"/>
  <c r="E242" i="2" s="1"/>
  <c r="F242" i="2" s="1"/>
  <c r="G242" i="2" s="1"/>
  <c r="H242" i="2" s="1"/>
  <c r="I242" i="2" s="1"/>
  <c r="J242" i="2" s="1"/>
  <c r="K242" i="2" s="1"/>
  <c r="L242" i="2" s="1"/>
  <c r="M242" i="2" s="1"/>
  <c r="N242" i="2" s="1"/>
  <c r="O242" i="2" s="1"/>
  <c r="C243" i="2"/>
  <c r="C244" i="2"/>
  <c r="C245" i="2"/>
  <c r="C246" i="2"/>
  <c r="C247" i="2"/>
  <c r="C248" i="2"/>
  <c r="C249" i="2"/>
  <c r="C250" i="2"/>
  <c r="C251" i="2"/>
  <c r="D251" i="2" s="1"/>
  <c r="E251" i="2" s="1"/>
  <c r="F251" i="2" s="1"/>
  <c r="G251" i="2" s="1"/>
  <c r="H251" i="2" s="1"/>
  <c r="I251" i="2" s="1"/>
  <c r="J251" i="2" s="1"/>
  <c r="K251" i="2" s="1"/>
  <c r="L251" i="2" s="1"/>
  <c r="M251" i="2" s="1"/>
  <c r="N251" i="2" s="1"/>
  <c r="O251" i="2" s="1"/>
  <c r="C252" i="2"/>
  <c r="D252" i="2" s="1"/>
  <c r="E252" i="2" s="1"/>
  <c r="F252" i="2" s="1"/>
  <c r="G252" i="2" s="1"/>
  <c r="H252" i="2" s="1"/>
  <c r="I252" i="2" s="1"/>
  <c r="J252" i="2" s="1"/>
  <c r="K252" i="2" s="1"/>
  <c r="L252" i="2" s="1"/>
  <c r="M252" i="2" s="1"/>
  <c r="N252" i="2" s="1"/>
  <c r="O252" i="2" s="1"/>
  <c r="C253" i="2"/>
  <c r="C254" i="2"/>
  <c r="C255" i="2"/>
  <c r="C256" i="2"/>
  <c r="C257" i="2"/>
  <c r="C258" i="2"/>
  <c r="C259" i="2"/>
  <c r="C260" i="2"/>
  <c r="C261" i="2"/>
  <c r="C262" i="2"/>
  <c r="D262" i="2"/>
  <c r="E262" i="2" s="1"/>
  <c r="F262" i="2" s="1"/>
  <c r="G262" i="2" s="1"/>
  <c r="H262" i="2" s="1"/>
  <c r="I262" i="2" s="1"/>
  <c r="J262" i="2" s="1"/>
  <c r="K262" i="2" s="1"/>
  <c r="L262" i="2" s="1"/>
  <c r="M262" i="2" s="1"/>
  <c r="N262" i="2" s="1"/>
  <c r="O262" i="2" s="1"/>
  <c r="C263" i="2"/>
  <c r="C264" i="2"/>
  <c r="C265" i="2"/>
  <c r="C266" i="2"/>
  <c r="C267" i="2"/>
  <c r="C268" i="2"/>
  <c r="C269" i="2"/>
  <c r="C270" i="2"/>
  <c r="D270" i="2" s="1"/>
  <c r="E270" i="2" s="1"/>
  <c r="F270" i="2" s="1"/>
  <c r="G270" i="2" s="1"/>
  <c r="H270" i="2" s="1"/>
  <c r="I270" i="2" s="1"/>
  <c r="J270" i="2" s="1"/>
  <c r="K270" i="2" s="1"/>
  <c r="L270" i="2" s="1"/>
  <c r="M270" i="2" s="1"/>
  <c r="N270" i="2" s="1"/>
  <c r="O270" i="2" s="1"/>
  <c r="C271" i="2"/>
  <c r="D271" i="2" s="1"/>
  <c r="E271" i="2" s="1"/>
  <c r="F271" i="2" s="1"/>
  <c r="G271" i="2" s="1"/>
  <c r="H271" i="2" s="1"/>
  <c r="I271" i="2" s="1"/>
  <c r="J271" i="2" s="1"/>
  <c r="K271" i="2" s="1"/>
  <c r="L271" i="2" s="1"/>
  <c r="M271" i="2" s="1"/>
  <c r="N271" i="2" s="1"/>
  <c r="O271" i="2" s="1"/>
  <c r="C272" i="2"/>
  <c r="D272" i="2" s="1"/>
  <c r="E272" i="2" s="1"/>
  <c r="F272" i="2" s="1"/>
  <c r="G272" i="2" s="1"/>
  <c r="H272" i="2" s="1"/>
  <c r="I272" i="2" s="1"/>
  <c r="J272" i="2" s="1"/>
  <c r="K272" i="2" s="1"/>
  <c r="L272" i="2" s="1"/>
  <c r="M272" i="2" s="1"/>
  <c r="N272" i="2" s="1"/>
  <c r="O272" i="2" s="1"/>
  <c r="C273" i="2"/>
  <c r="C274" i="2"/>
  <c r="C275" i="2"/>
  <c r="C276" i="2"/>
  <c r="C277" i="2"/>
  <c r="C278" i="2"/>
  <c r="C279" i="2"/>
  <c r="C280" i="2"/>
  <c r="C281" i="2"/>
  <c r="C282" i="2"/>
  <c r="D282" i="2" s="1"/>
  <c r="E282" i="2" s="1"/>
  <c r="F282" i="2" s="1"/>
  <c r="G282" i="2" s="1"/>
  <c r="H282" i="2" s="1"/>
  <c r="I282" i="2" s="1"/>
  <c r="J282" i="2" s="1"/>
  <c r="K282" i="2" s="1"/>
  <c r="L282" i="2" s="1"/>
  <c r="M282" i="2" s="1"/>
  <c r="N282" i="2" s="1"/>
  <c r="O282" i="2" s="1"/>
  <c r="C283" i="2"/>
  <c r="D283" i="2" s="1"/>
  <c r="E283" i="2" s="1"/>
  <c r="F283" i="2" s="1"/>
  <c r="G283" i="2" s="1"/>
  <c r="H283" i="2" s="1"/>
  <c r="I283" i="2" s="1"/>
  <c r="J283" i="2" s="1"/>
  <c r="K283" i="2" s="1"/>
  <c r="L283" i="2" s="1"/>
  <c r="M283" i="2" s="1"/>
  <c r="N283" i="2" s="1"/>
  <c r="O283" i="2" s="1"/>
  <c r="C284" i="2"/>
  <c r="C285" i="2"/>
  <c r="C286" i="2"/>
  <c r="C287" i="2"/>
  <c r="C288" i="2"/>
  <c r="C289" i="2"/>
  <c r="C290" i="2"/>
  <c r="C291" i="2"/>
  <c r="D291" i="2"/>
  <c r="E291" i="2" s="1"/>
  <c r="F291" i="2" s="1"/>
  <c r="G291" i="2" s="1"/>
  <c r="H291" i="2" s="1"/>
  <c r="I291" i="2" s="1"/>
  <c r="J291" i="2" s="1"/>
  <c r="K291" i="2" s="1"/>
  <c r="L291" i="2" s="1"/>
  <c r="M291" i="2" s="1"/>
  <c r="N291" i="2" s="1"/>
  <c r="O291" i="2" s="1"/>
  <c r="C292" i="2"/>
  <c r="D292" i="2" s="1"/>
  <c r="E292" i="2" s="1"/>
  <c r="F292" i="2" s="1"/>
  <c r="G292" i="2" s="1"/>
  <c r="H292" i="2" s="1"/>
  <c r="I292" i="2" s="1"/>
  <c r="J292" i="2" s="1"/>
  <c r="K292" i="2" s="1"/>
  <c r="L292" i="2" s="1"/>
  <c r="M292" i="2" s="1"/>
  <c r="N292" i="2" s="1"/>
  <c r="O292" i="2" s="1"/>
  <c r="C293" i="2"/>
  <c r="C294" i="2"/>
  <c r="C295" i="2"/>
  <c r="C296" i="2"/>
  <c r="C297" i="2"/>
  <c r="C298" i="2"/>
  <c r="C299" i="2"/>
  <c r="C300" i="2"/>
  <c r="D300" i="2"/>
  <c r="E300" i="2" s="1"/>
  <c r="F300" i="2" s="1"/>
  <c r="G300" i="2" s="1"/>
  <c r="H300" i="2" s="1"/>
  <c r="I300" i="2" s="1"/>
  <c r="J300" i="2" s="1"/>
  <c r="K300" i="2" s="1"/>
  <c r="L300" i="2" s="1"/>
  <c r="M300" i="2" s="1"/>
  <c r="N300" i="2" s="1"/>
  <c r="O300" i="2" s="1"/>
  <c r="C301" i="2"/>
  <c r="D301" i="2" s="1"/>
  <c r="E301" i="2" s="1"/>
  <c r="F301" i="2" s="1"/>
  <c r="G301" i="2" s="1"/>
  <c r="H301" i="2" s="1"/>
  <c r="I301" i="2" s="1"/>
  <c r="J301" i="2" s="1"/>
  <c r="K301" i="2" s="1"/>
  <c r="L301" i="2" s="1"/>
  <c r="M301" i="2" s="1"/>
  <c r="N301" i="2" s="1"/>
  <c r="O301" i="2" s="1"/>
  <c r="C302" i="2"/>
  <c r="D302" i="2" s="1"/>
  <c r="E302" i="2" s="1"/>
  <c r="F302" i="2" s="1"/>
  <c r="G302" i="2" s="1"/>
  <c r="H302" i="2" s="1"/>
  <c r="I302" i="2" s="1"/>
  <c r="J302" i="2" s="1"/>
  <c r="K302" i="2" s="1"/>
  <c r="L302" i="2" s="1"/>
  <c r="M302" i="2" s="1"/>
  <c r="N302" i="2" s="1"/>
  <c r="O302" i="2" s="1"/>
  <c r="C303" i="2"/>
  <c r="C304" i="2"/>
  <c r="C305" i="2"/>
  <c r="C306" i="2"/>
  <c r="C307" i="2"/>
  <c r="D307" i="2" s="1"/>
  <c r="E307" i="2" s="1"/>
  <c r="F307" i="2" s="1"/>
  <c r="G307" i="2" s="1"/>
  <c r="H307" i="2" s="1"/>
  <c r="I307" i="2" s="1"/>
  <c r="J307" i="2" s="1"/>
  <c r="K307" i="2" s="1"/>
  <c r="L307" i="2" s="1"/>
  <c r="M307" i="2" s="1"/>
  <c r="N307" i="2" s="1"/>
  <c r="O307" i="2" s="1"/>
  <c r="C308" i="2"/>
  <c r="C309" i="2"/>
  <c r="D309" i="2"/>
  <c r="E309" i="2" s="1"/>
  <c r="F309" i="2" s="1"/>
  <c r="G309" i="2" s="1"/>
  <c r="H309" i="2" s="1"/>
  <c r="I309" i="2" s="1"/>
  <c r="J309" i="2" s="1"/>
  <c r="K309" i="2" s="1"/>
  <c r="L309" i="2" s="1"/>
  <c r="M309" i="2" s="1"/>
  <c r="N309" i="2" s="1"/>
  <c r="O309" i="2" s="1"/>
  <c r="C310" i="2"/>
  <c r="D310" i="2" s="1"/>
  <c r="E310" i="2" s="1"/>
  <c r="F310" i="2" s="1"/>
  <c r="G310" i="2" s="1"/>
  <c r="H310" i="2" s="1"/>
  <c r="I310" i="2" s="1"/>
  <c r="J310" i="2" s="1"/>
  <c r="K310" i="2" s="1"/>
  <c r="L310" i="2" s="1"/>
  <c r="M310" i="2" s="1"/>
  <c r="N310" i="2" s="1"/>
  <c r="O310" i="2" s="1"/>
  <c r="C311" i="2"/>
  <c r="C312" i="2"/>
  <c r="C313" i="2"/>
  <c r="C314" i="2"/>
  <c r="C315" i="2"/>
  <c r="C316" i="2"/>
  <c r="C317" i="2"/>
  <c r="C318" i="2"/>
  <c r="C319" i="2"/>
  <c r="D319" i="2" s="1"/>
  <c r="E319" i="2" s="1"/>
  <c r="F319" i="2" s="1"/>
  <c r="G319" i="2" s="1"/>
  <c r="H319" i="2" s="1"/>
  <c r="I319" i="2" s="1"/>
  <c r="J319" i="2" s="1"/>
  <c r="K319" i="2" s="1"/>
  <c r="L319" i="2" s="1"/>
  <c r="M319" i="2" s="1"/>
  <c r="N319" i="2" s="1"/>
  <c r="O319" i="2" s="1"/>
  <c r="C320" i="2"/>
  <c r="D320" i="2" s="1"/>
  <c r="E320" i="2" s="1"/>
  <c r="F320" i="2" s="1"/>
  <c r="G320" i="2" s="1"/>
  <c r="H320" i="2" s="1"/>
  <c r="I320" i="2" s="1"/>
  <c r="J320" i="2" s="1"/>
  <c r="K320" i="2" s="1"/>
  <c r="L320" i="2" s="1"/>
  <c r="M320" i="2" s="1"/>
  <c r="N320" i="2" s="1"/>
  <c r="O320" i="2" s="1"/>
  <c r="C321" i="2"/>
  <c r="C322" i="2"/>
  <c r="C323" i="2"/>
  <c r="C324" i="2"/>
  <c r="C325" i="2"/>
  <c r="C326" i="2"/>
  <c r="D326" i="2" s="1"/>
  <c r="E326" i="2" s="1"/>
  <c r="F326" i="2" s="1"/>
  <c r="G326" i="2" s="1"/>
  <c r="H326" i="2" s="1"/>
  <c r="I326" i="2" s="1"/>
  <c r="J326" i="2" s="1"/>
  <c r="K326" i="2" s="1"/>
  <c r="L326" i="2" s="1"/>
  <c r="M326" i="2" s="1"/>
  <c r="N326" i="2" s="1"/>
  <c r="O326" i="2" s="1"/>
  <c r="C327" i="2"/>
  <c r="C328" i="2"/>
  <c r="C329" i="2"/>
  <c r="D329" i="2" s="1"/>
  <c r="E329" i="2" s="1"/>
  <c r="F329" i="2" s="1"/>
  <c r="G329" i="2" s="1"/>
  <c r="H329" i="2" s="1"/>
  <c r="I329" i="2" s="1"/>
  <c r="J329" i="2" s="1"/>
  <c r="K329" i="2" s="1"/>
  <c r="L329" i="2" s="1"/>
  <c r="M329" i="2" s="1"/>
  <c r="N329" i="2" s="1"/>
  <c r="O329" i="2" s="1"/>
  <c r="C330" i="2"/>
  <c r="D330" i="2" s="1"/>
  <c r="E330" i="2" s="1"/>
  <c r="F330" i="2" s="1"/>
  <c r="G330" i="2" s="1"/>
  <c r="H330" i="2" s="1"/>
  <c r="I330" i="2" s="1"/>
  <c r="J330" i="2" s="1"/>
  <c r="K330" i="2" s="1"/>
  <c r="L330" i="2" s="1"/>
  <c r="M330" i="2" s="1"/>
  <c r="N330" i="2" s="1"/>
  <c r="O330" i="2" s="1"/>
  <c r="C331" i="2"/>
  <c r="C332" i="2"/>
  <c r="C333" i="2"/>
  <c r="C334" i="2"/>
  <c r="C335" i="2"/>
  <c r="C336" i="2"/>
  <c r="C337" i="2"/>
  <c r="C338" i="2"/>
  <c r="C339" i="2"/>
  <c r="C340" i="2"/>
  <c r="D340" i="2" s="1"/>
  <c r="E340" i="2" s="1"/>
  <c r="F340" i="2" s="1"/>
  <c r="G340" i="2" s="1"/>
  <c r="H340" i="2" s="1"/>
  <c r="I340" i="2" s="1"/>
  <c r="J340" i="2" s="1"/>
  <c r="K340" i="2" s="1"/>
  <c r="L340" i="2" s="1"/>
  <c r="M340" i="2" s="1"/>
  <c r="N340" i="2" s="1"/>
  <c r="O340" i="2" s="1"/>
  <c r="C341" i="2"/>
  <c r="D341" i="2" s="1"/>
  <c r="E341" i="2" s="1"/>
  <c r="F341" i="2" s="1"/>
  <c r="G341" i="2" s="1"/>
  <c r="H341" i="2" s="1"/>
  <c r="I341" i="2" s="1"/>
  <c r="J341" i="2" s="1"/>
  <c r="K341" i="2" s="1"/>
  <c r="L341" i="2" s="1"/>
  <c r="M341" i="2" s="1"/>
  <c r="N341" i="2" s="1"/>
  <c r="O341" i="2" s="1"/>
  <c r="C342" i="2"/>
  <c r="C343" i="2"/>
  <c r="C344" i="2"/>
  <c r="C345" i="2"/>
  <c r="C346" i="2"/>
  <c r="D346" i="2" s="1"/>
  <c r="E346" i="2" s="1"/>
  <c r="F346" i="2" s="1"/>
  <c r="G346" i="2" s="1"/>
  <c r="H346" i="2" s="1"/>
  <c r="I346" i="2" s="1"/>
  <c r="J346" i="2" s="1"/>
  <c r="K346" i="2" s="1"/>
  <c r="L346" i="2" s="1"/>
  <c r="M346" i="2" s="1"/>
  <c r="N346" i="2" s="1"/>
  <c r="O346" i="2" s="1"/>
  <c r="C347" i="2"/>
  <c r="C348" i="2"/>
  <c r="C349" i="2"/>
  <c r="C350" i="2"/>
  <c r="D350" i="2" s="1"/>
  <c r="E350" i="2" s="1"/>
  <c r="F350" i="2" s="1"/>
  <c r="G350" i="2" s="1"/>
  <c r="H350" i="2" s="1"/>
  <c r="I350" i="2" s="1"/>
  <c r="J350" i="2" s="1"/>
  <c r="K350" i="2" s="1"/>
  <c r="L350" i="2" s="1"/>
  <c r="M350" i="2" s="1"/>
  <c r="N350" i="2" s="1"/>
  <c r="O350" i="2" s="1"/>
  <c r="C351" i="2"/>
  <c r="D351" i="2" s="1"/>
  <c r="E351" i="2" s="1"/>
  <c r="F351" i="2" s="1"/>
  <c r="G351" i="2" s="1"/>
  <c r="H351" i="2" s="1"/>
  <c r="I351" i="2" s="1"/>
  <c r="J351" i="2" s="1"/>
  <c r="K351" i="2" s="1"/>
  <c r="L351" i="2" s="1"/>
  <c r="M351" i="2" s="1"/>
  <c r="N351" i="2" s="1"/>
  <c r="O351" i="2" s="1"/>
  <c r="C352" i="2"/>
  <c r="C353" i="2"/>
  <c r="C354" i="2"/>
  <c r="D354" i="2" s="1"/>
  <c r="E354" i="2" s="1"/>
  <c r="F354" i="2" s="1"/>
  <c r="G354" i="2" s="1"/>
  <c r="H354" i="2" s="1"/>
  <c r="I354" i="2" s="1"/>
  <c r="J354" i="2" s="1"/>
  <c r="K354" i="2" s="1"/>
  <c r="L354" i="2" s="1"/>
  <c r="M354" i="2" s="1"/>
  <c r="N354" i="2" s="1"/>
  <c r="O354" i="2" s="1"/>
  <c r="C355" i="2"/>
  <c r="C356" i="2"/>
  <c r="C357" i="2"/>
  <c r="C358" i="2"/>
  <c r="C359" i="2"/>
  <c r="C360" i="2"/>
  <c r="D360" i="2" s="1"/>
  <c r="E360" i="2" s="1"/>
  <c r="F360" i="2" s="1"/>
  <c r="G360" i="2" s="1"/>
  <c r="H360" i="2" s="1"/>
  <c r="I360" i="2" s="1"/>
  <c r="J360" i="2" s="1"/>
  <c r="K360" i="2" s="1"/>
  <c r="L360" i="2" s="1"/>
  <c r="M360" i="2" s="1"/>
  <c r="N360" i="2" s="1"/>
  <c r="O360" i="2" s="1"/>
  <c r="C361" i="2"/>
  <c r="D361" i="2" s="1"/>
  <c r="E361" i="2" s="1"/>
  <c r="F361" i="2" s="1"/>
  <c r="G361" i="2" s="1"/>
  <c r="H361" i="2" s="1"/>
  <c r="I361" i="2" s="1"/>
  <c r="J361" i="2" s="1"/>
  <c r="K361" i="2" s="1"/>
  <c r="L361" i="2" s="1"/>
  <c r="M361" i="2" s="1"/>
  <c r="N361" i="2" s="1"/>
  <c r="O361" i="2" s="1"/>
  <c r="C362" i="2"/>
  <c r="C363" i="2"/>
  <c r="C364" i="2"/>
  <c r="C365" i="2"/>
  <c r="C366" i="2"/>
  <c r="C367" i="2"/>
  <c r="C368" i="2"/>
  <c r="C369" i="2"/>
  <c r="C370" i="2"/>
  <c r="C371" i="2"/>
  <c r="D371" i="2" s="1"/>
  <c r="E371" i="2" s="1"/>
  <c r="F371" i="2" s="1"/>
  <c r="G371" i="2" s="1"/>
  <c r="H371" i="2" s="1"/>
  <c r="I371" i="2" s="1"/>
  <c r="J371" i="2" s="1"/>
  <c r="K371" i="2" s="1"/>
  <c r="L371" i="2" s="1"/>
  <c r="M371" i="2" s="1"/>
  <c r="N371" i="2" s="1"/>
  <c r="O371" i="2" s="1"/>
  <c r="C372" i="2"/>
  <c r="D372" i="2" s="1"/>
  <c r="E372" i="2" s="1"/>
  <c r="F372" i="2" s="1"/>
  <c r="G372" i="2" s="1"/>
  <c r="H372" i="2" s="1"/>
  <c r="I372" i="2" s="1"/>
  <c r="J372" i="2" s="1"/>
  <c r="K372" i="2" s="1"/>
  <c r="L372" i="2" s="1"/>
  <c r="M372" i="2" s="1"/>
  <c r="N372" i="2" s="1"/>
  <c r="O372" i="2" s="1"/>
  <c r="C373" i="2"/>
  <c r="C374" i="2"/>
  <c r="C375" i="2"/>
  <c r="C376" i="2"/>
  <c r="C377" i="2"/>
  <c r="C378" i="2"/>
  <c r="C379" i="2"/>
  <c r="C380" i="2"/>
  <c r="D380" i="2"/>
  <c r="E380" i="2" s="1"/>
  <c r="F380" i="2" s="1"/>
  <c r="G380" i="2" s="1"/>
  <c r="H380" i="2" s="1"/>
  <c r="I380" i="2" s="1"/>
  <c r="J380" i="2" s="1"/>
  <c r="K380" i="2" s="1"/>
  <c r="L380" i="2" s="1"/>
  <c r="M380" i="2" s="1"/>
  <c r="N380" i="2" s="1"/>
  <c r="O380" i="2" s="1"/>
  <c r="C381" i="2"/>
  <c r="D381" i="2" s="1"/>
  <c r="E381" i="2" s="1"/>
  <c r="F381" i="2" s="1"/>
  <c r="G381" i="2" s="1"/>
  <c r="H381" i="2" s="1"/>
  <c r="I381" i="2" s="1"/>
  <c r="J381" i="2" s="1"/>
  <c r="K381" i="2" s="1"/>
  <c r="L381" i="2" s="1"/>
  <c r="M381" i="2" s="1"/>
  <c r="N381" i="2" s="1"/>
  <c r="O381" i="2" s="1"/>
  <c r="C382" i="2"/>
  <c r="C383" i="2"/>
  <c r="D383" i="2" s="1"/>
  <c r="E383" i="2" s="1"/>
  <c r="F383" i="2" s="1"/>
  <c r="G383" i="2" s="1"/>
  <c r="H383" i="2" s="1"/>
  <c r="I383" i="2" s="1"/>
  <c r="J383" i="2" s="1"/>
  <c r="K383" i="2" s="1"/>
  <c r="L383" i="2" s="1"/>
  <c r="M383" i="2" s="1"/>
  <c r="N383" i="2" s="1"/>
  <c r="O383" i="2" s="1"/>
  <c r="C384" i="2"/>
  <c r="C385" i="2"/>
  <c r="C386" i="2"/>
  <c r="C387" i="2"/>
  <c r="C388" i="2"/>
  <c r="C389" i="2"/>
  <c r="C390" i="2"/>
  <c r="D390" i="2" s="1"/>
  <c r="E390" i="2" s="1"/>
  <c r="F390" i="2" s="1"/>
  <c r="G390" i="2" s="1"/>
  <c r="H390" i="2" s="1"/>
  <c r="I390" i="2" s="1"/>
  <c r="J390" i="2" s="1"/>
  <c r="K390" i="2" s="1"/>
  <c r="L390" i="2" s="1"/>
  <c r="M390" i="2" s="1"/>
  <c r="N390" i="2" s="1"/>
  <c r="O390" i="2" s="1"/>
  <c r="C391" i="2"/>
  <c r="D391" i="2" s="1"/>
  <c r="E391" i="2" s="1"/>
  <c r="F391" i="2" s="1"/>
  <c r="G391" i="2" s="1"/>
  <c r="H391" i="2" s="1"/>
  <c r="I391" i="2" s="1"/>
  <c r="J391" i="2" s="1"/>
  <c r="K391" i="2" s="1"/>
  <c r="L391" i="2" s="1"/>
  <c r="M391" i="2" s="1"/>
  <c r="N391" i="2" s="1"/>
  <c r="O391" i="2" s="1"/>
  <c r="C392" i="2"/>
  <c r="C393" i="2"/>
  <c r="C394" i="2"/>
  <c r="C395" i="2"/>
  <c r="C396" i="2"/>
  <c r="C397" i="2"/>
  <c r="D397" i="2" s="1"/>
  <c r="E397" i="2" s="1"/>
  <c r="F397" i="2" s="1"/>
  <c r="G397" i="2" s="1"/>
  <c r="H397" i="2" s="1"/>
  <c r="I397" i="2" s="1"/>
  <c r="J397" i="2" s="1"/>
  <c r="K397" i="2" s="1"/>
  <c r="L397" i="2" s="1"/>
  <c r="M397" i="2" s="1"/>
  <c r="N397" i="2" s="1"/>
  <c r="O397" i="2" s="1"/>
  <c r="C398" i="2"/>
  <c r="C399" i="2"/>
  <c r="D399" i="2"/>
  <c r="E399" i="2" s="1"/>
  <c r="F399" i="2" s="1"/>
  <c r="G399" i="2" s="1"/>
  <c r="H399" i="2" s="1"/>
  <c r="I399" i="2" s="1"/>
  <c r="J399" i="2" s="1"/>
  <c r="K399" i="2" s="1"/>
  <c r="L399" i="2" s="1"/>
  <c r="M399" i="2" s="1"/>
  <c r="N399" i="2" s="1"/>
  <c r="O399" i="2" s="1"/>
  <c r="C400" i="2"/>
  <c r="D400" i="2" s="1"/>
  <c r="E400" i="2" s="1"/>
  <c r="F400" i="2" s="1"/>
  <c r="G400" i="2" s="1"/>
  <c r="H400" i="2" s="1"/>
  <c r="I400" i="2" s="1"/>
  <c r="J400" i="2" s="1"/>
  <c r="K400" i="2" s="1"/>
  <c r="L400" i="2" s="1"/>
  <c r="M400" i="2" s="1"/>
  <c r="N400" i="2" s="1"/>
  <c r="O400" i="2" s="1"/>
  <c r="C401" i="2"/>
  <c r="C402" i="2"/>
  <c r="C403" i="2"/>
  <c r="C404" i="2"/>
  <c r="C405" i="2"/>
  <c r="D405" i="2" s="1"/>
  <c r="E405" i="2" s="1"/>
  <c r="F405" i="2" s="1"/>
  <c r="G405" i="2" s="1"/>
  <c r="H405" i="2" s="1"/>
  <c r="I405" i="2" s="1"/>
  <c r="J405" i="2" s="1"/>
  <c r="K405" i="2" s="1"/>
  <c r="L405" i="2" s="1"/>
  <c r="M405" i="2" s="1"/>
  <c r="N405" i="2" s="1"/>
  <c r="O405" i="2" s="1"/>
  <c r="C406" i="2"/>
  <c r="D406" i="2" s="1"/>
  <c r="E406" i="2" s="1"/>
  <c r="F406" i="2" s="1"/>
  <c r="G406" i="2" s="1"/>
  <c r="H406" i="2" s="1"/>
  <c r="I406" i="2" s="1"/>
  <c r="J406" i="2" s="1"/>
  <c r="K406" i="2" s="1"/>
  <c r="L406" i="2" s="1"/>
  <c r="M406" i="2" s="1"/>
  <c r="N406" i="2" s="1"/>
  <c r="O406" i="2" s="1"/>
  <c r="C407" i="2"/>
  <c r="D407" i="2" s="1"/>
  <c r="E407" i="2" s="1"/>
  <c r="F407" i="2" s="1"/>
  <c r="G407" i="2" s="1"/>
  <c r="H407" i="2" s="1"/>
  <c r="I407" i="2" s="1"/>
  <c r="J407" i="2" s="1"/>
  <c r="K407" i="2" s="1"/>
  <c r="L407" i="2" s="1"/>
  <c r="M407" i="2" s="1"/>
  <c r="N407" i="2" s="1"/>
  <c r="O407" i="2" s="1"/>
  <c r="C408" i="2"/>
  <c r="C409" i="2"/>
  <c r="C410" i="2"/>
  <c r="C411" i="2"/>
  <c r="C412" i="2"/>
  <c r="C413" i="2"/>
  <c r="C414" i="2"/>
  <c r="D414" i="2" s="1"/>
  <c r="E414" i="2" s="1"/>
  <c r="F414" i="2" s="1"/>
  <c r="G414" i="2" s="1"/>
  <c r="H414" i="2" s="1"/>
  <c r="I414" i="2" s="1"/>
  <c r="J414" i="2" s="1"/>
  <c r="K414" i="2" s="1"/>
  <c r="L414" i="2" s="1"/>
  <c r="M414" i="2" s="1"/>
  <c r="N414" i="2" s="1"/>
  <c r="O414" i="2" s="1"/>
  <c r="C415" i="2"/>
  <c r="D415" i="2" s="1"/>
  <c r="E415" i="2" s="1"/>
  <c r="F415" i="2" s="1"/>
  <c r="G415" i="2" s="1"/>
  <c r="H415" i="2" s="1"/>
  <c r="I415" i="2" s="1"/>
  <c r="J415" i="2" s="1"/>
  <c r="K415" i="2" s="1"/>
  <c r="L415" i="2" s="1"/>
  <c r="M415" i="2" s="1"/>
  <c r="N415" i="2" s="1"/>
  <c r="O415" i="2" s="1"/>
  <c r="C416" i="2"/>
  <c r="D416" i="2" s="1"/>
  <c r="E416" i="2" s="1"/>
  <c r="F416" i="2" s="1"/>
  <c r="G416" i="2" s="1"/>
  <c r="H416" i="2" s="1"/>
  <c r="I416" i="2" s="1"/>
  <c r="J416" i="2" s="1"/>
  <c r="K416" i="2" s="1"/>
  <c r="L416" i="2" s="1"/>
  <c r="M416" i="2" s="1"/>
  <c r="N416" i="2" s="1"/>
  <c r="O416" i="2" s="1"/>
  <c r="C417" i="2"/>
  <c r="C418" i="2"/>
  <c r="C419" i="2"/>
  <c r="C420" i="2"/>
  <c r="C421" i="2"/>
  <c r="C422" i="2"/>
  <c r="C423" i="2"/>
  <c r="C424" i="2"/>
  <c r="D424" i="2" s="1"/>
  <c r="E424" i="2" s="1"/>
  <c r="F424" i="2" s="1"/>
  <c r="G424" i="2" s="1"/>
  <c r="H424" i="2" s="1"/>
  <c r="I424" i="2" s="1"/>
  <c r="J424" i="2" s="1"/>
  <c r="K424" i="2" s="1"/>
  <c r="L424" i="2" s="1"/>
  <c r="M424" i="2" s="1"/>
  <c r="N424" i="2" s="1"/>
  <c r="O424" i="2" s="1"/>
  <c r="C425" i="2"/>
  <c r="D425" i="2" s="1"/>
  <c r="E425" i="2" s="1"/>
  <c r="F425" i="2" s="1"/>
  <c r="G425" i="2" s="1"/>
  <c r="H425" i="2" s="1"/>
  <c r="I425" i="2" s="1"/>
  <c r="J425" i="2" s="1"/>
  <c r="K425" i="2" s="1"/>
  <c r="L425" i="2" s="1"/>
  <c r="M425" i="2" s="1"/>
  <c r="N425" i="2" s="1"/>
  <c r="O425" i="2" s="1"/>
  <c r="C426" i="2"/>
  <c r="D426" i="2" s="1"/>
  <c r="E426" i="2" s="1"/>
  <c r="F426" i="2" s="1"/>
  <c r="G426" i="2" s="1"/>
  <c r="H426" i="2" s="1"/>
  <c r="I426" i="2" s="1"/>
  <c r="J426" i="2" s="1"/>
  <c r="K426" i="2" s="1"/>
  <c r="L426" i="2" s="1"/>
  <c r="M426" i="2" s="1"/>
  <c r="N426" i="2" s="1"/>
  <c r="O426" i="2" s="1"/>
  <c r="C427" i="2"/>
  <c r="C428" i="2"/>
  <c r="C429" i="2"/>
  <c r="D429" i="2" s="1"/>
  <c r="E429" i="2" s="1"/>
  <c r="F429" i="2" s="1"/>
  <c r="G429" i="2" s="1"/>
  <c r="H429" i="2" s="1"/>
  <c r="I429" i="2" s="1"/>
  <c r="J429" i="2" s="1"/>
  <c r="K429" i="2" s="1"/>
  <c r="L429" i="2" s="1"/>
  <c r="M429" i="2" s="1"/>
  <c r="N429" i="2" s="1"/>
  <c r="O429" i="2" s="1"/>
  <c r="C430" i="2"/>
  <c r="C431" i="2"/>
  <c r="C432" i="2"/>
  <c r="C433" i="2"/>
  <c r="D433" i="2" s="1"/>
  <c r="E433" i="2" s="1"/>
  <c r="F433" i="2" s="1"/>
  <c r="G433" i="2" s="1"/>
  <c r="H433" i="2" s="1"/>
  <c r="I433" i="2" s="1"/>
  <c r="J433" i="2" s="1"/>
  <c r="K433" i="2" s="1"/>
  <c r="L433" i="2" s="1"/>
  <c r="M433" i="2" s="1"/>
  <c r="N433" i="2" s="1"/>
  <c r="O433" i="2" s="1"/>
  <c r="C434" i="2"/>
  <c r="D434" i="2" s="1"/>
  <c r="E434" i="2" s="1"/>
  <c r="F434" i="2" s="1"/>
  <c r="G434" i="2" s="1"/>
  <c r="H434" i="2" s="1"/>
  <c r="I434" i="2" s="1"/>
  <c r="J434" i="2" s="1"/>
  <c r="K434" i="2" s="1"/>
  <c r="L434" i="2" s="1"/>
  <c r="M434" i="2" s="1"/>
  <c r="N434" i="2" s="1"/>
  <c r="O434" i="2" s="1"/>
  <c r="C435" i="2"/>
  <c r="C436" i="2"/>
  <c r="C437" i="2"/>
  <c r="C438" i="2"/>
  <c r="C439" i="2"/>
  <c r="C440" i="2"/>
  <c r="C441" i="2"/>
  <c r="C442" i="2"/>
  <c r="C443" i="2"/>
  <c r="D443" i="2"/>
  <c r="E443" i="2" s="1"/>
  <c r="F443" i="2" s="1"/>
  <c r="G443" i="2" s="1"/>
  <c r="H443" i="2" s="1"/>
  <c r="I443" i="2" s="1"/>
  <c r="J443" i="2" s="1"/>
  <c r="K443" i="2" s="1"/>
  <c r="L443" i="2" s="1"/>
  <c r="M443" i="2" s="1"/>
  <c r="N443" i="2" s="1"/>
  <c r="O443" i="2" s="1"/>
  <c r="C444" i="2"/>
  <c r="D444" i="2" s="1"/>
  <c r="E444" i="2" s="1"/>
  <c r="F444" i="2" s="1"/>
  <c r="G444" i="2" s="1"/>
  <c r="H444" i="2" s="1"/>
  <c r="I444" i="2" s="1"/>
  <c r="J444" i="2" s="1"/>
  <c r="K444" i="2" s="1"/>
  <c r="L444" i="2" s="1"/>
  <c r="M444" i="2" s="1"/>
  <c r="N444" i="2" s="1"/>
  <c r="O444" i="2" s="1"/>
  <c r="C445" i="2"/>
  <c r="C446" i="2"/>
  <c r="C447" i="2"/>
  <c r="C448" i="2"/>
  <c r="C449" i="2"/>
  <c r="C450" i="2"/>
  <c r="C451" i="2"/>
  <c r="C452" i="2"/>
  <c r="C453" i="2"/>
  <c r="D453" i="2" s="1"/>
  <c r="E453" i="2" s="1"/>
  <c r="F453" i="2" s="1"/>
  <c r="G453" i="2" s="1"/>
  <c r="H453" i="2" s="1"/>
  <c r="I453" i="2" s="1"/>
  <c r="J453" i="2" s="1"/>
  <c r="K453" i="2" s="1"/>
  <c r="L453" i="2" s="1"/>
  <c r="M453" i="2" s="1"/>
  <c r="N453" i="2" s="1"/>
  <c r="O453" i="2" s="1"/>
  <c r="C454" i="2"/>
  <c r="D454" i="2" s="1"/>
  <c r="E454" i="2" s="1"/>
  <c r="F454" i="2" s="1"/>
  <c r="G454" i="2" s="1"/>
  <c r="H454" i="2" s="1"/>
  <c r="I454" i="2" s="1"/>
  <c r="J454" i="2" s="1"/>
  <c r="K454" i="2" s="1"/>
  <c r="L454" i="2" s="1"/>
  <c r="M454" i="2" s="1"/>
  <c r="N454" i="2" s="1"/>
  <c r="O454" i="2" s="1"/>
  <c r="C455" i="2"/>
  <c r="C456" i="2"/>
  <c r="D456" i="2" s="1"/>
  <c r="E456" i="2" s="1"/>
  <c r="F456" i="2" s="1"/>
  <c r="G456" i="2" s="1"/>
  <c r="H456" i="2" s="1"/>
  <c r="I456" i="2" s="1"/>
  <c r="J456" i="2" s="1"/>
  <c r="K456" i="2" s="1"/>
  <c r="L456" i="2" s="1"/>
  <c r="M456" i="2" s="1"/>
  <c r="N456" i="2" s="1"/>
  <c r="O456" i="2" s="1"/>
  <c r="C457" i="2"/>
  <c r="C458" i="2"/>
  <c r="C459" i="2"/>
  <c r="D459" i="2" s="1"/>
  <c r="E459" i="2" s="1"/>
  <c r="F459" i="2" s="1"/>
  <c r="G459" i="2" s="1"/>
  <c r="H459" i="2" s="1"/>
  <c r="I459" i="2" s="1"/>
  <c r="J459" i="2" s="1"/>
  <c r="K459" i="2" s="1"/>
  <c r="L459" i="2" s="1"/>
  <c r="M459" i="2" s="1"/>
  <c r="N459" i="2" s="1"/>
  <c r="O459" i="2" s="1"/>
  <c r="C460" i="2"/>
  <c r="C461" i="2"/>
  <c r="C462" i="2"/>
  <c r="C463" i="2"/>
  <c r="D463" i="2" s="1"/>
  <c r="E463" i="2" s="1"/>
  <c r="F463" i="2" s="1"/>
  <c r="G463" i="2" s="1"/>
  <c r="H463" i="2" s="1"/>
  <c r="I463" i="2" s="1"/>
  <c r="J463" i="2" s="1"/>
  <c r="K463" i="2" s="1"/>
  <c r="L463" i="2" s="1"/>
  <c r="M463" i="2" s="1"/>
  <c r="N463" i="2" s="1"/>
  <c r="O463" i="2" s="1"/>
  <c r="C464" i="2"/>
  <c r="D464" i="2" s="1"/>
  <c r="E464" i="2" s="1"/>
  <c r="F464" i="2" s="1"/>
  <c r="G464" i="2" s="1"/>
  <c r="H464" i="2" s="1"/>
  <c r="I464" i="2" s="1"/>
  <c r="J464" i="2" s="1"/>
  <c r="K464" i="2" s="1"/>
  <c r="L464" i="2" s="1"/>
  <c r="M464" i="2" s="1"/>
  <c r="N464" i="2" s="1"/>
  <c r="O464" i="2" s="1"/>
  <c r="C465" i="2"/>
  <c r="C466" i="2"/>
  <c r="C467" i="2"/>
  <c r="C468" i="2"/>
  <c r="C469" i="2"/>
  <c r="C470" i="2"/>
  <c r="C471" i="2"/>
  <c r="C472" i="2"/>
  <c r="C473" i="2"/>
  <c r="D473" i="2" s="1"/>
  <c r="E473" i="2" s="1"/>
  <c r="F473" i="2" s="1"/>
  <c r="G473" i="2" s="1"/>
  <c r="H473" i="2" s="1"/>
  <c r="I473" i="2" s="1"/>
  <c r="J473" i="2" s="1"/>
  <c r="K473" i="2" s="1"/>
  <c r="L473" i="2" s="1"/>
  <c r="M473" i="2" s="1"/>
  <c r="N473" i="2" s="1"/>
  <c r="O473" i="2" s="1"/>
  <c r="C474" i="2"/>
  <c r="D474" i="2" s="1"/>
  <c r="E474" i="2" s="1"/>
  <c r="F474" i="2" s="1"/>
  <c r="G474" i="2" s="1"/>
  <c r="H474" i="2" s="1"/>
  <c r="I474" i="2" s="1"/>
  <c r="J474" i="2" s="1"/>
  <c r="K474" i="2" s="1"/>
  <c r="L474" i="2" s="1"/>
  <c r="M474" i="2" s="1"/>
  <c r="N474" i="2" s="1"/>
  <c r="O474" i="2" s="1"/>
  <c r="C475" i="2"/>
  <c r="C476" i="2"/>
  <c r="C477" i="2"/>
  <c r="C478" i="2"/>
  <c r="C479" i="2"/>
  <c r="D479" i="2" s="1"/>
  <c r="E479" i="2" s="1"/>
  <c r="F479" i="2" s="1"/>
  <c r="G479" i="2" s="1"/>
  <c r="H479" i="2" s="1"/>
  <c r="I479" i="2" s="1"/>
  <c r="J479" i="2" s="1"/>
  <c r="K479" i="2" s="1"/>
  <c r="L479" i="2" s="1"/>
  <c r="M479" i="2" s="1"/>
  <c r="N479" i="2" s="1"/>
  <c r="O479" i="2" s="1"/>
  <c r="C480" i="2"/>
  <c r="C481" i="2"/>
  <c r="C482" i="2"/>
  <c r="D482" i="2"/>
  <c r="E482" i="2" s="1"/>
  <c r="F482" i="2" s="1"/>
  <c r="G482" i="2" s="1"/>
  <c r="H482" i="2" s="1"/>
  <c r="I482" i="2" s="1"/>
  <c r="J482" i="2" s="1"/>
  <c r="K482" i="2" s="1"/>
  <c r="L482" i="2" s="1"/>
  <c r="M482" i="2" s="1"/>
  <c r="N482" i="2" s="1"/>
  <c r="O482" i="2" s="1"/>
  <c r="C483" i="2"/>
  <c r="C484" i="2"/>
  <c r="C485" i="2"/>
  <c r="C486" i="2"/>
  <c r="C487" i="2"/>
  <c r="C488" i="2"/>
  <c r="C489" i="2"/>
  <c r="C490" i="2"/>
  <c r="C491" i="2"/>
  <c r="D491" i="2"/>
  <c r="E491" i="2" s="1"/>
  <c r="F491" i="2" s="1"/>
  <c r="G491" i="2" s="1"/>
  <c r="H491" i="2" s="1"/>
  <c r="I491" i="2" s="1"/>
  <c r="J491" i="2" s="1"/>
  <c r="K491" i="2" s="1"/>
  <c r="L491" i="2" s="1"/>
  <c r="M491" i="2" s="1"/>
  <c r="N491" i="2" s="1"/>
  <c r="O491" i="2" s="1"/>
  <c r="C492" i="2"/>
  <c r="C493" i="2"/>
  <c r="C494" i="2"/>
  <c r="C495" i="2"/>
  <c r="D495" i="2" s="1"/>
  <c r="E495" i="2" s="1"/>
  <c r="F495" i="2" s="1"/>
  <c r="G495" i="2" s="1"/>
  <c r="H495" i="2" s="1"/>
  <c r="I495" i="2" s="1"/>
  <c r="J495" i="2" s="1"/>
  <c r="K495" i="2" s="1"/>
  <c r="L495" i="2" s="1"/>
  <c r="M495" i="2" s="1"/>
  <c r="N495" i="2" s="1"/>
  <c r="O495" i="2" s="1"/>
  <c r="C496" i="2"/>
  <c r="C497" i="2"/>
  <c r="D497" i="2" s="1"/>
  <c r="E497" i="2" s="1"/>
  <c r="F497" i="2" s="1"/>
  <c r="G497" i="2" s="1"/>
  <c r="H497" i="2" s="1"/>
  <c r="I497" i="2" s="1"/>
  <c r="J497" i="2" s="1"/>
  <c r="K497" i="2" s="1"/>
  <c r="L497" i="2" s="1"/>
  <c r="M497" i="2" s="1"/>
  <c r="N497" i="2" s="1"/>
  <c r="O497" i="2" s="1"/>
  <c r="C498" i="2"/>
  <c r="D498" i="2"/>
  <c r="E498" i="2" s="1"/>
  <c r="F498" i="2" s="1"/>
  <c r="G498" i="2" s="1"/>
  <c r="H498" i="2" s="1"/>
  <c r="I498" i="2" s="1"/>
  <c r="J498" i="2" s="1"/>
  <c r="K498" i="2" s="1"/>
  <c r="L498" i="2" s="1"/>
  <c r="M498" i="2" s="1"/>
  <c r="N498" i="2" s="1"/>
  <c r="O498" i="2" s="1"/>
  <c r="C499" i="2"/>
  <c r="C500" i="2"/>
  <c r="C501" i="2"/>
  <c r="C502" i="2"/>
  <c r="C503" i="2"/>
  <c r="D503" i="2" s="1"/>
  <c r="E503" i="2" s="1"/>
  <c r="F503" i="2" s="1"/>
  <c r="G503" i="2" s="1"/>
  <c r="H503" i="2" s="1"/>
  <c r="I503" i="2" s="1"/>
  <c r="J503" i="2" s="1"/>
  <c r="K503" i="2" s="1"/>
  <c r="L503" i="2" s="1"/>
  <c r="M503" i="2" s="1"/>
  <c r="N503" i="2" s="1"/>
  <c r="O503" i="2" s="1"/>
  <c r="C504" i="2"/>
  <c r="C505" i="2"/>
  <c r="D505" i="2" s="1"/>
  <c r="E505" i="2" s="1"/>
  <c r="F505" i="2" s="1"/>
  <c r="G505" i="2" s="1"/>
  <c r="H505" i="2" s="1"/>
  <c r="I505" i="2" s="1"/>
  <c r="J505" i="2" s="1"/>
  <c r="K505" i="2" s="1"/>
  <c r="L505" i="2" s="1"/>
  <c r="M505" i="2" s="1"/>
  <c r="N505" i="2" s="1"/>
  <c r="O505" i="2" s="1"/>
  <c r="C506" i="2"/>
  <c r="D506" i="2" s="1"/>
  <c r="E506" i="2" s="1"/>
  <c r="F506" i="2" s="1"/>
  <c r="G506" i="2" s="1"/>
  <c r="H506" i="2" s="1"/>
  <c r="I506" i="2" s="1"/>
  <c r="J506" i="2" s="1"/>
  <c r="K506" i="2" s="1"/>
  <c r="L506" i="2" s="1"/>
  <c r="M506" i="2" s="1"/>
  <c r="N506" i="2" s="1"/>
  <c r="O506" i="2" s="1"/>
  <c r="C507" i="2"/>
  <c r="D507" i="2" s="1"/>
  <c r="E507" i="2" s="1"/>
  <c r="F507" i="2" s="1"/>
  <c r="G507" i="2" s="1"/>
  <c r="H507" i="2" s="1"/>
  <c r="I507" i="2" s="1"/>
  <c r="J507" i="2" s="1"/>
  <c r="K507" i="2" s="1"/>
  <c r="L507" i="2" s="1"/>
  <c r="M507" i="2" s="1"/>
  <c r="N507" i="2" s="1"/>
  <c r="O507" i="2" s="1"/>
  <c r="C508" i="2"/>
  <c r="C509" i="2"/>
  <c r="C510" i="2"/>
  <c r="C511" i="2"/>
  <c r="C512" i="2"/>
  <c r="C513" i="2"/>
  <c r="C514" i="2"/>
  <c r="C515" i="2"/>
  <c r="D515" i="2" s="1"/>
  <c r="E515" i="2" s="1"/>
  <c r="F515" i="2" s="1"/>
  <c r="G515" i="2" s="1"/>
  <c r="H515" i="2" s="1"/>
  <c r="I515" i="2" s="1"/>
  <c r="J515" i="2" s="1"/>
  <c r="K515" i="2" s="1"/>
  <c r="L515" i="2" s="1"/>
  <c r="M515" i="2" s="1"/>
  <c r="N515" i="2" s="1"/>
  <c r="O515" i="2" s="1"/>
  <c r="C516" i="2"/>
  <c r="D516" i="2" s="1"/>
  <c r="E516" i="2" s="1"/>
  <c r="F516" i="2" s="1"/>
  <c r="G516" i="2" s="1"/>
  <c r="H516" i="2" s="1"/>
  <c r="I516" i="2" s="1"/>
  <c r="J516" i="2" s="1"/>
  <c r="K516" i="2" s="1"/>
  <c r="L516" i="2" s="1"/>
  <c r="M516" i="2" s="1"/>
  <c r="N516" i="2" s="1"/>
  <c r="O516" i="2" s="1"/>
  <c r="C517" i="2"/>
  <c r="D517" i="2" s="1"/>
  <c r="E517" i="2" s="1"/>
  <c r="F517" i="2" s="1"/>
  <c r="G517" i="2" s="1"/>
  <c r="H517" i="2" s="1"/>
  <c r="I517" i="2" s="1"/>
  <c r="J517" i="2" s="1"/>
  <c r="K517" i="2" s="1"/>
  <c r="L517" i="2" s="1"/>
  <c r="M517" i="2" s="1"/>
  <c r="N517" i="2" s="1"/>
  <c r="O517" i="2" s="1"/>
  <c r="C518" i="2"/>
  <c r="C519" i="2"/>
  <c r="C520" i="2"/>
  <c r="C521" i="2"/>
  <c r="S1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R24" i="2"/>
  <c r="C18" i="2"/>
  <c r="D43" i="2" s="1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O43" i="2" s="1"/>
  <c r="D518" i="2" l="1"/>
  <c r="E518" i="2" s="1"/>
  <c r="F518" i="2" s="1"/>
  <c r="G518" i="2" s="1"/>
  <c r="H518" i="2" s="1"/>
  <c r="I518" i="2" s="1"/>
  <c r="J518" i="2" s="1"/>
  <c r="K518" i="2" s="1"/>
  <c r="L518" i="2" s="1"/>
  <c r="M518" i="2" s="1"/>
  <c r="N518" i="2" s="1"/>
  <c r="O518" i="2" s="1"/>
  <c r="D509" i="2"/>
  <c r="E509" i="2" s="1"/>
  <c r="F509" i="2" s="1"/>
  <c r="G509" i="2" s="1"/>
  <c r="H509" i="2" s="1"/>
  <c r="I509" i="2" s="1"/>
  <c r="J509" i="2" s="1"/>
  <c r="K509" i="2" s="1"/>
  <c r="L509" i="2" s="1"/>
  <c r="M509" i="2" s="1"/>
  <c r="N509" i="2" s="1"/>
  <c r="O509" i="2" s="1"/>
  <c r="D500" i="2"/>
  <c r="E500" i="2" s="1"/>
  <c r="F500" i="2" s="1"/>
  <c r="G500" i="2" s="1"/>
  <c r="H500" i="2" s="1"/>
  <c r="I500" i="2" s="1"/>
  <c r="J500" i="2" s="1"/>
  <c r="K500" i="2" s="1"/>
  <c r="L500" i="2" s="1"/>
  <c r="M500" i="2" s="1"/>
  <c r="N500" i="2" s="1"/>
  <c r="O500" i="2" s="1"/>
  <c r="D492" i="2"/>
  <c r="E492" i="2" s="1"/>
  <c r="F492" i="2" s="1"/>
  <c r="G492" i="2" s="1"/>
  <c r="H492" i="2" s="1"/>
  <c r="I492" i="2" s="1"/>
  <c r="J492" i="2" s="1"/>
  <c r="K492" i="2" s="1"/>
  <c r="L492" i="2" s="1"/>
  <c r="M492" i="2" s="1"/>
  <c r="N492" i="2" s="1"/>
  <c r="O492" i="2" s="1"/>
  <c r="D483" i="2"/>
  <c r="E483" i="2" s="1"/>
  <c r="F483" i="2" s="1"/>
  <c r="G483" i="2" s="1"/>
  <c r="H483" i="2" s="1"/>
  <c r="I483" i="2" s="1"/>
  <c r="J483" i="2" s="1"/>
  <c r="K483" i="2" s="1"/>
  <c r="L483" i="2" s="1"/>
  <c r="M483" i="2" s="1"/>
  <c r="N483" i="2" s="1"/>
  <c r="O483" i="2" s="1"/>
  <c r="D476" i="2"/>
  <c r="E476" i="2" s="1"/>
  <c r="F476" i="2" s="1"/>
  <c r="G476" i="2" s="1"/>
  <c r="H476" i="2" s="1"/>
  <c r="I476" i="2" s="1"/>
  <c r="J476" i="2" s="1"/>
  <c r="K476" i="2" s="1"/>
  <c r="L476" i="2" s="1"/>
  <c r="M476" i="2" s="1"/>
  <c r="N476" i="2" s="1"/>
  <c r="O476" i="2" s="1"/>
  <c r="D466" i="2"/>
  <c r="E466" i="2" s="1"/>
  <c r="F466" i="2" s="1"/>
  <c r="G466" i="2" s="1"/>
  <c r="H466" i="2" s="1"/>
  <c r="I466" i="2" s="1"/>
  <c r="J466" i="2" s="1"/>
  <c r="K466" i="2" s="1"/>
  <c r="L466" i="2" s="1"/>
  <c r="M466" i="2" s="1"/>
  <c r="N466" i="2" s="1"/>
  <c r="O466" i="2" s="1"/>
  <c r="D445" i="2"/>
  <c r="E445" i="2" s="1"/>
  <c r="F445" i="2" s="1"/>
  <c r="G445" i="2" s="1"/>
  <c r="H445" i="2" s="1"/>
  <c r="I445" i="2" s="1"/>
  <c r="J445" i="2" s="1"/>
  <c r="K445" i="2" s="1"/>
  <c r="L445" i="2" s="1"/>
  <c r="M445" i="2" s="1"/>
  <c r="N445" i="2" s="1"/>
  <c r="O445" i="2" s="1"/>
  <c r="D436" i="2"/>
  <c r="E436" i="2" s="1"/>
  <c r="F436" i="2" s="1"/>
  <c r="G436" i="2" s="1"/>
  <c r="H436" i="2" s="1"/>
  <c r="I436" i="2" s="1"/>
  <c r="J436" i="2" s="1"/>
  <c r="K436" i="2" s="1"/>
  <c r="L436" i="2" s="1"/>
  <c r="M436" i="2" s="1"/>
  <c r="N436" i="2" s="1"/>
  <c r="O436" i="2" s="1"/>
  <c r="D418" i="2"/>
  <c r="E418" i="2" s="1"/>
  <c r="F418" i="2" s="1"/>
  <c r="G418" i="2" s="1"/>
  <c r="H418" i="2" s="1"/>
  <c r="I418" i="2" s="1"/>
  <c r="J418" i="2" s="1"/>
  <c r="K418" i="2" s="1"/>
  <c r="L418" i="2" s="1"/>
  <c r="M418" i="2" s="1"/>
  <c r="N418" i="2" s="1"/>
  <c r="O418" i="2" s="1"/>
  <c r="D408" i="2"/>
  <c r="E408" i="2" s="1"/>
  <c r="F408" i="2" s="1"/>
  <c r="G408" i="2" s="1"/>
  <c r="H408" i="2" s="1"/>
  <c r="I408" i="2" s="1"/>
  <c r="J408" i="2" s="1"/>
  <c r="K408" i="2" s="1"/>
  <c r="L408" i="2" s="1"/>
  <c r="M408" i="2" s="1"/>
  <c r="N408" i="2" s="1"/>
  <c r="O408" i="2" s="1"/>
  <c r="D401" i="2"/>
  <c r="E401" i="2" s="1"/>
  <c r="F401" i="2" s="1"/>
  <c r="G401" i="2" s="1"/>
  <c r="H401" i="2" s="1"/>
  <c r="I401" i="2" s="1"/>
  <c r="J401" i="2" s="1"/>
  <c r="K401" i="2" s="1"/>
  <c r="L401" i="2" s="1"/>
  <c r="M401" i="2" s="1"/>
  <c r="N401" i="2" s="1"/>
  <c r="O401" i="2" s="1"/>
  <c r="D393" i="2"/>
  <c r="E393" i="2" s="1"/>
  <c r="F393" i="2" s="1"/>
  <c r="G393" i="2" s="1"/>
  <c r="H393" i="2" s="1"/>
  <c r="I393" i="2" s="1"/>
  <c r="J393" i="2" s="1"/>
  <c r="K393" i="2" s="1"/>
  <c r="L393" i="2" s="1"/>
  <c r="M393" i="2" s="1"/>
  <c r="N393" i="2" s="1"/>
  <c r="O393" i="2" s="1"/>
  <c r="D374" i="2"/>
  <c r="E374" i="2" s="1"/>
  <c r="F374" i="2" s="1"/>
  <c r="G374" i="2" s="1"/>
  <c r="H374" i="2" s="1"/>
  <c r="I374" i="2" s="1"/>
  <c r="J374" i="2" s="1"/>
  <c r="K374" i="2" s="1"/>
  <c r="L374" i="2" s="1"/>
  <c r="M374" i="2" s="1"/>
  <c r="N374" i="2" s="1"/>
  <c r="O374" i="2" s="1"/>
  <c r="D363" i="2"/>
  <c r="E363" i="2" s="1"/>
  <c r="F363" i="2" s="1"/>
  <c r="G363" i="2" s="1"/>
  <c r="H363" i="2" s="1"/>
  <c r="I363" i="2" s="1"/>
  <c r="J363" i="2" s="1"/>
  <c r="K363" i="2" s="1"/>
  <c r="L363" i="2" s="1"/>
  <c r="M363" i="2" s="1"/>
  <c r="N363" i="2" s="1"/>
  <c r="O363" i="2" s="1"/>
  <c r="D352" i="2"/>
  <c r="E352" i="2" s="1"/>
  <c r="F352" i="2" s="1"/>
  <c r="G352" i="2" s="1"/>
  <c r="H352" i="2" s="1"/>
  <c r="I352" i="2" s="1"/>
  <c r="J352" i="2" s="1"/>
  <c r="K352" i="2" s="1"/>
  <c r="L352" i="2" s="1"/>
  <c r="M352" i="2" s="1"/>
  <c r="N352" i="2" s="1"/>
  <c r="O352" i="2" s="1"/>
  <c r="D343" i="2"/>
  <c r="E343" i="2" s="1"/>
  <c r="F343" i="2" s="1"/>
  <c r="G343" i="2" s="1"/>
  <c r="H343" i="2" s="1"/>
  <c r="I343" i="2" s="1"/>
  <c r="J343" i="2" s="1"/>
  <c r="K343" i="2" s="1"/>
  <c r="L343" i="2" s="1"/>
  <c r="M343" i="2" s="1"/>
  <c r="N343" i="2" s="1"/>
  <c r="O343" i="2" s="1"/>
  <c r="D331" i="2"/>
  <c r="E331" i="2" s="1"/>
  <c r="F331" i="2" s="1"/>
  <c r="G331" i="2" s="1"/>
  <c r="H331" i="2" s="1"/>
  <c r="I331" i="2" s="1"/>
  <c r="J331" i="2" s="1"/>
  <c r="K331" i="2" s="1"/>
  <c r="L331" i="2" s="1"/>
  <c r="M331" i="2" s="1"/>
  <c r="N331" i="2" s="1"/>
  <c r="O331" i="2" s="1"/>
  <c r="D322" i="2"/>
  <c r="E322" i="2" s="1"/>
  <c r="F322" i="2" s="1"/>
  <c r="G322" i="2" s="1"/>
  <c r="H322" i="2" s="1"/>
  <c r="I322" i="2" s="1"/>
  <c r="J322" i="2" s="1"/>
  <c r="K322" i="2" s="1"/>
  <c r="L322" i="2" s="1"/>
  <c r="M322" i="2" s="1"/>
  <c r="N322" i="2" s="1"/>
  <c r="O322" i="2" s="1"/>
  <c r="D312" i="2"/>
  <c r="E312" i="2" s="1"/>
  <c r="F312" i="2" s="1"/>
  <c r="G312" i="2" s="1"/>
  <c r="H312" i="2" s="1"/>
  <c r="I312" i="2" s="1"/>
  <c r="J312" i="2" s="1"/>
  <c r="K312" i="2" s="1"/>
  <c r="L312" i="2" s="1"/>
  <c r="M312" i="2" s="1"/>
  <c r="N312" i="2" s="1"/>
  <c r="O312" i="2" s="1"/>
  <c r="D294" i="2"/>
  <c r="E294" i="2" s="1"/>
  <c r="F294" i="2" s="1"/>
  <c r="G294" i="2" s="1"/>
  <c r="H294" i="2" s="1"/>
  <c r="I294" i="2" s="1"/>
  <c r="J294" i="2" s="1"/>
  <c r="K294" i="2" s="1"/>
  <c r="L294" i="2" s="1"/>
  <c r="M294" i="2" s="1"/>
  <c r="N294" i="2" s="1"/>
  <c r="O294" i="2" s="1"/>
  <c r="D284" i="2"/>
  <c r="E284" i="2" s="1"/>
  <c r="F284" i="2" s="1"/>
  <c r="G284" i="2" s="1"/>
  <c r="H284" i="2" s="1"/>
  <c r="I284" i="2" s="1"/>
  <c r="J284" i="2" s="1"/>
  <c r="K284" i="2" s="1"/>
  <c r="L284" i="2" s="1"/>
  <c r="M284" i="2" s="1"/>
  <c r="N284" i="2" s="1"/>
  <c r="O284" i="2" s="1"/>
  <c r="D274" i="2"/>
  <c r="E274" i="2" s="1"/>
  <c r="F274" i="2" s="1"/>
  <c r="G274" i="2" s="1"/>
  <c r="H274" i="2" s="1"/>
  <c r="I274" i="2" s="1"/>
  <c r="J274" i="2" s="1"/>
  <c r="K274" i="2" s="1"/>
  <c r="L274" i="2" s="1"/>
  <c r="M274" i="2" s="1"/>
  <c r="N274" i="2" s="1"/>
  <c r="O274" i="2" s="1"/>
  <c r="D264" i="2"/>
  <c r="E264" i="2" s="1"/>
  <c r="F264" i="2" s="1"/>
  <c r="G264" i="2" s="1"/>
  <c r="H264" i="2" s="1"/>
  <c r="I264" i="2" s="1"/>
  <c r="J264" i="2" s="1"/>
  <c r="K264" i="2" s="1"/>
  <c r="L264" i="2" s="1"/>
  <c r="M264" i="2" s="1"/>
  <c r="N264" i="2" s="1"/>
  <c r="O264" i="2" s="1"/>
  <c r="D253" i="2"/>
  <c r="E253" i="2" s="1"/>
  <c r="F253" i="2" s="1"/>
  <c r="G253" i="2" s="1"/>
  <c r="H253" i="2" s="1"/>
  <c r="I253" i="2" s="1"/>
  <c r="J253" i="2" s="1"/>
  <c r="K253" i="2" s="1"/>
  <c r="L253" i="2" s="1"/>
  <c r="M253" i="2" s="1"/>
  <c r="N253" i="2" s="1"/>
  <c r="O253" i="2" s="1"/>
  <c r="D243" i="2"/>
  <c r="E243" i="2" s="1"/>
  <c r="F243" i="2" s="1"/>
  <c r="G243" i="2" s="1"/>
  <c r="H243" i="2" s="1"/>
  <c r="I243" i="2" s="1"/>
  <c r="J243" i="2" s="1"/>
  <c r="K243" i="2" s="1"/>
  <c r="L243" i="2" s="1"/>
  <c r="M243" i="2" s="1"/>
  <c r="N243" i="2" s="1"/>
  <c r="O243" i="2" s="1"/>
  <c r="D225" i="2"/>
  <c r="E225" i="2" s="1"/>
  <c r="F225" i="2" s="1"/>
  <c r="G225" i="2" s="1"/>
  <c r="H225" i="2" s="1"/>
  <c r="I225" i="2" s="1"/>
  <c r="J225" i="2" s="1"/>
  <c r="K225" i="2" s="1"/>
  <c r="L225" i="2" s="1"/>
  <c r="M225" i="2" s="1"/>
  <c r="N225" i="2" s="1"/>
  <c r="O225" i="2" s="1"/>
  <c r="D214" i="2"/>
  <c r="E214" i="2" s="1"/>
  <c r="F214" i="2" s="1"/>
  <c r="G214" i="2" s="1"/>
  <c r="H214" i="2" s="1"/>
  <c r="I214" i="2" s="1"/>
  <c r="J214" i="2" s="1"/>
  <c r="K214" i="2" s="1"/>
  <c r="L214" i="2" s="1"/>
  <c r="M214" i="2" s="1"/>
  <c r="N214" i="2" s="1"/>
  <c r="O214" i="2" s="1"/>
  <c r="D196" i="2"/>
  <c r="E196" i="2" s="1"/>
  <c r="F196" i="2" s="1"/>
  <c r="G196" i="2" s="1"/>
  <c r="H196" i="2" s="1"/>
  <c r="I196" i="2" s="1"/>
  <c r="J196" i="2" s="1"/>
  <c r="K196" i="2" s="1"/>
  <c r="L196" i="2" s="1"/>
  <c r="M196" i="2" s="1"/>
  <c r="N196" i="2" s="1"/>
  <c r="O196" i="2" s="1"/>
  <c r="D186" i="2"/>
  <c r="E186" i="2" s="1"/>
  <c r="F186" i="2" s="1"/>
  <c r="G186" i="2" s="1"/>
  <c r="H186" i="2" s="1"/>
  <c r="I186" i="2" s="1"/>
  <c r="J186" i="2" s="1"/>
  <c r="K186" i="2" s="1"/>
  <c r="L186" i="2" s="1"/>
  <c r="M186" i="2" s="1"/>
  <c r="N186" i="2" s="1"/>
  <c r="O186" i="2" s="1"/>
  <c r="D175" i="2"/>
  <c r="E175" i="2" s="1"/>
  <c r="F175" i="2" s="1"/>
  <c r="G175" i="2" s="1"/>
  <c r="H175" i="2" s="1"/>
  <c r="I175" i="2" s="1"/>
  <c r="J175" i="2" s="1"/>
  <c r="K175" i="2" s="1"/>
  <c r="L175" i="2" s="1"/>
  <c r="M175" i="2" s="1"/>
  <c r="N175" i="2" s="1"/>
  <c r="O175" i="2" s="1"/>
  <c r="D157" i="2"/>
  <c r="E157" i="2" s="1"/>
  <c r="F157" i="2" s="1"/>
  <c r="G157" i="2" s="1"/>
  <c r="H157" i="2" s="1"/>
  <c r="I157" i="2" s="1"/>
  <c r="J157" i="2" s="1"/>
  <c r="K157" i="2" s="1"/>
  <c r="L157" i="2" s="1"/>
  <c r="M157" i="2" s="1"/>
  <c r="N157" i="2" s="1"/>
  <c r="O157" i="2" s="1"/>
  <c r="D130" i="2"/>
  <c r="E130" i="2" s="1"/>
  <c r="F130" i="2" s="1"/>
  <c r="G130" i="2" s="1"/>
  <c r="H130" i="2" s="1"/>
  <c r="I130" i="2" s="1"/>
  <c r="J130" i="2" s="1"/>
  <c r="K130" i="2" s="1"/>
  <c r="L130" i="2" s="1"/>
  <c r="M130" i="2" s="1"/>
  <c r="N130" i="2" s="1"/>
  <c r="O130" i="2" s="1"/>
  <c r="D102" i="2"/>
  <c r="E102" i="2" s="1"/>
  <c r="F102" i="2" s="1"/>
  <c r="G102" i="2" s="1"/>
  <c r="H102" i="2" s="1"/>
  <c r="I102" i="2" s="1"/>
  <c r="J102" i="2" s="1"/>
  <c r="K102" i="2" s="1"/>
  <c r="L102" i="2" s="1"/>
  <c r="M102" i="2" s="1"/>
  <c r="N102" i="2" s="1"/>
  <c r="O102" i="2" s="1"/>
  <c r="D72" i="2"/>
  <c r="E72" i="2" s="1"/>
  <c r="F72" i="2" s="1"/>
  <c r="G72" i="2" s="1"/>
  <c r="H72" i="2" s="1"/>
  <c r="I72" i="2" s="1"/>
  <c r="J72" i="2" s="1"/>
  <c r="K72" i="2" s="1"/>
  <c r="L72" i="2" s="1"/>
  <c r="M72" i="2" s="1"/>
  <c r="N72" i="2" s="1"/>
  <c r="O72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O52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D508" i="2"/>
  <c r="E508" i="2" s="1"/>
  <c r="F508" i="2" s="1"/>
  <c r="G508" i="2" s="1"/>
  <c r="H508" i="2" s="1"/>
  <c r="I508" i="2" s="1"/>
  <c r="J508" i="2" s="1"/>
  <c r="K508" i="2" s="1"/>
  <c r="L508" i="2" s="1"/>
  <c r="M508" i="2" s="1"/>
  <c r="N508" i="2" s="1"/>
  <c r="O508" i="2" s="1"/>
  <c r="D499" i="2"/>
  <c r="E499" i="2" s="1"/>
  <c r="F499" i="2" s="1"/>
  <c r="G499" i="2" s="1"/>
  <c r="H499" i="2" s="1"/>
  <c r="I499" i="2" s="1"/>
  <c r="J499" i="2" s="1"/>
  <c r="K499" i="2" s="1"/>
  <c r="L499" i="2" s="1"/>
  <c r="M499" i="2" s="1"/>
  <c r="N499" i="2" s="1"/>
  <c r="O499" i="2" s="1"/>
  <c r="D475" i="2"/>
  <c r="E475" i="2" s="1"/>
  <c r="F475" i="2" s="1"/>
  <c r="G475" i="2" s="1"/>
  <c r="H475" i="2" s="1"/>
  <c r="I475" i="2" s="1"/>
  <c r="J475" i="2" s="1"/>
  <c r="K475" i="2" s="1"/>
  <c r="L475" i="2" s="1"/>
  <c r="M475" i="2" s="1"/>
  <c r="N475" i="2" s="1"/>
  <c r="O475" i="2" s="1"/>
  <c r="D465" i="2"/>
  <c r="E465" i="2" s="1"/>
  <c r="F465" i="2" s="1"/>
  <c r="G465" i="2" s="1"/>
  <c r="H465" i="2" s="1"/>
  <c r="I465" i="2" s="1"/>
  <c r="J465" i="2" s="1"/>
  <c r="K465" i="2" s="1"/>
  <c r="L465" i="2" s="1"/>
  <c r="M465" i="2" s="1"/>
  <c r="N465" i="2" s="1"/>
  <c r="O465" i="2" s="1"/>
  <c r="D455" i="2"/>
  <c r="E455" i="2" s="1"/>
  <c r="F455" i="2" s="1"/>
  <c r="G455" i="2" s="1"/>
  <c r="H455" i="2" s="1"/>
  <c r="I455" i="2" s="1"/>
  <c r="J455" i="2" s="1"/>
  <c r="K455" i="2" s="1"/>
  <c r="L455" i="2" s="1"/>
  <c r="M455" i="2" s="1"/>
  <c r="N455" i="2" s="1"/>
  <c r="O455" i="2" s="1"/>
  <c r="D435" i="2"/>
  <c r="E435" i="2" s="1"/>
  <c r="F435" i="2" s="1"/>
  <c r="G435" i="2" s="1"/>
  <c r="H435" i="2" s="1"/>
  <c r="I435" i="2" s="1"/>
  <c r="J435" i="2" s="1"/>
  <c r="K435" i="2" s="1"/>
  <c r="L435" i="2" s="1"/>
  <c r="M435" i="2" s="1"/>
  <c r="N435" i="2" s="1"/>
  <c r="O435" i="2" s="1"/>
  <c r="D417" i="2"/>
  <c r="E417" i="2" s="1"/>
  <c r="F417" i="2" s="1"/>
  <c r="G417" i="2" s="1"/>
  <c r="H417" i="2" s="1"/>
  <c r="I417" i="2" s="1"/>
  <c r="J417" i="2" s="1"/>
  <c r="K417" i="2" s="1"/>
  <c r="L417" i="2" s="1"/>
  <c r="M417" i="2" s="1"/>
  <c r="N417" i="2" s="1"/>
  <c r="O417" i="2" s="1"/>
  <c r="D392" i="2"/>
  <c r="E392" i="2" s="1"/>
  <c r="F392" i="2" s="1"/>
  <c r="G392" i="2" s="1"/>
  <c r="H392" i="2" s="1"/>
  <c r="I392" i="2" s="1"/>
  <c r="J392" i="2" s="1"/>
  <c r="K392" i="2" s="1"/>
  <c r="L392" i="2" s="1"/>
  <c r="M392" i="2" s="1"/>
  <c r="N392" i="2" s="1"/>
  <c r="O392" i="2" s="1"/>
  <c r="D382" i="2"/>
  <c r="E382" i="2" s="1"/>
  <c r="F382" i="2" s="1"/>
  <c r="G382" i="2" s="1"/>
  <c r="H382" i="2" s="1"/>
  <c r="I382" i="2" s="1"/>
  <c r="J382" i="2" s="1"/>
  <c r="K382" i="2" s="1"/>
  <c r="L382" i="2" s="1"/>
  <c r="M382" i="2" s="1"/>
  <c r="N382" i="2" s="1"/>
  <c r="O382" i="2" s="1"/>
  <c r="D373" i="2"/>
  <c r="E373" i="2" s="1"/>
  <c r="F373" i="2" s="1"/>
  <c r="G373" i="2" s="1"/>
  <c r="H373" i="2" s="1"/>
  <c r="I373" i="2" s="1"/>
  <c r="J373" i="2" s="1"/>
  <c r="K373" i="2" s="1"/>
  <c r="L373" i="2" s="1"/>
  <c r="M373" i="2" s="1"/>
  <c r="N373" i="2" s="1"/>
  <c r="O373" i="2" s="1"/>
  <c r="D362" i="2"/>
  <c r="E362" i="2" s="1"/>
  <c r="F362" i="2" s="1"/>
  <c r="G362" i="2" s="1"/>
  <c r="H362" i="2" s="1"/>
  <c r="I362" i="2" s="1"/>
  <c r="J362" i="2" s="1"/>
  <c r="K362" i="2" s="1"/>
  <c r="L362" i="2" s="1"/>
  <c r="M362" i="2" s="1"/>
  <c r="N362" i="2" s="1"/>
  <c r="O362" i="2" s="1"/>
  <c r="D342" i="2"/>
  <c r="E342" i="2" s="1"/>
  <c r="F342" i="2" s="1"/>
  <c r="G342" i="2" s="1"/>
  <c r="H342" i="2" s="1"/>
  <c r="I342" i="2" s="1"/>
  <c r="J342" i="2" s="1"/>
  <c r="K342" i="2" s="1"/>
  <c r="L342" i="2" s="1"/>
  <c r="M342" i="2" s="1"/>
  <c r="N342" i="2" s="1"/>
  <c r="O342" i="2" s="1"/>
  <c r="D321" i="2"/>
  <c r="E321" i="2" s="1"/>
  <c r="F321" i="2" s="1"/>
  <c r="G321" i="2" s="1"/>
  <c r="H321" i="2" s="1"/>
  <c r="I321" i="2" s="1"/>
  <c r="J321" i="2" s="1"/>
  <c r="K321" i="2" s="1"/>
  <c r="L321" i="2" s="1"/>
  <c r="M321" i="2" s="1"/>
  <c r="N321" i="2" s="1"/>
  <c r="O321" i="2" s="1"/>
  <c r="D311" i="2"/>
  <c r="E311" i="2" s="1"/>
  <c r="F311" i="2" s="1"/>
  <c r="G311" i="2" s="1"/>
  <c r="H311" i="2" s="1"/>
  <c r="I311" i="2" s="1"/>
  <c r="J311" i="2" s="1"/>
  <c r="K311" i="2" s="1"/>
  <c r="L311" i="2" s="1"/>
  <c r="M311" i="2" s="1"/>
  <c r="N311" i="2" s="1"/>
  <c r="O311" i="2" s="1"/>
  <c r="D293" i="2"/>
  <c r="E293" i="2" s="1"/>
  <c r="F293" i="2" s="1"/>
  <c r="G293" i="2" s="1"/>
  <c r="H293" i="2" s="1"/>
  <c r="I293" i="2" s="1"/>
  <c r="J293" i="2" s="1"/>
  <c r="K293" i="2" s="1"/>
  <c r="L293" i="2" s="1"/>
  <c r="M293" i="2" s="1"/>
  <c r="N293" i="2" s="1"/>
  <c r="O293" i="2" s="1"/>
  <c r="D273" i="2"/>
  <c r="E273" i="2" s="1"/>
  <c r="F273" i="2" s="1"/>
  <c r="G273" i="2" s="1"/>
  <c r="H273" i="2" s="1"/>
  <c r="I273" i="2" s="1"/>
  <c r="J273" i="2" s="1"/>
  <c r="K273" i="2" s="1"/>
  <c r="L273" i="2" s="1"/>
  <c r="M273" i="2" s="1"/>
  <c r="N273" i="2" s="1"/>
  <c r="O273" i="2" s="1"/>
  <c r="D263" i="2"/>
  <c r="E263" i="2" s="1"/>
  <c r="F263" i="2" s="1"/>
  <c r="G263" i="2" s="1"/>
  <c r="H263" i="2" s="1"/>
  <c r="I263" i="2" s="1"/>
  <c r="J263" i="2" s="1"/>
  <c r="K263" i="2" s="1"/>
  <c r="L263" i="2" s="1"/>
  <c r="M263" i="2" s="1"/>
  <c r="N263" i="2" s="1"/>
  <c r="O263" i="2" s="1"/>
  <c r="D234" i="2"/>
  <c r="E234" i="2" s="1"/>
  <c r="F234" i="2" s="1"/>
  <c r="G234" i="2" s="1"/>
  <c r="H234" i="2" s="1"/>
  <c r="I234" i="2" s="1"/>
  <c r="J234" i="2" s="1"/>
  <c r="K234" i="2" s="1"/>
  <c r="L234" i="2" s="1"/>
  <c r="M234" i="2" s="1"/>
  <c r="N234" i="2" s="1"/>
  <c r="O234" i="2" s="1"/>
  <c r="D224" i="2"/>
  <c r="E224" i="2" s="1"/>
  <c r="F224" i="2" s="1"/>
  <c r="G224" i="2" s="1"/>
  <c r="H224" i="2" s="1"/>
  <c r="I224" i="2" s="1"/>
  <c r="J224" i="2" s="1"/>
  <c r="K224" i="2" s="1"/>
  <c r="L224" i="2" s="1"/>
  <c r="M224" i="2" s="1"/>
  <c r="N224" i="2" s="1"/>
  <c r="O224" i="2" s="1"/>
  <c r="D205" i="2"/>
  <c r="E205" i="2" s="1"/>
  <c r="F205" i="2" s="1"/>
  <c r="G205" i="2" s="1"/>
  <c r="H205" i="2" s="1"/>
  <c r="I205" i="2" s="1"/>
  <c r="J205" i="2" s="1"/>
  <c r="K205" i="2" s="1"/>
  <c r="L205" i="2" s="1"/>
  <c r="M205" i="2" s="1"/>
  <c r="N205" i="2" s="1"/>
  <c r="O205" i="2" s="1"/>
  <c r="D195" i="2"/>
  <c r="E195" i="2" s="1"/>
  <c r="F195" i="2" s="1"/>
  <c r="G195" i="2" s="1"/>
  <c r="H195" i="2" s="1"/>
  <c r="I195" i="2" s="1"/>
  <c r="J195" i="2" s="1"/>
  <c r="K195" i="2" s="1"/>
  <c r="L195" i="2" s="1"/>
  <c r="M195" i="2" s="1"/>
  <c r="N195" i="2" s="1"/>
  <c r="O195" i="2" s="1"/>
  <c r="D185" i="2"/>
  <c r="E185" i="2" s="1"/>
  <c r="F185" i="2" s="1"/>
  <c r="G185" i="2" s="1"/>
  <c r="H185" i="2" s="1"/>
  <c r="I185" i="2" s="1"/>
  <c r="J185" i="2" s="1"/>
  <c r="K185" i="2" s="1"/>
  <c r="L185" i="2" s="1"/>
  <c r="M185" i="2" s="1"/>
  <c r="N185" i="2" s="1"/>
  <c r="O185" i="2" s="1"/>
  <c r="D174" i="2"/>
  <c r="E174" i="2" s="1"/>
  <c r="F174" i="2" s="1"/>
  <c r="G174" i="2" s="1"/>
  <c r="H174" i="2" s="1"/>
  <c r="I174" i="2" s="1"/>
  <c r="J174" i="2" s="1"/>
  <c r="K174" i="2" s="1"/>
  <c r="L174" i="2" s="1"/>
  <c r="M174" i="2" s="1"/>
  <c r="N174" i="2" s="1"/>
  <c r="O174" i="2" s="1"/>
  <c r="D165" i="2"/>
  <c r="E165" i="2" s="1"/>
  <c r="F165" i="2" s="1"/>
  <c r="G165" i="2" s="1"/>
  <c r="H165" i="2" s="1"/>
  <c r="I165" i="2" s="1"/>
  <c r="J165" i="2" s="1"/>
  <c r="K165" i="2" s="1"/>
  <c r="L165" i="2" s="1"/>
  <c r="M165" i="2" s="1"/>
  <c r="N165" i="2" s="1"/>
  <c r="O165" i="2" s="1"/>
  <c r="D129" i="2"/>
  <c r="E129" i="2" s="1"/>
  <c r="F129" i="2" s="1"/>
  <c r="G129" i="2" s="1"/>
  <c r="H129" i="2" s="1"/>
  <c r="I129" i="2" s="1"/>
  <c r="J129" i="2" s="1"/>
  <c r="K129" i="2" s="1"/>
  <c r="L129" i="2" s="1"/>
  <c r="M129" i="2" s="1"/>
  <c r="N129" i="2" s="1"/>
  <c r="O129" i="2" s="1"/>
  <c r="D121" i="2"/>
  <c r="E121" i="2" s="1"/>
  <c r="F121" i="2" s="1"/>
  <c r="G121" i="2" s="1"/>
  <c r="H121" i="2" s="1"/>
  <c r="I121" i="2" s="1"/>
  <c r="J121" i="2" s="1"/>
  <c r="K121" i="2" s="1"/>
  <c r="L121" i="2" s="1"/>
  <c r="M121" i="2" s="1"/>
  <c r="N121" i="2" s="1"/>
  <c r="O121" i="2" s="1"/>
  <c r="D111" i="2"/>
  <c r="E111" i="2" s="1"/>
  <c r="F111" i="2" s="1"/>
  <c r="G111" i="2" s="1"/>
  <c r="H111" i="2" s="1"/>
  <c r="I111" i="2" s="1"/>
  <c r="J111" i="2" s="1"/>
  <c r="K111" i="2" s="1"/>
  <c r="L111" i="2" s="1"/>
  <c r="M111" i="2" s="1"/>
  <c r="N111" i="2" s="1"/>
  <c r="O111" i="2" s="1"/>
  <c r="D81" i="2"/>
  <c r="E81" i="2" s="1"/>
  <c r="F81" i="2" s="1"/>
  <c r="G81" i="2" s="1"/>
  <c r="H81" i="2" s="1"/>
  <c r="I81" i="2" s="1"/>
  <c r="J81" i="2" s="1"/>
  <c r="K81" i="2" s="1"/>
  <c r="L81" i="2" s="1"/>
  <c r="M81" i="2" s="1"/>
  <c r="N81" i="2" s="1"/>
  <c r="O81" i="2" s="1"/>
  <c r="D71" i="2"/>
  <c r="E71" i="2" s="1"/>
  <c r="F71" i="2" s="1"/>
  <c r="G71" i="2" s="1"/>
  <c r="H71" i="2" s="1"/>
  <c r="I71" i="2" s="1"/>
  <c r="J71" i="2" s="1"/>
  <c r="K71" i="2" s="1"/>
  <c r="L71" i="2" s="1"/>
  <c r="M71" i="2" s="1"/>
  <c r="N71" i="2" s="1"/>
  <c r="O71" i="2" s="1"/>
  <c r="D61" i="2"/>
  <c r="E61" i="2" s="1"/>
  <c r="F61" i="2" s="1"/>
  <c r="G61" i="2" s="1"/>
  <c r="H61" i="2" s="1"/>
  <c r="I61" i="2" s="1"/>
  <c r="J61" i="2" s="1"/>
  <c r="K61" i="2" s="1"/>
  <c r="L61" i="2" s="1"/>
  <c r="M61" i="2" s="1"/>
  <c r="N61" i="2" s="1"/>
  <c r="O61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O51" i="2" s="1"/>
  <c r="D33" i="2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O33" i="2" s="1"/>
  <c r="D490" i="2"/>
  <c r="E490" i="2" s="1"/>
  <c r="F490" i="2" s="1"/>
  <c r="G490" i="2" s="1"/>
  <c r="H490" i="2" s="1"/>
  <c r="I490" i="2" s="1"/>
  <c r="J490" i="2" s="1"/>
  <c r="K490" i="2" s="1"/>
  <c r="L490" i="2" s="1"/>
  <c r="M490" i="2" s="1"/>
  <c r="N490" i="2" s="1"/>
  <c r="O490" i="2" s="1"/>
  <c r="D481" i="2"/>
  <c r="E481" i="2" s="1"/>
  <c r="F481" i="2" s="1"/>
  <c r="G481" i="2" s="1"/>
  <c r="H481" i="2" s="1"/>
  <c r="I481" i="2" s="1"/>
  <c r="J481" i="2" s="1"/>
  <c r="K481" i="2" s="1"/>
  <c r="L481" i="2" s="1"/>
  <c r="M481" i="2" s="1"/>
  <c r="N481" i="2" s="1"/>
  <c r="O481" i="2" s="1"/>
  <c r="D472" i="2"/>
  <c r="E472" i="2" s="1"/>
  <c r="F472" i="2" s="1"/>
  <c r="G472" i="2" s="1"/>
  <c r="H472" i="2" s="1"/>
  <c r="I472" i="2" s="1"/>
  <c r="J472" i="2" s="1"/>
  <c r="K472" i="2" s="1"/>
  <c r="L472" i="2" s="1"/>
  <c r="M472" i="2" s="1"/>
  <c r="N472" i="2" s="1"/>
  <c r="O472" i="2" s="1"/>
  <c r="D462" i="2"/>
  <c r="E462" i="2" s="1"/>
  <c r="F462" i="2" s="1"/>
  <c r="G462" i="2" s="1"/>
  <c r="H462" i="2" s="1"/>
  <c r="I462" i="2" s="1"/>
  <c r="J462" i="2" s="1"/>
  <c r="K462" i="2" s="1"/>
  <c r="L462" i="2" s="1"/>
  <c r="M462" i="2" s="1"/>
  <c r="N462" i="2" s="1"/>
  <c r="O462" i="2" s="1"/>
  <c r="D452" i="2"/>
  <c r="E452" i="2" s="1"/>
  <c r="F452" i="2" s="1"/>
  <c r="G452" i="2" s="1"/>
  <c r="H452" i="2" s="1"/>
  <c r="I452" i="2" s="1"/>
  <c r="J452" i="2" s="1"/>
  <c r="K452" i="2" s="1"/>
  <c r="L452" i="2" s="1"/>
  <c r="M452" i="2" s="1"/>
  <c r="N452" i="2" s="1"/>
  <c r="O452" i="2" s="1"/>
  <c r="D432" i="2"/>
  <c r="E432" i="2" s="1"/>
  <c r="F432" i="2" s="1"/>
  <c r="G432" i="2" s="1"/>
  <c r="H432" i="2" s="1"/>
  <c r="I432" i="2" s="1"/>
  <c r="J432" i="2" s="1"/>
  <c r="K432" i="2" s="1"/>
  <c r="L432" i="2" s="1"/>
  <c r="M432" i="2" s="1"/>
  <c r="N432" i="2" s="1"/>
  <c r="O432" i="2" s="1"/>
  <c r="D423" i="2"/>
  <c r="E423" i="2" s="1"/>
  <c r="F423" i="2" s="1"/>
  <c r="G423" i="2" s="1"/>
  <c r="H423" i="2" s="1"/>
  <c r="I423" i="2" s="1"/>
  <c r="J423" i="2" s="1"/>
  <c r="K423" i="2" s="1"/>
  <c r="L423" i="2" s="1"/>
  <c r="M423" i="2" s="1"/>
  <c r="N423" i="2" s="1"/>
  <c r="O423" i="2" s="1"/>
  <c r="D389" i="2"/>
  <c r="E389" i="2" s="1"/>
  <c r="F389" i="2" s="1"/>
  <c r="G389" i="2" s="1"/>
  <c r="H389" i="2" s="1"/>
  <c r="I389" i="2" s="1"/>
  <c r="J389" i="2" s="1"/>
  <c r="K389" i="2" s="1"/>
  <c r="L389" i="2" s="1"/>
  <c r="M389" i="2" s="1"/>
  <c r="N389" i="2" s="1"/>
  <c r="O389" i="2" s="1"/>
  <c r="D370" i="2"/>
  <c r="E370" i="2" s="1"/>
  <c r="F370" i="2" s="1"/>
  <c r="G370" i="2" s="1"/>
  <c r="H370" i="2" s="1"/>
  <c r="I370" i="2" s="1"/>
  <c r="J370" i="2" s="1"/>
  <c r="K370" i="2" s="1"/>
  <c r="L370" i="2" s="1"/>
  <c r="M370" i="2" s="1"/>
  <c r="N370" i="2" s="1"/>
  <c r="O370" i="2" s="1"/>
  <c r="D359" i="2"/>
  <c r="E359" i="2" s="1"/>
  <c r="F359" i="2" s="1"/>
  <c r="G359" i="2" s="1"/>
  <c r="H359" i="2" s="1"/>
  <c r="I359" i="2" s="1"/>
  <c r="J359" i="2" s="1"/>
  <c r="K359" i="2" s="1"/>
  <c r="L359" i="2" s="1"/>
  <c r="M359" i="2" s="1"/>
  <c r="N359" i="2" s="1"/>
  <c r="O359" i="2" s="1"/>
  <c r="D349" i="2"/>
  <c r="E349" i="2" s="1"/>
  <c r="F349" i="2" s="1"/>
  <c r="G349" i="2" s="1"/>
  <c r="H349" i="2" s="1"/>
  <c r="I349" i="2" s="1"/>
  <c r="J349" i="2" s="1"/>
  <c r="K349" i="2" s="1"/>
  <c r="L349" i="2" s="1"/>
  <c r="M349" i="2" s="1"/>
  <c r="N349" i="2" s="1"/>
  <c r="O349" i="2" s="1"/>
  <c r="D339" i="2"/>
  <c r="E339" i="2" s="1"/>
  <c r="F339" i="2" s="1"/>
  <c r="G339" i="2" s="1"/>
  <c r="H339" i="2" s="1"/>
  <c r="I339" i="2" s="1"/>
  <c r="J339" i="2" s="1"/>
  <c r="K339" i="2" s="1"/>
  <c r="L339" i="2" s="1"/>
  <c r="M339" i="2" s="1"/>
  <c r="N339" i="2" s="1"/>
  <c r="O339" i="2" s="1"/>
  <c r="D328" i="2"/>
  <c r="E328" i="2" s="1"/>
  <c r="F328" i="2" s="1"/>
  <c r="G328" i="2" s="1"/>
  <c r="H328" i="2" s="1"/>
  <c r="I328" i="2" s="1"/>
  <c r="J328" i="2" s="1"/>
  <c r="K328" i="2" s="1"/>
  <c r="L328" i="2" s="1"/>
  <c r="M328" i="2" s="1"/>
  <c r="N328" i="2" s="1"/>
  <c r="O328" i="2" s="1"/>
  <c r="D318" i="2"/>
  <c r="E318" i="2" s="1"/>
  <c r="F318" i="2" s="1"/>
  <c r="G318" i="2" s="1"/>
  <c r="H318" i="2" s="1"/>
  <c r="I318" i="2" s="1"/>
  <c r="J318" i="2" s="1"/>
  <c r="K318" i="2" s="1"/>
  <c r="L318" i="2" s="1"/>
  <c r="M318" i="2" s="1"/>
  <c r="N318" i="2" s="1"/>
  <c r="O318" i="2" s="1"/>
  <c r="D281" i="2"/>
  <c r="E281" i="2" s="1"/>
  <c r="F281" i="2" s="1"/>
  <c r="G281" i="2" s="1"/>
  <c r="H281" i="2" s="1"/>
  <c r="I281" i="2" s="1"/>
  <c r="J281" i="2" s="1"/>
  <c r="K281" i="2" s="1"/>
  <c r="L281" i="2" s="1"/>
  <c r="M281" i="2" s="1"/>
  <c r="N281" i="2" s="1"/>
  <c r="O281" i="2" s="1"/>
  <c r="D261" i="2"/>
  <c r="E261" i="2" s="1"/>
  <c r="F261" i="2" s="1"/>
  <c r="G261" i="2" s="1"/>
  <c r="H261" i="2" s="1"/>
  <c r="I261" i="2" s="1"/>
  <c r="J261" i="2" s="1"/>
  <c r="K261" i="2" s="1"/>
  <c r="L261" i="2" s="1"/>
  <c r="M261" i="2" s="1"/>
  <c r="N261" i="2" s="1"/>
  <c r="O261" i="2" s="1"/>
  <c r="D250" i="2"/>
  <c r="E250" i="2" s="1"/>
  <c r="F250" i="2" s="1"/>
  <c r="G250" i="2" s="1"/>
  <c r="H250" i="2" s="1"/>
  <c r="I250" i="2" s="1"/>
  <c r="J250" i="2" s="1"/>
  <c r="K250" i="2" s="1"/>
  <c r="L250" i="2" s="1"/>
  <c r="M250" i="2" s="1"/>
  <c r="N250" i="2" s="1"/>
  <c r="O250" i="2" s="1"/>
  <c r="D231" i="2"/>
  <c r="E231" i="2" s="1"/>
  <c r="F231" i="2" s="1"/>
  <c r="G231" i="2" s="1"/>
  <c r="H231" i="2" s="1"/>
  <c r="I231" i="2" s="1"/>
  <c r="J231" i="2" s="1"/>
  <c r="K231" i="2" s="1"/>
  <c r="L231" i="2" s="1"/>
  <c r="M231" i="2" s="1"/>
  <c r="N231" i="2" s="1"/>
  <c r="O231" i="2" s="1"/>
  <c r="D221" i="2"/>
  <c r="E221" i="2" s="1"/>
  <c r="F221" i="2" s="1"/>
  <c r="G221" i="2" s="1"/>
  <c r="H221" i="2" s="1"/>
  <c r="I221" i="2" s="1"/>
  <c r="J221" i="2" s="1"/>
  <c r="K221" i="2" s="1"/>
  <c r="L221" i="2" s="1"/>
  <c r="M221" i="2" s="1"/>
  <c r="N221" i="2" s="1"/>
  <c r="O221" i="2" s="1"/>
  <c r="D203" i="2"/>
  <c r="E203" i="2" s="1"/>
  <c r="F203" i="2" s="1"/>
  <c r="G203" i="2" s="1"/>
  <c r="H203" i="2" s="1"/>
  <c r="I203" i="2" s="1"/>
  <c r="J203" i="2" s="1"/>
  <c r="K203" i="2" s="1"/>
  <c r="L203" i="2" s="1"/>
  <c r="M203" i="2" s="1"/>
  <c r="N203" i="2" s="1"/>
  <c r="O203" i="2" s="1"/>
  <c r="D182" i="2"/>
  <c r="E182" i="2" s="1"/>
  <c r="F182" i="2" s="1"/>
  <c r="G182" i="2" s="1"/>
  <c r="H182" i="2" s="1"/>
  <c r="I182" i="2" s="1"/>
  <c r="J182" i="2" s="1"/>
  <c r="K182" i="2" s="1"/>
  <c r="L182" i="2" s="1"/>
  <c r="M182" i="2" s="1"/>
  <c r="N182" i="2" s="1"/>
  <c r="O182" i="2" s="1"/>
  <c r="D171" i="2"/>
  <c r="E171" i="2" s="1"/>
  <c r="F171" i="2" s="1"/>
  <c r="G171" i="2" s="1"/>
  <c r="H171" i="2" s="1"/>
  <c r="I171" i="2" s="1"/>
  <c r="J171" i="2" s="1"/>
  <c r="K171" i="2" s="1"/>
  <c r="L171" i="2" s="1"/>
  <c r="M171" i="2" s="1"/>
  <c r="N171" i="2" s="1"/>
  <c r="O171" i="2" s="1"/>
  <c r="D163" i="2"/>
  <c r="E163" i="2" s="1"/>
  <c r="F163" i="2" s="1"/>
  <c r="G163" i="2" s="1"/>
  <c r="H163" i="2" s="1"/>
  <c r="I163" i="2" s="1"/>
  <c r="J163" i="2" s="1"/>
  <c r="K163" i="2" s="1"/>
  <c r="L163" i="2" s="1"/>
  <c r="M163" i="2" s="1"/>
  <c r="N163" i="2" s="1"/>
  <c r="O163" i="2" s="1"/>
  <c r="D154" i="2"/>
  <c r="E154" i="2" s="1"/>
  <c r="F154" i="2" s="1"/>
  <c r="G154" i="2" s="1"/>
  <c r="H154" i="2" s="1"/>
  <c r="I154" i="2" s="1"/>
  <c r="J154" i="2" s="1"/>
  <c r="K154" i="2" s="1"/>
  <c r="L154" i="2" s="1"/>
  <c r="M154" i="2" s="1"/>
  <c r="N154" i="2" s="1"/>
  <c r="O154" i="2" s="1"/>
  <c r="D145" i="2"/>
  <c r="E145" i="2" s="1"/>
  <c r="F145" i="2" s="1"/>
  <c r="G145" i="2" s="1"/>
  <c r="H145" i="2" s="1"/>
  <c r="I145" i="2" s="1"/>
  <c r="J145" i="2" s="1"/>
  <c r="K145" i="2" s="1"/>
  <c r="L145" i="2" s="1"/>
  <c r="M145" i="2" s="1"/>
  <c r="N145" i="2" s="1"/>
  <c r="O145" i="2" s="1"/>
  <c r="D119" i="2"/>
  <c r="E119" i="2" s="1"/>
  <c r="F119" i="2" s="1"/>
  <c r="G119" i="2" s="1"/>
  <c r="H119" i="2" s="1"/>
  <c r="I119" i="2" s="1"/>
  <c r="J119" i="2" s="1"/>
  <c r="K119" i="2" s="1"/>
  <c r="L119" i="2" s="1"/>
  <c r="M119" i="2" s="1"/>
  <c r="N119" i="2" s="1"/>
  <c r="O119" i="2" s="1"/>
  <c r="D108" i="2"/>
  <c r="E108" i="2" s="1"/>
  <c r="F108" i="2" s="1"/>
  <c r="G108" i="2" s="1"/>
  <c r="H108" i="2" s="1"/>
  <c r="I108" i="2" s="1"/>
  <c r="J108" i="2" s="1"/>
  <c r="K108" i="2" s="1"/>
  <c r="L108" i="2" s="1"/>
  <c r="M108" i="2" s="1"/>
  <c r="N108" i="2" s="1"/>
  <c r="O108" i="2" s="1"/>
  <c r="D99" i="2"/>
  <c r="E99" i="2" s="1"/>
  <c r="F99" i="2" s="1"/>
  <c r="G99" i="2" s="1"/>
  <c r="H99" i="2" s="1"/>
  <c r="I99" i="2" s="1"/>
  <c r="J99" i="2" s="1"/>
  <c r="K99" i="2" s="1"/>
  <c r="L99" i="2" s="1"/>
  <c r="M99" i="2" s="1"/>
  <c r="N99" i="2" s="1"/>
  <c r="O99" i="2" s="1"/>
  <c r="D88" i="2"/>
  <c r="E88" i="2" s="1"/>
  <c r="F88" i="2" s="1"/>
  <c r="G88" i="2" s="1"/>
  <c r="H88" i="2" s="1"/>
  <c r="I88" i="2" s="1"/>
  <c r="J88" i="2" s="1"/>
  <c r="K88" i="2" s="1"/>
  <c r="L88" i="2" s="1"/>
  <c r="M88" i="2" s="1"/>
  <c r="N88" i="2" s="1"/>
  <c r="O88" i="2" s="1"/>
  <c r="D68" i="2"/>
  <c r="E68" i="2" s="1"/>
  <c r="F68" i="2" s="1"/>
  <c r="G68" i="2" s="1"/>
  <c r="H68" i="2" s="1"/>
  <c r="I68" i="2" s="1"/>
  <c r="J68" i="2" s="1"/>
  <c r="K68" i="2" s="1"/>
  <c r="L68" i="2" s="1"/>
  <c r="M68" i="2" s="1"/>
  <c r="N68" i="2" s="1"/>
  <c r="O68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O48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O39" i="2" s="1"/>
  <c r="D30" i="2"/>
  <c r="E30" i="2" s="1"/>
  <c r="F30" i="2" s="1"/>
  <c r="G30" i="2" s="1"/>
  <c r="H30" i="2" s="1"/>
  <c r="I30" i="2" s="1"/>
  <c r="J30" i="2" s="1"/>
  <c r="K30" i="2" s="1"/>
  <c r="L30" i="2" s="1"/>
  <c r="M30" i="2" s="1"/>
  <c r="N30" i="2" s="1"/>
  <c r="O30" i="2" s="1"/>
  <c r="D489" i="2"/>
  <c r="E489" i="2" s="1"/>
  <c r="F489" i="2" s="1"/>
  <c r="G489" i="2" s="1"/>
  <c r="H489" i="2" s="1"/>
  <c r="I489" i="2" s="1"/>
  <c r="J489" i="2" s="1"/>
  <c r="K489" i="2" s="1"/>
  <c r="L489" i="2" s="1"/>
  <c r="M489" i="2" s="1"/>
  <c r="N489" i="2" s="1"/>
  <c r="O489" i="2" s="1"/>
  <c r="D480" i="2"/>
  <c r="E480" i="2" s="1"/>
  <c r="F480" i="2" s="1"/>
  <c r="G480" i="2" s="1"/>
  <c r="H480" i="2" s="1"/>
  <c r="I480" i="2" s="1"/>
  <c r="J480" i="2" s="1"/>
  <c r="K480" i="2" s="1"/>
  <c r="L480" i="2" s="1"/>
  <c r="M480" i="2" s="1"/>
  <c r="N480" i="2" s="1"/>
  <c r="O480" i="2" s="1"/>
  <c r="D471" i="2"/>
  <c r="E471" i="2" s="1"/>
  <c r="F471" i="2" s="1"/>
  <c r="G471" i="2" s="1"/>
  <c r="H471" i="2" s="1"/>
  <c r="I471" i="2" s="1"/>
  <c r="J471" i="2" s="1"/>
  <c r="K471" i="2" s="1"/>
  <c r="L471" i="2" s="1"/>
  <c r="M471" i="2" s="1"/>
  <c r="N471" i="2" s="1"/>
  <c r="O471" i="2" s="1"/>
  <c r="D461" i="2"/>
  <c r="E461" i="2" s="1"/>
  <c r="F461" i="2" s="1"/>
  <c r="G461" i="2" s="1"/>
  <c r="H461" i="2" s="1"/>
  <c r="I461" i="2" s="1"/>
  <c r="J461" i="2" s="1"/>
  <c r="K461" i="2" s="1"/>
  <c r="L461" i="2" s="1"/>
  <c r="M461" i="2" s="1"/>
  <c r="N461" i="2" s="1"/>
  <c r="O461" i="2" s="1"/>
  <c r="D451" i="2"/>
  <c r="E451" i="2" s="1"/>
  <c r="F451" i="2" s="1"/>
  <c r="G451" i="2" s="1"/>
  <c r="H451" i="2" s="1"/>
  <c r="I451" i="2" s="1"/>
  <c r="J451" i="2" s="1"/>
  <c r="K451" i="2" s="1"/>
  <c r="L451" i="2" s="1"/>
  <c r="M451" i="2" s="1"/>
  <c r="N451" i="2" s="1"/>
  <c r="O451" i="2" s="1"/>
  <c r="D442" i="2"/>
  <c r="E442" i="2" s="1"/>
  <c r="F442" i="2" s="1"/>
  <c r="G442" i="2" s="1"/>
  <c r="H442" i="2" s="1"/>
  <c r="I442" i="2" s="1"/>
  <c r="J442" i="2" s="1"/>
  <c r="K442" i="2" s="1"/>
  <c r="L442" i="2" s="1"/>
  <c r="M442" i="2" s="1"/>
  <c r="N442" i="2" s="1"/>
  <c r="O442" i="2" s="1"/>
  <c r="D431" i="2"/>
  <c r="E431" i="2" s="1"/>
  <c r="F431" i="2" s="1"/>
  <c r="G431" i="2" s="1"/>
  <c r="H431" i="2" s="1"/>
  <c r="I431" i="2" s="1"/>
  <c r="J431" i="2" s="1"/>
  <c r="K431" i="2" s="1"/>
  <c r="L431" i="2" s="1"/>
  <c r="M431" i="2" s="1"/>
  <c r="N431" i="2" s="1"/>
  <c r="O431" i="2" s="1"/>
  <c r="D422" i="2"/>
  <c r="E422" i="2" s="1"/>
  <c r="F422" i="2" s="1"/>
  <c r="G422" i="2" s="1"/>
  <c r="H422" i="2" s="1"/>
  <c r="I422" i="2" s="1"/>
  <c r="J422" i="2" s="1"/>
  <c r="K422" i="2" s="1"/>
  <c r="L422" i="2" s="1"/>
  <c r="M422" i="2" s="1"/>
  <c r="N422" i="2" s="1"/>
  <c r="O422" i="2" s="1"/>
  <c r="D398" i="2"/>
  <c r="E398" i="2" s="1"/>
  <c r="F398" i="2" s="1"/>
  <c r="G398" i="2" s="1"/>
  <c r="H398" i="2" s="1"/>
  <c r="I398" i="2" s="1"/>
  <c r="J398" i="2" s="1"/>
  <c r="K398" i="2" s="1"/>
  <c r="L398" i="2" s="1"/>
  <c r="M398" i="2" s="1"/>
  <c r="N398" i="2" s="1"/>
  <c r="O398" i="2" s="1"/>
  <c r="D388" i="2"/>
  <c r="E388" i="2" s="1"/>
  <c r="F388" i="2" s="1"/>
  <c r="G388" i="2" s="1"/>
  <c r="H388" i="2" s="1"/>
  <c r="I388" i="2" s="1"/>
  <c r="J388" i="2" s="1"/>
  <c r="K388" i="2" s="1"/>
  <c r="L388" i="2" s="1"/>
  <c r="M388" i="2" s="1"/>
  <c r="N388" i="2" s="1"/>
  <c r="O388" i="2" s="1"/>
  <c r="D379" i="2"/>
  <c r="E379" i="2" s="1"/>
  <c r="F379" i="2" s="1"/>
  <c r="G379" i="2" s="1"/>
  <c r="H379" i="2" s="1"/>
  <c r="I379" i="2" s="1"/>
  <c r="J379" i="2" s="1"/>
  <c r="K379" i="2" s="1"/>
  <c r="L379" i="2" s="1"/>
  <c r="M379" i="2" s="1"/>
  <c r="N379" i="2" s="1"/>
  <c r="O379" i="2" s="1"/>
  <c r="D369" i="2"/>
  <c r="E369" i="2" s="1"/>
  <c r="F369" i="2" s="1"/>
  <c r="G369" i="2" s="1"/>
  <c r="H369" i="2" s="1"/>
  <c r="I369" i="2" s="1"/>
  <c r="J369" i="2" s="1"/>
  <c r="K369" i="2" s="1"/>
  <c r="L369" i="2" s="1"/>
  <c r="M369" i="2" s="1"/>
  <c r="N369" i="2" s="1"/>
  <c r="O369" i="2" s="1"/>
  <c r="D358" i="2"/>
  <c r="E358" i="2" s="1"/>
  <c r="F358" i="2" s="1"/>
  <c r="G358" i="2" s="1"/>
  <c r="H358" i="2" s="1"/>
  <c r="I358" i="2" s="1"/>
  <c r="J358" i="2" s="1"/>
  <c r="K358" i="2" s="1"/>
  <c r="L358" i="2" s="1"/>
  <c r="M358" i="2" s="1"/>
  <c r="N358" i="2" s="1"/>
  <c r="O358" i="2" s="1"/>
  <c r="D348" i="2"/>
  <c r="E348" i="2" s="1"/>
  <c r="F348" i="2" s="1"/>
  <c r="G348" i="2" s="1"/>
  <c r="H348" i="2" s="1"/>
  <c r="I348" i="2" s="1"/>
  <c r="J348" i="2" s="1"/>
  <c r="K348" i="2" s="1"/>
  <c r="L348" i="2" s="1"/>
  <c r="M348" i="2" s="1"/>
  <c r="N348" i="2" s="1"/>
  <c r="O348" i="2" s="1"/>
  <c r="D338" i="2"/>
  <c r="E338" i="2" s="1"/>
  <c r="F338" i="2" s="1"/>
  <c r="G338" i="2" s="1"/>
  <c r="H338" i="2" s="1"/>
  <c r="I338" i="2" s="1"/>
  <c r="J338" i="2" s="1"/>
  <c r="K338" i="2" s="1"/>
  <c r="L338" i="2" s="1"/>
  <c r="M338" i="2" s="1"/>
  <c r="N338" i="2" s="1"/>
  <c r="O338" i="2" s="1"/>
  <c r="D327" i="2"/>
  <c r="E327" i="2" s="1"/>
  <c r="F327" i="2" s="1"/>
  <c r="G327" i="2" s="1"/>
  <c r="H327" i="2" s="1"/>
  <c r="I327" i="2" s="1"/>
  <c r="J327" i="2" s="1"/>
  <c r="K327" i="2" s="1"/>
  <c r="L327" i="2" s="1"/>
  <c r="M327" i="2" s="1"/>
  <c r="N327" i="2" s="1"/>
  <c r="O327" i="2" s="1"/>
  <c r="D317" i="2"/>
  <c r="E317" i="2" s="1"/>
  <c r="F317" i="2" s="1"/>
  <c r="G317" i="2" s="1"/>
  <c r="H317" i="2" s="1"/>
  <c r="I317" i="2" s="1"/>
  <c r="J317" i="2" s="1"/>
  <c r="K317" i="2" s="1"/>
  <c r="L317" i="2" s="1"/>
  <c r="M317" i="2" s="1"/>
  <c r="N317" i="2" s="1"/>
  <c r="O317" i="2" s="1"/>
  <c r="D308" i="2"/>
  <c r="E308" i="2" s="1"/>
  <c r="F308" i="2" s="1"/>
  <c r="G308" i="2" s="1"/>
  <c r="H308" i="2" s="1"/>
  <c r="I308" i="2" s="1"/>
  <c r="J308" i="2" s="1"/>
  <c r="K308" i="2" s="1"/>
  <c r="L308" i="2" s="1"/>
  <c r="M308" i="2" s="1"/>
  <c r="N308" i="2" s="1"/>
  <c r="O308" i="2" s="1"/>
  <c r="D299" i="2"/>
  <c r="E299" i="2" s="1"/>
  <c r="F299" i="2" s="1"/>
  <c r="G299" i="2" s="1"/>
  <c r="H299" i="2" s="1"/>
  <c r="I299" i="2" s="1"/>
  <c r="J299" i="2" s="1"/>
  <c r="K299" i="2" s="1"/>
  <c r="L299" i="2" s="1"/>
  <c r="M299" i="2" s="1"/>
  <c r="N299" i="2" s="1"/>
  <c r="O299" i="2" s="1"/>
  <c r="D290" i="2"/>
  <c r="E290" i="2" s="1"/>
  <c r="F290" i="2" s="1"/>
  <c r="G290" i="2" s="1"/>
  <c r="H290" i="2" s="1"/>
  <c r="I290" i="2" s="1"/>
  <c r="J290" i="2" s="1"/>
  <c r="K290" i="2" s="1"/>
  <c r="L290" i="2" s="1"/>
  <c r="M290" i="2" s="1"/>
  <c r="N290" i="2" s="1"/>
  <c r="O290" i="2" s="1"/>
  <c r="D280" i="2"/>
  <c r="E280" i="2" s="1"/>
  <c r="F280" i="2" s="1"/>
  <c r="G280" i="2" s="1"/>
  <c r="H280" i="2" s="1"/>
  <c r="I280" i="2" s="1"/>
  <c r="J280" i="2" s="1"/>
  <c r="K280" i="2" s="1"/>
  <c r="L280" i="2" s="1"/>
  <c r="M280" i="2" s="1"/>
  <c r="N280" i="2" s="1"/>
  <c r="O280" i="2" s="1"/>
  <c r="D260" i="2"/>
  <c r="E260" i="2" s="1"/>
  <c r="F260" i="2" s="1"/>
  <c r="G260" i="2" s="1"/>
  <c r="H260" i="2" s="1"/>
  <c r="I260" i="2" s="1"/>
  <c r="J260" i="2" s="1"/>
  <c r="K260" i="2" s="1"/>
  <c r="L260" i="2" s="1"/>
  <c r="M260" i="2" s="1"/>
  <c r="N260" i="2" s="1"/>
  <c r="O260" i="2" s="1"/>
  <c r="D249" i="2"/>
  <c r="E249" i="2" s="1"/>
  <c r="F249" i="2" s="1"/>
  <c r="G249" i="2" s="1"/>
  <c r="H249" i="2" s="1"/>
  <c r="I249" i="2" s="1"/>
  <c r="J249" i="2" s="1"/>
  <c r="K249" i="2" s="1"/>
  <c r="L249" i="2" s="1"/>
  <c r="M249" i="2" s="1"/>
  <c r="N249" i="2" s="1"/>
  <c r="O249" i="2" s="1"/>
  <c r="D230" i="2"/>
  <c r="E230" i="2" s="1"/>
  <c r="F230" i="2" s="1"/>
  <c r="G230" i="2" s="1"/>
  <c r="H230" i="2" s="1"/>
  <c r="I230" i="2" s="1"/>
  <c r="J230" i="2" s="1"/>
  <c r="K230" i="2" s="1"/>
  <c r="L230" i="2" s="1"/>
  <c r="M230" i="2" s="1"/>
  <c r="N230" i="2" s="1"/>
  <c r="O230" i="2" s="1"/>
  <c r="D220" i="2"/>
  <c r="E220" i="2" s="1"/>
  <c r="F220" i="2" s="1"/>
  <c r="G220" i="2" s="1"/>
  <c r="H220" i="2" s="1"/>
  <c r="I220" i="2" s="1"/>
  <c r="J220" i="2" s="1"/>
  <c r="K220" i="2" s="1"/>
  <c r="L220" i="2" s="1"/>
  <c r="M220" i="2" s="1"/>
  <c r="N220" i="2" s="1"/>
  <c r="O220" i="2" s="1"/>
  <c r="D211" i="2"/>
  <c r="E211" i="2" s="1"/>
  <c r="F211" i="2" s="1"/>
  <c r="G211" i="2" s="1"/>
  <c r="H211" i="2" s="1"/>
  <c r="I211" i="2" s="1"/>
  <c r="J211" i="2" s="1"/>
  <c r="K211" i="2" s="1"/>
  <c r="L211" i="2" s="1"/>
  <c r="M211" i="2" s="1"/>
  <c r="N211" i="2" s="1"/>
  <c r="O211" i="2" s="1"/>
  <c r="D202" i="2"/>
  <c r="E202" i="2" s="1"/>
  <c r="F202" i="2" s="1"/>
  <c r="G202" i="2" s="1"/>
  <c r="H202" i="2" s="1"/>
  <c r="I202" i="2" s="1"/>
  <c r="J202" i="2" s="1"/>
  <c r="K202" i="2" s="1"/>
  <c r="L202" i="2" s="1"/>
  <c r="M202" i="2" s="1"/>
  <c r="N202" i="2" s="1"/>
  <c r="O202" i="2" s="1"/>
  <c r="D181" i="2"/>
  <c r="E181" i="2" s="1"/>
  <c r="F181" i="2" s="1"/>
  <c r="G181" i="2" s="1"/>
  <c r="H181" i="2" s="1"/>
  <c r="I181" i="2" s="1"/>
  <c r="J181" i="2" s="1"/>
  <c r="K181" i="2" s="1"/>
  <c r="L181" i="2" s="1"/>
  <c r="M181" i="2" s="1"/>
  <c r="N181" i="2" s="1"/>
  <c r="O181" i="2" s="1"/>
  <c r="D170" i="2"/>
  <c r="E170" i="2" s="1"/>
  <c r="F170" i="2" s="1"/>
  <c r="G170" i="2" s="1"/>
  <c r="H170" i="2" s="1"/>
  <c r="I170" i="2" s="1"/>
  <c r="J170" i="2" s="1"/>
  <c r="K170" i="2" s="1"/>
  <c r="L170" i="2" s="1"/>
  <c r="M170" i="2" s="1"/>
  <c r="N170" i="2" s="1"/>
  <c r="O170" i="2" s="1"/>
  <c r="D162" i="2"/>
  <c r="E162" i="2" s="1"/>
  <c r="F162" i="2" s="1"/>
  <c r="G162" i="2" s="1"/>
  <c r="H162" i="2" s="1"/>
  <c r="I162" i="2" s="1"/>
  <c r="J162" i="2" s="1"/>
  <c r="K162" i="2" s="1"/>
  <c r="L162" i="2" s="1"/>
  <c r="M162" i="2" s="1"/>
  <c r="N162" i="2" s="1"/>
  <c r="O162" i="2" s="1"/>
  <c r="D153" i="2"/>
  <c r="E153" i="2" s="1"/>
  <c r="F153" i="2" s="1"/>
  <c r="G153" i="2" s="1"/>
  <c r="H153" i="2" s="1"/>
  <c r="I153" i="2" s="1"/>
  <c r="J153" i="2" s="1"/>
  <c r="K153" i="2" s="1"/>
  <c r="L153" i="2" s="1"/>
  <c r="M153" i="2" s="1"/>
  <c r="N153" i="2" s="1"/>
  <c r="O153" i="2" s="1"/>
  <c r="D144" i="2"/>
  <c r="E144" i="2" s="1"/>
  <c r="F144" i="2" s="1"/>
  <c r="G144" i="2" s="1"/>
  <c r="H144" i="2" s="1"/>
  <c r="I144" i="2" s="1"/>
  <c r="J144" i="2" s="1"/>
  <c r="K144" i="2" s="1"/>
  <c r="L144" i="2" s="1"/>
  <c r="M144" i="2" s="1"/>
  <c r="N144" i="2" s="1"/>
  <c r="O144" i="2" s="1"/>
  <c r="D118" i="2"/>
  <c r="E118" i="2" s="1"/>
  <c r="F118" i="2" s="1"/>
  <c r="G118" i="2" s="1"/>
  <c r="H118" i="2" s="1"/>
  <c r="I118" i="2" s="1"/>
  <c r="J118" i="2" s="1"/>
  <c r="K118" i="2" s="1"/>
  <c r="L118" i="2" s="1"/>
  <c r="M118" i="2" s="1"/>
  <c r="N118" i="2" s="1"/>
  <c r="O118" i="2" s="1"/>
  <c r="D107" i="2"/>
  <c r="E107" i="2" s="1"/>
  <c r="F107" i="2" s="1"/>
  <c r="G107" i="2" s="1"/>
  <c r="H107" i="2" s="1"/>
  <c r="I107" i="2" s="1"/>
  <c r="J107" i="2" s="1"/>
  <c r="K107" i="2" s="1"/>
  <c r="L107" i="2" s="1"/>
  <c r="M107" i="2" s="1"/>
  <c r="N107" i="2" s="1"/>
  <c r="O107" i="2" s="1"/>
  <c r="D98" i="2"/>
  <c r="E98" i="2" s="1"/>
  <c r="F98" i="2" s="1"/>
  <c r="G98" i="2" s="1"/>
  <c r="H98" i="2" s="1"/>
  <c r="I98" i="2" s="1"/>
  <c r="J98" i="2" s="1"/>
  <c r="K98" i="2" s="1"/>
  <c r="L98" i="2" s="1"/>
  <c r="M98" i="2" s="1"/>
  <c r="N98" i="2" s="1"/>
  <c r="O98" i="2" s="1"/>
  <c r="D87" i="2"/>
  <c r="E87" i="2" s="1"/>
  <c r="F87" i="2" s="1"/>
  <c r="G87" i="2" s="1"/>
  <c r="H87" i="2" s="1"/>
  <c r="I87" i="2" s="1"/>
  <c r="J87" i="2" s="1"/>
  <c r="K87" i="2" s="1"/>
  <c r="L87" i="2" s="1"/>
  <c r="M87" i="2" s="1"/>
  <c r="N87" i="2" s="1"/>
  <c r="O87" i="2" s="1"/>
  <c r="D78" i="2"/>
  <c r="E78" i="2" s="1"/>
  <c r="F78" i="2" s="1"/>
  <c r="G78" i="2" s="1"/>
  <c r="H78" i="2" s="1"/>
  <c r="I78" i="2" s="1"/>
  <c r="J78" i="2" s="1"/>
  <c r="K78" i="2" s="1"/>
  <c r="L78" i="2" s="1"/>
  <c r="M78" i="2" s="1"/>
  <c r="N78" i="2" s="1"/>
  <c r="O78" i="2" s="1"/>
  <c r="D67" i="2"/>
  <c r="E67" i="2" s="1"/>
  <c r="F67" i="2" s="1"/>
  <c r="G67" i="2" s="1"/>
  <c r="H67" i="2" s="1"/>
  <c r="I67" i="2" s="1"/>
  <c r="J67" i="2" s="1"/>
  <c r="K67" i="2" s="1"/>
  <c r="L67" i="2" s="1"/>
  <c r="M67" i="2" s="1"/>
  <c r="N67" i="2" s="1"/>
  <c r="O67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O47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D29" i="2"/>
  <c r="E29" i="2" s="1"/>
  <c r="F29" i="2" s="1"/>
  <c r="G29" i="2" s="1"/>
  <c r="H29" i="2" s="1"/>
  <c r="I29" i="2" s="1"/>
  <c r="J29" i="2" s="1"/>
  <c r="K29" i="2" s="1"/>
  <c r="L29" i="2" s="1"/>
  <c r="M29" i="2" s="1"/>
  <c r="N29" i="2" s="1"/>
  <c r="O29" i="2" s="1"/>
  <c r="D514" i="2"/>
  <c r="E514" i="2" s="1"/>
  <c r="F514" i="2" s="1"/>
  <c r="G514" i="2" s="1"/>
  <c r="H514" i="2" s="1"/>
  <c r="I514" i="2" s="1"/>
  <c r="J514" i="2" s="1"/>
  <c r="K514" i="2" s="1"/>
  <c r="L514" i="2" s="1"/>
  <c r="M514" i="2" s="1"/>
  <c r="N514" i="2" s="1"/>
  <c r="O514" i="2" s="1"/>
  <c r="D504" i="2"/>
  <c r="E504" i="2" s="1"/>
  <c r="F504" i="2" s="1"/>
  <c r="G504" i="2" s="1"/>
  <c r="H504" i="2" s="1"/>
  <c r="I504" i="2" s="1"/>
  <c r="J504" i="2" s="1"/>
  <c r="K504" i="2" s="1"/>
  <c r="L504" i="2" s="1"/>
  <c r="M504" i="2" s="1"/>
  <c r="N504" i="2" s="1"/>
  <c r="O504" i="2" s="1"/>
  <c r="D496" i="2"/>
  <c r="E496" i="2" s="1"/>
  <c r="F496" i="2" s="1"/>
  <c r="G496" i="2" s="1"/>
  <c r="H496" i="2" s="1"/>
  <c r="I496" i="2" s="1"/>
  <c r="J496" i="2" s="1"/>
  <c r="K496" i="2" s="1"/>
  <c r="L496" i="2" s="1"/>
  <c r="M496" i="2" s="1"/>
  <c r="N496" i="2" s="1"/>
  <c r="O496" i="2" s="1"/>
  <c r="D488" i="2"/>
  <c r="E488" i="2" s="1"/>
  <c r="F488" i="2" s="1"/>
  <c r="G488" i="2" s="1"/>
  <c r="H488" i="2" s="1"/>
  <c r="I488" i="2" s="1"/>
  <c r="J488" i="2" s="1"/>
  <c r="K488" i="2" s="1"/>
  <c r="L488" i="2" s="1"/>
  <c r="M488" i="2" s="1"/>
  <c r="N488" i="2" s="1"/>
  <c r="O488" i="2" s="1"/>
  <c r="D470" i="2"/>
  <c r="E470" i="2" s="1"/>
  <c r="F470" i="2" s="1"/>
  <c r="G470" i="2" s="1"/>
  <c r="H470" i="2" s="1"/>
  <c r="I470" i="2" s="1"/>
  <c r="J470" i="2" s="1"/>
  <c r="K470" i="2" s="1"/>
  <c r="L470" i="2" s="1"/>
  <c r="M470" i="2" s="1"/>
  <c r="N470" i="2" s="1"/>
  <c r="O470" i="2" s="1"/>
  <c r="D460" i="2"/>
  <c r="E460" i="2" s="1"/>
  <c r="F460" i="2" s="1"/>
  <c r="G460" i="2" s="1"/>
  <c r="H460" i="2" s="1"/>
  <c r="I460" i="2" s="1"/>
  <c r="J460" i="2" s="1"/>
  <c r="K460" i="2" s="1"/>
  <c r="L460" i="2" s="1"/>
  <c r="M460" i="2" s="1"/>
  <c r="N460" i="2" s="1"/>
  <c r="O460" i="2" s="1"/>
  <c r="D441" i="2"/>
  <c r="E441" i="2" s="1"/>
  <c r="F441" i="2" s="1"/>
  <c r="G441" i="2" s="1"/>
  <c r="H441" i="2" s="1"/>
  <c r="I441" i="2" s="1"/>
  <c r="J441" i="2" s="1"/>
  <c r="K441" i="2" s="1"/>
  <c r="L441" i="2" s="1"/>
  <c r="M441" i="2" s="1"/>
  <c r="N441" i="2" s="1"/>
  <c r="O441" i="2" s="1"/>
  <c r="D430" i="2"/>
  <c r="E430" i="2" s="1"/>
  <c r="F430" i="2" s="1"/>
  <c r="G430" i="2" s="1"/>
  <c r="H430" i="2" s="1"/>
  <c r="I430" i="2" s="1"/>
  <c r="J430" i="2" s="1"/>
  <c r="K430" i="2" s="1"/>
  <c r="L430" i="2" s="1"/>
  <c r="M430" i="2" s="1"/>
  <c r="N430" i="2" s="1"/>
  <c r="O430" i="2" s="1"/>
  <c r="D413" i="2"/>
  <c r="E413" i="2" s="1"/>
  <c r="F413" i="2" s="1"/>
  <c r="G413" i="2" s="1"/>
  <c r="H413" i="2" s="1"/>
  <c r="I413" i="2" s="1"/>
  <c r="J413" i="2" s="1"/>
  <c r="K413" i="2" s="1"/>
  <c r="L413" i="2" s="1"/>
  <c r="M413" i="2" s="1"/>
  <c r="N413" i="2" s="1"/>
  <c r="O413" i="2" s="1"/>
  <c r="D404" i="2"/>
  <c r="E404" i="2" s="1"/>
  <c r="F404" i="2" s="1"/>
  <c r="G404" i="2" s="1"/>
  <c r="H404" i="2" s="1"/>
  <c r="I404" i="2" s="1"/>
  <c r="J404" i="2" s="1"/>
  <c r="K404" i="2" s="1"/>
  <c r="L404" i="2" s="1"/>
  <c r="M404" i="2" s="1"/>
  <c r="N404" i="2" s="1"/>
  <c r="O404" i="2" s="1"/>
  <c r="D378" i="2"/>
  <c r="E378" i="2" s="1"/>
  <c r="F378" i="2" s="1"/>
  <c r="G378" i="2" s="1"/>
  <c r="H378" i="2" s="1"/>
  <c r="I378" i="2" s="1"/>
  <c r="J378" i="2" s="1"/>
  <c r="K378" i="2" s="1"/>
  <c r="L378" i="2" s="1"/>
  <c r="M378" i="2" s="1"/>
  <c r="N378" i="2" s="1"/>
  <c r="O378" i="2" s="1"/>
  <c r="D368" i="2"/>
  <c r="E368" i="2" s="1"/>
  <c r="F368" i="2" s="1"/>
  <c r="G368" i="2" s="1"/>
  <c r="H368" i="2" s="1"/>
  <c r="I368" i="2" s="1"/>
  <c r="J368" i="2" s="1"/>
  <c r="K368" i="2" s="1"/>
  <c r="L368" i="2" s="1"/>
  <c r="M368" i="2" s="1"/>
  <c r="N368" i="2" s="1"/>
  <c r="O368" i="2" s="1"/>
  <c r="D357" i="2"/>
  <c r="E357" i="2" s="1"/>
  <c r="F357" i="2" s="1"/>
  <c r="G357" i="2" s="1"/>
  <c r="H357" i="2" s="1"/>
  <c r="I357" i="2" s="1"/>
  <c r="J357" i="2" s="1"/>
  <c r="K357" i="2" s="1"/>
  <c r="L357" i="2" s="1"/>
  <c r="M357" i="2" s="1"/>
  <c r="N357" i="2" s="1"/>
  <c r="O357" i="2" s="1"/>
  <c r="D347" i="2"/>
  <c r="E347" i="2" s="1"/>
  <c r="F347" i="2" s="1"/>
  <c r="G347" i="2" s="1"/>
  <c r="H347" i="2" s="1"/>
  <c r="I347" i="2" s="1"/>
  <c r="J347" i="2" s="1"/>
  <c r="K347" i="2" s="1"/>
  <c r="L347" i="2" s="1"/>
  <c r="M347" i="2" s="1"/>
  <c r="N347" i="2" s="1"/>
  <c r="O347" i="2" s="1"/>
  <c r="D337" i="2"/>
  <c r="E337" i="2" s="1"/>
  <c r="F337" i="2" s="1"/>
  <c r="G337" i="2" s="1"/>
  <c r="H337" i="2" s="1"/>
  <c r="I337" i="2" s="1"/>
  <c r="J337" i="2" s="1"/>
  <c r="K337" i="2" s="1"/>
  <c r="L337" i="2" s="1"/>
  <c r="M337" i="2" s="1"/>
  <c r="N337" i="2" s="1"/>
  <c r="O337" i="2" s="1"/>
  <c r="D298" i="2"/>
  <c r="E298" i="2" s="1"/>
  <c r="F298" i="2" s="1"/>
  <c r="G298" i="2" s="1"/>
  <c r="H298" i="2" s="1"/>
  <c r="I298" i="2" s="1"/>
  <c r="J298" i="2" s="1"/>
  <c r="K298" i="2" s="1"/>
  <c r="L298" i="2" s="1"/>
  <c r="M298" i="2" s="1"/>
  <c r="N298" i="2" s="1"/>
  <c r="O298" i="2" s="1"/>
  <c r="D289" i="2"/>
  <c r="E289" i="2" s="1"/>
  <c r="F289" i="2" s="1"/>
  <c r="G289" i="2" s="1"/>
  <c r="H289" i="2" s="1"/>
  <c r="I289" i="2" s="1"/>
  <c r="J289" i="2" s="1"/>
  <c r="K289" i="2" s="1"/>
  <c r="L289" i="2" s="1"/>
  <c r="M289" i="2" s="1"/>
  <c r="N289" i="2" s="1"/>
  <c r="O289" i="2" s="1"/>
  <c r="D279" i="2"/>
  <c r="E279" i="2" s="1"/>
  <c r="F279" i="2" s="1"/>
  <c r="G279" i="2" s="1"/>
  <c r="H279" i="2" s="1"/>
  <c r="I279" i="2" s="1"/>
  <c r="J279" i="2" s="1"/>
  <c r="K279" i="2" s="1"/>
  <c r="L279" i="2" s="1"/>
  <c r="M279" i="2" s="1"/>
  <c r="N279" i="2" s="1"/>
  <c r="O279" i="2" s="1"/>
  <c r="D269" i="2"/>
  <c r="E269" i="2" s="1"/>
  <c r="F269" i="2" s="1"/>
  <c r="G269" i="2" s="1"/>
  <c r="H269" i="2" s="1"/>
  <c r="I269" i="2" s="1"/>
  <c r="J269" i="2" s="1"/>
  <c r="K269" i="2" s="1"/>
  <c r="L269" i="2" s="1"/>
  <c r="M269" i="2" s="1"/>
  <c r="N269" i="2" s="1"/>
  <c r="O269" i="2" s="1"/>
  <c r="D259" i="2"/>
  <c r="E259" i="2" s="1"/>
  <c r="F259" i="2" s="1"/>
  <c r="G259" i="2" s="1"/>
  <c r="H259" i="2" s="1"/>
  <c r="I259" i="2" s="1"/>
  <c r="J259" i="2" s="1"/>
  <c r="K259" i="2" s="1"/>
  <c r="L259" i="2" s="1"/>
  <c r="M259" i="2" s="1"/>
  <c r="N259" i="2" s="1"/>
  <c r="O259" i="2" s="1"/>
  <c r="D239" i="2"/>
  <c r="E239" i="2" s="1"/>
  <c r="F239" i="2" s="1"/>
  <c r="G239" i="2" s="1"/>
  <c r="H239" i="2" s="1"/>
  <c r="I239" i="2" s="1"/>
  <c r="J239" i="2" s="1"/>
  <c r="K239" i="2" s="1"/>
  <c r="L239" i="2" s="1"/>
  <c r="M239" i="2" s="1"/>
  <c r="N239" i="2" s="1"/>
  <c r="O239" i="2" s="1"/>
  <c r="D229" i="2"/>
  <c r="E229" i="2" s="1"/>
  <c r="F229" i="2" s="1"/>
  <c r="G229" i="2" s="1"/>
  <c r="H229" i="2" s="1"/>
  <c r="I229" i="2" s="1"/>
  <c r="J229" i="2" s="1"/>
  <c r="K229" i="2" s="1"/>
  <c r="L229" i="2" s="1"/>
  <c r="M229" i="2" s="1"/>
  <c r="N229" i="2" s="1"/>
  <c r="O229" i="2" s="1"/>
  <c r="D219" i="2"/>
  <c r="E219" i="2" s="1"/>
  <c r="F219" i="2" s="1"/>
  <c r="G219" i="2" s="1"/>
  <c r="H219" i="2" s="1"/>
  <c r="I219" i="2" s="1"/>
  <c r="J219" i="2" s="1"/>
  <c r="K219" i="2" s="1"/>
  <c r="L219" i="2" s="1"/>
  <c r="M219" i="2" s="1"/>
  <c r="N219" i="2" s="1"/>
  <c r="O219" i="2" s="1"/>
  <c r="D210" i="2"/>
  <c r="E210" i="2" s="1"/>
  <c r="F210" i="2" s="1"/>
  <c r="G210" i="2" s="1"/>
  <c r="H210" i="2" s="1"/>
  <c r="I210" i="2" s="1"/>
  <c r="J210" i="2" s="1"/>
  <c r="K210" i="2" s="1"/>
  <c r="L210" i="2" s="1"/>
  <c r="M210" i="2" s="1"/>
  <c r="N210" i="2" s="1"/>
  <c r="O210" i="2" s="1"/>
  <c r="D201" i="2"/>
  <c r="E201" i="2" s="1"/>
  <c r="F201" i="2" s="1"/>
  <c r="G201" i="2" s="1"/>
  <c r="H201" i="2" s="1"/>
  <c r="I201" i="2" s="1"/>
  <c r="J201" i="2" s="1"/>
  <c r="K201" i="2" s="1"/>
  <c r="L201" i="2" s="1"/>
  <c r="M201" i="2" s="1"/>
  <c r="N201" i="2" s="1"/>
  <c r="O201" i="2" s="1"/>
  <c r="D180" i="2"/>
  <c r="E180" i="2" s="1"/>
  <c r="F180" i="2" s="1"/>
  <c r="G180" i="2" s="1"/>
  <c r="H180" i="2" s="1"/>
  <c r="I180" i="2" s="1"/>
  <c r="J180" i="2" s="1"/>
  <c r="K180" i="2" s="1"/>
  <c r="L180" i="2" s="1"/>
  <c r="M180" i="2" s="1"/>
  <c r="N180" i="2" s="1"/>
  <c r="O180" i="2" s="1"/>
  <c r="D161" i="2"/>
  <c r="E161" i="2" s="1"/>
  <c r="F161" i="2" s="1"/>
  <c r="G161" i="2" s="1"/>
  <c r="H161" i="2" s="1"/>
  <c r="I161" i="2" s="1"/>
  <c r="J161" i="2" s="1"/>
  <c r="K161" i="2" s="1"/>
  <c r="L161" i="2" s="1"/>
  <c r="M161" i="2" s="1"/>
  <c r="N161" i="2" s="1"/>
  <c r="O161" i="2" s="1"/>
  <c r="D135" i="2"/>
  <c r="E135" i="2" s="1"/>
  <c r="F135" i="2" s="1"/>
  <c r="G135" i="2" s="1"/>
  <c r="H135" i="2" s="1"/>
  <c r="I135" i="2" s="1"/>
  <c r="J135" i="2" s="1"/>
  <c r="K135" i="2" s="1"/>
  <c r="L135" i="2" s="1"/>
  <c r="M135" i="2" s="1"/>
  <c r="N135" i="2" s="1"/>
  <c r="O135" i="2" s="1"/>
  <c r="D126" i="2"/>
  <c r="E126" i="2" s="1"/>
  <c r="F126" i="2" s="1"/>
  <c r="G126" i="2" s="1"/>
  <c r="H126" i="2" s="1"/>
  <c r="I126" i="2" s="1"/>
  <c r="J126" i="2" s="1"/>
  <c r="K126" i="2" s="1"/>
  <c r="L126" i="2" s="1"/>
  <c r="M126" i="2" s="1"/>
  <c r="N126" i="2" s="1"/>
  <c r="O126" i="2" s="1"/>
  <c r="D117" i="2"/>
  <c r="E117" i="2" s="1"/>
  <c r="F117" i="2" s="1"/>
  <c r="G117" i="2" s="1"/>
  <c r="H117" i="2" s="1"/>
  <c r="I117" i="2" s="1"/>
  <c r="J117" i="2" s="1"/>
  <c r="K117" i="2" s="1"/>
  <c r="L117" i="2" s="1"/>
  <c r="M117" i="2" s="1"/>
  <c r="N117" i="2" s="1"/>
  <c r="O117" i="2" s="1"/>
  <c r="D106" i="2"/>
  <c r="E106" i="2" s="1"/>
  <c r="F106" i="2" s="1"/>
  <c r="G106" i="2" s="1"/>
  <c r="H106" i="2" s="1"/>
  <c r="I106" i="2" s="1"/>
  <c r="J106" i="2" s="1"/>
  <c r="K106" i="2" s="1"/>
  <c r="L106" i="2" s="1"/>
  <c r="M106" i="2" s="1"/>
  <c r="N106" i="2" s="1"/>
  <c r="O106" i="2" s="1"/>
  <c r="D97" i="2"/>
  <c r="E97" i="2" s="1"/>
  <c r="F97" i="2" s="1"/>
  <c r="G97" i="2" s="1"/>
  <c r="H97" i="2" s="1"/>
  <c r="I97" i="2" s="1"/>
  <c r="J97" i="2" s="1"/>
  <c r="K97" i="2" s="1"/>
  <c r="L97" i="2" s="1"/>
  <c r="M97" i="2" s="1"/>
  <c r="N97" i="2" s="1"/>
  <c r="O97" i="2" s="1"/>
  <c r="D86" i="2"/>
  <c r="E86" i="2" s="1"/>
  <c r="F86" i="2" s="1"/>
  <c r="G86" i="2" s="1"/>
  <c r="H86" i="2" s="1"/>
  <c r="I86" i="2" s="1"/>
  <c r="J86" i="2" s="1"/>
  <c r="K86" i="2" s="1"/>
  <c r="L86" i="2" s="1"/>
  <c r="M86" i="2" s="1"/>
  <c r="N86" i="2" s="1"/>
  <c r="O86" i="2" s="1"/>
  <c r="D77" i="2"/>
  <c r="E77" i="2" s="1"/>
  <c r="F77" i="2" s="1"/>
  <c r="G77" i="2" s="1"/>
  <c r="H77" i="2" s="1"/>
  <c r="I77" i="2" s="1"/>
  <c r="J77" i="2" s="1"/>
  <c r="K77" i="2" s="1"/>
  <c r="L77" i="2" s="1"/>
  <c r="M77" i="2" s="1"/>
  <c r="N77" i="2" s="1"/>
  <c r="O77" i="2" s="1"/>
  <c r="D66" i="2"/>
  <c r="E66" i="2" s="1"/>
  <c r="F66" i="2" s="1"/>
  <c r="G66" i="2" s="1"/>
  <c r="H66" i="2" s="1"/>
  <c r="I66" i="2" s="1"/>
  <c r="J66" i="2" s="1"/>
  <c r="K66" i="2" s="1"/>
  <c r="L66" i="2" s="1"/>
  <c r="M66" i="2" s="1"/>
  <c r="N66" i="2" s="1"/>
  <c r="O66" i="2" s="1"/>
  <c r="D57" i="2"/>
  <c r="E57" i="2" s="1"/>
  <c r="F57" i="2" s="1"/>
  <c r="G57" i="2" s="1"/>
  <c r="H57" i="2" s="1"/>
  <c r="I57" i="2" s="1"/>
  <c r="J57" i="2" s="1"/>
  <c r="K57" i="2" s="1"/>
  <c r="L57" i="2" s="1"/>
  <c r="M57" i="2" s="1"/>
  <c r="N57" i="2" s="1"/>
  <c r="O57" i="2" s="1"/>
  <c r="D28" i="2"/>
  <c r="E28" i="2" s="1"/>
  <c r="F28" i="2" s="1"/>
  <c r="G28" i="2" s="1"/>
  <c r="H28" i="2" s="1"/>
  <c r="I28" i="2" s="1"/>
  <c r="J28" i="2" s="1"/>
  <c r="K28" i="2" s="1"/>
  <c r="L28" i="2" s="1"/>
  <c r="M28" i="2" s="1"/>
  <c r="N28" i="2" s="1"/>
  <c r="O28" i="2" s="1"/>
  <c r="D521" i="2"/>
  <c r="E521" i="2" s="1"/>
  <c r="F521" i="2" s="1"/>
  <c r="G521" i="2" s="1"/>
  <c r="H521" i="2" s="1"/>
  <c r="I521" i="2" s="1"/>
  <c r="J521" i="2" s="1"/>
  <c r="K521" i="2" s="1"/>
  <c r="L521" i="2" s="1"/>
  <c r="M521" i="2" s="1"/>
  <c r="N521" i="2" s="1"/>
  <c r="O521" i="2" s="1"/>
  <c r="D513" i="2"/>
  <c r="E513" i="2" s="1"/>
  <c r="F513" i="2" s="1"/>
  <c r="G513" i="2" s="1"/>
  <c r="H513" i="2" s="1"/>
  <c r="I513" i="2" s="1"/>
  <c r="J513" i="2" s="1"/>
  <c r="K513" i="2" s="1"/>
  <c r="L513" i="2" s="1"/>
  <c r="M513" i="2" s="1"/>
  <c r="N513" i="2" s="1"/>
  <c r="O513" i="2" s="1"/>
  <c r="D487" i="2"/>
  <c r="E487" i="2" s="1"/>
  <c r="F487" i="2" s="1"/>
  <c r="G487" i="2" s="1"/>
  <c r="H487" i="2" s="1"/>
  <c r="I487" i="2" s="1"/>
  <c r="J487" i="2" s="1"/>
  <c r="K487" i="2" s="1"/>
  <c r="L487" i="2" s="1"/>
  <c r="M487" i="2" s="1"/>
  <c r="N487" i="2" s="1"/>
  <c r="O487" i="2" s="1"/>
  <c r="D469" i="2"/>
  <c r="E469" i="2" s="1"/>
  <c r="F469" i="2" s="1"/>
  <c r="G469" i="2" s="1"/>
  <c r="H469" i="2" s="1"/>
  <c r="I469" i="2" s="1"/>
  <c r="J469" i="2" s="1"/>
  <c r="K469" i="2" s="1"/>
  <c r="L469" i="2" s="1"/>
  <c r="M469" i="2" s="1"/>
  <c r="N469" i="2" s="1"/>
  <c r="O469" i="2" s="1"/>
  <c r="D450" i="2"/>
  <c r="E450" i="2" s="1"/>
  <c r="F450" i="2" s="1"/>
  <c r="G450" i="2" s="1"/>
  <c r="H450" i="2" s="1"/>
  <c r="I450" i="2" s="1"/>
  <c r="J450" i="2" s="1"/>
  <c r="K450" i="2" s="1"/>
  <c r="L450" i="2" s="1"/>
  <c r="M450" i="2" s="1"/>
  <c r="N450" i="2" s="1"/>
  <c r="O450" i="2" s="1"/>
  <c r="D440" i="2"/>
  <c r="E440" i="2" s="1"/>
  <c r="F440" i="2" s="1"/>
  <c r="G440" i="2" s="1"/>
  <c r="H440" i="2" s="1"/>
  <c r="I440" i="2" s="1"/>
  <c r="J440" i="2" s="1"/>
  <c r="K440" i="2" s="1"/>
  <c r="L440" i="2" s="1"/>
  <c r="M440" i="2" s="1"/>
  <c r="N440" i="2" s="1"/>
  <c r="O440" i="2" s="1"/>
  <c r="D421" i="2"/>
  <c r="E421" i="2" s="1"/>
  <c r="F421" i="2" s="1"/>
  <c r="G421" i="2" s="1"/>
  <c r="H421" i="2" s="1"/>
  <c r="I421" i="2" s="1"/>
  <c r="J421" i="2" s="1"/>
  <c r="K421" i="2" s="1"/>
  <c r="L421" i="2" s="1"/>
  <c r="M421" i="2" s="1"/>
  <c r="N421" i="2" s="1"/>
  <c r="O421" i="2" s="1"/>
  <c r="D387" i="2"/>
  <c r="E387" i="2" s="1"/>
  <c r="F387" i="2" s="1"/>
  <c r="G387" i="2" s="1"/>
  <c r="H387" i="2" s="1"/>
  <c r="I387" i="2" s="1"/>
  <c r="J387" i="2" s="1"/>
  <c r="K387" i="2" s="1"/>
  <c r="L387" i="2" s="1"/>
  <c r="M387" i="2" s="1"/>
  <c r="N387" i="2" s="1"/>
  <c r="O387" i="2" s="1"/>
  <c r="D377" i="2"/>
  <c r="E377" i="2" s="1"/>
  <c r="F377" i="2" s="1"/>
  <c r="G377" i="2" s="1"/>
  <c r="H377" i="2" s="1"/>
  <c r="I377" i="2" s="1"/>
  <c r="J377" i="2" s="1"/>
  <c r="K377" i="2" s="1"/>
  <c r="L377" i="2" s="1"/>
  <c r="M377" i="2" s="1"/>
  <c r="N377" i="2" s="1"/>
  <c r="O377" i="2" s="1"/>
  <c r="D356" i="2"/>
  <c r="E356" i="2" s="1"/>
  <c r="F356" i="2" s="1"/>
  <c r="G356" i="2" s="1"/>
  <c r="H356" i="2" s="1"/>
  <c r="I356" i="2" s="1"/>
  <c r="J356" i="2" s="1"/>
  <c r="K356" i="2" s="1"/>
  <c r="L356" i="2" s="1"/>
  <c r="M356" i="2" s="1"/>
  <c r="N356" i="2" s="1"/>
  <c r="O356" i="2" s="1"/>
  <c r="D336" i="2"/>
  <c r="E336" i="2" s="1"/>
  <c r="F336" i="2" s="1"/>
  <c r="G336" i="2" s="1"/>
  <c r="H336" i="2" s="1"/>
  <c r="I336" i="2" s="1"/>
  <c r="J336" i="2" s="1"/>
  <c r="K336" i="2" s="1"/>
  <c r="L336" i="2" s="1"/>
  <c r="M336" i="2" s="1"/>
  <c r="N336" i="2" s="1"/>
  <c r="O336" i="2" s="1"/>
  <c r="D316" i="2"/>
  <c r="E316" i="2" s="1"/>
  <c r="F316" i="2" s="1"/>
  <c r="G316" i="2" s="1"/>
  <c r="H316" i="2" s="1"/>
  <c r="I316" i="2" s="1"/>
  <c r="J316" i="2" s="1"/>
  <c r="K316" i="2" s="1"/>
  <c r="L316" i="2" s="1"/>
  <c r="M316" i="2" s="1"/>
  <c r="N316" i="2" s="1"/>
  <c r="O316" i="2" s="1"/>
  <c r="D297" i="2"/>
  <c r="E297" i="2" s="1"/>
  <c r="F297" i="2" s="1"/>
  <c r="G297" i="2" s="1"/>
  <c r="H297" i="2" s="1"/>
  <c r="I297" i="2" s="1"/>
  <c r="J297" i="2" s="1"/>
  <c r="K297" i="2" s="1"/>
  <c r="L297" i="2" s="1"/>
  <c r="M297" i="2" s="1"/>
  <c r="N297" i="2" s="1"/>
  <c r="O297" i="2" s="1"/>
  <c r="D288" i="2"/>
  <c r="E288" i="2" s="1"/>
  <c r="F288" i="2" s="1"/>
  <c r="G288" i="2" s="1"/>
  <c r="H288" i="2" s="1"/>
  <c r="I288" i="2" s="1"/>
  <c r="J288" i="2" s="1"/>
  <c r="K288" i="2" s="1"/>
  <c r="L288" i="2" s="1"/>
  <c r="M288" i="2" s="1"/>
  <c r="N288" i="2" s="1"/>
  <c r="O288" i="2" s="1"/>
  <c r="D278" i="2"/>
  <c r="E278" i="2" s="1"/>
  <c r="F278" i="2" s="1"/>
  <c r="G278" i="2" s="1"/>
  <c r="H278" i="2" s="1"/>
  <c r="I278" i="2" s="1"/>
  <c r="J278" i="2" s="1"/>
  <c r="K278" i="2" s="1"/>
  <c r="L278" i="2" s="1"/>
  <c r="M278" i="2" s="1"/>
  <c r="N278" i="2" s="1"/>
  <c r="O278" i="2" s="1"/>
  <c r="D268" i="2"/>
  <c r="E268" i="2" s="1"/>
  <c r="F268" i="2" s="1"/>
  <c r="G268" i="2" s="1"/>
  <c r="H268" i="2" s="1"/>
  <c r="I268" i="2" s="1"/>
  <c r="J268" i="2" s="1"/>
  <c r="K268" i="2" s="1"/>
  <c r="L268" i="2" s="1"/>
  <c r="M268" i="2" s="1"/>
  <c r="N268" i="2" s="1"/>
  <c r="O268" i="2" s="1"/>
  <c r="D258" i="2"/>
  <c r="E258" i="2" s="1"/>
  <c r="F258" i="2" s="1"/>
  <c r="G258" i="2" s="1"/>
  <c r="H258" i="2" s="1"/>
  <c r="I258" i="2" s="1"/>
  <c r="J258" i="2" s="1"/>
  <c r="K258" i="2" s="1"/>
  <c r="L258" i="2" s="1"/>
  <c r="M258" i="2" s="1"/>
  <c r="N258" i="2" s="1"/>
  <c r="O258" i="2" s="1"/>
  <c r="D248" i="2"/>
  <c r="E248" i="2" s="1"/>
  <c r="F248" i="2" s="1"/>
  <c r="G248" i="2" s="1"/>
  <c r="H248" i="2" s="1"/>
  <c r="I248" i="2" s="1"/>
  <c r="J248" i="2" s="1"/>
  <c r="K248" i="2" s="1"/>
  <c r="L248" i="2" s="1"/>
  <c r="M248" i="2" s="1"/>
  <c r="N248" i="2" s="1"/>
  <c r="O248" i="2" s="1"/>
  <c r="D238" i="2"/>
  <c r="E238" i="2" s="1"/>
  <c r="F238" i="2" s="1"/>
  <c r="G238" i="2" s="1"/>
  <c r="H238" i="2" s="1"/>
  <c r="I238" i="2" s="1"/>
  <c r="J238" i="2" s="1"/>
  <c r="K238" i="2" s="1"/>
  <c r="L238" i="2" s="1"/>
  <c r="M238" i="2" s="1"/>
  <c r="N238" i="2" s="1"/>
  <c r="O238" i="2" s="1"/>
  <c r="D218" i="2"/>
  <c r="E218" i="2" s="1"/>
  <c r="F218" i="2" s="1"/>
  <c r="G218" i="2" s="1"/>
  <c r="H218" i="2" s="1"/>
  <c r="I218" i="2" s="1"/>
  <c r="J218" i="2" s="1"/>
  <c r="K218" i="2" s="1"/>
  <c r="L218" i="2" s="1"/>
  <c r="M218" i="2" s="1"/>
  <c r="N218" i="2" s="1"/>
  <c r="O218" i="2" s="1"/>
  <c r="D209" i="2"/>
  <c r="E209" i="2" s="1"/>
  <c r="F209" i="2" s="1"/>
  <c r="G209" i="2" s="1"/>
  <c r="H209" i="2" s="1"/>
  <c r="I209" i="2" s="1"/>
  <c r="J209" i="2" s="1"/>
  <c r="K209" i="2" s="1"/>
  <c r="L209" i="2" s="1"/>
  <c r="M209" i="2" s="1"/>
  <c r="N209" i="2" s="1"/>
  <c r="O209" i="2" s="1"/>
  <c r="D179" i="2"/>
  <c r="E179" i="2" s="1"/>
  <c r="F179" i="2" s="1"/>
  <c r="G179" i="2" s="1"/>
  <c r="H179" i="2" s="1"/>
  <c r="I179" i="2" s="1"/>
  <c r="J179" i="2" s="1"/>
  <c r="K179" i="2" s="1"/>
  <c r="L179" i="2" s="1"/>
  <c r="M179" i="2" s="1"/>
  <c r="N179" i="2" s="1"/>
  <c r="O179" i="2" s="1"/>
  <c r="D169" i="2"/>
  <c r="E169" i="2" s="1"/>
  <c r="F169" i="2" s="1"/>
  <c r="G169" i="2" s="1"/>
  <c r="H169" i="2" s="1"/>
  <c r="I169" i="2" s="1"/>
  <c r="J169" i="2" s="1"/>
  <c r="K169" i="2" s="1"/>
  <c r="L169" i="2" s="1"/>
  <c r="M169" i="2" s="1"/>
  <c r="N169" i="2" s="1"/>
  <c r="O169" i="2" s="1"/>
  <c r="D143" i="2"/>
  <c r="E143" i="2" s="1"/>
  <c r="F143" i="2" s="1"/>
  <c r="G143" i="2" s="1"/>
  <c r="H143" i="2" s="1"/>
  <c r="I143" i="2" s="1"/>
  <c r="J143" i="2" s="1"/>
  <c r="K143" i="2" s="1"/>
  <c r="L143" i="2" s="1"/>
  <c r="M143" i="2" s="1"/>
  <c r="N143" i="2" s="1"/>
  <c r="O143" i="2" s="1"/>
  <c r="D134" i="2"/>
  <c r="E134" i="2" s="1"/>
  <c r="F134" i="2" s="1"/>
  <c r="G134" i="2" s="1"/>
  <c r="H134" i="2" s="1"/>
  <c r="I134" i="2" s="1"/>
  <c r="J134" i="2" s="1"/>
  <c r="K134" i="2" s="1"/>
  <c r="L134" i="2" s="1"/>
  <c r="M134" i="2" s="1"/>
  <c r="N134" i="2" s="1"/>
  <c r="O134" i="2" s="1"/>
  <c r="D116" i="2"/>
  <c r="E116" i="2" s="1"/>
  <c r="F116" i="2" s="1"/>
  <c r="G116" i="2" s="1"/>
  <c r="H116" i="2" s="1"/>
  <c r="I116" i="2" s="1"/>
  <c r="J116" i="2" s="1"/>
  <c r="K116" i="2" s="1"/>
  <c r="L116" i="2" s="1"/>
  <c r="M116" i="2" s="1"/>
  <c r="N116" i="2" s="1"/>
  <c r="O116" i="2" s="1"/>
  <c r="D96" i="2"/>
  <c r="E96" i="2" s="1"/>
  <c r="F96" i="2" s="1"/>
  <c r="G96" i="2" s="1"/>
  <c r="H96" i="2" s="1"/>
  <c r="I96" i="2" s="1"/>
  <c r="J96" i="2" s="1"/>
  <c r="K96" i="2" s="1"/>
  <c r="L96" i="2" s="1"/>
  <c r="M96" i="2" s="1"/>
  <c r="N96" i="2" s="1"/>
  <c r="O96" i="2" s="1"/>
  <c r="D56" i="2"/>
  <c r="E56" i="2" s="1"/>
  <c r="F56" i="2" s="1"/>
  <c r="G56" i="2" s="1"/>
  <c r="H56" i="2" s="1"/>
  <c r="I56" i="2" s="1"/>
  <c r="J56" i="2" s="1"/>
  <c r="K56" i="2" s="1"/>
  <c r="L56" i="2" s="1"/>
  <c r="M56" i="2" s="1"/>
  <c r="N56" i="2" s="1"/>
  <c r="O56" i="2" s="1"/>
  <c r="D27" i="2"/>
  <c r="E27" i="2" s="1"/>
  <c r="F27" i="2" s="1"/>
  <c r="G27" i="2" s="1"/>
  <c r="H27" i="2" s="1"/>
  <c r="I27" i="2" s="1"/>
  <c r="J27" i="2" s="1"/>
  <c r="K27" i="2" s="1"/>
  <c r="L27" i="2" s="1"/>
  <c r="M27" i="2" s="1"/>
  <c r="N27" i="2" s="1"/>
  <c r="O27" i="2" s="1"/>
  <c r="D520" i="2"/>
  <c r="E520" i="2" s="1"/>
  <c r="F520" i="2" s="1"/>
  <c r="G520" i="2" s="1"/>
  <c r="H520" i="2" s="1"/>
  <c r="I520" i="2" s="1"/>
  <c r="J520" i="2" s="1"/>
  <c r="K520" i="2" s="1"/>
  <c r="L520" i="2" s="1"/>
  <c r="M520" i="2" s="1"/>
  <c r="N520" i="2" s="1"/>
  <c r="O520" i="2" s="1"/>
  <c r="D512" i="2"/>
  <c r="E512" i="2" s="1"/>
  <c r="F512" i="2" s="1"/>
  <c r="G512" i="2" s="1"/>
  <c r="H512" i="2" s="1"/>
  <c r="I512" i="2" s="1"/>
  <c r="J512" i="2" s="1"/>
  <c r="K512" i="2" s="1"/>
  <c r="L512" i="2" s="1"/>
  <c r="M512" i="2" s="1"/>
  <c r="N512" i="2" s="1"/>
  <c r="O512" i="2" s="1"/>
  <c r="D486" i="2"/>
  <c r="E486" i="2" s="1"/>
  <c r="F486" i="2" s="1"/>
  <c r="G486" i="2" s="1"/>
  <c r="H486" i="2" s="1"/>
  <c r="I486" i="2" s="1"/>
  <c r="J486" i="2" s="1"/>
  <c r="K486" i="2" s="1"/>
  <c r="L486" i="2" s="1"/>
  <c r="M486" i="2" s="1"/>
  <c r="N486" i="2" s="1"/>
  <c r="O486" i="2" s="1"/>
  <c r="D468" i="2"/>
  <c r="E468" i="2" s="1"/>
  <c r="F468" i="2" s="1"/>
  <c r="G468" i="2" s="1"/>
  <c r="H468" i="2" s="1"/>
  <c r="I468" i="2" s="1"/>
  <c r="J468" i="2" s="1"/>
  <c r="K468" i="2" s="1"/>
  <c r="L468" i="2" s="1"/>
  <c r="M468" i="2" s="1"/>
  <c r="N468" i="2" s="1"/>
  <c r="O468" i="2" s="1"/>
  <c r="D449" i="2"/>
  <c r="E449" i="2" s="1"/>
  <c r="F449" i="2" s="1"/>
  <c r="G449" i="2" s="1"/>
  <c r="H449" i="2" s="1"/>
  <c r="I449" i="2" s="1"/>
  <c r="J449" i="2" s="1"/>
  <c r="K449" i="2" s="1"/>
  <c r="L449" i="2" s="1"/>
  <c r="M449" i="2" s="1"/>
  <c r="N449" i="2" s="1"/>
  <c r="O449" i="2" s="1"/>
  <c r="D439" i="2"/>
  <c r="E439" i="2" s="1"/>
  <c r="F439" i="2" s="1"/>
  <c r="G439" i="2" s="1"/>
  <c r="H439" i="2" s="1"/>
  <c r="I439" i="2" s="1"/>
  <c r="J439" i="2" s="1"/>
  <c r="K439" i="2" s="1"/>
  <c r="L439" i="2" s="1"/>
  <c r="M439" i="2" s="1"/>
  <c r="N439" i="2" s="1"/>
  <c r="O439" i="2" s="1"/>
  <c r="D420" i="2"/>
  <c r="E420" i="2" s="1"/>
  <c r="F420" i="2" s="1"/>
  <c r="G420" i="2" s="1"/>
  <c r="H420" i="2" s="1"/>
  <c r="I420" i="2" s="1"/>
  <c r="J420" i="2" s="1"/>
  <c r="K420" i="2" s="1"/>
  <c r="L420" i="2" s="1"/>
  <c r="M420" i="2" s="1"/>
  <c r="N420" i="2" s="1"/>
  <c r="O420" i="2" s="1"/>
  <c r="D412" i="2"/>
  <c r="E412" i="2" s="1"/>
  <c r="F412" i="2" s="1"/>
  <c r="G412" i="2" s="1"/>
  <c r="H412" i="2" s="1"/>
  <c r="I412" i="2" s="1"/>
  <c r="J412" i="2" s="1"/>
  <c r="K412" i="2" s="1"/>
  <c r="L412" i="2" s="1"/>
  <c r="M412" i="2" s="1"/>
  <c r="N412" i="2" s="1"/>
  <c r="O412" i="2" s="1"/>
  <c r="D403" i="2"/>
  <c r="E403" i="2" s="1"/>
  <c r="F403" i="2" s="1"/>
  <c r="G403" i="2" s="1"/>
  <c r="H403" i="2" s="1"/>
  <c r="I403" i="2" s="1"/>
  <c r="J403" i="2" s="1"/>
  <c r="K403" i="2" s="1"/>
  <c r="L403" i="2" s="1"/>
  <c r="M403" i="2" s="1"/>
  <c r="N403" i="2" s="1"/>
  <c r="O403" i="2" s="1"/>
  <c r="D386" i="2"/>
  <c r="E386" i="2" s="1"/>
  <c r="F386" i="2" s="1"/>
  <c r="G386" i="2" s="1"/>
  <c r="H386" i="2" s="1"/>
  <c r="I386" i="2" s="1"/>
  <c r="J386" i="2" s="1"/>
  <c r="K386" i="2" s="1"/>
  <c r="L386" i="2" s="1"/>
  <c r="M386" i="2" s="1"/>
  <c r="N386" i="2" s="1"/>
  <c r="O386" i="2" s="1"/>
  <c r="D376" i="2"/>
  <c r="E376" i="2" s="1"/>
  <c r="F376" i="2" s="1"/>
  <c r="G376" i="2" s="1"/>
  <c r="H376" i="2" s="1"/>
  <c r="I376" i="2" s="1"/>
  <c r="J376" i="2" s="1"/>
  <c r="K376" i="2" s="1"/>
  <c r="L376" i="2" s="1"/>
  <c r="M376" i="2" s="1"/>
  <c r="N376" i="2" s="1"/>
  <c r="O376" i="2" s="1"/>
  <c r="D367" i="2"/>
  <c r="E367" i="2" s="1"/>
  <c r="F367" i="2" s="1"/>
  <c r="G367" i="2" s="1"/>
  <c r="H367" i="2" s="1"/>
  <c r="I367" i="2" s="1"/>
  <c r="J367" i="2" s="1"/>
  <c r="K367" i="2" s="1"/>
  <c r="L367" i="2" s="1"/>
  <c r="M367" i="2" s="1"/>
  <c r="N367" i="2" s="1"/>
  <c r="O367" i="2" s="1"/>
  <c r="D355" i="2"/>
  <c r="E355" i="2" s="1"/>
  <c r="F355" i="2" s="1"/>
  <c r="G355" i="2" s="1"/>
  <c r="H355" i="2" s="1"/>
  <c r="I355" i="2" s="1"/>
  <c r="J355" i="2" s="1"/>
  <c r="K355" i="2" s="1"/>
  <c r="L355" i="2" s="1"/>
  <c r="M355" i="2" s="1"/>
  <c r="N355" i="2" s="1"/>
  <c r="O355" i="2" s="1"/>
  <c r="D335" i="2"/>
  <c r="E335" i="2" s="1"/>
  <c r="F335" i="2" s="1"/>
  <c r="G335" i="2" s="1"/>
  <c r="H335" i="2" s="1"/>
  <c r="I335" i="2" s="1"/>
  <c r="J335" i="2" s="1"/>
  <c r="K335" i="2" s="1"/>
  <c r="L335" i="2" s="1"/>
  <c r="M335" i="2" s="1"/>
  <c r="N335" i="2" s="1"/>
  <c r="O335" i="2" s="1"/>
  <c r="D325" i="2"/>
  <c r="E325" i="2" s="1"/>
  <c r="F325" i="2" s="1"/>
  <c r="G325" i="2" s="1"/>
  <c r="H325" i="2" s="1"/>
  <c r="I325" i="2" s="1"/>
  <c r="J325" i="2" s="1"/>
  <c r="K325" i="2" s="1"/>
  <c r="L325" i="2" s="1"/>
  <c r="M325" i="2" s="1"/>
  <c r="N325" i="2" s="1"/>
  <c r="O325" i="2" s="1"/>
  <c r="D315" i="2"/>
  <c r="E315" i="2" s="1"/>
  <c r="F315" i="2" s="1"/>
  <c r="G315" i="2" s="1"/>
  <c r="H315" i="2" s="1"/>
  <c r="I315" i="2" s="1"/>
  <c r="J315" i="2" s="1"/>
  <c r="K315" i="2" s="1"/>
  <c r="L315" i="2" s="1"/>
  <c r="M315" i="2" s="1"/>
  <c r="N315" i="2" s="1"/>
  <c r="O315" i="2" s="1"/>
  <c r="D306" i="2"/>
  <c r="E306" i="2" s="1"/>
  <c r="F306" i="2" s="1"/>
  <c r="G306" i="2" s="1"/>
  <c r="H306" i="2" s="1"/>
  <c r="I306" i="2" s="1"/>
  <c r="J306" i="2" s="1"/>
  <c r="K306" i="2" s="1"/>
  <c r="L306" i="2" s="1"/>
  <c r="M306" i="2" s="1"/>
  <c r="N306" i="2" s="1"/>
  <c r="O306" i="2" s="1"/>
  <c r="D296" i="2"/>
  <c r="E296" i="2" s="1"/>
  <c r="F296" i="2" s="1"/>
  <c r="G296" i="2" s="1"/>
  <c r="H296" i="2" s="1"/>
  <c r="I296" i="2" s="1"/>
  <c r="J296" i="2" s="1"/>
  <c r="K296" i="2" s="1"/>
  <c r="L296" i="2" s="1"/>
  <c r="M296" i="2" s="1"/>
  <c r="N296" i="2" s="1"/>
  <c r="O296" i="2" s="1"/>
  <c r="D287" i="2"/>
  <c r="E287" i="2" s="1"/>
  <c r="F287" i="2" s="1"/>
  <c r="G287" i="2" s="1"/>
  <c r="H287" i="2" s="1"/>
  <c r="I287" i="2" s="1"/>
  <c r="J287" i="2" s="1"/>
  <c r="K287" i="2" s="1"/>
  <c r="L287" i="2" s="1"/>
  <c r="M287" i="2" s="1"/>
  <c r="N287" i="2" s="1"/>
  <c r="O287" i="2" s="1"/>
  <c r="D277" i="2"/>
  <c r="E277" i="2" s="1"/>
  <c r="F277" i="2" s="1"/>
  <c r="G277" i="2" s="1"/>
  <c r="H277" i="2" s="1"/>
  <c r="I277" i="2" s="1"/>
  <c r="J277" i="2" s="1"/>
  <c r="K277" i="2" s="1"/>
  <c r="L277" i="2" s="1"/>
  <c r="M277" i="2" s="1"/>
  <c r="N277" i="2" s="1"/>
  <c r="O277" i="2" s="1"/>
  <c r="D267" i="2"/>
  <c r="E267" i="2" s="1"/>
  <c r="F267" i="2" s="1"/>
  <c r="G267" i="2" s="1"/>
  <c r="H267" i="2" s="1"/>
  <c r="I267" i="2" s="1"/>
  <c r="J267" i="2" s="1"/>
  <c r="K267" i="2" s="1"/>
  <c r="L267" i="2" s="1"/>
  <c r="M267" i="2" s="1"/>
  <c r="N267" i="2" s="1"/>
  <c r="O267" i="2" s="1"/>
  <c r="D257" i="2"/>
  <c r="E257" i="2" s="1"/>
  <c r="F257" i="2" s="1"/>
  <c r="G257" i="2" s="1"/>
  <c r="H257" i="2" s="1"/>
  <c r="I257" i="2" s="1"/>
  <c r="J257" i="2" s="1"/>
  <c r="K257" i="2" s="1"/>
  <c r="L257" i="2" s="1"/>
  <c r="M257" i="2" s="1"/>
  <c r="N257" i="2" s="1"/>
  <c r="O257" i="2" s="1"/>
  <c r="D247" i="2"/>
  <c r="E247" i="2" s="1"/>
  <c r="F247" i="2" s="1"/>
  <c r="G247" i="2" s="1"/>
  <c r="H247" i="2" s="1"/>
  <c r="I247" i="2" s="1"/>
  <c r="J247" i="2" s="1"/>
  <c r="K247" i="2" s="1"/>
  <c r="L247" i="2" s="1"/>
  <c r="M247" i="2" s="1"/>
  <c r="N247" i="2" s="1"/>
  <c r="O247" i="2" s="1"/>
  <c r="D237" i="2"/>
  <c r="E237" i="2" s="1"/>
  <c r="F237" i="2" s="1"/>
  <c r="G237" i="2" s="1"/>
  <c r="H237" i="2" s="1"/>
  <c r="I237" i="2" s="1"/>
  <c r="J237" i="2" s="1"/>
  <c r="K237" i="2" s="1"/>
  <c r="L237" i="2" s="1"/>
  <c r="M237" i="2" s="1"/>
  <c r="N237" i="2" s="1"/>
  <c r="O237" i="2" s="1"/>
  <c r="D217" i="2"/>
  <c r="E217" i="2" s="1"/>
  <c r="F217" i="2" s="1"/>
  <c r="G217" i="2" s="1"/>
  <c r="H217" i="2" s="1"/>
  <c r="I217" i="2" s="1"/>
  <c r="J217" i="2" s="1"/>
  <c r="K217" i="2" s="1"/>
  <c r="L217" i="2" s="1"/>
  <c r="M217" i="2" s="1"/>
  <c r="N217" i="2" s="1"/>
  <c r="O217" i="2" s="1"/>
  <c r="D208" i="2"/>
  <c r="E208" i="2" s="1"/>
  <c r="F208" i="2" s="1"/>
  <c r="G208" i="2" s="1"/>
  <c r="H208" i="2" s="1"/>
  <c r="I208" i="2" s="1"/>
  <c r="J208" i="2" s="1"/>
  <c r="K208" i="2" s="1"/>
  <c r="L208" i="2" s="1"/>
  <c r="M208" i="2" s="1"/>
  <c r="N208" i="2" s="1"/>
  <c r="O208" i="2" s="1"/>
  <c r="D190" i="2"/>
  <c r="E190" i="2" s="1"/>
  <c r="F190" i="2" s="1"/>
  <c r="G190" i="2" s="1"/>
  <c r="H190" i="2" s="1"/>
  <c r="I190" i="2" s="1"/>
  <c r="J190" i="2" s="1"/>
  <c r="K190" i="2" s="1"/>
  <c r="L190" i="2" s="1"/>
  <c r="M190" i="2" s="1"/>
  <c r="N190" i="2" s="1"/>
  <c r="O190" i="2" s="1"/>
  <c r="D178" i="2"/>
  <c r="E178" i="2" s="1"/>
  <c r="F178" i="2" s="1"/>
  <c r="G178" i="2" s="1"/>
  <c r="H178" i="2" s="1"/>
  <c r="I178" i="2" s="1"/>
  <c r="J178" i="2" s="1"/>
  <c r="K178" i="2" s="1"/>
  <c r="L178" i="2" s="1"/>
  <c r="M178" i="2" s="1"/>
  <c r="N178" i="2" s="1"/>
  <c r="O178" i="2" s="1"/>
  <c r="D168" i="2"/>
  <c r="E168" i="2" s="1"/>
  <c r="F168" i="2" s="1"/>
  <c r="G168" i="2" s="1"/>
  <c r="H168" i="2" s="1"/>
  <c r="I168" i="2" s="1"/>
  <c r="J168" i="2" s="1"/>
  <c r="K168" i="2" s="1"/>
  <c r="L168" i="2" s="1"/>
  <c r="M168" i="2" s="1"/>
  <c r="N168" i="2" s="1"/>
  <c r="O168" i="2" s="1"/>
  <c r="D160" i="2"/>
  <c r="E160" i="2" s="1"/>
  <c r="F160" i="2" s="1"/>
  <c r="G160" i="2" s="1"/>
  <c r="H160" i="2" s="1"/>
  <c r="I160" i="2" s="1"/>
  <c r="J160" i="2" s="1"/>
  <c r="K160" i="2" s="1"/>
  <c r="L160" i="2" s="1"/>
  <c r="M160" i="2" s="1"/>
  <c r="N160" i="2" s="1"/>
  <c r="O160" i="2" s="1"/>
  <c r="D151" i="2"/>
  <c r="E151" i="2" s="1"/>
  <c r="F151" i="2" s="1"/>
  <c r="G151" i="2" s="1"/>
  <c r="H151" i="2" s="1"/>
  <c r="I151" i="2" s="1"/>
  <c r="J151" i="2" s="1"/>
  <c r="K151" i="2" s="1"/>
  <c r="L151" i="2" s="1"/>
  <c r="M151" i="2" s="1"/>
  <c r="N151" i="2" s="1"/>
  <c r="O151" i="2" s="1"/>
  <c r="D142" i="2"/>
  <c r="E142" i="2" s="1"/>
  <c r="F142" i="2" s="1"/>
  <c r="G142" i="2" s="1"/>
  <c r="H142" i="2" s="1"/>
  <c r="I142" i="2" s="1"/>
  <c r="J142" i="2" s="1"/>
  <c r="K142" i="2" s="1"/>
  <c r="L142" i="2" s="1"/>
  <c r="M142" i="2" s="1"/>
  <c r="N142" i="2" s="1"/>
  <c r="O142" i="2" s="1"/>
  <c r="D133" i="2"/>
  <c r="E133" i="2" s="1"/>
  <c r="F133" i="2" s="1"/>
  <c r="G133" i="2" s="1"/>
  <c r="H133" i="2" s="1"/>
  <c r="I133" i="2" s="1"/>
  <c r="J133" i="2" s="1"/>
  <c r="K133" i="2" s="1"/>
  <c r="L133" i="2" s="1"/>
  <c r="M133" i="2" s="1"/>
  <c r="N133" i="2" s="1"/>
  <c r="O133" i="2" s="1"/>
  <c r="D115" i="2"/>
  <c r="E115" i="2" s="1"/>
  <c r="F115" i="2" s="1"/>
  <c r="G115" i="2" s="1"/>
  <c r="H115" i="2" s="1"/>
  <c r="I115" i="2" s="1"/>
  <c r="J115" i="2" s="1"/>
  <c r="K115" i="2" s="1"/>
  <c r="L115" i="2" s="1"/>
  <c r="M115" i="2" s="1"/>
  <c r="N115" i="2" s="1"/>
  <c r="O115" i="2" s="1"/>
  <c r="D105" i="2"/>
  <c r="E105" i="2" s="1"/>
  <c r="F105" i="2" s="1"/>
  <c r="G105" i="2" s="1"/>
  <c r="H105" i="2" s="1"/>
  <c r="I105" i="2" s="1"/>
  <c r="J105" i="2" s="1"/>
  <c r="K105" i="2" s="1"/>
  <c r="L105" i="2" s="1"/>
  <c r="M105" i="2" s="1"/>
  <c r="N105" i="2" s="1"/>
  <c r="O105" i="2" s="1"/>
  <c r="D95" i="2"/>
  <c r="E95" i="2" s="1"/>
  <c r="F95" i="2" s="1"/>
  <c r="G95" i="2" s="1"/>
  <c r="H95" i="2" s="1"/>
  <c r="I95" i="2" s="1"/>
  <c r="J95" i="2" s="1"/>
  <c r="K95" i="2" s="1"/>
  <c r="L95" i="2" s="1"/>
  <c r="M95" i="2" s="1"/>
  <c r="N95" i="2" s="1"/>
  <c r="O95" i="2" s="1"/>
  <c r="D76" i="2"/>
  <c r="E76" i="2" s="1"/>
  <c r="F76" i="2" s="1"/>
  <c r="G76" i="2" s="1"/>
  <c r="H76" i="2" s="1"/>
  <c r="I76" i="2" s="1"/>
  <c r="J76" i="2" s="1"/>
  <c r="K76" i="2" s="1"/>
  <c r="L76" i="2" s="1"/>
  <c r="M76" i="2" s="1"/>
  <c r="N76" i="2" s="1"/>
  <c r="O76" i="2" s="1"/>
  <c r="D55" i="2"/>
  <c r="E55" i="2" s="1"/>
  <c r="F55" i="2" s="1"/>
  <c r="G55" i="2" s="1"/>
  <c r="H55" i="2" s="1"/>
  <c r="I55" i="2" s="1"/>
  <c r="J55" i="2" s="1"/>
  <c r="K55" i="2" s="1"/>
  <c r="L55" i="2" s="1"/>
  <c r="M55" i="2" s="1"/>
  <c r="N55" i="2" s="1"/>
  <c r="O55" i="2" s="1"/>
  <c r="D45" i="2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O26" i="2" s="1"/>
  <c r="D511" i="2"/>
  <c r="E511" i="2" s="1"/>
  <c r="F511" i="2" s="1"/>
  <c r="G511" i="2" s="1"/>
  <c r="H511" i="2" s="1"/>
  <c r="I511" i="2" s="1"/>
  <c r="J511" i="2" s="1"/>
  <c r="K511" i="2" s="1"/>
  <c r="L511" i="2" s="1"/>
  <c r="M511" i="2" s="1"/>
  <c r="N511" i="2" s="1"/>
  <c r="O511" i="2" s="1"/>
  <c r="D502" i="2"/>
  <c r="E502" i="2" s="1"/>
  <c r="F502" i="2" s="1"/>
  <c r="G502" i="2" s="1"/>
  <c r="H502" i="2" s="1"/>
  <c r="I502" i="2" s="1"/>
  <c r="J502" i="2" s="1"/>
  <c r="K502" i="2" s="1"/>
  <c r="L502" i="2" s="1"/>
  <c r="M502" i="2" s="1"/>
  <c r="N502" i="2" s="1"/>
  <c r="O502" i="2" s="1"/>
  <c r="D494" i="2"/>
  <c r="E494" i="2" s="1"/>
  <c r="F494" i="2" s="1"/>
  <c r="G494" i="2" s="1"/>
  <c r="H494" i="2" s="1"/>
  <c r="I494" i="2" s="1"/>
  <c r="J494" i="2" s="1"/>
  <c r="K494" i="2" s="1"/>
  <c r="L494" i="2" s="1"/>
  <c r="M494" i="2" s="1"/>
  <c r="N494" i="2" s="1"/>
  <c r="O494" i="2" s="1"/>
  <c r="D478" i="2"/>
  <c r="E478" i="2" s="1"/>
  <c r="F478" i="2" s="1"/>
  <c r="G478" i="2" s="1"/>
  <c r="H478" i="2" s="1"/>
  <c r="I478" i="2" s="1"/>
  <c r="J478" i="2" s="1"/>
  <c r="K478" i="2" s="1"/>
  <c r="L478" i="2" s="1"/>
  <c r="M478" i="2" s="1"/>
  <c r="N478" i="2" s="1"/>
  <c r="O478" i="2" s="1"/>
  <c r="D458" i="2"/>
  <c r="E458" i="2" s="1"/>
  <c r="F458" i="2" s="1"/>
  <c r="G458" i="2" s="1"/>
  <c r="H458" i="2" s="1"/>
  <c r="I458" i="2" s="1"/>
  <c r="J458" i="2" s="1"/>
  <c r="K458" i="2" s="1"/>
  <c r="L458" i="2" s="1"/>
  <c r="M458" i="2" s="1"/>
  <c r="N458" i="2" s="1"/>
  <c r="O458" i="2" s="1"/>
  <c r="D448" i="2"/>
  <c r="E448" i="2" s="1"/>
  <c r="F448" i="2" s="1"/>
  <c r="G448" i="2" s="1"/>
  <c r="H448" i="2" s="1"/>
  <c r="I448" i="2" s="1"/>
  <c r="J448" i="2" s="1"/>
  <c r="K448" i="2" s="1"/>
  <c r="L448" i="2" s="1"/>
  <c r="M448" i="2" s="1"/>
  <c r="N448" i="2" s="1"/>
  <c r="O448" i="2" s="1"/>
  <c r="D438" i="2"/>
  <c r="E438" i="2" s="1"/>
  <c r="F438" i="2" s="1"/>
  <c r="G438" i="2" s="1"/>
  <c r="H438" i="2" s="1"/>
  <c r="I438" i="2" s="1"/>
  <c r="J438" i="2" s="1"/>
  <c r="K438" i="2" s="1"/>
  <c r="L438" i="2" s="1"/>
  <c r="M438" i="2" s="1"/>
  <c r="N438" i="2" s="1"/>
  <c r="O438" i="2" s="1"/>
  <c r="D428" i="2"/>
  <c r="E428" i="2" s="1"/>
  <c r="F428" i="2" s="1"/>
  <c r="G428" i="2" s="1"/>
  <c r="H428" i="2" s="1"/>
  <c r="I428" i="2" s="1"/>
  <c r="J428" i="2" s="1"/>
  <c r="K428" i="2" s="1"/>
  <c r="L428" i="2" s="1"/>
  <c r="M428" i="2" s="1"/>
  <c r="N428" i="2" s="1"/>
  <c r="O428" i="2" s="1"/>
  <c r="D411" i="2"/>
  <c r="E411" i="2" s="1"/>
  <c r="F411" i="2" s="1"/>
  <c r="G411" i="2" s="1"/>
  <c r="H411" i="2" s="1"/>
  <c r="I411" i="2" s="1"/>
  <c r="J411" i="2" s="1"/>
  <c r="K411" i="2" s="1"/>
  <c r="L411" i="2" s="1"/>
  <c r="M411" i="2" s="1"/>
  <c r="N411" i="2" s="1"/>
  <c r="O411" i="2" s="1"/>
  <c r="D396" i="2"/>
  <c r="E396" i="2" s="1"/>
  <c r="F396" i="2" s="1"/>
  <c r="G396" i="2" s="1"/>
  <c r="H396" i="2" s="1"/>
  <c r="I396" i="2" s="1"/>
  <c r="J396" i="2" s="1"/>
  <c r="K396" i="2" s="1"/>
  <c r="L396" i="2" s="1"/>
  <c r="M396" i="2" s="1"/>
  <c r="N396" i="2" s="1"/>
  <c r="O396" i="2" s="1"/>
  <c r="D385" i="2"/>
  <c r="E385" i="2" s="1"/>
  <c r="F385" i="2" s="1"/>
  <c r="G385" i="2" s="1"/>
  <c r="H385" i="2" s="1"/>
  <c r="I385" i="2" s="1"/>
  <c r="J385" i="2" s="1"/>
  <c r="K385" i="2" s="1"/>
  <c r="L385" i="2" s="1"/>
  <c r="M385" i="2" s="1"/>
  <c r="N385" i="2" s="1"/>
  <c r="O385" i="2" s="1"/>
  <c r="D366" i="2"/>
  <c r="E366" i="2" s="1"/>
  <c r="F366" i="2" s="1"/>
  <c r="G366" i="2" s="1"/>
  <c r="H366" i="2" s="1"/>
  <c r="I366" i="2" s="1"/>
  <c r="J366" i="2" s="1"/>
  <c r="K366" i="2" s="1"/>
  <c r="L366" i="2" s="1"/>
  <c r="M366" i="2" s="1"/>
  <c r="N366" i="2" s="1"/>
  <c r="O366" i="2" s="1"/>
  <c r="D345" i="2"/>
  <c r="E345" i="2" s="1"/>
  <c r="F345" i="2" s="1"/>
  <c r="G345" i="2" s="1"/>
  <c r="H345" i="2" s="1"/>
  <c r="I345" i="2" s="1"/>
  <c r="J345" i="2" s="1"/>
  <c r="K345" i="2" s="1"/>
  <c r="L345" i="2" s="1"/>
  <c r="M345" i="2" s="1"/>
  <c r="N345" i="2" s="1"/>
  <c r="O345" i="2" s="1"/>
  <c r="D334" i="2"/>
  <c r="E334" i="2" s="1"/>
  <c r="F334" i="2" s="1"/>
  <c r="G334" i="2" s="1"/>
  <c r="H334" i="2" s="1"/>
  <c r="I334" i="2" s="1"/>
  <c r="J334" i="2" s="1"/>
  <c r="K334" i="2" s="1"/>
  <c r="L334" i="2" s="1"/>
  <c r="M334" i="2" s="1"/>
  <c r="N334" i="2" s="1"/>
  <c r="O334" i="2" s="1"/>
  <c r="D314" i="2"/>
  <c r="E314" i="2" s="1"/>
  <c r="F314" i="2" s="1"/>
  <c r="G314" i="2" s="1"/>
  <c r="H314" i="2" s="1"/>
  <c r="I314" i="2" s="1"/>
  <c r="J314" i="2" s="1"/>
  <c r="K314" i="2" s="1"/>
  <c r="L314" i="2" s="1"/>
  <c r="M314" i="2" s="1"/>
  <c r="N314" i="2" s="1"/>
  <c r="O314" i="2" s="1"/>
  <c r="D305" i="2"/>
  <c r="E305" i="2" s="1"/>
  <c r="F305" i="2" s="1"/>
  <c r="G305" i="2" s="1"/>
  <c r="H305" i="2" s="1"/>
  <c r="I305" i="2" s="1"/>
  <c r="J305" i="2" s="1"/>
  <c r="K305" i="2" s="1"/>
  <c r="L305" i="2" s="1"/>
  <c r="M305" i="2" s="1"/>
  <c r="N305" i="2" s="1"/>
  <c r="O305" i="2" s="1"/>
  <c r="D266" i="2"/>
  <c r="E266" i="2" s="1"/>
  <c r="F266" i="2" s="1"/>
  <c r="G266" i="2" s="1"/>
  <c r="H266" i="2" s="1"/>
  <c r="I266" i="2" s="1"/>
  <c r="J266" i="2" s="1"/>
  <c r="K266" i="2" s="1"/>
  <c r="L266" i="2" s="1"/>
  <c r="M266" i="2" s="1"/>
  <c r="N266" i="2" s="1"/>
  <c r="O266" i="2" s="1"/>
  <c r="D256" i="2"/>
  <c r="E256" i="2" s="1"/>
  <c r="F256" i="2" s="1"/>
  <c r="G256" i="2" s="1"/>
  <c r="H256" i="2" s="1"/>
  <c r="I256" i="2" s="1"/>
  <c r="J256" i="2" s="1"/>
  <c r="K256" i="2" s="1"/>
  <c r="L256" i="2" s="1"/>
  <c r="M256" i="2" s="1"/>
  <c r="N256" i="2" s="1"/>
  <c r="O256" i="2" s="1"/>
  <c r="D246" i="2"/>
  <c r="E246" i="2" s="1"/>
  <c r="F246" i="2" s="1"/>
  <c r="G246" i="2" s="1"/>
  <c r="H246" i="2" s="1"/>
  <c r="I246" i="2" s="1"/>
  <c r="J246" i="2" s="1"/>
  <c r="K246" i="2" s="1"/>
  <c r="L246" i="2" s="1"/>
  <c r="M246" i="2" s="1"/>
  <c r="N246" i="2" s="1"/>
  <c r="O246" i="2" s="1"/>
  <c r="D227" i="2"/>
  <c r="E227" i="2" s="1"/>
  <c r="F227" i="2" s="1"/>
  <c r="G227" i="2" s="1"/>
  <c r="H227" i="2" s="1"/>
  <c r="I227" i="2" s="1"/>
  <c r="J227" i="2" s="1"/>
  <c r="K227" i="2" s="1"/>
  <c r="L227" i="2" s="1"/>
  <c r="M227" i="2" s="1"/>
  <c r="N227" i="2" s="1"/>
  <c r="O227" i="2" s="1"/>
  <c r="D216" i="2"/>
  <c r="E216" i="2" s="1"/>
  <c r="F216" i="2" s="1"/>
  <c r="G216" i="2" s="1"/>
  <c r="H216" i="2" s="1"/>
  <c r="I216" i="2" s="1"/>
  <c r="J216" i="2" s="1"/>
  <c r="K216" i="2" s="1"/>
  <c r="L216" i="2" s="1"/>
  <c r="M216" i="2" s="1"/>
  <c r="N216" i="2" s="1"/>
  <c r="O216" i="2" s="1"/>
  <c r="D207" i="2"/>
  <c r="E207" i="2" s="1"/>
  <c r="F207" i="2" s="1"/>
  <c r="G207" i="2" s="1"/>
  <c r="H207" i="2" s="1"/>
  <c r="I207" i="2" s="1"/>
  <c r="J207" i="2" s="1"/>
  <c r="K207" i="2" s="1"/>
  <c r="L207" i="2" s="1"/>
  <c r="M207" i="2" s="1"/>
  <c r="N207" i="2" s="1"/>
  <c r="O207" i="2" s="1"/>
  <c r="D199" i="2"/>
  <c r="E199" i="2" s="1"/>
  <c r="F199" i="2" s="1"/>
  <c r="G199" i="2" s="1"/>
  <c r="H199" i="2" s="1"/>
  <c r="I199" i="2" s="1"/>
  <c r="J199" i="2" s="1"/>
  <c r="K199" i="2" s="1"/>
  <c r="L199" i="2" s="1"/>
  <c r="M199" i="2" s="1"/>
  <c r="N199" i="2" s="1"/>
  <c r="O199" i="2" s="1"/>
  <c r="D189" i="2"/>
  <c r="E189" i="2" s="1"/>
  <c r="F189" i="2" s="1"/>
  <c r="G189" i="2" s="1"/>
  <c r="H189" i="2" s="1"/>
  <c r="I189" i="2" s="1"/>
  <c r="J189" i="2" s="1"/>
  <c r="K189" i="2" s="1"/>
  <c r="L189" i="2" s="1"/>
  <c r="M189" i="2" s="1"/>
  <c r="N189" i="2" s="1"/>
  <c r="O189" i="2" s="1"/>
  <c r="D177" i="2"/>
  <c r="E177" i="2" s="1"/>
  <c r="F177" i="2" s="1"/>
  <c r="G177" i="2" s="1"/>
  <c r="H177" i="2" s="1"/>
  <c r="I177" i="2" s="1"/>
  <c r="J177" i="2" s="1"/>
  <c r="K177" i="2" s="1"/>
  <c r="L177" i="2" s="1"/>
  <c r="M177" i="2" s="1"/>
  <c r="N177" i="2" s="1"/>
  <c r="O177" i="2" s="1"/>
  <c r="D167" i="2"/>
  <c r="E167" i="2" s="1"/>
  <c r="F167" i="2" s="1"/>
  <c r="G167" i="2" s="1"/>
  <c r="H167" i="2" s="1"/>
  <c r="I167" i="2" s="1"/>
  <c r="J167" i="2" s="1"/>
  <c r="K167" i="2" s="1"/>
  <c r="L167" i="2" s="1"/>
  <c r="M167" i="2" s="1"/>
  <c r="N167" i="2" s="1"/>
  <c r="O167" i="2" s="1"/>
  <c r="D141" i="2"/>
  <c r="E141" i="2" s="1"/>
  <c r="F141" i="2" s="1"/>
  <c r="G141" i="2" s="1"/>
  <c r="H141" i="2" s="1"/>
  <c r="I141" i="2" s="1"/>
  <c r="J141" i="2" s="1"/>
  <c r="K141" i="2" s="1"/>
  <c r="L141" i="2" s="1"/>
  <c r="M141" i="2" s="1"/>
  <c r="N141" i="2" s="1"/>
  <c r="O141" i="2" s="1"/>
  <c r="D132" i="2"/>
  <c r="E132" i="2" s="1"/>
  <c r="F132" i="2" s="1"/>
  <c r="G132" i="2" s="1"/>
  <c r="H132" i="2" s="1"/>
  <c r="I132" i="2" s="1"/>
  <c r="J132" i="2" s="1"/>
  <c r="K132" i="2" s="1"/>
  <c r="L132" i="2" s="1"/>
  <c r="M132" i="2" s="1"/>
  <c r="N132" i="2" s="1"/>
  <c r="O132" i="2" s="1"/>
  <c r="D124" i="2"/>
  <c r="E124" i="2" s="1"/>
  <c r="F124" i="2" s="1"/>
  <c r="G124" i="2" s="1"/>
  <c r="H124" i="2" s="1"/>
  <c r="I124" i="2" s="1"/>
  <c r="J124" i="2" s="1"/>
  <c r="K124" i="2" s="1"/>
  <c r="L124" i="2" s="1"/>
  <c r="M124" i="2" s="1"/>
  <c r="N124" i="2" s="1"/>
  <c r="O124" i="2" s="1"/>
  <c r="D114" i="2"/>
  <c r="E114" i="2" s="1"/>
  <c r="F114" i="2" s="1"/>
  <c r="G114" i="2" s="1"/>
  <c r="H114" i="2" s="1"/>
  <c r="I114" i="2" s="1"/>
  <c r="J114" i="2" s="1"/>
  <c r="K114" i="2" s="1"/>
  <c r="L114" i="2" s="1"/>
  <c r="M114" i="2" s="1"/>
  <c r="N114" i="2" s="1"/>
  <c r="O114" i="2" s="1"/>
  <c r="D104" i="2"/>
  <c r="E104" i="2" s="1"/>
  <c r="F104" i="2" s="1"/>
  <c r="G104" i="2" s="1"/>
  <c r="H104" i="2" s="1"/>
  <c r="I104" i="2" s="1"/>
  <c r="J104" i="2" s="1"/>
  <c r="K104" i="2" s="1"/>
  <c r="L104" i="2" s="1"/>
  <c r="M104" i="2" s="1"/>
  <c r="N104" i="2" s="1"/>
  <c r="O104" i="2" s="1"/>
  <c r="D94" i="2"/>
  <c r="E94" i="2" s="1"/>
  <c r="F94" i="2" s="1"/>
  <c r="G94" i="2" s="1"/>
  <c r="H94" i="2" s="1"/>
  <c r="I94" i="2" s="1"/>
  <c r="J94" i="2" s="1"/>
  <c r="K94" i="2" s="1"/>
  <c r="L94" i="2" s="1"/>
  <c r="M94" i="2" s="1"/>
  <c r="N94" i="2" s="1"/>
  <c r="O94" i="2" s="1"/>
  <c r="D84" i="2"/>
  <c r="E84" i="2" s="1"/>
  <c r="F84" i="2" s="1"/>
  <c r="G84" i="2" s="1"/>
  <c r="H84" i="2" s="1"/>
  <c r="I84" i="2" s="1"/>
  <c r="J84" i="2" s="1"/>
  <c r="K84" i="2" s="1"/>
  <c r="L84" i="2" s="1"/>
  <c r="M84" i="2" s="1"/>
  <c r="N84" i="2" s="1"/>
  <c r="O84" i="2" s="1"/>
  <c r="D75" i="2"/>
  <c r="E75" i="2" s="1"/>
  <c r="F75" i="2" s="1"/>
  <c r="G75" i="2" s="1"/>
  <c r="H75" i="2" s="1"/>
  <c r="I75" i="2" s="1"/>
  <c r="J75" i="2" s="1"/>
  <c r="K75" i="2" s="1"/>
  <c r="L75" i="2" s="1"/>
  <c r="M75" i="2" s="1"/>
  <c r="N75" i="2" s="1"/>
  <c r="O75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O64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O44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O25" i="2" s="1"/>
  <c r="D519" i="2"/>
  <c r="E519" i="2" s="1"/>
  <c r="F519" i="2" s="1"/>
  <c r="G519" i="2" s="1"/>
  <c r="H519" i="2" s="1"/>
  <c r="I519" i="2" s="1"/>
  <c r="J519" i="2" s="1"/>
  <c r="K519" i="2" s="1"/>
  <c r="L519" i="2" s="1"/>
  <c r="M519" i="2" s="1"/>
  <c r="N519" i="2" s="1"/>
  <c r="O519" i="2" s="1"/>
  <c r="D501" i="2"/>
  <c r="E501" i="2" s="1"/>
  <c r="F501" i="2" s="1"/>
  <c r="G501" i="2" s="1"/>
  <c r="H501" i="2" s="1"/>
  <c r="I501" i="2" s="1"/>
  <c r="J501" i="2" s="1"/>
  <c r="K501" i="2" s="1"/>
  <c r="L501" i="2" s="1"/>
  <c r="M501" i="2" s="1"/>
  <c r="N501" i="2" s="1"/>
  <c r="O501" i="2" s="1"/>
  <c r="D485" i="2"/>
  <c r="E485" i="2" s="1"/>
  <c r="F485" i="2" s="1"/>
  <c r="G485" i="2" s="1"/>
  <c r="H485" i="2" s="1"/>
  <c r="I485" i="2" s="1"/>
  <c r="J485" i="2" s="1"/>
  <c r="K485" i="2" s="1"/>
  <c r="L485" i="2" s="1"/>
  <c r="M485" i="2" s="1"/>
  <c r="N485" i="2" s="1"/>
  <c r="O485" i="2" s="1"/>
  <c r="D477" i="2"/>
  <c r="E477" i="2" s="1"/>
  <c r="F477" i="2" s="1"/>
  <c r="G477" i="2" s="1"/>
  <c r="H477" i="2" s="1"/>
  <c r="I477" i="2" s="1"/>
  <c r="J477" i="2" s="1"/>
  <c r="K477" i="2" s="1"/>
  <c r="L477" i="2" s="1"/>
  <c r="M477" i="2" s="1"/>
  <c r="N477" i="2" s="1"/>
  <c r="O477" i="2" s="1"/>
  <c r="D467" i="2"/>
  <c r="E467" i="2" s="1"/>
  <c r="F467" i="2" s="1"/>
  <c r="G467" i="2" s="1"/>
  <c r="H467" i="2" s="1"/>
  <c r="I467" i="2" s="1"/>
  <c r="J467" i="2" s="1"/>
  <c r="K467" i="2" s="1"/>
  <c r="L467" i="2" s="1"/>
  <c r="M467" i="2" s="1"/>
  <c r="N467" i="2" s="1"/>
  <c r="O467" i="2" s="1"/>
  <c r="D457" i="2"/>
  <c r="E457" i="2" s="1"/>
  <c r="F457" i="2" s="1"/>
  <c r="G457" i="2" s="1"/>
  <c r="H457" i="2" s="1"/>
  <c r="I457" i="2" s="1"/>
  <c r="J457" i="2" s="1"/>
  <c r="K457" i="2" s="1"/>
  <c r="L457" i="2" s="1"/>
  <c r="M457" i="2" s="1"/>
  <c r="N457" i="2" s="1"/>
  <c r="O457" i="2" s="1"/>
  <c r="D447" i="2"/>
  <c r="E447" i="2" s="1"/>
  <c r="F447" i="2" s="1"/>
  <c r="G447" i="2" s="1"/>
  <c r="H447" i="2" s="1"/>
  <c r="I447" i="2" s="1"/>
  <c r="J447" i="2" s="1"/>
  <c r="K447" i="2" s="1"/>
  <c r="L447" i="2" s="1"/>
  <c r="M447" i="2" s="1"/>
  <c r="N447" i="2" s="1"/>
  <c r="O447" i="2" s="1"/>
  <c r="D437" i="2"/>
  <c r="E437" i="2" s="1"/>
  <c r="F437" i="2" s="1"/>
  <c r="G437" i="2" s="1"/>
  <c r="H437" i="2" s="1"/>
  <c r="I437" i="2" s="1"/>
  <c r="J437" i="2" s="1"/>
  <c r="K437" i="2" s="1"/>
  <c r="L437" i="2" s="1"/>
  <c r="M437" i="2" s="1"/>
  <c r="N437" i="2" s="1"/>
  <c r="O437" i="2" s="1"/>
  <c r="D427" i="2"/>
  <c r="E427" i="2" s="1"/>
  <c r="F427" i="2" s="1"/>
  <c r="G427" i="2" s="1"/>
  <c r="H427" i="2" s="1"/>
  <c r="I427" i="2" s="1"/>
  <c r="J427" i="2" s="1"/>
  <c r="K427" i="2" s="1"/>
  <c r="L427" i="2" s="1"/>
  <c r="M427" i="2" s="1"/>
  <c r="N427" i="2" s="1"/>
  <c r="O427" i="2" s="1"/>
  <c r="D419" i="2"/>
  <c r="E419" i="2" s="1"/>
  <c r="F419" i="2" s="1"/>
  <c r="G419" i="2" s="1"/>
  <c r="H419" i="2" s="1"/>
  <c r="I419" i="2" s="1"/>
  <c r="J419" i="2" s="1"/>
  <c r="K419" i="2" s="1"/>
  <c r="L419" i="2" s="1"/>
  <c r="M419" i="2" s="1"/>
  <c r="N419" i="2" s="1"/>
  <c r="O419" i="2" s="1"/>
  <c r="D410" i="2"/>
  <c r="E410" i="2" s="1"/>
  <c r="F410" i="2" s="1"/>
  <c r="G410" i="2" s="1"/>
  <c r="H410" i="2" s="1"/>
  <c r="I410" i="2" s="1"/>
  <c r="J410" i="2" s="1"/>
  <c r="K410" i="2" s="1"/>
  <c r="L410" i="2" s="1"/>
  <c r="M410" i="2" s="1"/>
  <c r="N410" i="2" s="1"/>
  <c r="O410" i="2" s="1"/>
  <c r="D402" i="2"/>
  <c r="E402" i="2" s="1"/>
  <c r="F402" i="2" s="1"/>
  <c r="G402" i="2" s="1"/>
  <c r="H402" i="2" s="1"/>
  <c r="I402" i="2" s="1"/>
  <c r="J402" i="2" s="1"/>
  <c r="K402" i="2" s="1"/>
  <c r="L402" i="2" s="1"/>
  <c r="M402" i="2" s="1"/>
  <c r="N402" i="2" s="1"/>
  <c r="O402" i="2" s="1"/>
  <c r="D395" i="2"/>
  <c r="E395" i="2" s="1"/>
  <c r="F395" i="2" s="1"/>
  <c r="G395" i="2" s="1"/>
  <c r="H395" i="2" s="1"/>
  <c r="I395" i="2" s="1"/>
  <c r="J395" i="2" s="1"/>
  <c r="K395" i="2" s="1"/>
  <c r="L395" i="2" s="1"/>
  <c r="M395" i="2" s="1"/>
  <c r="N395" i="2" s="1"/>
  <c r="O395" i="2" s="1"/>
  <c r="D384" i="2"/>
  <c r="E384" i="2" s="1"/>
  <c r="F384" i="2" s="1"/>
  <c r="G384" i="2" s="1"/>
  <c r="H384" i="2" s="1"/>
  <c r="I384" i="2" s="1"/>
  <c r="J384" i="2" s="1"/>
  <c r="K384" i="2" s="1"/>
  <c r="L384" i="2" s="1"/>
  <c r="M384" i="2" s="1"/>
  <c r="N384" i="2" s="1"/>
  <c r="O384" i="2" s="1"/>
  <c r="D375" i="2"/>
  <c r="E375" i="2" s="1"/>
  <c r="F375" i="2" s="1"/>
  <c r="G375" i="2" s="1"/>
  <c r="H375" i="2" s="1"/>
  <c r="I375" i="2" s="1"/>
  <c r="J375" i="2" s="1"/>
  <c r="K375" i="2" s="1"/>
  <c r="L375" i="2" s="1"/>
  <c r="M375" i="2" s="1"/>
  <c r="N375" i="2" s="1"/>
  <c r="O375" i="2" s="1"/>
  <c r="D365" i="2"/>
  <c r="E365" i="2" s="1"/>
  <c r="F365" i="2" s="1"/>
  <c r="G365" i="2" s="1"/>
  <c r="H365" i="2" s="1"/>
  <c r="I365" i="2" s="1"/>
  <c r="J365" i="2" s="1"/>
  <c r="K365" i="2" s="1"/>
  <c r="L365" i="2" s="1"/>
  <c r="M365" i="2" s="1"/>
  <c r="N365" i="2" s="1"/>
  <c r="O365" i="2" s="1"/>
  <c r="D344" i="2"/>
  <c r="E344" i="2" s="1"/>
  <c r="F344" i="2" s="1"/>
  <c r="G344" i="2" s="1"/>
  <c r="H344" i="2" s="1"/>
  <c r="I344" i="2" s="1"/>
  <c r="J344" i="2" s="1"/>
  <c r="K344" i="2" s="1"/>
  <c r="L344" i="2" s="1"/>
  <c r="M344" i="2" s="1"/>
  <c r="N344" i="2" s="1"/>
  <c r="O344" i="2" s="1"/>
  <c r="D333" i="2"/>
  <c r="E333" i="2" s="1"/>
  <c r="F333" i="2" s="1"/>
  <c r="G333" i="2" s="1"/>
  <c r="H333" i="2" s="1"/>
  <c r="I333" i="2" s="1"/>
  <c r="J333" i="2" s="1"/>
  <c r="K333" i="2" s="1"/>
  <c r="L333" i="2" s="1"/>
  <c r="M333" i="2" s="1"/>
  <c r="N333" i="2" s="1"/>
  <c r="O333" i="2" s="1"/>
  <c r="D324" i="2"/>
  <c r="E324" i="2" s="1"/>
  <c r="F324" i="2" s="1"/>
  <c r="G324" i="2" s="1"/>
  <c r="H324" i="2" s="1"/>
  <c r="I324" i="2" s="1"/>
  <c r="J324" i="2" s="1"/>
  <c r="K324" i="2" s="1"/>
  <c r="L324" i="2" s="1"/>
  <c r="M324" i="2" s="1"/>
  <c r="N324" i="2" s="1"/>
  <c r="O324" i="2" s="1"/>
  <c r="D313" i="2"/>
  <c r="E313" i="2" s="1"/>
  <c r="F313" i="2" s="1"/>
  <c r="G313" i="2" s="1"/>
  <c r="H313" i="2" s="1"/>
  <c r="I313" i="2" s="1"/>
  <c r="J313" i="2" s="1"/>
  <c r="K313" i="2" s="1"/>
  <c r="L313" i="2" s="1"/>
  <c r="M313" i="2" s="1"/>
  <c r="N313" i="2" s="1"/>
  <c r="O313" i="2" s="1"/>
  <c r="D304" i="2"/>
  <c r="E304" i="2" s="1"/>
  <c r="F304" i="2" s="1"/>
  <c r="G304" i="2" s="1"/>
  <c r="H304" i="2" s="1"/>
  <c r="I304" i="2" s="1"/>
  <c r="J304" i="2" s="1"/>
  <c r="K304" i="2" s="1"/>
  <c r="L304" i="2" s="1"/>
  <c r="M304" i="2" s="1"/>
  <c r="N304" i="2" s="1"/>
  <c r="O304" i="2" s="1"/>
  <c r="D295" i="2"/>
  <c r="E295" i="2" s="1"/>
  <c r="F295" i="2" s="1"/>
  <c r="G295" i="2" s="1"/>
  <c r="H295" i="2" s="1"/>
  <c r="I295" i="2" s="1"/>
  <c r="J295" i="2" s="1"/>
  <c r="K295" i="2" s="1"/>
  <c r="L295" i="2" s="1"/>
  <c r="M295" i="2" s="1"/>
  <c r="N295" i="2" s="1"/>
  <c r="O295" i="2" s="1"/>
  <c r="D286" i="2"/>
  <c r="E286" i="2" s="1"/>
  <c r="F286" i="2" s="1"/>
  <c r="G286" i="2" s="1"/>
  <c r="H286" i="2" s="1"/>
  <c r="I286" i="2" s="1"/>
  <c r="J286" i="2" s="1"/>
  <c r="K286" i="2" s="1"/>
  <c r="L286" i="2" s="1"/>
  <c r="M286" i="2" s="1"/>
  <c r="N286" i="2" s="1"/>
  <c r="O286" i="2" s="1"/>
  <c r="D276" i="2"/>
  <c r="E276" i="2" s="1"/>
  <c r="F276" i="2" s="1"/>
  <c r="G276" i="2" s="1"/>
  <c r="H276" i="2" s="1"/>
  <c r="I276" i="2" s="1"/>
  <c r="J276" i="2" s="1"/>
  <c r="K276" i="2" s="1"/>
  <c r="L276" i="2" s="1"/>
  <c r="M276" i="2" s="1"/>
  <c r="N276" i="2" s="1"/>
  <c r="O276" i="2" s="1"/>
  <c r="D265" i="2"/>
  <c r="E265" i="2" s="1"/>
  <c r="F265" i="2" s="1"/>
  <c r="G265" i="2" s="1"/>
  <c r="H265" i="2" s="1"/>
  <c r="I265" i="2" s="1"/>
  <c r="J265" i="2" s="1"/>
  <c r="K265" i="2" s="1"/>
  <c r="L265" i="2" s="1"/>
  <c r="M265" i="2" s="1"/>
  <c r="N265" i="2" s="1"/>
  <c r="O265" i="2" s="1"/>
  <c r="D255" i="2"/>
  <c r="E255" i="2" s="1"/>
  <c r="F255" i="2" s="1"/>
  <c r="G255" i="2" s="1"/>
  <c r="H255" i="2" s="1"/>
  <c r="I255" i="2" s="1"/>
  <c r="J255" i="2" s="1"/>
  <c r="K255" i="2" s="1"/>
  <c r="L255" i="2" s="1"/>
  <c r="M255" i="2" s="1"/>
  <c r="N255" i="2" s="1"/>
  <c r="O255" i="2" s="1"/>
  <c r="D245" i="2"/>
  <c r="E245" i="2" s="1"/>
  <c r="F245" i="2" s="1"/>
  <c r="G245" i="2" s="1"/>
  <c r="H245" i="2" s="1"/>
  <c r="I245" i="2" s="1"/>
  <c r="J245" i="2" s="1"/>
  <c r="K245" i="2" s="1"/>
  <c r="L245" i="2" s="1"/>
  <c r="M245" i="2" s="1"/>
  <c r="N245" i="2" s="1"/>
  <c r="O245" i="2" s="1"/>
  <c r="D236" i="2"/>
  <c r="E236" i="2" s="1"/>
  <c r="F236" i="2" s="1"/>
  <c r="G236" i="2" s="1"/>
  <c r="H236" i="2" s="1"/>
  <c r="I236" i="2" s="1"/>
  <c r="J236" i="2" s="1"/>
  <c r="K236" i="2" s="1"/>
  <c r="L236" i="2" s="1"/>
  <c r="M236" i="2" s="1"/>
  <c r="N236" i="2" s="1"/>
  <c r="O236" i="2" s="1"/>
  <c r="D226" i="2"/>
  <c r="E226" i="2" s="1"/>
  <c r="F226" i="2" s="1"/>
  <c r="G226" i="2" s="1"/>
  <c r="H226" i="2" s="1"/>
  <c r="I226" i="2" s="1"/>
  <c r="J226" i="2" s="1"/>
  <c r="K226" i="2" s="1"/>
  <c r="L226" i="2" s="1"/>
  <c r="M226" i="2" s="1"/>
  <c r="N226" i="2" s="1"/>
  <c r="O226" i="2" s="1"/>
  <c r="D215" i="2"/>
  <c r="E215" i="2" s="1"/>
  <c r="F215" i="2" s="1"/>
  <c r="G215" i="2" s="1"/>
  <c r="H215" i="2" s="1"/>
  <c r="I215" i="2" s="1"/>
  <c r="J215" i="2" s="1"/>
  <c r="K215" i="2" s="1"/>
  <c r="L215" i="2" s="1"/>
  <c r="M215" i="2" s="1"/>
  <c r="N215" i="2" s="1"/>
  <c r="O215" i="2" s="1"/>
  <c r="D198" i="2"/>
  <c r="E198" i="2" s="1"/>
  <c r="F198" i="2" s="1"/>
  <c r="G198" i="2" s="1"/>
  <c r="H198" i="2" s="1"/>
  <c r="I198" i="2" s="1"/>
  <c r="J198" i="2" s="1"/>
  <c r="K198" i="2" s="1"/>
  <c r="L198" i="2" s="1"/>
  <c r="M198" i="2" s="1"/>
  <c r="N198" i="2" s="1"/>
  <c r="O198" i="2" s="1"/>
  <c r="D188" i="2"/>
  <c r="E188" i="2" s="1"/>
  <c r="F188" i="2" s="1"/>
  <c r="G188" i="2" s="1"/>
  <c r="H188" i="2" s="1"/>
  <c r="I188" i="2" s="1"/>
  <c r="J188" i="2" s="1"/>
  <c r="K188" i="2" s="1"/>
  <c r="L188" i="2" s="1"/>
  <c r="M188" i="2" s="1"/>
  <c r="N188" i="2" s="1"/>
  <c r="O188" i="2" s="1"/>
  <c r="D176" i="2"/>
  <c r="E176" i="2" s="1"/>
  <c r="F176" i="2" s="1"/>
  <c r="G176" i="2" s="1"/>
  <c r="H176" i="2" s="1"/>
  <c r="I176" i="2" s="1"/>
  <c r="J176" i="2" s="1"/>
  <c r="K176" i="2" s="1"/>
  <c r="L176" i="2" s="1"/>
  <c r="M176" i="2" s="1"/>
  <c r="N176" i="2" s="1"/>
  <c r="O176" i="2" s="1"/>
  <c r="D159" i="2"/>
  <c r="E159" i="2" s="1"/>
  <c r="F159" i="2" s="1"/>
  <c r="G159" i="2" s="1"/>
  <c r="H159" i="2" s="1"/>
  <c r="I159" i="2" s="1"/>
  <c r="J159" i="2" s="1"/>
  <c r="K159" i="2" s="1"/>
  <c r="L159" i="2" s="1"/>
  <c r="M159" i="2" s="1"/>
  <c r="N159" i="2" s="1"/>
  <c r="O159" i="2" s="1"/>
  <c r="D150" i="2"/>
  <c r="E150" i="2" s="1"/>
  <c r="F150" i="2" s="1"/>
  <c r="G150" i="2" s="1"/>
  <c r="H150" i="2" s="1"/>
  <c r="I150" i="2" s="1"/>
  <c r="J150" i="2" s="1"/>
  <c r="K150" i="2" s="1"/>
  <c r="L150" i="2" s="1"/>
  <c r="M150" i="2" s="1"/>
  <c r="N150" i="2" s="1"/>
  <c r="O150" i="2" s="1"/>
  <c r="D140" i="2"/>
  <c r="E140" i="2" s="1"/>
  <c r="F140" i="2" s="1"/>
  <c r="G140" i="2" s="1"/>
  <c r="H140" i="2" s="1"/>
  <c r="I140" i="2" s="1"/>
  <c r="J140" i="2" s="1"/>
  <c r="K140" i="2" s="1"/>
  <c r="L140" i="2" s="1"/>
  <c r="M140" i="2" s="1"/>
  <c r="N140" i="2" s="1"/>
  <c r="O140" i="2" s="1"/>
  <c r="D123" i="2"/>
  <c r="E123" i="2" s="1"/>
  <c r="F123" i="2" s="1"/>
  <c r="G123" i="2" s="1"/>
  <c r="H123" i="2" s="1"/>
  <c r="I123" i="2" s="1"/>
  <c r="J123" i="2" s="1"/>
  <c r="K123" i="2" s="1"/>
  <c r="L123" i="2" s="1"/>
  <c r="M123" i="2" s="1"/>
  <c r="N123" i="2" s="1"/>
  <c r="O123" i="2" s="1"/>
  <c r="D113" i="2"/>
  <c r="E113" i="2" s="1"/>
  <c r="F113" i="2" s="1"/>
  <c r="G113" i="2" s="1"/>
  <c r="H113" i="2" s="1"/>
  <c r="I113" i="2" s="1"/>
  <c r="J113" i="2" s="1"/>
  <c r="K113" i="2" s="1"/>
  <c r="L113" i="2" s="1"/>
  <c r="M113" i="2" s="1"/>
  <c r="N113" i="2" s="1"/>
  <c r="O113" i="2" s="1"/>
  <c r="D93" i="2"/>
  <c r="E93" i="2" s="1"/>
  <c r="F93" i="2" s="1"/>
  <c r="G93" i="2" s="1"/>
  <c r="H93" i="2" s="1"/>
  <c r="I93" i="2" s="1"/>
  <c r="J93" i="2" s="1"/>
  <c r="K93" i="2" s="1"/>
  <c r="L93" i="2" s="1"/>
  <c r="M93" i="2" s="1"/>
  <c r="N93" i="2" s="1"/>
  <c r="O93" i="2" s="1"/>
  <c r="D83" i="2"/>
  <c r="E83" i="2" s="1"/>
  <c r="F83" i="2" s="1"/>
  <c r="G83" i="2" s="1"/>
  <c r="H83" i="2" s="1"/>
  <c r="I83" i="2" s="1"/>
  <c r="J83" i="2" s="1"/>
  <c r="K83" i="2" s="1"/>
  <c r="L83" i="2" s="1"/>
  <c r="M83" i="2" s="1"/>
  <c r="N83" i="2" s="1"/>
  <c r="O83" i="2" s="1"/>
  <c r="D74" i="2"/>
  <c r="E74" i="2" s="1"/>
  <c r="F74" i="2" s="1"/>
  <c r="G74" i="2" s="1"/>
  <c r="H74" i="2" s="1"/>
  <c r="I74" i="2" s="1"/>
  <c r="J74" i="2" s="1"/>
  <c r="K74" i="2" s="1"/>
  <c r="L74" i="2" s="1"/>
  <c r="M74" i="2" s="1"/>
  <c r="N74" i="2" s="1"/>
  <c r="O74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O63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O54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O24" i="2" s="1"/>
  <c r="D510" i="2"/>
  <c r="E510" i="2" s="1"/>
  <c r="F510" i="2" s="1"/>
  <c r="G510" i="2" s="1"/>
  <c r="H510" i="2" s="1"/>
  <c r="I510" i="2" s="1"/>
  <c r="J510" i="2" s="1"/>
  <c r="K510" i="2" s="1"/>
  <c r="L510" i="2" s="1"/>
  <c r="M510" i="2" s="1"/>
  <c r="N510" i="2" s="1"/>
  <c r="O510" i="2" s="1"/>
  <c r="D493" i="2"/>
  <c r="E493" i="2" s="1"/>
  <c r="F493" i="2" s="1"/>
  <c r="G493" i="2" s="1"/>
  <c r="H493" i="2" s="1"/>
  <c r="I493" i="2" s="1"/>
  <c r="J493" i="2" s="1"/>
  <c r="K493" i="2" s="1"/>
  <c r="L493" i="2" s="1"/>
  <c r="M493" i="2" s="1"/>
  <c r="N493" i="2" s="1"/>
  <c r="O493" i="2" s="1"/>
  <c r="D484" i="2"/>
  <c r="E484" i="2" s="1"/>
  <c r="F484" i="2" s="1"/>
  <c r="G484" i="2" s="1"/>
  <c r="H484" i="2" s="1"/>
  <c r="I484" i="2" s="1"/>
  <c r="J484" i="2" s="1"/>
  <c r="K484" i="2" s="1"/>
  <c r="L484" i="2" s="1"/>
  <c r="M484" i="2" s="1"/>
  <c r="N484" i="2" s="1"/>
  <c r="O484" i="2" s="1"/>
  <c r="D446" i="2"/>
  <c r="E446" i="2" s="1"/>
  <c r="F446" i="2" s="1"/>
  <c r="G446" i="2" s="1"/>
  <c r="H446" i="2" s="1"/>
  <c r="I446" i="2" s="1"/>
  <c r="J446" i="2" s="1"/>
  <c r="K446" i="2" s="1"/>
  <c r="L446" i="2" s="1"/>
  <c r="M446" i="2" s="1"/>
  <c r="N446" i="2" s="1"/>
  <c r="O446" i="2" s="1"/>
  <c r="D409" i="2"/>
  <c r="E409" i="2" s="1"/>
  <c r="F409" i="2" s="1"/>
  <c r="G409" i="2" s="1"/>
  <c r="H409" i="2" s="1"/>
  <c r="I409" i="2" s="1"/>
  <c r="J409" i="2" s="1"/>
  <c r="K409" i="2" s="1"/>
  <c r="L409" i="2" s="1"/>
  <c r="M409" i="2" s="1"/>
  <c r="N409" i="2" s="1"/>
  <c r="O409" i="2" s="1"/>
  <c r="D394" i="2"/>
  <c r="E394" i="2" s="1"/>
  <c r="F394" i="2" s="1"/>
  <c r="G394" i="2" s="1"/>
  <c r="H394" i="2" s="1"/>
  <c r="I394" i="2" s="1"/>
  <c r="J394" i="2" s="1"/>
  <c r="K394" i="2" s="1"/>
  <c r="L394" i="2" s="1"/>
  <c r="M394" i="2" s="1"/>
  <c r="N394" i="2" s="1"/>
  <c r="O394" i="2" s="1"/>
  <c r="D364" i="2"/>
  <c r="E364" i="2" s="1"/>
  <c r="F364" i="2" s="1"/>
  <c r="G364" i="2" s="1"/>
  <c r="H364" i="2" s="1"/>
  <c r="I364" i="2" s="1"/>
  <c r="J364" i="2" s="1"/>
  <c r="K364" i="2" s="1"/>
  <c r="L364" i="2" s="1"/>
  <c r="M364" i="2" s="1"/>
  <c r="N364" i="2" s="1"/>
  <c r="O364" i="2" s="1"/>
  <c r="D353" i="2"/>
  <c r="E353" i="2" s="1"/>
  <c r="F353" i="2" s="1"/>
  <c r="G353" i="2" s="1"/>
  <c r="H353" i="2" s="1"/>
  <c r="I353" i="2" s="1"/>
  <c r="J353" i="2" s="1"/>
  <c r="K353" i="2" s="1"/>
  <c r="L353" i="2" s="1"/>
  <c r="M353" i="2" s="1"/>
  <c r="N353" i="2" s="1"/>
  <c r="O353" i="2" s="1"/>
  <c r="D332" i="2"/>
  <c r="E332" i="2" s="1"/>
  <c r="F332" i="2" s="1"/>
  <c r="G332" i="2" s="1"/>
  <c r="H332" i="2" s="1"/>
  <c r="I332" i="2" s="1"/>
  <c r="J332" i="2" s="1"/>
  <c r="K332" i="2" s="1"/>
  <c r="L332" i="2" s="1"/>
  <c r="M332" i="2" s="1"/>
  <c r="N332" i="2" s="1"/>
  <c r="O332" i="2" s="1"/>
  <c r="D323" i="2"/>
  <c r="E323" i="2" s="1"/>
  <c r="F323" i="2" s="1"/>
  <c r="G323" i="2" s="1"/>
  <c r="H323" i="2" s="1"/>
  <c r="I323" i="2" s="1"/>
  <c r="J323" i="2" s="1"/>
  <c r="K323" i="2" s="1"/>
  <c r="L323" i="2" s="1"/>
  <c r="M323" i="2" s="1"/>
  <c r="N323" i="2" s="1"/>
  <c r="O323" i="2" s="1"/>
  <c r="D303" i="2"/>
  <c r="E303" i="2" s="1"/>
  <c r="F303" i="2" s="1"/>
  <c r="G303" i="2" s="1"/>
  <c r="H303" i="2" s="1"/>
  <c r="I303" i="2" s="1"/>
  <c r="J303" i="2" s="1"/>
  <c r="K303" i="2" s="1"/>
  <c r="L303" i="2" s="1"/>
  <c r="M303" i="2" s="1"/>
  <c r="N303" i="2" s="1"/>
  <c r="O303" i="2" s="1"/>
  <c r="D285" i="2"/>
  <c r="E285" i="2" s="1"/>
  <c r="F285" i="2" s="1"/>
  <c r="G285" i="2" s="1"/>
  <c r="H285" i="2" s="1"/>
  <c r="I285" i="2" s="1"/>
  <c r="J285" i="2" s="1"/>
  <c r="K285" i="2" s="1"/>
  <c r="L285" i="2" s="1"/>
  <c r="M285" i="2" s="1"/>
  <c r="N285" i="2" s="1"/>
  <c r="O285" i="2" s="1"/>
  <c r="D275" i="2"/>
  <c r="E275" i="2" s="1"/>
  <c r="F275" i="2" s="1"/>
  <c r="G275" i="2" s="1"/>
  <c r="H275" i="2" s="1"/>
  <c r="I275" i="2" s="1"/>
  <c r="J275" i="2" s="1"/>
  <c r="K275" i="2" s="1"/>
  <c r="L275" i="2" s="1"/>
  <c r="M275" i="2" s="1"/>
  <c r="N275" i="2" s="1"/>
  <c r="O275" i="2" s="1"/>
  <c r="D254" i="2"/>
  <c r="E254" i="2" s="1"/>
  <c r="F254" i="2" s="1"/>
  <c r="G254" i="2" s="1"/>
  <c r="H254" i="2" s="1"/>
  <c r="I254" i="2" s="1"/>
  <c r="J254" i="2" s="1"/>
  <c r="K254" i="2" s="1"/>
  <c r="L254" i="2" s="1"/>
  <c r="M254" i="2" s="1"/>
  <c r="N254" i="2" s="1"/>
  <c r="O254" i="2" s="1"/>
  <c r="D244" i="2"/>
  <c r="E244" i="2" s="1"/>
  <c r="F244" i="2" s="1"/>
  <c r="G244" i="2" s="1"/>
  <c r="H244" i="2" s="1"/>
  <c r="I244" i="2" s="1"/>
  <c r="J244" i="2" s="1"/>
  <c r="K244" i="2" s="1"/>
  <c r="L244" i="2" s="1"/>
  <c r="M244" i="2" s="1"/>
  <c r="N244" i="2" s="1"/>
  <c r="O244" i="2" s="1"/>
  <c r="D197" i="2"/>
  <c r="E197" i="2" s="1"/>
  <c r="F197" i="2" s="1"/>
  <c r="G197" i="2" s="1"/>
  <c r="H197" i="2" s="1"/>
  <c r="I197" i="2" s="1"/>
  <c r="J197" i="2" s="1"/>
  <c r="K197" i="2" s="1"/>
  <c r="L197" i="2" s="1"/>
  <c r="M197" i="2" s="1"/>
  <c r="N197" i="2" s="1"/>
  <c r="O197" i="2" s="1"/>
  <c r="D187" i="2"/>
  <c r="E187" i="2" s="1"/>
  <c r="F187" i="2" s="1"/>
  <c r="G187" i="2" s="1"/>
  <c r="H187" i="2" s="1"/>
  <c r="I187" i="2" s="1"/>
  <c r="J187" i="2" s="1"/>
  <c r="K187" i="2" s="1"/>
  <c r="L187" i="2" s="1"/>
  <c r="M187" i="2" s="1"/>
  <c r="N187" i="2" s="1"/>
  <c r="O187" i="2" s="1"/>
  <c r="D158" i="2"/>
  <c r="E158" i="2" s="1"/>
  <c r="F158" i="2" s="1"/>
  <c r="G158" i="2" s="1"/>
  <c r="H158" i="2" s="1"/>
  <c r="I158" i="2" s="1"/>
  <c r="J158" i="2" s="1"/>
  <c r="K158" i="2" s="1"/>
  <c r="L158" i="2" s="1"/>
  <c r="M158" i="2" s="1"/>
  <c r="N158" i="2" s="1"/>
  <c r="O158" i="2" s="1"/>
  <c r="D149" i="2"/>
  <c r="E149" i="2" s="1"/>
  <c r="F149" i="2" s="1"/>
  <c r="G149" i="2" s="1"/>
  <c r="H149" i="2" s="1"/>
  <c r="I149" i="2" s="1"/>
  <c r="J149" i="2" s="1"/>
  <c r="K149" i="2" s="1"/>
  <c r="L149" i="2" s="1"/>
  <c r="M149" i="2" s="1"/>
  <c r="N149" i="2" s="1"/>
  <c r="O149" i="2" s="1"/>
  <c r="D131" i="2"/>
  <c r="E131" i="2" s="1"/>
  <c r="F131" i="2" s="1"/>
  <c r="G131" i="2" s="1"/>
  <c r="H131" i="2" s="1"/>
  <c r="I131" i="2" s="1"/>
  <c r="J131" i="2" s="1"/>
  <c r="K131" i="2" s="1"/>
  <c r="L131" i="2" s="1"/>
  <c r="M131" i="2" s="1"/>
  <c r="N131" i="2" s="1"/>
  <c r="O131" i="2" s="1"/>
  <c r="D103" i="2"/>
  <c r="E103" i="2" s="1"/>
  <c r="F103" i="2" s="1"/>
  <c r="G103" i="2" s="1"/>
  <c r="H103" i="2" s="1"/>
  <c r="I103" i="2" s="1"/>
  <c r="J103" i="2" s="1"/>
  <c r="K103" i="2" s="1"/>
  <c r="L103" i="2" s="1"/>
  <c r="M103" i="2" s="1"/>
  <c r="N103" i="2" s="1"/>
  <c r="O103" i="2" s="1"/>
  <c r="D92" i="2"/>
  <c r="E92" i="2" s="1"/>
  <c r="F92" i="2" s="1"/>
  <c r="G92" i="2" s="1"/>
  <c r="H92" i="2" s="1"/>
  <c r="I92" i="2" s="1"/>
  <c r="J92" i="2" s="1"/>
  <c r="K92" i="2" s="1"/>
  <c r="L92" i="2" s="1"/>
  <c r="M92" i="2" s="1"/>
  <c r="N92" i="2" s="1"/>
  <c r="O92" i="2" s="1"/>
  <c r="D73" i="2"/>
  <c r="E73" i="2" s="1"/>
  <c r="F73" i="2" s="1"/>
  <c r="G73" i="2" s="1"/>
  <c r="H73" i="2" s="1"/>
  <c r="I73" i="2" s="1"/>
  <c r="J73" i="2" s="1"/>
  <c r="K73" i="2" s="1"/>
  <c r="L73" i="2" s="1"/>
  <c r="M73" i="2" s="1"/>
  <c r="N73" i="2" s="1"/>
  <c r="O73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O53" i="2" s="1"/>
  <c r="D23" i="2"/>
  <c r="E23" i="2" s="1"/>
  <c r="F23" i="2" s="1"/>
  <c r="G23" i="2" s="1"/>
  <c r="H23" i="2" s="1"/>
  <c r="I23" i="2" s="1"/>
  <c r="J23" i="2" s="1"/>
  <c r="K23" i="2" s="1"/>
  <c r="L23" i="2" s="1"/>
  <c r="M23" i="2" s="1"/>
  <c r="N23" i="2" s="1"/>
  <c r="O23" i="2" s="1"/>
  <c r="M14" i="2"/>
  <c r="S23" i="2"/>
  <c r="T23" i="2"/>
  <c r="R23" i="2"/>
  <c r="C22" i="2"/>
  <c r="D22" i="2" s="1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O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U23" i="2" l="1"/>
  <c r="V23" i="2" l="1"/>
  <c r="W23" i="2" l="1"/>
  <c r="X23" i="2" l="1"/>
  <c r="Y23" i="2" l="1"/>
  <c r="Z23" i="2" l="1"/>
  <c r="AA23" i="2" l="1"/>
  <c r="AB23" i="2" l="1"/>
  <c r="AC23" i="2" l="1"/>
  <c r="AD23" i="2" l="1"/>
  <c r="AE23" i="2" l="1"/>
  <c r="AF23" i="2" l="1"/>
  <c r="AG23" i="2" l="1"/>
  <c r="AH23" i="2" l="1"/>
  <c r="AI23" i="2" l="1"/>
  <c r="AJ23" i="2" l="1"/>
  <c r="AK23" i="2" l="1"/>
  <c r="AL23" i="2" l="1"/>
  <c r="AM23" i="2" l="1"/>
  <c r="AN23" i="2" l="1"/>
  <c r="AO23" i="2" l="1"/>
  <c r="AP23" i="2" l="1"/>
  <c r="AQ23" i="2" l="1"/>
  <c r="AR23" i="2" l="1"/>
  <c r="AS23" i="2" l="1"/>
  <c r="AT23" i="2" l="1"/>
  <c r="AU23" i="2" l="1"/>
  <c r="AV23" i="2" l="1"/>
  <c r="AW23" i="2" l="1"/>
  <c r="AX23" i="2" l="1"/>
  <c r="AY23" i="2" l="1"/>
  <c r="AZ23" i="2" l="1"/>
  <c r="BA23" i="2" l="1"/>
</calcChain>
</file>

<file path=xl/sharedStrings.xml><?xml version="1.0" encoding="utf-8"?>
<sst xmlns="http://schemas.openxmlformats.org/spreadsheetml/2006/main" count="21" uniqueCount="19">
  <si>
    <t>Model</t>
  </si>
  <si>
    <t>Solution</t>
  </si>
  <si>
    <t>Model Parameters</t>
  </si>
  <si>
    <t>k</t>
  </si>
  <si>
    <t>θ</t>
  </si>
  <si>
    <t>σ</t>
  </si>
  <si>
    <t>r(0)</t>
  </si>
  <si>
    <t>dt</t>
  </si>
  <si>
    <t>#</t>
  </si>
  <si>
    <r>
      <t xml:space="preserve">t </t>
    </r>
    <r>
      <rPr>
        <b/>
        <sz val="11"/>
        <color theme="1"/>
        <rFont val="Calibri"/>
        <family val="2"/>
      </rPr>
      <t>→</t>
    </r>
  </si>
  <si>
    <t>E</t>
  </si>
  <si>
    <t>V</t>
  </si>
  <si>
    <t>E = θ</t>
  </si>
  <si>
    <t xml:space="preserve">V = </t>
  </si>
  <si>
    <r>
      <t xml:space="preserve">t -&gt; </t>
    </r>
    <r>
      <rPr>
        <b/>
        <sz val="11"/>
        <color theme="1"/>
        <rFont val="Calibri"/>
        <family val="2"/>
      </rPr>
      <t>∞</t>
    </r>
  </si>
  <si>
    <t>Short rate Dynamics</t>
  </si>
  <si>
    <r>
      <t xml:space="preserve">short rates approach steady state distribution at t -&gt; </t>
    </r>
    <r>
      <rPr>
        <sz val="11"/>
        <color rgb="FF0070C0"/>
        <rFont val="Calibri"/>
        <family val="2"/>
      </rPr>
      <t>∞</t>
    </r>
  </si>
  <si>
    <t xml:space="preserve">short rates will be positive </t>
  </si>
  <si>
    <t>short rates have a non-central chisquare density ( not gaussian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</si>
</sst>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b/>
      <sz val="11"/>
      <color theme="1"/>
      <name val="Calibri"/>
      <family val="2"/>
    </font>
    <font>
      <b/>
      <sz val="11"/>
      <color rgb="FFFF0000"/>
      <name val="CMU Sans Serif"/>
    </font>
    <font>
      <sz val="11"/>
      <color rgb="FF0070C0"/>
      <name val="CMU Sans Serif"/>
    </font>
    <font>
      <sz val="11"/>
      <color rgb="FF0070C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3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10" fontId="2" fillId="0" borderId="0" xfId="1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0" fontId="2" fillId="0" borderId="0" xfId="1" applyNumberFormat="1" applyFont="1"/>
    <xf numFmtId="164" fontId="2" fillId="0" borderId="0" xfId="1" applyNumberFormat="1" applyFont="1"/>
    <xf numFmtId="10" fontId="2" fillId="0" borderId="0" xfId="0" applyNumberFormat="1" applyFont="1" applyAlignment="1">
      <alignment horizontal="center"/>
    </xf>
    <xf numFmtId="10" fontId="6" fillId="0" borderId="0" xfId="1" applyNumberFormat="1" applyFont="1" applyAlignment="1">
      <alignment horizontal="center"/>
    </xf>
    <xf numFmtId="0" fontId="7" fillId="0" borderId="0" xfId="0" applyFont="1"/>
    <xf numFmtId="164" fontId="6" fillId="0" borderId="0" xfId="1" applyNumberFormat="1" applyFont="1"/>
    <xf numFmtId="0" fontId="3" fillId="2" borderId="0" xfId="0" applyFont="1" applyFill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printerSettings.bin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 simulations of short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'1'!$C$22:$O$22</c:f>
              <c:numCache>
                <c:formatCode>0.00%</c:formatCode>
                <c:ptCount val="13"/>
                <c:pt idx="0">
                  <c:v>0.05</c:v>
                </c:pt>
                <c:pt idx="1">
                  <c:v>5.1521864699870426E-2</c:v>
                </c:pt>
                <c:pt idx="2">
                  <c:v>5.3620880642544021E-2</c:v>
                </c:pt>
                <c:pt idx="3">
                  <c:v>5.2391158271442848E-2</c:v>
                </c:pt>
                <c:pt idx="4">
                  <c:v>5.3389718167101162E-2</c:v>
                </c:pt>
                <c:pt idx="5">
                  <c:v>5.478644308769777E-2</c:v>
                </c:pt>
                <c:pt idx="6">
                  <c:v>5.6312515253610904E-2</c:v>
                </c:pt>
                <c:pt idx="7">
                  <c:v>5.8940341440828332E-2</c:v>
                </c:pt>
                <c:pt idx="8">
                  <c:v>5.954508231671226E-2</c:v>
                </c:pt>
                <c:pt idx="9">
                  <c:v>5.937912208859545E-2</c:v>
                </c:pt>
                <c:pt idx="10">
                  <c:v>6.3240688007010007E-2</c:v>
                </c:pt>
                <c:pt idx="11">
                  <c:v>6.3826298944684431E-2</c:v>
                </c:pt>
                <c:pt idx="12">
                  <c:v>6.3073232857315767E-2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F8-4405-8E8A-EDA41107589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'1'!$C$23:$O$23</c:f>
              <c:numCache>
                <c:formatCode>0.00%</c:formatCode>
                <c:ptCount val="13"/>
                <c:pt idx="0">
                  <c:v>0.05</c:v>
                </c:pt>
                <c:pt idx="1">
                  <c:v>4.9728740063672762E-2</c:v>
                </c:pt>
                <c:pt idx="2">
                  <c:v>5.1375973473480725E-2</c:v>
                </c:pt>
                <c:pt idx="3">
                  <c:v>5.2394798406155935E-2</c:v>
                </c:pt>
                <c:pt idx="4">
                  <c:v>5.5636339544505975E-2</c:v>
                </c:pt>
                <c:pt idx="5">
                  <c:v>5.8570830376225354E-2</c:v>
                </c:pt>
                <c:pt idx="6">
                  <c:v>6.0705204260469867E-2</c:v>
                </c:pt>
                <c:pt idx="7">
                  <c:v>6.0658755951793063E-2</c:v>
                </c:pt>
                <c:pt idx="8">
                  <c:v>6.1317426833835696E-2</c:v>
                </c:pt>
                <c:pt idx="9">
                  <c:v>6.2363186053498026E-2</c:v>
                </c:pt>
                <c:pt idx="10">
                  <c:v>6.2808893900798302E-2</c:v>
                </c:pt>
                <c:pt idx="11">
                  <c:v>6.1943520106111705E-2</c:v>
                </c:pt>
                <c:pt idx="12">
                  <c:v>6.3538006306037897E-2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F8-4405-8E8A-EDA41107589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'1'!$C$24:$O$24</c:f>
              <c:numCache>
                <c:formatCode>0.00%</c:formatCode>
                <c:ptCount val="13"/>
                <c:pt idx="0">
                  <c:v>0.05</c:v>
                </c:pt>
                <c:pt idx="1">
                  <c:v>5.3534936511323163E-2</c:v>
                </c:pt>
                <c:pt idx="2">
                  <c:v>5.5072637103625408E-2</c:v>
                </c:pt>
                <c:pt idx="3">
                  <c:v>5.5484164740183708E-2</c:v>
                </c:pt>
                <c:pt idx="4">
                  <c:v>5.782124238056769E-2</c:v>
                </c:pt>
                <c:pt idx="5">
                  <c:v>5.7863059727784903E-2</c:v>
                </c:pt>
                <c:pt idx="6">
                  <c:v>5.831009831720179E-2</c:v>
                </c:pt>
                <c:pt idx="7">
                  <c:v>6.0563131463160766E-2</c:v>
                </c:pt>
                <c:pt idx="8">
                  <c:v>5.9320457117228172E-2</c:v>
                </c:pt>
                <c:pt idx="9">
                  <c:v>6.0893924662551772E-2</c:v>
                </c:pt>
                <c:pt idx="10">
                  <c:v>6.2770137907758386E-2</c:v>
                </c:pt>
                <c:pt idx="11">
                  <c:v>6.3814882684688115E-2</c:v>
                </c:pt>
                <c:pt idx="12">
                  <c:v>6.3899340804349641E-2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F8-4405-8E8A-EDA41107589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'1'!$C$25:$O$25</c:f>
              <c:numCache>
                <c:formatCode>0.00%</c:formatCode>
                <c:ptCount val="13"/>
                <c:pt idx="0">
                  <c:v>0.05</c:v>
                </c:pt>
                <c:pt idx="1">
                  <c:v>5.2658976763017083E-2</c:v>
                </c:pt>
                <c:pt idx="2">
                  <c:v>5.3318249359772439E-2</c:v>
                </c:pt>
                <c:pt idx="3">
                  <c:v>5.3446785897873217E-2</c:v>
                </c:pt>
                <c:pt idx="4">
                  <c:v>5.641584372410538E-2</c:v>
                </c:pt>
                <c:pt idx="5">
                  <c:v>5.4433055671099698E-2</c:v>
                </c:pt>
                <c:pt idx="6">
                  <c:v>5.4719821589768458E-2</c:v>
                </c:pt>
                <c:pt idx="7">
                  <c:v>5.5068314429015927E-2</c:v>
                </c:pt>
                <c:pt idx="8">
                  <c:v>5.446832449864316E-2</c:v>
                </c:pt>
                <c:pt idx="9">
                  <c:v>5.4355829813475497E-2</c:v>
                </c:pt>
                <c:pt idx="10">
                  <c:v>5.8156595049728234E-2</c:v>
                </c:pt>
                <c:pt idx="11">
                  <c:v>5.9044037002872314E-2</c:v>
                </c:pt>
                <c:pt idx="12">
                  <c:v>5.9829352342210609E-2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F8-4405-8E8A-EDA41107589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'1'!$C$26:$O$26</c:f>
              <c:numCache>
                <c:formatCode>0.00%</c:formatCode>
                <c:ptCount val="13"/>
                <c:pt idx="0">
                  <c:v>0.05</c:v>
                </c:pt>
                <c:pt idx="1">
                  <c:v>4.9824091730551787E-2</c:v>
                </c:pt>
                <c:pt idx="2">
                  <c:v>5.1601312443959255E-2</c:v>
                </c:pt>
                <c:pt idx="3">
                  <c:v>5.2087116899252842E-2</c:v>
                </c:pt>
                <c:pt idx="4">
                  <c:v>5.188212440442639E-2</c:v>
                </c:pt>
                <c:pt idx="5">
                  <c:v>5.394967374912768E-2</c:v>
                </c:pt>
                <c:pt idx="6">
                  <c:v>5.314505280003988E-2</c:v>
                </c:pt>
                <c:pt idx="7">
                  <c:v>5.380941510627904E-2</c:v>
                </c:pt>
                <c:pt idx="8">
                  <c:v>5.4167369551845493E-2</c:v>
                </c:pt>
                <c:pt idx="9">
                  <c:v>5.5858990221401325E-2</c:v>
                </c:pt>
                <c:pt idx="10">
                  <c:v>5.6160965193661712E-2</c:v>
                </c:pt>
                <c:pt idx="11">
                  <c:v>5.8206024788930034E-2</c:v>
                </c:pt>
                <c:pt idx="12">
                  <c:v>5.9767573318156908E-2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F8-4405-8E8A-EDA41107589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'1'!$C$27:$O$27</c:f>
              <c:numCache>
                <c:formatCode>0.00%</c:formatCode>
                <c:ptCount val="13"/>
                <c:pt idx="0">
                  <c:v>0.05</c:v>
                </c:pt>
                <c:pt idx="1">
                  <c:v>4.8525839128936148E-2</c:v>
                </c:pt>
                <c:pt idx="2">
                  <c:v>4.909532979636181E-2</c:v>
                </c:pt>
                <c:pt idx="3">
                  <c:v>5.0060732540288602E-2</c:v>
                </c:pt>
                <c:pt idx="4">
                  <c:v>4.913048576093821E-2</c:v>
                </c:pt>
                <c:pt idx="5">
                  <c:v>4.968523915262308E-2</c:v>
                </c:pt>
                <c:pt idx="6">
                  <c:v>4.9290613217337673E-2</c:v>
                </c:pt>
                <c:pt idx="7">
                  <c:v>5.1202088235642096E-2</c:v>
                </c:pt>
                <c:pt idx="8">
                  <c:v>5.1013659185942743E-2</c:v>
                </c:pt>
                <c:pt idx="9">
                  <c:v>5.1688003858256393E-2</c:v>
                </c:pt>
                <c:pt idx="10">
                  <c:v>5.2756227171915797E-2</c:v>
                </c:pt>
                <c:pt idx="11">
                  <c:v>5.5220377453885264E-2</c:v>
                </c:pt>
                <c:pt idx="12">
                  <c:v>5.6079331112517214E-2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F8-4405-8E8A-EDA41107589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'1'!$C$28:$O$28</c:f>
              <c:numCache>
                <c:formatCode>0.00%</c:formatCode>
                <c:ptCount val="13"/>
                <c:pt idx="0">
                  <c:v>0.05</c:v>
                </c:pt>
                <c:pt idx="1">
                  <c:v>5.2767148546309824E-2</c:v>
                </c:pt>
                <c:pt idx="2">
                  <c:v>5.3120581929387213E-2</c:v>
                </c:pt>
                <c:pt idx="3">
                  <c:v>5.420793935568384E-2</c:v>
                </c:pt>
                <c:pt idx="4">
                  <c:v>5.3775057290414777E-2</c:v>
                </c:pt>
                <c:pt idx="5">
                  <c:v>5.3638250234693798E-2</c:v>
                </c:pt>
                <c:pt idx="6">
                  <c:v>5.5322130311644624E-2</c:v>
                </c:pt>
                <c:pt idx="7">
                  <c:v>5.5829276004734203E-2</c:v>
                </c:pt>
                <c:pt idx="8">
                  <c:v>5.992072689365046E-2</c:v>
                </c:pt>
                <c:pt idx="9">
                  <c:v>6.1547065549722002E-2</c:v>
                </c:pt>
                <c:pt idx="10">
                  <c:v>6.2510806370439917E-2</c:v>
                </c:pt>
                <c:pt idx="11">
                  <c:v>6.2563264593112636E-2</c:v>
                </c:pt>
                <c:pt idx="12">
                  <c:v>6.4781817197438085E-2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F8-4405-8E8A-EDA41107589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'1'!$C$29:$O$29</c:f>
              <c:numCache>
                <c:formatCode>0.00%</c:formatCode>
                <c:ptCount val="13"/>
                <c:pt idx="0">
                  <c:v>0.05</c:v>
                </c:pt>
                <c:pt idx="1">
                  <c:v>4.9918182233034805E-2</c:v>
                </c:pt>
                <c:pt idx="2">
                  <c:v>5.2400788378882061E-2</c:v>
                </c:pt>
                <c:pt idx="3">
                  <c:v>5.5015245571369956E-2</c:v>
                </c:pt>
                <c:pt idx="4">
                  <c:v>5.5781036016384018E-2</c:v>
                </c:pt>
                <c:pt idx="5">
                  <c:v>5.6359251855507352E-2</c:v>
                </c:pt>
                <c:pt idx="6">
                  <c:v>5.5925087187857422E-2</c:v>
                </c:pt>
                <c:pt idx="7">
                  <c:v>5.7568022259975517E-2</c:v>
                </c:pt>
                <c:pt idx="8">
                  <c:v>5.7169006310952675E-2</c:v>
                </c:pt>
                <c:pt idx="9">
                  <c:v>5.9892764294025291E-2</c:v>
                </c:pt>
                <c:pt idx="10">
                  <c:v>6.0278177727099307E-2</c:v>
                </c:pt>
                <c:pt idx="11">
                  <c:v>6.1009827523101454E-2</c:v>
                </c:pt>
                <c:pt idx="12">
                  <c:v>6.4320237986735918E-2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F8-4405-8E8A-EDA41107589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'1'!$C$30:$O$30</c:f>
              <c:numCache>
                <c:formatCode>0.00%</c:formatCode>
                <c:ptCount val="13"/>
                <c:pt idx="0">
                  <c:v>0.05</c:v>
                </c:pt>
                <c:pt idx="1">
                  <c:v>4.9764651234372896E-2</c:v>
                </c:pt>
                <c:pt idx="2">
                  <c:v>5.0644529101060681E-2</c:v>
                </c:pt>
                <c:pt idx="3">
                  <c:v>5.0738193839392189E-2</c:v>
                </c:pt>
                <c:pt idx="4">
                  <c:v>5.1677272505405991E-2</c:v>
                </c:pt>
                <c:pt idx="5">
                  <c:v>5.1479153564295277E-2</c:v>
                </c:pt>
                <c:pt idx="6">
                  <c:v>5.1473279920817405E-2</c:v>
                </c:pt>
                <c:pt idx="7">
                  <c:v>5.2400457214393972E-2</c:v>
                </c:pt>
                <c:pt idx="8">
                  <c:v>5.3775227178084049E-2</c:v>
                </c:pt>
                <c:pt idx="9">
                  <c:v>5.5239298542219616E-2</c:v>
                </c:pt>
                <c:pt idx="10">
                  <c:v>5.7204181403817396E-2</c:v>
                </c:pt>
                <c:pt idx="11">
                  <c:v>5.6857676931618001E-2</c:v>
                </c:pt>
                <c:pt idx="12">
                  <c:v>5.8111943782547047E-2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F8-4405-8E8A-EDA41107589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'1'!$C$31:$O$31</c:f>
              <c:numCache>
                <c:formatCode>0.00%</c:formatCode>
                <c:ptCount val="13"/>
                <c:pt idx="0">
                  <c:v>0.05</c:v>
                </c:pt>
                <c:pt idx="1">
                  <c:v>5.2636011234467192E-2</c:v>
                </c:pt>
                <c:pt idx="2">
                  <c:v>5.2548748261302736E-2</c:v>
                </c:pt>
                <c:pt idx="3">
                  <c:v>5.3950195934599245E-2</c:v>
                </c:pt>
                <c:pt idx="4">
                  <c:v>5.7769471376063357E-2</c:v>
                </c:pt>
                <c:pt idx="5">
                  <c:v>5.7009400741586211E-2</c:v>
                </c:pt>
                <c:pt idx="6">
                  <c:v>5.9234638950982729E-2</c:v>
                </c:pt>
                <c:pt idx="7">
                  <c:v>5.9796914290827223E-2</c:v>
                </c:pt>
                <c:pt idx="8">
                  <c:v>5.8966746384670185E-2</c:v>
                </c:pt>
                <c:pt idx="9">
                  <c:v>5.9667717023355618E-2</c:v>
                </c:pt>
                <c:pt idx="10">
                  <c:v>6.0777508000395504E-2</c:v>
                </c:pt>
                <c:pt idx="11">
                  <c:v>6.2013959169526983E-2</c:v>
                </c:pt>
                <c:pt idx="12">
                  <c:v>6.0826436479944374E-2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F8-4405-8E8A-EDA41107589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'1'!$C$32:$O$32</c:f>
              <c:numCache>
                <c:formatCode>0.00%</c:formatCode>
                <c:ptCount val="13"/>
                <c:pt idx="0">
                  <c:v>0.05</c:v>
                </c:pt>
                <c:pt idx="1">
                  <c:v>5.1106059959084307E-2</c:v>
                </c:pt>
                <c:pt idx="2">
                  <c:v>5.240341471248218E-2</c:v>
                </c:pt>
                <c:pt idx="3">
                  <c:v>5.3393296805211224E-2</c:v>
                </c:pt>
                <c:pt idx="4">
                  <c:v>5.7309427933148478E-2</c:v>
                </c:pt>
                <c:pt idx="5">
                  <c:v>5.8987545982357288E-2</c:v>
                </c:pt>
                <c:pt idx="6">
                  <c:v>5.7797322515222328E-2</c:v>
                </c:pt>
                <c:pt idx="7">
                  <c:v>5.7560325092262499E-2</c:v>
                </c:pt>
                <c:pt idx="8">
                  <c:v>5.7364889298055534E-2</c:v>
                </c:pt>
                <c:pt idx="9">
                  <c:v>5.7745226256017849E-2</c:v>
                </c:pt>
                <c:pt idx="10">
                  <c:v>5.8063024668786711E-2</c:v>
                </c:pt>
                <c:pt idx="11">
                  <c:v>5.7503432464976273E-2</c:v>
                </c:pt>
                <c:pt idx="12">
                  <c:v>5.8012153988318278E-2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0F8-4405-8E8A-EDA41107589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'1'!$C$33:$O$33</c:f>
              <c:numCache>
                <c:formatCode>0.00%</c:formatCode>
                <c:ptCount val="13"/>
                <c:pt idx="0">
                  <c:v>0.05</c:v>
                </c:pt>
                <c:pt idx="1">
                  <c:v>4.9056185502258501E-2</c:v>
                </c:pt>
                <c:pt idx="2">
                  <c:v>4.8271106028816943E-2</c:v>
                </c:pt>
                <c:pt idx="3">
                  <c:v>4.9316772870554082E-2</c:v>
                </c:pt>
                <c:pt idx="4">
                  <c:v>5.2739510556185865E-2</c:v>
                </c:pt>
                <c:pt idx="5">
                  <c:v>5.4172662322766726E-2</c:v>
                </c:pt>
                <c:pt idx="6">
                  <c:v>5.7369190175047324E-2</c:v>
                </c:pt>
                <c:pt idx="7">
                  <c:v>5.7464737042473166E-2</c:v>
                </c:pt>
                <c:pt idx="8">
                  <c:v>5.8080810475802117E-2</c:v>
                </c:pt>
                <c:pt idx="9">
                  <c:v>5.7799513894455555E-2</c:v>
                </c:pt>
                <c:pt idx="10">
                  <c:v>5.8463849725785749E-2</c:v>
                </c:pt>
                <c:pt idx="11">
                  <c:v>5.9226987247254094E-2</c:v>
                </c:pt>
                <c:pt idx="12">
                  <c:v>5.7662421353185563E-2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0F8-4405-8E8A-EDA41107589C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'1'!$C$34:$O$34</c:f>
              <c:numCache>
                <c:formatCode>0.00%</c:formatCode>
                <c:ptCount val="13"/>
                <c:pt idx="0">
                  <c:v>0.05</c:v>
                </c:pt>
                <c:pt idx="1">
                  <c:v>5.0517735153108007E-2</c:v>
                </c:pt>
                <c:pt idx="2">
                  <c:v>5.3873121616979769E-2</c:v>
                </c:pt>
                <c:pt idx="3">
                  <c:v>5.6728275786680944E-2</c:v>
                </c:pt>
                <c:pt idx="4">
                  <c:v>5.8468344170884611E-2</c:v>
                </c:pt>
                <c:pt idx="5">
                  <c:v>6.092406781955375E-2</c:v>
                </c:pt>
                <c:pt idx="6">
                  <c:v>6.1467141498715058E-2</c:v>
                </c:pt>
                <c:pt idx="7">
                  <c:v>6.0605136523476232E-2</c:v>
                </c:pt>
                <c:pt idx="8">
                  <c:v>5.9035692881475817E-2</c:v>
                </c:pt>
                <c:pt idx="9">
                  <c:v>6.0230945053140944E-2</c:v>
                </c:pt>
                <c:pt idx="10">
                  <c:v>6.2113294521170356E-2</c:v>
                </c:pt>
                <c:pt idx="11">
                  <c:v>6.1225731682026004E-2</c:v>
                </c:pt>
                <c:pt idx="12">
                  <c:v>6.0892737095752304E-2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0F8-4405-8E8A-EDA41107589C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'1'!$C$35:$O$35</c:f>
              <c:numCache>
                <c:formatCode>0.00%</c:formatCode>
                <c:ptCount val="13"/>
                <c:pt idx="0">
                  <c:v>0.05</c:v>
                </c:pt>
                <c:pt idx="1">
                  <c:v>5.0431090420729879E-2</c:v>
                </c:pt>
                <c:pt idx="2">
                  <c:v>4.9458594683924696E-2</c:v>
                </c:pt>
                <c:pt idx="3">
                  <c:v>5.1037844168773654E-2</c:v>
                </c:pt>
                <c:pt idx="4">
                  <c:v>5.2435289161721077E-2</c:v>
                </c:pt>
                <c:pt idx="5">
                  <c:v>5.3949128037190208E-2</c:v>
                </c:pt>
                <c:pt idx="6">
                  <c:v>5.523202023343049E-2</c:v>
                </c:pt>
                <c:pt idx="7">
                  <c:v>5.4580974769960634E-2</c:v>
                </c:pt>
                <c:pt idx="8">
                  <c:v>5.708296721836429E-2</c:v>
                </c:pt>
                <c:pt idx="9">
                  <c:v>5.9327615680674607E-2</c:v>
                </c:pt>
                <c:pt idx="10">
                  <c:v>6.0034863942761668E-2</c:v>
                </c:pt>
                <c:pt idx="11">
                  <c:v>6.0799393748168798E-2</c:v>
                </c:pt>
                <c:pt idx="12">
                  <c:v>6.1648064268354029E-2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0F8-4405-8E8A-EDA41107589C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'1'!$C$36:$O$36</c:f>
              <c:numCache>
                <c:formatCode>0.00%</c:formatCode>
                <c:ptCount val="13"/>
                <c:pt idx="0">
                  <c:v>0.05</c:v>
                </c:pt>
                <c:pt idx="1">
                  <c:v>5.2207803864648315E-2</c:v>
                </c:pt>
                <c:pt idx="2">
                  <c:v>5.1969941411919872E-2</c:v>
                </c:pt>
                <c:pt idx="3">
                  <c:v>5.2263807115218934E-2</c:v>
                </c:pt>
                <c:pt idx="4">
                  <c:v>5.3511485685782727E-2</c:v>
                </c:pt>
                <c:pt idx="5">
                  <c:v>5.252315239130978E-2</c:v>
                </c:pt>
                <c:pt idx="6">
                  <c:v>5.473577256888152E-2</c:v>
                </c:pt>
                <c:pt idx="7">
                  <c:v>5.5137342113945761E-2</c:v>
                </c:pt>
                <c:pt idx="8">
                  <c:v>5.8753132716326713E-2</c:v>
                </c:pt>
                <c:pt idx="9">
                  <c:v>5.9515853457011658E-2</c:v>
                </c:pt>
                <c:pt idx="10">
                  <c:v>6.1900645490601945E-2</c:v>
                </c:pt>
                <c:pt idx="11">
                  <c:v>6.3989557347941373E-2</c:v>
                </c:pt>
                <c:pt idx="12">
                  <c:v>6.3381738349304148E-2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0F8-4405-8E8A-EDA41107589C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'1'!$C$37:$O$37</c:f>
              <c:numCache>
                <c:formatCode>0.00%</c:formatCode>
                <c:ptCount val="13"/>
                <c:pt idx="0">
                  <c:v>0.05</c:v>
                </c:pt>
                <c:pt idx="1">
                  <c:v>5.0469470891759897E-2</c:v>
                </c:pt>
                <c:pt idx="2">
                  <c:v>5.1938770981563173E-2</c:v>
                </c:pt>
                <c:pt idx="3">
                  <c:v>5.4110930636534542E-2</c:v>
                </c:pt>
                <c:pt idx="4">
                  <c:v>5.5239423250452772E-2</c:v>
                </c:pt>
                <c:pt idx="5">
                  <c:v>5.5557635126821416E-2</c:v>
                </c:pt>
                <c:pt idx="6">
                  <c:v>5.4469928930654971E-2</c:v>
                </c:pt>
                <c:pt idx="7">
                  <c:v>5.7104457027205881E-2</c:v>
                </c:pt>
                <c:pt idx="8">
                  <c:v>5.8841025484260984E-2</c:v>
                </c:pt>
                <c:pt idx="9">
                  <c:v>5.9055728904406246E-2</c:v>
                </c:pt>
                <c:pt idx="10">
                  <c:v>6.0869583820224824E-2</c:v>
                </c:pt>
                <c:pt idx="11">
                  <c:v>6.0831601802693223E-2</c:v>
                </c:pt>
                <c:pt idx="12">
                  <c:v>6.2347674805203805E-2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40F8-4405-8E8A-EDA41107589C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'1'!$C$38:$O$38</c:f>
              <c:numCache>
                <c:formatCode>0.00%</c:formatCode>
                <c:ptCount val="13"/>
                <c:pt idx="0">
                  <c:v>0.05</c:v>
                </c:pt>
                <c:pt idx="1">
                  <c:v>5.4968414426334322E-2</c:v>
                </c:pt>
                <c:pt idx="2">
                  <c:v>5.8114073565959753E-2</c:v>
                </c:pt>
                <c:pt idx="3">
                  <c:v>5.7877071825676023E-2</c:v>
                </c:pt>
                <c:pt idx="4">
                  <c:v>5.6025029064013174E-2</c:v>
                </c:pt>
                <c:pt idx="5">
                  <c:v>5.7283789113668042E-2</c:v>
                </c:pt>
                <c:pt idx="6">
                  <c:v>6.0481406325569712E-2</c:v>
                </c:pt>
                <c:pt idx="7">
                  <c:v>5.9377308391122902E-2</c:v>
                </c:pt>
                <c:pt idx="8">
                  <c:v>6.2211797685563758E-2</c:v>
                </c:pt>
                <c:pt idx="9">
                  <c:v>6.5064900336751691E-2</c:v>
                </c:pt>
                <c:pt idx="10">
                  <c:v>6.6333323554437454E-2</c:v>
                </c:pt>
                <c:pt idx="11">
                  <c:v>6.796465150150513E-2</c:v>
                </c:pt>
                <c:pt idx="12">
                  <c:v>6.8617879907040116E-2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0F8-4405-8E8A-EDA41107589C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'1'!$C$39:$O$39</c:f>
              <c:numCache>
                <c:formatCode>0.00%</c:formatCode>
                <c:ptCount val="13"/>
                <c:pt idx="0">
                  <c:v>0.05</c:v>
                </c:pt>
                <c:pt idx="1">
                  <c:v>5.1243367644359404E-2</c:v>
                </c:pt>
                <c:pt idx="2">
                  <c:v>4.8354248996492891E-2</c:v>
                </c:pt>
                <c:pt idx="3">
                  <c:v>5.2290323273708181E-2</c:v>
                </c:pt>
                <c:pt idx="4">
                  <c:v>5.446424791725285E-2</c:v>
                </c:pt>
                <c:pt idx="5">
                  <c:v>5.2941572068569344E-2</c:v>
                </c:pt>
                <c:pt idx="6">
                  <c:v>5.5621749837292733E-2</c:v>
                </c:pt>
                <c:pt idx="7">
                  <c:v>5.7785817330934783E-2</c:v>
                </c:pt>
                <c:pt idx="8">
                  <c:v>5.8584313004512938E-2</c:v>
                </c:pt>
                <c:pt idx="9">
                  <c:v>5.7527995434736703E-2</c:v>
                </c:pt>
                <c:pt idx="10">
                  <c:v>5.8701336051559423E-2</c:v>
                </c:pt>
                <c:pt idx="11">
                  <c:v>5.8178217192144881E-2</c:v>
                </c:pt>
                <c:pt idx="12">
                  <c:v>6.0166420340533322E-2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0F8-4405-8E8A-EDA41107589C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'1'!$C$40:$O$40</c:f>
              <c:numCache>
                <c:formatCode>0.00%</c:formatCode>
                <c:ptCount val="13"/>
                <c:pt idx="0">
                  <c:v>0.05</c:v>
                </c:pt>
                <c:pt idx="1">
                  <c:v>5.0891310974162378E-2</c:v>
                </c:pt>
                <c:pt idx="2">
                  <c:v>5.4366198909426483E-2</c:v>
                </c:pt>
                <c:pt idx="3">
                  <c:v>5.4028995929817053E-2</c:v>
                </c:pt>
                <c:pt idx="4">
                  <c:v>5.4567598652366711E-2</c:v>
                </c:pt>
                <c:pt idx="5">
                  <c:v>5.3746748884218168E-2</c:v>
                </c:pt>
                <c:pt idx="6">
                  <c:v>5.4019419627244158E-2</c:v>
                </c:pt>
                <c:pt idx="7">
                  <c:v>5.5171854195390668E-2</c:v>
                </c:pt>
                <c:pt idx="8">
                  <c:v>5.5503085390437162E-2</c:v>
                </c:pt>
                <c:pt idx="9">
                  <c:v>5.7791767507217436E-2</c:v>
                </c:pt>
                <c:pt idx="10">
                  <c:v>5.8171702828859369E-2</c:v>
                </c:pt>
                <c:pt idx="11">
                  <c:v>5.6300884148056472E-2</c:v>
                </c:pt>
                <c:pt idx="12">
                  <c:v>5.8239761886274055E-2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0F8-4405-8E8A-EDA41107589C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'1'!$C$41:$O$41</c:f>
              <c:numCache>
                <c:formatCode>0.00%</c:formatCode>
                <c:ptCount val="13"/>
                <c:pt idx="0">
                  <c:v>0.05</c:v>
                </c:pt>
                <c:pt idx="1">
                  <c:v>4.8920289218863329E-2</c:v>
                </c:pt>
                <c:pt idx="2">
                  <c:v>4.8753079626454213E-2</c:v>
                </c:pt>
                <c:pt idx="3">
                  <c:v>4.9312239454751897E-2</c:v>
                </c:pt>
                <c:pt idx="4">
                  <c:v>5.0679807211806122E-2</c:v>
                </c:pt>
                <c:pt idx="5">
                  <c:v>5.3359706117378058E-2</c:v>
                </c:pt>
                <c:pt idx="6">
                  <c:v>5.5332619013508798E-2</c:v>
                </c:pt>
                <c:pt idx="7">
                  <c:v>5.8049323941844248E-2</c:v>
                </c:pt>
                <c:pt idx="8">
                  <c:v>5.6397745270686306E-2</c:v>
                </c:pt>
                <c:pt idx="9">
                  <c:v>5.57215026064986E-2</c:v>
                </c:pt>
                <c:pt idx="10">
                  <c:v>5.5713784753708015E-2</c:v>
                </c:pt>
                <c:pt idx="11">
                  <c:v>5.7242747186003216E-2</c:v>
                </c:pt>
                <c:pt idx="12">
                  <c:v>5.6908223126901004E-2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40F8-4405-8E8A-EDA41107589C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'1'!$C$42:$O$42</c:f>
              <c:numCache>
                <c:formatCode>0.00%</c:formatCode>
                <c:ptCount val="13"/>
                <c:pt idx="0">
                  <c:v>0.05</c:v>
                </c:pt>
                <c:pt idx="1">
                  <c:v>4.875691315687742E-2</c:v>
                </c:pt>
                <c:pt idx="2">
                  <c:v>5.0440237266664203E-2</c:v>
                </c:pt>
                <c:pt idx="3">
                  <c:v>5.123103925514013E-2</c:v>
                </c:pt>
                <c:pt idx="4">
                  <c:v>5.1677680807190852E-2</c:v>
                </c:pt>
                <c:pt idx="5">
                  <c:v>5.3794448136954769E-2</c:v>
                </c:pt>
                <c:pt idx="6">
                  <c:v>5.6028805945988303E-2</c:v>
                </c:pt>
                <c:pt idx="7">
                  <c:v>5.8467747292749783E-2</c:v>
                </c:pt>
                <c:pt idx="8">
                  <c:v>5.9297414291814399E-2</c:v>
                </c:pt>
                <c:pt idx="9">
                  <c:v>5.9978558577245641E-2</c:v>
                </c:pt>
                <c:pt idx="10">
                  <c:v>6.0528140457125845E-2</c:v>
                </c:pt>
                <c:pt idx="11">
                  <c:v>6.1139360231319356E-2</c:v>
                </c:pt>
                <c:pt idx="12">
                  <c:v>6.2549626977393066E-2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0F8-4405-8E8A-EDA41107589C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'1'!$C$43:$O$43</c:f>
              <c:numCache>
                <c:formatCode>0.00%</c:formatCode>
                <c:ptCount val="13"/>
                <c:pt idx="0">
                  <c:v>0.05</c:v>
                </c:pt>
                <c:pt idx="1">
                  <c:v>5.1593962875258199E-2</c:v>
                </c:pt>
                <c:pt idx="2">
                  <c:v>5.1515018716441513E-2</c:v>
                </c:pt>
                <c:pt idx="3">
                  <c:v>5.3979365391822083E-2</c:v>
                </c:pt>
                <c:pt idx="4">
                  <c:v>5.5115911424810045E-2</c:v>
                </c:pt>
                <c:pt idx="5">
                  <c:v>5.7104447633563316E-2</c:v>
                </c:pt>
                <c:pt idx="6">
                  <c:v>5.6111148882917128E-2</c:v>
                </c:pt>
                <c:pt idx="7">
                  <c:v>5.8916003194315412E-2</c:v>
                </c:pt>
                <c:pt idx="8">
                  <c:v>5.8457436641399067E-2</c:v>
                </c:pt>
                <c:pt idx="9">
                  <c:v>5.9519008472475307E-2</c:v>
                </c:pt>
                <c:pt idx="10">
                  <c:v>6.1306024738140071E-2</c:v>
                </c:pt>
                <c:pt idx="11">
                  <c:v>6.3438597213689329E-2</c:v>
                </c:pt>
                <c:pt idx="12">
                  <c:v>6.5414104327558467E-2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40F8-4405-8E8A-EDA41107589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'1'!$C$44:$O$44</c:f>
              <c:numCache>
                <c:formatCode>0.00%</c:formatCode>
                <c:ptCount val="13"/>
                <c:pt idx="0">
                  <c:v>0.05</c:v>
                </c:pt>
                <c:pt idx="1">
                  <c:v>5.2488830894469596E-2</c:v>
                </c:pt>
                <c:pt idx="2">
                  <c:v>5.5463584161239601E-2</c:v>
                </c:pt>
                <c:pt idx="3">
                  <c:v>5.535875005995558E-2</c:v>
                </c:pt>
                <c:pt idx="4">
                  <c:v>5.5545482288656675E-2</c:v>
                </c:pt>
                <c:pt idx="5">
                  <c:v>5.7228814356377319E-2</c:v>
                </c:pt>
                <c:pt idx="6">
                  <c:v>5.6937827742754597E-2</c:v>
                </c:pt>
                <c:pt idx="7">
                  <c:v>5.8941257955452998E-2</c:v>
                </c:pt>
                <c:pt idx="8">
                  <c:v>6.2677511612118236E-2</c:v>
                </c:pt>
                <c:pt idx="9">
                  <c:v>6.4448098351712196E-2</c:v>
                </c:pt>
                <c:pt idx="10">
                  <c:v>6.2000911613813346E-2</c:v>
                </c:pt>
                <c:pt idx="11">
                  <c:v>6.2770057493137715E-2</c:v>
                </c:pt>
                <c:pt idx="12">
                  <c:v>6.3761533138954968E-2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40F8-4405-8E8A-EDA41107589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'1'!$C$45:$O$45</c:f>
              <c:numCache>
                <c:formatCode>0.00%</c:formatCode>
                <c:ptCount val="13"/>
                <c:pt idx="0">
                  <c:v>0.05</c:v>
                </c:pt>
                <c:pt idx="1">
                  <c:v>5.1029799536281589E-2</c:v>
                </c:pt>
                <c:pt idx="2">
                  <c:v>5.1717044836589912E-2</c:v>
                </c:pt>
                <c:pt idx="3">
                  <c:v>5.2581175550895129E-2</c:v>
                </c:pt>
                <c:pt idx="4">
                  <c:v>5.4779603887255134E-2</c:v>
                </c:pt>
                <c:pt idx="5">
                  <c:v>5.7038641326045275E-2</c:v>
                </c:pt>
                <c:pt idx="6">
                  <c:v>5.763369302346974E-2</c:v>
                </c:pt>
                <c:pt idx="7">
                  <c:v>5.9291807721646737E-2</c:v>
                </c:pt>
                <c:pt idx="8">
                  <c:v>6.0643166719985576E-2</c:v>
                </c:pt>
                <c:pt idx="9">
                  <c:v>6.3763216926870758E-2</c:v>
                </c:pt>
                <c:pt idx="10">
                  <c:v>6.4281006307869787E-2</c:v>
                </c:pt>
                <c:pt idx="11">
                  <c:v>6.5949567052372704E-2</c:v>
                </c:pt>
                <c:pt idx="12">
                  <c:v>6.6401546279894974E-2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40F8-4405-8E8A-EDA41107589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'1'!$C$46:$O$46</c:f>
              <c:numCache>
                <c:formatCode>0.00%</c:formatCode>
                <c:ptCount val="13"/>
                <c:pt idx="0">
                  <c:v>0.05</c:v>
                </c:pt>
                <c:pt idx="1">
                  <c:v>5.2107778148355426E-2</c:v>
                </c:pt>
                <c:pt idx="2">
                  <c:v>5.4142077410643266E-2</c:v>
                </c:pt>
                <c:pt idx="3">
                  <c:v>5.3452714638445378E-2</c:v>
                </c:pt>
                <c:pt idx="4">
                  <c:v>5.4683425291924694E-2</c:v>
                </c:pt>
                <c:pt idx="5">
                  <c:v>5.502512514681903E-2</c:v>
                </c:pt>
                <c:pt idx="6">
                  <c:v>5.6205921302170503E-2</c:v>
                </c:pt>
                <c:pt idx="7">
                  <c:v>5.6280554540967233E-2</c:v>
                </c:pt>
                <c:pt idx="8">
                  <c:v>5.7482986233589231E-2</c:v>
                </c:pt>
                <c:pt idx="9">
                  <c:v>5.6931004371291422E-2</c:v>
                </c:pt>
                <c:pt idx="10">
                  <c:v>5.7977441124063597E-2</c:v>
                </c:pt>
                <c:pt idx="11">
                  <c:v>5.9207844328562576E-2</c:v>
                </c:pt>
                <c:pt idx="12">
                  <c:v>6.030176100683303E-2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40F8-4405-8E8A-EDA41107589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'1'!$C$47:$O$47</c:f>
              <c:numCache>
                <c:formatCode>0.00%</c:formatCode>
                <c:ptCount val="13"/>
                <c:pt idx="0">
                  <c:v>0.05</c:v>
                </c:pt>
                <c:pt idx="1">
                  <c:v>5.3925231513525664E-2</c:v>
                </c:pt>
                <c:pt idx="2">
                  <c:v>5.3874528312715282E-2</c:v>
                </c:pt>
                <c:pt idx="3">
                  <c:v>5.3881989863550479E-2</c:v>
                </c:pt>
                <c:pt idx="4">
                  <c:v>5.6686051361412672E-2</c:v>
                </c:pt>
                <c:pt idx="5">
                  <c:v>5.6216763710623473E-2</c:v>
                </c:pt>
                <c:pt idx="6">
                  <c:v>5.9295498189167357E-2</c:v>
                </c:pt>
                <c:pt idx="7">
                  <c:v>5.990841226474572E-2</c:v>
                </c:pt>
                <c:pt idx="8">
                  <c:v>6.0491969610427923E-2</c:v>
                </c:pt>
                <c:pt idx="9">
                  <c:v>6.1159500035108387E-2</c:v>
                </c:pt>
                <c:pt idx="10">
                  <c:v>6.2886616788350461E-2</c:v>
                </c:pt>
                <c:pt idx="11">
                  <c:v>6.5075117181633571E-2</c:v>
                </c:pt>
                <c:pt idx="12">
                  <c:v>6.4124444230259259E-2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40F8-4405-8E8A-EDA41107589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'1'!$C$48:$O$48</c:f>
              <c:numCache>
                <c:formatCode>0.00%</c:formatCode>
                <c:ptCount val="13"/>
                <c:pt idx="0">
                  <c:v>0.05</c:v>
                </c:pt>
                <c:pt idx="1">
                  <c:v>5.1326089420477707E-2</c:v>
                </c:pt>
                <c:pt idx="2">
                  <c:v>5.6105273309014034E-2</c:v>
                </c:pt>
                <c:pt idx="3">
                  <c:v>5.6309885508991055E-2</c:v>
                </c:pt>
                <c:pt idx="4">
                  <c:v>5.6355149971938953E-2</c:v>
                </c:pt>
                <c:pt idx="5">
                  <c:v>5.9202089616851333E-2</c:v>
                </c:pt>
                <c:pt idx="6">
                  <c:v>5.872546844081062E-2</c:v>
                </c:pt>
                <c:pt idx="7">
                  <c:v>5.8655019562912768E-2</c:v>
                </c:pt>
                <c:pt idx="8">
                  <c:v>5.8509843040037299E-2</c:v>
                </c:pt>
                <c:pt idx="9">
                  <c:v>5.7387285035790811E-2</c:v>
                </c:pt>
                <c:pt idx="10">
                  <c:v>5.9242753661399646E-2</c:v>
                </c:pt>
                <c:pt idx="11">
                  <c:v>5.9621231727759724E-2</c:v>
                </c:pt>
                <c:pt idx="12">
                  <c:v>5.9771888821095985E-2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40F8-4405-8E8A-EDA41107589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'1'!$C$49:$O$49</c:f>
              <c:numCache>
                <c:formatCode>0.00%</c:formatCode>
                <c:ptCount val="13"/>
                <c:pt idx="0">
                  <c:v>0.05</c:v>
                </c:pt>
                <c:pt idx="1">
                  <c:v>5.1880713374122318E-2</c:v>
                </c:pt>
                <c:pt idx="2">
                  <c:v>5.5114294178172991E-2</c:v>
                </c:pt>
                <c:pt idx="3">
                  <c:v>5.582003855463414E-2</c:v>
                </c:pt>
                <c:pt idx="4">
                  <c:v>5.7748876136826569E-2</c:v>
                </c:pt>
                <c:pt idx="5">
                  <c:v>5.8496544188711051E-2</c:v>
                </c:pt>
                <c:pt idx="6">
                  <c:v>6.0034628743330883E-2</c:v>
                </c:pt>
                <c:pt idx="7">
                  <c:v>6.1735215618763661E-2</c:v>
                </c:pt>
                <c:pt idx="8">
                  <c:v>6.356761098318385E-2</c:v>
                </c:pt>
                <c:pt idx="9">
                  <c:v>6.4535298564068325E-2</c:v>
                </c:pt>
                <c:pt idx="10">
                  <c:v>6.5745503391780397E-2</c:v>
                </c:pt>
                <c:pt idx="11">
                  <c:v>6.4287528454480145E-2</c:v>
                </c:pt>
                <c:pt idx="12">
                  <c:v>6.6211622265520978E-2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40F8-4405-8E8A-EDA41107589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'1'!$C$50:$O$50</c:f>
              <c:numCache>
                <c:formatCode>0.00%</c:formatCode>
                <c:ptCount val="13"/>
                <c:pt idx="0">
                  <c:v>0.05</c:v>
                </c:pt>
                <c:pt idx="1">
                  <c:v>5.2970037452071135E-2</c:v>
                </c:pt>
                <c:pt idx="2">
                  <c:v>5.5527045356753346E-2</c:v>
                </c:pt>
                <c:pt idx="3">
                  <c:v>5.7668663458093933E-2</c:v>
                </c:pt>
                <c:pt idx="4">
                  <c:v>5.7862940953524122E-2</c:v>
                </c:pt>
                <c:pt idx="5">
                  <c:v>6.0246269461738042E-2</c:v>
                </c:pt>
                <c:pt idx="6">
                  <c:v>6.276208452224212E-2</c:v>
                </c:pt>
                <c:pt idx="7">
                  <c:v>6.5619338928753601E-2</c:v>
                </c:pt>
                <c:pt idx="8">
                  <c:v>6.6652396667866848E-2</c:v>
                </c:pt>
                <c:pt idx="9">
                  <c:v>6.5254240875613725E-2</c:v>
                </c:pt>
                <c:pt idx="10">
                  <c:v>6.8162320963160744E-2</c:v>
                </c:pt>
                <c:pt idx="11">
                  <c:v>6.8449023747770038E-2</c:v>
                </c:pt>
                <c:pt idx="12">
                  <c:v>6.84118255797493E-2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40F8-4405-8E8A-EDA41107589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'1'!$C$51:$O$51</c:f>
              <c:numCache>
                <c:formatCode>0.00%</c:formatCode>
                <c:ptCount val="13"/>
                <c:pt idx="0">
                  <c:v>0.05</c:v>
                </c:pt>
                <c:pt idx="1">
                  <c:v>5.0788665506063924E-2</c:v>
                </c:pt>
                <c:pt idx="2">
                  <c:v>5.1050101224019394E-2</c:v>
                </c:pt>
                <c:pt idx="3">
                  <c:v>5.1819960127870823E-2</c:v>
                </c:pt>
                <c:pt idx="4">
                  <c:v>5.1733962183650964E-2</c:v>
                </c:pt>
                <c:pt idx="5">
                  <c:v>5.4277428414778978E-2</c:v>
                </c:pt>
                <c:pt idx="6">
                  <c:v>5.5610357187509826E-2</c:v>
                </c:pt>
                <c:pt idx="7">
                  <c:v>5.9030437116370564E-2</c:v>
                </c:pt>
                <c:pt idx="8">
                  <c:v>5.9772950194564849E-2</c:v>
                </c:pt>
                <c:pt idx="9">
                  <c:v>5.8462019085160591E-2</c:v>
                </c:pt>
                <c:pt idx="10">
                  <c:v>5.8966572970896483E-2</c:v>
                </c:pt>
                <c:pt idx="11">
                  <c:v>6.0021737237969046E-2</c:v>
                </c:pt>
                <c:pt idx="12">
                  <c:v>6.2719721270689047E-2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40F8-4405-8E8A-EDA41107589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'1'!$C$52:$O$52</c:f>
              <c:numCache>
                <c:formatCode>0.00%</c:formatCode>
                <c:ptCount val="13"/>
                <c:pt idx="0">
                  <c:v>0.05</c:v>
                </c:pt>
                <c:pt idx="1">
                  <c:v>5.0622142802084123E-2</c:v>
                </c:pt>
                <c:pt idx="2">
                  <c:v>5.3101099423513744E-2</c:v>
                </c:pt>
                <c:pt idx="3">
                  <c:v>5.7075714358180943E-2</c:v>
                </c:pt>
                <c:pt idx="4">
                  <c:v>5.7630052787474573E-2</c:v>
                </c:pt>
                <c:pt idx="5">
                  <c:v>6.1269022924887603E-2</c:v>
                </c:pt>
                <c:pt idx="6">
                  <c:v>6.0682151059186E-2</c:v>
                </c:pt>
                <c:pt idx="7">
                  <c:v>6.3771695302223208E-2</c:v>
                </c:pt>
                <c:pt idx="8">
                  <c:v>6.3536274422071479E-2</c:v>
                </c:pt>
                <c:pt idx="9">
                  <c:v>6.4365807252838247E-2</c:v>
                </c:pt>
                <c:pt idx="10">
                  <c:v>6.5323256870481364E-2</c:v>
                </c:pt>
                <c:pt idx="11">
                  <c:v>6.3274454745008021E-2</c:v>
                </c:pt>
                <c:pt idx="12">
                  <c:v>6.2393790744675569E-2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40F8-4405-8E8A-EDA41107589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'1'!$C$53:$O$53</c:f>
              <c:numCache>
                <c:formatCode>0.00%</c:formatCode>
                <c:ptCount val="13"/>
                <c:pt idx="0">
                  <c:v>0.05</c:v>
                </c:pt>
                <c:pt idx="1">
                  <c:v>5.2322395794876138E-2</c:v>
                </c:pt>
                <c:pt idx="2">
                  <c:v>5.321893574601054E-2</c:v>
                </c:pt>
                <c:pt idx="3">
                  <c:v>5.4412851359708504E-2</c:v>
                </c:pt>
                <c:pt idx="4">
                  <c:v>5.3619577028973325E-2</c:v>
                </c:pt>
                <c:pt idx="5">
                  <c:v>5.2341895023878003E-2</c:v>
                </c:pt>
                <c:pt idx="6">
                  <c:v>5.4006774762163569E-2</c:v>
                </c:pt>
                <c:pt idx="7">
                  <c:v>5.2946164033982238E-2</c:v>
                </c:pt>
                <c:pt idx="8">
                  <c:v>5.4570901074193948E-2</c:v>
                </c:pt>
                <c:pt idx="9">
                  <c:v>5.4709233297480259E-2</c:v>
                </c:pt>
                <c:pt idx="10">
                  <c:v>5.3004219163995628E-2</c:v>
                </c:pt>
                <c:pt idx="11">
                  <c:v>5.1807963078771641E-2</c:v>
                </c:pt>
                <c:pt idx="12">
                  <c:v>5.3166008573969588E-2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40F8-4405-8E8A-EDA41107589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'1'!$C$54:$O$54</c:f>
              <c:numCache>
                <c:formatCode>0.00%</c:formatCode>
                <c:ptCount val="13"/>
                <c:pt idx="0">
                  <c:v>0.05</c:v>
                </c:pt>
                <c:pt idx="1">
                  <c:v>5.2565655467026594E-2</c:v>
                </c:pt>
                <c:pt idx="2">
                  <c:v>5.5191904912468844E-2</c:v>
                </c:pt>
                <c:pt idx="3">
                  <c:v>5.5960438398560165E-2</c:v>
                </c:pt>
                <c:pt idx="4">
                  <c:v>5.8886075143994722E-2</c:v>
                </c:pt>
                <c:pt idx="5">
                  <c:v>6.0948135441312015E-2</c:v>
                </c:pt>
                <c:pt idx="6">
                  <c:v>6.1633033577544037E-2</c:v>
                </c:pt>
                <c:pt idx="7">
                  <c:v>6.2236950202039377E-2</c:v>
                </c:pt>
                <c:pt idx="8">
                  <c:v>6.3949060910202582E-2</c:v>
                </c:pt>
                <c:pt idx="9">
                  <c:v>6.3549198152813569E-2</c:v>
                </c:pt>
                <c:pt idx="10">
                  <c:v>6.2936744721377266E-2</c:v>
                </c:pt>
                <c:pt idx="11">
                  <c:v>6.4614277066527046E-2</c:v>
                </c:pt>
                <c:pt idx="12">
                  <c:v>6.5700494314362257E-2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40F8-4405-8E8A-EDA41107589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'1'!$C$55:$O$55</c:f>
              <c:numCache>
                <c:formatCode>0.00%</c:formatCode>
                <c:ptCount val="13"/>
                <c:pt idx="0">
                  <c:v>0.05</c:v>
                </c:pt>
                <c:pt idx="1">
                  <c:v>5.0859517466297618E-2</c:v>
                </c:pt>
                <c:pt idx="2">
                  <c:v>5.3127695052241942E-2</c:v>
                </c:pt>
                <c:pt idx="3">
                  <c:v>5.2343432980228449E-2</c:v>
                </c:pt>
                <c:pt idx="4">
                  <c:v>5.3082994429692686E-2</c:v>
                </c:pt>
                <c:pt idx="5">
                  <c:v>5.3931891954295166E-2</c:v>
                </c:pt>
                <c:pt idx="6">
                  <c:v>5.3383100878554295E-2</c:v>
                </c:pt>
                <c:pt idx="7">
                  <c:v>5.3945163461956248E-2</c:v>
                </c:pt>
                <c:pt idx="8">
                  <c:v>5.6409971412234999E-2</c:v>
                </c:pt>
                <c:pt idx="9">
                  <c:v>5.9120147373832872E-2</c:v>
                </c:pt>
                <c:pt idx="10">
                  <c:v>6.0637679101062922E-2</c:v>
                </c:pt>
                <c:pt idx="11">
                  <c:v>6.352290580542351E-2</c:v>
                </c:pt>
                <c:pt idx="12">
                  <c:v>6.3860227169813558E-2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40F8-4405-8E8A-EDA41107589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'1'!$C$56:$O$56</c:f>
              <c:numCache>
                <c:formatCode>0.00%</c:formatCode>
                <c:ptCount val="13"/>
                <c:pt idx="0">
                  <c:v>0.05</c:v>
                </c:pt>
                <c:pt idx="1">
                  <c:v>4.8564316956516154E-2</c:v>
                </c:pt>
                <c:pt idx="2">
                  <c:v>5.0352361058276264E-2</c:v>
                </c:pt>
                <c:pt idx="3">
                  <c:v>5.0937694492295127E-2</c:v>
                </c:pt>
                <c:pt idx="4">
                  <c:v>5.2332345014382262E-2</c:v>
                </c:pt>
                <c:pt idx="5">
                  <c:v>5.4186245430369935E-2</c:v>
                </c:pt>
                <c:pt idx="6">
                  <c:v>5.503340280823061E-2</c:v>
                </c:pt>
                <c:pt idx="7">
                  <c:v>5.4994352730122348E-2</c:v>
                </c:pt>
                <c:pt idx="8">
                  <c:v>5.5768618512414762E-2</c:v>
                </c:pt>
                <c:pt idx="9">
                  <c:v>5.5904921602186672E-2</c:v>
                </c:pt>
                <c:pt idx="10">
                  <c:v>5.635104535658101E-2</c:v>
                </c:pt>
                <c:pt idx="11">
                  <c:v>5.6696284410535813E-2</c:v>
                </c:pt>
                <c:pt idx="12">
                  <c:v>5.6466431834827219E-2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40F8-4405-8E8A-EDA41107589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'1'!$C$57:$O$57</c:f>
              <c:numCache>
                <c:formatCode>0.00%</c:formatCode>
                <c:ptCount val="13"/>
                <c:pt idx="0">
                  <c:v>0.05</c:v>
                </c:pt>
                <c:pt idx="1">
                  <c:v>5.0250024947028356E-2</c:v>
                </c:pt>
                <c:pt idx="2">
                  <c:v>5.1752234436696125E-2</c:v>
                </c:pt>
                <c:pt idx="3">
                  <c:v>5.2157994110287847E-2</c:v>
                </c:pt>
                <c:pt idx="4">
                  <c:v>5.3414645284177734E-2</c:v>
                </c:pt>
                <c:pt idx="5">
                  <c:v>5.3476305948954111E-2</c:v>
                </c:pt>
                <c:pt idx="6">
                  <c:v>5.4730701129080392E-2</c:v>
                </c:pt>
                <c:pt idx="7">
                  <c:v>5.8344673221551097E-2</c:v>
                </c:pt>
                <c:pt idx="8">
                  <c:v>6.0669886662033719E-2</c:v>
                </c:pt>
                <c:pt idx="9">
                  <c:v>5.9956362210895231E-2</c:v>
                </c:pt>
                <c:pt idx="10">
                  <c:v>6.3548688343964391E-2</c:v>
                </c:pt>
                <c:pt idx="11">
                  <c:v>6.3590573516292617E-2</c:v>
                </c:pt>
                <c:pt idx="12">
                  <c:v>6.5711495843336201E-2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40F8-4405-8E8A-EDA41107589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'1'!$C$58:$O$58</c:f>
              <c:numCache>
                <c:formatCode>0.00%</c:formatCode>
                <c:ptCount val="13"/>
                <c:pt idx="0">
                  <c:v>0.05</c:v>
                </c:pt>
                <c:pt idx="1">
                  <c:v>5.1514396114102898E-2</c:v>
                </c:pt>
                <c:pt idx="2">
                  <c:v>5.2854137996221032E-2</c:v>
                </c:pt>
                <c:pt idx="3">
                  <c:v>5.4742945357805224E-2</c:v>
                </c:pt>
                <c:pt idx="4">
                  <c:v>5.5425600268969463E-2</c:v>
                </c:pt>
                <c:pt idx="5">
                  <c:v>5.2654300060910555E-2</c:v>
                </c:pt>
                <c:pt idx="6">
                  <c:v>5.4590823889209293E-2</c:v>
                </c:pt>
                <c:pt idx="7">
                  <c:v>5.5963010713464441E-2</c:v>
                </c:pt>
                <c:pt idx="8">
                  <c:v>5.8340691379510166E-2</c:v>
                </c:pt>
                <c:pt idx="9">
                  <c:v>6.0160284677996161E-2</c:v>
                </c:pt>
                <c:pt idx="10">
                  <c:v>6.1546264303142174E-2</c:v>
                </c:pt>
                <c:pt idx="11">
                  <c:v>6.1860921676523739E-2</c:v>
                </c:pt>
                <c:pt idx="12">
                  <c:v>6.435998658468299E-2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40F8-4405-8E8A-EDA41107589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'1'!$C$59:$O$59</c:f>
              <c:numCache>
                <c:formatCode>0.00%</c:formatCode>
                <c:ptCount val="13"/>
                <c:pt idx="0">
                  <c:v>0.05</c:v>
                </c:pt>
                <c:pt idx="1">
                  <c:v>4.9435051528889953E-2</c:v>
                </c:pt>
                <c:pt idx="2">
                  <c:v>5.1744298029254621E-2</c:v>
                </c:pt>
                <c:pt idx="3">
                  <c:v>5.2262016730381507E-2</c:v>
                </c:pt>
                <c:pt idx="4">
                  <c:v>5.2937560490682975E-2</c:v>
                </c:pt>
                <c:pt idx="5">
                  <c:v>5.2648870006673031E-2</c:v>
                </c:pt>
                <c:pt idx="6">
                  <c:v>5.1074631857125456E-2</c:v>
                </c:pt>
                <c:pt idx="7">
                  <c:v>5.0105549573588801E-2</c:v>
                </c:pt>
                <c:pt idx="8">
                  <c:v>5.1096364040997565E-2</c:v>
                </c:pt>
                <c:pt idx="9">
                  <c:v>5.1915457397523429E-2</c:v>
                </c:pt>
                <c:pt idx="10">
                  <c:v>5.1991075507899484E-2</c:v>
                </c:pt>
                <c:pt idx="11">
                  <c:v>5.3218632650898448E-2</c:v>
                </c:pt>
                <c:pt idx="12">
                  <c:v>5.2956411825368394E-2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40F8-4405-8E8A-EDA41107589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'1'!$C$60:$O$60</c:f>
              <c:numCache>
                <c:formatCode>0.00%</c:formatCode>
                <c:ptCount val="13"/>
                <c:pt idx="0">
                  <c:v>0.05</c:v>
                </c:pt>
                <c:pt idx="1">
                  <c:v>5.2616397863263442E-2</c:v>
                </c:pt>
                <c:pt idx="2">
                  <c:v>5.4519457173781351E-2</c:v>
                </c:pt>
                <c:pt idx="3">
                  <c:v>5.2408246186091759E-2</c:v>
                </c:pt>
                <c:pt idx="4">
                  <c:v>5.3818564635268372E-2</c:v>
                </c:pt>
                <c:pt idx="5">
                  <c:v>5.561195975552153E-2</c:v>
                </c:pt>
                <c:pt idx="6">
                  <c:v>5.5842061068113562E-2</c:v>
                </c:pt>
                <c:pt idx="7">
                  <c:v>5.8335729254605749E-2</c:v>
                </c:pt>
                <c:pt idx="8">
                  <c:v>5.9091120964720328E-2</c:v>
                </c:pt>
                <c:pt idx="9">
                  <c:v>6.2262436274817777E-2</c:v>
                </c:pt>
                <c:pt idx="10">
                  <c:v>6.377586087747944E-2</c:v>
                </c:pt>
                <c:pt idx="11">
                  <c:v>6.1835312098376949E-2</c:v>
                </c:pt>
                <c:pt idx="12">
                  <c:v>6.4352416641042826E-2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40F8-4405-8E8A-EDA41107589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'1'!$C$61:$O$61</c:f>
              <c:numCache>
                <c:formatCode>0.00%</c:formatCode>
                <c:ptCount val="13"/>
                <c:pt idx="0">
                  <c:v>0.05</c:v>
                </c:pt>
                <c:pt idx="1">
                  <c:v>5.0832681330130462E-2</c:v>
                </c:pt>
                <c:pt idx="2">
                  <c:v>5.1365471681590932E-2</c:v>
                </c:pt>
                <c:pt idx="3">
                  <c:v>4.9861487212780081E-2</c:v>
                </c:pt>
                <c:pt idx="4">
                  <c:v>5.0099791283340182E-2</c:v>
                </c:pt>
                <c:pt idx="5">
                  <c:v>5.1022948337207885E-2</c:v>
                </c:pt>
                <c:pt idx="6">
                  <c:v>5.1538984349004661E-2</c:v>
                </c:pt>
                <c:pt idx="7">
                  <c:v>5.1147209411199518E-2</c:v>
                </c:pt>
                <c:pt idx="8">
                  <c:v>5.3017743941747887E-2</c:v>
                </c:pt>
                <c:pt idx="9">
                  <c:v>5.4466712155911375E-2</c:v>
                </c:pt>
                <c:pt idx="10">
                  <c:v>5.4877079901937749E-2</c:v>
                </c:pt>
                <c:pt idx="11">
                  <c:v>5.6947763558518091E-2</c:v>
                </c:pt>
                <c:pt idx="12">
                  <c:v>5.8156665294088673E-2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40F8-4405-8E8A-EDA41107589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'1'!$C$62:$O$62</c:f>
              <c:numCache>
                <c:formatCode>0.00%</c:formatCode>
                <c:ptCount val="13"/>
                <c:pt idx="0">
                  <c:v>0.05</c:v>
                </c:pt>
                <c:pt idx="1">
                  <c:v>5.0883620607482097E-2</c:v>
                </c:pt>
                <c:pt idx="2">
                  <c:v>5.2719054357405003E-2</c:v>
                </c:pt>
                <c:pt idx="3">
                  <c:v>5.2661377575019978E-2</c:v>
                </c:pt>
                <c:pt idx="4">
                  <c:v>5.3430617378289684E-2</c:v>
                </c:pt>
                <c:pt idx="5">
                  <c:v>5.3975594955324925E-2</c:v>
                </c:pt>
                <c:pt idx="6">
                  <c:v>5.5151304258551893E-2</c:v>
                </c:pt>
                <c:pt idx="7">
                  <c:v>5.6630603036462585E-2</c:v>
                </c:pt>
                <c:pt idx="8">
                  <c:v>5.824725202646179E-2</c:v>
                </c:pt>
                <c:pt idx="9">
                  <c:v>6.0651783099927609E-2</c:v>
                </c:pt>
                <c:pt idx="10">
                  <c:v>5.9204795528508991E-2</c:v>
                </c:pt>
                <c:pt idx="11">
                  <c:v>5.860500134344275E-2</c:v>
                </c:pt>
                <c:pt idx="12">
                  <c:v>5.8704567885098063E-2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0F8-4405-8E8A-EDA41107589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'1'!$C$63:$O$63</c:f>
              <c:numCache>
                <c:formatCode>0.00%</c:formatCode>
                <c:ptCount val="13"/>
                <c:pt idx="0">
                  <c:v>0.05</c:v>
                </c:pt>
                <c:pt idx="1">
                  <c:v>5.2892145274146443E-2</c:v>
                </c:pt>
                <c:pt idx="2">
                  <c:v>5.5401611629285988E-2</c:v>
                </c:pt>
                <c:pt idx="3">
                  <c:v>5.5234446712524567E-2</c:v>
                </c:pt>
                <c:pt idx="4">
                  <c:v>5.8862646031940871E-2</c:v>
                </c:pt>
                <c:pt idx="5">
                  <c:v>5.9456235400838581E-2</c:v>
                </c:pt>
                <c:pt idx="6">
                  <c:v>6.0265901137760064E-2</c:v>
                </c:pt>
                <c:pt idx="7">
                  <c:v>6.1691240517596377E-2</c:v>
                </c:pt>
                <c:pt idx="8">
                  <c:v>6.1994283739155609E-2</c:v>
                </c:pt>
                <c:pt idx="9">
                  <c:v>6.4383455563524442E-2</c:v>
                </c:pt>
                <c:pt idx="10">
                  <c:v>6.4005315788595391E-2</c:v>
                </c:pt>
                <c:pt idx="11">
                  <c:v>6.2394346535682446E-2</c:v>
                </c:pt>
                <c:pt idx="12">
                  <c:v>6.1497304159861682E-2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40F8-4405-8E8A-EDA41107589C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'1'!$C$64:$O$64</c:f>
              <c:numCache>
                <c:formatCode>0.00%</c:formatCode>
                <c:ptCount val="13"/>
                <c:pt idx="0">
                  <c:v>0.05</c:v>
                </c:pt>
                <c:pt idx="1">
                  <c:v>5.1843289233244098E-2</c:v>
                </c:pt>
                <c:pt idx="2">
                  <c:v>5.4445885129448139E-2</c:v>
                </c:pt>
                <c:pt idx="3">
                  <c:v>5.5604721877494455E-2</c:v>
                </c:pt>
                <c:pt idx="4">
                  <c:v>5.4773055151323094E-2</c:v>
                </c:pt>
                <c:pt idx="5">
                  <c:v>5.4478833563870371E-2</c:v>
                </c:pt>
                <c:pt idx="6">
                  <c:v>5.7446366310917978E-2</c:v>
                </c:pt>
                <c:pt idx="7">
                  <c:v>5.5484489994763291E-2</c:v>
                </c:pt>
                <c:pt idx="8">
                  <c:v>5.345546155614235E-2</c:v>
                </c:pt>
                <c:pt idx="9">
                  <c:v>5.2113403916964951E-2</c:v>
                </c:pt>
                <c:pt idx="10">
                  <c:v>5.4547082628886259E-2</c:v>
                </c:pt>
                <c:pt idx="11">
                  <c:v>5.5458152456073717E-2</c:v>
                </c:pt>
                <c:pt idx="12">
                  <c:v>5.7998074749729574E-2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40F8-4405-8E8A-EDA41107589C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'1'!$C$65:$O$65</c:f>
              <c:numCache>
                <c:formatCode>0.00%</c:formatCode>
                <c:ptCount val="13"/>
                <c:pt idx="0">
                  <c:v>0.05</c:v>
                </c:pt>
                <c:pt idx="1">
                  <c:v>5.3400796570404162E-2</c:v>
                </c:pt>
                <c:pt idx="2">
                  <c:v>5.4831280684775413E-2</c:v>
                </c:pt>
                <c:pt idx="3">
                  <c:v>5.8111571536786005E-2</c:v>
                </c:pt>
                <c:pt idx="4">
                  <c:v>5.9909680698872932E-2</c:v>
                </c:pt>
                <c:pt idx="5">
                  <c:v>5.8115722274038217E-2</c:v>
                </c:pt>
                <c:pt idx="6">
                  <c:v>5.650874432922777E-2</c:v>
                </c:pt>
                <c:pt idx="7">
                  <c:v>6.0301103280367196E-2</c:v>
                </c:pt>
                <c:pt idx="8">
                  <c:v>6.2336736635130924E-2</c:v>
                </c:pt>
                <c:pt idx="9">
                  <c:v>6.2494592277974777E-2</c:v>
                </c:pt>
                <c:pt idx="10">
                  <c:v>6.2297286670573715E-2</c:v>
                </c:pt>
                <c:pt idx="11">
                  <c:v>6.4061926579996417E-2</c:v>
                </c:pt>
                <c:pt idx="12">
                  <c:v>6.7061899099075187E-2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40F8-4405-8E8A-EDA41107589C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'1'!$C$66:$O$66</c:f>
              <c:numCache>
                <c:formatCode>0.00%</c:formatCode>
                <c:ptCount val="13"/>
                <c:pt idx="0">
                  <c:v>0.05</c:v>
                </c:pt>
                <c:pt idx="1">
                  <c:v>5.4485067095466369E-2</c:v>
                </c:pt>
                <c:pt idx="2">
                  <c:v>5.5252747303406673E-2</c:v>
                </c:pt>
                <c:pt idx="3">
                  <c:v>5.6812577280054739E-2</c:v>
                </c:pt>
                <c:pt idx="4">
                  <c:v>5.8625857500150348E-2</c:v>
                </c:pt>
                <c:pt idx="5">
                  <c:v>5.8140420555159437E-2</c:v>
                </c:pt>
                <c:pt idx="6">
                  <c:v>6.0861782149097092E-2</c:v>
                </c:pt>
                <c:pt idx="7">
                  <c:v>6.1674520301500182E-2</c:v>
                </c:pt>
                <c:pt idx="8">
                  <c:v>6.2345483589507707E-2</c:v>
                </c:pt>
                <c:pt idx="9">
                  <c:v>6.3577583291014039E-2</c:v>
                </c:pt>
                <c:pt idx="10">
                  <c:v>6.3748690501984548E-2</c:v>
                </c:pt>
                <c:pt idx="11">
                  <c:v>6.4203028364270234E-2</c:v>
                </c:pt>
                <c:pt idx="12">
                  <c:v>6.5795581321106925E-2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40F8-4405-8E8A-EDA41107589C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'1'!$C$67:$O$67</c:f>
              <c:numCache>
                <c:formatCode>0.00%</c:formatCode>
                <c:ptCount val="13"/>
                <c:pt idx="0">
                  <c:v>0.05</c:v>
                </c:pt>
                <c:pt idx="1">
                  <c:v>5.1558595379326215E-2</c:v>
                </c:pt>
                <c:pt idx="2">
                  <c:v>5.190976606932448E-2</c:v>
                </c:pt>
                <c:pt idx="3">
                  <c:v>5.2738151499315128E-2</c:v>
                </c:pt>
                <c:pt idx="4">
                  <c:v>5.4120952474039911E-2</c:v>
                </c:pt>
                <c:pt idx="5">
                  <c:v>5.7045944107687839E-2</c:v>
                </c:pt>
                <c:pt idx="6">
                  <c:v>5.6158234707522528E-2</c:v>
                </c:pt>
                <c:pt idx="7">
                  <c:v>5.6865489562899364E-2</c:v>
                </c:pt>
                <c:pt idx="8">
                  <c:v>5.9695073333779873E-2</c:v>
                </c:pt>
                <c:pt idx="9">
                  <c:v>5.9973694186297659E-2</c:v>
                </c:pt>
                <c:pt idx="10">
                  <c:v>6.0851477099668524E-2</c:v>
                </c:pt>
                <c:pt idx="11">
                  <c:v>6.3551347022069285E-2</c:v>
                </c:pt>
                <c:pt idx="12">
                  <c:v>6.5542790221650452E-2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40F8-4405-8E8A-EDA41107589C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'1'!$C$68:$O$68</c:f>
              <c:numCache>
                <c:formatCode>0.00%</c:formatCode>
                <c:ptCount val="13"/>
                <c:pt idx="0">
                  <c:v>0.05</c:v>
                </c:pt>
                <c:pt idx="1">
                  <c:v>5.0418647957627884E-2</c:v>
                </c:pt>
                <c:pt idx="2">
                  <c:v>5.3432369555013196E-2</c:v>
                </c:pt>
                <c:pt idx="3">
                  <c:v>5.3746498849368066E-2</c:v>
                </c:pt>
                <c:pt idx="4">
                  <c:v>5.737574742764754E-2</c:v>
                </c:pt>
                <c:pt idx="5">
                  <c:v>6.036511710555547E-2</c:v>
                </c:pt>
                <c:pt idx="6">
                  <c:v>5.9379646051317354E-2</c:v>
                </c:pt>
                <c:pt idx="7">
                  <c:v>5.9980397440630176E-2</c:v>
                </c:pt>
                <c:pt idx="8">
                  <c:v>6.2949244011049663E-2</c:v>
                </c:pt>
                <c:pt idx="9">
                  <c:v>6.5104611007633428E-2</c:v>
                </c:pt>
                <c:pt idx="10">
                  <c:v>6.4385078573496263E-2</c:v>
                </c:pt>
                <c:pt idx="11">
                  <c:v>6.8242764630025488E-2</c:v>
                </c:pt>
                <c:pt idx="12">
                  <c:v>6.8030091045728505E-2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40F8-4405-8E8A-EDA41107589C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'1'!$C$69:$O$69</c:f>
              <c:numCache>
                <c:formatCode>0.00%</c:formatCode>
                <c:ptCount val="13"/>
                <c:pt idx="0">
                  <c:v>0.05</c:v>
                </c:pt>
                <c:pt idx="1">
                  <c:v>5.1116932730367264E-2</c:v>
                </c:pt>
                <c:pt idx="2">
                  <c:v>5.249464265898688E-2</c:v>
                </c:pt>
                <c:pt idx="3">
                  <c:v>5.2806086283655011E-2</c:v>
                </c:pt>
                <c:pt idx="4">
                  <c:v>5.6162935010162444E-2</c:v>
                </c:pt>
                <c:pt idx="5">
                  <c:v>5.8266533457000315E-2</c:v>
                </c:pt>
                <c:pt idx="6">
                  <c:v>5.8746510164415539E-2</c:v>
                </c:pt>
                <c:pt idx="7">
                  <c:v>5.6835972598400612E-2</c:v>
                </c:pt>
                <c:pt idx="8">
                  <c:v>5.9122926903580224E-2</c:v>
                </c:pt>
                <c:pt idx="9">
                  <c:v>5.7930372099666207E-2</c:v>
                </c:pt>
                <c:pt idx="10">
                  <c:v>5.8632351441062699E-2</c:v>
                </c:pt>
                <c:pt idx="11">
                  <c:v>5.9313690875430959E-2</c:v>
                </c:pt>
                <c:pt idx="12">
                  <c:v>5.9039938717264789E-2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40F8-4405-8E8A-EDA41107589C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'1'!$C$70:$O$70</c:f>
              <c:numCache>
                <c:formatCode>0.00%</c:formatCode>
                <c:ptCount val="13"/>
                <c:pt idx="0">
                  <c:v>0.05</c:v>
                </c:pt>
                <c:pt idx="1">
                  <c:v>4.984593412074894E-2</c:v>
                </c:pt>
                <c:pt idx="2">
                  <c:v>4.9758874968060751E-2</c:v>
                </c:pt>
                <c:pt idx="3">
                  <c:v>5.2343581877383992E-2</c:v>
                </c:pt>
                <c:pt idx="4">
                  <c:v>5.4147689322474997E-2</c:v>
                </c:pt>
                <c:pt idx="5">
                  <c:v>5.344546410085365E-2</c:v>
                </c:pt>
                <c:pt idx="6">
                  <c:v>5.5918926764624934E-2</c:v>
                </c:pt>
                <c:pt idx="7">
                  <c:v>5.6382127821435049E-2</c:v>
                </c:pt>
                <c:pt idx="8">
                  <c:v>5.5320405366346803E-2</c:v>
                </c:pt>
                <c:pt idx="9">
                  <c:v>5.6093945485604819E-2</c:v>
                </c:pt>
                <c:pt idx="10">
                  <c:v>5.6176300750854571E-2</c:v>
                </c:pt>
                <c:pt idx="11">
                  <c:v>5.7823934008495059E-2</c:v>
                </c:pt>
                <c:pt idx="12">
                  <c:v>5.8450103684082898E-2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40F8-4405-8E8A-EDA41107589C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'1'!$C$21:$O$21</c:f>
              <c:numCache>
                <c:formatCode>General</c:formatCode>
                <c:ptCount val="1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'1'!$C$71:$O$71</c:f>
              <c:numCache>
                <c:formatCode>0.00%</c:formatCode>
                <c:ptCount val="13"/>
                <c:pt idx="0">
                  <c:v>0.05</c:v>
                </c:pt>
                <c:pt idx="1">
                  <c:v>4.9869648650696506E-2</c:v>
                </c:pt>
                <c:pt idx="2">
                  <c:v>5.1132186833776128E-2</c:v>
                </c:pt>
                <c:pt idx="3">
                  <c:v>5.3284848112359472E-2</c:v>
                </c:pt>
                <c:pt idx="4">
                  <c:v>5.5665442206598428E-2</c:v>
                </c:pt>
                <c:pt idx="5">
                  <c:v>5.7224932037449321E-2</c:v>
                </c:pt>
                <c:pt idx="6">
                  <c:v>5.927950415309928E-2</c:v>
                </c:pt>
                <c:pt idx="7">
                  <c:v>5.9722357150529336E-2</c:v>
                </c:pt>
                <c:pt idx="8">
                  <c:v>6.1557801764522878E-2</c:v>
                </c:pt>
                <c:pt idx="9">
                  <c:v>6.4498383586400157E-2</c:v>
                </c:pt>
                <c:pt idx="10">
                  <c:v>6.886754442308872E-2</c:v>
                </c:pt>
                <c:pt idx="11">
                  <c:v>6.9714965124394249E-2</c:v>
                </c:pt>
                <c:pt idx="12">
                  <c:v>7.0742836998762895E-2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40F8-4405-8E8A-EDA411075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36864"/>
        <c:axId val="1568837696"/>
      </c:scatterChart>
      <c:valAx>
        <c:axId val="156883686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37696"/>
        <c:crosses val="autoZero"/>
        <c:crossBetween val="midCat"/>
      </c:valAx>
      <c:valAx>
        <c:axId val="156883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3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CCCB18-F5D2-B384-D699-7DB6A496F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66674</xdr:colOff>
      <xdr:row>22</xdr:row>
      <xdr:rowOff>114298</xdr:rowOff>
    </xdr:from>
    <xdr:to>
      <xdr:col>13</xdr:col>
      <xdr:colOff>133350</xdr:colOff>
      <xdr:row>44</xdr:row>
      <xdr:rowOff>95249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59B3AFF-6035-4478-775B-55F304F96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18</xdr:col>
      <xdr:colOff>390525</xdr:colOff>
      <xdr:row>10</xdr:row>
      <xdr:rowOff>114300</xdr:rowOff>
    </xdr:from>
    <xdr:ext cx="271549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C05C8EE-3457-BFD7-155A-1E022BE61F37}"/>
                </a:ext>
              </a:extLst>
            </xdr:cNvPr>
            <xdr:cNvSpPr txBox="1"/>
          </xdr:nvSpPr>
          <xdr:spPr>
            <a:xfrm>
              <a:off x="11572875" y="2162175"/>
              <a:ext cx="271549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C05C8EE-3457-BFD7-155A-1E022BE61F37}"/>
                </a:ext>
              </a:extLst>
            </xdr:cNvPr>
            <xdr:cNvSpPr txBox="1"/>
          </xdr:nvSpPr>
          <xdr:spPr>
            <a:xfrm>
              <a:off x="11572875" y="2162175"/>
              <a:ext cx="271549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𝜃)/</a:t>
              </a:r>
              <a:r>
                <a:rPr lang="en-US" sz="1100" b="0" i="0">
                  <a:latin typeface="Cambria Math" panose="02040503050406030204" pitchFamily="18" charset="0"/>
                </a:rPr>
                <a:t>2𝑘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2</xdr:col>
      <xdr:colOff>171450</xdr:colOff>
      <xdr:row>4</xdr:row>
      <xdr:rowOff>142875</xdr:rowOff>
    </xdr:from>
    <xdr:to>
      <xdr:col>6</xdr:col>
      <xdr:colOff>80213</xdr:colOff>
      <xdr:row>6</xdr:row>
      <xdr:rowOff>70513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028D37-5214-EA8D-D782-D86E3FE9C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2575" y="990600"/>
          <a:ext cx="2347163" cy="327688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7</xdr:row>
      <xdr:rowOff>0</xdr:rowOff>
    </xdr:from>
    <xdr:to>
      <xdr:col>9</xdr:col>
      <xdr:colOff>263271</xdr:colOff>
      <xdr:row>9</xdr:row>
      <xdr:rowOff>110534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93255EA-F01F-80D4-F293-FEB79B373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4475" y="1447800"/>
          <a:ext cx="4397121" cy="510584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190500</xdr:colOff>
      <xdr:row>7</xdr:row>
      <xdr:rowOff>28575</xdr:rowOff>
    </xdr:from>
    <xdr:to>
      <xdr:col>15</xdr:col>
      <xdr:colOff>226966</xdr:colOff>
      <xdr:row>9</xdr:row>
      <xdr:rowOff>62903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2E77FFA-A40C-92E2-9E3F-0B81CED3B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48425" y="1476375"/>
          <a:ext cx="3132091" cy="434378"/>
        </a:xfrm>
        <a:prstGeom prst="rect">
          <a:avLst/>
        </a:prstGeom>
      </xdr:spPr>
    </xdr:pic>
    <xdr:clientData/>
  </xdr:twoCellAnchor>
  <xdr:twoCellAnchor editAs="oneCell">
    <xdr:from>
      <xdr:col>16</xdr:col>
      <xdr:colOff>561975</xdr:colOff>
      <xdr:row>7</xdr:row>
      <xdr:rowOff>28575</xdr:rowOff>
    </xdr:from>
    <xdr:to>
      <xdr:col>18</xdr:col>
      <xdr:colOff>165806</xdr:colOff>
      <xdr:row>8</xdr:row>
      <xdr:rowOff>186721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5FBEF54-7ADD-651C-922F-217A6DB8B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525125" y="1476375"/>
          <a:ext cx="823031" cy="358171"/>
        </a:xfrm>
        <a:prstGeom prst="rect">
          <a:avLst/>
        </a:prstGeom>
      </xdr:spPr>
    </xdr:pic>
    <xdr:clientData/>
  </xdr:twoCellAnchor>
  <xdr:twoCellAnchor editAs="oneCell">
    <xdr:from>
      <xdr:col>18</xdr:col>
      <xdr:colOff>276225</xdr:colOff>
      <xdr:row>6</xdr:row>
      <xdr:rowOff>190500</xdr:rowOff>
    </xdr:from>
    <xdr:to>
      <xdr:col>24</xdr:col>
      <xdr:colOff>463263</xdr:colOff>
      <xdr:row>9</xdr:row>
      <xdr:rowOff>101009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D2094E0-C52F-81F1-C580-4EDB50D82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458575" y="1438275"/>
          <a:ext cx="4016088" cy="5105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86869-86EC-4945-A5C2-1E4B03CE0EC7}">
  <sheetPr codeName="Sheet4"/>
  <dimension ref="A1"/>
  <sheetViews>
    <sheetView showGridLines="0" workbookViewId="0"/>
  </sheetViews>
  <sheetFormatPr defaultRowHeight="14.5"/>
  <sheetData/>
  <sheetProtection algorithmName="SHA-512" hashValue="I8IKNnTpBPOB1N3NBB3ps2TXGfg3HVfEN/wuHT3VIduukOgG+6s9GrAyqu3B5NdGTEsvHUcpYEqJXrFUISB5Ng==" saltValue="zQTMTqwXD/hMEot0zXpbYQ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5A6F-A68D-43E4-AF71-E5DFAFFB1480}">
  <sheetPr codeName="Sheet1"/>
  <dimension ref="B3:BA521"/>
  <sheetViews>
    <sheetView showGridLines="0" zoomScale="80" zoomScaleNormal="80" workbookViewId="0">
      <selection activeCell="N3" sqref="N3"/>
    </sheetView>
  </sheetViews>
  <sheetFormatPr defaultColWidth="8.90625" defaultRowHeight="14"/>
  <cols>
    <col min="1" max="1" width="8.90625" style="1"/>
    <col min="2" max="2" width="11.1796875" style="1" customWidth="1"/>
    <col min="3" max="12" width="8.90625" style="1"/>
    <col min="13" max="13" width="9.54296875" style="1" bestFit="1" customWidth="1"/>
    <col min="14" max="18" width="8.90625" style="1"/>
    <col min="19" max="19" width="11.453125" style="1" customWidth="1"/>
    <col min="20" max="25" width="8.90625" style="1"/>
    <col min="26" max="26" width="10.1796875" style="1" bestFit="1" customWidth="1"/>
    <col min="27" max="16384" width="8.90625" style="1"/>
  </cols>
  <sheetData>
    <row r="3" spans="2:29" ht="18">
      <c r="B3" s="4" t="s">
        <v>15</v>
      </c>
      <c r="C3" s="5"/>
      <c r="D3" s="5"/>
      <c r="E3" s="5"/>
      <c r="F3" s="5"/>
      <c r="G3" s="5"/>
      <c r="H3" s="5"/>
    </row>
    <row r="6" spans="2:29">
      <c r="B6" s="2" t="s">
        <v>0</v>
      </c>
    </row>
    <row r="9" spans="2:29">
      <c r="B9" s="2" t="s">
        <v>1</v>
      </c>
      <c r="AC9" s="11"/>
    </row>
    <row r="12" spans="2:29" ht="14.5">
      <c r="B12" s="2" t="s">
        <v>2</v>
      </c>
      <c r="L12" s="2" t="s">
        <v>14</v>
      </c>
      <c r="M12" s="2" t="s">
        <v>12</v>
      </c>
      <c r="R12" s="2" t="s">
        <v>14</v>
      </c>
      <c r="S12" s="2" t="s">
        <v>13</v>
      </c>
    </row>
    <row r="14" spans="2:29">
      <c r="B14" s="2" t="s">
        <v>3</v>
      </c>
      <c r="C14" s="3">
        <v>0.5</v>
      </c>
      <c r="M14" s="13">
        <f>theta</f>
        <v>0.08</v>
      </c>
      <c r="S14" s="15">
        <f>(theta*vol^2)/(2*k)</f>
        <v>3.2000000000000005E-5</v>
      </c>
    </row>
    <row r="15" spans="2:29">
      <c r="B15" s="2" t="s">
        <v>4</v>
      </c>
      <c r="C15" s="9">
        <v>0.08</v>
      </c>
    </row>
    <row r="16" spans="2:29">
      <c r="B16" s="2" t="s">
        <v>5</v>
      </c>
      <c r="C16" s="9">
        <v>0.02</v>
      </c>
      <c r="F16" s="14" t="s">
        <v>18</v>
      </c>
    </row>
    <row r="17" spans="2:53" ht="14.5">
      <c r="B17" s="2" t="s">
        <v>6</v>
      </c>
      <c r="C17" s="9">
        <v>0.05</v>
      </c>
      <c r="F17" s="14" t="s">
        <v>16</v>
      </c>
    </row>
    <row r="18" spans="2:53">
      <c r="B18" s="2" t="s">
        <v>7</v>
      </c>
      <c r="C18" s="3">
        <f>1/12</f>
        <v>8.3333333333333329E-2</v>
      </c>
      <c r="F18" s="14" t="s">
        <v>17</v>
      </c>
    </row>
    <row r="20" spans="2:53" ht="14.5">
      <c r="C20" s="6" t="s">
        <v>9</v>
      </c>
    </row>
    <row r="21" spans="2:53" ht="14.5">
      <c r="B21" s="6" t="s">
        <v>8</v>
      </c>
      <c r="C21" s="7">
        <v>0</v>
      </c>
      <c r="D21" s="7">
        <f t="shared" ref="D21:O21" si="0">C21+dt</f>
        <v>8.3333333333333329E-2</v>
      </c>
      <c r="E21" s="7">
        <f t="shared" si="0"/>
        <v>0.16666666666666666</v>
      </c>
      <c r="F21" s="7">
        <f t="shared" si="0"/>
        <v>0.25</v>
      </c>
      <c r="G21" s="7">
        <f t="shared" si="0"/>
        <v>0.33333333333333331</v>
      </c>
      <c r="H21" s="7">
        <f t="shared" si="0"/>
        <v>0.41666666666666663</v>
      </c>
      <c r="I21" s="7">
        <f t="shared" si="0"/>
        <v>0.49999999999999994</v>
      </c>
      <c r="J21" s="7">
        <f t="shared" si="0"/>
        <v>0.58333333333333326</v>
      </c>
      <c r="K21" s="7">
        <f t="shared" si="0"/>
        <v>0.66666666666666663</v>
      </c>
      <c r="L21" s="7">
        <f t="shared" si="0"/>
        <v>0.75</v>
      </c>
      <c r="M21" s="7">
        <f t="shared" si="0"/>
        <v>0.83333333333333337</v>
      </c>
      <c r="N21" s="7">
        <f t="shared" si="0"/>
        <v>0.91666666666666674</v>
      </c>
      <c r="O21" s="7">
        <f t="shared" si="0"/>
        <v>1</v>
      </c>
      <c r="Q21" s="16" t="s">
        <v>9</v>
      </c>
      <c r="R21" s="16">
        <v>0.05</v>
      </c>
      <c r="S21" s="16">
        <v>0.2</v>
      </c>
      <c r="T21" s="16">
        <v>0.4</v>
      </c>
      <c r="U21" s="16">
        <v>0.6</v>
      </c>
      <c r="V21" s="16">
        <v>0.8</v>
      </c>
      <c r="W21" s="16">
        <v>1</v>
      </c>
      <c r="X21" s="16">
        <v>1.2</v>
      </c>
      <c r="Y21" s="16">
        <v>1.4</v>
      </c>
      <c r="Z21" s="16">
        <v>1.6</v>
      </c>
      <c r="AA21" s="16">
        <v>1.8</v>
      </c>
      <c r="AB21" s="16">
        <v>2</v>
      </c>
      <c r="AC21" s="16">
        <v>2.2000000000000002</v>
      </c>
      <c r="AD21" s="16">
        <v>2.4</v>
      </c>
      <c r="AE21" s="16">
        <v>2.6</v>
      </c>
      <c r="AF21" s="16">
        <v>2.8</v>
      </c>
      <c r="AG21" s="16">
        <v>3</v>
      </c>
      <c r="AH21" s="16">
        <v>3.2</v>
      </c>
      <c r="AI21" s="16">
        <v>3.4</v>
      </c>
      <c r="AJ21" s="16">
        <v>3.6</v>
      </c>
      <c r="AK21" s="16">
        <v>3.8</v>
      </c>
      <c r="AL21" s="16">
        <v>4</v>
      </c>
      <c r="AM21" s="16">
        <v>4.2</v>
      </c>
      <c r="AN21" s="16">
        <v>4.4000000000000004</v>
      </c>
      <c r="AO21" s="16">
        <v>4.5999999999999996</v>
      </c>
      <c r="AP21" s="16">
        <v>4.8</v>
      </c>
      <c r="AQ21" s="16">
        <v>5</v>
      </c>
      <c r="AR21" s="16">
        <v>5.2</v>
      </c>
      <c r="AS21" s="16">
        <v>5.4</v>
      </c>
      <c r="AT21" s="16">
        <v>5.6</v>
      </c>
      <c r="AU21" s="16">
        <v>5.8</v>
      </c>
      <c r="AV21" s="16">
        <v>6</v>
      </c>
      <c r="AW21" s="16">
        <v>6.2</v>
      </c>
      <c r="AX21" s="16">
        <v>6.4</v>
      </c>
      <c r="AY21" s="16">
        <v>6.6</v>
      </c>
      <c r="AZ21" s="16">
        <v>6.8</v>
      </c>
      <c r="BA21" s="16">
        <v>7</v>
      </c>
    </row>
    <row r="22" spans="2:53">
      <c r="B22" s="3">
        <v>1</v>
      </c>
      <c r="C22" s="8">
        <f t="shared" ref="C22:C85" si="1">r0</f>
        <v>0.05</v>
      </c>
      <c r="D22" s="8">
        <f t="shared" ref="D22:O22" ca="1" si="2">C22+k*(theta-C22)*dt+vol*SQRT(dt*C22)*_xlfn.NORM.S.INV(RAND())</f>
        <v>5.1521864699870426E-2</v>
      </c>
      <c r="E22" s="8">
        <f t="shared" ca="1" si="2"/>
        <v>5.3620880642544021E-2</v>
      </c>
      <c r="F22" s="8">
        <f t="shared" ca="1" si="2"/>
        <v>5.2391158271442848E-2</v>
      </c>
      <c r="G22" s="8">
        <f t="shared" ca="1" si="2"/>
        <v>5.3389718167101162E-2</v>
      </c>
      <c r="H22" s="8">
        <f t="shared" ca="1" si="2"/>
        <v>5.478644308769777E-2</v>
      </c>
      <c r="I22" s="8">
        <f t="shared" ca="1" si="2"/>
        <v>5.6312515253610904E-2</v>
      </c>
      <c r="J22" s="8">
        <f t="shared" ca="1" si="2"/>
        <v>5.8940341440828332E-2</v>
      </c>
      <c r="K22" s="8">
        <f t="shared" ca="1" si="2"/>
        <v>5.954508231671226E-2</v>
      </c>
      <c r="L22" s="8">
        <f t="shared" ca="1" si="2"/>
        <v>5.937912208859545E-2</v>
      </c>
      <c r="M22" s="8">
        <f t="shared" ca="1" si="2"/>
        <v>6.3240688007010007E-2</v>
      </c>
      <c r="N22" s="8">
        <f t="shared" ca="1" si="2"/>
        <v>6.3826298944684431E-2</v>
      </c>
      <c r="O22" s="8">
        <f t="shared" ca="1" si="2"/>
        <v>6.3073232857315767E-2</v>
      </c>
    </row>
    <row r="23" spans="2:53">
      <c r="B23" s="3">
        <v>2</v>
      </c>
      <c r="C23" s="8">
        <f t="shared" si="1"/>
        <v>0.05</v>
      </c>
      <c r="D23" s="8">
        <f t="shared" ref="D23:O23" ca="1" si="3">C23+k*(theta-C23)*dt+vol*SQRT(dt*C23)*_xlfn.NORM.S.INV(RAND())</f>
        <v>4.9728740063672762E-2</v>
      </c>
      <c r="E23" s="8">
        <f t="shared" ca="1" si="3"/>
        <v>5.1375973473480725E-2</v>
      </c>
      <c r="F23" s="8">
        <f t="shared" ca="1" si="3"/>
        <v>5.2394798406155935E-2</v>
      </c>
      <c r="G23" s="8">
        <f t="shared" ca="1" si="3"/>
        <v>5.5636339544505975E-2</v>
      </c>
      <c r="H23" s="8">
        <f t="shared" ca="1" si="3"/>
        <v>5.8570830376225354E-2</v>
      </c>
      <c r="I23" s="8">
        <f t="shared" ca="1" si="3"/>
        <v>6.0705204260469867E-2</v>
      </c>
      <c r="J23" s="8">
        <f t="shared" ca="1" si="3"/>
        <v>6.0658755951793063E-2</v>
      </c>
      <c r="K23" s="8">
        <f t="shared" ca="1" si="3"/>
        <v>6.1317426833835696E-2</v>
      </c>
      <c r="L23" s="8">
        <f t="shared" ca="1" si="3"/>
        <v>6.2363186053498026E-2</v>
      </c>
      <c r="M23" s="8">
        <f t="shared" ca="1" si="3"/>
        <v>6.2808893900798302E-2</v>
      </c>
      <c r="N23" s="8">
        <f t="shared" ca="1" si="3"/>
        <v>6.1943520106111705E-2</v>
      </c>
      <c r="O23" s="8">
        <f t="shared" ca="1" si="3"/>
        <v>6.3538006306037897E-2</v>
      </c>
      <c r="Q23" s="2" t="s">
        <v>10</v>
      </c>
      <c r="R23" s="10">
        <f t="shared" ref="R23:BA23" si="4">r0*EXP(-k*(R$21-$R$21))+theta*(1-EXP(-k*(R$21-$R$21)))</f>
        <v>0.05</v>
      </c>
      <c r="S23" s="10">
        <f t="shared" si="4"/>
        <v>5.2167695410143419E-2</v>
      </c>
      <c r="T23" s="10">
        <f t="shared" si="4"/>
        <v>5.4816289376923781E-2</v>
      </c>
      <c r="U23" s="10">
        <f t="shared" si="4"/>
        <v>5.7212836303250955E-2</v>
      </c>
      <c r="V23" s="10">
        <f t="shared" si="4"/>
        <v>5.9381321636270828E-2</v>
      </c>
      <c r="W23" s="10">
        <f t="shared" si="4"/>
        <v>6.1343448306049403E-2</v>
      </c>
      <c r="X23" s="10">
        <f t="shared" si="4"/>
        <v>6.3118853935791336E-2</v>
      </c>
      <c r="Y23" s="10">
        <f t="shared" si="4"/>
        <v>6.4725307381773525E-2</v>
      </c>
      <c r="Z23" s="10">
        <f t="shared" si="4"/>
        <v>6.6178886570031029E-2</v>
      </c>
      <c r="AA23" s="10">
        <f t="shared" si="4"/>
        <v>6.7494139409644743E-2</v>
      </c>
      <c r="AB23" s="10">
        <f t="shared" si="4"/>
        <v>6.8684229393105298E-2</v>
      </c>
      <c r="AC23" s="10">
        <f t="shared" si="4"/>
        <v>6.9761067340970193E-2</v>
      </c>
      <c r="AD23" s="10">
        <f t="shared" si="4"/>
        <v>7.0735430609359412E-2</v>
      </c>
      <c r="AE23" s="10">
        <f t="shared" si="4"/>
        <v>7.1617070953357787E-2</v>
      </c>
      <c r="AF23" s="10">
        <f t="shared" si="4"/>
        <v>7.2414812125857611E-2</v>
      </c>
      <c r="AG23" s="10">
        <f t="shared" si="4"/>
        <v>7.3136638188643327E-2</v>
      </c>
      <c r="AH23" s="10">
        <f t="shared" si="4"/>
        <v>7.3789773419565427E-2</v>
      </c>
      <c r="AI23" s="10">
        <f t="shared" si="4"/>
        <v>7.4380754615541292E-2</v>
      </c>
      <c r="AJ23" s="10">
        <f t="shared" si="4"/>
        <v>7.4915496515015903E-2</v>
      </c>
      <c r="AK23" s="10">
        <f t="shared" si="4"/>
        <v>7.5399350994652156E-2</v>
      </c>
      <c r="AL23" s="10">
        <f t="shared" si="4"/>
        <v>7.5837160632711342E-2</v>
      </c>
      <c r="AM23" s="10">
        <f t="shared" si="4"/>
        <v>7.6233307175204088E-2</v>
      </c>
      <c r="AN23" s="10">
        <f t="shared" si="4"/>
        <v>7.6591755389877086E-2</v>
      </c>
      <c r="AO23" s="10">
        <f t="shared" si="4"/>
        <v>7.6916092746941403E-2</v>
      </c>
      <c r="AP23" s="10">
        <f t="shared" si="4"/>
        <v>7.7209565323680104E-2</v>
      </c>
      <c r="AQ23" s="10">
        <f t="shared" si="4"/>
        <v>7.7475110292280699E-2</v>
      </c>
      <c r="AR23" s="10">
        <f t="shared" si="4"/>
        <v>7.7715385316041691E-2</v>
      </c>
      <c r="AS23" s="10">
        <f t="shared" si="4"/>
        <v>7.7932795148160122E-2</v>
      </c>
      <c r="AT23" s="10">
        <f t="shared" si="4"/>
        <v>7.8129515699309801E-2</v>
      </c>
      <c r="AU23" s="10">
        <f t="shared" si="4"/>
        <v>7.830751581488668E-2</v>
      </c>
      <c r="AV23" s="10">
        <f t="shared" si="4"/>
        <v>7.8468576979875374E-2</v>
      </c>
      <c r="AW23" s="10">
        <f t="shared" si="4"/>
        <v>7.8614311148549609E-2</v>
      </c>
      <c r="AX23" s="10">
        <f t="shared" si="4"/>
        <v>7.8746176877452403E-2</v>
      </c>
      <c r="AY23" s="10">
        <f t="shared" si="4"/>
        <v>7.8865493923120256E-2</v>
      </c>
      <c r="AZ23" s="10">
        <f t="shared" si="4"/>
        <v>7.8973456450650029E-2</v>
      </c>
      <c r="BA23" s="10">
        <f t="shared" si="4"/>
        <v>7.9071144985304695E-2</v>
      </c>
    </row>
    <row r="24" spans="2:53">
      <c r="B24" s="3">
        <v>3</v>
      </c>
      <c r="C24" s="8">
        <f t="shared" si="1"/>
        <v>0.05</v>
      </c>
      <c r="D24" s="8">
        <f t="shared" ref="D24:O24" ca="1" si="5">C24+k*(theta-C24)*dt+vol*SQRT(dt*C24)*_xlfn.NORM.S.INV(RAND())</f>
        <v>5.3534936511323163E-2</v>
      </c>
      <c r="E24" s="8">
        <f t="shared" ca="1" si="5"/>
        <v>5.5072637103625408E-2</v>
      </c>
      <c r="F24" s="8">
        <f t="shared" ca="1" si="5"/>
        <v>5.5484164740183708E-2</v>
      </c>
      <c r="G24" s="8">
        <f t="shared" ca="1" si="5"/>
        <v>5.782124238056769E-2</v>
      </c>
      <c r="H24" s="8">
        <f t="shared" ca="1" si="5"/>
        <v>5.7863059727784903E-2</v>
      </c>
      <c r="I24" s="8">
        <f t="shared" ca="1" si="5"/>
        <v>5.831009831720179E-2</v>
      </c>
      <c r="J24" s="8">
        <f t="shared" ca="1" si="5"/>
        <v>6.0563131463160766E-2</v>
      </c>
      <c r="K24" s="8">
        <f t="shared" ca="1" si="5"/>
        <v>5.9320457117228172E-2</v>
      </c>
      <c r="L24" s="8">
        <f t="shared" ca="1" si="5"/>
        <v>6.0893924662551772E-2</v>
      </c>
      <c r="M24" s="8">
        <f t="shared" ca="1" si="5"/>
        <v>6.2770137907758386E-2</v>
      </c>
      <c r="N24" s="8">
        <f t="shared" ca="1" si="5"/>
        <v>6.3814882684688115E-2</v>
      </c>
      <c r="O24" s="8">
        <f t="shared" ca="1" si="5"/>
        <v>6.3899340804349641E-2</v>
      </c>
      <c r="Q24" s="2" t="s">
        <v>11</v>
      </c>
      <c r="R24" s="11">
        <f t="shared" ref="R24:BA24" si="6">((r0*vol^2)/k)*(EXP(-k*(R$21-0))-EXP(-2*k*(R$21-0)))+((theta*vol^2)/(2*k))*(1-EXP(-k*(R$21-0)))^2</f>
        <v>9.8272671531430148E-7</v>
      </c>
      <c r="S24" s="11">
        <f t="shared" si="6"/>
        <v>3.7340559425131152E-6</v>
      </c>
      <c r="T24" s="11">
        <f t="shared" si="6"/>
        <v>6.9879015578433196E-6</v>
      </c>
      <c r="U24" s="11">
        <f t="shared" si="6"/>
        <v>9.8298696148865638E-6</v>
      </c>
      <c r="V24" s="11">
        <f t="shared" si="6"/>
        <v>1.2317687182206887E-5</v>
      </c>
      <c r="W24" s="11">
        <f t="shared" si="6"/>
        <v>1.450022863752526E-5</v>
      </c>
      <c r="X24" s="11">
        <f t="shared" si="6"/>
        <v>1.6418967038445751E-5</v>
      </c>
      <c r="Y24" s="11">
        <f t="shared" si="6"/>
        <v>1.8109176997473321E-5</v>
      </c>
      <c r="Z24" s="11">
        <f t="shared" si="6"/>
        <v>1.9600932717229442E-5</v>
      </c>
      <c r="AA24" s="11">
        <f t="shared" si="6"/>
        <v>2.0919937060452932E-5</v>
      </c>
      <c r="AB24" s="11">
        <f t="shared" si="6"/>
        <v>2.2088211145992484E-5</v>
      </c>
      <c r="AC24" s="11">
        <f t="shared" si="6"/>
        <v>2.3124668724347426E-5</v>
      </c>
      <c r="AD24" s="11">
        <f t="shared" si="6"/>
        <v>2.404559528779185E-5</v>
      </c>
      <c r="AE24" s="11">
        <f t="shared" si="6"/>
        <v>2.4865048341469035E-5</v>
      </c>
      <c r="AF24" s="11">
        <f t="shared" si="6"/>
        <v>2.5595192364399706E-5</v>
      </c>
      <c r="AG24" s="11">
        <f t="shared" si="6"/>
        <v>2.6246579609494778E-5</v>
      </c>
      <c r="AH24" s="11">
        <f t="shared" si="6"/>
        <v>2.6828385936301344E-5</v>
      </c>
      <c r="AI24" s="11">
        <f t="shared" si="6"/>
        <v>2.7348609263051763E-5</v>
      </c>
      <c r="AJ24" s="11">
        <f t="shared" si="6"/>
        <v>2.7814236903103585E-5</v>
      </c>
      <c r="AK24" s="11">
        <f t="shared" si="6"/>
        <v>2.8231386963807437E-5</v>
      </c>
      <c r="AL24" s="11">
        <f t="shared" si="6"/>
        <v>2.8605428091211427E-5</v>
      </c>
      <c r="AM24" s="11">
        <f t="shared" si="6"/>
        <v>2.8941081107364619E-5</v>
      </c>
      <c r="AN24" s="11">
        <f t="shared" si="6"/>
        <v>2.9242505480079444E-5</v>
      </c>
      <c r="AO24" s="11">
        <f t="shared" si="6"/>
        <v>2.9513373064695645E-5</v>
      </c>
      <c r="AP24" s="11">
        <f t="shared" si="6"/>
        <v>2.9756931144661949E-5</v>
      </c>
      <c r="AQ24" s="11">
        <f t="shared" si="6"/>
        <v>2.9976056457033749E-5</v>
      </c>
      <c r="AR24" s="11">
        <f t="shared" si="6"/>
        <v>3.0173301607489906E-5</v>
      </c>
      <c r="AS24" s="11">
        <f t="shared" si="6"/>
        <v>3.0350935046705109E-5</v>
      </c>
      <c r="AT24" s="11">
        <f t="shared" si="6"/>
        <v>3.0510975587262913E-5</v>
      </c>
      <c r="AU24" s="11">
        <f t="shared" si="6"/>
        <v>3.0655222280683223E-5</v>
      </c>
      <c r="AV24" s="11">
        <f t="shared" si="6"/>
        <v>3.0785280341757943E-5</v>
      </c>
      <c r="AW24" s="11">
        <f t="shared" si="6"/>
        <v>3.0902583697464247E-5</v>
      </c>
      <c r="AX24" s="11">
        <f t="shared" si="6"/>
        <v>3.1008414646333828E-5</v>
      </c>
      <c r="AY24" s="11">
        <f t="shared" si="6"/>
        <v>3.1103921038069865E-5</v>
      </c>
      <c r="AZ24" s="11">
        <f t="shared" si="6"/>
        <v>3.1190131319769421E-5</v>
      </c>
      <c r="BA24" s="11">
        <f t="shared" si="6"/>
        <v>3.1267967742139927E-5</v>
      </c>
    </row>
    <row r="25" spans="2:53">
      <c r="B25" s="3">
        <v>4</v>
      </c>
      <c r="C25" s="8">
        <f t="shared" si="1"/>
        <v>0.05</v>
      </c>
      <c r="D25" s="8">
        <f t="shared" ref="D25:O25" ca="1" si="7">C25+k*(theta-C25)*dt+vol*SQRT(dt*C25)*_xlfn.NORM.S.INV(RAND())</f>
        <v>5.2658976763017083E-2</v>
      </c>
      <c r="E25" s="8">
        <f t="shared" ca="1" si="7"/>
        <v>5.3318249359772439E-2</v>
      </c>
      <c r="F25" s="8">
        <f t="shared" ca="1" si="7"/>
        <v>5.3446785897873217E-2</v>
      </c>
      <c r="G25" s="8">
        <f t="shared" ca="1" si="7"/>
        <v>5.641584372410538E-2</v>
      </c>
      <c r="H25" s="8">
        <f t="shared" ca="1" si="7"/>
        <v>5.4433055671099698E-2</v>
      </c>
      <c r="I25" s="8">
        <f t="shared" ca="1" si="7"/>
        <v>5.4719821589768458E-2</v>
      </c>
      <c r="J25" s="8">
        <f t="shared" ca="1" si="7"/>
        <v>5.5068314429015927E-2</v>
      </c>
      <c r="K25" s="8">
        <f t="shared" ca="1" si="7"/>
        <v>5.446832449864316E-2</v>
      </c>
      <c r="L25" s="8">
        <f t="shared" ca="1" si="7"/>
        <v>5.4355829813475497E-2</v>
      </c>
      <c r="M25" s="8">
        <f t="shared" ca="1" si="7"/>
        <v>5.8156595049728234E-2</v>
      </c>
      <c r="N25" s="8">
        <f t="shared" ca="1" si="7"/>
        <v>5.9044037002872314E-2</v>
      </c>
      <c r="O25" s="8">
        <f t="shared" ca="1" si="7"/>
        <v>5.9829352342210609E-2</v>
      </c>
    </row>
    <row r="26" spans="2:53">
      <c r="B26" s="3">
        <v>5</v>
      </c>
      <c r="C26" s="8">
        <f t="shared" si="1"/>
        <v>0.05</v>
      </c>
      <c r="D26" s="8">
        <f t="shared" ref="D26:O26" ca="1" si="8">C26+k*(theta-C26)*dt+vol*SQRT(dt*C26)*_xlfn.NORM.S.INV(RAND())</f>
        <v>4.9824091730551787E-2</v>
      </c>
      <c r="E26" s="8">
        <f t="shared" ca="1" si="8"/>
        <v>5.1601312443959255E-2</v>
      </c>
      <c r="F26" s="8">
        <f t="shared" ca="1" si="8"/>
        <v>5.2087116899252842E-2</v>
      </c>
      <c r="G26" s="8">
        <f t="shared" ca="1" si="8"/>
        <v>5.188212440442639E-2</v>
      </c>
      <c r="H26" s="8">
        <f t="shared" ca="1" si="8"/>
        <v>5.394967374912768E-2</v>
      </c>
      <c r="I26" s="8">
        <f t="shared" ca="1" si="8"/>
        <v>5.314505280003988E-2</v>
      </c>
      <c r="J26" s="8">
        <f t="shared" ca="1" si="8"/>
        <v>5.380941510627904E-2</v>
      </c>
      <c r="K26" s="8">
        <f t="shared" ca="1" si="8"/>
        <v>5.4167369551845493E-2</v>
      </c>
      <c r="L26" s="8">
        <f t="shared" ca="1" si="8"/>
        <v>5.5858990221401325E-2</v>
      </c>
      <c r="M26" s="8">
        <f t="shared" ca="1" si="8"/>
        <v>5.6160965193661712E-2</v>
      </c>
      <c r="N26" s="8">
        <f t="shared" ca="1" si="8"/>
        <v>5.8206024788930034E-2</v>
      </c>
      <c r="O26" s="8">
        <f t="shared" ca="1" si="8"/>
        <v>5.9767573318156908E-2</v>
      </c>
    </row>
    <row r="27" spans="2:53">
      <c r="B27" s="3">
        <v>6</v>
      </c>
      <c r="C27" s="8">
        <f t="shared" si="1"/>
        <v>0.05</v>
      </c>
      <c r="D27" s="8">
        <f t="shared" ref="D27:O27" ca="1" si="9">C27+k*(theta-C27)*dt+vol*SQRT(dt*C27)*_xlfn.NORM.S.INV(RAND())</f>
        <v>4.8525839128936148E-2</v>
      </c>
      <c r="E27" s="8">
        <f t="shared" ca="1" si="9"/>
        <v>4.909532979636181E-2</v>
      </c>
      <c r="F27" s="8">
        <f t="shared" ca="1" si="9"/>
        <v>5.0060732540288602E-2</v>
      </c>
      <c r="G27" s="8">
        <f t="shared" ca="1" si="9"/>
        <v>4.913048576093821E-2</v>
      </c>
      <c r="H27" s="8">
        <f t="shared" ca="1" si="9"/>
        <v>4.968523915262308E-2</v>
      </c>
      <c r="I27" s="8">
        <f t="shared" ca="1" si="9"/>
        <v>4.9290613217337673E-2</v>
      </c>
      <c r="J27" s="8">
        <f t="shared" ca="1" si="9"/>
        <v>5.1202088235642096E-2</v>
      </c>
      <c r="K27" s="8">
        <f t="shared" ca="1" si="9"/>
        <v>5.1013659185942743E-2</v>
      </c>
      <c r="L27" s="8">
        <f t="shared" ca="1" si="9"/>
        <v>5.1688003858256393E-2</v>
      </c>
      <c r="M27" s="8">
        <f t="shared" ca="1" si="9"/>
        <v>5.2756227171915797E-2</v>
      </c>
      <c r="N27" s="8">
        <f t="shared" ca="1" si="9"/>
        <v>5.5220377453885264E-2</v>
      </c>
      <c r="O27" s="8">
        <f t="shared" ca="1" si="9"/>
        <v>5.6079331112517214E-2</v>
      </c>
    </row>
    <row r="28" spans="2:53">
      <c r="B28" s="3">
        <v>7</v>
      </c>
      <c r="C28" s="8">
        <f t="shared" si="1"/>
        <v>0.05</v>
      </c>
      <c r="D28" s="8">
        <f t="shared" ref="D28:O28" ca="1" si="10">C28+k*(theta-C28)*dt+vol*SQRT(dt*C28)*_xlfn.NORM.S.INV(RAND())</f>
        <v>5.2767148546309824E-2</v>
      </c>
      <c r="E28" s="8">
        <f t="shared" ca="1" si="10"/>
        <v>5.3120581929387213E-2</v>
      </c>
      <c r="F28" s="8">
        <f t="shared" ca="1" si="10"/>
        <v>5.420793935568384E-2</v>
      </c>
      <c r="G28" s="8">
        <f t="shared" ca="1" si="10"/>
        <v>5.3775057290414777E-2</v>
      </c>
      <c r="H28" s="8">
        <f t="shared" ca="1" si="10"/>
        <v>5.3638250234693798E-2</v>
      </c>
      <c r="I28" s="8">
        <f t="shared" ca="1" si="10"/>
        <v>5.5322130311644624E-2</v>
      </c>
      <c r="J28" s="8">
        <f t="shared" ca="1" si="10"/>
        <v>5.5829276004734203E-2</v>
      </c>
      <c r="K28" s="8">
        <f t="shared" ca="1" si="10"/>
        <v>5.992072689365046E-2</v>
      </c>
      <c r="L28" s="8">
        <f t="shared" ca="1" si="10"/>
        <v>6.1547065549722002E-2</v>
      </c>
      <c r="M28" s="8">
        <f t="shared" ca="1" si="10"/>
        <v>6.2510806370439917E-2</v>
      </c>
      <c r="N28" s="8">
        <f t="shared" ca="1" si="10"/>
        <v>6.2563264593112636E-2</v>
      </c>
      <c r="O28" s="8">
        <f t="shared" ca="1" si="10"/>
        <v>6.4781817197438085E-2</v>
      </c>
    </row>
    <row r="29" spans="2:53">
      <c r="B29" s="3">
        <v>8</v>
      </c>
      <c r="C29" s="8">
        <f t="shared" si="1"/>
        <v>0.05</v>
      </c>
      <c r="D29" s="8">
        <f t="shared" ref="D29:O29" ca="1" si="11">C29+k*(theta-C29)*dt+vol*SQRT(dt*C29)*_xlfn.NORM.S.INV(RAND())</f>
        <v>4.9918182233034805E-2</v>
      </c>
      <c r="E29" s="8">
        <f t="shared" ca="1" si="11"/>
        <v>5.2400788378882061E-2</v>
      </c>
      <c r="F29" s="8">
        <f t="shared" ca="1" si="11"/>
        <v>5.5015245571369956E-2</v>
      </c>
      <c r="G29" s="8">
        <f t="shared" ca="1" si="11"/>
        <v>5.5781036016384018E-2</v>
      </c>
      <c r="H29" s="8">
        <f t="shared" ca="1" si="11"/>
        <v>5.6359251855507352E-2</v>
      </c>
      <c r="I29" s="8">
        <f t="shared" ca="1" si="11"/>
        <v>5.5925087187857422E-2</v>
      </c>
      <c r="J29" s="8">
        <f t="shared" ca="1" si="11"/>
        <v>5.7568022259975517E-2</v>
      </c>
      <c r="K29" s="8">
        <f t="shared" ca="1" si="11"/>
        <v>5.7169006310952675E-2</v>
      </c>
      <c r="L29" s="8">
        <f t="shared" ca="1" si="11"/>
        <v>5.9892764294025291E-2</v>
      </c>
      <c r="M29" s="8">
        <f t="shared" ca="1" si="11"/>
        <v>6.0278177727099307E-2</v>
      </c>
      <c r="N29" s="8">
        <f t="shared" ca="1" si="11"/>
        <v>6.1009827523101454E-2</v>
      </c>
      <c r="O29" s="8">
        <f t="shared" ca="1" si="11"/>
        <v>6.4320237986735918E-2</v>
      </c>
    </row>
    <row r="30" spans="2:53">
      <c r="B30" s="3">
        <v>9</v>
      </c>
      <c r="C30" s="8">
        <f t="shared" si="1"/>
        <v>0.05</v>
      </c>
      <c r="D30" s="8">
        <f t="shared" ref="D30:O30" ca="1" si="12">C30+k*(theta-C30)*dt+vol*SQRT(dt*C30)*_xlfn.NORM.S.INV(RAND())</f>
        <v>4.9764651234372896E-2</v>
      </c>
      <c r="E30" s="8">
        <f t="shared" ca="1" si="12"/>
        <v>5.0644529101060681E-2</v>
      </c>
      <c r="F30" s="8">
        <f t="shared" ca="1" si="12"/>
        <v>5.0738193839392189E-2</v>
      </c>
      <c r="G30" s="8">
        <f t="shared" ca="1" si="12"/>
        <v>5.1677272505405991E-2</v>
      </c>
      <c r="H30" s="8">
        <f t="shared" ca="1" si="12"/>
        <v>5.1479153564295277E-2</v>
      </c>
      <c r="I30" s="8">
        <f t="shared" ca="1" si="12"/>
        <v>5.1473279920817405E-2</v>
      </c>
      <c r="J30" s="8">
        <f t="shared" ca="1" si="12"/>
        <v>5.2400457214393972E-2</v>
      </c>
      <c r="K30" s="8">
        <f t="shared" ca="1" si="12"/>
        <v>5.3775227178084049E-2</v>
      </c>
      <c r="L30" s="8">
        <f t="shared" ca="1" si="12"/>
        <v>5.5239298542219616E-2</v>
      </c>
      <c r="M30" s="8">
        <f t="shared" ca="1" si="12"/>
        <v>5.7204181403817396E-2</v>
      </c>
      <c r="N30" s="8">
        <f t="shared" ca="1" si="12"/>
        <v>5.6857676931618001E-2</v>
      </c>
      <c r="O30" s="8">
        <f t="shared" ca="1" si="12"/>
        <v>5.8111943782547047E-2</v>
      </c>
    </row>
    <row r="31" spans="2:53">
      <c r="B31" s="3">
        <v>10</v>
      </c>
      <c r="C31" s="8">
        <f t="shared" si="1"/>
        <v>0.05</v>
      </c>
      <c r="D31" s="8">
        <f t="shared" ref="D31:O31" ca="1" si="13">C31+k*(theta-C31)*dt+vol*SQRT(dt*C31)*_xlfn.NORM.S.INV(RAND())</f>
        <v>5.2636011234467192E-2</v>
      </c>
      <c r="E31" s="8">
        <f t="shared" ca="1" si="13"/>
        <v>5.2548748261302736E-2</v>
      </c>
      <c r="F31" s="8">
        <f t="shared" ca="1" si="13"/>
        <v>5.3950195934599245E-2</v>
      </c>
      <c r="G31" s="8">
        <f t="shared" ca="1" si="13"/>
        <v>5.7769471376063357E-2</v>
      </c>
      <c r="H31" s="8">
        <f t="shared" ca="1" si="13"/>
        <v>5.7009400741586211E-2</v>
      </c>
      <c r="I31" s="8">
        <f t="shared" ca="1" si="13"/>
        <v>5.9234638950982729E-2</v>
      </c>
      <c r="J31" s="8">
        <f t="shared" ca="1" si="13"/>
        <v>5.9796914290827223E-2</v>
      </c>
      <c r="K31" s="8">
        <f t="shared" ca="1" si="13"/>
        <v>5.8966746384670185E-2</v>
      </c>
      <c r="L31" s="8">
        <f t="shared" ca="1" si="13"/>
        <v>5.9667717023355618E-2</v>
      </c>
      <c r="M31" s="8">
        <f t="shared" ca="1" si="13"/>
        <v>6.0777508000395504E-2</v>
      </c>
      <c r="N31" s="8">
        <f t="shared" ca="1" si="13"/>
        <v>6.2013959169526983E-2</v>
      </c>
      <c r="O31" s="8">
        <f t="shared" ca="1" si="13"/>
        <v>6.0826436479944374E-2</v>
      </c>
    </row>
    <row r="32" spans="2:53">
      <c r="B32" s="3">
        <v>11</v>
      </c>
      <c r="C32" s="8">
        <f t="shared" si="1"/>
        <v>0.05</v>
      </c>
      <c r="D32" s="8">
        <f t="shared" ref="D32:O32" ca="1" si="14">C32+k*(theta-C32)*dt+vol*SQRT(dt*C32)*_xlfn.NORM.S.INV(RAND())</f>
        <v>5.1106059959084307E-2</v>
      </c>
      <c r="E32" s="8">
        <f t="shared" ca="1" si="14"/>
        <v>5.240341471248218E-2</v>
      </c>
      <c r="F32" s="8">
        <f t="shared" ca="1" si="14"/>
        <v>5.3393296805211224E-2</v>
      </c>
      <c r="G32" s="8">
        <f t="shared" ca="1" si="14"/>
        <v>5.7309427933148478E-2</v>
      </c>
      <c r="H32" s="8">
        <f t="shared" ca="1" si="14"/>
        <v>5.8987545982357288E-2</v>
      </c>
      <c r="I32" s="8">
        <f t="shared" ca="1" si="14"/>
        <v>5.7797322515222328E-2</v>
      </c>
      <c r="J32" s="8">
        <f t="shared" ca="1" si="14"/>
        <v>5.7560325092262499E-2</v>
      </c>
      <c r="K32" s="8">
        <f t="shared" ca="1" si="14"/>
        <v>5.7364889298055534E-2</v>
      </c>
      <c r="L32" s="8">
        <f t="shared" ca="1" si="14"/>
        <v>5.7745226256017849E-2</v>
      </c>
      <c r="M32" s="8">
        <f t="shared" ca="1" si="14"/>
        <v>5.8063024668786711E-2</v>
      </c>
      <c r="N32" s="8">
        <f t="shared" ca="1" si="14"/>
        <v>5.7503432464976273E-2</v>
      </c>
      <c r="O32" s="8">
        <f t="shared" ca="1" si="14"/>
        <v>5.8012153988318278E-2</v>
      </c>
    </row>
    <row r="33" spans="2:17">
      <c r="B33" s="3">
        <v>12</v>
      </c>
      <c r="C33" s="8">
        <f t="shared" si="1"/>
        <v>0.05</v>
      </c>
      <c r="D33" s="8">
        <f t="shared" ref="D33:O33" ca="1" si="15">C33+k*(theta-C33)*dt+vol*SQRT(dt*C33)*_xlfn.NORM.S.INV(RAND())</f>
        <v>4.9056185502258501E-2</v>
      </c>
      <c r="E33" s="8">
        <f t="shared" ca="1" si="15"/>
        <v>4.8271106028816943E-2</v>
      </c>
      <c r="F33" s="8">
        <f t="shared" ca="1" si="15"/>
        <v>4.9316772870554082E-2</v>
      </c>
      <c r="G33" s="8">
        <f t="shared" ca="1" si="15"/>
        <v>5.2739510556185865E-2</v>
      </c>
      <c r="H33" s="8">
        <f t="shared" ca="1" si="15"/>
        <v>5.4172662322766726E-2</v>
      </c>
      <c r="I33" s="8">
        <f t="shared" ca="1" si="15"/>
        <v>5.7369190175047324E-2</v>
      </c>
      <c r="J33" s="8">
        <f t="shared" ca="1" si="15"/>
        <v>5.7464737042473166E-2</v>
      </c>
      <c r="K33" s="8">
        <f t="shared" ca="1" si="15"/>
        <v>5.8080810475802117E-2</v>
      </c>
      <c r="L33" s="8">
        <f t="shared" ca="1" si="15"/>
        <v>5.7799513894455555E-2</v>
      </c>
      <c r="M33" s="8">
        <f t="shared" ca="1" si="15"/>
        <v>5.8463849725785749E-2</v>
      </c>
      <c r="N33" s="8">
        <f t="shared" ca="1" si="15"/>
        <v>5.9226987247254094E-2</v>
      </c>
      <c r="O33" s="8">
        <f t="shared" ca="1" si="15"/>
        <v>5.7662421353185563E-2</v>
      </c>
    </row>
    <row r="34" spans="2:17">
      <c r="B34" s="3">
        <v>13</v>
      </c>
      <c r="C34" s="8">
        <f t="shared" si="1"/>
        <v>0.05</v>
      </c>
      <c r="D34" s="8">
        <f t="shared" ref="D34:O34" ca="1" si="16">C34+k*(theta-C34)*dt+vol*SQRT(dt*C34)*_xlfn.NORM.S.INV(RAND())</f>
        <v>5.0517735153108007E-2</v>
      </c>
      <c r="E34" s="8">
        <f t="shared" ca="1" si="16"/>
        <v>5.3873121616979769E-2</v>
      </c>
      <c r="F34" s="8">
        <f t="shared" ca="1" si="16"/>
        <v>5.6728275786680944E-2</v>
      </c>
      <c r="G34" s="8">
        <f t="shared" ca="1" si="16"/>
        <v>5.8468344170884611E-2</v>
      </c>
      <c r="H34" s="8">
        <f t="shared" ca="1" si="16"/>
        <v>6.092406781955375E-2</v>
      </c>
      <c r="I34" s="8">
        <f t="shared" ca="1" si="16"/>
        <v>6.1467141498715058E-2</v>
      </c>
      <c r="J34" s="8">
        <f t="shared" ca="1" si="16"/>
        <v>6.0605136523476232E-2</v>
      </c>
      <c r="K34" s="8">
        <f t="shared" ca="1" si="16"/>
        <v>5.9035692881475817E-2</v>
      </c>
      <c r="L34" s="8">
        <f t="shared" ca="1" si="16"/>
        <v>6.0230945053140944E-2</v>
      </c>
      <c r="M34" s="8">
        <f t="shared" ca="1" si="16"/>
        <v>6.2113294521170356E-2</v>
      </c>
      <c r="N34" s="8">
        <f t="shared" ca="1" si="16"/>
        <v>6.1225731682026004E-2</v>
      </c>
      <c r="O34" s="8">
        <f t="shared" ca="1" si="16"/>
        <v>6.0892737095752304E-2</v>
      </c>
    </row>
    <row r="35" spans="2:17">
      <c r="B35" s="3">
        <v>14</v>
      </c>
      <c r="C35" s="8">
        <f t="shared" si="1"/>
        <v>0.05</v>
      </c>
      <c r="D35" s="8">
        <f t="shared" ref="D35:O35" ca="1" si="17">C35+k*(theta-C35)*dt+vol*SQRT(dt*C35)*_xlfn.NORM.S.INV(RAND())</f>
        <v>5.0431090420729879E-2</v>
      </c>
      <c r="E35" s="8">
        <f t="shared" ca="1" si="17"/>
        <v>4.9458594683924696E-2</v>
      </c>
      <c r="F35" s="8">
        <f t="shared" ca="1" si="17"/>
        <v>5.1037844168773654E-2</v>
      </c>
      <c r="G35" s="8">
        <f t="shared" ca="1" si="17"/>
        <v>5.2435289161721077E-2</v>
      </c>
      <c r="H35" s="8">
        <f t="shared" ca="1" si="17"/>
        <v>5.3949128037190208E-2</v>
      </c>
      <c r="I35" s="8">
        <f t="shared" ca="1" si="17"/>
        <v>5.523202023343049E-2</v>
      </c>
      <c r="J35" s="8">
        <f t="shared" ca="1" si="17"/>
        <v>5.4580974769960634E-2</v>
      </c>
      <c r="K35" s="8">
        <f t="shared" ca="1" si="17"/>
        <v>5.708296721836429E-2</v>
      </c>
      <c r="L35" s="8">
        <f t="shared" ca="1" si="17"/>
        <v>5.9327615680674607E-2</v>
      </c>
      <c r="M35" s="8">
        <f t="shared" ca="1" si="17"/>
        <v>6.0034863942761668E-2</v>
      </c>
      <c r="N35" s="8">
        <f t="shared" ca="1" si="17"/>
        <v>6.0799393748168798E-2</v>
      </c>
      <c r="O35" s="8">
        <f t="shared" ca="1" si="17"/>
        <v>6.1648064268354029E-2</v>
      </c>
    </row>
    <row r="36" spans="2:17">
      <c r="B36" s="3">
        <v>15</v>
      </c>
      <c r="C36" s="8">
        <f t="shared" si="1"/>
        <v>0.05</v>
      </c>
      <c r="D36" s="8">
        <f t="shared" ref="D36:O36" ca="1" si="18">C36+k*(theta-C36)*dt+vol*SQRT(dt*C36)*_xlfn.NORM.S.INV(RAND())</f>
        <v>5.2207803864648315E-2</v>
      </c>
      <c r="E36" s="8">
        <f t="shared" ca="1" si="18"/>
        <v>5.1969941411919872E-2</v>
      </c>
      <c r="F36" s="8">
        <f t="shared" ca="1" si="18"/>
        <v>5.2263807115218934E-2</v>
      </c>
      <c r="G36" s="8">
        <f t="shared" ca="1" si="18"/>
        <v>5.3511485685782727E-2</v>
      </c>
      <c r="H36" s="8">
        <f t="shared" ca="1" si="18"/>
        <v>5.252315239130978E-2</v>
      </c>
      <c r="I36" s="8">
        <f t="shared" ca="1" si="18"/>
        <v>5.473577256888152E-2</v>
      </c>
      <c r="J36" s="8">
        <f t="shared" ca="1" si="18"/>
        <v>5.5137342113945761E-2</v>
      </c>
      <c r="K36" s="8">
        <f t="shared" ca="1" si="18"/>
        <v>5.8753132716326713E-2</v>
      </c>
      <c r="L36" s="8">
        <f t="shared" ca="1" si="18"/>
        <v>5.9515853457011658E-2</v>
      </c>
      <c r="M36" s="8">
        <f t="shared" ca="1" si="18"/>
        <v>6.1900645490601945E-2</v>
      </c>
      <c r="N36" s="8">
        <f t="shared" ca="1" si="18"/>
        <v>6.3989557347941373E-2</v>
      </c>
      <c r="O36" s="8">
        <f t="shared" ca="1" si="18"/>
        <v>6.3381738349304148E-2</v>
      </c>
      <c r="Q36" s="12"/>
    </row>
    <row r="37" spans="2:17">
      <c r="B37" s="3">
        <v>16</v>
      </c>
      <c r="C37" s="8">
        <f t="shared" si="1"/>
        <v>0.05</v>
      </c>
      <c r="D37" s="8">
        <f t="shared" ref="D37:O37" ca="1" si="19">C37+k*(theta-C37)*dt+vol*SQRT(dt*C37)*_xlfn.NORM.S.INV(RAND())</f>
        <v>5.0469470891759897E-2</v>
      </c>
      <c r="E37" s="8">
        <f t="shared" ca="1" si="19"/>
        <v>5.1938770981563173E-2</v>
      </c>
      <c r="F37" s="8">
        <f t="shared" ca="1" si="19"/>
        <v>5.4110930636534542E-2</v>
      </c>
      <c r="G37" s="8">
        <f t="shared" ca="1" si="19"/>
        <v>5.5239423250452772E-2</v>
      </c>
      <c r="H37" s="8">
        <f t="shared" ca="1" si="19"/>
        <v>5.5557635126821416E-2</v>
      </c>
      <c r="I37" s="8">
        <f t="shared" ca="1" si="19"/>
        <v>5.4469928930654971E-2</v>
      </c>
      <c r="J37" s="8">
        <f t="shared" ca="1" si="19"/>
        <v>5.7104457027205881E-2</v>
      </c>
      <c r="K37" s="8">
        <f t="shared" ca="1" si="19"/>
        <v>5.8841025484260984E-2</v>
      </c>
      <c r="L37" s="8">
        <f t="shared" ca="1" si="19"/>
        <v>5.9055728904406246E-2</v>
      </c>
      <c r="M37" s="8">
        <f t="shared" ca="1" si="19"/>
        <v>6.0869583820224824E-2</v>
      </c>
      <c r="N37" s="8">
        <f t="shared" ca="1" si="19"/>
        <v>6.0831601802693223E-2</v>
      </c>
      <c r="O37" s="8">
        <f t="shared" ca="1" si="19"/>
        <v>6.2347674805203805E-2</v>
      </c>
      <c r="Q37" s="12"/>
    </row>
    <row r="38" spans="2:17">
      <c r="B38" s="3">
        <v>17</v>
      </c>
      <c r="C38" s="8">
        <f t="shared" si="1"/>
        <v>0.05</v>
      </c>
      <c r="D38" s="8">
        <f t="shared" ref="D38:O38" ca="1" si="20">C38+k*(theta-C38)*dt+vol*SQRT(dt*C38)*_xlfn.NORM.S.INV(RAND())</f>
        <v>5.4968414426334322E-2</v>
      </c>
      <c r="E38" s="8">
        <f t="shared" ca="1" si="20"/>
        <v>5.8114073565959753E-2</v>
      </c>
      <c r="F38" s="8">
        <f t="shared" ca="1" si="20"/>
        <v>5.7877071825676023E-2</v>
      </c>
      <c r="G38" s="8">
        <f t="shared" ca="1" si="20"/>
        <v>5.6025029064013174E-2</v>
      </c>
      <c r="H38" s="8">
        <f t="shared" ca="1" si="20"/>
        <v>5.7283789113668042E-2</v>
      </c>
      <c r="I38" s="8">
        <f t="shared" ca="1" si="20"/>
        <v>6.0481406325569712E-2</v>
      </c>
      <c r="J38" s="8">
        <f t="shared" ca="1" si="20"/>
        <v>5.9377308391122902E-2</v>
      </c>
      <c r="K38" s="8">
        <f t="shared" ca="1" si="20"/>
        <v>6.2211797685563758E-2</v>
      </c>
      <c r="L38" s="8">
        <f t="shared" ca="1" si="20"/>
        <v>6.5064900336751691E-2</v>
      </c>
      <c r="M38" s="8">
        <f t="shared" ca="1" si="20"/>
        <v>6.6333323554437454E-2</v>
      </c>
      <c r="N38" s="8">
        <f t="shared" ca="1" si="20"/>
        <v>6.796465150150513E-2</v>
      </c>
      <c r="O38" s="8">
        <f t="shared" ca="1" si="20"/>
        <v>6.8617879907040116E-2</v>
      </c>
      <c r="Q38" s="12"/>
    </row>
    <row r="39" spans="2:17">
      <c r="B39" s="3">
        <v>18</v>
      </c>
      <c r="C39" s="8">
        <f t="shared" si="1"/>
        <v>0.05</v>
      </c>
      <c r="D39" s="8">
        <f t="shared" ref="D39:O39" ca="1" si="21">C39+k*(theta-C39)*dt+vol*SQRT(dt*C39)*_xlfn.NORM.S.INV(RAND())</f>
        <v>5.1243367644359404E-2</v>
      </c>
      <c r="E39" s="8">
        <f t="shared" ca="1" si="21"/>
        <v>4.8354248996492891E-2</v>
      </c>
      <c r="F39" s="8">
        <f t="shared" ca="1" si="21"/>
        <v>5.2290323273708181E-2</v>
      </c>
      <c r="G39" s="8">
        <f t="shared" ca="1" si="21"/>
        <v>5.446424791725285E-2</v>
      </c>
      <c r="H39" s="8">
        <f t="shared" ca="1" si="21"/>
        <v>5.2941572068569344E-2</v>
      </c>
      <c r="I39" s="8">
        <f t="shared" ca="1" si="21"/>
        <v>5.5621749837292733E-2</v>
      </c>
      <c r="J39" s="8">
        <f t="shared" ca="1" si="21"/>
        <v>5.7785817330934783E-2</v>
      </c>
      <c r="K39" s="8">
        <f t="shared" ca="1" si="21"/>
        <v>5.8584313004512938E-2</v>
      </c>
      <c r="L39" s="8">
        <f t="shared" ca="1" si="21"/>
        <v>5.7527995434736703E-2</v>
      </c>
      <c r="M39" s="8">
        <f t="shared" ca="1" si="21"/>
        <v>5.8701336051559423E-2</v>
      </c>
      <c r="N39" s="8">
        <f t="shared" ca="1" si="21"/>
        <v>5.8178217192144881E-2</v>
      </c>
      <c r="O39" s="8">
        <f t="shared" ca="1" si="21"/>
        <v>6.0166420340533322E-2</v>
      </c>
      <c r="Q39" s="12"/>
    </row>
    <row r="40" spans="2:17">
      <c r="B40" s="3">
        <v>19</v>
      </c>
      <c r="C40" s="8">
        <f t="shared" si="1"/>
        <v>0.05</v>
      </c>
      <c r="D40" s="8">
        <f t="shared" ref="D40:O40" ca="1" si="22">C40+k*(theta-C40)*dt+vol*SQRT(dt*C40)*_xlfn.NORM.S.INV(RAND())</f>
        <v>5.0891310974162378E-2</v>
      </c>
      <c r="E40" s="8">
        <f t="shared" ca="1" si="22"/>
        <v>5.4366198909426483E-2</v>
      </c>
      <c r="F40" s="8">
        <f t="shared" ca="1" si="22"/>
        <v>5.4028995929817053E-2</v>
      </c>
      <c r="G40" s="8">
        <f t="shared" ca="1" si="22"/>
        <v>5.4567598652366711E-2</v>
      </c>
      <c r="H40" s="8">
        <f t="shared" ca="1" si="22"/>
        <v>5.3746748884218168E-2</v>
      </c>
      <c r="I40" s="8">
        <f t="shared" ca="1" si="22"/>
        <v>5.4019419627244158E-2</v>
      </c>
      <c r="J40" s="8">
        <f t="shared" ca="1" si="22"/>
        <v>5.5171854195390668E-2</v>
      </c>
      <c r="K40" s="8">
        <f t="shared" ca="1" si="22"/>
        <v>5.5503085390437162E-2</v>
      </c>
      <c r="L40" s="8">
        <f t="shared" ca="1" si="22"/>
        <v>5.7791767507217436E-2</v>
      </c>
      <c r="M40" s="8">
        <f t="shared" ca="1" si="22"/>
        <v>5.8171702828859369E-2</v>
      </c>
      <c r="N40" s="8">
        <f t="shared" ca="1" si="22"/>
        <v>5.6300884148056472E-2</v>
      </c>
      <c r="O40" s="8">
        <f t="shared" ca="1" si="22"/>
        <v>5.8239761886274055E-2</v>
      </c>
      <c r="Q40" s="12"/>
    </row>
    <row r="41" spans="2:17">
      <c r="B41" s="3">
        <v>20</v>
      </c>
      <c r="C41" s="8">
        <f t="shared" si="1"/>
        <v>0.05</v>
      </c>
      <c r="D41" s="8">
        <f t="shared" ref="D41:O41" ca="1" si="23">C41+k*(theta-C41)*dt+vol*SQRT(dt*C41)*_xlfn.NORM.S.INV(RAND())</f>
        <v>4.8920289218863329E-2</v>
      </c>
      <c r="E41" s="8">
        <f t="shared" ca="1" si="23"/>
        <v>4.8753079626454213E-2</v>
      </c>
      <c r="F41" s="8">
        <f t="shared" ca="1" si="23"/>
        <v>4.9312239454751897E-2</v>
      </c>
      <c r="G41" s="8">
        <f t="shared" ca="1" si="23"/>
        <v>5.0679807211806122E-2</v>
      </c>
      <c r="H41" s="8">
        <f t="shared" ca="1" si="23"/>
        <v>5.3359706117378058E-2</v>
      </c>
      <c r="I41" s="8">
        <f t="shared" ca="1" si="23"/>
        <v>5.5332619013508798E-2</v>
      </c>
      <c r="J41" s="8">
        <f t="shared" ca="1" si="23"/>
        <v>5.8049323941844248E-2</v>
      </c>
      <c r="K41" s="8">
        <f t="shared" ca="1" si="23"/>
        <v>5.6397745270686306E-2</v>
      </c>
      <c r="L41" s="8">
        <f t="shared" ca="1" si="23"/>
        <v>5.57215026064986E-2</v>
      </c>
      <c r="M41" s="8">
        <f t="shared" ca="1" si="23"/>
        <v>5.5713784753708015E-2</v>
      </c>
      <c r="N41" s="8">
        <f t="shared" ca="1" si="23"/>
        <v>5.7242747186003216E-2</v>
      </c>
      <c r="O41" s="8">
        <f t="shared" ca="1" si="23"/>
        <v>5.6908223126901004E-2</v>
      </c>
      <c r="Q41" s="12"/>
    </row>
    <row r="42" spans="2:17">
      <c r="B42" s="3">
        <v>21</v>
      </c>
      <c r="C42" s="8">
        <f t="shared" si="1"/>
        <v>0.05</v>
      </c>
      <c r="D42" s="8">
        <f t="shared" ref="D42:O42" ca="1" si="24">C42+k*(theta-C42)*dt+vol*SQRT(dt*C42)*_xlfn.NORM.S.INV(RAND())</f>
        <v>4.875691315687742E-2</v>
      </c>
      <c r="E42" s="8">
        <f t="shared" ca="1" si="24"/>
        <v>5.0440237266664203E-2</v>
      </c>
      <c r="F42" s="8">
        <f t="shared" ca="1" si="24"/>
        <v>5.123103925514013E-2</v>
      </c>
      <c r="G42" s="8">
        <f t="shared" ca="1" si="24"/>
        <v>5.1677680807190852E-2</v>
      </c>
      <c r="H42" s="8">
        <f t="shared" ca="1" si="24"/>
        <v>5.3794448136954769E-2</v>
      </c>
      <c r="I42" s="8">
        <f t="shared" ca="1" si="24"/>
        <v>5.6028805945988303E-2</v>
      </c>
      <c r="J42" s="8">
        <f t="shared" ca="1" si="24"/>
        <v>5.8467747292749783E-2</v>
      </c>
      <c r="K42" s="8">
        <f t="shared" ca="1" si="24"/>
        <v>5.9297414291814399E-2</v>
      </c>
      <c r="L42" s="8">
        <f t="shared" ca="1" si="24"/>
        <v>5.9978558577245641E-2</v>
      </c>
      <c r="M42" s="8">
        <f t="shared" ca="1" si="24"/>
        <v>6.0528140457125845E-2</v>
      </c>
      <c r="N42" s="8">
        <f t="shared" ca="1" si="24"/>
        <v>6.1139360231319356E-2</v>
      </c>
      <c r="O42" s="8">
        <f t="shared" ca="1" si="24"/>
        <v>6.2549626977393066E-2</v>
      </c>
      <c r="Q42" s="12"/>
    </row>
    <row r="43" spans="2:17">
      <c r="B43" s="3">
        <v>22</v>
      </c>
      <c r="C43" s="8">
        <f t="shared" si="1"/>
        <v>0.05</v>
      </c>
      <c r="D43" s="8">
        <f t="shared" ref="D43:O43" ca="1" si="25">C43+k*(theta-C43)*dt+vol*SQRT(dt*C43)*_xlfn.NORM.S.INV(RAND())</f>
        <v>5.1593962875258199E-2</v>
      </c>
      <c r="E43" s="8">
        <f t="shared" ca="1" si="25"/>
        <v>5.1515018716441513E-2</v>
      </c>
      <c r="F43" s="8">
        <f t="shared" ca="1" si="25"/>
        <v>5.3979365391822083E-2</v>
      </c>
      <c r="G43" s="8">
        <f t="shared" ca="1" si="25"/>
        <v>5.5115911424810045E-2</v>
      </c>
      <c r="H43" s="8">
        <f t="shared" ca="1" si="25"/>
        <v>5.7104447633563316E-2</v>
      </c>
      <c r="I43" s="8">
        <f t="shared" ca="1" si="25"/>
        <v>5.6111148882917128E-2</v>
      </c>
      <c r="J43" s="8">
        <f t="shared" ca="1" si="25"/>
        <v>5.8916003194315412E-2</v>
      </c>
      <c r="K43" s="8">
        <f t="shared" ca="1" si="25"/>
        <v>5.8457436641399067E-2</v>
      </c>
      <c r="L43" s="8">
        <f t="shared" ca="1" si="25"/>
        <v>5.9519008472475307E-2</v>
      </c>
      <c r="M43" s="8">
        <f t="shared" ca="1" si="25"/>
        <v>6.1306024738140071E-2</v>
      </c>
      <c r="N43" s="8">
        <f t="shared" ca="1" si="25"/>
        <v>6.3438597213689329E-2</v>
      </c>
      <c r="O43" s="8">
        <f t="shared" ca="1" si="25"/>
        <v>6.5414104327558467E-2</v>
      </c>
      <c r="Q43" s="12"/>
    </row>
    <row r="44" spans="2:17">
      <c r="B44" s="3">
        <v>23</v>
      </c>
      <c r="C44" s="8">
        <f t="shared" si="1"/>
        <v>0.05</v>
      </c>
      <c r="D44" s="8">
        <f t="shared" ref="D44:O44" ca="1" si="26">C44+k*(theta-C44)*dt+vol*SQRT(dt*C44)*_xlfn.NORM.S.INV(RAND())</f>
        <v>5.2488830894469596E-2</v>
      </c>
      <c r="E44" s="8">
        <f t="shared" ca="1" si="26"/>
        <v>5.5463584161239601E-2</v>
      </c>
      <c r="F44" s="8">
        <f t="shared" ca="1" si="26"/>
        <v>5.535875005995558E-2</v>
      </c>
      <c r="G44" s="8">
        <f t="shared" ca="1" si="26"/>
        <v>5.5545482288656675E-2</v>
      </c>
      <c r="H44" s="8">
        <f t="shared" ca="1" si="26"/>
        <v>5.7228814356377319E-2</v>
      </c>
      <c r="I44" s="8">
        <f t="shared" ca="1" si="26"/>
        <v>5.6937827742754597E-2</v>
      </c>
      <c r="J44" s="8">
        <f t="shared" ca="1" si="26"/>
        <v>5.8941257955452998E-2</v>
      </c>
      <c r="K44" s="8">
        <f t="shared" ca="1" si="26"/>
        <v>6.2677511612118236E-2</v>
      </c>
      <c r="L44" s="8">
        <f t="shared" ca="1" si="26"/>
        <v>6.4448098351712196E-2</v>
      </c>
      <c r="M44" s="8">
        <f t="shared" ca="1" si="26"/>
        <v>6.2000911613813346E-2</v>
      </c>
      <c r="N44" s="8">
        <f t="shared" ca="1" si="26"/>
        <v>6.2770057493137715E-2</v>
      </c>
      <c r="O44" s="8">
        <f t="shared" ca="1" si="26"/>
        <v>6.3761533138954968E-2</v>
      </c>
      <c r="Q44" s="12"/>
    </row>
    <row r="45" spans="2:17">
      <c r="B45" s="3">
        <v>24</v>
      </c>
      <c r="C45" s="8">
        <f t="shared" si="1"/>
        <v>0.05</v>
      </c>
      <c r="D45" s="8">
        <f t="shared" ref="D45:O45" ca="1" si="27">C45+k*(theta-C45)*dt+vol*SQRT(dt*C45)*_xlfn.NORM.S.INV(RAND())</f>
        <v>5.1029799536281589E-2</v>
      </c>
      <c r="E45" s="8">
        <f t="shared" ca="1" si="27"/>
        <v>5.1717044836589912E-2</v>
      </c>
      <c r="F45" s="8">
        <f t="shared" ca="1" si="27"/>
        <v>5.2581175550895129E-2</v>
      </c>
      <c r="G45" s="8">
        <f t="shared" ca="1" si="27"/>
        <v>5.4779603887255134E-2</v>
      </c>
      <c r="H45" s="8">
        <f t="shared" ca="1" si="27"/>
        <v>5.7038641326045275E-2</v>
      </c>
      <c r="I45" s="8">
        <f t="shared" ca="1" si="27"/>
        <v>5.763369302346974E-2</v>
      </c>
      <c r="J45" s="8">
        <f t="shared" ca="1" si="27"/>
        <v>5.9291807721646737E-2</v>
      </c>
      <c r="K45" s="8">
        <f t="shared" ca="1" si="27"/>
        <v>6.0643166719985576E-2</v>
      </c>
      <c r="L45" s="8">
        <f t="shared" ca="1" si="27"/>
        <v>6.3763216926870758E-2</v>
      </c>
      <c r="M45" s="8">
        <f t="shared" ca="1" si="27"/>
        <v>6.4281006307869787E-2</v>
      </c>
      <c r="N45" s="8">
        <f t="shared" ca="1" si="27"/>
        <v>6.5949567052372704E-2</v>
      </c>
      <c r="O45" s="8">
        <f t="shared" ca="1" si="27"/>
        <v>6.6401546279894974E-2</v>
      </c>
      <c r="Q45" s="12"/>
    </row>
    <row r="46" spans="2:17">
      <c r="B46" s="3">
        <v>25</v>
      </c>
      <c r="C46" s="8">
        <f t="shared" si="1"/>
        <v>0.05</v>
      </c>
      <c r="D46" s="8">
        <f t="shared" ref="D46:O46" ca="1" si="28">C46+k*(theta-C46)*dt+vol*SQRT(dt*C46)*_xlfn.NORM.S.INV(RAND())</f>
        <v>5.2107778148355426E-2</v>
      </c>
      <c r="E46" s="8">
        <f t="shared" ca="1" si="28"/>
        <v>5.4142077410643266E-2</v>
      </c>
      <c r="F46" s="8">
        <f t="shared" ca="1" si="28"/>
        <v>5.3452714638445378E-2</v>
      </c>
      <c r="G46" s="8">
        <f t="shared" ca="1" si="28"/>
        <v>5.4683425291924694E-2</v>
      </c>
      <c r="H46" s="8">
        <f t="shared" ca="1" si="28"/>
        <v>5.502512514681903E-2</v>
      </c>
      <c r="I46" s="8">
        <f t="shared" ca="1" si="28"/>
        <v>5.6205921302170503E-2</v>
      </c>
      <c r="J46" s="8">
        <f t="shared" ca="1" si="28"/>
        <v>5.6280554540967233E-2</v>
      </c>
      <c r="K46" s="8">
        <f t="shared" ca="1" si="28"/>
        <v>5.7482986233589231E-2</v>
      </c>
      <c r="L46" s="8">
        <f t="shared" ca="1" si="28"/>
        <v>5.6931004371291422E-2</v>
      </c>
      <c r="M46" s="8">
        <f t="shared" ca="1" si="28"/>
        <v>5.7977441124063597E-2</v>
      </c>
      <c r="N46" s="8">
        <f t="shared" ca="1" si="28"/>
        <v>5.9207844328562576E-2</v>
      </c>
      <c r="O46" s="8">
        <f t="shared" ca="1" si="28"/>
        <v>6.030176100683303E-2</v>
      </c>
      <c r="Q46" s="12"/>
    </row>
    <row r="47" spans="2:17">
      <c r="B47" s="3">
        <v>26</v>
      </c>
      <c r="C47" s="8">
        <f t="shared" si="1"/>
        <v>0.05</v>
      </c>
      <c r="D47" s="8">
        <f t="shared" ref="D47:O47" ca="1" si="29">C47+k*(theta-C47)*dt+vol*SQRT(dt*C47)*_xlfn.NORM.S.INV(RAND())</f>
        <v>5.3925231513525664E-2</v>
      </c>
      <c r="E47" s="8">
        <f t="shared" ca="1" si="29"/>
        <v>5.3874528312715282E-2</v>
      </c>
      <c r="F47" s="8">
        <f t="shared" ca="1" si="29"/>
        <v>5.3881989863550479E-2</v>
      </c>
      <c r="G47" s="8">
        <f t="shared" ca="1" si="29"/>
        <v>5.6686051361412672E-2</v>
      </c>
      <c r="H47" s="8">
        <f t="shared" ca="1" si="29"/>
        <v>5.6216763710623473E-2</v>
      </c>
      <c r="I47" s="8">
        <f t="shared" ca="1" si="29"/>
        <v>5.9295498189167357E-2</v>
      </c>
      <c r="J47" s="8">
        <f t="shared" ca="1" si="29"/>
        <v>5.990841226474572E-2</v>
      </c>
      <c r="K47" s="8">
        <f t="shared" ca="1" si="29"/>
        <v>6.0491969610427923E-2</v>
      </c>
      <c r="L47" s="8">
        <f t="shared" ca="1" si="29"/>
        <v>6.1159500035108387E-2</v>
      </c>
      <c r="M47" s="8">
        <f t="shared" ca="1" si="29"/>
        <v>6.2886616788350461E-2</v>
      </c>
      <c r="N47" s="8">
        <f t="shared" ca="1" si="29"/>
        <v>6.5075117181633571E-2</v>
      </c>
      <c r="O47" s="8">
        <f t="shared" ca="1" si="29"/>
        <v>6.4124444230259259E-2</v>
      </c>
      <c r="Q47" s="12"/>
    </row>
    <row r="48" spans="2:17">
      <c r="B48" s="3">
        <v>27</v>
      </c>
      <c r="C48" s="8">
        <f t="shared" si="1"/>
        <v>0.05</v>
      </c>
      <c r="D48" s="8">
        <f t="shared" ref="D48:O48" ca="1" si="30">C48+k*(theta-C48)*dt+vol*SQRT(dt*C48)*_xlfn.NORM.S.INV(RAND())</f>
        <v>5.1326089420477707E-2</v>
      </c>
      <c r="E48" s="8">
        <f t="shared" ca="1" si="30"/>
        <v>5.6105273309014034E-2</v>
      </c>
      <c r="F48" s="8">
        <f t="shared" ca="1" si="30"/>
        <v>5.6309885508991055E-2</v>
      </c>
      <c r="G48" s="8">
        <f t="shared" ca="1" si="30"/>
        <v>5.6355149971938953E-2</v>
      </c>
      <c r="H48" s="8">
        <f t="shared" ca="1" si="30"/>
        <v>5.9202089616851333E-2</v>
      </c>
      <c r="I48" s="8">
        <f t="shared" ca="1" si="30"/>
        <v>5.872546844081062E-2</v>
      </c>
      <c r="J48" s="8">
        <f t="shared" ca="1" si="30"/>
        <v>5.8655019562912768E-2</v>
      </c>
      <c r="K48" s="8">
        <f t="shared" ca="1" si="30"/>
        <v>5.8509843040037299E-2</v>
      </c>
      <c r="L48" s="8">
        <f t="shared" ca="1" si="30"/>
        <v>5.7387285035790811E-2</v>
      </c>
      <c r="M48" s="8">
        <f t="shared" ca="1" si="30"/>
        <v>5.9242753661399646E-2</v>
      </c>
      <c r="N48" s="8">
        <f t="shared" ca="1" si="30"/>
        <v>5.9621231727759724E-2</v>
      </c>
      <c r="O48" s="8">
        <f t="shared" ca="1" si="30"/>
        <v>5.9771888821095985E-2</v>
      </c>
      <c r="Q48" s="12"/>
    </row>
    <row r="49" spans="2:17">
      <c r="B49" s="3">
        <v>28</v>
      </c>
      <c r="C49" s="8">
        <f t="shared" si="1"/>
        <v>0.05</v>
      </c>
      <c r="D49" s="8">
        <f t="shared" ref="D49:O49" ca="1" si="31">C49+k*(theta-C49)*dt+vol*SQRT(dt*C49)*_xlfn.NORM.S.INV(RAND())</f>
        <v>5.1880713374122318E-2</v>
      </c>
      <c r="E49" s="8">
        <f t="shared" ca="1" si="31"/>
        <v>5.5114294178172991E-2</v>
      </c>
      <c r="F49" s="8">
        <f t="shared" ca="1" si="31"/>
        <v>5.582003855463414E-2</v>
      </c>
      <c r="G49" s="8">
        <f t="shared" ca="1" si="31"/>
        <v>5.7748876136826569E-2</v>
      </c>
      <c r="H49" s="8">
        <f t="shared" ca="1" si="31"/>
        <v>5.8496544188711051E-2</v>
      </c>
      <c r="I49" s="8">
        <f t="shared" ca="1" si="31"/>
        <v>6.0034628743330883E-2</v>
      </c>
      <c r="J49" s="8">
        <f t="shared" ca="1" si="31"/>
        <v>6.1735215618763661E-2</v>
      </c>
      <c r="K49" s="8">
        <f t="shared" ca="1" si="31"/>
        <v>6.356761098318385E-2</v>
      </c>
      <c r="L49" s="8">
        <f t="shared" ca="1" si="31"/>
        <v>6.4535298564068325E-2</v>
      </c>
      <c r="M49" s="8">
        <f t="shared" ca="1" si="31"/>
        <v>6.5745503391780397E-2</v>
      </c>
      <c r="N49" s="8">
        <f t="shared" ca="1" si="31"/>
        <v>6.4287528454480145E-2</v>
      </c>
      <c r="O49" s="8">
        <f t="shared" ca="1" si="31"/>
        <v>6.6211622265520978E-2</v>
      </c>
      <c r="Q49" s="12"/>
    </row>
    <row r="50" spans="2:17">
      <c r="B50" s="3">
        <v>29</v>
      </c>
      <c r="C50" s="8">
        <f t="shared" si="1"/>
        <v>0.05</v>
      </c>
      <c r="D50" s="8">
        <f t="shared" ref="D50:O50" ca="1" si="32">C50+k*(theta-C50)*dt+vol*SQRT(dt*C50)*_xlfn.NORM.S.INV(RAND())</f>
        <v>5.2970037452071135E-2</v>
      </c>
      <c r="E50" s="8">
        <f t="shared" ca="1" si="32"/>
        <v>5.5527045356753346E-2</v>
      </c>
      <c r="F50" s="8">
        <f t="shared" ca="1" si="32"/>
        <v>5.7668663458093933E-2</v>
      </c>
      <c r="G50" s="8">
        <f t="shared" ca="1" si="32"/>
        <v>5.7862940953524122E-2</v>
      </c>
      <c r="H50" s="8">
        <f t="shared" ca="1" si="32"/>
        <v>6.0246269461738042E-2</v>
      </c>
      <c r="I50" s="8">
        <f t="shared" ca="1" si="32"/>
        <v>6.276208452224212E-2</v>
      </c>
      <c r="J50" s="8">
        <f t="shared" ca="1" si="32"/>
        <v>6.5619338928753601E-2</v>
      </c>
      <c r="K50" s="8">
        <f t="shared" ca="1" si="32"/>
        <v>6.6652396667866848E-2</v>
      </c>
      <c r="L50" s="8">
        <f t="shared" ca="1" si="32"/>
        <v>6.5254240875613725E-2</v>
      </c>
      <c r="M50" s="8">
        <f t="shared" ca="1" si="32"/>
        <v>6.8162320963160744E-2</v>
      </c>
      <c r="N50" s="8">
        <f t="shared" ca="1" si="32"/>
        <v>6.8449023747770038E-2</v>
      </c>
      <c r="O50" s="8">
        <f t="shared" ca="1" si="32"/>
        <v>6.84118255797493E-2</v>
      </c>
      <c r="Q50" s="12"/>
    </row>
    <row r="51" spans="2:17">
      <c r="B51" s="3">
        <v>30</v>
      </c>
      <c r="C51" s="8">
        <f t="shared" si="1"/>
        <v>0.05</v>
      </c>
      <c r="D51" s="8">
        <f t="shared" ref="D51:O51" ca="1" si="33">C51+k*(theta-C51)*dt+vol*SQRT(dt*C51)*_xlfn.NORM.S.INV(RAND())</f>
        <v>5.0788665506063924E-2</v>
      </c>
      <c r="E51" s="8">
        <f t="shared" ca="1" si="33"/>
        <v>5.1050101224019394E-2</v>
      </c>
      <c r="F51" s="8">
        <f t="shared" ca="1" si="33"/>
        <v>5.1819960127870823E-2</v>
      </c>
      <c r="G51" s="8">
        <f t="shared" ca="1" si="33"/>
        <v>5.1733962183650964E-2</v>
      </c>
      <c r="H51" s="8">
        <f t="shared" ca="1" si="33"/>
        <v>5.4277428414778978E-2</v>
      </c>
      <c r="I51" s="8">
        <f t="shared" ca="1" si="33"/>
        <v>5.5610357187509826E-2</v>
      </c>
      <c r="J51" s="8">
        <f t="shared" ca="1" si="33"/>
        <v>5.9030437116370564E-2</v>
      </c>
      <c r="K51" s="8">
        <f t="shared" ca="1" si="33"/>
        <v>5.9772950194564849E-2</v>
      </c>
      <c r="L51" s="8">
        <f t="shared" ca="1" si="33"/>
        <v>5.8462019085160591E-2</v>
      </c>
      <c r="M51" s="8">
        <f t="shared" ca="1" si="33"/>
        <v>5.8966572970896483E-2</v>
      </c>
      <c r="N51" s="8">
        <f t="shared" ca="1" si="33"/>
        <v>6.0021737237969046E-2</v>
      </c>
      <c r="O51" s="8">
        <f t="shared" ca="1" si="33"/>
        <v>6.2719721270689047E-2</v>
      </c>
      <c r="Q51" s="12"/>
    </row>
    <row r="52" spans="2:17">
      <c r="B52" s="3">
        <v>31</v>
      </c>
      <c r="C52" s="8">
        <f t="shared" si="1"/>
        <v>0.05</v>
      </c>
      <c r="D52" s="8">
        <f t="shared" ref="D52:O52" ca="1" si="34">C52+k*(theta-C52)*dt+vol*SQRT(dt*C52)*_xlfn.NORM.S.INV(RAND())</f>
        <v>5.0622142802084123E-2</v>
      </c>
      <c r="E52" s="8">
        <f t="shared" ca="1" si="34"/>
        <v>5.3101099423513744E-2</v>
      </c>
      <c r="F52" s="8">
        <f t="shared" ca="1" si="34"/>
        <v>5.7075714358180943E-2</v>
      </c>
      <c r="G52" s="8">
        <f t="shared" ca="1" si="34"/>
        <v>5.7630052787474573E-2</v>
      </c>
      <c r="H52" s="8">
        <f t="shared" ca="1" si="34"/>
        <v>6.1269022924887603E-2</v>
      </c>
      <c r="I52" s="8">
        <f t="shared" ca="1" si="34"/>
        <v>6.0682151059186E-2</v>
      </c>
      <c r="J52" s="8">
        <f t="shared" ca="1" si="34"/>
        <v>6.3771695302223208E-2</v>
      </c>
      <c r="K52" s="8">
        <f t="shared" ca="1" si="34"/>
        <v>6.3536274422071479E-2</v>
      </c>
      <c r="L52" s="8">
        <f t="shared" ca="1" si="34"/>
        <v>6.4365807252838247E-2</v>
      </c>
      <c r="M52" s="8">
        <f t="shared" ca="1" si="34"/>
        <v>6.5323256870481364E-2</v>
      </c>
      <c r="N52" s="8">
        <f t="shared" ca="1" si="34"/>
        <v>6.3274454745008021E-2</v>
      </c>
      <c r="O52" s="8">
        <f t="shared" ca="1" si="34"/>
        <v>6.2393790744675569E-2</v>
      </c>
      <c r="Q52" s="12"/>
    </row>
    <row r="53" spans="2:17">
      <c r="B53" s="3">
        <v>32</v>
      </c>
      <c r="C53" s="8">
        <f t="shared" si="1"/>
        <v>0.05</v>
      </c>
      <c r="D53" s="8">
        <f t="shared" ref="D53:O53" ca="1" si="35">C53+k*(theta-C53)*dt+vol*SQRT(dt*C53)*_xlfn.NORM.S.INV(RAND())</f>
        <v>5.2322395794876138E-2</v>
      </c>
      <c r="E53" s="8">
        <f t="shared" ca="1" si="35"/>
        <v>5.321893574601054E-2</v>
      </c>
      <c r="F53" s="8">
        <f t="shared" ca="1" si="35"/>
        <v>5.4412851359708504E-2</v>
      </c>
      <c r="G53" s="8">
        <f t="shared" ca="1" si="35"/>
        <v>5.3619577028973325E-2</v>
      </c>
      <c r="H53" s="8">
        <f t="shared" ca="1" si="35"/>
        <v>5.2341895023878003E-2</v>
      </c>
      <c r="I53" s="8">
        <f t="shared" ca="1" si="35"/>
        <v>5.4006774762163569E-2</v>
      </c>
      <c r="J53" s="8">
        <f t="shared" ca="1" si="35"/>
        <v>5.2946164033982238E-2</v>
      </c>
      <c r="K53" s="8">
        <f t="shared" ca="1" si="35"/>
        <v>5.4570901074193948E-2</v>
      </c>
      <c r="L53" s="8">
        <f t="shared" ca="1" si="35"/>
        <v>5.4709233297480259E-2</v>
      </c>
      <c r="M53" s="8">
        <f t="shared" ca="1" si="35"/>
        <v>5.3004219163995628E-2</v>
      </c>
      <c r="N53" s="8">
        <f t="shared" ca="1" si="35"/>
        <v>5.1807963078771641E-2</v>
      </c>
      <c r="O53" s="8">
        <f t="shared" ca="1" si="35"/>
        <v>5.3166008573969588E-2</v>
      </c>
      <c r="Q53" s="12"/>
    </row>
    <row r="54" spans="2:17">
      <c r="B54" s="3">
        <v>33</v>
      </c>
      <c r="C54" s="8">
        <f t="shared" si="1"/>
        <v>0.05</v>
      </c>
      <c r="D54" s="8">
        <f t="shared" ref="D54:O54" ca="1" si="36">C54+k*(theta-C54)*dt+vol*SQRT(dt*C54)*_xlfn.NORM.S.INV(RAND())</f>
        <v>5.2565655467026594E-2</v>
      </c>
      <c r="E54" s="8">
        <f t="shared" ca="1" si="36"/>
        <v>5.5191904912468844E-2</v>
      </c>
      <c r="F54" s="8">
        <f t="shared" ca="1" si="36"/>
        <v>5.5960438398560165E-2</v>
      </c>
      <c r="G54" s="8">
        <f t="shared" ca="1" si="36"/>
        <v>5.8886075143994722E-2</v>
      </c>
      <c r="H54" s="8">
        <f t="shared" ca="1" si="36"/>
        <v>6.0948135441312015E-2</v>
      </c>
      <c r="I54" s="8">
        <f t="shared" ca="1" si="36"/>
        <v>6.1633033577544037E-2</v>
      </c>
      <c r="J54" s="8">
        <f t="shared" ca="1" si="36"/>
        <v>6.2236950202039377E-2</v>
      </c>
      <c r="K54" s="8">
        <f t="shared" ca="1" si="36"/>
        <v>6.3949060910202582E-2</v>
      </c>
      <c r="L54" s="8">
        <f t="shared" ca="1" si="36"/>
        <v>6.3549198152813569E-2</v>
      </c>
      <c r="M54" s="8">
        <f t="shared" ca="1" si="36"/>
        <v>6.2936744721377266E-2</v>
      </c>
      <c r="N54" s="8">
        <f t="shared" ca="1" si="36"/>
        <v>6.4614277066527046E-2</v>
      </c>
      <c r="O54" s="8">
        <f t="shared" ca="1" si="36"/>
        <v>6.5700494314362257E-2</v>
      </c>
      <c r="Q54" s="12"/>
    </row>
    <row r="55" spans="2:17">
      <c r="B55" s="3">
        <v>34</v>
      </c>
      <c r="C55" s="8">
        <f t="shared" si="1"/>
        <v>0.05</v>
      </c>
      <c r="D55" s="8">
        <f t="shared" ref="D55:O55" ca="1" si="37">C55+k*(theta-C55)*dt+vol*SQRT(dt*C55)*_xlfn.NORM.S.INV(RAND())</f>
        <v>5.0859517466297618E-2</v>
      </c>
      <c r="E55" s="8">
        <f t="shared" ca="1" si="37"/>
        <v>5.3127695052241942E-2</v>
      </c>
      <c r="F55" s="8">
        <f t="shared" ca="1" si="37"/>
        <v>5.2343432980228449E-2</v>
      </c>
      <c r="G55" s="8">
        <f t="shared" ca="1" si="37"/>
        <v>5.3082994429692686E-2</v>
      </c>
      <c r="H55" s="8">
        <f t="shared" ca="1" si="37"/>
        <v>5.3931891954295166E-2</v>
      </c>
      <c r="I55" s="8">
        <f t="shared" ca="1" si="37"/>
        <v>5.3383100878554295E-2</v>
      </c>
      <c r="J55" s="8">
        <f t="shared" ca="1" si="37"/>
        <v>5.3945163461956248E-2</v>
      </c>
      <c r="K55" s="8">
        <f t="shared" ca="1" si="37"/>
        <v>5.6409971412234999E-2</v>
      </c>
      <c r="L55" s="8">
        <f t="shared" ca="1" si="37"/>
        <v>5.9120147373832872E-2</v>
      </c>
      <c r="M55" s="8">
        <f t="shared" ca="1" si="37"/>
        <v>6.0637679101062922E-2</v>
      </c>
      <c r="N55" s="8">
        <f t="shared" ca="1" si="37"/>
        <v>6.352290580542351E-2</v>
      </c>
      <c r="O55" s="8">
        <f t="shared" ca="1" si="37"/>
        <v>6.3860227169813558E-2</v>
      </c>
      <c r="Q55" s="12"/>
    </row>
    <row r="56" spans="2:17">
      <c r="B56" s="3">
        <v>35</v>
      </c>
      <c r="C56" s="8">
        <f t="shared" si="1"/>
        <v>0.05</v>
      </c>
      <c r="D56" s="8">
        <f t="shared" ref="D56:O56" ca="1" si="38">C56+k*(theta-C56)*dt+vol*SQRT(dt*C56)*_xlfn.NORM.S.INV(RAND())</f>
        <v>4.8564316956516154E-2</v>
      </c>
      <c r="E56" s="8">
        <f t="shared" ca="1" si="38"/>
        <v>5.0352361058276264E-2</v>
      </c>
      <c r="F56" s="8">
        <f t="shared" ca="1" si="38"/>
        <v>5.0937694492295127E-2</v>
      </c>
      <c r="G56" s="8">
        <f t="shared" ca="1" si="38"/>
        <v>5.2332345014382262E-2</v>
      </c>
      <c r="H56" s="8">
        <f t="shared" ca="1" si="38"/>
        <v>5.4186245430369935E-2</v>
      </c>
      <c r="I56" s="8">
        <f t="shared" ca="1" si="38"/>
        <v>5.503340280823061E-2</v>
      </c>
      <c r="J56" s="8">
        <f t="shared" ca="1" si="38"/>
        <v>5.4994352730122348E-2</v>
      </c>
      <c r="K56" s="8">
        <f t="shared" ca="1" si="38"/>
        <v>5.5768618512414762E-2</v>
      </c>
      <c r="L56" s="8">
        <f t="shared" ca="1" si="38"/>
        <v>5.5904921602186672E-2</v>
      </c>
      <c r="M56" s="8">
        <f t="shared" ca="1" si="38"/>
        <v>5.635104535658101E-2</v>
      </c>
      <c r="N56" s="8">
        <f t="shared" ca="1" si="38"/>
        <v>5.6696284410535813E-2</v>
      </c>
      <c r="O56" s="8">
        <f t="shared" ca="1" si="38"/>
        <v>5.6466431834827219E-2</v>
      </c>
      <c r="Q56" s="12"/>
    </row>
    <row r="57" spans="2:17">
      <c r="B57" s="3">
        <v>36</v>
      </c>
      <c r="C57" s="8">
        <f t="shared" si="1"/>
        <v>0.05</v>
      </c>
      <c r="D57" s="8">
        <f t="shared" ref="D57:O57" ca="1" si="39">C57+k*(theta-C57)*dt+vol*SQRT(dt*C57)*_xlfn.NORM.S.INV(RAND())</f>
        <v>5.0250024947028356E-2</v>
      </c>
      <c r="E57" s="8">
        <f t="shared" ca="1" si="39"/>
        <v>5.1752234436696125E-2</v>
      </c>
      <c r="F57" s="8">
        <f t="shared" ca="1" si="39"/>
        <v>5.2157994110287847E-2</v>
      </c>
      <c r="G57" s="8">
        <f t="shared" ca="1" si="39"/>
        <v>5.3414645284177734E-2</v>
      </c>
      <c r="H57" s="8">
        <f t="shared" ca="1" si="39"/>
        <v>5.3476305948954111E-2</v>
      </c>
      <c r="I57" s="8">
        <f t="shared" ca="1" si="39"/>
        <v>5.4730701129080392E-2</v>
      </c>
      <c r="J57" s="8">
        <f t="shared" ca="1" si="39"/>
        <v>5.8344673221551097E-2</v>
      </c>
      <c r="K57" s="8">
        <f t="shared" ca="1" si="39"/>
        <v>6.0669886662033719E-2</v>
      </c>
      <c r="L57" s="8">
        <f t="shared" ca="1" si="39"/>
        <v>5.9956362210895231E-2</v>
      </c>
      <c r="M57" s="8">
        <f t="shared" ca="1" si="39"/>
        <v>6.3548688343964391E-2</v>
      </c>
      <c r="N57" s="8">
        <f t="shared" ca="1" si="39"/>
        <v>6.3590573516292617E-2</v>
      </c>
      <c r="O57" s="8">
        <f t="shared" ca="1" si="39"/>
        <v>6.5711495843336201E-2</v>
      </c>
      <c r="Q57" s="12"/>
    </row>
    <row r="58" spans="2:17">
      <c r="B58" s="3">
        <v>37</v>
      </c>
      <c r="C58" s="8">
        <f t="shared" si="1"/>
        <v>0.05</v>
      </c>
      <c r="D58" s="8">
        <f t="shared" ref="D58:O58" ca="1" si="40">C58+k*(theta-C58)*dt+vol*SQRT(dt*C58)*_xlfn.NORM.S.INV(RAND())</f>
        <v>5.1514396114102898E-2</v>
      </c>
      <c r="E58" s="8">
        <f t="shared" ca="1" si="40"/>
        <v>5.2854137996221032E-2</v>
      </c>
      <c r="F58" s="8">
        <f t="shared" ca="1" si="40"/>
        <v>5.4742945357805224E-2</v>
      </c>
      <c r="G58" s="8">
        <f t="shared" ca="1" si="40"/>
        <v>5.5425600268969463E-2</v>
      </c>
      <c r="H58" s="8">
        <f t="shared" ca="1" si="40"/>
        <v>5.2654300060910555E-2</v>
      </c>
      <c r="I58" s="8">
        <f t="shared" ca="1" si="40"/>
        <v>5.4590823889209293E-2</v>
      </c>
      <c r="J58" s="8">
        <f t="shared" ca="1" si="40"/>
        <v>5.5963010713464441E-2</v>
      </c>
      <c r="K58" s="8">
        <f t="shared" ca="1" si="40"/>
        <v>5.8340691379510166E-2</v>
      </c>
      <c r="L58" s="8">
        <f t="shared" ca="1" si="40"/>
        <v>6.0160284677996161E-2</v>
      </c>
      <c r="M58" s="8">
        <f t="shared" ca="1" si="40"/>
        <v>6.1546264303142174E-2</v>
      </c>
      <c r="N58" s="8">
        <f t="shared" ca="1" si="40"/>
        <v>6.1860921676523739E-2</v>
      </c>
      <c r="O58" s="8">
        <f t="shared" ca="1" si="40"/>
        <v>6.435998658468299E-2</v>
      </c>
      <c r="Q58" s="12"/>
    </row>
    <row r="59" spans="2:17">
      <c r="B59" s="3">
        <v>38</v>
      </c>
      <c r="C59" s="8">
        <f t="shared" si="1"/>
        <v>0.05</v>
      </c>
      <c r="D59" s="8">
        <f t="shared" ref="D59:O59" ca="1" si="41">C59+k*(theta-C59)*dt+vol*SQRT(dt*C59)*_xlfn.NORM.S.INV(RAND())</f>
        <v>4.9435051528889953E-2</v>
      </c>
      <c r="E59" s="8">
        <f t="shared" ca="1" si="41"/>
        <v>5.1744298029254621E-2</v>
      </c>
      <c r="F59" s="8">
        <f t="shared" ca="1" si="41"/>
        <v>5.2262016730381507E-2</v>
      </c>
      <c r="G59" s="8">
        <f t="shared" ca="1" si="41"/>
        <v>5.2937560490682975E-2</v>
      </c>
      <c r="H59" s="8">
        <f t="shared" ca="1" si="41"/>
        <v>5.2648870006673031E-2</v>
      </c>
      <c r="I59" s="8">
        <f t="shared" ca="1" si="41"/>
        <v>5.1074631857125456E-2</v>
      </c>
      <c r="J59" s="8">
        <f t="shared" ca="1" si="41"/>
        <v>5.0105549573588801E-2</v>
      </c>
      <c r="K59" s="8">
        <f t="shared" ca="1" si="41"/>
        <v>5.1096364040997565E-2</v>
      </c>
      <c r="L59" s="8">
        <f t="shared" ca="1" si="41"/>
        <v>5.1915457397523429E-2</v>
      </c>
      <c r="M59" s="8">
        <f t="shared" ca="1" si="41"/>
        <v>5.1991075507899484E-2</v>
      </c>
      <c r="N59" s="8">
        <f t="shared" ca="1" si="41"/>
        <v>5.3218632650898448E-2</v>
      </c>
      <c r="O59" s="8">
        <f t="shared" ca="1" si="41"/>
        <v>5.2956411825368394E-2</v>
      </c>
      <c r="Q59" s="12"/>
    </row>
    <row r="60" spans="2:17">
      <c r="B60" s="3">
        <v>39</v>
      </c>
      <c r="C60" s="8">
        <f t="shared" si="1"/>
        <v>0.05</v>
      </c>
      <c r="D60" s="8">
        <f t="shared" ref="D60:O60" ca="1" si="42">C60+k*(theta-C60)*dt+vol*SQRT(dt*C60)*_xlfn.NORM.S.INV(RAND())</f>
        <v>5.2616397863263442E-2</v>
      </c>
      <c r="E60" s="8">
        <f t="shared" ca="1" si="42"/>
        <v>5.4519457173781351E-2</v>
      </c>
      <c r="F60" s="8">
        <f t="shared" ca="1" si="42"/>
        <v>5.2408246186091759E-2</v>
      </c>
      <c r="G60" s="8">
        <f t="shared" ca="1" si="42"/>
        <v>5.3818564635268372E-2</v>
      </c>
      <c r="H60" s="8">
        <f t="shared" ca="1" si="42"/>
        <v>5.561195975552153E-2</v>
      </c>
      <c r="I60" s="8">
        <f t="shared" ca="1" si="42"/>
        <v>5.5842061068113562E-2</v>
      </c>
      <c r="J60" s="8">
        <f t="shared" ca="1" si="42"/>
        <v>5.8335729254605749E-2</v>
      </c>
      <c r="K60" s="8">
        <f t="shared" ca="1" si="42"/>
        <v>5.9091120964720328E-2</v>
      </c>
      <c r="L60" s="8">
        <f t="shared" ca="1" si="42"/>
        <v>6.2262436274817777E-2</v>
      </c>
      <c r="M60" s="8">
        <f t="shared" ca="1" si="42"/>
        <v>6.377586087747944E-2</v>
      </c>
      <c r="N60" s="8">
        <f t="shared" ca="1" si="42"/>
        <v>6.1835312098376949E-2</v>
      </c>
      <c r="O60" s="8">
        <f t="shared" ca="1" si="42"/>
        <v>6.4352416641042826E-2</v>
      </c>
      <c r="Q60" s="12"/>
    </row>
    <row r="61" spans="2:17">
      <c r="B61" s="3">
        <v>40</v>
      </c>
      <c r="C61" s="8">
        <f t="shared" si="1"/>
        <v>0.05</v>
      </c>
      <c r="D61" s="8">
        <f t="shared" ref="D61:O61" ca="1" si="43">C61+k*(theta-C61)*dt+vol*SQRT(dt*C61)*_xlfn.NORM.S.INV(RAND())</f>
        <v>5.0832681330130462E-2</v>
      </c>
      <c r="E61" s="8">
        <f t="shared" ca="1" si="43"/>
        <v>5.1365471681590932E-2</v>
      </c>
      <c r="F61" s="8">
        <f t="shared" ca="1" si="43"/>
        <v>4.9861487212780081E-2</v>
      </c>
      <c r="G61" s="8">
        <f t="shared" ca="1" si="43"/>
        <v>5.0099791283340182E-2</v>
      </c>
      <c r="H61" s="8">
        <f t="shared" ca="1" si="43"/>
        <v>5.1022948337207885E-2</v>
      </c>
      <c r="I61" s="8">
        <f t="shared" ca="1" si="43"/>
        <v>5.1538984349004661E-2</v>
      </c>
      <c r="J61" s="8">
        <f t="shared" ca="1" si="43"/>
        <v>5.1147209411199518E-2</v>
      </c>
      <c r="K61" s="8">
        <f t="shared" ca="1" si="43"/>
        <v>5.3017743941747887E-2</v>
      </c>
      <c r="L61" s="8">
        <f t="shared" ca="1" si="43"/>
        <v>5.4466712155911375E-2</v>
      </c>
      <c r="M61" s="8">
        <f t="shared" ca="1" si="43"/>
        <v>5.4877079901937749E-2</v>
      </c>
      <c r="N61" s="8">
        <f t="shared" ca="1" si="43"/>
        <v>5.6947763558518091E-2</v>
      </c>
      <c r="O61" s="8">
        <f t="shared" ca="1" si="43"/>
        <v>5.8156665294088673E-2</v>
      </c>
      <c r="Q61" s="12"/>
    </row>
    <row r="62" spans="2:17">
      <c r="B62" s="3">
        <v>41</v>
      </c>
      <c r="C62" s="8">
        <f t="shared" si="1"/>
        <v>0.05</v>
      </c>
      <c r="D62" s="8">
        <f t="shared" ref="D62:O62" ca="1" si="44">C62+k*(theta-C62)*dt+vol*SQRT(dt*C62)*_xlfn.NORM.S.INV(RAND())</f>
        <v>5.0883620607482097E-2</v>
      </c>
      <c r="E62" s="8">
        <f t="shared" ca="1" si="44"/>
        <v>5.2719054357405003E-2</v>
      </c>
      <c r="F62" s="8">
        <f t="shared" ca="1" si="44"/>
        <v>5.2661377575019978E-2</v>
      </c>
      <c r="G62" s="8">
        <f t="shared" ca="1" si="44"/>
        <v>5.3430617378289684E-2</v>
      </c>
      <c r="H62" s="8">
        <f t="shared" ca="1" si="44"/>
        <v>5.3975594955324925E-2</v>
      </c>
      <c r="I62" s="8">
        <f t="shared" ca="1" si="44"/>
        <v>5.5151304258551893E-2</v>
      </c>
      <c r="J62" s="8">
        <f t="shared" ca="1" si="44"/>
        <v>5.6630603036462585E-2</v>
      </c>
      <c r="K62" s="8">
        <f t="shared" ca="1" si="44"/>
        <v>5.824725202646179E-2</v>
      </c>
      <c r="L62" s="8">
        <f t="shared" ca="1" si="44"/>
        <v>6.0651783099927609E-2</v>
      </c>
      <c r="M62" s="8">
        <f t="shared" ca="1" si="44"/>
        <v>5.9204795528508991E-2</v>
      </c>
      <c r="N62" s="8">
        <f t="shared" ca="1" si="44"/>
        <v>5.860500134344275E-2</v>
      </c>
      <c r="O62" s="8">
        <f t="shared" ca="1" si="44"/>
        <v>5.8704567885098063E-2</v>
      </c>
      <c r="Q62" s="12"/>
    </row>
    <row r="63" spans="2:17">
      <c r="B63" s="3">
        <v>42</v>
      </c>
      <c r="C63" s="8">
        <f t="shared" si="1"/>
        <v>0.05</v>
      </c>
      <c r="D63" s="8">
        <f t="shared" ref="D63:O63" ca="1" si="45">C63+k*(theta-C63)*dt+vol*SQRT(dt*C63)*_xlfn.NORM.S.INV(RAND())</f>
        <v>5.2892145274146443E-2</v>
      </c>
      <c r="E63" s="8">
        <f t="shared" ca="1" si="45"/>
        <v>5.5401611629285988E-2</v>
      </c>
      <c r="F63" s="8">
        <f t="shared" ca="1" si="45"/>
        <v>5.5234446712524567E-2</v>
      </c>
      <c r="G63" s="8">
        <f t="shared" ca="1" si="45"/>
        <v>5.8862646031940871E-2</v>
      </c>
      <c r="H63" s="8">
        <f t="shared" ca="1" si="45"/>
        <v>5.9456235400838581E-2</v>
      </c>
      <c r="I63" s="8">
        <f t="shared" ca="1" si="45"/>
        <v>6.0265901137760064E-2</v>
      </c>
      <c r="J63" s="8">
        <f t="shared" ca="1" si="45"/>
        <v>6.1691240517596377E-2</v>
      </c>
      <c r="K63" s="8">
        <f t="shared" ca="1" si="45"/>
        <v>6.1994283739155609E-2</v>
      </c>
      <c r="L63" s="8">
        <f t="shared" ca="1" si="45"/>
        <v>6.4383455563524442E-2</v>
      </c>
      <c r="M63" s="8">
        <f t="shared" ca="1" si="45"/>
        <v>6.4005315788595391E-2</v>
      </c>
      <c r="N63" s="8">
        <f t="shared" ca="1" si="45"/>
        <v>6.2394346535682446E-2</v>
      </c>
      <c r="O63" s="8">
        <f t="shared" ca="1" si="45"/>
        <v>6.1497304159861682E-2</v>
      </c>
      <c r="Q63" s="12"/>
    </row>
    <row r="64" spans="2:17">
      <c r="B64" s="3">
        <v>43</v>
      </c>
      <c r="C64" s="8">
        <f t="shared" si="1"/>
        <v>0.05</v>
      </c>
      <c r="D64" s="8">
        <f t="shared" ref="D64:O64" ca="1" si="46">C64+k*(theta-C64)*dt+vol*SQRT(dt*C64)*_xlfn.NORM.S.INV(RAND())</f>
        <v>5.1843289233244098E-2</v>
      </c>
      <c r="E64" s="8">
        <f t="shared" ca="1" si="46"/>
        <v>5.4445885129448139E-2</v>
      </c>
      <c r="F64" s="8">
        <f t="shared" ca="1" si="46"/>
        <v>5.5604721877494455E-2</v>
      </c>
      <c r="G64" s="8">
        <f t="shared" ca="1" si="46"/>
        <v>5.4773055151323094E-2</v>
      </c>
      <c r="H64" s="8">
        <f t="shared" ca="1" si="46"/>
        <v>5.4478833563870371E-2</v>
      </c>
      <c r="I64" s="8">
        <f t="shared" ca="1" si="46"/>
        <v>5.7446366310917978E-2</v>
      </c>
      <c r="J64" s="8">
        <f t="shared" ca="1" si="46"/>
        <v>5.5484489994763291E-2</v>
      </c>
      <c r="K64" s="8">
        <f t="shared" ca="1" si="46"/>
        <v>5.345546155614235E-2</v>
      </c>
      <c r="L64" s="8">
        <f t="shared" ca="1" si="46"/>
        <v>5.2113403916964951E-2</v>
      </c>
      <c r="M64" s="8">
        <f t="shared" ca="1" si="46"/>
        <v>5.4547082628886259E-2</v>
      </c>
      <c r="N64" s="8">
        <f t="shared" ca="1" si="46"/>
        <v>5.5458152456073717E-2</v>
      </c>
      <c r="O64" s="8">
        <f t="shared" ca="1" si="46"/>
        <v>5.7998074749729574E-2</v>
      </c>
      <c r="Q64" s="12"/>
    </row>
    <row r="65" spans="2:17">
      <c r="B65" s="3">
        <v>44</v>
      </c>
      <c r="C65" s="8">
        <f t="shared" si="1"/>
        <v>0.05</v>
      </c>
      <c r="D65" s="8">
        <f t="shared" ref="D65:O65" ca="1" si="47">C65+k*(theta-C65)*dt+vol*SQRT(dt*C65)*_xlfn.NORM.S.INV(RAND())</f>
        <v>5.3400796570404162E-2</v>
      </c>
      <c r="E65" s="8">
        <f t="shared" ca="1" si="47"/>
        <v>5.4831280684775413E-2</v>
      </c>
      <c r="F65" s="8">
        <f t="shared" ca="1" si="47"/>
        <v>5.8111571536786005E-2</v>
      </c>
      <c r="G65" s="8">
        <f t="shared" ca="1" si="47"/>
        <v>5.9909680698872932E-2</v>
      </c>
      <c r="H65" s="8">
        <f t="shared" ca="1" si="47"/>
        <v>5.8115722274038217E-2</v>
      </c>
      <c r="I65" s="8">
        <f t="shared" ca="1" si="47"/>
        <v>5.650874432922777E-2</v>
      </c>
      <c r="J65" s="8">
        <f t="shared" ca="1" si="47"/>
        <v>6.0301103280367196E-2</v>
      </c>
      <c r="K65" s="8">
        <f t="shared" ca="1" si="47"/>
        <v>6.2336736635130924E-2</v>
      </c>
      <c r="L65" s="8">
        <f t="shared" ca="1" si="47"/>
        <v>6.2494592277974777E-2</v>
      </c>
      <c r="M65" s="8">
        <f t="shared" ca="1" si="47"/>
        <v>6.2297286670573715E-2</v>
      </c>
      <c r="N65" s="8">
        <f t="shared" ca="1" si="47"/>
        <v>6.4061926579996417E-2</v>
      </c>
      <c r="O65" s="8">
        <f t="shared" ca="1" si="47"/>
        <v>6.7061899099075187E-2</v>
      </c>
      <c r="Q65" s="12"/>
    </row>
    <row r="66" spans="2:17">
      <c r="B66" s="3">
        <v>45</v>
      </c>
      <c r="C66" s="8">
        <f t="shared" si="1"/>
        <v>0.05</v>
      </c>
      <c r="D66" s="8">
        <f t="shared" ref="D66:O66" ca="1" si="48">C66+k*(theta-C66)*dt+vol*SQRT(dt*C66)*_xlfn.NORM.S.INV(RAND())</f>
        <v>5.4485067095466369E-2</v>
      </c>
      <c r="E66" s="8">
        <f t="shared" ca="1" si="48"/>
        <v>5.5252747303406673E-2</v>
      </c>
      <c r="F66" s="8">
        <f t="shared" ca="1" si="48"/>
        <v>5.6812577280054739E-2</v>
      </c>
      <c r="G66" s="8">
        <f t="shared" ca="1" si="48"/>
        <v>5.8625857500150348E-2</v>
      </c>
      <c r="H66" s="8">
        <f t="shared" ca="1" si="48"/>
        <v>5.8140420555159437E-2</v>
      </c>
      <c r="I66" s="8">
        <f t="shared" ca="1" si="48"/>
        <v>6.0861782149097092E-2</v>
      </c>
      <c r="J66" s="8">
        <f t="shared" ca="1" si="48"/>
        <v>6.1674520301500182E-2</v>
      </c>
      <c r="K66" s="8">
        <f t="shared" ca="1" si="48"/>
        <v>6.2345483589507707E-2</v>
      </c>
      <c r="L66" s="8">
        <f t="shared" ca="1" si="48"/>
        <v>6.3577583291014039E-2</v>
      </c>
      <c r="M66" s="8">
        <f t="shared" ca="1" si="48"/>
        <v>6.3748690501984548E-2</v>
      </c>
      <c r="N66" s="8">
        <f t="shared" ca="1" si="48"/>
        <v>6.4203028364270234E-2</v>
      </c>
      <c r="O66" s="8">
        <f t="shared" ca="1" si="48"/>
        <v>6.5795581321106925E-2</v>
      </c>
      <c r="Q66" s="12"/>
    </row>
    <row r="67" spans="2:17">
      <c r="B67" s="3">
        <v>46</v>
      </c>
      <c r="C67" s="8">
        <f t="shared" si="1"/>
        <v>0.05</v>
      </c>
      <c r="D67" s="8">
        <f t="shared" ref="D67:O67" ca="1" si="49">C67+k*(theta-C67)*dt+vol*SQRT(dt*C67)*_xlfn.NORM.S.INV(RAND())</f>
        <v>5.1558595379326215E-2</v>
      </c>
      <c r="E67" s="8">
        <f t="shared" ca="1" si="49"/>
        <v>5.190976606932448E-2</v>
      </c>
      <c r="F67" s="8">
        <f t="shared" ca="1" si="49"/>
        <v>5.2738151499315128E-2</v>
      </c>
      <c r="G67" s="8">
        <f t="shared" ca="1" si="49"/>
        <v>5.4120952474039911E-2</v>
      </c>
      <c r="H67" s="8">
        <f t="shared" ca="1" si="49"/>
        <v>5.7045944107687839E-2</v>
      </c>
      <c r="I67" s="8">
        <f t="shared" ca="1" si="49"/>
        <v>5.6158234707522528E-2</v>
      </c>
      <c r="J67" s="8">
        <f t="shared" ca="1" si="49"/>
        <v>5.6865489562899364E-2</v>
      </c>
      <c r="K67" s="8">
        <f t="shared" ca="1" si="49"/>
        <v>5.9695073333779873E-2</v>
      </c>
      <c r="L67" s="8">
        <f t="shared" ca="1" si="49"/>
        <v>5.9973694186297659E-2</v>
      </c>
      <c r="M67" s="8">
        <f t="shared" ca="1" si="49"/>
        <v>6.0851477099668524E-2</v>
      </c>
      <c r="N67" s="8">
        <f t="shared" ca="1" si="49"/>
        <v>6.3551347022069285E-2</v>
      </c>
      <c r="O67" s="8">
        <f t="shared" ca="1" si="49"/>
        <v>6.5542790221650452E-2</v>
      </c>
      <c r="Q67" s="12"/>
    </row>
    <row r="68" spans="2:17">
      <c r="B68" s="3">
        <v>47</v>
      </c>
      <c r="C68" s="8">
        <f t="shared" si="1"/>
        <v>0.05</v>
      </c>
      <c r="D68" s="8">
        <f t="shared" ref="D68:O68" ca="1" si="50">C68+k*(theta-C68)*dt+vol*SQRT(dt*C68)*_xlfn.NORM.S.INV(RAND())</f>
        <v>5.0418647957627884E-2</v>
      </c>
      <c r="E68" s="8">
        <f t="shared" ca="1" si="50"/>
        <v>5.3432369555013196E-2</v>
      </c>
      <c r="F68" s="8">
        <f t="shared" ca="1" si="50"/>
        <v>5.3746498849368066E-2</v>
      </c>
      <c r="G68" s="8">
        <f t="shared" ca="1" si="50"/>
        <v>5.737574742764754E-2</v>
      </c>
      <c r="H68" s="8">
        <f t="shared" ca="1" si="50"/>
        <v>6.036511710555547E-2</v>
      </c>
      <c r="I68" s="8">
        <f t="shared" ca="1" si="50"/>
        <v>5.9379646051317354E-2</v>
      </c>
      <c r="J68" s="8">
        <f t="shared" ca="1" si="50"/>
        <v>5.9980397440630176E-2</v>
      </c>
      <c r="K68" s="8">
        <f t="shared" ca="1" si="50"/>
        <v>6.2949244011049663E-2</v>
      </c>
      <c r="L68" s="8">
        <f t="shared" ca="1" si="50"/>
        <v>6.5104611007633428E-2</v>
      </c>
      <c r="M68" s="8">
        <f t="shared" ca="1" si="50"/>
        <v>6.4385078573496263E-2</v>
      </c>
      <c r="N68" s="8">
        <f t="shared" ca="1" si="50"/>
        <v>6.8242764630025488E-2</v>
      </c>
      <c r="O68" s="8">
        <f t="shared" ca="1" si="50"/>
        <v>6.8030091045728505E-2</v>
      </c>
      <c r="Q68" s="12"/>
    </row>
    <row r="69" spans="2:17">
      <c r="B69" s="3">
        <v>48</v>
      </c>
      <c r="C69" s="8">
        <f t="shared" si="1"/>
        <v>0.05</v>
      </c>
      <c r="D69" s="8">
        <f t="shared" ref="D69:O69" ca="1" si="51">C69+k*(theta-C69)*dt+vol*SQRT(dt*C69)*_xlfn.NORM.S.INV(RAND())</f>
        <v>5.1116932730367264E-2</v>
      </c>
      <c r="E69" s="8">
        <f t="shared" ca="1" si="51"/>
        <v>5.249464265898688E-2</v>
      </c>
      <c r="F69" s="8">
        <f t="shared" ca="1" si="51"/>
        <v>5.2806086283655011E-2</v>
      </c>
      <c r="G69" s="8">
        <f t="shared" ca="1" si="51"/>
        <v>5.6162935010162444E-2</v>
      </c>
      <c r="H69" s="8">
        <f t="shared" ca="1" si="51"/>
        <v>5.8266533457000315E-2</v>
      </c>
      <c r="I69" s="8">
        <f t="shared" ca="1" si="51"/>
        <v>5.8746510164415539E-2</v>
      </c>
      <c r="J69" s="8">
        <f t="shared" ca="1" si="51"/>
        <v>5.6835972598400612E-2</v>
      </c>
      <c r="K69" s="8">
        <f t="shared" ca="1" si="51"/>
        <v>5.9122926903580224E-2</v>
      </c>
      <c r="L69" s="8">
        <f t="shared" ca="1" si="51"/>
        <v>5.7930372099666207E-2</v>
      </c>
      <c r="M69" s="8">
        <f t="shared" ca="1" si="51"/>
        <v>5.8632351441062699E-2</v>
      </c>
      <c r="N69" s="8">
        <f t="shared" ca="1" si="51"/>
        <v>5.9313690875430959E-2</v>
      </c>
      <c r="O69" s="8">
        <f t="shared" ca="1" si="51"/>
        <v>5.9039938717264789E-2</v>
      </c>
      <c r="Q69" s="12"/>
    </row>
    <row r="70" spans="2:17">
      <c r="B70" s="3">
        <v>49</v>
      </c>
      <c r="C70" s="8">
        <f t="shared" si="1"/>
        <v>0.05</v>
      </c>
      <c r="D70" s="8">
        <f t="shared" ref="D70:O70" ca="1" si="52">C70+k*(theta-C70)*dt+vol*SQRT(dt*C70)*_xlfn.NORM.S.INV(RAND())</f>
        <v>4.984593412074894E-2</v>
      </c>
      <c r="E70" s="8">
        <f t="shared" ca="1" si="52"/>
        <v>4.9758874968060751E-2</v>
      </c>
      <c r="F70" s="8">
        <f t="shared" ca="1" si="52"/>
        <v>5.2343581877383992E-2</v>
      </c>
      <c r="G70" s="8">
        <f t="shared" ca="1" si="52"/>
        <v>5.4147689322474997E-2</v>
      </c>
      <c r="H70" s="8">
        <f t="shared" ca="1" si="52"/>
        <v>5.344546410085365E-2</v>
      </c>
      <c r="I70" s="8">
        <f t="shared" ca="1" si="52"/>
        <v>5.5918926764624934E-2</v>
      </c>
      <c r="J70" s="8">
        <f t="shared" ca="1" si="52"/>
        <v>5.6382127821435049E-2</v>
      </c>
      <c r="K70" s="8">
        <f t="shared" ca="1" si="52"/>
        <v>5.5320405366346803E-2</v>
      </c>
      <c r="L70" s="8">
        <f t="shared" ca="1" si="52"/>
        <v>5.6093945485604819E-2</v>
      </c>
      <c r="M70" s="8">
        <f t="shared" ca="1" si="52"/>
        <v>5.6176300750854571E-2</v>
      </c>
      <c r="N70" s="8">
        <f t="shared" ca="1" si="52"/>
        <v>5.7823934008495059E-2</v>
      </c>
      <c r="O70" s="8">
        <f t="shared" ca="1" si="52"/>
        <v>5.8450103684082898E-2</v>
      </c>
      <c r="Q70" s="12"/>
    </row>
    <row r="71" spans="2:17">
      <c r="B71" s="3">
        <v>50</v>
      </c>
      <c r="C71" s="8">
        <f t="shared" si="1"/>
        <v>0.05</v>
      </c>
      <c r="D71" s="8">
        <f t="shared" ref="D71:O71" ca="1" si="53">C71+k*(theta-C71)*dt+vol*SQRT(dt*C71)*_xlfn.NORM.S.INV(RAND())</f>
        <v>4.9869648650696506E-2</v>
      </c>
      <c r="E71" s="8">
        <f t="shared" ca="1" si="53"/>
        <v>5.1132186833776128E-2</v>
      </c>
      <c r="F71" s="8">
        <f t="shared" ca="1" si="53"/>
        <v>5.3284848112359472E-2</v>
      </c>
      <c r="G71" s="8">
        <f t="shared" ca="1" si="53"/>
        <v>5.5665442206598428E-2</v>
      </c>
      <c r="H71" s="8">
        <f t="shared" ca="1" si="53"/>
        <v>5.7224932037449321E-2</v>
      </c>
      <c r="I71" s="8">
        <f t="shared" ca="1" si="53"/>
        <v>5.927950415309928E-2</v>
      </c>
      <c r="J71" s="8">
        <f t="shared" ca="1" si="53"/>
        <v>5.9722357150529336E-2</v>
      </c>
      <c r="K71" s="8">
        <f t="shared" ca="1" si="53"/>
        <v>6.1557801764522878E-2</v>
      </c>
      <c r="L71" s="8">
        <f t="shared" ca="1" si="53"/>
        <v>6.4498383586400157E-2</v>
      </c>
      <c r="M71" s="8">
        <f t="shared" ca="1" si="53"/>
        <v>6.886754442308872E-2</v>
      </c>
      <c r="N71" s="8">
        <f t="shared" ca="1" si="53"/>
        <v>6.9714965124394249E-2</v>
      </c>
      <c r="O71" s="8">
        <f t="shared" ca="1" si="53"/>
        <v>7.0742836998762895E-2</v>
      </c>
      <c r="Q71" s="12"/>
    </row>
    <row r="72" spans="2:17">
      <c r="B72" s="3">
        <v>51</v>
      </c>
      <c r="C72" s="8">
        <f t="shared" si="1"/>
        <v>0.05</v>
      </c>
      <c r="D72" s="8">
        <f t="shared" ref="D72:O72" ca="1" si="54">C72+k*(theta-C72)*dt+vol*SQRT(dt*C72)*_xlfn.NORM.S.INV(RAND())</f>
        <v>5.0875744132902488E-2</v>
      </c>
      <c r="E72" s="8">
        <f t="shared" ca="1" si="54"/>
        <v>5.2340668775619409E-2</v>
      </c>
      <c r="F72" s="8">
        <f t="shared" ca="1" si="54"/>
        <v>5.4208028895624503E-2</v>
      </c>
      <c r="G72" s="8">
        <f t="shared" ca="1" si="54"/>
        <v>5.5798842293341519E-2</v>
      </c>
      <c r="H72" s="8">
        <f t="shared" ca="1" si="54"/>
        <v>5.8663166458243474E-2</v>
      </c>
      <c r="I72" s="8">
        <f t="shared" ca="1" si="54"/>
        <v>5.8872165224165843E-2</v>
      </c>
      <c r="J72" s="8">
        <f t="shared" ca="1" si="54"/>
        <v>5.9665950971446474E-2</v>
      </c>
      <c r="K72" s="8">
        <f t="shared" ca="1" si="54"/>
        <v>5.9090152465933771E-2</v>
      </c>
      <c r="L72" s="8">
        <f t="shared" ca="1" si="54"/>
        <v>6.038437563026703E-2</v>
      </c>
      <c r="M72" s="8">
        <f t="shared" ca="1" si="54"/>
        <v>5.9233099102629215E-2</v>
      </c>
      <c r="N72" s="8">
        <f t="shared" ca="1" si="54"/>
        <v>6.0497632491465198E-2</v>
      </c>
      <c r="O72" s="8">
        <f t="shared" ca="1" si="54"/>
        <v>5.928144905042769E-2</v>
      </c>
      <c r="Q72" s="12"/>
    </row>
    <row r="73" spans="2:17">
      <c r="B73" s="3">
        <v>52</v>
      </c>
      <c r="C73" s="8">
        <f t="shared" si="1"/>
        <v>0.05</v>
      </c>
      <c r="D73" s="8">
        <f t="shared" ref="D73:O73" ca="1" si="55">C73+k*(theta-C73)*dt+vol*SQRT(dt*C73)*_xlfn.NORM.S.INV(RAND())</f>
        <v>5.0738690292055202E-2</v>
      </c>
      <c r="E73" s="8">
        <f t="shared" ca="1" si="55"/>
        <v>5.3201081250532446E-2</v>
      </c>
      <c r="F73" s="8">
        <f t="shared" ca="1" si="55"/>
        <v>5.4284789660537222E-2</v>
      </c>
      <c r="G73" s="8">
        <f t="shared" ca="1" si="55"/>
        <v>5.6902593523043256E-2</v>
      </c>
      <c r="H73" s="8">
        <f t="shared" ca="1" si="55"/>
        <v>5.7159337077589065E-2</v>
      </c>
      <c r="I73" s="8">
        <f t="shared" ca="1" si="55"/>
        <v>5.7262728682284374E-2</v>
      </c>
      <c r="J73" s="8">
        <f t="shared" ca="1" si="55"/>
        <v>5.9110019907508297E-2</v>
      </c>
      <c r="K73" s="8">
        <f t="shared" ca="1" si="55"/>
        <v>5.9063218163116098E-2</v>
      </c>
      <c r="L73" s="8">
        <f t="shared" ca="1" si="55"/>
        <v>5.9763869034041329E-2</v>
      </c>
      <c r="M73" s="8">
        <f t="shared" ca="1" si="55"/>
        <v>6.1251303401181907E-2</v>
      </c>
      <c r="N73" s="8">
        <f t="shared" ca="1" si="55"/>
        <v>6.2002413619333056E-2</v>
      </c>
      <c r="O73" s="8">
        <f t="shared" ca="1" si="55"/>
        <v>6.5001919508472075E-2</v>
      </c>
      <c r="Q73" s="12"/>
    </row>
    <row r="74" spans="2:17">
      <c r="B74" s="3">
        <v>53</v>
      </c>
      <c r="C74" s="8">
        <f t="shared" si="1"/>
        <v>0.05</v>
      </c>
      <c r="D74" s="8">
        <f t="shared" ref="D74:O74" ca="1" si="56">C74+k*(theta-C74)*dt+vol*SQRT(dt*C74)*_xlfn.NORM.S.INV(RAND())</f>
        <v>5.2379252464522033E-2</v>
      </c>
      <c r="E74" s="8">
        <f t="shared" ca="1" si="56"/>
        <v>5.3374771807586201E-2</v>
      </c>
      <c r="F74" s="8">
        <f t="shared" ca="1" si="56"/>
        <v>5.3079934921087535E-2</v>
      </c>
      <c r="G74" s="8">
        <f t="shared" ca="1" si="56"/>
        <v>5.4708275570625055E-2</v>
      </c>
      <c r="H74" s="8">
        <f t="shared" ca="1" si="56"/>
        <v>5.4808783467005413E-2</v>
      </c>
      <c r="I74" s="8">
        <f t="shared" ca="1" si="56"/>
        <v>5.5779105730430351E-2</v>
      </c>
      <c r="J74" s="8">
        <f t="shared" ca="1" si="56"/>
        <v>5.898875560413519E-2</v>
      </c>
      <c r="K74" s="8">
        <f t="shared" ca="1" si="56"/>
        <v>6.108284947690068E-2</v>
      </c>
      <c r="L74" s="8">
        <f t="shared" ca="1" si="56"/>
        <v>6.2764135440836311E-2</v>
      </c>
      <c r="M74" s="8">
        <f t="shared" ca="1" si="56"/>
        <v>6.3931170783297353E-2</v>
      </c>
      <c r="N74" s="8">
        <f t="shared" ca="1" si="56"/>
        <v>6.4428025772800102E-2</v>
      </c>
      <c r="O74" s="8">
        <f t="shared" ca="1" si="56"/>
        <v>6.9399357749256249E-2</v>
      </c>
      <c r="Q74" s="12"/>
    </row>
    <row r="75" spans="2:17">
      <c r="B75" s="3">
        <v>54</v>
      </c>
      <c r="C75" s="8">
        <f t="shared" si="1"/>
        <v>0.05</v>
      </c>
      <c r="D75" s="8">
        <f t="shared" ref="D75:O75" ca="1" si="57">C75+k*(theta-C75)*dt+vol*SQRT(dt*C75)*_xlfn.NORM.S.INV(RAND())</f>
        <v>5.1049340169676216E-2</v>
      </c>
      <c r="E75" s="8">
        <f t="shared" ca="1" si="57"/>
        <v>5.1382964531621243E-2</v>
      </c>
      <c r="F75" s="8">
        <f t="shared" ca="1" si="57"/>
        <v>5.0838984480909968E-2</v>
      </c>
      <c r="G75" s="8">
        <f t="shared" ca="1" si="57"/>
        <v>5.2092900959483469E-2</v>
      </c>
      <c r="H75" s="8">
        <f t="shared" ca="1" si="57"/>
        <v>5.1448822856328069E-2</v>
      </c>
      <c r="I75" s="8">
        <f t="shared" ca="1" si="57"/>
        <v>5.1742763253139194E-2</v>
      </c>
      <c r="J75" s="8">
        <f t="shared" ca="1" si="57"/>
        <v>5.3356623129930732E-2</v>
      </c>
      <c r="K75" s="8">
        <f t="shared" ca="1" si="57"/>
        <v>5.3755115171423229E-2</v>
      </c>
      <c r="L75" s="8">
        <f t="shared" ca="1" si="57"/>
        <v>5.5306228185217757E-2</v>
      </c>
      <c r="M75" s="8">
        <f t="shared" ca="1" si="57"/>
        <v>5.8011232961684263E-2</v>
      </c>
      <c r="N75" s="8">
        <f t="shared" ca="1" si="57"/>
        <v>5.9366248392562986E-2</v>
      </c>
      <c r="O75" s="8">
        <f t="shared" ca="1" si="57"/>
        <v>5.8901451916922663E-2</v>
      </c>
      <c r="Q75" s="12"/>
    </row>
    <row r="76" spans="2:17">
      <c r="B76" s="3">
        <v>55</v>
      </c>
      <c r="C76" s="8">
        <f t="shared" si="1"/>
        <v>0.05</v>
      </c>
      <c r="D76" s="8">
        <f t="shared" ref="D76:O76" ca="1" si="58">C76+k*(theta-C76)*dt+vol*SQRT(dt*C76)*_xlfn.NORM.S.INV(RAND())</f>
        <v>5.1265213853948013E-2</v>
      </c>
      <c r="E76" s="8">
        <f t="shared" ca="1" si="58"/>
        <v>5.305571952493917E-2</v>
      </c>
      <c r="F76" s="8">
        <f t="shared" ca="1" si="58"/>
        <v>5.4241852379750898E-2</v>
      </c>
      <c r="G76" s="8">
        <f t="shared" ca="1" si="58"/>
        <v>5.6253464191066263E-2</v>
      </c>
      <c r="H76" s="8">
        <f t="shared" ca="1" si="58"/>
        <v>5.794456331170874E-2</v>
      </c>
      <c r="I76" s="8">
        <f t="shared" ca="1" si="58"/>
        <v>5.5998060498079871E-2</v>
      </c>
      <c r="J76" s="8">
        <f t="shared" ca="1" si="58"/>
        <v>5.5521910960526576E-2</v>
      </c>
      <c r="K76" s="8">
        <f t="shared" ca="1" si="58"/>
        <v>5.7014707029497895E-2</v>
      </c>
      <c r="L76" s="8">
        <f t="shared" ca="1" si="58"/>
        <v>5.7694452575937465E-2</v>
      </c>
      <c r="M76" s="8">
        <f t="shared" ca="1" si="58"/>
        <v>5.9069053189393893E-2</v>
      </c>
      <c r="N76" s="8">
        <f t="shared" ca="1" si="58"/>
        <v>6.0546129404127333E-2</v>
      </c>
      <c r="O76" s="8">
        <f t="shared" ca="1" si="58"/>
        <v>6.2144929966625372E-2</v>
      </c>
      <c r="Q76" s="12"/>
    </row>
    <row r="77" spans="2:17">
      <c r="B77" s="3">
        <v>56</v>
      </c>
      <c r="C77" s="8">
        <f t="shared" si="1"/>
        <v>0.05</v>
      </c>
      <c r="D77" s="8">
        <f t="shared" ref="D77:O77" ca="1" si="59">C77+k*(theta-C77)*dt+vol*SQRT(dt*C77)*_xlfn.NORM.S.INV(RAND())</f>
        <v>4.8797395659206433E-2</v>
      </c>
      <c r="E77" s="8">
        <f t="shared" ca="1" si="59"/>
        <v>5.2273910221151715E-2</v>
      </c>
      <c r="F77" s="8">
        <f t="shared" ca="1" si="59"/>
        <v>5.1881965085807738E-2</v>
      </c>
      <c r="G77" s="8">
        <f t="shared" ca="1" si="59"/>
        <v>5.3470769343375163E-2</v>
      </c>
      <c r="H77" s="8">
        <f t="shared" ca="1" si="59"/>
        <v>5.4610902070247415E-2</v>
      </c>
      <c r="I77" s="8">
        <f t="shared" ca="1" si="59"/>
        <v>5.611935204160607E-2</v>
      </c>
      <c r="J77" s="8">
        <f t="shared" ca="1" si="59"/>
        <v>5.8030420889674535E-2</v>
      </c>
      <c r="K77" s="8">
        <f t="shared" ca="1" si="59"/>
        <v>5.9934614637177148E-2</v>
      </c>
      <c r="L77" s="8">
        <f t="shared" ca="1" si="59"/>
        <v>5.8532155709929479E-2</v>
      </c>
      <c r="M77" s="8">
        <f t="shared" ca="1" si="59"/>
        <v>5.9120890378365466E-2</v>
      </c>
      <c r="N77" s="8">
        <f t="shared" ca="1" si="59"/>
        <v>6.0747133082528104E-2</v>
      </c>
      <c r="O77" s="8">
        <f t="shared" ca="1" si="59"/>
        <v>6.3756313839063439E-2</v>
      </c>
      <c r="Q77" s="12"/>
    </row>
    <row r="78" spans="2:17">
      <c r="B78" s="3">
        <v>57</v>
      </c>
      <c r="C78" s="8">
        <f t="shared" si="1"/>
        <v>0.05</v>
      </c>
      <c r="D78" s="8">
        <f t="shared" ref="D78:O78" ca="1" si="60">C78+k*(theta-C78)*dt+vol*SQRT(dt*C78)*_xlfn.NORM.S.INV(RAND())</f>
        <v>4.9842423720813683E-2</v>
      </c>
      <c r="E78" s="8">
        <f t="shared" ca="1" si="60"/>
        <v>5.0109038216497384E-2</v>
      </c>
      <c r="F78" s="8">
        <f t="shared" ca="1" si="60"/>
        <v>5.10054703954591E-2</v>
      </c>
      <c r="G78" s="8">
        <f t="shared" ca="1" si="60"/>
        <v>5.2915909822292342E-2</v>
      </c>
      <c r="H78" s="8">
        <f t="shared" ca="1" si="60"/>
        <v>5.3759430494917083E-2</v>
      </c>
      <c r="I78" s="8">
        <f t="shared" ca="1" si="60"/>
        <v>5.5344925310525941E-2</v>
      </c>
      <c r="J78" s="8">
        <f t="shared" ca="1" si="60"/>
        <v>5.7872196219566255E-2</v>
      </c>
      <c r="K78" s="8">
        <f t="shared" ca="1" si="60"/>
        <v>5.9725871318139584E-2</v>
      </c>
      <c r="L78" s="8">
        <f t="shared" ca="1" si="60"/>
        <v>5.8831643796689634E-2</v>
      </c>
      <c r="M78" s="8">
        <f t="shared" ca="1" si="60"/>
        <v>5.8766650688219471E-2</v>
      </c>
      <c r="N78" s="8">
        <f t="shared" ca="1" si="60"/>
        <v>5.8080896951411373E-2</v>
      </c>
      <c r="O78" s="8">
        <f t="shared" ca="1" si="60"/>
        <v>6.0945882708778341E-2</v>
      </c>
      <c r="Q78" s="12"/>
    </row>
    <row r="79" spans="2:17">
      <c r="B79" s="3">
        <v>58</v>
      </c>
      <c r="C79" s="8">
        <f t="shared" si="1"/>
        <v>0.05</v>
      </c>
      <c r="D79" s="8">
        <f t="shared" ref="D79:O79" ca="1" si="61">C79+k*(theta-C79)*dt+vol*SQRT(dt*C79)*_xlfn.NORM.S.INV(RAND())</f>
        <v>4.8936903683185408E-2</v>
      </c>
      <c r="E79" s="8">
        <f t="shared" ca="1" si="61"/>
        <v>4.9758172033671687E-2</v>
      </c>
      <c r="F79" s="8">
        <f t="shared" ca="1" si="61"/>
        <v>5.1632335736182249E-2</v>
      </c>
      <c r="G79" s="8">
        <f t="shared" ca="1" si="61"/>
        <v>5.2482748465544383E-2</v>
      </c>
      <c r="H79" s="8">
        <f t="shared" ca="1" si="61"/>
        <v>5.2080800961507405E-2</v>
      </c>
      <c r="I79" s="8">
        <f t="shared" ca="1" si="61"/>
        <v>5.3024959034757131E-2</v>
      </c>
      <c r="J79" s="8">
        <f t="shared" ca="1" si="61"/>
        <v>5.4138189787212951E-2</v>
      </c>
      <c r="K79" s="8">
        <f t="shared" ca="1" si="61"/>
        <v>5.5437291671237766E-2</v>
      </c>
      <c r="L79" s="8">
        <f t="shared" ca="1" si="61"/>
        <v>5.7411640574772931E-2</v>
      </c>
      <c r="M79" s="8">
        <f t="shared" ca="1" si="61"/>
        <v>5.8267006303658955E-2</v>
      </c>
      <c r="N79" s="8">
        <f t="shared" ca="1" si="61"/>
        <v>6.1018905504733836E-2</v>
      </c>
      <c r="O79" s="8">
        <f t="shared" ca="1" si="61"/>
        <v>6.1274690153007343E-2</v>
      </c>
      <c r="Q79" s="12"/>
    </row>
    <row r="80" spans="2:17">
      <c r="B80" s="3">
        <v>59</v>
      </c>
      <c r="C80" s="8">
        <f t="shared" si="1"/>
        <v>0.05</v>
      </c>
      <c r="D80" s="8">
        <f t="shared" ref="D80:O80" ca="1" si="62">C80+k*(theta-C80)*dt+vol*SQRT(dt*C80)*_xlfn.NORM.S.INV(RAND())</f>
        <v>4.9646792593002455E-2</v>
      </c>
      <c r="E80" s="8">
        <f t="shared" ca="1" si="62"/>
        <v>5.1821412085452809E-2</v>
      </c>
      <c r="F80" s="8">
        <f t="shared" ca="1" si="62"/>
        <v>5.4269091178300082E-2</v>
      </c>
      <c r="G80" s="8">
        <f t="shared" ca="1" si="62"/>
        <v>5.2899048514773117E-2</v>
      </c>
      <c r="H80" s="8">
        <f t="shared" ca="1" si="62"/>
        <v>5.2994431584527595E-2</v>
      </c>
      <c r="I80" s="8">
        <f t="shared" ca="1" si="62"/>
        <v>5.5218937561825124E-2</v>
      </c>
      <c r="J80" s="8">
        <f t="shared" ca="1" si="62"/>
        <v>5.8500887852253394E-2</v>
      </c>
      <c r="K80" s="8">
        <f t="shared" ca="1" si="62"/>
        <v>5.8692390286757205E-2</v>
      </c>
      <c r="L80" s="8">
        <f t="shared" ca="1" si="62"/>
        <v>6.1437474807032606E-2</v>
      </c>
      <c r="M80" s="8">
        <f t="shared" ca="1" si="62"/>
        <v>6.0003952652985193E-2</v>
      </c>
      <c r="N80" s="8">
        <f t="shared" ca="1" si="62"/>
        <v>6.1494630448290108E-2</v>
      </c>
      <c r="O80" s="8">
        <f t="shared" ca="1" si="62"/>
        <v>6.264557772277056E-2</v>
      </c>
      <c r="Q80" s="12"/>
    </row>
    <row r="81" spans="2:17">
      <c r="B81" s="3">
        <v>60</v>
      </c>
      <c r="C81" s="8">
        <f t="shared" si="1"/>
        <v>0.05</v>
      </c>
      <c r="D81" s="8">
        <f t="shared" ref="D81:O81" ca="1" si="63">C81+k*(theta-C81)*dt+vol*SQRT(dt*C81)*_xlfn.NORM.S.INV(RAND())</f>
        <v>5.0330662646188858E-2</v>
      </c>
      <c r="E81" s="8">
        <f t="shared" ca="1" si="63"/>
        <v>5.305892260832628E-2</v>
      </c>
      <c r="F81" s="8">
        <f t="shared" ca="1" si="63"/>
        <v>5.293281332085361E-2</v>
      </c>
      <c r="G81" s="8">
        <f t="shared" ca="1" si="63"/>
        <v>5.4148887485766628E-2</v>
      </c>
      <c r="H81" s="8">
        <f t="shared" ca="1" si="63"/>
        <v>5.6573810573684102E-2</v>
      </c>
      <c r="I81" s="8">
        <f t="shared" ca="1" si="63"/>
        <v>5.5747572727836744E-2</v>
      </c>
      <c r="J81" s="8">
        <f t="shared" ca="1" si="63"/>
        <v>5.5984768608700365E-2</v>
      </c>
      <c r="K81" s="8">
        <f t="shared" ca="1" si="63"/>
        <v>5.7471652686736173E-2</v>
      </c>
      <c r="L81" s="8">
        <f t="shared" ca="1" si="63"/>
        <v>6.06178372121597E-2</v>
      </c>
      <c r="M81" s="8">
        <f t="shared" ca="1" si="63"/>
        <v>6.0266766261355027E-2</v>
      </c>
      <c r="N81" s="8">
        <f t="shared" ca="1" si="63"/>
        <v>6.2626096757343985E-2</v>
      </c>
      <c r="O81" s="8">
        <f t="shared" ca="1" si="63"/>
        <v>6.368580518641076E-2</v>
      </c>
      <c r="Q81" s="12"/>
    </row>
    <row r="82" spans="2:17">
      <c r="B82" s="3">
        <v>61</v>
      </c>
      <c r="C82" s="8">
        <f t="shared" si="1"/>
        <v>0.05</v>
      </c>
      <c r="D82" s="8">
        <f t="shared" ref="D82:O82" ca="1" si="64">C82+k*(theta-C82)*dt+vol*SQRT(dt*C82)*_xlfn.NORM.S.INV(RAND())</f>
        <v>5.0509617927658457E-2</v>
      </c>
      <c r="E82" s="8">
        <f t="shared" ca="1" si="64"/>
        <v>5.1078801600918253E-2</v>
      </c>
      <c r="F82" s="8">
        <f t="shared" ca="1" si="64"/>
        <v>5.1143757030373549E-2</v>
      </c>
      <c r="G82" s="8">
        <f t="shared" ca="1" si="64"/>
        <v>5.4498004009748455E-2</v>
      </c>
      <c r="H82" s="8">
        <f t="shared" ca="1" si="64"/>
        <v>5.5404378262883941E-2</v>
      </c>
      <c r="I82" s="8">
        <f t="shared" ca="1" si="64"/>
        <v>5.5971049549534836E-2</v>
      </c>
      <c r="J82" s="8">
        <f t="shared" ca="1" si="64"/>
        <v>5.5454903014634196E-2</v>
      </c>
      <c r="K82" s="8">
        <f t="shared" ca="1" si="64"/>
        <v>5.6982952152126468E-2</v>
      </c>
      <c r="L82" s="8">
        <f t="shared" ca="1" si="64"/>
        <v>5.983291446904087E-2</v>
      </c>
      <c r="M82" s="8">
        <f t="shared" ca="1" si="64"/>
        <v>6.3612675948053685E-2</v>
      </c>
      <c r="N82" s="8">
        <f t="shared" ca="1" si="64"/>
        <v>6.4381495623877877E-2</v>
      </c>
      <c r="O82" s="8">
        <f t="shared" ca="1" si="64"/>
        <v>6.2242756013936654E-2</v>
      </c>
      <c r="Q82" s="12"/>
    </row>
    <row r="83" spans="2:17">
      <c r="B83" s="3">
        <v>62</v>
      </c>
      <c r="C83" s="8">
        <f t="shared" si="1"/>
        <v>0.05</v>
      </c>
      <c r="D83" s="8">
        <f t="shared" ref="D83:O83" ca="1" si="65">C83+k*(theta-C83)*dt+vol*SQRT(dt*C83)*_xlfn.NORM.S.INV(RAND())</f>
        <v>5.0688223189956597E-2</v>
      </c>
      <c r="E83" s="8">
        <f t="shared" ca="1" si="65"/>
        <v>5.1705231739791878E-2</v>
      </c>
      <c r="F83" s="8">
        <f t="shared" ca="1" si="65"/>
        <v>5.4608631298113955E-2</v>
      </c>
      <c r="G83" s="8">
        <f t="shared" ca="1" si="65"/>
        <v>5.5401795079686941E-2</v>
      </c>
      <c r="H83" s="8">
        <f t="shared" ca="1" si="65"/>
        <v>5.7074440086204797E-2</v>
      </c>
      <c r="I83" s="8">
        <f t="shared" ca="1" si="65"/>
        <v>5.6283175420797055E-2</v>
      </c>
      <c r="J83" s="8">
        <f t="shared" ca="1" si="65"/>
        <v>5.8887703110199162E-2</v>
      </c>
      <c r="K83" s="8">
        <f t="shared" ca="1" si="65"/>
        <v>6.0966917252607652E-2</v>
      </c>
      <c r="L83" s="8">
        <f t="shared" ca="1" si="65"/>
        <v>6.0200006867998243E-2</v>
      </c>
      <c r="M83" s="8">
        <f t="shared" ca="1" si="65"/>
        <v>5.7996578551966972E-2</v>
      </c>
      <c r="N83" s="8">
        <f t="shared" ca="1" si="65"/>
        <v>5.9927453989078928E-2</v>
      </c>
      <c r="O83" s="8">
        <f t="shared" ca="1" si="65"/>
        <v>5.9915904065658776E-2</v>
      </c>
      <c r="Q83" s="12"/>
    </row>
    <row r="84" spans="2:17">
      <c r="B84" s="3">
        <v>63</v>
      </c>
      <c r="C84" s="8">
        <f t="shared" si="1"/>
        <v>0.05</v>
      </c>
      <c r="D84" s="8">
        <f t="shared" ref="D84:O84" ca="1" si="66">C84+k*(theta-C84)*dt+vol*SQRT(dt*C84)*_xlfn.NORM.S.INV(RAND())</f>
        <v>5.0039104331704935E-2</v>
      </c>
      <c r="E84" s="8">
        <f t="shared" ca="1" si="66"/>
        <v>5.3045382184846265E-2</v>
      </c>
      <c r="F84" s="8">
        <f t="shared" ca="1" si="66"/>
        <v>5.3794800571638032E-2</v>
      </c>
      <c r="G84" s="8">
        <f t="shared" ca="1" si="66"/>
        <v>5.5089008010210029E-2</v>
      </c>
      <c r="H84" s="8">
        <f t="shared" ca="1" si="66"/>
        <v>5.9193671592035202E-2</v>
      </c>
      <c r="I84" s="8">
        <f t="shared" ca="1" si="66"/>
        <v>6.1423398637763665E-2</v>
      </c>
      <c r="J84" s="8">
        <f t="shared" ca="1" si="66"/>
        <v>6.1757940832004532E-2</v>
      </c>
      <c r="K84" s="8">
        <f t="shared" ca="1" si="66"/>
        <v>6.2192653920578565E-2</v>
      </c>
      <c r="L84" s="8">
        <f t="shared" ca="1" si="66"/>
        <v>6.2588322552282694E-2</v>
      </c>
      <c r="M84" s="8">
        <f t="shared" ca="1" si="66"/>
        <v>6.4961819894976361E-2</v>
      </c>
      <c r="N84" s="8">
        <f t="shared" ca="1" si="66"/>
        <v>6.5746886484113726E-2</v>
      </c>
      <c r="O84" s="8">
        <f t="shared" ca="1" si="66"/>
        <v>6.8407261293343985E-2</v>
      </c>
      <c r="Q84" s="12"/>
    </row>
    <row r="85" spans="2:17">
      <c r="B85" s="3">
        <v>64</v>
      </c>
      <c r="C85" s="8">
        <f t="shared" si="1"/>
        <v>0.05</v>
      </c>
      <c r="D85" s="8">
        <f t="shared" ref="D85:O85" ca="1" si="67">C85+k*(theta-C85)*dt+vol*SQRT(dt*C85)*_xlfn.NORM.S.INV(RAND())</f>
        <v>5.0770553360006923E-2</v>
      </c>
      <c r="E85" s="8">
        <f t="shared" ca="1" si="67"/>
        <v>5.1334993486719278E-2</v>
      </c>
      <c r="F85" s="8">
        <f t="shared" ca="1" si="67"/>
        <v>5.1889389878612836E-2</v>
      </c>
      <c r="G85" s="8">
        <f t="shared" ca="1" si="67"/>
        <v>5.3866549521433695E-2</v>
      </c>
      <c r="H85" s="8">
        <f t="shared" ca="1" si="67"/>
        <v>5.3093667774137709E-2</v>
      </c>
      <c r="I85" s="8">
        <f t="shared" ca="1" si="67"/>
        <v>5.4706280864257884E-2</v>
      </c>
      <c r="J85" s="8">
        <f t="shared" ca="1" si="67"/>
        <v>5.6262947546395846E-2</v>
      </c>
      <c r="K85" s="8">
        <f t="shared" ca="1" si="67"/>
        <v>5.5573024722173049E-2</v>
      </c>
      <c r="L85" s="8">
        <f t="shared" ca="1" si="67"/>
        <v>5.7440048193082585E-2</v>
      </c>
      <c r="M85" s="8">
        <f t="shared" ca="1" si="67"/>
        <v>6.0025839375746938E-2</v>
      </c>
      <c r="N85" s="8">
        <f t="shared" ca="1" si="67"/>
        <v>6.1695478851419787E-2</v>
      </c>
      <c r="O85" s="8">
        <f t="shared" ca="1" si="67"/>
        <v>6.1245672850224669E-2</v>
      </c>
      <c r="Q85" s="12"/>
    </row>
    <row r="86" spans="2:17">
      <c r="B86" s="3">
        <v>65</v>
      </c>
      <c r="C86" s="8">
        <f t="shared" ref="C86:C149" si="68">r0</f>
        <v>0.05</v>
      </c>
      <c r="D86" s="8">
        <f t="shared" ref="D86:O86" ca="1" si="69">C86+k*(theta-C86)*dt+vol*SQRT(dt*C86)*_xlfn.NORM.S.INV(RAND())</f>
        <v>5.0828859227898537E-2</v>
      </c>
      <c r="E86" s="8">
        <f t="shared" ca="1" si="69"/>
        <v>5.0728921855513906E-2</v>
      </c>
      <c r="F86" s="8">
        <f t="shared" ca="1" si="69"/>
        <v>5.2714918692605223E-2</v>
      </c>
      <c r="G86" s="8">
        <f t="shared" ca="1" si="69"/>
        <v>5.4712918546513806E-2</v>
      </c>
      <c r="H86" s="8">
        <f t="shared" ca="1" si="69"/>
        <v>5.5898656794089542E-2</v>
      </c>
      <c r="I86" s="8">
        <f t="shared" ca="1" si="69"/>
        <v>5.5912428801317901E-2</v>
      </c>
      <c r="J86" s="8">
        <f t="shared" ca="1" si="69"/>
        <v>5.6196288268733338E-2</v>
      </c>
      <c r="K86" s="8">
        <f t="shared" ca="1" si="69"/>
        <v>5.684158153072115E-2</v>
      </c>
      <c r="L86" s="8">
        <f t="shared" ca="1" si="69"/>
        <v>5.7835797630974461E-2</v>
      </c>
      <c r="M86" s="8">
        <f t="shared" ca="1" si="69"/>
        <v>6.0192865644331794E-2</v>
      </c>
      <c r="N86" s="8">
        <f t="shared" ca="1" si="69"/>
        <v>6.2101389222883788E-2</v>
      </c>
      <c r="O86" s="8">
        <f t="shared" ca="1" si="69"/>
        <v>6.4884156938524187E-2</v>
      </c>
      <c r="Q86" s="12"/>
    </row>
    <row r="87" spans="2:17">
      <c r="B87" s="3">
        <v>66</v>
      </c>
      <c r="C87" s="8">
        <f t="shared" si="68"/>
        <v>0.05</v>
      </c>
      <c r="D87" s="8">
        <f t="shared" ref="D87:O87" ca="1" si="70">C87+k*(theta-C87)*dt+vol*SQRT(dt*C87)*_xlfn.NORM.S.INV(RAND())</f>
        <v>5.0725330860604399E-2</v>
      </c>
      <c r="E87" s="8">
        <f t="shared" ca="1" si="70"/>
        <v>5.3022328864392419E-2</v>
      </c>
      <c r="F87" s="8">
        <f t="shared" ca="1" si="70"/>
        <v>5.2269149390183275E-2</v>
      </c>
      <c r="G87" s="8">
        <f t="shared" ca="1" si="70"/>
        <v>5.4135994650658915E-2</v>
      </c>
      <c r="H87" s="8">
        <f t="shared" ca="1" si="70"/>
        <v>5.6078381149158266E-2</v>
      </c>
      <c r="I87" s="8">
        <f t="shared" ca="1" si="70"/>
        <v>5.382568910855897E-2</v>
      </c>
      <c r="J87" s="8">
        <f t="shared" ca="1" si="70"/>
        <v>5.5706460812496174E-2</v>
      </c>
      <c r="K87" s="8">
        <f t="shared" ca="1" si="70"/>
        <v>5.655418533248735E-2</v>
      </c>
      <c r="L87" s="8">
        <f t="shared" ca="1" si="70"/>
        <v>5.5760381635175847E-2</v>
      </c>
      <c r="M87" s="8">
        <f t="shared" ca="1" si="70"/>
        <v>5.6302743025921177E-2</v>
      </c>
      <c r="N87" s="8">
        <f t="shared" ca="1" si="70"/>
        <v>5.652963626260421E-2</v>
      </c>
      <c r="O87" s="8">
        <f t="shared" ca="1" si="70"/>
        <v>5.934984343097971E-2</v>
      </c>
      <c r="Q87" s="12"/>
    </row>
    <row r="88" spans="2:17">
      <c r="B88" s="3">
        <v>67</v>
      </c>
      <c r="C88" s="8">
        <f t="shared" si="68"/>
        <v>0.05</v>
      </c>
      <c r="D88" s="8">
        <f t="shared" ref="D88:O88" ca="1" si="71">C88+k*(theta-C88)*dt+vol*SQRT(dt*C88)*_xlfn.NORM.S.INV(RAND())</f>
        <v>5.1037756363226168E-2</v>
      </c>
      <c r="E88" s="8">
        <f t="shared" ca="1" si="71"/>
        <v>5.1331483514196377E-2</v>
      </c>
      <c r="F88" s="8">
        <f t="shared" ca="1" si="71"/>
        <v>5.1194421807234235E-2</v>
      </c>
      <c r="G88" s="8">
        <f t="shared" ca="1" si="71"/>
        <v>5.3563574821243257E-2</v>
      </c>
      <c r="H88" s="8">
        <f t="shared" ca="1" si="71"/>
        <v>5.4664906462105402E-2</v>
      </c>
      <c r="I88" s="8">
        <f t="shared" ca="1" si="71"/>
        <v>5.5387144476536886E-2</v>
      </c>
      <c r="J88" s="8">
        <f t="shared" ca="1" si="71"/>
        <v>5.7078908042069762E-2</v>
      </c>
      <c r="K88" s="8">
        <f t="shared" ca="1" si="71"/>
        <v>5.9465721300512399E-2</v>
      </c>
      <c r="L88" s="8">
        <f t="shared" ca="1" si="71"/>
        <v>6.0640556554627349E-2</v>
      </c>
      <c r="M88" s="8">
        <f t="shared" ca="1" si="71"/>
        <v>6.5793648350619266E-2</v>
      </c>
      <c r="N88" s="8">
        <f t="shared" ca="1" si="71"/>
        <v>6.7819152798825208E-2</v>
      </c>
      <c r="O88" s="8">
        <f t="shared" ca="1" si="71"/>
        <v>6.625763796028758E-2</v>
      </c>
    </row>
    <row r="89" spans="2:17">
      <c r="B89" s="3">
        <v>68</v>
      </c>
      <c r="C89" s="8">
        <f t="shared" si="68"/>
        <v>0.05</v>
      </c>
      <c r="D89" s="8">
        <f t="shared" ref="D89:O89" ca="1" si="72">C89+k*(theta-C89)*dt+vol*SQRT(dt*C89)*_xlfn.NORM.S.INV(RAND())</f>
        <v>5.1108221543446887E-2</v>
      </c>
      <c r="E89" s="8">
        <f t="shared" ca="1" si="72"/>
        <v>5.3204044922761172E-2</v>
      </c>
      <c r="F89" s="8">
        <f t="shared" ca="1" si="72"/>
        <v>5.376918341259633E-2</v>
      </c>
      <c r="G89" s="8">
        <f t="shared" ca="1" si="72"/>
        <v>5.3698521173169755E-2</v>
      </c>
      <c r="H89" s="8">
        <f t="shared" ca="1" si="72"/>
        <v>5.6700785081213914E-2</v>
      </c>
      <c r="I89" s="8">
        <f t="shared" ca="1" si="72"/>
        <v>5.8251424982435941E-2</v>
      </c>
      <c r="J89" s="8">
        <f t="shared" ca="1" si="72"/>
        <v>5.7507816839815984E-2</v>
      </c>
      <c r="K89" s="8">
        <f t="shared" ca="1" si="72"/>
        <v>5.9229333571281025E-2</v>
      </c>
      <c r="L89" s="8">
        <f t="shared" ca="1" si="72"/>
        <v>6.2289799584036722E-2</v>
      </c>
      <c r="M89" s="8">
        <f t="shared" ca="1" si="72"/>
        <v>6.3715063138276837E-2</v>
      </c>
      <c r="N89" s="8">
        <f t="shared" ca="1" si="72"/>
        <v>6.4619499388752263E-2</v>
      </c>
      <c r="O89" s="8">
        <f t="shared" ca="1" si="72"/>
        <v>6.6016150692637166E-2</v>
      </c>
    </row>
    <row r="90" spans="2:17">
      <c r="B90" s="3">
        <v>69</v>
      </c>
      <c r="C90" s="8">
        <f t="shared" si="68"/>
        <v>0.05</v>
      </c>
      <c r="D90" s="8">
        <f t="shared" ref="D90:O90" ca="1" si="73">C90+k*(theta-C90)*dt+vol*SQRT(dt*C90)*_xlfn.NORM.S.INV(RAND())</f>
        <v>5.146273308139708E-2</v>
      </c>
      <c r="E90" s="8">
        <f t="shared" ca="1" si="73"/>
        <v>5.3057949261511902E-2</v>
      </c>
      <c r="F90" s="8">
        <f t="shared" ca="1" si="73"/>
        <v>5.6347826186994902E-2</v>
      </c>
      <c r="G90" s="8">
        <f t="shared" ca="1" si="73"/>
        <v>5.6789320816984921E-2</v>
      </c>
      <c r="H90" s="8">
        <f t="shared" ca="1" si="73"/>
        <v>5.5499672247824587E-2</v>
      </c>
      <c r="I90" s="8">
        <f t="shared" ca="1" si="73"/>
        <v>5.7664221768427337E-2</v>
      </c>
      <c r="J90" s="8">
        <f t="shared" ca="1" si="73"/>
        <v>5.6091998540285661E-2</v>
      </c>
      <c r="K90" s="8">
        <f t="shared" ca="1" si="73"/>
        <v>5.6836486748985837E-2</v>
      </c>
      <c r="L90" s="8">
        <f t="shared" ca="1" si="73"/>
        <v>5.955822675518236E-2</v>
      </c>
      <c r="M90" s="8">
        <f t="shared" ca="1" si="73"/>
        <v>6.1350797723658396E-2</v>
      </c>
      <c r="N90" s="8">
        <f t="shared" ca="1" si="73"/>
        <v>6.5111297612329089E-2</v>
      </c>
      <c r="O90" s="8">
        <f t="shared" ca="1" si="73"/>
        <v>6.3514161043640729E-2</v>
      </c>
    </row>
    <row r="91" spans="2:17">
      <c r="B91" s="3">
        <v>70</v>
      </c>
      <c r="C91" s="8">
        <f t="shared" si="68"/>
        <v>0.05</v>
      </c>
      <c r="D91" s="8">
        <f t="shared" ref="D91:O91" ca="1" si="74">C91+k*(theta-C91)*dt+vol*SQRT(dt*C91)*_xlfn.NORM.S.INV(RAND())</f>
        <v>5.0162071265915466E-2</v>
      </c>
      <c r="E91" s="8">
        <f t="shared" ca="1" si="74"/>
        <v>4.8836012982612885E-2</v>
      </c>
      <c r="F91" s="8">
        <f t="shared" ca="1" si="74"/>
        <v>4.9884935059976307E-2</v>
      </c>
      <c r="G91" s="8">
        <f t="shared" ca="1" si="74"/>
        <v>5.0758182497919642E-2</v>
      </c>
      <c r="H91" s="8">
        <f t="shared" ca="1" si="74"/>
        <v>5.255526326722719E-2</v>
      </c>
      <c r="I91" s="8">
        <f t="shared" ca="1" si="74"/>
        <v>5.3176505774272111E-2</v>
      </c>
      <c r="J91" s="8">
        <f t="shared" ca="1" si="74"/>
        <v>5.5490107638907334E-2</v>
      </c>
      <c r="K91" s="8">
        <f t="shared" ca="1" si="74"/>
        <v>5.6544241378051939E-2</v>
      </c>
      <c r="L91" s="8">
        <f t="shared" ca="1" si="74"/>
        <v>5.5587952609492619E-2</v>
      </c>
      <c r="M91" s="8">
        <f t="shared" ca="1" si="74"/>
        <v>5.597823813188002E-2</v>
      </c>
      <c r="N91" s="8">
        <f t="shared" ca="1" si="74"/>
        <v>5.6096318755378759E-2</v>
      </c>
      <c r="O91" s="8">
        <f t="shared" ca="1" si="74"/>
        <v>5.625695563574843E-2</v>
      </c>
      <c r="Q91" s="12"/>
    </row>
    <row r="92" spans="2:17">
      <c r="B92" s="3">
        <v>71</v>
      </c>
      <c r="C92" s="8">
        <f t="shared" si="68"/>
        <v>0.05</v>
      </c>
      <c r="D92" s="8">
        <f t="shared" ref="D92:O92" ca="1" si="75">C92+k*(theta-C92)*dt+vol*SQRT(dt*C92)*_xlfn.NORM.S.INV(RAND())</f>
        <v>4.9464801140127017E-2</v>
      </c>
      <c r="E92" s="8">
        <f t="shared" ca="1" si="75"/>
        <v>5.2754374504462666E-2</v>
      </c>
      <c r="F92" s="8">
        <f t="shared" ca="1" si="75"/>
        <v>5.6123396093607142E-2</v>
      </c>
      <c r="G92" s="8">
        <f t="shared" ca="1" si="75"/>
        <v>5.5876473488759709E-2</v>
      </c>
      <c r="H92" s="8">
        <f t="shared" ca="1" si="75"/>
        <v>5.7170256484542346E-2</v>
      </c>
      <c r="I92" s="8">
        <f t="shared" ca="1" si="75"/>
        <v>5.9949557619646786E-2</v>
      </c>
      <c r="J92" s="8">
        <f t="shared" ca="1" si="75"/>
        <v>6.3988988866571311E-2</v>
      </c>
      <c r="K92" s="8">
        <f t="shared" ca="1" si="75"/>
        <v>6.3975340873029668E-2</v>
      </c>
      <c r="L92" s="8">
        <f t="shared" ca="1" si="75"/>
        <v>6.4161816487061429E-2</v>
      </c>
      <c r="M92" s="8">
        <f t="shared" ca="1" si="75"/>
        <v>6.679738728917077E-2</v>
      </c>
      <c r="N92" s="8">
        <f t="shared" ca="1" si="75"/>
        <v>6.8246509045273199E-2</v>
      </c>
      <c r="O92" s="8">
        <f t="shared" ca="1" si="75"/>
        <v>6.8410285803314208E-2</v>
      </c>
      <c r="Q92" s="12"/>
    </row>
    <row r="93" spans="2:17">
      <c r="B93" s="3">
        <v>72</v>
      </c>
      <c r="C93" s="8">
        <f t="shared" si="68"/>
        <v>0.05</v>
      </c>
      <c r="D93" s="8">
        <f t="shared" ref="D93:O93" ca="1" si="76">C93+k*(theta-C93)*dt+vol*SQRT(dt*C93)*_xlfn.NORM.S.INV(RAND())</f>
        <v>5.1763152636979524E-2</v>
      </c>
      <c r="E93" s="8">
        <f t="shared" ca="1" si="76"/>
        <v>5.2195313228282358E-2</v>
      </c>
      <c r="F93" s="8">
        <f t="shared" ca="1" si="76"/>
        <v>5.4252560576930335E-2</v>
      </c>
      <c r="G93" s="8">
        <f t="shared" ca="1" si="76"/>
        <v>5.5684199250849699E-2</v>
      </c>
      <c r="H93" s="8">
        <f t="shared" ca="1" si="76"/>
        <v>5.6624577197413116E-2</v>
      </c>
      <c r="I93" s="8">
        <f t="shared" ca="1" si="76"/>
        <v>5.6386312509186555E-2</v>
      </c>
      <c r="J93" s="8">
        <f t="shared" ca="1" si="76"/>
        <v>5.5580275426163589E-2</v>
      </c>
      <c r="K93" s="8">
        <f t="shared" ca="1" si="76"/>
        <v>5.4559923074476331E-2</v>
      </c>
      <c r="L93" s="8">
        <f t="shared" ca="1" si="76"/>
        <v>5.5328653319146069E-2</v>
      </c>
      <c r="M93" s="8">
        <f t="shared" ca="1" si="76"/>
        <v>5.8391683045605998E-2</v>
      </c>
      <c r="N93" s="8">
        <f t="shared" ca="1" si="76"/>
        <v>5.9024704177893308E-2</v>
      </c>
      <c r="O93" s="8">
        <f t="shared" ca="1" si="76"/>
        <v>6.0988648286682511E-2</v>
      </c>
      <c r="Q93" s="12"/>
    </row>
    <row r="94" spans="2:17">
      <c r="B94" s="3">
        <v>73</v>
      </c>
      <c r="C94" s="8">
        <f t="shared" si="68"/>
        <v>0.05</v>
      </c>
      <c r="D94" s="8">
        <f t="shared" ref="D94:O94" ca="1" si="77">C94+k*(theta-C94)*dt+vol*SQRT(dt*C94)*_xlfn.NORM.S.INV(RAND())</f>
        <v>5.2860923757109185E-2</v>
      </c>
      <c r="E94" s="8">
        <f t="shared" ca="1" si="77"/>
        <v>5.6570020604209251E-2</v>
      </c>
      <c r="F94" s="8">
        <f t="shared" ca="1" si="77"/>
        <v>5.7220374204527288E-2</v>
      </c>
      <c r="G94" s="8">
        <f t="shared" ca="1" si="77"/>
        <v>5.6324576664352241E-2</v>
      </c>
      <c r="H94" s="8">
        <f t="shared" ca="1" si="77"/>
        <v>5.8530358705335593E-2</v>
      </c>
      <c r="I94" s="8">
        <f t="shared" ca="1" si="77"/>
        <v>5.7988291584719916E-2</v>
      </c>
      <c r="J94" s="8">
        <f t="shared" ca="1" si="77"/>
        <v>5.6553239663126767E-2</v>
      </c>
      <c r="K94" s="8">
        <f t="shared" ca="1" si="77"/>
        <v>5.914872305068454E-2</v>
      </c>
      <c r="L94" s="8">
        <f t="shared" ca="1" si="77"/>
        <v>5.7977917767289035E-2</v>
      </c>
      <c r="M94" s="8">
        <f t="shared" ca="1" si="77"/>
        <v>5.7752041162928945E-2</v>
      </c>
      <c r="N94" s="8">
        <f t="shared" ca="1" si="77"/>
        <v>5.8939756824591308E-2</v>
      </c>
      <c r="O94" s="8">
        <f t="shared" ca="1" si="77"/>
        <v>5.8065437748087874E-2</v>
      </c>
      <c r="Q94" s="12"/>
    </row>
    <row r="95" spans="2:17">
      <c r="B95" s="3">
        <v>74</v>
      </c>
      <c r="C95" s="8">
        <f t="shared" si="68"/>
        <v>0.05</v>
      </c>
      <c r="D95" s="8">
        <f t="shared" ref="D95:O95" ca="1" si="78">C95+k*(theta-C95)*dt+vol*SQRT(dt*C95)*_xlfn.NORM.S.INV(RAND())</f>
        <v>5.2671564616125842E-2</v>
      </c>
      <c r="E95" s="8">
        <f t="shared" ca="1" si="78"/>
        <v>5.2794074927427444E-2</v>
      </c>
      <c r="F95" s="8">
        <f t="shared" ca="1" si="78"/>
        <v>5.1815755085068679E-2</v>
      </c>
      <c r="G95" s="8">
        <f t="shared" ca="1" si="78"/>
        <v>5.0376919050252877E-2</v>
      </c>
      <c r="H95" s="8">
        <f t="shared" ca="1" si="78"/>
        <v>5.3402027321897159E-2</v>
      </c>
      <c r="I95" s="8">
        <f t="shared" ca="1" si="78"/>
        <v>5.5977060339509964E-2</v>
      </c>
      <c r="J95" s="8">
        <f t="shared" ca="1" si="78"/>
        <v>5.6125295021690849E-2</v>
      </c>
      <c r="K95" s="8">
        <f t="shared" ca="1" si="78"/>
        <v>5.7776622728258203E-2</v>
      </c>
      <c r="L95" s="8">
        <f t="shared" ca="1" si="78"/>
        <v>5.8125106014319021E-2</v>
      </c>
      <c r="M95" s="8">
        <f t="shared" ca="1" si="78"/>
        <v>5.7605910008627983E-2</v>
      </c>
      <c r="N95" s="8">
        <f t="shared" ca="1" si="78"/>
        <v>6.0018485278075698E-2</v>
      </c>
      <c r="O95" s="8">
        <f t="shared" ca="1" si="78"/>
        <v>6.0979736881958062E-2</v>
      </c>
      <c r="Q95" s="12"/>
    </row>
    <row r="96" spans="2:17">
      <c r="B96" s="3">
        <v>75</v>
      </c>
      <c r="C96" s="8">
        <f t="shared" si="68"/>
        <v>0.05</v>
      </c>
      <c r="D96" s="8">
        <f t="shared" ref="D96:O96" ca="1" si="79">C96+k*(theta-C96)*dt+vol*SQRT(dt*C96)*_xlfn.NORM.S.INV(RAND())</f>
        <v>5.1599972491090086E-2</v>
      </c>
      <c r="E96" s="8">
        <f t="shared" ca="1" si="79"/>
        <v>5.2043140804239545E-2</v>
      </c>
      <c r="F96" s="8">
        <f t="shared" ca="1" si="79"/>
        <v>5.3316781295806005E-2</v>
      </c>
      <c r="G96" s="8">
        <f t="shared" ca="1" si="79"/>
        <v>5.684919504568757E-2</v>
      </c>
      <c r="H96" s="8">
        <f t="shared" ca="1" si="79"/>
        <v>5.5692492955328826E-2</v>
      </c>
      <c r="I96" s="8">
        <f t="shared" ca="1" si="79"/>
        <v>5.7871917676284593E-2</v>
      </c>
      <c r="J96" s="8">
        <f t="shared" ca="1" si="79"/>
        <v>5.9993176783801359E-2</v>
      </c>
      <c r="K96" s="8">
        <f t="shared" ca="1" si="79"/>
        <v>6.1254620045929874E-2</v>
      </c>
      <c r="L96" s="8">
        <f t="shared" ca="1" si="79"/>
        <v>6.1439792754248941E-2</v>
      </c>
      <c r="M96" s="8">
        <f t="shared" ca="1" si="79"/>
        <v>6.1512245710158488E-2</v>
      </c>
      <c r="N96" s="8">
        <f t="shared" ca="1" si="79"/>
        <v>6.2883726375905169E-2</v>
      </c>
      <c r="O96" s="8">
        <f t="shared" ca="1" si="79"/>
        <v>6.2520238792212468E-2</v>
      </c>
      <c r="Q96" s="12"/>
    </row>
    <row r="97" spans="2:17">
      <c r="B97" s="3">
        <v>76</v>
      </c>
      <c r="C97" s="8">
        <f t="shared" si="68"/>
        <v>0.05</v>
      </c>
      <c r="D97" s="8">
        <f t="shared" ref="D97:O97" ca="1" si="80">C97+k*(theta-C97)*dt+vol*SQRT(dt*C97)*_xlfn.NORM.S.INV(RAND())</f>
        <v>5.0247175892368309E-2</v>
      </c>
      <c r="E97" s="8">
        <f t="shared" ca="1" si="80"/>
        <v>5.1080088647878913E-2</v>
      </c>
      <c r="F97" s="8">
        <f t="shared" ca="1" si="80"/>
        <v>5.2335535393902025E-2</v>
      </c>
      <c r="G97" s="8">
        <f t="shared" ca="1" si="80"/>
        <v>5.4713665229226549E-2</v>
      </c>
      <c r="H97" s="8">
        <f t="shared" ca="1" si="80"/>
        <v>5.5458070500808906E-2</v>
      </c>
      <c r="I97" s="8">
        <f t="shared" ca="1" si="80"/>
        <v>5.6414000351606389E-2</v>
      </c>
      <c r="J97" s="8">
        <f t="shared" ca="1" si="80"/>
        <v>5.8204823719044722E-2</v>
      </c>
      <c r="K97" s="8">
        <f t="shared" ca="1" si="80"/>
        <v>6.0113727163306069E-2</v>
      </c>
      <c r="L97" s="8">
        <f t="shared" ca="1" si="80"/>
        <v>6.1716279155879336E-2</v>
      </c>
      <c r="M97" s="8">
        <f t="shared" ca="1" si="80"/>
        <v>6.1234072753514383E-2</v>
      </c>
      <c r="N97" s="8">
        <f t="shared" ca="1" si="80"/>
        <v>6.4384445958678718E-2</v>
      </c>
      <c r="O97" s="8">
        <f t="shared" ca="1" si="80"/>
        <v>6.3807285498774347E-2</v>
      </c>
      <c r="Q97" s="12"/>
    </row>
    <row r="98" spans="2:17">
      <c r="B98" s="3">
        <v>77</v>
      </c>
      <c r="C98" s="8">
        <f t="shared" si="68"/>
        <v>0.05</v>
      </c>
      <c r="D98" s="8">
        <f t="shared" ref="D98:O98" ca="1" si="81">C98+k*(theta-C98)*dt+vol*SQRT(dt*C98)*_xlfn.NORM.S.INV(RAND())</f>
        <v>4.9433877565138118E-2</v>
      </c>
      <c r="E98" s="8">
        <f t="shared" ca="1" si="81"/>
        <v>5.1550993516281084E-2</v>
      </c>
      <c r="F98" s="8">
        <f t="shared" ca="1" si="81"/>
        <v>5.1813985822796733E-2</v>
      </c>
      <c r="G98" s="8">
        <f t="shared" ca="1" si="81"/>
        <v>5.1709368782582102E-2</v>
      </c>
      <c r="H98" s="8">
        <f t="shared" ca="1" si="81"/>
        <v>5.2558199730661122E-2</v>
      </c>
      <c r="I98" s="8">
        <f t="shared" ca="1" si="81"/>
        <v>5.3043169238910913E-2</v>
      </c>
      <c r="J98" s="8">
        <f t="shared" ca="1" si="81"/>
        <v>5.5517347693638877E-2</v>
      </c>
      <c r="K98" s="8">
        <f t="shared" ca="1" si="81"/>
        <v>5.6647031178908715E-2</v>
      </c>
      <c r="L98" s="8">
        <f t="shared" ca="1" si="81"/>
        <v>5.6140539493357421E-2</v>
      </c>
      <c r="M98" s="8">
        <f t="shared" ca="1" si="81"/>
        <v>5.7766813370320629E-2</v>
      </c>
      <c r="N98" s="8">
        <f t="shared" ca="1" si="81"/>
        <v>6.1298171655034574E-2</v>
      </c>
      <c r="O98" s="8">
        <f t="shared" ca="1" si="81"/>
        <v>6.376674296645124E-2</v>
      </c>
      <c r="Q98" s="12"/>
    </row>
    <row r="99" spans="2:17">
      <c r="B99" s="3">
        <v>78</v>
      </c>
      <c r="C99" s="8">
        <f t="shared" si="68"/>
        <v>0.05</v>
      </c>
      <c r="D99" s="8">
        <f t="shared" ref="D99:O99" ca="1" si="82">C99+k*(theta-C99)*dt+vol*SQRT(dt*C99)*_xlfn.NORM.S.INV(RAND())</f>
        <v>4.9631534567987273E-2</v>
      </c>
      <c r="E99" s="8">
        <f t="shared" ca="1" si="82"/>
        <v>5.1199728278650797E-2</v>
      </c>
      <c r="F99" s="8">
        <f t="shared" ca="1" si="82"/>
        <v>5.4245024571618415E-2</v>
      </c>
      <c r="G99" s="8">
        <f t="shared" ca="1" si="82"/>
        <v>5.5755705748638973E-2</v>
      </c>
      <c r="H99" s="8">
        <f t="shared" ca="1" si="82"/>
        <v>5.448180779145588E-2</v>
      </c>
      <c r="I99" s="8">
        <f t="shared" ca="1" si="82"/>
        <v>5.6204955799622251E-2</v>
      </c>
      <c r="J99" s="8">
        <f t="shared" ca="1" si="82"/>
        <v>5.6951089687901739E-2</v>
      </c>
      <c r="K99" s="8">
        <f t="shared" ca="1" si="82"/>
        <v>5.7181341365821051E-2</v>
      </c>
      <c r="L99" s="8">
        <f t="shared" ca="1" si="82"/>
        <v>5.987166926694077E-2</v>
      </c>
      <c r="M99" s="8">
        <f t="shared" ca="1" si="82"/>
        <v>6.0302303872745579E-2</v>
      </c>
      <c r="N99" s="8">
        <f t="shared" ca="1" si="82"/>
        <v>6.1539646509552286E-2</v>
      </c>
      <c r="O99" s="8">
        <f t="shared" ca="1" si="82"/>
        <v>6.3128899043866496E-2</v>
      </c>
      <c r="Q99" s="12"/>
    </row>
    <row r="100" spans="2:17">
      <c r="B100" s="3">
        <v>79</v>
      </c>
      <c r="C100" s="8">
        <f t="shared" si="68"/>
        <v>0.05</v>
      </c>
      <c r="D100" s="8">
        <f t="shared" ref="D100:O100" ca="1" si="83">C100+k*(theta-C100)*dt+vol*SQRT(dt*C100)*_xlfn.NORM.S.INV(RAND())</f>
        <v>5.3159768562046066E-2</v>
      </c>
      <c r="E100" s="8">
        <f t="shared" ca="1" si="83"/>
        <v>5.5953227097029733E-2</v>
      </c>
      <c r="F100" s="8">
        <f t="shared" ca="1" si="83"/>
        <v>5.8426233098585877E-2</v>
      </c>
      <c r="G100" s="8">
        <f t="shared" ca="1" si="83"/>
        <v>6.0375745953359629E-2</v>
      </c>
      <c r="H100" s="8">
        <f t="shared" ca="1" si="83"/>
        <v>5.8465465598902512E-2</v>
      </c>
      <c r="I100" s="8">
        <f t="shared" ca="1" si="83"/>
        <v>5.7357016833517301E-2</v>
      </c>
      <c r="J100" s="8">
        <f t="shared" ca="1" si="83"/>
        <v>5.8188652302532735E-2</v>
      </c>
      <c r="K100" s="8">
        <f t="shared" ca="1" si="83"/>
        <v>6.0366275638432623E-2</v>
      </c>
      <c r="L100" s="8">
        <f t="shared" ca="1" si="83"/>
        <v>6.1571659601041558E-2</v>
      </c>
      <c r="M100" s="8">
        <f t="shared" ca="1" si="83"/>
        <v>6.0351105168768918E-2</v>
      </c>
      <c r="N100" s="8">
        <f t="shared" ca="1" si="83"/>
        <v>6.3624885583054319E-2</v>
      </c>
      <c r="O100" s="8">
        <f t="shared" ca="1" si="83"/>
        <v>6.607972796580705E-2</v>
      </c>
      <c r="Q100" s="12"/>
    </row>
    <row r="101" spans="2:17">
      <c r="B101" s="3">
        <v>80</v>
      </c>
      <c r="C101" s="8">
        <f t="shared" si="68"/>
        <v>0.05</v>
      </c>
      <c r="D101" s="8">
        <f t="shared" ref="D101:O101" ca="1" si="84">C101+k*(theta-C101)*dt+vol*SQRT(dt*C101)*_xlfn.NORM.S.INV(RAND())</f>
        <v>5.1799298158763718E-2</v>
      </c>
      <c r="E101" s="8">
        <f t="shared" ca="1" si="84"/>
        <v>5.3195334456980117E-2</v>
      </c>
      <c r="F101" s="8">
        <f t="shared" ca="1" si="84"/>
        <v>5.5034738382804517E-2</v>
      </c>
      <c r="G101" s="8">
        <f t="shared" ca="1" si="84"/>
        <v>5.9216249925976218E-2</v>
      </c>
      <c r="H101" s="8">
        <f t="shared" ca="1" si="84"/>
        <v>6.1317968597874473E-2</v>
      </c>
      <c r="I101" s="8">
        <f t="shared" ca="1" si="84"/>
        <v>6.3005783505332619E-2</v>
      </c>
      <c r="J101" s="8">
        <f t="shared" ca="1" si="84"/>
        <v>6.1322766248203091E-2</v>
      </c>
      <c r="K101" s="8">
        <f t="shared" ca="1" si="84"/>
        <v>6.0362109043986506E-2</v>
      </c>
      <c r="L101" s="8">
        <f t="shared" ca="1" si="84"/>
        <v>6.1180872978099349E-2</v>
      </c>
      <c r="M101" s="8">
        <f t="shared" ca="1" si="84"/>
        <v>6.125283398815775E-2</v>
      </c>
      <c r="N101" s="8">
        <f t="shared" ca="1" si="84"/>
        <v>6.316362083554046E-2</v>
      </c>
      <c r="O101" s="8">
        <f t="shared" ca="1" si="84"/>
        <v>6.1789697523265248E-2</v>
      </c>
      <c r="Q101" s="12"/>
    </row>
    <row r="102" spans="2:17">
      <c r="B102" s="3">
        <v>81</v>
      </c>
      <c r="C102" s="8">
        <f t="shared" si="68"/>
        <v>0.05</v>
      </c>
      <c r="D102" s="8">
        <f t="shared" ref="D102:O102" ca="1" si="85">C102+k*(theta-C102)*dt+vol*SQRT(dt*C102)*_xlfn.NORM.S.INV(RAND())</f>
        <v>5.1405496516016329E-2</v>
      </c>
      <c r="E102" s="8">
        <f t="shared" ca="1" si="85"/>
        <v>5.4434160696972718E-2</v>
      </c>
      <c r="F102" s="8">
        <f t="shared" ca="1" si="85"/>
        <v>5.4036927944943434E-2</v>
      </c>
      <c r="G102" s="8">
        <f t="shared" ca="1" si="85"/>
        <v>5.2997302367439186E-2</v>
      </c>
      <c r="H102" s="8">
        <f t="shared" ca="1" si="85"/>
        <v>5.4483206497304142E-2</v>
      </c>
      <c r="I102" s="8">
        <f t="shared" ca="1" si="85"/>
        <v>5.6865501746654987E-2</v>
      </c>
      <c r="J102" s="8">
        <f t="shared" ca="1" si="85"/>
        <v>5.6961097058395631E-2</v>
      </c>
      <c r="K102" s="8">
        <f t="shared" ca="1" si="85"/>
        <v>5.7952478892942666E-2</v>
      </c>
      <c r="L102" s="8">
        <f t="shared" ca="1" si="85"/>
        <v>5.7982490725537406E-2</v>
      </c>
      <c r="M102" s="8">
        <f t="shared" ca="1" si="85"/>
        <v>5.8545782775294944E-2</v>
      </c>
      <c r="N102" s="8">
        <f t="shared" ca="1" si="85"/>
        <v>6.0583154065153751E-2</v>
      </c>
      <c r="O102" s="8">
        <f t="shared" ca="1" si="85"/>
        <v>6.1627530841857472E-2</v>
      </c>
      <c r="Q102" s="12"/>
    </row>
    <row r="103" spans="2:17">
      <c r="B103" s="3">
        <v>82</v>
      </c>
      <c r="C103" s="8">
        <f t="shared" si="68"/>
        <v>0.05</v>
      </c>
      <c r="D103" s="8">
        <f t="shared" ref="D103:O103" ca="1" si="86">C103+k*(theta-C103)*dt+vol*SQRT(dt*C103)*_xlfn.NORM.S.INV(RAND())</f>
        <v>4.9724636918072718E-2</v>
      </c>
      <c r="E103" s="8">
        <f t="shared" ca="1" si="86"/>
        <v>5.1638983914970897E-2</v>
      </c>
      <c r="F103" s="8">
        <f t="shared" ca="1" si="86"/>
        <v>5.1829044524477202E-2</v>
      </c>
      <c r="G103" s="8">
        <f t="shared" ca="1" si="86"/>
        <v>5.2192670903838424E-2</v>
      </c>
      <c r="H103" s="8">
        <f t="shared" ca="1" si="86"/>
        <v>5.3362084734550876E-2</v>
      </c>
      <c r="I103" s="8">
        <f t="shared" ca="1" si="86"/>
        <v>5.4640538746912312E-2</v>
      </c>
      <c r="J103" s="8">
        <f t="shared" ca="1" si="86"/>
        <v>5.6995375101062375E-2</v>
      </c>
      <c r="K103" s="8">
        <f t="shared" ca="1" si="86"/>
        <v>5.933174725632321E-2</v>
      </c>
      <c r="L103" s="8">
        <f t="shared" ca="1" si="86"/>
        <v>5.835592170754076E-2</v>
      </c>
      <c r="M103" s="8">
        <f t="shared" ca="1" si="86"/>
        <v>6.1333315515408215E-2</v>
      </c>
      <c r="N103" s="8">
        <f t="shared" ca="1" si="86"/>
        <v>6.1904605005233787E-2</v>
      </c>
      <c r="O103" s="8">
        <f t="shared" ca="1" si="86"/>
        <v>6.1664774931029821E-2</v>
      </c>
      <c r="Q103" s="12"/>
    </row>
    <row r="104" spans="2:17">
      <c r="B104" s="3">
        <v>83</v>
      </c>
      <c r="C104" s="8">
        <f t="shared" si="68"/>
        <v>0.05</v>
      </c>
      <c r="D104" s="8">
        <f t="shared" ref="D104:O104" ca="1" si="87">C104+k*(theta-C104)*dt+vol*SQRT(dt*C104)*_xlfn.NORM.S.INV(RAND())</f>
        <v>5.197397669709896E-2</v>
      </c>
      <c r="E104" s="8">
        <f t="shared" ca="1" si="87"/>
        <v>5.2697394194653691E-2</v>
      </c>
      <c r="F104" s="8">
        <f t="shared" ca="1" si="87"/>
        <v>5.1828698104652085E-2</v>
      </c>
      <c r="G104" s="8">
        <f t="shared" ca="1" si="87"/>
        <v>5.3673434855509267E-2</v>
      </c>
      <c r="H104" s="8">
        <f t="shared" ca="1" si="87"/>
        <v>5.5455633872605693E-2</v>
      </c>
      <c r="I104" s="8">
        <f t="shared" ca="1" si="87"/>
        <v>5.7608886457352904E-2</v>
      </c>
      <c r="J104" s="8">
        <f t="shared" ca="1" si="87"/>
        <v>5.7526884410528639E-2</v>
      </c>
      <c r="K104" s="8">
        <f t="shared" ca="1" si="87"/>
        <v>5.6447265857996094E-2</v>
      </c>
      <c r="L104" s="8">
        <f t="shared" ca="1" si="87"/>
        <v>5.9098339830312083E-2</v>
      </c>
      <c r="M104" s="8">
        <f t="shared" ca="1" si="87"/>
        <v>6.0340121442390905E-2</v>
      </c>
      <c r="N104" s="8">
        <f t="shared" ca="1" si="87"/>
        <v>5.9909034992071335E-2</v>
      </c>
      <c r="O104" s="8">
        <f t="shared" ca="1" si="87"/>
        <v>6.0938195746997076E-2</v>
      </c>
      <c r="Q104" s="12"/>
    </row>
    <row r="105" spans="2:17">
      <c r="B105" s="3">
        <v>84</v>
      </c>
      <c r="C105" s="8">
        <f t="shared" si="68"/>
        <v>0.05</v>
      </c>
      <c r="D105" s="8">
        <f t="shared" ref="D105:O105" ca="1" si="88">C105+k*(theta-C105)*dt+vol*SQRT(dt*C105)*_xlfn.NORM.S.INV(RAND())</f>
        <v>5.1186837912619826E-2</v>
      </c>
      <c r="E105" s="8">
        <f t="shared" ca="1" si="88"/>
        <v>5.2772680728792973E-2</v>
      </c>
      <c r="F105" s="8">
        <f t="shared" ca="1" si="88"/>
        <v>5.5025645026629606E-2</v>
      </c>
      <c r="G105" s="8">
        <f t="shared" ca="1" si="88"/>
        <v>5.7511012099438659E-2</v>
      </c>
      <c r="H105" s="8">
        <f t="shared" ca="1" si="88"/>
        <v>5.713026713325365E-2</v>
      </c>
      <c r="I105" s="8">
        <f t="shared" ca="1" si="88"/>
        <v>5.9526548066858795E-2</v>
      </c>
      <c r="J105" s="8">
        <f t="shared" ca="1" si="88"/>
        <v>6.0705949355685289E-2</v>
      </c>
      <c r="K105" s="8">
        <f t="shared" ca="1" si="88"/>
        <v>6.0957156386453576E-2</v>
      </c>
      <c r="L105" s="8">
        <f t="shared" ca="1" si="88"/>
        <v>6.273448342619653E-2</v>
      </c>
      <c r="M105" s="8">
        <f t="shared" ca="1" si="88"/>
        <v>6.3426930450300401E-2</v>
      </c>
      <c r="N105" s="8">
        <f t="shared" ca="1" si="88"/>
        <v>6.3988286544127373E-2</v>
      </c>
      <c r="O105" s="8">
        <f t="shared" ca="1" si="88"/>
        <v>6.6626665145037345E-2</v>
      </c>
      <c r="Q105" s="12"/>
    </row>
    <row r="106" spans="2:17">
      <c r="B106" s="3">
        <v>85</v>
      </c>
      <c r="C106" s="8">
        <f t="shared" si="68"/>
        <v>0.05</v>
      </c>
      <c r="D106" s="8">
        <f t="shared" ref="D106:O106" ca="1" si="89">C106+k*(theta-C106)*dt+vol*SQRT(dt*C106)*_xlfn.NORM.S.INV(RAND())</f>
        <v>5.1787320376762452E-2</v>
      </c>
      <c r="E106" s="8">
        <f t="shared" ca="1" si="89"/>
        <v>5.4107850736779955E-2</v>
      </c>
      <c r="F106" s="8">
        <f t="shared" ca="1" si="89"/>
        <v>5.5417492800140217E-2</v>
      </c>
      <c r="G106" s="8">
        <f t="shared" ca="1" si="89"/>
        <v>5.7612869592423933E-2</v>
      </c>
      <c r="H106" s="8">
        <f t="shared" ca="1" si="89"/>
        <v>5.8013952360619195E-2</v>
      </c>
      <c r="I106" s="8">
        <f t="shared" ca="1" si="89"/>
        <v>6.0177710487873397E-2</v>
      </c>
      <c r="J106" s="8">
        <f t="shared" ca="1" si="89"/>
        <v>6.0238127258906003E-2</v>
      </c>
      <c r="K106" s="8">
        <f t="shared" ca="1" si="89"/>
        <v>6.0775716347882716E-2</v>
      </c>
      <c r="L106" s="8">
        <f t="shared" ca="1" si="89"/>
        <v>6.1156140185601462E-2</v>
      </c>
      <c r="M106" s="8">
        <f t="shared" ca="1" si="89"/>
        <v>6.1407221983970063E-2</v>
      </c>
      <c r="N106" s="8">
        <f t="shared" ca="1" si="89"/>
        <v>6.3043905350419024E-2</v>
      </c>
      <c r="O106" s="8">
        <f t="shared" ca="1" si="89"/>
        <v>6.3426467610578671E-2</v>
      </c>
      <c r="Q106" s="12"/>
    </row>
    <row r="107" spans="2:17">
      <c r="B107" s="3">
        <v>86</v>
      </c>
      <c r="C107" s="8">
        <f t="shared" si="68"/>
        <v>0.05</v>
      </c>
      <c r="D107" s="8">
        <f t="shared" ref="D107:O107" ca="1" si="90">C107+k*(theta-C107)*dt+vol*SQRT(dt*C107)*_xlfn.NORM.S.INV(RAND())</f>
        <v>5.3224044838092996E-2</v>
      </c>
      <c r="E107" s="8">
        <f t="shared" ca="1" si="90"/>
        <v>5.2233447943100197E-2</v>
      </c>
      <c r="F107" s="8">
        <f t="shared" ca="1" si="90"/>
        <v>5.2889432901906994E-2</v>
      </c>
      <c r="G107" s="8">
        <f t="shared" ca="1" si="90"/>
        <v>5.4538135296762845E-2</v>
      </c>
      <c r="H107" s="8">
        <f t="shared" ca="1" si="90"/>
        <v>5.6535803829620465E-2</v>
      </c>
      <c r="I107" s="8">
        <f t="shared" ca="1" si="90"/>
        <v>5.8513681074289767E-2</v>
      </c>
      <c r="J107" s="8">
        <f t="shared" ca="1" si="90"/>
        <v>6.208775280328558E-2</v>
      </c>
      <c r="K107" s="8">
        <f t="shared" ca="1" si="90"/>
        <v>6.3913300463154507E-2</v>
      </c>
      <c r="L107" s="8">
        <f t="shared" ca="1" si="90"/>
        <v>6.4073312309437053E-2</v>
      </c>
      <c r="M107" s="8">
        <f t="shared" ca="1" si="90"/>
        <v>6.6061038626086449E-2</v>
      </c>
      <c r="N107" s="8">
        <f t="shared" ca="1" si="90"/>
        <v>6.6599766128527957E-2</v>
      </c>
      <c r="O107" s="8">
        <f t="shared" ca="1" si="90"/>
        <v>6.8521664416990341E-2</v>
      </c>
      <c r="Q107" s="12"/>
    </row>
    <row r="108" spans="2:17">
      <c r="B108" s="3">
        <v>87</v>
      </c>
      <c r="C108" s="8">
        <f t="shared" si="68"/>
        <v>0.05</v>
      </c>
      <c r="D108" s="8">
        <f t="shared" ref="D108:O108" ca="1" si="91">C108+k*(theta-C108)*dt+vol*SQRT(dt*C108)*_xlfn.NORM.S.INV(RAND())</f>
        <v>5.0248742484853115E-2</v>
      </c>
      <c r="E108" s="8">
        <f t="shared" ca="1" si="91"/>
        <v>5.1995713009965187E-2</v>
      </c>
      <c r="F108" s="8">
        <f t="shared" ca="1" si="91"/>
        <v>5.3623748011754228E-2</v>
      </c>
      <c r="G108" s="8">
        <f t="shared" ca="1" si="91"/>
        <v>5.4259514825167429E-2</v>
      </c>
      <c r="H108" s="8">
        <f t="shared" ca="1" si="91"/>
        <v>5.3912459387699341E-2</v>
      </c>
      <c r="I108" s="8">
        <f t="shared" ca="1" si="91"/>
        <v>5.2057176228110735E-2</v>
      </c>
      <c r="J108" s="8">
        <f t="shared" ca="1" si="91"/>
        <v>5.2666582778194831E-2</v>
      </c>
      <c r="K108" s="8">
        <f t="shared" ca="1" si="91"/>
        <v>5.2445486347834115E-2</v>
      </c>
      <c r="L108" s="8">
        <f t="shared" ca="1" si="91"/>
        <v>5.6754609036678706E-2</v>
      </c>
      <c r="M108" s="8">
        <f t="shared" ca="1" si="91"/>
        <v>5.8433001431806408E-2</v>
      </c>
      <c r="N108" s="8">
        <f t="shared" ca="1" si="91"/>
        <v>5.923985705889144E-2</v>
      </c>
      <c r="O108" s="8">
        <f t="shared" ca="1" si="91"/>
        <v>5.9559339963696695E-2</v>
      </c>
      <c r="Q108" s="12"/>
    </row>
    <row r="109" spans="2:17">
      <c r="B109" s="3">
        <v>88</v>
      </c>
      <c r="C109" s="8">
        <f t="shared" si="68"/>
        <v>0.05</v>
      </c>
      <c r="D109" s="8">
        <f t="shared" ref="D109:O109" ca="1" si="92">C109+k*(theta-C109)*dt+vol*SQRT(dt*C109)*_xlfn.NORM.S.INV(RAND())</f>
        <v>5.013253722524745E-2</v>
      </c>
      <c r="E109" s="8">
        <f t="shared" ca="1" si="92"/>
        <v>5.036933469876656E-2</v>
      </c>
      <c r="F109" s="8">
        <f t="shared" ca="1" si="92"/>
        <v>5.2300013838383431E-2</v>
      </c>
      <c r="G109" s="8">
        <f t="shared" ca="1" si="92"/>
        <v>5.3184889677490813E-2</v>
      </c>
      <c r="H109" s="8">
        <f t="shared" ca="1" si="92"/>
        <v>5.4952506367023701E-2</v>
      </c>
      <c r="I109" s="8">
        <f t="shared" ca="1" si="92"/>
        <v>5.6152988225198118E-2</v>
      </c>
      <c r="J109" s="8">
        <f t="shared" ca="1" si="92"/>
        <v>5.8839612932357406E-2</v>
      </c>
      <c r="K109" s="8">
        <f t="shared" ca="1" si="92"/>
        <v>6.1032747117567406E-2</v>
      </c>
      <c r="L109" s="8">
        <f t="shared" ca="1" si="92"/>
        <v>6.3346911258361213E-2</v>
      </c>
      <c r="M109" s="8">
        <f t="shared" ca="1" si="92"/>
        <v>6.5094327251802461E-2</v>
      </c>
      <c r="N109" s="8">
        <f t="shared" ca="1" si="92"/>
        <v>6.7833569866983121E-2</v>
      </c>
      <c r="O109" s="8">
        <f t="shared" ca="1" si="92"/>
        <v>7.1161030338437042E-2</v>
      </c>
      <c r="Q109" s="12"/>
    </row>
    <row r="110" spans="2:17">
      <c r="B110" s="3">
        <v>89</v>
      </c>
      <c r="C110" s="8">
        <f t="shared" si="68"/>
        <v>0.05</v>
      </c>
      <c r="D110" s="8">
        <f t="shared" ref="D110:O110" ca="1" si="93">C110+k*(theta-C110)*dt+vol*SQRT(dt*C110)*_xlfn.NORM.S.INV(RAND())</f>
        <v>4.9609998927356236E-2</v>
      </c>
      <c r="E110" s="8">
        <f t="shared" ca="1" si="93"/>
        <v>5.0139617442227953E-2</v>
      </c>
      <c r="F110" s="8">
        <f t="shared" ca="1" si="93"/>
        <v>5.0248947338475861E-2</v>
      </c>
      <c r="G110" s="8">
        <f t="shared" ca="1" si="93"/>
        <v>5.1120798158944672E-2</v>
      </c>
      <c r="H110" s="8">
        <f t="shared" ca="1" si="93"/>
        <v>5.3475253001083661E-2</v>
      </c>
      <c r="I110" s="8">
        <f t="shared" ca="1" si="93"/>
        <v>5.4058791500799036E-2</v>
      </c>
      <c r="J110" s="8">
        <f t="shared" ca="1" si="93"/>
        <v>5.5428310963523186E-2</v>
      </c>
      <c r="K110" s="8">
        <f t="shared" ca="1" si="93"/>
        <v>5.5191174515142431E-2</v>
      </c>
      <c r="L110" s="8">
        <f t="shared" ca="1" si="93"/>
        <v>5.5021985984752317E-2</v>
      </c>
      <c r="M110" s="8">
        <f t="shared" ca="1" si="93"/>
        <v>5.3984182056169228E-2</v>
      </c>
      <c r="N110" s="8">
        <f t="shared" ca="1" si="93"/>
        <v>5.3166546393807156E-2</v>
      </c>
      <c r="O110" s="8">
        <f t="shared" ca="1" si="93"/>
        <v>5.3894099662161035E-2</v>
      </c>
      <c r="Q110" s="12"/>
    </row>
    <row r="111" spans="2:17">
      <c r="B111" s="3">
        <v>90</v>
      </c>
      <c r="C111" s="8">
        <f t="shared" si="68"/>
        <v>0.05</v>
      </c>
      <c r="D111" s="8">
        <f t="shared" ref="D111:O111" ca="1" si="94">C111+k*(theta-C111)*dt+vol*SQRT(dt*C111)*_xlfn.NORM.S.INV(RAND())</f>
        <v>5.2202109016125112E-2</v>
      </c>
      <c r="E111" s="8">
        <f t="shared" ca="1" si="94"/>
        <v>5.2494688613043662E-2</v>
      </c>
      <c r="F111" s="8">
        <f t="shared" ca="1" si="94"/>
        <v>5.184934629596917E-2</v>
      </c>
      <c r="G111" s="8">
        <f t="shared" ca="1" si="94"/>
        <v>5.0903800906854341E-2</v>
      </c>
      <c r="H111" s="8">
        <f t="shared" ca="1" si="94"/>
        <v>4.9928463968428927E-2</v>
      </c>
      <c r="I111" s="8">
        <f t="shared" ca="1" si="94"/>
        <v>5.2203212704053426E-2</v>
      </c>
      <c r="J111" s="8">
        <f t="shared" ca="1" si="94"/>
        <v>5.3584759702142534E-2</v>
      </c>
      <c r="K111" s="8">
        <f t="shared" ca="1" si="94"/>
        <v>5.3973679139972787E-2</v>
      </c>
      <c r="L111" s="8">
        <f t="shared" ca="1" si="94"/>
        <v>5.2879564045445381E-2</v>
      </c>
      <c r="M111" s="8">
        <f t="shared" ca="1" si="94"/>
        <v>5.4529804932679053E-2</v>
      </c>
      <c r="N111" s="8">
        <f t="shared" ca="1" si="94"/>
        <v>5.3887012257841135E-2</v>
      </c>
      <c r="O111" s="8">
        <f t="shared" ca="1" si="94"/>
        <v>5.4219213923559592E-2</v>
      </c>
      <c r="Q111" s="12"/>
    </row>
    <row r="112" spans="2:17">
      <c r="B112" s="3">
        <v>91</v>
      </c>
      <c r="C112" s="8">
        <f t="shared" si="68"/>
        <v>0.05</v>
      </c>
      <c r="D112" s="8">
        <f t="shared" ref="D112:O112" ca="1" si="95">C112+k*(theta-C112)*dt+vol*SQRT(dt*C112)*_xlfn.NORM.S.INV(RAND())</f>
        <v>4.9030967746977405E-2</v>
      </c>
      <c r="E112" s="8">
        <f t="shared" ca="1" si="95"/>
        <v>5.0528472829828086E-2</v>
      </c>
      <c r="F112" s="8">
        <f t="shared" ca="1" si="95"/>
        <v>5.0654373120836198E-2</v>
      </c>
      <c r="G112" s="8">
        <f t="shared" ca="1" si="95"/>
        <v>5.3362366367507727E-2</v>
      </c>
      <c r="H112" s="8">
        <f t="shared" ca="1" si="95"/>
        <v>5.4714843285615253E-2</v>
      </c>
      <c r="I112" s="8">
        <f t="shared" ca="1" si="95"/>
        <v>5.5260353033126465E-2</v>
      </c>
      <c r="J112" s="8">
        <f t="shared" ca="1" si="95"/>
        <v>5.6683436326150596E-2</v>
      </c>
      <c r="K112" s="8">
        <f t="shared" ca="1" si="95"/>
        <v>5.7865265190695445E-2</v>
      </c>
      <c r="L112" s="8">
        <f t="shared" ca="1" si="95"/>
        <v>5.8977553347286368E-2</v>
      </c>
      <c r="M112" s="8">
        <f t="shared" ca="1" si="95"/>
        <v>5.8227396203815805E-2</v>
      </c>
      <c r="N112" s="8">
        <f t="shared" ca="1" si="95"/>
        <v>6.0909727872509409E-2</v>
      </c>
      <c r="O112" s="8">
        <f t="shared" ca="1" si="95"/>
        <v>6.2017411614743508E-2</v>
      </c>
      <c r="Q112" s="12"/>
    </row>
    <row r="113" spans="2:17">
      <c r="B113" s="3">
        <v>92</v>
      </c>
      <c r="C113" s="8">
        <f t="shared" si="68"/>
        <v>0.05</v>
      </c>
      <c r="D113" s="8">
        <f t="shared" ref="D113:O113" ca="1" si="96">C113+k*(theta-C113)*dt+vol*SQRT(dt*C113)*_xlfn.NORM.S.INV(RAND())</f>
        <v>5.2384522295575851E-2</v>
      </c>
      <c r="E113" s="8">
        <f t="shared" ca="1" si="96"/>
        <v>5.3530297313386231E-2</v>
      </c>
      <c r="F113" s="8">
        <f t="shared" ca="1" si="96"/>
        <v>5.5339663894420354E-2</v>
      </c>
      <c r="G113" s="8">
        <f t="shared" ca="1" si="96"/>
        <v>5.404968984532809E-2</v>
      </c>
      <c r="H113" s="8">
        <f t="shared" ca="1" si="96"/>
        <v>5.6091944700734135E-2</v>
      </c>
      <c r="I113" s="8">
        <f t="shared" ca="1" si="96"/>
        <v>5.5391297962432605E-2</v>
      </c>
      <c r="J113" s="8">
        <f t="shared" ca="1" si="96"/>
        <v>5.5288296541688493E-2</v>
      </c>
      <c r="K113" s="8">
        <f t="shared" ca="1" si="96"/>
        <v>5.6663990683163051E-2</v>
      </c>
      <c r="L113" s="8">
        <f t="shared" ca="1" si="96"/>
        <v>5.6773762558941281E-2</v>
      </c>
      <c r="M113" s="8">
        <f t="shared" ca="1" si="96"/>
        <v>5.6473553856304579E-2</v>
      </c>
      <c r="N113" s="8">
        <f t="shared" ca="1" si="96"/>
        <v>5.7489146090003995E-2</v>
      </c>
      <c r="O113" s="8">
        <f t="shared" ca="1" si="96"/>
        <v>5.8448758202403951E-2</v>
      </c>
      <c r="Q113" s="12"/>
    </row>
    <row r="114" spans="2:17">
      <c r="B114" s="3">
        <v>93</v>
      </c>
      <c r="C114" s="8">
        <f t="shared" si="68"/>
        <v>0.05</v>
      </c>
      <c r="D114" s="8">
        <f t="shared" ref="D114:O114" ca="1" si="97">C114+k*(theta-C114)*dt+vol*SQRT(dt*C114)*_xlfn.NORM.S.INV(RAND())</f>
        <v>5.0045828554797792E-2</v>
      </c>
      <c r="E114" s="8">
        <f t="shared" ca="1" si="97"/>
        <v>5.1969939529672535E-2</v>
      </c>
      <c r="F114" s="8">
        <f t="shared" ca="1" si="97"/>
        <v>5.4668442766790185E-2</v>
      </c>
      <c r="G114" s="8">
        <f t="shared" ca="1" si="97"/>
        <v>5.6662908418549346E-2</v>
      </c>
      <c r="H114" s="8">
        <f t="shared" ca="1" si="97"/>
        <v>6.045498989087756E-2</v>
      </c>
      <c r="I114" s="8">
        <f t="shared" ca="1" si="97"/>
        <v>6.0774501291890673E-2</v>
      </c>
      <c r="J114" s="8">
        <f t="shared" ca="1" si="97"/>
        <v>6.1309630706358011E-2</v>
      </c>
      <c r="K114" s="8">
        <f t="shared" ca="1" si="97"/>
        <v>6.0423590715941597E-2</v>
      </c>
      <c r="L114" s="8">
        <f t="shared" ca="1" si="97"/>
        <v>6.194177399166105E-2</v>
      </c>
      <c r="M114" s="8">
        <f t="shared" ca="1" si="97"/>
        <v>6.2837872042712725E-2</v>
      </c>
      <c r="N114" s="8">
        <f t="shared" ca="1" si="97"/>
        <v>6.1057936581634581E-2</v>
      </c>
      <c r="O114" s="8">
        <f t="shared" ca="1" si="97"/>
        <v>6.04925472713327E-2</v>
      </c>
      <c r="Q114" s="12"/>
    </row>
    <row r="115" spans="2:17">
      <c r="B115" s="3">
        <v>94</v>
      </c>
      <c r="C115" s="8">
        <f t="shared" si="68"/>
        <v>0.05</v>
      </c>
      <c r="D115" s="8">
        <f t="shared" ref="D115:O115" ca="1" si="98">C115+k*(theta-C115)*dt+vol*SQRT(dt*C115)*_xlfn.NORM.S.INV(RAND())</f>
        <v>4.8507647245558082E-2</v>
      </c>
      <c r="E115" s="8">
        <f t="shared" ca="1" si="98"/>
        <v>5.0272346411149423E-2</v>
      </c>
      <c r="F115" s="8">
        <f t="shared" ca="1" si="98"/>
        <v>5.0767656511029574E-2</v>
      </c>
      <c r="G115" s="8">
        <f t="shared" ca="1" si="98"/>
        <v>5.3888709967263596E-2</v>
      </c>
      <c r="H115" s="8">
        <f t="shared" ca="1" si="98"/>
        <v>5.5209697675521613E-2</v>
      </c>
      <c r="I115" s="8">
        <f t="shared" ca="1" si="98"/>
        <v>5.5532472633521478E-2</v>
      </c>
      <c r="J115" s="8">
        <f t="shared" ca="1" si="98"/>
        <v>5.5664184434745981E-2</v>
      </c>
      <c r="K115" s="8">
        <f t="shared" ca="1" si="98"/>
        <v>5.6320661919317158E-2</v>
      </c>
      <c r="L115" s="8">
        <f t="shared" ca="1" si="98"/>
        <v>5.6703743661735508E-2</v>
      </c>
      <c r="M115" s="8">
        <f t="shared" ca="1" si="98"/>
        <v>5.5627606279306956E-2</v>
      </c>
      <c r="N115" s="8">
        <f t="shared" ca="1" si="98"/>
        <v>5.6133352270516593E-2</v>
      </c>
      <c r="O115" s="8">
        <f t="shared" ca="1" si="98"/>
        <v>5.563644807787263E-2</v>
      </c>
      <c r="Q115" s="12"/>
    </row>
    <row r="116" spans="2:17">
      <c r="B116" s="3">
        <v>95</v>
      </c>
      <c r="C116" s="8">
        <f t="shared" si="68"/>
        <v>0.05</v>
      </c>
      <c r="D116" s="8">
        <f t="shared" ref="D116:O116" ca="1" si="99">C116+k*(theta-C116)*dt+vol*SQRT(dt*C116)*_xlfn.NORM.S.INV(RAND())</f>
        <v>5.1543692286431068E-2</v>
      </c>
      <c r="E116" s="8">
        <f t="shared" ca="1" si="99"/>
        <v>5.3814795163333574E-2</v>
      </c>
      <c r="F116" s="8">
        <f t="shared" ca="1" si="99"/>
        <v>5.385565242155075E-2</v>
      </c>
      <c r="G116" s="8">
        <f t="shared" ca="1" si="99"/>
        <v>5.3911437194930661E-2</v>
      </c>
      <c r="H116" s="8">
        <f t="shared" ca="1" si="99"/>
        <v>5.4486967780561051E-2</v>
      </c>
      <c r="I116" s="8">
        <f t="shared" ca="1" si="99"/>
        <v>5.4171140340622599E-2</v>
      </c>
      <c r="J116" s="8">
        <f t="shared" ca="1" si="99"/>
        <v>5.3244694424812146E-2</v>
      </c>
      <c r="K116" s="8">
        <f t="shared" ca="1" si="99"/>
        <v>5.6302357205805183E-2</v>
      </c>
      <c r="L116" s="8">
        <f t="shared" ca="1" si="99"/>
        <v>5.4998198114085614E-2</v>
      </c>
      <c r="M116" s="8">
        <f t="shared" ca="1" si="99"/>
        <v>5.5190439433620661E-2</v>
      </c>
      <c r="N116" s="8">
        <f t="shared" ca="1" si="99"/>
        <v>5.7300993576110966E-2</v>
      </c>
      <c r="O116" s="8">
        <f t="shared" ca="1" si="99"/>
        <v>5.8635795945118557E-2</v>
      </c>
      <c r="Q116" s="12"/>
    </row>
    <row r="117" spans="2:17">
      <c r="B117" s="3">
        <v>96</v>
      </c>
      <c r="C117" s="8">
        <f t="shared" si="68"/>
        <v>0.05</v>
      </c>
      <c r="D117" s="8">
        <f t="shared" ref="D117:O117" ca="1" si="100">C117+k*(theta-C117)*dt+vol*SQRT(dt*C117)*_xlfn.NORM.S.INV(RAND())</f>
        <v>5.3854917882462966E-2</v>
      </c>
      <c r="E117" s="8">
        <f t="shared" ca="1" si="100"/>
        <v>5.5112634554464988E-2</v>
      </c>
      <c r="F117" s="8">
        <f t="shared" ca="1" si="100"/>
        <v>5.7137055388620933E-2</v>
      </c>
      <c r="G117" s="8">
        <f t="shared" ca="1" si="100"/>
        <v>6.0667698716412359E-2</v>
      </c>
      <c r="H117" s="8">
        <f t="shared" ca="1" si="100"/>
        <v>5.7997661865562725E-2</v>
      </c>
      <c r="I117" s="8">
        <f t="shared" ca="1" si="100"/>
        <v>6.1813597256216719E-2</v>
      </c>
      <c r="J117" s="8">
        <f t="shared" ca="1" si="100"/>
        <v>6.2423124568915592E-2</v>
      </c>
      <c r="K117" s="8">
        <f t="shared" ca="1" si="100"/>
        <v>6.225213147595287E-2</v>
      </c>
      <c r="L117" s="8">
        <f t="shared" ca="1" si="100"/>
        <v>6.1874993840874748E-2</v>
      </c>
      <c r="M117" s="8">
        <f t="shared" ca="1" si="100"/>
        <v>6.2891091785638023E-2</v>
      </c>
      <c r="N117" s="8">
        <f t="shared" ca="1" si="100"/>
        <v>6.3606781859236475E-2</v>
      </c>
      <c r="O117" s="8">
        <f t="shared" ca="1" si="100"/>
        <v>6.399762286850226E-2</v>
      </c>
      <c r="Q117" s="12"/>
    </row>
    <row r="118" spans="2:17">
      <c r="B118" s="3">
        <v>97</v>
      </c>
      <c r="C118" s="8">
        <f t="shared" si="68"/>
        <v>0.05</v>
      </c>
      <c r="D118" s="8">
        <f t="shared" ref="D118:O118" ca="1" si="101">C118+k*(theta-C118)*dt+vol*SQRT(dt*C118)*_xlfn.NORM.S.INV(RAND())</f>
        <v>5.0734731737842279E-2</v>
      </c>
      <c r="E118" s="8">
        <f t="shared" ca="1" si="101"/>
        <v>5.3412017659405911E-2</v>
      </c>
      <c r="F118" s="8">
        <f t="shared" ca="1" si="101"/>
        <v>5.3473455414386167E-2</v>
      </c>
      <c r="G118" s="8">
        <f t="shared" ca="1" si="101"/>
        <v>5.2387243651482882E-2</v>
      </c>
      <c r="H118" s="8">
        <f t="shared" ca="1" si="101"/>
        <v>5.5613501197624496E-2</v>
      </c>
      <c r="I118" s="8">
        <f t="shared" ca="1" si="101"/>
        <v>5.7155505933276424E-2</v>
      </c>
      <c r="J118" s="8">
        <f t="shared" ca="1" si="101"/>
        <v>5.6909831763237682E-2</v>
      </c>
      <c r="K118" s="8">
        <f t="shared" ca="1" si="101"/>
        <v>6.0000243920468994E-2</v>
      </c>
      <c r="L118" s="8">
        <f t="shared" ca="1" si="101"/>
        <v>6.1224422064576768E-2</v>
      </c>
      <c r="M118" s="8">
        <f t="shared" ca="1" si="101"/>
        <v>6.0409445398593595E-2</v>
      </c>
      <c r="N118" s="8">
        <f t="shared" ca="1" si="101"/>
        <v>6.3745200509646549E-2</v>
      </c>
      <c r="O118" s="8">
        <f t="shared" ca="1" si="101"/>
        <v>6.5253052730183572E-2</v>
      </c>
      <c r="Q118" s="12"/>
    </row>
    <row r="119" spans="2:17">
      <c r="B119" s="3">
        <v>98</v>
      </c>
      <c r="C119" s="8">
        <f t="shared" si="68"/>
        <v>0.05</v>
      </c>
      <c r="D119" s="8">
        <f t="shared" ref="D119:O119" ca="1" si="102">C119+k*(theta-C119)*dt+vol*SQRT(dt*C119)*_xlfn.NORM.S.INV(RAND())</f>
        <v>5.3576671741628952E-2</v>
      </c>
      <c r="E119" s="8">
        <f t="shared" ca="1" si="102"/>
        <v>5.7013833148150429E-2</v>
      </c>
      <c r="F119" s="8">
        <f t="shared" ca="1" si="102"/>
        <v>5.803103743779376E-2</v>
      </c>
      <c r="G119" s="8">
        <f t="shared" ca="1" si="102"/>
        <v>5.8505947883558826E-2</v>
      </c>
      <c r="H119" s="8">
        <f t="shared" ca="1" si="102"/>
        <v>5.7094892283130541E-2</v>
      </c>
      <c r="I119" s="8">
        <f t="shared" ca="1" si="102"/>
        <v>5.75760029703608E-2</v>
      </c>
      <c r="J119" s="8">
        <f t="shared" ca="1" si="102"/>
        <v>5.7889464427428684E-2</v>
      </c>
      <c r="K119" s="8">
        <f t="shared" ca="1" si="102"/>
        <v>5.7659449347894548E-2</v>
      </c>
      <c r="L119" s="8">
        <f t="shared" ca="1" si="102"/>
        <v>5.8405611025497316E-2</v>
      </c>
      <c r="M119" s="8">
        <f t="shared" ca="1" si="102"/>
        <v>5.7746996588470371E-2</v>
      </c>
      <c r="N119" s="8">
        <f t="shared" ca="1" si="102"/>
        <v>5.7685668213471576E-2</v>
      </c>
      <c r="O119" s="8">
        <f t="shared" ca="1" si="102"/>
        <v>5.6872605796969157E-2</v>
      </c>
      <c r="Q119" s="12"/>
    </row>
    <row r="120" spans="2:17">
      <c r="B120" s="3">
        <v>99</v>
      </c>
      <c r="C120" s="8">
        <f t="shared" si="68"/>
        <v>0.05</v>
      </c>
      <c r="D120" s="8">
        <f t="shared" ref="D120:O120" ca="1" si="103">C120+k*(theta-C120)*dt+vol*SQRT(dt*C120)*_xlfn.NORM.S.INV(RAND())</f>
        <v>5.0264780430971469E-2</v>
      </c>
      <c r="E120" s="8">
        <f t="shared" ca="1" si="103"/>
        <v>5.0947277645481105E-2</v>
      </c>
      <c r="F120" s="8">
        <f t="shared" ca="1" si="103"/>
        <v>5.2043489690669714E-2</v>
      </c>
      <c r="G120" s="8">
        <f t="shared" ca="1" si="103"/>
        <v>5.3151978749573246E-2</v>
      </c>
      <c r="H120" s="8">
        <f t="shared" ca="1" si="103"/>
        <v>5.2613557492733651E-2</v>
      </c>
      <c r="I120" s="8">
        <f t="shared" ca="1" si="103"/>
        <v>5.5803671480891832E-2</v>
      </c>
      <c r="J120" s="8">
        <f t="shared" ca="1" si="103"/>
        <v>5.7003352773757905E-2</v>
      </c>
      <c r="K120" s="8">
        <f t="shared" ca="1" si="103"/>
        <v>5.7883710544067456E-2</v>
      </c>
      <c r="L120" s="8">
        <f t="shared" ca="1" si="103"/>
        <v>6.0361584903238306E-2</v>
      </c>
      <c r="M120" s="8">
        <f t="shared" ca="1" si="103"/>
        <v>6.0404059698029013E-2</v>
      </c>
      <c r="N120" s="8">
        <f t="shared" ca="1" si="103"/>
        <v>6.052261059138505E-2</v>
      </c>
      <c r="O120" s="8">
        <f t="shared" ca="1" si="103"/>
        <v>6.1650487761157967E-2</v>
      </c>
      <c r="Q120" s="12"/>
    </row>
    <row r="121" spans="2:17">
      <c r="B121" s="3">
        <v>100</v>
      </c>
      <c r="C121" s="8">
        <f t="shared" si="68"/>
        <v>0.05</v>
      </c>
      <c r="D121" s="8">
        <f t="shared" ref="D121:O121" ca="1" si="104">C121+k*(theta-C121)*dt+vol*SQRT(dt*C121)*_xlfn.NORM.S.INV(RAND())</f>
        <v>4.9775567492898229E-2</v>
      </c>
      <c r="E121" s="8">
        <f t="shared" ca="1" si="104"/>
        <v>5.0731383839153266E-2</v>
      </c>
      <c r="F121" s="8">
        <f t="shared" ca="1" si="104"/>
        <v>5.0726604526988711E-2</v>
      </c>
      <c r="G121" s="8">
        <f t="shared" ca="1" si="104"/>
        <v>5.1701422216092793E-2</v>
      </c>
      <c r="H121" s="8">
        <f t="shared" ca="1" si="104"/>
        <v>5.3050561330750992E-2</v>
      </c>
      <c r="I121" s="8">
        <f t="shared" ca="1" si="104"/>
        <v>5.3256926779301897E-2</v>
      </c>
      <c r="J121" s="8">
        <f t="shared" ca="1" si="104"/>
        <v>5.6275411696209802E-2</v>
      </c>
      <c r="K121" s="8">
        <f t="shared" ca="1" si="104"/>
        <v>5.5991246802014602E-2</v>
      </c>
      <c r="L121" s="8">
        <f t="shared" ca="1" si="104"/>
        <v>5.7895941048210386E-2</v>
      </c>
      <c r="M121" s="8">
        <f t="shared" ca="1" si="104"/>
        <v>5.6327243066279495E-2</v>
      </c>
      <c r="N121" s="8">
        <f t="shared" ca="1" si="104"/>
        <v>5.6307551210081873E-2</v>
      </c>
      <c r="O121" s="8">
        <f t="shared" ca="1" si="104"/>
        <v>5.7735953485526445E-2</v>
      </c>
      <c r="Q121" s="12"/>
    </row>
    <row r="122" spans="2:17">
      <c r="B122" s="3">
        <v>101</v>
      </c>
      <c r="C122" s="8">
        <f t="shared" si="68"/>
        <v>0.05</v>
      </c>
      <c r="D122" s="8">
        <f t="shared" ref="D122:O122" ca="1" si="105">C122+k*(theta-C122)*dt+vol*SQRT(dt*C122)*_xlfn.NORM.S.INV(RAND())</f>
        <v>5.0270902633400096E-2</v>
      </c>
      <c r="E122" s="8">
        <f t="shared" ca="1" si="105"/>
        <v>4.9811686658051621E-2</v>
      </c>
      <c r="F122" s="8">
        <f t="shared" ca="1" si="105"/>
        <v>5.0114682522497546E-2</v>
      </c>
      <c r="G122" s="8">
        <f t="shared" ca="1" si="105"/>
        <v>5.1901821653583341E-2</v>
      </c>
      <c r="H122" s="8">
        <f t="shared" ca="1" si="105"/>
        <v>5.2652183410952035E-2</v>
      </c>
      <c r="I122" s="8">
        <f t="shared" ca="1" si="105"/>
        <v>5.2712660071869859E-2</v>
      </c>
      <c r="J122" s="8">
        <f t="shared" ca="1" si="105"/>
        <v>5.485289430544802E-2</v>
      </c>
      <c r="K122" s="8">
        <f t="shared" ca="1" si="105"/>
        <v>5.7388923037675045E-2</v>
      </c>
      <c r="L122" s="8">
        <f t="shared" ca="1" si="105"/>
        <v>5.9632793208290423E-2</v>
      </c>
      <c r="M122" s="8">
        <f t="shared" ca="1" si="105"/>
        <v>6.3004152280402848E-2</v>
      </c>
      <c r="N122" s="8">
        <f t="shared" ca="1" si="105"/>
        <v>6.2953559724819266E-2</v>
      </c>
      <c r="O122" s="8">
        <f t="shared" ca="1" si="105"/>
        <v>6.2418098536329798E-2</v>
      </c>
      <c r="Q122" s="12"/>
    </row>
    <row r="123" spans="2:17">
      <c r="B123" s="3">
        <v>102</v>
      </c>
      <c r="C123" s="8">
        <f t="shared" si="68"/>
        <v>0.05</v>
      </c>
      <c r="D123" s="8">
        <f t="shared" ref="D123:O123" ca="1" si="106">C123+k*(theta-C123)*dt+vol*SQRT(dt*C123)*_xlfn.NORM.S.INV(RAND())</f>
        <v>4.9920581466863581E-2</v>
      </c>
      <c r="E123" s="8">
        <f t="shared" ca="1" si="106"/>
        <v>5.1210549159578046E-2</v>
      </c>
      <c r="F123" s="8">
        <f t="shared" ca="1" si="106"/>
        <v>5.2996467490447702E-2</v>
      </c>
      <c r="G123" s="8">
        <f t="shared" ca="1" si="106"/>
        <v>5.3045290152089933E-2</v>
      </c>
      <c r="H123" s="8">
        <f t="shared" ca="1" si="106"/>
        <v>5.3519916342275174E-2</v>
      </c>
      <c r="I123" s="8">
        <f t="shared" ca="1" si="106"/>
        <v>5.1959261504894133E-2</v>
      </c>
      <c r="J123" s="8">
        <f t="shared" ca="1" si="106"/>
        <v>5.4090176092372939E-2</v>
      </c>
      <c r="K123" s="8">
        <f t="shared" ca="1" si="106"/>
        <v>5.6572938013233612E-2</v>
      </c>
      <c r="L123" s="8">
        <f t="shared" ca="1" si="106"/>
        <v>5.7477741670855335E-2</v>
      </c>
      <c r="M123" s="8">
        <f t="shared" ca="1" si="106"/>
        <v>5.7649604992319171E-2</v>
      </c>
      <c r="N123" s="8">
        <f t="shared" ca="1" si="106"/>
        <v>6.1265771926081902E-2</v>
      </c>
      <c r="O123" s="8">
        <f t="shared" ca="1" si="106"/>
        <v>6.2879684385956938E-2</v>
      </c>
      <c r="Q123" s="12"/>
    </row>
    <row r="124" spans="2:17">
      <c r="B124" s="3">
        <v>103</v>
      </c>
      <c r="C124" s="8">
        <f t="shared" si="68"/>
        <v>0.05</v>
      </c>
      <c r="D124" s="8">
        <f t="shared" ref="D124:O124" ca="1" si="107">C124+k*(theta-C124)*dt+vol*SQRT(dt*C124)*_xlfn.NORM.S.INV(RAND())</f>
        <v>5.1044671637247699E-2</v>
      </c>
      <c r="E124" s="8">
        <f t="shared" ca="1" si="107"/>
        <v>5.166011796540524E-2</v>
      </c>
      <c r="F124" s="8">
        <f t="shared" ca="1" si="107"/>
        <v>5.2581215532517163E-2</v>
      </c>
      <c r="G124" s="8">
        <f t="shared" ca="1" si="107"/>
        <v>5.3555031538842286E-2</v>
      </c>
      <c r="H124" s="8">
        <f t="shared" ca="1" si="107"/>
        <v>5.560817685199166E-2</v>
      </c>
      <c r="I124" s="8">
        <f t="shared" ca="1" si="107"/>
        <v>5.5982460016039293E-2</v>
      </c>
      <c r="J124" s="8">
        <f t="shared" ca="1" si="107"/>
        <v>5.8288058171186083E-2</v>
      </c>
      <c r="K124" s="8">
        <f t="shared" ca="1" si="107"/>
        <v>5.8954479217116343E-2</v>
      </c>
      <c r="L124" s="8">
        <f t="shared" ca="1" si="107"/>
        <v>5.9575521854528579E-2</v>
      </c>
      <c r="M124" s="8">
        <f t="shared" ca="1" si="107"/>
        <v>6.0760029473646109E-2</v>
      </c>
      <c r="N124" s="8">
        <f t="shared" ca="1" si="107"/>
        <v>6.3587103026703937E-2</v>
      </c>
      <c r="O124" s="8">
        <f t="shared" ca="1" si="107"/>
        <v>6.5480253720077111E-2</v>
      </c>
      <c r="Q124" s="12"/>
    </row>
    <row r="125" spans="2:17">
      <c r="B125" s="3">
        <v>104</v>
      </c>
      <c r="C125" s="8">
        <f t="shared" si="68"/>
        <v>0.05</v>
      </c>
      <c r="D125" s="8">
        <f t="shared" ref="D125:O125" ca="1" si="108">C125+k*(theta-C125)*dt+vol*SQRT(dt*C125)*_xlfn.NORM.S.INV(RAND())</f>
        <v>5.0994293231388953E-2</v>
      </c>
      <c r="E125" s="8">
        <f t="shared" ca="1" si="108"/>
        <v>5.2843900512569396E-2</v>
      </c>
      <c r="F125" s="8">
        <f t="shared" ca="1" si="108"/>
        <v>5.2962517458692189E-2</v>
      </c>
      <c r="G125" s="8">
        <f t="shared" ca="1" si="108"/>
        <v>5.4650034307766507E-2</v>
      </c>
      <c r="H125" s="8">
        <f t="shared" ca="1" si="108"/>
        <v>5.409068543736259E-2</v>
      </c>
      <c r="I125" s="8">
        <f t="shared" ca="1" si="108"/>
        <v>5.4722107750777127E-2</v>
      </c>
      <c r="J125" s="8">
        <f t="shared" ca="1" si="108"/>
        <v>5.5528366724963613E-2</v>
      </c>
      <c r="K125" s="8">
        <f t="shared" ca="1" si="108"/>
        <v>5.5297693175948445E-2</v>
      </c>
      <c r="L125" s="8">
        <f t="shared" ca="1" si="108"/>
        <v>5.4583010121544352E-2</v>
      </c>
      <c r="M125" s="8">
        <f t="shared" ca="1" si="108"/>
        <v>5.6250860207135114E-2</v>
      </c>
      <c r="N125" s="8">
        <f t="shared" ca="1" si="108"/>
        <v>5.8367157349147353E-2</v>
      </c>
      <c r="O125" s="8">
        <f t="shared" ca="1" si="108"/>
        <v>6.0834063487580484E-2</v>
      </c>
      <c r="Q125" s="12"/>
    </row>
    <row r="126" spans="2:17">
      <c r="B126" s="3">
        <v>105</v>
      </c>
      <c r="C126" s="8">
        <f t="shared" si="68"/>
        <v>0.05</v>
      </c>
      <c r="D126" s="8">
        <f t="shared" ref="D126:O126" ca="1" si="109">C126+k*(theta-C126)*dt+vol*SQRT(dt*C126)*_xlfn.NORM.S.INV(RAND())</f>
        <v>4.9312330735651597E-2</v>
      </c>
      <c r="E126" s="8">
        <f t="shared" ca="1" si="109"/>
        <v>5.1486047979776024E-2</v>
      </c>
      <c r="F126" s="8">
        <f t="shared" ca="1" si="109"/>
        <v>5.2734100551220069E-2</v>
      </c>
      <c r="G126" s="8">
        <f t="shared" ca="1" si="109"/>
        <v>5.6347077906751669E-2</v>
      </c>
      <c r="H126" s="8">
        <f t="shared" ca="1" si="109"/>
        <v>5.6007584131729828E-2</v>
      </c>
      <c r="I126" s="8">
        <f t="shared" ca="1" si="109"/>
        <v>5.939062516743953E-2</v>
      </c>
      <c r="J126" s="8">
        <f t="shared" ca="1" si="109"/>
        <v>5.9660246034555053E-2</v>
      </c>
      <c r="K126" s="8">
        <f t="shared" ca="1" si="109"/>
        <v>5.7360564550225944E-2</v>
      </c>
      <c r="L126" s="8">
        <f t="shared" ca="1" si="109"/>
        <v>6.0388427503635052E-2</v>
      </c>
      <c r="M126" s="8">
        <f t="shared" ca="1" si="109"/>
        <v>6.2233696178057046E-2</v>
      </c>
      <c r="N126" s="8">
        <f t="shared" ca="1" si="109"/>
        <v>6.2876083271909022E-2</v>
      </c>
      <c r="O126" s="8">
        <f t="shared" ca="1" si="109"/>
        <v>6.3862573937075923E-2</v>
      </c>
      <c r="Q126" s="12"/>
    </row>
    <row r="127" spans="2:17">
      <c r="B127" s="3">
        <v>106</v>
      </c>
      <c r="C127" s="8">
        <f t="shared" si="68"/>
        <v>0.05</v>
      </c>
      <c r="D127" s="8">
        <f t="shared" ref="D127:O127" ca="1" si="110">C127+k*(theta-C127)*dt+vol*SQRT(dt*C127)*_xlfn.NORM.S.INV(RAND())</f>
        <v>5.0672687587432791E-2</v>
      </c>
      <c r="E127" s="8">
        <f t="shared" ca="1" si="110"/>
        <v>5.2220909232373006E-2</v>
      </c>
      <c r="F127" s="8">
        <f t="shared" ca="1" si="110"/>
        <v>5.278781057659851E-2</v>
      </c>
      <c r="G127" s="8">
        <f t="shared" ca="1" si="110"/>
        <v>5.4343853871531102E-2</v>
      </c>
      <c r="H127" s="8">
        <f t="shared" ca="1" si="110"/>
        <v>5.4781469837356725E-2</v>
      </c>
      <c r="I127" s="8">
        <f t="shared" ca="1" si="110"/>
        <v>5.5523818387861454E-2</v>
      </c>
      <c r="J127" s="8">
        <f t="shared" ca="1" si="110"/>
        <v>5.6073787427341634E-2</v>
      </c>
      <c r="K127" s="8">
        <f t="shared" ca="1" si="110"/>
        <v>5.9260921153675775E-2</v>
      </c>
      <c r="L127" s="8">
        <f t="shared" ca="1" si="110"/>
        <v>6.0241314110618858E-2</v>
      </c>
      <c r="M127" s="8">
        <f t="shared" ca="1" si="110"/>
        <v>5.9934058958730101E-2</v>
      </c>
      <c r="N127" s="8">
        <f t="shared" ca="1" si="110"/>
        <v>5.8912403929731287E-2</v>
      </c>
      <c r="O127" s="8">
        <f t="shared" ca="1" si="110"/>
        <v>5.8792630031815986E-2</v>
      </c>
      <c r="Q127" s="12"/>
    </row>
    <row r="128" spans="2:17">
      <c r="B128" s="3">
        <v>107</v>
      </c>
      <c r="C128" s="8">
        <f t="shared" si="68"/>
        <v>0.05</v>
      </c>
      <c r="D128" s="8">
        <f t="shared" ref="D128:O128" ca="1" si="111">C128+k*(theta-C128)*dt+vol*SQRT(dt*C128)*_xlfn.NORM.S.INV(RAND())</f>
        <v>4.9532174400786437E-2</v>
      </c>
      <c r="E128" s="8">
        <f t="shared" ca="1" si="111"/>
        <v>5.2332814739333315E-2</v>
      </c>
      <c r="F128" s="8">
        <f t="shared" ca="1" si="111"/>
        <v>5.3774008355147111E-2</v>
      </c>
      <c r="G128" s="8">
        <f t="shared" ca="1" si="111"/>
        <v>5.4552446409180978E-2</v>
      </c>
      <c r="H128" s="8">
        <f t="shared" ca="1" si="111"/>
        <v>5.4501914155076166E-2</v>
      </c>
      <c r="I128" s="8">
        <f t="shared" ca="1" si="111"/>
        <v>5.630731602403629E-2</v>
      </c>
      <c r="J128" s="8">
        <f t="shared" ca="1" si="111"/>
        <v>5.8423203185522049E-2</v>
      </c>
      <c r="K128" s="8">
        <f t="shared" ca="1" si="111"/>
        <v>6.1016501315794863E-2</v>
      </c>
      <c r="L128" s="8">
        <f t="shared" ca="1" si="111"/>
        <v>6.4062550992137715E-2</v>
      </c>
      <c r="M128" s="8">
        <f t="shared" ca="1" si="111"/>
        <v>6.4179031441241416E-2</v>
      </c>
      <c r="N128" s="8">
        <f t="shared" ca="1" si="111"/>
        <v>6.4423343605799557E-2</v>
      </c>
      <c r="O128" s="8">
        <f t="shared" ca="1" si="111"/>
        <v>6.3738672884769004E-2</v>
      </c>
      <c r="Q128" s="12"/>
    </row>
    <row r="129" spans="2:17">
      <c r="B129" s="3">
        <v>108</v>
      </c>
      <c r="C129" s="8">
        <f t="shared" si="68"/>
        <v>0.05</v>
      </c>
      <c r="D129" s="8">
        <f t="shared" ref="D129:O129" ca="1" si="112">C129+k*(theta-C129)*dt+vol*SQRT(dt*C129)*_xlfn.NORM.S.INV(RAND())</f>
        <v>5.1209286675719175E-2</v>
      </c>
      <c r="E129" s="8">
        <f t="shared" ca="1" si="112"/>
        <v>5.2242816006004979E-2</v>
      </c>
      <c r="F129" s="8">
        <f t="shared" ca="1" si="112"/>
        <v>5.4948598552333673E-2</v>
      </c>
      <c r="G129" s="8">
        <f t="shared" ca="1" si="112"/>
        <v>5.5040017040692474E-2</v>
      </c>
      <c r="H129" s="8">
        <f t="shared" ca="1" si="112"/>
        <v>5.7083014991170862E-2</v>
      </c>
      <c r="I129" s="8">
        <f t="shared" ca="1" si="112"/>
        <v>5.7748123053284181E-2</v>
      </c>
      <c r="J129" s="8">
        <f t="shared" ca="1" si="112"/>
        <v>6.1014185258042482E-2</v>
      </c>
      <c r="K129" s="8">
        <f t="shared" ca="1" si="112"/>
        <v>6.1914383716240078E-2</v>
      </c>
      <c r="L129" s="8">
        <f t="shared" ca="1" si="112"/>
        <v>6.118698911115112E-2</v>
      </c>
      <c r="M129" s="8">
        <f t="shared" ca="1" si="112"/>
        <v>6.2443822714941213E-2</v>
      </c>
      <c r="N129" s="8">
        <f t="shared" ca="1" si="112"/>
        <v>6.3167376601046391E-2</v>
      </c>
      <c r="O129" s="8">
        <f t="shared" ca="1" si="112"/>
        <v>6.2473922645918625E-2</v>
      </c>
      <c r="Q129" s="12"/>
    </row>
    <row r="130" spans="2:17">
      <c r="B130" s="3">
        <v>109</v>
      </c>
      <c r="C130" s="8">
        <f t="shared" si="68"/>
        <v>0.05</v>
      </c>
      <c r="D130" s="8">
        <f t="shared" ref="D130:O130" ca="1" si="113">C130+k*(theta-C130)*dt+vol*SQRT(dt*C130)*_xlfn.NORM.S.INV(RAND())</f>
        <v>5.2560445595366802E-2</v>
      </c>
      <c r="E130" s="8">
        <f t="shared" ca="1" si="113"/>
        <v>5.6140608504975667E-2</v>
      </c>
      <c r="F130" s="8">
        <f t="shared" ca="1" si="113"/>
        <v>5.8177767345726002E-2</v>
      </c>
      <c r="G130" s="8">
        <f t="shared" ca="1" si="113"/>
        <v>5.6539432416631355E-2</v>
      </c>
      <c r="H130" s="8">
        <f t="shared" ca="1" si="113"/>
        <v>5.4396169668009857E-2</v>
      </c>
      <c r="I130" s="8">
        <f t="shared" ca="1" si="113"/>
        <v>5.6825121073150367E-2</v>
      </c>
      <c r="J130" s="8">
        <f t="shared" ca="1" si="113"/>
        <v>5.6460017476226892E-2</v>
      </c>
      <c r="K130" s="8">
        <f t="shared" ca="1" si="113"/>
        <v>5.7226431900298344E-2</v>
      </c>
      <c r="L130" s="8">
        <f t="shared" ca="1" si="113"/>
        <v>5.8623774412160122E-2</v>
      </c>
      <c r="M130" s="8">
        <f t="shared" ca="1" si="113"/>
        <v>6.0302731169526808E-2</v>
      </c>
      <c r="N130" s="8">
        <f t="shared" ca="1" si="113"/>
        <v>6.104027165018247E-2</v>
      </c>
      <c r="O130" s="8">
        <f t="shared" ca="1" si="113"/>
        <v>6.2980737121349675E-2</v>
      </c>
      <c r="Q130" s="12"/>
    </row>
    <row r="131" spans="2:17">
      <c r="B131" s="3">
        <v>110</v>
      </c>
      <c r="C131" s="8">
        <f t="shared" si="68"/>
        <v>0.05</v>
      </c>
      <c r="D131" s="8">
        <f t="shared" ref="D131:O131" ca="1" si="114">C131+k*(theta-C131)*dt+vol*SQRT(dt*C131)*_xlfn.NORM.S.INV(RAND())</f>
        <v>5.0632396715159352E-2</v>
      </c>
      <c r="E131" s="8">
        <f t="shared" ca="1" si="114"/>
        <v>5.23470162094678E-2</v>
      </c>
      <c r="F131" s="8">
        <f t="shared" ca="1" si="114"/>
        <v>5.2386965912607927E-2</v>
      </c>
      <c r="G131" s="8">
        <f t="shared" ca="1" si="114"/>
        <v>5.251800935146328E-2</v>
      </c>
      <c r="H131" s="8">
        <f t="shared" ca="1" si="114"/>
        <v>5.3921259147043488E-2</v>
      </c>
      <c r="I131" s="8">
        <f t="shared" ca="1" si="114"/>
        <v>5.4648857760701525E-2</v>
      </c>
      <c r="J131" s="8">
        <f t="shared" ca="1" si="114"/>
        <v>5.4436205310011344E-2</v>
      </c>
      <c r="K131" s="8">
        <f t="shared" ca="1" si="114"/>
        <v>5.6054778800863417E-2</v>
      </c>
      <c r="L131" s="8">
        <f t="shared" ca="1" si="114"/>
        <v>5.7269598155100139E-2</v>
      </c>
      <c r="M131" s="8">
        <f t="shared" ca="1" si="114"/>
        <v>5.8680953781871319E-2</v>
      </c>
      <c r="N131" s="8">
        <f t="shared" ca="1" si="114"/>
        <v>6.0999742007510432E-2</v>
      </c>
      <c r="O131" s="8">
        <f t="shared" ca="1" si="114"/>
        <v>6.3404754145295464E-2</v>
      </c>
      <c r="Q131" s="12"/>
    </row>
    <row r="132" spans="2:17">
      <c r="B132" s="3">
        <v>111</v>
      </c>
      <c r="C132" s="8">
        <f t="shared" si="68"/>
        <v>0.05</v>
      </c>
      <c r="D132" s="8">
        <f t="shared" ref="D132:O132" ca="1" si="115">C132+k*(theta-C132)*dt+vol*SQRT(dt*C132)*_xlfn.NORM.S.INV(RAND())</f>
        <v>5.0684293312803191E-2</v>
      </c>
      <c r="E132" s="8">
        <f t="shared" ca="1" si="115"/>
        <v>5.1543089643818263E-2</v>
      </c>
      <c r="F132" s="8">
        <f t="shared" ca="1" si="115"/>
        <v>5.3170165751480272E-2</v>
      </c>
      <c r="G132" s="8">
        <f t="shared" ca="1" si="115"/>
        <v>5.2319992688144426E-2</v>
      </c>
      <c r="H132" s="8">
        <f t="shared" ca="1" si="115"/>
        <v>5.2961565156927091E-2</v>
      </c>
      <c r="I132" s="8">
        <f t="shared" ca="1" si="115"/>
        <v>5.523169469046952E-2</v>
      </c>
      <c r="J132" s="8">
        <f t="shared" ca="1" si="115"/>
        <v>5.8594702108599073E-2</v>
      </c>
      <c r="K132" s="8">
        <f t="shared" ca="1" si="115"/>
        <v>5.9504384987007032E-2</v>
      </c>
      <c r="L132" s="8">
        <f t="shared" ca="1" si="115"/>
        <v>6.0457306568269011E-2</v>
      </c>
      <c r="M132" s="8">
        <f t="shared" ca="1" si="115"/>
        <v>5.8053358369136589E-2</v>
      </c>
      <c r="N132" s="8">
        <f t="shared" ca="1" si="115"/>
        <v>6.0346919350028561E-2</v>
      </c>
      <c r="O132" s="8">
        <f t="shared" ca="1" si="115"/>
        <v>5.9966006124162932E-2</v>
      </c>
      <c r="Q132" s="12"/>
    </row>
    <row r="133" spans="2:17">
      <c r="B133" s="3">
        <v>112</v>
      </c>
      <c r="C133" s="8">
        <f t="shared" si="68"/>
        <v>0.05</v>
      </c>
      <c r="D133" s="8">
        <f t="shared" ref="D133:O133" ca="1" si="116">C133+k*(theta-C133)*dt+vol*SQRT(dt*C133)*_xlfn.NORM.S.INV(RAND())</f>
        <v>5.2561732686336973E-2</v>
      </c>
      <c r="E133" s="8">
        <f t="shared" ca="1" si="116"/>
        <v>5.6354069798474599E-2</v>
      </c>
      <c r="F133" s="8">
        <f t="shared" ca="1" si="116"/>
        <v>5.8331449110954871E-2</v>
      </c>
      <c r="G133" s="8">
        <f t="shared" ca="1" si="116"/>
        <v>6.0318417935992213E-2</v>
      </c>
      <c r="H133" s="8">
        <f t="shared" ca="1" si="116"/>
        <v>6.3250219222046683E-2</v>
      </c>
      <c r="I133" s="8">
        <f t="shared" ca="1" si="116"/>
        <v>6.4744730723824806E-2</v>
      </c>
      <c r="J133" s="8">
        <f t="shared" ca="1" si="116"/>
        <v>6.6256817684109584E-2</v>
      </c>
      <c r="K133" s="8">
        <f t="shared" ca="1" si="116"/>
        <v>6.6864930480754217E-2</v>
      </c>
      <c r="L133" s="8">
        <f t="shared" ca="1" si="116"/>
        <v>6.9324780343756859E-2</v>
      </c>
      <c r="M133" s="8">
        <f t="shared" ca="1" si="116"/>
        <v>7.112719942167435E-2</v>
      </c>
      <c r="N133" s="8">
        <f t="shared" ca="1" si="116"/>
        <v>7.3357471331305754E-2</v>
      </c>
      <c r="O133" s="8">
        <f t="shared" ca="1" si="116"/>
        <v>7.4455969270547664E-2</v>
      </c>
      <c r="Q133" s="12"/>
    </row>
    <row r="134" spans="2:17">
      <c r="B134" s="3">
        <v>113</v>
      </c>
      <c r="C134" s="8">
        <f t="shared" si="68"/>
        <v>0.05</v>
      </c>
      <c r="D134" s="8">
        <f t="shared" ref="D134:O134" ca="1" si="117">C134+k*(theta-C134)*dt+vol*SQRT(dt*C134)*_xlfn.NORM.S.INV(RAND())</f>
        <v>5.1115311536446627E-2</v>
      </c>
      <c r="E134" s="8">
        <f t="shared" ca="1" si="117"/>
        <v>5.1917088244439857E-2</v>
      </c>
      <c r="F134" s="8">
        <f t="shared" ca="1" si="117"/>
        <v>5.3586866260813396E-2</v>
      </c>
      <c r="G134" s="8">
        <f t="shared" ca="1" si="117"/>
        <v>5.3447644434343661E-2</v>
      </c>
      <c r="H134" s="8">
        <f t="shared" ca="1" si="117"/>
        <v>5.418585832028873E-2</v>
      </c>
      <c r="I134" s="8">
        <f t="shared" ca="1" si="117"/>
        <v>5.8702955158673874E-2</v>
      </c>
      <c r="J134" s="8">
        <f t="shared" ca="1" si="117"/>
        <v>5.7881556027463969E-2</v>
      </c>
      <c r="K134" s="8">
        <f t="shared" ca="1" si="117"/>
        <v>5.8578644676855765E-2</v>
      </c>
      <c r="L134" s="8">
        <f t="shared" ca="1" si="117"/>
        <v>6.0587756728184894E-2</v>
      </c>
      <c r="M134" s="8">
        <f t="shared" ca="1" si="117"/>
        <v>6.133094222828505E-2</v>
      </c>
      <c r="N134" s="8">
        <f t="shared" ca="1" si="117"/>
        <v>6.174050379849539E-2</v>
      </c>
      <c r="O134" s="8">
        <f t="shared" ca="1" si="117"/>
        <v>6.1926653162506812E-2</v>
      </c>
      <c r="Q134" s="12"/>
    </row>
    <row r="135" spans="2:17">
      <c r="B135" s="3">
        <v>114</v>
      </c>
      <c r="C135" s="8">
        <f t="shared" si="68"/>
        <v>0.05</v>
      </c>
      <c r="D135" s="8">
        <f t="shared" ref="D135:O135" ca="1" si="118">C135+k*(theta-C135)*dt+vol*SQRT(dt*C135)*_xlfn.NORM.S.INV(RAND())</f>
        <v>5.0711350791063758E-2</v>
      </c>
      <c r="E135" s="8">
        <f t="shared" ca="1" si="118"/>
        <v>5.1534542589622964E-2</v>
      </c>
      <c r="F135" s="8">
        <f t="shared" ca="1" si="118"/>
        <v>5.0736920375996593E-2</v>
      </c>
      <c r="G135" s="8">
        <f t="shared" ca="1" si="118"/>
        <v>5.3173610584753547E-2</v>
      </c>
      <c r="H135" s="8">
        <f t="shared" ca="1" si="118"/>
        <v>5.4401655368342287E-2</v>
      </c>
      <c r="I135" s="8">
        <f t="shared" ca="1" si="118"/>
        <v>5.604632222019662E-2</v>
      </c>
      <c r="J135" s="8">
        <f t="shared" ca="1" si="118"/>
        <v>5.7619163136062225E-2</v>
      </c>
      <c r="K135" s="8">
        <f t="shared" ca="1" si="118"/>
        <v>5.7602301596238713E-2</v>
      </c>
      <c r="L135" s="8">
        <f t="shared" ca="1" si="118"/>
        <v>6.1010129099766511E-2</v>
      </c>
      <c r="M135" s="8">
        <f t="shared" ca="1" si="118"/>
        <v>5.9983489952813239E-2</v>
      </c>
      <c r="N135" s="8">
        <f t="shared" ca="1" si="118"/>
        <v>6.0999911539348931E-2</v>
      </c>
      <c r="O135" s="8">
        <f t="shared" ca="1" si="118"/>
        <v>5.9818264075273006E-2</v>
      </c>
      <c r="Q135" s="12"/>
    </row>
    <row r="136" spans="2:17">
      <c r="B136" s="3">
        <v>115</v>
      </c>
      <c r="C136" s="8">
        <f t="shared" si="68"/>
        <v>0.05</v>
      </c>
      <c r="D136" s="8">
        <f t="shared" ref="D136:O136" ca="1" si="119">C136+k*(theta-C136)*dt+vol*SQRT(dt*C136)*_xlfn.NORM.S.INV(RAND())</f>
        <v>4.9653496966885563E-2</v>
      </c>
      <c r="E136" s="8">
        <f t="shared" ca="1" si="119"/>
        <v>5.1802903668292821E-2</v>
      </c>
      <c r="F136" s="8">
        <f t="shared" ca="1" si="119"/>
        <v>5.3238649847239673E-2</v>
      </c>
      <c r="G136" s="8">
        <f t="shared" ca="1" si="119"/>
        <v>5.7195786750208366E-2</v>
      </c>
      <c r="H136" s="8">
        <f t="shared" ca="1" si="119"/>
        <v>5.8144358170639641E-2</v>
      </c>
      <c r="I136" s="8">
        <f t="shared" ca="1" si="119"/>
        <v>5.9378407671196502E-2</v>
      </c>
      <c r="J136" s="8">
        <f t="shared" ca="1" si="119"/>
        <v>6.0238402316336946E-2</v>
      </c>
      <c r="K136" s="8">
        <f t="shared" ca="1" si="119"/>
        <v>6.1324179958794502E-2</v>
      </c>
      <c r="L136" s="8">
        <f t="shared" ca="1" si="119"/>
        <v>6.3750441628221591E-2</v>
      </c>
      <c r="M136" s="8">
        <f t="shared" ca="1" si="119"/>
        <v>6.5767108484094422E-2</v>
      </c>
      <c r="N136" s="8">
        <f t="shared" ca="1" si="119"/>
        <v>6.5654133300221337E-2</v>
      </c>
      <c r="O136" s="8">
        <f t="shared" ca="1" si="119"/>
        <v>6.3030686534736841E-2</v>
      </c>
      <c r="Q136" s="12"/>
    </row>
    <row r="137" spans="2:17">
      <c r="B137" s="3">
        <v>116</v>
      </c>
      <c r="C137" s="8">
        <f t="shared" si="68"/>
        <v>0.05</v>
      </c>
      <c r="D137" s="8">
        <f t="shared" ref="D137:O137" ca="1" si="120">C137+k*(theta-C137)*dt+vol*SQRT(dt*C137)*_xlfn.NORM.S.INV(RAND())</f>
        <v>5.0552170067565516E-2</v>
      </c>
      <c r="E137" s="8">
        <f t="shared" ca="1" si="120"/>
        <v>5.2964890237800523E-2</v>
      </c>
      <c r="F137" s="8">
        <f t="shared" ca="1" si="120"/>
        <v>5.3111052349870166E-2</v>
      </c>
      <c r="G137" s="8">
        <f t="shared" ca="1" si="120"/>
        <v>5.5225287206495742E-2</v>
      </c>
      <c r="H137" s="8">
        <f t="shared" ca="1" si="120"/>
        <v>5.5449117800523924E-2</v>
      </c>
      <c r="I137" s="8">
        <f t="shared" ca="1" si="120"/>
        <v>5.5790169209996375E-2</v>
      </c>
      <c r="J137" s="8">
        <f t="shared" ca="1" si="120"/>
        <v>5.5204635899674961E-2</v>
      </c>
      <c r="K137" s="8">
        <f t="shared" ca="1" si="120"/>
        <v>5.5701798708705723E-2</v>
      </c>
      <c r="L137" s="8">
        <f t="shared" ca="1" si="120"/>
        <v>5.6303377703870887E-2</v>
      </c>
      <c r="M137" s="8">
        <f t="shared" ca="1" si="120"/>
        <v>5.5528764376312253E-2</v>
      </c>
      <c r="N137" s="8">
        <f t="shared" ca="1" si="120"/>
        <v>5.7082526684844113E-2</v>
      </c>
      <c r="O137" s="8">
        <f t="shared" ca="1" si="120"/>
        <v>5.7920596773887147E-2</v>
      </c>
      <c r="Q137" s="12"/>
    </row>
    <row r="138" spans="2:17">
      <c r="B138" s="3">
        <v>117</v>
      </c>
      <c r="C138" s="8">
        <f t="shared" si="68"/>
        <v>0.05</v>
      </c>
      <c r="D138" s="8">
        <f t="shared" ref="D138:O138" ca="1" si="121">C138+k*(theta-C138)*dt+vol*SQRT(dt*C138)*_xlfn.NORM.S.INV(RAND())</f>
        <v>5.0279216853065176E-2</v>
      </c>
      <c r="E138" s="8">
        <f t="shared" ca="1" si="121"/>
        <v>5.1700127668607349E-2</v>
      </c>
      <c r="F138" s="8">
        <f t="shared" ca="1" si="121"/>
        <v>5.3835430726542406E-2</v>
      </c>
      <c r="G138" s="8">
        <f t="shared" ca="1" si="121"/>
        <v>5.4341401424084119E-2</v>
      </c>
      <c r="H138" s="8">
        <f t="shared" ca="1" si="121"/>
        <v>5.5840045452803036E-2</v>
      </c>
      <c r="I138" s="8">
        <f t="shared" ca="1" si="121"/>
        <v>5.7010095135505146E-2</v>
      </c>
      <c r="J138" s="8">
        <f t="shared" ca="1" si="121"/>
        <v>5.9654627943526196E-2</v>
      </c>
      <c r="K138" s="8">
        <f t="shared" ca="1" si="121"/>
        <v>6.0196583306613226E-2</v>
      </c>
      <c r="L138" s="8">
        <f t="shared" ca="1" si="121"/>
        <v>6.2741834812538158E-2</v>
      </c>
      <c r="M138" s="8">
        <f t="shared" ca="1" si="121"/>
        <v>6.2583047820959969E-2</v>
      </c>
      <c r="N138" s="8">
        <f t="shared" ca="1" si="121"/>
        <v>6.2317231129270963E-2</v>
      </c>
      <c r="O138" s="8">
        <f t="shared" ca="1" si="121"/>
        <v>6.3243443407585739E-2</v>
      </c>
      <c r="Q138" s="12"/>
    </row>
    <row r="139" spans="2:17">
      <c r="B139" s="3">
        <v>118</v>
      </c>
      <c r="C139" s="8">
        <f t="shared" si="68"/>
        <v>0.05</v>
      </c>
      <c r="D139" s="8">
        <f t="shared" ref="D139:O139" ca="1" si="122">C139+k*(theta-C139)*dt+vol*SQRT(dt*C139)*_xlfn.NORM.S.INV(RAND())</f>
        <v>5.1501637084927637E-2</v>
      </c>
      <c r="E139" s="8">
        <f t="shared" ca="1" si="122"/>
        <v>5.2601165185309953E-2</v>
      </c>
      <c r="F139" s="8">
        <f t="shared" ca="1" si="122"/>
        <v>5.4648239720225755E-2</v>
      </c>
      <c r="G139" s="8">
        <f t="shared" ca="1" si="122"/>
        <v>5.569489595097888E-2</v>
      </c>
      <c r="H139" s="8">
        <f t="shared" ca="1" si="122"/>
        <v>5.5301186490731562E-2</v>
      </c>
      <c r="I139" s="8">
        <f t="shared" ca="1" si="122"/>
        <v>5.7108065065089406E-2</v>
      </c>
      <c r="J139" s="8">
        <f t="shared" ca="1" si="122"/>
        <v>5.7800574668719566E-2</v>
      </c>
      <c r="K139" s="8">
        <f t="shared" ca="1" si="122"/>
        <v>5.9466862997469061E-2</v>
      </c>
      <c r="L139" s="8">
        <f t="shared" ca="1" si="122"/>
        <v>5.9574775777627043E-2</v>
      </c>
      <c r="M139" s="8">
        <f t="shared" ca="1" si="122"/>
        <v>5.7659657357353115E-2</v>
      </c>
      <c r="N139" s="8">
        <f t="shared" ca="1" si="122"/>
        <v>6.0524389954586325E-2</v>
      </c>
      <c r="O139" s="8">
        <f t="shared" ca="1" si="122"/>
        <v>6.0032391599509516E-2</v>
      </c>
      <c r="Q139" s="12"/>
    </row>
    <row r="140" spans="2:17">
      <c r="B140" s="3">
        <v>119</v>
      </c>
      <c r="C140" s="8">
        <f t="shared" si="68"/>
        <v>0.05</v>
      </c>
      <c r="D140" s="8">
        <f t="shared" ref="D140:O140" ca="1" si="123">C140+k*(theta-C140)*dt+vol*SQRT(dt*C140)*_xlfn.NORM.S.INV(RAND())</f>
        <v>4.9155118006657506E-2</v>
      </c>
      <c r="E140" s="8">
        <f t="shared" ca="1" si="123"/>
        <v>5.137182601435919E-2</v>
      </c>
      <c r="F140" s="8">
        <f t="shared" ca="1" si="123"/>
        <v>5.3038182804476128E-2</v>
      </c>
      <c r="G140" s="8">
        <f t="shared" ca="1" si="123"/>
        <v>5.2409719291255909E-2</v>
      </c>
      <c r="H140" s="8">
        <f t="shared" ca="1" si="123"/>
        <v>5.343193706026108E-2</v>
      </c>
      <c r="I140" s="8">
        <f t="shared" ca="1" si="123"/>
        <v>5.5893620779719475E-2</v>
      </c>
      <c r="J140" s="8">
        <f t="shared" ca="1" si="123"/>
        <v>5.9212407471733355E-2</v>
      </c>
      <c r="K140" s="8">
        <f t="shared" ca="1" si="123"/>
        <v>5.8689895953366385E-2</v>
      </c>
      <c r="L140" s="8">
        <f t="shared" ca="1" si="123"/>
        <v>6.0899616850167863E-2</v>
      </c>
      <c r="M140" s="8">
        <f t="shared" ca="1" si="123"/>
        <v>6.3940880672365544E-2</v>
      </c>
      <c r="N140" s="8">
        <f t="shared" ca="1" si="123"/>
        <v>6.3136368794354275E-2</v>
      </c>
      <c r="O140" s="8">
        <f t="shared" ca="1" si="123"/>
        <v>6.2769947115394339E-2</v>
      </c>
      <c r="Q140" s="12"/>
    </row>
    <row r="141" spans="2:17">
      <c r="B141" s="3">
        <v>120</v>
      </c>
      <c r="C141" s="8">
        <f t="shared" si="68"/>
        <v>0.05</v>
      </c>
      <c r="D141" s="8">
        <f t="shared" ref="D141:O141" ca="1" si="124">C141+k*(theta-C141)*dt+vol*SQRT(dt*C141)*_xlfn.NORM.S.INV(RAND())</f>
        <v>5.065579970441144E-2</v>
      </c>
      <c r="E141" s="8">
        <f t="shared" ca="1" si="124"/>
        <v>5.3029428683176186E-2</v>
      </c>
      <c r="F141" s="8">
        <f t="shared" ca="1" si="124"/>
        <v>5.6738473700279818E-2</v>
      </c>
      <c r="G141" s="8">
        <f t="shared" ca="1" si="124"/>
        <v>5.7700384375049034E-2</v>
      </c>
      <c r="H141" s="8">
        <f t="shared" ca="1" si="124"/>
        <v>5.7937653951660208E-2</v>
      </c>
      <c r="I141" s="8">
        <f t="shared" ca="1" si="124"/>
        <v>5.8910040758983657E-2</v>
      </c>
      <c r="J141" s="8">
        <f t="shared" ca="1" si="124"/>
        <v>6.1787234137335841E-2</v>
      </c>
      <c r="K141" s="8">
        <f t="shared" ca="1" si="124"/>
        <v>6.2297980352430761E-2</v>
      </c>
      <c r="L141" s="8">
        <f t="shared" ca="1" si="124"/>
        <v>6.4141564417033697E-2</v>
      </c>
      <c r="M141" s="8">
        <f t="shared" ca="1" si="124"/>
        <v>6.5604999396220623E-2</v>
      </c>
      <c r="N141" s="8">
        <f t="shared" ca="1" si="124"/>
        <v>6.3943189759308613E-2</v>
      </c>
      <c r="O141" s="8">
        <f t="shared" ca="1" si="124"/>
        <v>6.6109705679580133E-2</v>
      </c>
      <c r="Q141" s="12"/>
    </row>
    <row r="142" spans="2:17">
      <c r="B142" s="3">
        <v>121</v>
      </c>
      <c r="C142" s="8">
        <f t="shared" si="68"/>
        <v>0.05</v>
      </c>
      <c r="D142" s="8">
        <f t="shared" ref="D142:O142" ca="1" si="125">C142+k*(theta-C142)*dt+vol*SQRT(dt*C142)*_xlfn.NORM.S.INV(RAND())</f>
        <v>5.0297690294116237E-2</v>
      </c>
      <c r="E142" s="8">
        <f t="shared" ca="1" si="125"/>
        <v>5.2845506480616575E-2</v>
      </c>
      <c r="F142" s="8">
        <f t="shared" ca="1" si="125"/>
        <v>5.3256121024387156E-2</v>
      </c>
      <c r="G142" s="8">
        <f t="shared" ca="1" si="125"/>
        <v>5.4390381353656245E-2</v>
      </c>
      <c r="H142" s="8">
        <f t="shared" ca="1" si="125"/>
        <v>5.8262914687421334E-2</v>
      </c>
      <c r="I142" s="8">
        <f t="shared" ca="1" si="125"/>
        <v>6.0066952684967992E-2</v>
      </c>
      <c r="J142" s="8">
        <f t="shared" ca="1" si="125"/>
        <v>6.0968635109016393E-2</v>
      </c>
      <c r="K142" s="8">
        <f t="shared" ca="1" si="125"/>
        <v>6.2039719194582232E-2</v>
      </c>
      <c r="L142" s="8">
        <f t="shared" ca="1" si="125"/>
        <v>6.0930603739090289E-2</v>
      </c>
      <c r="M142" s="8">
        <f t="shared" ca="1" si="125"/>
        <v>6.1774004789327056E-2</v>
      </c>
      <c r="N142" s="8">
        <f t="shared" ca="1" si="125"/>
        <v>6.3754822998930649E-2</v>
      </c>
      <c r="O142" s="8">
        <f t="shared" ca="1" si="125"/>
        <v>6.2885979284309806E-2</v>
      </c>
      <c r="Q142" s="12"/>
    </row>
    <row r="143" spans="2:17">
      <c r="B143" s="3">
        <v>122</v>
      </c>
      <c r="C143" s="8">
        <f t="shared" si="68"/>
        <v>0.05</v>
      </c>
      <c r="D143" s="8">
        <f t="shared" ref="D143:O143" ca="1" si="126">C143+k*(theta-C143)*dt+vol*SQRT(dt*C143)*_xlfn.NORM.S.INV(RAND())</f>
        <v>5.2864742823708774E-2</v>
      </c>
      <c r="E143" s="8">
        <f t="shared" ca="1" si="126"/>
        <v>5.3274969557125823E-2</v>
      </c>
      <c r="F143" s="8">
        <f t="shared" ca="1" si="126"/>
        <v>5.6770919724260002E-2</v>
      </c>
      <c r="G143" s="8">
        <f t="shared" ca="1" si="126"/>
        <v>5.6580941495287848E-2</v>
      </c>
      <c r="H143" s="8">
        <f t="shared" ca="1" si="126"/>
        <v>5.9052457554959241E-2</v>
      </c>
      <c r="I143" s="8">
        <f t="shared" ca="1" si="126"/>
        <v>6.0423605804520837E-2</v>
      </c>
      <c r="J143" s="8">
        <f t="shared" ca="1" si="126"/>
        <v>5.8263268600294647E-2</v>
      </c>
      <c r="K143" s="8">
        <f t="shared" ca="1" si="126"/>
        <v>6.0784342874742978E-2</v>
      </c>
      <c r="L143" s="8">
        <f t="shared" ca="1" si="126"/>
        <v>6.0015899706124122E-2</v>
      </c>
      <c r="M143" s="8">
        <f t="shared" ca="1" si="126"/>
        <v>6.259009051442338E-2</v>
      </c>
      <c r="N143" s="8">
        <f t="shared" ca="1" si="126"/>
        <v>6.4218223705228422E-2</v>
      </c>
      <c r="O143" s="8">
        <f t="shared" ca="1" si="126"/>
        <v>6.4888346776844741E-2</v>
      </c>
      <c r="Q143" s="12"/>
    </row>
    <row r="144" spans="2:17">
      <c r="B144" s="3">
        <v>123</v>
      </c>
      <c r="C144" s="8">
        <f t="shared" si="68"/>
        <v>0.05</v>
      </c>
      <c r="D144" s="8">
        <f t="shared" ref="D144:O144" ca="1" si="127">C144+k*(theta-C144)*dt+vol*SQRT(dt*C144)*_xlfn.NORM.S.INV(RAND())</f>
        <v>4.8984767467794205E-2</v>
      </c>
      <c r="E144" s="8">
        <f t="shared" ca="1" si="127"/>
        <v>4.9693369615925152E-2</v>
      </c>
      <c r="F144" s="8">
        <f t="shared" ca="1" si="127"/>
        <v>5.2186902178233699E-2</v>
      </c>
      <c r="G144" s="8">
        <f t="shared" ca="1" si="127"/>
        <v>5.4707965799297618E-2</v>
      </c>
      <c r="H144" s="8">
        <f t="shared" ca="1" si="127"/>
        <v>5.4590100727853322E-2</v>
      </c>
      <c r="I144" s="8">
        <f t="shared" ca="1" si="127"/>
        <v>5.4763253382690884E-2</v>
      </c>
      <c r="J144" s="8">
        <f t="shared" ca="1" si="127"/>
        <v>5.3993469234315458E-2</v>
      </c>
      <c r="K144" s="8">
        <f t="shared" ca="1" si="127"/>
        <v>5.7123757356989942E-2</v>
      </c>
      <c r="L144" s="8">
        <f t="shared" ca="1" si="127"/>
        <v>5.7818786576133999E-2</v>
      </c>
      <c r="M144" s="8">
        <f t="shared" ca="1" si="127"/>
        <v>5.903503914845569E-2</v>
      </c>
      <c r="N144" s="8">
        <f t="shared" ca="1" si="127"/>
        <v>6.1398453684447754E-2</v>
      </c>
      <c r="O144" s="8">
        <f t="shared" ca="1" si="127"/>
        <v>6.3781774307233682E-2</v>
      </c>
      <c r="Q144" s="12"/>
    </row>
    <row r="145" spans="2:17">
      <c r="B145" s="3">
        <v>124</v>
      </c>
      <c r="C145" s="8">
        <f t="shared" si="68"/>
        <v>0.05</v>
      </c>
      <c r="D145" s="8">
        <f t="shared" ref="D145:O145" ca="1" si="128">C145+k*(theta-C145)*dt+vol*SQRT(dt*C145)*_xlfn.NORM.S.INV(RAND())</f>
        <v>4.9081748102529021E-2</v>
      </c>
      <c r="E145" s="8">
        <f t="shared" ca="1" si="128"/>
        <v>5.1524598838998251E-2</v>
      </c>
      <c r="F145" s="8">
        <f t="shared" ca="1" si="128"/>
        <v>5.2261637550493241E-2</v>
      </c>
      <c r="G145" s="8">
        <f t="shared" ca="1" si="128"/>
        <v>5.3384496151754543E-2</v>
      </c>
      <c r="H145" s="8">
        <f t="shared" ca="1" si="128"/>
        <v>5.5263573192230762E-2</v>
      </c>
      <c r="I145" s="8">
        <f t="shared" ca="1" si="128"/>
        <v>5.6296637394042191E-2</v>
      </c>
      <c r="J145" s="8">
        <f t="shared" ca="1" si="128"/>
        <v>5.7178648260098927E-2</v>
      </c>
      <c r="K145" s="8">
        <f t="shared" ca="1" si="128"/>
        <v>5.7386134347568972E-2</v>
      </c>
      <c r="L145" s="8">
        <f t="shared" ca="1" si="128"/>
        <v>5.9135690194247532E-2</v>
      </c>
      <c r="M145" s="8">
        <f t="shared" ca="1" si="128"/>
        <v>5.8080474027017048E-2</v>
      </c>
      <c r="N145" s="8">
        <f t="shared" ca="1" si="128"/>
        <v>5.9214265630128465E-2</v>
      </c>
      <c r="O145" s="8">
        <f t="shared" ca="1" si="128"/>
        <v>5.8700032942343029E-2</v>
      </c>
      <c r="Q145" s="12"/>
    </row>
    <row r="146" spans="2:17">
      <c r="B146" s="3">
        <v>125</v>
      </c>
      <c r="C146" s="8">
        <f t="shared" si="68"/>
        <v>0.05</v>
      </c>
      <c r="D146" s="8">
        <f t="shared" ref="D146:O146" ca="1" si="129">C146+k*(theta-C146)*dt+vol*SQRT(dt*C146)*_xlfn.NORM.S.INV(RAND())</f>
        <v>5.0340902956975957E-2</v>
      </c>
      <c r="E146" s="8">
        <f t="shared" ca="1" si="129"/>
        <v>5.2188257212203479E-2</v>
      </c>
      <c r="F146" s="8">
        <f t="shared" ca="1" si="129"/>
        <v>5.3518157670287378E-2</v>
      </c>
      <c r="G146" s="8">
        <f t="shared" ca="1" si="129"/>
        <v>5.5932217321968916E-2</v>
      </c>
      <c r="H146" s="8">
        <f t="shared" ca="1" si="129"/>
        <v>5.6165894353852955E-2</v>
      </c>
      <c r="I146" s="8">
        <f t="shared" ca="1" si="129"/>
        <v>5.5957072245595943E-2</v>
      </c>
      <c r="J146" s="8">
        <f t="shared" ca="1" si="129"/>
        <v>5.7109697027569857E-2</v>
      </c>
      <c r="K146" s="8">
        <f t="shared" ca="1" si="129"/>
        <v>5.5922094056336025E-2</v>
      </c>
      <c r="L146" s="8">
        <f t="shared" ca="1" si="129"/>
        <v>5.5153381787804705E-2</v>
      </c>
      <c r="M146" s="8">
        <f t="shared" ca="1" si="129"/>
        <v>5.6973251504031881E-2</v>
      </c>
      <c r="N146" s="8">
        <f t="shared" ca="1" si="129"/>
        <v>5.7844068250965545E-2</v>
      </c>
      <c r="O146" s="8">
        <f t="shared" ca="1" si="129"/>
        <v>5.8130092373255005E-2</v>
      </c>
      <c r="Q146" s="12"/>
    </row>
    <row r="147" spans="2:17">
      <c r="B147" s="3">
        <v>126</v>
      </c>
      <c r="C147" s="8">
        <f t="shared" si="68"/>
        <v>0.05</v>
      </c>
      <c r="D147" s="8">
        <f t="shared" ref="D147:O147" ca="1" si="130">C147+k*(theta-C147)*dt+vol*SQRT(dt*C147)*_xlfn.NORM.S.INV(RAND())</f>
        <v>5.1087356686037692E-2</v>
      </c>
      <c r="E147" s="8">
        <f t="shared" ca="1" si="130"/>
        <v>5.1884500839100671E-2</v>
      </c>
      <c r="F147" s="8">
        <f t="shared" ca="1" si="130"/>
        <v>5.4571965705893441E-2</v>
      </c>
      <c r="G147" s="8">
        <f t="shared" ca="1" si="130"/>
        <v>5.580443734295535E-2</v>
      </c>
      <c r="H147" s="8">
        <f t="shared" ca="1" si="130"/>
        <v>5.6250332620425274E-2</v>
      </c>
      <c r="I147" s="8">
        <f t="shared" ca="1" si="130"/>
        <v>5.8008462287038896E-2</v>
      </c>
      <c r="J147" s="8">
        <f t="shared" ca="1" si="130"/>
        <v>6.1234410234734499E-2</v>
      </c>
      <c r="K147" s="8">
        <f t="shared" ca="1" si="130"/>
        <v>6.2319702721841307E-2</v>
      </c>
      <c r="L147" s="8">
        <f t="shared" ca="1" si="130"/>
        <v>6.3999377330031262E-2</v>
      </c>
      <c r="M147" s="8">
        <f t="shared" ca="1" si="130"/>
        <v>6.3891970255811337E-2</v>
      </c>
      <c r="N147" s="8">
        <f t="shared" ca="1" si="130"/>
        <v>6.4550958087292554E-2</v>
      </c>
      <c r="O147" s="8">
        <f t="shared" ca="1" si="130"/>
        <v>6.1953692953011195E-2</v>
      </c>
      <c r="Q147" s="12"/>
    </row>
    <row r="148" spans="2:17">
      <c r="B148" s="3">
        <v>127</v>
      </c>
      <c r="C148" s="8">
        <f t="shared" si="68"/>
        <v>0.05</v>
      </c>
      <c r="D148" s="8">
        <f t="shared" ref="D148:O148" ca="1" si="131">C148+k*(theta-C148)*dt+vol*SQRT(dt*C148)*_xlfn.NORM.S.INV(RAND())</f>
        <v>5.1904717834818238E-2</v>
      </c>
      <c r="E148" s="8">
        <f t="shared" ca="1" si="131"/>
        <v>5.1370122961546777E-2</v>
      </c>
      <c r="F148" s="8">
        <f t="shared" ca="1" si="131"/>
        <v>5.2562380240533675E-2</v>
      </c>
      <c r="G148" s="8">
        <f t="shared" ca="1" si="131"/>
        <v>5.4738989648413922E-2</v>
      </c>
      <c r="H148" s="8">
        <f t="shared" ca="1" si="131"/>
        <v>5.5734397481973827E-2</v>
      </c>
      <c r="I148" s="8">
        <f t="shared" ca="1" si="131"/>
        <v>5.7068634735928062E-2</v>
      </c>
      <c r="J148" s="8">
        <f t="shared" ca="1" si="131"/>
        <v>5.8416265291030299E-2</v>
      </c>
      <c r="K148" s="8">
        <f t="shared" ca="1" si="131"/>
        <v>5.9680803433008731E-2</v>
      </c>
      <c r="L148" s="8">
        <f t="shared" ca="1" si="131"/>
        <v>6.2574783095349709E-2</v>
      </c>
      <c r="M148" s="8">
        <f t="shared" ca="1" si="131"/>
        <v>6.1601824701818644E-2</v>
      </c>
      <c r="N148" s="8">
        <f t="shared" ca="1" si="131"/>
        <v>6.171663039315313E-2</v>
      </c>
      <c r="O148" s="8">
        <f t="shared" ca="1" si="131"/>
        <v>6.1798849971214515E-2</v>
      </c>
      <c r="Q148" s="12"/>
    </row>
    <row r="149" spans="2:17">
      <c r="B149" s="3">
        <v>128</v>
      </c>
      <c r="C149" s="8">
        <f t="shared" si="68"/>
        <v>0.05</v>
      </c>
      <c r="D149" s="8">
        <f t="shared" ref="D149:O149" ca="1" si="132">C149+k*(theta-C149)*dt+vol*SQRT(dt*C149)*_xlfn.NORM.S.INV(RAND())</f>
        <v>5.0375088187249548E-2</v>
      </c>
      <c r="E149" s="8">
        <f t="shared" ca="1" si="132"/>
        <v>5.0578998821486684E-2</v>
      </c>
      <c r="F149" s="8">
        <f t="shared" ca="1" si="132"/>
        <v>5.0973250906839886E-2</v>
      </c>
      <c r="G149" s="8">
        <f t="shared" ca="1" si="132"/>
        <v>5.3071337743152494E-2</v>
      </c>
      <c r="H149" s="8">
        <f t="shared" ca="1" si="132"/>
        <v>5.6033175530333545E-2</v>
      </c>
      <c r="I149" s="8">
        <f t="shared" ca="1" si="132"/>
        <v>5.6134272241804298E-2</v>
      </c>
      <c r="J149" s="8">
        <f t="shared" ca="1" si="132"/>
        <v>5.6158392068710643E-2</v>
      </c>
      <c r="K149" s="8">
        <f t="shared" ca="1" si="132"/>
        <v>5.7117550139706284E-2</v>
      </c>
      <c r="L149" s="8">
        <f t="shared" ca="1" si="132"/>
        <v>5.7156799959936597E-2</v>
      </c>
      <c r="M149" s="8">
        <f t="shared" ca="1" si="132"/>
        <v>5.7221712525963905E-2</v>
      </c>
      <c r="N149" s="8">
        <f t="shared" ca="1" si="132"/>
        <v>5.645518158910285E-2</v>
      </c>
      <c r="O149" s="8">
        <f t="shared" ca="1" si="132"/>
        <v>5.6170567547235768E-2</v>
      </c>
      <c r="Q149" s="12"/>
    </row>
    <row r="150" spans="2:17">
      <c r="B150" s="3">
        <v>129</v>
      </c>
      <c r="C150" s="8">
        <f t="shared" ref="C150:C213" si="133">r0</f>
        <v>0.05</v>
      </c>
      <c r="D150" s="8">
        <f t="shared" ref="D150:O150" ca="1" si="134">C150+k*(theta-C150)*dt+vol*SQRT(dt*C150)*_xlfn.NORM.S.INV(RAND())</f>
        <v>5.1513280223577922E-2</v>
      </c>
      <c r="E150" s="8">
        <f t="shared" ca="1" si="134"/>
        <v>5.255635999830751E-2</v>
      </c>
      <c r="F150" s="8">
        <f t="shared" ca="1" si="134"/>
        <v>5.4422591911607483E-2</v>
      </c>
      <c r="G150" s="8">
        <f t="shared" ca="1" si="134"/>
        <v>5.3817797882533686E-2</v>
      </c>
      <c r="H150" s="8">
        <f t="shared" ca="1" si="134"/>
        <v>5.2840257623816549E-2</v>
      </c>
      <c r="I150" s="8">
        <f t="shared" ca="1" si="134"/>
        <v>5.3390646014727552E-2</v>
      </c>
      <c r="J150" s="8">
        <f t="shared" ca="1" si="134"/>
        <v>5.6888680901904042E-2</v>
      </c>
      <c r="K150" s="8">
        <f t="shared" ca="1" si="134"/>
        <v>5.7660710983710381E-2</v>
      </c>
      <c r="L150" s="8">
        <f t="shared" ca="1" si="134"/>
        <v>5.8413109351037336E-2</v>
      </c>
      <c r="M150" s="8">
        <f t="shared" ca="1" si="134"/>
        <v>5.9600607071021418E-2</v>
      </c>
      <c r="N150" s="8">
        <f t="shared" ca="1" si="134"/>
        <v>6.1329953596321735E-2</v>
      </c>
      <c r="O150" s="8">
        <f t="shared" ca="1" si="134"/>
        <v>6.380600728353554E-2</v>
      </c>
      <c r="Q150" s="12"/>
    </row>
    <row r="151" spans="2:17">
      <c r="B151" s="3">
        <v>130</v>
      </c>
      <c r="C151" s="8">
        <f t="shared" si="133"/>
        <v>0.05</v>
      </c>
      <c r="D151" s="8">
        <f t="shared" ref="D151:O151" ca="1" si="135">C151+k*(theta-C151)*dt+vol*SQRT(dt*C151)*_xlfn.NORM.S.INV(RAND())</f>
        <v>5.0015884437038714E-2</v>
      </c>
      <c r="E151" s="8">
        <f t="shared" ca="1" si="135"/>
        <v>4.9949493602042982E-2</v>
      </c>
      <c r="F151" s="8">
        <f t="shared" ca="1" si="135"/>
        <v>4.9353743900669531E-2</v>
      </c>
      <c r="G151" s="8">
        <f t="shared" ca="1" si="135"/>
        <v>5.0679292336662143E-2</v>
      </c>
      <c r="H151" s="8">
        <f t="shared" ca="1" si="135"/>
        <v>5.3244725940931048E-2</v>
      </c>
      <c r="I151" s="8">
        <f t="shared" ca="1" si="135"/>
        <v>5.3843542172123539E-2</v>
      </c>
      <c r="J151" s="8">
        <f t="shared" ca="1" si="135"/>
        <v>5.4697525933687763E-2</v>
      </c>
      <c r="K151" s="8">
        <f t="shared" ca="1" si="135"/>
        <v>5.5740171397973992E-2</v>
      </c>
      <c r="L151" s="8">
        <f t="shared" ca="1" si="135"/>
        <v>5.6659866659915493E-2</v>
      </c>
      <c r="M151" s="8">
        <f t="shared" ca="1" si="135"/>
        <v>5.8642636502259905E-2</v>
      </c>
      <c r="N151" s="8">
        <f t="shared" ca="1" si="135"/>
        <v>5.7795372370685182E-2</v>
      </c>
      <c r="O151" s="8">
        <f t="shared" ca="1" si="135"/>
        <v>5.823494036554535E-2</v>
      </c>
      <c r="Q151" s="12"/>
    </row>
    <row r="152" spans="2:17">
      <c r="B152" s="3">
        <v>131</v>
      </c>
      <c r="C152" s="8">
        <f t="shared" si="133"/>
        <v>0.05</v>
      </c>
      <c r="D152" s="8">
        <f t="shared" ref="D152:O152" ca="1" si="136">C152+k*(theta-C152)*dt+vol*SQRT(dt*C152)*_xlfn.NORM.S.INV(RAND())</f>
        <v>5.1498235715297186E-2</v>
      </c>
      <c r="E152" s="8">
        <f t="shared" ca="1" si="136"/>
        <v>5.3605312619140574E-2</v>
      </c>
      <c r="F152" s="8">
        <f t="shared" ca="1" si="136"/>
        <v>5.4942218343525917E-2</v>
      </c>
      <c r="G152" s="8">
        <f t="shared" ca="1" si="136"/>
        <v>5.484820705937285E-2</v>
      </c>
      <c r="H152" s="8">
        <f t="shared" ca="1" si="136"/>
        <v>5.6235955496068281E-2</v>
      </c>
      <c r="I152" s="8">
        <f t="shared" ca="1" si="136"/>
        <v>5.6577793266205982E-2</v>
      </c>
      <c r="J152" s="8">
        <f t="shared" ca="1" si="136"/>
        <v>5.7914207465469603E-2</v>
      </c>
      <c r="K152" s="8">
        <f t="shared" ca="1" si="136"/>
        <v>5.9339462614609956E-2</v>
      </c>
      <c r="L152" s="8">
        <f t="shared" ca="1" si="136"/>
        <v>5.6614017438606119E-2</v>
      </c>
      <c r="M152" s="8">
        <f t="shared" ca="1" si="136"/>
        <v>5.7355100708292112E-2</v>
      </c>
      <c r="N152" s="8">
        <f t="shared" ca="1" si="136"/>
        <v>5.7525230592951761E-2</v>
      </c>
      <c r="O152" s="8">
        <f t="shared" ca="1" si="136"/>
        <v>5.8707523765901673E-2</v>
      </c>
      <c r="Q152" s="12"/>
    </row>
    <row r="153" spans="2:17">
      <c r="B153" s="3">
        <v>132</v>
      </c>
      <c r="C153" s="8">
        <f t="shared" si="133"/>
        <v>0.05</v>
      </c>
      <c r="D153" s="8">
        <f t="shared" ref="D153:O153" ca="1" si="137">C153+k*(theta-C153)*dt+vol*SQRT(dt*C153)*_xlfn.NORM.S.INV(RAND())</f>
        <v>5.2230488464707299E-2</v>
      </c>
      <c r="E153" s="8">
        <f t="shared" ca="1" si="137"/>
        <v>5.2590278964668072E-2</v>
      </c>
      <c r="F153" s="8">
        <f t="shared" ca="1" si="137"/>
        <v>5.3208243045007722E-2</v>
      </c>
      <c r="G153" s="8">
        <f t="shared" ca="1" si="137"/>
        <v>5.3217041180530097E-2</v>
      </c>
      <c r="H153" s="8">
        <f t="shared" ca="1" si="137"/>
        <v>5.2776642402995497E-2</v>
      </c>
      <c r="I153" s="8">
        <f t="shared" ca="1" si="137"/>
        <v>5.4234388502723926E-2</v>
      </c>
      <c r="J153" s="8">
        <f t="shared" ca="1" si="137"/>
        <v>5.5115402917420703E-2</v>
      </c>
      <c r="K153" s="8">
        <f t="shared" ca="1" si="137"/>
        <v>5.6626595467108964E-2</v>
      </c>
      <c r="L153" s="8">
        <f t="shared" ca="1" si="137"/>
        <v>5.8528308380904059E-2</v>
      </c>
      <c r="M153" s="8">
        <f t="shared" ca="1" si="137"/>
        <v>6.2375256241290658E-2</v>
      </c>
      <c r="N153" s="8">
        <f t="shared" ca="1" si="137"/>
        <v>6.5254042965833342E-2</v>
      </c>
      <c r="O153" s="8">
        <f t="shared" ca="1" si="137"/>
        <v>6.6235751647454044E-2</v>
      </c>
      <c r="Q153" s="12"/>
    </row>
    <row r="154" spans="2:17">
      <c r="B154" s="3">
        <v>133</v>
      </c>
      <c r="C154" s="8">
        <f t="shared" si="133"/>
        <v>0.05</v>
      </c>
      <c r="D154" s="8">
        <f t="shared" ref="D154:O154" ca="1" si="138">C154+k*(theta-C154)*dt+vol*SQRT(dt*C154)*_xlfn.NORM.S.INV(RAND())</f>
        <v>5.0877089333359077E-2</v>
      </c>
      <c r="E154" s="8">
        <f t="shared" ca="1" si="138"/>
        <v>5.5067205675795039E-2</v>
      </c>
      <c r="F154" s="8">
        <f t="shared" ca="1" si="138"/>
        <v>5.7610407638420853E-2</v>
      </c>
      <c r="G154" s="8">
        <f t="shared" ca="1" si="138"/>
        <v>5.6995478363751642E-2</v>
      </c>
      <c r="H154" s="8">
        <f t="shared" ca="1" si="138"/>
        <v>5.7854308925113583E-2</v>
      </c>
      <c r="I154" s="8">
        <f t="shared" ca="1" si="138"/>
        <v>5.9701769988389365E-2</v>
      </c>
      <c r="J154" s="8">
        <f t="shared" ca="1" si="138"/>
        <v>6.2325147992855892E-2</v>
      </c>
      <c r="K154" s="8">
        <f t="shared" ca="1" si="138"/>
        <v>6.1488909908855929E-2</v>
      </c>
      <c r="L154" s="8">
        <f t="shared" ca="1" si="138"/>
        <v>6.2977736616612184E-2</v>
      </c>
      <c r="M154" s="8">
        <f t="shared" ca="1" si="138"/>
        <v>6.2050701432633658E-2</v>
      </c>
      <c r="N154" s="8">
        <f t="shared" ca="1" si="138"/>
        <v>6.1397869055760987E-2</v>
      </c>
      <c r="O154" s="8">
        <f t="shared" ca="1" si="138"/>
        <v>6.0566413932670156E-2</v>
      </c>
      <c r="Q154" s="12"/>
    </row>
    <row r="155" spans="2:17">
      <c r="B155" s="3">
        <v>134</v>
      </c>
      <c r="C155" s="8">
        <f t="shared" si="133"/>
        <v>0.05</v>
      </c>
      <c r="D155" s="8">
        <f t="shared" ref="D155:O155" ca="1" si="139">C155+k*(theta-C155)*dt+vol*SQRT(dt*C155)*_xlfn.NORM.S.INV(RAND())</f>
        <v>4.9608270483014007E-2</v>
      </c>
      <c r="E155" s="8">
        <f t="shared" ca="1" si="139"/>
        <v>5.0092551473653324E-2</v>
      </c>
      <c r="F155" s="8">
        <f t="shared" ca="1" si="139"/>
        <v>5.0417798748451592E-2</v>
      </c>
      <c r="G155" s="8">
        <f t="shared" ca="1" si="139"/>
        <v>5.1665612400923933E-2</v>
      </c>
      <c r="H155" s="8">
        <f t="shared" ca="1" si="139"/>
        <v>5.315329824918865E-2</v>
      </c>
      <c r="I155" s="8">
        <f t="shared" ca="1" si="139"/>
        <v>5.5577828951345713E-2</v>
      </c>
      <c r="J155" s="8">
        <f t="shared" ca="1" si="139"/>
        <v>5.6171590522546548E-2</v>
      </c>
      <c r="K155" s="8">
        <f t="shared" ca="1" si="139"/>
        <v>5.6365333347363003E-2</v>
      </c>
      <c r="L155" s="8">
        <f t="shared" ca="1" si="139"/>
        <v>5.8759480815878458E-2</v>
      </c>
      <c r="M155" s="8">
        <f t="shared" ca="1" si="139"/>
        <v>5.7308107674162771E-2</v>
      </c>
      <c r="N155" s="8">
        <f t="shared" ca="1" si="139"/>
        <v>5.9194470430036013E-2</v>
      </c>
      <c r="O155" s="8">
        <f t="shared" ca="1" si="139"/>
        <v>6.1590557390222622E-2</v>
      </c>
      <c r="Q155" s="12"/>
    </row>
    <row r="156" spans="2:17">
      <c r="B156" s="3">
        <v>135</v>
      </c>
      <c r="C156" s="8">
        <f t="shared" si="133"/>
        <v>0.05</v>
      </c>
      <c r="D156" s="8">
        <f t="shared" ref="D156:O156" ca="1" si="140">C156+k*(theta-C156)*dt+vol*SQRT(dt*C156)*_xlfn.NORM.S.INV(RAND())</f>
        <v>5.0537830942446987E-2</v>
      </c>
      <c r="E156" s="8">
        <f t="shared" ca="1" si="140"/>
        <v>5.1106092895401425E-2</v>
      </c>
      <c r="F156" s="8">
        <f t="shared" ca="1" si="140"/>
        <v>5.1341010060362909E-2</v>
      </c>
      <c r="G156" s="8">
        <f t="shared" ca="1" si="140"/>
        <v>5.2268330429962435E-2</v>
      </c>
      <c r="H156" s="8">
        <f t="shared" ca="1" si="140"/>
        <v>5.3292354472911002E-2</v>
      </c>
      <c r="I156" s="8">
        <f t="shared" ca="1" si="140"/>
        <v>5.4034387568414007E-2</v>
      </c>
      <c r="J156" s="8">
        <f t="shared" ca="1" si="140"/>
        <v>5.4062065537830065E-2</v>
      </c>
      <c r="K156" s="8">
        <f t="shared" ca="1" si="140"/>
        <v>5.5446057204967564E-2</v>
      </c>
      <c r="L156" s="8">
        <f t="shared" ca="1" si="140"/>
        <v>5.6453102738242167E-2</v>
      </c>
      <c r="M156" s="8">
        <f t="shared" ca="1" si="140"/>
        <v>5.7392089631843231E-2</v>
      </c>
      <c r="N156" s="8">
        <f t="shared" ca="1" si="140"/>
        <v>5.83926666301244E-2</v>
      </c>
      <c r="O156" s="8">
        <f t="shared" ca="1" si="140"/>
        <v>5.766525153958172E-2</v>
      </c>
      <c r="Q156" s="12"/>
    </row>
    <row r="157" spans="2:17">
      <c r="B157" s="3">
        <v>136</v>
      </c>
      <c r="C157" s="8">
        <f t="shared" si="133"/>
        <v>0.05</v>
      </c>
      <c r="D157" s="8">
        <f t="shared" ref="D157:O157" ca="1" si="141">C157+k*(theta-C157)*dt+vol*SQRT(dt*C157)*_xlfn.NORM.S.INV(RAND())</f>
        <v>5.0361118675944463E-2</v>
      </c>
      <c r="E157" s="8">
        <f t="shared" ca="1" si="141"/>
        <v>5.1167571025487482E-2</v>
      </c>
      <c r="F157" s="8">
        <f t="shared" ca="1" si="141"/>
        <v>5.3245884104946226E-2</v>
      </c>
      <c r="G157" s="8">
        <f t="shared" ca="1" si="141"/>
        <v>5.2808190718107613E-2</v>
      </c>
      <c r="H157" s="8">
        <f t="shared" ca="1" si="141"/>
        <v>5.7451171876823109E-2</v>
      </c>
      <c r="I157" s="8">
        <f t="shared" ca="1" si="141"/>
        <v>5.8503575026826064E-2</v>
      </c>
      <c r="J157" s="8">
        <f t="shared" ca="1" si="141"/>
        <v>5.7222211012967886E-2</v>
      </c>
      <c r="K157" s="8">
        <f t="shared" ca="1" si="141"/>
        <v>5.669489476634651E-2</v>
      </c>
      <c r="L157" s="8">
        <f t="shared" ca="1" si="141"/>
        <v>5.8696870461294952E-2</v>
      </c>
      <c r="M157" s="8">
        <f t="shared" ca="1" si="141"/>
        <v>6.0850432347538466E-2</v>
      </c>
      <c r="N157" s="8">
        <f t="shared" ca="1" si="141"/>
        <v>6.1984985141752651E-2</v>
      </c>
      <c r="O157" s="8">
        <f t="shared" ca="1" si="141"/>
        <v>6.1572544971866094E-2</v>
      </c>
      <c r="Q157" s="12"/>
    </row>
    <row r="158" spans="2:17">
      <c r="B158" s="3">
        <v>137</v>
      </c>
      <c r="C158" s="8">
        <f t="shared" si="133"/>
        <v>0.05</v>
      </c>
      <c r="D158" s="8">
        <f t="shared" ref="D158:O158" ca="1" si="142">C158+k*(theta-C158)*dt+vol*SQRT(dt*C158)*_xlfn.NORM.S.INV(RAND())</f>
        <v>5.105180201688464E-2</v>
      </c>
      <c r="E158" s="8">
        <f t="shared" ca="1" si="142"/>
        <v>5.3489046763413386E-2</v>
      </c>
      <c r="F158" s="8">
        <f t="shared" ca="1" si="142"/>
        <v>5.647631951643084E-2</v>
      </c>
      <c r="G158" s="8">
        <f t="shared" ca="1" si="142"/>
        <v>5.7867259921065436E-2</v>
      </c>
      <c r="H158" s="8">
        <f t="shared" ca="1" si="142"/>
        <v>5.9382172753364146E-2</v>
      </c>
      <c r="I158" s="8">
        <f t="shared" ca="1" si="142"/>
        <v>6.0783157480023095E-2</v>
      </c>
      <c r="J158" s="8">
        <f t="shared" ca="1" si="142"/>
        <v>6.0651270317199128E-2</v>
      </c>
      <c r="K158" s="8">
        <f t="shared" ca="1" si="142"/>
        <v>6.2406642905498647E-2</v>
      </c>
      <c r="L158" s="8">
        <f t="shared" ca="1" si="142"/>
        <v>6.1575377940029409E-2</v>
      </c>
      <c r="M158" s="8">
        <f t="shared" ca="1" si="142"/>
        <v>6.3993766655589132E-2</v>
      </c>
      <c r="N158" s="8">
        <f t="shared" ca="1" si="142"/>
        <v>6.4704786936078479E-2</v>
      </c>
      <c r="O158" s="8">
        <f t="shared" ca="1" si="142"/>
        <v>6.6118314295002839E-2</v>
      </c>
      <c r="Q158" s="12"/>
    </row>
    <row r="159" spans="2:17">
      <c r="B159" s="3">
        <v>138</v>
      </c>
      <c r="C159" s="8">
        <f t="shared" si="133"/>
        <v>0.05</v>
      </c>
      <c r="D159" s="8">
        <f t="shared" ref="D159:O159" ca="1" si="143">C159+k*(theta-C159)*dt+vol*SQRT(dt*C159)*_xlfn.NORM.S.INV(RAND())</f>
        <v>5.099313482404115E-2</v>
      </c>
      <c r="E159" s="8">
        <f t="shared" ca="1" si="143"/>
        <v>5.3832102295647132E-2</v>
      </c>
      <c r="F159" s="8">
        <f t="shared" ca="1" si="143"/>
        <v>5.5756351435346747E-2</v>
      </c>
      <c r="G159" s="8">
        <f t="shared" ca="1" si="143"/>
        <v>5.7038469371701178E-2</v>
      </c>
      <c r="H159" s="8">
        <f t="shared" ca="1" si="143"/>
        <v>5.6542917236349167E-2</v>
      </c>
      <c r="I159" s="8">
        <f t="shared" ca="1" si="143"/>
        <v>5.8309490549492873E-2</v>
      </c>
      <c r="J159" s="8">
        <f t="shared" ca="1" si="143"/>
        <v>6.0897485930852008E-2</v>
      </c>
      <c r="K159" s="8">
        <f t="shared" ca="1" si="143"/>
        <v>6.0747738465897774E-2</v>
      </c>
      <c r="L159" s="8">
        <f t="shared" ca="1" si="143"/>
        <v>6.2922045353882308E-2</v>
      </c>
      <c r="M159" s="8">
        <f t="shared" ca="1" si="143"/>
        <v>6.265628439276931E-2</v>
      </c>
      <c r="N159" s="8">
        <f t="shared" ca="1" si="143"/>
        <v>6.1493924004670748E-2</v>
      </c>
      <c r="O159" s="8">
        <f t="shared" ca="1" si="143"/>
        <v>6.1732007361761591E-2</v>
      </c>
      <c r="Q159" s="12"/>
    </row>
    <row r="160" spans="2:17">
      <c r="B160" s="3">
        <v>139</v>
      </c>
      <c r="C160" s="8">
        <f t="shared" si="133"/>
        <v>0.05</v>
      </c>
      <c r="D160" s="8">
        <f t="shared" ref="D160:O160" ca="1" si="144">C160+k*(theta-C160)*dt+vol*SQRT(dt*C160)*_xlfn.NORM.S.INV(RAND())</f>
        <v>5.160110516514109E-2</v>
      </c>
      <c r="E160" s="8">
        <f t="shared" ca="1" si="144"/>
        <v>5.2065195570057357E-2</v>
      </c>
      <c r="F160" s="8">
        <f t="shared" ca="1" si="144"/>
        <v>5.4342929737687562E-2</v>
      </c>
      <c r="G160" s="8">
        <f t="shared" ca="1" si="144"/>
        <v>5.4737281227493467E-2</v>
      </c>
      <c r="H160" s="8">
        <f t="shared" ca="1" si="144"/>
        <v>5.6484149148545493E-2</v>
      </c>
      <c r="I160" s="8">
        <f t="shared" ca="1" si="144"/>
        <v>5.6312339672680914E-2</v>
      </c>
      <c r="J160" s="8">
        <f t="shared" ca="1" si="144"/>
        <v>5.8557880914069209E-2</v>
      </c>
      <c r="K160" s="8">
        <f t="shared" ca="1" si="144"/>
        <v>5.9552474361612415E-2</v>
      </c>
      <c r="L160" s="8">
        <f t="shared" ca="1" si="144"/>
        <v>6.1406030210244801E-2</v>
      </c>
      <c r="M160" s="8">
        <f t="shared" ca="1" si="144"/>
        <v>6.275005355522853E-2</v>
      </c>
      <c r="N160" s="8">
        <f t="shared" ca="1" si="144"/>
        <v>6.2950200184054617E-2</v>
      </c>
      <c r="O160" s="8">
        <f t="shared" ca="1" si="144"/>
        <v>6.3849742797345538E-2</v>
      </c>
      <c r="Q160" s="12"/>
    </row>
    <row r="161" spans="2:17">
      <c r="B161" s="3">
        <v>140</v>
      </c>
      <c r="C161" s="8">
        <f t="shared" si="133"/>
        <v>0.05</v>
      </c>
      <c r="D161" s="8">
        <f t="shared" ref="D161:O161" ca="1" si="145">C161+k*(theta-C161)*dt+vol*SQRT(dt*C161)*_xlfn.NORM.S.INV(RAND())</f>
        <v>5.1651283495791872E-2</v>
      </c>
      <c r="E161" s="8">
        <f t="shared" ca="1" si="145"/>
        <v>5.3179760856707878E-2</v>
      </c>
      <c r="F161" s="8">
        <f t="shared" ca="1" si="145"/>
        <v>5.3221828336657076E-2</v>
      </c>
      <c r="G161" s="8">
        <f t="shared" ca="1" si="145"/>
        <v>5.3437896572878042E-2</v>
      </c>
      <c r="H161" s="8">
        <f t="shared" ca="1" si="145"/>
        <v>5.2938366675868605E-2</v>
      </c>
      <c r="I161" s="8">
        <f t="shared" ca="1" si="145"/>
        <v>5.375854610058968E-2</v>
      </c>
      <c r="J161" s="8">
        <f t="shared" ca="1" si="145"/>
        <v>5.6051446094601526E-2</v>
      </c>
      <c r="K161" s="8">
        <f t="shared" ca="1" si="145"/>
        <v>5.9211659664685411E-2</v>
      </c>
      <c r="L161" s="8">
        <f t="shared" ca="1" si="145"/>
        <v>5.8848665516591056E-2</v>
      </c>
      <c r="M161" s="8">
        <f t="shared" ca="1" si="145"/>
        <v>6.1654021510943381E-2</v>
      </c>
      <c r="N161" s="8">
        <f t="shared" ca="1" si="145"/>
        <v>6.4712073288159436E-2</v>
      </c>
      <c r="O161" s="8">
        <f t="shared" ca="1" si="145"/>
        <v>6.6159024905094274E-2</v>
      </c>
      <c r="Q161" s="12"/>
    </row>
    <row r="162" spans="2:17">
      <c r="B162" s="3">
        <v>141</v>
      </c>
      <c r="C162" s="8">
        <f t="shared" si="133"/>
        <v>0.05</v>
      </c>
      <c r="D162" s="8">
        <f t="shared" ref="D162:O162" ca="1" si="146">C162+k*(theta-C162)*dt+vol*SQRT(dt*C162)*_xlfn.NORM.S.INV(RAND())</f>
        <v>5.0901339090663932E-2</v>
      </c>
      <c r="E162" s="8">
        <f t="shared" ca="1" si="146"/>
        <v>5.0865233449394455E-2</v>
      </c>
      <c r="F162" s="8">
        <f t="shared" ca="1" si="146"/>
        <v>5.3325647644775834E-2</v>
      </c>
      <c r="G162" s="8">
        <f t="shared" ca="1" si="146"/>
        <v>5.3399335993942906E-2</v>
      </c>
      <c r="H162" s="8">
        <f t="shared" ca="1" si="146"/>
        <v>5.4557054566256376E-2</v>
      </c>
      <c r="I162" s="8">
        <f t="shared" ca="1" si="146"/>
        <v>5.4016098189500247E-2</v>
      </c>
      <c r="J162" s="8">
        <f t="shared" ca="1" si="146"/>
        <v>5.5868786672931395E-2</v>
      </c>
      <c r="K162" s="8">
        <f t="shared" ca="1" si="146"/>
        <v>5.6524513272035753E-2</v>
      </c>
      <c r="L162" s="8">
        <f t="shared" ca="1" si="146"/>
        <v>5.8632941899866529E-2</v>
      </c>
      <c r="M162" s="8">
        <f t="shared" ca="1" si="146"/>
        <v>5.9368100000382618E-2</v>
      </c>
      <c r="N162" s="8">
        <f t="shared" ca="1" si="146"/>
        <v>6.1181722168373906E-2</v>
      </c>
      <c r="O162" s="8">
        <f t="shared" ca="1" si="146"/>
        <v>6.2739678926208783E-2</v>
      </c>
      <c r="Q162" s="12"/>
    </row>
    <row r="163" spans="2:17">
      <c r="B163" s="3">
        <v>142</v>
      </c>
      <c r="C163" s="8">
        <f t="shared" si="133"/>
        <v>0.05</v>
      </c>
      <c r="D163" s="8">
        <f t="shared" ref="D163:O163" ca="1" si="147">C163+k*(theta-C163)*dt+vol*SQRT(dt*C163)*_xlfn.NORM.S.INV(RAND())</f>
        <v>5.1764139760322694E-2</v>
      </c>
      <c r="E163" s="8">
        <f t="shared" ca="1" si="147"/>
        <v>5.3107656385779453E-2</v>
      </c>
      <c r="F163" s="8">
        <f t="shared" ca="1" si="147"/>
        <v>5.6305470116280204E-2</v>
      </c>
      <c r="G163" s="8">
        <f t="shared" ca="1" si="147"/>
        <v>5.7213565261038428E-2</v>
      </c>
      <c r="H163" s="8">
        <f t="shared" ca="1" si="147"/>
        <v>5.8294257579478106E-2</v>
      </c>
      <c r="I163" s="8">
        <f t="shared" ca="1" si="147"/>
        <v>6.1445536019198339E-2</v>
      </c>
      <c r="J163" s="8">
        <f t="shared" ca="1" si="147"/>
        <v>6.154276029625802E-2</v>
      </c>
      <c r="K163" s="8">
        <f t="shared" ca="1" si="147"/>
        <v>5.9927613005818892E-2</v>
      </c>
      <c r="L163" s="8">
        <f t="shared" ca="1" si="147"/>
        <v>5.7800789242613407E-2</v>
      </c>
      <c r="M163" s="8">
        <f t="shared" ca="1" si="147"/>
        <v>5.7103183560947207E-2</v>
      </c>
      <c r="N163" s="8">
        <f t="shared" ca="1" si="147"/>
        <v>5.7647230221601085E-2</v>
      </c>
      <c r="O163" s="8">
        <f t="shared" ca="1" si="147"/>
        <v>5.7969364142402439E-2</v>
      </c>
      <c r="Q163" s="12"/>
    </row>
    <row r="164" spans="2:17">
      <c r="B164" s="3">
        <v>143</v>
      </c>
      <c r="C164" s="8">
        <f t="shared" si="133"/>
        <v>0.05</v>
      </c>
      <c r="D164" s="8">
        <f t="shared" ref="D164:O164" ca="1" si="148">C164+k*(theta-C164)*dt+vol*SQRT(dt*C164)*_xlfn.NORM.S.INV(RAND())</f>
        <v>5.1337878791367149E-2</v>
      </c>
      <c r="E164" s="8">
        <f t="shared" ca="1" si="148"/>
        <v>5.5208468211271199E-2</v>
      </c>
      <c r="F164" s="8">
        <f t="shared" ca="1" si="148"/>
        <v>5.7251687731064288E-2</v>
      </c>
      <c r="G164" s="8">
        <f t="shared" ca="1" si="148"/>
        <v>5.8380558188086254E-2</v>
      </c>
      <c r="H164" s="8">
        <f t="shared" ca="1" si="148"/>
        <v>5.8495860706986529E-2</v>
      </c>
      <c r="I164" s="8">
        <f t="shared" ca="1" si="148"/>
        <v>6.1976435868745079E-2</v>
      </c>
      <c r="J164" s="8">
        <f t="shared" ca="1" si="148"/>
        <v>6.2322897682925878E-2</v>
      </c>
      <c r="K164" s="8">
        <f t="shared" ca="1" si="148"/>
        <v>6.2810685822270784E-2</v>
      </c>
      <c r="L164" s="8">
        <f t="shared" ca="1" si="148"/>
        <v>6.3514234884882781E-2</v>
      </c>
      <c r="M164" s="8">
        <f t="shared" ca="1" si="148"/>
        <v>6.5705777398247081E-2</v>
      </c>
      <c r="N164" s="8">
        <f t="shared" ca="1" si="148"/>
        <v>6.7262382256729467E-2</v>
      </c>
      <c r="O164" s="8">
        <f t="shared" ca="1" si="148"/>
        <v>6.8143316287804276E-2</v>
      </c>
      <c r="Q164" s="12"/>
    </row>
    <row r="165" spans="2:17">
      <c r="B165" s="3">
        <v>144</v>
      </c>
      <c r="C165" s="8">
        <f t="shared" si="133"/>
        <v>0.05</v>
      </c>
      <c r="D165" s="8">
        <f t="shared" ref="D165:O165" ca="1" si="149">C165+k*(theta-C165)*dt+vol*SQRT(dt*C165)*_xlfn.NORM.S.INV(RAND())</f>
        <v>5.1023878902769985E-2</v>
      </c>
      <c r="E165" s="8">
        <f t="shared" ca="1" si="149"/>
        <v>5.1972091206051653E-2</v>
      </c>
      <c r="F165" s="8">
        <f t="shared" ca="1" si="149"/>
        <v>5.6303366975168946E-2</v>
      </c>
      <c r="G165" s="8">
        <f t="shared" ca="1" si="149"/>
        <v>5.7468949139716154E-2</v>
      </c>
      <c r="H165" s="8">
        <f t="shared" ca="1" si="149"/>
        <v>5.6525979593725663E-2</v>
      </c>
      <c r="I165" s="8">
        <f t="shared" ca="1" si="149"/>
        <v>5.7160519754740485E-2</v>
      </c>
      <c r="J165" s="8">
        <f t="shared" ca="1" si="149"/>
        <v>5.8546745088455261E-2</v>
      </c>
      <c r="K165" s="8">
        <f t="shared" ca="1" si="149"/>
        <v>6.2018913276800793E-2</v>
      </c>
      <c r="L165" s="8">
        <f t="shared" ca="1" si="149"/>
        <v>6.3497556907123914E-2</v>
      </c>
      <c r="M165" s="8">
        <f t="shared" ca="1" si="149"/>
        <v>6.3705246620595207E-2</v>
      </c>
      <c r="N165" s="8">
        <f t="shared" ca="1" si="149"/>
        <v>6.3624019635191528E-2</v>
      </c>
      <c r="O165" s="8">
        <f t="shared" ca="1" si="149"/>
        <v>6.4392268783093023E-2</v>
      </c>
      <c r="Q165" s="12"/>
    </row>
    <row r="166" spans="2:17">
      <c r="B166" s="3">
        <v>145</v>
      </c>
      <c r="C166" s="8">
        <f t="shared" si="133"/>
        <v>0.05</v>
      </c>
      <c r="D166" s="8">
        <f t="shared" ref="D166:O166" ca="1" si="150">C166+k*(theta-C166)*dt+vol*SQRT(dt*C166)*_xlfn.NORM.S.INV(RAND())</f>
        <v>5.0771786424558152E-2</v>
      </c>
      <c r="E166" s="8">
        <f t="shared" ca="1" si="150"/>
        <v>5.3449221859356945E-2</v>
      </c>
      <c r="F166" s="8">
        <f t="shared" ca="1" si="150"/>
        <v>5.7413630102499655E-2</v>
      </c>
      <c r="G166" s="8">
        <f t="shared" ca="1" si="150"/>
        <v>5.894197317834584E-2</v>
      </c>
      <c r="H166" s="8">
        <f t="shared" ca="1" si="150"/>
        <v>5.8834647082555896E-2</v>
      </c>
      <c r="I166" s="8">
        <f t="shared" ca="1" si="150"/>
        <v>5.9273129951087265E-2</v>
      </c>
      <c r="J166" s="8">
        <f t="shared" ca="1" si="150"/>
        <v>5.8153566850515641E-2</v>
      </c>
      <c r="K166" s="8">
        <f t="shared" ca="1" si="150"/>
        <v>5.9067201963220503E-2</v>
      </c>
      <c r="L166" s="8">
        <f t="shared" ca="1" si="150"/>
        <v>5.8940422346292189E-2</v>
      </c>
      <c r="M166" s="8">
        <f t="shared" ca="1" si="150"/>
        <v>6.0246926628184587E-2</v>
      </c>
      <c r="N166" s="8">
        <f t="shared" ca="1" si="150"/>
        <v>6.085547537025654E-2</v>
      </c>
      <c r="O166" s="8">
        <f t="shared" ca="1" si="150"/>
        <v>6.048059348492988E-2</v>
      </c>
      <c r="Q166" s="12"/>
    </row>
    <row r="167" spans="2:17">
      <c r="B167" s="3">
        <v>146</v>
      </c>
      <c r="C167" s="8">
        <f t="shared" si="133"/>
        <v>0.05</v>
      </c>
      <c r="D167" s="8">
        <f t="shared" ref="D167:O167" ca="1" si="151">C167+k*(theta-C167)*dt+vol*SQRT(dt*C167)*_xlfn.NORM.S.INV(RAND())</f>
        <v>5.1292880965465033E-2</v>
      </c>
      <c r="E167" s="8">
        <f t="shared" ca="1" si="151"/>
        <v>5.168486665616516E-2</v>
      </c>
      <c r="F167" s="8">
        <f t="shared" ca="1" si="151"/>
        <v>5.4418062985445423E-2</v>
      </c>
      <c r="G167" s="8">
        <f t="shared" ca="1" si="151"/>
        <v>5.5424698700247674E-2</v>
      </c>
      <c r="H167" s="8">
        <f t="shared" ca="1" si="151"/>
        <v>5.4944667206098301E-2</v>
      </c>
      <c r="I167" s="8">
        <f t="shared" ca="1" si="151"/>
        <v>5.6456850854808421E-2</v>
      </c>
      <c r="J167" s="8">
        <f t="shared" ca="1" si="151"/>
        <v>5.7364396415511436E-2</v>
      </c>
      <c r="K167" s="8">
        <f t="shared" ca="1" si="151"/>
        <v>6.0090408297561619E-2</v>
      </c>
      <c r="L167" s="8">
        <f t="shared" ca="1" si="151"/>
        <v>6.348914994299279E-2</v>
      </c>
      <c r="M167" s="8">
        <f t="shared" ca="1" si="151"/>
        <v>6.6691631955369618E-2</v>
      </c>
      <c r="N167" s="8">
        <f t="shared" ca="1" si="151"/>
        <v>6.9514932438523483E-2</v>
      </c>
      <c r="O167" s="8">
        <f t="shared" ca="1" si="151"/>
        <v>6.946783654711268E-2</v>
      </c>
      <c r="Q167" s="12"/>
    </row>
    <row r="168" spans="2:17">
      <c r="B168" s="3">
        <v>147</v>
      </c>
      <c r="C168" s="8">
        <f t="shared" si="133"/>
        <v>0.05</v>
      </c>
      <c r="D168" s="8">
        <f t="shared" ref="D168:O168" ca="1" si="152">C168+k*(theta-C168)*dt+vol*SQRT(dt*C168)*_xlfn.NORM.S.INV(RAND())</f>
        <v>5.0724007206649123E-2</v>
      </c>
      <c r="E168" s="8">
        <f t="shared" ca="1" si="152"/>
        <v>5.119809590610664E-2</v>
      </c>
      <c r="F168" s="8">
        <f t="shared" ca="1" si="152"/>
        <v>5.3229193856473962E-2</v>
      </c>
      <c r="G168" s="8">
        <f t="shared" ca="1" si="152"/>
        <v>5.4088620422243321E-2</v>
      </c>
      <c r="H168" s="8">
        <f t="shared" ca="1" si="152"/>
        <v>5.5633845040384433E-2</v>
      </c>
      <c r="I168" s="8">
        <f t="shared" ca="1" si="152"/>
        <v>5.7704974920214341E-2</v>
      </c>
      <c r="J168" s="8">
        <f t="shared" ca="1" si="152"/>
        <v>5.91272916575038E-2</v>
      </c>
      <c r="K168" s="8">
        <f t="shared" ca="1" si="152"/>
        <v>6.3501776243144584E-2</v>
      </c>
      <c r="L168" s="8">
        <f t="shared" ca="1" si="152"/>
        <v>6.1135951248592398E-2</v>
      </c>
      <c r="M168" s="8">
        <f t="shared" ca="1" si="152"/>
        <v>6.241637086530695E-2</v>
      </c>
      <c r="N168" s="8">
        <f t="shared" ca="1" si="152"/>
        <v>6.3783548006214497E-2</v>
      </c>
      <c r="O168" s="8">
        <f t="shared" ca="1" si="152"/>
        <v>6.3613522250545854E-2</v>
      </c>
      <c r="Q168" s="12"/>
    </row>
    <row r="169" spans="2:17">
      <c r="B169" s="3">
        <v>148</v>
      </c>
      <c r="C169" s="8">
        <f t="shared" si="133"/>
        <v>0.05</v>
      </c>
      <c r="D169" s="8">
        <f t="shared" ref="D169:O169" ca="1" si="153">C169+k*(theta-C169)*dt+vol*SQRT(dt*C169)*_xlfn.NORM.S.INV(RAND())</f>
        <v>5.0074830078575251E-2</v>
      </c>
      <c r="E169" s="8">
        <f t="shared" ca="1" si="153"/>
        <v>5.0833961974296397E-2</v>
      </c>
      <c r="F169" s="8">
        <f t="shared" ca="1" si="153"/>
        <v>5.21703904265663E-2</v>
      </c>
      <c r="G169" s="8">
        <f t="shared" ca="1" si="153"/>
        <v>5.1805410233902602E-2</v>
      </c>
      <c r="H169" s="8">
        <f t="shared" ca="1" si="153"/>
        <v>5.2974442876754194E-2</v>
      </c>
      <c r="I169" s="8">
        <f t="shared" ca="1" si="153"/>
        <v>5.2262544528185989E-2</v>
      </c>
      <c r="J169" s="8">
        <f t="shared" ca="1" si="153"/>
        <v>5.377856804146796E-2</v>
      </c>
      <c r="K169" s="8">
        <f t="shared" ca="1" si="153"/>
        <v>5.6016283757178875E-2</v>
      </c>
      <c r="L169" s="8">
        <f t="shared" ca="1" si="153"/>
        <v>5.508841811061331E-2</v>
      </c>
      <c r="M169" s="8">
        <f t="shared" ca="1" si="153"/>
        <v>5.277465427609751E-2</v>
      </c>
      <c r="N169" s="8">
        <f t="shared" ca="1" si="153"/>
        <v>5.5785499663231847E-2</v>
      </c>
      <c r="O169" s="8">
        <f t="shared" ca="1" si="153"/>
        <v>5.769534533171148E-2</v>
      </c>
      <c r="Q169" s="12"/>
    </row>
    <row r="170" spans="2:17">
      <c r="B170" s="3">
        <v>149</v>
      </c>
      <c r="C170" s="8">
        <f t="shared" si="133"/>
        <v>0.05</v>
      </c>
      <c r="D170" s="8">
        <f t="shared" ref="D170:O170" ca="1" si="154">C170+k*(theta-C170)*dt+vol*SQRT(dt*C170)*_xlfn.NORM.S.INV(RAND())</f>
        <v>5.0277627723767052E-2</v>
      </c>
      <c r="E170" s="8">
        <f t="shared" ca="1" si="154"/>
        <v>5.1188832996057157E-2</v>
      </c>
      <c r="F170" s="8">
        <f t="shared" ca="1" si="154"/>
        <v>5.3159164577309889E-2</v>
      </c>
      <c r="G170" s="8">
        <f t="shared" ca="1" si="154"/>
        <v>5.5373923024841995E-2</v>
      </c>
      <c r="H170" s="8">
        <f t="shared" ca="1" si="154"/>
        <v>5.7868811773274249E-2</v>
      </c>
      <c r="I170" s="8">
        <f t="shared" ca="1" si="154"/>
        <v>6.1095072319031073E-2</v>
      </c>
      <c r="J170" s="8">
        <f t="shared" ca="1" si="154"/>
        <v>6.3269092232758076E-2</v>
      </c>
      <c r="K170" s="8">
        <f t="shared" ca="1" si="154"/>
        <v>6.5525854867081582E-2</v>
      </c>
      <c r="L170" s="8">
        <f t="shared" ca="1" si="154"/>
        <v>6.816109204244189E-2</v>
      </c>
      <c r="M170" s="8">
        <f t="shared" ca="1" si="154"/>
        <v>6.885090988914537E-2</v>
      </c>
      <c r="N170" s="8">
        <f t="shared" ca="1" si="154"/>
        <v>7.0724022906960837E-2</v>
      </c>
      <c r="O170" s="8">
        <f t="shared" ca="1" si="154"/>
        <v>7.1762274818141333E-2</v>
      </c>
      <c r="Q170" s="12"/>
    </row>
    <row r="171" spans="2:17">
      <c r="B171" s="3">
        <v>150</v>
      </c>
      <c r="C171" s="8">
        <f t="shared" si="133"/>
        <v>0.05</v>
      </c>
      <c r="D171" s="8">
        <f t="shared" ref="D171:O171" ca="1" si="155">C171+k*(theta-C171)*dt+vol*SQRT(dt*C171)*_xlfn.NORM.S.INV(RAND())</f>
        <v>5.1608861109680493E-2</v>
      </c>
      <c r="E171" s="8">
        <f t="shared" ca="1" si="155"/>
        <v>5.4657105686862412E-2</v>
      </c>
      <c r="F171" s="8">
        <f t="shared" ca="1" si="155"/>
        <v>5.3970073176680497E-2</v>
      </c>
      <c r="G171" s="8">
        <f t="shared" ca="1" si="155"/>
        <v>5.5911567898382877E-2</v>
      </c>
      <c r="H171" s="8">
        <f t="shared" ca="1" si="155"/>
        <v>5.7027557822532854E-2</v>
      </c>
      <c r="I171" s="8">
        <f t="shared" ca="1" si="155"/>
        <v>5.9823412130677232E-2</v>
      </c>
      <c r="J171" s="8">
        <f t="shared" ca="1" si="155"/>
        <v>6.1758539775703322E-2</v>
      </c>
      <c r="K171" s="8">
        <f t="shared" ca="1" si="155"/>
        <v>6.5373091382416759E-2</v>
      </c>
      <c r="L171" s="8">
        <f t="shared" ca="1" si="155"/>
        <v>6.7647793186157129E-2</v>
      </c>
      <c r="M171" s="8">
        <f t="shared" ca="1" si="155"/>
        <v>6.5612937831066684E-2</v>
      </c>
      <c r="N171" s="8">
        <f t="shared" ca="1" si="155"/>
        <v>6.5497123483345521E-2</v>
      </c>
      <c r="O171" s="8">
        <f t="shared" ca="1" si="155"/>
        <v>6.6351188595430557E-2</v>
      </c>
      <c r="Q171" s="12"/>
    </row>
    <row r="172" spans="2:17">
      <c r="B172" s="3">
        <v>151</v>
      </c>
      <c r="C172" s="8">
        <f t="shared" si="133"/>
        <v>0.05</v>
      </c>
      <c r="D172" s="8">
        <f t="shared" ref="D172:O172" ca="1" si="156">C172+k*(theta-C172)*dt+vol*SQRT(dt*C172)*_xlfn.NORM.S.INV(RAND())</f>
        <v>5.373896484551785E-2</v>
      </c>
      <c r="E172" s="8">
        <f t="shared" ca="1" si="156"/>
        <v>5.563323429153625E-2</v>
      </c>
      <c r="F172" s="8">
        <f t="shared" ca="1" si="156"/>
        <v>5.7218184844598854E-2</v>
      </c>
      <c r="G172" s="8">
        <f t="shared" ca="1" si="156"/>
        <v>5.7101677589699397E-2</v>
      </c>
      <c r="H172" s="8">
        <f t="shared" ca="1" si="156"/>
        <v>5.7353620350480181E-2</v>
      </c>
      <c r="I172" s="8">
        <f t="shared" ca="1" si="156"/>
        <v>6.0339113957400548E-2</v>
      </c>
      <c r="J172" s="8">
        <f t="shared" ca="1" si="156"/>
        <v>6.1205924433296865E-2</v>
      </c>
      <c r="K172" s="8">
        <f t="shared" ca="1" si="156"/>
        <v>6.220231370477209E-2</v>
      </c>
      <c r="L172" s="8">
        <f t="shared" ca="1" si="156"/>
        <v>6.2210338590008192E-2</v>
      </c>
      <c r="M172" s="8">
        <f t="shared" ca="1" si="156"/>
        <v>6.1803164076722192E-2</v>
      </c>
      <c r="N172" s="8">
        <f t="shared" ca="1" si="156"/>
        <v>6.0718509918947873E-2</v>
      </c>
      <c r="O172" s="8">
        <f t="shared" ca="1" si="156"/>
        <v>6.1635351094053423E-2</v>
      </c>
      <c r="Q172" s="12"/>
    </row>
    <row r="173" spans="2:17">
      <c r="B173" s="3">
        <v>152</v>
      </c>
      <c r="C173" s="8">
        <f t="shared" si="133"/>
        <v>0.05</v>
      </c>
      <c r="D173" s="8">
        <f t="shared" ref="D173:O173" ca="1" si="157">C173+k*(theta-C173)*dt+vol*SQRT(dt*C173)*_xlfn.NORM.S.INV(RAND())</f>
        <v>5.0882883701246662E-2</v>
      </c>
      <c r="E173" s="8">
        <f t="shared" ca="1" si="157"/>
        <v>5.3705665011301612E-2</v>
      </c>
      <c r="F173" s="8">
        <f t="shared" ca="1" si="157"/>
        <v>5.3598858087375925E-2</v>
      </c>
      <c r="G173" s="8">
        <f t="shared" ca="1" si="157"/>
        <v>5.451412641272927E-2</v>
      </c>
      <c r="H173" s="8">
        <f t="shared" ca="1" si="157"/>
        <v>5.6012680481767309E-2</v>
      </c>
      <c r="I173" s="8">
        <f t="shared" ca="1" si="157"/>
        <v>5.7908642444100898E-2</v>
      </c>
      <c r="J173" s="8">
        <f t="shared" ca="1" si="157"/>
        <v>5.832506164159907E-2</v>
      </c>
      <c r="K173" s="8">
        <f t="shared" ca="1" si="157"/>
        <v>5.7797931002025203E-2</v>
      </c>
      <c r="L173" s="8">
        <f t="shared" ca="1" si="157"/>
        <v>5.8537947081184143E-2</v>
      </c>
      <c r="M173" s="8">
        <f t="shared" ca="1" si="157"/>
        <v>6.1562493766962323E-2</v>
      </c>
      <c r="N173" s="8">
        <f t="shared" ca="1" si="157"/>
        <v>6.2505944668771976E-2</v>
      </c>
      <c r="O173" s="8">
        <f t="shared" ca="1" si="157"/>
        <v>6.2303491367311371E-2</v>
      </c>
      <c r="Q173" s="12"/>
    </row>
    <row r="174" spans="2:17">
      <c r="B174" s="3">
        <v>153</v>
      </c>
      <c r="C174" s="8">
        <f t="shared" si="133"/>
        <v>0.05</v>
      </c>
      <c r="D174" s="8">
        <f t="shared" ref="D174:O174" ca="1" si="158">C174+k*(theta-C174)*dt+vol*SQRT(dt*C174)*_xlfn.NORM.S.INV(RAND())</f>
        <v>5.0244440116016899E-2</v>
      </c>
      <c r="E174" s="8">
        <f t="shared" ca="1" si="158"/>
        <v>5.0447257746689789E-2</v>
      </c>
      <c r="F174" s="8">
        <f t="shared" ca="1" si="158"/>
        <v>5.0082642916256311E-2</v>
      </c>
      <c r="G174" s="8">
        <f t="shared" ca="1" si="158"/>
        <v>5.0331972934658978E-2</v>
      </c>
      <c r="H174" s="8">
        <f t="shared" ca="1" si="158"/>
        <v>4.9605068044156209E-2</v>
      </c>
      <c r="I174" s="8">
        <f t="shared" ca="1" si="158"/>
        <v>5.1946720035121012E-2</v>
      </c>
      <c r="J174" s="8">
        <f t="shared" ca="1" si="158"/>
        <v>5.0843608786857064E-2</v>
      </c>
      <c r="K174" s="8">
        <f t="shared" ca="1" si="158"/>
        <v>5.2103824380598983E-2</v>
      </c>
      <c r="L174" s="8">
        <f t="shared" ca="1" si="158"/>
        <v>5.2509226253613372E-2</v>
      </c>
      <c r="M174" s="8">
        <f t="shared" ca="1" si="158"/>
        <v>5.2491851293236129E-2</v>
      </c>
      <c r="N174" s="8">
        <f t="shared" ca="1" si="158"/>
        <v>5.2192993393103626E-2</v>
      </c>
      <c r="O174" s="8">
        <f t="shared" ca="1" si="158"/>
        <v>5.177562790015517E-2</v>
      </c>
      <c r="Q174" s="12"/>
    </row>
    <row r="175" spans="2:17">
      <c r="B175" s="3">
        <v>154</v>
      </c>
      <c r="C175" s="8">
        <f t="shared" si="133"/>
        <v>0.05</v>
      </c>
      <c r="D175" s="8">
        <f t="shared" ref="D175:O175" ca="1" si="159">C175+k*(theta-C175)*dt+vol*SQRT(dt*C175)*_xlfn.NORM.S.INV(RAND())</f>
        <v>4.9721141395090054E-2</v>
      </c>
      <c r="E175" s="8">
        <f t="shared" ca="1" si="159"/>
        <v>5.2609439360049762E-2</v>
      </c>
      <c r="F175" s="8">
        <f t="shared" ca="1" si="159"/>
        <v>5.2138215012684404E-2</v>
      </c>
      <c r="G175" s="8">
        <f t="shared" ca="1" si="159"/>
        <v>5.3027521411222418E-2</v>
      </c>
      <c r="H175" s="8">
        <f t="shared" ca="1" si="159"/>
        <v>5.2049476388999552E-2</v>
      </c>
      <c r="I175" s="8">
        <f t="shared" ca="1" si="159"/>
        <v>5.1779080308536306E-2</v>
      </c>
      <c r="J175" s="8">
        <f t="shared" ca="1" si="159"/>
        <v>5.1954162990068671E-2</v>
      </c>
      <c r="K175" s="8">
        <f t="shared" ca="1" si="159"/>
        <v>5.3134429699472747E-2</v>
      </c>
      <c r="L175" s="8">
        <f t="shared" ca="1" si="159"/>
        <v>5.6288303193213846E-2</v>
      </c>
      <c r="M175" s="8">
        <f t="shared" ca="1" si="159"/>
        <v>5.6791372897243474E-2</v>
      </c>
      <c r="N175" s="8">
        <f t="shared" ca="1" si="159"/>
        <v>5.5626990685746211E-2</v>
      </c>
      <c r="O175" s="8">
        <f t="shared" ca="1" si="159"/>
        <v>5.6523981366388309E-2</v>
      </c>
      <c r="Q175" s="12"/>
    </row>
    <row r="176" spans="2:17">
      <c r="B176" s="3">
        <v>155</v>
      </c>
      <c r="C176" s="8">
        <f t="shared" si="133"/>
        <v>0.05</v>
      </c>
      <c r="D176" s="8">
        <f t="shared" ref="D176:O176" ca="1" si="160">C176+k*(theta-C176)*dt+vol*SQRT(dt*C176)*_xlfn.NORM.S.INV(RAND())</f>
        <v>5.2379009778132639E-2</v>
      </c>
      <c r="E176" s="8">
        <f t="shared" ca="1" si="160"/>
        <v>5.4125519422351935E-2</v>
      </c>
      <c r="F176" s="8">
        <f t="shared" ca="1" si="160"/>
        <v>5.6907220756516809E-2</v>
      </c>
      <c r="G176" s="8">
        <f t="shared" ca="1" si="160"/>
        <v>5.851035976674919E-2</v>
      </c>
      <c r="H176" s="8">
        <f t="shared" ca="1" si="160"/>
        <v>6.0263499573907836E-2</v>
      </c>
      <c r="I176" s="8">
        <f t="shared" ca="1" si="160"/>
        <v>5.8843928947102761E-2</v>
      </c>
      <c r="J176" s="8">
        <f t="shared" ca="1" si="160"/>
        <v>5.7693532462532622E-2</v>
      </c>
      <c r="K176" s="8">
        <f t="shared" ca="1" si="160"/>
        <v>5.6157180492734909E-2</v>
      </c>
      <c r="L176" s="8">
        <f t="shared" ca="1" si="160"/>
        <v>5.714757360604409E-2</v>
      </c>
      <c r="M176" s="8">
        <f t="shared" ca="1" si="160"/>
        <v>6.0298507529247536E-2</v>
      </c>
      <c r="N176" s="8">
        <f t="shared" ca="1" si="160"/>
        <v>6.0908196089226395E-2</v>
      </c>
      <c r="O176" s="8">
        <f t="shared" ca="1" si="160"/>
        <v>6.1958981770975433E-2</v>
      </c>
    </row>
    <row r="177" spans="2:15">
      <c r="B177" s="3">
        <v>156</v>
      </c>
      <c r="C177" s="8">
        <f t="shared" si="133"/>
        <v>0.05</v>
      </c>
      <c r="D177" s="8">
        <f t="shared" ref="D177:O177" ca="1" si="161">C177+k*(theta-C177)*dt+vol*SQRT(dt*C177)*_xlfn.NORM.S.INV(RAND())</f>
        <v>5.3331965474195143E-2</v>
      </c>
      <c r="E177" s="8">
        <f t="shared" ca="1" si="161"/>
        <v>5.4604667880562521E-2</v>
      </c>
      <c r="F177" s="8">
        <f t="shared" ca="1" si="161"/>
        <v>5.548662564918868E-2</v>
      </c>
      <c r="G177" s="8">
        <f t="shared" ca="1" si="161"/>
        <v>5.6604400048732316E-2</v>
      </c>
      <c r="H177" s="8">
        <f t="shared" ca="1" si="161"/>
        <v>6.0771184071631713E-2</v>
      </c>
      <c r="I177" s="8">
        <f t="shared" ca="1" si="161"/>
        <v>6.07335841925443E-2</v>
      </c>
      <c r="J177" s="8">
        <f t="shared" ca="1" si="161"/>
        <v>6.2158585111914737E-2</v>
      </c>
      <c r="K177" s="8">
        <f t="shared" ca="1" si="161"/>
        <v>6.436611570189793E-2</v>
      </c>
      <c r="L177" s="8">
        <f t="shared" ca="1" si="161"/>
        <v>6.5603127371525211E-2</v>
      </c>
      <c r="M177" s="8">
        <f t="shared" ca="1" si="161"/>
        <v>6.566177930623765E-2</v>
      </c>
      <c r="N177" s="8">
        <f t="shared" ca="1" si="161"/>
        <v>6.5808187547696878E-2</v>
      </c>
      <c r="O177" s="8">
        <f t="shared" ca="1" si="161"/>
        <v>6.5980906268166939E-2</v>
      </c>
    </row>
    <row r="178" spans="2:15">
      <c r="B178" s="3">
        <v>157</v>
      </c>
      <c r="C178" s="8">
        <f t="shared" si="133"/>
        <v>0.05</v>
      </c>
      <c r="D178" s="8">
        <f t="shared" ref="D178:O178" ca="1" si="162">C178+k*(theta-C178)*dt+vol*SQRT(dt*C178)*_xlfn.NORM.S.INV(RAND())</f>
        <v>5.1780940441529366E-2</v>
      </c>
      <c r="E178" s="8">
        <f t="shared" ca="1" si="162"/>
        <v>5.3649810812518295E-2</v>
      </c>
      <c r="F178" s="8">
        <f t="shared" ca="1" si="162"/>
        <v>5.5515520373806769E-2</v>
      </c>
      <c r="G178" s="8">
        <f t="shared" ca="1" si="162"/>
        <v>5.6021861504717746E-2</v>
      </c>
      <c r="H178" s="8">
        <f t="shared" ca="1" si="162"/>
        <v>5.7398858392601212E-2</v>
      </c>
      <c r="I178" s="8">
        <f t="shared" ca="1" si="162"/>
        <v>5.8233487403064083E-2</v>
      </c>
      <c r="J178" s="8">
        <f t="shared" ca="1" si="162"/>
        <v>5.9068184447979795E-2</v>
      </c>
      <c r="K178" s="8">
        <f t="shared" ca="1" si="162"/>
        <v>5.8778822769554449E-2</v>
      </c>
      <c r="L178" s="8">
        <f t="shared" ca="1" si="162"/>
        <v>5.7125070692747131E-2</v>
      </c>
      <c r="M178" s="8">
        <f t="shared" ca="1" si="162"/>
        <v>5.6690589712872351E-2</v>
      </c>
      <c r="N178" s="8">
        <f t="shared" ca="1" si="162"/>
        <v>5.746958056949137E-2</v>
      </c>
      <c r="O178" s="8">
        <f t="shared" ca="1" si="162"/>
        <v>5.7422766246929248E-2</v>
      </c>
    </row>
    <row r="179" spans="2:15">
      <c r="B179" s="3">
        <v>158</v>
      </c>
      <c r="C179" s="8">
        <f t="shared" si="133"/>
        <v>0.05</v>
      </c>
      <c r="D179" s="8">
        <f t="shared" ref="D179:O179" ca="1" si="163">C179+k*(theta-C179)*dt+vol*SQRT(dt*C179)*_xlfn.NORM.S.INV(RAND())</f>
        <v>5.272507245990668E-2</v>
      </c>
      <c r="E179" s="8">
        <f t="shared" ca="1" si="163"/>
        <v>5.2673770640983122E-2</v>
      </c>
      <c r="F179" s="8">
        <f t="shared" ca="1" si="163"/>
        <v>5.1750680001343786E-2</v>
      </c>
      <c r="G179" s="8">
        <f t="shared" ca="1" si="163"/>
        <v>5.4321842902742341E-2</v>
      </c>
      <c r="H179" s="8">
        <f t="shared" ca="1" si="163"/>
        <v>5.4240875646390331E-2</v>
      </c>
      <c r="I179" s="8">
        <f t="shared" ca="1" si="163"/>
        <v>5.7919671643796626E-2</v>
      </c>
      <c r="J179" s="8">
        <f t="shared" ca="1" si="163"/>
        <v>5.804478404149345E-2</v>
      </c>
      <c r="K179" s="8">
        <f t="shared" ca="1" si="163"/>
        <v>5.9301674214653016E-2</v>
      </c>
      <c r="L179" s="8">
        <f t="shared" ca="1" si="163"/>
        <v>5.8293225035956187E-2</v>
      </c>
      <c r="M179" s="8">
        <f t="shared" ca="1" si="163"/>
        <v>5.8884438862440901E-2</v>
      </c>
      <c r="N179" s="8">
        <f t="shared" ca="1" si="163"/>
        <v>6.087769911547404E-2</v>
      </c>
      <c r="O179" s="8">
        <f t="shared" ca="1" si="163"/>
        <v>6.2645698140625247E-2</v>
      </c>
    </row>
    <row r="180" spans="2:15">
      <c r="B180" s="3">
        <v>159</v>
      </c>
      <c r="C180" s="8">
        <f t="shared" si="133"/>
        <v>0.05</v>
      </c>
      <c r="D180" s="8">
        <f t="shared" ref="D180:O180" ca="1" si="164">C180+k*(theta-C180)*dt+vol*SQRT(dt*C180)*_xlfn.NORM.S.INV(RAND())</f>
        <v>5.2129303637922619E-2</v>
      </c>
      <c r="E180" s="8">
        <f t="shared" ca="1" si="164"/>
        <v>5.2229329949422518E-2</v>
      </c>
      <c r="F180" s="8">
        <f t="shared" ca="1" si="164"/>
        <v>5.3359416214842366E-2</v>
      </c>
      <c r="G180" s="8">
        <f t="shared" ca="1" si="164"/>
        <v>5.5422367065296539E-2</v>
      </c>
      <c r="H180" s="8">
        <f t="shared" ca="1" si="164"/>
        <v>5.8085059726339663E-2</v>
      </c>
      <c r="I180" s="8">
        <f t="shared" ca="1" si="164"/>
        <v>6.2328795264217564E-2</v>
      </c>
      <c r="J180" s="8">
        <f t="shared" ca="1" si="164"/>
        <v>6.3654942942052178E-2</v>
      </c>
      <c r="K180" s="8">
        <f t="shared" ca="1" si="164"/>
        <v>6.4856647011818619E-2</v>
      </c>
      <c r="L180" s="8">
        <f t="shared" ca="1" si="164"/>
        <v>6.8092144581350628E-2</v>
      </c>
      <c r="M180" s="8">
        <f t="shared" ca="1" si="164"/>
        <v>6.6148380149852137E-2</v>
      </c>
      <c r="N180" s="8">
        <f t="shared" ca="1" si="164"/>
        <v>6.6108607974782976E-2</v>
      </c>
      <c r="O180" s="8">
        <f t="shared" ca="1" si="164"/>
        <v>7.0361815398631067E-2</v>
      </c>
    </row>
    <row r="181" spans="2:15">
      <c r="B181" s="3">
        <v>160</v>
      </c>
      <c r="C181" s="8">
        <f t="shared" si="133"/>
        <v>0.05</v>
      </c>
      <c r="D181" s="8">
        <f t="shared" ref="D181:O181" ca="1" si="165">C181+k*(theta-C181)*dt+vol*SQRT(dt*C181)*_xlfn.NORM.S.INV(RAND())</f>
        <v>5.3232656696667949E-2</v>
      </c>
      <c r="E181" s="8">
        <f t="shared" ca="1" si="165"/>
        <v>5.5629509941055345E-2</v>
      </c>
      <c r="F181" s="8">
        <f t="shared" ca="1" si="165"/>
        <v>5.6243931343969475E-2</v>
      </c>
      <c r="G181" s="8">
        <f t="shared" ca="1" si="165"/>
        <v>5.8105938179814229E-2</v>
      </c>
      <c r="H181" s="8">
        <f t="shared" ca="1" si="165"/>
        <v>5.7855696701755999E-2</v>
      </c>
      <c r="I181" s="8">
        <f t="shared" ca="1" si="165"/>
        <v>5.8142671023584981E-2</v>
      </c>
      <c r="J181" s="8">
        <f t="shared" ca="1" si="165"/>
        <v>5.9469555816353541E-2</v>
      </c>
      <c r="K181" s="8">
        <f t="shared" ca="1" si="165"/>
        <v>6.1403715128691083E-2</v>
      </c>
      <c r="L181" s="8">
        <f t="shared" ca="1" si="165"/>
        <v>6.5054051557993015E-2</v>
      </c>
      <c r="M181" s="8">
        <f t="shared" ca="1" si="165"/>
        <v>6.2840705734338045E-2</v>
      </c>
      <c r="N181" s="8">
        <f t="shared" ca="1" si="165"/>
        <v>6.5056732581708382E-2</v>
      </c>
      <c r="O181" s="8">
        <f t="shared" ca="1" si="165"/>
        <v>6.308256628278916E-2</v>
      </c>
    </row>
    <row r="182" spans="2:15">
      <c r="B182" s="3">
        <v>161</v>
      </c>
      <c r="C182" s="8">
        <f t="shared" si="133"/>
        <v>0.05</v>
      </c>
      <c r="D182" s="8">
        <f t="shared" ref="D182:O182" ca="1" si="166">C182+k*(theta-C182)*dt+vol*SQRT(dt*C182)*_xlfn.NORM.S.INV(RAND())</f>
        <v>5.0454173655666013E-2</v>
      </c>
      <c r="E182" s="8">
        <f t="shared" ca="1" si="166"/>
        <v>4.9765113022758461E-2</v>
      </c>
      <c r="F182" s="8">
        <f t="shared" ca="1" si="166"/>
        <v>5.1441665456012559E-2</v>
      </c>
      <c r="G182" s="8">
        <f t="shared" ca="1" si="166"/>
        <v>5.419689844282876E-2</v>
      </c>
      <c r="H182" s="8">
        <f t="shared" ca="1" si="166"/>
        <v>5.6648527159550405E-2</v>
      </c>
      <c r="I182" s="8">
        <f t="shared" ca="1" si="166"/>
        <v>5.7203684372052456E-2</v>
      </c>
      <c r="J182" s="8">
        <f t="shared" ca="1" si="166"/>
        <v>5.7566016477499642E-2</v>
      </c>
      <c r="K182" s="8">
        <f t="shared" ca="1" si="166"/>
        <v>5.8175349773190659E-2</v>
      </c>
      <c r="L182" s="8">
        <f t="shared" ca="1" si="166"/>
        <v>5.9269258411125306E-2</v>
      </c>
      <c r="M182" s="8">
        <f t="shared" ca="1" si="166"/>
        <v>5.9505132189778667E-2</v>
      </c>
      <c r="N182" s="8">
        <f t="shared" ca="1" si="166"/>
        <v>6.1387073284795084E-2</v>
      </c>
      <c r="O182" s="8">
        <f t="shared" ca="1" si="166"/>
        <v>6.194584247592437E-2</v>
      </c>
    </row>
    <row r="183" spans="2:15">
      <c r="B183" s="3">
        <v>162</v>
      </c>
      <c r="C183" s="8">
        <f t="shared" si="133"/>
        <v>0.05</v>
      </c>
      <c r="D183" s="8">
        <f t="shared" ref="D183:O183" ca="1" si="167">C183+k*(theta-C183)*dt+vol*SQRT(dt*C183)*_xlfn.NORM.S.INV(RAND())</f>
        <v>5.2159791024682038E-2</v>
      </c>
      <c r="E183" s="8">
        <f t="shared" ca="1" si="167"/>
        <v>5.2853176314605788E-2</v>
      </c>
      <c r="F183" s="8">
        <f t="shared" ca="1" si="167"/>
        <v>5.3600896703605697E-2</v>
      </c>
      <c r="G183" s="8">
        <f t="shared" ca="1" si="167"/>
        <v>5.2780150940884979E-2</v>
      </c>
      <c r="H183" s="8">
        <f t="shared" ca="1" si="167"/>
        <v>5.2876215635771301E-2</v>
      </c>
      <c r="I183" s="8">
        <f t="shared" ca="1" si="167"/>
        <v>5.5103483959983657E-2</v>
      </c>
      <c r="J183" s="8">
        <f t="shared" ca="1" si="167"/>
        <v>5.5788665879823549E-2</v>
      </c>
      <c r="K183" s="8">
        <f t="shared" ca="1" si="167"/>
        <v>5.5126868158637224E-2</v>
      </c>
      <c r="L183" s="8">
        <f t="shared" ca="1" si="167"/>
        <v>5.4889152311991402E-2</v>
      </c>
      <c r="M183" s="8">
        <f t="shared" ca="1" si="167"/>
        <v>5.5451304234865231E-2</v>
      </c>
      <c r="N183" s="8">
        <f t="shared" ca="1" si="167"/>
        <v>5.7609046600617192E-2</v>
      </c>
      <c r="O183" s="8">
        <f t="shared" ca="1" si="167"/>
        <v>5.6790569738295341E-2</v>
      </c>
    </row>
    <row r="184" spans="2:15">
      <c r="B184" s="3">
        <v>163</v>
      </c>
      <c r="C184" s="8">
        <f t="shared" si="133"/>
        <v>0.05</v>
      </c>
      <c r="D184" s="8">
        <f t="shared" ref="D184:O184" ca="1" si="168">C184+k*(theta-C184)*dt+vol*SQRT(dt*C184)*_xlfn.NORM.S.INV(RAND())</f>
        <v>5.1722318757212546E-2</v>
      </c>
      <c r="E184" s="8">
        <f t="shared" ca="1" si="168"/>
        <v>5.0265048506439702E-2</v>
      </c>
      <c r="F184" s="8">
        <f t="shared" ca="1" si="168"/>
        <v>5.1318374787347708E-2</v>
      </c>
      <c r="G184" s="8">
        <f t="shared" ca="1" si="168"/>
        <v>5.3467319627226652E-2</v>
      </c>
      <c r="H184" s="8">
        <f t="shared" ca="1" si="168"/>
        <v>5.1216245929481541E-2</v>
      </c>
      <c r="I184" s="8">
        <f t="shared" ca="1" si="168"/>
        <v>5.2262252805842388E-2</v>
      </c>
      <c r="J184" s="8">
        <f t="shared" ca="1" si="168"/>
        <v>5.4349116016545629E-2</v>
      </c>
      <c r="K184" s="8">
        <f t="shared" ca="1" si="168"/>
        <v>5.4384253008806782E-2</v>
      </c>
      <c r="L184" s="8">
        <f t="shared" ca="1" si="168"/>
        <v>5.91002347490776E-2</v>
      </c>
      <c r="M184" s="8">
        <f t="shared" ca="1" si="168"/>
        <v>5.699069656389473E-2</v>
      </c>
      <c r="N184" s="8">
        <f t="shared" ca="1" si="168"/>
        <v>5.7229443829100696E-2</v>
      </c>
      <c r="O184" s="8">
        <f t="shared" ca="1" si="168"/>
        <v>5.7071763933846387E-2</v>
      </c>
    </row>
    <row r="185" spans="2:15">
      <c r="B185" s="3">
        <v>164</v>
      </c>
      <c r="C185" s="8">
        <f t="shared" si="133"/>
        <v>0.05</v>
      </c>
      <c r="D185" s="8">
        <f t="shared" ref="D185:O185" ca="1" si="169">C185+k*(theta-C185)*dt+vol*SQRT(dt*C185)*_xlfn.NORM.S.INV(RAND())</f>
        <v>5.0240407535130399E-2</v>
      </c>
      <c r="E185" s="8">
        <f t="shared" ca="1" si="169"/>
        <v>5.1899490436121104E-2</v>
      </c>
      <c r="F185" s="8">
        <f t="shared" ca="1" si="169"/>
        <v>5.3270641432450007E-2</v>
      </c>
      <c r="G185" s="8">
        <f t="shared" ca="1" si="169"/>
        <v>5.3506116969884152E-2</v>
      </c>
      <c r="H185" s="8">
        <f t="shared" ca="1" si="169"/>
        <v>5.45715927203222E-2</v>
      </c>
      <c r="I185" s="8">
        <f t="shared" ca="1" si="169"/>
        <v>5.5981900187789507E-2</v>
      </c>
      <c r="J185" s="8">
        <f t="shared" ca="1" si="169"/>
        <v>5.608044622434763E-2</v>
      </c>
      <c r="K185" s="8">
        <f t="shared" ca="1" si="169"/>
        <v>5.7472959188665976E-2</v>
      </c>
      <c r="L185" s="8">
        <f t="shared" ca="1" si="169"/>
        <v>5.8059048735921964E-2</v>
      </c>
      <c r="M185" s="8">
        <f t="shared" ca="1" si="169"/>
        <v>5.6380356650909957E-2</v>
      </c>
      <c r="N185" s="8">
        <f t="shared" ca="1" si="169"/>
        <v>5.5711399494800369E-2</v>
      </c>
      <c r="O185" s="8">
        <f t="shared" ca="1" si="169"/>
        <v>5.7887127479340404E-2</v>
      </c>
    </row>
    <row r="186" spans="2:15">
      <c r="B186" s="3">
        <v>165</v>
      </c>
      <c r="C186" s="8">
        <f t="shared" si="133"/>
        <v>0.05</v>
      </c>
      <c r="D186" s="8">
        <f t="shared" ref="D186:O186" ca="1" si="170">C186+k*(theta-C186)*dt+vol*SQRT(dt*C186)*_xlfn.NORM.S.INV(RAND())</f>
        <v>5.2481886161273736E-2</v>
      </c>
      <c r="E186" s="8">
        <f t="shared" ca="1" si="170"/>
        <v>5.420296351856748E-2</v>
      </c>
      <c r="F186" s="8">
        <f t="shared" ca="1" si="170"/>
        <v>5.3324611544698385E-2</v>
      </c>
      <c r="G186" s="8">
        <f t="shared" ca="1" si="170"/>
        <v>5.3484000310904833E-2</v>
      </c>
      <c r="H186" s="8">
        <f t="shared" ca="1" si="170"/>
        <v>5.7806367029305694E-2</v>
      </c>
      <c r="I186" s="8">
        <f t="shared" ca="1" si="170"/>
        <v>6.0022527722223551E-2</v>
      </c>
      <c r="J186" s="8">
        <f t="shared" ca="1" si="170"/>
        <v>5.9418608098844229E-2</v>
      </c>
      <c r="K186" s="8">
        <f t="shared" ca="1" si="170"/>
        <v>5.9591332040757901E-2</v>
      </c>
      <c r="L186" s="8">
        <f t="shared" ca="1" si="170"/>
        <v>5.9258549065815222E-2</v>
      </c>
      <c r="M186" s="8">
        <f t="shared" ca="1" si="170"/>
        <v>5.8254017666726034E-2</v>
      </c>
      <c r="N186" s="8">
        <f t="shared" ca="1" si="170"/>
        <v>5.779418873164853E-2</v>
      </c>
      <c r="O186" s="8">
        <f t="shared" ca="1" si="170"/>
        <v>5.793741707087309E-2</v>
      </c>
    </row>
    <row r="187" spans="2:15">
      <c r="B187" s="3">
        <v>166</v>
      </c>
      <c r="C187" s="8">
        <f t="shared" si="133"/>
        <v>0.05</v>
      </c>
      <c r="D187" s="8">
        <f t="shared" ref="D187:O187" ca="1" si="171">C187+k*(theta-C187)*dt+vol*SQRT(dt*C187)*_xlfn.NORM.S.INV(RAND())</f>
        <v>5.0478298316177866E-2</v>
      </c>
      <c r="E187" s="8">
        <f t="shared" ca="1" si="171"/>
        <v>5.3914636498991017E-2</v>
      </c>
      <c r="F187" s="8">
        <f t="shared" ca="1" si="171"/>
        <v>5.5633660194768626E-2</v>
      </c>
      <c r="G187" s="8">
        <f t="shared" ca="1" si="171"/>
        <v>5.5505996891703407E-2</v>
      </c>
      <c r="H187" s="8">
        <f t="shared" ca="1" si="171"/>
        <v>5.519186495446126E-2</v>
      </c>
      <c r="I187" s="8">
        <f t="shared" ca="1" si="171"/>
        <v>5.7860063252098685E-2</v>
      </c>
      <c r="J187" s="8">
        <f t="shared" ca="1" si="171"/>
        <v>5.8599786823021076E-2</v>
      </c>
      <c r="K187" s="8">
        <f t="shared" ca="1" si="171"/>
        <v>5.6510807300085071E-2</v>
      </c>
      <c r="L187" s="8">
        <f t="shared" ca="1" si="171"/>
        <v>5.718998830868853E-2</v>
      </c>
      <c r="M187" s="8">
        <f t="shared" ca="1" si="171"/>
        <v>5.8464542867224419E-2</v>
      </c>
      <c r="N187" s="8">
        <f t="shared" ca="1" si="171"/>
        <v>6.1432639839556449E-2</v>
      </c>
      <c r="O187" s="8">
        <f t="shared" ca="1" si="171"/>
        <v>6.2658170300974564E-2</v>
      </c>
    </row>
    <row r="188" spans="2:15">
      <c r="B188" s="3">
        <v>167</v>
      </c>
      <c r="C188" s="8">
        <f t="shared" si="133"/>
        <v>0.05</v>
      </c>
      <c r="D188" s="8">
        <f t="shared" ref="D188:O188" ca="1" si="172">C188+k*(theta-C188)*dt+vol*SQRT(dt*C188)*_xlfn.NORM.S.INV(RAND())</f>
        <v>5.3022781664009186E-2</v>
      </c>
      <c r="E188" s="8">
        <f t="shared" ca="1" si="172"/>
        <v>5.4322634481378307E-2</v>
      </c>
      <c r="F188" s="8">
        <f t="shared" ca="1" si="172"/>
        <v>5.2319592384105294E-2</v>
      </c>
      <c r="G188" s="8">
        <f t="shared" ca="1" si="172"/>
        <v>5.2663192272872361E-2</v>
      </c>
      <c r="H188" s="8">
        <f t="shared" ca="1" si="172"/>
        <v>5.1530030250081661E-2</v>
      </c>
      <c r="I188" s="8">
        <f t="shared" ca="1" si="172"/>
        <v>5.4178266921109143E-2</v>
      </c>
      <c r="J188" s="8">
        <f t="shared" ca="1" si="172"/>
        <v>5.7571933263315597E-2</v>
      </c>
      <c r="K188" s="8">
        <f t="shared" ca="1" si="172"/>
        <v>5.8065826422627649E-2</v>
      </c>
      <c r="L188" s="8">
        <f t="shared" ca="1" si="172"/>
        <v>5.7715249340386389E-2</v>
      </c>
      <c r="M188" s="8">
        <f t="shared" ca="1" si="172"/>
        <v>5.8283207562088532E-2</v>
      </c>
      <c r="N188" s="8">
        <f t="shared" ca="1" si="172"/>
        <v>6.1291121800547813E-2</v>
      </c>
      <c r="O188" s="8">
        <f t="shared" ca="1" si="172"/>
        <v>6.3900682431825534E-2</v>
      </c>
    </row>
    <row r="189" spans="2:15">
      <c r="B189" s="3">
        <v>168</v>
      </c>
      <c r="C189" s="8">
        <f t="shared" si="133"/>
        <v>0.05</v>
      </c>
      <c r="D189" s="8">
        <f t="shared" ref="D189:O189" ca="1" si="173">C189+k*(theta-C189)*dt+vol*SQRT(dt*C189)*_xlfn.NORM.S.INV(RAND())</f>
        <v>5.2304121867545961E-2</v>
      </c>
      <c r="E189" s="8">
        <f t="shared" ca="1" si="173"/>
        <v>5.3024009909076214E-2</v>
      </c>
      <c r="F189" s="8">
        <f t="shared" ca="1" si="173"/>
        <v>5.5674444557632936E-2</v>
      </c>
      <c r="G189" s="8">
        <f t="shared" ca="1" si="173"/>
        <v>5.7596569790272632E-2</v>
      </c>
      <c r="H189" s="8">
        <f t="shared" ca="1" si="173"/>
        <v>5.8886577479306493E-2</v>
      </c>
      <c r="I189" s="8">
        <f t="shared" ca="1" si="173"/>
        <v>6.0186174325893405E-2</v>
      </c>
      <c r="J189" s="8">
        <f t="shared" ca="1" si="173"/>
        <v>6.1845103296268897E-2</v>
      </c>
      <c r="K189" s="8">
        <f t="shared" ca="1" si="173"/>
        <v>6.1280810255688531E-2</v>
      </c>
      <c r="L189" s="8">
        <f t="shared" ca="1" si="173"/>
        <v>6.3776371042179716E-2</v>
      </c>
      <c r="M189" s="8">
        <f t="shared" ca="1" si="173"/>
        <v>6.2999933525615184E-2</v>
      </c>
      <c r="N189" s="8">
        <f t="shared" ca="1" si="173"/>
        <v>6.3009655094923733E-2</v>
      </c>
      <c r="O189" s="8">
        <f t="shared" ca="1" si="173"/>
        <v>6.4500903961896019E-2</v>
      </c>
    </row>
    <row r="190" spans="2:15">
      <c r="B190" s="3">
        <v>169</v>
      </c>
      <c r="C190" s="8">
        <f t="shared" si="133"/>
        <v>0.05</v>
      </c>
      <c r="D190" s="8">
        <f t="shared" ref="D190:O190" ca="1" si="174">C190+k*(theta-C190)*dt+vol*SQRT(dt*C190)*_xlfn.NORM.S.INV(RAND())</f>
        <v>5.241168068903207E-2</v>
      </c>
      <c r="E190" s="8">
        <f t="shared" ca="1" si="174"/>
        <v>5.4264001921518125E-2</v>
      </c>
      <c r="F190" s="8">
        <f t="shared" ca="1" si="174"/>
        <v>5.5752721442359841E-2</v>
      </c>
      <c r="G190" s="8">
        <f t="shared" ca="1" si="174"/>
        <v>5.7773980910192549E-2</v>
      </c>
      <c r="H190" s="8">
        <f t="shared" ca="1" si="174"/>
        <v>5.7338492639123245E-2</v>
      </c>
      <c r="I190" s="8">
        <f t="shared" ca="1" si="174"/>
        <v>6.121508435889033E-2</v>
      </c>
      <c r="J190" s="8">
        <f t="shared" ca="1" si="174"/>
        <v>6.1862670470598839E-2</v>
      </c>
      <c r="K190" s="8">
        <f t="shared" ca="1" si="174"/>
        <v>6.105951177231099E-2</v>
      </c>
      <c r="L190" s="8">
        <f t="shared" ca="1" si="174"/>
        <v>6.0711310942575217E-2</v>
      </c>
      <c r="M190" s="8">
        <f t="shared" ca="1" si="174"/>
        <v>6.345623676822118E-2</v>
      </c>
      <c r="N190" s="8">
        <f t="shared" ca="1" si="174"/>
        <v>6.2134232443027626E-2</v>
      </c>
      <c r="O190" s="8">
        <f t="shared" ca="1" si="174"/>
        <v>6.6034010941463217E-2</v>
      </c>
    </row>
    <row r="191" spans="2:15">
      <c r="B191" s="3">
        <v>170</v>
      </c>
      <c r="C191" s="8">
        <f t="shared" si="133"/>
        <v>0.05</v>
      </c>
      <c r="D191" s="8">
        <f t="shared" ref="D191:O191" ca="1" si="175">C191+k*(theta-C191)*dt+vol*SQRT(dt*C191)*_xlfn.NORM.S.INV(RAND())</f>
        <v>5.1565030675763235E-2</v>
      </c>
      <c r="E191" s="8">
        <f t="shared" ca="1" si="175"/>
        <v>5.1663428596955413E-2</v>
      </c>
      <c r="F191" s="8">
        <f t="shared" ca="1" si="175"/>
        <v>5.365733572168678E-2</v>
      </c>
      <c r="G191" s="8">
        <f t="shared" ca="1" si="175"/>
        <v>5.3478848068929261E-2</v>
      </c>
      <c r="H191" s="8">
        <f t="shared" ca="1" si="175"/>
        <v>5.696190501388658E-2</v>
      </c>
      <c r="I191" s="8">
        <f t="shared" ca="1" si="175"/>
        <v>5.7359801264892339E-2</v>
      </c>
      <c r="J191" s="8">
        <f t="shared" ca="1" si="175"/>
        <v>5.8772477767498249E-2</v>
      </c>
      <c r="K191" s="8">
        <f t="shared" ca="1" si="175"/>
        <v>5.6047481323950453E-2</v>
      </c>
      <c r="L191" s="8">
        <f t="shared" ca="1" si="175"/>
        <v>5.7286228528321145E-2</v>
      </c>
      <c r="M191" s="8">
        <f t="shared" ca="1" si="175"/>
        <v>5.9239412073304965E-2</v>
      </c>
      <c r="N191" s="8">
        <f t="shared" ca="1" si="175"/>
        <v>5.892435523875833E-2</v>
      </c>
      <c r="O191" s="8">
        <f t="shared" ca="1" si="175"/>
        <v>5.8844611274411346E-2</v>
      </c>
    </row>
    <row r="192" spans="2:15">
      <c r="B192" s="3">
        <v>171</v>
      </c>
      <c r="C192" s="8">
        <f t="shared" si="133"/>
        <v>0.05</v>
      </c>
      <c r="D192" s="8">
        <f t="shared" ref="D192:O192" ca="1" si="176">C192+k*(theta-C192)*dt+vol*SQRT(dt*C192)*_xlfn.NORM.S.INV(RAND())</f>
        <v>5.0648404400768288E-2</v>
      </c>
      <c r="E192" s="8">
        <f t="shared" ca="1" si="176"/>
        <v>5.2123559581489357E-2</v>
      </c>
      <c r="F192" s="8">
        <f t="shared" ca="1" si="176"/>
        <v>5.365934951842332E-2</v>
      </c>
      <c r="G192" s="8">
        <f t="shared" ca="1" si="176"/>
        <v>5.7981433087685462E-2</v>
      </c>
      <c r="H192" s="8">
        <f t="shared" ca="1" si="176"/>
        <v>5.8899632690190669E-2</v>
      </c>
      <c r="I192" s="8">
        <f t="shared" ca="1" si="176"/>
        <v>5.6479146466109756E-2</v>
      </c>
      <c r="J192" s="8">
        <f t="shared" ca="1" si="176"/>
        <v>5.9454541920113409E-2</v>
      </c>
      <c r="K192" s="8">
        <f t="shared" ca="1" si="176"/>
        <v>6.2041466527088106E-2</v>
      </c>
      <c r="L192" s="8">
        <f t="shared" ca="1" si="176"/>
        <v>6.5598027422891267E-2</v>
      </c>
      <c r="M192" s="8">
        <f t="shared" ca="1" si="176"/>
        <v>6.4963772025631542E-2</v>
      </c>
      <c r="N192" s="8">
        <f t="shared" ca="1" si="176"/>
        <v>6.8798172707982858E-2</v>
      </c>
      <c r="O192" s="8">
        <f t="shared" ca="1" si="176"/>
        <v>6.6242106313922744E-2</v>
      </c>
    </row>
    <row r="193" spans="2:15">
      <c r="B193" s="3">
        <v>172</v>
      </c>
      <c r="C193" s="8">
        <f t="shared" si="133"/>
        <v>0.05</v>
      </c>
      <c r="D193" s="8">
        <f t="shared" ref="D193:O193" ca="1" si="177">C193+k*(theta-C193)*dt+vol*SQRT(dt*C193)*_xlfn.NORM.S.INV(RAND())</f>
        <v>4.9635303020794871E-2</v>
      </c>
      <c r="E193" s="8">
        <f t="shared" ca="1" si="177"/>
        <v>4.9528625396734402E-2</v>
      </c>
      <c r="F193" s="8">
        <f t="shared" ca="1" si="177"/>
        <v>5.209767865858108E-2</v>
      </c>
      <c r="G193" s="8">
        <f t="shared" ca="1" si="177"/>
        <v>5.2729964202269108E-2</v>
      </c>
      <c r="H193" s="8">
        <f t="shared" ca="1" si="177"/>
        <v>5.3846406817149736E-2</v>
      </c>
      <c r="I193" s="8">
        <f t="shared" ca="1" si="177"/>
        <v>5.3905127802790644E-2</v>
      </c>
      <c r="J193" s="8">
        <f t="shared" ca="1" si="177"/>
        <v>5.652114322200015E-2</v>
      </c>
      <c r="K193" s="8">
        <f t="shared" ca="1" si="177"/>
        <v>5.7657332373629057E-2</v>
      </c>
      <c r="L193" s="8">
        <f t="shared" ca="1" si="177"/>
        <v>6.0341577128471074E-2</v>
      </c>
      <c r="M193" s="8">
        <f t="shared" ca="1" si="177"/>
        <v>6.1853156976203784E-2</v>
      </c>
      <c r="N193" s="8">
        <f t="shared" ca="1" si="177"/>
        <v>5.9612866519224018E-2</v>
      </c>
      <c r="O193" s="8">
        <f t="shared" ca="1" si="177"/>
        <v>6.1160621969583197E-2</v>
      </c>
    </row>
    <row r="194" spans="2:15">
      <c r="B194" s="3">
        <v>173</v>
      </c>
      <c r="C194" s="8">
        <f t="shared" si="133"/>
        <v>0.05</v>
      </c>
      <c r="D194" s="8">
        <f t="shared" ref="D194:O194" ca="1" si="178">C194+k*(theta-C194)*dt+vol*SQRT(dt*C194)*_xlfn.NORM.S.INV(RAND())</f>
        <v>5.3900552098082193E-2</v>
      </c>
      <c r="E194" s="8">
        <f t="shared" ca="1" si="178"/>
        <v>5.4297871034976852E-2</v>
      </c>
      <c r="F194" s="8">
        <f t="shared" ca="1" si="178"/>
        <v>5.2514984133233446E-2</v>
      </c>
      <c r="G194" s="8">
        <f t="shared" ca="1" si="178"/>
        <v>5.4616110595787311E-2</v>
      </c>
      <c r="H194" s="8">
        <f t="shared" ca="1" si="178"/>
        <v>5.5982987584889246E-2</v>
      </c>
      <c r="I194" s="8">
        <f t="shared" ca="1" si="178"/>
        <v>5.3725862883385635E-2</v>
      </c>
      <c r="J194" s="8">
        <f t="shared" ca="1" si="178"/>
        <v>5.3891017340799131E-2</v>
      </c>
      <c r="K194" s="8">
        <f t="shared" ca="1" si="178"/>
        <v>5.4048415474704473E-2</v>
      </c>
      <c r="L194" s="8">
        <f t="shared" ca="1" si="178"/>
        <v>5.7092912030299217E-2</v>
      </c>
      <c r="M194" s="8">
        <f t="shared" ca="1" si="178"/>
        <v>5.7481679265669348E-2</v>
      </c>
      <c r="N194" s="8">
        <f t="shared" ca="1" si="178"/>
        <v>5.7753861300398293E-2</v>
      </c>
      <c r="O194" s="8">
        <f t="shared" ca="1" si="178"/>
        <v>6.0705048178541152E-2</v>
      </c>
    </row>
    <row r="195" spans="2:15">
      <c r="B195" s="3">
        <v>174</v>
      </c>
      <c r="C195" s="8">
        <f t="shared" si="133"/>
        <v>0.05</v>
      </c>
      <c r="D195" s="8">
        <f t="shared" ref="D195:O195" ca="1" si="179">C195+k*(theta-C195)*dt+vol*SQRT(dt*C195)*_xlfn.NORM.S.INV(RAND())</f>
        <v>5.1716316252390836E-2</v>
      </c>
      <c r="E195" s="8">
        <f t="shared" ca="1" si="179"/>
        <v>5.6204923494037801E-2</v>
      </c>
      <c r="F195" s="8">
        <f t="shared" ca="1" si="179"/>
        <v>5.9165682280060437E-2</v>
      </c>
      <c r="G195" s="8">
        <f t="shared" ca="1" si="179"/>
        <v>5.9725203882494825E-2</v>
      </c>
      <c r="H195" s="8">
        <f t="shared" ca="1" si="179"/>
        <v>6.1891148584193235E-2</v>
      </c>
      <c r="I195" s="8">
        <f t="shared" ca="1" si="179"/>
        <v>6.2603495491851582E-2</v>
      </c>
      <c r="J195" s="8">
        <f t="shared" ca="1" si="179"/>
        <v>6.1997681710068323E-2</v>
      </c>
      <c r="K195" s="8">
        <f t="shared" ca="1" si="179"/>
        <v>6.2581928846643486E-2</v>
      </c>
      <c r="L195" s="8">
        <f t="shared" ca="1" si="179"/>
        <v>6.0105614233650302E-2</v>
      </c>
      <c r="M195" s="8">
        <f t="shared" ca="1" si="179"/>
        <v>6.1473424265481073E-2</v>
      </c>
      <c r="N195" s="8">
        <f t="shared" ca="1" si="179"/>
        <v>6.0791376991046815E-2</v>
      </c>
      <c r="O195" s="8">
        <f t="shared" ca="1" si="179"/>
        <v>6.5072829575298988E-2</v>
      </c>
    </row>
    <row r="196" spans="2:15">
      <c r="B196" s="3">
        <v>175</v>
      </c>
      <c r="C196" s="8">
        <f t="shared" si="133"/>
        <v>0.05</v>
      </c>
      <c r="D196" s="8">
        <f t="shared" ref="D196:O196" ca="1" si="180">C196+k*(theta-C196)*dt+vol*SQRT(dt*C196)*_xlfn.NORM.S.INV(RAND())</f>
        <v>5.1691101252162017E-2</v>
      </c>
      <c r="E196" s="8">
        <f t="shared" ca="1" si="180"/>
        <v>5.4497416750093168E-2</v>
      </c>
      <c r="F196" s="8">
        <f t="shared" ca="1" si="180"/>
        <v>5.6752547959098128E-2</v>
      </c>
      <c r="G196" s="8">
        <f t="shared" ca="1" si="180"/>
        <v>5.7698745582703777E-2</v>
      </c>
      <c r="H196" s="8">
        <f t="shared" ca="1" si="180"/>
        <v>5.8380237560723143E-2</v>
      </c>
      <c r="I196" s="8">
        <f t="shared" ca="1" si="180"/>
        <v>5.7725326420749769E-2</v>
      </c>
      <c r="J196" s="8">
        <f t="shared" ca="1" si="180"/>
        <v>5.701351058985972E-2</v>
      </c>
      <c r="K196" s="8">
        <f t="shared" ca="1" si="180"/>
        <v>5.7645370875644697E-2</v>
      </c>
      <c r="L196" s="8">
        <f t="shared" ca="1" si="180"/>
        <v>6.2493771347944274E-2</v>
      </c>
      <c r="M196" s="8">
        <f t="shared" ca="1" si="180"/>
        <v>6.2799497854010761E-2</v>
      </c>
      <c r="N196" s="8">
        <f t="shared" ca="1" si="180"/>
        <v>6.2333794320609877E-2</v>
      </c>
      <c r="O196" s="8">
        <f t="shared" ca="1" si="180"/>
        <v>6.0603820459422253E-2</v>
      </c>
    </row>
    <row r="197" spans="2:15">
      <c r="B197" s="3">
        <v>176</v>
      </c>
      <c r="C197" s="8">
        <f t="shared" si="133"/>
        <v>0.05</v>
      </c>
      <c r="D197" s="8">
        <f t="shared" ref="D197:O197" ca="1" si="181">C197+k*(theta-C197)*dt+vol*SQRT(dt*C197)*_xlfn.NORM.S.INV(RAND())</f>
        <v>4.9341904283866929E-2</v>
      </c>
      <c r="E197" s="8">
        <f t="shared" ca="1" si="181"/>
        <v>4.8927581658288435E-2</v>
      </c>
      <c r="F197" s="8">
        <f t="shared" ca="1" si="181"/>
        <v>4.9359056173362517E-2</v>
      </c>
      <c r="G197" s="8">
        <f t="shared" ca="1" si="181"/>
        <v>5.1171578162025021E-2</v>
      </c>
      <c r="H197" s="8">
        <f t="shared" ca="1" si="181"/>
        <v>4.9761429515691152E-2</v>
      </c>
      <c r="I197" s="8">
        <f t="shared" ca="1" si="181"/>
        <v>5.0349156853557328E-2</v>
      </c>
      <c r="J197" s="8">
        <f t="shared" ca="1" si="181"/>
        <v>4.8599099690581654E-2</v>
      </c>
      <c r="K197" s="8">
        <f t="shared" ca="1" si="181"/>
        <v>5.0053496346927497E-2</v>
      </c>
      <c r="L197" s="8">
        <f t="shared" ca="1" si="181"/>
        <v>5.1371916400611894E-2</v>
      </c>
      <c r="M197" s="8">
        <f t="shared" ca="1" si="181"/>
        <v>5.1686789524218721E-2</v>
      </c>
      <c r="N197" s="8">
        <f t="shared" ca="1" si="181"/>
        <v>5.2244840380802057E-2</v>
      </c>
      <c r="O197" s="8">
        <f t="shared" ca="1" si="181"/>
        <v>5.2730559277354996E-2</v>
      </c>
    </row>
    <row r="198" spans="2:15">
      <c r="B198" s="3">
        <v>177</v>
      </c>
      <c r="C198" s="8">
        <f t="shared" si="133"/>
        <v>0.05</v>
      </c>
      <c r="D198" s="8">
        <f t="shared" ref="D198:O198" ca="1" si="182">C198+k*(theta-C198)*dt+vol*SQRT(dt*C198)*_xlfn.NORM.S.INV(RAND())</f>
        <v>4.9245541840140329E-2</v>
      </c>
      <c r="E198" s="8">
        <f t="shared" ca="1" si="182"/>
        <v>5.2536287320324351E-2</v>
      </c>
      <c r="F198" s="8">
        <f t="shared" ca="1" si="182"/>
        <v>5.2144967566688592E-2</v>
      </c>
      <c r="G198" s="8">
        <f t="shared" ca="1" si="182"/>
        <v>5.8531951518709782E-2</v>
      </c>
      <c r="H198" s="8">
        <f t="shared" ca="1" si="182"/>
        <v>5.8222377824019421E-2</v>
      </c>
      <c r="I198" s="8">
        <f t="shared" ca="1" si="182"/>
        <v>5.8797785510505018E-2</v>
      </c>
      <c r="J198" s="8">
        <f t="shared" ca="1" si="182"/>
        <v>5.8516035033386891E-2</v>
      </c>
      <c r="K198" s="8">
        <f t="shared" ca="1" si="182"/>
        <v>6.1427736159186307E-2</v>
      </c>
      <c r="L198" s="8">
        <f t="shared" ca="1" si="182"/>
        <v>6.0073526073569652E-2</v>
      </c>
      <c r="M198" s="8">
        <f t="shared" ca="1" si="182"/>
        <v>6.1652020950501478E-2</v>
      </c>
      <c r="N198" s="8">
        <f t="shared" ca="1" si="182"/>
        <v>6.2710980010574791E-2</v>
      </c>
      <c r="O198" s="8">
        <f t="shared" ca="1" si="182"/>
        <v>6.2565254121422539E-2</v>
      </c>
    </row>
    <row r="199" spans="2:15">
      <c r="B199" s="3">
        <v>178</v>
      </c>
      <c r="C199" s="8">
        <f t="shared" si="133"/>
        <v>0.05</v>
      </c>
      <c r="D199" s="8">
        <f t="shared" ref="D199:O199" ca="1" si="183">C199+k*(theta-C199)*dt+vol*SQRT(dt*C199)*_xlfn.NORM.S.INV(RAND())</f>
        <v>5.2125149406522187E-2</v>
      </c>
      <c r="E199" s="8">
        <f t="shared" ca="1" si="183"/>
        <v>5.4333452525473863E-2</v>
      </c>
      <c r="F199" s="8">
        <f t="shared" ca="1" si="183"/>
        <v>5.5442314397471194E-2</v>
      </c>
      <c r="G199" s="8">
        <f t="shared" ca="1" si="183"/>
        <v>5.4374961918334075E-2</v>
      </c>
      <c r="H199" s="8">
        <f t="shared" ca="1" si="183"/>
        <v>5.5217983625635729E-2</v>
      </c>
      <c r="I199" s="8">
        <f t="shared" ca="1" si="183"/>
        <v>5.8277158655649017E-2</v>
      </c>
      <c r="J199" s="8">
        <f t="shared" ca="1" si="183"/>
        <v>6.1826033550983858E-2</v>
      </c>
      <c r="K199" s="8">
        <f t="shared" ca="1" si="183"/>
        <v>6.3429763492709776E-2</v>
      </c>
      <c r="L199" s="8">
        <f t="shared" ca="1" si="183"/>
        <v>6.1933149327044058E-2</v>
      </c>
      <c r="M199" s="8">
        <f t="shared" ca="1" si="183"/>
        <v>6.0747911015195319E-2</v>
      </c>
      <c r="N199" s="8">
        <f t="shared" ca="1" si="183"/>
        <v>6.1850228152353033E-2</v>
      </c>
      <c r="O199" s="8">
        <f t="shared" ca="1" si="183"/>
        <v>6.2390815204317857E-2</v>
      </c>
    </row>
    <row r="200" spans="2:15">
      <c r="B200" s="3">
        <v>179</v>
      </c>
      <c r="C200" s="8">
        <f t="shared" si="133"/>
        <v>0.05</v>
      </c>
      <c r="D200" s="8">
        <f t="shared" ref="D200:O200" ca="1" si="184">C200+k*(theta-C200)*dt+vol*SQRT(dt*C200)*_xlfn.NORM.S.INV(RAND())</f>
        <v>5.1433405410925143E-2</v>
      </c>
      <c r="E200" s="8">
        <f t="shared" ca="1" si="184"/>
        <v>5.4742099010945726E-2</v>
      </c>
      <c r="F200" s="8">
        <f t="shared" ca="1" si="184"/>
        <v>5.6106232529796303E-2</v>
      </c>
      <c r="G200" s="8">
        <f t="shared" ca="1" si="184"/>
        <v>5.8268731607846236E-2</v>
      </c>
      <c r="H200" s="8">
        <f t="shared" ca="1" si="184"/>
        <v>5.9428561471874579E-2</v>
      </c>
      <c r="I200" s="8">
        <f t="shared" ca="1" si="184"/>
        <v>5.8278975587697887E-2</v>
      </c>
      <c r="J200" s="8">
        <f t="shared" ca="1" si="184"/>
        <v>5.8250117112550223E-2</v>
      </c>
      <c r="K200" s="8">
        <f t="shared" ca="1" si="184"/>
        <v>5.9810294840166249E-2</v>
      </c>
      <c r="L200" s="8">
        <f t="shared" ca="1" si="184"/>
        <v>6.1731886562972037E-2</v>
      </c>
      <c r="M200" s="8">
        <f t="shared" ca="1" si="184"/>
        <v>6.0759337101448492E-2</v>
      </c>
      <c r="N200" s="8">
        <f t="shared" ca="1" si="184"/>
        <v>6.2571147889357887E-2</v>
      </c>
      <c r="O200" s="8">
        <f t="shared" ca="1" si="184"/>
        <v>6.2433813689169095E-2</v>
      </c>
    </row>
    <row r="201" spans="2:15">
      <c r="B201" s="3">
        <v>180</v>
      </c>
      <c r="C201" s="8">
        <f t="shared" si="133"/>
        <v>0.05</v>
      </c>
      <c r="D201" s="8">
        <f t="shared" ref="D201:O201" ca="1" si="185">C201+k*(theta-C201)*dt+vol*SQRT(dt*C201)*_xlfn.NORM.S.INV(RAND())</f>
        <v>5.1506280491448481E-2</v>
      </c>
      <c r="E201" s="8">
        <f t="shared" ca="1" si="185"/>
        <v>5.186867228360343E-2</v>
      </c>
      <c r="F201" s="8">
        <f t="shared" ca="1" si="185"/>
        <v>5.3117964715990562E-2</v>
      </c>
      <c r="G201" s="8">
        <f t="shared" ca="1" si="185"/>
        <v>5.1451403875793097E-2</v>
      </c>
      <c r="H201" s="8">
        <f t="shared" ca="1" si="185"/>
        <v>5.2660949477431565E-2</v>
      </c>
      <c r="I201" s="8">
        <f t="shared" ca="1" si="185"/>
        <v>5.4223606933878322E-2</v>
      </c>
      <c r="J201" s="8">
        <f t="shared" ca="1" si="185"/>
        <v>5.3185263462897259E-2</v>
      </c>
      <c r="K201" s="8">
        <f t="shared" ca="1" si="185"/>
        <v>5.4684701807706494E-2</v>
      </c>
      <c r="L201" s="8">
        <f t="shared" ca="1" si="185"/>
        <v>5.5709525313708604E-2</v>
      </c>
      <c r="M201" s="8">
        <f t="shared" ca="1" si="185"/>
        <v>5.5208277105673519E-2</v>
      </c>
      <c r="N201" s="8">
        <f t="shared" ca="1" si="185"/>
        <v>5.4723361341077421E-2</v>
      </c>
      <c r="O201" s="8">
        <f t="shared" ca="1" si="185"/>
        <v>5.6349701377711114E-2</v>
      </c>
    </row>
    <row r="202" spans="2:15">
      <c r="B202" s="3">
        <v>181</v>
      </c>
      <c r="C202" s="8">
        <f t="shared" si="133"/>
        <v>0.05</v>
      </c>
      <c r="D202" s="8">
        <f t="shared" ref="D202:O202" ca="1" si="186">C202+k*(theta-C202)*dt+vol*SQRT(dt*C202)*_xlfn.NORM.S.INV(RAND())</f>
        <v>5.2662958129867786E-2</v>
      </c>
      <c r="E202" s="8">
        <f t="shared" ca="1" si="186"/>
        <v>5.1877653173120403E-2</v>
      </c>
      <c r="F202" s="8">
        <f t="shared" ca="1" si="186"/>
        <v>5.3527305404592072E-2</v>
      </c>
      <c r="G202" s="8">
        <f t="shared" ca="1" si="186"/>
        <v>5.6539288576391317E-2</v>
      </c>
      <c r="H202" s="8">
        <f t="shared" ca="1" si="186"/>
        <v>5.4693449688155982E-2</v>
      </c>
      <c r="I202" s="8">
        <f t="shared" ca="1" si="186"/>
        <v>5.3025250861528948E-2</v>
      </c>
      <c r="J202" s="8">
        <f t="shared" ca="1" si="186"/>
        <v>5.4084196179435849E-2</v>
      </c>
      <c r="K202" s="8">
        <f t="shared" ca="1" si="186"/>
        <v>5.4934643590794856E-2</v>
      </c>
      <c r="L202" s="8">
        <f t="shared" ca="1" si="186"/>
        <v>5.4319981390621379E-2</v>
      </c>
      <c r="M202" s="8">
        <f t="shared" ca="1" si="186"/>
        <v>5.6176923769433916E-2</v>
      </c>
      <c r="N202" s="8">
        <f t="shared" ca="1" si="186"/>
        <v>5.6127510449077822E-2</v>
      </c>
      <c r="O202" s="8">
        <f t="shared" ca="1" si="186"/>
        <v>5.7456758062310632E-2</v>
      </c>
    </row>
    <row r="203" spans="2:15">
      <c r="B203" s="3">
        <v>182</v>
      </c>
      <c r="C203" s="8">
        <f t="shared" si="133"/>
        <v>0.05</v>
      </c>
      <c r="D203" s="8">
        <f t="shared" ref="D203:O203" ca="1" si="187">C203+k*(theta-C203)*dt+vol*SQRT(dt*C203)*_xlfn.NORM.S.INV(RAND())</f>
        <v>4.9795973355321897E-2</v>
      </c>
      <c r="E203" s="8">
        <f t="shared" ca="1" si="187"/>
        <v>5.1840159841257463E-2</v>
      </c>
      <c r="F203" s="8">
        <f t="shared" ca="1" si="187"/>
        <v>5.1917242092238747E-2</v>
      </c>
      <c r="G203" s="8">
        <f t="shared" ca="1" si="187"/>
        <v>5.4929358693523764E-2</v>
      </c>
      <c r="H203" s="8">
        <f t="shared" ca="1" si="187"/>
        <v>5.5979917505102686E-2</v>
      </c>
      <c r="I203" s="8">
        <f t="shared" ca="1" si="187"/>
        <v>5.7895722558445474E-2</v>
      </c>
      <c r="J203" s="8">
        <f t="shared" ca="1" si="187"/>
        <v>5.7756776483060233E-2</v>
      </c>
      <c r="K203" s="8">
        <f t="shared" ca="1" si="187"/>
        <v>5.9626648392017784E-2</v>
      </c>
      <c r="L203" s="8">
        <f t="shared" ca="1" si="187"/>
        <v>5.9555726526284054E-2</v>
      </c>
      <c r="M203" s="8">
        <f t="shared" ca="1" si="187"/>
        <v>6.0442575013234287E-2</v>
      </c>
      <c r="N203" s="8">
        <f t="shared" ca="1" si="187"/>
        <v>6.1902916132776445E-2</v>
      </c>
      <c r="O203" s="8">
        <f t="shared" ca="1" si="187"/>
        <v>6.106594527656356E-2</v>
      </c>
    </row>
    <row r="204" spans="2:15">
      <c r="B204" s="3">
        <v>183</v>
      </c>
      <c r="C204" s="8">
        <f t="shared" si="133"/>
        <v>0.05</v>
      </c>
      <c r="D204" s="8">
        <f t="shared" ref="D204:O204" ca="1" si="188">C204+k*(theta-C204)*dt+vol*SQRT(dt*C204)*_xlfn.NORM.S.INV(RAND())</f>
        <v>5.0675531495869369E-2</v>
      </c>
      <c r="E204" s="8">
        <f t="shared" ca="1" si="188"/>
        <v>5.0153973181456958E-2</v>
      </c>
      <c r="F204" s="8">
        <f t="shared" ca="1" si="188"/>
        <v>5.2290398309282553E-2</v>
      </c>
      <c r="G204" s="8">
        <f t="shared" ca="1" si="188"/>
        <v>5.4416648146689117E-2</v>
      </c>
      <c r="H204" s="8">
        <f t="shared" ca="1" si="188"/>
        <v>5.530503845507679E-2</v>
      </c>
      <c r="I204" s="8">
        <f t="shared" ca="1" si="188"/>
        <v>5.5205659107200565E-2</v>
      </c>
      <c r="J204" s="8">
        <f t="shared" ca="1" si="188"/>
        <v>5.7435529023930842E-2</v>
      </c>
      <c r="K204" s="8">
        <f t="shared" ca="1" si="188"/>
        <v>5.8888504428644448E-2</v>
      </c>
      <c r="L204" s="8">
        <f t="shared" ca="1" si="188"/>
        <v>5.994751348824931E-2</v>
      </c>
      <c r="M204" s="8">
        <f t="shared" ca="1" si="188"/>
        <v>6.1519631431840797E-2</v>
      </c>
      <c r="N204" s="8">
        <f t="shared" ca="1" si="188"/>
        <v>6.2994095973772465E-2</v>
      </c>
      <c r="O204" s="8">
        <f t="shared" ca="1" si="188"/>
        <v>6.3986177680937339E-2</v>
      </c>
    </row>
    <row r="205" spans="2:15">
      <c r="B205" s="3">
        <v>184</v>
      </c>
      <c r="C205" s="8">
        <f t="shared" si="133"/>
        <v>0.05</v>
      </c>
      <c r="D205" s="8">
        <f t="shared" ref="D205:O205" ca="1" si="189">C205+k*(theta-C205)*dt+vol*SQRT(dt*C205)*_xlfn.NORM.S.INV(RAND())</f>
        <v>5.1679120737112748E-2</v>
      </c>
      <c r="E205" s="8">
        <f t="shared" ca="1" si="189"/>
        <v>5.2204657420271652E-2</v>
      </c>
      <c r="F205" s="8">
        <f t="shared" ca="1" si="189"/>
        <v>5.3365157592267704E-2</v>
      </c>
      <c r="G205" s="8">
        <f t="shared" ca="1" si="189"/>
        <v>5.339952981963323E-2</v>
      </c>
      <c r="H205" s="8">
        <f t="shared" ca="1" si="189"/>
        <v>5.6007019084358123E-2</v>
      </c>
      <c r="I205" s="8">
        <f t="shared" ca="1" si="189"/>
        <v>5.4220795225053339E-2</v>
      </c>
      <c r="J205" s="8">
        <f t="shared" ca="1" si="189"/>
        <v>5.511175664161494E-2</v>
      </c>
      <c r="K205" s="8">
        <f t="shared" ca="1" si="189"/>
        <v>5.4072520710966201E-2</v>
      </c>
      <c r="L205" s="8">
        <f t="shared" ca="1" si="189"/>
        <v>5.7687467840054622E-2</v>
      </c>
      <c r="M205" s="8">
        <f t="shared" ca="1" si="189"/>
        <v>5.8274885816669661E-2</v>
      </c>
      <c r="N205" s="8">
        <f t="shared" ca="1" si="189"/>
        <v>6.0173796158363782E-2</v>
      </c>
      <c r="O205" s="8">
        <f t="shared" ca="1" si="189"/>
        <v>6.1009386034954691E-2</v>
      </c>
    </row>
    <row r="206" spans="2:15">
      <c r="B206" s="3">
        <v>185</v>
      </c>
      <c r="C206" s="8">
        <f t="shared" si="133"/>
        <v>0.05</v>
      </c>
      <c r="D206" s="8">
        <f t="shared" ref="D206:O206" ca="1" si="190">C206+k*(theta-C206)*dt+vol*SQRT(dt*C206)*_xlfn.NORM.S.INV(RAND())</f>
        <v>5.0459649311530179E-2</v>
      </c>
      <c r="E206" s="8">
        <f t="shared" ca="1" si="190"/>
        <v>4.9261679724005927E-2</v>
      </c>
      <c r="F206" s="8">
        <f t="shared" ca="1" si="190"/>
        <v>5.0666442733304409E-2</v>
      </c>
      <c r="G206" s="8">
        <f t="shared" ca="1" si="190"/>
        <v>5.0661912701967529E-2</v>
      </c>
      <c r="H206" s="8">
        <f t="shared" ca="1" si="190"/>
        <v>5.1804457380610895E-2</v>
      </c>
      <c r="I206" s="8">
        <f t="shared" ca="1" si="190"/>
        <v>5.3111995791175703E-2</v>
      </c>
      <c r="J206" s="8">
        <f t="shared" ca="1" si="190"/>
        <v>5.2753029829653256E-2</v>
      </c>
      <c r="K206" s="8">
        <f t="shared" ca="1" si="190"/>
        <v>5.2640965029047193E-2</v>
      </c>
      <c r="L206" s="8">
        <f t="shared" ca="1" si="190"/>
        <v>5.5416977119249838E-2</v>
      </c>
      <c r="M206" s="8">
        <f t="shared" ca="1" si="190"/>
        <v>5.6320023765904816E-2</v>
      </c>
      <c r="N206" s="8">
        <f t="shared" ca="1" si="190"/>
        <v>5.7166439972442189E-2</v>
      </c>
      <c r="O206" s="8">
        <f t="shared" ca="1" si="190"/>
        <v>5.8568286807294229E-2</v>
      </c>
    </row>
    <row r="207" spans="2:15">
      <c r="B207" s="3">
        <v>186</v>
      </c>
      <c r="C207" s="8">
        <f t="shared" si="133"/>
        <v>0.05</v>
      </c>
      <c r="D207" s="8">
        <f t="shared" ref="D207:O207" ca="1" si="191">C207+k*(theta-C207)*dt+vol*SQRT(dt*C207)*_xlfn.NORM.S.INV(RAND())</f>
        <v>5.1056971491427842E-2</v>
      </c>
      <c r="E207" s="8">
        <f t="shared" ca="1" si="191"/>
        <v>5.0600454195360259E-2</v>
      </c>
      <c r="F207" s="8">
        <f t="shared" ca="1" si="191"/>
        <v>5.18978689613563E-2</v>
      </c>
      <c r="G207" s="8">
        <f t="shared" ca="1" si="191"/>
        <v>5.3587828236453694E-2</v>
      </c>
      <c r="H207" s="8">
        <f t="shared" ca="1" si="191"/>
        <v>5.4691759912356384E-2</v>
      </c>
      <c r="I207" s="8">
        <f t="shared" ca="1" si="191"/>
        <v>5.6086985471843334E-2</v>
      </c>
      <c r="J207" s="8">
        <f t="shared" ca="1" si="191"/>
        <v>5.6512644315302528E-2</v>
      </c>
      <c r="K207" s="8">
        <f t="shared" ca="1" si="191"/>
        <v>5.6748032909744575E-2</v>
      </c>
      <c r="L207" s="8">
        <f t="shared" ca="1" si="191"/>
        <v>5.8600512848935894E-2</v>
      </c>
      <c r="M207" s="8">
        <f t="shared" ca="1" si="191"/>
        <v>5.6711538182087448E-2</v>
      </c>
      <c r="N207" s="8">
        <f t="shared" ca="1" si="191"/>
        <v>5.7901449592031994E-2</v>
      </c>
      <c r="O207" s="8">
        <f t="shared" ca="1" si="191"/>
        <v>5.9937918961981293E-2</v>
      </c>
    </row>
    <row r="208" spans="2:15">
      <c r="B208" s="3">
        <v>187</v>
      </c>
      <c r="C208" s="8">
        <f t="shared" si="133"/>
        <v>0.05</v>
      </c>
      <c r="D208" s="8">
        <f t="shared" ref="D208:O208" ca="1" si="192">C208+k*(theta-C208)*dt+vol*SQRT(dt*C208)*_xlfn.NORM.S.INV(RAND())</f>
        <v>5.033636545029644E-2</v>
      </c>
      <c r="E208" s="8">
        <f t="shared" ca="1" si="192"/>
        <v>5.0435783406862174E-2</v>
      </c>
      <c r="F208" s="8">
        <f t="shared" ca="1" si="192"/>
        <v>5.233488672449095E-2</v>
      </c>
      <c r="G208" s="8">
        <f t="shared" ca="1" si="192"/>
        <v>5.3345736071328656E-2</v>
      </c>
      <c r="H208" s="8">
        <f t="shared" ca="1" si="192"/>
        <v>5.6360728671278462E-2</v>
      </c>
      <c r="I208" s="8">
        <f t="shared" ca="1" si="192"/>
        <v>5.8583425254051406E-2</v>
      </c>
      <c r="J208" s="8">
        <f t="shared" ca="1" si="192"/>
        <v>5.9655089564381654E-2</v>
      </c>
      <c r="K208" s="8">
        <f t="shared" ca="1" si="192"/>
        <v>6.0752551688721255E-2</v>
      </c>
      <c r="L208" s="8">
        <f t="shared" ca="1" si="192"/>
        <v>6.0183064429564094E-2</v>
      </c>
      <c r="M208" s="8">
        <f t="shared" ca="1" si="192"/>
        <v>6.2485546471820155E-2</v>
      </c>
      <c r="N208" s="8">
        <f t="shared" ca="1" si="192"/>
        <v>6.3743878541883472E-2</v>
      </c>
      <c r="O208" s="8">
        <f t="shared" ca="1" si="192"/>
        <v>6.4124687988475024E-2</v>
      </c>
    </row>
    <row r="209" spans="2:15">
      <c r="B209" s="3">
        <v>188</v>
      </c>
      <c r="C209" s="8">
        <f t="shared" si="133"/>
        <v>0.05</v>
      </c>
      <c r="D209" s="8">
        <f t="shared" ref="D209:O209" ca="1" si="193">C209+k*(theta-C209)*dt+vol*SQRT(dt*C209)*_xlfn.NORM.S.INV(RAND())</f>
        <v>4.9833460658209851E-2</v>
      </c>
      <c r="E209" s="8">
        <f t="shared" ca="1" si="193"/>
        <v>5.2026031419452334E-2</v>
      </c>
      <c r="F209" s="8">
        <f t="shared" ca="1" si="193"/>
        <v>5.0858571417096043E-2</v>
      </c>
      <c r="G209" s="8">
        <f t="shared" ca="1" si="193"/>
        <v>5.1618081268380904E-2</v>
      </c>
      <c r="H209" s="8">
        <f t="shared" ca="1" si="193"/>
        <v>5.1432049740394933E-2</v>
      </c>
      <c r="I209" s="8">
        <f t="shared" ca="1" si="193"/>
        <v>5.2173891290472806E-2</v>
      </c>
      <c r="J209" s="8">
        <f t="shared" ca="1" si="193"/>
        <v>5.4003222030273468E-2</v>
      </c>
      <c r="K209" s="8">
        <f t="shared" ca="1" si="193"/>
        <v>5.7754041352005146E-2</v>
      </c>
      <c r="L209" s="8">
        <f t="shared" ca="1" si="193"/>
        <v>6.175824645970019E-2</v>
      </c>
      <c r="M209" s="8">
        <f t="shared" ca="1" si="193"/>
        <v>6.2364245194701094E-2</v>
      </c>
      <c r="N209" s="8">
        <f t="shared" ca="1" si="193"/>
        <v>6.3199793119276565E-2</v>
      </c>
      <c r="O209" s="8">
        <f t="shared" ca="1" si="193"/>
        <v>6.4210557898057949E-2</v>
      </c>
    </row>
    <row r="210" spans="2:15">
      <c r="B210" s="3">
        <v>189</v>
      </c>
      <c r="C210" s="8">
        <f t="shared" si="133"/>
        <v>0.05</v>
      </c>
      <c r="D210" s="8">
        <f t="shared" ref="D210:O210" ca="1" si="194">C210+k*(theta-C210)*dt+vol*SQRT(dt*C210)*_xlfn.NORM.S.INV(RAND())</f>
        <v>5.1904120643168794E-2</v>
      </c>
      <c r="E210" s="8">
        <f t="shared" ca="1" si="194"/>
        <v>5.2412036170159354E-2</v>
      </c>
      <c r="F210" s="8">
        <f t="shared" ca="1" si="194"/>
        <v>5.4052133027243397E-2</v>
      </c>
      <c r="G210" s="8">
        <f t="shared" ca="1" si="194"/>
        <v>5.5177848001021976E-2</v>
      </c>
      <c r="H210" s="8">
        <f t="shared" ca="1" si="194"/>
        <v>5.6445993336137978E-2</v>
      </c>
      <c r="I210" s="8">
        <f t="shared" ca="1" si="194"/>
        <v>6.0539799406120032E-2</v>
      </c>
      <c r="J210" s="8">
        <f t="shared" ca="1" si="194"/>
        <v>6.4310486661305039E-2</v>
      </c>
      <c r="K210" s="8">
        <f t="shared" ca="1" si="194"/>
        <v>6.5507515773968142E-2</v>
      </c>
      <c r="L210" s="8">
        <f t="shared" ca="1" si="194"/>
        <v>6.3471139061647266E-2</v>
      </c>
      <c r="M210" s="8">
        <f t="shared" ca="1" si="194"/>
        <v>6.5118271298872266E-2</v>
      </c>
      <c r="N210" s="8">
        <f t="shared" ca="1" si="194"/>
        <v>6.5910729495283496E-2</v>
      </c>
      <c r="O210" s="8">
        <f t="shared" ca="1" si="194"/>
        <v>6.6798464319267531E-2</v>
      </c>
    </row>
    <row r="211" spans="2:15">
      <c r="B211" s="3">
        <v>190</v>
      </c>
      <c r="C211" s="8">
        <f t="shared" si="133"/>
        <v>0.05</v>
      </c>
      <c r="D211" s="8">
        <f t="shared" ref="D211:O211" ca="1" si="195">C211+k*(theta-C211)*dt+vol*SQRT(dt*C211)*_xlfn.NORM.S.INV(RAND())</f>
        <v>4.9690730136536576E-2</v>
      </c>
      <c r="E211" s="8">
        <f t="shared" ca="1" si="195"/>
        <v>5.2551829643946869E-2</v>
      </c>
      <c r="F211" s="8">
        <f t="shared" ca="1" si="195"/>
        <v>5.4684083581959149E-2</v>
      </c>
      <c r="G211" s="8">
        <f t="shared" ca="1" si="195"/>
        <v>5.5211178935694279E-2</v>
      </c>
      <c r="H211" s="8">
        <f t="shared" ca="1" si="195"/>
        <v>5.7164307904531954E-2</v>
      </c>
      <c r="I211" s="8">
        <f t="shared" ca="1" si="195"/>
        <v>5.8824526638401438E-2</v>
      </c>
      <c r="J211" s="8">
        <f t="shared" ca="1" si="195"/>
        <v>5.7911934012459344E-2</v>
      </c>
      <c r="K211" s="8">
        <f t="shared" ca="1" si="195"/>
        <v>5.9117220553816734E-2</v>
      </c>
      <c r="L211" s="8">
        <f t="shared" ca="1" si="195"/>
        <v>5.9535645212365214E-2</v>
      </c>
      <c r="M211" s="8">
        <f t="shared" ca="1" si="195"/>
        <v>5.9912379962689763E-2</v>
      </c>
      <c r="N211" s="8">
        <f t="shared" ca="1" si="195"/>
        <v>6.3027318447366032E-2</v>
      </c>
      <c r="O211" s="8">
        <f t="shared" ca="1" si="195"/>
        <v>6.5410875915650618E-2</v>
      </c>
    </row>
    <row r="212" spans="2:15">
      <c r="B212" s="3">
        <v>191</v>
      </c>
      <c r="C212" s="8">
        <f t="shared" si="133"/>
        <v>0.05</v>
      </c>
      <c r="D212" s="8">
        <f t="shared" ref="D212:O212" ca="1" si="196">C212+k*(theta-C212)*dt+vol*SQRT(dt*C212)*_xlfn.NORM.S.INV(RAND())</f>
        <v>5.1653481094662765E-2</v>
      </c>
      <c r="E212" s="8">
        <f t="shared" ca="1" si="196"/>
        <v>5.2228011625358804E-2</v>
      </c>
      <c r="F212" s="8">
        <f t="shared" ca="1" si="196"/>
        <v>5.4814762308646403E-2</v>
      </c>
      <c r="G212" s="8">
        <f t="shared" ca="1" si="196"/>
        <v>5.4955555229919253E-2</v>
      </c>
      <c r="H212" s="8">
        <f t="shared" ca="1" si="196"/>
        <v>5.5481185785430868E-2</v>
      </c>
      <c r="I212" s="8">
        <f t="shared" ca="1" si="196"/>
        <v>5.5816789768855408E-2</v>
      </c>
      <c r="J212" s="8">
        <f t="shared" ca="1" si="196"/>
        <v>5.6432600471597864E-2</v>
      </c>
      <c r="K212" s="8">
        <f t="shared" ca="1" si="196"/>
        <v>5.6481525962673362E-2</v>
      </c>
      <c r="L212" s="8">
        <f t="shared" ca="1" si="196"/>
        <v>5.8778823049428566E-2</v>
      </c>
      <c r="M212" s="8">
        <f t="shared" ca="1" si="196"/>
        <v>5.7964153896936509E-2</v>
      </c>
      <c r="N212" s="8">
        <f t="shared" ca="1" si="196"/>
        <v>5.8110949414245237E-2</v>
      </c>
      <c r="O212" s="8">
        <f t="shared" ca="1" si="196"/>
        <v>5.8256565443735579E-2</v>
      </c>
    </row>
    <row r="213" spans="2:15">
      <c r="B213" s="3">
        <v>192</v>
      </c>
      <c r="C213" s="8">
        <f t="shared" si="133"/>
        <v>0.05</v>
      </c>
      <c r="D213" s="8">
        <f t="shared" ref="D213:O213" ca="1" si="197">C213+k*(theta-C213)*dt+vol*SQRT(dt*C213)*_xlfn.NORM.S.INV(RAND())</f>
        <v>5.1662708605578055E-2</v>
      </c>
      <c r="E213" s="8">
        <f t="shared" ca="1" si="197"/>
        <v>5.4136758612163549E-2</v>
      </c>
      <c r="F213" s="8">
        <f t="shared" ca="1" si="197"/>
        <v>5.39962069252789E-2</v>
      </c>
      <c r="G213" s="8">
        <f t="shared" ca="1" si="197"/>
        <v>5.6760479514567544E-2</v>
      </c>
      <c r="H213" s="8">
        <f t="shared" ca="1" si="197"/>
        <v>5.8065247983395525E-2</v>
      </c>
      <c r="I213" s="8">
        <f t="shared" ca="1" si="197"/>
        <v>6.1633341525994749E-2</v>
      </c>
      <c r="J213" s="8">
        <f t="shared" ca="1" si="197"/>
        <v>6.4970637281605001E-2</v>
      </c>
      <c r="K213" s="8">
        <f t="shared" ca="1" si="197"/>
        <v>6.4497235982972329E-2</v>
      </c>
      <c r="L213" s="8">
        <f t="shared" ca="1" si="197"/>
        <v>6.5443354219056102E-2</v>
      </c>
      <c r="M213" s="8">
        <f t="shared" ca="1" si="197"/>
        <v>6.6129822709986227E-2</v>
      </c>
      <c r="N213" s="8">
        <f t="shared" ca="1" si="197"/>
        <v>6.5719728216416293E-2</v>
      </c>
      <c r="O213" s="8">
        <f t="shared" ca="1" si="197"/>
        <v>6.5341006300926874E-2</v>
      </c>
    </row>
    <row r="214" spans="2:15">
      <c r="B214" s="3">
        <v>193</v>
      </c>
      <c r="C214" s="8">
        <f t="shared" ref="C214:C277" si="198">r0</f>
        <v>0.05</v>
      </c>
      <c r="D214" s="8">
        <f t="shared" ref="D214:O214" ca="1" si="199">C214+k*(theta-C214)*dt+vol*SQRT(dt*C214)*_xlfn.NORM.S.INV(RAND())</f>
        <v>4.9996116624882486E-2</v>
      </c>
      <c r="E214" s="8">
        <f t="shared" ca="1" si="199"/>
        <v>5.0709336706896889E-2</v>
      </c>
      <c r="F214" s="8">
        <f t="shared" ca="1" si="199"/>
        <v>5.0289597828295278E-2</v>
      </c>
      <c r="G214" s="8">
        <f t="shared" ca="1" si="199"/>
        <v>5.1232553900301132E-2</v>
      </c>
      <c r="H214" s="8">
        <f t="shared" ca="1" si="199"/>
        <v>5.3137937476872697E-2</v>
      </c>
      <c r="I214" s="8">
        <f t="shared" ca="1" si="199"/>
        <v>5.4000555483534433E-2</v>
      </c>
      <c r="J214" s="8">
        <f t="shared" ca="1" si="199"/>
        <v>5.5115739844096824E-2</v>
      </c>
      <c r="K214" s="8">
        <f t="shared" ca="1" si="199"/>
        <v>5.414879150900051E-2</v>
      </c>
      <c r="L214" s="8">
        <f t="shared" ca="1" si="199"/>
        <v>5.6356788719407115E-2</v>
      </c>
      <c r="M214" s="8">
        <f t="shared" ca="1" si="199"/>
        <v>5.9211923157742007E-2</v>
      </c>
      <c r="N214" s="8">
        <f t="shared" ca="1" si="199"/>
        <v>5.8769037426909011E-2</v>
      </c>
      <c r="O214" s="8">
        <f t="shared" ca="1" si="199"/>
        <v>5.8715164669609007E-2</v>
      </c>
    </row>
    <row r="215" spans="2:15">
      <c r="B215" s="3">
        <v>194</v>
      </c>
      <c r="C215" s="8">
        <f t="shared" si="198"/>
        <v>0.05</v>
      </c>
      <c r="D215" s="8">
        <f t="shared" ref="D215:O215" ca="1" si="200">C215+k*(theta-C215)*dt+vol*SQRT(dt*C215)*_xlfn.NORM.S.INV(RAND())</f>
        <v>5.5513053225131337E-2</v>
      </c>
      <c r="E215" s="8">
        <f t="shared" ca="1" si="200"/>
        <v>5.6341636172602676E-2</v>
      </c>
      <c r="F215" s="8">
        <f t="shared" ca="1" si="200"/>
        <v>5.6971372097740301E-2</v>
      </c>
      <c r="G215" s="8">
        <f t="shared" ca="1" si="200"/>
        <v>5.850788883028557E-2</v>
      </c>
      <c r="H215" s="8">
        <f t="shared" ca="1" si="200"/>
        <v>5.7548218458826572E-2</v>
      </c>
      <c r="I215" s="8">
        <f t="shared" ca="1" si="200"/>
        <v>5.7269946913654037E-2</v>
      </c>
      <c r="J215" s="8">
        <f t="shared" ca="1" si="200"/>
        <v>5.8012437302225252E-2</v>
      </c>
      <c r="K215" s="8">
        <f t="shared" ca="1" si="200"/>
        <v>5.9053720505589623E-2</v>
      </c>
      <c r="L215" s="8">
        <f t="shared" ca="1" si="200"/>
        <v>6.0625261658015774E-2</v>
      </c>
      <c r="M215" s="8">
        <f t="shared" ca="1" si="200"/>
        <v>5.9988126625831535E-2</v>
      </c>
      <c r="N215" s="8">
        <f t="shared" ca="1" si="200"/>
        <v>6.0921225727540579E-2</v>
      </c>
      <c r="O215" s="8">
        <f t="shared" ca="1" si="200"/>
        <v>6.2320738287173737E-2</v>
      </c>
    </row>
    <row r="216" spans="2:15">
      <c r="B216" s="3">
        <v>195</v>
      </c>
      <c r="C216" s="8">
        <f t="shared" si="198"/>
        <v>0.05</v>
      </c>
      <c r="D216" s="8">
        <f t="shared" ref="D216:O216" ca="1" si="201">C216+k*(theta-C216)*dt+vol*SQRT(dt*C216)*_xlfn.NORM.S.INV(RAND())</f>
        <v>5.1680296852793038E-2</v>
      </c>
      <c r="E216" s="8">
        <f t="shared" ca="1" si="201"/>
        <v>4.9903302768154606E-2</v>
      </c>
      <c r="F216" s="8">
        <f t="shared" ca="1" si="201"/>
        <v>5.0007639961388163E-2</v>
      </c>
      <c r="G216" s="8">
        <f t="shared" ca="1" si="201"/>
        <v>5.3660349943404899E-2</v>
      </c>
      <c r="H216" s="8">
        <f t="shared" ca="1" si="201"/>
        <v>5.5608536550216477E-2</v>
      </c>
      <c r="I216" s="8">
        <f t="shared" ca="1" si="201"/>
        <v>5.5998929192222893E-2</v>
      </c>
      <c r="J216" s="8">
        <f t="shared" ca="1" si="201"/>
        <v>5.535784373134732E-2</v>
      </c>
      <c r="K216" s="8">
        <f t="shared" ca="1" si="201"/>
        <v>5.4749997288099227E-2</v>
      </c>
      <c r="L216" s="8">
        <f t="shared" ca="1" si="201"/>
        <v>5.7875389745340247E-2</v>
      </c>
      <c r="M216" s="8">
        <f t="shared" ca="1" si="201"/>
        <v>5.7444078592162405E-2</v>
      </c>
      <c r="N216" s="8">
        <f t="shared" ca="1" si="201"/>
        <v>5.8044347016438243E-2</v>
      </c>
      <c r="O216" s="8">
        <f t="shared" ca="1" si="201"/>
        <v>5.8957840985276032E-2</v>
      </c>
    </row>
    <row r="217" spans="2:15">
      <c r="B217" s="3">
        <v>196</v>
      </c>
      <c r="C217" s="8">
        <f t="shared" si="198"/>
        <v>0.05</v>
      </c>
      <c r="D217" s="8">
        <f t="shared" ref="D217:O217" ca="1" si="202">C217+k*(theta-C217)*dt+vol*SQRT(dt*C217)*_xlfn.NORM.S.INV(RAND())</f>
        <v>5.1145998765659381E-2</v>
      </c>
      <c r="E217" s="8">
        <f t="shared" ca="1" si="202"/>
        <v>5.3179444825411856E-2</v>
      </c>
      <c r="F217" s="8">
        <f t="shared" ca="1" si="202"/>
        <v>5.4353756045655774E-2</v>
      </c>
      <c r="G217" s="8">
        <f t="shared" ca="1" si="202"/>
        <v>5.6992375889222215E-2</v>
      </c>
      <c r="H217" s="8">
        <f t="shared" ca="1" si="202"/>
        <v>5.8201990781887453E-2</v>
      </c>
      <c r="I217" s="8">
        <f t="shared" ca="1" si="202"/>
        <v>5.9272176394654222E-2</v>
      </c>
      <c r="J217" s="8">
        <f t="shared" ca="1" si="202"/>
        <v>5.8904926285821051E-2</v>
      </c>
      <c r="K217" s="8">
        <f t="shared" ca="1" si="202"/>
        <v>5.7330191787257928E-2</v>
      </c>
      <c r="L217" s="8">
        <f t="shared" ca="1" si="202"/>
        <v>5.5868770880795698E-2</v>
      </c>
      <c r="M217" s="8">
        <f t="shared" ca="1" si="202"/>
        <v>5.5731680693647631E-2</v>
      </c>
      <c r="N217" s="8">
        <f t="shared" ca="1" si="202"/>
        <v>5.3608890623807429E-2</v>
      </c>
      <c r="O217" s="8">
        <f t="shared" ca="1" si="202"/>
        <v>5.4320294342069531E-2</v>
      </c>
    </row>
    <row r="218" spans="2:15">
      <c r="B218" s="3">
        <v>197</v>
      </c>
      <c r="C218" s="8">
        <f t="shared" si="198"/>
        <v>0.05</v>
      </c>
      <c r="D218" s="8">
        <f t="shared" ref="D218:O218" ca="1" si="203">C218+k*(theta-C218)*dt+vol*SQRT(dt*C218)*_xlfn.NORM.S.INV(RAND())</f>
        <v>4.9041661460250727E-2</v>
      </c>
      <c r="E218" s="8">
        <f t="shared" ca="1" si="203"/>
        <v>5.132603173124943E-2</v>
      </c>
      <c r="F218" s="8">
        <f t="shared" ca="1" si="203"/>
        <v>5.406136082333101E-2</v>
      </c>
      <c r="G218" s="8">
        <f t="shared" ca="1" si="203"/>
        <v>5.4426632292426551E-2</v>
      </c>
      <c r="H218" s="8">
        <f t="shared" ca="1" si="203"/>
        <v>5.492342223535078E-2</v>
      </c>
      <c r="I218" s="8">
        <f t="shared" ca="1" si="203"/>
        <v>5.6255911193982468E-2</v>
      </c>
      <c r="J218" s="8">
        <f t="shared" ca="1" si="203"/>
        <v>5.6017454686507588E-2</v>
      </c>
      <c r="K218" s="8">
        <f t="shared" ca="1" si="203"/>
        <v>5.8273977632484257E-2</v>
      </c>
      <c r="L218" s="8">
        <f t="shared" ca="1" si="203"/>
        <v>5.7542312223419684E-2</v>
      </c>
      <c r="M218" s="8">
        <f t="shared" ca="1" si="203"/>
        <v>6.0139914454883397E-2</v>
      </c>
      <c r="N218" s="8">
        <f t="shared" ca="1" si="203"/>
        <v>6.0169890738861094E-2</v>
      </c>
      <c r="O218" s="8">
        <f t="shared" ca="1" si="203"/>
        <v>6.2491373477710735E-2</v>
      </c>
    </row>
    <row r="219" spans="2:15">
      <c r="B219" s="3">
        <v>198</v>
      </c>
      <c r="C219" s="8">
        <f t="shared" si="198"/>
        <v>0.05</v>
      </c>
      <c r="D219" s="8">
        <f t="shared" ref="D219:O219" ca="1" si="204">C219+k*(theta-C219)*dt+vol*SQRT(dt*C219)*_xlfn.NORM.S.INV(RAND())</f>
        <v>4.9222294897394103E-2</v>
      </c>
      <c r="E219" s="8">
        <f t="shared" ca="1" si="204"/>
        <v>4.7522407458912244E-2</v>
      </c>
      <c r="F219" s="8">
        <f t="shared" ca="1" si="204"/>
        <v>4.9265310179679264E-2</v>
      </c>
      <c r="G219" s="8">
        <f t="shared" ca="1" si="204"/>
        <v>5.0451372319215433E-2</v>
      </c>
      <c r="H219" s="8">
        <f t="shared" ca="1" si="204"/>
        <v>5.2215759829185415E-2</v>
      </c>
      <c r="I219" s="8">
        <f t="shared" ca="1" si="204"/>
        <v>5.1771348206342667E-2</v>
      </c>
      <c r="J219" s="8">
        <f t="shared" ca="1" si="204"/>
        <v>5.3469721825506709E-2</v>
      </c>
      <c r="K219" s="8">
        <f t="shared" ca="1" si="204"/>
        <v>5.4612470428470394E-2</v>
      </c>
      <c r="L219" s="8">
        <f t="shared" ca="1" si="204"/>
        <v>5.645244879402949E-2</v>
      </c>
      <c r="M219" s="8">
        <f t="shared" ca="1" si="204"/>
        <v>5.9340925568726569E-2</v>
      </c>
      <c r="N219" s="8">
        <f t="shared" ca="1" si="204"/>
        <v>5.8688224064397776E-2</v>
      </c>
      <c r="O219" s="8">
        <f t="shared" ca="1" si="204"/>
        <v>5.9781245036533717E-2</v>
      </c>
    </row>
    <row r="220" spans="2:15">
      <c r="B220" s="3">
        <v>199</v>
      </c>
      <c r="C220" s="8">
        <f t="shared" si="198"/>
        <v>0.05</v>
      </c>
      <c r="D220" s="8">
        <f t="shared" ref="D220:O220" ca="1" si="205">C220+k*(theta-C220)*dt+vol*SQRT(dt*C220)*_xlfn.NORM.S.INV(RAND())</f>
        <v>4.9437346617128508E-2</v>
      </c>
      <c r="E220" s="8">
        <f t="shared" ca="1" si="205"/>
        <v>5.0549527942279709E-2</v>
      </c>
      <c r="F220" s="8">
        <f t="shared" ca="1" si="205"/>
        <v>5.1963992424388858E-2</v>
      </c>
      <c r="G220" s="8">
        <f t="shared" ca="1" si="205"/>
        <v>5.3415981502145438E-2</v>
      </c>
      <c r="H220" s="8">
        <f t="shared" ca="1" si="205"/>
        <v>5.499556023545802E-2</v>
      </c>
      <c r="I220" s="8">
        <f t="shared" ca="1" si="205"/>
        <v>5.5746517660312536E-2</v>
      </c>
      <c r="J220" s="8">
        <f t="shared" ca="1" si="205"/>
        <v>5.8498530542497221E-2</v>
      </c>
      <c r="K220" s="8">
        <f t="shared" ca="1" si="205"/>
        <v>6.0117227869820544E-2</v>
      </c>
      <c r="L220" s="8">
        <f t="shared" ca="1" si="205"/>
        <v>6.1728029046975705E-2</v>
      </c>
      <c r="M220" s="8">
        <f t="shared" ca="1" si="205"/>
        <v>6.480016239476058E-2</v>
      </c>
      <c r="N220" s="8">
        <f t="shared" ca="1" si="205"/>
        <v>6.4821354593213157E-2</v>
      </c>
      <c r="O220" s="8">
        <f t="shared" ca="1" si="205"/>
        <v>6.5958746500764623E-2</v>
      </c>
    </row>
    <row r="221" spans="2:15">
      <c r="B221" s="3">
        <v>200</v>
      </c>
      <c r="C221" s="8">
        <f t="shared" si="198"/>
        <v>0.05</v>
      </c>
      <c r="D221" s="8">
        <f t="shared" ref="D221:O221" ca="1" si="206">C221+k*(theta-C221)*dt+vol*SQRT(dt*C221)*_xlfn.NORM.S.INV(RAND())</f>
        <v>5.0303198302386935E-2</v>
      </c>
      <c r="E221" s="8">
        <f t="shared" ca="1" si="206"/>
        <v>4.998577994295126E-2</v>
      </c>
      <c r="F221" s="8">
        <f t="shared" ca="1" si="206"/>
        <v>5.3548975767299778E-2</v>
      </c>
      <c r="G221" s="8">
        <f t="shared" ca="1" si="206"/>
        <v>5.348852303309673E-2</v>
      </c>
      <c r="H221" s="8">
        <f t="shared" ca="1" si="206"/>
        <v>5.6918960387049598E-2</v>
      </c>
      <c r="I221" s="8">
        <f t="shared" ca="1" si="206"/>
        <v>5.856008035391308E-2</v>
      </c>
      <c r="J221" s="8">
        <f t="shared" ca="1" si="206"/>
        <v>5.6992922348246343E-2</v>
      </c>
      <c r="K221" s="8">
        <f t="shared" ca="1" si="206"/>
        <v>5.9326127240230508E-2</v>
      </c>
      <c r="L221" s="8">
        <f t="shared" ca="1" si="206"/>
        <v>5.9756527592957673E-2</v>
      </c>
      <c r="M221" s="8">
        <f t="shared" ca="1" si="206"/>
        <v>5.9542491592980119E-2</v>
      </c>
      <c r="N221" s="8">
        <f t="shared" ca="1" si="206"/>
        <v>6.2261230702721097E-2</v>
      </c>
      <c r="O221" s="8">
        <f t="shared" ca="1" si="206"/>
        <v>6.334009068613386E-2</v>
      </c>
    </row>
    <row r="222" spans="2:15">
      <c r="B222" s="3">
        <v>201</v>
      </c>
      <c r="C222" s="8">
        <f t="shared" si="198"/>
        <v>0.05</v>
      </c>
      <c r="D222" s="8">
        <f t="shared" ref="D222:O222" ca="1" si="207">C222+k*(theta-C222)*dt+vol*SQRT(dt*C222)*_xlfn.NORM.S.INV(RAND())</f>
        <v>5.0516878180246132E-2</v>
      </c>
      <c r="E222" s="8">
        <f t="shared" ca="1" si="207"/>
        <v>5.159597072384426E-2</v>
      </c>
      <c r="F222" s="8">
        <f t="shared" ca="1" si="207"/>
        <v>5.0877831350950087E-2</v>
      </c>
      <c r="G222" s="8">
        <f t="shared" ca="1" si="207"/>
        <v>5.0987940577819642E-2</v>
      </c>
      <c r="H222" s="8">
        <f t="shared" ca="1" si="207"/>
        <v>5.0362382975757118E-2</v>
      </c>
      <c r="I222" s="8">
        <f t="shared" ca="1" si="207"/>
        <v>5.0883857940793184E-2</v>
      </c>
      <c r="J222" s="8">
        <f t="shared" ca="1" si="207"/>
        <v>5.1665399779218482E-2</v>
      </c>
      <c r="K222" s="8">
        <f t="shared" ca="1" si="207"/>
        <v>5.0550134920358654E-2</v>
      </c>
      <c r="L222" s="8">
        <f t="shared" ca="1" si="207"/>
        <v>5.2629979931372452E-2</v>
      </c>
      <c r="M222" s="8">
        <f t="shared" ca="1" si="207"/>
        <v>5.3222384494183234E-2</v>
      </c>
      <c r="N222" s="8">
        <f t="shared" ca="1" si="207"/>
        <v>5.5709354419729157E-2</v>
      </c>
      <c r="O222" s="8">
        <f t="shared" ca="1" si="207"/>
        <v>5.8706112324509799E-2</v>
      </c>
    </row>
    <row r="223" spans="2:15">
      <c r="B223" s="3">
        <v>202</v>
      </c>
      <c r="C223" s="8">
        <f t="shared" si="198"/>
        <v>0.05</v>
      </c>
      <c r="D223" s="8">
        <f t="shared" ref="D223:O223" ca="1" si="208">C223+k*(theta-C223)*dt+vol*SQRT(dt*C223)*_xlfn.NORM.S.INV(RAND())</f>
        <v>5.2019520199936733E-2</v>
      </c>
      <c r="E223" s="8">
        <f t="shared" ca="1" si="208"/>
        <v>5.0960323395577954E-2</v>
      </c>
      <c r="F223" s="8">
        <f t="shared" ca="1" si="208"/>
        <v>5.3310860548948152E-2</v>
      </c>
      <c r="G223" s="8">
        <f t="shared" ca="1" si="208"/>
        <v>5.4724900060230806E-2</v>
      </c>
      <c r="H223" s="8">
        <f t="shared" ca="1" si="208"/>
        <v>5.6646039321118856E-2</v>
      </c>
      <c r="I223" s="8">
        <f t="shared" ca="1" si="208"/>
        <v>5.8893166997993171E-2</v>
      </c>
      <c r="J223" s="8">
        <f t="shared" ca="1" si="208"/>
        <v>6.181210012557431E-2</v>
      </c>
      <c r="K223" s="8">
        <f t="shared" ca="1" si="208"/>
        <v>6.1071830426972715E-2</v>
      </c>
      <c r="L223" s="8">
        <f t="shared" ca="1" si="208"/>
        <v>6.4602865787109304E-2</v>
      </c>
      <c r="M223" s="8">
        <f t="shared" ca="1" si="208"/>
        <v>6.7791675528187337E-2</v>
      </c>
      <c r="N223" s="8">
        <f t="shared" ca="1" si="208"/>
        <v>6.830042810883033E-2</v>
      </c>
      <c r="O223" s="8">
        <f t="shared" ca="1" si="208"/>
        <v>6.9678059259890637E-2</v>
      </c>
    </row>
    <row r="224" spans="2:15">
      <c r="B224" s="3">
        <v>203</v>
      </c>
      <c r="C224" s="8">
        <f t="shared" si="198"/>
        <v>0.05</v>
      </c>
      <c r="D224" s="8">
        <f t="shared" ref="D224:O224" ca="1" si="209">C224+k*(theta-C224)*dt+vol*SQRT(dt*C224)*_xlfn.NORM.S.INV(RAND())</f>
        <v>5.1983021547135876E-2</v>
      </c>
      <c r="E224" s="8">
        <f t="shared" ca="1" si="209"/>
        <v>5.0648652815305811E-2</v>
      </c>
      <c r="F224" s="8">
        <f t="shared" ca="1" si="209"/>
        <v>5.5141110094239755E-2</v>
      </c>
      <c r="G224" s="8">
        <f t="shared" ca="1" si="209"/>
        <v>5.6461660751511211E-2</v>
      </c>
      <c r="H224" s="8">
        <f t="shared" ca="1" si="209"/>
        <v>5.7843007597975428E-2</v>
      </c>
      <c r="I224" s="8">
        <f t="shared" ca="1" si="209"/>
        <v>5.7521463816192775E-2</v>
      </c>
      <c r="J224" s="8">
        <f t="shared" ca="1" si="209"/>
        <v>6.1066555749841302E-2</v>
      </c>
      <c r="K224" s="8">
        <f t="shared" ca="1" si="209"/>
        <v>6.2241831842167784E-2</v>
      </c>
      <c r="L224" s="8">
        <f t="shared" ca="1" si="209"/>
        <v>6.2044899429029396E-2</v>
      </c>
      <c r="M224" s="8">
        <f t="shared" ca="1" si="209"/>
        <v>6.4788766893976307E-2</v>
      </c>
      <c r="N224" s="8">
        <f t="shared" ca="1" si="209"/>
        <v>6.4317511812417488E-2</v>
      </c>
      <c r="O224" s="8">
        <f t="shared" ca="1" si="209"/>
        <v>6.3869859383339472E-2</v>
      </c>
    </row>
    <row r="225" spans="2:15">
      <c r="B225" s="3">
        <v>204</v>
      </c>
      <c r="C225" s="8">
        <f t="shared" si="198"/>
        <v>0.05</v>
      </c>
      <c r="D225" s="8">
        <f t="shared" ref="D225:O225" ca="1" si="210">C225+k*(theta-C225)*dt+vol*SQRT(dt*C225)*_xlfn.NORM.S.INV(RAND())</f>
        <v>5.1708437572991983E-2</v>
      </c>
      <c r="E225" s="8">
        <f t="shared" ca="1" si="210"/>
        <v>5.2113790996523857E-2</v>
      </c>
      <c r="F225" s="8">
        <f t="shared" ca="1" si="210"/>
        <v>5.2432142764231797E-2</v>
      </c>
      <c r="G225" s="8">
        <f t="shared" ca="1" si="210"/>
        <v>5.2125242370291903E-2</v>
      </c>
      <c r="H225" s="8">
        <f t="shared" ca="1" si="210"/>
        <v>5.5932061190425542E-2</v>
      </c>
      <c r="I225" s="8">
        <f t="shared" ca="1" si="210"/>
        <v>5.7316930455851969E-2</v>
      </c>
      <c r="J225" s="8">
        <f t="shared" ca="1" si="210"/>
        <v>5.7481658118240651E-2</v>
      </c>
      <c r="K225" s="8">
        <f t="shared" ca="1" si="210"/>
        <v>5.598215950432698E-2</v>
      </c>
      <c r="L225" s="8">
        <f t="shared" ca="1" si="210"/>
        <v>5.70656626348175E-2</v>
      </c>
      <c r="M225" s="8">
        <f t="shared" ca="1" si="210"/>
        <v>5.7772488046892202E-2</v>
      </c>
      <c r="N225" s="8">
        <f t="shared" ca="1" si="210"/>
        <v>5.9553803714023169E-2</v>
      </c>
      <c r="O225" s="8">
        <f t="shared" ca="1" si="210"/>
        <v>6.1209780961522853E-2</v>
      </c>
    </row>
    <row r="226" spans="2:15">
      <c r="B226" s="3">
        <v>205</v>
      </c>
      <c r="C226" s="8">
        <f t="shared" si="198"/>
        <v>0.05</v>
      </c>
      <c r="D226" s="8">
        <f t="shared" ref="D226:O226" ca="1" si="211">C226+k*(theta-C226)*dt+vol*SQRT(dt*C226)*_xlfn.NORM.S.INV(RAND())</f>
        <v>5.1852699355572046E-2</v>
      </c>
      <c r="E226" s="8">
        <f t="shared" ca="1" si="211"/>
        <v>5.4525457521592963E-2</v>
      </c>
      <c r="F226" s="8">
        <f t="shared" ca="1" si="211"/>
        <v>5.6108202074270905E-2</v>
      </c>
      <c r="G226" s="8">
        <f t="shared" ca="1" si="211"/>
        <v>5.6204717712577845E-2</v>
      </c>
      <c r="H226" s="8">
        <f t="shared" ca="1" si="211"/>
        <v>5.8744207906207963E-2</v>
      </c>
      <c r="I226" s="8">
        <f t="shared" ca="1" si="211"/>
        <v>5.8077733290520753E-2</v>
      </c>
      <c r="J226" s="8">
        <f t="shared" ca="1" si="211"/>
        <v>5.9063630953217115E-2</v>
      </c>
      <c r="K226" s="8">
        <f t="shared" ca="1" si="211"/>
        <v>5.8821461743784748E-2</v>
      </c>
      <c r="L226" s="8">
        <f t="shared" ca="1" si="211"/>
        <v>5.8984309178284094E-2</v>
      </c>
      <c r="M226" s="8">
        <f t="shared" ca="1" si="211"/>
        <v>5.9020718470581789E-2</v>
      </c>
      <c r="N226" s="8">
        <f t="shared" ca="1" si="211"/>
        <v>6.1531431324979798E-2</v>
      </c>
      <c r="O226" s="8">
        <f t="shared" ca="1" si="211"/>
        <v>6.5003974975562942E-2</v>
      </c>
    </row>
    <row r="227" spans="2:15">
      <c r="B227" s="3">
        <v>206</v>
      </c>
      <c r="C227" s="8">
        <f t="shared" si="198"/>
        <v>0.05</v>
      </c>
      <c r="D227" s="8">
        <f t="shared" ref="D227:O227" ca="1" si="212">C227+k*(theta-C227)*dt+vol*SQRT(dt*C227)*_xlfn.NORM.S.INV(RAND())</f>
        <v>4.8752113132687333E-2</v>
      </c>
      <c r="E227" s="8">
        <f t="shared" ca="1" si="212"/>
        <v>4.9373921133843202E-2</v>
      </c>
      <c r="F227" s="8">
        <f t="shared" ca="1" si="212"/>
        <v>4.9021401773729961E-2</v>
      </c>
      <c r="G227" s="8">
        <f t="shared" ca="1" si="212"/>
        <v>4.8820249742198209E-2</v>
      </c>
      <c r="H227" s="8">
        <f t="shared" ca="1" si="212"/>
        <v>4.9188708403786481E-2</v>
      </c>
      <c r="I227" s="8">
        <f t="shared" ca="1" si="212"/>
        <v>5.0470517572036695E-2</v>
      </c>
      <c r="J227" s="8">
        <f t="shared" ca="1" si="212"/>
        <v>5.1278163708386663E-2</v>
      </c>
      <c r="K227" s="8">
        <f t="shared" ca="1" si="212"/>
        <v>5.382127269710725E-2</v>
      </c>
      <c r="L227" s="8">
        <f t="shared" ca="1" si="212"/>
        <v>5.562873466392506E-2</v>
      </c>
      <c r="M227" s="8">
        <f t="shared" ca="1" si="212"/>
        <v>5.7835343693372454E-2</v>
      </c>
      <c r="N227" s="8">
        <f t="shared" ca="1" si="212"/>
        <v>6.0819997010040427E-2</v>
      </c>
      <c r="O227" s="8">
        <f t="shared" ca="1" si="212"/>
        <v>5.9364466598333498E-2</v>
      </c>
    </row>
    <row r="228" spans="2:15">
      <c r="B228" s="3">
        <v>207</v>
      </c>
      <c r="C228" s="8">
        <f t="shared" si="198"/>
        <v>0.05</v>
      </c>
      <c r="D228" s="8">
        <f t="shared" ref="D228:O228" ca="1" si="213">C228+k*(theta-C228)*dt+vol*SQRT(dt*C228)*_xlfn.NORM.S.INV(RAND())</f>
        <v>5.0793422098703821E-2</v>
      </c>
      <c r="E228" s="8">
        <f t="shared" ca="1" si="213"/>
        <v>5.339630884427865E-2</v>
      </c>
      <c r="F228" s="8">
        <f t="shared" ca="1" si="213"/>
        <v>5.449615105209956E-2</v>
      </c>
      <c r="G228" s="8">
        <f t="shared" ca="1" si="213"/>
        <v>5.5130390037646429E-2</v>
      </c>
      <c r="H228" s="8">
        <f t="shared" ca="1" si="213"/>
        <v>5.5471952113580102E-2</v>
      </c>
      <c r="I228" s="8">
        <f t="shared" ca="1" si="213"/>
        <v>5.4624436139804708E-2</v>
      </c>
      <c r="J228" s="8">
        <f t="shared" ca="1" si="213"/>
        <v>5.5211314782390844E-2</v>
      </c>
      <c r="K228" s="8">
        <f t="shared" ca="1" si="213"/>
        <v>5.4987917248075738E-2</v>
      </c>
      <c r="L228" s="8">
        <f t="shared" ca="1" si="213"/>
        <v>5.734924826939445E-2</v>
      </c>
      <c r="M228" s="8">
        <f t="shared" ca="1" si="213"/>
        <v>5.8645131680560465E-2</v>
      </c>
      <c r="N228" s="8">
        <f t="shared" ca="1" si="213"/>
        <v>6.0656423805332475E-2</v>
      </c>
      <c r="O228" s="8">
        <f t="shared" ca="1" si="213"/>
        <v>6.1019133168486346E-2</v>
      </c>
    </row>
    <row r="229" spans="2:15">
      <c r="B229" s="3">
        <v>208</v>
      </c>
      <c r="C229" s="8">
        <f t="shared" si="198"/>
        <v>0.05</v>
      </c>
      <c r="D229" s="8">
        <f t="shared" ref="D229:O229" ca="1" si="214">C229+k*(theta-C229)*dt+vol*SQRT(dt*C229)*_xlfn.NORM.S.INV(RAND())</f>
        <v>5.3454450724146702E-2</v>
      </c>
      <c r="E229" s="8">
        <f t="shared" ca="1" si="214"/>
        <v>5.4726733847829591E-2</v>
      </c>
      <c r="F229" s="8">
        <f t="shared" ca="1" si="214"/>
        <v>5.531620251931689E-2</v>
      </c>
      <c r="G229" s="8">
        <f t="shared" ca="1" si="214"/>
        <v>5.488303519464495E-2</v>
      </c>
      <c r="H229" s="8">
        <f t="shared" ca="1" si="214"/>
        <v>5.6119177130812492E-2</v>
      </c>
      <c r="I229" s="8">
        <f t="shared" ca="1" si="214"/>
        <v>5.6738783300614271E-2</v>
      </c>
      <c r="J229" s="8">
        <f t="shared" ca="1" si="214"/>
        <v>5.8778336257556421E-2</v>
      </c>
      <c r="K229" s="8">
        <f t="shared" ca="1" si="214"/>
        <v>5.960734654377043E-2</v>
      </c>
      <c r="L229" s="8">
        <f t="shared" ca="1" si="214"/>
        <v>5.97013530317589E-2</v>
      </c>
      <c r="M229" s="8">
        <f t="shared" ca="1" si="214"/>
        <v>6.3061446428920781E-2</v>
      </c>
      <c r="N229" s="8">
        <f t="shared" ca="1" si="214"/>
        <v>6.3287078469876537E-2</v>
      </c>
      <c r="O229" s="8">
        <f t="shared" ca="1" si="214"/>
        <v>6.3038581699307775E-2</v>
      </c>
    </row>
    <row r="230" spans="2:15">
      <c r="B230" s="3">
        <v>209</v>
      </c>
      <c r="C230" s="8">
        <f t="shared" si="198"/>
        <v>0.05</v>
      </c>
      <c r="D230" s="8">
        <f t="shared" ref="D230:O230" ca="1" si="215">C230+k*(theta-C230)*dt+vol*SQRT(dt*C230)*_xlfn.NORM.S.INV(RAND())</f>
        <v>5.1376994003282758E-2</v>
      </c>
      <c r="E230" s="8">
        <f t="shared" ca="1" si="215"/>
        <v>5.0939690022657066E-2</v>
      </c>
      <c r="F230" s="8">
        <f t="shared" ca="1" si="215"/>
        <v>5.1526583315606389E-2</v>
      </c>
      <c r="G230" s="8">
        <f t="shared" ca="1" si="215"/>
        <v>5.4998678941991175E-2</v>
      </c>
      <c r="H230" s="8">
        <f t="shared" ca="1" si="215"/>
        <v>5.9193911495413414E-2</v>
      </c>
      <c r="I230" s="8">
        <f t="shared" ca="1" si="215"/>
        <v>5.7571059515942824E-2</v>
      </c>
      <c r="J230" s="8">
        <f t="shared" ca="1" si="215"/>
        <v>6.0495652456256724E-2</v>
      </c>
      <c r="K230" s="8">
        <f t="shared" ca="1" si="215"/>
        <v>6.0832517316483911E-2</v>
      </c>
      <c r="L230" s="8">
        <f t="shared" ca="1" si="215"/>
        <v>6.3727211420797028E-2</v>
      </c>
      <c r="M230" s="8">
        <f t="shared" ca="1" si="215"/>
        <v>6.3140436710423603E-2</v>
      </c>
      <c r="N230" s="8">
        <f t="shared" ca="1" si="215"/>
        <v>6.3756509436308867E-2</v>
      </c>
      <c r="O230" s="8">
        <f t="shared" ca="1" si="215"/>
        <v>6.5499402025252132E-2</v>
      </c>
    </row>
    <row r="231" spans="2:15">
      <c r="B231" s="3">
        <v>210</v>
      </c>
      <c r="C231" s="8">
        <f t="shared" si="198"/>
        <v>0.05</v>
      </c>
      <c r="D231" s="8">
        <f t="shared" ref="D231:O231" ca="1" si="216">C231+k*(theta-C231)*dt+vol*SQRT(dt*C231)*_xlfn.NORM.S.INV(RAND())</f>
        <v>4.9341794031921855E-2</v>
      </c>
      <c r="E231" s="8">
        <f t="shared" ca="1" si="216"/>
        <v>5.031743776604744E-2</v>
      </c>
      <c r="F231" s="8">
        <f t="shared" ca="1" si="216"/>
        <v>5.4072995845308322E-2</v>
      </c>
      <c r="G231" s="8">
        <f t="shared" ca="1" si="216"/>
        <v>5.8485278723942088E-2</v>
      </c>
      <c r="H231" s="8">
        <f t="shared" ca="1" si="216"/>
        <v>6.0717054650447196E-2</v>
      </c>
      <c r="I231" s="8">
        <f t="shared" ca="1" si="216"/>
        <v>6.2214781472028545E-2</v>
      </c>
      <c r="J231" s="8">
        <f t="shared" ca="1" si="216"/>
        <v>6.400330067301073E-2</v>
      </c>
      <c r="K231" s="8">
        <f t="shared" ca="1" si="216"/>
        <v>6.4848899239451016E-2</v>
      </c>
      <c r="L231" s="8">
        <f t="shared" ca="1" si="216"/>
        <v>6.6063808209473759E-2</v>
      </c>
      <c r="M231" s="8">
        <f t="shared" ca="1" si="216"/>
        <v>6.6069125574008652E-2</v>
      </c>
      <c r="N231" s="8">
        <f t="shared" ca="1" si="216"/>
        <v>6.5513739281318539E-2</v>
      </c>
      <c r="O231" s="8">
        <f t="shared" ca="1" si="216"/>
        <v>6.4979140730263049E-2</v>
      </c>
    </row>
    <row r="232" spans="2:15">
      <c r="B232" s="3">
        <v>211</v>
      </c>
      <c r="C232" s="8">
        <f t="shared" si="198"/>
        <v>0.05</v>
      </c>
      <c r="D232" s="8">
        <f t="shared" ref="D232:O232" ca="1" si="217">C232+k*(theta-C232)*dt+vol*SQRT(dt*C232)*_xlfn.NORM.S.INV(RAND())</f>
        <v>4.8964772339771694E-2</v>
      </c>
      <c r="E232" s="8">
        <f t="shared" ca="1" si="217"/>
        <v>4.741121304274392E-2</v>
      </c>
      <c r="F232" s="8">
        <f t="shared" ca="1" si="217"/>
        <v>4.8915439920538414E-2</v>
      </c>
      <c r="G232" s="8">
        <f t="shared" ca="1" si="217"/>
        <v>5.1257591113028002E-2</v>
      </c>
      <c r="H232" s="8">
        <f t="shared" ca="1" si="217"/>
        <v>5.4071865643511477E-2</v>
      </c>
      <c r="I232" s="8">
        <f t="shared" ca="1" si="217"/>
        <v>5.5608146783993846E-2</v>
      </c>
      <c r="J232" s="8">
        <f t="shared" ca="1" si="217"/>
        <v>5.5804666060043216E-2</v>
      </c>
      <c r="K232" s="8">
        <f t="shared" ca="1" si="217"/>
        <v>5.5110673694150715E-2</v>
      </c>
      <c r="L232" s="8">
        <f t="shared" ca="1" si="217"/>
        <v>5.3927871865523967E-2</v>
      </c>
      <c r="M232" s="8">
        <f t="shared" ca="1" si="217"/>
        <v>5.5590147341243068E-2</v>
      </c>
      <c r="N232" s="8">
        <f t="shared" ca="1" si="217"/>
        <v>5.704673871166268E-2</v>
      </c>
      <c r="O232" s="8">
        <f t="shared" ca="1" si="217"/>
        <v>5.9249607266784299E-2</v>
      </c>
    </row>
    <row r="233" spans="2:15">
      <c r="B233" s="3">
        <v>212</v>
      </c>
      <c r="C233" s="8">
        <f t="shared" si="198"/>
        <v>0.05</v>
      </c>
      <c r="D233" s="8">
        <f t="shared" ref="D233:O233" ca="1" si="218">C233+k*(theta-C233)*dt+vol*SQRT(dt*C233)*_xlfn.NORM.S.INV(RAND())</f>
        <v>4.7729692405454008E-2</v>
      </c>
      <c r="E233" s="8">
        <f t="shared" ca="1" si="218"/>
        <v>4.8679615695309153E-2</v>
      </c>
      <c r="F233" s="8">
        <f t="shared" ca="1" si="218"/>
        <v>5.2119782803005436E-2</v>
      </c>
      <c r="G233" s="8">
        <f t="shared" ca="1" si="218"/>
        <v>5.4545065094605723E-2</v>
      </c>
      <c r="H233" s="8">
        <f t="shared" ca="1" si="218"/>
        <v>5.5635893222374853E-2</v>
      </c>
      <c r="I233" s="8">
        <f t="shared" ca="1" si="218"/>
        <v>5.8226405112292726E-2</v>
      </c>
      <c r="J233" s="8">
        <f t="shared" ca="1" si="218"/>
        <v>5.7694092977840124E-2</v>
      </c>
      <c r="K233" s="8">
        <f t="shared" ca="1" si="218"/>
        <v>6.2020071539337925E-2</v>
      </c>
      <c r="L233" s="8">
        <f t="shared" ca="1" si="218"/>
        <v>6.3564636820465176E-2</v>
      </c>
      <c r="M233" s="8">
        <f t="shared" ca="1" si="218"/>
        <v>6.1786820842342237E-2</v>
      </c>
      <c r="N233" s="8">
        <f t="shared" ca="1" si="218"/>
        <v>5.9887124741780151E-2</v>
      </c>
      <c r="O233" s="8">
        <f t="shared" ca="1" si="218"/>
        <v>6.1042842357770098E-2</v>
      </c>
    </row>
    <row r="234" spans="2:15">
      <c r="B234" s="3">
        <v>213</v>
      </c>
      <c r="C234" s="8">
        <f t="shared" si="198"/>
        <v>0.05</v>
      </c>
      <c r="D234" s="8">
        <f t="shared" ref="D234:O234" ca="1" si="219">C234+k*(theta-C234)*dt+vol*SQRT(dt*C234)*_xlfn.NORM.S.INV(RAND())</f>
        <v>5.0667120470816396E-2</v>
      </c>
      <c r="E234" s="8">
        <f t="shared" ca="1" si="219"/>
        <v>5.313619963238387E-2</v>
      </c>
      <c r="F234" s="8">
        <f t="shared" ca="1" si="219"/>
        <v>5.2843663408750609E-2</v>
      </c>
      <c r="G234" s="8">
        <f t="shared" ca="1" si="219"/>
        <v>5.2845466933917944E-2</v>
      </c>
      <c r="H234" s="8">
        <f t="shared" ca="1" si="219"/>
        <v>5.2688251076210973E-2</v>
      </c>
      <c r="I234" s="8">
        <f t="shared" ca="1" si="219"/>
        <v>5.40382083236546E-2</v>
      </c>
      <c r="J234" s="8">
        <f t="shared" ca="1" si="219"/>
        <v>5.4854229228604216E-2</v>
      </c>
      <c r="K234" s="8">
        <f t="shared" ca="1" si="219"/>
        <v>5.7996505929534238E-2</v>
      </c>
      <c r="L234" s="8">
        <f t="shared" ca="1" si="219"/>
        <v>5.8454565361084662E-2</v>
      </c>
      <c r="M234" s="8">
        <f t="shared" ca="1" si="219"/>
        <v>5.7869527188700171E-2</v>
      </c>
      <c r="N234" s="8">
        <f t="shared" ca="1" si="219"/>
        <v>5.7539100279280636E-2</v>
      </c>
      <c r="O234" s="8">
        <f t="shared" ca="1" si="219"/>
        <v>5.6456575570421323E-2</v>
      </c>
    </row>
    <row r="235" spans="2:15">
      <c r="B235" s="3">
        <v>214</v>
      </c>
      <c r="C235" s="8">
        <f t="shared" si="198"/>
        <v>0.05</v>
      </c>
      <c r="D235" s="8">
        <f t="shared" ref="D235:O235" ca="1" si="220">C235+k*(theta-C235)*dt+vol*SQRT(dt*C235)*_xlfn.NORM.S.INV(RAND())</f>
        <v>5.2435382406645484E-2</v>
      </c>
      <c r="E235" s="8">
        <f t="shared" ca="1" si="220"/>
        <v>5.5122301369194028E-2</v>
      </c>
      <c r="F235" s="8">
        <f t="shared" ca="1" si="220"/>
        <v>5.432314595664945E-2</v>
      </c>
      <c r="G235" s="8">
        <f t="shared" ca="1" si="220"/>
        <v>5.6540528341617428E-2</v>
      </c>
      <c r="H235" s="8">
        <f t="shared" ca="1" si="220"/>
        <v>5.6659314196383433E-2</v>
      </c>
      <c r="I235" s="8">
        <f t="shared" ca="1" si="220"/>
        <v>5.8282244696671065E-2</v>
      </c>
      <c r="J235" s="8">
        <f t="shared" ca="1" si="220"/>
        <v>5.9580419781261516E-2</v>
      </c>
      <c r="K235" s="8">
        <f t="shared" ca="1" si="220"/>
        <v>5.9312500194121362E-2</v>
      </c>
      <c r="L235" s="8">
        <f t="shared" ca="1" si="220"/>
        <v>6.1075196094420019E-2</v>
      </c>
      <c r="M235" s="8">
        <f t="shared" ca="1" si="220"/>
        <v>6.0071896999905325E-2</v>
      </c>
      <c r="N235" s="8">
        <f t="shared" ca="1" si="220"/>
        <v>6.0683849337997586E-2</v>
      </c>
      <c r="O235" s="8">
        <f t="shared" ca="1" si="220"/>
        <v>5.8591070310947714E-2</v>
      </c>
    </row>
    <row r="236" spans="2:15">
      <c r="B236" s="3">
        <v>215</v>
      </c>
      <c r="C236" s="8">
        <f t="shared" si="198"/>
        <v>0.05</v>
      </c>
      <c r="D236" s="8">
        <f t="shared" ref="D236:O236" ca="1" si="221">C236+k*(theta-C236)*dt+vol*SQRT(dt*C236)*_xlfn.NORM.S.INV(RAND())</f>
        <v>5.0456105541211174E-2</v>
      </c>
      <c r="E236" s="8">
        <f t="shared" ca="1" si="221"/>
        <v>5.1568446261364392E-2</v>
      </c>
      <c r="F236" s="8">
        <f t="shared" ca="1" si="221"/>
        <v>5.2842543078259661E-2</v>
      </c>
      <c r="G236" s="8">
        <f t="shared" ca="1" si="221"/>
        <v>5.2982904257082623E-2</v>
      </c>
      <c r="H236" s="8">
        <f t="shared" ca="1" si="221"/>
        <v>5.3773832546577464E-2</v>
      </c>
      <c r="I236" s="8">
        <f t="shared" ca="1" si="221"/>
        <v>5.4715658331303325E-2</v>
      </c>
      <c r="J236" s="8">
        <f t="shared" ca="1" si="221"/>
        <v>5.6613231231650712E-2</v>
      </c>
      <c r="K236" s="8">
        <f t="shared" ca="1" si="221"/>
        <v>5.9306643122857848E-2</v>
      </c>
      <c r="L236" s="8">
        <f t="shared" ca="1" si="221"/>
        <v>6.0472460545423268E-2</v>
      </c>
      <c r="M236" s="8">
        <f t="shared" ca="1" si="221"/>
        <v>6.0520284430490519E-2</v>
      </c>
      <c r="N236" s="8">
        <f t="shared" ca="1" si="221"/>
        <v>5.8611401661455405E-2</v>
      </c>
      <c r="O236" s="8">
        <f t="shared" ca="1" si="221"/>
        <v>5.8171065427889877E-2</v>
      </c>
    </row>
    <row r="237" spans="2:15">
      <c r="B237" s="3">
        <v>216</v>
      </c>
      <c r="C237" s="8">
        <f t="shared" si="198"/>
        <v>0.05</v>
      </c>
      <c r="D237" s="8">
        <f t="shared" ref="D237:O237" ca="1" si="222">C237+k*(theta-C237)*dt+vol*SQRT(dt*C237)*_xlfn.NORM.S.INV(RAND())</f>
        <v>5.1287632191919792E-2</v>
      </c>
      <c r="E237" s="8">
        <f t="shared" ca="1" si="222"/>
        <v>5.2784609724386422E-2</v>
      </c>
      <c r="F237" s="8">
        <f t="shared" ca="1" si="222"/>
        <v>5.2173794683427102E-2</v>
      </c>
      <c r="G237" s="8">
        <f t="shared" ca="1" si="222"/>
        <v>5.328800697375851E-2</v>
      </c>
      <c r="H237" s="8">
        <f t="shared" ca="1" si="222"/>
        <v>5.4506553060636669E-2</v>
      </c>
      <c r="I237" s="8">
        <f t="shared" ca="1" si="222"/>
        <v>5.543965367929303E-2</v>
      </c>
      <c r="J237" s="8">
        <f t="shared" ca="1" si="222"/>
        <v>5.6604476211174093E-2</v>
      </c>
      <c r="K237" s="8">
        <f t="shared" ca="1" si="222"/>
        <v>5.8622791838243322E-2</v>
      </c>
      <c r="L237" s="8">
        <f t="shared" ca="1" si="222"/>
        <v>5.8921327572730164E-2</v>
      </c>
      <c r="M237" s="8">
        <f t="shared" ca="1" si="222"/>
        <v>6.1264433128091204E-2</v>
      </c>
      <c r="N237" s="8">
        <f t="shared" ca="1" si="222"/>
        <v>6.0589674972427933E-2</v>
      </c>
      <c r="O237" s="8">
        <f t="shared" ca="1" si="222"/>
        <v>6.1850281080415175E-2</v>
      </c>
    </row>
    <row r="238" spans="2:15">
      <c r="B238" s="3">
        <v>217</v>
      </c>
      <c r="C238" s="8">
        <f t="shared" si="198"/>
        <v>0.05</v>
      </c>
      <c r="D238" s="8">
        <f t="shared" ref="D238:O238" ca="1" si="223">C238+k*(theta-C238)*dt+vol*SQRT(dt*C238)*_xlfn.NORM.S.INV(RAND())</f>
        <v>5.2587975824495842E-2</v>
      </c>
      <c r="E238" s="8">
        <f t="shared" ca="1" si="223"/>
        <v>5.2123586911628085E-2</v>
      </c>
      <c r="F238" s="8">
        <f t="shared" ca="1" si="223"/>
        <v>5.0828574781727372E-2</v>
      </c>
      <c r="G238" s="8">
        <f t="shared" ca="1" si="223"/>
        <v>5.0219077856184666E-2</v>
      </c>
      <c r="H238" s="8">
        <f t="shared" ca="1" si="223"/>
        <v>4.9264029404623697E-2</v>
      </c>
      <c r="I238" s="8">
        <f t="shared" ca="1" si="223"/>
        <v>5.2524838006858941E-2</v>
      </c>
      <c r="J238" s="8">
        <f t="shared" ca="1" si="223"/>
        <v>5.3261748883182712E-2</v>
      </c>
      <c r="K238" s="8">
        <f t="shared" ca="1" si="223"/>
        <v>5.4235361822061831E-2</v>
      </c>
      <c r="L238" s="8">
        <f t="shared" ca="1" si="223"/>
        <v>5.6119782644191867E-2</v>
      </c>
      <c r="M238" s="8">
        <f t="shared" ca="1" si="223"/>
        <v>5.7636524608158268E-2</v>
      </c>
      <c r="N238" s="8">
        <f t="shared" ca="1" si="223"/>
        <v>5.927728182276238E-2</v>
      </c>
      <c r="O238" s="8">
        <f t="shared" ca="1" si="223"/>
        <v>6.1659288467086702E-2</v>
      </c>
    </row>
    <row r="239" spans="2:15">
      <c r="B239" s="3">
        <v>218</v>
      </c>
      <c r="C239" s="8">
        <f t="shared" si="198"/>
        <v>0.05</v>
      </c>
      <c r="D239" s="8">
        <f t="shared" ref="D239:O239" ca="1" si="224">C239+k*(theta-C239)*dt+vol*SQRT(dt*C239)*_xlfn.NORM.S.INV(RAND())</f>
        <v>5.2273145822777527E-2</v>
      </c>
      <c r="E239" s="8">
        <f t="shared" ca="1" si="224"/>
        <v>5.5158755133396888E-2</v>
      </c>
      <c r="F239" s="8">
        <f t="shared" ca="1" si="224"/>
        <v>5.5904417227507393E-2</v>
      </c>
      <c r="G239" s="8">
        <f t="shared" ca="1" si="224"/>
        <v>5.8459692688260734E-2</v>
      </c>
      <c r="H239" s="8">
        <f t="shared" ca="1" si="224"/>
        <v>5.8122554955319199E-2</v>
      </c>
      <c r="I239" s="8">
        <f t="shared" ca="1" si="224"/>
        <v>6.0881046235007438E-2</v>
      </c>
      <c r="J239" s="8">
        <f t="shared" ca="1" si="224"/>
        <v>6.1742715560005053E-2</v>
      </c>
      <c r="K239" s="8">
        <f t="shared" ca="1" si="224"/>
        <v>6.0957263855664183E-2</v>
      </c>
      <c r="L239" s="8">
        <f t="shared" ca="1" si="224"/>
        <v>6.0368069359825423E-2</v>
      </c>
      <c r="M239" s="8">
        <f t="shared" ca="1" si="224"/>
        <v>6.2210601843551094E-2</v>
      </c>
      <c r="N239" s="8">
        <f t="shared" ca="1" si="224"/>
        <v>6.655373533804157E-2</v>
      </c>
      <c r="O239" s="8">
        <f t="shared" ca="1" si="224"/>
        <v>6.5611461758855835E-2</v>
      </c>
    </row>
    <row r="240" spans="2:15">
      <c r="B240" s="3">
        <v>219</v>
      </c>
      <c r="C240" s="8">
        <f t="shared" si="198"/>
        <v>0.05</v>
      </c>
      <c r="D240" s="8">
        <f t="shared" ref="D240:O240" ca="1" si="225">C240+k*(theta-C240)*dt+vol*SQRT(dt*C240)*_xlfn.NORM.S.INV(RAND())</f>
        <v>5.1573775066075939E-2</v>
      </c>
      <c r="E240" s="8">
        <f t="shared" ca="1" si="225"/>
        <v>5.2590156200568408E-2</v>
      </c>
      <c r="F240" s="8">
        <f t="shared" ca="1" si="225"/>
        <v>5.6058954168186223E-2</v>
      </c>
      <c r="G240" s="8">
        <f t="shared" ca="1" si="225"/>
        <v>5.8058762155577592E-2</v>
      </c>
      <c r="H240" s="8">
        <f t="shared" ca="1" si="225"/>
        <v>5.7792580302396229E-2</v>
      </c>
      <c r="I240" s="8">
        <f t="shared" ca="1" si="225"/>
        <v>5.9305376885851496E-2</v>
      </c>
      <c r="J240" s="8">
        <f t="shared" ca="1" si="225"/>
        <v>6.2001294984836308E-2</v>
      </c>
      <c r="K240" s="8">
        <f t="shared" ca="1" si="225"/>
        <v>6.0573798439201215E-2</v>
      </c>
      <c r="L240" s="8">
        <f t="shared" ca="1" si="225"/>
        <v>6.2256333943191459E-2</v>
      </c>
      <c r="M240" s="8">
        <f t="shared" ca="1" si="225"/>
        <v>6.3145699099008495E-2</v>
      </c>
      <c r="N240" s="8">
        <f t="shared" ca="1" si="225"/>
        <v>6.2878380446671794E-2</v>
      </c>
      <c r="O240" s="8">
        <f t="shared" ca="1" si="225"/>
        <v>6.1755163843757357E-2</v>
      </c>
    </row>
    <row r="241" spans="2:15">
      <c r="B241" s="3">
        <v>220</v>
      </c>
      <c r="C241" s="8">
        <f t="shared" si="198"/>
        <v>0.05</v>
      </c>
      <c r="D241" s="8">
        <f t="shared" ref="D241:O241" ca="1" si="226">C241+k*(theta-C241)*dt+vol*SQRT(dt*C241)*_xlfn.NORM.S.INV(RAND())</f>
        <v>5.0981385950619504E-2</v>
      </c>
      <c r="E241" s="8">
        <f t="shared" ca="1" si="226"/>
        <v>5.2670277062508021E-2</v>
      </c>
      <c r="F241" s="8">
        <f t="shared" ca="1" si="226"/>
        <v>5.4638693741898253E-2</v>
      </c>
      <c r="G241" s="8">
        <f t="shared" ca="1" si="226"/>
        <v>5.5139433467068177E-2</v>
      </c>
      <c r="H241" s="8">
        <f t="shared" ca="1" si="226"/>
        <v>5.5844319128305189E-2</v>
      </c>
      <c r="I241" s="8">
        <f t="shared" ca="1" si="226"/>
        <v>5.6835410650417147E-2</v>
      </c>
      <c r="J241" s="8">
        <f t="shared" ca="1" si="226"/>
        <v>5.9110548171750474E-2</v>
      </c>
      <c r="K241" s="8">
        <f t="shared" ca="1" si="226"/>
        <v>6.1794855825275809E-2</v>
      </c>
      <c r="L241" s="8">
        <f t="shared" ca="1" si="226"/>
        <v>6.022412283781152E-2</v>
      </c>
      <c r="M241" s="8">
        <f t="shared" ca="1" si="226"/>
        <v>6.2316261908958899E-2</v>
      </c>
      <c r="N241" s="8">
        <f t="shared" ca="1" si="226"/>
        <v>6.1581246700554135E-2</v>
      </c>
      <c r="O241" s="8">
        <f t="shared" ca="1" si="226"/>
        <v>5.952778903896238E-2</v>
      </c>
    </row>
    <row r="242" spans="2:15">
      <c r="B242" s="3">
        <v>221</v>
      </c>
      <c r="C242" s="8">
        <f t="shared" si="198"/>
        <v>0.05</v>
      </c>
      <c r="D242" s="8">
        <f t="shared" ref="D242:O242" ca="1" si="227">C242+k*(theta-C242)*dt+vol*SQRT(dt*C242)*_xlfn.NORM.S.INV(RAND())</f>
        <v>5.1843728445574416E-2</v>
      </c>
      <c r="E242" s="8">
        <f t="shared" ca="1" si="227"/>
        <v>5.312472190082683E-2</v>
      </c>
      <c r="F242" s="8">
        <f t="shared" ca="1" si="227"/>
        <v>5.4566888313522924E-2</v>
      </c>
      <c r="G242" s="8">
        <f t="shared" ca="1" si="227"/>
        <v>5.5153018269667099E-2</v>
      </c>
      <c r="H242" s="8">
        <f t="shared" ca="1" si="227"/>
        <v>5.5668593431346627E-2</v>
      </c>
      <c r="I242" s="8">
        <f t="shared" ca="1" si="227"/>
        <v>5.6220803803351718E-2</v>
      </c>
      <c r="J242" s="8">
        <f t="shared" ca="1" si="227"/>
        <v>5.7375237655371211E-2</v>
      </c>
      <c r="K242" s="8">
        <f t="shared" ca="1" si="227"/>
        <v>5.9724085738110326E-2</v>
      </c>
      <c r="L242" s="8">
        <f t="shared" ca="1" si="227"/>
        <v>5.9767987757237073E-2</v>
      </c>
      <c r="M242" s="8">
        <f t="shared" ca="1" si="227"/>
        <v>6.0413682824331585E-2</v>
      </c>
      <c r="N242" s="8">
        <f t="shared" ca="1" si="227"/>
        <v>6.2794785624441823E-2</v>
      </c>
      <c r="O242" s="8">
        <f t="shared" ca="1" si="227"/>
        <v>6.3290876280819613E-2</v>
      </c>
    </row>
    <row r="243" spans="2:15">
      <c r="B243" s="3">
        <v>222</v>
      </c>
      <c r="C243" s="8">
        <f t="shared" si="198"/>
        <v>0.05</v>
      </c>
      <c r="D243" s="8">
        <f t="shared" ref="D243:O243" ca="1" si="228">C243+k*(theta-C243)*dt+vol*SQRT(dt*C243)*_xlfn.NORM.S.INV(RAND())</f>
        <v>5.0802031339771007E-2</v>
      </c>
      <c r="E243" s="8">
        <f t="shared" ca="1" si="228"/>
        <v>5.2617156968347512E-2</v>
      </c>
      <c r="F243" s="8">
        <f t="shared" ca="1" si="228"/>
        <v>5.2772334563339469E-2</v>
      </c>
      <c r="G243" s="8">
        <f t="shared" ca="1" si="228"/>
        <v>5.4650831218433976E-2</v>
      </c>
      <c r="H243" s="8">
        <f t="shared" ca="1" si="228"/>
        <v>5.5273148315062151E-2</v>
      </c>
      <c r="I243" s="8">
        <f t="shared" ca="1" si="228"/>
        <v>5.5541549598857327E-2</v>
      </c>
      <c r="J243" s="8">
        <f t="shared" ca="1" si="228"/>
        <v>5.8334577536055594E-2</v>
      </c>
      <c r="K243" s="8">
        <f t="shared" ca="1" si="228"/>
        <v>5.8159746597540377E-2</v>
      </c>
      <c r="L243" s="8">
        <f t="shared" ca="1" si="228"/>
        <v>5.8333240406123373E-2</v>
      </c>
      <c r="M243" s="8">
        <f t="shared" ca="1" si="228"/>
        <v>6.0620754210215323E-2</v>
      </c>
      <c r="N243" s="8">
        <f t="shared" ca="1" si="228"/>
        <v>5.8299597682874557E-2</v>
      </c>
      <c r="O243" s="8">
        <f t="shared" ca="1" si="228"/>
        <v>5.6487069975373998E-2</v>
      </c>
    </row>
    <row r="244" spans="2:15">
      <c r="B244" s="3">
        <v>223</v>
      </c>
      <c r="C244" s="8">
        <f t="shared" si="198"/>
        <v>0.05</v>
      </c>
      <c r="D244" s="8">
        <f t="shared" ref="D244:O244" ca="1" si="229">C244+k*(theta-C244)*dt+vol*SQRT(dt*C244)*_xlfn.NORM.S.INV(RAND())</f>
        <v>5.1709302571644196E-2</v>
      </c>
      <c r="E244" s="8">
        <f t="shared" ca="1" si="229"/>
        <v>5.3540963553752943E-2</v>
      </c>
      <c r="F244" s="8">
        <f t="shared" ca="1" si="229"/>
        <v>5.5472918883633773E-2</v>
      </c>
      <c r="G244" s="8">
        <f t="shared" ca="1" si="229"/>
        <v>5.7831895552409085E-2</v>
      </c>
      <c r="H244" s="8">
        <f t="shared" ca="1" si="229"/>
        <v>5.9841820640832454E-2</v>
      </c>
      <c r="I244" s="8">
        <f t="shared" ca="1" si="229"/>
        <v>6.1410178123505334E-2</v>
      </c>
      <c r="J244" s="8">
        <f t="shared" ca="1" si="229"/>
        <v>6.2836313597495752E-2</v>
      </c>
      <c r="K244" s="8">
        <f t="shared" ca="1" si="229"/>
        <v>6.4210979436660348E-2</v>
      </c>
      <c r="L244" s="8">
        <f t="shared" ca="1" si="229"/>
        <v>6.7376372735318768E-2</v>
      </c>
      <c r="M244" s="8">
        <f t="shared" ca="1" si="229"/>
        <v>6.9192733364311934E-2</v>
      </c>
      <c r="N244" s="8">
        <f t="shared" ca="1" si="229"/>
        <v>6.7348917973826583E-2</v>
      </c>
      <c r="O244" s="8">
        <f t="shared" ca="1" si="229"/>
        <v>6.4439644786247169E-2</v>
      </c>
    </row>
    <row r="245" spans="2:15">
      <c r="B245" s="3">
        <v>224</v>
      </c>
      <c r="C245" s="8">
        <f t="shared" si="198"/>
        <v>0.05</v>
      </c>
      <c r="D245" s="8">
        <f t="shared" ref="D245:O245" ca="1" si="230">C245+k*(theta-C245)*dt+vol*SQRT(dt*C245)*_xlfn.NORM.S.INV(RAND())</f>
        <v>5.0609454024936218E-2</v>
      </c>
      <c r="E245" s="8">
        <f t="shared" ca="1" si="230"/>
        <v>5.3145331000724452E-2</v>
      </c>
      <c r="F245" s="8">
        <f t="shared" ca="1" si="230"/>
        <v>5.4936557916049782E-2</v>
      </c>
      <c r="G245" s="8">
        <f t="shared" ca="1" si="230"/>
        <v>5.6609808046787856E-2</v>
      </c>
      <c r="H245" s="8">
        <f t="shared" ca="1" si="230"/>
        <v>5.961394668426577E-2</v>
      </c>
      <c r="I245" s="8">
        <f t="shared" ca="1" si="230"/>
        <v>6.0077974307669826E-2</v>
      </c>
      <c r="J245" s="8">
        <f t="shared" ca="1" si="230"/>
        <v>5.9290920517477648E-2</v>
      </c>
      <c r="K245" s="8">
        <f t="shared" ca="1" si="230"/>
        <v>6.2823081730101912E-2</v>
      </c>
      <c r="L245" s="8">
        <f t="shared" ca="1" si="230"/>
        <v>6.4194876910069143E-2</v>
      </c>
      <c r="M245" s="8">
        <f t="shared" ca="1" si="230"/>
        <v>6.2405153109759373E-2</v>
      </c>
      <c r="N245" s="8">
        <f t="shared" ca="1" si="230"/>
        <v>6.0939235041706397E-2</v>
      </c>
      <c r="O245" s="8">
        <f t="shared" ca="1" si="230"/>
        <v>6.5551899550710654E-2</v>
      </c>
    </row>
    <row r="246" spans="2:15">
      <c r="B246" s="3">
        <v>225</v>
      </c>
      <c r="C246" s="8">
        <f t="shared" si="198"/>
        <v>0.05</v>
      </c>
      <c r="D246" s="8">
        <f t="shared" ref="D246:O246" ca="1" si="231">C246+k*(theta-C246)*dt+vol*SQRT(dt*C246)*_xlfn.NORM.S.INV(RAND())</f>
        <v>5.3975111629510547E-2</v>
      </c>
      <c r="E246" s="8">
        <f t="shared" ca="1" si="231"/>
        <v>5.2821244456082141E-2</v>
      </c>
      <c r="F246" s="8">
        <f t="shared" ca="1" si="231"/>
        <v>5.5273590824210871E-2</v>
      </c>
      <c r="G246" s="8">
        <f t="shared" ca="1" si="231"/>
        <v>5.476060234897609E-2</v>
      </c>
      <c r="H246" s="8">
        <f t="shared" ca="1" si="231"/>
        <v>5.6148997821675775E-2</v>
      </c>
      <c r="I246" s="8">
        <f t="shared" ca="1" si="231"/>
        <v>6.0557476907574771E-2</v>
      </c>
      <c r="J246" s="8">
        <f t="shared" ca="1" si="231"/>
        <v>6.0554612461029667E-2</v>
      </c>
      <c r="K246" s="8">
        <f t="shared" ca="1" si="231"/>
        <v>6.2524583362113778E-2</v>
      </c>
      <c r="L246" s="8">
        <f t="shared" ca="1" si="231"/>
        <v>6.4097247408794591E-2</v>
      </c>
      <c r="M246" s="8">
        <f t="shared" ca="1" si="231"/>
        <v>6.3166603048612588E-2</v>
      </c>
      <c r="N246" s="8">
        <f t="shared" ca="1" si="231"/>
        <v>6.3708587337056061E-2</v>
      </c>
      <c r="O246" s="8">
        <f t="shared" ca="1" si="231"/>
        <v>6.548744665676931E-2</v>
      </c>
    </row>
    <row r="247" spans="2:15">
      <c r="B247" s="3">
        <v>226</v>
      </c>
      <c r="C247" s="8">
        <f t="shared" si="198"/>
        <v>0.05</v>
      </c>
      <c r="D247" s="8">
        <f t="shared" ref="D247:O247" ca="1" si="232">C247+k*(theta-C247)*dt+vol*SQRT(dt*C247)*_xlfn.NORM.S.INV(RAND())</f>
        <v>5.0959008515314354E-2</v>
      </c>
      <c r="E247" s="8">
        <f t="shared" ca="1" si="232"/>
        <v>5.4423425080499396E-2</v>
      </c>
      <c r="F247" s="8">
        <f t="shared" ca="1" si="232"/>
        <v>5.5866183132087882E-2</v>
      </c>
      <c r="G247" s="8">
        <f t="shared" ca="1" si="232"/>
        <v>5.7305262437679597E-2</v>
      </c>
      <c r="H247" s="8">
        <f t="shared" ca="1" si="232"/>
        <v>5.959090594381667E-2</v>
      </c>
      <c r="I247" s="8">
        <f t="shared" ca="1" si="232"/>
        <v>5.9452485323361996E-2</v>
      </c>
      <c r="J247" s="8">
        <f t="shared" ca="1" si="232"/>
        <v>5.8840639398776436E-2</v>
      </c>
      <c r="K247" s="8">
        <f t="shared" ca="1" si="232"/>
        <v>5.881356231902863E-2</v>
      </c>
      <c r="L247" s="8">
        <f t="shared" ca="1" si="232"/>
        <v>5.8578743494513225E-2</v>
      </c>
      <c r="M247" s="8">
        <f t="shared" ca="1" si="232"/>
        <v>6.0717440137840854E-2</v>
      </c>
      <c r="N247" s="8">
        <f t="shared" ca="1" si="232"/>
        <v>6.1518340664391429E-2</v>
      </c>
      <c r="O247" s="8">
        <f t="shared" ca="1" si="232"/>
        <v>6.3801648729751761E-2</v>
      </c>
    </row>
    <row r="248" spans="2:15">
      <c r="B248" s="3">
        <v>227</v>
      </c>
      <c r="C248" s="8">
        <f t="shared" si="198"/>
        <v>0.05</v>
      </c>
      <c r="D248" s="8">
        <f t="shared" ref="D248:O248" ca="1" si="233">C248+k*(theta-C248)*dt+vol*SQRT(dt*C248)*_xlfn.NORM.S.INV(RAND())</f>
        <v>5.3377039199910263E-2</v>
      </c>
      <c r="E248" s="8">
        <f t="shared" ca="1" si="233"/>
        <v>5.5555029484220336E-2</v>
      </c>
      <c r="F248" s="8">
        <f t="shared" ca="1" si="233"/>
        <v>5.5317368692299078E-2</v>
      </c>
      <c r="G248" s="8">
        <f t="shared" ca="1" si="233"/>
        <v>5.5881979697431076E-2</v>
      </c>
      <c r="H248" s="8">
        <f t="shared" ca="1" si="233"/>
        <v>5.854302011039627E-2</v>
      </c>
      <c r="I248" s="8">
        <f t="shared" ca="1" si="233"/>
        <v>5.9159423937207113E-2</v>
      </c>
      <c r="J248" s="8">
        <f t="shared" ca="1" si="233"/>
        <v>6.1048762662630859E-2</v>
      </c>
      <c r="K248" s="8">
        <f t="shared" ca="1" si="233"/>
        <v>6.0598536522599208E-2</v>
      </c>
      <c r="L248" s="8">
        <f t="shared" ca="1" si="233"/>
        <v>6.3322936905354371E-2</v>
      </c>
      <c r="M248" s="8">
        <f t="shared" ca="1" si="233"/>
        <v>6.368866168539225E-2</v>
      </c>
      <c r="N248" s="8">
        <f t="shared" ca="1" si="233"/>
        <v>6.5918669111145925E-2</v>
      </c>
      <c r="O248" s="8">
        <f t="shared" ca="1" si="233"/>
        <v>6.5922174608323683E-2</v>
      </c>
    </row>
    <row r="249" spans="2:15">
      <c r="B249" s="3">
        <v>228</v>
      </c>
      <c r="C249" s="8">
        <f t="shared" si="198"/>
        <v>0.05</v>
      </c>
      <c r="D249" s="8">
        <f t="shared" ref="D249:O249" ca="1" si="234">C249+k*(theta-C249)*dt+vol*SQRT(dt*C249)*_xlfn.NORM.S.INV(RAND())</f>
        <v>4.9491488565721303E-2</v>
      </c>
      <c r="E249" s="8">
        <f t="shared" ca="1" si="234"/>
        <v>4.918850757944826E-2</v>
      </c>
      <c r="F249" s="8">
        <f t="shared" ca="1" si="234"/>
        <v>5.0209502144416641E-2</v>
      </c>
      <c r="G249" s="8">
        <f t="shared" ca="1" si="234"/>
        <v>5.1501563360967152E-2</v>
      </c>
      <c r="H249" s="8">
        <f t="shared" ca="1" si="234"/>
        <v>5.1159400920326059E-2</v>
      </c>
      <c r="I249" s="8">
        <f t="shared" ca="1" si="234"/>
        <v>5.3784109345459047E-2</v>
      </c>
      <c r="J249" s="8">
        <f t="shared" ca="1" si="234"/>
        <v>5.589601659344632E-2</v>
      </c>
      <c r="K249" s="8">
        <f t="shared" ca="1" si="234"/>
        <v>5.8746838276431623E-2</v>
      </c>
      <c r="L249" s="8">
        <f t="shared" ca="1" si="234"/>
        <v>5.9009882432744451E-2</v>
      </c>
      <c r="M249" s="8">
        <f t="shared" ca="1" si="234"/>
        <v>5.977764666865297E-2</v>
      </c>
      <c r="N249" s="8">
        <f t="shared" ca="1" si="234"/>
        <v>6.1588687605552042E-2</v>
      </c>
      <c r="O249" s="8">
        <f t="shared" ca="1" si="234"/>
        <v>6.4574000858534875E-2</v>
      </c>
    </row>
    <row r="250" spans="2:15">
      <c r="B250" s="3">
        <v>229</v>
      </c>
      <c r="C250" s="8">
        <f t="shared" si="198"/>
        <v>0.05</v>
      </c>
      <c r="D250" s="8">
        <f t="shared" ref="D250:O250" ca="1" si="235">C250+k*(theta-C250)*dt+vol*SQRT(dt*C250)*_xlfn.NORM.S.INV(RAND())</f>
        <v>5.0849171141585756E-2</v>
      </c>
      <c r="E250" s="8">
        <f t="shared" ca="1" si="235"/>
        <v>5.2132659280221476E-2</v>
      </c>
      <c r="F250" s="8">
        <f t="shared" ca="1" si="235"/>
        <v>5.4090523252695283E-2</v>
      </c>
      <c r="G250" s="8">
        <f t="shared" ca="1" si="235"/>
        <v>5.3169703795416919E-2</v>
      </c>
      <c r="H250" s="8">
        <f t="shared" ca="1" si="235"/>
        <v>5.3294959612264381E-2</v>
      </c>
      <c r="I250" s="8">
        <f t="shared" ca="1" si="235"/>
        <v>5.513463515447134E-2</v>
      </c>
      <c r="J250" s="8">
        <f t="shared" ca="1" si="235"/>
        <v>5.443904805734856E-2</v>
      </c>
      <c r="K250" s="8">
        <f t="shared" ca="1" si="235"/>
        <v>5.4814850462248856E-2</v>
      </c>
      <c r="L250" s="8">
        <f t="shared" ca="1" si="235"/>
        <v>5.6488554308706779E-2</v>
      </c>
      <c r="M250" s="8">
        <f t="shared" ca="1" si="235"/>
        <v>5.7680038659445952E-2</v>
      </c>
      <c r="N250" s="8">
        <f t="shared" ca="1" si="235"/>
        <v>5.7997489261170113E-2</v>
      </c>
      <c r="O250" s="8">
        <f t="shared" ca="1" si="235"/>
        <v>5.729980848849614E-2</v>
      </c>
    </row>
    <row r="251" spans="2:15">
      <c r="B251" s="3">
        <v>230</v>
      </c>
      <c r="C251" s="8">
        <f t="shared" si="198"/>
        <v>0.05</v>
      </c>
      <c r="D251" s="8">
        <f t="shared" ref="D251:O251" ca="1" si="236">C251+k*(theta-C251)*dt+vol*SQRT(dt*C251)*_xlfn.NORM.S.INV(RAND())</f>
        <v>5.0784411576545098E-2</v>
      </c>
      <c r="E251" s="8">
        <f t="shared" ca="1" si="236"/>
        <v>5.3061158008688221E-2</v>
      </c>
      <c r="F251" s="8">
        <f t="shared" ca="1" si="236"/>
        <v>5.5884811165942454E-2</v>
      </c>
      <c r="G251" s="8">
        <f t="shared" ca="1" si="236"/>
        <v>5.6358192049554716E-2</v>
      </c>
      <c r="H251" s="8">
        <f t="shared" ca="1" si="236"/>
        <v>5.9102172062975848E-2</v>
      </c>
      <c r="I251" s="8">
        <f t="shared" ca="1" si="236"/>
        <v>6.1330784751021418E-2</v>
      </c>
      <c r="J251" s="8">
        <f t="shared" ca="1" si="236"/>
        <v>6.1361557707892048E-2</v>
      </c>
      <c r="K251" s="8">
        <f t="shared" ca="1" si="236"/>
        <v>6.2349712898536844E-2</v>
      </c>
      <c r="L251" s="8">
        <f t="shared" ca="1" si="236"/>
        <v>6.3281003887124196E-2</v>
      </c>
      <c r="M251" s="8">
        <f t="shared" ca="1" si="236"/>
        <v>6.4472279923488585E-2</v>
      </c>
      <c r="N251" s="8">
        <f t="shared" ca="1" si="236"/>
        <v>6.5741946989830727E-2</v>
      </c>
      <c r="O251" s="8">
        <f t="shared" ca="1" si="236"/>
        <v>6.5373660380034171E-2</v>
      </c>
    </row>
    <row r="252" spans="2:15">
      <c r="B252" s="3">
        <v>231</v>
      </c>
      <c r="C252" s="8">
        <f t="shared" si="198"/>
        <v>0.05</v>
      </c>
      <c r="D252" s="8">
        <f t="shared" ref="D252:O252" ca="1" si="237">C252+k*(theta-C252)*dt+vol*SQRT(dt*C252)*_xlfn.NORM.S.INV(RAND())</f>
        <v>5.1090584453006176E-2</v>
      </c>
      <c r="E252" s="8">
        <f t="shared" ca="1" si="237"/>
        <v>5.2121381182390181E-2</v>
      </c>
      <c r="F252" s="8">
        <f t="shared" ca="1" si="237"/>
        <v>5.2785335638521926E-2</v>
      </c>
      <c r="G252" s="8">
        <f t="shared" ca="1" si="237"/>
        <v>5.3515714070727617E-2</v>
      </c>
      <c r="H252" s="8">
        <f t="shared" ca="1" si="237"/>
        <v>5.2787010129072075E-2</v>
      </c>
      <c r="I252" s="8">
        <f t="shared" ca="1" si="237"/>
        <v>5.2282034103227813E-2</v>
      </c>
      <c r="J252" s="8">
        <f t="shared" ca="1" si="237"/>
        <v>5.2600162517199275E-2</v>
      </c>
      <c r="K252" s="8">
        <f t="shared" ca="1" si="237"/>
        <v>5.5708901118835599E-2</v>
      </c>
      <c r="L252" s="8">
        <f t="shared" ca="1" si="237"/>
        <v>5.5053163057230167E-2</v>
      </c>
      <c r="M252" s="8">
        <f t="shared" ca="1" si="237"/>
        <v>5.7308436990720857E-2</v>
      </c>
      <c r="N252" s="8">
        <f t="shared" ca="1" si="237"/>
        <v>5.8299601125634717E-2</v>
      </c>
      <c r="O252" s="8">
        <f t="shared" ca="1" si="237"/>
        <v>5.7797658322457764E-2</v>
      </c>
    </row>
    <row r="253" spans="2:15">
      <c r="B253" s="3">
        <v>232</v>
      </c>
      <c r="C253" s="8">
        <f t="shared" si="198"/>
        <v>0.05</v>
      </c>
      <c r="D253" s="8">
        <f t="shared" ref="D253:O253" ca="1" si="238">C253+k*(theta-C253)*dt+vol*SQRT(dt*C253)*_xlfn.NORM.S.INV(RAND())</f>
        <v>5.0866542618691377E-2</v>
      </c>
      <c r="E253" s="8">
        <f t="shared" ca="1" si="238"/>
        <v>5.2610890726449817E-2</v>
      </c>
      <c r="F253" s="8">
        <f t="shared" ca="1" si="238"/>
        <v>5.3047246831308265E-2</v>
      </c>
      <c r="G253" s="8">
        <f t="shared" ca="1" si="238"/>
        <v>5.457878999626177E-2</v>
      </c>
      <c r="H253" s="8">
        <f t="shared" ca="1" si="238"/>
        <v>5.6520928634926131E-2</v>
      </c>
      <c r="I253" s="8">
        <f t="shared" ca="1" si="238"/>
        <v>5.8953190577520277E-2</v>
      </c>
      <c r="J253" s="8">
        <f t="shared" ca="1" si="238"/>
        <v>5.9535243692217056E-2</v>
      </c>
      <c r="K253" s="8">
        <f t="shared" ca="1" si="238"/>
        <v>6.3213836964922776E-2</v>
      </c>
      <c r="L253" s="8">
        <f t="shared" ca="1" si="238"/>
        <v>6.5451482825391746E-2</v>
      </c>
      <c r="M253" s="8">
        <f t="shared" ca="1" si="238"/>
        <v>6.7402083108471636E-2</v>
      </c>
      <c r="N253" s="8">
        <f t="shared" ca="1" si="238"/>
        <v>6.6921453371147827E-2</v>
      </c>
      <c r="O253" s="8">
        <f t="shared" ca="1" si="238"/>
        <v>6.9486984271326643E-2</v>
      </c>
    </row>
    <row r="254" spans="2:15">
      <c r="B254" s="3">
        <v>233</v>
      </c>
      <c r="C254" s="8">
        <f t="shared" si="198"/>
        <v>0.05</v>
      </c>
      <c r="D254" s="8">
        <f t="shared" ref="D254:O254" ca="1" si="239">C254+k*(theta-C254)*dt+vol*SQRT(dt*C254)*_xlfn.NORM.S.INV(RAND())</f>
        <v>5.0486827847702608E-2</v>
      </c>
      <c r="E254" s="8">
        <f t="shared" ca="1" si="239"/>
        <v>5.0636332131414975E-2</v>
      </c>
      <c r="F254" s="8">
        <f t="shared" ca="1" si="239"/>
        <v>5.263387344519347E-2</v>
      </c>
      <c r="G254" s="8">
        <f t="shared" ca="1" si="239"/>
        <v>5.2819602809488476E-2</v>
      </c>
      <c r="H254" s="8">
        <f t="shared" ca="1" si="239"/>
        <v>5.5077357746918007E-2</v>
      </c>
      <c r="I254" s="8">
        <f t="shared" ca="1" si="239"/>
        <v>5.554176597341294E-2</v>
      </c>
      <c r="J254" s="8">
        <f t="shared" ca="1" si="239"/>
        <v>5.3301875836263196E-2</v>
      </c>
      <c r="K254" s="8">
        <f t="shared" ca="1" si="239"/>
        <v>5.3275427238052897E-2</v>
      </c>
      <c r="L254" s="8">
        <f t="shared" ca="1" si="239"/>
        <v>5.5381366034693097E-2</v>
      </c>
      <c r="M254" s="8">
        <f t="shared" ca="1" si="239"/>
        <v>5.5673269979708291E-2</v>
      </c>
      <c r="N254" s="8">
        <f t="shared" ca="1" si="239"/>
        <v>5.6398043041995284E-2</v>
      </c>
      <c r="O254" s="8">
        <f t="shared" ca="1" si="239"/>
        <v>5.6744068427383901E-2</v>
      </c>
    </row>
    <row r="255" spans="2:15">
      <c r="B255" s="3">
        <v>234</v>
      </c>
      <c r="C255" s="8">
        <f t="shared" si="198"/>
        <v>0.05</v>
      </c>
      <c r="D255" s="8">
        <f t="shared" ref="D255:O255" ca="1" si="240">C255+k*(theta-C255)*dt+vol*SQRT(dt*C255)*_xlfn.NORM.S.INV(RAND())</f>
        <v>5.2801769448568618E-2</v>
      </c>
      <c r="E255" s="8">
        <f t="shared" ca="1" si="240"/>
        <v>5.236017749584379E-2</v>
      </c>
      <c r="F255" s="8">
        <f t="shared" ca="1" si="240"/>
        <v>5.2020562930340471E-2</v>
      </c>
      <c r="G255" s="8">
        <f t="shared" ca="1" si="240"/>
        <v>5.4130919025907095E-2</v>
      </c>
      <c r="H255" s="8">
        <f t="shared" ca="1" si="240"/>
        <v>5.4194639999237425E-2</v>
      </c>
      <c r="I255" s="8">
        <f t="shared" ca="1" si="240"/>
        <v>5.5935332386045325E-2</v>
      </c>
      <c r="J255" s="8">
        <f t="shared" ca="1" si="240"/>
        <v>5.5296526383615145E-2</v>
      </c>
      <c r="K255" s="8">
        <f t="shared" ca="1" si="240"/>
        <v>5.4305544247534747E-2</v>
      </c>
      <c r="L255" s="8">
        <f t="shared" ca="1" si="240"/>
        <v>5.21386745009998E-2</v>
      </c>
      <c r="M255" s="8">
        <f t="shared" ca="1" si="240"/>
        <v>5.3421898004599178E-2</v>
      </c>
      <c r="N255" s="8">
        <f t="shared" ca="1" si="240"/>
        <v>5.4712563919950989E-2</v>
      </c>
      <c r="O255" s="8">
        <f t="shared" ca="1" si="240"/>
        <v>5.5587121663994099E-2</v>
      </c>
    </row>
    <row r="256" spans="2:15">
      <c r="B256" s="3">
        <v>235</v>
      </c>
      <c r="C256" s="8">
        <f t="shared" si="198"/>
        <v>0.05</v>
      </c>
      <c r="D256" s="8">
        <f t="shared" ref="D256:O256" ca="1" si="241">C256+k*(theta-C256)*dt+vol*SQRT(dt*C256)*_xlfn.NORM.S.INV(RAND())</f>
        <v>5.0447560590645008E-2</v>
      </c>
      <c r="E256" s="8">
        <f t="shared" ca="1" si="241"/>
        <v>5.1669739121324228E-2</v>
      </c>
      <c r="F256" s="8">
        <f t="shared" ca="1" si="241"/>
        <v>5.3656057422211835E-2</v>
      </c>
      <c r="G256" s="8">
        <f t="shared" ca="1" si="241"/>
        <v>5.1820261815984439E-2</v>
      </c>
      <c r="H256" s="8">
        <f t="shared" ca="1" si="241"/>
        <v>5.375088840677926E-2</v>
      </c>
      <c r="I256" s="8">
        <f t="shared" ca="1" si="241"/>
        <v>5.2977915361605933E-2</v>
      </c>
      <c r="J256" s="8">
        <f t="shared" ca="1" si="241"/>
        <v>5.2642195059591418E-2</v>
      </c>
      <c r="K256" s="8">
        <f t="shared" ca="1" si="241"/>
        <v>5.3463745708255947E-2</v>
      </c>
      <c r="L256" s="8">
        <f t="shared" ca="1" si="241"/>
        <v>5.4079592036592287E-2</v>
      </c>
      <c r="M256" s="8">
        <f t="shared" ca="1" si="241"/>
        <v>5.4809082961426121E-2</v>
      </c>
      <c r="N256" s="8">
        <f t="shared" ca="1" si="241"/>
        <v>5.6400367049891653E-2</v>
      </c>
      <c r="O256" s="8">
        <f t="shared" ca="1" si="241"/>
        <v>5.8902539719458864E-2</v>
      </c>
    </row>
    <row r="257" spans="2:15">
      <c r="B257" s="3">
        <v>236</v>
      </c>
      <c r="C257" s="8">
        <f t="shared" si="198"/>
        <v>0.05</v>
      </c>
      <c r="D257" s="8">
        <f t="shared" ref="D257:O257" ca="1" si="242">C257+k*(theta-C257)*dt+vol*SQRT(dt*C257)*_xlfn.NORM.S.INV(RAND())</f>
        <v>5.1276794027962071E-2</v>
      </c>
      <c r="E257" s="8">
        <f t="shared" ca="1" si="242"/>
        <v>5.359148011914449E-2</v>
      </c>
      <c r="F257" s="8">
        <f t="shared" ca="1" si="242"/>
        <v>5.8647630766856931E-2</v>
      </c>
      <c r="G257" s="8">
        <f t="shared" ca="1" si="242"/>
        <v>5.7889192783762485E-2</v>
      </c>
      <c r="H257" s="8">
        <f t="shared" ca="1" si="242"/>
        <v>5.8799579541031266E-2</v>
      </c>
      <c r="I257" s="8">
        <f t="shared" ca="1" si="242"/>
        <v>6.075525707023071E-2</v>
      </c>
      <c r="J257" s="8">
        <f t="shared" ca="1" si="242"/>
        <v>6.1410801619098503E-2</v>
      </c>
      <c r="K257" s="8">
        <f t="shared" ca="1" si="242"/>
        <v>6.0753950668179131E-2</v>
      </c>
      <c r="L257" s="8">
        <f t="shared" ca="1" si="242"/>
        <v>5.9534516008456495E-2</v>
      </c>
      <c r="M257" s="8">
        <f t="shared" ca="1" si="242"/>
        <v>6.025204468647076E-2</v>
      </c>
      <c r="N257" s="8">
        <f t="shared" ca="1" si="242"/>
        <v>6.2970422737514464E-2</v>
      </c>
      <c r="O257" s="8">
        <f t="shared" ca="1" si="242"/>
        <v>6.5178840078737074E-2</v>
      </c>
    </row>
    <row r="258" spans="2:15">
      <c r="B258" s="3">
        <v>237</v>
      </c>
      <c r="C258" s="8">
        <f t="shared" si="198"/>
        <v>0.05</v>
      </c>
      <c r="D258" s="8">
        <f t="shared" ref="D258:O258" ca="1" si="243">C258+k*(theta-C258)*dt+vol*SQRT(dt*C258)*_xlfn.NORM.S.INV(RAND())</f>
        <v>5.1742451066084265E-2</v>
      </c>
      <c r="E258" s="8">
        <f t="shared" ca="1" si="243"/>
        <v>5.2938611666598467E-2</v>
      </c>
      <c r="F258" s="8">
        <f t="shared" ca="1" si="243"/>
        <v>5.472410493059409E-2</v>
      </c>
      <c r="G258" s="8">
        <f t="shared" ca="1" si="243"/>
        <v>5.3662136251613486E-2</v>
      </c>
      <c r="H258" s="8">
        <f t="shared" ca="1" si="243"/>
        <v>5.4124264594811282E-2</v>
      </c>
      <c r="I258" s="8">
        <f t="shared" ca="1" si="243"/>
        <v>5.5601574494684156E-2</v>
      </c>
      <c r="J258" s="8">
        <f t="shared" ca="1" si="243"/>
        <v>5.6365864588303949E-2</v>
      </c>
      <c r="K258" s="8">
        <f t="shared" ca="1" si="243"/>
        <v>5.818674935476028E-2</v>
      </c>
      <c r="L258" s="8">
        <f t="shared" ca="1" si="243"/>
        <v>5.9194470355970419E-2</v>
      </c>
      <c r="M258" s="8">
        <f t="shared" ca="1" si="243"/>
        <v>6.0227705692753201E-2</v>
      </c>
      <c r="N258" s="8">
        <f t="shared" ca="1" si="243"/>
        <v>6.091079209334492E-2</v>
      </c>
      <c r="O258" s="8">
        <f t="shared" ca="1" si="243"/>
        <v>6.1810701675085913E-2</v>
      </c>
    </row>
    <row r="259" spans="2:15">
      <c r="B259" s="3">
        <v>238</v>
      </c>
      <c r="C259" s="8">
        <f t="shared" si="198"/>
        <v>0.05</v>
      </c>
      <c r="D259" s="8">
        <f t="shared" ref="D259:O259" ca="1" si="244">C259+k*(theta-C259)*dt+vol*SQRT(dt*C259)*_xlfn.NORM.S.INV(RAND())</f>
        <v>5.0972694327895966E-2</v>
      </c>
      <c r="E259" s="8">
        <f t="shared" ca="1" si="244"/>
        <v>5.088481409688702E-2</v>
      </c>
      <c r="F259" s="8">
        <f t="shared" ca="1" si="244"/>
        <v>5.142023986496673E-2</v>
      </c>
      <c r="G259" s="8">
        <f t="shared" ca="1" si="244"/>
        <v>5.1481662870063935E-2</v>
      </c>
      <c r="H259" s="8">
        <f t="shared" ca="1" si="244"/>
        <v>5.4763056223940398E-2</v>
      </c>
      <c r="I259" s="8">
        <f t="shared" ca="1" si="244"/>
        <v>5.5629099184542882E-2</v>
      </c>
      <c r="J259" s="8">
        <f t="shared" ca="1" si="244"/>
        <v>5.7538965602219959E-2</v>
      </c>
      <c r="K259" s="8">
        <f t="shared" ca="1" si="244"/>
        <v>5.8370267027951138E-2</v>
      </c>
      <c r="L259" s="8">
        <f t="shared" ca="1" si="244"/>
        <v>5.8800548353472253E-2</v>
      </c>
      <c r="M259" s="8">
        <f t="shared" ca="1" si="244"/>
        <v>5.8578950191283216E-2</v>
      </c>
      <c r="N259" s="8">
        <f t="shared" ca="1" si="244"/>
        <v>5.7748406060518995E-2</v>
      </c>
      <c r="O259" s="8">
        <f t="shared" ca="1" si="244"/>
        <v>5.7706902186230653E-2</v>
      </c>
    </row>
    <row r="260" spans="2:15">
      <c r="B260" s="3">
        <v>239</v>
      </c>
      <c r="C260" s="8">
        <f t="shared" si="198"/>
        <v>0.05</v>
      </c>
      <c r="D260" s="8">
        <f t="shared" ref="D260:O260" ca="1" si="245">C260+k*(theta-C260)*dt+vol*SQRT(dt*C260)*_xlfn.NORM.S.INV(RAND())</f>
        <v>5.0628823053527082E-2</v>
      </c>
      <c r="E260" s="8">
        <f t="shared" ca="1" si="245"/>
        <v>5.1235180110486035E-2</v>
      </c>
      <c r="F260" s="8">
        <f t="shared" ca="1" si="245"/>
        <v>5.0357056801772083E-2</v>
      </c>
      <c r="G260" s="8">
        <f t="shared" ca="1" si="245"/>
        <v>5.2071463553300723E-2</v>
      </c>
      <c r="H260" s="8">
        <f t="shared" ca="1" si="245"/>
        <v>5.3448676198393351E-2</v>
      </c>
      <c r="I260" s="8">
        <f t="shared" ca="1" si="245"/>
        <v>5.4755673724566419E-2</v>
      </c>
      <c r="J260" s="8">
        <f t="shared" ca="1" si="245"/>
        <v>5.4529797050085288E-2</v>
      </c>
      <c r="K260" s="8">
        <f t="shared" ca="1" si="245"/>
        <v>5.7543601436786863E-2</v>
      </c>
      <c r="L260" s="8">
        <f t="shared" ca="1" si="245"/>
        <v>5.8834021373733662E-2</v>
      </c>
      <c r="M260" s="8">
        <f t="shared" ca="1" si="245"/>
        <v>6.14438263832148E-2</v>
      </c>
      <c r="N260" s="8">
        <f t="shared" ca="1" si="245"/>
        <v>6.0559202316481028E-2</v>
      </c>
      <c r="O260" s="8">
        <f t="shared" ca="1" si="245"/>
        <v>5.9590396121952237E-2</v>
      </c>
    </row>
    <row r="261" spans="2:15">
      <c r="B261" s="3">
        <v>240</v>
      </c>
      <c r="C261" s="8">
        <f t="shared" si="198"/>
        <v>0.05</v>
      </c>
      <c r="D261" s="8">
        <f t="shared" ref="D261:O261" ca="1" si="246">C261+k*(theta-C261)*dt+vol*SQRT(dt*C261)*_xlfn.NORM.S.INV(RAND())</f>
        <v>5.2622657776854861E-2</v>
      </c>
      <c r="E261" s="8">
        <f t="shared" ca="1" si="246"/>
        <v>5.3265782015408929E-2</v>
      </c>
      <c r="F261" s="8">
        <f t="shared" ca="1" si="246"/>
        <v>5.47388762955398E-2</v>
      </c>
      <c r="G261" s="8">
        <f t="shared" ca="1" si="246"/>
        <v>5.6723502627468704E-2</v>
      </c>
      <c r="H261" s="8">
        <f t="shared" ca="1" si="246"/>
        <v>5.9820069765135375E-2</v>
      </c>
      <c r="I261" s="8">
        <f t="shared" ca="1" si="246"/>
        <v>6.2513337039823869E-2</v>
      </c>
      <c r="J261" s="8">
        <f t="shared" ca="1" si="246"/>
        <v>6.3294133757530249E-2</v>
      </c>
      <c r="K261" s="8">
        <f t="shared" ca="1" si="246"/>
        <v>6.4482173716530505E-2</v>
      </c>
      <c r="L261" s="8">
        <f t="shared" ca="1" si="246"/>
        <v>6.4986279691727752E-2</v>
      </c>
      <c r="M261" s="8">
        <f t="shared" ca="1" si="246"/>
        <v>6.5801677998859651E-2</v>
      </c>
      <c r="N261" s="8">
        <f t="shared" ca="1" si="246"/>
        <v>6.9721592840159455E-2</v>
      </c>
      <c r="O261" s="8">
        <f t="shared" ca="1" si="246"/>
        <v>6.8356878752542177E-2</v>
      </c>
    </row>
    <row r="262" spans="2:15">
      <c r="B262" s="3">
        <v>241</v>
      </c>
      <c r="C262" s="8">
        <f t="shared" si="198"/>
        <v>0.05</v>
      </c>
      <c r="D262" s="8">
        <f t="shared" ref="D262:O262" ca="1" si="247">C262+k*(theta-C262)*dt+vol*SQRT(dt*C262)*_xlfn.NORM.S.INV(RAND())</f>
        <v>5.1449696676414469E-2</v>
      </c>
      <c r="E262" s="8">
        <f t="shared" ca="1" si="247"/>
        <v>5.4353387352880235E-2</v>
      </c>
      <c r="F262" s="8">
        <f t="shared" ca="1" si="247"/>
        <v>5.6981668879428654E-2</v>
      </c>
      <c r="G262" s="8">
        <f t="shared" ca="1" si="247"/>
        <v>5.6758928300121886E-2</v>
      </c>
      <c r="H262" s="8">
        <f t="shared" ca="1" si="247"/>
        <v>5.7198096131285944E-2</v>
      </c>
      <c r="I262" s="8">
        <f t="shared" ca="1" si="247"/>
        <v>6.1106144110531876E-2</v>
      </c>
      <c r="J262" s="8">
        <f t="shared" ca="1" si="247"/>
        <v>6.2983868625962877E-2</v>
      </c>
      <c r="K262" s="8">
        <f t="shared" ca="1" si="247"/>
        <v>6.5199912207047961E-2</v>
      </c>
      <c r="L262" s="8">
        <f t="shared" ca="1" si="247"/>
        <v>6.74693145764588E-2</v>
      </c>
      <c r="M262" s="8">
        <f t="shared" ca="1" si="247"/>
        <v>6.7132485966852451E-2</v>
      </c>
      <c r="N262" s="8">
        <f t="shared" ca="1" si="247"/>
        <v>6.6611011798236086E-2</v>
      </c>
      <c r="O262" s="8">
        <f t="shared" ca="1" si="247"/>
        <v>6.5277212608138499E-2</v>
      </c>
    </row>
    <row r="263" spans="2:15">
      <c r="B263" s="3">
        <v>242</v>
      </c>
      <c r="C263" s="8">
        <f t="shared" si="198"/>
        <v>0.05</v>
      </c>
      <c r="D263" s="8">
        <f t="shared" ref="D263:O263" ca="1" si="248">C263+k*(theta-C263)*dt+vol*SQRT(dt*C263)*_xlfn.NORM.S.INV(RAND())</f>
        <v>5.1604335700970609E-2</v>
      </c>
      <c r="E263" s="8">
        <f t="shared" ca="1" si="248"/>
        <v>5.2722715892808844E-2</v>
      </c>
      <c r="F263" s="8">
        <f t="shared" ca="1" si="248"/>
        <v>5.6178950631725809E-2</v>
      </c>
      <c r="G263" s="8">
        <f t="shared" ca="1" si="248"/>
        <v>5.7388104200671398E-2</v>
      </c>
      <c r="H263" s="8">
        <f t="shared" ca="1" si="248"/>
        <v>5.6049815175364802E-2</v>
      </c>
      <c r="I263" s="8">
        <f t="shared" ca="1" si="248"/>
        <v>5.8638859503849873E-2</v>
      </c>
      <c r="J263" s="8">
        <f t="shared" ca="1" si="248"/>
        <v>6.1641547117631833E-2</v>
      </c>
      <c r="K263" s="8">
        <f t="shared" ca="1" si="248"/>
        <v>6.3062543311634092E-2</v>
      </c>
      <c r="L263" s="8">
        <f t="shared" ca="1" si="248"/>
        <v>6.4968017325508179E-2</v>
      </c>
      <c r="M263" s="8">
        <f t="shared" ca="1" si="248"/>
        <v>6.6991775112089286E-2</v>
      </c>
      <c r="N263" s="8">
        <f t="shared" ca="1" si="248"/>
        <v>6.8472718288095993E-2</v>
      </c>
      <c r="O263" s="8">
        <f t="shared" ca="1" si="248"/>
        <v>6.8184230970729551E-2</v>
      </c>
    </row>
    <row r="264" spans="2:15">
      <c r="B264" s="3">
        <v>243</v>
      </c>
      <c r="C264" s="8">
        <f t="shared" si="198"/>
        <v>0.05</v>
      </c>
      <c r="D264" s="8">
        <f t="shared" ref="D264:O264" ca="1" si="249">C264+k*(theta-C264)*dt+vol*SQRT(dt*C264)*_xlfn.NORM.S.INV(RAND())</f>
        <v>4.9277087112770963E-2</v>
      </c>
      <c r="E264" s="8">
        <f t="shared" ca="1" si="249"/>
        <v>5.0979521454679058E-2</v>
      </c>
      <c r="F264" s="8">
        <f t="shared" ca="1" si="249"/>
        <v>5.3211876783679897E-2</v>
      </c>
      <c r="G264" s="8">
        <f t="shared" ca="1" si="249"/>
        <v>5.2501269743170695E-2</v>
      </c>
      <c r="H264" s="8">
        <f t="shared" ca="1" si="249"/>
        <v>5.4567480851548895E-2</v>
      </c>
      <c r="I264" s="8">
        <f t="shared" ca="1" si="249"/>
        <v>5.6026031631353994E-2</v>
      </c>
      <c r="J264" s="8">
        <f t="shared" ca="1" si="249"/>
        <v>5.7997609754949581E-2</v>
      </c>
      <c r="K264" s="8">
        <f t="shared" ca="1" si="249"/>
        <v>6.0528120271467173E-2</v>
      </c>
      <c r="L264" s="8">
        <f t="shared" ca="1" si="249"/>
        <v>6.1741640973662061E-2</v>
      </c>
      <c r="M264" s="8">
        <f t="shared" ca="1" si="249"/>
        <v>5.9513129518311732E-2</v>
      </c>
      <c r="N264" s="8">
        <f t="shared" ca="1" si="249"/>
        <v>6.1482784921953026E-2</v>
      </c>
      <c r="O264" s="8">
        <f t="shared" ca="1" si="249"/>
        <v>6.3604990164290082E-2</v>
      </c>
    </row>
    <row r="265" spans="2:15">
      <c r="B265" s="3">
        <v>244</v>
      </c>
      <c r="C265" s="8">
        <f t="shared" si="198"/>
        <v>0.05</v>
      </c>
      <c r="D265" s="8">
        <f t="shared" ref="D265:O265" ca="1" si="250">C265+k*(theta-C265)*dt+vol*SQRT(dt*C265)*_xlfn.NORM.S.INV(RAND())</f>
        <v>5.1419441000518623E-2</v>
      </c>
      <c r="E265" s="8">
        <f t="shared" ca="1" si="250"/>
        <v>5.3416914632756843E-2</v>
      </c>
      <c r="F265" s="8">
        <f t="shared" ca="1" si="250"/>
        <v>5.2273254745552035E-2</v>
      </c>
      <c r="G265" s="8">
        <f t="shared" ca="1" si="250"/>
        <v>5.3599757233175539E-2</v>
      </c>
      <c r="H265" s="8">
        <f t="shared" ca="1" si="250"/>
        <v>5.3068258291595581E-2</v>
      </c>
      <c r="I265" s="8">
        <f t="shared" ca="1" si="250"/>
        <v>5.3772314612992152E-2</v>
      </c>
      <c r="J265" s="8">
        <f t="shared" ca="1" si="250"/>
        <v>5.4788537816245785E-2</v>
      </c>
      <c r="K265" s="8">
        <f t="shared" ca="1" si="250"/>
        <v>5.7426247101786329E-2</v>
      </c>
      <c r="L265" s="8">
        <f t="shared" ca="1" si="250"/>
        <v>5.6149598464347847E-2</v>
      </c>
      <c r="M265" s="8">
        <f t="shared" ca="1" si="250"/>
        <v>5.6064665183959014E-2</v>
      </c>
      <c r="N265" s="8">
        <f t="shared" ca="1" si="250"/>
        <v>5.7003204380141587E-2</v>
      </c>
      <c r="O265" s="8">
        <f t="shared" ca="1" si="250"/>
        <v>5.7501668883458285E-2</v>
      </c>
    </row>
    <row r="266" spans="2:15">
      <c r="B266" s="3">
        <v>245</v>
      </c>
      <c r="C266" s="8">
        <f t="shared" si="198"/>
        <v>0.05</v>
      </c>
      <c r="D266" s="8">
        <f t="shared" ref="D266:O266" ca="1" si="251">C266+k*(theta-C266)*dt+vol*SQRT(dt*C266)*_xlfn.NORM.S.INV(RAND())</f>
        <v>5.2586001628704367E-2</v>
      </c>
      <c r="E266" s="8">
        <f t="shared" ca="1" si="251"/>
        <v>5.4546270837702776E-2</v>
      </c>
      <c r="F266" s="8">
        <f t="shared" ca="1" si="251"/>
        <v>5.6184031166197683E-2</v>
      </c>
      <c r="G266" s="8">
        <f t="shared" ca="1" si="251"/>
        <v>5.6144599456220343E-2</v>
      </c>
      <c r="H266" s="8">
        <f t="shared" ca="1" si="251"/>
        <v>5.6441561785792765E-2</v>
      </c>
      <c r="I266" s="8">
        <f t="shared" ca="1" si="251"/>
        <v>5.6178655223233592E-2</v>
      </c>
      <c r="J266" s="8">
        <f t="shared" ca="1" si="251"/>
        <v>5.7330400584957857E-2</v>
      </c>
      <c r="K266" s="8">
        <f t="shared" ca="1" si="251"/>
        <v>5.8423956095666037E-2</v>
      </c>
      <c r="L266" s="8">
        <f t="shared" ca="1" si="251"/>
        <v>5.7929156384356861E-2</v>
      </c>
      <c r="M266" s="8">
        <f t="shared" ca="1" si="251"/>
        <v>5.9239300204887185E-2</v>
      </c>
      <c r="N266" s="8">
        <f t="shared" ca="1" si="251"/>
        <v>6.2449534693136459E-2</v>
      </c>
      <c r="O266" s="8">
        <f t="shared" ca="1" si="251"/>
        <v>6.3758077781357975E-2</v>
      </c>
    </row>
    <row r="267" spans="2:15">
      <c r="B267" s="3">
        <v>246</v>
      </c>
      <c r="C267" s="8">
        <f t="shared" si="198"/>
        <v>0.05</v>
      </c>
      <c r="D267" s="8">
        <f t="shared" ref="D267:O267" ca="1" si="252">C267+k*(theta-C267)*dt+vol*SQRT(dt*C267)*_xlfn.NORM.S.INV(RAND())</f>
        <v>4.7850981766950303E-2</v>
      </c>
      <c r="E267" s="8">
        <f t="shared" ca="1" si="252"/>
        <v>4.8490427097506894E-2</v>
      </c>
      <c r="F267" s="8">
        <f t="shared" ca="1" si="252"/>
        <v>4.8690462499645995E-2</v>
      </c>
      <c r="G267" s="8">
        <f t="shared" ca="1" si="252"/>
        <v>4.8733462126628144E-2</v>
      </c>
      <c r="H267" s="8">
        <f t="shared" ca="1" si="252"/>
        <v>4.9535647336842223E-2</v>
      </c>
      <c r="I267" s="8">
        <f t="shared" ca="1" si="252"/>
        <v>5.248430537670612E-2</v>
      </c>
      <c r="J267" s="8">
        <f t="shared" ca="1" si="252"/>
        <v>5.6144319041103695E-2</v>
      </c>
      <c r="K267" s="8">
        <f t="shared" ca="1" si="252"/>
        <v>5.7552710561141779E-2</v>
      </c>
      <c r="L267" s="8">
        <f t="shared" ca="1" si="252"/>
        <v>5.7819955258210327E-2</v>
      </c>
      <c r="M267" s="8">
        <f t="shared" ca="1" si="252"/>
        <v>5.8927893152952979E-2</v>
      </c>
      <c r="N267" s="8">
        <f t="shared" ca="1" si="252"/>
        <v>6.3627610885905336E-2</v>
      </c>
      <c r="O267" s="8">
        <f t="shared" ca="1" si="252"/>
        <v>6.3885788043581762E-2</v>
      </c>
    </row>
    <row r="268" spans="2:15">
      <c r="B268" s="3">
        <v>247</v>
      </c>
      <c r="C268" s="8">
        <f t="shared" si="198"/>
        <v>0.05</v>
      </c>
      <c r="D268" s="8">
        <f t="shared" ref="D268:O268" ca="1" si="253">C268+k*(theta-C268)*dt+vol*SQRT(dt*C268)*_xlfn.NORM.S.INV(RAND())</f>
        <v>5.1526508603806538E-2</v>
      </c>
      <c r="E268" s="8">
        <f t="shared" ca="1" si="253"/>
        <v>5.216802482803988E-2</v>
      </c>
      <c r="F268" s="8">
        <f t="shared" ca="1" si="253"/>
        <v>5.2917250662647998E-2</v>
      </c>
      <c r="G268" s="8">
        <f t="shared" ca="1" si="253"/>
        <v>5.6762830817721655E-2</v>
      </c>
      <c r="H268" s="8">
        <f t="shared" ca="1" si="253"/>
        <v>5.9533279736927021E-2</v>
      </c>
      <c r="I268" s="8">
        <f t="shared" ca="1" si="253"/>
        <v>6.3548759814597608E-2</v>
      </c>
      <c r="J268" s="8">
        <f t="shared" ca="1" si="253"/>
        <v>6.3582879603929027E-2</v>
      </c>
      <c r="K268" s="8">
        <f t="shared" ca="1" si="253"/>
        <v>6.293785998344914E-2</v>
      </c>
      <c r="L268" s="8">
        <f t="shared" ca="1" si="253"/>
        <v>6.1910653633568291E-2</v>
      </c>
      <c r="M268" s="8">
        <f t="shared" ca="1" si="253"/>
        <v>6.2084224829839871E-2</v>
      </c>
      <c r="N268" s="8">
        <f t="shared" ca="1" si="253"/>
        <v>6.245462914655326E-2</v>
      </c>
      <c r="O268" s="8">
        <f t="shared" ca="1" si="253"/>
        <v>6.1229727047926945E-2</v>
      </c>
    </row>
    <row r="269" spans="2:15">
      <c r="B269" s="3">
        <v>248</v>
      </c>
      <c r="C269" s="8">
        <f t="shared" si="198"/>
        <v>0.05</v>
      </c>
      <c r="D269" s="8">
        <f t="shared" ref="D269:O269" ca="1" si="254">C269+k*(theta-C269)*dt+vol*SQRT(dt*C269)*_xlfn.NORM.S.INV(RAND())</f>
        <v>5.0923475125601844E-2</v>
      </c>
      <c r="E269" s="8">
        <f t="shared" ca="1" si="254"/>
        <v>5.3704177245472128E-2</v>
      </c>
      <c r="F269" s="8">
        <f t="shared" ca="1" si="254"/>
        <v>5.3629841486480749E-2</v>
      </c>
      <c r="G269" s="8">
        <f t="shared" ca="1" si="254"/>
        <v>5.5179058355892645E-2</v>
      </c>
      <c r="H269" s="8">
        <f t="shared" ca="1" si="254"/>
        <v>5.6375020203252413E-2</v>
      </c>
      <c r="I269" s="8">
        <f t="shared" ca="1" si="254"/>
        <v>5.5797940447552812E-2</v>
      </c>
      <c r="J269" s="8">
        <f t="shared" ca="1" si="254"/>
        <v>5.5806433098324115E-2</v>
      </c>
      <c r="K269" s="8">
        <f t="shared" ca="1" si="254"/>
        <v>5.5877507966015143E-2</v>
      </c>
      <c r="L269" s="8">
        <f t="shared" ca="1" si="254"/>
        <v>5.5780338181076201E-2</v>
      </c>
      <c r="M269" s="8">
        <f t="shared" ca="1" si="254"/>
        <v>5.8083325986137017E-2</v>
      </c>
      <c r="N269" s="8">
        <f t="shared" ca="1" si="254"/>
        <v>5.6790050086600888E-2</v>
      </c>
      <c r="O269" s="8">
        <f t="shared" ca="1" si="254"/>
        <v>5.6662108677475134E-2</v>
      </c>
    </row>
    <row r="270" spans="2:15">
      <c r="B270" s="3">
        <v>249</v>
      </c>
      <c r="C270" s="8">
        <f t="shared" si="198"/>
        <v>0.05</v>
      </c>
      <c r="D270" s="8">
        <f t="shared" ref="D270:O270" ca="1" si="255">C270+k*(theta-C270)*dt+vol*SQRT(dt*C270)*_xlfn.NORM.S.INV(RAND())</f>
        <v>4.973438090787196E-2</v>
      </c>
      <c r="E270" s="8">
        <f t="shared" ca="1" si="255"/>
        <v>4.71999049962517E-2</v>
      </c>
      <c r="F270" s="8">
        <f t="shared" ca="1" si="255"/>
        <v>5.0479719660621647E-2</v>
      </c>
      <c r="G270" s="8">
        <f t="shared" ca="1" si="255"/>
        <v>5.2605193786996601E-2</v>
      </c>
      <c r="H270" s="8">
        <f t="shared" ca="1" si="255"/>
        <v>5.3985123155025606E-2</v>
      </c>
      <c r="I270" s="8">
        <f t="shared" ca="1" si="255"/>
        <v>5.2822144004487995E-2</v>
      </c>
      <c r="J270" s="8">
        <f t="shared" ca="1" si="255"/>
        <v>5.511488128457849E-2</v>
      </c>
      <c r="K270" s="8">
        <f t="shared" ca="1" si="255"/>
        <v>5.7693792833809661E-2</v>
      </c>
      <c r="L270" s="8">
        <f t="shared" ca="1" si="255"/>
        <v>5.7592974937971102E-2</v>
      </c>
      <c r="M270" s="8">
        <f t="shared" ca="1" si="255"/>
        <v>5.9096265312268269E-2</v>
      </c>
      <c r="N270" s="8">
        <f t="shared" ca="1" si="255"/>
        <v>5.8670784425641817E-2</v>
      </c>
      <c r="O270" s="8">
        <f t="shared" ca="1" si="255"/>
        <v>6.1927095643809195E-2</v>
      </c>
    </row>
    <row r="271" spans="2:15">
      <c r="B271" s="3">
        <v>250</v>
      </c>
      <c r="C271" s="8">
        <f t="shared" si="198"/>
        <v>0.05</v>
      </c>
      <c r="D271" s="8">
        <f t="shared" ref="D271:O271" ca="1" si="256">C271+k*(theta-C271)*dt+vol*SQRT(dt*C271)*_xlfn.NORM.S.INV(RAND())</f>
        <v>5.2775420151285599E-2</v>
      </c>
      <c r="E271" s="8">
        <f t="shared" ca="1" si="256"/>
        <v>5.2927305877184562E-2</v>
      </c>
      <c r="F271" s="8">
        <f t="shared" ca="1" si="256"/>
        <v>5.346523610436342E-2</v>
      </c>
      <c r="G271" s="8">
        <f t="shared" ca="1" si="256"/>
        <v>5.5467510125025619E-2</v>
      </c>
      <c r="H271" s="8">
        <f t="shared" ca="1" si="256"/>
        <v>5.5042380953987162E-2</v>
      </c>
      <c r="I271" s="8">
        <f t="shared" ca="1" si="256"/>
        <v>5.6730977118978544E-2</v>
      </c>
      <c r="J271" s="8">
        <f t="shared" ca="1" si="256"/>
        <v>5.7230590033525909E-2</v>
      </c>
      <c r="K271" s="8">
        <f t="shared" ca="1" si="256"/>
        <v>5.8967155305868969E-2</v>
      </c>
      <c r="L271" s="8">
        <f t="shared" ca="1" si="256"/>
        <v>5.9239426009378315E-2</v>
      </c>
      <c r="M271" s="8">
        <f t="shared" ca="1" si="256"/>
        <v>6.0487530764625048E-2</v>
      </c>
      <c r="N271" s="8">
        <f t="shared" ca="1" si="256"/>
        <v>6.2530656885916969E-2</v>
      </c>
      <c r="O271" s="8">
        <f t="shared" ca="1" si="256"/>
        <v>6.065115691064385E-2</v>
      </c>
    </row>
    <row r="272" spans="2:15">
      <c r="B272" s="3">
        <v>251</v>
      </c>
      <c r="C272" s="8">
        <f t="shared" si="198"/>
        <v>0.05</v>
      </c>
      <c r="D272" s="8">
        <f t="shared" ref="D272:O272" ca="1" si="257">C272+k*(theta-C272)*dt+vol*SQRT(dt*C272)*_xlfn.NORM.S.INV(RAND())</f>
        <v>5.148950007473925E-2</v>
      </c>
      <c r="E272" s="8">
        <f t="shared" ca="1" si="257"/>
        <v>5.0436730196433285E-2</v>
      </c>
      <c r="F272" s="8">
        <f t="shared" ca="1" si="257"/>
        <v>5.0693266458090282E-2</v>
      </c>
      <c r="G272" s="8">
        <f t="shared" ca="1" si="257"/>
        <v>5.0372424147413844E-2</v>
      </c>
      <c r="H272" s="8">
        <f t="shared" ca="1" si="257"/>
        <v>5.3674630383377456E-2</v>
      </c>
      <c r="I272" s="8">
        <f t="shared" ca="1" si="257"/>
        <v>5.5967619230850314E-2</v>
      </c>
      <c r="J272" s="8">
        <f t="shared" ca="1" si="257"/>
        <v>5.6181230935936799E-2</v>
      </c>
      <c r="K272" s="8">
        <f t="shared" ca="1" si="257"/>
        <v>5.8790575931131468E-2</v>
      </c>
      <c r="L272" s="8">
        <f t="shared" ca="1" si="257"/>
        <v>6.0253054421400602E-2</v>
      </c>
      <c r="M272" s="8">
        <f t="shared" ca="1" si="257"/>
        <v>6.3156716127438464E-2</v>
      </c>
      <c r="N272" s="8">
        <f t="shared" ca="1" si="257"/>
        <v>6.2685949673133318E-2</v>
      </c>
      <c r="O272" s="8">
        <f t="shared" ca="1" si="257"/>
        <v>6.5098902802760955E-2</v>
      </c>
    </row>
    <row r="273" spans="2:15">
      <c r="B273" s="3">
        <v>252</v>
      </c>
      <c r="C273" s="8">
        <f t="shared" si="198"/>
        <v>0.05</v>
      </c>
      <c r="D273" s="8">
        <f t="shared" ref="D273:O273" ca="1" si="258">C273+k*(theta-C273)*dt+vol*SQRT(dt*C273)*_xlfn.NORM.S.INV(RAND())</f>
        <v>5.0573427310709712E-2</v>
      </c>
      <c r="E273" s="8">
        <f t="shared" ca="1" si="258"/>
        <v>5.1816198145606493E-2</v>
      </c>
      <c r="F273" s="8">
        <f t="shared" ca="1" si="258"/>
        <v>5.1319206856183429E-2</v>
      </c>
      <c r="G273" s="8">
        <f t="shared" ca="1" si="258"/>
        <v>5.127444220012374E-2</v>
      </c>
      <c r="H273" s="8">
        <f t="shared" ca="1" si="258"/>
        <v>5.2826371355583636E-2</v>
      </c>
      <c r="I273" s="8">
        <f t="shared" ca="1" si="258"/>
        <v>5.2227408927645685E-2</v>
      </c>
      <c r="J273" s="8">
        <f t="shared" ca="1" si="258"/>
        <v>5.2247222328140164E-2</v>
      </c>
      <c r="K273" s="8">
        <f t="shared" ca="1" si="258"/>
        <v>5.2209012099335421E-2</v>
      </c>
      <c r="L273" s="8">
        <f t="shared" ca="1" si="258"/>
        <v>5.4727289314689509E-2</v>
      </c>
      <c r="M273" s="8">
        <f t="shared" ca="1" si="258"/>
        <v>5.5773619762492663E-2</v>
      </c>
      <c r="N273" s="8">
        <f t="shared" ca="1" si="258"/>
        <v>5.6521469829558038E-2</v>
      </c>
      <c r="O273" s="8">
        <f t="shared" ca="1" si="258"/>
        <v>5.618742284500932E-2</v>
      </c>
    </row>
    <row r="274" spans="2:15">
      <c r="B274" s="3">
        <v>253</v>
      </c>
      <c r="C274" s="8">
        <f t="shared" si="198"/>
        <v>0.05</v>
      </c>
      <c r="D274" s="8">
        <f t="shared" ref="D274:O274" ca="1" si="259">C274+k*(theta-C274)*dt+vol*SQRT(dt*C274)*_xlfn.NORM.S.INV(RAND())</f>
        <v>5.2873329681428508E-2</v>
      </c>
      <c r="E274" s="8">
        <f t="shared" ca="1" si="259"/>
        <v>5.3579366789100205E-2</v>
      </c>
      <c r="F274" s="8">
        <f t="shared" ca="1" si="259"/>
        <v>5.2754311041345314E-2</v>
      </c>
      <c r="G274" s="8">
        <f t="shared" ca="1" si="259"/>
        <v>5.4980890215782841E-2</v>
      </c>
      <c r="H274" s="8">
        <f t="shared" ca="1" si="259"/>
        <v>5.393785528419625E-2</v>
      </c>
      <c r="I274" s="8">
        <f t="shared" ca="1" si="259"/>
        <v>5.2457056031038084E-2</v>
      </c>
      <c r="J274" s="8">
        <f t="shared" ca="1" si="259"/>
        <v>5.4101472629406344E-2</v>
      </c>
      <c r="K274" s="8">
        <f t="shared" ca="1" si="259"/>
        <v>5.5312800154706958E-2</v>
      </c>
      <c r="L274" s="8">
        <f t="shared" ca="1" si="259"/>
        <v>5.5750985196949911E-2</v>
      </c>
      <c r="M274" s="8">
        <f t="shared" ca="1" si="259"/>
        <v>5.5452516368509432E-2</v>
      </c>
      <c r="N274" s="8">
        <f t="shared" ca="1" si="259"/>
        <v>5.4993457888543609E-2</v>
      </c>
      <c r="O274" s="8">
        <f t="shared" ca="1" si="259"/>
        <v>5.4859631889859498E-2</v>
      </c>
    </row>
    <row r="275" spans="2:15">
      <c r="B275" s="3">
        <v>254</v>
      </c>
      <c r="C275" s="8">
        <f t="shared" si="198"/>
        <v>0.05</v>
      </c>
      <c r="D275" s="8">
        <f t="shared" ref="D275:O275" ca="1" si="260">C275+k*(theta-C275)*dt+vol*SQRT(dt*C275)*_xlfn.NORM.S.INV(RAND())</f>
        <v>5.3004388800895384E-2</v>
      </c>
      <c r="E275" s="8">
        <f t="shared" ca="1" si="260"/>
        <v>5.4387077617342516E-2</v>
      </c>
      <c r="F275" s="8">
        <f t="shared" ca="1" si="260"/>
        <v>5.6118599986716138E-2</v>
      </c>
      <c r="G275" s="8">
        <f t="shared" ca="1" si="260"/>
        <v>6.016587736480259E-2</v>
      </c>
      <c r="H275" s="8">
        <f t="shared" ca="1" si="260"/>
        <v>6.136510238199356E-2</v>
      </c>
      <c r="I275" s="8">
        <f t="shared" ca="1" si="260"/>
        <v>6.1175531862549655E-2</v>
      </c>
      <c r="J275" s="8">
        <f t="shared" ca="1" si="260"/>
        <v>6.2228931007031321E-2</v>
      </c>
      <c r="K275" s="8">
        <f t="shared" ca="1" si="260"/>
        <v>6.2115610713643681E-2</v>
      </c>
      <c r="L275" s="8">
        <f t="shared" ca="1" si="260"/>
        <v>6.2337046637624752E-2</v>
      </c>
      <c r="M275" s="8">
        <f t="shared" ca="1" si="260"/>
        <v>6.534749712603323E-2</v>
      </c>
      <c r="N275" s="8">
        <f t="shared" ca="1" si="260"/>
        <v>6.8257270563689881E-2</v>
      </c>
      <c r="O275" s="8">
        <f t="shared" ca="1" si="260"/>
        <v>6.8691274790469881E-2</v>
      </c>
    </row>
    <row r="276" spans="2:15">
      <c r="B276" s="3">
        <v>255</v>
      </c>
      <c r="C276" s="8">
        <f t="shared" si="198"/>
        <v>0.05</v>
      </c>
      <c r="D276" s="8">
        <f t="shared" ref="D276:O276" ca="1" si="261">C276+k*(theta-C276)*dt+vol*SQRT(dt*C276)*_xlfn.NORM.S.INV(RAND())</f>
        <v>5.093410461010861E-2</v>
      </c>
      <c r="E276" s="8">
        <f t="shared" ca="1" si="261"/>
        <v>5.2586515963662213E-2</v>
      </c>
      <c r="F276" s="8">
        <f t="shared" ca="1" si="261"/>
        <v>5.0583873158058332E-2</v>
      </c>
      <c r="G276" s="8">
        <f t="shared" ca="1" si="261"/>
        <v>5.2083623068427759E-2</v>
      </c>
      <c r="H276" s="8">
        <f t="shared" ca="1" si="261"/>
        <v>5.1521791556392263E-2</v>
      </c>
      <c r="I276" s="8">
        <f t="shared" ca="1" si="261"/>
        <v>5.317877280139318E-2</v>
      </c>
      <c r="J276" s="8">
        <f t="shared" ca="1" si="261"/>
        <v>5.6426998118609344E-2</v>
      </c>
      <c r="K276" s="8">
        <f t="shared" ca="1" si="261"/>
        <v>5.5291204185319839E-2</v>
      </c>
      <c r="L276" s="8">
        <f t="shared" ca="1" si="261"/>
        <v>5.6780276122972671E-2</v>
      </c>
      <c r="M276" s="8">
        <f t="shared" ca="1" si="261"/>
        <v>5.7353055333975785E-2</v>
      </c>
      <c r="N276" s="8">
        <f t="shared" ca="1" si="261"/>
        <v>5.8861908534948826E-2</v>
      </c>
      <c r="O276" s="8">
        <f t="shared" ca="1" si="261"/>
        <v>5.9062265683621301E-2</v>
      </c>
    </row>
    <row r="277" spans="2:15">
      <c r="B277" s="3">
        <v>256</v>
      </c>
      <c r="C277" s="8">
        <f t="shared" si="198"/>
        <v>0.05</v>
      </c>
      <c r="D277" s="8">
        <f t="shared" ref="D277:O277" ca="1" si="262">C277+k*(theta-C277)*dt+vol*SQRT(dt*C277)*_xlfn.NORM.S.INV(RAND())</f>
        <v>5.1875874527672963E-2</v>
      </c>
      <c r="E277" s="8">
        <f t="shared" ca="1" si="262"/>
        <v>5.4542279253475386E-2</v>
      </c>
      <c r="F277" s="8">
        <f t="shared" ca="1" si="262"/>
        <v>5.8321996096464622E-2</v>
      </c>
      <c r="G277" s="8">
        <f t="shared" ca="1" si="262"/>
        <v>5.9527352362948566E-2</v>
      </c>
      <c r="H277" s="8">
        <f t="shared" ca="1" si="262"/>
        <v>5.9208049946677312E-2</v>
      </c>
      <c r="I277" s="8">
        <f t="shared" ca="1" si="262"/>
        <v>6.1122137460350064E-2</v>
      </c>
      <c r="J277" s="8">
        <f t="shared" ca="1" si="262"/>
        <v>6.0636973715217694E-2</v>
      </c>
      <c r="K277" s="8">
        <f t="shared" ca="1" si="262"/>
        <v>6.1950425250297564E-2</v>
      </c>
      <c r="L277" s="8">
        <f t="shared" ca="1" si="262"/>
        <v>6.5310309869045929E-2</v>
      </c>
      <c r="M277" s="8">
        <f t="shared" ca="1" si="262"/>
        <v>6.5647227680773856E-2</v>
      </c>
      <c r="N277" s="8">
        <f t="shared" ca="1" si="262"/>
        <v>6.4895417514340914E-2</v>
      </c>
      <c r="O277" s="8">
        <f t="shared" ca="1" si="262"/>
        <v>6.797463928078791E-2</v>
      </c>
    </row>
    <row r="278" spans="2:15">
      <c r="B278" s="3">
        <v>257</v>
      </c>
      <c r="C278" s="8">
        <f t="shared" ref="C278:C341" si="263">r0</f>
        <v>0.05</v>
      </c>
      <c r="D278" s="8">
        <f t="shared" ref="D278:O278" ca="1" si="264">C278+k*(theta-C278)*dt+vol*SQRT(dt*C278)*_xlfn.NORM.S.INV(RAND())</f>
        <v>5.0409529673157163E-2</v>
      </c>
      <c r="E278" s="8">
        <f t="shared" ca="1" si="264"/>
        <v>4.9281347737402025E-2</v>
      </c>
      <c r="F278" s="8">
        <f t="shared" ca="1" si="264"/>
        <v>4.8162726855637404E-2</v>
      </c>
      <c r="G278" s="8">
        <f t="shared" ca="1" si="264"/>
        <v>5.1557642492618752E-2</v>
      </c>
      <c r="H278" s="8">
        <f t="shared" ca="1" si="264"/>
        <v>5.2703462011137035E-2</v>
      </c>
      <c r="I278" s="8">
        <f t="shared" ca="1" si="264"/>
        <v>5.3619416604835199E-2</v>
      </c>
      <c r="J278" s="8">
        <f t="shared" ca="1" si="264"/>
        <v>5.4340848138884998E-2</v>
      </c>
      <c r="K278" s="8">
        <f t="shared" ca="1" si="264"/>
        <v>5.6062033710994476E-2</v>
      </c>
      <c r="L278" s="8">
        <f t="shared" ca="1" si="264"/>
        <v>5.6105905659227712E-2</v>
      </c>
      <c r="M278" s="8">
        <f t="shared" ca="1" si="264"/>
        <v>5.7697295551380055E-2</v>
      </c>
      <c r="N278" s="8">
        <f t="shared" ca="1" si="264"/>
        <v>5.6571492411332212E-2</v>
      </c>
      <c r="O278" s="8">
        <f t="shared" ca="1" si="264"/>
        <v>5.4891592691053474E-2</v>
      </c>
    </row>
    <row r="279" spans="2:15">
      <c r="B279" s="3">
        <v>258</v>
      </c>
      <c r="C279" s="8">
        <f t="shared" si="263"/>
        <v>0.05</v>
      </c>
      <c r="D279" s="8">
        <f t="shared" ref="D279:O279" ca="1" si="265">C279+k*(theta-C279)*dt+vol*SQRT(dt*C279)*_xlfn.NORM.S.INV(RAND())</f>
        <v>5.0479593715870734E-2</v>
      </c>
      <c r="E279" s="8">
        <f t="shared" ca="1" si="265"/>
        <v>5.0878843638759989E-2</v>
      </c>
      <c r="F279" s="8">
        <f t="shared" ca="1" si="265"/>
        <v>5.2086012552576937E-2</v>
      </c>
      <c r="G279" s="8">
        <f t="shared" ca="1" si="265"/>
        <v>5.2857723043875607E-2</v>
      </c>
      <c r="H279" s="8">
        <f t="shared" ca="1" si="265"/>
        <v>5.5104931867895335E-2</v>
      </c>
      <c r="I279" s="8">
        <f t="shared" ca="1" si="265"/>
        <v>5.8971357998090064E-2</v>
      </c>
      <c r="J279" s="8">
        <f t="shared" ca="1" si="265"/>
        <v>5.9858195339153653E-2</v>
      </c>
      <c r="K279" s="8">
        <f t="shared" ca="1" si="265"/>
        <v>6.001323111097609E-2</v>
      </c>
      <c r="L279" s="8">
        <f t="shared" ca="1" si="265"/>
        <v>5.9936903226177708E-2</v>
      </c>
      <c r="M279" s="8">
        <f t="shared" ca="1" si="265"/>
        <v>5.8122069501901033E-2</v>
      </c>
      <c r="N279" s="8">
        <f t="shared" ca="1" si="265"/>
        <v>5.7268453605990671E-2</v>
      </c>
      <c r="O279" s="8">
        <f t="shared" ca="1" si="265"/>
        <v>5.693907918273293E-2</v>
      </c>
    </row>
    <row r="280" spans="2:15">
      <c r="B280" s="3">
        <v>259</v>
      </c>
      <c r="C280" s="8">
        <f t="shared" si="263"/>
        <v>0.05</v>
      </c>
      <c r="D280" s="8">
        <f t="shared" ref="D280:O280" ca="1" si="266">C280+k*(theta-C280)*dt+vol*SQRT(dt*C280)*_xlfn.NORM.S.INV(RAND())</f>
        <v>4.9907749784337672E-2</v>
      </c>
      <c r="E280" s="8">
        <f t="shared" ca="1" si="266"/>
        <v>5.1270703832641942E-2</v>
      </c>
      <c r="F280" s="8">
        <f t="shared" ca="1" si="266"/>
        <v>5.1834496717279313E-2</v>
      </c>
      <c r="G280" s="8">
        <f t="shared" ca="1" si="266"/>
        <v>5.3074563098919787E-2</v>
      </c>
      <c r="H280" s="8">
        <f t="shared" ca="1" si="266"/>
        <v>5.3733401051949306E-2</v>
      </c>
      <c r="I280" s="8">
        <f t="shared" ca="1" si="266"/>
        <v>5.5790557399264883E-2</v>
      </c>
      <c r="J280" s="8">
        <f t="shared" ca="1" si="266"/>
        <v>5.5865480887930224E-2</v>
      </c>
      <c r="K280" s="8">
        <f t="shared" ca="1" si="266"/>
        <v>5.6963972894463172E-2</v>
      </c>
      <c r="L280" s="8">
        <f t="shared" ca="1" si="266"/>
        <v>5.8209829270931074E-2</v>
      </c>
      <c r="M280" s="8">
        <f t="shared" ca="1" si="266"/>
        <v>5.7331876887152931E-2</v>
      </c>
      <c r="N280" s="8">
        <f t="shared" ca="1" si="266"/>
        <v>5.7319026765518657E-2</v>
      </c>
      <c r="O280" s="8">
        <f t="shared" ca="1" si="266"/>
        <v>6.0837624214836655E-2</v>
      </c>
    </row>
    <row r="281" spans="2:15">
      <c r="B281" s="3">
        <v>260</v>
      </c>
      <c r="C281" s="8">
        <f t="shared" si="263"/>
        <v>0.05</v>
      </c>
      <c r="D281" s="8">
        <f t="shared" ref="D281:O281" ca="1" si="267">C281+k*(theta-C281)*dt+vol*SQRT(dt*C281)*_xlfn.NORM.S.INV(RAND())</f>
        <v>5.0698397868544583E-2</v>
      </c>
      <c r="E281" s="8">
        <f t="shared" ca="1" si="267"/>
        <v>5.456523414444947E-2</v>
      </c>
      <c r="F281" s="8">
        <f t="shared" ca="1" si="267"/>
        <v>5.8274206525404271E-2</v>
      </c>
      <c r="G281" s="8">
        <f t="shared" ca="1" si="267"/>
        <v>5.793244045755104E-2</v>
      </c>
      <c r="H281" s="8">
        <f t="shared" ca="1" si="267"/>
        <v>5.6932582422948796E-2</v>
      </c>
      <c r="I281" s="8">
        <f t="shared" ca="1" si="267"/>
        <v>5.4988294290087648E-2</v>
      </c>
      <c r="J281" s="8">
        <f t="shared" ca="1" si="267"/>
        <v>5.6610454520527376E-2</v>
      </c>
      <c r="K281" s="8">
        <f t="shared" ca="1" si="267"/>
        <v>5.8240897559017651E-2</v>
      </c>
      <c r="L281" s="8">
        <f t="shared" ca="1" si="267"/>
        <v>5.9116985495758015E-2</v>
      </c>
      <c r="M281" s="8">
        <f t="shared" ca="1" si="267"/>
        <v>5.7959550434805093E-2</v>
      </c>
      <c r="N281" s="8">
        <f t="shared" ca="1" si="267"/>
        <v>5.9956521624606351E-2</v>
      </c>
      <c r="O281" s="8">
        <f t="shared" ca="1" si="267"/>
        <v>6.2314025090196894E-2</v>
      </c>
    </row>
    <row r="282" spans="2:15">
      <c r="B282" s="3">
        <v>261</v>
      </c>
      <c r="C282" s="8">
        <f t="shared" si="263"/>
        <v>0.05</v>
      </c>
      <c r="D282" s="8">
        <f t="shared" ref="D282:O282" ca="1" si="268">C282+k*(theta-C282)*dt+vol*SQRT(dt*C282)*_xlfn.NORM.S.INV(RAND())</f>
        <v>5.0696007368006293E-2</v>
      </c>
      <c r="E282" s="8">
        <f t="shared" ca="1" si="268"/>
        <v>5.2920885015409716E-2</v>
      </c>
      <c r="F282" s="8">
        <f t="shared" ca="1" si="268"/>
        <v>5.3564468477816915E-2</v>
      </c>
      <c r="G282" s="8">
        <f t="shared" ca="1" si="268"/>
        <v>5.3455055141121317E-2</v>
      </c>
      <c r="H282" s="8">
        <f t="shared" ca="1" si="268"/>
        <v>5.3596029874514117E-2</v>
      </c>
      <c r="I282" s="8">
        <f t="shared" ca="1" si="268"/>
        <v>5.2998187115981803E-2</v>
      </c>
      <c r="J282" s="8">
        <f t="shared" ca="1" si="268"/>
        <v>5.5136716236781728E-2</v>
      </c>
      <c r="K282" s="8">
        <f t="shared" ca="1" si="268"/>
        <v>5.6081803094915006E-2</v>
      </c>
      <c r="L282" s="8">
        <f t="shared" ca="1" si="268"/>
        <v>5.6198820034958241E-2</v>
      </c>
      <c r="M282" s="8">
        <f t="shared" ca="1" si="268"/>
        <v>5.6569260015620876E-2</v>
      </c>
      <c r="N282" s="8">
        <f t="shared" ca="1" si="268"/>
        <v>5.8084178682982587E-2</v>
      </c>
      <c r="O282" s="8">
        <f t="shared" ca="1" si="268"/>
        <v>5.9963059485587215E-2</v>
      </c>
    </row>
    <row r="283" spans="2:15">
      <c r="B283" s="3">
        <v>262</v>
      </c>
      <c r="C283" s="8">
        <f t="shared" si="263"/>
        <v>0.05</v>
      </c>
      <c r="D283" s="8">
        <f t="shared" ref="D283:O283" ca="1" si="269">C283+k*(theta-C283)*dt+vol*SQRT(dt*C283)*_xlfn.NORM.S.INV(RAND())</f>
        <v>5.0240328523364526E-2</v>
      </c>
      <c r="E283" s="8">
        <f t="shared" ca="1" si="269"/>
        <v>5.0759632283324765E-2</v>
      </c>
      <c r="F283" s="8">
        <f t="shared" ca="1" si="269"/>
        <v>4.9549492907466533E-2</v>
      </c>
      <c r="G283" s="8">
        <f t="shared" ca="1" si="269"/>
        <v>4.9348891766919901E-2</v>
      </c>
      <c r="H283" s="8">
        <f t="shared" ca="1" si="269"/>
        <v>5.1137822693789838E-2</v>
      </c>
      <c r="I283" s="8">
        <f t="shared" ca="1" si="269"/>
        <v>5.102527490019234E-2</v>
      </c>
      <c r="J283" s="8">
        <f t="shared" ca="1" si="269"/>
        <v>5.4489461985498325E-2</v>
      </c>
      <c r="K283" s="8">
        <f t="shared" ca="1" si="269"/>
        <v>5.4903926631822079E-2</v>
      </c>
      <c r="L283" s="8">
        <f t="shared" ca="1" si="269"/>
        <v>5.8025155637171644E-2</v>
      </c>
      <c r="M283" s="8">
        <f t="shared" ca="1" si="269"/>
        <v>6.0347749486099278E-2</v>
      </c>
      <c r="N283" s="8">
        <f t="shared" ca="1" si="269"/>
        <v>5.9633753968463099E-2</v>
      </c>
      <c r="O283" s="8">
        <f t="shared" ca="1" si="269"/>
        <v>6.2525788659385115E-2</v>
      </c>
    </row>
    <row r="284" spans="2:15">
      <c r="B284" s="3">
        <v>263</v>
      </c>
      <c r="C284" s="8">
        <f t="shared" si="263"/>
        <v>0.05</v>
      </c>
      <c r="D284" s="8">
        <f t="shared" ref="D284:O284" ca="1" si="270">C284+k*(theta-C284)*dt+vol*SQRT(dt*C284)*_xlfn.NORM.S.INV(RAND())</f>
        <v>5.1038178232672329E-2</v>
      </c>
      <c r="E284" s="8">
        <f t="shared" ca="1" si="270"/>
        <v>5.1255041237902886E-2</v>
      </c>
      <c r="F284" s="8">
        <f t="shared" ca="1" si="270"/>
        <v>5.1509280437167522E-2</v>
      </c>
      <c r="G284" s="8">
        <f t="shared" ca="1" si="270"/>
        <v>5.006985194311124E-2</v>
      </c>
      <c r="H284" s="8">
        <f t="shared" ca="1" si="270"/>
        <v>5.0211884285980869E-2</v>
      </c>
      <c r="I284" s="8">
        <f t="shared" ca="1" si="270"/>
        <v>5.2081411804572722E-2</v>
      </c>
      <c r="J284" s="8">
        <f t="shared" ca="1" si="270"/>
        <v>5.4719681535840219E-2</v>
      </c>
      <c r="K284" s="8">
        <f t="shared" ca="1" si="270"/>
        <v>5.3641131932002803E-2</v>
      </c>
      <c r="L284" s="8">
        <f t="shared" ca="1" si="270"/>
        <v>5.297964375237222E-2</v>
      </c>
      <c r="M284" s="8">
        <f t="shared" ca="1" si="270"/>
        <v>5.2788950072637092E-2</v>
      </c>
      <c r="N284" s="8">
        <f t="shared" ca="1" si="270"/>
        <v>5.4530846853080427E-2</v>
      </c>
      <c r="O284" s="8">
        <f t="shared" ca="1" si="270"/>
        <v>5.5064701658475913E-2</v>
      </c>
    </row>
    <row r="285" spans="2:15">
      <c r="B285" s="3">
        <v>264</v>
      </c>
      <c r="C285" s="8">
        <f t="shared" si="263"/>
        <v>0.05</v>
      </c>
      <c r="D285" s="8">
        <f t="shared" ref="D285:O285" ca="1" si="271">C285+k*(theta-C285)*dt+vol*SQRT(dt*C285)*_xlfn.NORM.S.INV(RAND())</f>
        <v>5.1390369100401331E-2</v>
      </c>
      <c r="E285" s="8">
        <f t="shared" ca="1" si="271"/>
        <v>5.5149574951076183E-2</v>
      </c>
      <c r="F285" s="8">
        <f t="shared" ca="1" si="271"/>
        <v>5.3517172932647954E-2</v>
      </c>
      <c r="G285" s="8">
        <f t="shared" ca="1" si="271"/>
        <v>5.4941700706032368E-2</v>
      </c>
      <c r="H285" s="8">
        <f t="shared" ca="1" si="271"/>
        <v>5.5933430458752188E-2</v>
      </c>
      <c r="I285" s="8">
        <f t="shared" ca="1" si="271"/>
        <v>6.0066954736153234E-2</v>
      </c>
      <c r="J285" s="8">
        <f t="shared" ca="1" si="271"/>
        <v>5.8208521154759441E-2</v>
      </c>
      <c r="K285" s="8">
        <f t="shared" ca="1" si="271"/>
        <v>6.0453540752233664E-2</v>
      </c>
      <c r="L285" s="8">
        <f t="shared" ca="1" si="271"/>
        <v>6.0605325161192644E-2</v>
      </c>
      <c r="M285" s="8">
        <f t="shared" ca="1" si="271"/>
        <v>6.3153227170729812E-2</v>
      </c>
      <c r="N285" s="8">
        <f t="shared" ca="1" si="271"/>
        <v>6.3900711310416455E-2</v>
      </c>
      <c r="O285" s="8">
        <f t="shared" ca="1" si="271"/>
        <v>6.3487247288961476E-2</v>
      </c>
    </row>
    <row r="286" spans="2:15">
      <c r="B286" s="3">
        <v>265</v>
      </c>
      <c r="C286" s="8">
        <f t="shared" si="263"/>
        <v>0.05</v>
      </c>
      <c r="D286" s="8">
        <f t="shared" ref="D286:O286" ca="1" si="272">C286+k*(theta-C286)*dt+vol*SQRT(dt*C286)*_xlfn.NORM.S.INV(RAND())</f>
        <v>5.0130389425557469E-2</v>
      </c>
      <c r="E286" s="8">
        <f t="shared" ca="1" si="272"/>
        <v>4.9511850638841275E-2</v>
      </c>
      <c r="F286" s="8">
        <f t="shared" ca="1" si="272"/>
        <v>4.9978325004650798E-2</v>
      </c>
      <c r="G286" s="8">
        <f t="shared" ca="1" si="272"/>
        <v>5.1333706190736683E-2</v>
      </c>
      <c r="H286" s="8">
        <f t="shared" ca="1" si="272"/>
        <v>5.2793890586446519E-2</v>
      </c>
      <c r="I286" s="8">
        <f t="shared" ca="1" si="272"/>
        <v>5.3233660758284666E-2</v>
      </c>
      <c r="J286" s="8">
        <f t="shared" ca="1" si="272"/>
        <v>5.5307326635240232E-2</v>
      </c>
      <c r="K286" s="8">
        <f t="shared" ca="1" si="272"/>
        <v>5.8126551335332122E-2</v>
      </c>
      <c r="L286" s="8">
        <f t="shared" ca="1" si="272"/>
        <v>5.926112852271738E-2</v>
      </c>
      <c r="M286" s="8">
        <f t="shared" ca="1" si="272"/>
        <v>6.145760014762483E-2</v>
      </c>
      <c r="N286" s="8">
        <f t="shared" ca="1" si="272"/>
        <v>6.2562437076879696E-2</v>
      </c>
      <c r="O286" s="8">
        <f t="shared" ca="1" si="272"/>
        <v>6.3020653400152282E-2</v>
      </c>
    </row>
    <row r="287" spans="2:15">
      <c r="B287" s="3">
        <v>266</v>
      </c>
      <c r="C287" s="8">
        <f t="shared" si="263"/>
        <v>0.05</v>
      </c>
      <c r="D287" s="8">
        <f t="shared" ref="D287:O287" ca="1" si="273">C287+k*(theta-C287)*dt+vol*SQRT(dt*C287)*_xlfn.NORM.S.INV(RAND())</f>
        <v>5.1677368086846247E-2</v>
      </c>
      <c r="E287" s="8">
        <f t="shared" ca="1" si="273"/>
        <v>5.1969937052716554E-2</v>
      </c>
      <c r="F287" s="8">
        <f t="shared" ca="1" si="273"/>
        <v>4.9376771359856353E-2</v>
      </c>
      <c r="G287" s="8">
        <f t="shared" ca="1" si="273"/>
        <v>5.0741126700172778E-2</v>
      </c>
      <c r="H287" s="8">
        <f t="shared" ca="1" si="273"/>
        <v>5.0878804560941959E-2</v>
      </c>
      <c r="I287" s="8">
        <f t="shared" ca="1" si="273"/>
        <v>5.0690988307361913E-2</v>
      </c>
      <c r="J287" s="8">
        <f t="shared" ca="1" si="273"/>
        <v>5.1229999501792134E-2</v>
      </c>
      <c r="K287" s="8">
        <f t="shared" ca="1" si="273"/>
        <v>5.2182592158151839E-2</v>
      </c>
      <c r="L287" s="8">
        <f t="shared" ca="1" si="273"/>
        <v>5.3530990495282725E-2</v>
      </c>
      <c r="M287" s="8">
        <f t="shared" ca="1" si="273"/>
        <v>5.5210899960499889E-2</v>
      </c>
      <c r="N287" s="8">
        <f t="shared" ca="1" si="273"/>
        <v>5.7223279958257121E-2</v>
      </c>
      <c r="O287" s="8">
        <f t="shared" ca="1" si="273"/>
        <v>6.0578232173606382E-2</v>
      </c>
    </row>
    <row r="288" spans="2:15">
      <c r="B288" s="3">
        <v>267</v>
      </c>
      <c r="C288" s="8">
        <f t="shared" si="263"/>
        <v>0.05</v>
      </c>
      <c r="D288" s="8">
        <f t="shared" ref="D288:O288" ca="1" si="274">C288+k*(theta-C288)*dt+vol*SQRT(dt*C288)*_xlfn.NORM.S.INV(RAND())</f>
        <v>4.9576106429729795E-2</v>
      </c>
      <c r="E288" s="8">
        <f t="shared" ca="1" si="274"/>
        <v>5.1158922286384016E-2</v>
      </c>
      <c r="F288" s="8">
        <f t="shared" ca="1" si="274"/>
        <v>5.0818479134839944E-2</v>
      </c>
      <c r="G288" s="8">
        <f t="shared" ca="1" si="274"/>
        <v>5.1361318266768083E-2</v>
      </c>
      <c r="H288" s="8">
        <f t="shared" ca="1" si="274"/>
        <v>5.3374663802415193E-2</v>
      </c>
      <c r="I288" s="8">
        <f t="shared" ca="1" si="274"/>
        <v>5.3491793173117932E-2</v>
      </c>
      <c r="J288" s="8">
        <f t="shared" ca="1" si="274"/>
        <v>5.3141289345869938E-2</v>
      </c>
      <c r="K288" s="8">
        <f t="shared" ca="1" si="274"/>
        <v>5.3525460381751142E-2</v>
      </c>
      <c r="L288" s="8">
        <f t="shared" ca="1" si="274"/>
        <v>5.4344915247188839E-2</v>
      </c>
      <c r="M288" s="8">
        <f t="shared" ca="1" si="274"/>
        <v>5.538812227913522E-2</v>
      </c>
      <c r="N288" s="8">
        <f t="shared" ca="1" si="274"/>
        <v>5.6254563910574241E-2</v>
      </c>
      <c r="O288" s="8">
        <f t="shared" ca="1" si="274"/>
        <v>5.7570330074941382E-2</v>
      </c>
    </row>
    <row r="289" spans="2:15">
      <c r="B289" s="3">
        <v>268</v>
      </c>
      <c r="C289" s="8">
        <f t="shared" si="263"/>
        <v>0.05</v>
      </c>
      <c r="D289" s="8">
        <f t="shared" ref="D289:O289" ca="1" si="275">C289+k*(theta-C289)*dt+vol*SQRT(dt*C289)*_xlfn.NORM.S.INV(RAND())</f>
        <v>5.3919475746531331E-2</v>
      </c>
      <c r="E289" s="8">
        <f t="shared" ca="1" si="275"/>
        <v>5.6246010094559651E-2</v>
      </c>
      <c r="F289" s="8">
        <f t="shared" ca="1" si="275"/>
        <v>5.9196013010832549E-2</v>
      </c>
      <c r="G289" s="8">
        <f t="shared" ca="1" si="275"/>
        <v>6.2294652986688633E-2</v>
      </c>
      <c r="H289" s="8">
        <f t="shared" ca="1" si="275"/>
        <v>6.3471358041261236E-2</v>
      </c>
      <c r="I289" s="8">
        <f t="shared" ca="1" si="275"/>
        <v>6.4646493472416494E-2</v>
      </c>
      <c r="J289" s="8">
        <f t="shared" ca="1" si="275"/>
        <v>6.5642777473853123E-2</v>
      </c>
      <c r="K289" s="8">
        <f t="shared" ca="1" si="275"/>
        <v>6.6207167387464586E-2</v>
      </c>
      <c r="L289" s="8">
        <f t="shared" ca="1" si="275"/>
        <v>6.5817833191661207E-2</v>
      </c>
      <c r="M289" s="8">
        <f t="shared" ca="1" si="275"/>
        <v>6.7552064329168007E-2</v>
      </c>
      <c r="N289" s="8">
        <f t="shared" ca="1" si="275"/>
        <v>6.6021739023793047E-2</v>
      </c>
      <c r="O289" s="8">
        <f t="shared" ca="1" si="275"/>
        <v>6.8465818741201306E-2</v>
      </c>
    </row>
    <row r="290" spans="2:15">
      <c r="B290" s="3">
        <v>269</v>
      </c>
      <c r="C290" s="8">
        <f t="shared" si="263"/>
        <v>0.05</v>
      </c>
      <c r="D290" s="8">
        <f t="shared" ref="D290:O290" ca="1" si="276">C290+k*(theta-C290)*dt+vol*SQRT(dt*C290)*_xlfn.NORM.S.INV(RAND())</f>
        <v>4.9646655745360174E-2</v>
      </c>
      <c r="E290" s="8">
        <f t="shared" ca="1" si="276"/>
        <v>5.0871660210721779E-2</v>
      </c>
      <c r="F290" s="8">
        <f t="shared" ca="1" si="276"/>
        <v>5.1357338798041448E-2</v>
      </c>
      <c r="G290" s="8">
        <f t="shared" ca="1" si="276"/>
        <v>5.2436453628146959E-2</v>
      </c>
      <c r="H290" s="8">
        <f t="shared" ca="1" si="276"/>
        <v>5.3969509911558522E-2</v>
      </c>
      <c r="I290" s="8">
        <f t="shared" ca="1" si="276"/>
        <v>5.3825115672311859E-2</v>
      </c>
      <c r="J290" s="8">
        <f t="shared" ca="1" si="276"/>
        <v>5.4079329714674051E-2</v>
      </c>
      <c r="K290" s="8">
        <f t="shared" ca="1" si="276"/>
        <v>5.7300654339541963E-2</v>
      </c>
      <c r="L290" s="8">
        <f t="shared" ca="1" si="276"/>
        <v>6.0230847074265556E-2</v>
      </c>
      <c r="M290" s="8">
        <f t="shared" ca="1" si="276"/>
        <v>6.3165784258931976E-2</v>
      </c>
      <c r="N290" s="8">
        <f t="shared" ca="1" si="276"/>
        <v>6.3556531595055893E-2</v>
      </c>
      <c r="O290" s="8">
        <f t="shared" ca="1" si="276"/>
        <v>6.5573922110605809E-2</v>
      </c>
    </row>
    <row r="291" spans="2:15">
      <c r="B291" s="3">
        <v>270</v>
      </c>
      <c r="C291" s="8">
        <f t="shared" si="263"/>
        <v>0.05</v>
      </c>
      <c r="D291" s="8">
        <f t="shared" ref="D291:O291" ca="1" si="277">C291+k*(theta-C291)*dt+vol*SQRT(dt*C291)*_xlfn.NORM.S.INV(RAND())</f>
        <v>5.2687444825305824E-2</v>
      </c>
      <c r="E291" s="8">
        <f t="shared" ca="1" si="277"/>
        <v>5.3618297830017619E-2</v>
      </c>
      <c r="F291" s="8">
        <f t="shared" ca="1" si="277"/>
        <v>5.4689321484624E-2</v>
      </c>
      <c r="G291" s="8">
        <f t="shared" ca="1" si="277"/>
        <v>5.7000272006742639E-2</v>
      </c>
      <c r="H291" s="8">
        <f t="shared" ca="1" si="277"/>
        <v>5.7007173385924398E-2</v>
      </c>
      <c r="I291" s="8">
        <f t="shared" ca="1" si="277"/>
        <v>5.7023006651615631E-2</v>
      </c>
      <c r="J291" s="8">
        <f t="shared" ca="1" si="277"/>
        <v>5.7761576374641757E-2</v>
      </c>
      <c r="K291" s="8">
        <f t="shared" ca="1" si="277"/>
        <v>5.6008766196347239E-2</v>
      </c>
      <c r="L291" s="8">
        <f t="shared" ca="1" si="277"/>
        <v>5.7655415647271328E-2</v>
      </c>
      <c r="M291" s="8">
        <f t="shared" ca="1" si="277"/>
        <v>5.68767146681994E-2</v>
      </c>
      <c r="N291" s="8">
        <f t="shared" ca="1" si="277"/>
        <v>5.8660863816836523E-2</v>
      </c>
      <c r="O291" s="8">
        <f t="shared" ca="1" si="277"/>
        <v>6.0684779883946653E-2</v>
      </c>
    </row>
    <row r="292" spans="2:15">
      <c r="B292" s="3">
        <v>271</v>
      </c>
      <c r="C292" s="8">
        <f t="shared" si="263"/>
        <v>0.05</v>
      </c>
      <c r="D292" s="8">
        <f t="shared" ref="D292:O292" ca="1" si="278">C292+k*(theta-C292)*dt+vol*SQRT(dt*C292)*_xlfn.NORM.S.INV(RAND())</f>
        <v>5.205920726624156E-2</v>
      </c>
      <c r="E292" s="8">
        <f t="shared" ca="1" si="278"/>
        <v>5.1958209443047423E-2</v>
      </c>
      <c r="F292" s="8">
        <f t="shared" ca="1" si="278"/>
        <v>5.3987349665024054E-2</v>
      </c>
      <c r="G292" s="8">
        <f t="shared" ca="1" si="278"/>
        <v>5.5782788294726916E-2</v>
      </c>
      <c r="H292" s="8">
        <f t="shared" ca="1" si="278"/>
        <v>5.5322529352749082E-2</v>
      </c>
      <c r="I292" s="8">
        <f t="shared" ca="1" si="278"/>
        <v>5.7761198583595838E-2</v>
      </c>
      <c r="J292" s="8">
        <f t="shared" ca="1" si="278"/>
        <v>5.7544158155122302E-2</v>
      </c>
      <c r="K292" s="8">
        <f t="shared" ca="1" si="278"/>
        <v>5.9868303614400396E-2</v>
      </c>
      <c r="L292" s="8">
        <f t="shared" ca="1" si="278"/>
        <v>5.9032849964998378E-2</v>
      </c>
      <c r="M292" s="8">
        <f t="shared" ca="1" si="278"/>
        <v>6.3972338662156625E-2</v>
      </c>
      <c r="N292" s="8">
        <f t="shared" ca="1" si="278"/>
        <v>6.6737771429790399E-2</v>
      </c>
      <c r="O292" s="8">
        <f t="shared" ca="1" si="278"/>
        <v>6.6724586313290743E-2</v>
      </c>
    </row>
    <row r="293" spans="2:15">
      <c r="B293" s="3">
        <v>272</v>
      </c>
      <c r="C293" s="8">
        <f t="shared" si="263"/>
        <v>0.05</v>
      </c>
      <c r="D293" s="8">
        <f t="shared" ref="D293:O293" ca="1" si="279">C293+k*(theta-C293)*dt+vol*SQRT(dt*C293)*_xlfn.NORM.S.INV(RAND())</f>
        <v>4.8913544855805173E-2</v>
      </c>
      <c r="E293" s="8">
        <f t="shared" ca="1" si="279"/>
        <v>5.0521947033410321E-2</v>
      </c>
      <c r="F293" s="8">
        <f t="shared" ca="1" si="279"/>
        <v>5.2252752326678642E-2</v>
      </c>
      <c r="G293" s="8">
        <f t="shared" ca="1" si="279"/>
        <v>5.4137298611810027E-2</v>
      </c>
      <c r="H293" s="8">
        <f t="shared" ca="1" si="279"/>
        <v>5.4651292784498276E-2</v>
      </c>
      <c r="I293" s="8">
        <f t="shared" ca="1" si="279"/>
        <v>5.5758548495133411E-2</v>
      </c>
      <c r="J293" s="8">
        <f t="shared" ca="1" si="279"/>
        <v>5.7759372260887315E-2</v>
      </c>
      <c r="K293" s="8">
        <f t="shared" ca="1" si="279"/>
        <v>5.7109950241603966E-2</v>
      </c>
      <c r="L293" s="8">
        <f t="shared" ca="1" si="279"/>
        <v>5.7050675663290709E-2</v>
      </c>
      <c r="M293" s="8">
        <f t="shared" ca="1" si="279"/>
        <v>6.0137958393081538E-2</v>
      </c>
      <c r="N293" s="8">
        <f t="shared" ca="1" si="279"/>
        <v>6.1899843843790707E-2</v>
      </c>
      <c r="O293" s="8">
        <f t="shared" ca="1" si="279"/>
        <v>6.246470465129076E-2</v>
      </c>
    </row>
    <row r="294" spans="2:15">
      <c r="B294" s="3">
        <v>273</v>
      </c>
      <c r="C294" s="8">
        <f t="shared" si="263"/>
        <v>0.05</v>
      </c>
      <c r="D294" s="8">
        <f t="shared" ref="D294:O294" ca="1" si="280">C294+k*(theta-C294)*dt+vol*SQRT(dt*C294)*_xlfn.NORM.S.INV(RAND())</f>
        <v>5.2095288011262175E-2</v>
      </c>
      <c r="E294" s="8">
        <f t="shared" ca="1" si="280"/>
        <v>5.6007866688316817E-2</v>
      </c>
      <c r="F294" s="8">
        <f t="shared" ca="1" si="280"/>
        <v>5.7498457041300653E-2</v>
      </c>
      <c r="G294" s="8">
        <f t="shared" ca="1" si="280"/>
        <v>5.9150084410444607E-2</v>
      </c>
      <c r="H294" s="8">
        <f t="shared" ca="1" si="280"/>
        <v>5.8217631818937257E-2</v>
      </c>
      <c r="I294" s="8">
        <f t="shared" ca="1" si="280"/>
        <v>5.7754316973564541E-2</v>
      </c>
      <c r="J294" s="8">
        <f t="shared" ca="1" si="280"/>
        <v>5.8961310366144271E-2</v>
      </c>
      <c r="K294" s="8">
        <f t="shared" ca="1" si="280"/>
        <v>6.0677144064345045E-2</v>
      </c>
      <c r="L294" s="8">
        <f t="shared" ca="1" si="280"/>
        <v>6.0115426885279044E-2</v>
      </c>
      <c r="M294" s="8">
        <f t="shared" ca="1" si="280"/>
        <v>6.343602075117287E-2</v>
      </c>
      <c r="N294" s="8">
        <f t="shared" ca="1" si="280"/>
        <v>6.3241813917961492E-2</v>
      </c>
      <c r="O294" s="8">
        <f t="shared" ca="1" si="280"/>
        <v>6.3866792286013926E-2</v>
      </c>
    </row>
    <row r="295" spans="2:15">
      <c r="B295" s="3">
        <v>274</v>
      </c>
      <c r="C295" s="8">
        <f t="shared" si="263"/>
        <v>0.05</v>
      </c>
      <c r="D295" s="8">
        <f t="shared" ref="D295:O295" ca="1" si="281">C295+k*(theta-C295)*dt+vol*SQRT(dt*C295)*_xlfn.NORM.S.INV(RAND())</f>
        <v>5.2340264122334931E-2</v>
      </c>
      <c r="E295" s="8">
        <f t="shared" ca="1" si="281"/>
        <v>5.2886677906116536E-2</v>
      </c>
      <c r="F295" s="8">
        <f t="shared" ca="1" si="281"/>
        <v>5.3235615003668142E-2</v>
      </c>
      <c r="G295" s="8">
        <f t="shared" ca="1" si="281"/>
        <v>5.2408930849087862E-2</v>
      </c>
      <c r="H295" s="8">
        <f t="shared" ca="1" si="281"/>
        <v>5.2901595413285221E-2</v>
      </c>
      <c r="I295" s="8">
        <f t="shared" ca="1" si="281"/>
        <v>5.3462383862238082E-2</v>
      </c>
      <c r="J295" s="8">
        <f t="shared" ca="1" si="281"/>
        <v>5.4911809008250219E-2</v>
      </c>
      <c r="K295" s="8">
        <f t="shared" ca="1" si="281"/>
        <v>5.6682800859796829E-2</v>
      </c>
      <c r="L295" s="8">
        <f t="shared" ca="1" si="281"/>
        <v>5.6129998077197978E-2</v>
      </c>
      <c r="M295" s="8">
        <f t="shared" ca="1" si="281"/>
        <v>5.7081424493148188E-2</v>
      </c>
      <c r="N295" s="8">
        <f t="shared" ca="1" si="281"/>
        <v>5.9043161479119984E-2</v>
      </c>
      <c r="O295" s="8">
        <f t="shared" ca="1" si="281"/>
        <v>6.0197827831932282E-2</v>
      </c>
    </row>
    <row r="296" spans="2:15">
      <c r="B296" s="3">
        <v>275</v>
      </c>
      <c r="C296" s="8">
        <f t="shared" si="263"/>
        <v>0.05</v>
      </c>
      <c r="D296" s="8">
        <f t="shared" ref="D296:O296" ca="1" si="282">C296+k*(theta-C296)*dt+vol*SQRT(dt*C296)*_xlfn.NORM.S.INV(RAND())</f>
        <v>5.2217989745757663E-2</v>
      </c>
      <c r="E296" s="8">
        <f t="shared" ca="1" si="282"/>
        <v>5.1907628679887387E-2</v>
      </c>
      <c r="F296" s="8">
        <f t="shared" ca="1" si="282"/>
        <v>5.3353596011308006E-2</v>
      </c>
      <c r="G296" s="8">
        <f t="shared" ca="1" si="282"/>
        <v>5.4011207304993647E-2</v>
      </c>
      <c r="H296" s="8">
        <f t="shared" ca="1" si="282"/>
        <v>5.4158603940676453E-2</v>
      </c>
      <c r="I296" s="8">
        <f t="shared" ca="1" si="282"/>
        <v>5.597488995081399E-2</v>
      </c>
      <c r="J296" s="8">
        <f t="shared" ca="1" si="282"/>
        <v>5.6927792404386203E-2</v>
      </c>
      <c r="K296" s="8">
        <f t="shared" ca="1" si="282"/>
        <v>5.8090386865022173E-2</v>
      </c>
      <c r="L296" s="8">
        <f t="shared" ca="1" si="282"/>
        <v>5.9244708162455924E-2</v>
      </c>
      <c r="M296" s="8">
        <f t="shared" ca="1" si="282"/>
        <v>5.7927751252000947E-2</v>
      </c>
      <c r="N296" s="8">
        <f t="shared" ca="1" si="282"/>
        <v>5.9510226072611153E-2</v>
      </c>
      <c r="O296" s="8">
        <f t="shared" ca="1" si="282"/>
        <v>5.9690031675185863E-2</v>
      </c>
    </row>
    <row r="297" spans="2:15">
      <c r="B297" s="3">
        <v>276</v>
      </c>
      <c r="C297" s="8">
        <f t="shared" si="263"/>
        <v>0.05</v>
      </c>
      <c r="D297" s="8">
        <f t="shared" ref="D297:O297" ca="1" si="283">C297+k*(theta-C297)*dt+vol*SQRT(dt*C297)*_xlfn.NORM.S.INV(RAND())</f>
        <v>5.070823452678791E-2</v>
      </c>
      <c r="E297" s="8">
        <f t="shared" ca="1" si="283"/>
        <v>5.2528181893563619E-2</v>
      </c>
      <c r="F297" s="8">
        <f t="shared" ca="1" si="283"/>
        <v>5.2911807259764937E-2</v>
      </c>
      <c r="G297" s="8">
        <f t="shared" ca="1" si="283"/>
        <v>5.1626893656043379E-2</v>
      </c>
      <c r="H297" s="8">
        <f t="shared" ca="1" si="283"/>
        <v>5.3107256722460798E-2</v>
      </c>
      <c r="I297" s="8">
        <f t="shared" ca="1" si="283"/>
        <v>5.4318794396364979E-2</v>
      </c>
      <c r="J297" s="8">
        <f t="shared" ca="1" si="283"/>
        <v>5.6742570947993648E-2</v>
      </c>
      <c r="K297" s="8">
        <f t="shared" ca="1" si="283"/>
        <v>5.6978486442772681E-2</v>
      </c>
      <c r="L297" s="8">
        <f t="shared" ca="1" si="283"/>
        <v>5.8033764282409743E-2</v>
      </c>
      <c r="M297" s="8">
        <f t="shared" ca="1" si="283"/>
        <v>5.8486066398991204E-2</v>
      </c>
      <c r="N297" s="8">
        <f t="shared" ca="1" si="283"/>
        <v>5.8911149872693434E-2</v>
      </c>
      <c r="O297" s="8">
        <f t="shared" ca="1" si="283"/>
        <v>5.982173809652782E-2</v>
      </c>
    </row>
    <row r="298" spans="2:15">
      <c r="B298" s="3">
        <v>277</v>
      </c>
      <c r="C298" s="8">
        <f t="shared" si="263"/>
        <v>0.05</v>
      </c>
      <c r="D298" s="8">
        <f t="shared" ref="D298:O298" ca="1" si="284">C298+k*(theta-C298)*dt+vol*SQRT(dt*C298)*_xlfn.NORM.S.INV(RAND())</f>
        <v>5.0025095220502393E-2</v>
      </c>
      <c r="E298" s="8">
        <f t="shared" ca="1" si="284"/>
        <v>5.196665576975671E-2</v>
      </c>
      <c r="F298" s="8">
        <f t="shared" ca="1" si="284"/>
        <v>5.2912064358201845E-2</v>
      </c>
      <c r="G298" s="8">
        <f t="shared" ca="1" si="284"/>
        <v>5.2783729811362506E-2</v>
      </c>
      <c r="H298" s="8">
        <f t="shared" ca="1" si="284"/>
        <v>5.2834072769640562E-2</v>
      </c>
      <c r="I298" s="8">
        <f t="shared" ca="1" si="284"/>
        <v>5.4421719201505091E-2</v>
      </c>
      <c r="J298" s="8">
        <f t="shared" ca="1" si="284"/>
        <v>5.3342105797455061E-2</v>
      </c>
      <c r="K298" s="8">
        <f t="shared" ca="1" si="284"/>
        <v>5.4014204132074056E-2</v>
      </c>
      <c r="L298" s="8">
        <f t="shared" ca="1" si="284"/>
        <v>5.335602623338629E-2</v>
      </c>
      <c r="M298" s="8">
        <f t="shared" ca="1" si="284"/>
        <v>5.437139969338476E-2</v>
      </c>
      <c r="N298" s="8">
        <f t="shared" ca="1" si="284"/>
        <v>5.5821368486098817E-2</v>
      </c>
      <c r="O298" s="8">
        <f t="shared" ca="1" si="284"/>
        <v>5.5835288444426173E-2</v>
      </c>
    </row>
    <row r="299" spans="2:15">
      <c r="B299" s="3">
        <v>278</v>
      </c>
      <c r="C299" s="8">
        <f t="shared" si="263"/>
        <v>0.05</v>
      </c>
      <c r="D299" s="8">
        <f t="shared" ref="D299:O299" ca="1" si="285">C299+k*(theta-C299)*dt+vol*SQRT(dt*C299)*_xlfn.NORM.S.INV(RAND())</f>
        <v>5.1906906167505915E-2</v>
      </c>
      <c r="E299" s="8">
        <f t="shared" ca="1" si="285"/>
        <v>5.1794270240613602E-2</v>
      </c>
      <c r="F299" s="8">
        <f t="shared" ca="1" si="285"/>
        <v>5.5921152608128619E-2</v>
      </c>
      <c r="G299" s="8">
        <f t="shared" ca="1" si="285"/>
        <v>5.4251424500222342E-2</v>
      </c>
      <c r="H299" s="8">
        <f t="shared" ca="1" si="285"/>
        <v>5.6311340578095753E-2</v>
      </c>
      <c r="I299" s="8">
        <f t="shared" ca="1" si="285"/>
        <v>5.5329643530520597E-2</v>
      </c>
      <c r="J299" s="8">
        <f t="shared" ca="1" si="285"/>
        <v>5.6660542764050636E-2</v>
      </c>
      <c r="K299" s="8">
        <f t="shared" ca="1" si="285"/>
        <v>5.4961701355674061E-2</v>
      </c>
      <c r="L299" s="8">
        <f t="shared" ca="1" si="285"/>
        <v>5.3137050547359649E-2</v>
      </c>
      <c r="M299" s="8">
        <f t="shared" ca="1" si="285"/>
        <v>5.3269403592859386E-2</v>
      </c>
      <c r="N299" s="8">
        <f t="shared" ca="1" si="285"/>
        <v>5.4344483210878418E-2</v>
      </c>
      <c r="O299" s="8">
        <f t="shared" ca="1" si="285"/>
        <v>5.6269975546019875E-2</v>
      </c>
    </row>
    <row r="300" spans="2:15">
      <c r="B300" s="3">
        <v>279</v>
      </c>
      <c r="C300" s="8">
        <f t="shared" si="263"/>
        <v>0.05</v>
      </c>
      <c r="D300" s="8">
        <f t="shared" ref="D300:O300" ca="1" si="286">C300+k*(theta-C300)*dt+vol*SQRT(dt*C300)*_xlfn.NORM.S.INV(RAND())</f>
        <v>5.1724730852619472E-2</v>
      </c>
      <c r="E300" s="8">
        <f t="shared" ca="1" si="286"/>
        <v>5.4270514943182906E-2</v>
      </c>
      <c r="F300" s="8">
        <f t="shared" ca="1" si="286"/>
        <v>5.4132410277552265E-2</v>
      </c>
      <c r="G300" s="8">
        <f t="shared" ca="1" si="286"/>
        <v>5.5814406687409723E-2</v>
      </c>
      <c r="H300" s="8">
        <f t="shared" ca="1" si="286"/>
        <v>5.6664820944675516E-2</v>
      </c>
      <c r="I300" s="8">
        <f t="shared" ca="1" si="286"/>
        <v>5.6475239642489565E-2</v>
      </c>
      <c r="J300" s="8">
        <f t="shared" ca="1" si="286"/>
        <v>5.805027052877134E-2</v>
      </c>
      <c r="K300" s="8">
        <f t="shared" ca="1" si="286"/>
        <v>5.9518214664903757E-2</v>
      </c>
      <c r="L300" s="8">
        <f t="shared" ca="1" si="286"/>
        <v>5.6749526638882331E-2</v>
      </c>
      <c r="M300" s="8">
        <f t="shared" ca="1" si="286"/>
        <v>5.6615734145628184E-2</v>
      </c>
      <c r="N300" s="8">
        <f t="shared" ca="1" si="286"/>
        <v>5.9287511889617159E-2</v>
      </c>
      <c r="O300" s="8">
        <f t="shared" ca="1" si="286"/>
        <v>5.8013471552313192E-2</v>
      </c>
    </row>
    <row r="301" spans="2:15">
      <c r="B301" s="3">
        <v>280</v>
      </c>
      <c r="C301" s="8">
        <f t="shared" si="263"/>
        <v>0.05</v>
      </c>
      <c r="D301" s="8">
        <f t="shared" ref="D301:O301" ca="1" si="287">C301+k*(theta-C301)*dt+vol*SQRT(dt*C301)*_xlfn.NORM.S.INV(RAND())</f>
        <v>5.354085868766377E-2</v>
      </c>
      <c r="E301" s="8">
        <f t="shared" ca="1" si="287"/>
        <v>5.7051656328184999E-2</v>
      </c>
      <c r="F301" s="8">
        <f t="shared" ca="1" si="287"/>
        <v>6.0330726569873289E-2</v>
      </c>
      <c r="G301" s="8">
        <f t="shared" ca="1" si="287"/>
        <v>6.2198071549590991E-2</v>
      </c>
      <c r="H301" s="8">
        <f t="shared" ca="1" si="287"/>
        <v>6.3441719636217919E-2</v>
      </c>
      <c r="I301" s="8">
        <f t="shared" ca="1" si="287"/>
        <v>6.3777695364180709E-2</v>
      </c>
      <c r="J301" s="8">
        <f t="shared" ca="1" si="287"/>
        <v>6.5029428478763668E-2</v>
      </c>
      <c r="K301" s="8">
        <f t="shared" ca="1" si="287"/>
        <v>6.4699190405556481E-2</v>
      </c>
      <c r="L301" s="8">
        <f t="shared" ca="1" si="287"/>
        <v>6.5036068001474295E-2</v>
      </c>
      <c r="M301" s="8">
        <f t="shared" ca="1" si="287"/>
        <v>6.5844080917078093E-2</v>
      </c>
      <c r="N301" s="8">
        <f t="shared" ca="1" si="287"/>
        <v>6.4233566195383826E-2</v>
      </c>
      <c r="O301" s="8">
        <f t="shared" ca="1" si="287"/>
        <v>6.4656910756432318E-2</v>
      </c>
    </row>
    <row r="302" spans="2:15">
      <c r="B302" s="3">
        <v>281</v>
      </c>
      <c r="C302" s="8">
        <f t="shared" si="263"/>
        <v>0.05</v>
      </c>
      <c r="D302" s="8">
        <f t="shared" ref="D302:O302" ca="1" si="288">C302+k*(theta-C302)*dt+vol*SQRT(dt*C302)*_xlfn.NORM.S.INV(RAND())</f>
        <v>4.9438249025738769E-2</v>
      </c>
      <c r="E302" s="8">
        <f t="shared" ca="1" si="288"/>
        <v>5.3852440950827363E-2</v>
      </c>
      <c r="F302" s="8">
        <f t="shared" ca="1" si="288"/>
        <v>5.6797104207892281E-2</v>
      </c>
      <c r="G302" s="8">
        <f t="shared" ca="1" si="288"/>
        <v>5.7971479555669912E-2</v>
      </c>
      <c r="H302" s="8">
        <f t="shared" ca="1" si="288"/>
        <v>5.7103620924673006E-2</v>
      </c>
      <c r="I302" s="8">
        <f t="shared" ca="1" si="288"/>
        <v>5.7474511648289081E-2</v>
      </c>
      <c r="J302" s="8">
        <f t="shared" ca="1" si="288"/>
        <v>5.8731695378414051E-2</v>
      </c>
      <c r="K302" s="8">
        <f t="shared" ca="1" si="288"/>
        <v>6.0076720769341396E-2</v>
      </c>
      <c r="L302" s="8">
        <f t="shared" ca="1" si="288"/>
        <v>6.0290795656331442E-2</v>
      </c>
      <c r="M302" s="8">
        <f t="shared" ca="1" si="288"/>
        <v>6.0152614793248835E-2</v>
      </c>
      <c r="N302" s="8">
        <f t="shared" ca="1" si="288"/>
        <v>6.3538388039528132E-2</v>
      </c>
      <c r="O302" s="8">
        <f t="shared" ca="1" si="288"/>
        <v>6.6322970495476738E-2</v>
      </c>
    </row>
    <row r="303" spans="2:15">
      <c r="B303" s="3">
        <v>282</v>
      </c>
      <c r="C303" s="8">
        <f t="shared" si="263"/>
        <v>0.05</v>
      </c>
      <c r="D303" s="8">
        <f t="shared" ref="D303:O303" ca="1" si="289">C303+k*(theta-C303)*dt+vol*SQRT(dt*C303)*_xlfn.NORM.S.INV(RAND())</f>
        <v>5.1635045603341242E-2</v>
      </c>
      <c r="E303" s="8">
        <f t="shared" ca="1" si="289"/>
        <v>5.2970414410205162E-2</v>
      </c>
      <c r="F303" s="8">
        <f t="shared" ca="1" si="289"/>
        <v>5.51785238374774E-2</v>
      </c>
      <c r="G303" s="8">
        <f t="shared" ca="1" si="289"/>
        <v>5.6448335866771442E-2</v>
      </c>
      <c r="H303" s="8">
        <f t="shared" ca="1" si="289"/>
        <v>5.7572277014079201E-2</v>
      </c>
      <c r="I303" s="8">
        <f t="shared" ca="1" si="289"/>
        <v>5.9307091857390817E-2</v>
      </c>
      <c r="J303" s="8">
        <f t="shared" ca="1" si="289"/>
        <v>5.8594678667049885E-2</v>
      </c>
      <c r="K303" s="8">
        <f t="shared" ca="1" si="289"/>
        <v>6.0018390208587749E-2</v>
      </c>
      <c r="L303" s="8">
        <f t="shared" ca="1" si="289"/>
        <v>6.0864519511656556E-2</v>
      </c>
      <c r="M303" s="8">
        <f t="shared" ca="1" si="289"/>
        <v>6.3979047591219598E-2</v>
      </c>
      <c r="N303" s="8">
        <f t="shared" ca="1" si="289"/>
        <v>6.5235635463057051E-2</v>
      </c>
      <c r="O303" s="8">
        <f t="shared" ca="1" si="289"/>
        <v>6.5875872850259004E-2</v>
      </c>
    </row>
    <row r="304" spans="2:15">
      <c r="B304" s="3">
        <v>283</v>
      </c>
      <c r="C304" s="8">
        <f t="shared" si="263"/>
        <v>0.05</v>
      </c>
      <c r="D304" s="8">
        <f t="shared" ref="D304:O304" ca="1" si="290">C304+k*(theta-C304)*dt+vol*SQRT(dt*C304)*_xlfn.NORM.S.INV(RAND())</f>
        <v>5.1751814505865391E-2</v>
      </c>
      <c r="E304" s="8">
        <f t="shared" ca="1" si="290"/>
        <v>5.366831782152981E-2</v>
      </c>
      <c r="F304" s="8">
        <f t="shared" ca="1" si="290"/>
        <v>5.3981021109141769E-2</v>
      </c>
      <c r="G304" s="8">
        <f t="shared" ca="1" si="290"/>
        <v>5.3244418056323115E-2</v>
      </c>
      <c r="H304" s="8">
        <f t="shared" ca="1" si="290"/>
        <v>5.1776546613137235E-2</v>
      </c>
      <c r="I304" s="8">
        <f t="shared" ca="1" si="290"/>
        <v>5.2565613716527779E-2</v>
      </c>
      <c r="J304" s="8">
        <f t="shared" ca="1" si="290"/>
        <v>5.4221553104504834E-2</v>
      </c>
      <c r="K304" s="8">
        <f t="shared" ca="1" si="290"/>
        <v>5.8032946022239858E-2</v>
      </c>
      <c r="L304" s="8">
        <f t="shared" ca="1" si="290"/>
        <v>5.7938346044245879E-2</v>
      </c>
      <c r="M304" s="8">
        <f t="shared" ca="1" si="290"/>
        <v>5.7352530568014912E-2</v>
      </c>
      <c r="N304" s="8">
        <f t="shared" ca="1" si="290"/>
        <v>5.6361583967103522E-2</v>
      </c>
      <c r="O304" s="8">
        <f t="shared" ca="1" si="290"/>
        <v>5.6189282150020725E-2</v>
      </c>
    </row>
    <row r="305" spans="2:15">
      <c r="B305" s="3">
        <v>284</v>
      </c>
      <c r="C305" s="8">
        <f t="shared" si="263"/>
        <v>0.05</v>
      </c>
      <c r="D305" s="8">
        <f t="shared" ref="D305:O305" ca="1" si="291">C305+k*(theta-C305)*dt+vol*SQRT(dt*C305)*_xlfn.NORM.S.INV(RAND())</f>
        <v>5.2500176506940575E-2</v>
      </c>
      <c r="E305" s="8">
        <f t="shared" ca="1" si="291"/>
        <v>5.3172238848489317E-2</v>
      </c>
      <c r="F305" s="8">
        <f t="shared" ca="1" si="291"/>
        <v>5.4574968022428227E-2</v>
      </c>
      <c r="G305" s="8">
        <f t="shared" ca="1" si="291"/>
        <v>5.5562960200986493E-2</v>
      </c>
      <c r="H305" s="8">
        <f t="shared" ca="1" si="291"/>
        <v>5.5040173937725229E-2</v>
      </c>
      <c r="I305" s="8">
        <f t="shared" ca="1" si="291"/>
        <v>5.6327458070779282E-2</v>
      </c>
      <c r="J305" s="8">
        <f t="shared" ca="1" si="291"/>
        <v>5.6469663398413195E-2</v>
      </c>
      <c r="K305" s="8">
        <f t="shared" ca="1" si="291"/>
        <v>5.771630546003978E-2</v>
      </c>
      <c r="L305" s="8">
        <f t="shared" ca="1" si="291"/>
        <v>5.6288134771970685E-2</v>
      </c>
      <c r="M305" s="8">
        <f t="shared" ca="1" si="291"/>
        <v>5.5251703367037747E-2</v>
      </c>
      <c r="N305" s="8">
        <f t="shared" ca="1" si="291"/>
        <v>5.5254168160543238E-2</v>
      </c>
      <c r="O305" s="8">
        <f t="shared" ca="1" si="291"/>
        <v>5.567945974245745E-2</v>
      </c>
    </row>
    <row r="306" spans="2:15">
      <c r="B306" s="3">
        <v>285</v>
      </c>
      <c r="C306" s="8">
        <f t="shared" si="263"/>
        <v>0.05</v>
      </c>
      <c r="D306" s="8">
        <f t="shared" ref="D306:O306" ca="1" si="292">C306+k*(theta-C306)*dt+vol*SQRT(dt*C306)*_xlfn.NORM.S.INV(RAND())</f>
        <v>5.2079001280658677E-2</v>
      </c>
      <c r="E306" s="8">
        <f t="shared" ca="1" si="292"/>
        <v>5.3418760081514659E-2</v>
      </c>
      <c r="F306" s="8">
        <f t="shared" ca="1" si="292"/>
        <v>5.4751782472214371E-2</v>
      </c>
      <c r="G306" s="8">
        <f t="shared" ca="1" si="292"/>
        <v>5.3796596106328629E-2</v>
      </c>
      <c r="H306" s="8">
        <f t="shared" ca="1" si="292"/>
        <v>5.3338999674238038E-2</v>
      </c>
      <c r="I306" s="8">
        <f t="shared" ca="1" si="292"/>
        <v>5.4730691156397566E-2</v>
      </c>
      <c r="J306" s="8">
        <f t="shared" ca="1" si="292"/>
        <v>5.5202733766053454E-2</v>
      </c>
      <c r="K306" s="8">
        <f t="shared" ca="1" si="292"/>
        <v>5.6336223442095872E-2</v>
      </c>
      <c r="L306" s="8">
        <f t="shared" ca="1" si="292"/>
        <v>5.7662516981355869E-2</v>
      </c>
      <c r="M306" s="8">
        <f t="shared" ca="1" si="292"/>
        <v>5.9214265621520101E-2</v>
      </c>
      <c r="N306" s="8">
        <f t="shared" ca="1" si="292"/>
        <v>5.8967676221938728E-2</v>
      </c>
      <c r="O306" s="8">
        <f t="shared" ca="1" si="292"/>
        <v>6.2119316861186318E-2</v>
      </c>
    </row>
    <row r="307" spans="2:15">
      <c r="B307" s="3">
        <v>286</v>
      </c>
      <c r="C307" s="8">
        <f t="shared" si="263"/>
        <v>0.05</v>
      </c>
      <c r="D307" s="8">
        <f t="shared" ref="D307:O307" ca="1" si="293">C307+k*(theta-C307)*dt+vol*SQRT(dt*C307)*_xlfn.NORM.S.INV(RAND())</f>
        <v>5.0443990841072796E-2</v>
      </c>
      <c r="E307" s="8">
        <f t="shared" ca="1" si="293"/>
        <v>5.0113115358865305E-2</v>
      </c>
      <c r="F307" s="8">
        <f t="shared" ca="1" si="293"/>
        <v>5.147847828127694E-2</v>
      </c>
      <c r="G307" s="8">
        <f t="shared" ca="1" si="293"/>
        <v>5.4273845255456581E-2</v>
      </c>
      <c r="H307" s="8">
        <f t="shared" ca="1" si="293"/>
        <v>5.5217738162900633E-2</v>
      </c>
      <c r="I307" s="8">
        <f t="shared" ca="1" si="293"/>
        <v>5.6345444683266896E-2</v>
      </c>
      <c r="J307" s="8">
        <f t="shared" ca="1" si="293"/>
        <v>5.7942151704219617E-2</v>
      </c>
      <c r="K307" s="8">
        <f t="shared" ca="1" si="293"/>
        <v>5.7702946455854366E-2</v>
      </c>
      <c r="L307" s="8">
        <f t="shared" ca="1" si="293"/>
        <v>5.84015953634789E-2</v>
      </c>
      <c r="M307" s="8">
        <f t="shared" ca="1" si="293"/>
        <v>5.5354516608440311E-2</v>
      </c>
      <c r="N307" s="8">
        <f t="shared" ca="1" si="293"/>
        <v>5.5076037424780039E-2</v>
      </c>
      <c r="O307" s="8">
        <f t="shared" ca="1" si="293"/>
        <v>5.7620413900604545E-2</v>
      </c>
    </row>
    <row r="308" spans="2:15">
      <c r="B308" s="3">
        <v>287</v>
      </c>
      <c r="C308" s="8">
        <f t="shared" si="263"/>
        <v>0.05</v>
      </c>
      <c r="D308" s="8">
        <f t="shared" ref="D308:O308" ca="1" si="294">C308+k*(theta-C308)*dt+vol*SQRT(dt*C308)*_xlfn.NORM.S.INV(RAND())</f>
        <v>5.0652552322700745E-2</v>
      </c>
      <c r="E308" s="8">
        <f t="shared" ca="1" si="294"/>
        <v>5.0937931610364487E-2</v>
      </c>
      <c r="F308" s="8">
        <f t="shared" ca="1" si="294"/>
        <v>5.4831504195821383E-2</v>
      </c>
      <c r="G308" s="8">
        <f t="shared" ca="1" si="294"/>
        <v>5.8184249560213161E-2</v>
      </c>
      <c r="H308" s="8">
        <f t="shared" ca="1" si="294"/>
        <v>5.8697029508804864E-2</v>
      </c>
      <c r="I308" s="8">
        <f t="shared" ca="1" si="294"/>
        <v>5.9730332907418242E-2</v>
      </c>
      <c r="J308" s="8">
        <f t="shared" ca="1" si="294"/>
        <v>5.9663383703338492E-2</v>
      </c>
      <c r="K308" s="8">
        <f t="shared" ca="1" si="294"/>
        <v>6.1086210532929695E-2</v>
      </c>
      <c r="L308" s="8">
        <f t="shared" ca="1" si="294"/>
        <v>6.3995784223115235E-2</v>
      </c>
      <c r="M308" s="8">
        <f t="shared" ca="1" si="294"/>
        <v>6.3490129610707671E-2</v>
      </c>
      <c r="N308" s="8">
        <f t="shared" ca="1" si="294"/>
        <v>6.5655789796704112E-2</v>
      </c>
      <c r="O308" s="8">
        <f t="shared" ca="1" si="294"/>
        <v>6.5129266120564702E-2</v>
      </c>
    </row>
    <row r="309" spans="2:15">
      <c r="B309" s="3">
        <v>288</v>
      </c>
      <c r="C309" s="8">
        <f t="shared" si="263"/>
        <v>0.05</v>
      </c>
      <c r="D309" s="8">
        <f t="shared" ref="D309:O309" ca="1" si="295">C309+k*(theta-C309)*dt+vol*SQRT(dt*C309)*_xlfn.NORM.S.INV(RAND())</f>
        <v>5.2312647886029059E-2</v>
      </c>
      <c r="E309" s="8">
        <f t="shared" ca="1" si="295"/>
        <v>5.3596355258849454E-2</v>
      </c>
      <c r="F309" s="8">
        <f t="shared" ca="1" si="295"/>
        <v>5.3470997829442354E-2</v>
      </c>
      <c r="G309" s="8">
        <f t="shared" ca="1" si="295"/>
        <v>5.3727391243391716E-2</v>
      </c>
      <c r="H309" s="8">
        <f t="shared" ca="1" si="295"/>
        <v>5.4061952663449556E-2</v>
      </c>
      <c r="I309" s="8">
        <f t="shared" ca="1" si="295"/>
        <v>5.4421016211636107E-2</v>
      </c>
      <c r="J309" s="8">
        <f t="shared" ca="1" si="295"/>
        <v>5.5122833354842346E-2</v>
      </c>
      <c r="K309" s="8">
        <f t="shared" ca="1" si="295"/>
        <v>5.8669940969413824E-2</v>
      </c>
      <c r="L309" s="8">
        <f t="shared" ca="1" si="295"/>
        <v>5.9049310834728211E-2</v>
      </c>
      <c r="M309" s="8">
        <f t="shared" ca="1" si="295"/>
        <v>5.92205975183639E-2</v>
      </c>
      <c r="N309" s="8">
        <f t="shared" ca="1" si="295"/>
        <v>6.1428734627738422E-2</v>
      </c>
      <c r="O309" s="8">
        <f t="shared" ca="1" si="295"/>
        <v>6.1999989331114565E-2</v>
      </c>
    </row>
    <row r="310" spans="2:15">
      <c r="B310" s="3">
        <v>289</v>
      </c>
      <c r="C310" s="8">
        <f t="shared" si="263"/>
        <v>0.05</v>
      </c>
      <c r="D310" s="8">
        <f t="shared" ref="D310:O310" ca="1" si="296">C310+k*(theta-C310)*dt+vol*SQRT(dt*C310)*_xlfn.NORM.S.INV(RAND())</f>
        <v>5.0708762669118924E-2</v>
      </c>
      <c r="E310" s="8">
        <f t="shared" ca="1" si="296"/>
        <v>5.0964704789305051E-2</v>
      </c>
      <c r="F310" s="8">
        <f t="shared" ca="1" si="296"/>
        <v>5.2824090526300688E-2</v>
      </c>
      <c r="G310" s="8">
        <f t="shared" ca="1" si="296"/>
        <v>5.6810396898292127E-2</v>
      </c>
      <c r="H310" s="8">
        <f t="shared" ca="1" si="296"/>
        <v>5.7454458800812333E-2</v>
      </c>
      <c r="I310" s="8">
        <f t="shared" ca="1" si="296"/>
        <v>5.6429052446467273E-2</v>
      </c>
      <c r="J310" s="8">
        <f t="shared" ca="1" si="296"/>
        <v>5.8860367566380994E-2</v>
      </c>
      <c r="K310" s="8">
        <f t="shared" ca="1" si="296"/>
        <v>6.2213382229513274E-2</v>
      </c>
      <c r="L310" s="8">
        <f t="shared" ca="1" si="296"/>
        <v>6.2130028294171413E-2</v>
      </c>
      <c r="M310" s="8">
        <f t="shared" ca="1" si="296"/>
        <v>6.339711652825672E-2</v>
      </c>
      <c r="N310" s="8">
        <f t="shared" ca="1" si="296"/>
        <v>6.1527146389686579E-2</v>
      </c>
      <c r="O310" s="8">
        <f t="shared" ca="1" si="296"/>
        <v>6.330471027424317E-2</v>
      </c>
    </row>
    <row r="311" spans="2:15">
      <c r="B311" s="3">
        <v>290</v>
      </c>
      <c r="C311" s="8">
        <f t="shared" si="263"/>
        <v>0.05</v>
      </c>
      <c r="D311" s="8">
        <f t="shared" ref="D311:O311" ca="1" si="297">C311+k*(theta-C311)*dt+vol*SQRT(dt*C311)*_xlfn.NORM.S.INV(RAND())</f>
        <v>5.1835531034191897E-2</v>
      </c>
      <c r="E311" s="8">
        <f t="shared" ca="1" si="297"/>
        <v>5.3790379239133233E-2</v>
      </c>
      <c r="F311" s="8">
        <f t="shared" ca="1" si="297"/>
        <v>5.3885901602411468E-2</v>
      </c>
      <c r="G311" s="8">
        <f t="shared" ca="1" si="297"/>
        <v>5.4928990540316448E-2</v>
      </c>
      <c r="H311" s="8">
        <f t="shared" ca="1" si="297"/>
        <v>5.3422602527459999E-2</v>
      </c>
      <c r="I311" s="8">
        <f t="shared" ca="1" si="297"/>
        <v>5.3130043425067539E-2</v>
      </c>
      <c r="J311" s="8">
        <f t="shared" ca="1" si="297"/>
        <v>5.6770721801839362E-2</v>
      </c>
      <c r="K311" s="8">
        <f t="shared" ca="1" si="297"/>
        <v>5.7765869426144097E-2</v>
      </c>
      <c r="L311" s="8">
        <f t="shared" ca="1" si="297"/>
        <v>5.7086526957156498E-2</v>
      </c>
      <c r="M311" s="8">
        <f t="shared" ca="1" si="297"/>
        <v>5.9051203034742809E-2</v>
      </c>
      <c r="N311" s="8">
        <f t="shared" ca="1" si="297"/>
        <v>5.944591056741852E-2</v>
      </c>
      <c r="O311" s="8">
        <f t="shared" ca="1" si="297"/>
        <v>5.7136164551579702E-2</v>
      </c>
    </row>
    <row r="312" spans="2:15">
      <c r="B312" s="3">
        <v>291</v>
      </c>
      <c r="C312" s="8">
        <f t="shared" si="263"/>
        <v>0.05</v>
      </c>
      <c r="D312" s="8">
        <f t="shared" ref="D312:O312" ca="1" si="298">C312+k*(theta-C312)*dt+vol*SQRT(dt*C312)*_xlfn.NORM.S.INV(RAND())</f>
        <v>5.4258642000634863E-2</v>
      </c>
      <c r="E312" s="8">
        <f t="shared" ca="1" si="298"/>
        <v>5.4643570086635833E-2</v>
      </c>
      <c r="F312" s="8">
        <f t="shared" ca="1" si="298"/>
        <v>5.4984035299810052E-2</v>
      </c>
      <c r="G312" s="8">
        <f t="shared" ca="1" si="298"/>
        <v>5.5131263974398603E-2</v>
      </c>
      <c r="H312" s="8">
        <f t="shared" ca="1" si="298"/>
        <v>5.8655016534608126E-2</v>
      </c>
      <c r="I312" s="8">
        <f t="shared" ca="1" si="298"/>
        <v>6.0474179253501396E-2</v>
      </c>
      <c r="J312" s="8">
        <f t="shared" ca="1" si="298"/>
        <v>6.133256475905189E-2</v>
      </c>
      <c r="K312" s="8">
        <f t="shared" ca="1" si="298"/>
        <v>6.4153271748667126E-2</v>
      </c>
      <c r="L312" s="8">
        <f t="shared" ca="1" si="298"/>
        <v>6.4273542536515502E-2</v>
      </c>
      <c r="M312" s="8">
        <f t="shared" ca="1" si="298"/>
        <v>6.3278438140114385E-2</v>
      </c>
      <c r="N312" s="8">
        <f t="shared" ca="1" si="298"/>
        <v>6.394028162122245E-2</v>
      </c>
      <c r="O312" s="8">
        <f t="shared" ca="1" si="298"/>
        <v>6.4263839205846648E-2</v>
      </c>
    </row>
    <row r="313" spans="2:15">
      <c r="B313" s="3">
        <v>292</v>
      </c>
      <c r="C313" s="8">
        <f t="shared" si="263"/>
        <v>0.05</v>
      </c>
      <c r="D313" s="8">
        <f t="shared" ref="D313:O313" ca="1" si="299">C313+k*(theta-C313)*dt+vol*SQRT(dt*C313)*_xlfn.NORM.S.INV(RAND())</f>
        <v>5.4047781781166961E-2</v>
      </c>
      <c r="E313" s="8">
        <f t="shared" ca="1" si="299"/>
        <v>5.4039337815561618E-2</v>
      </c>
      <c r="F313" s="8">
        <f t="shared" ca="1" si="299"/>
        <v>5.565185032145762E-2</v>
      </c>
      <c r="G313" s="8">
        <f t="shared" ca="1" si="299"/>
        <v>5.7519113030782845E-2</v>
      </c>
      <c r="H313" s="8">
        <f t="shared" ca="1" si="299"/>
        <v>5.6288493837598673E-2</v>
      </c>
      <c r="I313" s="8">
        <f t="shared" ca="1" si="299"/>
        <v>5.8600494245325555E-2</v>
      </c>
      <c r="J313" s="8">
        <f t="shared" ca="1" si="299"/>
        <v>5.8153437711292513E-2</v>
      </c>
      <c r="K313" s="8">
        <f t="shared" ca="1" si="299"/>
        <v>5.878074039835126E-2</v>
      </c>
      <c r="L313" s="8">
        <f t="shared" ca="1" si="299"/>
        <v>5.9173655806283601E-2</v>
      </c>
      <c r="M313" s="8">
        <f t="shared" ca="1" si="299"/>
        <v>5.9494825030441491E-2</v>
      </c>
      <c r="N313" s="8">
        <f t="shared" ca="1" si="299"/>
        <v>5.8482392918438646E-2</v>
      </c>
      <c r="O313" s="8">
        <f t="shared" ca="1" si="299"/>
        <v>6.0264254114118961E-2</v>
      </c>
    </row>
    <row r="314" spans="2:15">
      <c r="B314" s="3">
        <v>293</v>
      </c>
      <c r="C314" s="8">
        <f t="shared" si="263"/>
        <v>0.05</v>
      </c>
      <c r="D314" s="8">
        <f t="shared" ref="D314:O314" ca="1" si="300">C314+k*(theta-C314)*dt+vol*SQRT(dt*C314)*_xlfn.NORM.S.INV(RAND())</f>
        <v>5.040521792703985E-2</v>
      </c>
      <c r="E314" s="8">
        <f t="shared" ca="1" si="300"/>
        <v>5.2286551540789386E-2</v>
      </c>
      <c r="F314" s="8">
        <f t="shared" ca="1" si="300"/>
        <v>5.3648512379275287E-2</v>
      </c>
      <c r="G314" s="8">
        <f t="shared" ca="1" si="300"/>
        <v>5.4407214071641563E-2</v>
      </c>
      <c r="H314" s="8">
        <f t="shared" ca="1" si="300"/>
        <v>5.5745670548169785E-2</v>
      </c>
      <c r="I314" s="8">
        <f t="shared" ca="1" si="300"/>
        <v>5.395162189160925E-2</v>
      </c>
      <c r="J314" s="8">
        <f t="shared" ca="1" si="300"/>
        <v>5.0871121486075359E-2</v>
      </c>
      <c r="K314" s="8">
        <f t="shared" ca="1" si="300"/>
        <v>5.0095550332216555E-2</v>
      </c>
      <c r="L314" s="8">
        <f t="shared" ca="1" si="300"/>
        <v>5.0428150600434818E-2</v>
      </c>
      <c r="M314" s="8">
        <f t="shared" ca="1" si="300"/>
        <v>5.3317295809481108E-2</v>
      </c>
      <c r="N314" s="8">
        <f t="shared" ca="1" si="300"/>
        <v>5.3995455892691953E-2</v>
      </c>
      <c r="O314" s="8">
        <f t="shared" ca="1" si="300"/>
        <v>5.5364571001123623E-2</v>
      </c>
    </row>
    <row r="315" spans="2:15">
      <c r="B315" s="3">
        <v>294</v>
      </c>
      <c r="C315" s="8">
        <f t="shared" si="263"/>
        <v>0.05</v>
      </c>
      <c r="D315" s="8">
        <f t="shared" ref="D315:O315" ca="1" si="301">C315+k*(theta-C315)*dt+vol*SQRT(dt*C315)*_xlfn.NORM.S.INV(RAND())</f>
        <v>5.0996742543736449E-2</v>
      </c>
      <c r="E315" s="8">
        <f t="shared" ca="1" si="301"/>
        <v>5.4036201591807033E-2</v>
      </c>
      <c r="F315" s="8">
        <f t="shared" ca="1" si="301"/>
        <v>5.4910515939357724E-2</v>
      </c>
      <c r="G315" s="8">
        <f t="shared" ca="1" si="301"/>
        <v>5.5933772463461338E-2</v>
      </c>
      <c r="H315" s="8">
        <f t="shared" ca="1" si="301"/>
        <v>5.5993313290866591E-2</v>
      </c>
      <c r="I315" s="8">
        <f t="shared" ca="1" si="301"/>
        <v>5.7589107170555043E-2</v>
      </c>
      <c r="J315" s="8">
        <f t="shared" ca="1" si="301"/>
        <v>5.6971506703806692E-2</v>
      </c>
      <c r="K315" s="8">
        <f t="shared" ca="1" si="301"/>
        <v>6.0034416478136912E-2</v>
      </c>
      <c r="L315" s="8">
        <f t="shared" ca="1" si="301"/>
        <v>6.0995564416615689E-2</v>
      </c>
      <c r="M315" s="8">
        <f t="shared" ca="1" si="301"/>
        <v>6.3443481579424435E-2</v>
      </c>
      <c r="N315" s="8">
        <f t="shared" ca="1" si="301"/>
        <v>6.6623718798589096E-2</v>
      </c>
      <c r="O315" s="8">
        <f t="shared" ca="1" si="301"/>
        <v>6.6273727653366032E-2</v>
      </c>
    </row>
    <row r="316" spans="2:15">
      <c r="B316" s="3">
        <v>295</v>
      </c>
      <c r="C316" s="8">
        <f t="shared" si="263"/>
        <v>0.05</v>
      </c>
      <c r="D316" s="8">
        <f t="shared" ref="D316:O316" ca="1" si="302">C316+k*(theta-C316)*dt+vol*SQRT(dt*C316)*_xlfn.NORM.S.INV(RAND())</f>
        <v>5.1988226779036757E-2</v>
      </c>
      <c r="E316" s="8">
        <f t="shared" ca="1" si="302"/>
        <v>5.3293868728532971E-2</v>
      </c>
      <c r="F316" s="8">
        <f t="shared" ca="1" si="302"/>
        <v>5.3718501568710379E-2</v>
      </c>
      <c r="G316" s="8">
        <f t="shared" ca="1" si="302"/>
        <v>5.5488390020142636E-2</v>
      </c>
      <c r="H316" s="8">
        <f t="shared" ca="1" si="302"/>
        <v>5.7951447668966941E-2</v>
      </c>
      <c r="I316" s="8">
        <f t="shared" ca="1" si="302"/>
        <v>6.1529634034334174E-2</v>
      </c>
      <c r="J316" s="8">
        <f t="shared" ca="1" si="302"/>
        <v>6.2373913003768031E-2</v>
      </c>
      <c r="K316" s="8">
        <f t="shared" ca="1" si="302"/>
        <v>6.3169587215931092E-2</v>
      </c>
      <c r="L316" s="8">
        <f t="shared" ca="1" si="302"/>
        <v>6.3056609447738374E-2</v>
      </c>
      <c r="M316" s="8">
        <f t="shared" ca="1" si="302"/>
        <v>6.0768008218996944E-2</v>
      </c>
      <c r="N316" s="8">
        <f t="shared" ca="1" si="302"/>
        <v>6.2281244460466338E-2</v>
      </c>
      <c r="O316" s="8">
        <f t="shared" ca="1" si="302"/>
        <v>6.1771340047943782E-2</v>
      </c>
    </row>
    <row r="317" spans="2:15">
      <c r="B317" s="3">
        <v>296</v>
      </c>
      <c r="C317" s="8">
        <f t="shared" si="263"/>
        <v>0.05</v>
      </c>
      <c r="D317" s="8">
        <f t="shared" ref="D317:O317" ca="1" si="303">C317+k*(theta-C317)*dt+vol*SQRT(dt*C317)*_xlfn.NORM.S.INV(RAND())</f>
        <v>5.0950665857253767E-2</v>
      </c>
      <c r="E317" s="8">
        <f t="shared" ca="1" si="303"/>
        <v>5.3514296287481687E-2</v>
      </c>
      <c r="F317" s="8">
        <f t="shared" ca="1" si="303"/>
        <v>5.3603340109926463E-2</v>
      </c>
      <c r="G317" s="8">
        <f t="shared" ca="1" si="303"/>
        <v>5.1977754204248154E-2</v>
      </c>
      <c r="H317" s="8">
        <f t="shared" ca="1" si="303"/>
        <v>5.2613565335374278E-2</v>
      </c>
      <c r="I317" s="8">
        <f t="shared" ca="1" si="303"/>
        <v>5.2614993368285172E-2</v>
      </c>
      <c r="J317" s="8">
        <f t="shared" ca="1" si="303"/>
        <v>5.1412969612408155E-2</v>
      </c>
      <c r="K317" s="8">
        <f t="shared" ca="1" si="303"/>
        <v>5.2921534203018622E-2</v>
      </c>
      <c r="L317" s="8">
        <f t="shared" ca="1" si="303"/>
        <v>5.3537724597208312E-2</v>
      </c>
      <c r="M317" s="8">
        <f t="shared" ca="1" si="303"/>
        <v>5.4170029687819463E-2</v>
      </c>
      <c r="N317" s="8">
        <f t="shared" ca="1" si="303"/>
        <v>5.5229356023678469E-2</v>
      </c>
      <c r="O317" s="8">
        <f t="shared" ca="1" si="303"/>
        <v>5.6882230225098057E-2</v>
      </c>
    </row>
    <row r="318" spans="2:15">
      <c r="B318" s="3">
        <v>297</v>
      </c>
      <c r="C318" s="8">
        <f t="shared" si="263"/>
        <v>0.05</v>
      </c>
      <c r="D318" s="8">
        <f t="shared" ref="D318:O318" ca="1" si="304">C318+k*(theta-C318)*dt+vol*SQRT(dt*C318)*_xlfn.NORM.S.INV(RAND())</f>
        <v>5.1812483512183732E-2</v>
      </c>
      <c r="E318" s="8">
        <f t="shared" ca="1" si="304"/>
        <v>5.3627023014720346E-2</v>
      </c>
      <c r="F318" s="8">
        <f t="shared" ca="1" si="304"/>
        <v>5.3828415476878597E-2</v>
      </c>
      <c r="G318" s="8">
        <f t="shared" ca="1" si="304"/>
        <v>5.5792422034687046E-2</v>
      </c>
      <c r="H318" s="8">
        <f t="shared" ca="1" si="304"/>
        <v>5.7097716599756043E-2</v>
      </c>
      <c r="I318" s="8">
        <f t="shared" ca="1" si="304"/>
        <v>5.9956578365855384E-2</v>
      </c>
      <c r="J318" s="8">
        <f t="shared" ca="1" si="304"/>
        <v>6.1167981119055297E-2</v>
      </c>
      <c r="K318" s="8">
        <f t="shared" ca="1" si="304"/>
        <v>6.5195803801145827E-2</v>
      </c>
      <c r="L318" s="8">
        <f t="shared" ca="1" si="304"/>
        <v>6.8300549785744569E-2</v>
      </c>
      <c r="M318" s="8">
        <f t="shared" ca="1" si="304"/>
        <v>6.7766984647299522E-2</v>
      </c>
      <c r="N318" s="8">
        <f t="shared" ca="1" si="304"/>
        <v>6.8005188901160557E-2</v>
      </c>
      <c r="O318" s="8">
        <f t="shared" ca="1" si="304"/>
        <v>6.8143528606933707E-2</v>
      </c>
    </row>
    <row r="319" spans="2:15">
      <c r="B319" s="3">
        <v>298</v>
      </c>
      <c r="C319" s="8">
        <f t="shared" si="263"/>
        <v>0.05</v>
      </c>
      <c r="D319" s="8">
        <f t="shared" ref="D319:O319" ca="1" si="305">C319+k*(theta-C319)*dt+vol*SQRT(dt*C319)*_xlfn.NORM.S.INV(RAND())</f>
        <v>5.052158686484156E-2</v>
      </c>
      <c r="E319" s="8">
        <f t="shared" ca="1" si="305"/>
        <v>4.996827594108981E-2</v>
      </c>
      <c r="F319" s="8">
        <f t="shared" ca="1" si="305"/>
        <v>4.9064127174173869E-2</v>
      </c>
      <c r="G319" s="8">
        <f t="shared" ca="1" si="305"/>
        <v>5.123478174177528E-2</v>
      </c>
      <c r="H319" s="8">
        <f t="shared" ca="1" si="305"/>
        <v>5.3751219546426844E-2</v>
      </c>
      <c r="I319" s="8">
        <f t="shared" ca="1" si="305"/>
        <v>5.2801563178056357E-2</v>
      </c>
      <c r="J319" s="8">
        <f t="shared" ca="1" si="305"/>
        <v>5.3101644945216332E-2</v>
      </c>
      <c r="K319" s="8">
        <f t="shared" ca="1" si="305"/>
        <v>5.3798507413611689E-2</v>
      </c>
      <c r="L319" s="8">
        <f t="shared" ca="1" si="305"/>
        <v>5.215138739364393E-2</v>
      </c>
      <c r="M319" s="8">
        <f t="shared" ca="1" si="305"/>
        <v>5.3513279248884847E-2</v>
      </c>
      <c r="N319" s="8">
        <f t="shared" ca="1" si="305"/>
        <v>5.4113216607507252E-2</v>
      </c>
      <c r="O319" s="8">
        <f t="shared" ca="1" si="305"/>
        <v>5.4754776148711416E-2</v>
      </c>
    </row>
    <row r="320" spans="2:15">
      <c r="B320" s="3">
        <v>299</v>
      </c>
      <c r="C320" s="8">
        <f t="shared" si="263"/>
        <v>0.05</v>
      </c>
      <c r="D320" s="8">
        <f t="shared" ref="D320:O320" ca="1" si="306">C320+k*(theta-C320)*dt+vol*SQRT(dt*C320)*_xlfn.NORM.S.INV(RAND())</f>
        <v>5.1122964545349647E-2</v>
      </c>
      <c r="E320" s="8">
        <f t="shared" ca="1" si="306"/>
        <v>5.3623598768141288E-2</v>
      </c>
      <c r="F320" s="8">
        <f t="shared" ca="1" si="306"/>
        <v>5.4277282612111316E-2</v>
      </c>
      <c r="G320" s="8">
        <f t="shared" ca="1" si="306"/>
        <v>5.4420887497105053E-2</v>
      </c>
      <c r="H320" s="8">
        <f t="shared" ca="1" si="306"/>
        <v>5.5450752018985881E-2</v>
      </c>
      <c r="I320" s="8">
        <f t="shared" ca="1" si="306"/>
        <v>5.9149212921368294E-2</v>
      </c>
      <c r="J320" s="8">
        <f t="shared" ca="1" si="306"/>
        <v>6.1224543695126053E-2</v>
      </c>
      <c r="K320" s="8">
        <f t="shared" ca="1" si="306"/>
        <v>6.2647877993249404E-2</v>
      </c>
      <c r="L320" s="8">
        <f t="shared" ca="1" si="306"/>
        <v>6.1087907167781903E-2</v>
      </c>
      <c r="M320" s="8">
        <f t="shared" ca="1" si="306"/>
        <v>6.0778934046847879E-2</v>
      </c>
      <c r="N320" s="8">
        <f t="shared" ca="1" si="306"/>
        <v>5.803101207341714E-2</v>
      </c>
      <c r="O320" s="8">
        <f t="shared" ca="1" si="306"/>
        <v>5.8924126053109344E-2</v>
      </c>
    </row>
    <row r="321" spans="2:15">
      <c r="B321" s="3">
        <v>300</v>
      </c>
      <c r="C321" s="8">
        <f t="shared" si="263"/>
        <v>0.05</v>
      </c>
      <c r="D321" s="8">
        <f t="shared" ref="D321:O321" ca="1" si="307">C321+k*(theta-C321)*dt+vol*SQRT(dt*C321)*_xlfn.NORM.S.INV(RAND())</f>
        <v>5.3596535108958086E-2</v>
      </c>
      <c r="E321" s="8">
        <f t="shared" ca="1" si="307"/>
        <v>5.2372003254625481E-2</v>
      </c>
      <c r="F321" s="8">
        <f t="shared" ca="1" si="307"/>
        <v>5.2281393997322345E-2</v>
      </c>
      <c r="G321" s="8">
        <f t="shared" ca="1" si="307"/>
        <v>5.3976486713277518E-2</v>
      </c>
      <c r="H321" s="8">
        <f t="shared" ca="1" si="307"/>
        <v>5.453808889854049E-2</v>
      </c>
      <c r="I321" s="8">
        <f t="shared" ca="1" si="307"/>
        <v>5.5794712385954438E-2</v>
      </c>
      <c r="J321" s="8">
        <f t="shared" ca="1" si="307"/>
        <v>5.4962403613351543E-2</v>
      </c>
      <c r="K321" s="8">
        <f t="shared" ca="1" si="307"/>
        <v>5.6185816611917544E-2</v>
      </c>
      <c r="L321" s="8">
        <f t="shared" ca="1" si="307"/>
        <v>5.5500303010450017E-2</v>
      </c>
      <c r="M321" s="8">
        <f t="shared" ca="1" si="307"/>
        <v>5.6493203052143767E-2</v>
      </c>
      <c r="N321" s="8">
        <f t="shared" ca="1" si="307"/>
        <v>5.8598972914155216E-2</v>
      </c>
      <c r="O321" s="8">
        <f t="shared" ca="1" si="307"/>
        <v>5.9258985558298567E-2</v>
      </c>
    </row>
    <row r="322" spans="2:15">
      <c r="B322" s="3">
        <v>301</v>
      </c>
      <c r="C322" s="8">
        <f t="shared" si="263"/>
        <v>0.05</v>
      </c>
      <c r="D322" s="8">
        <f t="shared" ref="D322:O322" ca="1" si="308">C322+k*(theta-C322)*dt+vol*SQRT(dt*C322)*_xlfn.NORM.S.INV(RAND())</f>
        <v>5.1171807053947006E-2</v>
      </c>
      <c r="E322" s="8">
        <f t="shared" ca="1" si="308"/>
        <v>5.135528672988364E-2</v>
      </c>
      <c r="F322" s="8">
        <f t="shared" ca="1" si="308"/>
        <v>5.3620248496551004E-2</v>
      </c>
      <c r="G322" s="8">
        <f t="shared" ca="1" si="308"/>
        <v>5.5169687321540123E-2</v>
      </c>
      <c r="H322" s="8">
        <f t="shared" ca="1" si="308"/>
        <v>5.5459626787231223E-2</v>
      </c>
      <c r="I322" s="8">
        <f t="shared" ca="1" si="308"/>
        <v>5.3112265995662739E-2</v>
      </c>
      <c r="J322" s="8">
        <f t="shared" ca="1" si="308"/>
        <v>5.3782493709935791E-2</v>
      </c>
      <c r="K322" s="8">
        <f t="shared" ca="1" si="308"/>
        <v>5.3620021225024517E-2</v>
      </c>
      <c r="L322" s="8">
        <f t="shared" ca="1" si="308"/>
        <v>5.414190498306376E-2</v>
      </c>
      <c r="M322" s="8">
        <f t="shared" ca="1" si="308"/>
        <v>5.7608985422905656E-2</v>
      </c>
      <c r="N322" s="8">
        <f t="shared" ca="1" si="308"/>
        <v>5.7359254341319783E-2</v>
      </c>
      <c r="O322" s="8">
        <f t="shared" ca="1" si="308"/>
        <v>5.6354035716768759E-2</v>
      </c>
    </row>
    <row r="323" spans="2:15">
      <c r="B323" s="3">
        <v>302</v>
      </c>
      <c r="C323" s="8">
        <f t="shared" si="263"/>
        <v>0.05</v>
      </c>
      <c r="D323" s="8">
        <f t="shared" ref="D323:O323" ca="1" si="309">C323+k*(theta-C323)*dt+vol*SQRT(dt*C323)*_xlfn.NORM.S.INV(RAND())</f>
        <v>5.1345128262555752E-2</v>
      </c>
      <c r="E323" s="8">
        <f t="shared" ca="1" si="309"/>
        <v>5.1384061227865298E-2</v>
      </c>
      <c r="F323" s="8">
        <f t="shared" ca="1" si="309"/>
        <v>5.5237776926269765E-2</v>
      </c>
      <c r="G323" s="8">
        <f t="shared" ca="1" si="309"/>
        <v>5.4826973424709401E-2</v>
      </c>
      <c r="H323" s="8">
        <f t="shared" ca="1" si="309"/>
        <v>5.4463712909227385E-2</v>
      </c>
      <c r="I323" s="8">
        <f t="shared" ca="1" si="309"/>
        <v>5.659112672235065E-2</v>
      </c>
      <c r="J323" s="8">
        <f t="shared" ca="1" si="309"/>
        <v>5.6584066327674383E-2</v>
      </c>
      <c r="K323" s="8">
        <f t="shared" ca="1" si="309"/>
        <v>5.7947978087623676E-2</v>
      </c>
      <c r="L323" s="8">
        <f t="shared" ca="1" si="309"/>
        <v>5.826011333344374E-2</v>
      </c>
      <c r="M323" s="8">
        <f t="shared" ca="1" si="309"/>
        <v>5.9629107737353512E-2</v>
      </c>
      <c r="N323" s="8">
        <f t="shared" ca="1" si="309"/>
        <v>6.015229195952123E-2</v>
      </c>
      <c r="O323" s="8">
        <f t="shared" ca="1" si="309"/>
        <v>6.2523418063587688E-2</v>
      </c>
    </row>
    <row r="324" spans="2:15">
      <c r="B324" s="3">
        <v>303</v>
      </c>
      <c r="C324" s="8">
        <f t="shared" si="263"/>
        <v>0.05</v>
      </c>
      <c r="D324" s="8">
        <f t="shared" ref="D324:O324" ca="1" si="310">C324+k*(theta-C324)*dt+vol*SQRT(dt*C324)*_xlfn.NORM.S.INV(RAND())</f>
        <v>5.0996145789481376E-2</v>
      </c>
      <c r="E324" s="8">
        <f t="shared" ca="1" si="310"/>
        <v>5.0237566111809101E-2</v>
      </c>
      <c r="F324" s="8">
        <f t="shared" ca="1" si="310"/>
        <v>5.2157698846908331E-2</v>
      </c>
      <c r="G324" s="8">
        <f t="shared" ca="1" si="310"/>
        <v>5.5322736184801935E-2</v>
      </c>
      <c r="H324" s="8">
        <f t="shared" ca="1" si="310"/>
        <v>5.6362545097282703E-2</v>
      </c>
      <c r="I324" s="8">
        <f t="shared" ca="1" si="310"/>
        <v>5.6839205237004004E-2</v>
      </c>
      <c r="J324" s="8">
        <f t="shared" ca="1" si="310"/>
        <v>5.8704342868989519E-2</v>
      </c>
      <c r="K324" s="8">
        <f t="shared" ca="1" si="310"/>
        <v>5.9295722378928585E-2</v>
      </c>
      <c r="L324" s="8">
        <f t="shared" ca="1" si="310"/>
        <v>5.9432341178976153E-2</v>
      </c>
      <c r="M324" s="8">
        <f t="shared" ca="1" si="310"/>
        <v>6.0885915190538528E-2</v>
      </c>
      <c r="N324" s="8">
        <f t="shared" ca="1" si="310"/>
        <v>6.345326592652599E-2</v>
      </c>
      <c r="O324" s="8">
        <f t="shared" ca="1" si="310"/>
        <v>6.3965184124678026E-2</v>
      </c>
    </row>
    <row r="325" spans="2:15">
      <c r="B325" s="3">
        <v>304</v>
      </c>
      <c r="C325" s="8">
        <f t="shared" si="263"/>
        <v>0.05</v>
      </c>
      <c r="D325" s="8">
        <f t="shared" ref="D325:O325" ca="1" si="311">C325+k*(theta-C325)*dt+vol*SQRT(dt*C325)*_xlfn.NORM.S.INV(RAND())</f>
        <v>5.1648193302938974E-2</v>
      </c>
      <c r="E325" s="8">
        <f t="shared" ca="1" si="311"/>
        <v>5.219460803805253E-2</v>
      </c>
      <c r="F325" s="8">
        <f t="shared" ca="1" si="311"/>
        <v>5.4638799888993596E-2</v>
      </c>
      <c r="G325" s="8">
        <f t="shared" ca="1" si="311"/>
        <v>5.500458402986632E-2</v>
      </c>
      <c r="H325" s="8">
        <f t="shared" ca="1" si="311"/>
        <v>5.5251611070615297E-2</v>
      </c>
      <c r="I325" s="8">
        <f t="shared" ca="1" si="311"/>
        <v>5.7984859966803845E-2</v>
      </c>
      <c r="J325" s="8">
        <f t="shared" ca="1" si="311"/>
        <v>5.7927299012379418E-2</v>
      </c>
      <c r="K325" s="8">
        <f t="shared" ca="1" si="311"/>
        <v>6.1281751614090961E-2</v>
      </c>
      <c r="L325" s="8">
        <f t="shared" ca="1" si="311"/>
        <v>6.2350759424474538E-2</v>
      </c>
      <c r="M325" s="8">
        <f t="shared" ca="1" si="311"/>
        <v>6.4120972027996548E-2</v>
      </c>
      <c r="N325" s="8">
        <f t="shared" ca="1" si="311"/>
        <v>6.6381410684821132E-2</v>
      </c>
      <c r="O325" s="8">
        <f t="shared" ca="1" si="311"/>
        <v>6.8094677834772868E-2</v>
      </c>
    </row>
    <row r="326" spans="2:15">
      <c r="B326" s="3">
        <v>305</v>
      </c>
      <c r="C326" s="8">
        <f t="shared" si="263"/>
        <v>0.05</v>
      </c>
      <c r="D326" s="8">
        <f t="shared" ref="D326:O326" ca="1" si="312">C326+k*(theta-C326)*dt+vol*SQRT(dt*C326)*_xlfn.NORM.S.INV(RAND())</f>
        <v>5.1425127010832843E-2</v>
      </c>
      <c r="E326" s="8">
        <f t="shared" ca="1" si="312"/>
        <v>5.012519193744755E-2</v>
      </c>
      <c r="F326" s="8">
        <f t="shared" ca="1" si="312"/>
        <v>5.185986288330667E-2</v>
      </c>
      <c r="G326" s="8">
        <f t="shared" ca="1" si="312"/>
        <v>5.1356638977775849E-2</v>
      </c>
      <c r="H326" s="8">
        <f t="shared" ca="1" si="312"/>
        <v>5.2189707913745269E-2</v>
      </c>
      <c r="I326" s="8">
        <f t="shared" ca="1" si="312"/>
        <v>5.5397042559331304E-2</v>
      </c>
      <c r="J326" s="8">
        <f t="shared" ca="1" si="312"/>
        <v>5.7113881447838535E-2</v>
      </c>
      <c r="K326" s="8">
        <f t="shared" ca="1" si="312"/>
        <v>5.9486382837161011E-2</v>
      </c>
      <c r="L326" s="8">
        <f t="shared" ca="1" si="312"/>
        <v>5.7709671233377835E-2</v>
      </c>
      <c r="M326" s="8">
        <f t="shared" ca="1" si="312"/>
        <v>5.8348222443321357E-2</v>
      </c>
      <c r="N326" s="8">
        <f t="shared" ca="1" si="312"/>
        <v>5.8330947400084363E-2</v>
      </c>
      <c r="O326" s="8">
        <f t="shared" ca="1" si="312"/>
        <v>5.8629147116508504E-2</v>
      </c>
    </row>
    <row r="327" spans="2:15">
      <c r="B327" s="3">
        <v>306</v>
      </c>
      <c r="C327" s="8">
        <f t="shared" si="263"/>
        <v>0.05</v>
      </c>
      <c r="D327" s="8">
        <f t="shared" ref="D327:O327" ca="1" si="313">C327+k*(theta-C327)*dt+vol*SQRT(dt*C327)*_xlfn.NORM.S.INV(RAND())</f>
        <v>5.1712133406580131E-2</v>
      </c>
      <c r="E327" s="8">
        <f t="shared" ca="1" si="313"/>
        <v>5.227246155403184E-2</v>
      </c>
      <c r="F327" s="8">
        <f t="shared" ca="1" si="313"/>
        <v>5.3555463975258955E-2</v>
      </c>
      <c r="G327" s="8">
        <f t="shared" ca="1" si="313"/>
        <v>5.5679287390006681E-2</v>
      </c>
      <c r="H327" s="8">
        <f t="shared" ca="1" si="313"/>
        <v>5.6483502204487106E-2</v>
      </c>
      <c r="I327" s="8">
        <f t="shared" ca="1" si="313"/>
        <v>5.6722889679543344E-2</v>
      </c>
      <c r="J327" s="8">
        <f t="shared" ca="1" si="313"/>
        <v>6.0784093488660158E-2</v>
      </c>
      <c r="K327" s="8">
        <f t="shared" ca="1" si="313"/>
        <v>6.1156445622313246E-2</v>
      </c>
      <c r="L327" s="8">
        <f t="shared" ca="1" si="313"/>
        <v>6.2435484027833728E-2</v>
      </c>
      <c r="M327" s="8">
        <f t="shared" ca="1" si="313"/>
        <v>6.3582296675436786E-2</v>
      </c>
      <c r="N327" s="8">
        <f t="shared" ca="1" si="313"/>
        <v>6.4947553116886325E-2</v>
      </c>
      <c r="O327" s="8">
        <f t="shared" ca="1" si="313"/>
        <v>6.6641826157006742E-2</v>
      </c>
    </row>
    <row r="328" spans="2:15">
      <c r="B328" s="3">
        <v>307</v>
      </c>
      <c r="C328" s="8">
        <f t="shared" si="263"/>
        <v>0.05</v>
      </c>
      <c r="D328" s="8">
        <f t="shared" ref="D328:O328" ca="1" si="314">C328+k*(theta-C328)*dt+vol*SQRT(dt*C328)*_xlfn.NORM.S.INV(RAND())</f>
        <v>5.3033455216085192E-2</v>
      </c>
      <c r="E328" s="8">
        <f t="shared" ca="1" si="314"/>
        <v>5.5269803317679882E-2</v>
      </c>
      <c r="F328" s="8">
        <f t="shared" ca="1" si="314"/>
        <v>5.6545481700782337E-2</v>
      </c>
      <c r="G328" s="8">
        <f t="shared" ca="1" si="314"/>
        <v>5.7724360448355931E-2</v>
      </c>
      <c r="H328" s="8">
        <f t="shared" ca="1" si="314"/>
        <v>5.7099235314373498E-2</v>
      </c>
      <c r="I328" s="8">
        <f t="shared" ca="1" si="314"/>
        <v>6.0445895518530565E-2</v>
      </c>
      <c r="J328" s="8">
        <f t="shared" ca="1" si="314"/>
        <v>6.0771090145040792E-2</v>
      </c>
      <c r="K328" s="8">
        <f t="shared" ca="1" si="314"/>
        <v>6.0658807863546021E-2</v>
      </c>
      <c r="L328" s="8">
        <f t="shared" ca="1" si="314"/>
        <v>6.2094192064425888E-2</v>
      </c>
      <c r="M328" s="8">
        <f t="shared" ca="1" si="314"/>
        <v>6.3491618655717078E-2</v>
      </c>
      <c r="N328" s="8">
        <f t="shared" ca="1" si="314"/>
        <v>6.4332982429687754E-2</v>
      </c>
      <c r="O328" s="8">
        <f t="shared" ca="1" si="314"/>
        <v>6.6738978565563295E-2</v>
      </c>
    </row>
    <row r="329" spans="2:15">
      <c r="B329" s="3">
        <v>308</v>
      </c>
      <c r="C329" s="8">
        <f t="shared" si="263"/>
        <v>0.05</v>
      </c>
      <c r="D329" s="8">
        <f t="shared" ref="D329:O329" ca="1" si="315">C329+k*(theta-C329)*dt+vol*SQRT(dt*C329)*_xlfn.NORM.S.INV(RAND())</f>
        <v>5.1095786972414424E-2</v>
      </c>
      <c r="E329" s="8">
        <f t="shared" ca="1" si="315"/>
        <v>5.1323499549548582E-2</v>
      </c>
      <c r="F329" s="8">
        <f t="shared" ca="1" si="315"/>
        <v>5.1393614502048032E-2</v>
      </c>
      <c r="G329" s="8">
        <f t="shared" ca="1" si="315"/>
        <v>5.2593063666253319E-2</v>
      </c>
      <c r="H329" s="8">
        <f t="shared" ca="1" si="315"/>
        <v>5.4299554487386083E-2</v>
      </c>
      <c r="I329" s="8">
        <f t="shared" ca="1" si="315"/>
        <v>5.8125417999658979E-2</v>
      </c>
      <c r="J329" s="8">
        <f t="shared" ca="1" si="315"/>
        <v>5.850568265411505E-2</v>
      </c>
      <c r="K329" s="8">
        <f t="shared" ca="1" si="315"/>
        <v>5.9155591409666482E-2</v>
      </c>
      <c r="L329" s="8">
        <f t="shared" ca="1" si="315"/>
        <v>5.935723727818551E-2</v>
      </c>
      <c r="M329" s="8">
        <f t="shared" ca="1" si="315"/>
        <v>5.7622498547685377E-2</v>
      </c>
      <c r="N329" s="8">
        <f t="shared" ca="1" si="315"/>
        <v>6.1395809036075485E-2</v>
      </c>
      <c r="O329" s="8">
        <f t="shared" ca="1" si="315"/>
        <v>6.075403872276261E-2</v>
      </c>
    </row>
    <row r="330" spans="2:15">
      <c r="B330" s="3">
        <v>309</v>
      </c>
      <c r="C330" s="8">
        <f t="shared" si="263"/>
        <v>0.05</v>
      </c>
      <c r="D330" s="8">
        <f t="shared" ref="D330:O330" ca="1" si="316">C330+k*(theta-C330)*dt+vol*SQRT(dt*C330)*_xlfn.NORM.S.INV(RAND())</f>
        <v>5.2204916919211704E-2</v>
      </c>
      <c r="E330" s="8">
        <f t="shared" ca="1" si="316"/>
        <v>5.3755536484256732E-2</v>
      </c>
      <c r="F330" s="8">
        <f t="shared" ca="1" si="316"/>
        <v>5.7618477354899333E-2</v>
      </c>
      <c r="G330" s="8">
        <f t="shared" ca="1" si="316"/>
        <v>5.5075852583949231E-2</v>
      </c>
      <c r="H330" s="8">
        <f t="shared" ca="1" si="316"/>
        <v>5.6447314244113332E-2</v>
      </c>
      <c r="I330" s="8">
        <f t="shared" ca="1" si="316"/>
        <v>5.6722939198568148E-2</v>
      </c>
      <c r="J330" s="8">
        <f t="shared" ca="1" si="316"/>
        <v>5.8156418971218454E-2</v>
      </c>
      <c r="K330" s="8">
        <f t="shared" ca="1" si="316"/>
        <v>5.9748241461162782E-2</v>
      </c>
      <c r="L330" s="8">
        <f t="shared" ca="1" si="316"/>
        <v>6.0195648760100751E-2</v>
      </c>
      <c r="M330" s="8">
        <f t="shared" ca="1" si="316"/>
        <v>6.1594169732133108E-2</v>
      </c>
      <c r="N330" s="8">
        <f t="shared" ca="1" si="316"/>
        <v>5.908727461434992E-2</v>
      </c>
      <c r="O330" s="8">
        <f t="shared" ca="1" si="316"/>
        <v>6.1249873451254815E-2</v>
      </c>
    </row>
    <row r="331" spans="2:15">
      <c r="B331" s="3">
        <v>310</v>
      </c>
      <c r="C331" s="8">
        <f t="shared" si="263"/>
        <v>0.05</v>
      </c>
      <c r="D331" s="8">
        <f t="shared" ref="D331:O331" ca="1" si="317">C331+k*(theta-C331)*dt+vol*SQRT(dt*C331)*_xlfn.NORM.S.INV(RAND())</f>
        <v>5.1728333090062091E-2</v>
      </c>
      <c r="E331" s="8">
        <f t="shared" ca="1" si="317"/>
        <v>5.2912755599969712E-2</v>
      </c>
      <c r="F331" s="8">
        <f t="shared" ca="1" si="317"/>
        <v>5.452932224794764E-2</v>
      </c>
      <c r="G331" s="8">
        <f t="shared" ca="1" si="317"/>
        <v>5.6431421451586507E-2</v>
      </c>
      <c r="H331" s="8">
        <f t="shared" ca="1" si="317"/>
        <v>5.6908103540401024E-2</v>
      </c>
      <c r="I331" s="8">
        <f t="shared" ca="1" si="317"/>
        <v>5.6708464069501141E-2</v>
      </c>
      <c r="J331" s="8">
        <f t="shared" ca="1" si="317"/>
        <v>5.6732821971634241E-2</v>
      </c>
      <c r="K331" s="8">
        <f t="shared" ca="1" si="317"/>
        <v>5.6925922030571577E-2</v>
      </c>
      <c r="L331" s="8">
        <f t="shared" ca="1" si="317"/>
        <v>5.9439985038829114E-2</v>
      </c>
      <c r="M331" s="8">
        <f t="shared" ca="1" si="317"/>
        <v>5.9734928301335817E-2</v>
      </c>
      <c r="N331" s="8">
        <f t="shared" ca="1" si="317"/>
        <v>6.1498384580193126E-2</v>
      </c>
      <c r="O331" s="8">
        <f t="shared" ca="1" si="317"/>
        <v>6.6093005581609493E-2</v>
      </c>
    </row>
    <row r="332" spans="2:15">
      <c r="B332" s="3">
        <v>311</v>
      </c>
      <c r="C332" s="8">
        <f t="shared" si="263"/>
        <v>0.05</v>
      </c>
      <c r="D332" s="8">
        <f t="shared" ref="D332:O332" ca="1" si="318">C332+k*(theta-C332)*dt+vol*SQRT(dt*C332)*_xlfn.NORM.S.INV(RAND())</f>
        <v>5.3427922748517043E-2</v>
      </c>
      <c r="E332" s="8">
        <f t="shared" ca="1" si="318"/>
        <v>5.3058211874641353E-2</v>
      </c>
      <c r="F332" s="8">
        <f t="shared" ca="1" si="318"/>
        <v>5.3903495952072798E-2</v>
      </c>
      <c r="G332" s="8">
        <f t="shared" ca="1" si="318"/>
        <v>5.4981899523613161E-2</v>
      </c>
      <c r="H332" s="8">
        <f t="shared" ca="1" si="318"/>
        <v>5.4662927850575728E-2</v>
      </c>
      <c r="I332" s="8">
        <f t="shared" ca="1" si="318"/>
        <v>5.5358146985837839E-2</v>
      </c>
      <c r="J332" s="8">
        <f t="shared" ca="1" si="318"/>
        <v>5.7360598405510013E-2</v>
      </c>
      <c r="K332" s="8">
        <f t="shared" ca="1" si="318"/>
        <v>5.781787465639221E-2</v>
      </c>
      <c r="L332" s="8">
        <f t="shared" ca="1" si="318"/>
        <v>5.7095163771298856E-2</v>
      </c>
      <c r="M332" s="8">
        <f t="shared" ca="1" si="318"/>
        <v>5.8912701046906379E-2</v>
      </c>
      <c r="N332" s="8">
        <f t="shared" ca="1" si="318"/>
        <v>6.1291006127828632E-2</v>
      </c>
      <c r="O332" s="8">
        <f t="shared" ca="1" si="318"/>
        <v>6.1227316542015804E-2</v>
      </c>
    </row>
    <row r="333" spans="2:15">
      <c r="B333" s="3">
        <v>312</v>
      </c>
      <c r="C333" s="8">
        <f t="shared" si="263"/>
        <v>0.05</v>
      </c>
      <c r="D333" s="8">
        <f t="shared" ref="D333:O333" ca="1" si="319">C333+k*(theta-C333)*dt+vol*SQRT(dt*C333)*_xlfn.NORM.S.INV(RAND())</f>
        <v>5.0498705560856894E-2</v>
      </c>
      <c r="E333" s="8">
        <f t="shared" ca="1" si="319"/>
        <v>5.1273256366961707E-2</v>
      </c>
      <c r="F333" s="8">
        <f t="shared" ca="1" si="319"/>
        <v>5.2879423461133127E-2</v>
      </c>
      <c r="G333" s="8">
        <f t="shared" ca="1" si="319"/>
        <v>5.4854365150253548E-2</v>
      </c>
      <c r="H333" s="8">
        <f t="shared" ca="1" si="319"/>
        <v>5.6082691126547922E-2</v>
      </c>
      <c r="I333" s="8">
        <f t="shared" ca="1" si="319"/>
        <v>5.6248077390170285E-2</v>
      </c>
      <c r="J333" s="8">
        <f t="shared" ca="1" si="319"/>
        <v>5.5678783819094982E-2</v>
      </c>
      <c r="K333" s="8">
        <f t="shared" ca="1" si="319"/>
        <v>5.5040229540480788E-2</v>
      </c>
      <c r="L333" s="8">
        <f t="shared" ca="1" si="319"/>
        <v>5.4570120982396116E-2</v>
      </c>
      <c r="M333" s="8">
        <f t="shared" ca="1" si="319"/>
        <v>5.6969935101004961E-2</v>
      </c>
      <c r="N333" s="8">
        <f t="shared" ca="1" si="319"/>
        <v>5.7263187869050172E-2</v>
      </c>
      <c r="O333" s="8">
        <f t="shared" ca="1" si="319"/>
        <v>6.1027725290225418E-2</v>
      </c>
    </row>
    <row r="334" spans="2:15">
      <c r="B334" s="3">
        <v>313</v>
      </c>
      <c r="C334" s="8">
        <f t="shared" si="263"/>
        <v>0.05</v>
      </c>
      <c r="D334" s="8">
        <f t="shared" ref="D334:O334" ca="1" si="320">C334+k*(theta-C334)*dt+vol*SQRT(dt*C334)*_xlfn.NORM.S.INV(RAND())</f>
        <v>5.1832670004173353E-2</v>
      </c>
      <c r="E334" s="8">
        <f t="shared" ca="1" si="320"/>
        <v>5.2688175918091634E-2</v>
      </c>
      <c r="F334" s="8">
        <f t="shared" ca="1" si="320"/>
        <v>5.1617539000071593E-2</v>
      </c>
      <c r="G334" s="8">
        <f t="shared" ca="1" si="320"/>
        <v>5.3353674283261383E-2</v>
      </c>
      <c r="H334" s="8">
        <f t="shared" ca="1" si="320"/>
        <v>5.4969141451194574E-2</v>
      </c>
      <c r="I334" s="8">
        <f t="shared" ca="1" si="320"/>
        <v>5.4905534121229539E-2</v>
      </c>
      <c r="J334" s="8">
        <f t="shared" ca="1" si="320"/>
        <v>5.604208650342183E-2</v>
      </c>
      <c r="K334" s="8">
        <f t="shared" ca="1" si="320"/>
        <v>5.8368207611690176E-2</v>
      </c>
      <c r="L334" s="8">
        <f t="shared" ca="1" si="320"/>
        <v>5.7924125858753596E-2</v>
      </c>
      <c r="M334" s="8">
        <f t="shared" ca="1" si="320"/>
        <v>5.8331006278956675E-2</v>
      </c>
      <c r="N334" s="8">
        <f t="shared" ca="1" si="320"/>
        <v>6.1019666918290423E-2</v>
      </c>
      <c r="O334" s="8">
        <f t="shared" ca="1" si="320"/>
        <v>6.2832519122233962E-2</v>
      </c>
    </row>
    <row r="335" spans="2:15">
      <c r="B335" s="3">
        <v>314</v>
      </c>
      <c r="C335" s="8">
        <f t="shared" si="263"/>
        <v>0.05</v>
      </c>
      <c r="D335" s="8">
        <f t="shared" ref="D335:O335" ca="1" si="321">C335+k*(theta-C335)*dt+vol*SQRT(dt*C335)*_xlfn.NORM.S.INV(RAND())</f>
        <v>5.0185827634839759E-2</v>
      </c>
      <c r="E335" s="8">
        <f t="shared" ca="1" si="321"/>
        <v>5.3048968441057637E-2</v>
      </c>
      <c r="F335" s="8">
        <f t="shared" ca="1" si="321"/>
        <v>5.356438616478338E-2</v>
      </c>
      <c r="G335" s="8">
        <f t="shared" ca="1" si="321"/>
        <v>5.4634091009919054E-2</v>
      </c>
      <c r="H335" s="8">
        <f t="shared" ca="1" si="321"/>
        <v>5.8073909749642154E-2</v>
      </c>
      <c r="I335" s="8">
        <f t="shared" ca="1" si="321"/>
        <v>5.8107092730595507E-2</v>
      </c>
      <c r="J335" s="8">
        <f t="shared" ca="1" si="321"/>
        <v>5.8517943863301718E-2</v>
      </c>
      <c r="K335" s="8">
        <f t="shared" ca="1" si="321"/>
        <v>5.9582359975889863E-2</v>
      </c>
      <c r="L335" s="8">
        <f t="shared" ca="1" si="321"/>
        <v>5.9319471942727242E-2</v>
      </c>
      <c r="M335" s="8">
        <f t="shared" ca="1" si="321"/>
        <v>6.1759019054126188E-2</v>
      </c>
      <c r="N335" s="8">
        <f t="shared" ca="1" si="321"/>
        <v>6.2373542778698159E-2</v>
      </c>
      <c r="O335" s="8">
        <f t="shared" ca="1" si="321"/>
        <v>6.0725807467660826E-2</v>
      </c>
    </row>
    <row r="336" spans="2:15">
      <c r="B336" s="3">
        <v>315</v>
      </c>
      <c r="C336" s="8">
        <f t="shared" si="263"/>
        <v>0.05</v>
      </c>
      <c r="D336" s="8">
        <f t="shared" ref="D336:O336" ca="1" si="322">C336+k*(theta-C336)*dt+vol*SQRT(dt*C336)*_xlfn.NORM.S.INV(RAND())</f>
        <v>4.9297382901681439E-2</v>
      </c>
      <c r="E336" s="8">
        <f t="shared" ca="1" si="322"/>
        <v>5.2110290854989111E-2</v>
      </c>
      <c r="F336" s="8">
        <f t="shared" ca="1" si="322"/>
        <v>5.2294497614253505E-2</v>
      </c>
      <c r="G336" s="8">
        <f t="shared" ca="1" si="322"/>
        <v>5.4961358471332343E-2</v>
      </c>
      <c r="H336" s="8">
        <f t="shared" ca="1" si="322"/>
        <v>5.7535348302109907E-2</v>
      </c>
      <c r="I336" s="8">
        <f t="shared" ca="1" si="322"/>
        <v>6.112500166777738E-2</v>
      </c>
      <c r="J336" s="8">
        <f t="shared" ca="1" si="322"/>
        <v>5.9341660498168261E-2</v>
      </c>
      <c r="K336" s="8">
        <f t="shared" ca="1" si="322"/>
        <v>6.0994958091028936E-2</v>
      </c>
      <c r="L336" s="8">
        <f t="shared" ca="1" si="322"/>
        <v>5.8992797683359667E-2</v>
      </c>
      <c r="M336" s="8">
        <f t="shared" ca="1" si="322"/>
        <v>5.9417942088990809E-2</v>
      </c>
      <c r="N336" s="8">
        <f t="shared" ca="1" si="322"/>
        <v>5.8596785449169832E-2</v>
      </c>
      <c r="O336" s="8">
        <f t="shared" ca="1" si="322"/>
        <v>5.8532492140567022E-2</v>
      </c>
    </row>
    <row r="337" spans="2:15">
      <c r="B337" s="3">
        <v>316</v>
      </c>
      <c r="C337" s="8">
        <f t="shared" si="263"/>
        <v>0.05</v>
      </c>
      <c r="D337" s="8">
        <f t="shared" ref="D337:O337" ca="1" si="323">C337+k*(theta-C337)*dt+vol*SQRT(dt*C337)*_xlfn.NORM.S.INV(RAND())</f>
        <v>5.1866794175596351E-2</v>
      </c>
      <c r="E337" s="8">
        <f t="shared" ca="1" si="323"/>
        <v>5.3480306277249229E-2</v>
      </c>
      <c r="F337" s="8">
        <f t="shared" ca="1" si="323"/>
        <v>5.6468417024675428E-2</v>
      </c>
      <c r="G337" s="8">
        <f t="shared" ca="1" si="323"/>
        <v>5.9138268407447611E-2</v>
      </c>
      <c r="H337" s="8">
        <f t="shared" ca="1" si="323"/>
        <v>5.8267409725785875E-2</v>
      </c>
      <c r="I337" s="8">
        <f t="shared" ca="1" si="323"/>
        <v>6.0996223239047298E-2</v>
      </c>
      <c r="J337" s="8">
        <f t="shared" ca="1" si="323"/>
        <v>6.3840523964434098E-2</v>
      </c>
      <c r="K337" s="8">
        <f t="shared" ca="1" si="323"/>
        <v>6.4255086649847484E-2</v>
      </c>
      <c r="L337" s="8">
        <f t="shared" ca="1" si="323"/>
        <v>6.5528030540713572E-2</v>
      </c>
      <c r="M337" s="8">
        <f t="shared" ca="1" si="323"/>
        <v>6.4335493247803299E-2</v>
      </c>
      <c r="N337" s="8">
        <f t="shared" ca="1" si="323"/>
        <v>6.376063155188437E-2</v>
      </c>
      <c r="O337" s="8">
        <f t="shared" ca="1" si="323"/>
        <v>6.5134191409504091E-2</v>
      </c>
    </row>
    <row r="338" spans="2:15">
      <c r="B338" s="3">
        <v>317</v>
      </c>
      <c r="C338" s="8">
        <f t="shared" si="263"/>
        <v>0.05</v>
      </c>
      <c r="D338" s="8">
        <f t="shared" ref="D338:O338" ca="1" si="324">C338+k*(theta-C338)*dt+vol*SQRT(dt*C338)*_xlfn.NORM.S.INV(RAND())</f>
        <v>5.1197613761226661E-2</v>
      </c>
      <c r="E338" s="8">
        <f t="shared" ca="1" si="324"/>
        <v>5.4153636437833289E-2</v>
      </c>
      <c r="F338" s="8">
        <f t="shared" ca="1" si="324"/>
        <v>5.4600777510500124E-2</v>
      </c>
      <c r="G338" s="8">
        <f t="shared" ca="1" si="324"/>
        <v>5.4283372776759709E-2</v>
      </c>
      <c r="H338" s="8">
        <f t="shared" ca="1" si="324"/>
        <v>5.3487555111563917E-2</v>
      </c>
      <c r="I338" s="8">
        <f t="shared" ca="1" si="324"/>
        <v>5.5958325871645204E-2</v>
      </c>
      <c r="J338" s="8">
        <f t="shared" ca="1" si="324"/>
        <v>5.6303817086894761E-2</v>
      </c>
      <c r="K338" s="8">
        <f t="shared" ca="1" si="324"/>
        <v>5.7811529095026432E-2</v>
      </c>
      <c r="L338" s="8">
        <f t="shared" ca="1" si="324"/>
        <v>5.9280349098847621E-2</v>
      </c>
      <c r="M338" s="8">
        <f t="shared" ca="1" si="324"/>
        <v>5.9520299294687037E-2</v>
      </c>
      <c r="N338" s="8">
        <f t="shared" ca="1" si="324"/>
        <v>5.9707474434368905E-2</v>
      </c>
      <c r="O338" s="8">
        <f t="shared" ca="1" si="324"/>
        <v>6.0230212584001873E-2</v>
      </c>
    </row>
    <row r="339" spans="2:15">
      <c r="B339" s="3">
        <v>318</v>
      </c>
      <c r="C339" s="8">
        <f t="shared" si="263"/>
        <v>0.05</v>
      </c>
      <c r="D339" s="8">
        <f t="shared" ref="D339:O339" ca="1" si="325">C339+k*(theta-C339)*dt+vol*SQRT(dt*C339)*_xlfn.NORM.S.INV(RAND())</f>
        <v>4.9802980243119042E-2</v>
      </c>
      <c r="E339" s="8">
        <f t="shared" ca="1" si="325"/>
        <v>5.0918432638816111E-2</v>
      </c>
      <c r="F339" s="8">
        <f t="shared" ca="1" si="325"/>
        <v>4.9208834644953625E-2</v>
      </c>
      <c r="G339" s="8">
        <f t="shared" ca="1" si="325"/>
        <v>5.023592767430362E-2</v>
      </c>
      <c r="H339" s="8">
        <f t="shared" ca="1" si="325"/>
        <v>5.3007984926666966E-2</v>
      </c>
      <c r="I339" s="8">
        <f t="shared" ca="1" si="325"/>
        <v>5.2138129904590769E-2</v>
      </c>
      <c r="J339" s="8">
        <f t="shared" ca="1" si="325"/>
        <v>5.3742047629697559E-2</v>
      </c>
      <c r="K339" s="8">
        <f t="shared" ca="1" si="325"/>
        <v>5.6445754455702053E-2</v>
      </c>
      <c r="L339" s="8">
        <f t="shared" ca="1" si="325"/>
        <v>5.6346946581030524E-2</v>
      </c>
      <c r="M339" s="8">
        <f t="shared" ca="1" si="325"/>
        <v>5.8554093714377822E-2</v>
      </c>
      <c r="N339" s="8">
        <f t="shared" ca="1" si="325"/>
        <v>6.0795337508482518E-2</v>
      </c>
      <c r="O339" s="8">
        <f t="shared" ca="1" si="325"/>
        <v>6.083015885405841E-2</v>
      </c>
    </row>
    <row r="340" spans="2:15">
      <c r="B340" s="3">
        <v>319</v>
      </c>
      <c r="C340" s="8">
        <f t="shared" si="263"/>
        <v>0.05</v>
      </c>
      <c r="D340" s="8">
        <f t="shared" ref="D340:O340" ca="1" si="326">C340+k*(theta-C340)*dt+vol*SQRT(dt*C340)*_xlfn.NORM.S.INV(RAND())</f>
        <v>5.0442821922960582E-2</v>
      </c>
      <c r="E340" s="8">
        <f t="shared" ca="1" si="326"/>
        <v>5.0501317778416627E-2</v>
      </c>
      <c r="F340" s="8">
        <f t="shared" ca="1" si="326"/>
        <v>5.2224180502227442E-2</v>
      </c>
      <c r="G340" s="8">
        <f t="shared" ca="1" si="326"/>
        <v>5.2900679799573275E-2</v>
      </c>
      <c r="H340" s="8">
        <f t="shared" ca="1" si="326"/>
        <v>5.3229709637682955E-2</v>
      </c>
      <c r="I340" s="8">
        <f t="shared" ca="1" si="326"/>
        <v>5.4037911874482661E-2</v>
      </c>
      <c r="J340" s="8">
        <f t="shared" ca="1" si="326"/>
        <v>5.552283705301362E-2</v>
      </c>
      <c r="K340" s="8">
        <f t="shared" ca="1" si="326"/>
        <v>5.5344942438997485E-2</v>
      </c>
      <c r="L340" s="8">
        <f t="shared" ca="1" si="326"/>
        <v>5.6107257605450996E-2</v>
      </c>
      <c r="M340" s="8">
        <f t="shared" ca="1" si="326"/>
        <v>5.9578328202177747E-2</v>
      </c>
      <c r="N340" s="8">
        <f t="shared" ca="1" si="326"/>
        <v>6.1146190297687641E-2</v>
      </c>
      <c r="O340" s="8">
        <f t="shared" ca="1" si="326"/>
        <v>6.4360844004397774E-2</v>
      </c>
    </row>
    <row r="341" spans="2:15">
      <c r="B341" s="3">
        <v>320</v>
      </c>
      <c r="C341" s="8">
        <f t="shared" si="263"/>
        <v>0.05</v>
      </c>
      <c r="D341" s="8">
        <f t="shared" ref="D341:O341" ca="1" si="327">C341+k*(theta-C341)*dt+vol*SQRT(dt*C341)*_xlfn.NORM.S.INV(RAND())</f>
        <v>4.9754824133365877E-2</v>
      </c>
      <c r="E341" s="8">
        <f t="shared" ca="1" si="327"/>
        <v>4.7960645965091517E-2</v>
      </c>
      <c r="F341" s="8">
        <f t="shared" ca="1" si="327"/>
        <v>4.8427858353799688E-2</v>
      </c>
      <c r="G341" s="8">
        <f t="shared" ca="1" si="327"/>
        <v>4.8889296178601896E-2</v>
      </c>
      <c r="H341" s="8">
        <f t="shared" ca="1" si="327"/>
        <v>5.1847983151227656E-2</v>
      </c>
      <c r="I341" s="8">
        <f t="shared" ca="1" si="327"/>
        <v>5.4254649578141301E-2</v>
      </c>
      <c r="J341" s="8">
        <f t="shared" ca="1" si="327"/>
        <v>5.7190067314735998E-2</v>
      </c>
      <c r="K341" s="8">
        <f t="shared" ca="1" si="327"/>
        <v>5.6130355051940597E-2</v>
      </c>
      <c r="L341" s="8">
        <f t="shared" ca="1" si="327"/>
        <v>5.6009687140326656E-2</v>
      </c>
      <c r="M341" s="8">
        <f t="shared" ca="1" si="327"/>
        <v>5.8749926097844248E-2</v>
      </c>
      <c r="N341" s="8">
        <f t="shared" ca="1" si="327"/>
        <v>5.9053242747414497E-2</v>
      </c>
      <c r="O341" s="8">
        <f t="shared" ca="1" si="327"/>
        <v>5.9104428821430188E-2</v>
      </c>
    </row>
    <row r="342" spans="2:15">
      <c r="B342" s="3">
        <v>321</v>
      </c>
      <c r="C342" s="8">
        <f t="shared" ref="C342:C405" si="328">r0</f>
        <v>0.05</v>
      </c>
      <c r="D342" s="8">
        <f t="shared" ref="D342:O342" ca="1" si="329">C342+k*(theta-C342)*dt+vol*SQRT(dt*C342)*_xlfn.NORM.S.INV(RAND())</f>
        <v>5.3032210486946348E-2</v>
      </c>
      <c r="E342" s="8">
        <f t="shared" ca="1" si="329"/>
        <v>5.4174472667055398E-2</v>
      </c>
      <c r="F342" s="8">
        <f t="shared" ca="1" si="329"/>
        <v>5.5429989345309259E-2</v>
      </c>
      <c r="G342" s="8">
        <f t="shared" ca="1" si="329"/>
        <v>5.7026761363117531E-2</v>
      </c>
      <c r="H342" s="8">
        <f t="shared" ca="1" si="329"/>
        <v>5.7768424151249123E-2</v>
      </c>
      <c r="I342" s="8">
        <f t="shared" ca="1" si="329"/>
        <v>5.8254922783280802E-2</v>
      </c>
      <c r="J342" s="8">
        <f t="shared" ca="1" si="329"/>
        <v>5.850629835797358E-2</v>
      </c>
      <c r="K342" s="8">
        <f t="shared" ca="1" si="329"/>
        <v>5.8883073389338389E-2</v>
      </c>
      <c r="L342" s="8">
        <f t="shared" ca="1" si="329"/>
        <v>5.6808930294079976E-2</v>
      </c>
      <c r="M342" s="8">
        <f t="shared" ca="1" si="329"/>
        <v>5.6838470115713899E-2</v>
      </c>
      <c r="N342" s="8">
        <f t="shared" ca="1" si="329"/>
        <v>6.1073341991804295E-2</v>
      </c>
      <c r="O342" s="8">
        <f t="shared" ca="1" si="329"/>
        <v>5.9411497399614259E-2</v>
      </c>
    </row>
    <row r="343" spans="2:15">
      <c r="B343" s="3">
        <v>322</v>
      </c>
      <c r="C343" s="8">
        <f t="shared" si="328"/>
        <v>0.05</v>
      </c>
      <c r="D343" s="8">
        <f t="shared" ref="D343:O343" ca="1" si="330">C343+k*(theta-C343)*dt+vol*SQRT(dt*C343)*_xlfn.NORM.S.INV(RAND())</f>
        <v>4.9178510547415018E-2</v>
      </c>
      <c r="E343" s="8">
        <f t="shared" ca="1" si="330"/>
        <v>5.1832509551477321E-2</v>
      </c>
      <c r="F343" s="8">
        <f t="shared" ca="1" si="330"/>
        <v>5.4391116867824926E-2</v>
      </c>
      <c r="G343" s="8">
        <f t="shared" ca="1" si="330"/>
        <v>5.6056248304206961E-2</v>
      </c>
      <c r="H343" s="8">
        <f t="shared" ca="1" si="330"/>
        <v>5.7690305005428398E-2</v>
      </c>
      <c r="I343" s="8">
        <f t="shared" ca="1" si="330"/>
        <v>5.9477943798764255E-2</v>
      </c>
      <c r="J343" s="8">
        <f t="shared" ca="1" si="330"/>
        <v>6.1180841664603872E-2</v>
      </c>
      <c r="K343" s="8">
        <f t="shared" ca="1" si="330"/>
        <v>6.2765646474559816E-2</v>
      </c>
      <c r="L343" s="8">
        <f t="shared" ca="1" si="330"/>
        <v>6.5897929638715477E-2</v>
      </c>
      <c r="M343" s="8">
        <f t="shared" ca="1" si="330"/>
        <v>6.8071148226836187E-2</v>
      </c>
      <c r="N343" s="8">
        <f t="shared" ca="1" si="330"/>
        <v>6.831243514353566E-2</v>
      </c>
      <c r="O343" s="8">
        <f t="shared" ca="1" si="330"/>
        <v>6.7452944000252632E-2</v>
      </c>
    </row>
    <row r="344" spans="2:15">
      <c r="B344" s="3">
        <v>323</v>
      </c>
      <c r="C344" s="8">
        <f t="shared" si="328"/>
        <v>0.05</v>
      </c>
      <c r="D344" s="8">
        <f t="shared" ref="D344:O344" ca="1" si="331">C344+k*(theta-C344)*dt+vol*SQRT(dt*C344)*_xlfn.NORM.S.INV(RAND())</f>
        <v>5.0131495312325955E-2</v>
      </c>
      <c r="E344" s="8">
        <f t="shared" ca="1" si="331"/>
        <v>5.2149730717832264E-2</v>
      </c>
      <c r="F344" s="8">
        <f t="shared" ca="1" si="331"/>
        <v>5.3316580415217481E-2</v>
      </c>
      <c r="G344" s="8">
        <f t="shared" ca="1" si="331"/>
        <v>5.5708842908759867E-2</v>
      </c>
      <c r="H344" s="8">
        <f t="shared" ca="1" si="331"/>
        <v>5.3839036285509331E-2</v>
      </c>
      <c r="I344" s="8">
        <f t="shared" ca="1" si="331"/>
        <v>5.4075781791933827E-2</v>
      </c>
      <c r="J344" s="8">
        <f t="shared" ca="1" si="331"/>
        <v>5.531744517234357E-2</v>
      </c>
      <c r="K344" s="8">
        <f t="shared" ca="1" si="331"/>
        <v>5.6894674280548486E-2</v>
      </c>
      <c r="L344" s="8">
        <f t="shared" ca="1" si="331"/>
        <v>5.8865402097331598E-2</v>
      </c>
      <c r="M344" s="8">
        <f t="shared" ca="1" si="331"/>
        <v>5.9379196313655659E-2</v>
      </c>
      <c r="N344" s="8">
        <f t="shared" ca="1" si="331"/>
        <v>5.9769471267632775E-2</v>
      </c>
      <c r="O344" s="8">
        <f t="shared" ca="1" si="331"/>
        <v>5.881723059119006E-2</v>
      </c>
    </row>
    <row r="345" spans="2:15">
      <c r="B345" s="3">
        <v>324</v>
      </c>
      <c r="C345" s="8">
        <f t="shared" si="328"/>
        <v>0.05</v>
      </c>
      <c r="D345" s="8">
        <f t="shared" ref="D345:O345" ca="1" si="332">C345+k*(theta-C345)*dt+vol*SQRT(dt*C345)*_xlfn.NORM.S.INV(RAND())</f>
        <v>5.0708127910011433E-2</v>
      </c>
      <c r="E345" s="8">
        <f t="shared" ca="1" si="332"/>
        <v>5.2103549362067389E-2</v>
      </c>
      <c r="F345" s="8">
        <f t="shared" ca="1" si="332"/>
        <v>5.3988351349861463E-2</v>
      </c>
      <c r="G345" s="8">
        <f t="shared" ca="1" si="332"/>
        <v>5.5353513120060399E-2</v>
      </c>
      <c r="H345" s="8">
        <f t="shared" ca="1" si="332"/>
        <v>5.7961794493624215E-2</v>
      </c>
      <c r="I345" s="8">
        <f t="shared" ca="1" si="332"/>
        <v>5.6251644280655377E-2</v>
      </c>
      <c r="J345" s="8">
        <f t="shared" ca="1" si="332"/>
        <v>5.4026332802301513E-2</v>
      </c>
      <c r="K345" s="8">
        <f t="shared" ca="1" si="332"/>
        <v>5.4640950135532398E-2</v>
      </c>
      <c r="L345" s="8">
        <f t="shared" ca="1" si="332"/>
        <v>5.4617628025401467E-2</v>
      </c>
      <c r="M345" s="8">
        <f t="shared" ca="1" si="332"/>
        <v>5.722267288816911E-2</v>
      </c>
      <c r="N345" s="8">
        <f t="shared" ca="1" si="332"/>
        <v>6.097344083389869E-2</v>
      </c>
      <c r="O345" s="8">
        <f t="shared" ca="1" si="332"/>
        <v>6.4345779682532633E-2</v>
      </c>
    </row>
    <row r="346" spans="2:15">
      <c r="B346" s="3">
        <v>325</v>
      </c>
      <c r="C346" s="8">
        <f t="shared" si="328"/>
        <v>0.05</v>
      </c>
      <c r="D346" s="8">
        <f t="shared" ref="D346:O346" ca="1" si="333">C346+k*(theta-C346)*dt+vol*SQRT(dt*C346)*_xlfn.NORM.S.INV(RAND())</f>
        <v>4.9960699525104096E-2</v>
      </c>
      <c r="E346" s="8">
        <f t="shared" ca="1" si="333"/>
        <v>5.1314232660806557E-2</v>
      </c>
      <c r="F346" s="8">
        <f t="shared" ca="1" si="333"/>
        <v>5.4764164602449282E-2</v>
      </c>
      <c r="G346" s="8">
        <f t="shared" ca="1" si="333"/>
        <v>6.0254057046307478E-2</v>
      </c>
      <c r="H346" s="8">
        <f t="shared" ca="1" si="333"/>
        <v>6.1448464407994063E-2</v>
      </c>
      <c r="I346" s="8">
        <f t="shared" ca="1" si="333"/>
        <v>6.0847457180145011E-2</v>
      </c>
      <c r="J346" s="8">
        <f t="shared" ca="1" si="333"/>
        <v>6.0902175037846659E-2</v>
      </c>
      <c r="K346" s="8">
        <f t="shared" ca="1" si="333"/>
        <v>6.3089366459161939E-2</v>
      </c>
      <c r="L346" s="8">
        <f t="shared" ca="1" si="333"/>
        <v>6.5463738026478313E-2</v>
      </c>
      <c r="M346" s="8">
        <f t="shared" ca="1" si="333"/>
        <v>6.684033363038254E-2</v>
      </c>
      <c r="N346" s="8">
        <f t="shared" ca="1" si="333"/>
        <v>6.7606111397019691E-2</v>
      </c>
      <c r="O346" s="8">
        <f t="shared" ca="1" si="333"/>
        <v>6.9297723392721125E-2</v>
      </c>
    </row>
    <row r="347" spans="2:15">
      <c r="B347" s="3">
        <v>326</v>
      </c>
      <c r="C347" s="8">
        <f t="shared" si="328"/>
        <v>0.05</v>
      </c>
      <c r="D347" s="8">
        <f t="shared" ref="D347:O347" ca="1" si="334">C347+k*(theta-C347)*dt+vol*SQRT(dt*C347)*_xlfn.NORM.S.INV(RAND())</f>
        <v>5.3019760993428651E-2</v>
      </c>
      <c r="E347" s="8">
        <f t="shared" ca="1" si="334"/>
        <v>5.5081261276449765E-2</v>
      </c>
      <c r="F347" s="8">
        <f t="shared" ca="1" si="334"/>
        <v>5.5135967000837914E-2</v>
      </c>
      <c r="G347" s="8">
        <f t="shared" ca="1" si="334"/>
        <v>5.6180678803765045E-2</v>
      </c>
      <c r="H347" s="8">
        <f t="shared" ca="1" si="334"/>
        <v>5.8066597178330417E-2</v>
      </c>
      <c r="I347" s="8">
        <f t="shared" ca="1" si="334"/>
        <v>5.8536581184458106E-2</v>
      </c>
      <c r="J347" s="8">
        <f t="shared" ca="1" si="334"/>
        <v>5.9728136469027401E-2</v>
      </c>
      <c r="K347" s="8">
        <f t="shared" ca="1" si="334"/>
        <v>6.1662800276445842E-2</v>
      </c>
      <c r="L347" s="8">
        <f t="shared" ca="1" si="334"/>
        <v>6.2344572177169731E-2</v>
      </c>
      <c r="M347" s="8">
        <f t="shared" ca="1" si="334"/>
        <v>6.2614815224685552E-2</v>
      </c>
      <c r="N347" s="8">
        <f t="shared" ca="1" si="334"/>
        <v>6.424700580910489E-2</v>
      </c>
      <c r="O347" s="8">
        <f t="shared" ca="1" si="334"/>
        <v>6.6417267552584133E-2</v>
      </c>
    </row>
    <row r="348" spans="2:15">
      <c r="B348" s="3">
        <v>327</v>
      </c>
      <c r="C348" s="8">
        <f t="shared" si="328"/>
        <v>0.05</v>
      </c>
      <c r="D348" s="8">
        <f t="shared" ref="D348:O348" ca="1" si="335">C348+k*(theta-C348)*dt+vol*SQRT(dt*C348)*_xlfn.NORM.S.INV(RAND())</f>
        <v>5.2087372076269199E-2</v>
      </c>
      <c r="E348" s="8">
        <f t="shared" ca="1" si="335"/>
        <v>5.2396033421971661E-2</v>
      </c>
      <c r="F348" s="8">
        <f t="shared" ca="1" si="335"/>
        <v>5.2003244379640823E-2</v>
      </c>
      <c r="G348" s="8">
        <f t="shared" ca="1" si="335"/>
        <v>5.2076648531929094E-2</v>
      </c>
      <c r="H348" s="8">
        <f t="shared" ca="1" si="335"/>
        <v>5.6066909484530018E-2</v>
      </c>
      <c r="I348" s="8">
        <f t="shared" ca="1" si="335"/>
        <v>5.6511475164109183E-2</v>
      </c>
      <c r="J348" s="8">
        <f t="shared" ca="1" si="335"/>
        <v>5.6099867607655417E-2</v>
      </c>
      <c r="K348" s="8">
        <f t="shared" ca="1" si="335"/>
        <v>5.5790928910048852E-2</v>
      </c>
      <c r="L348" s="8">
        <f t="shared" ca="1" si="335"/>
        <v>5.6502343979089209E-2</v>
      </c>
      <c r="M348" s="8">
        <f t="shared" ca="1" si="335"/>
        <v>5.8079244277778129E-2</v>
      </c>
      <c r="N348" s="8">
        <f t="shared" ca="1" si="335"/>
        <v>5.8787728832405385E-2</v>
      </c>
      <c r="O348" s="8">
        <f t="shared" ca="1" si="335"/>
        <v>6.1496060107569951E-2</v>
      </c>
    </row>
    <row r="349" spans="2:15">
      <c r="B349" s="3">
        <v>328</v>
      </c>
      <c r="C349" s="8">
        <f t="shared" si="328"/>
        <v>0.05</v>
      </c>
      <c r="D349" s="8">
        <f t="shared" ref="D349:O349" ca="1" si="336">C349+k*(theta-C349)*dt+vol*SQRT(dt*C349)*_xlfn.NORM.S.INV(RAND())</f>
        <v>4.9531140148785457E-2</v>
      </c>
      <c r="E349" s="8">
        <f t="shared" ca="1" si="336"/>
        <v>5.2382255258110404E-2</v>
      </c>
      <c r="F349" s="8">
        <f t="shared" ca="1" si="336"/>
        <v>5.445324585539215E-2</v>
      </c>
      <c r="G349" s="8">
        <f t="shared" ca="1" si="336"/>
        <v>5.5381093368694831E-2</v>
      </c>
      <c r="H349" s="8">
        <f t="shared" ca="1" si="336"/>
        <v>5.5295669181339338E-2</v>
      </c>
      <c r="I349" s="8">
        <f t="shared" ca="1" si="336"/>
        <v>5.692107685363583E-2</v>
      </c>
      <c r="J349" s="8">
        <f t="shared" ca="1" si="336"/>
        <v>5.5771075644090382E-2</v>
      </c>
      <c r="K349" s="8">
        <f t="shared" ca="1" si="336"/>
        <v>5.7374049952559576E-2</v>
      </c>
      <c r="L349" s="8">
        <f t="shared" ca="1" si="336"/>
        <v>5.6302015620286541E-2</v>
      </c>
      <c r="M349" s="8">
        <f t="shared" ca="1" si="336"/>
        <v>5.6913843884379423E-2</v>
      </c>
      <c r="N349" s="8">
        <f t="shared" ca="1" si="336"/>
        <v>5.841462199901544E-2</v>
      </c>
      <c r="O349" s="8">
        <f t="shared" ca="1" si="336"/>
        <v>6.009316068769327E-2</v>
      </c>
    </row>
    <row r="350" spans="2:15">
      <c r="B350" s="3">
        <v>329</v>
      </c>
      <c r="C350" s="8">
        <f t="shared" si="328"/>
        <v>0.05</v>
      </c>
      <c r="D350" s="8">
        <f t="shared" ref="D350:O350" ca="1" si="337">C350+k*(theta-C350)*dt+vol*SQRT(dt*C350)*_xlfn.NORM.S.INV(RAND())</f>
        <v>5.3361232697975956E-2</v>
      </c>
      <c r="E350" s="8">
        <f t="shared" ca="1" si="337"/>
        <v>5.41751410909172E-2</v>
      </c>
      <c r="F350" s="8">
        <f t="shared" ca="1" si="337"/>
        <v>5.3894487849065136E-2</v>
      </c>
      <c r="G350" s="8">
        <f t="shared" ca="1" si="337"/>
        <v>5.6128421604472879E-2</v>
      </c>
      <c r="H350" s="8">
        <f t="shared" ca="1" si="337"/>
        <v>5.4715977273134583E-2</v>
      </c>
      <c r="I350" s="8">
        <f t="shared" ca="1" si="337"/>
        <v>5.7283727359301789E-2</v>
      </c>
      <c r="J350" s="8">
        <f t="shared" ca="1" si="337"/>
        <v>6.0670931116364193E-2</v>
      </c>
      <c r="K350" s="8">
        <f t="shared" ca="1" si="337"/>
        <v>6.3715990879767453E-2</v>
      </c>
      <c r="L350" s="8">
        <f t="shared" ca="1" si="337"/>
        <v>6.4118861404645427E-2</v>
      </c>
      <c r="M350" s="8">
        <f t="shared" ca="1" si="337"/>
        <v>6.4820507904654712E-2</v>
      </c>
      <c r="N350" s="8">
        <f t="shared" ca="1" si="337"/>
        <v>6.0778647940929548E-2</v>
      </c>
      <c r="O350" s="8">
        <f t="shared" ca="1" si="337"/>
        <v>6.3361952040752484E-2</v>
      </c>
    </row>
    <row r="351" spans="2:15">
      <c r="B351" s="3">
        <v>330</v>
      </c>
      <c r="C351" s="8">
        <f t="shared" si="328"/>
        <v>0.05</v>
      </c>
      <c r="D351" s="8">
        <f t="shared" ref="D351:O351" ca="1" si="338">C351+k*(theta-C351)*dt+vol*SQRT(dt*C351)*_xlfn.NORM.S.INV(RAND())</f>
        <v>4.9269777630254377E-2</v>
      </c>
      <c r="E351" s="8">
        <f t="shared" ca="1" si="338"/>
        <v>4.7516646558166294E-2</v>
      </c>
      <c r="F351" s="8">
        <f t="shared" ca="1" si="338"/>
        <v>5.0086712913268973E-2</v>
      </c>
      <c r="G351" s="8">
        <f t="shared" ca="1" si="338"/>
        <v>5.123476306137207E-2</v>
      </c>
      <c r="H351" s="8">
        <f t="shared" ca="1" si="338"/>
        <v>5.3197887047615029E-2</v>
      </c>
      <c r="I351" s="8">
        <f t="shared" ca="1" si="338"/>
        <v>5.3689868691710482E-2</v>
      </c>
      <c r="J351" s="8">
        <f t="shared" ca="1" si="338"/>
        <v>5.4860659295893288E-2</v>
      </c>
      <c r="K351" s="8">
        <f t="shared" ca="1" si="338"/>
        <v>5.4664509709434025E-2</v>
      </c>
      <c r="L351" s="8">
        <f t="shared" ca="1" si="338"/>
        <v>5.6298963875068074E-2</v>
      </c>
      <c r="M351" s="8">
        <f t="shared" ca="1" si="338"/>
        <v>5.6628164448832848E-2</v>
      </c>
      <c r="N351" s="8">
        <f t="shared" ca="1" si="338"/>
        <v>5.7352849852799016E-2</v>
      </c>
      <c r="O351" s="8">
        <f t="shared" ca="1" si="338"/>
        <v>6.0109426289694352E-2</v>
      </c>
    </row>
    <row r="352" spans="2:15">
      <c r="B352" s="3">
        <v>331</v>
      </c>
      <c r="C352" s="8">
        <f t="shared" si="328"/>
        <v>0.05</v>
      </c>
      <c r="D352" s="8">
        <f t="shared" ref="D352:O352" ca="1" si="339">C352+k*(theta-C352)*dt+vol*SQRT(dt*C352)*_xlfn.NORM.S.INV(RAND())</f>
        <v>5.2811632954380537E-2</v>
      </c>
      <c r="E352" s="8">
        <f t="shared" ca="1" si="339"/>
        <v>5.3601364135838964E-2</v>
      </c>
      <c r="F352" s="8">
        <f t="shared" ca="1" si="339"/>
        <v>5.3108083096031072E-2</v>
      </c>
      <c r="G352" s="8">
        <f t="shared" ca="1" si="339"/>
        <v>5.2880292253232347E-2</v>
      </c>
      <c r="H352" s="8">
        <f t="shared" ca="1" si="339"/>
        <v>5.1794882143343449E-2</v>
      </c>
      <c r="I352" s="8">
        <f t="shared" ca="1" si="339"/>
        <v>5.4970909928680096E-2</v>
      </c>
      <c r="J352" s="8">
        <f t="shared" ca="1" si="339"/>
        <v>5.5813174510336801E-2</v>
      </c>
      <c r="K352" s="8">
        <f t="shared" ca="1" si="339"/>
        <v>5.700775883585664E-2</v>
      </c>
      <c r="L352" s="8">
        <f t="shared" ca="1" si="339"/>
        <v>5.8170651734006013E-2</v>
      </c>
      <c r="M352" s="8">
        <f t="shared" ca="1" si="339"/>
        <v>5.9547490604774947E-2</v>
      </c>
      <c r="N352" s="8">
        <f t="shared" ca="1" si="339"/>
        <v>6.0755402636818827E-2</v>
      </c>
      <c r="O352" s="8">
        <f t="shared" ca="1" si="339"/>
        <v>6.1575819287914349E-2</v>
      </c>
    </row>
    <row r="353" spans="2:15">
      <c r="B353" s="3">
        <v>332</v>
      </c>
      <c r="C353" s="8">
        <f t="shared" si="328"/>
        <v>0.05</v>
      </c>
      <c r="D353" s="8">
        <f t="shared" ref="D353:O353" ca="1" si="340">C353+k*(theta-C353)*dt+vol*SQRT(dt*C353)*_xlfn.NORM.S.INV(RAND())</f>
        <v>5.0989646416319527E-2</v>
      </c>
      <c r="E353" s="8">
        <f t="shared" ca="1" si="340"/>
        <v>5.0897148249555733E-2</v>
      </c>
      <c r="F353" s="8">
        <f t="shared" ca="1" si="340"/>
        <v>5.2234732026400665E-2</v>
      </c>
      <c r="G353" s="8">
        <f t="shared" ca="1" si="340"/>
        <v>5.487859745539566E-2</v>
      </c>
      <c r="H353" s="8">
        <f t="shared" ca="1" si="340"/>
        <v>5.7948370416028225E-2</v>
      </c>
      <c r="I353" s="8">
        <f t="shared" ca="1" si="340"/>
        <v>6.0253951363372638E-2</v>
      </c>
      <c r="J353" s="8">
        <f t="shared" ca="1" si="340"/>
        <v>6.221714055530126E-2</v>
      </c>
      <c r="K353" s="8">
        <f t="shared" ca="1" si="340"/>
        <v>6.3159981389387262E-2</v>
      </c>
      <c r="L353" s="8">
        <f t="shared" ca="1" si="340"/>
        <v>6.4723884298235876E-2</v>
      </c>
      <c r="M353" s="8">
        <f t="shared" ca="1" si="340"/>
        <v>6.6595227268844356E-2</v>
      </c>
      <c r="N353" s="8">
        <f t="shared" ca="1" si="340"/>
        <v>6.8718637852372547E-2</v>
      </c>
      <c r="O353" s="8">
        <f t="shared" ca="1" si="340"/>
        <v>7.0895821757009342E-2</v>
      </c>
    </row>
    <row r="354" spans="2:15">
      <c r="B354" s="3">
        <v>333</v>
      </c>
      <c r="C354" s="8">
        <f t="shared" si="328"/>
        <v>0.05</v>
      </c>
      <c r="D354" s="8">
        <f t="shared" ref="D354:O354" ca="1" si="341">C354+k*(theta-C354)*dt+vol*SQRT(dt*C354)*_xlfn.NORM.S.INV(RAND())</f>
        <v>5.1322560836021519E-2</v>
      </c>
      <c r="E354" s="8">
        <f t="shared" ca="1" si="341"/>
        <v>5.3905100669181721E-2</v>
      </c>
      <c r="F354" s="8">
        <f t="shared" ca="1" si="341"/>
        <v>5.7763000580396032E-2</v>
      </c>
      <c r="G354" s="8">
        <f t="shared" ca="1" si="341"/>
        <v>5.8743079152371203E-2</v>
      </c>
      <c r="H354" s="8">
        <f t="shared" ca="1" si="341"/>
        <v>6.026362523633963E-2</v>
      </c>
      <c r="I354" s="8">
        <f t="shared" ca="1" si="341"/>
        <v>6.1277802296351901E-2</v>
      </c>
      <c r="J354" s="8">
        <f t="shared" ca="1" si="341"/>
        <v>6.2791113969317497E-2</v>
      </c>
      <c r="K354" s="8">
        <f t="shared" ca="1" si="341"/>
        <v>6.2655215484276702E-2</v>
      </c>
      <c r="L354" s="8">
        <f t="shared" ca="1" si="341"/>
        <v>6.5471181568635947E-2</v>
      </c>
      <c r="M354" s="8">
        <f t="shared" ca="1" si="341"/>
        <v>6.720672539038991E-2</v>
      </c>
      <c r="N354" s="8">
        <f t="shared" ca="1" si="341"/>
        <v>6.8694905466107958E-2</v>
      </c>
      <c r="O354" s="8">
        <f t="shared" ca="1" si="341"/>
        <v>7.1096197529740335E-2</v>
      </c>
    </row>
    <row r="355" spans="2:15">
      <c r="B355" s="3">
        <v>334</v>
      </c>
      <c r="C355" s="8">
        <f t="shared" si="328"/>
        <v>0.05</v>
      </c>
      <c r="D355" s="8">
        <f t="shared" ref="D355:O355" ca="1" si="342">C355+k*(theta-C355)*dt+vol*SQRT(dt*C355)*_xlfn.NORM.S.INV(RAND())</f>
        <v>5.1334014514195961E-2</v>
      </c>
      <c r="E355" s="8">
        <f t="shared" ca="1" si="342"/>
        <v>5.1100184922270524E-2</v>
      </c>
      <c r="F355" s="8">
        <f t="shared" ca="1" si="342"/>
        <v>5.243217274646144E-2</v>
      </c>
      <c r="G355" s="8">
        <f t="shared" ca="1" si="342"/>
        <v>5.5178219174575827E-2</v>
      </c>
      <c r="H355" s="8">
        <f t="shared" ca="1" si="342"/>
        <v>5.2931105655559946E-2</v>
      </c>
      <c r="I355" s="8">
        <f t="shared" ca="1" si="342"/>
        <v>5.4068817557337168E-2</v>
      </c>
      <c r="J355" s="8">
        <f t="shared" ca="1" si="342"/>
        <v>5.4020131147004345E-2</v>
      </c>
      <c r="K355" s="8">
        <f t="shared" ca="1" si="342"/>
        <v>5.3695796516799683E-2</v>
      </c>
      <c r="L355" s="8">
        <f t="shared" ca="1" si="342"/>
        <v>5.4214149077367685E-2</v>
      </c>
      <c r="M355" s="8">
        <f t="shared" ca="1" si="342"/>
        <v>5.6001354667846087E-2</v>
      </c>
      <c r="N355" s="8">
        <f t="shared" ca="1" si="342"/>
        <v>5.4184965597648453E-2</v>
      </c>
      <c r="O355" s="8">
        <f t="shared" ca="1" si="342"/>
        <v>5.6782808244048598E-2</v>
      </c>
    </row>
    <row r="356" spans="2:15">
      <c r="B356" s="3">
        <v>335</v>
      </c>
      <c r="C356" s="8">
        <f t="shared" si="328"/>
        <v>0.05</v>
      </c>
      <c r="D356" s="8">
        <f t="shared" ref="D356:O356" ca="1" si="343">C356+k*(theta-C356)*dt+vol*SQRT(dt*C356)*_xlfn.NORM.S.INV(RAND())</f>
        <v>5.0332433549085537E-2</v>
      </c>
      <c r="E356" s="8">
        <f t="shared" ca="1" si="343"/>
        <v>5.092913221707953E-2</v>
      </c>
      <c r="F356" s="8">
        <f t="shared" ca="1" si="343"/>
        <v>5.135987264494872E-2</v>
      </c>
      <c r="G356" s="8">
        <f t="shared" ca="1" si="343"/>
        <v>5.3232519904743925E-2</v>
      </c>
      <c r="H356" s="8">
        <f t="shared" ca="1" si="343"/>
        <v>5.5001210227036024E-2</v>
      </c>
      <c r="I356" s="8">
        <f t="shared" ca="1" si="343"/>
        <v>5.6019294431349211E-2</v>
      </c>
      <c r="J356" s="8">
        <f t="shared" ca="1" si="343"/>
        <v>5.6732489488042499E-2</v>
      </c>
      <c r="K356" s="8">
        <f t="shared" ca="1" si="343"/>
        <v>5.7378960116066441E-2</v>
      </c>
      <c r="L356" s="8">
        <f t="shared" ca="1" si="343"/>
        <v>5.92323331685191E-2</v>
      </c>
      <c r="M356" s="8">
        <f t="shared" ca="1" si="343"/>
        <v>6.0316436703583151E-2</v>
      </c>
      <c r="N356" s="8">
        <f t="shared" ca="1" si="343"/>
        <v>6.0762258991489064E-2</v>
      </c>
      <c r="O356" s="8">
        <f t="shared" ca="1" si="343"/>
        <v>6.1514934425152032E-2</v>
      </c>
    </row>
    <row r="357" spans="2:15">
      <c r="B357" s="3">
        <v>336</v>
      </c>
      <c r="C357" s="8">
        <f t="shared" si="328"/>
        <v>0.05</v>
      </c>
      <c r="D357" s="8">
        <f t="shared" ref="D357:O357" ca="1" si="344">C357+k*(theta-C357)*dt+vol*SQRT(dt*C357)*_xlfn.NORM.S.INV(RAND())</f>
        <v>5.2284454517254525E-2</v>
      </c>
      <c r="E357" s="8">
        <f t="shared" ca="1" si="344"/>
        <v>5.4846321202499937E-2</v>
      </c>
      <c r="F357" s="8">
        <f t="shared" ca="1" si="344"/>
        <v>5.7468405619916625E-2</v>
      </c>
      <c r="G357" s="8">
        <f t="shared" ca="1" si="344"/>
        <v>5.7856159995717416E-2</v>
      </c>
      <c r="H357" s="8">
        <f t="shared" ca="1" si="344"/>
        <v>5.8736073211291609E-2</v>
      </c>
      <c r="I357" s="8">
        <f t="shared" ca="1" si="344"/>
        <v>6.1191758621877403E-2</v>
      </c>
      <c r="J357" s="8">
        <f t="shared" ca="1" si="344"/>
        <v>6.130475898613811E-2</v>
      </c>
      <c r="K357" s="8">
        <f t="shared" ca="1" si="344"/>
        <v>6.0856653464286148E-2</v>
      </c>
      <c r="L357" s="8">
        <f t="shared" ca="1" si="344"/>
        <v>5.9918342557341853E-2</v>
      </c>
      <c r="M357" s="8">
        <f t="shared" ca="1" si="344"/>
        <v>6.1110669799165497E-2</v>
      </c>
      <c r="N357" s="8">
        <f t="shared" ca="1" si="344"/>
        <v>6.1582200314159619E-2</v>
      </c>
      <c r="O357" s="8">
        <f t="shared" ca="1" si="344"/>
        <v>6.0926173661489336E-2</v>
      </c>
    </row>
    <row r="358" spans="2:15">
      <c r="B358" s="3">
        <v>337</v>
      </c>
      <c r="C358" s="8">
        <f t="shared" si="328"/>
        <v>0.05</v>
      </c>
      <c r="D358" s="8">
        <f t="shared" ref="D358:O358" ca="1" si="345">C358+k*(theta-C358)*dt+vol*SQRT(dt*C358)*_xlfn.NORM.S.INV(RAND())</f>
        <v>5.3118459855269612E-2</v>
      </c>
      <c r="E358" s="8">
        <f t="shared" ca="1" si="345"/>
        <v>5.409452533525775E-2</v>
      </c>
      <c r="F358" s="8">
        <f t="shared" ca="1" si="345"/>
        <v>5.4896356689678127E-2</v>
      </c>
      <c r="G358" s="8">
        <f t="shared" ca="1" si="345"/>
        <v>5.5679272316226228E-2</v>
      </c>
      <c r="H358" s="8">
        <f t="shared" ca="1" si="345"/>
        <v>5.5571785394748302E-2</v>
      </c>
      <c r="I358" s="8">
        <f t="shared" ca="1" si="345"/>
        <v>5.7919017690192892E-2</v>
      </c>
      <c r="J358" s="8">
        <f t="shared" ca="1" si="345"/>
        <v>6.0129461210635116E-2</v>
      </c>
      <c r="K358" s="8">
        <f t="shared" ca="1" si="345"/>
        <v>6.0993433193449055E-2</v>
      </c>
      <c r="L358" s="8">
        <f t="shared" ca="1" si="345"/>
        <v>5.9662402628290971E-2</v>
      </c>
      <c r="M358" s="8">
        <f t="shared" ca="1" si="345"/>
        <v>6.1291149470516081E-2</v>
      </c>
      <c r="N358" s="8">
        <f t="shared" ca="1" si="345"/>
        <v>6.2356333805140537E-2</v>
      </c>
      <c r="O358" s="8">
        <f t="shared" ca="1" si="345"/>
        <v>6.3135124455192329E-2</v>
      </c>
    </row>
    <row r="359" spans="2:15">
      <c r="B359" s="3">
        <v>338</v>
      </c>
      <c r="C359" s="8">
        <f t="shared" si="328"/>
        <v>0.05</v>
      </c>
      <c r="D359" s="8">
        <f t="shared" ref="D359:O359" ca="1" si="346">C359+k*(theta-C359)*dt+vol*SQRT(dt*C359)*_xlfn.NORM.S.INV(RAND())</f>
        <v>5.277767451266252E-2</v>
      </c>
      <c r="E359" s="8">
        <f t="shared" ca="1" si="346"/>
        <v>5.185704769208959E-2</v>
      </c>
      <c r="F359" s="8">
        <f t="shared" ca="1" si="346"/>
        <v>5.159408369636502E-2</v>
      </c>
      <c r="G359" s="8">
        <f t="shared" ca="1" si="346"/>
        <v>5.2211800271234204E-2</v>
      </c>
      <c r="H359" s="8">
        <f t="shared" ca="1" si="346"/>
        <v>5.2748535368225026E-2</v>
      </c>
      <c r="I359" s="8">
        <f t="shared" ca="1" si="346"/>
        <v>5.5103409142288388E-2</v>
      </c>
      <c r="J359" s="8">
        <f t="shared" ca="1" si="346"/>
        <v>5.7118633676431128E-2</v>
      </c>
      <c r="K359" s="8">
        <f t="shared" ca="1" si="346"/>
        <v>5.7790056854241122E-2</v>
      </c>
      <c r="L359" s="8">
        <f t="shared" ca="1" si="346"/>
        <v>5.8465981638945931E-2</v>
      </c>
      <c r="M359" s="8">
        <f t="shared" ca="1" si="346"/>
        <v>5.6888069698519221E-2</v>
      </c>
      <c r="N359" s="8">
        <f t="shared" ca="1" si="346"/>
        <v>5.8756796867355479E-2</v>
      </c>
      <c r="O359" s="8">
        <f t="shared" ca="1" si="346"/>
        <v>6.219664047980962E-2</v>
      </c>
    </row>
    <row r="360" spans="2:15">
      <c r="B360" s="3">
        <v>339</v>
      </c>
      <c r="C360" s="8">
        <f t="shared" si="328"/>
        <v>0.05</v>
      </c>
      <c r="D360" s="8">
        <f t="shared" ref="D360:O360" ca="1" si="347">C360+k*(theta-C360)*dt+vol*SQRT(dt*C360)*_xlfn.NORM.S.INV(RAND())</f>
        <v>5.0048635344206061E-2</v>
      </c>
      <c r="E360" s="8">
        <f t="shared" ca="1" si="347"/>
        <v>5.1599005694681559E-2</v>
      </c>
      <c r="F360" s="8">
        <f t="shared" ca="1" si="347"/>
        <v>5.1690707614628004E-2</v>
      </c>
      <c r="G360" s="8">
        <f t="shared" ca="1" si="347"/>
        <v>5.564313225869693E-2</v>
      </c>
      <c r="H360" s="8">
        <f t="shared" ca="1" si="347"/>
        <v>6.0057883427264772E-2</v>
      </c>
      <c r="I360" s="8">
        <f t="shared" ca="1" si="347"/>
        <v>6.0876345075626191E-2</v>
      </c>
      <c r="J360" s="8">
        <f t="shared" ca="1" si="347"/>
        <v>6.2644802929664928E-2</v>
      </c>
      <c r="K360" s="8">
        <f t="shared" ca="1" si="347"/>
        <v>6.3842076692693928E-2</v>
      </c>
      <c r="L360" s="8">
        <f t="shared" ca="1" si="347"/>
        <v>6.9036710608206625E-2</v>
      </c>
      <c r="M360" s="8">
        <f t="shared" ca="1" si="347"/>
        <v>6.8261296201533025E-2</v>
      </c>
      <c r="N360" s="8">
        <f t="shared" ca="1" si="347"/>
        <v>6.7983190532709598E-2</v>
      </c>
      <c r="O360" s="8">
        <f t="shared" ca="1" si="347"/>
        <v>6.732147168802613E-2</v>
      </c>
    </row>
    <row r="361" spans="2:15">
      <c r="B361" s="3">
        <v>340</v>
      </c>
      <c r="C361" s="8">
        <f t="shared" si="328"/>
        <v>0.05</v>
      </c>
      <c r="D361" s="8">
        <f t="shared" ref="D361:O361" ca="1" si="348">C361+k*(theta-C361)*dt+vol*SQRT(dt*C361)*_xlfn.NORM.S.INV(RAND())</f>
        <v>5.2274449069972195E-2</v>
      </c>
      <c r="E361" s="8">
        <f t="shared" ca="1" si="348"/>
        <v>5.3839481371847783E-2</v>
      </c>
      <c r="F361" s="8">
        <f t="shared" ca="1" si="348"/>
        <v>5.4957717836272915E-2</v>
      </c>
      <c r="G361" s="8">
        <f t="shared" ca="1" si="348"/>
        <v>5.3719665756182887E-2</v>
      </c>
      <c r="H361" s="8">
        <f t="shared" ca="1" si="348"/>
        <v>5.3435592417778399E-2</v>
      </c>
      <c r="I361" s="8">
        <f t="shared" ca="1" si="348"/>
        <v>5.397872119863089E-2</v>
      </c>
      <c r="J361" s="8">
        <f t="shared" ca="1" si="348"/>
        <v>5.4190440302824779E-2</v>
      </c>
      <c r="K361" s="8">
        <f t="shared" ca="1" si="348"/>
        <v>5.6404164245967697E-2</v>
      </c>
      <c r="L361" s="8">
        <f t="shared" ca="1" si="348"/>
        <v>5.4926425764863916E-2</v>
      </c>
      <c r="M361" s="8">
        <f t="shared" ca="1" si="348"/>
        <v>5.5529965825512728E-2</v>
      </c>
      <c r="N361" s="8">
        <f t="shared" ca="1" si="348"/>
        <v>5.8480758704327514E-2</v>
      </c>
      <c r="O361" s="8">
        <f t="shared" ca="1" si="348"/>
        <v>5.7171936839834923E-2</v>
      </c>
    </row>
    <row r="362" spans="2:15">
      <c r="B362" s="3">
        <v>341</v>
      </c>
      <c r="C362" s="8">
        <f t="shared" si="328"/>
        <v>0.05</v>
      </c>
      <c r="D362" s="8">
        <f t="shared" ref="D362:O362" ca="1" si="349">C362+k*(theta-C362)*dt+vol*SQRT(dt*C362)*_xlfn.NORM.S.INV(RAND())</f>
        <v>5.0090547046106118E-2</v>
      </c>
      <c r="E362" s="8">
        <f t="shared" ca="1" si="349"/>
        <v>4.840911025544839E-2</v>
      </c>
      <c r="F362" s="8">
        <f t="shared" ca="1" si="349"/>
        <v>4.9615378788532061E-2</v>
      </c>
      <c r="G362" s="8">
        <f t="shared" ca="1" si="349"/>
        <v>4.9755475296195534E-2</v>
      </c>
      <c r="H362" s="8">
        <f t="shared" ca="1" si="349"/>
        <v>4.9794112420627153E-2</v>
      </c>
      <c r="I362" s="8">
        <f t="shared" ca="1" si="349"/>
        <v>4.9078858405628277E-2</v>
      </c>
      <c r="J362" s="8">
        <f t="shared" ca="1" si="349"/>
        <v>4.8528685709175776E-2</v>
      </c>
      <c r="K362" s="8">
        <f t="shared" ca="1" si="349"/>
        <v>4.9906875158176378E-2</v>
      </c>
      <c r="L362" s="8">
        <f t="shared" ca="1" si="349"/>
        <v>5.0155946884539393E-2</v>
      </c>
      <c r="M362" s="8">
        <f t="shared" ca="1" si="349"/>
        <v>4.9899307147305734E-2</v>
      </c>
      <c r="N362" s="8">
        <f t="shared" ca="1" si="349"/>
        <v>5.0121882775250537E-2</v>
      </c>
      <c r="O362" s="8">
        <f t="shared" ca="1" si="349"/>
        <v>4.9373915518082921E-2</v>
      </c>
    </row>
    <row r="363" spans="2:15">
      <c r="B363" s="3">
        <v>342</v>
      </c>
      <c r="C363" s="8">
        <f t="shared" si="328"/>
        <v>0.05</v>
      </c>
      <c r="D363" s="8">
        <f t="shared" ref="D363:O363" ca="1" si="350">C363+k*(theta-C363)*dt+vol*SQRT(dt*C363)*_xlfn.NORM.S.INV(RAND())</f>
        <v>5.0600805783433338E-2</v>
      </c>
      <c r="E363" s="8">
        <f t="shared" ca="1" si="350"/>
        <v>5.1898142252448536E-2</v>
      </c>
      <c r="F363" s="8">
        <f t="shared" ca="1" si="350"/>
        <v>5.6279787071563718E-2</v>
      </c>
      <c r="G363" s="8">
        <f t="shared" ca="1" si="350"/>
        <v>5.8703086142591426E-2</v>
      </c>
      <c r="H363" s="8">
        <f t="shared" ca="1" si="350"/>
        <v>5.7382783578841356E-2</v>
      </c>
      <c r="I363" s="8">
        <f t="shared" ca="1" si="350"/>
        <v>5.9472256483069322E-2</v>
      </c>
      <c r="J363" s="8">
        <f t="shared" ca="1" si="350"/>
        <v>6.1787206804044502E-2</v>
      </c>
      <c r="K363" s="8">
        <f t="shared" ca="1" si="350"/>
        <v>6.1940770723869235E-2</v>
      </c>
      <c r="L363" s="8">
        <f t="shared" ca="1" si="350"/>
        <v>6.4586750325560743E-2</v>
      </c>
      <c r="M363" s="8">
        <f t="shared" ca="1" si="350"/>
        <v>6.2253910989287557E-2</v>
      </c>
      <c r="N363" s="8">
        <f t="shared" ca="1" si="350"/>
        <v>6.268367072987556E-2</v>
      </c>
      <c r="O363" s="8">
        <f t="shared" ca="1" si="350"/>
        <v>6.2412346567267449E-2</v>
      </c>
    </row>
    <row r="364" spans="2:15">
      <c r="B364" s="3">
        <v>343</v>
      </c>
      <c r="C364" s="8">
        <f t="shared" si="328"/>
        <v>0.05</v>
      </c>
      <c r="D364" s="8">
        <f t="shared" ref="D364:O364" ca="1" si="351">C364+k*(theta-C364)*dt+vol*SQRT(dt*C364)*_xlfn.NORM.S.INV(RAND())</f>
        <v>5.1152771395291695E-2</v>
      </c>
      <c r="E364" s="8">
        <f t="shared" ca="1" si="351"/>
        <v>5.4189759199471894E-2</v>
      </c>
      <c r="F364" s="8">
        <f t="shared" ca="1" si="351"/>
        <v>5.4692373699292196E-2</v>
      </c>
      <c r="G364" s="8">
        <f t="shared" ca="1" si="351"/>
        <v>5.7785295726027072E-2</v>
      </c>
      <c r="H364" s="8">
        <f t="shared" ca="1" si="351"/>
        <v>5.8719216001828216E-2</v>
      </c>
      <c r="I364" s="8">
        <f t="shared" ca="1" si="351"/>
        <v>5.940800300251755E-2</v>
      </c>
      <c r="J364" s="8">
        <f t="shared" ca="1" si="351"/>
        <v>5.8325883188406452E-2</v>
      </c>
      <c r="K364" s="8">
        <f t="shared" ca="1" si="351"/>
        <v>5.8668358613859169E-2</v>
      </c>
      <c r="L364" s="8">
        <f t="shared" ca="1" si="351"/>
        <v>5.8180126537266078E-2</v>
      </c>
      <c r="M364" s="8">
        <f t="shared" ca="1" si="351"/>
        <v>5.919644167486296E-2</v>
      </c>
      <c r="N364" s="8">
        <f t="shared" ca="1" si="351"/>
        <v>6.1522218729245133E-2</v>
      </c>
      <c r="O364" s="8">
        <f t="shared" ca="1" si="351"/>
        <v>6.3084199681942885E-2</v>
      </c>
    </row>
    <row r="365" spans="2:15">
      <c r="B365" s="3">
        <v>344</v>
      </c>
      <c r="C365" s="8">
        <f t="shared" si="328"/>
        <v>0.05</v>
      </c>
      <c r="D365" s="8">
        <f t="shared" ref="D365:O365" ca="1" si="352">C365+k*(theta-C365)*dt+vol*SQRT(dt*C365)*_xlfn.NORM.S.INV(RAND())</f>
        <v>5.1453305329058008E-2</v>
      </c>
      <c r="E365" s="8">
        <f t="shared" ca="1" si="352"/>
        <v>5.4553942890433346E-2</v>
      </c>
      <c r="F365" s="8">
        <f t="shared" ca="1" si="352"/>
        <v>5.3488402389928844E-2</v>
      </c>
      <c r="G365" s="8">
        <f t="shared" ca="1" si="352"/>
        <v>5.5058491979090199E-2</v>
      </c>
      <c r="H365" s="8">
        <f t="shared" ca="1" si="352"/>
        <v>5.7309462575666381E-2</v>
      </c>
      <c r="I365" s="8">
        <f t="shared" ca="1" si="352"/>
        <v>5.7455581629993306E-2</v>
      </c>
      <c r="J365" s="8">
        <f t="shared" ca="1" si="352"/>
        <v>5.7626570586055199E-2</v>
      </c>
      <c r="K365" s="8">
        <f t="shared" ca="1" si="352"/>
        <v>5.7541076820186755E-2</v>
      </c>
      <c r="L365" s="8">
        <f t="shared" ca="1" si="352"/>
        <v>5.8810221295626616E-2</v>
      </c>
      <c r="M365" s="8">
        <f t="shared" ca="1" si="352"/>
        <v>6.0067401347017942E-2</v>
      </c>
      <c r="N365" s="8">
        <f t="shared" ca="1" si="352"/>
        <v>6.2231730870966118E-2</v>
      </c>
      <c r="O365" s="8">
        <f t="shared" ca="1" si="352"/>
        <v>6.1069384575174669E-2</v>
      </c>
    </row>
    <row r="366" spans="2:15">
      <c r="B366" s="3">
        <v>345</v>
      </c>
      <c r="C366" s="8">
        <f t="shared" si="328"/>
        <v>0.05</v>
      </c>
      <c r="D366" s="8">
        <f t="shared" ref="D366:O366" ca="1" si="353">C366+k*(theta-C366)*dt+vol*SQRT(dt*C366)*_xlfn.NORM.S.INV(RAND())</f>
        <v>5.431110930792897E-2</v>
      </c>
      <c r="E366" s="8">
        <f t="shared" ca="1" si="353"/>
        <v>5.2554682335752861E-2</v>
      </c>
      <c r="F366" s="8">
        <f t="shared" ca="1" si="353"/>
        <v>5.4787393446202003E-2</v>
      </c>
      <c r="G366" s="8">
        <f t="shared" ca="1" si="353"/>
        <v>5.6582015330421793E-2</v>
      </c>
      <c r="H366" s="8">
        <f t="shared" ca="1" si="353"/>
        <v>5.9535177367958728E-2</v>
      </c>
      <c r="I366" s="8">
        <f t="shared" ca="1" si="353"/>
        <v>6.2450479759094034E-2</v>
      </c>
      <c r="J366" s="8">
        <f t="shared" ca="1" si="353"/>
        <v>6.199441027650144E-2</v>
      </c>
      <c r="K366" s="8">
        <f t="shared" ca="1" si="353"/>
        <v>6.2930165077114533E-2</v>
      </c>
      <c r="L366" s="8">
        <f t="shared" ca="1" si="353"/>
        <v>6.3903309064788902E-2</v>
      </c>
      <c r="M366" s="8">
        <f t="shared" ca="1" si="353"/>
        <v>6.1807150313742572E-2</v>
      </c>
      <c r="N366" s="8">
        <f t="shared" ca="1" si="353"/>
        <v>6.4887763400083218E-2</v>
      </c>
      <c r="O366" s="8">
        <f t="shared" ca="1" si="353"/>
        <v>6.5167715679075408E-2</v>
      </c>
    </row>
    <row r="367" spans="2:15">
      <c r="B367" s="3">
        <v>346</v>
      </c>
      <c r="C367" s="8">
        <f t="shared" si="328"/>
        <v>0.05</v>
      </c>
      <c r="D367" s="8">
        <f t="shared" ref="D367:O367" ca="1" si="354">C367+k*(theta-C367)*dt+vol*SQRT(dt*C367)*_xlfn.NORM.S.INV(RAND())</f>
        <v>5.2991469132982742E-2</v>
      </c>
      <c r="E367" s="8">
        <f t="shared" ca="1" si="354"/>
        <v>5.4683615212487394E-2</v>
      </c>
      <c r="F367" s="8">
        <f t="shared" ca="1" si="354"/>
        <v>5.5561748110573503E-2</v>
      </c>
      <c r="G367" s="8">
        <f t="shared" ca="1" si="354"/>
        <v>5.8038729288755538E-2</v>
      </c>
      <c r="H367" s="8">
        <f t="shared" ca="1" si="354"/>
        <v>5.741515268795034E-2</v>
      </c>
      <c r="I367" s="8">
        <f t="shared" ca="1" si="354"/>
        <v>5.7849622109513943E-2</v>
      </c>
      <c r="J367" s="8">
        <f t="shared" ca="1" si="354"/>
        <v>5.8437483128944624E-2</v>
      </c>
      <c r="K367" s="8">
        <f t="shared" ca="1" si="354"/>
        <v>5.8313947996098077E-2</v>
      </c>
      <c r="L367" s="8">
        <f t="shared" ca="1" si="354"/>
        <v>6.1928281921455101E-2</v>
      </c>
      <c r="M367" s="8">
        <f t="shared" ca="1" si="354"/>
        <v>6.1608952959633111E-2</v>
      </c>
      <c r="N367" s="8">
        <f t="shared" ca="1" si="354"/>
        <v>6.2861468988170341E-2</v>
      </c>
      <c r="O367" s="8">
        <f t="shared" ca="1" si="354"/>
        <v>6.4538615576411218E-2</v>
      </c>
    </row>
    <row r="368" spans="2:15">
      <c r="B368" s="3">
        <v>347</v>
      </c>
      <c r="C368" s="8">
        <f t="shared" si="328"/>
        <v>0.05</v>
      </c>
      <c r="D368" s="8">
        <f t="shared" ref="D368:O368" ca="1" si="355">C368+k*(theta-C368)*dt+vol*SQRT(dt*C368)*_xlfn.NORM.S.INV(RAND())</f>
        <v>5.0201719451721138E-2</v>
      </c>
      <c r="E368" s="8">
        <f t="shared" ca="1" si="355"/>
        <v>5.3789738527001266E-2</v>
      </c>
      <c r="F368" s="8">
        <f t="shared" ca="1" si="355"/>
        <v>5.6874396857953799E-2</v>
      </c>
      <c r="G368" s="8">
        <f t="shared" ca="1" si="355"/>
        <v>5.832249193446358E-2</v>
      </c>
      <c r="H368" s="8">
        <f t="shared" ca="1" si="355"/>
        <v>5.6090483674155853E-2</v>
      </c>
      <c r="I368" s="8">
        <f t="shared" ca="1" si="355"/>
        <v>5.600817400678465E-2</v>
      </c>
      <c r="J368" s="8">
        <f t="shared" ca="1" si="355"/>
        <v>5.4714226936543243E-2</v>
      </c>
      <c r="K368" s="8">
        <f t="shared" ca="1" si="355"/>
        <v>5.6110367482421007E-2</v>
      </c>
      <c r="L368" s="8">
        <f t="shared" ca="1" si="355"/>
        <v>5.6836754709965728E-2</v>
      </c>
      <c r="M368" s="8">
        <f t="shared" ca="1" si="355"/>
        <v>5.7999052708958811E-2</v>
      </c>
      <c r="N368" s="8">
        <f t="shared" ca="1" si="355"/>
        <v>5.9171864956897517E-2</v>
      </c>
      <c r="O368" s="8">
        <f t="shared" ca="1" si="355"/>
        <v>6.000086058431639E-2</v>
      </c>
    </row>
    <row r="369" spans="2:15">
      <c r="B369" s="3">
        <v>348</v>
      </c>
      <c r="C369" s="8">
        <f t="shared" si="328"/>
        <v>0.05</v>
      </c>
      <c r="D369" s="8">
        <f t="shared" ref="D369:O369" ca="1" si="356">C369+k*(theta-C369)*dt+vol*SQRT(dt*C369)*_xlfn.NORM.S.INV(RAND())</f>
        <v>5.2121559684782257E-2</v>
      </c>
      <c r="E369" s="8">
        <f t="shared" ca="1" si="356"/>
        <v>5.2611484106129577E-2</v>
      </c>
      <c r="F369" s="8">
        <f t="shared" ca="1" si="356"/>
        <v>5.3114065973249205E-2</v>
      </c>
      <c r="G369" s="8">
        <f t="shared" ca="1" si="356"/>
        <v>5.6069193423793663E-2</v>
      </c>
      <c r="H369" s="8">
        <f t="shared" ca="1" si="356"/>
        <v>5.7173974252516628E-2</v>
      </c>
      <c r="I369" s="8">
        <f t="shared" ca="1" si="356"/>
        <v>5.8536061645273751E-2</v>
      </c>
      <c r="J369" s="8">
        <f t="shared" ca="1" si="356"/>
        <v>5.8817897715863307E-2</v>
      </c>
      <c r="K369" s="8">
        <f t="shared" ca="1" si="356"/>
        <v>5.7857925579100238E-2</v>
      </c>
      <c r="L369" s="8">
        <f t="shared" ca="1" si="356"/>
        <v>5.7565960670324323E-2</v>
      </c>
      <c r="M369" s="8">
        <f t="shared" ca="1" si="356"/>
        <v>5.8903941395866175E-2</v>
      </c>
      <c r="N369" s="8">
        <f t="shared" ca="1" si="356"/>
        <v>5.7362755104677109E-2</v>
      </c>
      <c r="O369" s="8">
        <f t="shared" ca="1" si="356"/>
        <v>5.8472307240114055E-2</v>
      </c>
    </row>
    <row r="370" spans="2:15">
      <c r="B370" s="3">
        <v>349</v>
      </c>
      <c r="C370" s="8">
        <f t="shared" si="328"/>
        <v>0.05</v>
      </c>
      <c r="D370" s="8">
        <f t="shared" ref="D370:O370" ca="1" si="357">C370+k*(theta-C370)*dt+vol*SQRT(dt*C370)*_xlfn.NORM.S.INV(RAND())</f>
        <v>4.991950845243346E-2</v>
      </c>
      <c r="E370" s="8">
        <f t="shared" ca="1" si="357"/>
        <v>5.2059936811207227E-2</v>
      </c>
      <c r="F370" s="8">
        <f t="shared" ca="1" si="357"/>
        <v>5.3559353626775635E-2</v>
      </c>
      <c r="G370" s="8">
        <f t="shared" ca="1" si="357"/>
        <v>5.4772184290693263E-2</v>
      </c>
      <c r="H370" s="8">
        <f t="shared" ca="1" si="357"/>
        <v>5.5908385772765391E-2</v>
      </c>
      <c r="I370" s="8">
        <f t="shared" ca="1" si="357"/>
        <v>5.6963783091898562E-2</v>
      </c>
      <c r="J370" s="8">
        <f t="shared" ca="1" si="357"/>
        <v>6.079613084405195E-2</v>
      </c>
      <c r="K370" s="8">
        <f t="shared" ca="1" si="357"/>
        <v>5.8818600799305495E-2</v>
      </c>
      <c r="L370" s="8">
        <f t="shared" ca="1" si="357"/>
        <v>5.7739698577923375E-2</v>
      </c>
      <c r="M370" s="8">
        <f t="shared" ca="1" si="357"/>
        <v>6.2885792674647556E-2</v>
      </c>
      <c r="N370" s="8">
        <f t="shared" ca="1" si="357"/>
        <v>6.3453487802674041E-2</v>
      </c>
      <c r="O370" s="8">
        <f t="shared" ca="1" si="357"/>
        <v>6.4975270575469993E-2</v>
      </c>
    </row>
    <row r="371" spans="2:15">
      <c r="B371" s="3">
        <v>350</v>
      </c>
      <c r="C371" s="8">
        <f t="shared" si="328"/>
        <v>0.05</v>
      </c>
      <c r="D371" s="8">
        <f t="shared" ref="D371:O371" ca="1" si="358">C371+k*(theta-C371)*dt+vol*SQRT(dt*C371)*_xlfn.NORM.S.INV(RAND())</f>
        <v>4.9687124834812413E-2</v>
      </c>
      <c r="E371" s="8">
        <f t="shared" ca="1" si="358"/>
        <v>5.1333175475235054E-2</v>
      </c>
      <c r="F371" s="8">
        <f t="shared" ca="1" si="358"/>
        <v>5.3792833267398497E-2</v>
      </c>
      <c r="G371" s="8">
        <f t="shared" ca="1" si="358"/>
        <v>5.7495866814592934E-2</v>
      </c>
      <c r="H371" s="8">
        <f t="shared" ca="1" si="358"/>
        <v>5.8093821199799403E-2</v>
      </c>
      <c r="I371" s="8">
        <f t="shared" ca="1" si="358"/>
        <v>6.006639428450869E-2</v>
      </c>
      <c r="J371" s="8">
        <f t="shared" ca="1" si="358"/>
        <v>6.2104937404979396E-2</v>
      </c>
      <c r="K371" s="8">
        <f t="shared" ca="1" si="358"/>
        <v>6.1339439325871846E-2</v>
      </c>
      <c r="L371" s="8">
        <f t="shared" ca="1" si="358"/>
        <v>6.4865301579247608E-2</v>
      </c>
      <c r="M371" s="8">
        <f t="shared" ca="1" si="358"/>
        <v>6.7642326805769398E-2</v>
      </c>
      <c r="N371" s="8">
        <f t="shared" ca="1" si="358"/>
        <v>6.8253108762188458E-2</v>
      </c>
      <c r="O371" s="8">
        <f t="shared" ca="1" si="358"/>
        <v>6.9310934717198347E-2</v>
      </c>
    </row>
    <row r="372" spans="2:15">
      <c r="B372" s="3">
        <v>351</v>
      </c>
      <c r="C372" s="8">
        <f t="shared" si="328"/>
        <v>0.05</v>
      </c>
      <c r="D372" s="8">
        <f t="shared" ref="D372:O372" ca="1" si="359">C372+k*(theta-C372)*dt+vol*SQRT(dt*C372)*_xlfn.NORM.S.INV(RAND())</f>
        <v>5.1369565134692291E-2</v>
      </c>
      <c r="E372" s="8">
        <f t="shared" ca="1" si="359"/>
        <v>5.1750832088186524E-2</v>
      </c>
      <c r="F372" s="8">
        <f t="shared" ca="1" si="359"/>
        <v>5.3310680163185034E-2</v>
      </c>
      <c r="G372" s="8">
        <f t="shared" ca="1" si="359"/>
        <v>5.7268335947889222E-2</v>
      </c>
      <c r="H372" s="8">
        <f t="shared" ca="1" si="359"/>
        <v>6.0330321349842911E-2</v>
      </c>
      <c r="I372" s="8">
        <f t="shared" ca="1" si="359"/>
        <v>6.2291328115616711E-2</v>
      </c>
      <c r="J372" s="8">
        <f t="shared" ca="1" si="359"/>
        <v>6.1058412689451183E-2</v>
      </c>
      <c r="K372" s="8">
        <f t="shared" ca="1" si="359"/>
        <v>6.2147711899573091E-2</v>
      </c>
      <c r="L372" s="8">
        <f t="shared" ca="1" si="359"/>
        <v>6.0604786237115599E-2</v>
      </c>
      <c r="M372" s="8">
        <f t="shared" ca="1" si="359"/>
        <v>6.0453000524081701E-2</v>
      </c>
      <c r="N372" s="8">
        <f t="shared" ca="1" si="359"/>
        <v>6.1655718667396775E-2</v>
      </c>
      <c r="O372" s="8">
        <f t="shared" ca="1" si="359"/>
        <v>6.2773851559729782E-2</v>
      </c>
    </row>
    <row r="373" spans="2:15">
      <c r="B373" s="3">
        <v>352</v>
      </c>
      <c r="C373" s="8">
        <f t="shared" si="328"/>
        <v>0.05</v>
      </c>
      <c r="D373" s="8">
        <f t="shared" ref="D373:O373" ca="1" si="360">C373+k*(theta-C373)*dt+vol*SQRT(dt*C373)*_xlfn.NORM.S.INV(RAND())</f>
        <v>5.0561104236115581E-2</v>
      </c>
      <c r="E373" s="8">
        <f t="shared" ca="1" si="360"/>
        <v>5.210559820592605E-2</v>
      </c>
      <c r="F373" s="8">
        <f t="shared" ca="1" si="360"/>
        <v>5.2346523549023354E-2</v>
      </c>
      <c r="G373" s="8">
        <f t="shared" ca="1" si="360"/>
        <v>5.2873679207404024E-2</v>
      </c>
      <c r="H373" s="8">
        <f t="shared" ca="1" si="360"/>
        <v>5.4223947753361153E-2</v>
      </c>
      <c r="I373" s="8">
        <f t="shared" ca="1" si="360"/>
        <v>5.6223773345787133E-2</v>
      </c>
      <c r="J373" s="8">
        <f t="shared" ca="1" si="360"/>
        <v>5.5014418223103455E-2</v>
      </c>
      <c r="K373" s="8">
        <f t="shared" ca="1" si="360"/>
        <v>5.7179416736070708E-2</v>
      </c>
      <c r="L373" s="8">
        <f t="shared" ca="1" si="360"/>
        <v>5.5751538348444145E-2</v>
      </c>
      <c r="M373" s="8">
        <f t="shared" ca="1" si="360"/>
        <v>5.5732633282572226E-2</v>
      </c>
      <c r="N373" s="8">
        <f t="shared" ca="1" si="360"/>
        <v>5.7032725536278243E-2</v>
      </c>
      <c r="O373" s="8">
        <f t="shared" ca="1" si="360"/>
        <v>5.8502881551175043E-2</v>
      </c>
    </row>
    <row r="374" spans="2:15">
      <c r="B374" s="3">
        <v>353</v>
      </c>
      <c r="C374" s="8">
        <f t="shared" si="328"/>
        <v>0.05</v>
      </c>
      <c r="D374" s="8">
        <f t="shared" ref="D374:O374" ca="1" si="361">C374+k*(theta-C374)*dt+vol*SQRT(dt*C374)*_xlfn.NORM.S.INV(RAND())</f>
        <v>5.4743185401539156E-2</v>
      </c>
      <c r="E374" s="8">
        <f t="shared" ca="1" si="361"/>
        <v>5.566398465822768E-2</v>
      </c>
      <c r="F374" s="8">
        <f t="shared" ca="1" si="361"/>
        <v>5.7295760999558486E-2</v>
      </c>
      <c r="G374" s="8">
        <f t="shared" ca="1" si="361"/>
        <v>5.9922730208269034E-2</v>
      </c>
      <c r="H374" s="8">
        <f t="shared" ca="1" si="361"/>
        <v>6.1079701023178619E-2</v>
      </c>
      <c r="I374" s="8">
        <f t="shared" ca="1" si="361"/>
        <v>6.1991721072232608E-2</v>
      </c>
      <c r="J374" s="8">
        <f t="shared" ca="1" si="361"/>
        <v>6.2194413041269818E-2</v>
      </c>
      <c r="K374" s="8">
        <f t="shared" ca="1" si="361"/>
        <v>6.1858352448330926E-2</v>
      </c>
      <c r="L374" s="8">
        <f t="shared" ca="1" si="361"/>
        <v>6.4300305203598709E-2</v>
      </c>
      <c r="M374" s="8">
        <f t="shared" ca="1" si="361"/>
        <v>6.4135834911255282E-2</v>
      </c>
      <c r="N374" s="8">
        <f t="shared" ca="1" si="361"/>
        <v>6.7725777774018114E-2</v>
      </c>
      <c r="O374" s="8">
        <f t="shared" ca="1" si="361"/>
        <v>6.8084943641616019E-2</v>
      </c>
    </row>
    <row r="375" spans="2:15">
      <c r="B375" s="3">
        <v>354</v>
      </c>
      <c r="C375" s="8">
        <f t="shared" si="328"/>
        <v>0.05</v>
      </c>
      <c r="D375" s="8">
        <f t="shared" ref="D375:O375" ca="1" si="362">C375+k*(theta-C375)*dt+vol*SQRT(dt*C375)*_xlfn.NORM.S.INV(RAND())</f>
        <v>4.9064785841085319E-2</v>
      </c>
      <c r="E375" s="8">
        <f t="shared" ca="1" si="362"/>
        <v>5.1931478976642756E-2</v>
      </c>
      <c r="F375" s="8">
        <f t="shared" ca="1" si="362"/>
        <v>5.4253996139274785E-2</v>
      </c>
      <c r="G375" s="8">
        <f t="shared" ca="1" si="362"/>
        <v>5.6544411684540025E-2</v>
      </c>
      <c r="H375" s="8">
        <f t="shared" ca="1" si="362"/>
        <v>5.7214303359342619E-2</v>
      </c>
      <c r="I375" s="8">
        <f t="shared" ca="1" si="362"/>
        <v>5.9396376324630629E-2</v>
      </c>
      <c r="J375" s="8">
        <f t="shared" ca="1" si="362"/>
        <v>6.1744286229139009E-2</v>
      </c>
      <c r="K375" s="8">
        <f t="shared" ca="1" si="362"/>
        <v>6.2588878029692471E-2</v>
      </c>
      <c r="L375" s="8">
        <f t="shared" ca="1" si="362"/>
        <v>6.2197198861312794E-2</v>
      </c>
      <c r="M375" s="8">
        <f t="shared" ca="1" si="362"/>
        <v>6.3982066336100749E-2</v>
      </c>
      <c r="N375" s="8">
        <f t="shared" ca="1" si="362"/>
        <v>6.480234091787121E-2</v>
      </c>
      <c r="O375" s="8">
        <f t="shared" ca="1" si="362"/>
        <v>6.6080955836903293E-2</v>
      </c>
    </row>
    <row r="376" spans="2:15">
      <c r="B376" s="3">
        <v>355</v>
      </c>
      <c r="C376" s="8">
        <f t="shared" si="328"/>
        <v>0.05</v>
      </c>
      <c r="D376" s="8">
        <f t="shared" ref="D376:O376" ca="1" si="363">C376+k*(theta-C376)*dt+vol*SQRT(dt*C376)*_xlfn.NORM.S.INV(RAND())</f>
        <v>4.7993496656777483E-2</v>
      </c>
      <c r="E376" s="8">
        <f t="shared" ca="1" si="363"/>
        <v>4.940052078194463E-2</v>
      </c>
      <c r="F376" s="8">
        <f t="shared" ca="1" si="363"/>
        <v>5.1855127802503599E-2</v>
      </c>
      <c r="G376" s="8">
        <f t="shared" ca="1" si="363"/>
        <v>5.210083335117429E-2</v>
      </c>
      <c r="H376" s="8">
        <f t="shared" ca="1" si="363"/>
        <v>5.1346858952271014E-2</v>
      </c>
      <c r="I376" s="8">
        <f t="shared" ca="1" si="363"/>
        <v>5.2356958561552987E-2</v>
      </c>
      <c r="J376" s="8">
        <f t="shared" ca="1" si="363"/>
        <v>5.320662763822788E-2</v>
      </c>
      <c r="K376" s="8">
        <f t="shared" ca="1" si="363"/>
        <v>5.2977051271634712E-2</v>
      </c>
      <c r="L376" s="8">
        <f t="shared" ca="1" si="363"/>
        <v>5.4394712306471679E-2</v>
      </c>
      <c r="M376" s="8">
        <f t="shared" ca="1" si="363"/>
        <v>5.6380949974854863E-2</v>
      </c>
      <c r="N376" s="8">
        <f t="shared" ca="1" si="363"/>
        <v>5.8110682529166929E-2</v>
      </c>
      <c r="O376" s="8">
        <f t="shared" ca="1" si="363"/>
        <v>6.0027242232272522E-2</v>
      </c>
    </row>
    <row r="377" spans="2:15">
      <c r="B377" s="3">
        <v>356</v>
      </c>
      <c r="C377" s="8">
        <f t="shared" si="328"/>
        <v>0.05</v>
      </c>
      <c r="D377" s="8">
        <f t="shared" ref="D377:O377" ca="1" si="364">C377+k*(theta-C377)*dt+vol*SQRT(dt*C377)*_xlfn.NORM.S.INV(RAND())</f>
        <v>4.9965857186383224E-2</v>
      </c>
      <c r="E377" s="8">
        <f t="shared" ca="1" si="364"/>
        <v>5.1733150218766344E-2</v>
      </c>
      <c r="F377" s="8">
        <f t="shared" ca="1" si="364"/>
        <v>5.3144900996291621E-2</v>
      </c>
      <c r="G377" s="8">
        <f t="shared" ca="1" si="364"/>
        <v>5.3962722080049749E-2</v>
      </c>
      <c r="H377" s="8">
        <f t="shared" ca="1" si="364"/>
        <v>5.3511611990665939E-2</v>
      </c>
      <c r="I377" s="8">
        <f t="shared" ca="1" si="364"/>
        <v>5.4188768285346398E-2</v>
      </c>
      <c r="J377" s="8">
        <f t="shared" ca="1" si="364"/>
        <v>5.5903427226759318E-2</v>
      </c>
      <c r="K377" s="8">
        <f t="shared" ca="1" si="364"/>
        <v>5.7206674551495904E-2</v>
      </c>
      <c r="L377" s="8">
        <f t="shared" ca="1" si="364"/>
        <v>5.6494355920172414E-2</v>
      </c>
      <c r="M377" s="8">
        <f t="shared" ca="1" si="364"/>
        <v>5.7240179061561793E-2</v>
      </c>
      <c r="N377" s="8">
        <f t="shared" ca="1" si="364"/>
        <v>5.6187794670117433E-2</v>
      </c>
      <c r="O377" s="8">
        <f t="shared" ca="1" si="364"/>
        <v>5.7384052905983772E-2</v>
      </c>
    </row>
    <row r="378" spans="2:15">
      <c r="B378" s="3">
        <v>357</v>
      </c>
      <c r="C378" s="8">
        <f t="shared" si="328"/>
        <v>0.05</v>
      </c>
      <c r="D378" s="8">
        <f t="shared" ref="D378:O378" ca="1" si="365">C378+k*(theta-C378)*dt+vol*SQRT(dt*C378)*_xlfn.NORM.S.INV(RAND())</f>
        <v>5.2106248569247393E-2</v>
      </c>
      <c r="E378" s="8">
        <f t="shared" ca="1" si="365"/>
        <v>5.3777523166313117E-2</v>
      </c>
      <c r="F378" s="8">
        <f t="shared" ca="1" si="365"/>
        <v>5.3070717469333346E-2</v>
      </c>
      <c r="G378" s="8">
        <f t="shared" ca="1" si="365"/>
        <v>5.4443035997341134E-2</v>
      </c>
      <c r="H378" s="8">
        <f t="shared" ca="1" si="365"/>
        <v>5.5960781693162674E-2</v>
      </c>
      <c r="I378" s="8">
        <f t="shared" ca="1" si="365"/>
        <v>5.6941683022764221E-2</v>
      </c>
      <c r="J378" s="8">
        <f t="shared" ca="1" si="365"/>
        <v>6.0043637554272999E-2</v>
      </c>
      <c r="K378" s="8">
        <f t="shared" ca="1" si="365"/>
        <v>6.1975304242416512E-2</v>
      </c>
      <c r="L378" s="8">
        <f t="shared" ca="1" si="365"/>
        <v>6.5491326998645114E-2</v>
      </c>
      <c r="M378" s="8">
        <f t="shared" ca="1" si="365"/>
        <v>6.5585312567225815E-2</v>
      </c>
      <c r="N378" s="8">
        <f t="shared" ca="1" si="365"/>
        <v>6.3617283573073807E-2</v>
      </c>
      <c r="O378" s="8">
        <f t="shared" ca="1" si="365"/>
        <v>6.4774873637529026E-2</v>
      </c>
    </row>
    <row r="379" spans="2:15">
      <c r="B379" s="3">
        <v>358</v>
      </c>
      <c r="C379" s="8">
        <f t="shared" si="328"/>
        <v>0.05</v>
      </c>
      <c r="D379" s="8">
        <f t="shared" ref="D379:O379" ca="1" si="366">C379+k*(theta-C379)*dt+vol*SQRT(dt*C379)*_xlfn.NORM.S.INV(RAND())</f>
        <v>5.1726518288769598E-2</v>
      </c>
      <c r="E379" s="8">
        <f t="shared" ca="1" si="366"/>
        <v>5.3285699510002234E-2</v>
      </c>
      <c r="F379" s="8">
        <f t="shared" ca="1" si="366"/>
        <v>5.5000433195730496E-2</v>
      </c>
      <c r="G379" s="8">
        <f t="shared" ca="1" si="366"/>
        <v>5.7644856181276558E-2</v>
      </c>
      <c r="H379" s="8">
        <f t="shared" ca="1" si="366"/>
        <v>5.9370267251470363E-2</v>
      </c>
      <c r="I379" s="8">
        <f t="shared" ca="1" si="366"/>
        <v>6.0769139152727393E-2</v>
      </c>
      <c r="J379" s="8">
        <f t="shared" ca="1" si="366"/>
        <v>6.1972132540515271E-2</v>
      </c>
      <c r="K379" s="8">
        <f t="shared" ca="1" si="366"/>
        <v>6.2656790644887744E-2</v>
      </c>
      <c r="L379" s="8">
        <f t="shared" ca="1" si="366"/>
        <v>6.4724711971861387E-2</v>
      </c>
      <c r="M379" s="8">
        <f t="shared" ca="1" si="366"/>
        <v>6.8442548544600815E-2</v>
      </c>
      <c r="N379" s="8">
        <f t="shared" ca="1" si="366"/>
        <v>7.1343932860284467E-2</v>
      </c>
      <c r="O379" s="8">
        <f t="shared" ca="1" si="366"/>
        <v>6.9870482519996766E-2</v>
      </c>
    </row>
    <row r="380" spans="2:15">
      <c r="B380" s="3">
        <v>359</v>
      </c>
      <c r="C380" s="8">
        <f t="shared" si="328"/>
        <v>0.05</v>
      </c>
      <c r="D380" s="8">
        <f t="shared" ref="D380:O380" ca="1" si="367">C380+k*(theta-C380)*dt+vol*SQRT(dt*C380)*_xlfn.NORM.S.INV(RAND())</f>
        <v>5.2279760675328697E-2</v>
      </c>
      <c r="E380" s="8">
        <f t="shared" ca="1" si="367"/>
        <v>5.282160812372886E-2</v>
      </c>
      <c r="F380" s="8">
        <f t="shared" ca="1" si="367"/>
        <v>5.6093319759384447E-2</v>
      </c>
      <c r="G380" s="8">
        <f t="shared" ca="1" si="367"/>
        <v>5.6564524429924719E-2</v>
      </c>
      <c r="H380" s="8">
        <f t="shared" ca="1" si="367"/>
        <v>5.7418796021110961E-2</v>
      </c>
      <c r="I380" s="8">
        <f t="shared" ca="1" si="367"/>
        <v>5.8657730479257583E-2</v>
      </c>
      <c r="J380" s="8">
        <f t="shared" ca="1" si="367"/>
        <v>5.9363876234811284E-2</v>
      </c>
      <c r="K380" s="8">
        <f t="shared" ca="1" si="367"/>
        <v>5.8199595341030468E-2</v>
      </c>
      <c r="L380" s="8">
        <f t="shared" ca="1" si="367"/>
        <v>5.9234002892299957E-2</v>
      </c>
      <c r="M380" s="8">
        <f t="shared" ca="1" si="367"/>
        <v>5.9406713324913998E-2</v>
      </c>
      <c r="N380" s="8">
        <f t="shared" ca="1" si="367"/>
        <v>6.1282702784555575E-2</v>
      </c>
      <c r="O380" s="8">
        <f t="shared" ca="1" si="367"/>
        <v>6.3258825290013213E-2</v>
      </c>
    </row>
    <row r="381" spans="2:15">
      <c r="B381" s="3">
        <v>360</v>
      </c>
      <c r="C381" s="8">
        <f t="shared" si="328"/>
        <v>0.05</v>
      </c>
      <c r="D381" s="8">
        <f t="shared" ref="D381:O381" ca="1" si="368">C381+k*(theta-C381)*dt+vol*SQRT(dt*C381)*_xlfn.NORM.S.INV(RAND())</f>
        <v>5.1720592501206218E-2</v>
      </c>
      <c r="E381" s="8">
        <f t="shared" ca="1" si="368"/>
        <v>5.3020343178432058E-2</v>
      </c>
      <c r="F381" s="8">
        <f t="shared" ca="1" si="368"/>
        <v>5.2854309073562998E-2</v>
      </c>
      <c r="G381" s="8">
        <f t="shared" ca="1" si="368"/>
        <v>5.5386516863804823E-2</v>
      </c>
      <c r="H381" s="8">
        <f t="shared" ca="1" si="368"/>
        <v>5.6004929195099792E-2</v>
      </c>
      <c r="I381" s="8">
        <f t="shared" ca="1" si="368"/>
        <v>5.5181369742861398E-2</v>
      </c>
      <c r="J381" s="8">
        <f t="shared" ca="1" si="368"/>
        <v>5.5314939480721435E-2</v>
      </c>
      <c r="K381" s="8">
        <f t="shared" ca="1" si="368"/>
        <v>5.9857732601240464E-2</v>
      </c>
      <c r="L381" s="8">
        <f t="shared" ca="1" si="368"/>
        <v>5.9446841416937277E-2</v>
      </c>
      <c r="M381" s="8">
        <f t="shared" ca="1" si="368"/>
        <v>5.9189373296410587E-2</v>
      </c>
      <c r="N381" s="8">
        <f t="shared" ca="1" si="368"/>
        <v>6.0960346617725737E-2</v>
      </c>
      <c r="O381" s="8">
        <f t="shared" ca="1" si="368"/>
        <v>6.225246825533795E-2</v>
      </c>
    </row>
    <row r="382" spans="2:15">
      <c r="B382" s="3">
        <v>361</v>
      </c>
      <c r="C382" s="8">
        <f t="shared" si="328"/>
        <v>0.05</v>
      </c>
      <c r="D382" s="8">
        <f t="shared" ref="D382:O382" ca="1" si="369">C382+k*(theta-C382)*dt+vol*SQRT(dt*C382)*_xlfn.NORM.S.INV(RAND())</f>
        <v>5.1672718951372168E-2</v>
      </c>
      <c r="E382" s="8">
        <f t="shared" ca="1" si="369"/>
        <v>5.1444766980309455E-2</v>
      </c>
      <c r="F382" s="8">
        <f t="shared" ca="1" si="369"/>
        <v>5.4131434868072016E-2</v>
      </c>
      <c r="G382" s="8">
        <f t="shared" ca="1" si="369"/>
        <v>5.53501289943608E-2</v>
      </c>
      <c r="H382" s="8">
        <f t="shared" ca="1" si="369"/>
        <v>5.6196409192895605E-2</v>
      </c>
      <c r="I382" s="8">
        <f t="shared" ca="1" si="369"/>
        <v>6.0593834041191355E-2</v>
      </c>
      <c r="J382" s="8">
        <f t="shared" ca="1" si="369"/>
        <v>6.4639982174014954E-2</v>
      </c>
      <c r="K382" s="8">
        <f t="shared" ca="1" si="369"/>
        <v>6.6177628611659767E-2</v>
      </c>
      <c r="L382" s="8">
        <f t="shared" ca="1" si="369"/>
        <v>6.8315512144159846E-2</v>
      </c>
      <c r="M382" s="8">
        <f t="shared" ca="1" si="369"/>
        <v>6.7965780892746547E-2</v>
      </c>
      <c r="N382" s="8">
        <f t="shared" ca="1" si="369"/>
        <v>7.1612719329306074E-2</v>
      </c>
      <c r="O382" s="8">
        <f t="shared" ca="1" si="369"/>
        <v>7.0795232227563537E-2</v>
      </c>
    </row>
    <row r="383" spans="2:15">
      <c r="B383" s="3">
        <v>362</v>
      </c>
      <c r="C383" s="8">
        <f t="shared" si="328"/>
        <v>0.05</v>
      </c>
      <c r="D383" s="8">
        <f t="shared" ref="D383:O383" ca="1" si="370">C383+k*(theta-C383)*dt+vol*SQRT(dt*C383)*_xlfn.NORM.S.INV(RAND())</f>
        <v>4.9148116842548197E-2</v>
      </c>
      <c r="E383" s="8">
        <f t="shared" ca="1" si="370"/>
        <v>5.0806246435410943E-2</v>
      </c>
      <c r="F383" s="8">
        <f t="shared" ca="1" si="370"/>
        <v>5.2152716438770098E-2</v>
      </c>
      <c r="G383" s="8">
        <f t="shared" ca="1" si="370"/>
        <v>5.3663833293564257E-2</v>
      </c>
      <c r="H383" s="8">
        <f t="shared" ca="1" si="370"/>
        <v>5.3403022256147452E-2</v>
      </c>
      <c r="I383" s="8">
        <f t="shared" ca="1" si="370"/>
        <v>5.3987491705711613E-2</v>
      </c>
      <c r="J383" s="8">
        <f t="shared" ca="1" si="370"/>
        <v>5.5439773410226968E-2</v>
      </c>
      <c r="K383" s="8">
        <f t="shared" ca="1" si="370"/>
        <v>5.5078490268740503E-2</v>
      </c>
      <c r="L383" s="8">
        <f t="shared" ca="1" si="370"/>
        <v>5.5246134367094531E-2</v>
      </c>
      <c r="M383" s="8">
        <f t="shared" ca="1" si="370"/>
        <v>5.5676753008510257E-2</v>
      </c>
      <c r="N383" s="8">
        <f t="shared" ca="1" si="370"/>
        <v>5.6210039910821311E-2</v>
      </c>
      <c r="O383" s="8">
        <f t="shared" ca="1" si="370"/>
        <v>5.9857586132430536E-2</v>
      </c>
    </row>
    <row r="384" spans="2:15">
      <c r="B384" s="3">
        <v>363</v>
      </c>
      <c r="C384" s="8">
        <f t="shared" si="328"/>
        <v>0.05</v>
      </c>
      <c r="D384" s="8">
        <f t="shared" ref="D384:O384" ca="1" si="371">C384+k*(theta-C384)*dt+vol*SQRT(dt*C384)*_xlfn.NORM.S.INV(RAND())</f>
        <v>5.1870254831043849E-2</v>
      </c>
      <c r="E384" s="8">
        <f t="shared" ca="1" si="371"/>
        <v>5.4804069770766926E-2</v>
      </c>
      <c r="F384" s="8">
        <f t="shared" ca="1" si="371"/>
        <v>5.4988733144575912E-2</v>
      </c>
      <c r="G384" s="8">
        <f t="shared" ca="1" si="371"/>
        <v>5.3008481786272495E-2</v>
      </c>
      <c r="H384" s="8">
        <f t="shared" ca="1" si="371"/>
        <v>5.5007624226762322E-2</v>
      </c>
      <c r="I384" s="8">
        <f t="shared" ca="1" si="371"/>
        <v>5.6389540742010469E-2</v>
      </c>
      <c r="J384" s="8">
        <f t="shared" ca="1" si="371"/>
        <v>5.7501385185478329E-2</v>
      </c>
      <c r="K384" s="8">
        <f t="shared" ca="1" si="371"/>
        <v>5.6678240832872651E-2</v>
      </c>
      <c r="L384" s="8">
        <f t="shared" ca="1" si="371"/>
        <v>5.6679660719310111E-2</v>
      </c>
      <c r="M384" s="8">
        <f t="shared" ca="1" si="371"/>
        <v>6.0168459576094811E-2</v>
      </c>
      <c r="N384" s="8">
        <f t="shared" ca="1" si="371"/>
        <v>5.6687942226912522E-2</v>
      </c>
      <c r="O384" s="8">
        <f t="shared" ca="1" si="371"/>
        <v>5.5999654059180427E-2</v>
      </c>
    </row>
    <row r="385" spans="2:15">
      <c r="B385" s="3">
        <v>364</v>
      </c>
      <c r="C385" s="8">
        <f t="shared" si="328"/>
        <v>0.05</v>
      </c>
      <c r="D385" s="8">
        <f t="shared" ref="D385:O385" ca="1" si="372">C385+k*(theta-C385)*dt+vol*SQRT(dt*C385)*_xlfn.NORM.S.INV(RAND())</f>
        <v>4.9520360695009077E-2</v>
      </c>
      <c r="E385" s="8">
        <f t="shared" ca="1" si="372"/>
        <v>5.0059792795975007E-2</v>
      </c>
      <c r="F385" s="8">
        <f t="shared" ca="1" si="372"/>
        <v>5.0899148428610451E-2</v>
      </c>
      <c r="G385" s="8">
        <f t="shared" ca="1" si="372"/>
        <v>5.1278292692657289E-2</v>
      </c>
      <c r="H385" s="8">
        <f t="shared" ca="1" si="372"/>
        <v>5.0867151846611253E-2</v>
      </c>
      <c r="I385" s="8">
        <f t="shared" ca="1" si="372"/>
        <v>5.4677904525397322E-2</v>
      </c>
      <c r="J385" s="8">
        <f t="shared" ca="1" si="372"/>
        <v>5.6101594430098455E-2</v>
      </c>
      <c r="K385" s="8">
        <f t="shared" ca="1" si="372"/>
        <v>5.7405652376075617E-2</v>
      </c>
      <c r="L385" s="8">
        <f t="shared" ca="1" si="372"/>
        <v>5.8527619834193488E-2</v>
      </c>
      <c r="M385" s="8">
        <f t="shared" ca="1" si="372"/>
        <v>6.0399236014295879E-2</v>
      </c>
      <c r="N385" s="8">
        <f t="shared" ca="1" si="372"/>
        <v>5.9911168830733455E-2</v>
      </c>
      <c r="O385" s="8">
        <f t="shared" ca="1" si="372"/>
        <v>5.9967401955389292E-2</v>
      </c>
    </row>
    <row r="386" spans="2:15">
      <c r="B386" s="3">
        <v>365</v>
      </c>
      <c r="C386" s="8">
        <f t="shared" si="328"/>
        <v>0.05</v>
      </c>
      <c r="D386" s="8">
        <f t="shared" ref="D386:O386" ca="1" si="373">C386+k*(theta-C386)*dt+vol*SQRT(dt*C386)*_xlfn.NORM.S.INV(RAND())</f>
        <v>5.1503518868568E-2</v>
      </c>
      <c r="E386" s="8">
        <f t="shared" ca="1" si="373"/>
        <v>5.4834838559958979E-2</v>
      </c>
      <c r="F386" s="8">
        <f t="shared" ca="1" si="373"/>
        <v>5.4484572208997682E-2</v>
      </c>
      <c r="G386" s="8">
        <f t="shared" ca="1" si="373"/>
        <v>5.6970856197798854E-2</v>
      </c>
      <c r="H386" s="8">
        <f t="shared" ca="1" si="373"/>
        <v>5.6756474475172757E-2</v>
      </c>
      <c r="I386" s="8">
        <f t="shared" ca="1" si="373"/>
        <v>5.6357701359858639E-2</v>
      </c>
      <c r="J386" s="8">
        <f t="shared" ca="1" si="373"/>
        <v>5.8218318122781915E-2</v>
      </c>
      <c r="K386" s="8">
        <f t="shared" ca="1" si="373"/>
        <v>5.7609594078447679E-2</v>
      </c>
      <c r="L386" s="8">
        <f t="shared" ca="1" si="373"/>
        <v>5.922803876130938E-2</v>
      </c>
      <c r="M386" s="8">
        <f t="shared" ca="1" si="373"/>
        <v>5.9981114257034514E-2</v>
      </c>
      <c r="N386" s="8">
        <f t="shared" ca="1" si="373"/>
        <v>6.2660957035827844E-2</v>
      </c>
      <c r="O386" s="8">
        <f t="shared" ca="1" si="373"/>
        <v>6.4660804726943327E-2</v>
      </c>
    </row>
    <row r="387" spans="2:15">
      <c r="B387" s="3">
        <v>366</v>
      </c>
      <c r="C387" s="8">
        <f t="shared" si="328"/>
        <v>0.05</v>
      </c>
      <c r="D387" s="8">
        <f t="shared" ref="D387:O387" ca="1" si="374">C387+k*(theta-C387)*dt+vol*SQRT(dt*C387)*_xlfn.NORM.S.INV(RAND())</f>
        <v>4.7926802431802674E-2</v>
      </c>
      <c r="E387" s="8">
        <f t="shared" ca="1" si="374"/>
        <v>4.8413146204016391E-2</v>
      </c>
      <c r="F387" s="8">
        <f t="shared" ca="1" si="374"/>
        <v>4.9459706835841361E-2</v>
      </c>
      <c r="G387" s="8">
        <f t="shared" ca="1" si="374"/>
        <v>5.0251438272121758E-2</v>
      </c>
      <c r="H387" s="8">
        <f t="shared" ca="1" si="374"/>
        <v>5.2050771576046387E-2</v>
      </c>
      <c r="I387" s="8">
        <f t="shared" ca="1" si="374"/>
        <v>5.7452900057115543E-2</v>
      </c>
      <c r="J387" s="8">
        <f t="shared" ca="1" si="374"/>
        <v>5.7932830039068545E-2</v>
      </c>
      <c r="K387" s="8">
        <f t="shared" ca="1" si="374"/>
        <v>5.7645341714008466E-2</v>
      </c>
      <c r="L387" s="8">
        <f t="shared" ca="1" si="374"/>
        <v>6.1616871174062234E-2</v>
      </c>
      <c r="M387" s="8">
        <f t="shared" ca="1" si="374"/>
        <v>6.4139708834084111E-2</v>
      </c>
      <c r="N387" s="8">
        <f t="shared" ca="1" si="374"/>
        <v>6.0864626650593612E-2</v>
      </c>
      <c r="O387" s="8">
        <f t="shared" ca="1" si="374"/>
        <v>6.3775744329533965E-2</v>
      </c>
    </row>
    <row r="388" spans="2:15">
      <c r="B388" s="3">
        <v>367</v>
      </c>
      <c r="C388" s="8">
        <f t="shared" si="328"/>
        <v>0.05</v>
      </c>
      <c r="D388" s="8">
        <f t="shared" ref="D388:O388" ca="1" si="375">C388+k*(theta-C388)*dt+vol*SQRT(dt*C388)*_xlfn.NORM.S.INV(RAND())</f>
        <v>5.2297849568649406E-2</v>
      </c>
      <c r="E388" s="8">
        <f t="shared" ca="1" si="375"/>
        <v>5.4115643368694219E-2</v>
      </c>
      <c r="F388" s="8">
        <f t="shared" ca="1" si="375"/>
        <v>5.4855937915044499E-2</v>
      </c>
      <c r="G388" s="8">
        <f t="shared" ca="1" si="375"/>
        <v>5.5941334216168162E-2</v>
      </c>
      <c r="H388" s="8">
        <f t="shared" ca="1" si="375"/>
        <v>5.5044944889711386E-2</v>
      </c>
      <c r="I388" s="8">
        <f t="shared" ca="1" si="375"/>
        <v>5.6815835669647721E-2</v>
      </c>
      <c r="J388" s="8">
        <f t="shared" ca="1" si="375"/>
        <v>5.5164750094271596E-2</v>
      </c>
      <c r="K388" s="8">
        <f t="shared" ca="1" si="375"/>
        <v>5.3883344020511037E-2</v>
      </c>
      <c r="L388" s="8">
        <f t="shared" ca="1" si="375"/>
        <v>5.4845592999086819E-2</v>
      </c>
      <c r="M388" s="8">
        <f t="shared" ca="1" si="375"/>
        <v>5.2701878320031662E-2</v>
      </c>
      <c r="N388" s="8">
        <f t="shared" ca="1" si="375"/>
        <v>5.4066045027135606E-2</v>
      </c>
      <c r="O388" s="8">
        <f t="shared" ca="1" si="375"/>
        <v>5.6338369121885168E-2</v>
      </c>
    </row>
    <row r="389" spans="2:15">
      <c r="B389" s="3">
        <v>368</v>
      </c>
      <c r="C389" s="8">
        <f t="shared" si="328"/>
        <v>0.05</v>
      </c>
      <c r="D389" s="8">
        <f t="shared" ref="D389:O389" ca="1" si="376">C389+k*(theta-C389)*dt+vol*SQRT(dt*C389)*_xlfn.NORM.S.INV(RAND())</f>
        <v>5.2015524991017678E-2</v>
      </c>
      <c r="E389" s="8">
        <f t="shared" ca="1" si="376"/>
        <v>5.5406377795015636E-2</v>
      </c>
      <c r="F389" s="8">
        <f t="shared" ca="1" si="376"/>
        <v>5.4441282527226527E-2</v>
      </c>
      <c r="G389" s="8">
        <f t="shared" ca="1" si="376"/>
        <v>5.5420617379181199E-2</v>
      </c>
      <c r="H389" s="8">
        <f t="shared" ca="1" si="376"/>
        <v>5.7872779881338404E-2</v>
      </c>
      <c r="I389" s="8">
        <f t="shared" ca="1" si="376"/>
        <v>5.926537949088042E-2</v>
      </c>
      <c r="J389" s="8">
        <f t="shared" ca="1" si="376"/>
        <v>5.9339826112023784E-2</v>
      </c>
      <c r="K389" s="8">
        <f t="shared" ca="1" si="376"/>
        <v>6.0683075892007735E-2</v>
      </c>
      <c r="L389" s="8">
        <f t="shared" ca="1" si="376"/>
        <v>5.9464485297126522E-2</v>
      </c>
      <c r="M389" s="8">
        <f t="shared" ca="1" si="376"/>
        <v>6.0906018418064471E-2</v>
      </c>
      <c r="N389" s="8">
        <f t="shared" ca="1" si="376"/>
        <v>6.1182714043009734E-2</v>
      </c>
      <c r="O389" s="8">
        <f t="shared" ca="1" si="376"/>
        <v>6.1371840835372962E-2</v>
      </c>
    </row>
    <row r="390" spans="2:15">
      <c r="B390" s="3">
        <v>369</v>
      </c>
      <c r="C390" s="8">
        <f t="shared" si="328"/>
        <v>0.05</v>
      </c>
      <c r="D390" s="8">
        <f t="shared" ref="D390:O390" ca="1" si="377">C390+k*(theta-C390)*dt+vol*SQRT(dt*C390)*_xlfn.NORM.S.INV(RAND())</f>
        <v>5.2439871516398007E-2</v>
      </c>
      <c r="E390" s="8">
        <f t="shared" ca="1" si="377"/>
        <v>5.1829157010854214E-2</v>
      </c>
      <c r="F390" s="8">
        <f t="shared" ca="1" si="377"/>
        <v>5.2702629976907403E-2</v>
      </c>
      <c r="G390" s="8">
        <f t="shared" ca="1" si="377"/>
        <v>5.3897435492900471E-2</v>
      </c>
      <c r="H390" s="8">
        <f t="shared" ca="1" si="377"/>
        <v>5.5728689763797579E-2</v>
      </c>
      <c r="I390" s="8">
        <f t="shared" ca="1" si="377"/>
        <v>5.5186364403817731E-2</v>
      </c>
      <c r="J390" s="8">
        <f t="shared" ca="1" si="377"/>
        <v>5.466914960142704E-2</v>
      </c>
      <c r="K390" s="8">
        <f t="shared" ca="1" si="377"/>
        <v>5.6926665350729273E-2</v>
      </c>
      <c r="L390" s="8">
        <f t="shared" ca="1" si="377"/>
        <v>6.0034838995081621E-2</v>
      </c>
      <c r="M390" s="8">
        <f t="shared" ca="1" si="377"/>
        <v>6.4444523337964341E-2</v>
      </c>
      <c r="N390" s="8">
        <f t="shared" ca="1" si="377"/>
        <v>6.4697160016917457E-2</v>
      </c>
      <c r="O390" s="8">
        <f t="shared" ca="1" si="377"/>
        <v>6.5460688015423041E-2</v>
      </c>
    </row>
    <row r="391" spans="2:15">
      <c r="B391" s="3">
        <v>370</v>
      </c>
      <c r="C391" s="8">
        <f t="shared" si="328"/>
        <v>0.05</v>
      </c>
      <c r="D391" s="8">
        <f t="shared" ref="D391:O391" ca="1" si="378">C391+k*(theta-C391)*dt+vol*SQRT(dt*C391)*_xlfn.NORM.S.INV(RAND())</f>
        <v>5.0382541192117831E-2</v>
      </c>
      <c r="E391" s="8">
        <f t="shared" ca="1" si="378"/>
        <v>5.1510448235402038E-2</v>
      </c>
      <c r="F391" s="8">
        <f t="shared" ca="1" si="378"/>
        <v>5.3615682616836274E-2</v>
      </c>
      <c r="G391" s="8">
        <f t="shared" ca="1" si="378"/>
        <v>5.5530827262100242E-2</v>
      </c>
      <c r="H391" s="8">
        <f t="shared" ca="1" si="378"/>
        <v>5.5869833213960232E-2</v>
      </c>
      <c r="I391" s="8">
        <f t="shared" ca="1" si="378"/>
        <v>5.6641213196206373E-2</v>
      </c>
      <c r="J391" s="8">
        <f t="shared" ca="1" si="378"/>
        <v>5.6813556298716816E-2</v>
      </c>
      <c r="K391" s="8">
        <f t="shared" ca="1" si="378"/>
        <v>5.6606283229652735E-2</v>
      </c>
      <c r="L391" s="8">
        <f t="shared" ca="1" si="378"/>
        <v>5.6954961888577127E-2</v>
      </c>
      <c r="M391" s="8">
        <f t="shared" ca="1" si="378"/>
        <v>5.7801766781840666E-2</v>
      </c>
      <c r="N391" s="8">
        <f t="shared" ca="1" si="378"/>
        <v>5.7490539350263908E-2</v>
      </c>
      <c r="O391" s="8">
        <f t="shared" ca="1" si="378"/>
        <v>6.0692280921045422E-2</v>
      </c>
    </row>
    <row r="392" spans="2:15">
      <c r="B392" s="3">
        <v>371</v>
      </c>
      <c r="C392" s="8">
        <f t="shared" si="328"/>
        <v>0.05</v>
      </c>
      <c r="D392" s="8">
        <f t="shared" ref="D392:O392" ca="1" si="379">C392+k*(theta-C392)*dt+vol*SQRT(dt*C392)*_xlfn.NORM.S.INV(RAND())</f>
        <v>5.217367713654987E-2</v>
      </c>
      <c r="E392" s="8">
        <f t="shared" ca="1" si="379"/>
        <v>5.3223209685465331E-2</v>
      </c>
      <c r="F392" s="8">
        <f t="shared" ca="1" si="379"/>
        <v>5.5849608151535869E-2</v>
      </c>
      <c r="G392" s="8">
        <f t="shared" ca="1" si="379"/>
        <v>5.7413915465173902E-2</v>
      </c>
      <c r="H392" s="8">
        <f t="shared" ca="1" si="379"/>
        <v>5.8922125270233848E-2</v>
      </c>
      <c r="I392" s="8">
        <f t="shared" ca="1" si="379"/>
        <v>5.5320527027383971E-2</v>
      </c>
      <c r="J392" s="8">
        <f t="shared" ca="1" si="379"/>
        <v>5.6056196315389578E-2</v>
      </c>
      <c r="K392" s="8">
        <f t="shared" ca="1" si="379"/>
        <v>5.5891463714246178E-2</v>
      </c>
      <c r="L392" s="8">
        <f t="shared" ca="1" si="379"/>
        <v>5.5122179926795641E-2</v>
      </c>
      <c r="M392" s="8">
        <f t="shared" ca="1" si="379"/>
        <v>5.6491767165942904E-2</v>
      </c>
      <c r="N392" s="8">
        <f t="shared" ca="1" si="379"/>
        <v>5.9377526172177862E-2</v>
      </c>
      <c r="O392" s="8">
        <f t="shared" ca="1" si="379"/>
        <v>6.0939978854458926E-2</v>
      </c>
    </row>
    <row r="393" spans="2:15">
      <c r="B393" s="3">
        <v>372</v>
      </c>
      <c r="C393" s="8">
        <f t="shared" si="328"/>
        <v>0.05</v>
      </c>
      <c r="D393" s="8">
        <f t="shared" ref="D393:O393" ca="1" si="380">C393+k*(theta-C393)*dt+vol*SQRT(dt*C393)*_xlfn.NORM.S.INV(RAND())</f>
        <v>5.1686993541607065E-2</v>
      </c>
      <c r="E393" s="8">
        <f t="shared" ca="1" si="380"/>
        <v>5.3658084105425302E-2</v>
      </c>
      <c r="F393" s="8">
        <f t="shared" ca="1" si="380"/>
        <v>5.5908401878455437E-2</v>
      </c>
      <c r="G393" s="8">
        <f t="shared" ca="1" si="380"/>
        <v>5.9398409736372441E-2</v>
      </c>
      <c r="H393" s="8">
        <f t="shared" ca="1" si="380"/>
        <v>6.1139887808669489E-2</v>
      </c>
      <c r="I393" s="8">
        <f t="shared" ca="1" si="380"/>
        <v>6.2353479210181306E-2</v>
      </c>
      <c r="J393" s="8">
        <f t="shared" ca="1" si="380"/>
        <v>6.4223206155515203E-2</v>
      </c>
      <c r="K393" s="8">
        <f t="shared" ca="1" si="380"/>
        <v>6.6924051424564063E-2</v>
      </c>
      <c r="L393" s="8">
        <f t="shared" ca="1" si="380"/>
        <v>6.6684210561895954E-2</v>
      </c>
      <c r="M393" s="8">
        <f t="shared" ca="1" si="380"/>
        <v>6.8346038584226956E-2</v>
      </c>
      <c r="N393" s="8">
        <f t="shared" ca="1" si="380"/>
        <v>6.9743132672755698E-2</v>
      </c>
      <c r="O393" s="8">
        <f t="shared" ca="1" si="380"/>
        <v>6.8018090181220375E-2</v>
      </c>
    </row>
    <row r="394" spans="2:15">
      <c r="B394" s="3">
        <v>373</v>
      </c>
      <c r="C394" s="8">
        <f t="shared" si="328"/>
        <v>0.05</v>
      </c>
      <c r="D394" s="8">
        <f t="shared" ref="D394:O394" ca="1" si="381">C394+k*(theta-C394)*dt+vol*SQRT(dt*C394)*_xlfn.NORM.S.INV(RAND())</f>
        <v>5.0266669960669808E-2</v>
      </c>
      <c r="E394" s="8">
        <f t="shared" ca="1" si="381"/>
        <v>4.9906760357800915E-2</v>
      </c>
      <c r="F394" s="8">
        <f t="shared" ca="1" si="381"/>
        <v>5.1240458343362966E-2</v>
      </c>
      <c r="G394" s="8">
        <f t="shared" ca="1" si="381"/>
        <v>5.3839440373744218E-2</v>
      </c>
      <c r="H394" s="8">
        <f t="shared" ca="1" si="381"/>
        <v>5.6214672138653485E-2</v>
      </c>
      <c r="I394" s="8">
        <f t="shared" ca="1" si="381"/>
        <v>5.5294950470246858E-2</v>
      </c>
      <c r="J394" s="8">
        <f t="shared" ca="1" si="381"/>
        <v>5.4315885917332531E-2</v>
      </c>
      <c r="K394" s="8">
        <f t="shared" ca="1" si="381"/>
        <v>5.616349745841176E-2</v>
      </c>
      <c r="L394" s="8">
        <f t="shared" ca="1" si="381"/>
        <v>5.8326859139098623E-2</v>
      </c>
      <c r="M394" s="8">
        <f t="shared" ca="1" si="381"/>
        <v>5.8137268828760205E-2</v>
      </c>
      <c r="N394" s="8">
        <f t="shared" ca="1" si="381"/>
        <v>5.9663237460236544E-2</v>
      </c>
      <c r="O394" s="8">
        <f t="shared" ca="1" si="381"/>
        <v>6.2257803568751671E-2</v>
      </c>
    </row>
    <row r="395" spans="2:15">
      <c r="B395" s="3">
        <v>374</v>
      </c>
      <c r="C395" s="8">
        <f t="shared" si="328"/>
        <v>0.05</v>
      </c>
      <c r="D395" s="8">
        <f t="shared" ref="D395:O395" ca="1" si="382">C395+k*(theta-C395)*dt+vol*SQRT(dt*C395)*_xlfn.NORM.S.INV(RAND())</f>
        <v>5.4532353803826206E-2</v>
      </c>
      <c r="E395" s="8">
        <f t="shared" ca="1" si="382"/>
        <v>5.5516274408801809E-2</v>
      </c>
      <c r="F395" s="8">
        <f t="shared" ca="1" si="382"/>
        <v>5.6966777185180839E-2</v>
      </c>
      <c r="G395" s="8">
        <f t="shared" ca="1" si="382"/>
        <v>6.0538496809378832E-2</v>
      </c>
      <c r="H395" s="8">
        <f t="shared" ca="1" si="382"/>
        <v>5.9956093187670555E-2</v>
      </c>
      <c r="I395" s="8">
        <f t="shared" ca="1" si="382"/>
        <v>6.1213664522617582E-2</v>
      </c>
      <c r="J395" s="8">
        <f t="shared" ca="1" si="382"/>
        <v>5.9096895901423835E-2</v>
      </c>
      <c r="K395" s="8">
        <f t="shared" ca="1" si="382"/>
        <v>5.9162308769014911E-2</v>
      </c>
      <c r="L395" s="8">
        <f t="shared" ca="1" si="382"/>
        <v>6.0914862020926393E-2</v>
      </c>
      <c r="M395" s="8">
        <f t="shared" ca="1" si="382"/>
        <v>6.2477593152348257E-2</v>
      </c>
      <c r="N395" s="8">
        <f t="shared" ca="1" si="382"/>
        <v>6.3754387226563333E-2</v>
      </c>
      <c r="O395" s="8">
        <f t="shared" ca="1" si="382"/>
        <v>6.5499085909630425E-2</v>
      </c>
    </row>
    <row r="396" spans="2:15">
      <c r="B396" s="3">
        <v>375</v>
      </c>
      <c r="C396" s="8">
        <f t="shared" si="328"/>
        <v>0.05</v>
      </c>
      <c r="D396" s="8">
        <f t="shared" ref="D396:O396" ca="1" si="383">C396+k*(theta-C396)*dt+vol*SQRT(dt*C396)*_xlfn.NORM.S.INV(RAND())</f>
        <v>5.1514334946914458E-2</v>
      </c>
      <c r="E396" s="8">
        <f t="shared" ca="1" si="383"/>
        <v>5.0850120341444524E-2</v>
      </c>
      <c r="F396" s="8">
        <f t="shared" ca="1" si="383"/>
        <v>5.0341772033943848E-2</v>
      </c>
      <c r="G396" s="8">
        <f t="shared" ca="1" si="383"/>
        <v>5.0550532420416752E-2</v>
      </c>
      <c r="H396" s="8">
        <f t="shared" ca="1" si="383"/>
        <v>5.2156723258672634E-2</v>
      </c>
      <c r="I396" s="8">
        <f t="shared" ca="1" si="383"/>
        <v>5.2899951587266056E-2</v>
      </c>
      <c r="J396" s="8">
        <f t="shared" ca="1" si="383"/>
        <v>5.4339133728494637E-2</v>
      </c>
      <c r="K396" s="8">
        <f t="shared" ca="1" si="383"/>
        <v>5.4929259020444994E-2</v>
      </c>
      <c r="L396" s="8">
        <f t="shared" ca="1" si="383"/>
        <v>5.7335144129341965E-2</v>
      </c>
      <c r="M396" s="8">
        <f t="shared" ca="1" si="383"/>
        <v>5.9774440390083554E-2</v>
      </c>
      <c r="N396" s="8">
        <f t="shared" ca="1" si="383"/>
        <v>5.8926296073293923E-2</v>
      </c>
      <c r="O396" s="8">
        <f t="shared" ca="1" si="383"/>
        <v>5.9460474531516351E-2</v>
      </c>
    </row>
    <row r="397" spans="2:15">
      <c r="B397" s="3">
        <v>376</v>
      </c>
      <c r="C397" s="8">
        <f t="shared" si="328"/>
        <v>0.05</v>
      </c>
      <c r="D397" s="8">
        <f t="shared" ref="D397:O397" ca="1" si="384">C397+k*(theta-C397)*dt+vol*SQRT(dt*C397)*_xlfn.NORM.S.INV(RAND())</f>
        <v>5.2074083374662794E-2</v>
      </c>
      <c r="E397" s="8">
        <f t="shared" ca="1" si="384"/>
        <v>5.2551292120782356E-2</v>
      </c>
      <c r="F397" s="8">
        <f t="shared" ca="1" si="384"/>
        <v>5.4222161318449133E-2</v>
      </c>
      <c r="G397" s="8">
        <f t="shared" ca="1" si="384"/>
        <v>5.5934823994150958E-2</v>
      </c>
      <c r="H397" s="8">
        <f t="shared" ca="1" si="384"/>
        <v>5.5528395325994427E-2</v>
      </c>
      <c r="I397" s="8">
        <f t="shared" ca="1" si="384"/>
        <v>5.4559122685320358E-2</v>
      </c>
      <c r="J397" s="8">
        <f t="shared" ca="1" si="384"/>
        <v>5.470849172406754E-2</v>
      </c>
      <c r="K397" s="8">
        <f t="shared" ca="1" si="384"/>
        <v>5.9072959887033531E-2</v>
      </c>
      <c r="L397" s="8">
        <f t="shared" ca="1" si="384"/>
        <v>5.767249467139484E-2</v>
      </c>
      <c r="M397" s="8">
        <f t="shared" ca="1" si="384"/>
        <v>5.7674353033235926E-2</v>
      </c>
      <c r="N397" s="8">
        <f t="shared" ca="1" si="384"/>
        <v>5.7691979412538348E-2</v>
      </c>
      <c r="O397" s="8">
        <f t="shared" ca="1" si="384"/>
        <v>5.8065399467746082E-2</v>
      </c>
    </row>
    <row r="398" spans="2:15">
      <c r="B398" s="3">
        <v>377</v>
      </c>
      <c r="C398" s="8">
        <f t="shared" si="328"/>
        <v>0.05</v>
      </c>
      <c r="D398" s="8">
        <f t="shared" ref="D398:O398" ca="1" si="385">C398+k*(theta-C398)*dt+vol*SQRT(dt*C398)*_xlfn.NORM.S.INV(RAND())</f>
        <v>5.2334013273672569E-2</v>
      </c>
      <c r="E398" s="8">
        <f t="shared" ca="1" si="385"/>
        <v>5.2103777090514163E-2</v>
      </c>
      <c r="F398" s="8">
        <f t="shared" ca="1" si="385"/>
        <v>5.2978858743724863E-2</v>
      </c>
      <c r="G398" s="8">
        <f t="shared" ca="1" si="385"/>
        <v>5.207848701748858E-2</v>
      </c>
      <c r="H398" s="8">
        <f t="shared" ca="1" si="385"/>
        <v>5.3538748719971038E-2</v>
      </c>
      <c r="I398" s="8">
        <f t="shared" ca="1" si="385"/>
        <v>5.5613641712138076E-2</v>
      </c>
      <c r="J398" s="8">
        <f t="shared" ca="1" si="385"/>
        <v>5.6308401298879887E-2</v>
      </c>
      <c r="K398" s="8">
        <f t="shared" ca="1" si="385"/>
        <v>5.6635449818590727E-2</v>
      </c>
      <c r="L398" s="8">
        <f t="shared" ca="1" si="385"/>
        <v>5.7562004517607436E-2</v>
      </c>
      <c r="M398" s="8">
        <f t="shared" ca="1" si="385"/>
        <v>5.7701840737720965E-2</v>
      </c>
      <c r="N398" s="8">
        <f t="shared" ca="1" si="385"/>
        <v>5.8629448460353333E-2</v>
      </c>
      <c r="O398" s="8">
        <f t="shared" ca="1" si="385"/>
        <v>6.0540613604835009E-2</v>
      </c>
    </row>
    <row r="399" spans="2:15">
      <c r="B399" s="3">
        <v>378</v>
      </c>
      <c r="C399" s="8">
        <f t="shared" si="328"/>
        <v>0.05</v>
      </c>
      <c r="D399" s="8">
        <f t="shared" ref="D399:O399" ca="1" si="386">C399+k*(theta-C399)*dt+vol*SQRT(dt*C399)*_xlfn.NORM.S.INV(RAND())</f>
        <v>5.1343382439942277E-2</v>
      </c>
      <c r="E399" s="8">
        <f t="shared" ca="1" si="386"/>
        <v>5.0951840873466873E-2</v>
      </c>
      <c r="F399" s="8">
        <f t="shared" ca="1" si="386"/>
        <v>5.2191415085628988E-2</v>
      </c>
      <c r="G399" s="8">
        <f t="shared" ca="1" si="386"/>
        <v>5.2515336337938888E-2</v>
      </c>
      <c r="H399" s="8">
        <f t="shared" ca="1" si="386"/>
        <v>5.1839302037362131E-2</v>
      </c>
      <c r="I399" s="8">
        <f t="shared" ca="1" si="386"/>
        <v>5.32632521887067E-2</v>
      </c>
      <c r="J399" s="8">
        <f t="shared" ca="1" si="386"/>
        <v>5.6351721210174406E-2</v>
      </c>
      <c r="K399" s="8">
        <f t="shared" ca="1" si="386"/>
        <v>5.8528765940337964E-2</v>
      </c>
      <c r="L399" s="8">
        <f t="shared" ca="1" si="386"/>
        <v>5.6288902189728457E-2</v>
      </c>
      <c r="M399" s="8">
        <f t="shared" ca="1" si="386"/>
        <v>5.806401482466108E-2</v>
      </c>
      <c r="N399" s="8">
        <f t="shared" ca="1" si="386"/>
        <v>6.1694449413669764E-2</v>
      </c>
      <c r="O399" s="8">
        <f t="shared" ca="1" si="386"/>
        <v>6.0440327359049542E-2</v>
      </c>
    </row>
    <row r="400" spans="2:15">
      <c r="B400" s="3">
        <v>379</v>
      </c>
      <c r="C400" s="8">
        <f t="shared" si="328"/>
        <v>0.05</v>
      </c>
      <c r="D400" s="8">
        <f t="shared" ref="D400:O400" ca="1" si="387">C400+k*(theta-C400)*dt+vol*SQRT(dt*C400)*_xlfn.NORM.S.INV(RAND())</f>
        <v>5.2869264460027848E-2</v>
      </c>
      <c r="E400" s="8">
        <f t="shared" ca="1" si="387"/>
        <v>5.4951549211433429E-2</v>
      </c>
      <c r="F400" s="8">
        <f t="shared" ca="1" si="387"/>
        <v>5.4392382052066909E-2</v>
      </c>
      <c r="G400" s="8">
        <f t="shared" ca="1" si="387"/>
        <v>5.5422154641852475E-2</v>
      </c>
      <c r="H400" s="8">
        <f t="shared" ca="1" si="387"/>
        <v>5.6277166941522003E-2</v>
      </c>
      <c r="I400" s="8">
        <f t="shared" ca="1" si="387"/>
        <v>5.7087767966706372E-2</v>
      </c>
      <c r="J400" s="8">
        <f t="shared" ca="1" si="387"/>
        <v>5.8372061299892891E-2</v>
      </c>
      <c r="K400" s="8">
        <f t="shared" ca="1" si="387"/>
        <v>5.9623998430842193E-2</v>
      </c>
      <c r="L400" s="8">
        <f t="shared" ca="1" si="387"/>
        <v>5.7661030939526937E-2</v>
      </c>
      <c r="M400" s="8">
        <f t="shared" ca="1" si="387"/>
        <v>6.0139415529755366E-2</v>
      </c>
      <c r="N400" s="8">
        <f t="shared" ca="1" si="387"/>
        <v>6.2571960343073302E-2</v>
      </c>
      <c r="O400" s="8">
        <f t="shared" ca="1" si="387"/>
        <v>6.375457979888674E-2</v>
      </c>
    </row>
    <row r="401" spans="2:15">
      <c r="B401" s="3">
        <v>380</v>
      </c>
      <c r="C401" s="8">
        <f t="shared" si="328"/>
        <v>0.05</v>
      </c>
      <c r="D401" s="8">
        <f t="shared" ref="D401:O401" ca="1" si="388">C401+k*(theta-C401)*dt+vol*SQRT(dt*C401)*_xlfn.NORM.S.INV(RAND())</f>
        <v>5.2342652430176807E-2</v>
      </c>
      <c r="E401" s="8">
        <f t="shared" ca="1" si="388"/>
        <v>5.4226102644988325E-2</v>
      </c>
      <c r="F401" s="8">
        <f t="shared" ca="1" si="388"/>
        <v>5.6444218006678745E-2</v>
      </c>
      <c r="G401" s="8">
        <f t="shared" ca="1" si="388"/>
        <v>5.6179688730917145E-2</v>
      </c>
      <c r="H401" s="8">
        <f t="shared" ca="1" si="388"/>
        <v>5.8233296593875494E-2</v>
      </c>
      <c r="I401" s="8">
        <f t="shared" ca="1" si="388"/>
        <v>5.7723378069981339E-2</v>
      </c>
      <c r="J401" s="8">
        <f t="shared" ca="1" si="388"/>
        <v>5.9215816094695124E-2</v>
      </c>
      <c r="K401" s="8">
        <f t="shared" ca="1" si="388"/>
        <v>6.1348905305181271E-2</v>
      </c>
      <c r="L401" s="8">
        <f t="shared" ca="1" si="388"/>
        <v>6.2417080938554186E-2</v>
      </c>
      <c r="M401" s="8">
        <f t="shared" ca="1" si="388"/>
        <v>6.276730986908409E-2</v>
      </c>
      <c r="N401" s="8">
        <f t="shared" ca="1" si="388"/>
        <v>6.4074377479158687E-2</v>
      </c>
      <c r="O401" s="8">
        <f t="shared" ca="1" si="388"/>
        <v>6.6702479977198761E-2</v>
      </c>
    </row>
    <row r="402" spans="2:15">
      <c r="B402" s="3">
        <v>381</v>
      </c>
      <c r="C402" s="8">
        <f t="shared" si="328"/>
        <v>0.05</v>
      </c>
      <c r="D402" s="8">
        <f t="shared" ref="D402:O402" ca="1" si="389">C402+k*(theta-C402)*dt+vol*SQRT(dt*C402)*_xlfn.NORM.S.INV(RAND())</f>
        <v>4.9623910052906527E-2</v>
      </c>
      <c r="E402" s="8">
        <f t="shared" ca="1" si="389"/>
        <v>5.1969244727280609E-2</v>
      </c>
      <c r="F402" s="8">
        <f t="shared" ca="1" si="389"/>
        <v>5.5252830310514402E-2</v>
      </c>
      <c r="G402" s="8">
        <f t="shared" ca="1" si="389"/>
        <v>5.7465589695029247E-2</v>
      </c>
      <c r="H402" s="8">
        <f t="shared" ca="1" si="389"/>
        <v>5.7740554846231217E-2</v>
      </c>
      <c r="I402" s="8">
        <f t="shared" ca="1" si="389"/>
        <v>5.9001544661156972E-2</v>
      </c>
      <c r="J402" s="8">
        <f t="shared" ca="1" si="389"/>
        <v>5.9224074833599212E-2</v>
      </c>
      <c r="K402" s="8">
        <f t="shared" ca="1" si="389"/>
        <v>5.993202214998028E-2</v>
      </c>
      <c r="L402" s="8">
        <f t="shared" ca="1" si="389"/>
        <v>6.133488099949895E-2</v>
      </c>
      <c r="M402" s="8">
        <f t="shared" ca="1" si="389"/>
        <v>6.1942052665173865E-2</v>
      </c>
      <c r="N402" s="8">
        <f t="shared" ca="1" si="389"/>
        <v>6.1001585480836069E-2</v>
      </c>
      <c r="O402" s="8">
        <f t="shared" ca="1" si="389"/>
        <v>6.3016304942658627E-2</v>
      </c>
    </row>
    <row r="403" spans="2:15">
      <c r="B403" s="3">
        <v>382</v>
      </c>
      <c r="C403" s="8">
        <f t="shared" si="328"/>
        <v>0.05</v>
      </c>
      <c r="D403" s="8">
        <f t="shared" ref="D403:O403" ca="1" si="390">C403+k*(theta-C403)*dt+vol*SQRT(dt*C403)*_xlfn.NORM.S.INV(RAND())</f>
        <v>4.9787139416261818E-2</v>
      </c>
      <c r="E403" s="8">
        <f t="shared" ca="1" si="390"/>
        <v>5.1424644371711487E-2</v>
      </c>
      <c r="F403" s="8">
        <f t="shared" ca="1" si="390"/>
        <v>5.1964121071206119E-2</v>
      </c>
      <c r="G403" s="8">
        <f t="shared" ca="1" si="390"/>
        <v>5.0319262785776121E-2</v>
      </c>
      <c r="H403" s="8">
        <f t="shared" ca="1" si="390"/>
        <v>4.8808399474489034E-2</v>
      </c>
      <c r="I403" s="8">
        <f t="shared" ca="1" si="390"/>
        <v>4.8322891990301486E-2</v>
      </c>
      <c r="J403" s="8">
        <f t="shared" ca="1" si="390"/>
        <v>4.8148353493071221E-2</v>
      </c>
      <c r="K403" s="8">
        <f t="shared" ca="1" si="390"/>
        <v>4.8087755641685548E-2</v>
      </c>
      <c r="L403" s="8">
        <f t="shared" ca="1" si="390"/>
        <v>4.7752685397389687E-2</v>
      </c>
      <c r="M403" s="8">
        <f t="shared" ca="1" si="390"/>
        <v>5.1593331840006182E-2</v>
      </c>
      <c r="N403" s="8">
        <f t="shared" ca="1" si="390"/>
        <v>5.2659868542308946E-2</v>
      </c>
      <c r="O403" s="8">
        <f t="shared" ca="1" si="390"/>
        <v>5.3171629224714717E-2</v>
      </c>
    </row>
    <row r="404" spans="2:15">
      <c r="B404" s="3">
        <v>383</v>
      </c>
      <c r="C404" s="8">
        <f t="shared" si="328"/>
        <v>0.05</v>
      </c>
      <c r="D404" s="8">
        <f t="shared" ref="D404:O404" ca="1" si="391">C404+k*(theta-C404)*dt+vol*SQRT(dt*C404)*_xlfn.NORM.S.INV(RAND())</f>
        <v>5.0498903487334885E-2</v>
      </c>
      <c r="E404" s="8">
        <f t="shared" ca="1" si="391"/>
        <v>5.1121799190150738E-2</v>
      </c>
      <c r="F404" s="8">
        <f t="shared" ca="1" si="391"/>
        <v>5.4948349165138799E-2</v>
      </c>
      <c r="G404" s="8">
        <f t="shared" ca="1" si="391"/>
        <v>5.5407918137349847E-2</v>
      </c>
      <c r="H404" s="8">
        <f t="shared" ca="1" si="391"/>
        <v>5.4947024003455316E-2</v>
      </c>
      <c r="I404" s="8">
        <f t="shared" ca="1" si="391"/>
        <v>5.3869019280807659E-2</v>
      </c>
      <c r="J404" s="8">
        <f t="shared" ca="1" si="391"/>
        <v>5.2812289894182324E-2</v>
      </c>
      <c r="K404" s="8">
        <f t="shared" ca="1" si="391"/>
        <v>5.4609907039233477E-2</v>
      </c>
      <c r="L404" s="8">
        <f t="shared" ca="1" si="391"/>
        <v>5.638778262196141E-2</v>
      </c>
      <c r="M404" s="8">
        <f t="shared" ca="1" si="391"/>
        <v>5.6593417808417618E-2</v>
      </c>
      <c r="N404" s="8">
        <f t="shared" ca="1" si="391"/>
        <v>5.558929930252738E-2</v>
      </c>
      <c r="O404" s="8">
        <f t="shared" ca="1" si="391"/>
        <v>5.7446567537271544E-2</v>
      </c>
    </row>
    <row r="405" spans="2:15">
      <c r="B405" s="3">
        <v>384</v>
      </c>
      <c r="C405" s="8">
        <f t="shared" si="328"/>
        <v>0.05</v>
      </c>
      <c r="D405" s="8">
        <f t="shared" ref="D405:O405" ca="1" si="392">C405+k*(theta-C405)*dt+vol*SQRT(dt*C405)*_xlfn.NORM.S.INV(RAND())</f>
        <v>5.2392176847456944E-2</v>
      </c>
      <c r="E405" s="8">
        <f t="shared" ca="1" si="392"/>
        <v>5.2617790646810471E-2</v>
      </c>
      <c r="F405" s="8">
        <f t="shared" ca="1" si="392"/>
        <v>5.3992380559719763E-2</v>
      </c>
      <c r="G405" s="8">
        <f t="shared" ca="1" si="392"/>
        <v>5.6220711336012093E-2</v>
      </c>
      <c r="H405" s="8">
        <f t="shared" ca="1" si="392"/>
        <v>5.7541757516688725E-2</v>
      </c>
      <c r="I405" s="8">
        <f t="shared" ca="1" si="392"/>
        <v>6.0740129469047908E-2</v>
      </c>
      <c r="J405" s="8">
        <f t="shared" ca="1" si="392"/>
        <v>6.0889143477594346E-2</v>
      </c>
      <c r="K405" s="8">
        <f t="shared" ca="1" si="392"/>
        <v>6.2050790546595631E-2</v>
      </c>
      <c r="L405" s="8">
        <f t="shared" ca="1" si="392"/>
        <v>6.2482802775266445E-2</v>
      </c>
      <c r="M405" s="8">
        <f t="shared" ca="1" si="392"/>
        <v>6.3143944010891559E-2</v>
      </c>
      <c r="N405" s="8">
        <f t="shared" ca="1" si="392"/>
        <v>6.464761674491995E-2</v>
      </c>
      <c r="O405" s="8">
        <f t="shared" ca="1" si="392"/>
        <v>6.4426688936811236E-2</v>
      </c>
    </row>
    <row r="406" spans="2:15">
      <c r="B406" s="3">
        <v>385</v>
      </c>
      <c r="C406" s="8">
        <f t="shared" ref="C406:C469" si="393">r0</f>
        <v>0.05</v>
      </c>
      <c r="D406" s="8">
        <f t="shared" ref="D406:O406" ca="1" si="394">C406+k*(theta-C406)*dt+vol*SQRT(dt*C406)*_xlfn.NORM.S.INV(RAND())</f>
        <v>4.817817841114154E-2</v>
      </c>
      <c r="E406" s="8">
        <f t="shared" ca="1" si="394"/>
        <v>5.0692058210381405E-2</v>
      </c>
      <c r="F406" s="8">
        <f t="shared" ca="1" si="394"/>
        <v>5.2332584313007684E-2</v>
      </c>
      <c r="G406" s="8">
        <f t="shared" ca="1" si="394"/>
        <v>5.478016770053399E-2</v>
      </c>
      <c r="H406" s="8">
        <f t="shared" ca="1" si="394"/>
        <v>5.4213750298391913E-2</v>
      </c>
      <c r="I406" s="8">
        <f t="shared" ca="1" si="394"/>
        <v>5.5150694262377106E-2</v>
      </c>
      <c r="J406" s="8">
        <f t="shared" ca="1" si="394"/>
        <v>5.7537592505077922E-2</v>
      </c>
      <c r="K406" s="8">
        <f t="shared" ca="1" si="394"/>
        <v>5.872980515441812E-2</v>
      </c>
      <c r="L406" s="8">
        <f t="shared" ca="1" si="394"/>
        <v>5.9890603221731543E-2</v>
      </c>
      <c r="M406" s="8">
        <f t="shared" ca="1" si="394"/>
        <v>6.2670249690380084E-2</v>
      </c>
      <c r="N406" s="8">
        <f t="shared" ca="1" si="394"/>
        <v>6.5520497372392683E-2</v>
      </c>
      <c r="O406" s="8">
        <f t="shared" ca="1" si="394"/>
        <v>6.4354356174058464E-2</v>
      </c>
    </row>
    <row r="407" spans="2:15">
      <c r="B407" s="3">
        <v>386</v>
      </c>
      <c r="C407" s="8">
        <f t="shared" si="393"/>
        <v>0.05</v>
      </c>
      <c r="D407" s="8">
        <f t="shared" ref="D407:O407" ca="1" si="395">C407+k*(theta-C407)*dt+vol*SQRT(dt*C407)*_xlfn.NORM.S.INV(RAND())</f>
        <v>5.1001210745405798E-2</v>
      </c>
      <c r="E407" s="8">
        <f t="shared" ca="1" si="395"/>
        <v>5.2507034797061751E-2</v>
      </c>
      <c r="F407" s="8">
        <f t="shared" ca="1" si="395"/>
        <v>5.362438679046453E-2</v>
      </c>
      <c r="G407" s="8">
        <f t="shared" ca="1" si="395"/>
        <v>5.2330472041730421E-2</v>
      </c>
      <c r="H407" s="8">
        <f t="shared" ca="1" si="395"/>
        <v>5.5066426315163203E-2</v>
      </c>
      <c r="I407" s="8">
        <f t="shared" ca="1" si="395"/>
        <v>5.3988578688229191E-2</v>
      </c>
      <c r="J407" s="8">
        <f t="shared" ca="1" si="395"/>
        <v>5.6637825421444701E-2</v>
      </c>
      <c r="K407" s="8">
        <f t="shared" ca="1" si="395"/>
        <v>5.8085441876252808E-2</v>
      </c>
      <c r="L407" s="8">
        <f t="shared" ca="1" si="395"/>
        <v>5.7967279818368009E-2</v>
      </c>
      <c r="M407" s="8">
        <f t="shared" ca="1" si="395"/>
        <v>5.9583853179982688E-2</v>
      </c>
      <c r="N407" s="8">
        <f t="shared" ca="1" si="395"/>
        <v>5.8771062169346737E-2</v>
      </c>
      <c r="O407" s="8">
        <f t="shared" ca="1" si="395"/>
        <v>5.8578030629151304E-2</v>
      </c>
    </row>
    <row r="408" spans="2:15">
      <c r="B408" s="3">
        <v>387</v>
      </c>
      <c r="C408" s="8">
        <f t="shared" si="393"/>
        <v>0.05</v>
      </c>
      <c r="D408" s="8">
        <f t="shared" ref="D408:O408" ca="1" si="396">C408+k*(theta-C408)*dt+vol*SQRT(dt*C408)*_xlfn.NORM.S.INV(RAND())</f>
        <v>4.9956407270642461E-2</v>
      </c>
      <c r="E408" s="8">
        <f t="shared" ca="1" si="396"/>
        <v>5.3001738426905733E-2</v>
      </c>
      <c r="F408" s="8">
        <f t="shared" ca="1" si="396"/>
        <v>5.5112204283317028E-2</v>
      </c>
      <c r="G408" s="8">
        <f t="shared" ca="1" si="396"/>
        <v>5.6445804288176561E-2</v>
      </c>
      <c r="H408" s="8">
        <f t="shared" ca="1" si="396"/>
        <v>5.6949632664934392E-2</v>
      </c>
      <c r="I408" s="8">
        <f t="shared" ca="1" si="396"/>
        <v>5.9684781310475159E-2</v>
      </c>
      <c r="J408" s="8">
        <f t="shared" ca="1" si="396"/>
        <v>5.9058814945247499E-2</v>
      </c>
      <c r="K408" s="8">
        <f t="shared" ca="1" si="396"/>
        <v>6.1353064374611493E-2</v>
      </c>
      <c r="L408" s="8">
        <f t="shared" ca="1" si="396"/>
        <v>6.3189221199139056E-2</v>
      </c>
      <c r="M408" s="8">
        <f t="shared" ca="1" si="396"/>
        <v>6.3741328905818961E-2</v>
      </c>
      <c r="N408" s="8">
        <f t="shared" ca="1" si="396"/>
        <v>6.374674245967539E-2</v>
      </c>
      <c r="O408" s="8">
        <f t="shared" ca="1" si="396"/>
        <v>6.5478657191079342E-2</v>
      </c>
    </row>
    <row r="409" spans="2:15">
      <c r="B409" s="3">
        <v>388</v>
      </c>
      <c r="C409" s="8">
        <f t="shared" si="393"/>
        <v>0.05</v>
      </c>
      <c r="D409" s="8">
        <f t="shared" ref="D409:O409" ca="1" si="397">C409+k*(theta-C409)*dt+vol*SQRT(dt*C409)*_xlfn.NORM.S.INV(RAND())</f>
        <v>5.2838257742327213E-2</v>
      </c>
      <c r="E409" s="8">
        <f t="shared" ca="1" si="397"/>
        <v>5.3976154718890695E-2</v>
      </c>
      <c r="F409" s="8">
        <f t="shared" ca="1" si="397"/>
        <v>5.3703649374109541E-2</v>
      </c>
      <c r="G409" s="8">
        <f t="shared" ca="1" si="397"/>
        <v>5.5640026994554094E-2</v>
      </c>
      <c r="H409" s="8">
        <f t="shared" ca="1" si="397"/>
        <v>5.4641576682439991E-2</v>
      </c>
      <c r="I409" s="8">
        <f t="shared" ca="1" si="397"/>
        <v>5.2562085131470537E-2</v>
      </c>
      <c r="J409" s="8">
        <f t="shared" ca="1" si="397"/>
        <v>5.0014892701303625E-2</v>
      </c>
      <c r="K409" s="8">
        <f t="shared" ca="1" si="397"/>
        <v>5.1199851708502657E-2</v>
      </c>
      <c r="L409" s="8">
        <f t="shared" ca="1" si="397"/>
        <v>5.4121421784477264E-2</v>
      </c>
      <c r="M409" s="8">
        <f t="shared" ca="1" si="397"/>
        <v>5.3748073201681852E-2</v>
      </c>
      <c r="N409" s="8">
        <f t="shared" ca="1" si="397"/>
        <v>5.5604595539089356E-2</v>
      </c>
      <c r="O409" s="8">
        <f t="shared" ca="1" si="397"/>
        <v>5.6492775850952713E-2</v>
      </c>
    </row>
    <row r="410" spans="2:15">
      <c r="B410" s="3">
        <v>389</v>
      </c>
      <c r="C410" s="8">
        <f t="shared" si="393"/>
        <v>0.05</v>
      </c>
      <c r="D410" s="8">
        <f t="shared" ref="D410:O410" ca="1" si="398">C410+k*(theta-C410)*dt+vol*SQRT(dt*C410)*_xlfn.NORM.S.INV(RAND())</f>
        <v>4.9718859846241567E-2</v>
      </c>
      <c r="E410" s="8">
        <f t="shared" ca="1" si="398"/>
        <v>5.1197002482643847E-2</v>
      </c>
      <c r="F410" s="8">
        <f t="shared" ca="1" si="398"/>
        <v>5.4035837662968482E-2</v>
      </c>
      <c r="G410" s="8">
        <f t="shared" ca="1" si="398"/>
        <v>5.4203300153262052E-2</v>
      </c>
      <c r="H410" s="8">
        <f t="shared" ca="1" si="398"/>
        <v>5.4458159816881492E-2</v>
      </c>
      <c r="I410" s="8">
        <f t="shared" ca="1" si="398"/>
        <v>5.3602566398666347E-2</v>
      </c>
      <c r="J410" s="8">
        <f t="shared" ca="1" si="398"/>
        <v>5.5709721049429756E-2</v>
      </c>
      <c r="K410" s="8">
        <f t="shared" ca="1" si="398"/>
        <v>5.5895991119775265E-2</v>
      </c>
      <c r="L410" s="8">
        <f t="shared" ca="1" si="398"/>
        <v>5.587586979390425E-2</v>
      </c>
      <c r="M410" s="8">
        <f t="shared" ca="1" si="398"/>
        <v>5.7831571156334506E-2</v>
      </c>
      <c r="N410" s="8">
        <f t="shared" ca="1" si="398"/>
        <v>5.833433535318211E-2</v>
      </c>
      <c r="O410" s="8">
        <f t="shared" ca="1" si="398"/>
        <v>6.0106742151755113E-2</v>
      </c>
    </row>
    <row r="411" spans="2:15">
      <c r="B411" s="3">
        <v>390</v>
      </c>
      <c r="C411" s="8">
        <f t="shared" si="393"/>
        <v>0.05</v>
      </c>
      <c r="D411" s="8">
        <f t="shared" ref="D411:O411" ca="1" si="399">C411+k*(theta-C411)*dt+vol*SQRT(dt*C411)*_xlfn.NORM.S.INV(RAND())</f>
        <v>4.906434218586718E-2</v>
      </c>
      <c r="E411" s="8">
        <f t="shared" ca="1" si="399"/>
        <v>5.0956353606830027E-2</v>
      </c>
      <c r="F411" s="8">
        <f t="shared" ca="1" si="399"/>
        <v>5.0670218525558676E-2</v>
      </c>
      <c r="G411" s="8">
        <f t="shared" ca="1" si="399"/>
        <v>5.0616853860424062E-2</v>
      </c>
      <c r="H411" s="8">
        <f t="shared" ca="1" si="399"/>
        <v>5.3483340303423631E-2</v>
      </c>
      <c r="I411" s="8">
        <f t="shared" ca="1" si="399"/>
        <v>5.5387426122778687E-2</v>
      </c>
      <c r="J411" s="8">
        <f t="shared" ca="1" si="399"/>
        <v>5.5395954259522456E-2</v>
      </c>
      <c r="K411" s="8">
        <f t="shared" ca="1" si="399"/>
        <v>5.6846983283285989E-2</v>
      </c>
      <c r="L411" s="8">
        <f t="shared" ca="1" si="399"/>
        <v>5.5368759051984386E-2</v>
      </c>
      <c r="M411" s="8">
        <f t="shared" ca="1" si="399"/>
        <v>5.5066145768020033E-2</v>
      </c>
      <c r="N411" s="8">
        <f t="shared" ca="1" si="399"/>
        <v>5.7011248215058964E-2</v>
      </c>
      <c r="O411" s="8">
        <f t="shared" ca="1" si="399"/>
        <v>5.8217906147781912E-2</v>
      </c>
    </row>
    <row r="412" spans="2:15">
      <c r="B412" s="3">
        <v>391</v>
      </c>
      <c r="C412" s="8">
        <f t="shared" si="393"/>
        <v>0.05</v>
      </c>
      <c r="D412" s="8">
        <f t="shared" ref="D412:O412" ca="1" si="400">C412+k*(theta-C412)*dt+vol*SQRT(dt*C412)*_xlfn.NORM.S.INV(RAND())</f>
        <v>4.9760852528916606E-2</v>
      </c>
      <c r="E412" s="8">
        <f t="shared" ca="1" si="400"/>
        <v>5.1381623868384581E-2</v>
      </c>
      <c r="F412" s="8">
        <f t="shared" ca="1" si="400"/>
        <v>5.2888860233615428E-2</v>
      </c>
      <c r="G412" s="8">
        <f t="shared" ca="1" si="400"/>
        <v>5.198620435203629E-2</v>
      </c>
      <c r="H412" s="8">
        <f t="shared" ca="1" si="400"/>
        <v>5.3202286064902432E-2</v>
      </c>
      <c r="I412" s="8">
        <f t="shared" ca="1" si="400"/>
        <v>5.5790863753339977E-2</v>
      </c>
      <c r="J412" s="8">
        <f t="shared" ca="1" si="400"/>
        <v>5.9224445349671889E-2</v>
      </c>
      <c r="K412" s="8">
        <f t="shared" ca="1" si="400"/>
        <v>6.0462835207942364E-2</v>
      </c>
      <c r="L412" s="8">
        <f t="shared" ca="1" si="400"/>
        <v>6.4071154095552738E-2</v>
      </c>
      <c r="M412" s="8">
        <f t="shared" ca="1" si="400"/>
        <v>6.4386085938498233E-2</v>
      </c>
      <c r="N412" s="8">
        <f t="shared" ca="1" si="400"/>
        <v>6.3668150257213438E-2</v>
      </c>
      <c r="O412" s="8">
        <f t="shared" ca="1" si="400"/>
        <v>6.2798232085918698E-2</v>
      </c>
    </row>
    <row r="413" spans="2:15">
      <c r="B413" s="3">
        <v>392</v>
      </c>
      <c r="C413" s="8">
        <f t="shared" si="393"/>
        <v>0.05</v>
      </c>
      <c r="D413" s="8">
        <f t="shared" ref="D413:O413" ca="1" si="401">C413+k*(theta-C413)*dt+vol*SQRT(dt*C413)*_xlfn.NORM.S.INV(RAND())</f>
        <v>5.239823909766237E-2</v>
      </c>
      <c r="E413" s="8">
        <f t="shared" ca="1" si="401"/>
        <v>5.201197044869639E-2</v>
      </c>
      <c r="F413" s="8">
        <f t="shared" ca="1" si="401"/>
        <v>5.2000693324183195E-2</v>
      </c>
      <c r="G413" s="8">
        <f t="shared" ca="1" si="401"/>
        <v>5.2717530480705994E-2</v>
      </c>
      <c r="H413" s="8">
        <f t="shared" ca="1" si="401"/>
        <v>5.5640674656410163E-2</v>
      </c>
      <c r="I413" s="8">
        <f t="shared" ca="1" si="401"/>
        <v>5.6715384866973188E-2</v>
      </c>
      <c r="J413" s="8">
        <f t="shared" ca="1" si="401"/>
        <v>5.5856314477392338E-2</v>
      </c>
      <c r="K413" s="8">
        <f t="shared" ca="1" si="401"/>
        <v>5.6147944893138943E-2</v>
      </c>
      <c r="L413" s="8">
        <f t="shared" ca="1" si="401"/>
        <v>5.8948546622763658E-2</v>
      </c>
      <c r="M413" s="8">
        <f t="shared" ca="1" si="401"/>
        <v>6.1438982459591049E-2</v>
      </c>
      <c r="N413" s="8">
        <f t="shared" ca="1" si="401"/>
        <v>6.2188292760339763E-2</v>
      </c>
      <c r="O413" s="8">
        <f t="shared" ca="1" si="401"/>
        <v>6.2275734037719924E-2</v>
      </c>
    </row>
    <row r="414" spans="2:15">
      <c r="B414" s="3">
        <v>393</v>
      </c>
      <c r="C414" s="8">
        <f t="shared" si="393"/>
        <v>0.05</v>
      </c>
      <c r="D414" s="8">
        <f t="shared" ref="D414:O414" ca="1" si="402">C414+k*(theta-C414)*dt+vol*SQRT(dt*C414)*_xlfn.NORM.S.INV(RAND())</f>
        <v>5.2358053307503059E-2</v>
      </c>
      <c r="E414" s="8">
        <f t="shared" ca="1" si="402"/>
        <v>5.256210358320855E-2</v>
      </c>
      <c r="F414" s="8">
        <f t="shared" ca="1" si="402"/>
        <v>5.5723614810177888E-2</v>
      </c>
      <c r="G414" s="8">
        <f t="shared" ca="1" si="402"/>
        <v>5.829905638519519E-2</v>
      </c>
      <c r="H414" s="8">
        <f t="shared" ca="1" si="402"/>
        <v>6.0314506643208372E-2</v>
      </c>
      <c r="I414" s="8">
        <f t="shared" ca="1" si="402"/>
        <v>6.1714834408001532E-2</v>
      </c>
      <c r="J414" s="8">
        <f t="shared" ca="1" si="402"/>
        <v>6.4951570922440957E-2</v>
      </c>
      <c r="K414" s="8">
        <f t="shared" ca="1" si="402"/>
        <v>6.4611576702658782E-2</v>
      </c>
      <c r="L414" s="8">
        <f t="shared" ca="1" si="402"/>
        <v>6.4174040251424022E-2</v>
      </c>
      <c r="M414" s="8">
        <f t="shared" ca="1" si="402"/>
        <v>6.5485294831841512E-2</v>
      </c>
      <c r="N414" s="8">
        <f t="shared" ca="1" si="402"/>
        <v>6.6423317926450814E-2</v>
      </c>
      <c r="O414" s="8">
        <f t="shared" ca="1" si="402"/>
        <v>6.663541352994444E-2</v>
      </c>
    </row>
    <row r="415" spans="2:15">
      <c r="B415" s="3">
        <v>394</v>
      </c>
      <c r="C415" s="8">
        <f t="shared" si="393"/>
        <v>0.05</v>
      </c>
      <c r="D415" s="8">
        <f t="shared" ref="D415:O415" ca="1" si="403">C415+k*(theta-C415)*dt+vol*SQRT(dt*C415)*_xlfn.NORM.S.INV(RAND())</f>
        <v>5.1647899260215284E-2</v>
      </c>
      <c r="E415" s="8">
        <f t="shared" ca="1" si="403"/>
        <v>5.2302168676652064E-2</v>
      </c>
      <c r="F415" s="8">
        <f t="shared" ca="1" si="403"/>
        <v>5.2229004477989373E-2</v>
      </c>
      <c r="G415" s="8">
        <f t="shared" ca="1" si="403"/>
        <v>5.4414062075398659E-2</v>
      </c>
      <c r="H415" s="8">
        <f t="shared" ca="1" si="403"/>
        <v>5.6843729578188458E-2</v>
      </c>
      <c r="I415" s="8">
        <f t="shared" ca="1" si="403"/>
        <v>5.9306218976300416E-2</v>
      </c>
      <c r="J415" s="8">
        <f t="shared" ca="1" si="403"/>
        <v>6.1173369323909543E-2</v>
      </c>
      <c r="K415" s="8">
        <f t="shared" ca="1" si="403"/>
        <v>6.213716351523782E-2</v>
      </c>
      <c r="L415" s="8">
        <f t="shared" ca="1" si="403"/>
        <v>6.2483483704017198E-2</v>
      </c>
      <c r="M415" s="8">
        <f t="shared" ca="1" si="403"/>
        <v>6.2152577082530996E-2</v>
      </c>
      <c r="N415" s="8">
        <f t="shared" ca="1" si="403"/>
        <v>6.2693791633786342E-2</v>
      </c>
      <c r="O415" s="8">
        <f t="shared" ca="1" si="403"/>
        <v>6.1083075300849041E-2</v>
      </c>
    </row>
    <row r="416" spans="2:15">
      <c r="B416" s="3">
        <v>395</v>
      </c>
      <c r="C416" s="8">
        <f t="shared" si="393"/>
        <v>0.05</v>
      </c>
      <c r="D416" s="8">
        <f t="shared" ref="D416:O416" ca="1" si="404">C416+k*(theta-C416)*dt+vol*SQRT(dt*C416)*_xlfn.NORM.S.INV(RAND())</f>
        <v>5.4085837269901231E-2</v>
      </c>
      <c r="E416" s="8">
        <f t="shared" ca="1" si="404"/>
        <v>5.5121859753835219E-2</v>
      </c>
      <c r="F416" s="8">
        <f t="shared" ca="1" si="404"/>
        <v>5.6071663528416978E-2</v>
      </c>
      <c r="G416" s="8">
        <f t="shared" ca="1" si="404"/>
        <v>6.0535101486849846E-2</v>
      </c>
      <c r="H416" s="8">
        <f t="shared" ca="1" si="404"/>
        <v>6.3301922666004151E-2</v>
      </c>
      <c r="I416" s="8">
        <f t="shared" ca="1" si="404"/>
        <v>6.3607278363481276E-2</v>
      </c>
      <c r="J416" s="8">
        <f t="shared" ca="1" si="404"/>
        <v>6.4070818748022756E-2</v>
      </c>
      <c r="K416" s="8">
        <f t="shared" ca="1" si="404"/>
        <v>6.5496115694640838E-2</v>
      </c>
      <c r="L416" s="8">
        <f t="shared" ca="1" si="404"/>
        <v>6.8658397748604147E-2</v>
      </c>
      <c r="M416" s="8">
        <f t="shared" ca="1" si="404"/>
        <v>7.2653153742110066E-2</v>
      </c>
      <c r="N416" s="8">
        <f t="shared" ca="1" si="404"/>
        <v>7.2612870031043344E-2</v>
      </c>
      <c r="O416" s="8">
        <f t="shared" ca="1" si="404"/>
        <v>7.4914384172162257E-2</v>
      </c>
    </row>
    <row r="417" spans="2:15">
      <c r="B417" s="3">
        <v>396</v>
      </c>
      <c r="C417" s="8">
        <f t="shared" si="393"/>
        <v>0.05</v>
      </c>
      <c r="D417" s="8">
        <f t="shared" ref="D417:O417" ca="1" si="405">C417+k*(theta-C417)*dt+vol*SQRT(dt*C417)*_xlfn.NORM.S.INV(RAND())</f>
        <v>5.0120638318814303E-2</v>
      </c>
      <c r="E417" s="8">
        <f t="shared" ca="1" si="405"/>
        <v>5.1961297963189323E-2</v>
      </c>
      <c r="F417" s="8">
        <f t="shared" ca="1" si="405"/>
        <v>5.3964083785909493E-2</v>
      </c>
      <c r="G417" s="8">
        <f t="shared" ca="1" si="405"/>
        <v>5.5337931649503909E-2</v>
      </c>
      <c r="H417" s="8">
        <f t="shared" ca="1" si="405"/>
        <v>5.567757723677727E-2</v>
      </c>
      <c r="I417" s="8">
        <f t="shared" ca="1" si="405"/>
        <v>5.473639523590302E-2</v>
      </c>
      <c r="J417" s="8">
        <f t="shared" ca="1" si="405"/>
        <v>5.5934324355052398E-2</v>
      </c>
      <c r="K417" s="8">
        <f t="shared" ca="1" si="405"/>
        <v>5.6648474439043021E-2</v>
      </c>
      <c r="L417" s="8">
        <f t="shared" ca="1" si="405"/>
        <v>5.5869165609549742E-2</v>
      </c>
      <c r="M417" s="8">
        <f t="shared" ca="1" si="405"/>
        <v>6.1103036195481422E-2</v>
      </c>
      <c r="N417" s="8">
        <f t="shared" ca="1" si="405"/>
        <v>6.4054398369558438E-2</v>
      </c>
      <c r="O417" s="8">
        <f t="shared" ca="1" si="405"/>
        <v>6.4958354037560034E-2</v>
      </c>
    </row>
    <row r="418" spans="2:15">
      <c r="B418" s="3">
        <v>397</v>
      </c>
      <c r="C418" s="8">
        <f t="shared" si="393"/>
        <v>0.05</v>
      </c>
      <c r="D418" s="8">
        <f t="shared" ref="D418:O418" ca="1" si="406">C418+k*(theta-C418)*dt+vol*SQRT(dt*C418)*_xlfn.NORM.S.INV(RAND())</f>
        <v>5.1372893831734615E-2</v>
      </c>
      <c r="E418" s="8">
        <f t="shared" ca="1" si="406"/>
        <v>5.3635788352850357E-2</v>
      </c>
      <c r="F418" s="8">
        <f t="shared" ca="1" si="406"/>
        <v>5.7161988786754839E-2</v>
      </c>
      <c r="G418" s="8">
        <f t="shared" ca="1" si="406"/>
        <v>5.5725367303281426E-2</v>
      </c>
      <c r="H418" s="8">
        <f t="shared" ca="1" si="406"/>
        <v>5.4996969222839587E-2</v>
      </c>
      <c r="I418" s="8">
        <f t="shared" ca="1" si="406"/>
        <v>5.569738182940439E-2</v>
      </c>
      <c r="J418" s="8">
        <f t="shared" ca="1" si="406"/>
        <v>5.846159390099933E-2</v>
      </c>
      <c r="K418" s="8">
        <f t="shared" ca="1" si="406"/>
        <v>5.7136706341375909E-2</v>
      </c>
      <c r="L418" s="8">
        <f t="shared" ca="1" si="406"/>
        <v>5.8270087996140876E-2</v>
      </c>
      <c r="M418" s="8">
        <f t="shared" ca="1" si="406"/>
        <v>6.1083060514126014E-2</v>
      </c>
      <c r="N418" s="8">
        <f t="shared" ca="1" si="406"/>
        <v>6.4346278537059057E-2</v>
      </c>
      <c r="O418" s="8">
        <f t="shared" ca="1" si="406"/>
        <v>6.3691202113400125E-2</v>
      </c>
    </row>
    <row r="419" spans="2:15">
      <c r="B419" s="3">
        <v>398</v>
      </c>
      <c r="C419" s="8">
        <f t="shared" si="393"/>
        <v>0.05</v>
      </c>
      <c r="D419" s="8">
        <f t="shared" ref="D419:O419" ca="1" si="407">C419+k*(theta-C419)*dt+vol*SQRT(dt*C419)*_xlfn.NORM.S.INV(RAND())</f>
        <v>5.014930551472558E-2</v>
      </c>
      <c r="E419" s="8">
        <f t="shared" ca="1" si="407"/>
        <v>5.1943994037481435E-2</v>
      </c>
      <c r="F419" s="8">
        <f t="shared" ca="1" si="407"/>
        <v>5.1052803148224843E-2</v>
      </c>
      <c r="G419" s="8">
        <f t="shared" ca="1" si="407"/>
        <v>4.9570316703695577E-2</v>
      </c>
      <c r="H419" s="8">
        <f t="shared" ca="1" si="407"/>
        <v>5.0288254997136177E-2</v>
      </c>
      <c r="I419" s="8">
        <f t="shared" ca="1" si="407"/>
        <v>5.1690848658200617E-2</v>
      </c>
      <c r="J419" s="8">
        <f t="shared" ca="1" si="407"/>
        <v>5.5079952294298656E-2</v>
      </c>
      <c r="K419" s="8">
        <f t="shared" ca="1" si="407"/>
        <v>5.6594065781851742E-2</v>
      </c>
      <c r="L419" s="8">
        <f t="shared" ca="1" si="407"/>
        <v>5.6897034957897955E-2</v>
      </c>
      <c r="M419" s="8">
        <f t="shared" ca="1" si="407"/>
        <v>5.7853228638811066E-2</v>
      </c>
      <c r="N419" s="8">
        <f t="shared" ca="1" si="407"/>
        <v>6.002576547333674E-2</v>
      </c>
      <c r="O419" s="8">
        <f t="shared" ca="1" si="407"/>
        <v>6.2677404193290071E-2</v>
      </c>
    </row>
    <row r="420" spans="2:15">
      <c r="B420" s="3">
        <v>399</v>
      </c>
      <c r="C420" s="8">
        <f t="shared" si="393"/>
        <v>0.05</v>
      </c>
      <c r="D420" s="8">
        <f t="shared" ref="D420:O420" ca="1" si="408">C420+k*(theta-C420)*dt+vol*SQRT(dt*C420)*_xlfn.NORM.S.INV(RAND())</f>
        <v>5.3038245070652641E-2</v>
      </c>
      <c r="E420" s="8">
        <f t="shared" ca="1" si="408"/>
        <v>5.7140427384238524E-2</v>
      </c>
      <c r="F420" s="8">
        <f t="shared" ca="1" si="408"/>
        <v>6.0081659328984086E-2</v>
      </c>
      <c r="G420" s="8">
        <f t="shared" ca="1" si="408"/>
        <v>6.261327268439297E-2</v>
      </c>
      <c r="H420" s="8">
        <f t="shared" ca="1" si="408"/>
        <v>6.0045344113864974E-2</v>
      </c>
      <c r="I420" s="8">
        <f t="shared" ca="1" si="408"/>
        <v>5.880498511434569E-2</v>
      </c>
      <c r="J420" s="8">
        <f t="shared" ca="1" si="408"/>
        <v>5.9849549870058236E-2</v>
      </c>
      <c r="K420" s="8">
        <f t="shared" ca="1" si="408"/>
        <v>5.9708203139165479E-2</v>
      </c>
      <c r="L420" s="8">
        <f t="shared" ca="1" si="408"/>
        <v>6.1960565879096437E-2</v>
      </c>
      <c r="M420" s="8">
        <f t="shared" ca="1" si="408"/>
        <v>6.1859529913227206E-2</v>
      </c>
      <c r="N420" s="8">
        <f t="shared" ca="1" si="408"/>
        <v>6.0314800360364067E-2</v>
      </c>
      <c r="O420" s="8">
        <f t="shared" ca="1" si="408"/>
        <v>6.1140108767102061E-2</v>
      </c>
    </row>
    <row r="421" spans="2:15">
      <c r="B421" s="3">
        <v>400</v>
      </c>
      <c r="C421" s="8">
        <f t="shared" si="393"/>
        <v>0.05</v>
      </c>
      <c r="D421" s="8">
        <f t="shared" ref="D421:O421" ca="1" si="409">C421+k*(theta-C421)*dt+vol*SQRT(dt*C421)*_xlfn.NORM.S.INV(RAND())</f>
        <v>5.1512864160241062E-2</v>
      </c>
      <c r="E421" s="8">
        <f t="shared" ca="1" si="409"/>
        <v>5.0699372300929989E-2</v>
      </c>
      <c r="F421" s="8">
        <f t="shared" ca="1" si="409"/>
        <v>5.2506340274912772E-2</v>
      </c>
      <c r="G421" s="8">
        <f t="shared" ca="1" si="409"/>
        <v>5.4884583678716223E-2</v>
      </c>
      <c r="H421" s="8">
        <f t="shared" ca="1" si="409"/>
        <v>5.713270734437239E-2</v>
      </c>
      <c r="I421" s="8">
        <f t="shared" ca="1" si="409"/>
        <v>5.5988654917651079E-2</v>
      </c>
      <c r="J421" s="8">
        <f t="shared" ca="1" si="409"/>
        <v>5.5847858603451206E-2</v>
      </c>
      <c r="K421" s="8">
        <f t="shared" ca="1" si="409"/>
        <v>5.7139495551150478E-2</v>
      </c>
      <c r="L421" s="8">
        <f t="shared" ca="1" si="409"/>
        <v>5.6868769993854977E-2</v>
      </c>
      <c r="M421" s="8">
        <f t="shared" ca="1" si="409"/>
        <v>5.8990803579656706E-2</v>
      </c>
      <c r="N421" s="8">
        <f t="shared" ca="1" si="409"/>
        <v>5.9592631657942402E-2</v>
      </c>
      <c r="O421" s="8">
        <f t="shared" ca="1" si="409"/>
        <v>6.0266134355971591E-2</v>
      </c>
    </row>
    <row r="422" spans="2:15">
      <c r="B422" s="3">
        <v>401</v>
      </c>
      <c r="C422" s="8">
        <f t="shared" si="393"/>
        <v>0.05</v>
      </c>
      <c r="D422" s="8">
        <f t="shared" ref="D422:O422" ca="1" si="410">C422+k*(theta-C422)*dt+vol*SQRT(dt*C422)*_xlfn.NORM.S.INV(RAND())</f>
        <v>5.3916379779956503E-2</v>
      </c>
      <c r="E422" s="8">
        <f t="shared" ca="1" si="410"/>
        <v>5.5229404665990856E-2</v>
      </c>
      <c r="F422" s="8">
        <f t="shared" ca="1" si="410"/>
        <v>5.6030440158004902E-2</v>
      </c>
      <c r="G422" s="8">
        <f t="shared" ca="1" si="410"/>
        <v>5.806134755836944E-2</v>
      </c>
      <c r="H422" s="8">
        <f t="shared" ca="1" si="410"/>
        <v>5.761448585277399E-2</v>
      </c>
      <c r="I422" s="8">
        <f t="shared" ca="1" si="410"/>
        <v>6.2157636884451202E-2</v>
      </c>
      <c r="J422" s="8">
        <f t="shared" ca="1" si="410"/>
        <v>6.4491034332072664E-2</v>
      </c>
      <c r="K422" s="8">
        <f t="shared" ca="1" si="410"/>
        <v>6.6019838285968663E-2</v>
      </c>
      <c r="L422" s="8">
        <f t="shared" ca="1" si="410"/>
        <v>6.722919179835013E-2</v>
      </c>
      <c r="M422" s="8">
        <f t="shared" ca="1" si="410"/>
        <v>6.6576206994593698E-2</v>
      </c>
      <c r="N422" s="8">
        <f t="shared" ca="1" si="410"/>
        <v>6.64210000253386E-2</v>
      </c>
      <c r="O422" s="8">
        <f t="shared" ca="1" si="410"/>
        <v>6.8203245015312636E-2</v>
      </c>
    </row>
    <row r="423" spans="2:15">
      <c r="B423" s="3">
        <v>402</v>
      </c>
      <c r="C423" s="8">
        <f t="shared" si="393"/>
        <v>0.05</v>
      </c>
      <c r="D423" s="8">
        <f t="shared" ref="D423:O423" ca="1" si="411">C423+k*(theta-C423)*dt+vol*SQRT(dt*C423)*_xlfn.NORM.S.INV(RAND())</f>
        <v>5.1799196113455688E-2</v>
      </c>
      <c r="E423" s="8">
        <f t="shared" ca="1" si="411"/>
        <v>5.0534975407942696E-2</v>
      </c>
      <c r="F423" s="8">
        <f t="shared" ca="1" si="411"/>
        <v>5.117962857229337E-2</v>
      </c>
      <c r="G423" s="8">
        <f t="shared" ca="1" si="411"/>
        <v>5.2353171552227525E-2</v>
      </c>
      <c r="H423" s="8">
        <f t="shared" ca="1" si="411"/>
        <v>5.2865969832970872E-2</v>
      </c>
      <c r="I423" s="8">
        <f t="shared" ca="1" si="411"/>
        <v>5.4250818637616487E-2</v>
      </c>
      <c r="J423" s="8">
        <f t="shared" ca="1" si="411"/>
        <v>5.5180131223723256E-2</v>
      </c>
      <c r="K423" s="8">
        <f t="shared" ca="1" si="411"/>
        <v>5.4814330424395756E-2</v>
      </c>
      <c r="L423" s="8">
        <f t="shared" ca="1" si="411"/>
        <v>5.511806685968354E-2</v>
      </c>
      <c r="M423" s="8">
        <f t="shared" ca="1" si="411"/>
        <v>5.6387193022163218E-2</v>
      </c>
      <c r="N423" s="8">
        <f t="shared" ca="1" si="411"/>
        <v>5.6687890023137955E-2</v>
      </c>
      <c r="O423" s="8">
        <f t="shared" ca="1" si="411"/>
        <v>5.7839585177009219E-2</v>
      </c>
    </row>
    <row r="424" spans="2:15">
      <c r="B424" s="3">
        <v>403</v>
      </c>
      <c r="C424" s="8">
        <f t="shared" si="393"/>
        <v>0.05</v>
      </c>
      <c r="D424" s="8">
        <f t="shared" ref="D424:O424" ca="1" si="412">C424+k*(theta-C424)*dt+vol*SQRT(dt*C424)*_xlfn.NORM.S.INV(RAND())</f>
        <v>5.0927031660454328E-2</v>
      </c>
      <c r="E424" s="8">
        <f t="shared" ca="1" si="412"/>
        <v>4.9675123048515957E-2</v>
      </c>
      <c r="F424" s="8">
        <f t="shared" ca="1" si="412"/>
        <v>4.9619114321078198E-2</v>
      </c>
      <c r="G424" s="8">
        <f t="shared" ca="1" si="412"/>
        <v>5.2824740692192763E-2</v>
      </c>
      <c r="H424" s="8">
        <f t="shared" ca="1" si="412"/>
        <v>5.0341978433809165E-2</v>
      </c>
      <c r="I424" s="8">
        <f t="shared" ca="1" si="412"/>
        <v>5.2433945943437719E-2</v>
      </c>
      <c r="J424" s="8">
        <f t="shared" ca="1" si="412"/>
        <v>5.0765680399989709E-2</v>
      </c>
      <c r="K424" s="8">
        <f t="shared" ca="1" si="412"/>
        <v>5.294768427417712E-2</v>
      </c>
      <c r="L424" s="8">
        <f t="shared" ca="1" si="412"/>
        <v>5.2531708043414768E-2</v>
      </c>
      <c r="M424" s="8">
        <f t="shared" ca="1" si="412"/>
        <v>5.0727399760375276E-2</v>
      </c>
      <c r="N424" s="8">
        <f t="shared" ca="1" si="412"/>
        <v>5.302727744673167E-2</v>
      </c>
      <c r="O424" s="8">
        <f t="shared" ca="1" si="412"/>
        <v>5.3965101229591375E-2</v>
      </c>
    </row>
    <row r="425" spans="2:15">
      <c r="B425" s="3">
        <v>404</v>
      </c>
      <c r="C425" s="8">
        <f t="shared" si="393"/>
        <v>0.05</v>
      </c>
      <c r="D425" s="8">
        <f t="shared" ref="D425:O425" ca="1" si="413">C425+k*(theta-C425)*dt+vol*SQRT(dt*C425)*_xlfn.NORM.S.INV(RAND())</f>
        <v>4.8912980695643225E-2</v>
      </c>
      <c r="E425" s="8">
        <f t="shared" ca="1" si="413"/>
        <v>5.2825383395513376E-2</v>
      </c>
      <c r="F425" s="8">
        <f t="shared" ca="1" si="413"/>
        <v>5.2326504627853335E-2</v>
      </c>
      <c r="G425" s="8">
        <f t="shared" ca="1" si="413"/>
        <v>5.234342453593592E-2</v>
      </c>
      <c r="H425" s="8">
        <f t="shared" ca="1" si="413"/>
        <v>5.3528631828007323E-2</v>
      </c>
      <c r="I425" s="8">
        <f t="shared" ca="1" si="413"/>
        <v>5.4835195366764476E-2</v>
      </c>
      <c r="J425" s="8">
        <f t="shared" ca="1" si="413"/>
        <v>5.5761035242055529E-2</v>
      </c>
      <c r="K425" s="8">
        <f t="shared" ca="1" si="413"/>
        <v>5.6077488672154792E-2</v>
      </c>
      <c r="L425" s="8">
        <f t="shared" ca="1" si="413"/>
        <v>5.7307207151655382E-2</v>
      </c>
      <c r="M425" s="8">
        <f t="shared" ca="1" si="413"/>
        <v>5.8492426909983207E-2</v>
      </c>
      <c r="N425" s="8">
        <f t="shared" ca="1" si="413"/>
        <v>5.7497191064412499E-2</v>
      </c>
      <c r="O425" s="8">
        <f t="shared" ca="1" si="413"/>
        <v>5.6964858081559828E-2</v>
      </c>
    </row>
    <row r="426" spans="2:15">
      <c r="B426" s="3">
        <v>405</v>
      </c>
      <c r="C426" s="8">
        <f t="shared" si="393"/>
        <v>0.05</v>
      </c>
      <c r="D426" s="8">
        <f t="shared" ref="D426:O426" ca="1" si="414">C426+k*(theta-C426)*dt+vol*SQRT(dt*C426)*_xlfn.NORM.S.INV(RAND())</f>
        <v>5.3347852991217491E-2</v>
      </c>
      <c r="E426" s="8">
        <f t="shared" ca="1" si="414"/>
        <v>5.4788748513393645E-2</v>
      </c>
      <c r="F426" s="8">
        <f t="shared" ca="1" si="414"/>
        <v>5.4121488909890797E-2</v>
      </c>
      <c r="G426" s="8">
        <f t="shared" ca="1" si="414"/>
        <v>5.5368319214926416E-2</v>
      </c>
      <c r="H426" s="8">
        <f t="shared" ca="1" si="414"/>
        <v>5.6527463511906156E-2</v>
      </c>
      <c r="I426" s="8">
        <f t="shared" ca="1" si="414"/>
        <v>5.5559326606778765E-2</v>
      </c>
      <c r="J426" s="8">
        <f t="shared" ca="1" si="414"/>
        <v>5.5550478789519984E-2</v>
      </c>
      <c r="K426" s="8">
        <f t="shared" ca="1" si="414"/>
        <v>5.493798568048109E-2</v>
      </c>
      <c r="L426" s="8">
        <f t="shared" ca="1" si="414"/>
        <v>5.6694994918693287E-2</v>
      </c>
      <c r="M426" s="8">
        <f t="shared" ca="1" si="414"/>
        <v>5.5724863738546467E-2</v>
      </c>
      <c r="N426" s="8">
        <f t="shared" ca="1" si="414"/>
        <v>5.5796401274742266E-2</v>
      </c>
      <c r="O426" s="8">
        <f t="shared" ca="1" si="414"/>
        <v>5.4979676058850444E-2</v>
      </c>
    </row>
    <row r="427" spans="2:15">
      <c r="B427" s="3">
        <v>406</v>
      </c>
      <c r="C427" s="8">
        <f t="shared" si="393"/>
        <v>0.05</v>
      </c>
      <c r="D427" s="8">
        <f t="shared" ref="D427:O427" ca="1" si="415">C427+k*(theta-C427)*dt+vol*SQRT(dt*C427)*_xlfn.NORM.S.INV(RAND())</f>
        <v>5.1586220069649844E-2</v>
      </c>
      <c r="E427" s="8">
        <f t="shared" ca="1" si="415"/>
        <v>5.1447930384566451E-2</v>
      </c>
      <c r="F427" s="8">
        <f t="shared" ca="1" si="415"/>
        <v>5.1200230531045755E-2</v>
      </c>
      <c r="G427" s="8">
        <f t="shared" ca="1" si="415"/>
        <v>5.1609300001367021E-2</v>
      </c>
      <c r="H427" s="8">
        <f t="shared" ca="1" si="415"/>
        <v>5.2535374140383249E-2</v>
      </c>
      <c r="I427" s="8">
        <f t="shared" ca="1" si="415"/>
        <v>5.4186921875200141E-2</v>
      </c>
      <c r="J427" s="8">
        <f t="shared" ca="1" si="415"/>
        <v>5.4317102635333861E-2</v>
      </c>
      <c r="K427" s="8">
        <f t="shared" ca="1" si="415"/>
        <v>5.5634235999592975E-2</v>
      </c>
      <c r="L427" s="8">
        <f t="shared" ca="1" si="415"/>
        <v>5.8819839772477164E-2</v>
      </c>
      <c r="M427" s="8">
        <f t="shared" ca="1" si="415"/>
        <v>5.9633695774870002E-2</v>
      </c>
      <c r="N427" s="8">
        <f t="shared" ca="1" si="415"/>
        <v>5.9198981717721699E-2</v>
      </c>
      <c r="O427" s="8">
        <f t="shared" ca="1" si="415"/>
        <v>5.7592358880065669E-2</v>
      </c>
    </row>
    <row r="428" spans="2:15">
      <c r="B428" s="3">
        <v>407</v>
      </c>
      <c r="C428" s="8">
        <f t="shared" si="393"/>
        <v>0.05</v>
      </c>
      <c r="D428" s="8">
        <f t="shared" ref="D428:O428" ca="1" si="416">C428+k*(theta-C428)*dt+vol*SQRT(dt*C428)*_xlfn.NORM.S.INV(RAND())</f>
        <v>4.9522948367130518E-2</v>
      </c>
      <c r="E428" s="8">
        <f t="shared" ca="1" si="416"/>
        <v>5.0038065757418718E-2</v>
      </c>
      <c r="F428" s="8">
        <f t="shared" ca="1" si="416"/>
        <v>5.0099172968352861E-2</v>
      </c>
      <c r="G428" s="8">
        <f t="shared" ca="1" si="416"/>
        <v>5.0369343452077824E-2</v>
      </c>
      <c r="H428" s="8">
        <f t="shared" ca="1" si="416"/>
        <v>5.2330167551476729E-2</v>
      </c>
      <c r="I428" s="8">
        <f t="shared" ca="1" si="416"/>
        <v>5.2451664822571693E-2</v>
      </c>
      <c r="J428" s="8">
        <f t="shared" ca="1" si="416"/>
        <v>5.3791358230847963E-2</v>
      </c>
      <c r="K428" s="8">
        <f t="shared" ca="1" si="416"/>
        <v>5.6303282082009312E-2</v>
      </c>
      <c r="L428" s="8">
        <f t="shared" ca="1" si="416"/>
        <v>5.6035724197733443E-2</v>
      </c>
      <c r="M428" s="8">
        <f t="shared" ca="1" si="416"/>
        <v>5.6988393724538011E-2</v>
      </c>
      <c r="N428" s="8">
        <f t="shared" ca="1" si="416"/>
        <v>5.7512328524604618E-2</v>
      </c>
      <c r="O428" s="8">
        <f t="shared" ca="1" si="416"/>
        <v>5.7879714054392427E-2</v>
      </c>
    </row>
    <row r="429" spans="2:15">
      <c r="B429" s="3">
        <v>408</v>
      </c>
      <c r="C429" s="8">
        <f t="shared" si="393"/>
        <v>0.05</v>
      </c>
      <c r="D429" s="8">
        <f t="shared" ref="D429:O429" ca="1" si="417">C429+k*(theta-C429)*dt+vol*SQRT(dt*C429)*_xlfn.NORM.S.INV(RAND())</f>
        <v>5.1071290227571571E-2</v>
      </c>
      <c r="E429" s="8">
        <f t="shared" ca="1" si="417"/>
        <v>5.0664653734977541E-2</v>
      </c>
      <c r="F429" s="8">
        <f t="shared" ca="1" si="417"/>
        <v>5.2900836787829454E-2</v>
      </c>
      <c r="G429" s="8">
        <f t="shared" ca="1" si="417"/>
        <v>5.435132163093058E-2</v>
      </c>
      <c r="H429" s="8">
        <f t="shared" ca="1" si="417"/>
        <v>5.3062902344191559E-2</v>
      </c>
      <c r="I429" s="8">
        <f t="shared" ca="1" si="417"/>
        <v>5.2238923791122299E-2</v>
      </c>
      <c r="J429" s="8">
        <f t="shared" ca="1" si="417"/>
        <v>5.4750451845943029E-2</v>
      </c>
      <c r="K429" s="8">
        <f t="shared" ca="1" si="417"/>
        <v>5.4819211082030007E-2</v>
      </c>
      <c r="L429" s="8">
        <f t="shared" ca="1" si="417"/>
        <v>5.7580375595778631E-2</v>
      </c>
      <c r="M429" s="8">
        <f t="shared" ca="1" si="417"/>
        <v>6.0237014676231625E-2</v>
      </c>
      <c r="N429" s="8">
        <f t="shared" ca="1" si="417"/>
        <v>6.0859770684703302E-2</v>
      </c>
      <c r="O429" s="8">
        <f t="shared" ca="1" si="417"/>
        <v>6.2570815954008777E-2</v>
      </c>
    </row>
    <row r="430" spans="2:15">
      <c r="B430" s="3">
        <v>409</v>
      </c>
      <c r="C430" s="8">
        <f t="shared" si="393"/>
        <v>0.05</v>
      </c>
      <c r="D430" s="8">
        <f t="shared" ref="D430:O430" ca="1" si="418">C430+k*(theta-C430)*dt+vol*SQRT(dt*C430)*_xlfn.NORM.S.INV(RAND())</f>
        <v>5.0505246111781157E-2</v>
      </c>
      <c r="E430" s="8">
        <f t="shared" ca="1" si="418"/>
        <v>5.1770984483650459E-2</v>
      </c>
      <c r="F430" s="8">
        <f t="shared" ca="1" si="418"/>
        <v>5.0830621911835988E-2</v>
      </c>
      <c r="G430" s="8">
        <f t="shared" ca="1" si="418"/>
        <v>5.1558384091462614E-2</v>
      </c>
      <c r="H430" s="8">
        <f t="shared" ca="1" si="418"/>
        <v>5.45334068763094E-2</v>
      </c>
      <c r="I430" s="8">
        <f t="shared" ca="1" si="418"/>
        <v>5.381433000551588E-2</v>
      </c>
      <c r="J430" s="8">
        <f t="shared" ca="1" si="418"/>
        <v>5.4641594230443701E-2</v>
      </c>
      <c r="K430" s="8">
        <f t="shared" ca="1" si="418"/>
        <v>5.5046618877548678E-2</v>
      </c>
      <c r="L430" s="8">
        <f t="shared" ca="1" si="418"/>
        <v>5.7014924786042337E-2</v>
      </c>
      <c r="M430" s="8">
        <f t="shared" ca="1" si="418"/>
        <v>5.7916154129880597E-2</v>
      </c>
      <c r="N430" s="8">
        <f t="shared" ca="1" si="418"/>
        <v>5.9684996657788682E-2</v>
      </c>
      <c r="O430" s="8">
        <f t="shared" ca="1" si="418"/>
        <v>5.9319172647206299E-2</v>
      </c>
    </row>
    <row r="431" spans="2:15">
      <c r="B431" s="3">
        <v>410</v>
      </c>
      <c r="C431" s="8">
        <f t="shared" si="393"/>
        <v>0.05</v>
      </c>
      <c r="D431" s="8">
        <f t="shared" ref="D431:O431" ca="1" si="419">C431+k*(theta-C431)*dt+vol*SQRT(dt*C431)*_xlfn.NORM.S.INV(RAND())</f>
        <v>5.0287460150117765E-2</v>
      </c>
      <c r="E431" s="8">
        <f t="shared" ca="1" si="419"/>
        <v>5.1909767289959295E-2</v>
      </c>
      <c r="F431" s="8">
        <f t="shared" ca="1" si="419"/>
        <v>5.171921576482702E-2</v>
      </c>
      <c r="G431" s="8">
        <f t="shared" ca="1" si="419"/>
        <v>5.2941917610533011E-2</v>
      </c>
      <c r="H431" s="8">
        <f t="shared" ca="1" si="419"/>
        <v>5.5793123742091187E-2</v>
      </c>
      <c r="I431" s="8">
        <f t="shared" ca="1" si="419"/>
        <v>5.8981076845946091E-2</v>
      </c>
      <c r="J431" s="8">
        <f t="shared" ca="1" si="419"/>
        <v>6.1366451593840063E-2</v>
      </c>
      <c r="K431" s="8">
        <f t="shared" ca="1" si="419"/>
        <v>6.3968753852752844E-2</v>
      </c>
      <c r="L431" s="8">
        <f t="shared" ca="1" si="419"/>
        <v>6.3234799379613266E-2</v>
      </c>
      <c r="M431" s="8">
        <f t="shared" ca="1" si="419"/>
        <v>6.3918819646738997E-2</v>
      </c>
      <c r="N431" s="8">
        <f t="shared" ca="1" si="419"/>
        <v>6.4142312798884576E-2</v>
      </c>
      <c r="O431" s="8">
        <f t="shared" ca="1" si="419"/>
        <v>6.3458285101420209E-2</v>
      </c>
    </row>
    <row r="432" spans="2:15">
      <c r="B432" s="3">
        <v>411</v>
      </c>
      <c r="C432" s="8">
        <f t="shared" si="393"/>
        <v>0.05</v>
      </c>
      <c r="D432" s="8">
        <f t="shared" ref="D432:O432" ca="1" si="420">C432+k*(theta-C432)*dt+vol*SQRT(dt*C432)*_xlfn.NORM.S.INV(RAND())</f>
        <v>5.4551160092426478E-2</v>
      </c>
      <c r="E432" s="8">
        <f t="shared" ca="1" si="420"/>
        <v>5.4657106137413598E-2</v>
      </c>
      <c r="F432" s="8">
        <f t="shared" ca="1" si="420"/>
        <v>5.5115161301768259E-2</v>
      </c>
      <c r="G432" s="8">
        <f t="shared" ca="1" si="420"/>
        <v>5.914760533478048E-2</v>
      </c>
      <c r="H432" s="8">
        <f t="shared" ca="1" si="420"/>
        <v>5.9350584941641131E-2</v>
      </c>
      <c r="I432" s="8">
        <f t="shared" ca="1" si="420"/>
        <v>5.8869867030939799E-2</v>
      </c>
      <c r="J432" s="8">
        <f t="shared" ca="1" si="420"/>
        <v>5.9979281301199297E-2</v>
      </c>
      <c r="K432" s="8">
        <f t="shared" ca="1" si="420"/>
        <v>5.7901910846307234E-2</v>
      </c>
      <c r="L432" s="8">
        <f t="shared" ca="1" si="420"/>
        <v>5.8456255354859446E-2</v>
      </c>
      <c r="M432" s="8">
        <f t="shared" ca="1" si="420"/>
        <v>6.0527153148332347E-2</v>
      </c>
      <c r="N432" s="8">
        <f t="shared" ca="1" si="420"/>
        <v>6.1603419031614724E-2</v>
      </c>
      <c r="O432" s="8">
        <f t="shared" ca="1" si="420"/>
        <v>6.4902653537623464E-2</v>
      </c>
    </row>
    <row r="433" spans="2:15">
      <c r="B433" s="3">
        <v>412</v>
      </c>
      <c r="C433" s="8">
        <f t="shared" si="393"/>
        <v>0.05</v>
      </c>
      <c r="D433" s="8">
        <f t="shared" ref="D433:O433" ca="1" si="421">C433+k*(theta-C433)*dt+vol*SQRT(dt*C433)*_xlfn.NORM.S.INV(RAND())</f>
        <v>5.1224757333137111E-2</v>
      </c>
      <c r="E433" s="8">
        <f t="shared" ca="1" si="421"/>
        <v>4.921544437180899E-2</v>
      </c>
      <c r="F433" s="8">
        <f t="shared" ca="1" si="421"/>
        <v>5.060483696454255E-2</v>
      </c>
      <c r="G433" s="8">
        <f t="shared" ca="1" si="421"/>
        <v>5.2135879312326244E-2</v>
      </c>
      <c r="H433" s="8">
        <f t="shared" ca="1" si="421"/>
        <v>5.5852725044769423E-2</v>
      </c>
      <c r="I433" s="8">
        <f t="shared" ca="1" si="421"/>
        <v>5.5515028952562606E-2</v>
      </c>
      <c r="J433" s="8">
        <f t="shared" ca="1" si="421"/>
        <v>5.956988908463956E-2</v>
      </c>
      <c r="K433" s="8">
        <f t="shared" ca="1" si="421"/>
        <v>6.0597891694833449E-2</v>
      </c>
      <c r="L433" s="8">
        <f t="shared" ca="1" si="421"/>
        <v>6.2595098041753394E-2</v>
      </c>
      <c r="M433" s="8">
        <f t="shared" ca="1" si="421"/>
        <v>6.4088057384459315E-2</v>
      </c>
      <c r="N433" s="8">
        <f t="shared" ca="1" si="421"/>
        <v>6.5066950413795455E-2</v>
      </c>
      <c r="O433" s="8">
        <f t="shared" ca="1" si="421"/>
        <v>6.398335263727109E-2</v>
      </c>
    </row>
    <row r="434" spans="2:15">
      <c r="B434" s="3">
        <v>413</v>
      </c>
      <c r="C434" s="8">
        <f t="shared" si="393"/>
        <v>0.05</v>
      </c>
      <c r="D434" s="8">
        <f t="shared" ref="D434:O434" ca="1" si="422">C434+k*(theta-C434)*dt+vol*SQRT(dt*C434)*_xlfn.NORM.S.INV(RAND())</f>
        <v>5.1278336790558883E-2</v>
      </c>
      <c r="E434" s="8">
        <f t="shared" ca="1" si="422"/>
        <v>5.2155842487075353E-2</v>
      </c>
      <c r="F434" s="8">
        <f t="shared" ca="1" si="422"/>
        <v>5.4897278186338633E-2</v>
      </c>
      <c r="G434" s="8">
        <f t="shared" ca="1" si="422"/>
        <v>5.6581367856714103E-2</v>
      </c>
      <c r="H434" s="8">
        <f t="shared" ca="1" si="422"/>
        <v>5.8687440564741469E-2</v>
      </c>
      <c r="I434" s="8">
        <f t="shared" ca="1" si="422"/>
        <v>5.8814752163946597E-2</v>
      </c>
      <c r="J434" s="8">
        <f t="shared" ca="1" si="422"/>
        <v>5.9193047488325552E-2</v>
      </c>
      <c r="K434" s="8">
        <f t="shared" ca="1" si="422"/>
        <v>5.847372196428266E-2</v>
      </c>
      <c r="L434" s="8">
        <f t="shared" ca="1" si="422"/>
        <v>5.9797538636225035E-2</v>
      </c>
      <c r="M434" s="8">
        <f t="shared" ca="1" si="422"/>
        <v>6.2199791973247917E-2</v>
      </c>
      <c r="N434" s="8">
        <f t="shared" ca="1" si="422"/>
        <v>6.3134423468402118E-2</v>
      </c>
      <c r="O434" s="8">
        <f t="shared" ca="1" si="422"/>
        <v>6.5484319641551186E-2</v>
      </c>
    </row>
    <row r="435" spans="2:15">
      <c r="B435" s="3">
        <v>414</v>
      </c>
      <c r="C435" s="8">
        <f t="shared" si="393"/>
        <v>0.05</v>
      </c>
      <c r="D435" s="8">
        <f t="shared" ref="D435:O435" ca="1" si="423">C435+k*(theta-C435)*dt+vol*SQRT(dt*C435)*_xlfn.NORM.S.INV(RAND())</f>
        <v>5.3312566673797995E-2</v>
      </c>
      <c r="E435" s="8">
        <f t="shared" ca="1" si="423"/>
        <v>5.5330828903881718E-2</v>
      </c>
      <c r="F435" s="8">
        <f t="shared" ca="1" si="423"/>
        <v>5.7077389506669914E-2</v>
      </c>
      <c r="G435" s="8">
        <f t="shared" ca="1" si="423"/>
        <v>6.1001973838061642E-2</v>
      </c>
      <c r="H435" s="8">
        <f t="shared" ca="1" si="423"/>
        <v>6.3423383407502684E-2</v>
      </c>
      <c r="I435" s="8">
        <f t="shared" ca="1" si="423"/>
        <v>6.2531614110747397E-2</v>
      </c>
      <c r="J435" s="8">
        <f t="shared" ca="1" si="423"/>
        <v>6.7135466418434597E-2</v>
      </c>
      <c r="K435" s="8">
        <f t="shared" ca="1" si="423"/>
        <v>6.666341005887548E-2</v>
      </c>
      <c r="L435" s="8">
        <f t="shared" ca="1" si="423"/>
        <v>6.63101907637101E-2</v>
      </c>
      <c r="M435" s="8">
        <f t="shared" ca="1" si="423"/>
        <v>6.6474305615477597E-2</v>
      </c>
      <c r="N435" s="8">
        <f t="shared" ca="1" si="423"/>
        <v>6.6699618488564996E-2</v>
      </c>
      <c r="O435" s="8">
        <f t="shared" ca="1" si="423"/>
        <v>6.8194619712247773E-2</v>
      </c>
    </row>
    <row r="436" spans="2:15">
      <c r="B436" s="3">
        <v>415</v>
      </c>
      <c r="C436" s="8">
        <f t="shared" si="393"/>
        <v>0.05</v>
      </c>
      <c r="D436" s="8">
        <f t="shared" ref="D436:O436" ca="1" si="424">C436+k*(theta-C436)*dt+vol*SQRT(dt*C436)*_xlfn.NORM.S.INV(RAND())</f>
        <v>5.1023980228787826E-2</v>
      </c>
      <c r="E436" s="8">
        <f t="shared" ca="1" si="424"/>
        <v>5.119646127935016E-2</v>
      </c>
      <c r="F436" s="8">
        <f t="shared" ca="1" si="424"/>
        <v>5.0607724584763952E-2</v>
      </c>
      <c r="G436" s="8">
        <f t="shared" ca="1" si="424"/>
        <v>5.1679329584289099E-2</v>
      </c>
      <c r="H436" s="8">
        <f t="shared" ca="1" si="424"/>
        <v>5.1662628858418526E-2</v>
      </c>
      <c r="I436" s="8">
        <f t="shared" ca="1" si="424"/>
        <v>5.3897835364892073E-2</v>
      </c>
      <c r="J436" s="8">
        <f t="shared" ca="1" si="424"/>
        <v>5.6651348076567604E-2</v>
      </c>
      <c r="K436" s="8">
        <f t="shared" ca="1" si="424"/>
        <v>5.6655433203546504E-2</v>
      </c>
      <c r="L436" s="8">
        <f t="shared" ca="1" si="424"/>
        <v>5.5582460889101439E-2</v>
      </c>
      <c r="M436" s="8">
        <f t="shared" ca="1" si="424"/>
        <v>5.5371528784642139E-2</v>
      </c>
      <c r="N436" s="8">
        <f t="shared" ca="1" si="424"/>
        <v>5.5415884814623131E-2</v>
      </c>
      <c r="O436" s="8">
        <f t="shared" ca="1" si="424"/>
        <v>5.6408589224685446E-2</v>
      </c>
    </row>
    <row r="437" spans="2:15">
      <c r="B437" s="3">
        <v>416</v>
      </c>
      <c r="C437" s="8">
        <f t="shared" si="393"/>
        <v>0.05</v>
      </c>
      <c r="D437" s="8">
        <f t="shared" ref="D437:O437" ca="1" si="425">C437+k*(theta-C437)*dt+vol*SQRT(dt*C437)*_xlfn.NORM.S.INV(RAND())</f>
        <v>5.154369255949505E-2</v>
      </c>
      <c r="E437" s="8">
        <f t="shared" ca="1" si="425"/>
        <v>5.3512359643868794E-2</v>
      </c>
      <c r="F437" s="8">
        <f t="shared" ca="1" si="425"/>
        <v>5.530587741611289E-2</v>
      </c>
      <c r="G437" s="8">
        <f t="shared" ca="1" si="425"/>
        <v>5.8191483788392541E-2</v>
      </c>
      <c r="H437" s="8">
        <f t="shared" ca="1" si="425"/>
        <v>6.1382845712472045E-2</v>
      </c>
      <c r="I437" s="8">
        <f t="shared" ca="1" si="425"/>
        <v>6.1011595132730016E-2</v>
      </c>
      <c r="J437" s="8">
        <f t="shared" ca="1" si="425"/>
        <v>6.0549161221406377E-2</v>
      </c>
      <c r="K437" s="8">
        <f t="shared" ca="1" si="425"/>
        <v>6.2067089776945812E-2</v>
      </c>
      <c r="L437" s="8">
        <f t="shared" ca="1" si="425"/>
        <v>6.4577051172213462E-2</v>
      </c>
      <c r="M437" s="8">
        <f t="shared" ca="1" si="425"/>
        <v>6.5672893413314004E-2</v>
      </c>
      <c r="N437" s="8">
        <f t="shared" ca="1" si="425"/>
        <v>6.4418393219354483E-2</v>
      </c>
      <c r="O437" s="8">
        <f t="shared" ca="1" si="425"/>
        <v>6.5642164040384046E-2</v>
      </c>
    </row>
    <row r="438" spans="2:15">
      <c r="B438" s="3">
        <v>417</v>
      </c>
      <c r="C438" s="8">
        <f t="shared" si="393"/>
        <v>0.05</v>
      </c>
      <c r="D438" s="8">
        <f t="shared" ref="D438:O438" ca="1" si="426">C438+k*(theta-C438)*dt+vol*SQRT(dt*C438)*_xlfn.NORM.S.INV(RAND())</f>
        <v>5.110745314678173E-2</v>
      </c>
      <c r="E438" s="8">
        <f t="shared" ca="1" si="426"/>
        <v>5.306121632062262E-2</v>
      </c>
      <c r="F438" s="8">
        <f t="shared" ca="1" si="426"/>
        <v>5.5092763193184888E-2</v>
      </c>
      <c r="G438" s="8">
        <f t="shared" ca="1" si="426"/>
        <v>5.8348410784468951E-2</v>
      </c>
      <c r="H438" s="8">
        <f t="shared" ca="1" si="426"/>
        <v>5.9484943262381809E-2</v>
      </c>
      <c r="I438" s="8">
        <f t="shared" ca="1" si="426"/>
        <v>6.1220010074906364E-2</v>
      </c>
      <c r="J438" s="8">
        <f t="shared" ca="1" si="426"/>
        <v>6.0807176175486789E-2</v>
      </c>
      <c r="K438" s="8">
        <f t="shared" ca="1" si="426"/>
        <v>5.8113009779598566E-2</v>
      </c>
      <c r="L438" s="8">
        <f t="shared" ca="1" si="426"/>
        <v>6.107542535909203E-2</v>
      </c>
      <c r="M438" s="8">
        <f t="shared" ca="1" si="426"/>
        <v>6.1479515208900937E-2</v>
      </c>
      <c r="N438" s="8">
        <f t="shared" ca="1" si="426"/>
        <v>6.0733861760104632E-2</v>
      </c>
      <c r="O438" s="8">
        <f t="shared" ca="1" si="426"/>
        <v>5.832469938138389E-2</v>
      </c>
    </row>
    <row r="439" spans="2:15">
      <c r="B439" s="3">
        <v>418</v>
      </c>
      <c r="C439" s="8">
        <f t="shared" si="393"/>
        <v>0.05</v>
      </c>
      <c r="D439" s="8">
        <f t="shared" ref="D439:O439" ca="1" si="427">C439+k*(theta-C439)*dt+vol*SQRT(dt*C439)*_xlfn.NORM.S.INV(RAND())</f>
        <v>4.9929371015484572E-2</v>
      </c>
      <c r="E439" s="8">
        <f t="shared" ca="1" si="427"/>
        <v>5.1590970451882649E-2</v>
      </c>
      <c r="F439" s="8">
        <f t="shared" ca="1" si="427"/>
        <v>5.3459665240890505E-2</v>
      </c>
      <c r="G439" s="8">
        <f t="shared" ca="1" si="427"/>
        <v>5.2958627325018076E-2</v>
      </c>
      <c r="H439" s="8">
        <f t="shared" ca="1" si="427"/>
        <v>5.4748278577423162E-2</v>
      </c>
      <c r="I439" s="8">
        <f t="shared" ca="1" si="427"/>
        <v>5.4091250617650757E-2</v>
      </c>
      <c r="J439" s="8">
        <f t="shared" ca="1" si="427"/>
        <v>5.530090891354944E-2</v>
      </c>
      <c r="K439" s="8">
        <f t="shared" ca="1" si="427"/>
        <v>5.4713451025507516E-2</v>
      </c>
      <c r="L439" s="8">
        <f t="shared" ca="1" si="427"/>
        <v>5.7817028573675149E-2</v>
      </c>
      <c r="M439" s="8">
        <f t="shared" ca="1" si="427"/>
        <v>5.6354924736675395E-2</v>
      </c>
      <c r="N439" s="8">
        <f t="shared" ca="1" si="427"/>
        <v>5.6654702181622031E-2</v>
      </c>
      <c r="O439" s="8">
        <f t="shared" ca="1" si="427"/>
        <v>6.0239079655877298E-2</v>
      </c>
    </row>
    <row r="440" spans="2:15">
      <c r="B440" s="3">
        <v>419</v>
      </c>
      <c r="C440" s="8">
        <f t="shared" si="393"/>
        <v>0.05</v>
      </c>
      <c r="D440" s="8">
        <f t="shared" ref="D440:O440" ca="1" si="428">C440+k*(theta-C440)*dt+vol*SQRT(dt*C440)*_xlfn.NORM.S.INV(RAND())</f>
        <v>5.0431811132012568E-2</v>
      </c>
      <c r="E440" s="8">
        <f t="shared" ca="1" si="428"/>
        <v>5.010483314036767E-2</v>
      </c>
      <c r="F440" s="8">
        <f t="shared" ca="1" si="428"/>
        <v>5.1781269718909041E-2</v>
      </c>
      <c r="G440" s="8">
        <f t="shared" ca="1" si="428"/>
        <v>5.5036258841040964E-2</v>
      </c>
      <c r="H440" s="8">
        <f t="shared" ca="1" si="428"/>
        <v>5.6214517159317703E-2</v>
      </c>
      <c r="I440" s="8">
        <f t="shared" ca="1" si="428"/>
        <v>5.718931552377142E-2</v>
      </c>
      <c r="J440" s="8">
        <f t="shared" ca="1" si="428"/>
        <v>5.7745590409740852E-2</v>
      </c>
      <c r="K440" s="8">
        <f t="shared" ca="1" si="428"/>
        <v>6.0230264793041305E-2</v>
      </c>
      <c r="L440" s="8">
        <f t="shared" ca="1" si="428"/>
        <v>6.1093063260323779E-2</v>
      </c>
      <c r="M440" s="8">
        <f t="shared" ca="1" si="428"/>
        <v>6.3393187674440785E-2</v>
      </c>
      <c r="N440" s="8">
        <f t="shared" ca="1" si="428"/>
        <v>6.4527867167023162E-2</v>
      </c>
      <c r="O440" s="8">
        <f t="shared" ca="1" si="428"/>
        <v>6.7487765235661495E-2</v>
      </c>
    </row>
    <row r="441" spans="2:15">
      <c r="B441" s="3">
        <v>420</v>
      </c>
      <c r="C441" s="8">
        <f t="shared" si="393"/>
        <v>0.05</v>
      </c>
      <c r="D441" s="8">
        <f t="shared" ref="D441:O441" ca="1" si="429">C441+k*(theta-C441)*dt+vol*SQRT(dt*C441)*_xlfn.NORM.S.INV(RAND())</f>
        <v>5.2834612428713276E-2</v>
      </c>
      <c r="E441" s="8">
        <f t="shared" ca="1" si="429"/>
        <v>5.518423682244742E-2</v>
      </c>
      <c r="F441" s="8">
        <f t="shared" ca="1" si="429"/>
        <v>5.624663360417529E-2</v>
      </c>
      <c r="G441" s="8">
        <f t="shared" ca="1" si="429"/>
        <v>5.807681388156298E-2</v>
      </c>
      <c r="H441" s="8">
        <f t="shared" ca="1" si="429"/>
        <v>5.9529055073444533E-2</v>
      </c>
      <c r="I441" s="8">
        <f t="shared" ca="1" si="429"/>
        <v>5.8780157740113005E-2</v>
      </c>
      <c r="J441" s="8">
        <f t="shared" ca="1" si="429"/>
        <v>5.8209104873381254E-2</v>
      </c>
      <c r="K441" s="8">
        <f t="shared" ca="1" si="429"/>
        <v>5.809996505865736E-2</v>
      </c>
      <c r="L441" s="8">
        <f t="shared" ca="1" si="429"/>
        <v>6.1630543724865053E-2</v>
      </c>
      <c r="M441" s="8">
        <f t="shared" ca="1" si="429"/>
        <v>6.4082627350922836E-2</v>
      </c>
      <c r="N441" s="8">
        <f t="shared" ca="1" si="429"/>
        <v>6.3646684303156412E-2</v>
      </c>
      <c r="O441" s="8">
        <f t="shared" ca="1" si="429"/>
        <v>6.4546755212331261E-2</v>
      </c>
    </row>
    <row r="442" spans="2:15">
      <c r="B442" s="3">
        <v>421</v>
      </c>
      <c r="C442" s="8">
        <f t="shared" si="393"/>
        <v>0.05</v>
      </c>
      <c r="D442" s="8">
        <f t="shared" ref="D442:O442" ca="1" si="430">C442+k*(theta-C442)*dt+vol*SQRT(dt*C442)*_xlfn.NORM.S.INV(RAND())</f>
        <v>5.0562363185302668E-2</v>
      </c>
      <c r="E442" s="8">
        <f t="shared" ca="1" si="430"/>
        <v>5.3110547574842779E-2</v>
      </c>
      <c r="F442" s="8">
        <f t="shared" ca="1" si="430"/>
        <v>5.596796813453548E-2</v>
      </c>
      <c r="G442" s="8">
        <f t="shared" ca="1" si="430"/>
        <v>5.7004506968749681E-2</v>
      </c>
      <c r="H442" s="8">
        <f t="shared" ca="1" si="430"/>
        <v>5.3866395958724736E-2</v>
      </c>
      <c r="I442" s="8">
        <f t="shared" ca="1" si="430"/>
        <v>5.5501835569784469E-2</v>
      </c>
      <c r="J442" s="8">
        <f t="shared" ca="1" si="430"/>
        <v>5.51030528585542E-2</v>
      </c>
      <c r="K442" s="8">
        <f t="shared" ca="1" si="430"/>
        <v>5.3441539781895746E-2</v>
      </c>
      <c r="L442" s="8">
        <f t="shared" ca="1" si="430"/>
        <v>5.4750970592549235E-2</v>
      </c>
      <c r="M442" s="8">
        <f t="shared" ca="1" si="430"/>
        <v>5.4845595066785269E-2</v>
      </c>
      <c r="N442" s="8">
        <f t="shared" ca="1" si="430"/>
        <v>5.3826977340362341E-2</v>
      </c>
      <c r="O442" s="8">
        <f t="shared" ca="1" si="430"/>
        <v>5.4465588318653974E-2</v>
      </c>
    </row>
    <row r="443" spans="2:15">
      <c r="B443" s="3">
        <v>422</v>
      </c>
      <c r="C443" s="8">
        <f t="shared" si="393"/>
        <v>0.05</v>
      </c>
      <c r="D443" s="8">
        <f t="shared" ref="D443:O443" ca="1" si="431">C443+k*(theta-C443)*dt+vol*SQRT(dt*C443)*_xlfn.NORM.S.INV(RAND())</f>
        <v>5.0191056765748476E-2</v>
      </c>
      <c r="E443" s="8">
        <f t="shared" ca="1" si="431"/>
        <v>4.7838505133148392E-2</v>
      </c>
      <c r="F443" s="8">
        <f t="shared" ca="1" si="431"/>
        <v>4.6946989599299702E-2</v>
      </c>
      <c r="G443" s="8">
        <f t="shared" ca="1" si="431"/>
        <v>4.8052820674185891E-2</v>
      </c>
      <c r="H443" s="8">
        <f t="shared" ca="1" si="431"/>
        <v>4.9782479754043901E-2</v>
      </c>
      <c r="I443" s="8">
        <f t="shared" ca="1" si="431"/>
        <v>5.015922551345034E-2</v>
      </c>
      <c r="J443" s="8">
        <f t="shared" ca="1" si="431"/>
        <v>5.1786999171740115E-2</v>
      </c>
      <c r="K443" s="8">
        <f t="shared" ca="1" si="431"/>
        <v>5.2950219284031388E-2</v>
      </c>
      <c r="L443" s="8">
        <f t="shared" ca="1" si="431"/>
        <v>5.399775224164198E-2</v>
      </c>
      <c r="M443" s="8">
        <f t="shared" ca="1" si="431"/>
        <v>5.7945414089633177E-2</v>
      </c>
      <c r="N443" s="8">
        <f t="shared" ca="1" si="431"/>
        <v>6.0498220096966503E-2</v>
      </c>
      <c r="O443" s="8">
        <f t="shared" ca="1" si="431"/>
        <v>6.0054616232967019E-2</v>
      </c>
    </row>
    <row r="444" spans="2:15">
      <c r="B444" s="3">
        <v>423</v>
      </c>
      <c r="C444" s="8">
        <f t="shared" si="393"/>
        <v>0.05</v>
      </c>
      <c r="D444" s="8">
        <f t="shared" ref="D444:O444" ca="1" si="432">C444+k*(theta-C444)*dt+vol*SQRT(dt*C444)*_xlfn.NORM.S.INV(RAND())</f>
        <v>5.0687889056007407E-2</v>
      </c>
      <c r="E444" s="8">
        <f t="shared" ca="1" si="432"/>
        <v>5.2495866127094094E-2</v>
      </c>
      <c r="F444" s="8">
        <f t="shared" ca="1" si="432"/>
        <v>5.5236742138287685E-2</v>
      </c>
      <c r="G444" s="8">
        <f t="shared" ca="1" si="432"/>
        <v>5.5707931580382848E-2</v>
      </c>
      <c r="H444" s="8">
        <f t="shared" ca="1" si="432"/>
        <v>5.6351480682658495E-2</v>
      </c>
      <c r="I444" s="8">
        <f t="shared" ca="1" si="432"/>
        <v>5.5935528623093561E-2</v>
      </c>
      <c r="J444" s="8">
        <f t="shared" ca="1" si="432"/>
        <v>5.5637919666077555E-2</v>
      </c>
      <c r="K444" s="8">
        <f t="shared" ca="1" si="432"/>
        <v>5.7301932488110205E-2</v>
      </c>
      <c r="L444" s="8">
        <f t="shared" ca="1" si="432"/>
        <v>5.556089042107052E-2</v>
      </c>
      <c r="M444" s="8">
        <f t="shared" ca="1" si="432"/>
        <v>5.821118498183487E-2</v>
      </c>
      <c r="N444" s="8">
        <f t="shared" ca="1" si="432"/>
        <v>5.6974928557563614E-2</v>
      </c>
      <c r="O444" s="8">
        <f t="shared" ca="1" si="432"/>
        <v>5.7972787823809067E-2</v>
      </c>
    </row>
    <row r="445" spans="2:15">
      <c r="B445" s="3">
        <v>424</v>
      </c>
      <c r="C445" s="8">
        <f t="shared" si="393"/>
        <v>0.05</v>
      </c>
      <c r="D445" s="8">
        <f t="shared" ref="D445:O445" ca="1" si="433">C445+k*(theta-C445)*dt+vol*SQRT(dt*C445)*_xlfn.NORM.S.INV(RAND())</f>
        <v>5.0103966237050442E-2</v>
      </c>
      <c r="E445" s="8">
        <f t="shared" ca="1" si="433"/>
        <v>5.2785434101512103E-2</v>
      </c>
      <c r="F445" s="8">
        <f t="shared" ca="1" si="433"/>
        <v>5.3142243183177E-2</v>
      </c>
      <c r="G445" s="8">
        <f t="shared" ca="1" si="433"/>
        <v>5.4633907023121271E-2</v>
      </c>
      <c r="H445" s="8">
        <f t="shared" ca="1" si="433"/>
        <v>5.5743885392744066E-2</v>
      </c>
      <c r="I445" s="8">
        <f t="shared" ca="1" si="433"/>
        <v>5.4896701540631351E-2</v>
      </c>
      <c r="J445" s="8">
        <f t="shared" ca="1" si="433"/>
        <v>5.7908873114846771E-2</v>
      </c>
      <c r="K445" s="8">
        <f t="shared" ca="1" si="433"/>
        <v>5.8914130277543719E-2</v>
      </c>
      <c r="L445" s="8">
        <f t="shared" ca="1" si="433"/>
        <v>5.8535970199386944E-2</v>
      </c>
      <c r="M445" s="8">
        <f t="shared" ca="1" si="433"/>
        <v>6.067179756696478E-2</v>
      </c>
      <c r="N445" s="8">
        <f t="shared" ca="1" si="433"/>
        <v>6.4141331039196656E-2</v>
      </c>
      <c r="O445" s="8">
        <f t="shared" ca="1" si="433"/>
        <v>6.3035677378006735E-2</v>
      </c>
    </row>
    <row r="446" spans="2:15">
      <c r="B446" s="3">
        <v>425</v>
      </c>
      <c r="C446" s="8">
        <f t="shared" si="393"/>
        <v>0.05</v>
      </c>
      <c r="D446" s="8">
        <f t="shared" ref="D446:O446" ca="1" si="434">C446+k*(theta-C446)*dt+vol*SQRT(dt*C446)*_xlfn.NORM.S.INV(RAND())</f>
        <v>5.2875721637543456E-2</v>
      </c>
      <c r="E446" s="8">
        <f t="shared" ca="1" si="434"/>
        <v>5.5078852853576658E-2</v>
      </c>
      <c r="F446" s="8">
        <f t="shared" ca="1" si="434"/>
        <v>5.4873670832248519E-2</v>
      </c>
      <c r="G446" s="8">
        <f t="shared" ca="1" si="434"/>
        <v>5.3731806049837613E-2</v>
      </c>
      <c r="H446" s="8">
        <f t="shared" ca="1" si="434"/>
        <v>5.1522265760655321E-2</v>
      </c>
      <c r="I446" s="8">
        <f t="shared" ca="1" si="434"/>
        <v>5.2282260553772199E-2</v>
      </c>
      <c r="J446" s="8">
        <f t="shared" ca="1" si="434"/>
        <v>5.3015562511358368E-2</v>
      </c>
      <c r="K446" s="8">
        <f t="shared" ca="1" si="434"/>
        <v>5.3926445483552674E-2</v>
      </c>
      <c r="L446" s="8">
        <f t="shared" ca="1" si="434"/>
        <v>5.5645153668021363E-2</v>
      </c>
      <c r="M446" s="8">
        <f t="shared" ca="1" si="434"/>
        <v>5.6413762383089677E-2</v>
      </c>
      <c r="N446" s="8">
        <f t="shared" ca="1" si="434"/>
        <v>5.5636223988650389E-2</v>
      </c>
      <c r="O446" s="8">
        <f t="shared" ca="1" si="434"/>
        <v>5.5154326524069826E-2</v>
      </c>
    </row>
    <row r="447" spans="2:15">
      <c r="B447" s="3">
        <v>426</v>
      </c>
      <c r="C447" s="8">
        <f t="shared" si="393"/>
        <v>0.05</v>
      </c>
      <c r="D447" s="8">
        <f t="shared" ref="D447:O447" ca="1" si="435">C447+k*(theta-C447)*dt+vol*SQRT(dt*C447)*_xlfn.NORM.S.INV(RAND())</f>
        <v>5.0836610683250023E-2</v>
      </c>
      <c r="E447" s="8">
        <f t="shared" ca="1" si="435"/>
        <v>5.160134419674256E-2</v>
      </c>
      <c r="F447" s="8">
        <f t="shared" ca="1" si="435"/>
        <v>5.4962059024540648E-2</v>
      </c>
      <c r="G447" s="8">
        <f t="shared" ca="1" si="435"/>
        <v>5.4239295577935678E-2</v>
      </c>
      <c r="H447" s="8">
        <f t="shared" ca="1" si="435"/>
        <v>5.6365282551040001E-2</v>
      </c>
      <c r="I447" s="8">
        <f t="shared" ca="1" si="435"/>
        <v>5.624863027309078E-2</v>
      </c>
      <c r="J447" s="8">
        <f t="shared" ca="1" si="435"/>
        <v>5.668344324273368E-2</v>
      </c>
      <c r="K447" s="8">
        <f t="shared" ca="1" si="435"/>
        <v>5.8685059083797952E-2</v>
      </c>
      <c r="L447" s="8">
        <f t="shared" ca="1" si="435"/>
        <v>5.7326266704220454E-2</v>
      </c>
      <c r="M447" s="8">
        <f t="shared" ca="1" si="435"/>
        <v>5.9691825049932722E-2</v>
      </c>
      <c r="N447" s="8">
        <f t="shared" ca="1" si="435"/>
        <v>6.3947335946518941E-2</v>
      </c>
      <c r="O447" s="8">
        <f t="shared" ca="1" si="435"/>
        <v>6.4241157011471609E-2</v>
      </c>
    </row>
    <row r="448" spans="2:15">
      <c r="B448" s="3">
        <v>427</v>
      </c>
      <c r="C448" s="8">
        <f t="shared" si="393"/>
        <v>0.05</v>
      </c>
      <c r="D448" s="8">
        <f t="shared" ref="D448:O448" ca="1" si="436">C448+k*(theta-C448)*dt+vol*SQRT(dt*C448)*_xlfn.NORM.S.INV(RAND())</f>
        <v>5.269386985245926E-2</v>
      </c>
      <c r="E448" s="8">
        <f t="shared" ca="1" si="436"/>
        <v>5.6111881727237189E-2</v>
      </c>
      <c r="F448" s="8">
        <f t="shared" ca="1" si="436"/>
        <v>6.0851711544072713E-2</v>
      </c>
      <c r="G448" s="8">
        <f t="shared" ca="1" si="436"/>
        <v>6.0554091007907762E-2</v>
      </c>
      <c r="H448" s="8">
        <f t="shared" ca="1" si="436"/>
        <v>6.0304240299200999E-2</v>
      </c>
      <c r="I448" s="8">
        <f t="shared" ca="1" si="436"/>
        <v>6.2437577384957504E-2</v>
      </c>
      <c r="J448" s="8">
        <f t="shared" ca="1" si="436"/>
        <v>6.4163575626909913E-2</v>
      </c>
      <c r="K448" s="8">
        <f t="shared" ca="1" si="436"/>
        <v>6.5637531262551549E-2</v>
      </c>
      <c r="L448" s="8">
        <f t="shared" ca="1" si="436"/>
        <v>6.5082462148346634E-2</v>
      </c>
      <c r="M448" s="8">
        <f t="shared" ca="1" si="436"/>
        <v>6.6190825515116236E-2</v>
      </c>
      <c r="N448" s="8">
        <f t="shared" ca="1" si="436"/>
        <v>6.8296629280623106E-2</v>
      </c>
      <c r="O448" s="8">
        <f t="shared" ca="1" si="436"/>
        <v>6.8504136983711356E-2</v>
      </c>
    </row>
    <row r="449" spans="2:15">
      <c r="B449" s="3">
        <v>428</v>
      </c>
      <c r="C449" s="8">
        <f t="shared" si="393"/>
        <v>0.05</v>
      </c>
      <c r="D449" s="8">
        <f t="shared" ref="D449:O449" ca="1" si="437">C449+k*(theta-C449)*dt+vol*SQRT(dt*C449)*_xlfn.NORM.S.INV(RAND())</f>
        <v>5.2502459500441925E-2</v>
      </c>
      <c r="E449" s="8">
        <f t="shared" ca="1" si="437"/>
        <v>5.1941888338751706E-2</v>
      </c>
      <c r="F449" s="8">
        <f t="shared" ca="1" si="437"/>
        <v>5.3555638874722054E-2</v>
      </c>
      <c r="G449" s="8">
        <f t="shared" ca="1" si="437"/>
        <v>5.4969676100882714E-2</v>
      </c>
      <c r="H449" s="8">
        <f t="shared" ca="1" si="437"/>
        <v>5.5513788126512434E-2</v>
      </c>
      <c r="I449" s="8">
        <f t="shared" ca="1" si="437"/>
        <v>5.9755078944132269E-2</v>
      </c>
      <c r="J449" s="8">
        <f t="shared" ca="1" si="437"/>
        <v>5.9760951922634212E-2</v>
      </c>
      <c r="K449" s="8">
        <f t="shared" ca="1" si="437"/>
        <v>5.9780698656223201E-2</v>
      </c>
      <c r="L449" s="8">
        <f t="shared" ca="1" si="437"/>
        <v>5.8465703038087506E-2</v>
      </c>
      <c r="M449" s="8">
        <f t="shared" ca="1" si="437"/>
        <v>5.8105391741508722E-2</v>
      </c>
      <c r="N449" s="8">
        <f t="shared" ca="1" si="437"/>
        <v>5.7805141109872824E-2</v>
      </c>
      <c r="O449" s="8">
        <f t="shared" ca="1" si="437"/>
        <v>5.9502189088697963E-2</v>
      </c>
    </row>
    <row r="450" spans="2:15">
      <c r="B450" s="3">
        <v>429</v>
      </c>
      <c r="C450" s="8">
        <f t="shared" si="393"/>
        <v>0.05</v>
      </c>
      <c r="D450" s="8">
        <f t="shared" ref="D450:O450" ca="1" si="438">C450+k*(theta-C450)*dt+vol*SQRT(dt*C450)*_xlfn.NORM.S.INV(RAND())</f>
        <v>4.9842932962862116E-2</v>
      </c>
      <c r="E450" s="8">
        <f t="shared" ca="1" si="438"/>
        <v>5.2977240936137163E-2</v>
      </c>
      <c r="F450" s="8">
        <f t="shared" ca="1" si="438"/>
        <v>5.4370021181359085E-2</v>
      </c>
      <c r="G450" s="8">
        <f t="shared" ca="1" si="438"/>
        <v>5.425572751199241E-2</v>
      </c>
      <c r="H450" s="8">
        <f t="shared" ca="1" si="438"/>
        <v>5.5259400324254769E-2</v>
      </c>
      <c r="I450" s="8">
        <f t="shared" ca="1" si="438"/>
        <v>5.6666776486185788E-2</v>
      </c>
      <c r="J450" s="8">
        <f t="shared" ca="1" si="438"/>
        <v>5.5621673960448287E-2</v>
      </c>
      <c r="K450" s="8">
        <f t="shared" ca="1" si="438"/>
        <v>5.8872282417638137E-2</v>
      </c>
      <c r="L450" s="8">
        <f t="shared" ca="1" si="438"/>
        <v>5.8510893090382932E-2</v>
      </c>
      <c r="M450" s="8">
        <f t="shared" ca="1" si="438"/>
        <v>5.8231344229157968E-2</v>
      </c>
      <c r="N450" s="8">
        <f t="shared" ca="1" si="438"/>
        <v>5.6693800427985233E-2</v>
      </c>
      <c r="O450" s="8">
        <f t="shared" ca="1" si="438"/>
        <v>5.5897490740725295E-2</v>
      </c>
    </row>
    <row r="451" spans="2:15">
      <c r="B451" s="3">
        <v>430</v>
      </c>
      <c r="C451" s="8">
        <f t="shared" si="393"/>
        <v>0.05</v>
      </c>
      <c r="D451" s="8">
        <f t="shared" ref="D451:O451" ca="1" si="439">C451+k*(theta-C451)*dt+vol*SQRT(dt*C451)*_xlfn.NORM.S.INV(RAND())</f>
        <v>5.1219382769149793E-2</v>
      </c>
      <c r="E451" s="8">
        <f t="shared" ca="1" si="439"/>
        <v>5.6493895121567578E-2</v>
      </c>
      <c r="F451" s="8">
        <f t="shared" ca="1" si="439"/>
        <v>5.5393779905065631E-2</v>
      </c>
      <c r="G451" s="8">
        <f t="shared" ca="1" si="439"/>
        <v>5.6816455619530984E-2</v>
      </c>
      <c r="H451" s="8">
        <f t="shared" ca="1" si="439"/>
        <v>5.9933436092417303E-2</v>
      </c>
      <c r="I451" s="8">
        <f t="shared" ca="1" si="439"/>
        <v>6.0640255048494469E-2</v>
      </c>
      <c r="J451" s="8">
        <f t="shared" ca="1" si="439"/>
        <v>6.2025164394047927E-2</v>
      </c>
      <c r="K451" s="8">
        <f t="shared" ca="1" si="439"/>
        <v>6.2485203549462832E-2</v>
      </c>
      <c r="L451" s="8">
        <f t="shared" ca="1" si="439"/>
        <v>6.3123845997686584E-2</v>
      </c>
      <c r="M451" s="8">
        <f t="shared" ca="1" si="439"/>
        <v>6.3929616295242422E-2</v>
      </c>
      <c r="N451" s="8">
        <f t="shared" ca="1" si="439"/>
        <v>6.4971078826507808E-2</v>
      </c>
      <c r="O451" s="8">
        <f t="shared" ca="1" si="439"/>
        <v>6.4469610415086961E-2</v>
      </c>
    </row>
    <row r="452" spans="2:15">
      <c r="B452" s="3">
        <v>431</v>
      </c>
      <c r="C452" s="8">
        <f t="shared" si="393"/>
        <v>0.05</v>
      </c>
      <c r="D452" s="8">
        <f t="shared" ref="D452:O452" ca="1" si="440">C452+k*(theta-C452)*dt+vol*SQRT(dt*C452)*_xlfn.NORM.S.INV(RAND())</f>
        <v>5.227770675221434E-2</v>
      </c>
      <c r="E452" s="8">
        <f t="shared" ca="1" si="440"/>
        <v>5.3976959545082318E-2</v>
      </c>
      <c r="F452" s="8">
        <f t="shared" ca="1" si="440"/>
        <v>5.340669739052803E-2</v>
      </c>
      <c r="G452" s="8">
        <f t="shared" ca="1" si="440"/>
        <v>5.4210843762295069E-2</v>
      </c>
      <c r="H452" s="8">
        <f t="shared" ca="1" si="440"/>
        <v>5.598901261051132E-2</v>
      </c>
      <c r="I452" s="8">
        <f t="shared" ca="1" si="440"/>
        <v>5.7746214014819178E-2</v>
      </c>
      <c r="J452" s="8">
        <f t="shared" ca="1" si="440"/>
        <v>5.6669750220167701E-2</v>
      </c>
      <c r="K452" s="8">
        <f t="shared" ca="1" si="440"/>
        <v>5.4774896306595308E-2</v>
      </c>
      <c r="L452" s="8">
        <f t="shared" ca="1" si="440"/>
        <v>5.5454484528339711E-2</v>
      </c>
      <c r="M452" s="8">
        <f t="shared" ca="1" si="440"/>
        <v>5.6365029785413509E-2</v>
      </c>
      <c r="N452" s="8">
        <f t="shared" ca="1" si="440"/>
        <v>5.6891426689465709E-2</v>
      </c>
      <c r="O452" s="8">
        <f t="shared" ca="1" si="440"/>
        <v>5.8271959190391937E-2</v>
      </c>
    </row>
    <row r="453" spans="2:15">
      <c r="B453" s="3">
        <v>432</v>
      </c>
      <c r="C453" s="8">
        <f t="shared" si="393"/>
        <v>0.05</v>
      </c>
      <c r="D453" s="8">
        <f t="shared" ref="D453:O453" ca="1" si="441">C453+k*(theta-C453)*dt+vol*SQRT(dt*C453)*_xlfn.NORM.S.INV(RAND())</f>
        <v>5.0797390731069737E-2</v>
      </c>
      <c r="E453" s="8">
        <f t="shared" ca="1" si="441"/>
        <v>5.3268134153783439E-2</v>
      </c>
      <c r="F453" s="8">
        <f t="shared" ca="1" si="441"/>
        <v>5.3547654988541762E-2</v>
      </c>
      <c r="G453" s="8">
        <f t="shared" ca="1" si="441"/>
        <v>5.460428158479972E-2</v>
      </c>
      <c r="H453" s="8">
        <f t="shared" ca="1" si="441"/>
        <v>5.6093565140505536E-2</v>
      </c>
      <c r="I453" s="8">
        <f t="shared" ca="1" si="441"/>
        <v>5.6293201542681422E-2</v>
      </c>
      <c r="J453" s="8">
        <f t="shared" ca="1" si="441"/>
        <v>5.7556222651439844E-2</v>
      </c>
      <c r="K453" s="8">
        <f t="shared" ca="1" si="441"/>
        <v>5.9714352270243846E-2</v>
      </c>
      <c r="L453" s="8">
        <f t="shared" ca="1" si="441"/>
        <v>6.1041398614568761E-2</v>
      </c>
      <c r="M453" s="8">
        <f t="shared" ca="1" si="441"/>
        <v>6.3186549154389371E-2</v>
      </c>
      <c r="N453" s="8">
        <f t="shared" ca="1" si="441"/>
        <v>6.2616994990378927E-2</v>
      </c>
      <c r="O453" s="8">
        <f t="shared" ca="1" si="441"/>
        <v>6.5320472415785868E-2</v>
      </c>
    </row>
    <row r="454" spans="2:15">
      <c r="B454" s="3">
        <v>433</v>
      </c>
      <c r="C454" s="8">
        <f t="shared" si="393"/>
        <v>0.05</v>
      </c>
      <c r="D454" s="8">
        <f t="shared" ref="D454:O454" ca="1" si="442">C454+k*(theta-C454)*dt+vol*SQRT(dt*C454)*_xlfn.NORM.S.INV(RAND())</f>
        <v>5.0336527285158202E-2</v>
      </c>
      <c r="E454" s="8">
        <f t="shared" ca="1" si="442"/>
        <v>5.3332604042630967E-2</v>
      </c>
      <c r="F454" s="8">
        <f t="shared" ca="1" si="442"/>
        <v>5.4155687941130438E-2</v>
      </c>
      <c r="G454" s="8">
        <f t="shared" ca="1" si="442"/>
        <v>5.4238171252414154E-2</v>
      </c>
      <c r="H454" s="8">
        <f t="shared" ca="1" si="442"/>
        <v>5.3339095725889588E-2</v>
      </c>
      <c r="I454" s="8">
        <f t="shared" ca="1" si="442"/>
        <v>5.4877888877814335E-2</v>
      </c>
      <c r="J454" s="8">
        <f t="shared" ca="1" si="442"/>
        <v>5.4829381616052796E-2</v>
      </c>
      <c r="K454" s="8">
        <f t="shared" ca="1" si="442"/>
        <v>5.6214720923778168E-2</v>
      </c>
      <c r="L454" s="8">
        <f t="shared" ca="1" si="442"/>
        <v>5.708100881826518E-2</v>
      </c>
      <c r="M454" s="8">
        <f t="shared" ca="1" si="442"/>
        <v>5.6804009570844839E-2</v>
      </c>
      <c r="N454" s="8">
        <f t="shared" ca="1" si="442"/>
        <v>5.5400700728677074E-2</v>
      </c>
      <c r="O454" s="8">
        <f t="shared" ca="1" si="442"/>
        <v>5.4345654388883648E-2</v>
      </c>
    </row>
    <row r="455" spans="2:15">
      <c r="B455" s="3">
        <v>434</v>
      </c>
      <c r="C455" s="8">
        <f t="shared" si="393"/>
        <v>0.05</v>
      </c>
      <c r="D455" s="8">
        <f t="shared" ref="D455:O455" ca="1" si="443">C455+k*(theta-C455)*dt+vol*SQRT(dt*C455)*_xlfn.NORM.S.INV(RAND())</f>
        <v>5.2627761843235768E-2</v>
      </c>
      <c r="E455" s="8">
        <f t="shared" ca="1" si="443"/>
        <v>5.2201551730268109E-2</v>
      </c>
      <c r="F455" s="8">
        <f t="shared" ca="1" si="443"/>
        <v>5.379564719865778E-2</v>
      </c>
      <c r="G455" s="8">
        <f t="shared" ca="1" si="443"/>
        <v>5.6176272508826924E-2</v>
      </c>
      <c r="H455" s="8">
        <f t="shared" ca="1" si="443"/>
        <v>5.9449543380700548E-2</v>
      </c>
      <c r="I455" s="8">
        <f t="shared" ca="1" si="443"/>
        <v>5.9922864807825924E-2</v>
      </c>
      <c r="J455" s="8">
        <f t="shared" ca="1" si="443"/>
        <v>5.942020045569632E-2</v>
      </c>
      <c r="K455" s="8">
        <f t="shared" ca="1" si="443"/>
        <v>5.9168889224358014E-2</v>
      </c>
      <c r="L455" s="8">
        <f t="shared" ca="1" si="443"/>
        <v>6.0795333567816308E-2</v>
      </c>
      <c r="M455" s="8">
        <f t="shared" ca="1" si="443"/>
        <v>6.452067409651531E-2</v>
      </c>
      <c r="N455" s="8">
        <f t="shared" ca="1" si="443"/>
        <v>6.5470630955656486E-2</v>
      </c>
      <c r="O455" s="8">
        <f t="shared" ca="1" si="443"/>
        <v>6.7223603360427306E-2</v>
      </c>
    </row>
    <row r="456" spans="2:15">
      <c r="B456" s="3">
        <v>435</v>
      </c>
      <c r="C456" s="8">
        <f t="shared" si="393"/>
        <v>0.05</v>
      </c>
      <c r="D456" s="8">
        <f t="shared" ref="D456:O456" ca="1" si="444">C456+k*(theta-C456)*dt+vol*SQRT(dt*C456)*_xlfn.NORM.S.INV(RAND())</f>
        <v>5.2057026568537189E-2</v>
      </c>
      <c r="E456" s="8">
        <f t="shared" ca="1" si="444"/>
        <v>5.3157170421048977E-2</v>
      </c>
      <c r="F456" s="8">
        <f t="shared" ca="1" si="444"/>
        <v>5.3385053191922029E-2</v>
      </c>
      <c r="G456" s="8">
        <f t="shared" ca="1" si="444"/>
        <v>5.3218647822122198E-2</v>
      </c>
      <c r="H456" s="8">
        <f t="shared" ca="1" si="444"/>
        <v>5.1734716385026414E-2</v>
      </c>
      <c r="I456" s="8">
        <f t="shared" ca="1" si="444"/>
        <v>5.3412786335201579E-2</v>
      </c>
      <c r="J456" s="8">
        <f t="shared" ca="1" si="444"/>
        <v>5.516013278053758E-2</v>
      </c>
      <c r="K456" s="8">
        <f t="shared" ca="1" si="444"/>
        <v>5.6544740946966918E-2</v>
      </c>
      <c r="L456" s="8">
        <f t="shared" ca="1" si="444"/>
        <v>6.0525632208975277E-2</v>
      </c>
      <c r="M456" s="8">
        <f t="shared" ca="1" si="444"/>
        <v>6.0420047761012202E-2</v>
      </c>
      <c r="N456" s="8">
        <f t="shared" ca="1" si="444"/>
        <v>6.3354560461968856E-2</v>
      </c>
      <c r="O456" s="8">
        <f t="shared" ca="1" si="444"/>
        <v>6.453631434466417E-2</v>
      </c>
    </row>
    <row r="457" spans="2:15">
      <c r="B457" s="3">
        <v>436</v>
      </c>
      <c r="C457" s="8">
        <f t="shared" si="393"/>
        <v>0.05</v>
      </c>
      <c r="D457" s="8">
        <f t="shared" ref="D457:O457" ca="1" si="445">C457+k*(theta-C457)*dt+vol*SQRT(dt*C457)*_xlfn.NORM.S.INV(RAND())</f>
        <v>5.0334262707560917E-2</v>
      </c>
      <c r="E457" s="8">
        <f t="shared" ca="1" si="445"/>
        <v>5.0753075098972152E-2</v>
      </c>
      <c r="F457" s="8">
        <f t="shared" ca="1" si="445"/>
        <v>5.2836679346282465E-2</v>
      </c>
      <c r="G457" s="8">
        <f t="shared" ca="1" si="445"/>
        <v>5.202652091987689E-2</v>
      </c>
      <c r="H457" s="8">
        <f t="shared" ca="1" si="445"/>
        <v>5.2735835180500998E-2</v>
      </c>
      <c r="I457" s="8">
        <f t="shared" ca="1" si="445"/>
        <v>5.3080724041222681E-2</v>
      </c>
      <c r="J457" s="8">
        <f t="shared" ca="1" si="445"/>
        <v>5.3664163251844116E-2</v>
      </c>
      <c r="K457" s="8">
        <f t="shared" ca="1" si="445"/>
        <v>5.6821215350873117E-2</v>
      </c>
      <c r="L457" s="8">
        <f t="shared" ca="1" si="445"/>
        <v>5.9058897255190874E-2</v>
      </c>
      <c r="M457" s="8">
        <f t="shared" ca="1" si="445"/>
        <v>6.1129999615110842E-2</v>
      </c>
      <c r="N457" s="8">
        <f t="shared" ca="1" si="445"/>
        <v>6.0610477809187414E-2</v>
      </c>
      <c r="O457" s="8">
        <f t="shared" ca="1" si="445"/>
        <v>6.3004394628181457E-2</v>
      </c>
    </row>
    <row r="458" spans="2:15">
      <c r="B458" s="3">
        <v>437</v>
      </c>
      <c r="C458" s="8">
        <f t="shared" si="393"/>
        <v>0.05</v>
      </c>
      <c r="D458" s="8">
        <f t="shared" ref="D458:O458" ca="1" si="446">C458+k*(theta-C458)*dt+vol*SQRT(dt*C458)*_xlfn.NORM.S.INV(RAND())</f>
        <v>4.9223094838376689E-2</v>
      </c>
      <c r="E458" s="8">
        <f t="shared" ca="1" si="446"/>
        <v>5.1619462976366631E-2</v>
      </c>
      <c r="F458" s="8">
        <f t="shared" ca="1" si="446"/>
        <v>5.4104675192378333E-2</v>
      </c>
      <c r="G458" s="8">
        <f t="shared" ca="1" si="446"/>
        <v>5.5537230323896812E-2</v>
      </c>
      <c r="H458" s="8">
        <f t="shared" ca="1" si="446"/>
        <v>5.497947462216015E-2</v>
      </c>
      <c r="I458" s="8">
        <f t="shared" ca="1" si="446"/>
        <v>5.3329605085779899E-2</v>
      </c>
      <c r="J458" s="8">
        <f t="shared" ca="1" si="446"/>
        <v>5.6792405704817583E-2</v>
      </c>
      <c r="K458" s="8">
        <f t="shared" ca="1" si="446"/>
        <v>5.7706505701906864E-2</v>
      </c>
      <c r="L458" s="8">
        <f t="shared" ca="1" si="446"/>
        <v>5.8856790319855606E-2</v>
      </c>
      <c r="M458" s="8">
        <f t="shared" ca="1" si="446"/>
        <v>6.1063118083782481E-2</v>
      </c>
      <c r="N458" s="8">
        <f t="shared" ca="1" si="446"/>
        <v>6.299793886143823E-2</v>
      </c>
      <c r="O458" s="8">
        <f t="shared" ca="1" si="446"/>
        <v>6.374479053803489E-2</v>
      </c>
    </row>
    <row r="459" spans="2:15">
      <c r="B459" s="3">
        <v>438</v>
      </c>
      <c r="C459" s="8">
        <f t="shared" si="393"/>
        <v>0.05</v>
      </c>
      <c r="D459" s="8">
        <f t="shared" ref="D459:O459" ca="1" si="447">C459+k*(theta-C459)*dt+vol*SQRT(dt*C459)*_xlfn.NORM.S.INV(RAND())</f>
        <v>5.2404569376856197E-2</v>
      </c>
      <c r="E459" s="8">
        <f t="shared" ca="1" si="447"/>
        <v>5.3167815271047025E-2</v>
      </c>
      <c r="F459" s="8">
        <f t="shared" ca="1" si="447"/>
        <v>5.3282014545538291E-2</v>
      </c>
      <c r="G459" s="8">
        <f t="shared" ca="1" si="447"/>
        <v>5.3737518825808461E-2</v>
      </c>
      <c r="H459" s="8">
        <f t="shared" ca="1" si="447"/>
        <v>5.5241032587834735E-2</v>
      </c>
      <c r="I459" s="8">
        <f t="shared" ca="1" si="447"/>
        <v>5.4993984975370044E-2</v>
      </c>
      <c r="J459" s="8">
        <f t="shared" ca="1" si="447"/>
        <v>5.5321082368391186E-2</v>
      </c>
      <c r="K459" s="8">
        <f t="shared" ca="1" si="447"/>
        <v>5.6220770212235524E-2</v>
      </c>
      <c r="L459" s="8">
        <f t="shared" ca="1" si="447"/>
        <v>5.6762980064013112E-2</v>
      </c>
      <c r="M459" s="8">
        <f t="shared" ca="1" si="447"/>
        <v>5.6917693306088472E-2</v>
      </c>
      <c r="N459" s="8">
        <f t="shared" ca="1" si="447"/>
        <v>5.9547008263090007E-2</v>
      </c>
      <c r="O459" s="8">
        <f t="shared" ca="1" si="447"/>
        <v>6.0161894831386127E-2</v>
      </c>
    </row>
    <row r="460" spans="2:15">
      <c r="B460" s="3">
        <v>439</v>
      </c>
      <c r="C460" s="8">
        <f t="shared" si="393"/>
        <v>0.05</v>
      </c>
      <c r="D460" s="8">
        <f t="shared" ref="D460:O460" ca="1" si="448">C460+k*(theta-C460)*dt+vol*SQRT(dt*C460)*_xlfn.NORM.S.INV(RAND())</f>
        <v>5.543959670220247E-2</v>
      </c>
      <c r="E460" s="8">
        <f t="shared" ca="1" si="448"/>
        <v>5.6754026748559339E-2</v>
      </c>
      <c r="F460" s="8">
        <f t="shared" ca="1" si="448"/>
        <v>5.7488522742975008E-2</v>
      </c>
      <c r="G460" s="8">
        <f t="shared" ca="1" si="448"/>
        <v>5.642869081044042E-2</v>
      </c>
      <c r="H460" s="8">
        <f t="shared" ca="1" si="448"/>
        <v>5.7562251976927457E-2</v>
      </c>
      <c r="I460" s="8">
        <f t="shared" ca="1" si="448"/>
        <v>5.8066451512597823E-2</v>
      </c>
      <c r="J460" s="8">
        <f t="shared" ca="1" si="448"/>
        <v>5.9834371929645913E-2</v>
      </c>
      <c r="K460" s="8">
        <f t="shared" ca="1" si="448"/>
        <v>5.9999212872465978E-2</v>
      </c>
      <c r="L460" s="8">
        <f t="shared" ca="1" si="448"/>
        <v>6.1740257689297397E-2</v>
      </c>
      <c r="M460" s="8">
        <f t="shared" ca="1" si="448"/>
        <v>6.2911104389698227E-2</v>
      </c>
      <c r="N460" s="8">
        <f t="shared" ca="1" si="448"/>
        <v>6.3498855049109501E-2</v>
      </c>
      <c r="O460" s="8">
        <f t="shared" ca="1" si="448"/>
        <v>6.3320886799335077E-2</v>
      </c>
    </row>
    <row r="461" spans="2:15">
      <c r="B461" s="3">
        <v>440</v>
      </c>
      <c r="C461" s="8">
        <f t="shared" si="393"/>
        <v>0.05</v>
      </c>
      <c r="D461" s="8">
        <f t="shared" ref="D461:O461" ca="1" si="449">C461+k*(theta-C461)*dt+vol*SQRT(dt*C461)*_xlfn.NORM.S.INV(RAND())</f>
        <v>5.4631232966275263E-2</v>
      </c>
      <c r="E461" s="8">
        <f t="shared" ca="1" si="449"/>
        <v>5.4780904462738471E-2</v>
      </c>
      <c r="F461" s="8">
        <f t="shared" ca="1" si="449"/>
        <v>5.7068728554664237E-2</v>
      </c>
      <c r="G461" s="8">
        <f t="shared" ca="1" si="449"/>
        <v>5.8067840866438708E-2</v>
      </c>
      <c r="H461" s="8">
        <f t="shared" ca="1" si="449"/>
        <v>5.7614969357732984E-2</v>
      </c>
      <c r="I461" s="8">
        <f t="shared" ca="1" si="449"/>
        <v>5.9295899221949895E-2</v>
      </c>
      <c r="J461" s="8">
        <f t="shared" ca="1" si="449"/>
        <v>6.3595489945529535E-2</v>
      </c>
      <c r="K461" s="8">
        <f t="shared" ca="1" si="449"/>
        <v>6.4880750940105536E-2</v>
      </c>
      <c r="L461" s="8">
        <f t="shared" ca="1" si="449"/>
        <v>6.601799407074295E-2</v>
      </c>
      <c r="M461" s="8">
        <f t="shared" ca="1" si="449"/>
        <v>6.7692570081934814E-2</v>
      </c>
      <c r="N461" s="8">
        <f t="shared" ca="1" si="449"/>
        <v>6.9622456424518225E-2</v>
      </c>
      <c r="O461" s="8">
        <f t="shared" ca="1" si="449"/>
        <v>7.1472086331307416E-2</v>
      </c>
    </row>
    <row r="462" spans="2:15">
      <c r="B462" s="3">
        <v>441</v>
      </c>
      <c r="C462" s="8">
        <f t="shared" si="393"/>
        <v>0.05</v>
      </c>
      <c r="D462" s="8">
        <f t="shared" ref="D462:O462" ca="1" si="450">C462+k*(theta-C462)*dt+vol*SQRT(dt*C462)*_xlfn.NORM.S.INV(RAND())</f>
        <v>5.0976685016493689E-2</v>
      </c>
      <c r="E462" s="8">
        <f t="shared" ca="1" si="450"/>
        <v>5.2913375728720534E-2</v>
      </c>
      <c r="F462" s="8">
        <f t="shared" ca="1" si="450"/>
        <v>5.3468387010291663E-2</v>
      </c>
      <c r="G462" s="8">
        <f t="shared" ca="1" si="450"/>
        <v>5.5685098967688459E-2</v>
      </c>
      <c r="H462" s="8">
        <f t="shared" ca="1" si="450"/>
        <v>5.6659788410833745E-2</v>
      </c>
      <c r="I462" s="8">
        <f t="shared" ca="1" si="450"/>
        <v>5.9072604361218833E-2</v>
      </c>
      <c r="J462" s="8">
        <f t="shared" ca="1" si="450"/>
        <v>5.9295406173087581E-2</v>
      </c>
      <c r="K462" s="8">
        <f t="shared" ca="1" si="450"/>
        <v>6.0624001127110735E-2</v>
      </c>
      <c r="L462" s="8">
        <f t="shared" ca="1" si="450"/>
        <v>6.028486714327027E-2</v>
      </c>
      <c r="M462" s="8">
        <f t="shared" ca="1" si="450"/>
        <v>6.2856277405215821E-2</v>
      </c>
      <c r="N462" s="8">
        <f t="shared" ca="1" si="450"/>
        <v>6.2332305210137766E-2</v>
      </c>
      <c r="O462" s="8">
        <f t="shared" ca="1" si="450"/>
        <v>6.3694138101016873E-2</v>
      </c>
    </row>
    <row r="463" spans="2:15">
      <c r="B463" s="3">
        <v>442</v>
      </c>
      <c r="C463" s="8">
        <f t="shared" si="393"/>
        <v>0.05</v>
      </c>
      <c r="D463" s="8">
        <f t="shared" ref="D463:O463" ca="1" si="451">C463+k*(theta-C463)*dt+vol*SQRT(dt*C463)*_xlfn.NORM.S.INV(RAND())</f>
        <v>5.2192818198597404E-2</v>
      </c>
      <c r="E463" s="8">
        <f t="shared" ca="1" si="451"/>
        <v>5.281727161962161E-2</v>
      </c>
      <c r="F463" s="8">
        <f t="shared" ca="1" si="451"/>
        <v>5.4492526395896225E-2</v>
      </c>
      <c r="G463" s="8">
        <f t="shared" ca="1" si="451"/>
        <v>5.6684286980738678E-2</v>
      </c>
      <c r="H463" s="8">
        <f t="shared" ca="1" si="451"/>
        <v>5.8813140884684006E-2</v>
      </c>
      <c r="I463" s="8">
        <f t="shared" ca="1" si="451"/>
        <v>6.01873394904247E-2</v>
      </c>
      <c r="J463" s="8">
        <f t="shared" ca="1" si="451"/>
        <v>6.2964699530043577E-2</v>
      </c>
      <c r="K463" s="8">
        <f t="shared" ca="1" si="451"/>
        <v>6.2240923742970522E-2</v>
      </c>
      <c r="L463" s="8">
        <f t="shared" ca="1" si="451"/>
        <v>6.4309064653932893E-2</v>
      </c>
      <c r="M463" s="8">
        <f t="shared" ca="1" si="451"/>
        <v>6.5499937310582221E-2</v>
      </c>
      <c r="N463" s="8">
        <f t="shared" ca="1" si="451"/>
        <v>6.802573841088716E-2</v>
      </c>
      <c r="O463" s="8">
        <f t="shared" ca="1" si="451"/>
        <v>6.9163609298148451E-2</v>
      </c>
    </row>
    <row r="464" spans="2:15">
      <c r="B464" s="3">
        <v>443</v>
      </c>
      <c r="C464" s="8">
        <f t="shared" si="393"/>
        <v>0.05</v>
      </c>
      <c r="D464" s="8">
        <f t="shared" ref="D464:O464" ca="1" si="452">C464+k*(theta-C464)*dt+vol*SQRT(dt*C464)*_xlfn.NORM.S.INV(RAND())</f>
        <v>5.0901438486040812E-2</v>
      </c>
      <c r="E464" s="8">
        <f t="shared" ca="1" si="452"/>
        <v>4.9957848313168976E-2</v>
      </c>
      <c r="F464" s="8">
        <f t="shared" ca="1" si="452"/>
        <v>5.0040121827199621E-2</v>
      </c>
      <c r="G464" s="8">
        <f t="shared" ca="1" si="452"/>
        <v>4.9142260930148771E-2</v>
      </c>
      <c r="H464" s="8">
        <f t="shared" ca="1" si="452"/>
        <v>4.8713097304430297E-2</v>
      </c>
      <c r="I464" s="8">
        <f t="shared" ca="1" si="452"/>
        <v>4.9749099205194915E-2</v>
      </c>
      <c r="J464" s="8">
        <f t="shared" ca="1" si="452"/>
        <v>5.0425067442603416E-2</v>
      </c>
      <c r="K464" s="8">
        <f t="shared" ca="1" si="452"/>
        <v>5.2278939883220882E-2</v>
      </c>
      <c r="L464" s="8">
        <f t="shared" ca="1" si="452"/>
        <v>5.2311657497962426E-2</v>
      </c>
      <c r="M464" s="8">
        <f t="shared" ca="1" si="452"/>
        <v>5.314019678444093E-2</v>
      </c>
      <c r="N464" s="8">
        <f t="shared" ca="1" si="452"/>
        <v>5.5424622812327171E-2</v>
      </c>
      <c r="O464" s="8">
        <f t="shared" ca="1" si="452"/>
        <v>5.8779334639892808E-2</v>
      </c>
    </row>
    <row r="465" spans="2:15">
      <c r="B465" s="3">
        <v>444</v>
      </c>
      <c r="C465" s="8">
        <f t="shared" si="393"/>
        <v>0.05</v>
      </c>
      <c r="D465" s="8">
        <f t="shared" ref="D465:O465" ca="1" si="453">C465+k*(theta-C465)*dt+vol*SQRT(dt*C465)*_xlfn.NORM.S.INV(RAND())</f>
        <v>5.2987828898964272E-2</v>
      </c>
      <c r="E465" s="8">
        <f t="shared" ca="1" si="453"/>
        <v>5.31633988616389E-2</v>
      </c>
      <c r="F465" s="8">
        <f t="shared" ca="1" si="453"/>
        <v>5.6877825870207642E-2</v>
      </c>
      <c r="G465" s="8">
        <f t="shared" ca="1" si="453"/>
        <v>5.7796497492916377E-2</v>
      </c>
      <c r="H465" s="8">
        <f t="shared" ca="1" si="453"/>
        <v>5.8655741789093191E-2</v>
      </c>
      <c r="I465" s="8">
        <f t="shared" ca="1" si="453"/>
        <v>5.8965607487801767E-2</v>
      </c>
      <c r="J465" s="8">
        <f t="shared" ca="1" si="453"/>
        <v>6.318733513478525E-2</v>
      </c>
      <c r="K465" s="8">
        <f t="shared" ca="1" si="453"/>
        <v>6.7847084839939092E-2</v>
      </c>
      <c r="L465" s="8">
        <f t="shared" ca="1" si="453"/>
        <v>6.9854130685083268E-2</v>
      </c>
      <c r="M465" s="8">
        <f t="shared" ca="1" si="453"/>
        <v>7.0877040757065482E-2</v>
      </c>
      <c r="N465" s="8">
        <f t="shared" ca="1" si="453"/>
        <v>7.3786232569352184E-2</v>
      </c>
      <c r="O465" s="8">
        <f t="shared" ca="1" si="453"/>
        <v>7.6973300537216141E-2</v>
      </c>
    </row>
    <row r="466" spans="2:15">
      <c r="B466" s="3">
        <v>445</v>
      </c>
      <c r="C466" s="8">
        <f t="shared" si="393"/>
        <v>0.05</v>
      </c>
      <c r="D466" s="8">
        <f t="shared" ref="D466:O466" ca="1" si="454">C466+k*(theta-C466)*dt+vol*SQRT(dt*C466)*_xlfn.NORM.S.INV(RAND())</f>
        <v>5.2031498028533664E-2</v>
      </c>
      <c r="E466" s="8">
        <f t="shared" ca="1" si="454"/>
        <v>5.3020624101552789E-2</v>
      </c>
      <c r="F466" s="8">
        <f t="shared" ca="1" si="454"/>
        <v>5.5468459385294204E-2</v>
      </c>
      <c r="G466" s="8">
        <f t="shared" ca="1" si="454"/>
        <v>5.7100098701863243E-2</v>
      </c>
      <c r="H466" s="8">
        <f t="shared" ca="1" si="454"/>
        <v>5.7338068705806815E-2</v>
      </c>
      <c r="I466" s="8">
        <f t="shared" ca="1" si="454"/>
        <v>5.9593985570198842E-2</v>
      </c>
      <c r="J466" s="8">
        <f t="shared" ca="1" si="454"/>
        <v>6.2219010626113354E-2</v>
      </c>
      <c r="K466" s="8">
        <f t="shared" ca="1" si="454"/>
        <v>6.2200930324852736E-2</v>
      </c>
      <c r="L466" s="8">
        <f t="shared" ca="1" si="454"/>
        <v>6.0614789115941377E-2</v>
      </c>
      <c r="M466" s="8">
        <f t="shared" ca="1" si="454"/>
        <v>6.0918810053564768E-2</v>
      </c>
      <c r="N466" s="8">
        <f t="shared" ca="1" si="454"/>
        <v>6.2740311823709802E-2</v>
      </c>
      <c r="O466" s="8">
        <f t="shared" ca="1" si="454"/>
        <v>6.3591223830302093E-2</v>
      </c>
    </row>
    <row r="467" spans="2:15">
      <c r="B467" s="3">
        <v>446</v>
      </c>
      <c r="C467" s="8">
        <f t="shared" si="393"/>
        <v>0.05</v>
      </c>
      <c r="D467" s="8">
        <f t="shared" ref="D467:O467" ca="1" si="455">C467+k*(theta-C467)*dt+vol*SQRT(dt*C467)*_xlfn.NORM.S.INV(RAND())</f>
        <v>5.2321822306825375E-2</v>
      </c>
      <c r="E467" s="8">
        <f t="shared" ca="1" si="455"/>
        <v>5.2633157670843672E-2</v>
      </c>
      <c r="F467" s="8">
        <f t="shared" ca="1" si="455"/>
        <v>5.3043829271168415E-2</v>
      </c>
      <c r="G467" s="8">
        <f t="shared" ca="1" si="455"/>
        <v>5.5738935622061496E-2</v>
      </c>
      <c r="H467" s="8">
        <f t="shared" ca="1" si="455"/>
        <v>5.5539437745368618E-2</v>
      </c>
      <c r="I467" s="8">
        <f t="shared" ca="1" si="455"/>
        <v>5.8514886074413866E-2</v>
      </c>
      <c r="J467" s="8">
        <f t="shared" ca="1" si="455"/>
        <v>5.8853994233308289E-2</v>
      </c>
      <c r="K467" s="8">
        <f t="shared" ca="1" si="455"/>
        <v>5.9380668389096371E-2</v>
      </c>
      <c r="L467" s="8">
        <f t="shared" ca="1" si="455"/>
        <v>5.9341141404626534E-2</v>
      </c>
      <c r="M467" s="8">
        <f t="shared" ca="1" si="455"/>
        <v>5.8254166381645864E-2</v>
      </c>
      <c r="N467" s="8">
        <f t="shared" ca="1" si="455"/>
        <v>5.7093614953729742E-2</v>
      </c>
      <c r="O467" s="8">
        <f t="shared" ca="1" si="455"/>
        <v>6.0207514731391139E-2</v>
      </c>
    </row>
    <row r="468" spans="2:15">
      <c r="B468" s="3">
        <v>447</v>
      </c>
      <c r="C468" s="8">
        <f t="shared" si="393"/>
        <v>0.05</v>
      </c>
      <c r="D468" s="8">
        <f t="shared" ref="D468:O468" ca="1" si="456">C468+k*(theta-C468)*dt+vol*SQRT(dt*C468)*_xlfn.NORM.S.INV(RAND())</f>
        <v>5.3130264718428473E-2</v>
      </c>
      <c r="E468" s="8">
        <f t="shared" ca="1" si="456"/>
        <v>5.5392945741260656E-2</v>
      </c>
      <c r="F468" s="8">
        <f t="shared" ca="1" si="456"/>
        <v>5.9306272187957809E-2</v>
      </c>
      <c r="G468" s="8">
        <f t="shared" ca="1" si="456"/>
        <v>5.7602844211072264E-2</v>
      </c>
      <c r="H468" s="8">
        <f t="shared" ca="1" si="456"/>
        <v>5.9842629696276885E-2</v>
      </c>
      <c r="I468" s="8">
        <f t="shared" ca="1" si="456"/>
        <v>6.1339974810794597E-2</v>
      </c>
      <c r="J468" s="8">
        <f t="shared" ca="1" si="456"/>
        <v>6.2211726806053858E-2</v>
      </c>
      <c r="K468" s="8">
        <f t="shared" ca="1" si="456"/>
        <v>6.2134055803448142E-2</v>
      </c>
      <c r="L468" s="8">
        <f t="shared" ca="1" si="456"/>
        <v>6.0970632634536594E-2</v>
      </c>
      <c r="M468" s="8">
        <f t="shared" ca="1" si="456"/>
        <v>6.1514026264380996E-2</v>
      </c>
      <c r="N468" s="8">
        <f t="shared" ca="1" si="456"/>
        <v>6.362899291900953E-2</v>
      </c>
      <c r="O468" s="8">
        <f t="shared" ca="1" si="456"/>
        <v>6.3879178296081349E-2</v>
      </c>
    </row>
    <row r="469" spans="2:15">
      <c r="B469" s="3">
        <v>448</v>
      </c>
      <c r="C469" s="8">
        <f t="shared" si="393"/>
        <v>0.05</v>
      </c>
      <c r="D469" s="8">
        <f t="shared" ref="D469:O469" ca="1" si="457">C469+k*(theta-C469)*dt+vol*SQRT(dt*C469)*_xlfn.NORM.S.INV(RAND())</f>
        <v>5.1805501391517704E-2</v>
      </c>
      <c r="E469" s="8">
        <f t="shared" ca="1" si="457"/>
        <v>5.3102145217154381E-2</v>
      </c>
      <c r="F469" s="8">
        <f t="shared" ca="1" si="457"/>
        <v>5.5483490307237537E-2</v>
      </c>
      <c r="G469" s="8">
        <f t="shared" ca="1" si="457"/>
        <v>5.404216808005452E-2</v>
      </c>
      <c r="H469" s="8">
        <f t="shared" ca="1" si="457"/>
        <v>5.545372751567719E-2</v>
      </c>
      <c r="I469" s="8">
        <f t="shared" ca="1" si="457"/>
        <v>5.6949707444504054E-2</v>
      </c>
      <c r="J469" s="8">
        <f t="shared" ca="1" si="457"/>
        <v>5.6053677239456666E-2</v>
      </c>
      <c r="K469" s="8">
        <f t="shared" ca="1" si="457"/>
        <v>5.7832422415862159E-2</v>
      </c>
      <c r="L469" s="8">
        <f t="shared" ca="1" si="457"/>
        <v>5.9007954097800006E-2</v>
      </c>
      <c r="M469" s="8">
        <f t="shared" ca="1" si="457"/>
        <v>5.8999757233835298E-2</v>
      </c>
      <c r="N469" s="8">
        <f t="shared" ca="1" si="457"/>
        <v>6.066240581395841E-2</v>
      </c>
      <c r="O469" s="8">
        <f t="shared" ca="1" si="457"/>
        <v>6.3467379609677479E-2</v>
      </c>
    </row>
    <row r="470" spans="2:15">
      <c r="B470" s="3">
        <v>449</v>
      </c>
      <c r="C470" s="8">
        <f t="shared" ref="C470:C521" si="458">r0</f>
        <v>0.05</v>
      </c>
      <c r="D470" s="8">
        <f t="shared" ref="D470:O470" ca="1" si="459">C470+k*(theta-C470)*dt+vol*SQRT(dt*C470)*_xlfn.NORM.S.INV(RAND())</f>
        <v>5.3167155885429772E-2</v>
      </c>
      <c r="E470" s="8">
        <f t="shared" ca="1" si="459"/>
        <v>5.2343773099911582E-2</v>
      </c>
      <c r="F470" s="8">
        <f t="shared" ca="1" si="459"/>
        <v>5.3574259616232835E-2</v>
      </c>
      <c r="G470" s="8">
        <f t="shared" ca="1" si="459"/>
        <v>5.6373067951350879E-2</v>
      </c>
      <c r="H470" s="8">
        <f t="shared" ca="1" si="459"/>
        <v>5.7419861713241725E-2</v>
      </c>
      <c r="I470" s="8">
        <f t="shared" ca="1" si="459"/>
        <v>5.5625272621286956E-2</v>
      </c>
      <c r="J470" s="8">
        <f t="shared" ca="1" si="459"/>
        <v>5.7674535931700695E-2</v>
      </c>
      <c r="K470" s="8">
        <f t="shared" ca="1" si="459"/>
        <v>5.7613312225476616E-2</v>
      </c>
      <c r="L470" s="8">
        <f t="shared" ca="1" si="459"/>
        <v>5.6603495255157815E-2</v>
      </c>
      <c r="M470" s="8">
        <f t="shared" ca="1" si="459"/>
        <v>5.8782113640980037E-2</v>
      </c>
      <c r="N470" s="8">
        <f t="shared" ca="1" si="459"/>
        <v>6.0647414142689204E-2</v>
      </c>
      <c r="O470" s="8">
        <f t="shared" ca="1" si="459"/>
        <v>6.0758609288823394E-2</v>
      </c>
    </row>
    <row r="471" spans="2:15">
      <c r="B471" s="3">
        <v>450</v>
      </c>
      <c r="C471" s="8">
        <f t="shared" si="458"/>
        <v>0.05</v>
      </c>
      <c r="D471" s="8">
        <f t="shared" ref="D471:O471" ca="1" si="460">C471+k*(theta-C471)*dt+vol*SQRT(dt*C471)*_xlfn.NORM.S.INV(RAND())</f>
        <v>5.0862334860102332E-2</v>
      </c>
      <c r="E471" s="8">
        <f t="shared" ca="1" si="460"/>
        <v>5.1674799403296619E-2</v>
      </c>
      <c r="F471" s="8">
        <f t="shared" ca="1" si="460"/>
        <v>5.4732941953559128E-2</v>
      </c>
      <c r="G471" s="8">
        <f t="shared" ca="1" si="460"/>
        <v>5.7869293029633194E-2</v>
      </c>
      <c r="H471" s="8">
        <f t="shared" ca="1" si="460"/>
        <v>5.8969192095533751E-2</v>
      </c>
      <c r="I471" s="8">
        <f t="shared" ca="1" si="460"/>
        <v>5.8236448501504584E-2</v>
      </c>
      <c r="J471" s="8">
        <f t="shared" ca="1" si="460"/>
        <v>6.1814268997959942E-2</v>
      </c>
      <c r="K471" s="8">
        <f t="shared" ca="1" si="460"/>
        <v>6.2501225198635643E-2</v>
      </c>
      <c r="L471" s="8">
        <f t="shared" ca="1" si="460"/>
        <v>6.4264054290889785E-2</v>
      </c>
      <c r="M471" s="8">
        <f t="shared" ca="1" si="460"/>
        <v>6.5592110677160476E-2</v>
      </c>
      <c r="N471" s="8">
        <f t="shared" ca="1" si="460"/>
        <v>6.6317188676414868E-2</v>
      </c>
      <c r="O471" s="8">
        <f t="shared" ca="1" si="460"/>
        <v>6.8106558440964166E-2</v>
      </c>
    </row>
    <row r="472" spans="2:15">
      <c r="B472" s="3">
        <v>451</v>
      </c>
      <c r="C472" s="8">
        <f t="shared" si="458"/>
        <v>0.05</v>
      </c>
      <c r="D472" s="8">
        <f t="shared" ref="D472:O472" ca="1" si="461">C472+k*(theta-C472)*dt+vol*SQRT(dt*C472)*_xlfn.NORM.S.INV(RAND())</f>
        <v>5.0611175422045879E-2</v>
      </c>
      <c r="E472" s="8">
        <f t="shared" ca="1" si="461"/>
        <v>5.2139744402553125E-2</v>
      </c>
      <c r="F472" s="8">
        <f t="shared" ca="1" si="461"/>
        <v>5.4308848688849498E-2</v>
      </c>
      <c r="G472" s="8">
        <f t="shared" ca="1" si="461"/>
        <v>5.6691639389618069E-2</v>
      </c>
      <c r="H472" s="8">
        <f t="shared" ca="1" si="461"/>
        <v>5.7873245178482476E-2</v>
      </c>
      <c r="I472" s="8">
        <f t="shared" ca="1" si="461"/>
        <v>6.0095123061986541E-2</v>
      </c>
      <c r="J472" s="8">
        <f t="shared" ca="1" si="461"/>
        <v>6.2739600808365076E-2</v>
      </c>
      <c r="K472" s="8">
        <f t="shared" ca="1" si="461"/>
        <v>6.5030319828630639E-2</v>
      </c>
      <c r="L472" s="8">
        <f t="shared" ca="1" si="461"/>
        <v>6.6047715801798412E-2</v>
      </c>
      <c r="M472" s="8">
        <f t="shared" ca="1" si="461"/>
        <v>6.6123944540159435E-2</v>
      </c>
      <c r="N472" s="8">
        <f t="shared" ca="1" si="461"/>
        <v>6.7907227231090217E-2</v>
      </c>
      <c r="O472" s="8">
        <f t="shared" ca="1" si="461"/>
        <v>6.9872918839689629E-2</v>
      </c>
    </row>
    <row r="473" spans="2:15">
      <c r="B473" s="3">
        <v>452</v>
      </c>
      <c r="C473" s="8">
        <f t="shared" si="458"/>
        <v>0.05</v>
      </c>
      <c r="D473" s="8">
        <f t="shared" ref="D473:O473" ca="1" si="462">C473+k*(theta-C473)*dt+vol*SQRT(dt*C473)*_xlfn.NORM.S.INV(RAND())</f>
        <v>5.2543239865604455E-2</v>
      </c>
      <c r="E473" s="8">
        <f t="shared" ca="1" si="462"/>
        <v>5.4975242697552912E-2</v>
      </c>
      <c r="F473" s="8">
        <f t="shared" ca="1" si="462"/>
        <v>5.8244133604528507E-2</v>
      </c>
      <c r="G473" s="8">
        <f t="shared" ca="1" si="462"/>
        <v>5.9134739940517329E-2</v>
      </c>
      <c r="H473" s="8">
        <f t="shared" ca="1" si="462"/>
        <v>5.7562564067881218E-2</v>
      </c>
      <c r="I473" s="8">
        <f t="shared" ca="1" si="462"/>
        <v>5.9888726666207828E-2</v>
      </c>
      <c r="J473" s="8">
        <f t="shared" ca="1" si="462"/>
        <v>5.9543571334313816E-2</v>
      </c>
      <c r="K473" s="8">
        <f t="shared" ca="1" si="462"/>
        <v>6.2010199497358351E-2</v>
      </c>
      <c r="L473" s="8">
        <f t="shared" ca="1" si="462"/>
        <v>6.017027644997739E-2</v>
      </c>
      <c r="M473" s="8">
        <f t="shared" ca="1" si="462"/>
        <v>6.2817197804914376E-2</v>
      </c>
      <c r="N473" s="8">
        <f t="shared" ca="1" si="462"/>
        <v>6.0969602236759554E-2</v>
      </c>
      <c r="O473" s="8">
        <f t="shared" ca="1" si="462"/>
        <v>6.4046428391331262E-2</v>
      </c>
    </row>
    <row r="474" spans="2:15">
      <c r="B474" s="3">
        <v>453</v>
      </c>
      <c r="C474" s="8">
        <f t="shared" si="458"/>
        <v>0.05</v>
      </c>
      <c r="D474" s="8">
        <f t="shared" ref="D474:O474" ca="1" si="463">C474+k*(theta-C474)*dt+vol*SQRT(dt*C474)*_xlfn.NORM.S.INV(RAND())</f>
        <v>5.1954726612237087E-2</v>
      </c>
      <c r="E474" s="8">
        <f t="shared" ca="1" si="463"/>
        <v>5.3947234130869506E-2</v>
      </c>
      <c r="F474" s="8">
        <f t="shared" ca="1" si="463"/>
        <v>5.3386123369189749E-2</v>
      </c>
      <c r="G474" s="8">
        <f t="shared" ca="1" si="463"/>
        <v>5.3682165988511728E-2</v>
      </c>
      <c r="H474" s="8">
        <f t="shared" ca="1" si="463"/>
        <v>5.2402355417457559E-2</v>
      </c>
      <c r="I474" s="8">
        <f t="shared" ca="1" si="463"/>
        <v>5.3418946882098917E-2</v>
      </c>
      <c r="J474" s="8">
        <f t="shared" ca="1" si="463"/>
        <v>5.4345091612468671E-2</v>
      </c>
      <c r="K474" s="8">
        <f t="shared" ca="1" si="463"/>
        <v>5.623414501142722E-2</v>
      </c>
      <c r="L474" s="8">
        <f t="shared" ca="1" si="463"/>
        <v>5.4808901456314785E-2</v>
      </c>
      <c r="M474" s="8">
        <f t="shared" ca="1" si="463"/>
        <v>5.5254531816698274E-2</v>
      </c>
      <c r="N474" s="8">
        <f t="shared" ca="1" si="463"/>
        <v>5.6210259739220843E-2</v>
      </c>
      <c r="O474" s="8">
        <f t="shared" ca="1" si="463"/>
        <v>5.5170508832084929E-2</v>
      </c>
    </row>
    <row r="475" spans="2:15">
      <c r="B475" s="3">
        <v>454</v>
      </c>
      <c r="C475" s="8">
        <f t="shared" si="458"/>
        <v>0.05</v>
      </c>
      <c r="D475" s="8">
        <f t="shared" ref="D475:O475" ca="1" si="464">C475+k*(theta-C475)*dt+vol*SQRT(dt*C475)*_xlfn.NORM.S.INV(RAND())</f>
        <v>5.136488185010641E-2</v>
      </c>
      <c r="E475" s="8">
        <f t="shared" ca="1" si="464"/>
        <v>5.1194274898391519E-2</v>
      </c>
      <c r="F475" s="8">
        <f t="shared" ca="1" si="464"/>
        <v>5.3984257794523316E-2</v>
      </c>
      <c r="G475" s="8">
        <f t="shared" ca="1" si="464"/>
        <v>5.7768278705733374E-2</v>
      </c>
      <c r="H475" s="8">
        <f t="shared" ca="1" si="464"/>
        <v>5.9145859015747579E-2</v>
      </c>
      <c r="I475" s="8">
        <f t="shared" ca="1" si="464"/>
        <v>6.0995471500900594E-2</v>
      </c>
      <c r="J475" s="8">
        <f t="shared" ca="1" si="464"/>
        <v>6.0815941283287232E-2</v>
      </c>
      <c r="K475" s="8">
        <f t="shared" ca="1" si="464"/>
        <v>6.1210927077184216E-2</v>
      </c>
      <c r="L475" s="8">
        <f t="shared" ca="1" si="464"/>
        <v>6.034378054251241E-2</v>
      </c>
      <c r="M475" s="8">
        <f t="shared" ca="1" si="464"/>
        <v>6.2845505124520432E-2</v>
      </c>
      <c r="N475" s="8">
        <f t="shared" ca="1" si="464"/>
        <v>6.4345321395789037E-2</v>
      </c>
      <c r="O475" s="8">
        <f t="shared" ca="1" si="464"/>
        <v>6.6019979199579915E-2</v>
      </c>
    </row>
    <row r="476" spans="2:15">
      <c r="B476" s="3">
        <v>455</v>
      </c>
      <c r="C476" s="8">
        <f t="shared" si="458"/>
        <v>0.05</v>
      </c>
      <c r="D476" s="8">
        <f t="shared" ref="D476:O476" ca="1" si="465">C476+k*(theta-C476)*dt+vol*SQRT(dt*C476)*_xlfn.NORM.S.INV(RAND())</f>
        <v>5.1872409342619233E-2</v>
      </c>
      <c r="E476" s="8">
        <f t="shared" ca="1" si="465"/>
        <v>5.2560788542856021E-2</v>
      </c>
      <c r="F476" s="8">
        <f t="shared" ca="1" si="465"/>
        <v>5.5948260416172853E-2</v>
      </c>
      <c r="G476" s="8">
        <f t="shared" ca="1" si="465"/>
        <v>5.8211023409574195E-2</v>
      </c>
      <c r="H476" s="8">
        <f t="shared" ca="1" si="465"/>
        <v>5.8133232278301916E-2</v>
      </c>
      <c r="I476" s="8">
        <f t="shared" ca="1" si="465"/>
        <v>5.8610689801992688E-2</v>
      </c>
      <c r="J476" s="8">
        <f t="shared" ca="1" si="465"/>
        <v>6.1992111321376178E-2</v>
      </c>
      <c r="K476" s="8">
        <f t="shared" ca="1" si="465"/>
        <v>6.4015005928008586E-2</v>
      </c>
      <c r="L476" s="8">
        <f t="shared" ca="1" si="465"/>
        <v>6.4749448964300724E-2</v>
      </c>
      <c r="M476" s="8">
        <f t="shared" ca="1" si="465"/>
        <v>6.4416456167943309E-2</v>
      </c>
      <c r="N476" s="8">
        <f t="shared" ca="1" si="465"/>
        <v>6.860381770277145E-2</v>
      </c>
      <c r="O476" s="8">
        <f t="shared" ca="1" si="465"/>
        <v>6.8666376027917836E-2</v>
      </c>
    </row>
    <row r="477" spans="2:15">
      <c r="B477" s="3">
        <v>456</v>
      </c>
      <c r="C477" s="8">
        <f t="shared" si="458"/>
        <v>0.05</v>
      </c>
      <c r="D477" s="8">
        <f t="shared" ref="D477:O477" ca="1" si="466">C477+k*(theta-C477)*dt+vol*SQRT(dt*C477)*_xlfn.NORM.S.INV(RAND())</f>
        <v>5.2028978043614449E-2</v>
      </c>
      <c r="E477" s="8">
        <f t="shared" ca="1" si="466"/>
        <v>5.2170454684674086E-2</v>
      </c>
      <c r="F477" s="8">
        <f t="shared" ca="1" si="466"/>
        <v>5.4196568294524787E-2</v>
      </c>
      <c r="G477" s="8">
        <f t="shared" ca="1" si="466"/>
        <v>5.5671146051191431E-2</v>
      </c>
      <c r="H477" s="8">
        <f t="shared" ca="1" si="466"/>
        <v>5.8342711120556209E-2</v>
      </c>
      <c r="I477" s="8">
        <f t="shared" ca="1" si="466"/>
        <v>5.8035244185242939E-2</v>
      </c>
      <c r="J477" s="8">
        <f t="shared" ca="1" si="466"/>
        <v>5.9130178111338541E-2</v>
      </c>
      <c r="K477" s="8">
        <f t="shared" ca="1" si="466"/>
        <v>5.992478697493752E-2</v>
      </c>
      <c r="L477" s="8">
        <f t="shared" ca="1" si="466"/>
        <v>6.3057454036113333E-2</v>
      </c>
      <c r="M477" s="8">
        <f t="shared" ca="1" si="466"/>
        <v>6.4390926996034381E-2</v>
      </c>
      <c r="N477" s="8">
        <f t="shared" ca="1" si="466"/>
        <v>6.3939033751825858E-2</v>
      </c>
      <c r="O477" s="8">
        <f t="shared" ca="1" si="466"/>
        <v>6.4773749789394292E-2</v>
      </c>
    </row>
    <row r="478" spans="2:15">
      <c r="B478" s="3">
        <v>457</v>
      </c>
      <c r="C478" s="8">
        <f t="shared" si="458"/>
        <v>0.05</v>
      </c>
      <c r="D478" s="8">
        <f t="shared" ref="D478:O478" ca="1" si="467">C478+k*(theta-C478)*dt+vol*SQRT(dt*C478)*_xlfn.NORM.S.INV(RAND())</f>
        <v>5.287919143659487E-2</v>
      </c>
      <c r="E478" s="8">
        <f t="shared" ca="1" si="467"/>
        <v>5.5498071396882863E-2</v>
      </c>
      <c r="F478" s="8">
        <f t="shared" ca="1" si="467"/>
        <v>5.8380774015497551E-2</v>
      </c>
      <c r="G478" s="8">
        <f t="shared" ca="1" si="467"/>
        <v>5.8982993963427273E-2</v>
      </c>
      <c r="H478" s="8">
        <f t="shared" ca="1" si="467"/>
        <v>6.0078943373522931E-2</v>
      </c>
      <c r="I478" s="8">
        <f t="shared" ca="1" si="467"/>
        <v>6.2395244381571707E-2</v>
      </c>
      <c r="J478" s="8">
        <f t="shared" ca="1" si="467"/>
        <v>6.5226266793396687E-2</v>
      </c>
      <c r="K478" s="8">
        <f t="shared" ca="1" si="467"/>
        <v>6.5075734889192494E-2</v>
      </c>
      <c r="L478" s="8">
        <f t="shared" ca="1" si="467"/>
        <v>6.8718391003864079E-2</v>
      </c>
      <c r="M478" s="8">
        <f t="shared" ca="1" si="467"/>
        <v>6.941431249050678E-2</v>
      </c>
      <c r="N478" s="8">
        <f t="shared" ca="1" si="467"/>
        <v>6.8731740747636105E-2</v>
      </c>
      <c r="O478" s="8">
        <f t="shared" ca="1" si="467"/>
        <v>7.0001668811979917E-2</v>
      </c>
    </row>
    <row r="479" spans="2:15">
      <c r="B479" s="3">
        <v>458</v>
      </c>
      <c r="C479" s="8">
        <f t="shared" si="458"/>
        <v>0.05</v>
      </c>
      <c r="D479" s="8">
        <f t="shared" ref="D479:O479" ca="1" si="468">C479+k*(theta-C479)*dt+vol*SQRT(dt*C479)*_xlfn.NORM.S.INV(RAND())</f>
        <v>5.0370410056714908E-2</v>
      </c>
      <c r="E479" s="8">
        <f t="shared" ca="1" si="468"/>
        <v>5.1354633924620072E-2</v>
      </c>
      <c r="F479" s="8">
        <f t="shared" ca="1" si="468"/>
        <v>5.3489175839745988E-2</v>
      </c>
      <c r="G479" s="8">
        <f t="shared" ca="1" si="468"/>
        <v>5.361193457816673E-2</v>
      </c>
      <c r="H479" s="8">
        <f t="shared" ca="1" si="468"/>
        <v>5.8028736224164809E-2</v>
      </c>
      <c r="I479" s="8">
        <f t="shared" ca="1" si="468"/>
        <v>5.8521122404892066E-2</v>
      </c>
      <c r="J479" s="8">
        <f t="shared" ca="1" si="468"/>
        <v>5.8167030452377554E-2</v>
      </c>
      <c r="K479" s="8">
        <f t="shared" ca="1" si="468"/>
        <v>6.0003828509271766E-2</v>
      </c>
      <c r="L479" s="8">
        <f t="shared" ca="1" si="468"/>
        <v>5.978533517807489E-2</v>
      </c>
      <c r="M479" s="8">
        <f t="shared" ca="1" si="468"/>
        <v>6.0877174373924405E-2</v>
      </c>
      <c r="N479" s="8">
        <f t="shared" ca="1" si="468"/>
        <v>6.2825445598956225E-2</v>
      </c>
      <c r="O479" s="8">
        <f t="shared" ca="1" si="468"/>
        <v>6.2457582259125823E-2</v>
      </c>
    </row>
    <row r="480" spans="2:15">
      <c r="B480" s="3">
        <v>459</v>
      </c>
      <c r="C480" s="8">
        <f t="shared" si="458"/>
        <v>0.05</v>
      </c>
      <c r="D480" s="8">
        <f t="shared" ref="D480:O480" ca="1" si="469">C480+k*(theta-C480)*dt+vol*SQRT(dt*C480)*_xlfn.NORM.S.INV(RAND())</f>
        <v>4.8721549996625722E-2</v>
      </c>
      <c r="E480" s="8">
        <f t="shared" ca="1" si="469"/>
        <v>4.8616402978709852E-2</v>
      </c>
      <c r="F480" s="8">
        <f t="shared" ca="1" si="469"/>
        <v>4.9717293004497815E-2</v>
      </c>
      <c r="G480" s="8">
        <f t="shared" ca="1" si="469"/>
        <v>5.34897132811585E-2</v>
      </c>
      <c r="H480" s="8">
        <f t="shared" ca="1" si="469"/>
        <v>5.4213535089390114E-2</v>
      </c>
      <c r="I480" s="8">
        <f t="shared" ca="1" si="469"/>
        <v>5.6528548904498578E-2</v>
      </c>
      <c r="J480" s="8">
        <f t="shared" ca="1" si="469"/>
        <v>5.8065942077327119E-2</v>
      </c>
      <c r="K480" s="8">
        <f t="shared" ca="1" si="469"/>
        <v>5.9841111013463587E-2</v>
      </c>
      <c r="L480" s="8">
        <f t="shared" ca="1" si="469"/>
        <v>6.026139587476248E-2</v>
      </c>
      <c r="M480" s="8">
        <f t="shared" ca="1" si="469"/>
        <v>6.3141394610699203E-2</v>
      </c>
      <c r="N480" s="8">
        <f t="shared" ca="1" si="469"/>
        <v>6.3998268967140962E-2</v>
      </c>
      <c r="O480" s="8">
        <f t="shared" ca="1" si="469"/>
        <v>6.5531998102310737E-2</v>
      </c>
    </row>
    <row r="481" spans="2:15">
      <c r="B481" s="3">
        <v>460</v>
      </c>
      <c r="C481" s="8">
        <f t="shared" si="458"/>
        <v>0.05</v>
      </c>
      <c r="D481" s="8">
        <f t="shared" ref="D481:O481" ca="1" si="470">C481+k*(theta-C481)*dt+vol*SQRT(dt*C481)*_xlfn.NORM.S.INV(RAND())</f>
        <v>4.9607329443831748E-2</v>
      </c>
      <c r="E481" s="8">
        <f t="shared" ca="1" si="470"/>
        <v>5.2205125496674547E-2</v>
      </c>
      <c r="F481" s="8">
        <f t="shared" ca="1" si="470"/>
        <v>5.3756340301476205E-2</v>
      </c>
      <c r="G481" s="8">
        <f t="shared" ca="1" si="470"/>
        <v>5.5124263556113176E-2</v>
      </c>
      <c r="H481" s="8">
        <f t="shared" ca="1" si="470"/>
        <v>5.6561741023506022E-2</v>
      </c>
      <c r="I481" s="8">
        <f t="shared" ca="1" si="470"/>
        <v>5.5686049446330967E-2</v>
      </c>
      <c r="J481" s="8">
        <f t="shared" ca="1" si="470"/>
        <v>5.5965045801844519E-2</v>
      </c>
      <c r="K481" s="8">
        <f t="shared" ca="1" si="470"/>
        <v>5.5529815681334117E-2</v>
      </c>
      <c r="L481" s="8">
        <f t="shared" ca="1" si="470"/>
        <v>5.8102838864080117E-2</v>
      </c>
      <c r="M481" s="8">
        <f t="shared" ca="1" si="470"/>
        <v>5.7807941782198717E-2</v>
      </c>
      <c r="N481" s="8">
        <f t="shared" ca="1" si="470"/>
        <v>5.6209699552615143E-2</v>
      </c>
      <c r="O481" s="8">
        <f t="shared" ca="1" si="470"/>
        <v>5.6110254411228681E-2</v>
      </c>
    </row>
    <row r="482" spans="2:15">
      <c r="B482" s="3">
        <v>461</v>
      </c>
      <c r="C482" s="8">
        <f t="shared" si="458"/>
        <v>0.05</v>
      </c>
      <c r="D482" s="8">
        <f t="shared" ref="D482:O482" ca="1" si="471">C482+k*(theta-C482)*dt+vol*SQRT(dt*C482)*_xlfn.NORM.S.INV(RAND())</f>
        <v>5.2417196506933578E-2</v>
      </c>
      <c r="E482" s="8">
        <f t="shared" ca="1" si="471"/>
        <v>5.4002872355254292E-2</v>
      </c>
      <c r="F482" s="8">
        <f t="shared" ca="1" si="471"/>
        <v>5.5631226445670472E-2</v>
      </c>
      <c r="G482" s="8">
        <f t="shared" ca="1" si="471"/>
        <v>5.4996957672025837E-2</v>
      </c>
      <c r="H482" s="8">
        <f t="shared" ca="1" si="471"/>
        <v>5.7316796091000433E-2</v>
      </c>
      <c r="I482" s="8">
        <f t="shared" ca="1" si="471"/>
        <v>5.9273397867878982E-2</v>
      </c>
      <c r="J482" s="8">
        <f t="shared" ca="1" si="471"/>
        <v>5.820007569517071E-2</v>
      </c>
      <c r="K482" s="8">
        <f t="shared" ca="1" si="471"/>
        <v>6.1292635770707656E-2</v>
      </c>
      <c r="L482" s="8">
        <f t="shared" ca="1" si="471"/>
        <v>6.3072165521961154E-2</v>
      </c>
      <c r="M482" s="8">
        <f t="shared" ca="1" si="471"/>
        <v>6.5457787197648706E-2</v>
      </c>
      <c r="N482" s="8">
        <f t="shared" ca="1" si="471"/>
        <v>6.5958562254083086E-2</v>
      </c>
      <c r="O482" s="8">
        <f t="shared" ca="1" si="471"/>
        <v>6.8212909321980292E-2</v>
      </c>
    </row>
    <row r="483" spans="2:15">
      <c r="B483" s="3">
        <v>462</v>
      </c>
      <c r="C483" s="8">
        <f t="shared" si="458"/>
        <v>0.05</v>
      </c>
      <c r="D483" s="8">
        <f t="shared" ref="D483:O483" ca="1" si="472">C483+k*(theta-C483)*dt+vol*SQRT(dt*C483)*_xlfn.NORM.S.INV(RAND())</f>
        <v>5.1622441049705751E-2</v>
      </c>
      <c r="E483" s="8">
        <f t="shared" ca="1" si="472"/>
        <v>5.2648937670755319E-2</v>
      </c>
      <c r="F483" s="8">
        <f t="shared" ca="1" si="472"/>
        <v>5.3370503497823754E-2</v>
      </c>
      <c r="G483" s="8">
        <f t="shared" ca="1" si="472"/>
        <v>5.6854647692990985E-2</v>
      </c>
      <c r="H483" s="8">
        <f t="shared" ca="1" si="472"/>
        <v>5.8935735841421033E-2</v>
      </c>
      <c r="I483" s="8">
        <f t="shared" ca="1" si="472"/>
        <v>6.0870141456779381E-2</v>
      </c>
      <c r="J483" s="8">
        <f t="shared" ca="1" si="472"/>
        <v>6.1721146439051584E-2</v>
      </c>
      <c r="K483" s="8">
        <f t="shared" ca="1" si="472"/>
        <v>6.3359432345244437E-2</v>
      </c>
      <c r="L483" s="8">
        <f t="shared" ca="1" si="472"/>
        <v>6.4930287560903938E-2</v>
      </c>
      <c r="M483" s="8">
        <f t="shared" ca="1" si="472"/>
        <v>6.6439568377173408E-2</v>
      </c>
      <c r="N483" s="8">
        <f t="shared" ca="1" si="472"/>
        <v>6.6521656017508257E-2</v>
      </c>
      <c r="O483" s="8">
        <f t="shared" ca="1" si="472"/>
        <v>6.7747062036415298E-2</v>
      </c>
    </row>
    <row r="484" spans="2:15">
      <c r="B484" s="3">
        <v>463</v>
      </c>
      <c r="C484" s="8">
        <f t="shared" si="458"/>
        <v>0.05</v>
      </c>
      <c r="D484" s="8">
        <f t="shared" ref="D484:O484" ca="1" si="473">C484+k*(theta-C484)*dt+vol*SQRT(dt*C484)*_xlfn.NORM.S.INV(RAND())</f>
        <v>5.1069944613428994E-2</v>
      </c>
      <c r="E484" s="8">
        <f t="shared" ca="1" si="473"/>
        <v>5.3429713497344565E-2</v>
      </c>
      <c r="F484" s="8">
        <f t="shared" ca="1" si="473"/>
        <v>5.6439014300523047E-2</v>
      </c>
      <c r="G484" s="8">
        <f t="shared" ca="1" si="473"/>
        <v>5.793107942990787E-2</v>
      </c>
      <c r="H484" s="8">
        <f t="shared" ca="1" si="473"/>
        <v>5.8991619685748377E-2</v>
      </c>
      <c r="I484" s="8">
        <f t="shared" ca="1" si="473"/>
        <v>5.9586053537789584E-2</v>
      </c>
      <c r="J484" s="8">
        <f t="shared" ca="1" si="473"/>
        <v>6.079555597824033E-2</v>
      </c>
      <c r="K484" s="8">
        <f t="shared" ca="1" si="473"/>
        <v>5.9731950454928816E-2</v>
      </c>
      <c r="L484" s="8">
        <f t="shared" ca="1" si="473"/>
        <v>6.0445176044970524E-2</v>
      </c>
      <c r="M484" s="8">
        <f t="shared" ca="1" si="473"/>
        <v>5.9984947754580513E-2</v>
      </c>
      <c r="N484" s="8">
        <f t="shared" ca="1" si="473"/>
        <v>6.1317552515787022E-2</v>
      </c>
      <c r="O484" s="8">
        <f t="shared" ca="1" si="473"/>
        <v>6.4103172863577154E-2</v>
      </c>
    </row>
    <row r="485" spans="2:15">
      <c r="B485" s="3">
        <v>464</v>
      </c>
      <c r="C485" s="8">
        <f t="shared" si="458"/>
        <v>0.05</v>
      </c>
      <c r="D485" s="8">
        <f t="shared" ref="D485:O485" ca="1" si="474">C485+k*(theta-C485)*dt+vol*SQRT(dt*C485)*_xlfn.NORM.S.INV(RAND())</f>
        <v>5.1214729373863142E-2</v>
      </c>
      <c r="E485" s="8">
        <f t="shared" ca="1" si="474"/>
        <v>5.1023922451489852E-2</v>
      </c>
      <c r="F485" s="8">
        <f t="shared" ca="1" si="474"/>
        <v>5.3441905648393795E-2</v>
      </c>
      <c r="G485" s="8">
        <f t="shared" ca="1" si="474"/>
        <v>5.3611044562668256E-2</v>
      </c>
      <c r="H485" s="8">
        <f t="shared" ca="1" si="474"/>
        <v>5.5444196786802132E-2</v>
      </c>
      <c r="I485" s="8">
        <f t="shared" ca="1" si="474"/>
        <v>5.694986481554043E-2</v>
      </c>
      <c r="J485" s="8">
        <f t="shared" ca="1" si="474"/>
        <v>5.7746530471114041E-2</v>
      </c>
      <c r="K485" s="8">
        <f t="shared" ca="1" si="474"/>
        <v>5.7127909349436998E-2</v>
      </c>
      <c r="L485" s="8">
        <f t="shared" ca="1" si="474"/>
        <v>5.8424348531917095E-2</v>
      </c>
      <c r="M485" s="8">
        <f t="shared" ca="1" si="474"/>
        <v>6.0502455661332506E-2</v>
      </c>
      <c r="N485" s="8">
        <f t="shared" ca="1" si="474"/>
        <v>6.0027048177784682E-2</v>
      </c>
      <c r="O485" s="8">
        <f t="shared" ca="1" si="474"/>
        <v>5.9100180253153285E-2</v>
      </c>
    </row>
    <row r="486" spans="2:15">
      <c r="B486" s="3">
        <v>465</v>
      </c>
      <c r="C486" s="8">
        <f t="shared" si="458"/>
        <v>0.05</v>
      </c>
      <c r="D486" s="8">
        <f t="shared" ref="D486:O486" ca="1" si="475">C486+k*(theta-C486)*dt+vol*SQRT(dt*C486)*_xlfn.NORM.S.INV(RAND())</f>
        <v>4.9883589264912792E-2</v>
      </c>
      <c r="E486" s="8">
        <f t="shared" ca="1" si="475"/>
        <v>5.1636482443012929E-2</v>
      </c>
      <c r="F486" s="8">
        <f t="shared" ca="1" si="475"/>
        <v>5.2101458405354587E-2</v>
      </c>
      <c r="G486" s="8">
        <f t="shared" ca="1" si="475"/>
        <v>5.312267909186387E-2</v>
      </c>
      <c r="H486" s="8">
        <f t="shared" ca="1" si="475"/>
        <v>5.2921017671425111E-2</v>
      </c>
      <c r="I486" s="8">
        <f t="shared" ca="1" si="475"/>
        <v>5.3252968984743042E-2</v>
      </c>
      <c r="J486" s="8">
        <f t="shared" ca="1" si="475"/>
        <v>5.5796517146576609E-2</v>
      </c>
      <c r="K486" s="8">
        <f t="shared" ca="1" si="475"/>
        <v>5.4999715518064977E-2</v>
      </c>
      <c r="L486" s="8">
        <f t="shared" ca="1" si="475"/>
        <v>5.5785366456738483E-2</v>
      </c>
      <c r="M486" s="8">
        <f t="shared" ca="1" si="475"/>
        <v>5.6389100735189088E-2</v>
      </c>
      <c r="N486" s="8">
        <f t="shared" ca="1" si="475"/>
        <v>5.8768358692608574E-2</v>
      </c>
      <c r="O486" s="8">
        <f t="shared" ca="1" si="475"/>
        <v>6.0253026373406751E-2</v>
      </c>
    </row>
    <row r="487" spans="2:15">
      <c r="B487" s="3">
        <v>466</v>
      </c>
      <c r="C487" s="8">
        <f t="shared" si="458"/>
        <v>0.05</v>
      </c>
      <c r="D487" s="8">
        <f t="shared" ref="D487:O487" ca="1" si="476">C487+k*(theta-C487)*dt+vol*SQRT(dt*C487)*_xlfn.NORM.S.INV(RAND())</f>
        <v>4.9347542779826503E-2</v>
      </c>
      <c r="E487" s="8">
        <f t="shared" ca="1" si="476"/>
        <v>5.1832750580122156E-2</v>
      </c>
      <c r="F487" s="8">
        <f t="shared" ca="1" si="476"/>
        <v>5.3098414144958861E-2</v>
      </c>
      <c r="G487" s="8">
        <f t="shared" ca="1" si="476"/>
        <v>5.436469706085794E-2</v>
      </c>
      <c r="H487" s="8">
        <f t="shared" ca="1" si="476"/>
        <v>5.6257728947714546E-2</v>
      </c>
      <c r="I487" s="8">
        <f t="shared" ca="1" si="476"/>
        <v>5.747185359314616E-2</v>
      </c>
      <c r="J487" s="8">
        <f t="shared" ca="1" si="476"/>
        <v>5.7794069289419388E-2</v>
      </c>
      <c r="K487" s="8">
        <f t="shared" ca="1" si="476"/>
        <v>6.0511217289148829E-2</v>
      </c>
      <c r="L487" s="8">
        <f t="shared" ca="1" si="476"/>
        <v>6.0309483047628364E-2</v>
      </c>
      <c r="M487" s="8">
        <f t="shared" ca="1" si="476"/>
        <v>6.1014721108545972E-2</v>
      </c>
      <c r="N487" s="8">
        <f t="shared" ca="1" si="476"/>
        <v>6.1415915974055164E-2</v>
      </c>
      <c r="O487" s="8">
        <f t="shared" ca="1" si="476"/>
        <v>6.1950424346728587E-2</v>
      </c>
    </row>
    <row r="488" spans="2:15">
      <c r="B488" s="3">
        <v>467</v>
      </c>
      <c r="C488" s="8">
        <f t="shared" si="458"/>
        <v>0.05</v>
      </c>
      <c r="D488" s="8">
        <f t="shared" ref="D488:O488" ca="1" si="477">C488+k*(theta-C488)*dt+vol*SQRT(dt*C488)*_xlfn.NORM.S.INV(RAND())</f>
        <v>5.3486956866232484E-2</v>
      </c>
      <c r="E488" s="8">
        <f t="shared" ca="1" si="477"/>
        <v>5.4737362642501931E-2</v>
      </c>
      <c r="F488" s="8">
        <f t="shared" ca="1" si="477"/>
        <v>5.7145133708489379E-2</v>
      </c>
      <c r="G488" s="8">
        <f t="shared" ca="1" si="477"/>
        <v>5.7067437917762802E-2</v>
      </c>
      <c r="H488" s="8">
        <f t="shared" ca="1" si="477"/>
        <v>6.0087948892690764E-2</v>
      </c>
      <c r="I488" s="8">
        <f t="shared" ca="1" si="477"/>
        <v>6.1647650902934156E-2</v>
      </c>
      <c r="J488" s="8">
        <f t="shared" ca="1" si="477"/>
        <v>6.1265936125711552E-2</v>
      </c>
      <c r="K488" s="8">
        <f t="shared" ca="1" si="477"/>
        <v>6.2473167244414228E-2</v>
      </c>
      <c r="L488" s="8">
        <f t="shared" ca="1" si="477"/>
        <v>6.1790474412713466E-2</v>
      </c>
      <c r="M488" s="8">
        <f t="shared" ca="1" si="477"/>
        <v>6.2797485049728596E-2</v>
      </c>
      <c r="N488" s="8">
        <f t="shared" ca="1" si="477"/>
        <v>6.3241309919688043E-2</v>
      </c>
      <c r="O488" s="8">
        <f t="shared" ca="1" si="477"/>
        <v>6.4668574928004527E-2</v>
      </c>
    </row>
    <row r="489" spans="2:15">
      <c r="B489" s="3">
        <v>468</v>
      </c>
      <c r="C489" s="8">
        <f t="shared" si="458"/>
        <v>0.05</v>
      </c>
      <c r="D489" s="8">
        <f t="shared" ref="D489:O489" ca="1" si="478">C489+k*(theta-C489)*dt+vol*SQRT(dt*C489)*_xlfn.NORM.S.INV(RAND())</f>
        <v>5.0927772138778644E-2</v>
      </c>
      <c r="E489" s="8">
        <f t="shared" ca="1" si="478"/>
        <v>5.2397031347484892E-2</v>
      </c>
      <c r="F489" s="8">
        <f t="shared" ca="1" si="478"/>
        <v>5.4389411573056358E-2</v>
      </c>
      <c r="G489" s="8">
        <f t="shared" ca="1" si="478"/>
        <v>5.5794483742895314E-2</v>
      </c>
      <c r="H489" s="8">
        <f t="shared" ca="1" si="478"/>
        <v>5.8143558479083167E-2</v>
      </c>
      <c r="I489" s="8">
        <f t="shared" ca="1" si="478"/>
        <v>6.1399455866493632E-2</v>
      </c>
      <c r="J489" s="8">
        <f t="shared" ca="1" si="478"/>
        <v>6.1713552047143558E-2</v>
      </c>
      <c r="K489" s="8">
        <f t="shared" ca="1" si="478"/>
        <v>6.2715135494695901E-2</v>
      </c>
      <c r="L489" s="8">
        <f t="shared" ca="1" si="478"/>
        <v>6.3180462162341355E-2</v>
      </c>
      <c r="M489" s="8">
        <f t="shared" ca="1" si="478"/>
        <v>6.5799431036077757E-2</v>
      </c>
      <c r="N489" s="8">
        <f t="shared" ca="1" si="478"/>
        <v>6.5852650375084906E-2</v>
      </c>
      <c r="O489" s="8">
        <f t="shared" ca="1" si="478"/>
        <v>6.5440127301154186E-2</v>
      </c>
    </row>
    <row r="490" spans="2:15">
      <c r="B490" s="3">
        <v>469</v>
      </c>
      <c r="C490" s="8">
        <f t="shared" si="458"/>
        <v>0.05</v>
      </c>
      <c r="D490" s="8">
        <f t="shared" ref="D490:O490" ca="1" si="479">C490+k*(theta-C490)*dt+vol*SQRT(dt*C490)*_xlfn.NORM.S.INV(RAND())</f>
        <v>5.1048204732524784E-2</v>
      </c>
      <c r="E490" s="8">
        <f t="shared" ca="1" si="479"/>
        <v>5.2071696394550122E-2</v>
      </c>
      <c r="F490" s="8">
        <f t="shared" ca="1" si="479"/>
        <v>5.0996108915365941E-2</v>
      </c>
      <c r="G490" s="8">
        <f t="shared" ca="1" si="479"/>
        <v>5.1624065471909619E-2</v>
      </c>
      <c r="H490" s="8">
        <f t="shared" ca="1" si="479"/>
        <v>5.3991029291192046E-2</v>
      </c>
      <c r="I490" s="8">
        <f t="shared" ca="1" si="479"/>
        <v>5.3141345331657264E-2</v>
      </c>
      <c r="J490" s="8">
        <f t="shared" ca="1" si="479"/>
        <v>5.4024336473366547E-2</v>
      </c>
      <c r="K490" s="8">
        <f t="shared" ca="1" si="479"/>
        <v>5.5358249282615811E-2</v>
      </c>
      <c r="L490" s="8">
        <f t="shared" ca="1" si="479"/>
        <v>5.7362727660717122E-2</v>
      </c>
      <c r="M490" s="8">
        <f t="shared" ca="1" si="479"/>
        <v>5.7011253810420236E-2</v>
      </c>
      <c r="N490" s="8">
        <f t="shared" ca="1" si="479"/>
        <v>5.8445335366932853E-2</v>
      </c>
      <c r="O490" s="8">
        <f t="shared" ca="1" si="479"/>
        <v>6.0379681428707609E-2</v>
      </c>
    </row>
    <row r="491" spans="2:15">
      <c r="B491" s="3">
        <v>470</v>
      </c>
      <c r="C491" s="8">
        <f t="shared" si="458"/>
        <v>0.05</v>
      </c>
      <c r="D491" s="8">
        <f t="shared" ref="D491:O491" ca="1" si="480">C491+k*(theta-C491)*dt+vol*SQRT(dt*C491)*_xlfn.NORM.S.INV(RAND())</f>
        <v>5.1281918148455882E-2</v>
      </c>
      <c r="E491" s="8">
        <f t="shared" ca="1" si="480"/>
        <v>5.1491277545244594E-2</v>
      </c>
      <c r="F491" s="8">
        <f t="shared" ca="1" si="480"/>
        <v>5.2604150991747582E-2</v>
      </c>
      <c r="G491" s="8">
        <f t="shared" ca="1" si="480"/>
        <v>5.2368867112287006E-2</v>
      </c>
      <c r="H491" s="8">
        <f t="shared" ca="1" si="480"/>
        <v>5.3352104874415447E-2</v>
      </c>
      <c r="I491" s="8">
        <f t="shared" ca="1" si="480"/>
        <v>5.4453092494416343E-2</v>
      </c>
      <c r="J491" s="8">
        <f t="shared" ca="1" si="480"/>
        <v>5.4025820128440191E-2</v>
      </c>
      <c r="K491" s="8">
        <f t="shared" ca="1" si="480"/>
        <v>5.5702022762202513E-2</v>
      </c>
      <c r="L491" s="8">
        <f t="shared" ca="1" si="480"/>
        <v>5.6419931174233336E-2</v>
      </c>
      <c r="M491" s="8">
        <f t="shared" ca="1" si="480"/>
        <v>5.5666330209952736E-2</v>
      </c>
      <c r="N491" s="8">
        <f t="shared" ca="1" si="480"/>
        <v>5.6183016712844015E-2</v>
      </c>
      <c r="O491" s="8">
        <f t="shared" ca="1" si="480"/>
        <v>5.7414166023815515E-2</v>
      </c>
    </row>
    <row r="492" spans="2:15">
      <c r="B492" s="3">
        <v>471</v>
      </c>
      <c r="C492" s="8">
        <f t="shared" si="458"/>
        <v>0.05</v>
      </c>
      <c r="D492" s="8">
        <f t="shared" ref="D492:O492" ca="1" si="481">C492+k*(theta-C492)*dt+vol*SQRT(dt*C492)*_xlfn.NORM.S.INV(RAND())</f>
        <v>5.2207202458522013E-2</v>
      </c>
      <c r="E492" s="8">
        <f t="shared" ca="1" si="481"/>
        <v>5.472145581354413E-2</v>
      </c>
      <c r="F492" s="8">
        <f t="shared" ca="1" si="481"/>
        <v>5.7670570325488252E-2</v>
      </c>
      <c r="G492" s="8">
        <f t="shared" ca="1" si="481"/>
        <v>5.8640859599728846E-2</v>
      </c>
      <c r="H492" s="8">
        <f t="shared" ca="1" si="481"/>
        <v>5.9846840261468817E-2</v>
      </c>
      <c r="I492" s="8">
        <f t="shared" ca="1" si="481"/>
        <v>6.0823045670105262E-2</v>
      </c>
      <c r="J492" s="8">
        <f t="shared" ca="1" si="481"/>
        <v>6.1995032273835751E-2</v>
      </c>
      <c r="K492" s="8">
        <f t="shared" ca="1" si="481"/>
        <v>6.3461732848601071E-2</v>
      </c>
      <c r="L492" s="8">
        <f t="shared" ca="1" si="481"/>
        <v>6.6195613925486979E-2</v>
      </c>
      <c r="M492" s="8">
        <f t="shared" ca="1" si="481"/>
        <v>6.667482096624619E-2</v>
      </c>
      <c r="N492" s="8">
        <f t="shared" ca="1" si="481"/>
        <v>6.8406674478407314E-2</v>
      </c>
      <c r="O492" s="8">
        <f t="shared" ca="1" si="481"/>
        <v>6.9154339518671643E-2</v>
      </c>
    </row>
    <row r="493" spans="2:15">
      <c r="B493" s="3">
        <v>472</v>
      </c>
      <c r="C493" s="8">
        <f t="shared" si="458"/>
        <v>0.05</v>
      </c>
      <c r="D493" s="8">
        <f t="shared" ref="D493:O493" ca="1" si="482">C493+k*(theta-C493)*dt+vol*SQRT(dt*C493)*_xlfn.NORM.S.INV(RAND())</f>
        <v>5.0041277442697936E-2</v>
      </c>
      <c r="E493" s="8">
        <f t="shared" ca="1" si="482"/>
        <v>5.0873211771709059E-2</v>
      </c>
      <c r="F493" s="8">
        <f t="shared" ca="1" si="482"/>
        <v>5.2508987672306523E-2</v>
      </c>
      <c r="G493" s="8">
        <f t="shared" ca="1" si="482"/>
        <v>5.3993875309954968E-2</v>
      </c>
      <c r="H493" s="8">
        <f t="shared" ca="1" si="482"/>
        <v>5.4212817737600602E-2</v>
      </c>
      <c r="I493" s="8">
        <f t="shared" ca="1" si="482"/>
        <v>5.4180219918847569E-2</v>
      </c>
      <c r="J493" s="8">
        <f t="shared" ca="1" si="482"/>
        <v>5.5876677335688366E-2</v>
      </c>
      <c r="K493" s="8">
        <f t="shared" ca="1" si="482"/>
        <v>5.5801766953395927E-2</v>
      </c>
      <c r="L493" s="8">
        <f t="shared" ca="1" si="482"/>
        <v>5.8374037436673951E-2</v>
      </c>
      <c r="M493" s="8">
        <f t="shared" ca="1" si="482"/>
        <v>5.9211449262061802E-2</v>
      </c>
      <c r="N493" s="8">
        <f t="shared" ca="1" si="482"/>
        <v>6.1172201554503813E-2</v>
      </c>
      <c r="O493" s="8">
        <f t="shared" ca="1" si="482"/>
        <v>6.154570846141301E-2</v>
      </c>
    </row>
    <row r="494" spans="2:15">
      <c r="B494" s="3">
        <v>473</v>
      </c>
      <c r="C494" s="8">
        <f t="shared" si="458"/>
        <v>0.05</v>
      </c>
      <c r="D494" s="8">
        <f t="shared" ref="D494:O494" ca="1" si="483">C494+k*(theta-C494)*dt+vol*SQRT(dt*C494)*_xlfn.NORM.S.INV(RAND())</f>
        <v>5.0389609984234793E-2</v>
      </c>
      <c r="E494" s="8">
        <f t="shared" ca="1" si="483"/>
        <v>5.1943836985895227E-2</v>
      </c>
      <c r="F494" s="8">
        <f t="shared" ca="1" si="483"/>
        <v>5.4288081471962811E-2</v>
      </c>
      <c r="G494" s="8">
        <f t="shared" ca="1" si="483"/>
        <v>5.47351300851859E-2</v>
      </c>
      <c r="H494" s="8">
        <f t="shared" ca="1" si="483"/>
        <v>5.8369321521129607E-2</v>
      </c>
      <c r="I494" s="8">
        <f t="shared" ca="1" si="483"/>
        <v>6.1173161340389408E-2</v>
      </c>
      <c r="J494" s="8">
        <f t="shared" ca="1" si="483"/>
        <v>6.1818886610722226E-2</v>
      </c>
      <c r="K494" s="8">
        <f t="shared" ca="1" si="483"/>
        <v>6.1295883800145737E-2</v>
      </c>
      <c r="L494" s="8">
        <f t="shared" ca="1" si="483"/>
        <v>6.2601180438001836E-2</v>
      </c>
      <c r="M494" s="8">
        <f t="shared" ca="1" si="483"/>
        <v>6.4511918062446175E-2</v>
      </c>
      <c r="N494" s="8">
        <f t="shared" ca="1" si="483"/>
        <v>6.5219746420927524E-2</v>
      </c>
      <c r="O494" s="8">
        <f t="shared" ca="1" si="483"/>
        <v>6.5430450084599898E-2</v>
      </c>
    </row>
    <row r="495" spans="2:15">
      <c r="B495" s="3">
        <v>474</v>
      </c>
      <c r="C495" s="8">
        <f t="shared" si="458"/>
        <v>0.05</v>
      </c>
      <c r="D495" s="8">
        <f t="shared" ref="D495:O495" ca="1" si="484">C495+k*(theta-C495)*dt+vol*SQRT(dt*C495)*_xlfn.NORM.S.INV(RAND())</f>
        <v>5.173447136860302E-2</v>
      </c>
      <c r="E495" s="8">
        <f t="shared" ca="1" si="484"/>
        <v>5.3823414487356322E-2</v>
      </c>
      <c r="F495" s="8">
        <f t="shared" ca="1" si="484"/>
        <v>5.2994939217011476E-2</v>
      </c>
      <c r="G495" s="8">
        <f t="shared" ca="1" si="484"/>
        <v>5.2491478976441415E-2</v>
      </c>
      <c r="H495" s="8">
        <f t="shared" ca="1" si="484"/>
        <v>5.365026420089164E-2</v>
      </c>
      <c r="I495" s="8">
        <f t="shared" ca="1" si="484"/>
        <v>5.3008720663844516E-2</v>
      </c>
      <c r="J495" s="8">
        <f t="shared" ca="1" si="484"/>
        <v>5.5759325902242501E-2</v>
      </c>
      <c r="K495" s="8">
        <f t="shared" ca="1" si="484"/>
        <v>5.6365078698825628E-2</v>
      </c>
      <c r="L495" s="8">
        <f t="shared" ca="1" si="484"/>
        <v>5.9112420764708462E-2</v>
      </c>
      <c r="M495" s="8">
        <f t="shared" ca="1" si="484"/>
        <v>6.0785094649800267E-2</v>
      </c>
      <c r="N495" s="8">
        <f t="shared" ca="1" si="484"/>
        <v>6.1843559100447726E-2</v>
      </c>
      <c r="O495" s="8">
        <f t="shared" ca="1" si="484"/>
        <v>6.2518857498116115E-2</v>
      </c>
    </row>
    <row r="496" spans="2:15">
      <c r="B496" s="3">
        <v>475</v>
      </c>
      <c r="C496" s="8">
        <f t="shared" si="458"/>
        <v>0.05</v>
      </c>
      <c r="D496" s="8">
        <f t="shared" ref="D496:O496" ca="1" si="485">C496+k*(theta-C496)*dt+vol*SQRT(dt*C496)*_xlfn.NORM.S.INV(RAND())</f>
        <v>5.2350266801931736E-2</v>
      </c>
      <c r="E496" s="8">
        <f t="shared" ca="1" si="485"/>
        <v>5.5229519392327869E-2</v>
      </c>
      <c r="F496" s="8">
        <f t="shared" ca="1" si="485"/>
        <v>5.5003804909730919E-2</v>
      </c>
      <c r="G496" s="8">
        <f t="shared" ca="1" si="485"/>
        <v>5.7624058168808223E-2</v>
      </c>
      <c r="H496" s="8">
        <f t="shared" ca="1" si="485"/>
        <v>5.8628963415833103E-2</v>
      </c>
      <c r="I496" s="8">
        <f t="shared" ca="1" si="485"/>
        <v>5.8649392737532176E-2</v>
      </c>
      <c r="J496" s="8">
        <f t="shared" ca="1" si="485"/>
        <v>5.8637512723994041E-2</v>
      </c>
      <c r="K496" s="8">
        <f t="shared" ca="1" si="485"/>
        <v>5.8065639402176551E-2</v>
      </c>
      <c r="L496" s="8">
        <f t="shared" ca="1" si="485"/>
        <v>5.8132248774595351E-2</v>
      </c>
      <c r="M496" s="8">
        <f t="shared" ca="1" si="485"/>
        <v>5.6850038733466751E-2</v>
      </c>
      <c r="N496" s="8">
        <f t="shared" ca="1" si="485"/>
        <v>5.6078836983592416E-2</v>
      </c>
      <c r="O496" s="8">
        <f t="shared" ca="1" si="485"/>
        <v>5.7396714237645016E-2</v>
      </c>
    </row>
    <row r="497" spans="2:15">
      <c r="B497" s="3">
        <v>476</v>
      </c>
      <c r="C497" s="8">
        <f t="shared" si="458"/>
        <v>0.05</v>
      </c>
      <c r="D497" s="8">
        <f t="shared" ref="D497:O497" ca="1" si="486">C497+k*(theta-C497)*dt+vol*SQRT(dt*C497)*_xlfn.NORM.S.INV(RAND())</f>
        <v>5.1434772341915583E-2</v>
      </c>
      <c r="E497" s="8">
        <f t="shared" ca="1" si="486"/>
        <v>5.1177434607203136E-2</v>
      </c>
      <c r="F497" s="8">
        <f t="shared" ca="1" si="486"/>
        <v>5.3030106254491303E-2</v>
      </c>
      <c r="G497" s="8">
        <f t="shared" ca="1" si="486"/>
        <v>5.5183350333039512E-2</v>
      </c>
      <c r="H497" s="8">
        <f t="shared" ca="1" si="486"/>
        <v>5.6903659391562791E-2</v>
      </c>
      <c r="I497" s="8">
        <f t="shared" ca="1" si="486"/>
        <v>5.7862379592048221E-2</v>
      </c>
      <c r="J497" s="8">
        <f t="shared" ca="1" si="486"/>
        <v>5.9596913258224929E-2</v>
      </c>
      <c r="K497" s="8">
        <f t="shared" ca="1" si="486"/>
        <v>5.9423684778775299E-2</v>
      </c>
      <c r="L497" s="8">
        <f t="shared" ca="1" si="486"/>
        <v>6.2732037508473476E-2</v>
      </c>
      <c r="M497" s="8">
        <f t="shared" ca="1" si="486"/>
        <v>6.2572415548033167E-2</v>
      </c>
      <c r="N497" s="8">
        <f t="shared" ca="1" si="486"/>
        <v>6.4145414818497032E-2</v>
      </c>
      <c r="O497" s="8">
        <f t="shared" ca="1" si="486"/>
        <v>6.576990173915917E-2</v>
      </c>
    </row>
    <row r="498" spans="2:15">
      <c r="B498" s="3">
        <v>477</v>
      </c>
      <c r="C498" s="8">
        <f t="shared" si="458"/>
        <v>0.05</v>
      </c>
      <c r="D498" s="8">
        <f t="shared" ref="D498:O498" ca="1" si="487">C498+k*(theta-C498)*dt+vol*SQRT(dt*C498)*_xlfn.NORM.S.INV(RAND())</f>
        <v>5.0691474849741243E-2</v>
      </c>
      <c r="E498" s="8">
        <f t="shared" ca="1" si="487"/>
        <v>4.9159403020274321E-2</v>
      </c>
      <c r="F498" s="8">
        <f t="shared" ca="1" si="487"/>
        <v>4.880504209175171E-2</v>
      </c>
      <c r="G498" s="8">
        <f t="shared" ca="1" si="487"/>
        <v>4.8867840139955689E-2</v>
      </c>
      <c r="H498" s="8">
        <f t="shared" ca="1" si="487"/>
        <v>4.834419522985299E-2</v>
      </c>
      <c r="I498" s="8">
        <f t="shared" ca="1" si="487"/>
        <v>4.9771879296718211E-2</v>
      </c>
      <c r="J498" s="8">
        <f t="shared" ca="1" si="487"/>
        <v>5.1479083077256113E-2</v>
      </c>
      <c r="K498" s="8">
        <f t="shared" ca="1" si="487"/>
        <v>5.2008190653347351E-2</v>
      </c>
      <c r="L498" s="8">
        <f t="shared" ca="1" si="487"/>
        <v>5.207152022755808E-2</v>
      </c>
      <c r="M498" s="8">
        <f t="shared" ca="1" si="487"/>
        <v>5.2735490208178255E-2</v>
      </c>
      <c r="N498" s="8">
        <f t="shared" ca="1" si="487"/>
        <v>5.5794448791144029E-2</v>
      </c>
      <c r="O498" s="8">
        <f t="shared" ca="1" si="487"/>
        <v>5.818405487409474E-2</v>
      </c>
    </row>
    <row r="499" spans="2:15">
      <c r="B499" s="3">
        <v>478</v>
      </c>
      <c r="C499" s="8">
        <f t="shared" si="458"/>
        <v>0.05</v>
      </c>
      <c r="D499" s="8">
        <f t="shared" ref="D499:O499" ca="1" si="488">C499+k*(theta-C499)*dt+vol*SQRT(dt*C499)*_xlfn.NORM.S.INV(RAND())</f>
        <v>5.1771473807425535E-2</v>
      </c>
      <c r="E499" s="8">
        <f t="shared" ca="1" si="488"/>
        <v>5.3967404524172112E-2</v>
      </c>
      <c r="F499" s="8">
        <f t="shared" ca="1" si="488"/>
        <v>5.343012566968864E-2</v>
      </c>
      <c r="G499" s="8">
        <f t="shared" ca="1" si="488"/>
        <v>5.5986324754939823E-2</v>
      </c>
      <c r="H499" s="8">
        <f t="shared" ca="1" si="488"/>
        <v>5.6743563985037687E-2</v>
      </c>
      <c r="I499" s="8">
        <f t="shared" ca="1" si="488"/>
        <v>6.1074732266349553E-2</v>
      </c>
      <c r="J499" s="8">
        <f t="shared" ca="1" si="488"/>
        <v>6.1603441977138677E-2</v>
      </c>
      <c r="K499" s="8">
        <f t="shared" ca="1" si="488"/>
        <v>6.2117637630768642E-2</v>
      </c>
      <c r="L499" s="8">
        <f t="shared" ca="1" si="488"/>
        <v>6.0155450174754897E-2</v>
      </c>
      <c r="M499" s="8">
        <f t="shared" ca="1" si="488"/>
        <v>6.1909515753584922E-2</v>
      </c>
      <c r="N499" s="8">
        <f t="shared" ca="1" si="488"/>
        <v>6.3666250871329266E-2</v>
      </c>
      <c r="O499" s="8">
        <f t="shared" ca="1" si="488"/>
        <v>6.4618194827945813E-2</v>
      </c>
    </row>
    <row r="500" spans="2:15">
      <c r="B500" s="3">
        <v>479</v>
      </c>
      <c r="C500" s="8">
        <f t="shared" si="458"/>
        <v>0.05</v>
      </c>
      <c r="D500" s="8">
        <f t="shared" ref="D500:O500" ca="1" si="489">C500+k*(theta-C500)*dt+vol*SQRT(dt*C500)*_xlfn.NORM.S.INV(RAND())</f>
        <v>5.0885340641898029E-2</v>
      </c>
      <c r="E500" s="8">
        <f t="shared" ca="1" si="489"/>
        <v>4.9860766127145101E-2</v>
      </c>
      <c r="F500" s="8">
        <f t="shared" ca="1" si="489"/>
        <v>5.084224686526858E-2</v>
      </c>
      <c r="G500" s="8">
        <f t="shared" ca="1" si="489"/>
        <v>5.1884632583709567E-2</v>
      </c>
      <c r="H500" s="8">
        <f t="shared" ca="1" si="489"/>
        <v>5.2735120888892754E-2</v>
      </c>
      <c r="I500" s="8">
        <f t="shared" ca="1" si="489"/>
        <v>5.3398061642043505E-2</v>
      </c>
      <c r="J500" s="8">
        <f t="shared" ca="1" si="489"/>
        <v>5.4448303762957312E-2</v>
      </c>
      <c r="K500" s="8">
        <f t="shared" ca="1" si="489"/>
        <v>5.4658368610577927E-2</v>
      </c>
      <c r="L500" s="8">
        <f t="shared" ca="1" si="489"/>
        <v>5.722081845102777E-2</v>
      </c>
      <c r="M500" s="8">
        <f t="shared" ca="1" si="489"/>
        <v>5.8160828057705574E-2</v>
      </c>
      <c r="N500" s="8">
        <f t="shared" ca="1" si="489"/>
        <v>5.989708612082692E-2</v>
      </c>
      <c r="O500" s="8">
        <f t="shared" ca="1" si="489"/>
        <v>5.9056820771453064E-2</v>
      </c>
    </row>
    <row r="501" spans="2:15">
      <c r="B501" s="3">
        <v>480</v>
      </c>
      <c r="C501" s="8">
        <f t="shared" si="458"/>
        <v>0.05</v>
      </c>
      <c r="D501" s="8">
        <f t="shared" ref="D501:O501" ca="1" si="490">C501+k*(theta-C501)*dt+vol*SQRT(dt*C501)*_xlfn.NORM.S.INV(RAND())</f>
        <v>5.0812419020359705E-2</v>
      </c>
      <c r="E501" s="8">
        <f t="shared" ca="1" si="490"/>
        <v>5.2503662750540671E-2</v>
      </c>
      <c r="F501" s="8">
        <f t="shared" ca="1" si="490"/>
        <v>5.3584535134471131E-2</v>
      </c>
      <c r="G501" s="8">
        <f t="shared" ca="1" si="490"/>
        <v>5.6735981429072213E-2</v>
      </c>
      <c r="H501" s="8">
        <f t="shared" ca="1" si="490"/>
        <v>5.8645044109573712E-2</v>
      </c>
      <c r="I501" s="8">
        <f t="shared" ca="1" si="490"/>
        <v>5.9014180323617542E-2</v>
      </c>
      <c r="J501" s="8">
        <f t="shared" ca="1" si="490"/>
        <v>5.8150728075672675E-2</v>
      </c>
      <c r="K501" s="8">
        <f t="shared" ca="1" si="490"/>
        <v>5.9551882688162125E-2</v>
      </c>
      <c r="L501" s="8">
        <f t="shared" ca="1" si="490"/>
        <v>5.9131794367943677E-2</v>
      </c>
      <c r="M501" s="8">
        <f t="shared" ca="1" si="490"/>
        <v>6.0221890429806461E-2</v>
      </c>
      <c r="N501" s="8">
        <f t="shared" ca="1" si="490"/>
        <v>5.937730221957653E-2</v>
      </c>
      <c r="O501" s="8">
        <f t="shared" ca="1" si="490"/>
        <v>5.9966185100450209E-2</v>
      </c>
    </row>
    <row r="502" spans="2:15">
      <c r="B502" s="3">
        <v>481</v>
      </c>
      <c r="C502" s="8">
        <f t="shared" si="458"/>
        <v>0.05</v>
      </c>
      <c r="D502" s="8">
        <f t="shared" ref="D502:O502" ca="1" si="491">C502+k*(theta-C502)*dt+vol*SQRT(dt*C502)*_xlfn.NORM.S.INV(RAND())</f>
        <v>5.0824419934289634E-2</v>
      </c>
      <c r="E502" s="8">
        <f t="shared" ca="1" si="491"/>
        <v>5.2101610168557813E-2</v>
      </c>
      <c r="F502" s="8">
        <f t="shared" ca="1" si="491"/>
        <v>5.2504630744641602E-2</v>
      </c>
      <c r="G502" s="8">
        <f t="shared" ca="1" si="491"/>
        <v>5.0300845293050109E-2</v>
      </c>
      <c r="H502" s="8">
        <f t="shared" ca="1" si="491"/>
        <v>5.0205667929560813E-2</v>
      </c>
      <c r="I502" s="8">
        <f t="shared" ca="1" si="491"/>
        <v>5.10043464808312E-2</v>
      </c>
      <c r="J502" s="8">
        <f t="shared" ca="1" si="491"/>
        <v>5.2062462226003706E-2</v>
      </c>
      <c r="K502" s="8">
        <f t="shared" ca="1" si="491"/>
        <v>5.2648417719316519E-2</v>
      </c>
      <c r="L502" s="8">
        <f t="shared" ca="1" si="491"/>
        <v>5.3651987381404455E-2</v>
      </c>
      <c r="M502" s="8">
        <f t="shared" ca="1" si="491"/>
        <v>5.2859694149190749E-2</v>
      </c>
      <c r="N502" s="8">
        <f t="shared" ca="1" si="491"/>
        <v>5.4682007909425866E-2</v>
      </c>
      <c r="O502" s="8">
        <f t="shared" ca="1" si="491"/>
        <v>5.5212912415893468E-2</v>
      </c>
    </row>
    <row r="503" spans="2:15">
      <c r="B503" s="3">
        <v>482</v>
      </c>
      <c r="C503" s="8">
        <f t="shared" si="458"/>
        <v>0.05</v>
      </c>
      <c r="D503" s="8">
        <f t="shared" ref="D503:O503" ca="1" si="492">C503+k*(theta-C503)*dt+vol*SQRT(dt*C503)*_xlfn.NORM.S.INV(RAND())</f>
        <v>5.1068158685360451E-2</v>
      </c>
      <c r="E503" s="8">
        <f t="shared" ca="1" si="492"/>
        <v>5.2838780831567442E-2</v>
      </c>
      <c r="F503" s="8">
        <f t="shared" ca="1" si="492"/>
        <v>5.3838325684962045E-2</v>
      </c>
      <c r="G503" s="8">
        <f t="shared" ca="1" si="492"/>
        <v>5.4960477494053153E-2</v>
      </c>
      <c r="H503" s="8">
        <f t="shared" ca="1" si="492"/>
        <v>5.5425635934957092E-2</v>
      </c>
      <c r="I503" s="8">
        <f t="shared" ca="1" si="492"/>
        <v>5.5220896871360975E-2</v>
      </c>
      <c r="J503" s="8">
        <f t="shared" ca="1" si="492"/>
        <v>5.5224629770806583E-2</v>
      </c>
      <c r="K503" s="8">
        <f t="shared" ca="1" si="492"/>
        <v>5.4118247092024188E-2</v>
      </c>
      <c r="L503" s="8">
        <f t="shared" ca="1" si="492"/>
        <v>5.5974616462700306E-2</v>
      </c>
      <c r="M503" s="8">
        <f t="shared" ca="1" si="492"/>
        <v>5.6083148622727959E-2</v>
      </c>
      <c r="N503" s="8">
        <f t="shared" ca="1" si="492"/>
        <v>5.7549139163239317E-2</v>
      </c>
      <c r="O503" s="8">
        <f t="shared" ca="1" si="492"/>
        <v>5.8899526896402446E-2</v>
      </c>
    </row>
    <row r="504" spans="2:15">
      <c r="B504" s="3">
        <v>483</v>
      </c>
      <c r="C504" s="8">
        <f t="shared" si="458"/>
        <v>0.05</v>
      </c>
      <c r="D504" s="8">
        <f t="shared" ref="D504:O504" ca="1" si="493">C504+k*(theta-C504)*dt+vol*SQRT(dt*C504)*_xlfn.NORM.S.INV(RAND())</f>
        <v>5.1849257941415691E-2</v>
      </c>
      <c r="E504" s="8">
        <f t="shared" ca="1" si="493"/>
        <v>5.2412965561460065E-2</v>
      </c>
      <c r="F504" s="8">
        <f t="shared" ca="1" si="493"/>
        <v>5.4716160811108937E-2</v>
      </c>
      <c r="G504" s="8">
        <f t="shared" ca="1" si="493"/>
        <v>5.7061488212229734E-2</v>
      </c>
      <c r="H504" s="8">
        <f t="shared" ca="1" si="493"/>
        <v>5.9719293186945986E-2</v>
      </c>
      <c r="I504" s="8">
        <f t="shared" ca="1" si="493"/>
        <v>5.9197690692136422E-2</v>
      </c>
      <c r="J504" s="8">
        <f t="shared" ca="1" si="493"/>
        <v>6.2645639668190048E-2</v>
      </c>
      <c r="K504" s="8">
        <f t="shared" ca="1" si="493"/>
        <v>6.4337673074619767E-2</v>
      </c>
      <c r="L504" s="8">
        <f t="shared" ca="1" si="493"/>
        <v>6.6219837398150197E-2</v>
      </c>
      <c r="M504" s="8">
        <f t="shared" ca="1" si="493"/>
        <v>6.4445773332860862E-2</v>
      </c>
      <c r="N504" s="8">
        <f t="shared" ca="1" si="493"/>
        <v>6.4600401970194996E-2</v>
      </c>
      <c r="O504" s="8">
        <f t="shared" ca="1" si="493"/>
        <v>6.4331951615082886E-2</v>
      </c>
    </row>
    <row r="505" spans="2:15">
      <c r="B505" s="3">
        <v>484</v>
      </c>
      <c r="C505" s="8">
        <f t="shared" si="458"/>
        <v>0.05</v>
      </c>
      <c r="D505" s="8">
        <f t="shared" ref="D505:O505" ca="1" si="494">C505+k*(theta-C505)*dt+vol*SQRT(dt*C505)*_xlfn.NORM.S.INV(RAND())</f>
        <v>5.0565603019373552E-2</v>
      </c>
      <c r="E505" s="8">
        <f t="shared" ca="1" si="494"/>
        <v>5.2171635544554298E-2</v>
      </c>
      <c r="F505" s="8">
        <f t="shared" ca="1" si="494"/>
        <v>5.3274082174319635E-2</v>
      </c>
      <c r="G505" s="8">
        <f t="shared" ca="1" si="494"/>
        <v>5.2443031854422194E-2</v>
      </c>
      <c r="H505" s="8">
        <f t="shared" ca="1" si="494"/>
        <v>5.2197642845184258E-2</v>
      </c>
      <c r="I505" s="8">
        <f t="shared" ca="1" si="494"/>
        <v>5.1479288710536711E-2</v>
      </c>
      <c r="J505" s="8">
        <f t="shared" ca="1" si="494"/>
        <v>5.1629459797461329E-2</v>
      </c>
      <c r="K505" s="8">
        <f t="shared" ca="1" si="494"/>
        <v>5.2670723341700761E-2</v>
      </c>
      <c r="L505" s="8">
        <f t="shared" ca="1" si="494"/>
        <v>5.5554874007237444E-2</v>
      </c>
      <c r="M505" s="8">
        <f t="shared" ca="1" si="494"/>
        <v>5.4690344773197293E-2</v>
      </c>
      <c r="N505" s="8">
        <f t="shared" ca="1" si="494"/>
        <v>5.4660183736895629E-2</v>
      </c>
      <c r="O505" s="8">
        <f t="shared" ca="1" si="494"/>
        <v>5.7394795707326196E-2</v>
      </c>
    </row>
    <row r="506" spans="2:15">
      <c r="B506" s="3">
        <v>485</v>
      </c>
      <c r="C506" s="8">
        <f t="shared" si="458"/>
        <v>0.05</v>
      </c>
      <c r="D506" s="8">
        <f t="shared" ref="D506:O506" ca="1" si="495">C506+k*(theta-C506)*dt+vol*SQRT(dt*C506)*_xlfn.NORM.S.INV(RAND())</f>
        <v>5.2108008148376669E-2</v>
      </c>
      <c r="E506" s="8">
        <f t="shared" ca="1" si="495"/>
        <v>5.194735608730313E-2</v>
      </c>
      <c r="F506" s="8">
        <f t="shared" ca="1" si="495"/>
        <v>5.3224921816834872E-2</v>
      </c>
      <c r="G506" s="8">
        <f t="shared" ca="1" si="495"/>
        <v>5.4332747523283438E-2</v>
      </c>
      <c r="H506" s="8">
        <f t="shared" ca="1" si="495"/>
        <v>5.5944374135336802E-2</v>
      </c>
      <c r="I506" s="8">
        <f t="shared" ca="1" si="495"/>
        <v>5.6547284827108829E-2</v>
      </c>
      <c r="J506" s="8">
        <f t="shared" ca="1" si="495"/>
        <v>5.7807407551283503E-2</v>
      </c>
      <c r="K506" s="8">
        <f t="shared" ca="1" si="495"/>
        <v>5.8372152493630342E-2</v>
      </c>
      <c r="L506" s="8">
        <f t="shared" ca="1" si="495"/>
        <v>6.066604107098289E-2</v>
      </c>
      <c r="M506" s="8">
        <f t="shared" ca="1" si="495"/>
        <v>6.3525164414345386E-2</v>
      </c>
      <c r="N506" s="8">
        <f t="shared" ca="1" si="495"/>
        <v>6.578762688087246E-2</v>
      </c>
      <c r="O506" s="8">
        <f t="shared" ca="1" si="495"/>
        <v>6.9914170534569248E-2</v>
      </c>
    </row>
    <row r="507" spans="2:15">
      <c r="B507" s="3">
        <v>486</v>
      </c>
      <c r="C507" s="8">
        <f t="shared" si="458"/>
        <v>0.05</v>
      </c>
      <c r="D507" s="8">
        <f t="shared" ref="D507:O507" ca="1" si="496">C507+k*(theta-C507)*dt+vol*SQRT(dt*C507)*_xlfn.NORM.S.INV(RAND())</f>
        <v>5.0117193517178991E-2</v>
      </c>
      <c r="E507" s="8">
        <f t="shared" ca="1" si="496"/>
        <v>5.0021590458350661E-2</v>
      </c>
      <c r="F507" s="8">
        <f t="shared" ca="1" si="496"/>
        <v>5.1873879068120465E-2</v>
      </c>
      <c r="G507" s="8">
        <f t="shared" ca="1" si="496"/>
        <v>5.3814815849308195E-2</v>
      </c>
      <c r="H507" s="8">
        <f t="shared" ca="1" si="496"/>
        <v>5.693118090035526E-2</v>
      </c>
      <c r="I507" s="8">
        <f t="shared" ca="1" si="496"/>
        <v>5.7246840025067525E-2</v>
      </c>
      <c r="J507" s="8">
        <f t="shared" ca="1" si="496"/>
        <v>5.9222299032107635E-2</v>
      </c>
      <c r="K507" s="8">
        <f t="shared" ca="1" si="496"/>
        <v>5.9370921306103663E-2</v>
      </c>
      <c r="L507" s="8">
        <f t="shared" ca="1" si="496"/>
        <v>5.9530559106818239E-2</v>
      </c>
      <c r="M507" s="8">
        <f t="shared" ca="1" si="496"/>
        <v>5.9146374409567347E-2</v>
      </c>
      <c r="N507" s="8">
        <f t="shared" ca="1" si="496"/>
        <v>6.0540282668202633E-2</v>
      </c>
      <c r="O507" s="8">
        <f t="shared" ca="1" si="496"/>
        <v>6.411706097265861E-2</v>
      </c>
    </row>
    <row r="508" spans="2:15">
      <c r="B508" s="3">
        <v>487</v>
      </c>
      <c r="C508" s="8">
        <f t="shared" si="458"/>
        <v>0.05</v>
      </c>
      <c r="D508" s="8">
        <f t="shared" ref="D508:O508" ca="1" si="497">C508+k*(theta-C508)*dt+vol*SQRT(dt*C508)*_xlfn.NORM.S.INV(RAND())</f>
        <v>5.1139985799972795E-2</v>
      </c>
      <c r="E508" s="8">
        <f t="shared" ca="1" si="497"/>
        <v>5.3307012286144526E-2</v>
      </c>
      <c r="F508" s="8">
        <f t="shared" ca="1" si="497"/>
        <v>5.5958211854166967E-2</v>
      </c>
      <c r="G508" s="8">
        <f t="shared" ca="1" si="497"/>
        <v>5.6173003499842875E-2</v>
      </c>
      <c r="H508" s="8">
        <f t="shared" ca="1" si="497"/>
        <v>5.6026652435000324E-2</v>
      </c>
      <c r="I508" s="8">
        <f t="shared" ca="1" si="497"/>
        <v>5.5345671437773067E-2</v>
      </c>
      <c r="J508" s="8">
        <f t="shared" ca="1" si="497"/>
        <v>5.8153786592198768E-2</v>
      </c>
      <c r="K508" s="8">
        <f t="shared" ca="1" si="497"/>
        <v>5.8628499519477593E-2</v>
      </c>
      <c r="L508" s="8">
        <f t="shared" ca="1" si="497"/>
        <v>5.8444672992745021E-2</v>
      </c>
      <c r="M508" s="8">
        <f t="shared" ca="1" si="497"/>
        <v>5.8858480222786745E-2</v>
      </c>
      <c r="N508" s="8">
        <f t="shared" ca="1" si="497"/>
        <v>5.8633387306485506E-2</v>
      </c>
      <c r="O508" s="8">
        <f t="shared" ca="1" si="497"/>
        <v>6.2756230947055347E-2</v>
      </c>
    </row>
    <row r="509" spans="2:15">
      <c r="B509" s="3">
        <v>488</v>
      </c>
      <c r="C509" s="8">
        <f t="shared" si="458"/>
        <v>0.05</v>
      </c>
      <c r="D509" s="8">
        <f t="shared" ref="D509:O509" ca="1" si="498">C509+k*(theta-C509)*dt+vol*SQRT(dt*C509)*_xlfn.NORM.S.INV(RAND())</f>
        <v>5.0954589128736516E-2</v>
      </c>
      <c r="E509" s="8">
        <f t="shared" ca="1" si="498"/>
        <v>5.1553537417944682E-2</v>
      </c>
      <c r="F509" s="8">
        <f t="shared" ca="1" si="498"/>
        <v>5.2185534175305123E-2</v>
      </c>
      <c r="G509" s="8">
        <f t="shared" ca="1" si="498"/>
        <v>5.3448833337093278E-2</v>
      </c>
      <c r="H509" s="8">
        <f t="shared" ca="1" si="498"/>
        <v>5.4776506886201073E-2</v>
      </c>
      <c r="I509" s="8">
        <f t="shared" ca="1" si="498"/>
        <v>5.8175935709937267E-2</v>
      </c>
      <c r="J509" s="8">
        <f t="shared" ca="1" si="498"/>
        <v>5.9997046104738438E-2</v>
      </c>
      <c r="K509" s="8">
        <f t="shared" ca="1" si="498"/>
        <v>6.3077311657678534E-2</v>
      </c>
      <c r="L509" s="8">
        <f t="shared" ca="1" si="498"/>
        <v>6.4535019177463265E-2</v>
      </c>
      <c r="M509" s="8">
        <f t="shared" ca="1" si="498"/>
        <v>6.6963235211410246E-2</v>
      </c>
      <c r="N509" s="8">
        <f t="shared" ca="1" si="498"/>
        <v>6.939687653801449E-2</v>
      </c>
      <c r="O509" s="8">
        <f t="shared" ca="1" si="498"/>
        <v>6.8366591357073625E-2</v>
      </c>
    </row>
    <row r="510" spans="2:15">
      <c r="B510" s="3">
        <v>489</v>
      </c>
      <c r="C510" s="8">
        <f t="shared" si="458"/>
        <v>0.05</v>
      </c>
      <c r="D510" s="8">
        <f t="shared" ref="D510:O510" ca="1" si="499">C510+k*(theta-C510)*dt+vol*SQRT(dt*C510)*_xlfn.NORM.S.INV(RAND())</f>
        <v>5.0153453077075492E-2</v>
      </c>
      <c r="E510" s="8">
        <f t="shared" ca="1" si="499"/>
        <v>5.0573305539565065E-2</v>
      </c>
      <c r="F510" s="8">
        <f t="shared" ca="1" si="499"/>
        <v>5.091348602782314E-2</v>
      </c>
      <c r="G510" s="8">
        <f t="shared" ca="1" si="499"/>
        <v>5.4229846249643894E-2</v>
      </c>
      <c r="H510" s="8">
        <f t="shared" ca="1" si="499"/>
        <v>5.5955502876182513E-2</v>
      </c>
      <c r="I510" s="8">
        <f t="shared" ca="1" si="499"/>
        <v>5.685486637783297E-2</v>
      </c>
      <c r="J510" s="8">
        <f t="shared" ca="1" si="499"/>
        <v>5.8821513474457562E-2</v>
      </c>
      <c r="K510" s="8">
        <f t="shared" ca="1" si="499"/>
        <v>6.0085081150753346E-2</v>
      </c>
      <c r="L510" s="8">
        <f t="shared" ca="1" si="499"/>
        <v>6.1135570292924921E-2</v>
      </c>
      <c r="M510" s="8">
        <f t="shared" ca="1" si="499"/>
        <v>6.1277292647654899E-2</v>
      </c>
      <c r="N510" s="8">
        <f t="shared" ca="1" si="499"/>
        <v>6.2336020143345869E-2</v>
      </c>
      <c r="O510" s="8">
        <f t="shared" ca="1" si="499"/>
        <v>6.3745441803975372E-2</v>
      </c>
    </row>
    <row r="511" spans="2:15">
      <c r="B511" s="3">
        <v>490</v>
      </c>
      <c r="C511" s="8">
        <f t="shared" si="458"/>
        <v>0.05</v>
      </c>
      <c r="D511" s="8">
        <f t="shared" ref="D511:O511" ca="1" si="500">C511+k*(theta-C511)*dt+vol*SQRT(dt*C511)*_xlfn.NORM.S.INV(RAND())</f>
        <v>5.1009620011312026E-2</v>
      </c>
      <c r="E511" s="8">
        <f t="shared" ca="1" si="500"/>
        <v>5.2914602825034372E-2</v>
      </c>
      <c r="F511" s="8">
        <f t="shared" ca="1" si="500"/>
        <v>5.3822808622094001E-2</v>
      </c>
      <c r="G511" s="8">
        <f t="shared" ca="1" si="500"/>
        <v>5.4471515486457858E-2</v>
      </c>
      <c r="H511" s="8">
        <f t="shared" ca="1" si="500"/>
        <v>5.6005490270378627E-2</v>
      </c>
      <c r="I511" s="8">
        <f t="shared" ca="1" si="500"/>
        <v>5.6401442328258874E-2</v>
      </c>
      <c r="J511" s="8">
        <f t="shared" ca="1" si="500"/>
        <v>5.689683838411555E-2</v>
      </c>
      <c r="K511" s="8">
        <f t="shared" ca="1" si="500"/>
        <v>5.7518059255912121E-2</v>
      </c>
      <c r="L511" s="8">
        <f t="shared" ca="1" si="500"/>
        <v>6.0003013424530079E-2</v>
      </c>
      <c r="M511" s="8">
        <f t="shared" ca="1" si="500"/>
        <v>5.8978550309756454E-2</v>
      </c>
      <c r="N511" s="8">
        <f t="shared" ca="1" si="500"/>
        <v>6.0465153864290834E-2</v>
      </c>
      <c r="O511" s="8">
        <f t="shared" ca="1" si="500"/>
        <v>6.2869635141393057E-2</v>
      </c>
    </row>
    <row r="512" spans="2:15">
      <c r="B512" s="3">
        <v>491</v>
      </c>
      <c r="C512" s="8">
        <f t="shared" si="458"/>
        <v>0.05</v>
      </c>
      <c r="D512" s="8">
        <f t="shared" ref="D512:O512" ca="1" si="501">C512+k*(theta-C512)*dt+vol*SQRT(dt*C512)*_xlfn.NORM.S.INV(RAND())</f>
        <v>5.0627808777948313E-2</v>
      </c>
      <c r="E512" s="8">
        <f t="shared" ca="1" si="501"/>
        <v>5.0964672692515596E-2</v>
      </c>
      <c r="F512" s="8">
        <f t="shared" ca="1" si="501"/>
        <v>5.3128739402058235E-2</v>
      </c>
      <c r="G512" s="8">
        <f t="shared" ca="1" si="501"/>
        <v>5.5016172680442774E-2</v>
      </c>
      <c r="H512" s="8">
        <f t="shared" ca="1" si="501"/>
        <v>5.7743511106639479E-2</v>
      </c>
      <c r="I512" s="8">
        <f t="shared" ca="1" si="501"/>
        <v>5.9826529697919816E-2</v>
      </c>
      <c r="J512" s="8">
        <f t="shared" ca="1" si="501"/>
        <v>6.0931223661982406E-2</v>
      </c>
      <c r="K512" s="8">
        <f t="shared" ca="1" si="501"/>
        <v>6.181485847559038E-2</v>
      </c>
      <c r="L512" s="8">
        <f t="shared" ca="1" si="501"/>
        <v>6.4434562175708129E-2</v>
      </c>
      <c r="M512" s="8">
        <f t="shared" ca="1" si="501"/>
        <v>6.6450654513677293E-2</v>
      </c>
      <c r="N512" s="8">
        <f t="shared" ca="1" si="501"/>
        <v>6.7948877970484364E-2</v>
      </c>
      <c r="O512" s="8">
        <f t="shared" ca="1" si="501"/>
        <v>6.9162628496698242E-2</v>
      </c>
    </row>
    <row r="513" spans="2:15">
      <c r="B513" s="3">
        <v>492</v>
      </c>
      <c r="C513" s="8">
        <f t="shared" si="458"/>
        <v>0.05</v>
      </c>
      <c r="D513" s="8">
        <f t="shared" ref="D513:O513" ca="1" si="502">C513+k*(theta-C513)*dt+vol*SQRT(dt*C513)*_xlfn.NORM.S.INV(RAND())</f>
        <v>5.1530607585143731E-2</v>
      </c>
      <c r="E513" s="8">
        <f t="shared" ca="1" si="502"/>
        <v>5.6012495213613317E-2</v>
      </c>
      <c r="F513" s="8">
        <f t="shared" ca="1" si="502"/>
        <v>5.7784843792552006E-2</v>
      </c>
      <c r="G513" s="8">
        <f t="shared" ca="1" si="502"/>
        <v>5.8422848469011572E-2</v>
      </c>
      <c r="H513" s="8">
        <f t="shared" ca="1" si="502"/>
        <v>5.8612343656978379E-2</v>
      </c>
      <c r="I513" s="8">
        <f t="shared" ca="1" si="502"/>
        <v>6.0907689940230297E-2</v>
      </c>
      <c r="J513" s="8">
        <f t="shared" ca="1" si="502"/>
        <v>6.0587158290444761E-2</v>
      </c>
      <c r="K513" s="8">
        <f t="shared" ca="1" si="502"/>
        <v>6.0186668099822871E-2</v>
      </c>
      <c r="L513" s="8">
        <f t="shared" ca="1" si="502"/>
        <v>6.0037214144911491E-2</v>
      </c>
      <c r="M513" s="8">
        <f t="shared" ca="1" si="502"/>
        <v>6.1156916274577387E-2</v>
      </c>
      <c r="N513" s="8">
        <f t="shared" ca="1" si="502"/>
        <v>6.2234960441918515E-2</v>
      </c>
      <c r="O513" s="8">
        <f t="shared" ca="1" si="502"/>
        <v>6.3381589513853781E-2</v>
      </c>
    </row>
    <row r="514" spans="2:15">
      <c r="B514" s="3">
        <v>493</v>
      </c>
      <c r="C514" s="8">
        <f t="shared" si="458"/>
        <v>0.05</v>
      </c>
      <c r="D514" s="8">
        <f t="shared" ref="D514:O514" ca="1" si="503">C514+k*(theta-C514)*dt+vol*SQRT(dt*C514)*_xlfn.NORM.S.INV(RAND())</f>
        <v>5.273290798603724E-2</v>
      </c>
      <c r="E514" s="8">
        <f t="shared" ca="1" si="503"/>
        <v>5.3214993301210919E-2</v>
      </c>
      <c r="F514" s="8">
        <f t="shared" ca="1" si="503"/>
        <v>5.3715019472790636E-2</v>
      </c>
      <c r="G514" s="8">
        <f t="shared" ca="1" si="503"/>
        <v>5.3909027219468664E-2</v>
      </c>
      <c r="H514" s="8">
        <f t="shared" ca="1" si="503"/>
        <v>5.4916040636574188E-2</v>
      </c>
      <c r="I514" s="8">
        <f t="shared" ca="1" si="503"/>
        <v>5.7941480018648593E-2</v>
      </c>
      <c r="J514" s="8">
        <f t="shared" ca="1" si="503"/>
        <v>5.9069196048443982E-2</v>
      </c>
      <c r="K514" s="8">
        <f t="shared" ca="1" si="503"/>
        <v>6.2049250623850499E-2</v>
      </c>
      <c r="L514" s="8">
        <f t="shared" ca="1" si="503"/>
        <v>6.2372338776290608E-2</v>
      </c>
      <c r="M514" s="8">
        <f t="shared" ca="1" si="503"/>
        <v>6.1596121232597306E-2</v>
      </c>
      <c r="N514" s="8">
        <f t="shared" ca="1" si="503"/>
        <v>6.3174130406685722E-2</v>
      </c>
      <c r="O514" s="8">
        <f t="shared" ca="1" si="503"/>
        <v>6.1589239686552444E-2</v>
      </c>
    </row>
    <row r="515" spans="2:15">
      <c r="B515" s="3">
        <v>494</v>
      </c>
      <c r="C515" s="8">
        <f t="shared" si="458"/>
        <v>0.05</v>
      </c>
      <c r="D515" s="8">
        <f t="shared" ref="D515:O515" ca="1" si="504">C515+k*(theta-C515)*dt+vol*SQRT(dt*C515)*_xlfn.NORM.S.INV(RAND())</f>
        <v>5.3012148306463322E-2</v>
      </c>
      <c r="E515" s="8">
        <f t="shared" ca="1" si="504"/>
        <v>5.4468051755417086E-2</v>
      </c>
      <c r="F515" s="8">
        <f t="shared" ca="1" si="504"/>
        <v>5.354295636025682E-2</v>
      </c>
      <c r="G515" s="8">
        <f t="shared" ca="1" si="504"/>
        <v>5.2585723587168634E-2</v>
      </c>
      <c r="H515" s="8">
        <f t="shared" ca="1" si="504"/>
        <v>5.2856134257706307E-2</v>
      </c>
      <c r="I515" s="8">
        <f t="shared" ca="1" si="504"/>
        <v>5.4733773911509249E-2</v>
      </c>
      <c r="J515" s="8">
        <f t="shared" ca="1" si="504"/>
        <v>5.6597318849342597E-2</v>
      </c>
      <c r="K515" s="8">
        <f t="shared" ca="1" si="504"/>
        <v>5.7994999949821491E-2</v>
      </c>
      <c r="L515" s="8">
        <f t="shared" ca="1" si="504"/>
        <v>5.87513878380201E-2</v>
      </c>
      <c r="M515" s="8">
        <f t="shared" ca="1" si="504"/>
        <v>5.876096865278746E-2</v>
      </c>
      <c r="N515" s="8">
        <f t="shared" ca="1" si="504"/>
        <v>5.8394514964583394E-2</v>
      </c>
      <c r="O515" s="8">
        <f t="shared" ca="1" si="504"/>
        <v>5.7484791688228343E-2</v>
      </c>
    </row>
    <row r="516" spans="2:15">
      <c r="B516" s="3">
        <v>495</v>
      </c>
      <c r="C516" s="8">
        <f t="shared" si="458"/>
        <v>0.05</v>
      </c>
      <c r="D516" s="8">
        <f t="shared" ref="D516:O516" ca="1" si="505">C516+k*(theta-C516)*dt+vol*SQRT(dt*C516)*_xlfn.NORM.S.INV(RAND())</f>
        <v>5.0709955896471356E-2</v>
      </c>
      <c r="E516" s="8">
        <f t="shared" ca="1" si="505"/>
        <v>5.2830394332908495E-2</v>
      </c>
      <c r="F516" s="8">
        <f t="shared" ca="1" si="505"/>
        <v>5.4610674667415558E-2</v>
      </c>
      <c r="G516" s="8">
        <f t="shared" ca="1" si="505"/>
        <v>5.4341262652494483E-2</v>
      </c>
      <c r="H516" s="8">
        <f t="shared" ca="1" si="505"/>
        <v>5.6419361508205715E-2</v>
      </c>
      <c r="I516" s="8">
        <f t="shared" ca="1" si="505"/>
        <v>5.8698879578337963E-2</v>
      </c>
      <c r="J516" s="8">
        <f t="shared" ca="1" si="505"/>
        <v>6.0790133983869399E-2</v>
      </c>
      <c r="K516" s="8">
        <f t="shared" ca="1" si="505"/>
        <v>6.0033599129065578E-2</v>
      </c>
      <c r="L516" s="8">
        <f t="shared" ca="1" si="505"/>
        <v>6.2821223538501142E-2</v>
      </c>
      <c r="M516" s="8">
        <f t="shared" ca="1" si="505"/>
        <v>6.4330857861773588E-2</v>
      </c>
      <c r="N516" s="8">
        <f t="shared" ca="1" si="505"/>
        <v>6.8260097182496662E-2</v>
      </c>
      <c r="O516" s="8">
        <f t="shared" ca="1" si="505"/>
        <v>7.1222328093646148E-2</v>
      </c>
    </row>
    <row r="517" spans="2:15">
      <c r="B517" s="3">
        <v>496</v>
      </c>
      <c r="C517" s="8">
        <f t="shared" si="458"/>
        <v>0.05</v>
      </c>
      <c r="D517" s="8">
        <f t="shared" ref="D517:O517" ca="1" si="506">C517+k*(theta-C517)*dt+vol*SQRT(dt*C517)*_xlfn.NORM.S.INV(RAND())</f>
        <v>5.1501655473470999E-2</v>
      </c>
      <c r="E517" s="8">
        <f t="shared" ca="1" si="506"/>
        <v>5.4751372212793269E-2</v>
      </c>
      <c r="F517" s="8">
        <f t="shared" ca="1" si="506"/>
        <v>5.5626906337436076E-2</v>
      </c>
      <c r="G517" s="8">
        <f t="shared" ca="1" si="506"/>
        <v>5.8885994088122826E-2</v>
      </c>
      <c r="H517" s="8">
        <f t="shared" ca="1" si="506"/>
        <v>5.8844397725028218E-2</v>
      </c>
      <c r="I517" s="8">
        <f t="shared" ca="1" si="506"/>
        <v>5.9906660827315883E-2</v>
      </c>
      <c r="J517" s="8">
        <f t="shared" ca="1" si="506"/>
        <v>6.2448253879518911E-2</v>
      </c>
      <c r="K517" s="8">
        <f t="shared" ca="1" si="506"/>
        <v>6.2876842232741162E-2</v>
      </c>
      <c r="L517" s="8">
        <f t="shared" ca="1" si="506"/>
        <v>6.4083786978145402E-2</v>
      </c>
      <c r="M517" s="8">
        <f t="shared" ca="1" si="506"/>
        <v>6.3636694439749425E-2</v>
      </c>
      <c r="N517" s="8">
        <f t="shared" ca="1" si="506"/>
        <v>6.2510359540691798E-2</v>
      </c>
      <c r="O517" s="8">
        <f t="shared" ca="1" si="506"/>
        <v>6.2471172841646438E-2</v>
      </c>
    </row>
    <row r="518" spans="2:15">
      <c r="B518" s="3">
        <v>497</v>
      </c>
      <c r="C518" s="8">
        <f t="shared" si="458"/>
        <v>0.05</v>
      </c>
      <c r="D518" s="8">
        <f t="shared" ref="D518:O518" ca="1" si="507">C518+k*(theta-C518)*dt+vol*SQRT(dt*C518)*_xlfn.NORM.S.INV(RAND())</f>
        <v>5.126107575601517E-2</v>
      </c>
      <c r="E518" s="8">
        <f t="shared" ca="1" si="507"/>
        <v>5.4429503533586443E-2</v>
      </c>
      <c r="F518" s="8">
        <f t="shared" ca="1" si="507"/>
        <v>5.4741390771735184E-2</v>
      </c>
      <c r="G518" s="8">
        <f t="shared" ca="1" si="507"/>
        <v>5.6956229766594875E-2</v>
      </c>
      <c r="H518" s="8">
        <f t="shared" ca="1" si="507"/>
        <v>5.8891217442746412E-2</v>
      </c>
      <c r="I518" s="8">
        <f t="shared" ca="1" si="507"/>
        <v>5.949763855909148E-2</v>
      </c>
      <c r="J518" s="8">
        <f t="shared" ca="1" si="507"/>
        <v>5.7918980659811228E-2</v>
      </c>
      <c r="K518" s="8">
        <f t="shared" ca="1" si="507"/>
        <v>5.9624782263290994E-2</v>
      </c>
      <c r="L518" s="8">
        <f t="shared" ca="1" si="507"/>
        <v>6.1369746121981594E-2</v>
      </c>
      <c r="M518" s="8">
        <f t="shared" ca="1" si="507"/>
        <v>6.1710517283382831E-2</v>
      </c>
      <c r="N518" s="8">
        <f t="shared" ca="1" si="507"/>
        <v>6.5568008337534178E-2</v>
      </c>
      <c r="O518" s="8">
        <f t="shared" ca="1" si="507"/>
        <v>6.9104795097351332E-2</v>
      </c>
    </row>
    <row r="519" spans="2:15">
      <c r="B519" s="3">
        <v>498</v>
      </c>
      <c r="C519" s="8">
        <f t="shared" si="458"/>
        <v>0.05</v>
      </c>
      <c r="D519" s="8">
        <f t="shared" ref="D519:O519" ca="1" si="508">C519+k*(theta-C519)*dt+vol*SQRT(dt*C519)*_xlfn.NORM.S.INV(RAND())</f>
        <v>5.1977478695570324E-2</v>
      </c>
      <c r="E519" s="8">
        <f t="shared" ca="1" si="508"/>
        <v>4.9440338861644631E-2</v>
      </c>
      <c r="F519" s="8">
        <f t="shared" ca="1" si="508"/>
        <v>5.2056987511062414E-2</v>
      </c>
      <c r="G519" s="8">
        <f t="shared" ca="1" si="508"/>
        <v>4.998333265450626E-2</v>
      </c>
      <c r="H519" s="8">
        <f t="shared" ca="1" si="508"/>
        <v>5.047515170604288E-2</v>
      </c>
      <c r="I519" s="8">
        <f t="shared" ca="1" si="508"/>
        <v>5.3094257184961649E-2</v>
      </c>
      <c r="J519" s="8">
        <f t="shared" ca="1" si="508"/>
        <v>5.4086756351308142E-2</v>
      </c>
      <c r="K519" s="8">
        <f t="shared" ca="1" si="508"/>
        <v>5.6807803552228663E-2</v>
      </c>
      <c r="L519" s="8">
        <f t="shared" ca="1" si="508"/>
        <v>5.8430196503962861E-2</v>
      </c>
      <c r="M519" s="8">
        <f t="shared" ca="1" si="508"/>
        <v>5.9126516688348806E-2</v>
      </c>
      <c r="N519" s="8">
        <f t="shared" ca="1" si="508"/>
        <v>6.0660783330256908E-2</v>
      </c>
      <c r="O519" s="8">
        <f t="shared" ca="1" si="508"/>
        <v>5.9906881975201477E-2</v>
      </c>
    </row>
    <row r="520" spans="2:15">
      <c r="B520" s="3">
        <v>499</v>
      </c>
      <c r="C520" s="8">
        <f t="shared" si="458"/>
        <v>0.05</v>
      </c>
      <c r="D520" s="8">
        <f t="shared" ref="D520:O520" ca="1" si="509">C520+k*(theta-C520)*dt+vol*SQRT(dt*C520)*_xlfn.NORM.S.INV(RAND())</f>
        <v>5.142912312726531E-2</v>
      </c>
      <c r="E520" s="8">
        <f t="shared" ca="1" si="509"/>
        <v>5.3705800066890408E-2</v>
      </c>
      <c r="F520" s="8">
        <f t="shared" ca="1" si="509"/>
        <v>5.6271850936703734E-2</v>
      </c>
      <c r="G520" s="8">
        <f t="shared" ca="1" si="509"/>
        <v>5.7724958265314999E-2</v>
      </c>
      <c r="H520" s="8">
        <f t="shared" ca="1" si="509"/>
        <v>5.8875250860758482E-2</v>
      </c>
      <c r="I520" s="8">
        <f t="shared" ca="1" si="509"/>
        <v>6.0565572801471623E-2</v>
      </c>
      <c r="J520" s="8">
        <f t="shared" ca="1" si="509"/>
        <v>6.20664260903315E-2</v>
      </c>
      <c r="K520" s="8">
        <f t="shared" ca="1" si="509"/>
        <v>6.2058780505094509E-2</v>
      </c>
      <c r="L520" s="8">
        <f t="shared" ca="1" si="509"/>
        <v>6.5952815277184412E-2</v>
      </c>
      <c r="M520" s="8">
        <f t="shared" ca="1" si="509"/>
        <v>6.548367478963657E-2</v>
      </c>
      <c r="N520" s="8">
        <f t="shared" ca="1" si="509"/>
        <v>6.5824141492719992E-2</v>
      </c>
      <c r="O520" s="8">
        <f t="shared" ca="1" si="509"/>
        <v>6.6598494538166311E-2</v>
      </c>
    </row>
    <row r="521" spans="2:15">
      <c r="B521" s="3">
        <v>500</v>
      </c>
      <c r="C521" s="8">
        <f t="shared" si="458"/>
        <v>0.05</v>
      </c>
      <c r="D521" s="8">
        <f t="shared" ref="D521:O521" ca="1" si="510">C521+k*(theta-C521)*dt+vol*SQRT(dt*C521)*_xlfn.NORM.S.INV(RAND())</f>
        <v>5.0224518984314473E-2</v>
      </c>
      <c r="E521" s="8">
        <f t="shared" ca="1" si="510"/>
        <v>5.0816739461784721E-2</v>
      </c>
      <c r="F521" s="8">
        <f t="shared" ca="1" si="510"/>
        <v>5.2946572148884971E-2</v>
      </c>
      <c r="G521" s="8">
        <f t="shared" ca="1" si="510"/>
        <v>5.2414846676399972E-2</v>
      </c>
      <c r="H521" s="8">
        <f t="shared" ca="1" si="510"/>
        <v>5.3981606880845898E-2</v>
      </c>
      <c r="I521" s="8">
        <f t="shared" ca="1" si="510"/>
        <v>5.4680379641744999E-2</v>
      </c>
      <c r="J521" s="8">
        <f t="shared" ca="1" si="510"/>
        <v>5.6663606965235258E-2</v>
      </c>
      <c r="K521" s="8">
        <f t="shared" ca="1" si="510"/>
        <v>5.9264967280482299E-2</v>
      </c>
      <c r="L521" s="8">
        <f t="shared" ca="1" si="510"/>
        <v>6.1057626247687471E-2</v>
      </c>
      <c r="M521" s="8">
        <f t="shared" ca="1" si="510"/>
        <v>6.2781154552361038E-2</v>
      </c>
      <c r="N521" s="8">
        <f t="shared" ca="1" si="510"/>
        <v>6.3212800202410976E-2</v>
      </c>
      <c r="O521" s="8">
        <f t="shared" ca="1" si="510"/>
        <v>6.3050654454339952E-2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FEB4A-41B7-4C78-B6B7-D23A9CB1AE01}">
  <sheetPr codeName="Sheet2"/>
  <dimension ref="PT2502"/>
  <sheetViews>
    <sheetView workbookViewId="0"/>
  </sheetViews>
  <sheetFormatPr defaultRowHeight="14.5"/>
  <sheetData>
    <row r="2502" spans="436:436">
      <c r="PT2502" s="17">
        <v>45212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AFF70-3C02-49FA-AE87-C27C2888DAA5}">
  <sheetPr codeName="Sheet3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Warning</vt:lpstr>
      <vt:lpstr>dt</vt:lpstr>
      <vt:lpstr>k</vt:lpstr>
      <vt:lpstr>r0</vt:lpstr>
      <vt:lpstr>theta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2023-10-13T17:46:49Z</dcterms:modified>
</cp:coreProperties>
</file>