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5AEC3BD8-8BAC-4A91-A2F0-4C635C55867E}" xr6:coauthVersionLast="47" xr6:coauthVersionMax="47" xr10:uidLastSave="{00000000-0000-0000-0000-000000000000}"/>
  <bookViews>
    <workbookView xWindow="-110" yWindow="-110" windowWidth="19420" windowHeight="10300" firstSheet="4" activeTab="4" xr2:uid="{E06D621C-4286-49EE-8377-8D91397B69AD}"/>
  </bookViews>
  <sheets>
    <sheet name="Copyright" sheetId="7" state="veryHidden" r:id="rId1"/>
    <sheet name="1" sheetId="2" state="veryHidden" r:id="rId2"/>
    <sheet name="2" sheetId="4" state="veryHidden" r:id="rId3"/>
    <sheet name="P2T_Input" sheetId="5" state="veryHidden" r:id="rId4"/>
    <sheet name="Warning" sheetId="6" r:id="rId5"/>
  </sheets>
  <definedNames>
    <definedName name="dt" localSheetId="2">'2'!$C$13</definedName>
    <definedName name="dt">'1'!$C$14</definedName>
    <definedName name="k" localSheetId="2">'2'!$C$9</definedName>
    <definedName name="k">'1'!$C$10</definedName>
    <definedName name="r0" localSheetId="2">'2'!$C$12</definedName>
    <definedName name="r0">'1'!$C$13</definedName>
    <definedName name="solver_adj" localSheetId="1" hidden="1">'1'!$C$10:$C$12</definedName>
    <definedName name="solver_adj" localSheetId="2" hidden="1">'2'!$C$9:$C$11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'1'!$F$12</definedName>
    <definedName name="solver_opt" localSheetId="2" hidden="1">'2'!$F$11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1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  <definedName name="theta" localSheetId="2">'2'!$C$10</definedName>
    <definedName name="theta">'1'!$C$11</definedName>
    <definedName name="vol" localSheetId="2">'2'!$C$11</definedName>
    <definedName name="vol">'1'!$C$12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4" l="1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H10" i="4" s="1"/>
  <c r="E22" i="4"/>
  <c r="E21" i="4"/>
  <c r="H11" i="4" s="1"/>
  <c r="K10" i="4" s="1"/>
  <c r="E20" i="4"/>
  <c r="E19" i="4"/>
  <c r="E18" i="4"/>
  <c r="F29" i="4" l="1"/>
  <c r="K11" i="4"/>
  <c r="F28" i="4"/>
  <c r="F75" i="4"/>
  <c r="F74" i="4"/>
  <c r="F62" i="4"/>
  <c r="F50" i="4"/>
  <c r="F38" i="4"/>
  <c r="F26" i="4"/>
  <c r="F100" i="4"/>
  <c r="F64" i="4"/>
  <c r="F135" i="4"/>
  <c r="F39" i="4"/>
  <c r="F122" i="4"/>
  <c r="F133" i="4"/>
  <c r="F121" i="4"/>
  <c r="F109" i="4"/>
  <c r="F97" i="4"/>
  <c r="F85" i="4"/>
  <c r="F73" i="4"/>
  <c r="F61" i="4"/>
  <c r="F49" i="4"/>
  <c r="F37" i="4"/>
  <c r="F25" i="4"/>
  <c r="F112" i="4"/>
  <c r="F40" i="4"/>
  <c r="F27" i="4"/>
  <c r="F134" i="4"/>
  <c r="F108" i="4"/>
  <c r="F96" i="4"/>
  <c r="F84" i="4"/>
  <c r="F72" i="4"/>
  <c r="F60" i="4"/>
  <c r="F48" i="4"/>
  <c r="F36" i="4"/>
  <c r="F24" i="4"/>
  <c r="F124" i="4"/>
  <c r="F99" i="4"/>
  <c r="F136" i="4"/>
  <c r="F88" i="4"/>
  <c r="F111" i="4"/>
  <c r="F51" i="4"/>
  <c r="F110" i="4"/>
  <c r="F120" i="4"/>
  <c r="F107" i="4"/>
  <c r="F71" i="4"/>
  <c r="F35" i="4"/>
  <c r="F130" i="4"/>
  <c r="F118" i="4"/>
  <c r="F106" i="4"/>
  <c r="F94" i="4"/>
  <c r="F82" i="4"/>
  <c r="F70" i="4"/>
  <c r="F58" i="4"/>
  <c r="F46" i="4"/>
  <c r="F34" i="4"/>
  <c r="F22" i="4"/>
  <c r="F76" i="4"/>
  <c r="F123" i="4"/>
  <c r="F87" i="4"/>
  <c r="F98" i="4"/>
  <c r="F132" i="4"/>
  <c r="F119" i="4"/>
  <c r="F83" i="4"/>
  <c r="F59" i="4"/>
  <c r="F23" i="4"/>
  <c r="F129" i="4"/>
  <c r="F117" i="4"/>
  <c r="F105" i="4"/>
  <c r="F93" i="4"/>
  <c r="F81" i="4"/>
  <c r="F69" i="4"/>
  <c r="F57" i="4"/>
  <c r="F45" i="4"/>
  <c r="F33" i="4"/>
  <c r="F21" i="4"/>
  <c r="F52" i="4"/>
  <c r="F63" i="4"/>
  <c r="F86" i="4"/>
  <c r="F131" i="4"/>
  <c r="F95" i="4"/>
  <c r="F47" i="4"/>
  <c r="F128" i="4"/>
  <c r="F116" i="4"/>
  <c r="F104" i="4"/>
  <c r="F92" i="4"/>
  <c r="F80" i="4"/>
  <c r="F68" i="4"/>
  <c r="F56" i="4"/>
  <c r="F44" i="4"/>
  <c r="F32" i="4"/>
  <c r="F20" i="4"/>
  <c r="F127" i="4"/>
  <c r="F115" i="4"/>
  <c r="F103" i="4"/>
  <c r="F91" i="4"/>
  <c r="F79" i="4"/>
  <c r="F67" i="4"/>
  <c r="F55" i="4"/>
  <c r="F43" i="4"/>
  <c r="F31" i="4"/>
  <c r="F19" i="4"/>
  <c r="F126" i="4"/>
  <c r="F114" i="4"/>
  <c r="F102" i="4"/>
  <c r="F90" i="4"/>
  <c r="F78" i="4"/>
  <c r="F66" i="4"/>
  <c r="F54" i="4"/>
  <c r="F42" i="4"/>
  <c r="F30" i="4"/>
  <c r="F18" i="4"/>
  <c r="F125" i="4"/>
  <c r="F113" i="4"/>
  <c r="F101" i="4"/>
  <c r="F89" i="4"/>
  <c r="F77" i="4"/>
  <c r="F65" i="4"/>
  <c r="F53" i="4"/>
  <c r="F41" i="4"/>
  <c r="H12" i="4" l="1"/>
  <c r="K12" i="4" s="1"/>
  <c r="E137" i="2" l="1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C14" i="2" l="1"/>
  <c r="F82" i="2" l="1"/>
  <c r="G82" i="2" s="1"/>
  <c r="F23" i="2"/>
  <c r="G23" i="2" s="1"/>
  <c r="F106" i="2"/>
  <c r="G106" i="2" s="1"/>
  <c r="F22" i="2"/>
  <c r="G22" i="2" s="1"/>
  <c r="F134" i="2"/>
  <c r="G134" i="2" s="1"/>
  <c r="F123" i="2"/>
  <c r="G123" i="2" s="1"/>
  <c r="F112" i="2"/>
  <c r="G112" i="2" s="1"/>
  <c r="F101" i="2"/>
  <c r="G101" i="2" s="1"/>
  <c r="F67" i="2"/>
  <c r="G67" i="2" s="1"/>
  <c r="F56" i="2"/>
  <c r="G56" i="2" s="1"/>
  <c r="F57" i="2"/>
  <c r="G57" i="2" s="1"/>
  <c r="F35" i="2"/>
  <c r="G35" i="2" s="1"/>
  <c r="F47" i="2"/>
  <c r="G47" i="2" s="1"/>
  <c r="F80" i="2"/>
  <c r="G80" i="2" s="1"/>
  <c r="F81" i="2"/>
  <c r="G81" i="2" s="1"/>
  <c r="F26" i="2"/>
  <c r="G26" i="2" s="1"/>
  <c r="F73" i="2"/>
  <c r="G73" i="2" s="1"/>
  <c r="F137" i="2"/>
  <c r="G137" i="2" s="1"/>
  <c r="F93" i="2"/>
  <c r="G93" i="2" s="1"/>
  <c r="F38" i="2"/>
  <c r="G38" i="2" s="1"/>
  <c r="F85" i="2"/>
  <c r="G85" i="2" s="1"/>
  <c r="F90" i="2"/>
  <c r="G90" i="2" s="1"/>
  <c r="F104" i="2"/>
  <c r="G104" i="2" s="1"/>
  <c r="F83" i="2"/>
  <c r="G83" i="2" s="1"/>
  <c r="F50" i="2"/>
  <c r="G50" i="2" s="1"/>
  <c r="F133" i="2"/>
  <c r="G133" i="2" s="1"/>
  <c r="F42" i="2"/>
  <c r="G42" i="2" s="1"/>
  <c r="F117" i="2"/>
  <c r="G117" i="2" s="1"/>
  <c r="F30" i="2"/>
  <c r="G30" i="2" s="1"/>
  <c r="F70" i="2"/>
  <c r="G70" i="2" s="1"/>
  <c r="F111" i="2"/>
  <c r="G111" i="2" s="1"/>
  <c r="F130" i="2"/>
  <c r="G130" i="2" s="1"/>
  <c r="F49" i="2"/>
  <c r="G49" i="2" s="1"/>
  <c r="F46" i="2"/>
  <c r="G46" i="2" s="1"/>
  <c r="F135" i="2"/>
  <c r="G135" i="2" s="1"/>
  <c r="F124" i="2"/>
  <c r="G124" i="2" s="1"/>
  <c r="F113" i="2"/>
  <c r="G113" i="2" s="1"/>
  <c r="F79" i="2"/>
  <c r="G79" i="2" s="1"/>
  <c r="F68" i="2"/>
  <c r="G68" i="2" s="1"/>
  <c r="F69" i="2"/>
  <c r="G69" i="2" s="1"/>
  <c r="F91" i="2"/>
  <c r="G91" i="2" s="1"/>
  <c r="F36" i="2"/>
  <c r="G36" i="2" s="1"/>
  <c r="F37" i="2"/>
  <c r="G37" i="2" s="1"/>
  <c r="F71" i="2"/>
  <c r="G71" i="2" s="1"/>
  <c r="F27" i="2"/>
  <c r="G27" i="2" s="1"/>
  <c r="F105" i="2"/>
  <c r="G105" i="2" s="1"/>
  <c r="F39" i="2"/>
  <c r="G39" i="2" s="1"/>
  <c r="F116" i="2"/>
  <c r="G116" i="2" s="1"/>
  <c r="F128" i="2"/>
  <c r="G128" i="2" s="1"/>
  <c r="F131" i="2"/>
  <c r="G131" i="2" s="1"/>
  <c r="F89" i="2"/>
  <c r="G89" i="2" s="1"/>
  <c r="F24" i="2"/>
  <c r="G24" i="2" s="1"/>
  <c r="F97" i="2"/>
  <c r="G97" i="2" s="1"/>
  <c r="F61" i="2"/>
  <c r="G61" i="2" s="1"/>
  <c r="F25" i="2"/>
  <c r="G25" i="2" s="1"/>
  <c r="F136" i="2"/>
  <c r="G136" i="2" s="1"/>
  <c r="F125" i="2"/>
  <c r="G125" i="2" s="1"/>
  <c r="F59" i="2"/>
  <c r="G59" i="2" s="1"/>
  <c r="F109" i="2"/>
  <c r="G109" i="2" s="1"/>
  <c r="F103" i="2"/>
  <c r="G103" i="2" s="1"/>
  <c r="F92" i="2"/>
  <c r="G92" i="2" s="1"/>
  <c r="F121" i="2"/>
  <c r="G121" i="2" s="1"/>
  <c r="F115" i="2"/>
  <c r="G115" i="2" s="1"/>
  <c r="F60" i="2"/>
  <c r="G60" i="2" s="1"/>
  <c r="F28" i="2"/>
  <c r="G28" i="2" s="1"/>
  <c r="F127" i="2"/>
  <c r="G127" i="2" s="1"/>
  <c r="F95" i="2"/>
  <c r="G95" i="2" s="1"/>
  <c r="F107" i="2"/>
  <c r="G107" i="2" s="1"/>
  <c r="F122" i="2"/>
  <c r="G122" i="2" s="1"/>
  <c r="F45" i="2"/>
  <c r="G45" i="2" s="1"/>
  <c r="F48" i="2"/>
  <c r="G48" i="2" s="1"/>
  <c r="F72" i="2"/>
  <c r="G72" i="2" s="1"/>
  <c r="F62" i="2"/>
  <c r="G62" i="2" s="1"/>
  <c r="F51" i="2"/>
  <c r="G51" i="2" s="1"/>
  <c r="F40" i="2"/>
  <c r="G40" i="2" s="1"/>
  <c r="F29" i="2"/>
  <c r="G29" i="2" s="1"/>
  <c r="F66" i="2"/>
  <c r="G66" i="2" s="1"/>
  <c r="F129" i="2"/>
  <c r="G129" i="2" s="1"/>
  <c r="F55" i="2"/>
  <c r="G55" i="2" s="1"/>
  <c r="F84" i="2"/>
  <c r="G84" i="2" s="1"/>
  <c r="F74" i="2"/>
  <c r="G74" i="2" s="1"/>
  <c r="F63" i="2"/>
  <c r="G63" i="2" s="1"/>
  <c r="F52" i="2"/>
  <c r="G52" i="2" s="1"/>
  <c r="F41" i="2"/>
  <c r="G41" i="2" s="1"/>
  <c r="F114" i="2"/>
  <c r="G114" i="2" s="1"/>
  <c r="F78" i="2"/>
  <c r="G78" i="2" s="1"/>
  <c r="F54" i="2"/>
  <c r="G54" i="2" s="1"/>
  <c r="F58" i="2"/>
  <c r="G58" i="2" s="1"/>
  <c r="F119" i="2"/>
  <c r="G119" i="2" s="1"/>
  <c r="F96" i="2"/>
  <c r="G96" i="2" s="1"/>
  <c r="F86" i="2"/>
  <c r="G86" i="2" s="1"/>
  <c r="F75" i="2"/>
  <c r="G75" i="2" s="1"/>
  <c r="F64" i="2"/>
  <c r="G64" i="2" s="1"/>
  <c r="F53" i="2"/>
  <c r="G53" i="2" s="1"/>
  <c r="F19" i="2"/>
  <c r="G19" i="2" s="1"/>
  <c r="F126" i="2"/>
  <c r="G126" i="2" s="1"/>
  <c r="F102" i="2"/>
  <c r="G102" i="2" s="1"/>
  <c r="F100" i="2"/>
  <c r="G100" i="2" s="1"/>
  <c r="F108" i="2"/>
  <c r="G108" i="2" s="1"/>
  <c r="F98" i="2"/>
  <c r="G98" i="2" s="1"/>
  <c r="F87" i="2"/>
  <c r="G87" i="2" s="1"/>
  <c r="F76" i="2"/>
  <c r="G76" i="2" s="1"/>
  <c r="F65" i="2"/>
  <c r="G65" i="2" s="1"/>
  <c r="F31" i="2"/>
  <c r="G31" i="2" s="1"/>
  <c r="F20" i="2"/>
  <c r="G20" i="2" s="1"/>
  <c r="F21" i="2"/>
  <c r="G21" i="2" s="1"/>
  <c r="F94" i="2"/>
  <c r="G94" i="2" s="1"/>
  <c r="F34" i="2"/>
  <c r="G34" i="2" s="1"/>
  <c r="F120" i="2"/>
  <c r="G120" i="2" s="1"/>
  <c r="F110" i="2"/>
  <c r="G110" i="2" s="1"/>
  <c r="F99" i="2"/>
  <c r="G99" i="2" s="1"/>
  <c r="F88" i="2"/>
  <c r="G88" i="2" s="1"/>
  <c r="F77" i="2"/>
  <c r="G77" i="2" s="1"/>
  <c r="F43" i="2"/>
  <c r="G43" i="2" s="1"/>
  <c r="F32" i="2"/>
  <c r="G32" i="2" s="1"/>
  <c r="F33" i="2"/>
  <c r="G33" i="2" s="1"/>
  <c r="F118" i="2"/>
  <c r="G118" i="2" s="1"/>
  <c r="F132" i="2"/>
  <c r="G132" i="2" s="1"/>
  <c r="F44" i="2"/>
  <c r="G44" i="2" s="1"/>
  <c r="F12" i="2" l="1"/>
</calcChain>
</file>

<file path=xl/sharedStrings.xml><?xml version="1.0" encoding="utf-8"?>
<sst xmlns="http://schemas.openxmlformats.org/spreadsheetml/2006/main" count="33" uniqueCount="30">
  <si>
    <t>Model Parameters</t>
  </si>
  <si>
    <t>k</t>
  </si>
  <si>
    <t>θ</t>
  </si>
  <si>
    <t>σ</t>
  </si>
  <si>
    <t>r(0)</t>
  </si>
  <si>
    <t>dt</t>
  </si>
  <si>
    <t>#</t>
  </si>
  <si>
    <t>Parameter estimation refers to estimating the model parameters from time series data using some statistical method</t>
  </si>
  <si>
    <t>Parameter Estimation ( Regression )</t>
  </si>
  <si>
    <t>DATE</t>
  </si>
  <si>
    <t>Libor 1m</t>
  </si>
  <si>
    <t>dr</t>
  </si>
  <si>
    <t>LL</t>
  </si>
  <si>
    <t>Sum of LL</t>
  </si>
  <si>
    <t>(Maximize)</t>
  </si>
  <si>
    <r>
      <rPr>
        <sz val="11"/>
        <color theme="1"/>
        <rFont val="Calibri"/>
        <family val="2"/>
      </rPr>
      <t>σ</t>
    </r>
    <r>
      <rPr>
        <sz val="11"/>
        <color theme="1"/>
        <rFont val="CMU Sans Serif"/>
      </rPr>
      <t>Z</t>
    </r>
  </si>
  <si>
    <t>Parameter Estimation ( MLE )</t>
  </si>
  <si>
    <t>In MLE method we can use the fact that dr(t) comes from a Gaussian Distribution</t>
  </si>
  <si>
    <t>ϵ</t>
  </si>
  <si>
    <t>r(t)</t>
  </si>
  <si>
    <t>r(t-1)</t>
  </si>
  <si>
    <t>OLS Estimates</t>
  </si>
  <si>
    <t>Intercept</t>
  </si>
  <si>
    <t>slope</t>
  </si>
  <si>
    <t xml:space="preserve">k = </t>
  </si>
  <si>
    <t xml:space="preserve">θ = </t>
  </si>
  <si>
    <t xml:space="preserve">σ = </t>
  </si>
  <si>
    <t>Regression method makes use of the fact that r(t) follows an AR(1) process</t>
  </si>
  <si>
    <t>Model</t>
  </si>
  <si>
    <t>V (ϵ)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</si>
</sst>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%"/>
    <numFmt numFmtId="165" formatCode="0.0000%"/>
    <numFmt numFmtId="166" formatCode="0.00000%"/>
    <numFmt numFmtId="167" formatCode="0.00000"/>
    <numFmt numFmtId="168" formatCode="0.00000000"/>
    <numFmt numFmtId="169" formatCode="0.000000"/>
    <numFmt numFmtId="170" formatCode="0.0000000%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b/>
      <sz val="11"/>
      <color rgb="FFFF0000"/>
      <name val="CMU Sans Serif"/>
    </font>
    <font>
      <sz val="11"/>
      <color rgb="FF0070C0"/>
      <name val="CMU Sans Serif"/>
    </font>
    <font>
      <sz val="11"/>
      <color theme="1"/>
      <name val="Calibri"/>
      <family val="2"/>
    </font>
    <font>
      <sz val="11"/>
      <color theme="1"/>
      <name val="CMU Sans Serif"/>
      <family val="2"/>
    </font>
    <font>
      <sz val="11"/>
      <color theme="4"/>
      <name val="CMU Sans Serif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3" fillId="0" borderId="0" xfId="0" applyFont="1" applyAlignment="1">
      <alignment horizontal="center"/>
    </xf>
    <xf numFmtId="10" fontId="2" fillId="0" borderId="0" xfId="1" applyNumberFormat="1" applyFont="1" applyAlignment="1">
      <alignment horizontal="center"/>
    </xf>
    <xf numFmtId="10" fontId="2" fillId="0" borderId="0" xfId="1" applyNumberFormat="1" applyFont="1"/>
    <xf numFmtId="165" fontId="2" fillId="0" borderId="0" xfId="1" applyNumberFormat="1" applyFont="1"/>
    <xf numFmtId="10" fontId="2" fillId="0" borderId="0" xfId="0" applyNumberFormat="1" applyFont="1" applyAlignment="1">
      <alignment horizontal="center"/>
    </xf>
    <xf numFmtId="10" fontId="5" fillId="0" borderId="0" xfId="1" applyNumberFormat="1" applyFont="1" applyAlignment="1">
      <alignment horizontal="center"/>
    </xf>
    <xf numFmtId="164" fontId="5" fillId="0" borderId="0" xfId="1" applyNumberFormat="1" applyFont="1"/>
    <xf numFmtId="0" fontId="5" fillId="0" borderId="0" xfId="0" applyFont="1" applyAlignment="1">
      <alignment horizontal="center"/>
    </xf>
    <xf numFmtId="164" fontId="2" fillId="0" borderId="0" xfId="1" applyNumberFormat="1" applyFont="1"/>
    <xf numFmtId="0" fontId="6" fillId="0" borderId="0" xfId="0" applyFont="1"/>
    <xf numFmtId="0" fontId="2" fillId="2" borderId="1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6" fontId="2" fillId="0" borderId="0" xfId="1" applyNumberFormat="1" applyFont="1" applyAlignment="1">
      <alignment horizontal="center"/>
    </xf>
    <xf numFmtId="164" fontId="2" fillId="0" borderId="0" xfId="0" applyNumberFormat="1" applyFont="1"/>
    <xf numFmtId="2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4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  <xf numFmtId="164" fontId="8" fillId="2" borderId="1" xfId="0" applyNumberFormat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3" fillId="0" borderId="1" xfId="0" applyFont="1" applyBorder="1"/>
    <xf numFmtId="168" fontId="3" fillId="0" borderId="0" xfId="1" applyNumberFormat="1" applyFont="1" applyAlignment="1">
      <alignment horizontal="left"/>
    </xf>
    <xf numFmtId="170" fontId="3" fillId="0" borderId="0" xfId="1" applyNumberFormat="1" applyFont="1" applyAlignment="1">
      <alignment horizontal="left"/>
    </xf>
    <xf numFmtId="169" fontId="3" fillId="0" borderId="0" xfId="0" applyNumberFormat="1" applyFont="1"/>
    <xf numFmtId="164" fontId="3" fillId="0" borderId="0" xfId="0" applyNumberFormat="1" applyFont="1"/>
    <xf numFmtId="165" fontId="3" fillId="0" borderId="0" xfId="0" applyNumberFormat="1" applyFont="1"/>
    <xf numFmtId="168" fontId="2" fillId="0" borderId="0" xfId="0" applyNumberFormat="1" applyFont="1"/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
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CA2146-1288-F305-FA21-0E5FD54C5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8</xdr:row>
      <xdr:rowOff>190500</xdr:rowOff>
    </xdr:from>
    <xdr:to>
      <xdr:col>6</xdr:col>
      <xdr:colOff>485953</xdr:colOff>
      <xdr:row>10</xdr:row>
      <xdr:rowOff>41932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B596-4FFC-42BB-9F8C-A92E67B22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1638300"/>
          <a:ext cx="2057578" cy="251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7</xdr:row>
      <xdr:rowOff>171450</xdr:rowOff>
    </xdr:from>
    <xdr:to>
      <xdr:col>3</xdr:col>
      <xdr:colOff>466903</xdr:colOff>
      <xdr:row>9</xdr:row>
      <xdr:rowOff>22882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966B7F5-5699-4105-81CA-BF7C3A998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1619250"/>
          <a:ext cx="2057578" cy="251482"/>
        </a:xfrm>
        <a:prstGeom prst="rect">
          <a:avLst/>
        </a:prstGeom>
      </xdr:spPr>
    </xdr:pic>
    <xdr:clientData/>
  </xdr:twoCellAnchor>
  <xdr:oneCellAnchor>
    <xdr:from>
      <xdr:col>1</xdr:col>
      <xdr:colOff>47625</xdr:colOff>
      <xdr:row>9</xdr:row>
      <xdr:rowOff>190500</xdr:rowOff>
    </xdr:from>
    <xdr:ext cx="2995948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058C562-D782-CE4B-5593-CE031D91555D}"/>
                </a:ext>
              </a:extLst>
            </xdr:cNvPr>
            <xdr:cNvSpPr txBox="1"/>
          </xdr:nvSpPr>
          <xdr:spPr>
            <a:xfrm>
              <a:off x="657225" y="2038350"/>
              <a:ext cx="2995948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 panose="02040503050406030204" pitchFamily="18" charset="0"/>
                      </a:rPr>
                      <m:t>𝒓</m:t>
                    </m:r>
                    <m:d>
                      <m:dPr>
                        <m:ctrlPr>
                          <a:rPr lang="en-US" sz="12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𝒕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𝟏</m:t>
                        </m:r>
                      </m:e>
                    </m:d>
                    <m:r>
                      <a:rPr lang="en-US" sz="12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b="1" i="1">
                        <a:latin typeface="Cambria Math" panose="02040503050406030204" pitchFamily="18" charset="0"/>
                      </a:rPr>
                      <m:t>𝒌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𝜽</m:t>
                    </m:r>
                    <m:r>
                      <a:rPr lang="el-GR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𝜟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𝒕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𝒓</m:t>
                    </m:r>
                    <m:d>
                      <m:dPr>
                        <m:ctrlP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𝒕</m:t>
                        </m:r>
                      </m:e>
                    </m:d>
                    <m:d>
                      <m:dPr>
                        <m:ctrlP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𝒌</m:t>
                        </m:r>
                        <m:r>
                          <a:rPr lang="el-GR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𝜟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𝒕</m:t>
                        </m:r>
                      </m:e>
                    </m:d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𝝐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𝒕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200" b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058C562-D782-CE4B-5593-CE031D91555D}"/>
                </a:ext>
              </a:extLst>
            </xdr:cNvPr>
            <xdr:cNvSpPr txBox="1"/>
          </xdr:nvSpPr>
          <xdr:spPr>
            <a:xfrm>
              <a:off x="657225" y="2038350"/>
              <a:ext cx="2995948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200" b="1" i="0">
                  <a:latin typeface="Cambria Math" panose="02040503050406030204" pitchFamily="18" charset="0"/>
                </a:rPr>
                <a:t>𝒓(𝒕+𝟏)=𝒌</a:t>
              </a:r>
              <a:r>
                <a:rPr lang="en-US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𝜽</a:t>
              </a:r>
              <a:r>
                <a:rPr lang="el-GR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𝜟</a:t>
              </a:r>
              <a:r>
                <a:rPr lang="en-US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𝒕+𝒓(𝒕)(𝟏−𝒌</a:t>
              </a:r>
              <a:r>
                <a:rPr lang="el-GR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𝜟</a:t>
              </a:r>
              <a:r>
                <a:rPr lang="en-US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𝒕)+𝝐(𝒕+𝟏)</a:t>
              </a:r>
              <a:endParaRPr lang="en-US" sz="1200" b="1"/>
            </a:p>
          </xdr:txBody>
        </xdr:sp>
      </mc:Fallback>
    </mc:AlternateContent>
    <xdr:clientData/>
  </xdr:oneCellAnchor>
  <xdr:oneCellAnchor>
    <xdr:from>
      <xdr:col>1</xdr:col>
      <xdr:colOff>47625</xdr:colOff>
      <xdr:row>11</xdr:row>
      <xdr:rowOff>142875</xdr:rowOff>
    </xdr:from>
    <xdr:ext cx="1563440" cy="2084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6FF8772-DFC3-482A-B512-3D962CC8C351}"/>
                </a:ext>
              </a:extLst>
            </xdr:cNvPr>
            <xdr:cNvSpPr txBox="1"/>
          </xdr:nvSpPr>
          <xdr:spPr>
            <a:xfrm>
              <a:off x="657225" y="2390775"/>
              <a:ext cx="1563440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𝝐</m:t>
                    </m:r>
                    <m:d>
                      <m:dPr>
                        <m:ctrlP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𝒕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e>
                    </m:d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~  </m:t>
                    </m:r>
                    <m:r>
                      <a:rPr lang="en-US" sz="12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𝑵</m:t>
                    </m:r>
                    <m:d>
                      <m:dPr>
                        <m:ctrlP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𝟎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sSup>
                          <m:sSupPr>
                            <m:ctrlPr>
                              <a:rPr lang="en-US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𝝈</m:t>
                            </m:r>
                          </m:e>
                          <m:sup>
                            <m:r>
                              <a:rPr lang="en-US" sz="12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𝚫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𝒕</m:t>
                        </m:r>
                      </m:e>
                    </m:d>
                  </m:oMath>
                </m:oMathPara>
              </a14:m>
              <a:endParaRPr lang="en-US" sz="1200" b="1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6FF8772-DFC3-482A-B512-3D962CC8C351}"/>
                </a:ext>
              </a:extLst>
            </xdr:cNvPr>
            <xdr:cNvSpPr txBox="1"/>
          </xdr:nvSpPr>
          <xdr:spPr>
            <a:xfrm>
              <a:off x="657225" y="2390775"/>
              <a:ext cx="1563440" cy="2084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2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𝝐(𝒕+𝟏)   ~  𝑵(𝟎,𝝈^𝟐 𝚫𝒕)</a:t>
              </a:r>
              <a:endParaRPr lang="en-US" sz="12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AB5D7-EF2F-4411-85E3-8447132A0660}">
  <sheetPr codeName="Sheet5"/>
  <dimension ref="A1"/>
  <sheetViews>
    <sheetView showGridLines="0" workbookViewId="0"/>
  </sheetViews>
  <sheetFormatPr defaultRowHeight="14.5"/>
  <sheetData/>
  <sheetProtection algorithmName="SHA-512" hashValue="3ClGcLp4WwtT+wH0lowEKAPQYE7E1bhqMPGcs0RuGJGiSivuMWP3+c7b8GdmzrkChGRyysajowA+7Eca8v7iOw==" saltValue="UuqZxVIa5MVeZaJbhkCO0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5A6F-A68D-43E4-AF71-E5DFAFFB1480}">
  <sheetPr codeName="Sheet1"/>
  <dimension ref="B3:BD516"/>
  <sheetViews>
    <sheetView showGridLines="0" zoomScale="80" zoomScaleNormal="80" workbookViewId="0">
      <selection activeCell="K18" sqref="K18"/>
    </sheetView>
  </sheetViews>
  <sheetFormatPr defaultColWidth="8.90625" defaultRowHeight="14"/>
  <cols>
    <col min="1" max="1" width="8.90625" style="1"/>
    <col min="2" max="2" width="11.1796875" style="1" customWidth="1"/>
    <col min="3" max="4" width="11.6328125" style="1" customWidth="1"/>
    <col min="5" max="5" width="11.1796875" style="1" customWidth="1"/>
    <col min="6" max="6" width="11.453125" style="1" customWidth="1"/>
    <col min="7" max="7" width="9.90625" style="1" bestFit="1" customWidth="1"/>
    <col min="8" max="12" width="8.90625" style="1"/>
    <col min="13" max="13" width="9.54296875" style="1" bestFit="1" customWidth="1"/>
    <col min="14" max="28" width="8.90625" style="1"/>
    <col min="29" max="29" width="10.1796875" style="1" bestFit="1" customWidth="1"/>
    <col min="30" max="16384" width="8.90625" style="1"/>
  </cols>
  <sheetData>
    <row r="3" spans="2:56" ht="18">
      <c r="B3" s="4" t="s">
        <v>16</v>
      </c>
      <c r="C3" s="5"/>
      <c r="D3" s="5"/>
      <c r="E3" s="5"/>
      <c r="F3" s="5"/>
      <c r="G3" s="5"/>
      <c r="H3" s="5"/>
    </row>
    <row r="5" spans="2:56">
      <c r="B5" s="30" t="s">
        <v>7</v>
      </c>
    </row>
    <row r="6" spans="2:56">
      <c r="B6" s="30" t="s">
        <v>17</v>
      </c>
    </row>
    <row r="8" spans="2:56">
      <c r="B8" s="2" t="s">
        <v>0</v>
      </c>
      <c r="K8" s="2"/>
      <c r="L8" s="2"/>
      <c r="U8" s="2"/>
      <c r="V8" s="2"/>
    </row>
    <row r="10" spans="2:56">
      <c r="B10" s="2" t="s">
        <v>1</v>
      </c>
      <c r="C10" s="24">
        <v>8.5543910004815996E-2</v>
      </c>
      <c r="L10" s="11"/>
      <c r="V10" s="12"/>
    </row>
    <row r="11" spans="2:56">
      <c r="B11" s="2" t="s">
        <v>2</v>
      </c>
      <c r="C11" s="27">
        <v>5.7787664267956772E-3</v>
      </c>
    </row>
    <row r="12" spans="2:56">
      <c r="B12" s="2" t="s">
        <v>3</v>
      </c>
      <c r="C12" s="28">
        <v>3.4612760590295266E-3</v>
      </c>
      <c r="E12" s="1" t="s">
        <v>13</v>
      </c>
      <c r="F12" s="26">
        <f>SUM(G19:G137)</f>
        <v>1229.5360350270807</v>
      </c>
    </row>
    <row r="13" spans="2:56">
      <c r="B13" s="2" t="s">
        <v>4</v>
      </c>
      <c r="C13" s="25">
        <v>2.5328478260869501E-3</v>
      </c>
      <c r="F13" s="1" t="s">
        <v>14</v>
      </c>
    </row>
    <row r="14" spans="2:56">
      <c r="B14" s="2" t="s">
        <v>5</v>
      </c>
      <c r="C14" s="3">
        <f>1/12</f>
        <v>8.3333333333333329E-2</v>
      </c>
      <c r="E14" s="7"/>
      <c r="F14" s="7"/>
      <c r="G14" s="7"/>
      <c r="H14" s="7"/>
      <c r="T14" s="2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</row>
    <row r="15" spans="2:56">
      <c r="E15" s="7"/>
      <c r="F15" s="7"/>
      <c r="T15" s="2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</row>
    <row r="16" spans="2:56">
      <c r="E16" s="7"/>
      <c r="F16" s="7"/>
    </row>
    <row r="17" spans="2:56" ht="14.5">
      <c r="B17" s="16" t="s">
        <v>6</v>
      </c>
      <c r="C17" s="16" t="s">
        <v>9</v>
      </c>
      <c r="D17" s="16" t="s">
        <v>10</v>
      </c>
      <c r="E17" s="17" t="s">
        <v>11</v>
      </c>
      <c r="F17" s="29" t="s">
        <v>15</v>
      </c>
      <c r="G17" s="17" t="s">
        <v>12</v>
      </c>
      <c r="T17" s="2"/>
      <c r="U17" s="13"/>
      <c r="V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</row>
    <row r="18" spans="2:56">
      <c r="B18" s="3">
        <v>1</v>
      </c>
      <c r="C18" s="21">
        <v>40603</v>
      </c>
      <c r="D18" s="18">
        <v>2.5328478260869501E-3</v>
      </c>
      <c r="E18" s="22"/>
      <c r="F18" s="22"/>
      <c r="G18" s="22"/>
      <c r="J18" s="7"/>
      <c r="K18" s="7"/>
      <c r="L18" s="7"/>
      <c r="M18" s="7"/>
      <c r="N18" s="7"/>
      <c r="T18" s="10"/>
    </row>
    <row r="19" spans="2:56">
      <c r="B19" s="3">
        <v>2</v>
      </c>
      <c r="C19" s="21">
        <v>40634</v>
      </c>
      <c r="D19" s="18">
        <v>2.2143499999999999E-3</v>
      </c>
      <c r="E19" s="22">
        <f>D19-D18</f>
        <v>-3.184978260869502E-4</v>
      </c>
      <c r="F19" s="23">
        <f t="shared" ref="F19:F50" si="0">(E19-(k*(theta-D18)*dt))/(SQRT(dt))</f>
        <v>-1.1834648451969157E-3</v>
      </c>
      <c r="G19" s="20">
        <f t="shared" ref="G19:G50" si="1">-(LN(vol^2)+(F19/vol)^2)</f>
        <v>11.215329520341271</v>
      </c>
      <c r="J19" s="7"/>
      <c r="K19" s="7"/>
      <c r="L19" s="7"/>
      <c r="M19" s="7"/>
      <c r="N19" s="7"/>
      <c r="T19" s="10"/>
    </row>
    <row r="20" spans="2:56">
      <c r="B20" s="3">
        <v>3</v>
      </c>
      <c r="C20" s="21">
        <v>40664</v>
      </c>
      <c r="D20" s="18">
        <v>1.9780049999999997E-3</v>
      </c>
      <c r="E20" s="22">
        <f t="shared" ref="E20:E83" si="2">D20-D19</f>
        <v>-2.3634500000000022E-4</v>
      </c>
      <c r="F20" s="23">
        <f t="shared" si="0"/>
        <v>-9.0674422029291186E-4</v>
      </c>
      <c r="G20" s="20">
        <f t="shared" si="1"/>
        <v>11.263608577462707</v>
      </c>
      <c r="J20" s="7"/>
      <c r="K20" s="7"/>
      <c r="L20" s="7"/>
      <c r="M20" s="7"/>
      <c r="N20" s="7"/>
      <c r="T20" s="10"/>
    </row>
    <row r="21" spans="2:56">
      <c r="B21" s="3">
        <v>4</v>
      </c>
      <c r="C21" s="21">
        <v>40695</v>
      </c>
      <c r="D21" s="18">
        <v>1.8716409090908999E-3</v>
      </c>
      <c r="E21" s="22">
        <f t="shared" si="2"/>
        <v>-1.0636409090909976E-4</v>
      </c>
      <c r="F21" s="23">
        <f t="shared" si="0"/>
        <v>-4.6231354107927834E-4</v>
      </c>
      <c r="G21" s="20">
        <f t="shared" si="1"/>
        <v>11.31439566702365</v>
      </c>
      <c r="J21" s="7"/>
      <c r="K21" s="7"/>
      <c r="L21" s="7"/>
      <c r="M21" s="7"/>
      <c r="N21" s="7"/>
      <c r="T21" s="10"/>
    </row>
    <row r="22" spans="2:56">
      <c r="B22" s="3">
        <v>5</v>
      </c>
      <c r="C22" s="21">
        <v>40725</v>
      </c>
      <c r="D22" s="18">
        <v>1.8661904761904699E-3</v>
      </c>
      <c r="E22" s="22">
        <f t="shared" si="2"/>
        <v>-5.4504329004300724E-6</v>
      </c>
      <c r="F22" s="23">
        <f t="shared" si="0"/>
        <v>-1.1536497276028273E-4</v>
      </c>
      <c r="G22" s="20">
        <f t="shared" si="1"/>
        <v>11.331125008173268</v>
      </c>
      <c r="J22" s="7"/>
      <c r="K22" s="7"/>
      <c r="L22" s="7"/>
      <c r="M22" s="7"/>
      <c r="N22" s="7"/>
      <c r="O22" s="15"/>
      <c r="T22" s="10"/>
    </row>
    <row r="23" spans="2:56">
      <c r="B23" s="3">
        <v>6</v>
      </c>
      <c r="C23" s="21">
        <v>40756</v>
      </c>
      <c r="D23" s="18">
        <v>2.1116590909090898E-3</v>
      </c>
      <c r="E23" s="22">
        <f t="shared" si="2"/>
        <v>2.4546861471861996E-4</v>
      </c>
      <c r="F23" s="23">
        <f t="shared" si="0"/>
        <v>7.5370951019692689E-4</v>
      </c>
      <c r="G23" s="20">
        <f t="shared" si="1"/>
        <v>11.28481875220343</v>
      </c>
      <c r="J23" s="7"/>
      <c r="K23" s="7"/>
      <c r="L23" s="7"/>
      <c r="M23" s="7"/>
      <c r="N23" s="7"/>
      <c r="T23" s="10"/>
    </row>
    <row r="24" spans="2:56">
      <c r="B24" s="3">
        <v>7</v>
      </c>
      <c r="C24" s="21">
        <v>40787</v>
      </c>
      <c r="D24" s="18">
        <v>2.3085045454545399E-3</v>
      </c>
      <c r="E24" s="22">
        <f t="shared" si="2"/>
        <v>1.9684545454545007E-4</v>
      </c>
      <c r="F24" s="23">
        <f t="shared" si="0"/>
        <v>5.9133564260206001E-4</v>
      </c>
      <c r="G24" s="20">
        <f t="shared" si="1"/>
        <v>11.30304849419746</v>
      </c>
      <c r="J24" s="7"/>
      <c r="K24" s="7"/>
      <c r="L24" s="7"/>
      <c r="M24" s="7"/>
      <c r="N24" s="7"/>
      <c r="T24" s="10"/>
    </row>
    <row r="25" spans="2:56">
      <c r="B25" s="3">
        <v>8</v>
      </c>
      <c r="C25" s="21">
        <v>40817</v>
      </c>
      <c r="D25" s="18">
        <v>2.4373904761904701E-3</v>
      </c>
      <c r="E25" s="22">
        <f t="shared" si="2"/>
        <v>1.2888593073593019E-4</v>
      </c>
      <c r="F25" s="23">
        <f t="shared" si="0"/>
        <v>3.6077792674995586E-4</v>
      </c>
      <c r="G25" s="20">
        <f t="shared" si="1"/>
        <v>11.321371467072975</v>
      </c>
      <c r="J25" s="7"/>
      <c r="K25" s="7"/>
      <c r="L25" s="7"/>
      <c r="M25" s="7"/>
      <c r="N25" s="7"/>
      <c r="T25" s="10"/>
    </row>
    <row r="26" spans="2:56">
      <c r="B26" s="3">
        <v>9</v>
      </c>
      <c r="C26" s="21">
        <v>40848</v>
      </c>
      <c r="D26" s="18">
        <v>2.5364636363636298E-3</v>
      </c>
      <c r="E26" s="22">
        <f t="shared" si="2"/>
        <v>9.9073160173159761E-5</v>
      </c>
      <c r="F26" s="23">
        <f t="shared" si="0"/>
        <v>2.6068622078546564E-4</v>
      </c>
      <c r="G26" s="20">
        <f t="shared" si="1"/>
        <v>11.326563550876534</v>
      </c>
      <c r="J26" s="7"/>
      <c r="K26" s="7"/>
      <c r="L26" s="7"/>
      <c r="M26" s="7"/>
      <c r="N26" s="7"/>
      <c r="O26" s="6"/>
      <c r="P26" s="3"/>
      <c r="Q26" s="3"/>
      <c r="R26" s="3"/>
      <c r="T26" s="10"/>
    </row>
    <row r="27" spans="2:56">
      <c r="B27" s="3">
        <v>10</v>
      </c>
      <c r="C27" s="21">
        <v>40878</v>
      </c>
      <c r="D27" s="18">
        <v>2.8360849999999999E-3</v>
      </c>
      <c r="E27" s="22">
        <f t="shared" si="2"/>
        <v>2.9962136363637006E-4</v>
      </c>
      <c r="F27" s="23">
        <f t="shared" si="0"/>
        <v>9.5785212853561447E-4</v>
      </c>
      <c r="G27" s="20">
        <f t="shared" si="1"/>
        <v>11.255654305075105</v>
      </c>
      <c r="J27" s="7"/>
      <c r="K27" s="7"/>
      <c r="L27" s="7"/>
      <c r="M27" s="7"/>
      <c r="N27" s="7"/>
      <c r="O27" s="6"/>
      <c r="P27" s="7"/>
      <c r="Q27" s="7"/>
      <c r="R27" s="7"/>
      <c r="T27" s="10"/>
    </row>
    <row r="28" spans="2:56">
      <c r="B28" s="3">
        <v>11</v>
      </c>
      <c r="C28" s="21">
        <v>40909</v>
      </c>
      <c r="D28" s="18">
        <v>2.8289523809523799E-3</v>
      </c>
      <c r="E28" s="22">
        <f t="shared" si="2"/>
        <v>-7.1326190476199945E-6</v>
      </c>
      <c r="F28" s="23">
        <f t="shared" si="0"/>
        <v>-9.7375868607329775E-5</v>
      </c>
      <c r="G28" s="20">
        <f t="shared" si="1"/>
        <v>11.331444447169019</v>
      </c>
      <c r="J28" s="7"/>
      <c r="K28" s="7"/>
      <c r="L28" s="7"/>
      <c r="M28" s="7"/>
      <c r="N28" s="7"/>
      <c r="O28" s="6"/>
      <c r="P28" s="7"/>
      <c r="Q28" s="7"/>
      <c r="R28" s="7"/>
      <c r="T28" s="10"/>
    </row>
    <row r="29" spans="2:56">
      <c r="B29" s="3">
        <v>12</v>
      </c>
      <c r="C29" s="21">
        <v>40940</v>
      </c>
      <c r="D29" s="18">
        <v>2.5002380952380897E-3</v>
      </c>
      <c r="E29" s="22">
        <f t="shared" si="2"/>
        <v>-3.2871428571429025E-4</v>
      </c>
      <c r="F29" s="23">
        <f t="shared" si="0"/>
        <v>-1.2115435752519485E-3</v>
      </c>
      <c r="G29" s="20">
        <f t="shared" si="1"/>
        <v>11.209716300787941</v>
      </c>
      <c r="J29" s="7"/>
      <c r="K29" s="7"/>
      <c r="L29" s="7"/>
      <c r="T29" s="10"/>
    </row>
    <row r="30" spans="2:56">
      <c r="B30" s="3">
        <v>13</v>
      </c>
      <c r="C30" s="21">
        <v>40969</v>
      </c>
      <c r="D30" s="18">
        <v>2.4185227272727201E-3</v>
      </c>
      <c r="E30" s="22">
        <f t="shared" si="2"/>
        <v>-8.1715367965369545E-5</v>
      </c>
      <c r="F30" s="23">
        <f t="shared" si="0"/>
        <v>-3.6403162731047349E-4</v>
      </c>
      <c r="G30" s="20">
        <f t="shared" si="1"/>
        <v>11.321174619975908</v>
      </c>
      <c r="H30" s="7"/>
      <c r="I30" s="7"/>
      <c r="J30" s="7"/>
      <c r="K30" s="7"/>
      <c r="L30" s="7"/>
      <c r="T30" s="10"/>
    </row>
    <row r="31" spans="2:56">
      <c r="B31" s="3">
        <v>14</v>
      </c>
      <c r="C31" s="21">
        <v>41000</v>
      </c>
      <c r="D31" s="18">
        <v>2.39828947368421E-3</v>
      </c>
      <c r="E31" s="22">
        <f t="shared" si="2"/>
        <v>-2.0233253588510143E-5</v>
      </c>
      <c r="F31" s="23">
        <f t="shared" si="0"/>
        <v>-1.5306924755649164E-4</v>
      </c>
      <c r="G31" s="20">
        <f t="shared" si="1"/>
        <v>11.330280204109107</v>
      </c>
      <c r="H31" s="7"/>
      <c r="I31" s="7"/>
      <c r="J31" s="7"/>
      <c r="K31" s="7"/>
      <c r="L31" s="7"/>
      <c r="T31" s="10"/>
    </row>
    <row r="32" spans="2:56">
      <c r="B32" s="3">
        <v>15</v>
      </c>
      <c r="C32" s="21">
        <v>41030</v>
      </c>
      <c r="D32" s="18">
        <v>2.38931818181818E-3</v>
      </c>
      <c r="E32" s="22">
        <f t="shared" si="2"/>
        <v>-8.9712918660300213E-6</v>
      </c>
      <c r="F32" s="23">
        <f t="shared" si="0"/>
        <v>-1.1455631581607097E-4</v>
      </c>
      <c r="G32" s="20">
        <f t="shared" si="1"/>
        <v>11.33114052743395</v>
      </c>
      <c r="H32" s="7"/>
      <c r="I32" s="7"/>
      <c r="J32" s="7"/>
      <c r="K32" s="7"/>
      <c r="L32" s="7"/>
      <c r="T32" s="10"/>
    </row>
    <row r="33" spans="2:20">
      <c r="B33" s="3">
        <v>16</v>
      </c>
      <c r="C33" s="21">
        <v>41061</v>
      </c>
      <c r="D33" s="18">
        <v>2.4319736842105199E-3</v>
      </c>
      <c r="E33" s="22">
        <f t="shared" si="2"/>
        <v>4.2655502392339919E-5</v>
      </c>
      <c r="F33" s="23">
        <f t="shared" si="0"/>
        <v>6.4062604891259109E-5</v>
      </c>
      <c r="G33" s="20">
        <f t="shared" si="1"/>
        <v>11.331893349383979</v>
      </c>
      <c r="H33" s="7"/>
      <c r="I33" s="7"/>
      <c r="J33" s="7"/>
      <c r="K33" s="7"/>
      <c r="L33" s="7"/>
      <c r="M33" s="7"/>
      <c r="N33" s="7"/>
      <c r="O33" s="3"/>
      <c r="P33" s="14"/>
      <c r="Q33" s="14"/>
      <c r="R33" s="14"/>
      <c r="T33" s="10"/>
    </row>
    <row r="34" spans="2:20">
      <c r="B34" s="3">
        <v>17</v>
      </c>
      <c r="C34" s="21">
        <v>41091</v>
      </c>
      <c r="D34" s="18">
        <v>2.4646136363636302E-3</v>
      </c>
      <c r="E34" s="22">
        <f t="shared" si="2"/>
        <v>3.2639952153110368E-5</v>
      </c>
      <c r="F34" s="23">
        <f t="shared" si="0"/>
        <v>3.0421073157999084E-5</v>
      </c>
      <c r="G34" s="20">
        <f t="shared" si="1"/>
        <v>11.332158663327986</v>
      </c>
      <c r="H34" s="7"/>
      <c r="I34" s="7"/>
      <c r="J34" s="7"/>
      <c r="K34" s="7"/>
      <c r="L34" s="7"/>
      <c r="M34" s="7"/>
      <c r="N34" s="7"/>
      <c r="O34" s="3"/>
      <c r="P34" s="14"/>
      <c r="Q34" s="14"/>
      <c r="R34" s="14"/>
      <c r="T34" s="10"/>
    </row>
    <row r="35" spans="2:20">
      <c r="B35" s="3">
        <v>18</v>
      </c>
      <c r="C35" s="21">
        <v>41122</v>
      </c>
      <c r="D35" s="18">
        <v>2.3783863636363599E-3</v>
      </c>
      <c r="E35" s="22">
        <f t="shared" si="2"/>
        <v>-8.6227272727270373E-5</v>
      </c>
      <c r="F35" s="23">
        <f t="shared" si="0"/>
        <v>-3.8054104851128969E-4</v>
      </c>
      <c r="G35" s="20">
        <f t="shared" si="1"/>
        <v>11.320148574841301</v>
      </c>
      <c r="H35" s="7"/>
      <c r="I35" s="7"/>
      <c r="J35" s="7"/>
      <c r="K35" s="7"/>
      <c r="L35" s="7"/>
      <c r="M35" s="7"/>
      <c r="N35" s="7"/>
      <c r="O35" s="3"/>
      <c r="P35" s="14"/>
      <c r="Q35" s="14"/>
      <c r="R35" s="14"/>
      <c r="T35" s="10"/>
    </row>
    <row r="36" spans="2:20">
      <c r="B36" s="3">
        <v>19</v>
      </c>
      <c r="C36" s="21">
        <v>41153</v>
      </c>
      <c r="D36" s="18">
        <v>2.2133750000000001E-3</v>
      </c>
      <c r="E36" s="22">
        <f t="shared" si="2"/>
        <v>-1.650113636363598E-4</v>
      </c>
      <c r="F36" s="23">
        <f t="shared" si="0"/>
        <v>-6.5558647581736109E-4</v>
      </c>
      <c r="G36" s="20">
        <f t="shared" si="1"/>
        <v>11.296361274124608</v>
      </c>
      <c r="H36" s="7"/>
      <c r="I36" s="7"/>
      <c r="J36" s="7"/>
      <c r="K36" s="7"/>
      <c r="L36" s="7"/>
      <c r="M36" s="7"/>
      <c r="N36" s="7"/>
      <c r="O36" s="3"/>
      <c r="P36" s="14"/>
      <c r="Q36" s="14"/>
      <c r="R36" s="14"/>
      <c r="T36" s="10"/>
    </row>
    <row r="37" spans="2:20">
      <c r="B37" s="3">
        <v>20</v>
      </c>
      <c r="C37" s="21">
        <v>41183</v>
      </c>
      <c r="D37" s="18">
        <v>2.1346521739130401E-3</v>
      </c>
      <c r="E37" s="22">
        <f t="shared" si="2"/>
        <v>-7.8722826086959942E-5</v>
      </c>
      <c r="F37" s="23">
        <f t="shared" si="0"/>
        <v>-3.6074907009896602E-4</v>
      </c>
      <c r="G37" s="20">
        <f t="shared" si="1"/>
        <v>11.321373204977986</v>
      </c>
      <c r="H37" s="7"/>
      <c r="I37" s="7"/>
      <c r="J37" s="7"/>
      <c r="K37" s="7"/>
      <c r="L37" s="7"/>
      <c r="M37" s="7"/>
      <c r="N37" s="7"/>
      <c r="O37" s="3"/>
      <c r="P37" s="14"/>
      <c r="Q37" s="14"/>
      <c r="R37" s="14"/>
      <c r="T37" s="10"/>
    </row>
    <row r="38" spans="2:20">
      <c r="B38" s="3">
        <v>21</v>
      </c>
      <c r="C38" s="21">
        <v>41214</v>
      </c>
      <c r="D38" s="18">
        <v>2.08886363636363E-3</v>
      </c>
      <c r="E38" s="22">
        <f t="shared" si="2"/>
        <v>-4.5788537549410098E-5</v>
      </c>
      <c r="F38" s="23">
        <f t="shared" si="0"/>
        <v>-2.4860536091824039E-4</v>
      </c>
      <c r="G38" s="20">
        <f t="shared" si="1"/>
        <v>11.327077111677371</v>
      </c>
      <c r="H38" s="7"/>
      <c r="I38" s="7"/>
      <c r="J38" s="7"/>
      <c r="K38" s="7"/>
      <c r="L38" s="7"/>
      <c r="M38" s="7"/>
      <c r="N38" s="7"/>
      <c r="O38" s="3"/>
      <c r="P38" s="14"/>
      <c r="Q38" s="14"/>
      <c r="R38" s="14"/>
      <c r="T38" s="10"/>
    </row>
    <row r="39" spans="2:20">
      <c r="B39" s="3">
        <v>22</v>
      </c>
      <c r="C39" s="21">
        <v>41244</v>
      </c>
      <c r="D39" s="18">
        <v>2.10926315789473E-3</v>
      </c>
      <c r="E39" s="22">
        <f t="shared" si="2"/>
        <v>2.0399521531099928E-5</v>
      </c>
      <c r="F39" s="23">
        <f t="shared" si="0"/>
        <v>-2.0453919004111467E-5</v>
      </c>
      <c r="G39" s="20">
        <f t="shared" si="1"/>
        <v>11.332200988921192</v>
      </c>
      <c r="H39" s="7"/>
      <c r="I39" s="7"/>
      <c r="J39" s="7"/>
      <c r="K39" s="7"/>
      <c r="L39" s="7"/>
      <c r="M39" s="7"/>
      <c r="N39" s="7"/>
      <c r="O39" s="3"/>
      <c r="P39" s="14"/>
      <c r="Q39" s="14"/>
      <c r="R39" s="14"/>
      <c r="T39" s="10"/>
    </row>
    <row r="40" spans="2:20">
      <c r="B40" s="3">
        <v>23</v>
      </c>
      <c r="C40" s="21">
        <v>41275</v>
      </c>
      <c r="D40" s="18">
        <v>2.0497272727272699E-3</v>
      </c>
      <c r="E40" s="22">
        <f t="shared" si="2"/>
        <v>-5.9535885167460046E-5</v>
      </c>
      <c r="F40" s="23">
        <f t="shared" si="0"/>
        <v>-2.9685453651620677E-4</v>
      </c>
      <c r="G40" s="20">
        <f t="shared" si="1"/>
        <v>11.324880363641254</v>
      </c>
      <c r="H40" s="7"/>
      <c r="I40" s="7"/>
      <c r="J40" s="7"/>
      <c r="K40" s="7"/>
      <c r="L40" s="7"/>
      <c r="M40" s="7"/>
      <c r="N40" s="7"/>
      <c r="O40" s="3"/>
      <c r="P40" s="14"/>
      <c r="Q40" s="14"/>
      <c r="R40" s="14"/>
      <c r="T40" s="10"/>
    </row>
    <row r="41" spans="2:20">
      <c r="B41" s="3">
        <v>24</v>
      </c>
      <c r="C41" s="21">
        <v>41306</v>
      </c>
      <c r="D41" s="18">
        <v>2.013E-3</v>
      </c>
      <c r="E41" s="22">
        <f t="shared" si="2"/>
        <v>-3.6727272727269875E-5</v>
      </c>
      <c r="F41" s="23">
        <f t="shared" si="0"/>
        <v>-2.1931338826995986E-4</v>
      </c>
      <c r="G41" s="20">
        <f t="shared" si="1"/>
        <v>11.328221165852733</v>
      </c>
      <c r="H41" s="7"/>
      <c r="I41" s="7"/>
      <c r="J41" s="7"/>
      <c r="K41" s="7"/>
      <c r="L41" s="7"/>
      <c r="M41" s="7"/>
      <c r="N41" s="7"/>
      <c r="T41" s="10"/>
    </row>
    <row r="42" spans="2:20">
      <c r="B42" s="3">
        <v>25</v>
      </c>
      <c r="C42" s="21">
        <v>41334</v>
      </c>
      <c r="D42" s="18">
        <v>2.0344999999999999E-3</v>
      </c>
      <c r="E42" s="22">
        <f t="shared" si="2"/>
        <v>2.1499999999999818E-5</v>
      </c>
      <c r="F42" s="23">
        <f t="shared" si="0"/>
        <v>-1.8515156724240182E-5</v>
      </c>
      <c r="G42" s="20">
        <f t="shared" si="1"/>
        <v>11.332207295185807</v>
      </c>
      <c r="H42" s="7"/>
      <c r="I42" s="7"/>
      <c r="J42" s="7"/>
      <c r="K42" s="7"/>
      <c r="L42" s="7"/>
      <c r="M42" s="7"/>
      <c r="N42" s="7"/>
      <c r="T42" s="10"/>
    </row>
    <row r="43" spans="2:20">
      <c r="B43" s="3">
        <v>26</v>
      </c>
      <c r="C43" s="21">
        <v>41365</v>
      </c>
      <c r="D43" s="18">
        <v>1.9953333333333299E-3</v>
      </c>
      <c r="E43" s="22">
        <f t="shared" si="2"/>
        <v>-3.9166666666669986E-5</v>
      </c>
      <c r="F43" s="23">
        <f t="shared" si="0"/>
        <v>-2.281397251149851E-4</v>
      </c>
      <c r="G43" s="20">
        <f t="shared" si="1"/>
        <v>11.327891513974127</v>
      </c>
      <c r="H43" s="7"/>
      <c r="I43" s="7"/>
      <c r="J43" s="7"/>
      <c r="K43" s="7"/>
      <c r="L43" s="7"/>
      <c r="M43" s="7"/>
      <c r="N43" s="7"/>
      <c r="T43" s="10"/>
    </row>
    <row r="44" spans="2:20">
      <c r="B44" s="3">
        <v>27</v>
      </c>
      <c r="C44" s="21">
        <v>41395</v>
      </c>
      <c r="D44" s="18">
        <v>1.96709523809523E-3</v>
      </c>
      <c r="E44" s="22">
        <f t="shared" si="2"/>
        <v>-2.8238095238099833E-5</v>
      </c>
      <c r="F44" s="23">
        <f t="shared" si="0"/>
        <v>-1.9124924050105792E-4</v>
      </c>
      <c r="G44" s="20">
        <f t="shared" si="1"/>
        <v>11.329182908327777</v>
      </c>
      <c r="H44" s="7"/>
      <c r="I44" s="7"/>
      <c r="J44" s="7"/>
      <c r="K44" s="7"/>
      <c r="L44" s="7"/>
      <c r="M44" s="7"/>
      <c r="N44" s="7"/>
      <c r="T44" s="10"/>
    </row>
    <row r="45" spans="2:20">
      <c r="B45" s="3">
        <v>28</v>
      </c>
      <c r="C45" s="21">
        <v>41426</v>
      </c>
      <c r="D45" s="18">
        <v>1.9319249999999999E-3</v>
      </c>
      <c r="E45" s="22">
        <f t="shared" si="2"/>
        <v>-3.5170238095230113E-5</v>
      </c>
      <c r="F45" s="23">
        <f t="shared" si="0"/>
        <v>-2.1596021058035644E-4</v>
      </c>
      <c r="G45" s="20">
        <f t="shared" si="1"/>
        <v>11.32834299365709</v>
      </c>
      <c r="H45" s="7"/>
      <c r="I45" s="7"/>
      <c r="J45" s="7"/>
      <c r="K45" s="7"/>
      <c r="L45" s="7"/>
      <c r="M45" s="7"/>
      <c r="N45" s="7"/>
      <c r="T45" s="10"/>
    </row>
    <row r="46" spans="2:20">
      <c r="B46" s="3">
        <v>29</v>
      </c>
      <c r="C46" s="21">
        <v>41456</v>
      </c>
      <c r="D46" s="18">
        <v>1.91119130434782E-3</v>
      </c>
      <c r="E46" s="22">
        <f t="shared" si="2"/>
        <v>-2.0733695652179951E-5</v>
      </c>
      <c r="F46" s="23">
        <f t="shared" si="0"/>
        <v>-1.6681906850465954E-4</v>
      </c>
      <c r="G46" s="20">
        <f t="shared" si="1"/>
        <v>11.329913071514463</v>
      </c>
      <c r="H46" s="7"/>
      <c r="I46" s="7"/>
      <c r="J46" s="7"/>
      <c r="K46" s="7"/>
      <c r="L46" s="7"/>
      <c r="M46" s="7"/>
      <c r="N46" s="7"/>
      <c r="T46" s="10"/>
    </row>
    <row r="47" spans="2:20">
      <c r="B47" s="3">
        <v>30</v>
      </c>
      <c r="C47" s="21">
        <v>41487</v>
      </c>
      <c r="D47" s="18">
        <v>1.8407047619047601E-3</v>
      </c>
      <c r="E47" s="22">
        <f t="shared" si="2"/>
        <v>-7.0486542443059901E-5</v>
      </c>
      <c r="F47" s="23">
        <f t="shared" si="0"/>
        <v>-3.3967999159905445E-4</v>
      </c>
      <c r="G47" s="20">
        <f t="shared" si="1"/>
        <v>11.32260499653089</v>
      </c>
      <c r="H47" s="7"/>
      <c r="I47" s="7"/>
      <c r="J47" s="7"/>
      <c r="K47" s="7"/>
      <c r="L47" s="7"/>
      <c r="M47" s="7"/>
      <c r="N47" s="7"/>
      <c r="T47" s="10"/>
    </row>
    <row r="48" spans="2:20">
      <c r="B48" s="3">
        <v>31</v>
      </c>
      <c r="C48" s="21">
        <v>41518</v>
      </c>
      <c r="D48" s="18">
        <v>1.80574761904761E-3</v>
      </c>
      <c r="E48" s="22">
        <f t="shared" si="2"/>
        <v>-3.4957142857150111E-5</v>
      </c>
      <c r="F48" s="23">
        <f t="shared" si="0"/>
        <v>-2.183431639636149E-4</v>
      </c>
      <c r="G48" s="20">
        <f t="shared" si="1"/>
        <v>11.328256609067665</v>
      </c>
      <c r="H48" s="7"/>
      <c r="I48" s="7"/>
      <c r="J48" s="7"/>
      <c r="K48" s="7"/>
      <c r="L48" s="7"/>
      <c r="M48" s="7"/>
      <c r="N48" s="7"/>
      <c r="T48" s="10"/>
    </row>
    <row r="49" spans="2:20">
      <c r="B49" s="3">
        <v>32</v>
      </c>
      <c r="C49" s="21">
        <v>41548</v>
      </c>
      <c r="D49" s="18">
        <v>1.7241521739130401E-3</v>
      </c>
      <c r="E49" s="22">
        <f t="shared" si="2"/>
        <v>-8.1595445134569891E-5</v>
      </c>
      <c r="F49" s="23">
        <f t="shared" si="0"/>
        <v>-3.8076622786939473E-4</v>
      </c>
      <c r="G49" s="20">
        <f t="shared" si="1"/>
        <v>11.320134265617359</v>
      </c>
      <c r="H49" s="7"/>
      <c r="I49" s="7"/>
      <c r="J49" s="7"/>
      <c r="K49" s="7"/>
      <c r="L49" s="7"/>
      <c r="M49" s="7"/>
      <c r="N49" s="7"/>
      <c r="T49" s="10"/>
    </row>
    <row r="50" spans="2:20">
      <c r="B50" s="3">
        <v>33</v>
      </c>
      <c r="C50" s="21">
        <v>41579</v>
      </c>
      <c r="D50" s="18">
        <v>1.67271428571428E-3</v>
      </c>
      <c r="E50" s="22">
        <f t="shared" si="2"/>
        <v>-5.1437888198760081E-5</v>
      </c>
      <c r="F50" s="23">
        <f t="shared" si="0"/>
        <v>-2.7831233671810713E-4</v>
      </c>
      <c r="G50" s="20">
        <f t="shared" si="1"/>
        <v>11.325770553504125</v>
      </c>
      <c r="H50" s="7"/>
      <c r="I50" s="7"/>
      <c r="J50" s="7"/>
      <c r="K50" s="7"/>
      <c r="L50" s="7"/>
      <c r="M50" s="7"/>
      <c r="N50" s="7"/>
      <c r="T50" s="10"/>
    </row>
    <row r="51" spans="2:20">
      <c r="B51" s="3">
        <v>34</v>
      </c>
      <c r="C51" s="21">
        <v>41609</v>
      </c>
      <c r="D51" s="18">
        <v>1.6722999999999998E-3</v>
      </c>
      <c r="E51" s="22">
        <f t="shared" si="2"/>
        <v>-4.142857142801562E-7</v>
      </c>
      <c r="F51" s="23">
        <f t="shared" ref="F51:F82" si="3">(E51-(k*(theta-D50)*dt))/(SQRT(dt))</f>
        <v>-1.0283162071414739E-4</v>
      </c>
      <c r="G51" s="20">
        <f t="shared" ref="G51:G82" si="4">-(LN(vol^2)+(F51/vol)^2)</f>
        <v>11.33135327496124</v>
      </c>
      <c r="H51" s="7"/>
      <c r="I51" s="7"/>
      <c r="J51" s="7"/>
      <c r="K51" s="7"/>
      <c r="L51" s="7"/>
      <c r="M51" s="7"/>
      <c r="N51" s="7"/>
      <c r="T51" s="10"/>
    </row>
    <row r="52" spans="2:20">
      <c r="B52" s="3">
        <v>35</v>
      </c>
      <c r="C52" s="21">
        <v>41640</v>
      </c>
      <c r="D52" s="18">
        <v>1.5970909090909E-3</v>
      </c>
      <c r="E52" s="22">
        <f t="shared" si="2"/>
        <v>-7.5209090909099819E-5</v>
      </c>
      <c r="F52" s="23">
        <f t="shared" si="3"/>
        <v>-3.6193865673046863E-4</v>
      </c>
      <c r="G52" s="20">
        <f t="shared" si="4"/>
        <v>11.321301446325069</v>
      </c>
      <c r="H52" s="7"/>
      <c r="I52" s="7"/>
      <c r="J52" s="7"/>
      <c r="K52" s="7"/>
      <c r="L52" s="7"/>
      <c r="M52" s="7"/>
      <c r="N52" s="7"/>
      <c r="T52" s="10"/>
    </row>
    <row r="53" spans="2:20">
      <c r="B53" s="3">
        <v>36</v>
      </c>
      <c r="C53" s="21">
        <v>41671</v>
      </c>
      <c r="D53" s="18">
        <v>1.55105E-3</v>
      </c>
      <c r="E53" s="22">
        <f t="shared" si="2"/>
        <v>-4.6040909090900011E-5</v>
      </c>
      <c r="F53" s="23">
        <f t="shared" si="3"/>
        <v>-2.6275435433798162E-4</v>
      </c>
      <c r="G53" s="20">
        <f t="shared" si="4"/>
        <v>11.326473191445416</v>
      </c>
      <c r="H53" s="7"/>
      <c r="I53" s="7"/>
      <c r="J53" s="7"/>
      <c r="K53" s="7"/>
      <c r="L53" s="7"/>
      <c r="M53" s="7"/>
      <c r="N53" s="7"/>
      <c r="T53" s="10"/>
    </row>
    <row r="54" spans="2:20">
      <c r="B54" s="3">
        <v>37</v>
      </c>
      <c r="C54" s="21">
        <v>41699</v>
      </c>
      <c r="D54" s="18">
        <v>1.54883333333333E-3</v>
      </c>
      <c r="E54" s="22">
        <f t="shared" si="2"/>
        <v>-2.2166666666699822E-6</v>
      </c>
      <c r="F54" s="23">
        <f t="shared" si="3"/>
        <v>-1.1207967798724402E-4</v>
      </c>
      <c r="G54" s="20">
        <f t="shared" si="4"/>
        <v>11.331187378438793</v>
      </c>
      <c r="H54" s="7"/>
      <c r="I54" s="7"/>
      <c r="J54" s="7"/>
      <c r="K54" s="7"/>
      <c r="L54" s="7"/>
      <c r="M54" s="7"/>
      <c r="N54" s="7"/>
      <c r="T54" s="10"/>
    </row>
    <row r="55" spans="2:20">
      <c r="B55" s="3">
        <v>38</v>
      </c>
      <c r="C55" s="21">
        <v>41730</v>
      </c>
      <c r="D55" s="18">
        <v>1.5170000000000001E-3</v>
      </c>
      <c r="E55" s="22">
        <f t="shared" si="2"/>
        <v>-3.1833333333329897E-5</v>
      </c>
      <c r="F55" s="23">
        <f t="shared" si="3"/>
        <v>-2.1472956007496181E-4</v>
      </c>
      <c r="G55" s="20">
        <f t="shared" si="4"/>
        <v>11.328387234848545</v>
      </c>
      <c r="H55" s="7"/>
      <c r="I55" s="7"/>
      <c r="J55" s="7"/>
      <c r="K55" s="7"/>
      <c r="L55" s="7"/>
      <c r="M55" s="7"/>
      <c r="N55" s="7"/>
      <c r="T55" s="10"/>
    </row>
    <row r="56" spans="2:20">
      <c r="B56" s="3">
        <v>39</v>
      </c>
      <c r="C56" s="21">
        <v>41760</v>
      </c>
      <c r="D56" s="18">
        <v>1.5035750000000001E-3</v>
      </c>
      <c r="E56" s="22">
        <f t="shared" si="2"/>
        <v>-1.3425000000000069E-5</v>
      </c>
      <c r="F56" s="23">
        <f t="shared" si="3"/>
        <v>-1.5174732790119164E-4</v>
      </c>
      <c r="G56" s="20">
        <f t="shared" si="4"/>
        <v>11.330313837539338</v>
      </c>
      <c r="H56" s="7"/>
      <c r="I56" s="7"/>
      <c r="J56" s="7"/>
      <c r="K56" s="7"/>
      <c r="L56" s="7"/>
      <c r="M56" s="7"/>
      <c r="N56" s="7"/>
      <c r="T56" s="10"/>
    </row>
    <row r="57" spans="2:20">
      <c r="B57" s="3">
        <v>40</v>
      </c>
      <c r="C57" s="21">
        <v>41791</v>
      </c>
      <c r="D57" s="18">
        <v>1.5237380952380899E-3</v>
      </c>
      <c r="E57" s="22">
        <f t="shared" si="2"/>
        <v>2.0163095238089892E-5</v>
      </c>
      <c r="F57" s="23">
        <f t="shared" si="3"/>
        <v>-3.5726275253957915E-5</v>
      </c>
      <c r="G57" s="20">
        <f t="shared" si="4"/>
        <v>11.33212937180889</v>
      </c>
      <c r="H57" s="7"/>
      <c r="I57" s="7"/>
      <c r="J57" s="7"/>
      <c r="K57" s="7"/>
      <c r="L57" s="7"/>
      <c r="M57" s="7"/>
      <c r="N57" s="7"/>
      <c r="T57" s="10"/>
    </row>
    <row r="58" spans="2:20">
      <c r="B58" s="3">
        <v>41</v>
      </c>
      <c r="C58" s="21">
        <v>41821</v>
      </c>
      <c r="D58" s="18">
        <v>1.54386956521739E-3</v>
      </c>
      <c r="E58" s="22">
        <f t="shared" si="2"/>
        <v>2.0131469979300107E-5</v>
      </c>
      <c r="F58" s="23">
        <f t="shared" si="3"/>
        <v>-3.5337912830318438E-5</v>
      </c>
      <c r="G58" s="20">
        <f t="shared" si="4"/>
        <v>11.332131675453734</v>
      </c>
      <c r="H58" s="7"/>
      <c r="I58" s="7"/>
      <c r="J58" s="7"/>
      <c r="K58" s="7"/>
      <c r="L58" s="7"/>
      <c r="M58" s="7"/>
      <c r="N58" s="7"/>
      <c r="T58" s="10"/>
    </row>
    <row r="59" spans="2:20">
      <c r="B59" s="3">
        <v>42</v>
      </c>
      <c r="C59" s="21">
        <v>41852</v>
      </c>
      <c r="D59" s="18">
        <v>1.5601999999999999E-3</v>
      </c>
      <c r="E59" s="22">
        <f t="shared" si="2"/>
        <v>1.6330434782609819E-5</v>
      </c>
      <c r="F59" s="23">
        <f t="shared" si="3"/>
        <v>-4.8007950427458689E-5</v>
      </c>
      <c r="G59" s="20">
        <f t="shared" si="4"/>
        <v>11.332043532119267</v>
      </c>
      <c r="H59" s="7"/>
      <c r="I59" s="7"/>
      <c r="J59" s="7"/>
      <c r="K59" s="7"/>
      <c r="L59" s="7"/>
      <c r="M59" s="7"/>
      <c r="N59" s="7"/>
      <c r="T59" s="10"/>
    </row>
    <row r="60" spans="2:20">
      <c r="B60" s="3">
        <v>43</v>
      </c>
      <c r="C60" s="21">
        <v>41883</v>
      </c>
      <c r="D60" s="18">
        <v>1.5410454545454499E-3</v>
      </c>
      <c r="E60" s="22">
        <f t="shared" si="2"/>
        <v>-1.9154545454549976E-5</v>
      </c>
      <c r="F60" s="23">
        <f t="shared" si="3"/>
        <v>-1.7052825749577679E-4</v>
      </c>
      <c r="G60" s="20">
        <f t="shared" si="4"/>
        <v>11.329808627451653</v>
      </c>
      <c r="H60" s="7"/>
      <c r="I60" s="7"/>
      <c r="J60" s="7"/>
      <c r="K60" s="7"/>
      <c r="L60" s="7"/>
      <c r="M60" s="7"/>
      <c r="N60" s="7"/>
      <c r="T60" s="10"/>
    </row>
    <row r="61" spans="2:20">
      <c r="B61" s="3">
        <v>44</v>
      </c>
      <c r="C61" s="21">
        <v>41913</v>
      </c>
      <c r="D61" s="18">
        <v>1.53517391304347E-3</v>
      </c>
      <c r="E61" s="22">
        <f t="shared" si="2"/>
        <v>-5.8715415019799325E-6</v>
      </c>
      <c r="F61" s="23">
        <f t="shared" si="3"/>
        <v>-1.2498759205198325E-4</v>
      </c>
      <c r="G61" s="20">
        <f t="shared" si="4"/>
        <v>11.330931958270284</v>
      </c>
      <c r="H61" s="7"/>
      <c r="I61" s="7"/>
      <c r="J61" s="7"/>
      <c r="K61" s="7"/>
      <c r="L61" s="7"/>
      <c r="M61" s="7"/>
      <c r="N61" s="7"/>
      <c r="T61" s="10"/>
    </row>
    <row r="62" spans="2:20">
      <c r="B62" s="3">
        <v>45</v>
      </c>
      <c r="C62" s="21">
        <v>41944</v>
      </c>
      <c r="D62" s="18">
        <v>1.5480749999999999E-3</v>
      </c>
      <c r="E62" s="22">
        <f t="shared" si="2"/>
        <v>1.2901086956529926E-5</v>
      </c>
      <c r="F62" s="23">
        <f t="shared" si="3"/>
        <v>-6.0102293681385344E-5</v>
      </c>
      <c r="G62" s="20">
        <f t="shared" si="4"/>
        <v>11.331934393950775</v>
      </c>
      <c r="H62" s="7"/>
      <c r="I62" s="7"/>
      <c r="J62" s="7"/>
      <c r="K62" s="7"/>
      <c r="L62" s="7"/>
      <c r="M62" s="7"/>
      <c r="N62" s="7"/>
      <c r="T62" s="10"/>
    </row>
    <row r="63" spans="2:20">
      <c r="B63" s="3">
        <v>46</v>
      </c>
      <c r="C63" s="21">
        <v>41974</v>
      </c>
      <c r="D63" s="18">
        <v>1.6305E-3</v>
      </c>
      <c r="E63" s="22">
        <f t="shared" si="2"/>
        <v>8.242500000000012E-5</v>
      </c>
      <c r="F63" s="23">
        <f t="shared" si="3"/>
        <v>1.8105419038150949E-4</v>
      </c>
      <c r="G63" s="20">
        <f t="shared" si="4"/>
        <v>11.329499729303114</v>
      </c>
      <c r="H63" s="7"/>
      <c r="I63" s="7"/>
      <c r="J63" s="7"/>
      <c r="K63" s="7"/>
      <c r="L63" s="7"/>
      <c r="M63" s="7"/>
      <c r="N63" s="7"/>
      <c r="T63" s="10"/>
    </row>
    <row r="64" spans="2:20">
      <c r="B64" s="3">
        <v>47</v>
      </c>
      <c r="C64" s="21">
        <v>42005</v>
      </c>
      <c r="D64" s="18">
        <v>1.68078571428571E-3</v>
      </c>
      <c r="E64" s="22">
        <f t="shared" si="2"/>
        <v>5.0285714285709963E-5</v>
      </c>
      <c r="F64" s="23">
        <f t="shared" si="3"/>
        <v>7.1755874727371651E-5</v>
      </c>
      <c r="G64" s="20">
        <f t="shared" si="4"/>
        <v>11.331806133145347</v>
      </c>
      <c r="H64" s="7"/>
      <c r="I64" s="7"/>
      <c r="J64" s="7"/>
      <c r="K64" s="7"/>
      <c r="L64" s="7"/>
      <c r="M64" s="7"/>
      <c r="N64" s="7"/>
      <c r="T64" s="10"/>
    </row>
    <row r="65" spans="2:20">
      <c r="B65" s="3">
        <v>48</v>
      </c>
      <c r="C65" s="21">
        <v>42036</v>
      </c>
      <c r="D65" s="18">
        <v>1.7207500000000001E-3</v>
      </c>
      <c r="E65" s="22">
        <f t="shared" si="2"/>
        <v>3.9964285714290089E-5</v>
      </c>
      <c r="F65" s="23">
        <f t="shared" si="3"/>
        <v>3.7243172872088608E-5</v>
      </c>
      <c r="G65" s="20">
        <f t="shared" si="4"/>
        <v>11.332120132811292</v>
      </c>
      <c r="H65" s="7"/>
      <c r="I65" s="7"/>
      <c r="J65" s="7"/>
      <c r="K65" s="7"/>
      <c r="L65" s="7"/>
      <c r="M65" s="7"/>
      <c r="N65" s="7"/>
      <c r="T65" s="10"/>
    </row>
    <row r="66" spans="2:20">
      <c r="B66" s="3">
        <v>49</v>
      </c>
      <c r="C66" s="21">
        <v>42064</v>
      </c>
      <c r="D66" s="18">
        <v>1.756E-3</v>
      </c>
      <c r="E66" s="22">
        <f t="shared" si="2"/>
        <v>3.5249999999999908E-5</v>
      </c>
      <c r="F66" s="23">
        <f t="shared" si="3"/>
        <v>2.1899302161523855E-5</v>
      </c>
      <c r="G66" s="20">
        <f t="shared" si="4"/>
        <v>11.332195879202883</v>
      </c>
      <c r="H66" s="7"/>
      <c r="I66" s="7"/>
      <c r="J66" s="7"/>
      <c r="K66" s="7"/>
      <c r="L66" s="7"/>
      <c r="M66" s="7"/>
      <c r="N66" s="7"/>
      <c r="T66" s="10"/>
    </row>
    <row r="67" spans="2:20">
      <c r="B67" s="3">
        <v>50</v>
      </c>
      <c r="C67" s="21">
        <v>42095</v>
      </c>
      <c r="D67" s="18">
        <v>1.8076749999999999E-3</v>
      </c>
      <c r="E67" s="22">
        <f t="shared" si="2"/>
        <v>5.1674999999999941E-5</v>
      </c>
      <c r="F67" s="23">
        <f t="shared" si="3"/>
        <v>7.9667648780799437E-5</v>
      </c>
      <c r="G67" s="20">
        <f t="shared" si="4"/>
        <v>11.331706134354929</v>
      </c>
      <c r="H67" s="7"/>
      <c r="I67" s="7"/>
      <c r="J67" s="7"/>
      <c r="K67" s="7"/>
      <c r="L67" s="7"/>
      <c r="M67" s="7"/>
      <c r="N67" s="7"/>
      <c r="T67" s="10"/>
    </row>
    <row r="68" spans="2:20">
      <c r="B68" s="3">
        <v>51</v>
      </c>
      <c r="C68" s="21">
        <v>42125</v>
      </c>
      <c r="D68" s="18">
        <v>1.8422894736842099E-3</v>
      </c>
      <c r="E68" s="22">
        <f t="shared" si="2"/>
        <v>3.4614473684209997E-5</v>
      </c>
      <c r="F68" s="23">
        <f t="shared" si="3"/>
        <v>2.1844335121446784E-5</v>
      </c>
      <c r="G68" s="20">
        <f t="shared" si="4"/>
        <v>11.332196079901678</v>
      </c>
      <c r="H68" s="7"/>
      <c r="I68" s="7"/>
      <c r="J68" s="7"/>
      <c r="K68" s="7"/>
      <c r="L68" s="7"/>
      <c r="M68" s="7"/>
      <c r="N68" s="7"/>
      <c r="T68" s="10"/>
    </row>
    <row r="69" spans="2:20">
      <c r="B69" s="3">
        <v>52</v>
      </c>
      <c r="C69" s="21">
        <v>42156</v>
      </c>
      <c r="D69" s="18">
        <v>1.8588409090909001E-3</v>
      </c>
      <c r="E69" s="22">
        <f t="shared" si="2"/>
        <v>1.6551435406690152E-5</v>
      </c>
      <c r="F69" s="23">
        <f t="shared" si="3"/>
        <v>-3.9873081300250816E-5</v>
      </c>
      <c r="G69" s="20">
        <f t="shared" si="4"/>
        <v>11.332103204482872</v>
      </c>
      <c r="H69" s="7"/>
      <c r="I69" s="7"/>
      <c r="J69" s="7"/>
      <c r="K69" s="7"/>
      <c r="L69" s="7"/>
      <c r="M69" s="7"/>
      <c r="N69" s="7"/>
      <c r="T69" s="10"/>
    </row>
    <row r="70" spans="2:20">
      <c r="B70" s="3">
        <v>53</v>
      </c>
      <c r="C70" s="21">
        <v>42186</v>
      </c>
      <c r="D70" s="18">
        <v>1.8815869565217301E-3</v>
      </c>
      <c r="E70" s="22">
        <f t="shared" si="2"/>
        <v>2.2746047430830018E-5</v>
      </c>
      <c r="F70" s="23">
        <f t="shared" si="3"/>
        <v>-1.8005588020165106E-5</v>
      </c>
      <c r="G70" s="20">
        <f t="shared" si="4"/>
        <v>11.33220884853786</v>
      </c>
      <c r="H70" s="7"/>
      <c r="I70" s="7"/>
      <c r="J70" s="7"/>
      <c r="K70" s="7"/>
      <c r="L70" s="7"/>
      <c r="M70" s="7"/>
      <c r="N70" s="7"/>
      <c r="T70" s="10"/>
    </row>
    <row r="71" spans="2:20">
      <c r="B71" s="3">
        <v>54</v>
      </c>
      <c r="C71" s="21">
        <v>42217</v>
      </c>
      <c r="D71" s="18">
        <v>1.9672750000000001E-3</v>
      </c>
      <c r="E71" s="22">
        <f t="shared" si="2"/>
        <v>8.5688043478270026E-5</v>
      </c>
      <c r="F71" s="23">
        <f t="shared" si="3"/>
        <v>2.005935821354007E-4</v>
      </c>
      <c r="G71" s="20">
        <f t="shared" si="4"/>
        <v>11.328877283854895</v>
      </c>
      <c r="H71" s="7"/>
      <c r="I71" s="7"/>
      <c r="J71" s="7"/>
      <c r="K71" s="7"/>
      <c r="L71" s="7"/>
      <c r="M71" s="7"/>
      <c r="N71" s="7"/>
      <c r="T71" s="10"/>
    </row>
    <row r="72" spans="2:20">
      <c r="B72" s="3">
        <v>55</v>
      </c>
      <c r="C72" s="21">
        <v>42248</v>
      </c>
      <c r="D72" s="18">
        <v>2.01077272727272E-3</v>
      </c>
      <c r="E72" s="22">
        <f t="shared" si="2"/>
        <v>4.3497727272719892E-5</v>
      </c>
      <c r="F72" s="23">
        <f t="shared" si="3"/>
        <v>5.6558054422693514E-5</v>
      </c>
      <c r="G72" s="20">
        <f t="shared" si="4"/>
        <v>11.331968906244418</v>
      </c>
      <c r="H72" s="7"/>
      <c r="I72" s="7"/>
      <c r="J72" s="7"/>
      <c r="K72" s="7"/>
      <c r="L72" s="7"/>
      <c r="M72" s="7"/>
      <c r="N72" s="7"/>
      <c r="T72" s="10"/>
    </row>
    <row r="73" spans="2:20">
      <c r="B73" s="3">
        <v>56</v>
      </c>
      <c r="C73" s="21">
        <v>42278</v>
      </c>
      <c r="D73" s="18">
        <v>1.94511363636363E-3</v>
      </c>
      <c r="E73" s="22">
        <f t="shared" si="2"/>
        <v>-6.5659090909089965E-5</v>
      </c>
      <c r="F73" s="23">
        <f t="shared" si="3"/>
        <v>-3.2049810547940148E-4</v>
      </c>
      <c r="G73" s="20">
        <f t="shared" si="4"/>
        <v>11.323662008592098</v>
      </c>
      <c r="H73" s="7"/>
      <c r="I73" s="7"/>
      <c r="J73" s="7"/>
      <c r="K73" s="7"/>
      <c r="L73" s="7"/>
      <c r="M73" s="7"/>
      <c r="N73" s="7"/>
      <c r="T73" s="10"/>
    </row>
    <row r="74" spans="2:20">
      <c r="B74" s="3">
        <v>57</v>
      </c>
      <c r="C74" s="21">
        <v>42309</v>
      </c>
      <c r="D74" s="18">
        <v>2.08447619047619E-3</v>
      </c>
      <c r="E74" s="22">
        <f t="shared" si="2"/>
        <v>1.3936255411255995E-4</v>
      </c>
      <c r="F74" s="23">
        <f t="shared" si="3"/>
        <v>3.8809629434118857E-4</v>
      </c>
      <c r="G74" s="20">
        <f t="shared" si="4"/>
        <v>11.319663847404076</v>
      </c>
      <c r="H74" s="7"/>
      <c r="I74" s="7"/>
      <c r="J74" s="7"/>
      <c r="K74" s="7"/>
      <c r="L74" s="7"/>
      <c r="M74" s="7"/>
      <c r="N74" s="7"/>
      <c r="T74" s="10"/>
    </row>
    <row r="75" spans="2:20">
      <c r="B75" s="3">
        <v>58</v>
      </c>
      <c r="C75" s="21">
        <v>42339</v>
      </c>
      <c r="D75" s="18">
        <v>3.5230714285714197E-3</v>
      </c>
      <c r="E75" s="22">
        <f t="shared" si="2"/>
        <v>1.4385952380952297E-3</v>
      </c>
      <c r="F75" s="23">
        <f t="shared" si="3"/>
        <v>4.8922118079845782E-3</v>
      </c>
      <c r="G75" s="20">
        <f t="shared" si="4"/>
        <v>9.3345002300787847</v>
      </c>
      <c r="H75" s="7"/>
      <c r="I75" s="7"/>
      <c r="J75" s="7"/>
      <c r="K75" s="7"/>
      <c r="L75" s="7"/>
      <c r="M75" s="7"/>
      <c r="N75" s="7"/>
      <c r="T75" s="10"/>
    </row>
    <row r="76" spans="2:20">
      <c r="B76" s="3">
        <v>59</v>
      </c>
      <c r="C76" s="21">
        <v>42370</v>
      </c>
      <c r="D76" s="18">
        <v>4.2544999999999996E-3</v>
      </c>
      <c r="E76" s="22">
        <f t="shared" si="2"/>
        <v>7.3142857142857991E-4</v>
      </c>
      <c r="F76" s="23">
        <f t="shared" si="3"/>
        <v>2.4780398616785927E-3</v>
      </c>
      <c r="G76" s="20">
        <f t="shared" si="4"/>
        <v>10.819676631251882</v>
      </c>
      <c r="H76" s="7"/>
      <c r="I76" s="7"/>
      <c r="J76" s="7"/>
      <c r="K76" s="7"/>
      <c r="L76" s="7"/>
      <c r="M76" s="7"/>
      <c r="N76" s="7"/>
      <c r="T76" s="10"/>
    </row>
    <row r="77" spans="2:20">
      <c r="B77" s="3">
        <v>60</v>
      </c>
      <c r="C77" s="21">
        <v>42401</v>
      </c>
      <c r="D77" s="18">
        <v>4.31297619047619E-3</v>
      </c>
      <c r="E77" s="22">
        <f t="shared" si="2"/>
        <v>5.847619047619039E-5</v>
      </c>
      <c r="F77" s="23">
        <f t="shared" si="3"/>
        <v>1.6492662143064574E-4</v>
      </c>
      <c r="G77" s="20">
        <f t="shared" si="4"/>
        <v>11.329965474563242</v>
      </c>
      <c r="H77" s="7"/>
      <c r="I77" s="7"/>
      <c r="J77" s="7"/>
      <c r="K77" s="7"/>
      <c r="L77" s="7"/>
      <c r="M77" s="7"/>
      <c r="N77" s="7"/>
      <c r="T77" s="10"/>
    </row>
    <row r="78" spans="2:20">
      <c r="B78" s="3">
        <v>61</v>
      </c>
      <c r="C78" s="21">
        <v>42430</v>
      </c>
      <c r="D78" s="18">
        <v>4.3639523809523798E-3</v>
      </c>
      <c r="E78" s="22">
        <f t="shared" si="2"/>
        <v>5.0976190476189828E-5</v>
      </c>
      <c r="F78" s="23">
        <f t="shared" si="3"/>
        <v>1.4038989373967497E-4</v>
      </c>
      <c r="G78" s="20">
        <f t="shared" si="4"/>
        <v>11.330590783251552</v>
      </c>
      <c r="H78" s="7"/>
      <c r="I78" s="7"/>
      <c r="J78" s="7"/>
      <c r="K78" s="7"/>
      <c r="L78" s="7"/>
      <c r="M78" s="7"/>
      <c r="N78" s="7"/>
      <c r="T78" s="10"/>
    </row>
    <row r="79" spans="2:20">
      <c r="B79" s="3">
        <v>62</v>
      </c>
      <c r="C79" s="21">
        <v>42461</v>
      </c>
      <c r="D79" s="18">
        <v>4.3739761904761894E-3</v>
      </c>
      <c r="E79" s="22">
        <f t="shared" si="2"/>
        <v>1.0023809523809595E-5</v>
      </c>
      <c r="F79" s="23">
        <f t="shared" si="3"/>
        <v>-2.1448883664573464E-7</v>
      </c>
      <c r="G79" s="20">
        <f t="shared" si="4"/>
        <v>11.332235905591867</v>
      </c>
      <c r="H79" s="7"/>
      <c r="I79" s="7"/>
      <c r="J79" s="7"/>
      <c r="K79" s="7"/>
      <c r="L79" s="7"/>
      <c r="M79" s="7"/>
      <c r="N79" s="7"/>
      <c r="T79" s="10"/>
    </row>
    <row r="80" spans="2:20">
      <c r="B80" s="3">
        <v>63</v>
      </c>
      <c r="C80" s="21">
        <v>42491</v>
      </c>
      <c r="D80" s="18">
        <v>4.4226500000000002E-3</v>
      </c>
      <c r="E80" s="22">
        <f t="shared" si="2"/>
        <v>4.8673809523810778E-5</v>
      </c>
      <c r="F80" s="23">
        <f t="shared" si="3"/>
        <v>1.339205705476751E-4</v>
      </c>
      <c r="G80" s="20">
        <f t="shared" si="4"/>
        <v>11.330738908382166</v>
      </c>
      <c r="H80" s="7"/>
      <c r="I80" s="7"/>
      <c r="J80" s="7"/>
      <c r="K80" s="7"/>
      <c r="L80" s="7"/>
      <c r="M80" s="7"/>
      <c r="N80" s="7"/>
      <c r="T80" s="10"/>
    </row>
    <row r="81" spans="2:20">
      <c r="B81" s="3">
        <v>64</v>
      </c>
      <c r="C81" s="21">
        <v>42522</v>
      </c>
      <c r="D81" s="18">
        <v>4.5270909090908999E-3</v>
      </c>
      <c r="E81" s="22">
        <f t="shared" si="2"/>
        <v>1.044409090908997E-4</v>
      </c>
      <c r="F81" s="23">
        <f t="shared" si="3"/>
        <v>3.2830544073855317E-4</v>
      </c>
      <c r="G81" s="20">
        <f t="shared" si="4"/>
        <v>11.323239200230855</v>
      </c>
      <c r="H81" s="7"/>
      <c r="I81" s="7"/>
      <c r="J81" s="7"/>
      <c r="K81" s="7"/>
      <c r="L81" s="7"/>
      <c r="M81" s="7"/>
      <c r="N81" s="7"/>
      <c r="T81" s="10"/>
    </row>
    <row r="82" spans="2:20">
      <c r="B82" s="3">
        <v>65</v>
      </c>
      <c r="C82" s="21">
        <v>42552</v>
      </c>
      <c r="D82" s="18">
        <v>4.8288333333333299E-3</v>
      </c>
      <c r="E82" s="22">
        <f t="shared" si="2"/>
        <v>3.0174242424243006E-4</v>
      </c>
      <c r="F82" s="23">
        <f t="shared" si="3"/>
        <v>1.0143570436018112E-3</v>
      </c>
      <c r="G82" s="20">
        <f t="shared" si="4"/>
        <v>11.246352510935617</v>
      </c>
      <c r="H82" s="7"/>
      <c r="I82" s="7"/>
      <c r="J82" s="7"/>
      <c r="K82" s="7"/>
      <c r="L82" s="7"/>
      <c r="M82" s="7"/>
      <c r="N82" s="7"/>
      <c r="T82" s="10"/>
    </row>
    <row r="83" spans="2:20">
      <c r="B83" s="3">
        <v>66</v>
      </c>
      <c r="C83" s="21">
        <v>42583</v>
      </c>
      <c r="D83" s="18">
        <v>5.1224181818181804E-3</v>
      </c>
      <c r="E83" s="22">
        <f t="shared" si="2"/>
        <v>2.9358484848485047E-4</v>
      </c>
      <c r="F83" s="23">
        <f t="shared" ref="F83:F114" si="5">(E83-(k*(theta-D82)*dt))/(SQRT(dt))</f>
        <v>9.9354972028544287E-4</v>
      </c>
      <c r="G83" s="20">
        <f t="shared" ref="G83:G114" si="6">-(LN(vol^2)+(F83/vol)^2)</f>
        <v>11.249839794647585</v>
      </c>
      <c r="H83" s="7"/>
      <c r="I83" s="7"/>
      <c r="J83" s="7"/>
      <c r="K83" s="7"/>
      <c r="L83" s="7"/>
      <c r="M83" s="7"/>
      <c r="N83" s="7"/>
    </row>
    <row r="84" spans="2:20">
      <c r="B84" s="3">
        <v>67</v>
      </c>
      <c r="C84" s="21">
        <v>42614</v>
      </c>
      <c r="D84" s="18">
        <v>5.2700181818181799E-3</v>
      </c>
      <c r="E84" s="22">
        <f t="shared" ref="E84:E137" si="7">D84-D83</f>
        <v>1.4759999999999947E-4</v>
      </c>
      <c r="F84" s="23">
        <f t="shared" si="5"/>
        <v>4.9509327246788002E-4</v>
      </c>
      <c r="G84" s="20">
        <f t="shared" si="6"/>
        <v>11.311776100526313</v>
      </c>
      <c r="H84" s="7"/>
      <c r="I84" s="7"/>
      <c r="J84" s="7"/>
      <c r="K84" s="7"/>
      <c r="L84" s="7"/>
      <c r="M84" s="7"/>
      <c r="N84" s="7"/>
    </row>
    <row r="85" spans="2:20">
      <c r="B85" s="3">
        <v>68</v>
      </c>
      <c r="C85" s="21">
        <v>42644</v>
      </c>
      <c r="D85" s="18">
        <v>5.3077952380952299E-3</v>
      </c>
      <c r="E85" s="22">
        <f t="shared" si="7"/>
        <v>3.7777056277049983E-5</v>
      </c>
      <c r="F85" s="23">
        <f t="shared" si="5"/>
        <v>1.1830032913882645E-4</v>
      </c>
      <c r="G85" s="20">
        <f t="shared" si="6"/>
        <v>11.331067757238007</v>
      </c>
      <c r="H85" s="7"/>
      <c r="I85" s="7"/>
      <c r="J85" s="7"/>
      <c r="K85" s="7"/>
      <c r="L85" s="7"/>
      <c r="M85" s="7"/>
      <c r="N85" s="7"/>
    </row>
    <row r="86" spans="2:20">
      <c r="B86" s="3">
        <v>69</v>
      </c>
      <c r="C86" s="21">
        <v>42675</v>
      </c>
      <c r="D86" s="18">
        <v>5.6310909090908998E-3</v>
      </c>
      <c r="E86" s="22">
        <f t="shared" si="7"/>
        <v>3.2329567099566997E-4</v>
      </c>
      <c r="F86" s="23">
        <f t="shared" si="5"/>
        <v>1.1082987052659869E-3</v>
      </c>
      <c r="G86" s="20">
        <f t="shared" si="6"/>
        <v>11.229708218901031</v>
      </c>
      <c r="H86" s="7"/>
      <c r="I86" s="7"/>
      <c r="J86" s="7"/>
      <c r="K86" s="7"/>
      <c r="L86" s="7"/>
      <c r="M86" s="7"/>
      <c r="N86" s="7"/>
      <c r="T86" s="10"/>
    </row>
    <row r="87" spans="2:20">
      <c r="B87" s="3">
        <v>70</v>
      </c>
      <c r="C87" s="21">
        <v>42705</v>
      </c>
      <c r="D87" s="18">
        <v>7.1195850000000003E-3</v>
      </c>
      <c r="E87" s="22">
        <f t="shared" si="7"/>
        <v>1.4884940909091005E-3</v>
      </c>
      <c r="F87" s="23">
        <f t="shared" si="5"/>
        <v>5.152648026176032E-3</v>
      </c>
      <c r="G87" s="20">
        <f t="shared" si="6"/>
        <v>9.1161403815438771</v>
      </c>
      <c r="H87" s="7"/>
      <c r="I87" s="7"/>
      <c r="J87" s="7"/>
      <c r="K87" s="7"/>
      <c r="L87" s="7"/>
      <c r="M87" s="7"/>
      <c r="N87" s="7"/>
      <c r="T87" s="10"/>
    </row>
    <row r="88" spans="2:20">
      <c r="B88" s="3">
        <v>71</v>
      </c>
      <c r="C88" s="21">
        <v>42736</v>
      </c>
      <c r="D88" s="18">
        <v>7.7137476190476091E-3</v>
      </c>
      <c r="E88" s="22">
        <f t="shared" si="7"/>
        <v>5.9416261904760882E-4</v>
      </c>
      <c r="F88" s="23">
        <f t="shared" si="5"/>
        <v>2.0913503981153246E-3</v>
      </c>
      <c r="G88" s="20">
        <f t="shared" si="6"/>
        <v>10.967161719831381</v>
      </c>
      <c r="H88" s="7"/>
      <c r="I88" s="7"/>
      <c r="J88" s="7"/>
      <c r="K88" s="7"/>
      <c r="L88" s="7"/>
      <c r="M88" s="7"/>
      <c r="N88" s="7"/>
      <c r="T88" s="10"/>
    </row>
    <row r="89" spans="2:20">
      <c r="B89" s="3">
        <v>72</v>
      </c>
      <c r="C89" s="21">
        <v>42767</v>
      </c>
      <c r="D89" s="18">
        <v>7.767085E-3</v>
      </c>
      <c r="E89" s="22">
        <f t="shared" si="7"/>
        <v>5.3337380952390816E-5</v>
      </c>
      <c r="F89" s="23">
        <f t="shared" si="5"/>
        <v>2.3254930654442304E-4</v>
      </c>
      <c r="G89" s="20">
        <f t="shared" si="6"/>
        <v>11.327721950321825</v>
      </c>
      <c r="H89" s="7"/>
      <c r="I89" s="7"/>
      <c r="J89" s="7"/>
      <c r="K89" s="7"/>
      <c r="L89" s="7"/>
      <c r="M89" s="7"/>
      <c r="N89" s="7"/>
      <c r="T89" s="10"/>
    </row>
    <row r="90" spans="2:20">
      <c r="B90" s="3">
        <v>73</v>
      </c>
      <c r="C90" s="21">
        <v>42795</v>
      </c>
      <c r="D90" s="18">
        <v>9.2863521739130397E-3</v>
      </c>
      <c r="E90" s="22">
        <f t="shared" si="7"/>
        <v>1.5192671739130397E-3</v>
      </c>
      <c r="F90" s="23">
        <f t="shared" si="5"/>
        <v>5.3119962046239864E-3</v>
      </c>
      <c r="G90" s="20">
        <f t="shared" si="6"/>
        <v>8.9769532468649906</v>
      </c>
      <c r="H90" s="7"/>
      <c r="I90" s="7"/>
      <c r="J90" s="7"/>
      <c r="K90" s="7"/>
      <c r="L90" s="7"/>
      <c r="M90" s="7"/>
      <c r="N90" s="7"/>
      <c r="T90" s="10"/>
    </row>
    <row r="91" spans="2:20">
      <c r="B91" s="3">
        <v>74</v>
      </c>
      <c r="C91" s="21">
        <v>42826</v>
      </c>
      <c r="D91" s="18">
        <v>9.9055499999999991E-3</v>
      </c>
      <c r="E91" s="22">
        <f t="shared" si="7"/>
        <v>6.191978260869594E-4</v>
      </c>
      <c r="F91" s="23">
        <f t="shared" si="5"/>
        <v>2.231581913979647E-3</v>
      </c>
      <c r="G91" s="20">
        <f t="shared" si="6"/>
        <v>10.916561595120577</v>
      </c>
      <c r="H91" s="7"/>
      <c r="I91" s="7"/>
      <c r="J91" s="7"/>
      <c r="K91" s="7"/>
      <c r="L91" s="7"/>
      <c r="M91" s="7"/>
      <c r="N91" s="7"/>
      <c r="T91" s="10"/>
    </row>
    <row r="92" spans="2:20">
      <c r="B92" s="3">
        <v>75</v>
      </c>
      <c r="C92" s="21">
        <v>42856</v>
      </c>
      <c r="D92" s="18">
        <v>1.01142619047619E-2</v>
      </c>
      <c r="E92" s="22">
        <f t="shared" si="7"/>
        <v>2.0871190476190113E-4</v>
      </c>
      <c r="F92" s="23">
        <f t="shared" si="5"/>
        <v>8.2490768955827012E-4</v>
      </c>
      <c r="G92" s="20">
        <f t="shared" si="6"/>
        <v>11.275437231492303</v>
      </c>
      <c r="H92" s="7"/>
      <c r="I92" s="7"/>
      <c r="J92" s="7"/>
      <c r="K92" s="7"/>
      <c r="L92" s="7"/>
      <c r="M92" s="7"/>
      <c r="N92" s="7"/>
      <c r="T92" s="10"/>
    </row>
    <row r="93" spans="2:20">
      <c r="B93" s="3">
        <v>76</v>
      </c>
      <c r="C93" s="21">
        <v>42887</v>
      </c>
      <c r="D93" s="18">
        <v>1.17140681818181E-2</v>
      </c>
      <c r="E93" s="22">
        <f t="shared" si="7"/>
        <v>1.5998062770561997E-3</v>
      </c>
      <c r="F93" s="23">
        <f t="shared" si="5"/>
        <v>5.6489539666375104E-3</v>
      </c>
      <c r="G93" s="20">
        <f t="shared" si="6"/>
        <v>8.6686691004698915</v>
      </c>
      <c r="H93" s="7"/>
      <c r="I93" s="7"/>
      <c r="J93" s="7"/>
      <c r="K93" s="7"/>
      <c r="L93" s="7"/>
      <c r="M93" s="7"/>
      <c r="N93" s="7"/>
      <c r="T93" s="10"/>
    </row>
    <row r="94" spans="2:20">
      <c r="B94" s="3">
        <v>77</v>
      </c>
      <c r="C94" s="21">
        <v>42917</v>
      </c>
      <c r="D94" s="18">
        <v>1.22803666666666E-2</v>
      </c>
      <c r="E94" s="22">
        <f t="shared" si="7"/>
        <v>5.6629848484849969E-4</v>
      </c>
      <c r="F94" s="23">
        <f t="shared" si="5"/>
        <v>2.1082842100966013E-3</v>
      </c>
      <c r="G94" s="20">
        <f t="shared" si="6"/>
        <v>10.961225721605116</v>
      </c>
      <c r="H94" s="7"/>
      <c r="I94" s="7"/>
      <c r="J94" s="7"/>
      <c r="K94" s="7"/>
      <c r="L94" s="7"/>
      <c r="M94" s="7"/>
      <c r="N94" s="7"/>
      <c r="T94" s="10"/>
    </row>
    <row r="95" spans="2:20">
      <c r="B95" s="3">
        <v>78</v>
      </c>
      <c r="C95" s="21">
        <v>42948</v>
      </c>
      <c r="D95" s="18">
        <v>1.2317690909090899E-2</v>
      </c>
      <c r="E95" s="22">
        <f t="shared" si="7"/>
        <v>3.7324242424299423E-5</v>
      </c>
      <c r="F95" s="23">
        <f t="shared" si="5"/>
        <v>2.8984808370249653E-4</v>
      </c>
      <c r="G95" s="20">
        <f t="shared" si="6"/>
        <v>11.325223481839251</v>
      </c>
      <c r="H95" s="7"/>
      <c r="I95" s="7"/>
      <c r="J95" s="7"/>
      <c r="K95" s="7"/>
      <c r="L95" s="7"/>
      <c r="M95" s="7"/>
      <c r="N95" s="7"/>
      <c r="T95" s="10"/>
    </row>
    <row r="96" spans="2:20">
      <c r="B96" s="3">
        <v>79</v>
      </c>
      <c r="C96" s="21">
        <v>42979</v>
      </c>
      <c r="D96" s="18">
        <v>1.2349199999999999E-2</v>
      </c>
      <c r="E96" s="22">
        <f t="shared" si="7"/>
        <v>3.1509090909100437E-5</v>
      </c>
      <c r="F96" s="23">
        <f t="shared" si="5"/>
        <v>2.7062550770863455E-4</v>
      </c>
      <c r="G96" s="20">
        <f t="shared" si="6"/>
        <v>11.326122760449762</v>
      </c>
      <c r="H96" s="7"/>
      <c r="I96" s="7"/>
      <c r="J96" s="7"/>
      <c r="K96" s="7"/>
      <c r="L96" s="7"/>
      <c r="M96" s="7"/>
      <c r="N96" s="7"/>
      <c r="T96" s="10"/>
    </row>
    <row r="97" spans="2:20">
      <c r="B97" s="3">
        <v>80</v>
      </c>
      <c r="C97" s="21">
        <v>43009</v>
      </c>
      <c r="D97" s="18">
        <v>1.2385486363636299E-2</v>
      </c>
      <c r="E97" s="22">
        <f t="shared" si="7"/>
        <v>3.6286363636299848E-5</v>
      </c>
      <c r="F97" s="23">
        <f t="shared" si="5"/>
        <v>2.8795256396505663E-4</v>
      </c>
      <c r="G97" s="20">
        <f t="shared" si="6"/>
        <v>11.325314900290264</v>
      </c>
      <c r="H97" s="7"/>
      <c r="I97" s="7"/>
      <c r="J97" s="7"/>
      <c r="K97" s="7"/>
      <c r="L97" s="7"/>
      <c r="M97" s="7"/>
      <c r="N97" s="7"/>
      <c r="T97" s="10"/>
    </row>
    <row r="98" spans="2:20">
      <c r="B98" s="3">
        <v>81</v>
      </c>
      <c r="C98" s="21">
        <v>43040</v>
      </c>
      <c r="D98" s="18">
        <v>1.2878790909090901E-2</v>
      </c>
      <c r="E98" s="22">
        <f t="shared" si="7"/>
        <v>4.9330454545460159E-4</v>
      </c>
      <c r="F98" s="23">
        <f t="shared" si="5"/>
        <v>1.8720060557176987E-3</v>
      </c>
      <c r="G98" s="20">
        <f t="shared" si="6"/>
        <v>11.039725031253484</v>
      </c>
      <c r="H98" s="7"/>
      <c r="I98" s="7"/>
      <c r="J98" s="7"/>
      <c r="K98" s="7"/>
      <c r="L98" s="7"/>
      <c r="M98" s="7"/>
      <c r="N98" s="7"/>
      <c r="T98" s="10"/>
    </row>
    <row r="99" spans="2:20">
      <c r="B99" s="3">
        <v>82</v>
      </c>
      <c r="C99" s="21">
        <v>43070</v>
      </c>
      <c r="D99" s="18">
        <v>1.4850410526315701E-2</v>
      </c>
      <c r="E99" s="22">
        <f t="shared" si="7"/>
        <v>1.9716196172247999E-3</v>
      </c>
      <c r="F99" s="23">
        <f t="shared" si="5"/>
        <v>7.0052215431555846E-3</v>
      </c>
      <c r="G99" s="20">
        <f t="shared" si="6"/>
        <v>7.2361291041349132</v>
      </c>
      <c r="H99" s="7"/>
      <c r="I99" s="7"/>
      <c r="J99" s="7"/>
      <c r="K99" s="7"/>
      <c r="L99" s="7"/>
      <c r="M99" s="7"/>
      <c r="N99" s="7"/>
      <c r="T99" s="10"/>
    </row>
    <row r="100" spans="2:20">
      <c r="B100" s="3">
        <v>83</v>
      </c>
      <c r="C100" s="21">
        <v>43101</v>
      </c>
      <c r="D100" s="18">
        <v>1.56108818181818E-2</v>
      </c>
      <c r="E100" s="22">
        <f t="shared" si="7"/>
        <v>7.6047129186609941E-4</v>
      </c>
      <c r="F100" s="23">
        <f t="shared" si="5"/>
        <v>2.8583686360610702E-3</v>
      </c>
      <c r="G100" s="20">
        <f t="shared" si="6"/>
        <v>10.650267906185359</v>
      </c>
      <c r="H100" s="7"/>
      <c r="I100" s="7"/>
      <c r="J100" s="7"/>
      <c r="K100" s="7"/>
      <c r="L100" s="7"/>
      <c r="M100" s="7"/>
      <c r="N100" s="7"/>
      <c r="T100" s="10"/>
    </row>
    <row r="101" spans="2:20">
      <c r="B101" s="3">
        <v>84</v>
      </c>
      <c r="C101" s="21">
        <v>43132</v>
      </c>
      <c r="D101" s="18">
        <v>1.6018225000000001E-2</v>
      </c>
      <c r="E101" s="22">
        <f t="shared" si="7"/>
        <v>4.0734318181820037E-4</v>
      </c>
      <c r="F101" s="23">
        <f t="shared" si="5"/>
        <v>1.6538763617614826E-3</v>
      </c>
      <c r="G101" s="20">
        <f t="shared" si="6"/>
        <v>11.103921352005768</v>
      </c>
      <c r="H101" s="7"/>
      <c r="I101" s="7"/>
      <c r="J101" s="7"/>
      <c r="K101" s="7"/>
      <c r="L101" s="7"/>
      <c r="M101" s="7"/>
      <c r="N101" s="7"/>
      <c r="T101" s="10"/>
    </row>
    <row r="102" spans="2:20">
      <c r="B102" s="3">
        <v>85</v>
      </c>
      <c r="C102" s="21">
        <v>43160</v>
      </c>
      <c r="D102" s="18">
        <v>1.79913095238095E-2</v>
      </c>
      <c r="E102" s="22">
        <f t="shared" si="7"/>
        <v>1.9730845238094992E-3</v>
      </c>
      <c r="F102" s="23">
        <f t="shared" si="5"/>
        <v>7.0878225688024007E-3</v>
      </c>
      <c r="G102" s="20">
        <f t="shared" si="6"/>
        <v>7.1389623323248417</v>
      </c>
      <c r="H102" s="7"/>
      <c r="I102" s="7"/>
      <c r="J102" s="7"/>
      <c r="K102" s="7"/>
      <c r="L102" s="7"/>
      <c r="M102" s="7"/>
      <c r="N102" s="7"/>
      <c r="T102" s="10"/>
    </row>
    <row r="103" spans="2:20">
      <c r="B103" s="3">
        <v>86</v>
      </c>
      <c r="C103" s="21">
        <v>43191</v>
      </c>
      <c r="D103" s="18">
        <v>1.896724E-2</v>
      </c>
      <c r="E103" s="22">
        <f t="shared" si="7"/>
        <v>9.7593047619050008E-4</v>
      </c>
      <c r="F103" s="23">
        <f t="shared" si="5"/>
        <v>3.6823037598449995E-3</v>
      </c>
      <c r="G103" s="20">
        <f t="shared" si="6"/>
        <v>10.20044358102092</v>
      </c>
      <c r="H103" s="7"/>
      <c r="I103" s="7"/>
      <c r="J103" s="7"/>
      <c r="K103" s="7"/>
      <c r="L103" s="7"/>
      <c r="M103" s="7"/>
      <c r="N103" s="7"/>
      <c r="T103" s="10"/>
    </row>
    <row r="104" spans="2:20">
      <c r="B104" s="3">
        <v>87</v>
      </c>
      <c r="C104" s="21">
        <v>43221</v>
      </c>
      <c r="D104" s="18">
        <v>1.9462900000000002E-2</v>
      </c>
      <c r="E104" s="22">
        <f t="shared" si="7"/>
        <v>4.9566000000000193E-4</v>
      </c>
      <c r="F104" s="23">
        <f t="shared" si="5"/>
        <v>2.0426980448625546E-3</v>
      </c>
      <c r="G104" s="20">
        <f t="shared" si="6"/>
        <v>10.983950028127518</v>
      </c>
      <c r="H104" s="7"/>
      <c r="I104" s="7"/>
      <c r="J104" s="7"/>
      <c r="K104" s="7"/>
      <c r="L104" s="7"/>
      <c r="M104" s="7"/>
      <c r="N104" s="7"/>
      <c r="T104" s="10"/>
    </row>
    <row r="105" spans="2:20">
      <c r="B105" s="3">
        <v>88</v>
      </c>
      <c r="C105" s="21">
        <v>43252</v>
      </c>
      <c r="D105" s="18">
        <v>2.0684290476190401E-2</v>
      </c>
      <c r="E105" s="22">
        <f t="shared" si="7"/>
        <v>1.2213904761903989E-3</v>
      </c>
      <c r="F105" s="23">
        <f t="shared" si="5"/>
        <v>4.5689421857607561E-3</v>
      </c>
      <c r="G105" s="20">
        <f t="shared" si="6"/>
        <v>9.5897918329513079</v>
      </c>
      <c r="H105" s="7"/>
      <c r="I105" s="7"/>
      <c r="J105" s="7"/>
      <c r="K105" s="7"/>
      <c r="L105" s="7"/>
      <c r="M105" s="7"/>
      <c r="N105" s="7"/>
      <c r="T105" s="10"/>
    </row>
    <row r="106" spans="2:20">
      <c r="B106" s="3">
        <v>89</v>
      </c>
      <c r="C106" s="21">
        <v>43282</v>
      </c>
      <c r="D106" s="18">
        <v>2.0789990909090901E-2</v>
      </c>
      <c r="E106" s="22">
        <f t="shared" si="7"/>
        <v>1.0570043290050041E-4</v>
      </c>
      <c r="F106" s="23">
        <f t="shared" si="5"/>
        <v>7.3424000945795085E-4</v>
      </c>
      <c r="G106" s="20">
        <f t="shared" si="6"/>
        <v>11.287236831482785</v>
      </c>
      <c r="H106" s="7"/>
      <c r="I106" s="7"/>
      <c r="J106" s="7"/>
      <c r="K106" s="7"/>
      <c r="L106" s="7"/>
      <c r="M106" s="7"/>
      <c r="N106" s="7"/>
      <c r="T106" s="10"/>
    </row>
    <row r="107" spans="2:20">
      <c r="B107" s="3">
        <v>90</v>
      </c>
      <c r="C107" s="21">
        <v>43313</v>
      </c>
      <c r="D107" s="18">
        <v>2.0741095454545402E-2</v>
      </c>
      <c r="E107" s="22">
        <f t="shared" si="7"/>
        <v>-4.8895454545498651E-5</v>
      </c>
      <c r="F107" s="23">
        <f t="shared" si="5"/>
        <v>2.013143548047558E-4</v>
      </c>
      <c r="G107" s="20">
        <f t="shared" si="6"/>
        <v>11.328853104070928</v>
      </c>
      <c r="H107" s="7"/>
      <c r="I107" s="7"/>
      <c r="J107" s="7"/>
      <c r="K107" s="7"/>
      <c r="L107" s="7"/>
      <c r="M107" s="7"/>
      <c r="N107" s="7"/>
      <c r="T107" s="10"/>
    </row>
    <row r="108" spans="2:20">
      <c r="B108" s="3">
        <v>91</v>
      </c>
      <c r="C108" s="21">
        <v>43344</v>
      </c>
      <c r="D108" s="18">
        <v>2.1754570000000001E-2</v>
      </c>
      <c r="E108" s="22">
        <f t="shared" si="7"/>
        <v>1.0134745454545985E-3</v>
      </c>
      <c r="F108" s="23">
        <f t="shared" si="5"/>
        <v>3.8802645437792465E-3</v>
      </c>
      <c r="G108" s="20">
        <f t="shared" si="6"/>
        <v>10.07548214763198</v>
      </c>
      <c r="H108" s="7"/>
      <c r="I108" s="7"/>
      <c r="J108" s="7"/>
      <c r="K108" s="7"/>
      <c r="L108" s="7"/>
      <c r="M108" s="7"/>
      <c r="N108" s="7"/>
      <c r="T108" s="10"/>
    </row>
    <row r="109" spans="2:20">
      <c r="B109" s="3">
        <v>92</v>
      </c>
      <c r="C109" s="21">
        <v>43374</v>
      </c>
      <c r="D109" s="18">
        <v>2.28570608695652E-2</v>
      </c>
      <c r="E109" s="22">
        <f t="shared" si="7"/>
        <v>1.1024908695651987E-3</v>
      </c>
      <c r="F109" s="23">
        <f t="shared" si="5"/>
        <v>4.2136532814505048E-3</v>
      </c>
      <c r="G109" s="20">
        <f t="shared" si="6"/>
        <v>9.8502464419165303</v>
      </c>
      <c r="H109" s="7"/>
      <c r="I109" s="7"/>
      <c r="J109" s="7"/>
      <c r="K109" s="7"/>
      <c r="L109" s="7"/>
      <c r="M109" s="7"/>
      <c r="N109" s="7"/>
      <c r="T109" s="10"/>
    </row>
    <row r="110" spans="2:20">
      <c r="B110" s="3">
        <v>93</v>
      </c>
      <c r="C110" s="21">
        <v>43405</v>
      </c>
      <c r="D110" s="18">
        <v>2.3192663636363599E-2</v>
      </c>
      <c r="E110" s="22">
        <f t="shared" si="7"/>
        <v>3.356027667983999E-4</v>
      </c>
      <c r="F110" s="23">
        <f t="shared" si="5"/>
        <v>1.5843003162626854E-3</v>
      </c>
      <c r="G110" s="20">
        <f t="shared" si="6"/>
        <v>11.122726978438566</v>
      </c>
      <c r="H110" s="7"/>
      <c r="I110" s="7"/>
      <c r="J110" s="7"/>
      <c r="K110" s="7"/>
      <c r="L110" s="7"/>
      <c r="M110" s="7"/>
      <c r="N110" s="7"/>
      <c r="T110" s="10"/>
    </row>
    <row r="111" spans="2:20">
      <c r="B111" s="3">
        <v>94</v>
      </c>
      <c r="C111" s="21">
        <v>43435</v>
      </c>
      <c r="D111" s="18">
        <v>2.4532431578947297E-2</v>
      </c>
      <c r="E111" s="22">
        <f t="shared" si="7"/>
        <v>1.3397679425836972E-3</v>
      </c>
      <c r="F111" s="23">
        <f t="shared" si="5"/>
        <v>5.071118032440914E-3</v>
      </c>
      <c r="G111" s="20">
        <f t="shared" si="6"/>
        <v>9.1857158013378584</v>
      </c>
      <c r="H111" s="7"/>
      <c r="I111" s="7"/>
      <c r="J111" s="7"/>
      <c r="K111" s="7"/>
      <c r="L111" s="7"/>
      <c r="M111" s="7"/>
      <c r="N111" s="7"/>
      <c r="T111" s="10"/>
    </row>
    <row r="112" spans="2:20">
      <c r="B112" s="3">
        <v>95</v>
      </c>
      <c r="C112" s="21">
        <v>43466</v>
      </c>
      <c r="D112" s="18">
        <v>2.5097909090909001E-2</v>
      </c>
      <c r="E112" s="22">
        <f t="shared" si="7"/>
        <v>5.6547751196170393E-4</v>
      </c>
      <c r="F112" s="23">
        <f t="shared" si="5"/>
        <v>2.4219820662630654E-3</v>
      </c>
      <c r="G112" s="20">
        <f t="shared" si="6"/>
        <v>10.842604387760026</v>
      </c>
      <c r="H112" s="7"/>
      <c r="I112" s="7"/>
      <c r="J112" s="7"/>
      <c r="K112" s="7"/>
      <c r="L112" s="7"/>
      <c r="M112" s="7"/>
      <c r="N112" s="7"/>
      <c r="T112" s="10"/>
    </row>
    <row r="113" spans="2:20">
      <c r="B113" s="3">
        <v>96</v>
      </c>
      <c r="C113" s="21">
        <v>43497</v>
      </c>
      <c r="D113" s="18">
        <v>2.4944655E-2</v>
      </c>
      <c r="E113" s="22">
        <f t="shared" si="7"/>
        <v>-1.5325409090900105E-4</v>
      </c>
      <c r="F113" s="23">
        <f t="shared" si="5"/>
        <v>-5.381311237069138E-5</v>
      </c>
      <c r="G113" s="20">
        <f t="shared" si="6"/>
        <v>11.331994194352406</v>
      </c>
      <c r="H113" s="7"/>
      <c r="I113" s="7"/>
      <c r="J113" s="7"/>
      <c r="K113" s="7"/>
      <c r="L113" s="7"/>
      <c r="M113" s="7"/>
      <c r="N113" s="7"/>
      <c r="T113" s="10"/>
    </row>
    <row r="114" spans="2:20">
      <c r="B114" s="3">
        <v>97</v>
      </c>
      <c r="C114" s="21">
        <v>43525</v>
      </c>
      <c r="D114" s="18">
        <v>2.4898052380952298E-2</v>
      </c>
      <c r="E114" s="22">
        <f t="shared" si="7"/>
        <v>-4.6602619047701743E-5</v>
      </c>
      <c r="F114" s="23">
        <f t="shared" si="5"/>
        <v>3.1185390577901447E-4</v>
      </c>
      <c r="G114" s="20">
        <f t="shared" si="6"/>
        <v>11.324118267355219</v>
      </c>
      <c r="H114" s="7"/>
      <c r="I114" s="7"/>
      <c r="J114" s="7"/>
      <c r="K114" s="7"/>
      <c r="L114" s="7"/>
      <c r="M114" s="7"/>
      <c r="N114" s="7"/>
      <c r="T114" s="10"/>
    </row>
    <row r="115" spans="2:20">
      <c r="B115" s="3">
        <v>98</v>
      </c>
      <c r="C115" s="21">
        <v>43556</v>
      </c>
      <c r="D115" s="18">
        <v>2.4801095000000002E-2</v>
      </c>
      <c r="E115" s="22">
        <f t="shared" si="7"/>
        <v>-9.6957380952295696E-5</v>
      </c>
      <c r="F115" s="23">
        <f t="shared" ref="F115:F137" si="8">(E115-(k*(theta-D114)*dt))/(SQRT(dt))</f>
        <v>1.3626907003199914E-4</v>
      </c>
      <c r="G115" s="20">
        <f t="shared" ref="G115:G137" si="9">-(LN(vol^2)+(F115/vol)^2)</f>
        <v>11.330685943661541</v>
      </c>
      <c r="H115" s="7"/>
      <c r="I115" s="7"/>
      <c r="J115" s="7"/>
      <c r="K115" s="7"/>
      <c r="L115" s="7"/>
      <c r="M115" s="7"/>
      <c r="N115" s="7"/>
      <c r="T115" s="10"/>
    </row>
    <row r="116" spans="2:20">
      <c r="B116" s="3">
        <v>99</v>
      </c>
      <c r="C116" s="21">
        <v>43586</v>
      </c>
      <c r="D116" s="18">
        <v>2.4440266666666603E-2</v>
      </c>
      <c r="E116" s="22">
        <f t="shared" si="7"/>
        <v>-3.6082833333339961E-4</v>
      </c>
      <c r="F116" s="23">
        <f t="shared" si="8"/>
        <v>-7.8020102662175765E-4</v>
      </c>
      <c r="G116" s="20">
        <f t="shared" si="9"/>
        <v>11.281426919894976</v>
      </c>
      <c r="H116" s="7"/>
      <c r="I116" s="7"/>
      <c r="J116" s="7"/>
      <c r="K116" s="7"/>
      <c r="L116" s="7"/>
      <c r="M116" s="7"/>
      <c r="N116" s="7"/>
      <c r="T116" s="10"/>
    </row>
    <row r="117" spans="2:20">
      <c r="B117" s="3">
        <v>100</v>
      </c>
      <c r="C117" s="21">
        <v>43617</v>
      </c>
      <c r="D117" s="18">
        <v>2.4033660000000002E-2</v>
      </c>
      <c r="E117" s="22">
        <f t="shared" si="7"/>
        <v>-4.0660666666660072E-4</v>
      </c>
      <c r="F117" s="23">
        <f t="shared" si="8"/>
        <v>-9.4769226415844889E-4</v>
      </c>
      <c r="G117" s="20">
        <f t="shared" si="9"/>
        <v>11.257270279579549</v>
      </c>
      <c r="H117" s="7"/>
      <c r="I117" s="7"/>
      <c r="J117" s="7"/>
      <c r="K117" s="7"/>
      <c r="L117" s="7"/>
      <c r="M117" s="7"/>
      <c r="N117" s="7"/>
      <c r="T117" s="10"/>
    </row>
    <row r="118" spans="2:20">
      <c r="B118" s="3">
        <v>101</v>
      </c>
      <c r="C118" s="21">
        <v>43647</v>
      </c>
      <c r="D118" s="18">
        <v>2.30610565217391E-2</v>
      </c>
      <c r="E118" s="22">
        <f t="shared" si="7"/>
        <v>-9.7260347826090207E-4</v>
      </c>
      <c r="F118" s="23">
        <f t="shared" si="8"/>
        <v>-2.9184036409264278E-3</v>
      </c>
      <c r="G118" s="20">
        <f t="shared" si="9"/>
        <v>10.621319989031351</v>
      </c>
      <c r="H118" s="7"/>
      <c r="I118" s="7"/>
      <c r="J118" s="7"/>
      <c r="K118" s="7"/>
      <c r="L118" s="7"/>
      <c r="M118" s="7"/>
      <c r="N118" s="7"/>
      <c r="T118" s="10"/>
    </row>
    <row r="119" spans="2:20">
      <c r="B119" s="3">
        <v>102</v>
      </c>
      <c r="C119" s="21">
        <v>43678</v>
      </c>
      <c r="D119" s="18">
        <v>2.1744661904761903E-2</v>
      </c>
      <c r="E119" s="22">
        <f t="shared" si="7"/>
        <v>-1.316394616977197E-3</v>
      </c>
      <c r="F119" s="23">
        <f t="shared" si="8"/>
        <v>-4.1333489388988417E-3</v>
      </c>
      <c r="G119" s="20">
        <f t="shared" si="9"/>
        <v>9.9061960544178866</v>
      </c>
      <c r="H119" s="7"/>
      <c r="I119" s="7"/>
      <c r="J119" s="7"/>
      <c r="K119" s="7"/>
      <c r="L119" s="7"/>
      <c r="M119" s="7"/>
      <c r="N119" s="7"/>
      <c r="T119" s="10"/>
    </row>
    <row r="120" spans="2:20">
      <c r="B120" s="3">
        <v>103</v>
      </c>
      <c r="C120" s="21">
        <v>43709</v>
      </c>
      <c r="D120" s="18">
        <v>2.04316333333333E-2</v>
      </c>
      <c r="E120" s="22">
        <f t="shared" si="7"/>
        <v>-1.3130285714286032E-3</v>
      </c>
      <c r="F120" s="23">
        <f t="shared" si="8"/>
        <v>-4.1541961899571869E-3</v>
      </c>
      <c r="G120" s="20">
        <f t="shared" si="9"/>
        <v>9.891774826987902</v>
      </c>
      <c r="H120" s="7"/>
      <c r="I120" s="7"/>
      <c r="J120" s="7"/>
      <c r="K120" s="7"/>
      <c r="L120" s="7"/>
      <c r="M120" s="7"/>
      <c r="N120" s="7"/>
      <c r="T120" s="10"/>
    </row>
    <row r="121" spans="2:20">
      <c r="B121" s="3">
        <v>104</v>
      </c>
      <c r="C121" s="21">
        <v>43739</v>
      </c>
      <c r="D121" s="18">
        <v>1.8782247826086899E-2</v>
      </c>
      <c r="E121" s="22">
        <f t="shared" si="7"/>
        <v>-1.6493855072464009E-3</v>
      </c>
      <c r="F121" s="23">
        <f t="shared" si="8"/>
        <v>-5.3517952469919611E-3</v>
      </c>
      <c r="G121" s="20">
        <f t="shared" si="9"/>
        <v>8.9415280894653169</v>
      </c>
      <c r="H121" s="7"/>
      <c r="I121" s="7"/>
      <c r="J121" s="7"/>
      <c r="K121" s="7"/>
      <c r="L121" s="7"/>
      <c r="M121" s="7"/>
      <c r="N121" s="7"/>
      <c r="T121" s="10"/>
    </row>
    <row r="122" spans="2:20">
      <c r="B122" s="3">
        <v>105</v>
      </c>
      <c r="C122" s="21">
        <v>43770</v>
      </c>
      <c r="D122" s="18">
        <v>1.7353652380952302E-2</v>
      </c>
      <c r="E122" s="22">
        <f t="shared" si="7"/>
        <v>-1.4285954451345971E-3</v>
      </c>
      <c r="F122" s="23">
        <f t="shared" si="8"/>
        <v>-4.6276866212561765E-3</v>
      </c>
      <c r="G122" s="20">
        <f t="shared" si="9"/>
        <v>9.5446974014920141</v>
      </c>
      <c r="H122" s="7"/>
      <c r="I122" s="7"/>
      <c r="J122" s="7"/>
      <c r="K122" s="7"/>
      <c r="L122" s="7"/>
      <c r="M122" s="7"/>
      <c r="N122" s="7"/>
      <c r="T122" s="10"/>
    </row>
    <row r="123" spans="2:20">
      <c r="B123" s="3">
        <v>106</v>
      </c>
      <c r="C123" s="21">
        <v>43800</v>
      </c>
      <c r="D123" s="18">
        <v>1.7492285E-2</v>
      </c>
      <c r="E123" s="22">
        <f t="shared" si="7"/>
        <v>1.3863261904769816E-4</v>
      </c>
      <c r="F123" s="23">
        <f t="shared" si="8"/>
        <v>7.6607234018602293E-4</v>
      </c>
      <c r="G123" s="20">
        <f t="shared" si="9"/>
        <v>11.283250461118056</v>
      </c>
      <c r="H123" s="7"/>
      <c r="I123" s="7"/>
      <c r="J123" s="7"/>
      <c r="K123" s="7"/>
      <c r="L123" s="7"/>
      <c r="M123" s="7"/>
      <c r="N123" s="7"/>
      <c r="T123" s="10"/>
    </row>
    <row r="124" spans="2:20">
      <c r="B124" s="3">
        <v>107</v>
      </c>
      <c r="C124" s="21">
        <v>43831</v>
      </c>
      <c r="D124" s="18">
        <v>1.6708263636363602E-2</v>
      </c>
      <c r="E124" s="22">
        <f t="shared" si="7"/>
        <v>-7.840213636363981E-4</v>
      </c>
      <c r="F124" s="23">
        <f t="shared" si="8"/>
        <v>-2.4266713621322457E-3</v>
      </c>
      <c r="G124" s="20">
        <f t="shared" si="9"/>
        <v>10.840706562157841</v>
      </c>
      <c r="H124" s="7"/>
      <c r="I124" s="7"/>
      <c r="J124" s="7"/>
      <c r="K124" s="7"/>
      <c r="L124" s="7"/>
      <c r="M124" s="7"/>
      <c r="N124" s="7"/>
      <c r="T124" s="10"/>
    </row>
    <row r="125" spans="2:20">
      <c r="B125" s="3">
        <v>108</v>
      </c>
      <c r="C125" s="21">
        <v>43862</v>
      </c>
      <c r="D125" s="18">
        <v>1.6367275000000001E-2</v>
      </c>
      <c r="E125" s="22">
        <f t="shared" si="7"/>
        <v>-3.4098863636360111E-4</v>
      </c>
      <c r="F125" s="23">
        <f t="shared" si="8"/>
        <v>-9.1132191298161683E-4</v>
      </c>
      <c r="G125" s="20">
        <f t="shared" si="9"/>
        <v>11.262913899000706</v>
      </c>
      <c r="H125" s="7"/>
      <c r="I125" s="7"/>
      <c r="J125" s="7"/>
      <c r="K125" s="7"/>
      <c r="L125" s="7"/>
      <c r="M125" s="7"/>
      <c r="N125" s="7"/>
      <c r="T125" s="10"/>
    </row>
    <row r="126" spans="2:20">
      <c r="B126" s="3">
        <v>109</v>
      </c>
      <c r="C126" s="21">
        <v>43891</v>
      </c>
      <c r="D126" s="18">
        <v>9.1723090909090893E-3</v>
      </c>
      <c r="E126" s="22">
        <f t="shared" si="7"/>
        <v>-7.1949659090909113E-3</v>
      </c>
      <c r="F126" s="23">
        <f t="shared" si="8"/>
        <v>-2.4662616163245006E-2</v>
      </c>
      <c r="G126" s="20">
        <f t="shared" si="9"/>
        <v>-39.437605963403229</v>
      </c>
      <c r="H126" s="7"/>
      <c r="I126" s="7"/>
      <c r="J126" s="7"/>
      <c r="K126" s="7"/>
      <c r="L126" s="7"/>
      <c r="M126" s="7"/>
      <c r="N126" s="7"/>
      <c r="T126" s="10"/>
    </row>
    <row r="127" spans="2:20">
      <c r="B127" s="3">
        <v>110</v>
      </c>
      <c r="C127" s="21">
        <v>43922</v>
      </c>
      <c r="D127" s="18">
        <v>6.8387149999999996E-3</v>
      </c>
      <c r="E127" s="22">
        <f t="shared" si="7"/>
        <v>-2.3335940909090898E-3</v>
      </c>
      <c r="F127" s="23">
        <f t="shared" si="8"/>
        <v>-8.0000055603307169E-3</v>
      </c>
      <c r="G127" s="20">
        <f t="shared" si="9"/>
        <v>5.9901840371755224</v>
      </c>
      <c r="H127" s="7"/>
      <c r="I127" s="7"/>
      <c r="J127" s="7"/>
      <c r="K127" s="7"/>
      <c r="L127" s="7"/>
      <c r="M127" s="7"/>
      <c r="N127" s="7"/>
      <c r="T127" s="10"/>
    </row>
    <row r="128" spans="2:20">
      <c r="B128" s="3">
        <v>111</v>
      </c>
      <c r="C128" s="21">
        <v>43952</v>
      </c>
      <c r="D128" s="18">
        <v>1.94778947368421E-3</v>
      </c>
      <c r="E128" s="22">
        <f t="shared" si="7"/>
        <v>-4.8909255263157895E-3</v>
      </c>
      <c r="F128" s="23">
        <f t="shared" si="8"/>
        <v>-1.6916488221464378E-2</v>
      </c>
      <c r="G128" s="20">
        <f t="shared" si="9"/>
        <v>-12.554012497851469</v>
      </c>
      <c r="H128" s="7"/>
      <c r="I128" s="7"/>
      <c r="J128" s="7"/>
      <c r="K128" s="7"/>
      <c r="L128" s="7"/>
      <c r="M128" s="7"/>
      <c r="N128" s="7"/>
      <c r="T128" s="10"/>
    </row>
    <row r="129" spans="2:20">
      <c r="B129" s="3">
        <v>112</v>
      </c>
      <c r="C129" s="21">
        <v>43983</v>
      </c>
      <c r="D129" s="18">
        <v>1.83013636363636E-3</v>
      </c>
      <c r="E129" s="22">
        <f t="shared" si="7"/>
        <v>-1.1765311004785007E-4</v>
      </c>
      <c r="F129" s="23">
        <f t="shared" si="8"/>
        <v>-5.0216600479617189E-4</v>
      </c>
      <c r="G129" s="20">
        <f t="shared" si="9"/>
        <v>11.311187361492911</v>
      </c>
      <c r="H129" s="7"/>
      <c r="I129" s="7"/>
      <c r="J129" s="7"/>
      <c r="K129" s="7"/>
      <c r="L129" s="7"/>
      <c r="M129" s="7"/>
      <c r="N129" s="7"/>
      <c r="T129" s="10"/>
    </row>
    <row r="130" spans="2:20">
      <c r="B130" s="3">
        <v>113</v>
      </c>
      <c r="C130" s="21">
        <v>44013</v>
      </c>
      <c r="D130" s="18">
        <v>1.7222565217391301E-3</v>
      </c>
      <c r="E130" s="22">
        <f t="shared" si="7"/>
        <v>-1.0787984189722984E-4</v>
      </c>
      <c r="F130" s="23">
        <f t="shared" si="8"/>
        <v>-4.7121578373995177E-4</v>
      </c>
      <c r="G130" s="20">
        <f t="shared" si="9"/>
        <v>11.31370199382302</v>
      </c>
      <c r="H130" s="7"/>
      <c r="I130" s="7"/>
      <c r="J130" s="7"/>
      <c r="K130" s="7"/>
      <c r="L130" s="7"/>
      <c r="M130" s="7"/>
      <c r="N130" s="7"/>
      <c r="T130" s="10"/>
    </row>
    <row r="131" spans="2:20">
      <c r="B131" s="3">
        <v>114</v>
      </c>
      <c r="C131" s="21">
        <v>44044</v>
      </c>
      <c r="D131" s="18">
        <v>1.6218350000000001E-3</v>
      </c>
      <c r="E131" s="22">
        <f t="shared" si="7"/>
        <v>-1.0042152173913004E-4</v>
      </c>
      <c r="F131" s="23">
        <f t="shared" si="8"/>
        <v>-4.4804343277315858E-4</v>
      </c>
      <c r="G131" s="20">
        <f t="shared" si="9"/>
        <v>11.315480009613378</v>
      </c>
      <c r="H131" s="7"/>
      <c r="I131" s="7"/>
      <c r="J131" s="7"/>
      <c r="K131" s="7"/>
      <c r="L131" s="7"/>
      <c r="M131" s="7"/>
      <c r="N131" s="7"/>
      <c r="T131" s="10"/>
    </row>
    <row r="132" spans="2:20">
      <c r="B132" s="3">
        <v>115</v>
      </c>
      <c r="C132" s="21">
        <v>44075</v>
      </c>
      <c r="D132" s="18">
        <v>1.5180363636363601E-3</v>
      </c>
      <c r="E132" s="22">
        <f t="shared" si="7"/>
        <v>-1.0379863636363995E-4</v>
      </c>
      <c r="F132" s="23">
        <f t="shared" si="8"/>
        <v>-4.6222195019819217E-4</v>
      </c>
      <c r="G132" s="20">
        <f t="shared" si="9"/>
        <v>11.314402735134427</v>
      </c>
      <c r="H132" s="7"/>
      <c r="I132" s="7"/>
      <c r="J132" s="7"/>
      <c r="K132" s="7"/>
      <c r="L132" s="7"/>
      <c r="M132" s="7"/>
      <c r="N132" s="7"/>
      <c r="T132" s="10"/>
    </row>
    <row r="133" spans="2:20">
      <c r="B133" s="3">
        <v>116</v>
      </c>
      <c r="C133" s="21">
        <v>44105</v>
      </c>
      <c r="D133" s="18">
        <v>1.46081363636363E-3</v>
      </c>
      <c r="E133" s="22">
        <f t="shared" si="7"/>
        <v>-5.7222727272730105E-5</v>
      </c>
      <c r="F133" s="23">
        <f t="shared" si="8"/>
        <v>-3.0344151330811216E-4</v>
      </c>
      <c r="G133" s="20">
        <f t="shared" si="9"/>
        <v>11.324550314093564</v>
      </c>
      <c r="H133" s="7"/>
      <c r="I133" s="7"/>
      <c r="J133" s="7"/>
      <c r="K133" s="7"/>
      <c r="L133" s="7"/>
      <c r="M133" s="7"/>
      <c r="N133" s="7"/>
      <c r="T133" s="10"/>
    </row>
    <row r="134" spans="2:20">
      <c r="B134" s="3">
        <v>117</v>
      </c>
      <c r="C134" s="21">
        <v>44136</v>
      </c>
      <c r="D134" s="18">
        <v>1.4218714285714202E-3</v>
      </c>
      <c r="E134" s="22">
        <f t="shared" si="7"/>
        <v>-3.8942207792209797E-5</v>
      </c>
      <c r="F134" s="23">
        <f t="shared" si="8"/>
        <v>-2.4152901715125035E-4</v>
      </c>
      <c r="G134" s="20">
        <f t="shared" si="9"/>
        <v>11.327366613705657</v>
      </c>
      <c r="H134" s="7"/>
      <c r="I134" s="7"/>
      <c r="J134" s="7"/>
      <c r="K134" s="7"/>
      <c r="L134" s="7"/>
      <c r="M134" s="7"/>
      <c r="N134" s="7"/>
      <c r="T134" s="10"/>
    </row>
    <row r="135" spans="2:20">
      <c r="B135" s="3">
        <v>118</v>
      </c>
      <c r="C135" s="21">
        <v>44166</v>
      </c>
      <c r="D135" s="18">
        <v>1.4925238095237999E-3</v>
      </c>
      <c r="E135" s="22">
        <f t="shared" si="7"/>
        <v>7.0652380952379709E-5</v>
      </c>
      <c r="F135" s="23">
        <f t="shared" si="8"/>
        <v>1.3715612028347902E-4</v>
      </c>
      <c r="G135" s="20">
        <f t="shared" si="9"/>
        <v>11.330665698825236</v>
      </c>
      <c r="H135" s="7"/>
      <c r="I135" s="7"/>
      <c r="J135" s="7"/>
      <c r="K135" s="7"/>
      <c r="L135" s="7"/>
      <c r="M135" s="7"/>
      <c r="N135" s="7"/>
      <c r="T135" s="10"/>
    </row>
    <row r="136" spans="2:20">
      <c r="B136" s="3">
        <v>119</v>
      </c>
      <c r="C136" s="21">
        <v>44197</v>
      </c>
      <c r="D136" s="18">
        <v>1.278265E-3</v>
      </c>
      <c r="E136" s="22">
        <f t="shared" si="7"/>
        <v>-2.1425880952379993E-4</v>
      </c>
      <c r="F136" s="23">
        <f t="shared" si="8"/>
        <v>-8.4806047667844973E-4</v>
      </c>
      <c r="G136" s="20">
        <f t="shared" si="9"/>
        <v>11.272204136395954</v>
      </c>
      <c r="H136" s="7"/>
      <c r="I136" s="7"/>
      <c r="J136" s="7"/>
      <c r="K136" s="7"/>
      <c r="L136" s="7"/>
      <c r="M136" s="7"/>
      <c r="N136" s="7"/>
      <c r="T136" s="10"/>
    </row>
    <row r="137" spans="2:20">
      <c r="B137" s="3">
        <v>120</v>
      </c>
      <c r="C137" s="21">
        <v>44228</v>
      </c>
      <c r="D137" s="18">
        <v>1.14083E-3</v>
      </c>
      <c r="E137" s="22">
        <f t="shared" si="7"/>
        <v>-1.3743499999999999E-4</v>
      </c>
      <c r="F137" s="23">
        <f t="shared" si="8"/>
        <v>-5.8722598671501799E-4</v>
      </c>
      <c r="G137" s="20">
        <f t="shared" si="9"/>
        <v>11.303452777010937</v>
      </c>
      <c r="H137" s="7"/>
      <c r="I137" s="7"/>
      <c r="J137" s="7"/>
      <c r="K137" s="7"/>
      <c r="L137" s="7"/>
      <c r="M137" s="7"/>
      <c r="N137" s="7"/>
      <c r="T137" s="10"/>
    </row>
    <row r="138" spans="2:20">
      <c r="B138" s="3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T138" s="10"/>
    </row>
    <row r="139" spans="2:20">
      <c r="B139" s="3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T139" s="10"/>
    </row>
    <row r="140" spans="2:20">
      <c r="B140" s="3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T140" s="10"/>
    </row>
    <row r="141" spans="2:20">
      <c r="B141" s="3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T141" s="10"/>
    </row>
    <row r="142" spans="2:20">
      <c r="B142" s="3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T142" s="10"/>
    </row>
    <row r="143" spans="2:20">
      <c r="B143" s="3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T143" s="10"/>
    </row>
    <row r="144" spans="2:20">
      <c r="B144" s="3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T144" s="10"/>
    </row>
    <row r="145" spans="2:20">
      <c r="B145" s="3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T145" s="10"/>
    </row>
    <row r="146" spans="2:20">
      <c r="B146" s="3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T146" s="10"/>
    </row>
    <row r="147" spans="2:20">
      <c r="B147" s="3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T147" s="10"/>
    </row>
    <row r="148" spans="2:20">
      <c r="B148" s="3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T148" s="10"/>
    </row>
    <row r="149" spans="2:20">
      <c r="B149" s="3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T149" s="10"/>
    </row>
    <row r="150" spans="2:20">
      <c r="B150" s="3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T150" s="10"/>
    </row>
    <row r="151" spans="2:20">
      <c r="B151" s="3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T151" s="10"/>
    </row>
    <row r="152" spans="2:20">
      <c r="B152" s="3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T152" s="10"/>
    </row>
    <row r="153" spans="2:20">
      <c r="B153" s="3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T153" s="10"/>
    </row>
    <row r="154" spans="2:20">
      <c r="B154" s="3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T154" s="10"/>
    </row>
    <row r="155" spans="2:20">
      <c r="B155" s="3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T155" s="10"/>
    </row>
    <row r="156" spans="2:20">
      <c r="B156" s="3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T156" s="10"/>
    </row>
    <row r="157" spans="2:20">
      <c r="B157" s="3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T157" s="10"/>
    </row>
    <row r="158" spans="2:20">
      <c r="B158" s="3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T158" s="10"/>
    </row>
    <row r="159" spans="2:20">
      <c r="B159" s="3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T159" s="10"/>
    </row>
    <row r="160" spans="2:20">
      <c r="B160" s="3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T160" s="10"/>
    </row>
    <row r="161" spans="2:20">
      <c r="B161" s="3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T161" s="10"/>
    </row>
    <row r="162" spans="2:20">
      <c r="B162" s="3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T162" s="10"/>
    </row>
    <row r="163" spans="2:20">
      <c r="B163" s="3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T163" s="10"/>
    </row>
    <row r="164" spans="2:20">
      <c r="B164" s="3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T164" s="10"/>
    </row>
    <row r="165" spans="2:20">
      <c r="B165" s="3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T165" s="10"/>
    </row>
    <row r="166" spans="2:20">
      <c r="B166" s="3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T166" s="10"/>
    </row>
    <row r="167" spans="2:20">
      <c r="B167" s="3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T167" s="10"/>
    </row>
    <row r="168" spans="2:20">
      <c r="B168" s="3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T168" s="10"/>
    </row>
    <row r="169" spans="2:20">
      <c r="B169" s="3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T169" s="10"/>
    </row>
    <row r="170" spans="2:20">
      <c r="B170" s="3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T170" s="10"/>
    </row>
    <row r="171" spans="2:20">
      <c r="B171" s="3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spans="2:20">
      <c r="B172" s="3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spans="2:20">
      <c r="B173" s="3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spans="2:20">
      <c r="B174" s="3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spans="2:20">
      <c r="B175" s="3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spans="2:20">
      <c r="B176" s="3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spans="2:14">
      <c r="B177" s="3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spans="2:14">
      <c r="B178" s="3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spans="2:14">
      <c r="B179" s="3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spans="2:14">
      <c r="B180" s="3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spans="2:14">
      <c r="B181" s="3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spans="2:14">
      <c r="B182" s="3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spans="2:14">
      <c r="B183" s="3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spans="2:14">
      <c r="B184" s="3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spans="2:14">
      <c r="B185" s="3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spans="2:14">
      <c r="B186" s="3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spans="2:14">
      <c r="B187" s="3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spans="2:14">
      <c r="B188" s="3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spans="2:14">
      <c r="B189" s="3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spans="2:14">
      <c r="B190" s="3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spans="2:14">
      <c r="B191" s="3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spans="2:14">
      <c r="B192" s="3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spans="2:14">
      <c r="B193" s="3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spans="2:14">
      <c r="B194" s="3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spans="2:14">
      <c r="B195" s="3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spans="2:14">
      <c r="B196" s="3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spans="2:14">
      <c r="B197" s="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spans="2:14">
      <c r="B198" s="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spans="2:14">
      <c r="B199" s="3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spans="2:14">
      <c r="B200" s="3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spans="2:14">
      <c r="B201" s="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spans="2:14">
      <c r="B202" s="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spans="2:14">
      <c r="B203" s="3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spans="2:14">
      <c r="B204" s="3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spans="2:14">
      <c r="B205" s="3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spans="2:14">
      <c r="B206" s="3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spans="2:14">
      <c r="B207" s="3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spans="2:14">
      <c r="B208" s="3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spans="2:14">
      <c r="B209" s="3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spans="2:14">
      <c r="B210" s="3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spans="2:14">
      <c r="B211" s="3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spans="2:14">
      <c r="B212" s="3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spans="2:14">
      <c r="B213" s="3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spans="2:14">
      <c r="B214" s="3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spans="2:14">
      <c r="B215" s="3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spans="2:14">
      <c r="B216" s="3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spans="2:14">
      <c r="B217" s="3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spans="2:14">
      <c r="B218" s="3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spans="2:14">
      <c r="B219" s="3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spans="2:14">
      <c r="B220" s="3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spans="2:14">
      <c r="B221" s="3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spans="2:14">
      <c r="B222" s="3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spans="2:14">
      <c r="B223" s="3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spans="2:14">
      <c r="B224" s="3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spans="2:14">
      <c r="B225" s="3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spans="2:14">
      <c r="B226" s="3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spans="2:14">
      <c r="B227" s="3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spans="2:14">
      <c r="B228" s="3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spans="2:14">
      <c r="B229" s="3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spans="2:14">
      <c r="B230" s="3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spans="2:14">
      <c r="B231" s="3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spans="2:14">
      <c r="B232" s="3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spans="2:14">
      <c r="B233" s="3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spans="2:14">
      <c r="B234" s="3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spans="2:14">
      <c r="B235" s="3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spans="2:14">
      <c r="B236" s="3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spans="2:14">
      <c r="B237" s="3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spans="2:14">
      <c r="B238" s="3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spans="2:14">
      <c r="B239" s="3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spans="2:14">
      <c r="B240" s="3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spans="2:14">
      <c r="B241" s="3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spans="2:14">
      <c r="B242" s="3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spans="2:14">
      <c r="B243" s="3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spans="2:14">
      <c r="B244" s="3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spans="2:14">
      <c r="B245" s="3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spans="2:14">
      <c r="B246" s="3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spans="2:14">
      <c r="B247" s="3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spans="2:14">
      <c r="B248" s="3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spans="2:14">
      <c r="B249" s="3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spans="2:14">
      <c r="B250" s="3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spans="2:14">
      <c r="B251" s="3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spans="2:14">
      <c r="B252" s="3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spans="2:14">
      <c r="B253" s="3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spans="2:14">
      <c r="B254" s="3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spans="2:14">
      <c r="B255" s="3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spans="2:14">
      <c r="B256" s="3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spans="2:14">
      <c r="B257" s="3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spans="2:14">
      <c r="B258" s="3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spans="2:14">
      <c r="B259" s="3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spans="2:14">
      <c r="B260" s="3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spans="2:14">
      <c r="B261" s="3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spans="2:14">
      <c r="B262" s="3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spans="2:14">
      <c r="B263" s="3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spans="2:14">
      <c r="B264" s="3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spans="2:14">
      <c r="B265" s="3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spans="2:14">
      <c r="B266" s="3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spans="2:14">
      <c r="B267" s="3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spans="2:14">
      <c r="B268" s="3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spans="2:14">
      <c r="B269" s="3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spans="2:14">
      <c r="B270" s="3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spans="2:14">
      <c r="B271" s="3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spans="2:14">
      <c r="B272" s="3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spans="2:14">
      <c r="B273" s="3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spans="2:14">
      <c r="B274" s="3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spans="2:14">
      <c r="B275" s="3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spans="2:14">
      <c r="B276" s="3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spans="2:14">
      <c r="B277" s="3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spans="2:14">
      <c r="B278" s="3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spans="2:14">
      <c r="B279" s="3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spans="2:14">
      <c r="B280" s="3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spans="2:14">
      <c r="B281" s="3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spans="2:14">
      <c r="B282" s="3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spans="2:14">
      <c r="B283" s="3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spans="2:14">
      <c r="B284" s="3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spans="2:14">
      <c r="B285" s="3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spans="2:14">
      <c r="B286" s="3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spans="2:14">
      <c r="B287" s="3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spans="2:14">
      <c r="B288" s="3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spans="2:14">
      <c r="B289" s="3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spans="2:14">
      <c r="B290" s="3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spans="2:14">
      <c r="B291" s="3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spans="2:14">
      <c r="B292" s="3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spans="2:14">
      <c r="B293" s="3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spans="2:14">
      <c r="B294" s="3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spans="2:14">
      <c r="B295" s="3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spans="2:14">
      <c r="B296" s="3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spans="2:14">
      <c r="B297" s="3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spans="2:14">
      <c r="B298" s="3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spans="2:14">
      <c r="B299" s="3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spans="2:14">
      <c r="B300" s="3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spans="2:14">
      <c r="B301" s="3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spans="2:14">
      <c r="B302" s="3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spans="2:14">
      <c r="B303" s="3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spans="2:14">
      <c r="B304" s="3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spans="2:14">
      <c r="B305" s="3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spans="2:14">
      <c r="B306" s="3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spans="2:14">
      <c r="B307" s="3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spans="2:14">
      <c r="B308" s="3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spans="2:14">
      <c r="B309" s="3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spans="2:14">
      <c r="B310" s="3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spans="2:14">
      <c r="B311" s="3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spans="2:14">
      <c r="B312" s="3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spans="2:14">
      <c r="B313" s="3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spans="2:14">
      <c r="B314" s="3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spans="2:14">
      <c r="B315" s="3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spans="2:14">
      <c r="B316" s="3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spans="2:14">
      <c r="B317" s="3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spans="2:14">
      <c r="B318" s="3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spans="2:14">
      <c r="B319" s="3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spans="2:14">
      <c r="B320" s="3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spans="2:14">
      <c r="B321" s="3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spans="2:14">
      <c r="B322" s="3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spans="2:14">
      <c r="B323" s="3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spans="2:14">
      <c r="B324" s="3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spans="2:14">
      <c r="B325" s="3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spans="2:14">
      <c r="B326" s="3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spans="2:14">
      <c r="B327" s="3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spans="2:14">
      <c r="B328" s="3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spans="2:14">
      <c r="B329" s="3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spans="2:14">
      <c r="B330" s="3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spans="2:14">
      <c r="B331" s="3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spans="2:14">
      <c r="B332" s="3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spans="2:14">
      <c r="B333" s="3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spans="2:14">
      <c r="B334" s="3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spans="2:14">
      <c r="B335" s="3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spans="2:14">
      <c r="B336" s="3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spans="2:14">
      <c r="B337" s="3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spans="2:14">
      <c r="B338" s="3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spans="2:14">
      <c r="B339" s="3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spans="2:14">
      <c r="B340" s="3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spans="2:14">
      <c r="B341" s="3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spans="2:14">
      <c r="B342" s="3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spans="2:14">
      <c r="B343" s="3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spans="2:14">
      <c r="B344" s="3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spans="2:14">
      <c r="B345" s="3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spans="2:14">
      <c r="B346" s="3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spans="2:14">
      <c r="B347" s="3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spans="2:14">
      <c r="B348" s="3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spans="2:14">
      <c r="B349" s="3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spans="2:14">
      <c r="B350" s="3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spans="2:14">
      <c r="B351" s="3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spans="2:14">
      <c r="B352" s="3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spans="2:14">
      <c r="B353" s="3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spans="2:14">
      <c r="B354" s="3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spans="2:14">
      <c r="B355" s="3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spans="2:14">
      <c r="B356" s="3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spans="2:14">
      <c r="B357" s="3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spans="2:14">
      <c r="B358" s="3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spans="2:14">
      <c r="B359" s="3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spans="2:14">
      <c r="B360" s="3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spans="2:14">
      <c r="B361" s="3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spans="2:14">
      <c r="B362" s="3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spans="2:14">
      <c r="B363" s="3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spans="2:14">
      <c r="B364" s="3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spans="2:14">
      <c r="B365" s="3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spans="2:14">
      <c r="B366" s="3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spans="2:14">
      <c r="B367" s="3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spans="2:14">
      <c r="B368" s="3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spans="2:14">
      <c r="B369" s="3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spans="2:14">
      <c r="B370" s="3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spans="2:14">
      <c r="B371" s="3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spans="2:14">
      <c r="B372" s="3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spans="2:14">
      <c r="B373" s="3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spans="2:14">
      <c r="B374" s="3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spans="2:14">
      <c r="B375" s="3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spans="2:14">
      <c r="B376" s="3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spans="2:14">
      <c r="B377" s="3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spans="2:14">
      <c r="B378" s="3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spans="2:14">
      <c r="B379" s="3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spans="2:14">
      <c r="B380" s="3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spans="2:14">
      <c r="B381" s="3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spans="2:14">
      <c r="B382" s="3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spans="2:14">
      <c r="B383" s="3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spans="2:14">
      <c r="B384" s="3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spans="2:14">
      <c r="B385" s="3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spans="2:14">
      <c r="B386" s="3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spans="2:14">
      <c r="B387" s="3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spans="2:14">
      <c r="B388" s="3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spans="2:14">
      <c r="B389" s="3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spans="2:14">
      <c r="B390" s="3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spans="2:14">
      <c r="B391" s="3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spans="2:14">
      <c r="B392" s="3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spans="2:14">
      <c r="B393" s="3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spans="2:14">
      <c r="B394" s="3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spans="2:14">
      <c r="B395" s="3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spans="2:14">
      <c r="B396" s="3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spans="2:14">
      <c r="B397" s="3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spans="2:14">
      <c r="B398" s="3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spans="2:14">
      <c r="B399" s="3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spans="2:14">
      <c r="B400" s="3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spans="2:14">
      <c r="B401" s="3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spans="2:14">
      <c r="B402" s="3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spans="2:14">
      <c r="B403" s="3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spans="2:14">
      <c r="B404" s="3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spans="2:14">
      <c r="B405" s="3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spans="2:14">
      <c r="B406" s="3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spans="2:14">
      <c r="B407" s="3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spans="2:14">
      <c r="B408" s="3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spans="2:14">
      <c r="B409" s="3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spans="2:14">
      <c r="B410" s="3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spans="2:14">
      <c r="B411" s="3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spans="2:14">
      <c r="B412" s="3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spans="2:14">
      <c r="B413" s="3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spans="2:14">
      <c r="B414" s="3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spans="2:14">
      <c r="B415" s="3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spans="2:14">
      <c r="B416" s="3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spans="2:14">
      <c r="B417" s="3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spans="2:14">
      <c r="B418" s="3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spans="2:14">
      <c r="B419" s="3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spans="2:14">
      <c r="B420" s="3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spans="2:14">
      <c r="B421" s="3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spans="2:14">
      <c r="B422" s="3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spans="2:14">
      <c r="B423" s="3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spans="2:14">
      <c r="B424" s="3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spans="2:14">
      <c r="B425" s="3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spans="2:14">
      <c r="B426" s="3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spans="2:14">
      <c r="B427" s="3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spans="2:14">
      <c r="B428" s="3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spans="2:14">
      <c r="B429" s="3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spans="2:14">
      <c r="B430" s="3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spans="2:14">
      <c r="B431" s="3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spans="2:14">
      <c r="B432" s="3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spans="2:14">
      <c r="B433" s="3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spans="2:14">
      <c r="B434" s="3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spans="2:14">
      <c r="B435" s="3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spans="2:14">
      <c r="B436" s="3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spans="2:14">
      <c r="B437" s="3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spans="2:14">
      <c r="B438" s="3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spans="2:14">
      <c r="B439" s="3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spans="2:14">
      <c r="B440" s="3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spans="2:14">
      <c r="B441" s="3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spans="2:14">
      <c r="B442" s="3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spans="2:14">
      <c r="B443" s="3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spans="2:14">
      <c r="B444" s="3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spans="2:14">
      <c r="B445" s="3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spans="2:14">
      <c r="B446" s="3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spans="2:14">
      <c r="B447" s="3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spans="2:14">
      <c r="B448" s="3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spans="2:14">
      <c r="B449" s="3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spans="2:14">
      <c r="B450" s="3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spans="2:14">
      <c r="B451" s="3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spans="2:14">
      <c r="B452" s="3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spans="2:14">
      <c r="B453" s="3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spans="2:14">
      <c r="B454" s="3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spans="2:14">
      <c r="B455" s="3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spans="2:14">
      <c r="B456" s="3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spans="2:14">
      <c r="B457" s="3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spans="2:14">
      <c r="B458" s="3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spans="2:14">
      <c r="B459" s="3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spans="2:14">
      <c r="B460" s="3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spans="2:14">
      <c r="B461" s="3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spans="2:14">
      <c r="B462" s="3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spans="2:14">
      <c r="B463" s="3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spans="2:14">
      <c r="B464" s="3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spans="2:14">
      <c r="B465" s="3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spans="2:14">
      <c r="B466" s="3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spans="2:14">
      <c r="B467" s="3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spans="2:14">
      <c r="B468" s="3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spans="2:14">
      <c r="B469" s="3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spans="2:14">
      <c r="B470" s="3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spans="2:14">
      <c r="B471" s="3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spans="2:14">
      <c r="B472" s="3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spans="2:14">
      <c r="B473" s="3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spans="2:14">
      <c r="B474" s="3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spans="2:14">
      <c r="B475" s="3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spans="2:14">
      <c r="B476" s="3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spans="2:14">
      <c r="B477" s="3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spans="2:14">
      <c r="B478" s="3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spans="2:14">
      <c r="B479" s="3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spans="2:14">
      <c r="B480" s="3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spans="2:14">
      <c r="B481" s="3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spans="2:14">
      <c r="B482" s="3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spans="2:14">
      <c r="B483" s="3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spans="2:14">
      <c r="B484" s="3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spans="2:14">
      <c r="B485" s="3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spans="2:14">
      <c r="B486" s="3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spans="2:14">
      <c r="B487" s="3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spans="2:14">
      <c r="B488" s="3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spans="2:14">
      <c r="B489" s="3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spans="2:14">
      <c r="B490" s="3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spans="2:14">
      <c r="B491" s="3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spans="2:14">
      <c r="B492" s="3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spans="2:14">
      <c r="B493" s="3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spans="2:14">
      <c r="B494" s="3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spans="2:14">
      <c r="B495" s="3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spans="2:14">
      <c r="B496" s="3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spans="2:14">
      <c r="B497" s="3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spans="2:14">
      <c r="B498" s="3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spans="2:14">
      <c r="B499" s="3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spans="2:14">
      <c r="B500" s="3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spans="2:14">
      <c r="B501" s="3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spans="2:14">
      <c r="B502" s="3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spans="2:14">
      <c r="B503" s="3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spans="2:14">
      <c r="B504" s="3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spans="2:14">
      <c r="B505" s="3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spans="2:14">
      <c r="B506" s="3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spans="2:14">
      <c r="B507" s="3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spans="2:14">
      <c r="B508" s="3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spans="2:14">
      <c r="B509" s="3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spans="2:14">
      <c r="B510" s="3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spans="2:14">
      <c r="B511" s="3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spans="2:14">
      <c r="B512" s="3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spans="2:14">
      <c r="B513" s="3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spans="2:14">
      <c r="B514" s="3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spans="2:14">
      <c r="B515" s="3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spans="2:14">
      <c r="B516" s="3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5F913-349C-4109-AC1E-75E08E6F0622}">
  <sheetPr codeName="Sheet2"/>
  <dimension ref="B3:BD515"/>
  <sheetViews>
    <sheetView showGridLines="0" zoomScale="80" zoomScaleNormal="80" workbookViewId="0">
      <selection activeCell="J21" sqref="J21"/>
    </sheetView>
  </sheetViews>
  <sheetFormatPr defaultColWidth="8.90625" defaultRowHeight="14"/>
  <cols>
    <col min="1" max="1" width="8.90625" style="1"/>
    <col min="2" max="2" width="11.1796875" style="1" customWidth="1"/>
    <col min="3" max="4" width="11.6328125" style="1" customWidth="1"/>
    <col min="5" max="5" width="11.1796875" style="1" customWidth="1"/>
    <col min="6" max="6" width="11.453125" style="1" customWidth="1"/>
    <col min="7" max="7" width="9.90625" style="1" bestFit="1" customWidth="1"/>
    <col min="8" max="8" width="15.08984375" style="1" customWidth="1"/>
    <col min="9" max="9" width="11.453125" style="1" customWidth="1"/>
    <col min="10" max="10" width="15.36328125" style="1" customWidth="1"/>
    <col min="11" max="11" width="10.08984375" style="1" bestFit="1" customWidth="1"/>
    <col min="12" max="12" width="8.90625" style="1"/>
    <col min="13" max="13" width="9.54296875" style="1" bestFit="1" customWidth="1"/>
    <col min="14" max="28" width="8.90625" style="1"/>
    <col min="29" max="29" width="10.1796875" style="1" bestFit="1" customWidth="1"/>
    <col min="30" max="16384" width="8.90625" style="1"/>
  </cols>
  <sheetData>
    <row r="3" spans="2:56" ht="18">
      <c r="B3" s="4" t="s">
        <v>8</v>
      </c>
      <c r="C3" s="5"/>
      <c r="D3" s="5"/>
      <c r="E3" s="5"/>
      <c r="F3" s="5"/>
      <c r="G3" s="5"/>
      <c r="H3" s="5"/>
    </row>
    <row r="5" spans="2:56">
      <c r="B5" s="30" t="s">
        <v>27</v>
      </c>
    </row>
    <row r="7" spans="2:56">
      <c r="B7" s="2" t="s">
        <v>28</v>
      </c>
      <c r="G7" s="2" t="s">
        <v>5</v>
      </c>
      <c r="H7" s="3">
        <f>1/12</f>
        <v>8.3333333333333329E-2</v>
      </c>
      <c r="L7" s="2"/>
      <c r="U7" s="2"/>
      <c r="V7" s="2"/>
    </row>
    <row r="9" spans="2:56">
      <c r="G9" s="31" t="s">
        <v>21</v>
      </c>
      <c r="H9" s="31"/>
      <c r="L9" s="11"/>
      <c r="V9" s="12"/>
    </row>
    <row r="10" spans="2:56">
      <c r="G10" s="1" t="s">
        <v>22</v>
      </c>
      <c r="H10" s="32">
        <f>INTERCEPT(D18:D136,E18:E136)</f>
        <v>4.1154385907907903E-5</v>
      </c>
      <c r="I10" s="7"/>
      <c r="J10" s="22" t="s">
        <v>24</v>
      </c>
      <c r="K10" s="34">
        <f>(1-H11)/H7</f>
        <v>8.5520614945688411E-2</v>
      </c>
    </row>
    <row r="11" spans="2:56">
      <c r="G11" s="1" t="s">
        <v>23</v>
      </c>
      <c r="H11" s="32">
        <f>SLOPE(D18:D136,E18:E136)</f>
        <v>0.9928732820878593</v>
      </c>
      <c r="I11" s="7"/>
      <c r="J11" s="3" t="s">
        <v>25</v>
      </c>
      <c r="K11" s="35">
        <f>H10/(K10*H7)</f>
        <v>5.7746618310512135E-3</v>
      </c>
    </row>
    <row r="12" spans="2:56">
      <c r="G12" s="1" t="s">
        <v>29</v>
      </c>
      <c r="H12" s="33">
        <f>SUMSQ(F18:F136)/(COUNT(F18:F136)-2)</f>
        <v>1.0154357971205213E-6</v>
      </c>
      <c r="I12" s="7"/>
      <c r="J12" s="3" t="s">
        <v>26</v>
      </c>
      <c r="K12" s="36">
        <f>SQRT(H12/H7)</f>
        <v>3.4907348174053922E-3</v>
      </c>
    </row>
    <row r="13" spans="2:56">
      <c r="E13" s="7"/>
      <c r="F13" s="7"/>
      <c r="G13" s="7"/>
      <c r="H13" s="7"/>
      <c r="T13" s="2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</row>
    <row r="14" spans="2:56">
      <c r="E14" s="7"/>
      <c r="F14" s="7"/>
      <c r="T14" s="2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</row>
    <row r="15" spans="2:56">
      <c r="E15" s="7"/>
      <c r="F15" s="7"/>
    </row>
    <row r="16" spans="2:56">
      <c r="B16" s="16" t="s">
        <v>6</v>
      </c>
      <c r="C16" s="16" t="s">
        <v>9</v>
      </c>
      <c r="D16" s="16" t="s">
        <v>19</v>
      </c>
      <c r="E16" s="16" t="s">
        <v>20</v>
      </c>
      <c r="F16" s="16" t="s">
        <v>18</v>
      </c>
      <c r="T16" s="2"/>
      <c r="U16" s="13"/>
      <c r="V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</row>
    <row r="17" spans="2:20">
      <c r="B17" s="3">
        <v>1</v>
      </c>
      <c r="C17" s="21">
        <v>40603</v>
      </c>
      <c r="D17" s="18">
        <v>2.5328478260869501E-3</v>
      </c>
      <c r="E17" s="19"/>
      <c r="F17" s="19"/>
      <c r="N17" s="7"/>
      <c r="T17" s="10"/>
    </row>
    <row r="18" spans="2:20">
      <c r="B18" s="3">
        <v>2</v>
      </c>
      <c r="C18" s="21">
        <v>40634</v>
      </c>
      <c r="D18" s="18">
        <v>2.2143499999999999E-3</v>
      </c>
      <c r="E18" s="19">
        <f>D17</f>
        <v>2.5328478260869501E-3</v>
      </c>
      <c r="F18" s="37">
        <f t="shared" ref="F18:F49" si="0">D18-$H$10-$H$11*E18</f>
        <v>-3.4160132002395739E-4</v>
      </c>
      <c r="N18" s="7"/>
      <c r="T18" s="10"/>
    </row>
    <row r="19" spans="2:20">
      <c r="B19" s="3">
        <v>3</v>
      </c>
      <c r="C19" s="21">
        <v>40664</v>
      </c>
      <c r="D19" s="18">
        <v>1.9780049999999997E-3</v>
      </c>
      <c r="E19" s="19">
        <f t="shared" ref="E19:E82" si="1">D18</f>
        <v>2.2143499999999999E-3</v>
      </c>
      <c r="F19" s="37">
        <f t="shared" si="0"/>
        <v>-2.6171833809915954E-4</v>
      </c>
      <c r="N19" s="7"/>
      <c r="T19" s="10"/>
    </row>
    <row r="20" spans="2:20">
      <c r="B20" s="3">
        <v>4</v>
      </c>
      <c r="C20" s="21">
        <v>40695</v>
      </c>
      <c r="D20" s="18">
        <v>1.8716409090908999E-3</v>
      </c>
      <c r="E20" s="19">
        <f t="shared" si="1"/>
        <v>1.9780049999999997E-3</v>
      </c>
      <c r="F20" s="37">
        <f t="shared" si="0"/>
        <v>-1.3342179315320381E-4</v>
      </c>
      <c r="J20" s="7"/>
      <c r="K20" s="7"/>
      <c r="L20" s="7"/>
      <c r="M20" s="7"/>
      <c r="N20" s="7"/>
      <c r="T20" s="10"/>
    </row>
    <row r="21" spans="2:20">
      <c r="B21" s="3">
        <v>5</v>
      </c>
      <c r="C21" s="21">
        <v>40725</v>
      </c>
      <c r="D21" s="18">
        <v>1.8661904761904699E-3</v>
      </c>
      <c r="E21" s="19">
        <f t="shared" si="1"/>
        <v>1.8716409090908999E-3</v>
      </c>
      <c r="F21" s="37">
        <f t="shared" si="0"/>
        <v>-3.3266162016424477E-5</v>
      </c>
      <c r="J21" s="7"/>
      <c r="K21" s="7"/>
      <c r="L21" s="7"/>
      <c r="M21" s="7"/>
      <c r="N21" s="7"/>
      <c r="O21" s="15"/>
      <c r="T21" s="10"/>
    </row>
    <row r="22" spans="2:20">
      <c r="B22" s="3">
        <v>6</v>
      </c>
      <c r="C22" s="21">
        <v>40756</v>
      </c>
      <c r="D22" s="18">
        <v>2.1116590909090898E-3</v>
      </c>
      <c r="E22" s="19">
        <f t="shared" si="1"/>
        <v>1.8661904761904699E-3</v>
      </c>
      <c r="F22" s="37">
        <f t="shared" si="0"/>
        <v>2.1761404190484513E-4</v>
      </c>
      <c r="J22" s="7"/>
      <c r="K22" s="7"/>
      <c r="L22" s="7"/>
      <c r="M22" s="7"/>
      <c r="N22" s="7"/>
      <c r="T22" s="10"/>
    </row>
    <row r="23" spans="2:20">
      <c r="B23" s="3">
        <v>7</v>
      </c>
      <c r="C23" s="21">
        <v>40787</v>
      </c>
      <c r="D23" s="18">
        <v>2.3085045454545399E-3</v>
      </c>
      <c r="E23" s="19">
        <f t="shared" si="1"/>
        <v>2.1116590909090898E-3</v>
      </c>
      <c r="F23" s="37">
        <f t="shared" si="0"/>
        <v>1.7074026730505868E-4</v>
      </c>
      <c r="J23" s="7"/>
      <c r="K23" s="7"/>
      <c r="L23" s="7"/>
      <c r="M23" s="7"/>
      <c r="N23" s="7"/>
      <c r="T23" s="10"/>
    </row>
    <row r="24" spans="2:20">
      <c r="B24" s="3">
        <v>8</v>
      </c>
      <c r="C24" s="21">
        <v>40817</v>
      </c>
      <c r="D24" s="18">
        <v>2.4373904761904701E-3</v>
      </c>
      <c r="E24" s="19">
        <f t="shared" si="1"/>
        <v>2.3085045454545399E-3</v>
      </c>
      <c r="F24" s="37">
        <f t="shared" si="0"/>
        <v>1.0418360552237127E-4</v>
      </c>
      <c r="J24" s="7"/>
      <c r="K24" s="7"/>
      <c r="L24" s="7"/>
      <c r="M24" s="7"/>
      <c r="N24" s="7"/>
      <c r="T24" s="10"/>
    </row>
    <row r="25" spans="2:20">
      <c r="B25" s="3">
        <v>9</v>
      </c>
      <c r="C25" s="21">
        <v>40848</v>
      </c>
      <c r="D25" s="18">
        <v>2.5364636363636298E-3</v>
      </c>
      <c r="E25" s="19">
        <f t="shared" si="1"/>
        <v>2.4373904761904701E-3</v>
      </c>
      <c r="F25" s="37">
        <f t="shared" si="0"/>
        <v>7.5289368630799582E-5</v>
      </c>
      <c r="J25" s="7"/>
      <c r="K25" s="7"/>
      <c r="L25" s="7"/>
      <c r="M25" s="7"/>
      <c r="N25" s="7"/>
      <c r="O25" s="6"/>
      <c r="P25" s="3"/>
      <c r="Q25" s="3"/>
      <c r="R25" s="3"/>
      <c r="T25" s="10"/>
    </row>
    <row r="26" spans="2:20">
      <c r="B26" s="3">
        <v>10</v>
      </c>
      <c r="C26" s="21">
        <v>40878</v>
      </c>
      <c r="D26" s="18">
        <v>2.8360849999999999E-3</v>
      </c>
      <c r="E26" s="19">
        <f t="shared" si="1"/>
        <v>2.5364636363636298E-3</v>
      </c>
      <c r="F26" s="37">
        <f t="shared" si="0"/>
        <v>2.7654363855922825E-4</v>
      </c>
      <c r="J26" s="7"/>
      <c r="K26" s="7"/>
      <c r="L26" s="7"/>
      <c r="M26" s="7"/>
      <c r="N26" s="7"/>
      <c r="O26" s="6"/>
      <c r="P26" s="7"/>
      <c r="Q26" s="7"/>
      <c r="R26" s="7"/>
      <c r="T26" s="10"/>
    </row>
    <row r="27" spans="2:20">
      <c r="B27" s="3">
        <v>11</v>
      </c>
      <c r="C27" s="21">
        <v>40909</v>
      </c>
      <c r="D27" s="18">
        <v>2.8289523809523799E-3</v>
      </c>
      <c r="E27" s="19">
        <f t="shared" si="1"/>
        <v>2.8360849999999999E-3</v>
      </c>
      <c r="F27" s="37">
        <f t="shared" si="0"/>
        <v>-2.807502718567452E-5</v>
      </c>
      <c r="J27" s="7"/>
      <c r="K27" s="7"/>
      <c r="L27" s="7"/>
      <c r="M27" s="7"/>
      <c r="N27" s="7"/>
      <c r="O27" s="6"/>
      <c r="P27" s="7"/>
      <c r="Q27" s="7"/>
      <c r="R27" s="7"/>
      <c r="T27" s="10"/>
    </row>
    <row r="28" spans="2:20">
      <c r="B28" s="3">
        <v>12</v>
      </c>
      <c r="C28" s="21">
        <v>40940</v>
      </c>
      <c r="D28" s="18">
        <v>2.5002380952380897E-3</v>
      </c>
      <c r="E28" s="19">
        <f t="shared" si="1"/>
        <v>2.8289523809523799E-3</v>
      </c>
      <c r="F28" s="37">
        <f t="shared" si="0"/>
        <v>-3.4970752601627166E-4</v>
      </c>
      <c r="J28" s="7"/>
      <c r="K28" s="7"/>
      <c r="L28" s="7"/>
      <c r="T28" s="10"/>
    </row>
    <row r="29" spans="2:20">
      <c r="B29" s="3">
        <v>13</v>
      </c>
      <c r="C29" s="21">
        <v>40969</v>
      </c>
      <c r="D29" s="18">
        <v>2.4185227272727201E-3</v>
      </c>
      <c r="E29" s="19">
        <f t="shared" si="1"/>
        <v>2.5002380952380897E-3</v>
      </c>
      <c r="F29" s="37">
        <f t="shared" si="0"/>
        <v>-1.050512622553278E-4</v>
      </c>
      <c r="H29" s="7"/>
      <c r="I29" s="7"/>
      <c r="J29" s="7"/>
      <c r="K29" s="7"/>
      <c r="L29" s="7"/>
      <c r="T29" s="10"/>
    </row>
    <row r="30" spans="2:20">
      <c r="B30" s="3">
        <v>14</v>
      </c>
      <c r="C30" s="21">
        <v>41000</v>
      </c>
      <c r="D30" s="18">
        <v>2.39828947368421E-3</v>
      </c>
      <c r="E30" s="19">
        <f t="shared" si="1"/>
        <v>2.4185227272727201E-3</v>
      </c>
      <c r="F30" s="37">
        <f t="shared" si="0"/>
        <v>-4.4151510255044032E-5</v>
      </c>
      <c r="H30" s="7"/>
      <c r="I30" s="7"/>
      <c r="J30" s="7"/>
      <c r="K30" s="7"/>
      <c r="L30" s="7"/>
      <c r="T30" s="10"/>
    </row>
    <row r="31" spans="2:20">
      <c r="B31" s="3">
        <v>15</v>
      </c>
      <c r="C31" s="21">
        <v>41030</v>
      </c>
      <c r="D31" s="18">
        <v>2.38931818181818E-3</v>
      </c>
      <c r="E31" s="19">
        <f t="shared" si="1"/>
        <v>2.39828947368421E-3</v>
      </c>
      <c r="F31" s="37">
        <f t="shared" si="0"/>
        <v>-3.3033745223334018E-5</v>
      </c>
      <c r="H31" s="7"/>
      <c r="I31" s="7"/>
      <c r="J31" s="7"/>
      <c r="K31" s="7"/>
      <c r="L31" s="7"/>
      <c r="T31" s="10"/>
    </row>
    <row r="32" spans="2:20">
      <c r="B32" s="3">
        <v>16</v>
      </c>
      <c r="C32" s="21">
        <v>41061</v>
      </c>
      <c r="D32" s="18">
        <v>2.4319736842105199E-3</v>
      </c>
      <c r="E32" s="19">
        <f t="shared" si="1"/>
        <v>2.38931818181818E-3</v>
      </c>
      <c r="F32" s="37">
        <f t="shared" si="0"/>
        <v>1.8529113168599259E-5</v>
      </c>
      <c r="H32" s="7"/>
      <c r="I32" s="7"/>
      <c r="J32" s="7"/>
      <c r="K32" s="7"/>
      <c r="L32" s="7"/>
      <c r="M32" s="7"/>
      <c r="N32" s="7"/>
      <c r="O32" s="3"/>
      <c r="P32" s="14"/>
      <c r="Q32" s="14"/>
      <c r="R32" s="14"/>
      <c r="T32" s="10"/>
    </row>
    <row r="33" spans="2:20">
      <c r="B33" s="3">
        <v>17</v>
      </c>
      <c r="C33" s="21">
        <v>41091</v>
      </c>
      <c r="D33" s="18">
        <v>2.4646136363636302E-3</v>
      </c>
      <c r="E33" s="19">
        <f t="shared" si="1"/>
        <v>2.4319736842105199E-3</v>
      </c>
      <c r="F33" s="37">
        <f t="shared" si="0"/>
        <v>8.8175566623203451E-6</v>
      </c>
      <c r="H33" s="7"/>
      <c r="I33" s="7"/>
      <c r="J33" s="7"/>
      <c r="K33" s="7"/>
      <c r="L33" s="7"/>
      <c r="M33" s="7"/>
      <c r="N33" s="7"/>
      <c r="O33" s="3"/>
      <c r="P33" s="14"/>
      <c r="Q33" s="14"/>
      <c r="R33" s="14"/>
      <c r="T33" s="10"/>
    </row>
    <row r="34" spans="2:20">
      <c r="B34" s="3">
        <v>18</v>
      </c>
      <c r="C34" s="21">
        <v>41122</v>
      </c>
      <c r="D34" s="18">
        <v>2.3783863636363599E-3</v>
      </c>
      <c r="E34" s="19">
        <f t="shared" si="1"/>
        <v>2.4646136363636302E-3</v>
      </c>
      <c r="F34" s="37">
        <f t="shared" si="0"/>
        <v>-1.0981705248639924E-4</v>
      </c>
      <c r="H34" s="7"/>
      <c r="I34" s="7"/>
      <c r="J34" s="7"/>
      <c r="K34" s="7"/>
      <c r="L34" s="7"/>
      <c r="M34" s="7"/>
      <c r="N34" s="7"/>
      <c r="O34" s="3"/>
      <c r="P34" s="14"/>
      <c r="Q34" s="14"/>
      <c r="R34" s="14"/>
      <c r="T34" s="10"/>
    </row>
    <row r="35" spans="2:20">
      <c r="B35" s="3">
        <v>19</v>
      </c>
      <c r="C35" s="21">
        <v>41153</v>
      </c>
      <c r="D35" s="18">
        <v>2.2133750000000001E-3</v>
      </c>
      <c r="E35" s="19">
        <f t="shared" si="1"/>
        <v>2.3783863636363599E-3</v>
      </c>
      <c r="F35" s="37">
        <f t="shared" si="0"/>
        <v>-1.8921566084454918E-4</v>
      </c>
      <c r="H35" s="7"/>
      <c r="I35" s="7"/>
      <c r="J35" s="7"/>
      <c r="K35" s="7"/>
      <c r="L35" s="7"/>
      <c r="M35" s="7"/>
      <c r="N35" s="7"/>
      <c r="O35" s="3"/>
      <c r="P35" s="14"/>
      <c r="Q35" s="14"/>
      <c r="R35" s="14"/>
      <c r="T35" s="10"/>
    </row>
    <row r="36" spans="2:20">
      <c r="B36" s="3">
        <v>20</v>
      </c>
      <c r="C36" s="21">
        <v>41183</v>
      </c>
      <c r="D36" s="18">
        <v>2.1346521739130401E-3</v>
      </c>
      <c r="E36" s="19">
        <f t="shared" si="1"/>
        <v>2.2133750000000001E-3</v>
      </c>
      <c r="F36" s="37">
        <f t="shared" si="0"/>
        <v>-1.0410311273608341E-4</v>
      </c>
      <c r="H36" s="7"/>
      <c r="I36" s="7"/>
      <c r="J36" s="7"/>
      <c r="K36" s="7"/>
      <c r="L36" s="7"/>
      <c r="M36" s="7"/>
      <c r="N36" s="7"/>
      <c r="O36" s="3"/>
      <c r="P36" s="14"/>
      <c r="Q36" s="14"/>
      <c r="R36" s="14"/>
      <c r="T36" s="10"/>
    </row>
    <row r="37" spans="2:20">
      <c r="B37" s="3">
        <v>21</v>
      </c>
      <c r="C37" s="21">
        <v>41214</v>
      </c>
      <c r="D37" s="18">
        <v>2.08886363636363E-3</v>
      </c>
      <c r="E37" s="19">
        <f t="shared" si="1"/>
        <v>2.1346521739130401E-3</v>
      </c>
      <c r="F37" s="37">
        <f t="shared" si="0"/>
        <v>-7.1729859573301837E-5</v>
      </c>
      <c r="H37" s="7"/>
      <c r="I37" s="7"/>
      <c r="J37" s="7"/>
      <c r="K37" s="7"/>
      <c r="L37" s="7"/>
      <c r="M37" s="7"/>
      <c r="N37" s="7"/>
      <c r="O37" s="3"/>
      <c r="P37" s="14"/>
      <c r="Q37" s="14"/>
      <c r="R37" s="14"/>
      <c r="T37" s="10"/>
    </row>
    <row r="38" spans="2:20">
      <c r="B38" s="3">
        <v>22</v>
      </c>
      <c r="C38" s="21">
        <v>41244</v>
      </c>
      <c r="D38" s="18">
        <v>2.10926315789473E-3</v>
      </c>
      <c r="E38" s="19">
        <f t="shared" si="1"/>
        <v>2.08886363636363E-3</v>
      </c>
      <c r="F38" s="37">
        <f t="shared" si="0"/>
        <v>-5.8681224835159702E-6</v>
      </c>
      <c r="H38" s="7"/>
      <c r="I38" s="7"/>
      <c r="J38" s="7"/>
      <c r="K38" s="7"/>
      <c r="L38" s="7"/>
      <c r="M38" s="7"/>
      <c r="N38" s="7"/>
      <c r="O38" s="3"/>
      <c r="P38" s="14"/>
      <c r="Q38" s="14"/>
      <c r="R38" s="14"/>
      <c r="T38" s="10"/>
    </row>
    <row r="39" spans="2:20">
      <c r="B39" s="3">
        <v>23</v>
      </c>
      <c r="C39" s="21">
        <v>41275</v>
      </c>
      <c r="D39" s="18">
        <v>2.0497272727272699E-3</v>
      </c>
      <c r="E39" s="19">
        <f t="shared" si="1"/>
        <v>2.10926315789473E-3</v>
      </c>
      <c r="F39" s="37">
        <f t="shared" si="0"/>
        <v>-8.5658147546581031E-5</v>
      </c>
      <c r="H39" s="7"/>
      <c r="I39" s="7"/>
      <c r="J39" s="7"/>
      <c r="K39" s="7"/>
      <c r="L39" s="7"/>
      <c r="M39" s="7"/>
      <c r="N39" s="7"/>
      <c r="O39" s="3"/>
      <c r="P39" s="14"/>
      <c r="Q39" s="14"/>
      <c r="R39" s="14"/>
      <c r="T39" s="10"/>
    </row>
    <row r="40" spans="2:20">
      <c r="B40" s="3">
        <v>24</v>
      </c>
      <c r="C40" s="21">
        <v>41306</v>
      </c>
      <c r="D40" s="18">
        <v>2.013E-3</v>
      </c>
      <c r="E40" s="19">
        <f t="shared" si="1"/>
        <v>2.0497272727272699E-3</v>
      </c>
      <c r="F40" s="37">
        <f t="shared" si="0"/>
        <v>-6.3273830565628835E-5</v>
      </c>
      <c r="H40" s="7"/>
      <c r="I40" s="7"/>
      <c r="J40" s="7"/>
      <c r="K40" s="7"/>
      <c r="L40" s="7"/>
      <c r="M40" s="7"/>
      <c r="N40" s="7"/>
      <c r="T40" s="10"/>
    </row>
    <row r="41" spans="2:20">
      <c r="B41" s="3">
        <v>25</v>
      </c>
      <c r="C41" s="21">
        <v>41334</v>
      </c>
      <c r="D41" s="18">
        <v>2.0344999999999999E-3</v>
      </c>
      <c r="E41" s="19">
        <f t="shared" si="1"/>
        <v>2.013E-3</v>
      </c>
      <c r="F41" s="37">
        <f t="shared" si="0"/>
        <v>-5.3083027507687744E-6</v>
      </c>
      <c r="H41" s="7"/>
      <c r="I41" s="7"/>
      <c r="J41" s="7"/>
      <c r="K41" s="7"/>
      <c r="L41" s="7"/>
      <c r="M41" s="7"/>
      <c r="N41" s="7"/>
      <c r="T41" s="10"/>
    </row>
    <row r="42" spans="2:20">
      <c r="B42" s="3">
        <v>26</v>
      </c>
      <c r="C42" s="21">
        <v>41365</v>
      </c>
      <c r="D42" s="18">
        <v>1.9953333333333299E-3</v>
      </c>
      <c r="E42" s="19">
        <f t="shared" si="1"/>
        <v>2.0344999999999999E-3</v>
      </c>
      <c r="F42" s="37">
        <f t="shared" si="0"/>
        <v>-6.5821744982327759E-5</v>
      </c>
      <c r="H42" s="7"/>
      <c r="I42" s="7"/>
      <c r="J42" s="7"/>
      <c r="K42" s="7"/>
      <c r="L42" s="7"/>
      <c r="M42" s="7"/>
      <c r="N42" s="7"/>
      <c r="T42" s="10"/>
    </row>
    <row r="43" spans="2:20">
      <c r="B43" s="3">
        <v>27</v>
      </c>
      <c r="C43" s="21">
        <v>41395</v>
      </c>
      <c r="D43" s="18">
        <v>1.96709523809523E-3</v>
      </c>
      <c r="E43" s="19">
        <f t="shared" si="1"/>
        <v>1.9953333333333299E-3</v>
      </c>
      <c r="F43" s="37">
        <f t="shared" si="0"/>
        <v>-5.5172303338649805E-5</v>
      </c>
      <c r="H43" s="7"/>
      <c r="I43" s="7"/>
      <c r="J43" s="7"/>
      <c r="K43" s="7"/>
      <c r="L43" s="7"/>
      <c r="M43" s="7"/>
      <c r="N43" s="7"/>
      <c r="T43" s="10"/>
    </row>
    <row r="44" spans="2:20">
      <c r="B44" s="3">
        <v>28</v>
      </c>
      <c r="C44" s="21">
        <v>41426</v>
      </c>
      <c r="D44" s="18">
        <v>1.9319249999999999E-3</v>
      </c>
      <c r="E44" s="19">
        <f t="shared" si="1"/>
        <v>1.96709523809523E-3</v>
      </c>
      <c r="F44" s="37">
        <f t="shared" si="0"/>
        <v>-6.2305691134918089E-5</v>
      </c>
      <c r="H44" s="7"/>
      <c r="I44" s="7"/>
      <c r="J44" s="7"/>
      <c r="K44" s="7"/>
      <c r="L44" s="7"/>
      <c r="M44" s="7"/>
      <c r="N44" s="7"/>
      <c r="T44" s="10"/>
    </row>
    <row r="45" spans="2:20">
      <c r="B45" s="3">
        <v>29</v>
      </c>
      <c r="C45" s="21">
        <v>41456</v>
      </c>
      <c r="D45" s="18">
        <v>1.91119130434782E-3</v>
      </c>
      <c r="E45" s="19">
        <f t="shared" si="1"/>
        <v>1.9319249999999999E-3</v>
      </c>
      <c r="F45" s="37">
        <f t="shared" si="0"/>
        <v>-4.81197970576754E-5</v>
      </c>
      <c r="H45" s="7"/>
      <c r="I45" s="7"/>
      <c r="J45" s="7"/>
      <c r="K45" s="7"/>
      <c r="L45" s="7"/>
      <c r="M45" s="7"/>
      <c r="N45" s="7"/>
      <c r="T45" s="10"/>
    </row>
    <row r="46" spans="2:20">
      <c r="B46" s="3">
        <v>30</v>
      </c>
      <c r="C46" s="21">
        <v>41487</v>
      </c>
      <c r="D46" s="18">
        <v>1.8407047619047601E-3</v>
      </c>
      <c r="E46" s="19">
        <f t="shared" si="1"/>
        <v>1.91119130434782E-3</v>
      </c>
      <c r="F46" s="37">
        <f t="shared" si="0"/>
        <v>-9.8020407048744632E-5</v>
      </c>
      <c r="H46" s="7"/>
      <c r="I46" s="7"/>
      <c r="J46" s="7"/>
      <c r="K46" s="7"/>
      <c r="L46" s="7"/>
      <c r="M46" s="7"/>
      <c r="N46" s="7"/>
      <c r="T46" s="10"/>
    </row>
    <row r="47" spans="2:20">
      <c r="B47" s="3">
        <v>31</v>
      </c>
      <c r="C47" s="21">
        <v>41518</v>
      </c>
      <c r="D47" s="18">
        <v>1.80574761904761E-3</v>
      </c>
      <c r="E47" s="19">
        <f t="shared" si="1"/>
        <v>1.8407047619047601E-3</v>
      </c>
      <c r="F47" s="37">
        <f t="shared" si="0"/>
        <v>-6.2993345167428614E-5</v>
      </c>
      <c r="H47" s="7"/>
      <c r="I47" s="7"/>
      <c r="J47" s="7"/>
      <c r="K47" s="7"/>
      <c r="L47" s="7"/>
      <c r="M47" s="7"/>
      <c r="N47" s="7"/>
      <c r="T47" s="10"/>
    </row>
    <row r="48" spans="2:20">
      <c r="B48" s="3">
        <v>32</v>
      </c>
      <c r="C48" s="21">
        <v>41548</v>
      </c>
      <c r="D48" s="18">
        <v>1.7241521739130401E-3</v>
      </c>
      <c r="E48" s="19">
        <f t="shared" si="1"/>
        <v>1.80574761904761E-3</v>
      </c>
      <c r="F48" s="37">
        <f t="shared" si="0"/>
        <v>-1.0988077714100576E-4</v>
      </c>
      <c r="H48" s="7"/>
      <c r="I48" s="7"/>
      <c r="J48" s="7"/>
      <c r="K48" s="7"/>
      <c r="L48" s="7"/>
      <c r="M48" s="7"/>
      <c r="N48" s="7"/>
      <c r="T48" s="10"/>
    </row>
    <row r="49" spans="2:20">
      <c r="B49" s="3">
        <v>33</v>
      </c>
      <c r="C49" s="21">
        <v>41579</v>
      </c>
      <c r="D49" s="18">
        <v>1.67271428571428E-3</v>
      </c>
      <c r="E49" s="19">
        <f t="shared" si="1"/>
        <v>1.7241521739130401E-3</v>
      </c>
      <c r="F49" s="37">
        <f t="shared" si="0"/>
        <v>-8.0304727925585486E-5</v>
      </c>
      <c r="H49" s="7"/>
      <c r="I49" s="7"/>
      <c r="J49" s="7"/>
      <c r="K49" s="7"/>
      <c r="L49" s="7"/>
      <c r="M49" s="7"/>
      <c r="N49" s="7"/>
      <c r="T49" s="10"/>
    </row>
    <row r="50" spans="2:20">
      <c r="B50" s="3">
        <v>34</v>
      </c>
      <c r="C50" s="21">
        <v>41609</v>
      </c>
      <c r="D50" s="18">
        <v>1.6722999999999998E-3</v>
      </c>
      <c r="E50" s="19">
        <f t="shared" si="1"/>
        <v>1.67271428571428E-3</v>
      </c>
      <c r="F50" s="37">
        <f t="shared" ref="F50:F81" si="2">D50-$H$10-$H$11*E50</f>
        <v>-2.9647708760294428E-5</v>
      </c>
      <c r="H50" s="7"/>
      <c r="I50" s="7"/>
      <c r="J50" s="7"/>
      <c r="K50" s="7"/>
      <c r="L50" s="7"/>
      <c r="M50" s="7"/>
      <c r="N50" s="7"/>
      <c r="T50" s="10"/>
    </row>
    <row r="51" spans="2:20">
      <c r="B51" s="3">
        <v>35</v>
      </c>
      <c r="C51" s="21">
        <v>41640</v>
      </c>
      <c r="D51" s="18">
        <v>1.5970909090909E-3</v>
      </c>
      <c r="E51" s="19">
        <f t="shared" si="1"/>
        <v>1.6722999999999998E-3</v>
      </c>
      <c r="F51" s="37">
        <f t="shared" si="2"/>
        <v>-1.044454664525349E-4</v>
      </c>
      <c r="H51" s="7"/>
      <c r="I51" s="7"/>
      <c r="J51" s="7"/>
      <c r="K51" s="7"/>
      <c r="L51" s="7"/>
      <c r="M51" s="7"/>
      <c r="N51" s="7"/>
      <c r="T51" s="10"/>
    </row>
    <row r="52" spans="2:20">
      <c r="B52" s="3">
        <v>36</v>
      </c>
      <c r="C52" s="21">
        <v>41671</v>
      </c>
      <c r="D52" s="18">
        <v>1.55105E-3</v>
      </c>
      <c r="E52" s="19">
        <f t="shared" si="1"/>
        <v>1.5970909090909E-3</v>
      </c>
      <c r="F52" s="37">
        <f t="shared" si="2"/>
        <v>-7.5813278609672755E-5</v>
      </c>
      <c r="H52" s="7"/>
      <c r="I52" s="7"/>
      <c r="J52" s="7"/>
      <c r="K52" s="7"/>
      <c r="L52" s="7"/>
      <c r="M52" s="7"/>
      <c r="N52" s="7"/>
      <c r="T52" s="10"/>
    </row>
    <row r="53" spans="2:20">
      <c r="B53" s="3">
        <v>37</v>
      </c>
      <c r="C53" s="21">
        <v>41699</v>
      </c>
      <c r="D53" s="18">
        <v>1.54883333333333E-3</v>
      </c>
      <c r="E53" s="19">
        <f t="shared" si="1"/>
        <v>1.55105E-3</v>
      </c>
      <c r="F53" s="37">
        <f t="shared" si="2"/>
        <v>-3.231715675695206E-5</v>
      </c>
      <c r="H53" s="7"/>
      <c r="I53" s="7"/>
      <c r="J53" s="7"/>
      <c r="K53" s="7"/>
      <c r="L53" s="7"/>
      <c r="M53" s="7"/>
      <c r="N53" s="7"/>
      <c r="T53" s="10"/>
    </row>
    <row r="54" spans="2:20">
      <c r="B54" s="3">
        <v>38</v>
      </c>
      <c r="C54" s="21">
        <v>41730</v>
      </c>
      <c r="D54" s="18">
        <v>1.5170000000000001E-3</v>
      </c>
      <c r="E54" s="19">
        <f t="shared" si="1"/>
        <v>1.54883333333333E-3</v>
      </c>
      <c r="F54" s="37">
        <f t="shared" si="2"/>
        <v>-6.1949620981650595E-5</v>
      </c>
      <c r="H54" s="7"/>
      <c r="I54" s="7"/>
      <c r="J54" s="7"/>
      <c r="K54" s="7"/>
      <c r="L54" s="7"/>
      <c r="M54" s="7"/>
      <c r="N54" s="7"/>
      <c r="T54" s="10"/>
    </row>
    <row r="55" spans="2:20">
      <c r="B55" s="3">
        <v>39</v>
      </c>
      <c r="C55" s="21">
        <v>41760</v>
      </c>
      <c r="D55" s="18">
        <v>1.5035750000000001E-3</v>
      </c>
      <c r="E55" s="19">
        <f t="shared" si="1"/>
        <v>1.5170000000000001E-3</v>
      </c>
      <c r="F55" s="37">
        <f t="shared" si="2"/>
        <v>-4.3768154835190478E-5</v>
      </c>
      <c r="H55" s="7"/>
      <c r="I55" s="7"/>
      <c r="J55" s="7"/>
      <c r="K55" s="7"/>
      <c r="L55" s="7"/>
      <c r="M55" s="7"/>
      <c r="N55" s="7"/>
      <c r="T55" s="10"/>
    </row>
    <row r="56" spans="2:20">
      <c r="B56" s="3">
        <v>40</v>
      </c>
      <c r="C56" s="21">
        <v>41791</v>
      </c>
      <c r="D56" s="18">
        <v>1.5237380952380899E-3</v>
      </c>
      <c r="E56" s="19">
        <f t="shared" si="1"/>
        <v>1.5035750000000001E-3</v>
      </c>
      <c r="F56" s="37">
        <f t="shared" si="2"/>
        <v>-1.027573578507102E-5</v>
      </c>
      <c r="H56" s="7"/>
      <c r="I56" s="7"/>
      <c r="J56" s="7"/>
      <c r="K56" s="7"/>
      <c r="L56" s="7"/>
      <c r="M56" s="7"/>
      <c r="N56" s="7"/>
      <c r="T56" s="10"/>
    </row>
    <row r="57" spans="2:20">
      <c r="B57" s="3">
        <v>41</v>
      </c>
      <c r="C57" s="21">
        <v>41821</v>
      </c>
      <c r="D57" s="18">
        <v>1.54386956521739E-3</v>
      </c>
      <c r="E57" s="19">
        <f t="shared" si="1"/>
        <v>1.5237380952380899E-3</v>
      </c>
      <c r="F57" s="37">
        <f t="shared" si="2"/>
        <v>-1.0163664351863335E-5</v>
      </c>
      <c r="H57" s="7"/>
      <c r="I57" s="7"/>
      <c r="J57" s="7"/>
      <c r="K57" s="7"/>
      <c r="L57" s="7"/>
      <c r="M57" s="7"/>
      <c r="N57" s="7"/>
      <c r="T57" s="10"/>
    </row>
    <row r="58" spans="2:20">
      <c r="B58" s="3">
        <v>42</v>
      </c>
      <c r="C58" s="21">
        <v>41852</v>
      </c>
      <c r="D58" s="18">
        <v>1.5601999999999999E-3</v>
      </c>
      <c r="E58" s="19">
        <f t="shared" si="1"/>
        <v>1.54386956521739E-3</v>
      </c>
      <c r="F58" s="37">
        <f t="shared" si="2"/>
        <v>-1.38212282408544E-5</v>
      </c>
      <c r="H58" s="7"/>
      <c r="I58" s="7"/>
      <c r="J58" s="7"/>
      <c r="K58" s="7"/>
      <c r="L58" s="7"/>
      <c r="M58" s="7"/>
      <c r="N58" s="7"/>
      <c r="T58" s="10"/>
    </row>
    <row r="59" spans="2:20">
      <c r="B59" s="3">
        <v>43</v>
      </c>
      <c r="C59" s="21">
        <v>41883</v>
      </c>
      <c r="D59" s="18">
        <v>1.5410454545454499E-3</v>
      </c>
      <c r="E59" s="19">
        <f t="shared" si="1"/>
        <v>1.5601999999999999E-3</v>
      </c>
      <c r="F59" s="37">
        <f t="shared" si="2"/>
        <v>-4.9189826075936001E-5</v>
      </c>
      <c r="H59" s="7"/>
      <c r="I59" s="7"/>
      <c r="J59" s="7"/>
      <c r="K59" s="7"/>
      <c r="L59" s="7"/>
      <c r="M59" s="7"/>
      <c r="N59" s="7"/>
      <c r="T59" s="10"/>
    </row>
    <row r="60" spans="2:20">
      <c r="B60" s="3">
        <v>44</v>
      </c>
      <c r="C60" s="21">
        <v>41913</v>
      </c>
      <c r="D60" s="18">
        <v>1.53517391304347E-3</v>
      </c>
      <c r="E60" s="19">
        <f t="shared" si="1"/>
        <v>1.5410454545454499E-3</v>
      </c>
      <c r="F60" s="37">
        <f t="shared" si="2"/>
        <v>-3.6043331165555841E-5</v>
      </c>
      <c r="H60" s="7"/>
      <c r="I60" s="7"/>
      <c r="J60" s="7"/>
      <c r="K60" s="7"/>
      <c r="L60" s="7"/>
      <c r="M60" s="7"/>
      <c r="N60" s="7"/>
      <c r="T60" s="10"/>
    </row>
    <row r="61" spans="2:20">
      <c r="B61" s="3">
        <v>45</v>
      </c>
      <c r="C61" s="21">
        <v>41944</v>
      </c>
      <c r="D61" s="18">
        <v>1.5480749999999999E-3</v>
      </c>
      <c r="E61" s="19">
        <f t="shared" si="1"/>
        <v>1.53517391304347E-3</v>
      </c>
      <c r="F61" s="37">
        <f t="shared" si="2"/>
        <v>-1.7312547527039996E-5</v>
      </c>
      <c r="H61" s="7"/>
      <c r="I61" s="7"/>
      <c r="J61" s="7"/>
      <c r="K61" s="7"/>
      <c r="L61" s="7"/>
      <c r="M61" s="7"/>
      <c r="N61" s="7"/>
      <c r="T61" s="10"/>
    </row>
    <row r="62" spans="2:20">
      <c r="B62" s="3">
        <v>46</v>
      </c>
      <c r="C62" s="21">
        <v>41974</v>
      </c>
      <c r="D62" s="18">
        <v>1.6305E-3</v>
      </c>
      <c r="E62" s="19">
        <f t="shared" si="1"/>
        <v>1.5480749999999999E-3</v>
      </c>
      <c r="F62" s="37">
        <f t="shared" si="2"/>
        <v>5.2303307923929482E-5</v>
      </c>
      <c r="H62" s="7"/>
      <c r="I62" s="7"/>
      <c r="J62" s="7"/>
      <c r="K62" s="7"/>
      <c r="L62" s="7"/>
      <c r="M62" s="7"/>
      <c r="N62" s="7"/>
      <c r="T62" s="10"/>
    </row>
    <row r="63" spans="2:20">
      <c r="B63" s="3">
        <v>47</v>
      </c>
      <c r="C63" s="21">
        <v>42005</v>
      </c>
      <c r="D63" s="18">
        <v>1.68078571428571E-3</v>
      </c>
      <c r="E63" s="19">
        <f t="shared" si="1"/>
        <v>1.6305E-3</v>
      </c>
      <c r="F63" s="37">
        <f t="shared" si="2"/>
        <v>2.0751441933547542E-5</v>
      </c>
      <c r="H63" s="7"/>
      <c r="I63" s="7"/>
      <c r="J63" s="7"/>
      <c r="K63" s="7"/>
      <c r="L63" s="7"/>
      <c r="M63" s="7"/>
      <c r="N63" s="7"/>
      <c r="T63" s="10"/>
    </row>
    <row r="64" spans="2:20">
      <c r="B64" s="3">
        <v>48</v>
      </c>
      <c r="C64" s="21">
        <v>42036</v>
      </c>
      <c r="D64" s="18">
        <v>1.7207500000000001E-3</v>
      </c>
      <c r="E64" s="19">
        <f t="shared" si="1"/>
        <v>1.68078571428571E-3</v>
      </c>
      <c r="F64" s="37">
        <f t="shared" si="2"/>
        <v>1.0788385462852466E-5</v>
      </c>
      <c r="H64" s="7"/>
      <c r="I64" s="7"/>
      <c r="J64" s="7"/>
      <c r="K64" s="7"/>
      <c r="L64" s="7"/>
      <c r="M64" s="7"/>
      <c r="N64" s="7"/>
      <c r="T64" s="10"/>
    </row>
    <row r="65" spans="2:20">
      <c r="B65" s="3">
        <v>49</v>
      </c>
      <c r="C65" s="21">
        <v>42064</v>
      </c>
      <c r="D65" s="18">
        <v>1.756E-3</v>
      </c>
      <c r="E65" s="19">
        <f t="shared" si="1"/>
        <v>1.7207500000000001E-3</v>
      </c>
      <c r="F65" s="37">
        <f t="shared" si="2"/>
        <v>6.3589139394080226E-6</v>
      </c>
      <c r="H65" s="7"/>
      <c r="I65" s="7"/>
      <c r="J65" s="7"/>
      <c r="K65" s="7"/>
      <c r="L65" s="7"/>
      <c r="M65" s="7"/>
      <c r="N65" s="7"/>
      <c r="T65" s="10"/>
    </row>
    <row r="66" spans="2:20">
      <c r="B66" s="3">
        <v>50</v>
      </c>
      <c r="C66" s="21">
        <v>42095</v>
      </c>
      <c r="D66" s="18">
        <v>1.8076749999999999E-3</v>
      </c>
      <c r="E66" s="19">
        <f t="shared" si="1"/>
        <v>1.756E-3</v>
      </c>
      <c r="F66" s="37">
        <f t="shared" si="2"/>
        <v>2.3035130745811122E-5</v>
      </c>
      <c r="H66" s="7"/>
      <c r="I66" s="7"/>
      <c r="J66" s="7"/>
      <c r="K66" s="7"/>
      <c r="L66" s="7"/>
      <c r="M66" s="7"/>
      <c r="N66" s="7"/>
      <c r="T66" s="10"/>
    </row>
    <row r="67" spans="2:20">
      <c r="B67" s="3">
        <v>51</v>
      </c>
      <c r="C67" s="21">
        <v>42125</v>
      </c>
      <c r="D67" s="18">
        <v>1.8422894736842099E-3</v>
      </c>
      <c r="E67" s="19">
        <f t="shared" si="1"/>
        <v>1.8076749999999999E-3</v>
      </c>
      <c r="F67" s="37">
        <f t="shared" si="2"/>
        <v>6.342877578130934E-6</v>
      </c>
      <c r="H67" s="7"/>
      <c r="I67" s="7"/>
      <c r="J67" s="7"/>
      <c r="K67" s="7"/>
      <c r="L67" s="7"/>
      <c r="M67" s="7"/>
      <c r="N67" s="7"/>
      <c r="T67" s="10"/>
    </row>
    <row r="68" spans="2:20">
      <c r="B68" s="3">
        <v>52</v>
      </c>
      <c r="C68" s="21">
        <v>42156</v>
      </c>
      <c r="D68" s="18">
        <v>1.8588409090909001E-3</v>
      </c>
      <c r="E68" s="19">
        <f t="shared" si="1"/>
        <v>1.8422894736842099E-3</v>
      </c>
      <c r="F68" s="37">
        <f t="shared" si="2"/>
        <v>-1.1473473109764164E-5</v>
      </c>
      <c r="H68" s="7"/>
      <c r="I68" s="7"/>
      <c r="J68" s="7"/>
      <c r="K68" s="7"/>
      <c r="L68" s="7"/>
      <c r="M68" s="7"/>
      <c r="N68" s="7"/>
      <c r="T68" s="10"/>
    </row>
    <row r="69" spans="2:20">
      <c r="B69" s="3">
        <v>53</v>
      </c>
      <c r="C69" s="21">
        <v>42186</v>
      </c>
      <c r="D69" s="18">
        <v>1.8815869565217301E-3</v>
      </c>
      <c r="E69" s="19">
        <f t="shared" si="1"/>
        <v>1.8588409090909001E-3</v>
      </c>
      <c r="F69" s="37">
        <f t="shared" si="2"/>
        <v>-5.160903674439896E-6</v>
      </c>
      <c r="H69" s="7"/>
      <c r="I69" s="7"/>
      <c r="J69" s="7"/>
      <c r="K69" s="7"/>
      <c r="L69" s="7"/>
      <c r="M69" s="7"/>
      <c r="N69" s="7"/>
      <c r="T69" s="10"/>
    </row>
    <row r="70" spans="2:20">
      <c r="B70" s="3">
        <v>54</v>
      </c>
      <c r="C70" s="21">
        <v>42217</v>
      </c>
      <c r="D70" s="18">
        <v>1.9672750000000001E-3</v>
      </c>
      <c r="E70" s="19">
        <f t="shared" si="1"/>
        <v>1.8815869565217301E-3</v>
      </c>
      <c r="F70" s="37">
        <f t="shared" si="2"/>
        <v>5.7943197036655842E-5</v>
      </c>
      <c r="H70" s="7"/>
      <c r="I70" s="7"/>
      <c r="J70" s="7"/>
      <c r="K70" s="7"/>
      <c r="L70" s="7"/>
      <c r="M70" s="7"/>
      <c r="N70" s="7"/>
      <c r="T70" s="10"/>
    </row>
    <row r="71" spans="2:20">
      <c r="B71" s="3">
        <v>55</v>
      </c>
      <c r="C71" s="21">
        <v>42248</v>
      </c>
      <c r="D71" s="18">
        <v>2.01077272727272E-3</v>
      </c>
      <c r="E71" s="19">
        <f t="shared" si="1"/>
        <v>1.9672750000000001E-3</v>
      </c>
      <c r="F71" s="37">
        <f t="shared" si="2"/>
        <v>1.6363555345418664E-5</v>
      </c>
      <c r="H71" s="7"/>
      <c r="I71" s="7"/>
      <c r="J71" s="7"/>
      <c r="K71" s="7"/>
      <c r="L71" s="7"/>
      <c r="M71" s="7"/>
      <c r="N71" s="7"/>
      <c r="T71" s="10"/>
    </row>
    <row r="72" spans="2:20">
      <c r="B72" s="3">
        <v>56</v>
      </c>
      <c r="C72" s="21">
        <v>42278</v>
      </c>
      <c r="D72" s="18">
        <v>1.94511363636363E-3</v>
      </c>
      <c r="E72" s="19">
        <f t="shared" si="1"/>
        <v>2.01077272727272E-3</v>
      </c>
      <c r="F72" s="37">
        <f t="shared" si="2"/>
        <v>-9.2483266804299332E-5</v>
      </c>
      <c r="H72" s="7"/>
      <c r="I72" s="7"/>
      <c r="J72" s="7"/>
      <c r="K72" s="7"/>
      <c r="L72" s="7"/>
      <c r="M72" s="7"/>
      <c r="N72" s="7"/>
      <c r="T72" s="10"/>
    </row>
    <row r="73" spans="2:20">
      <c r="B73" s="3">
        <v>57</v>
      </c>
      <c r="C73" s="21">
        <v>42309</v>
      </c>
      <c r="D73" s="18">
        <v>2.08447619047619E-3</v>
      </c>
      <c r="E73" s="19">
        <f t="shared" si="1"/>
        <v>1.94511363636363E-3</v>
      </c>
      <c r="F73" s="37">
        <f t="shared" si="2"/>
        <v>1.1207044439807382E-4</v>
      </c>
      <c r="H73" s="7"/>
      <c r="I73" s="7"/>
      <c r="J73" s="7"/>
      <c r="K73" s="7"/>
      <c r="L73" s="7"/>
      <c r="M73" s="7"/>
      <c r="N73" s="7"/>
      <c r="T73" s="10"/>
    </row>
    <row r="74" spans="2:20">
      <c r="B74" s="3">
        <v>58</v>
      </c>
      <c r="C74" s="21">
        <v>42339</v>
      </c>
      <c r="D74" s="18">
        <v>3.5230714285714197E-3</v>
      </c>
      <c r="E74" s="19">
        <f t="shared" si="1"/>
        <v>2.08447619047619E-3</v>
      </c>
      <c r="F74" s="37">
        <f t="shared" si="2"/>
        <v>1.4122963259914191E-3</v>
      </c>
      <c r="H74" s="7"/>
      <c r="I74" s="7"/>
      <c r="J74" s="7"/>
      <c r="K74" s="7"/>
      <c r="L74" s="7"/>
      <c r="M74" s="7"/>
      <c r="N74" s="7"/>
      <c r="T74" s="10"/>
    </row>
    <row r="75" spans="2:20">
      <c r="B75" s="3">
        <v>59</v>
      </c>
      <c r="C75" s="21">
        <v>42370</v>
      </c>
      <c r="D75" s="18">
        <v>4.2544999999999996E-3</v>
      </c>
      <c r="E75" s="19">
        <f t="shared" si="1"/>
        <v>3.5230714285714197E-3</v>
      </c>
      <c r="F75" s="37">
        <f t="shared" si="2"/>
        <v>7.1538212177642323E-4</v>
      </c>
      <c r="H75" s="7"/>
      <c r="I75" s="7"/>
      <c r="J75" s="7"/>
      <c r="K75" s="7"/>
      <c r="L75" s="7"/>
      <c r="M75" s="7"/>
      <c r="N75" s="7"/>
      <c r="T75" s="10"/>
    </row>
    <row r="76" spans="2:20">
      <c r="B76" s="3">
        <v>60</v>
      </c>
      <c r="C76" s="21">
        <v>42401</v>
      </c>
      <c r="D76" s="18">
        <v>4.31297619047619E-3</v>
      </c>
      <c r="E76" s="19">
        <f t="shared" si="1"/>
        <v>4.2544999999999996E-3</v>
      </c>
      <c r="F76" s="37">
        <f t="shared" si="2"/>
        <v>4.7642425925485503E-5</v>
      </c>
      <c r="H76" s="7"/>
      <c r="I76" s="7"/>
      <c r="J76" s="7"/>
      <c r="K76" s="7"/>
      <c r="L76" s="7"/>
      <c r="M76" s="7"/>
      <c r="N76" s="7"/>
      <c r="T76" s="10"/>
    </row>
    <row r="77" spans="2:20">
      <c r="B77" s="3">
        <v>61</v>
      </c>
      <c r="C77" s="21">
        <v>42430</v>
      </c>
      <c r="D77" s="18">
        <v>4.3639523809523798E-3</v>
      </c>
      <c r="E77" s="19">
        <f t="shared" si="1"/>
        <v>4.31297619047619E-3</v>
      </c>
      <c r="F77" s="37">
        <f t="shared" si="2"/>
        <v>4.0559169239584927E-5</v>
      </c>
      <c r="H77" s="7"/>
      <c r="I77" s="7"/>
      <c r="J77" s="7"/>
      <c r="K77" s="7"/>
      <c r="L77" s="7"/>
      <c r="M77" s="7"/>
      <c r="N77" s="7"/>
      <c r="T77" s="10"/>
    </row>
    <row r="78" spans="2:20">
      <c r="B78" s="3">
        <v>62</v>
      </c>
      <c r="C78" s="21">
        <v>42461</v>
      </c>
      <c r="D78" s="18">
        <v>4.3739761904761894E-3</v>
      </c>
      <c r="E78" s="19">
        <f t="shared" si="1"/>
        <v>4.3639523809523798E-3</v>
      </c>
      <c r="F78" s="37">
        <f t="shared" si="2"/>
        <v>-2.9918783036111951E-8</v>
      </c>
      <c r="H78" s="7"/>
      <c r="I78" s="7"/>
      <c r="J78" s="7"/>
      <c r="K78" s="7"/>
      <c r="L78" s="7"/>
      <c r="M78" s="7"/>
      <c r="N78" s="7"/>
      <c r="T78" s="10"/>
    </row>
    <row r="79" spans="2:20">
      <c r="B79" s="3">
        <v>63</v>
      </c>
      <c r="C79" s="21">
        <v>42491</v>
      </c>
      <c r="D79" s="18">
        <v>4.4226500000000002E-3</v>
      </c>
      <c r="E79" s="19">
        <f t="shared" si="1"/>
        <v>4.3739761904761894E-3</v>
      </c>
      <c r="F79" s="37">
        <f t="shared" si="2"/>
        <v>3.8691518079846804E-5</v>
      </c>
      <c r="H79" s="7"/>
      <c r="I79" s="7"/>
      <c r="J79" s="7"/>
      <c r="K79" s="7"/>
      <c r="L79" s="7"/>
      <c r="M79" s="7"/>
      <c r="N79" s="7"/>
      <c r="T79" s="10"/>
    </row>
    <row r="80" spans="2:20">
      <c r="B80" s="3">
        <v>64</v>
      </c>
      <c r="C80" s="21">
        <v>42522</v>
      </c>
      <c r="D80" s="18">
        <v>4.5270909090908999E-3</v>
      </c>
      <c r="E80" s="19">
        <f t="shared" si="1"/>
        <v>4.4226500000000002E-3</v>
      </c>
      <c r="F80" s="37">
        <f t="shared" si="2"/>
        <v>9.4805502157120462E-5</v>
      </c>
      <c r="H80" s="7"/>
      <c r="I80" s="7"/>
      <c r="J80" s="7"/>
      <c r="K80" s="7"/>
      <c r="L80" s="7"/>
      <c r="M80" s="7"/>
      <c r="N80" s="7"/>
      <c r="T80" s="10"/>
    </row>
    <row r="81" spans="2:20">
      <c r="B81" s="3">
        <v>65</v>
      </c>
      <c r="C81" s="21">
        <v>42552</v>
      </c>
      <c r="D81" s="18">
        <v>4.8288333333333299E-3</v>
      </c>
      <c r="E81" s="19">
        <f t="shared" si="1"/>
        <v>4.5270909090908999E-3</v>
      </c>
      <c r="F81" s="37">
        <f t="shared" si="2"/>
        <v>2.9285133820622974E-4</v>
      </c>
      <c r="H81" s="7"/>
      <c r="I81" s="7"/>
      <c r="J81" s="7"/>
      <c r="K81" s="7"/>
      <c r="L81" s="7"/>
      <c r="M81" s="7"/>
      <c r="N81" s="7"/>
      <c r="T81" s="10"/>
    </row>
    <row r="82" spans="2:20">
      <c r="B82" s="3">
        <v>66</v>
      </c>
      <c r="C82" s="21">
        <v>42583</v>
      </c>
      <c r="D82" s="18">
        <v>5.1224181818181804E-3</v>
      </c>
      <c r="E82" s="19">
        <f t="shared" si="1"/>
        <v>4.8288333333333299E-3</v>
      </c>
      <c r="F82" s="37">
        <f t="shared" ref="F82:F113" si="3">D82-$H$10-$H$11*E82</f>
        <v>2.8684419558835158E-4</v>
      </c>
      <c r="H82" s="7"/>
      <c r="I82" s="7"/>
      <c r="J82" s="7"/>
      <c r="K82" s="7"/>
      <c r="L82" s="7"/>
      <c r="M82" s="7"/>
      <c r="N82" s="7"/>
    </row>
    <row r="83" spans="2:20">
      <c r="B83" s="3">
        <v>67</v>
      </c>
      <c r="C83" s="21">
        <v>42614</v>
      </c>
      <c r="D83" s="18">
        <v>5.2700181818181799E-3</v>
      </c>
      <c r="E83" s="19">
        <f t="shared" ref="E83:E136" si="4">D82</f>
        <v>5.1224181818181804E-3</v>
      </c>
      <c r="F83" s="37">
        <f t="shared" si="3"/>
        <v>1.4295164350193023E-4</v>
      </c>
      <c r="H83" s="7"/>
      <c r="I83" s="7"/>
      <c r="J83" s="7"/>
      <c r="K83" s="7"/>
      <c r="L83" s="7"/>
      <c r="M83" s="7"/>
      <c r="N83" s="7"/>
    </row>
    <row r="84" spans="2:20">
      <c r="B84" s="3">
        <v>68</v>
      </c>
      <c r="C84" s="21">
        <v>42644</v>
      </c>
      <c r="D84" s="18">
        <v>5.3077952380952299E-3</v>
      </c>
      <c r="E84" s="19">
        <f t="shared" si="4"/>
        <v>5.2700181818181799E-3</v>
      </c>
      <c r="F84" s="37">
        <f t="shared" si="3"/>
        <v>3.4180603342813184E-5</v>
      </c>
      <c r="H84" s="7"/>
      <c r="I84" s="7"/>
      <c r="J84" s="7"/>
      <c r="K84" s="7"/>
      <c r="L84" s="7"/>
      <c r="M84" s="7"/>
      <c r="N84" s="7"/>
    </row>
    <row r="85" spans="2:20">
      <c r="B85" s="3">
        <v>69</v>
      </c>
      <c r="C85" s="21">
        <v>42675</v>
      </c>
      <c r="D85" s="18">
        <v>5.6310909090908998E-3</v>
      </c>
      <c r="E85" s="19">
        <f t="shared" si="4"/>
        <v>5.3077952380952299E-3</v>
      </c>
      <c r="F85" s="37">
        <f t="shared" si="3"/>
        <v>3.1996844448507061E-4</v>
      </c>
      <c r="H85" s="7"/>
      <c r="I85" s="7"/>
      <c r="J85" s="7"/>
      <c r="K85" s="7"/>
      <c r="L85" s="7"/>
      <c r="M85" s="7"/>
      <c r="N85" s="7"/>
      <c r="T85" s="10"/>
    </row>
    <row r="86" spans="2:20">
      <c r="B86" s="3">
        <v>70</v>
      </c>
      <c r="C86" s="21">
        <v>42705</v>
      </c>
      <c r="D86" s="18">
        <v>7.1195850000000003E-3</v>
      </c>
      <c r="E86" s="19">
        <f t="shared" si="4"/>
        <v>5.6310909090908998E-3</v>
      </c>
      <c r="F86" s="37">
        <f t="shared" si="3"/>
        <v>1.4874709014479036E-3</v>
      </c>
      <c r="H86" s="7"/>
      <c r="I86" s="7"/>
      <c r="J86" s="7"/>
      <c r="K86" s="7"/>
      <c r="L86" s="7"/>
      <c r="M86" s="7"/>
      <c r="N86" s="7"/>
      <c r="T86" s="10"/>
    </row>
    <row r="87" spans="2:20">
      <c r="B87" s="3">
        <v>71</v>
      </c>
      <c r="C87" s="21">
        <v>42736</v>
      </c>
      <c r="D87" s="18">
        <v>7.7137476190476091E-3</v>
      </c>
      <c r="E87" s="19">
        <f t="shared" si="4"/>
        <v>7.1195850000000003E-3</v>
      </c>
      <c r="F87" s="37">
        <f t="shared" si="3"/>
        <v>6.0374750708620892E-4</v>
      </c>
      <c r="H87" s="7"/>
      <c r="I87" s="7"/>
      <c r="J87" s="7"/>
      <c r="K87" s="7"/>
      <c r="L87" s="7"/>
      <c r="M87" s="7"/>
      <c r="N87" s="7"/>
      <c r="T87" s="10"/>
    </row>
    <row r="88" spans="2:20">
      <c r="B88" s="3">
        <v>72</v>
      </c>
      <c r="C88" s="21">
        <v>42767</v>
      </c>
      <c r="D88" s="18">
        <v>7.767085E-3</v>
      </c>
      <c r="E88" s="19">
        <f t="shared" si="4"/>
        <v>7.7137476190476091E-3</v>
      </c>
      <c r="F88" s="37">
        <f t="shared" si="3"/>
        <v>6.7156698370882464E-5</v>
      </c>
      <c r="H88" s="7"/>
      <c r="I88" s="7"/>
      <c r="J88" s="7"/>
      <c r="K88" s="7"/>
      <c r="L88" s="7"/>
      <c r="M88" s="7"/>
      <c r="N88" s="7"/>
      <c r="T88" s="10"/>
    </row>
    <row r="89" spans="2:20">
      <c r="B89" s="3">
        <v>73</v>
      </c>
      <c r="C89" s="21">
        <v>42795</v>
      </c>
      <c r="D89" s="18">
        <v>9.2863521739130397E-3</v>
      </c>
      <c r="E89" s="19">
        <f t="shared" si="4"/>
        <v>7.767085E-3</v>
      </c>
      <c r="F89" s="37">
        <f t="shared" si="3"/>
        <v>1.5334666117997513E-3</v>
      </c>
      <c r="H89" s="7"/>
      <c r="I89" s="7"/>
      <c r="J89" s="7"/>
      <c r="K89" s="7"/>
      <c r="L89" s="7"/>
      <c r="M89" s="7"/>
      <c r="N89" s="7"/>
      <c r="T89" s="10"/>
    </row>
    <row r="90" spans="2:20">
      <c r="B90" s="3">
        <v>74</v>
      </c>
      <c r="C90" s="21">
        <v>42826</v>
      </c>
      <c r="D90" s="18">
        <v>9.9055499999999991E-3</v>
      </c>
      <c r="E90" s="19">
        <f t="shared" si="4"/>
        <v>9.2863521739130397E-3</v>
      </c>
      <c r="F90" s="37">
        <f t="shared" si="3"/>
        <v>6.4422465255532455E-4</v>
      </c>
      <c r="H90" s="7"/>
      <c r="I90" s="7"/>
      <c r="J90" s="7"/>
      <c r="K90" s="7"/>
      <c r="L90" s="7"/>
      <c r="M90" s="7"/>
      <c r="N90" s="7"/>
      <c r="T90" s="10"/>
    </row>
    <row r="91" spans="2:20">
      <c r="B91" s="3">
        <v>75</v>
      </c>
      <c r="C91" s="21">
        <v>42856</v>
      </c>
      <c r="D91" s="18">
        <v>1.01142619047619E-2</v>
      </c>
      <c r="E91" s="19">
        <f t="shared" si="4"/>
        <v>9.9055499999999991E-3</v>
      </c>
      <c r="F91" s="37">
        <f t="shared" si="3"/>
        <v>2.3815157946859879E-4</v>
      </c>
      <c r="H91" s="7"/>
      <c r="I91" s="7"/>
      <c r="J91" s="7"/>
      <c r="K91" s="7"/>
      <c r="L91" s="7"/>
      <c r="M91" s="7"/>
      <c r="N91" s="7"/>
      <c r="T91" s="10"/>
    </row>
    <row r="92" spans="2:20">
      <c r="B92" s="3">
        <v>76</v>
      </c>
      <c r="C92" s="21">
        <v>42887</v>
      </c>
      <c r="D92" s="18">
        <v>1.17140681818181E-2</v>
      </c>
      <c r="E92" s="19">
        <f t="shared" si="4"/>
        <v>1.01142619047619E-2</v>
      </c>
      <c r="F92" s="37">
        <f t="shared" si="3"/>
        <v>1.6307333826330404E-3</v>
      </c>
      <c r="H92" s="7"/>
      <c r="I92" s="7"/>
      <c r="J92" s="7"/>
      <c r="K92" s="7"/>
      <c r="L92" s="7"/>
      <c r="M92" s="7"/>
      <c r="N92" s="7"/>
      <c r="T92" s="10"/>
    </row>
    <row r="93" spans="2:20">
      <c r="B93" s="3">
        <v>77</v>
      </c>
      <c r="C93" s="21">
        <v>42917</v>
      </c>
      <c r="D93" s="18">
        <v>1.22803666666666E-2</v>
      </c>
      <c r="E93" s="19">
        <f t="shared" si="4"/>
        <v>1.17140681818181E-2</v>
      </c>
      <c r="F93" s="37">
        <f t="shared" si="3"/>
        <v>6.0862695847599228E-4</v>
      </c>
      <c r="H93" s="7"/>
      <c r="I93" s="7"/>
      <c r="J93" s="7"/>
      <c r="K93" s="7"/>
      <c r="L93" s="7"/>
      <c r="M93" s="7"/>
      <c r="N93" s="7"/>
      <c r="T93" s="10"/>
    </row>
    <row r="94" spans="2:20">
      <c r="B94" s="3">
        <v>78</v>
      </c>
      <c r="C94" s="21">
        <v>42948</v>
      </c>
      <c r="D94" s="18">
        <v>1.2317690909090899E-2</v>
      </c>
      <c r="E94" s="19">
        <f t="shared" si="4"/>
        <v>1.22803666666666E-2</v>
      </c>
      <c r="F94" s="37">
        <f t="shared" si="3"/>
        <v>8.3688565607380541E-5</v>
      </c>
      <c r="H94" s="7"/>
      <c r="I94" s="7"/>
      <c r="J94" s="7"/>
      <c r="K94" s="7"/>
      <c r="L94" s="7"/>
      <c r="M94" s="7"/>
      <c r="N94" s="7"/>
      <c r="T94" s="10"/>
    </row>
    <row r="95" spans="2:20">
      <c r="B95" s="3">
        <v>79</v>
      </c>
      <c r="C95" s="21">
        <v>42979</v>
      </c>
      <c r="D95" s="18">
        <v>1.2349199999999999E-2</v>
      </c>
      <c r="E95" s="19">
        <f t="shared" si="4"/>
        <v>1.2317690909090899E-2</v>
      </c>
      <c r="F95" s="37">
        <f t="shared" si="3"/>
        <v>7.8139413439223468E-5</v>
      </c>
      <c r="H95" s="7"/>
      <c r="I95" s="7"/>
      <c r="J95" s="7"/>
      <c r="K95" s="7"/>
      <c r="L95" s="7"/>
      <c r="M95" s="7"/>
      <c r="N95" s="7"/>
      <c r="T95" s="10"/>
    </row>
    <row r="96" spans="2:20">
      <c r="B96" s="3">
        <v>80</v>
      </c>
      <c r="C96" s="21">
        <v>43009</v>
      </c>
      <c r="D96" s="18">
        <v>1.2385486363636299E-2</v>
      </c>
      <c r="E96" s="19">
        <f t="shared" si="4"/>
        <v>1.2349199999999999E-2</v>
      </c>
      <c r="F96" s="37">
        <f t="shared" si="3"/>
        <v>8.3141242568999726E-5</v>
      </c>
      <c r="H96" s="7"/>
      <c r="I96" s="7"/>
      <c r="J96" s="7"/>
      <c r="K96" s="7"/>
      <c r="L96" s="7"/>
      <c r="M96" s="7"/>
      <c r="N96" s="7"/>
      <c r="T96" s="10"/>
    </row>
    <row r="97" spans="2:20">
      <c r="B97" s="3">
        <v>81</v>
      </c>
      <c r="C97" s="21">
        <v>43040</v>
      </c>
      <c r="D97" s="18">
        <v>1.2878790909090901E-2</v>
      </c>
      <c r="E97" s="19">
        <f t="shared" si="4"/>
        <v>1.2385486363636299E-2</v>
      </c>
      <c r="F97" s="37">
        <f t="shared" si="3"/>
        <v>5.4041802706499519E-4</v>
      </c>
      <c r="H97" s="7"/>
      <c r="I97" s="7"/>
      <c r="J97" s="7"/>
      <c r="K97" s="7"/>
      <c r="L97" s="7"/>
      <c r="M97" s="7"/>
      <c r="N97" s="7"/>
      <c r="T97" s="10"/>
    </row>
    <row r="98" spans="2:20">
      <c r="B98" s="3">
        <v>82</v>
      </c>
      <c r="C98" s="21">
        <v>43070</v>
      </c>
      <c r="D98" s="18">
        <v>1.4850410526315701E-2</v>
      </c>
      <c r="E98" s="19">
        <f t="shared" si="4"/>
        <v>1.2878790909090901E-2</v>
      </c>
      <c r="F98" s="37">
        <f t="shared" si="3"/>
        <v>2.0222487411754256E-3</v>
      </c>
      <c r="H98" s="7"/>
      <c r="I98" s="7"/>
      <c r="J98" s="7"/>
      <c r="K98" s="7"/>
      <c r="L98" s="7"/>
      <c r="M98" s="7"/>
      <c r="N98" s="7"/>
      <c r="T98" s="10"/>
    </row>
    <row r="99" spans="2:20">
      <c r="B99" s="3">
        <v>83</v>
      </c>
      <c r="C99" s="21">
        <v>43101</v>
      </c>
      <c r="D99" s="18">
        <v>1.56108818181818E-2</v>
      </c>
      <c r="E99" s="19">
        <f t="shared" si="4"/>
        <v>1.4850410526315701E-2</v>
      </c>
      <c r="F99" s="37">
        <f t="shared" si="3"/>
        <v>8.2515159265872905E-4</v>
      </c>
      <c r="H99" s="7"/>
      <c r="I99" s="7"/>
      <c r="J99" s="7"/>
      <c r="K99" s="7"/>
      <c r="L99" s="7"/>
      <c r="M99" s="7"/>
      <c r="N99" s="7"/>
      <c r="T99" s="10"/>
    </row>
    <row r="100" spans="2:20">
      <c r="B100" s="3">
        <v>84</v>
      </c>
      <c r="C100" s="21">
        <v>43132</v>
      </c>
      <c r="D100" s="18">
        <v>1.6018225000000001E-2</v>
      </c>
      <c r="E100" s="19">
        <f t="shared" si="4"/>
        <v>1.56108818181818E-2</v>
      </c>
      <c r="F100" s="37">
        <f t="shared" si="3"/>
        <v>4.7744314698824029E-4</v>
      </c>
      <c r="H100" s="7"/>
      <c r="I100" s="7"/>
      <c r="J100" s="7"/>
      <c r="K100" s="7"/>
      <c r="L100" s="7"/>
      <c r="M100" s="7"/>
      <c r="N100" s="7"/>
      <c r="T100" s="10"/>
    </row>
    <row r="101" spans="2:20">
      <c r="B101" s="3">
        <v>85</v>
      </c>
      <c r="C101" s="21">
        <v>43160</v>
      </c>
      <c r="D101" s="18">
        <v>1.79913095238095E-2</v>
      </c>
      <c r="E101" s="19">
        <f t="shared" si="4"/>
        <v>1.6018225000000001E-2</v>
      </c>
      <c r="F101" s="37">
        <f t="shared" si="3"/>
        <v>2.0460875089297927E-3</v>
      </c>
      <c r="H101" s="7"/>
      <c r="I101" s="7"/>
      <c r="J101" s="7"/>
      <c r="K101" s="7"/>
      <c r="L101" s="7"/>
      <c r="M101" s="7"/>
      <c r="N101" s="7"/>
      <c r="T101" s="10"/>
    </row>
    <row r="102" spans="2:20">
      <c r="B102" s="3">
        <v>86</v>
      </c>
      <c r="C102" s="21">
        <v>43191</v>
      </c>
      <c r="D102" s="18">
        <v>1.896724E-2</v>
      </c>
      <c r="E102" s="19">
        <f t="shared" si="4"/>
        <v>1.79913095238095E-2</v>
      </c>
      <c r="F102" s="37">
        <f t="shared" si="3"/>
        <v>1.0629950781287922E-3</v>
      </c>
      <c r="H102" s="7"/>
      <c r="I102" s="7"/>
      <c r="J102" s="7"/>
      <c r="K102" s="7"/>
      <c r="L102" s="7"/>
      <c r="M102" s="7"/>
      <c r="N102" s="7"/>
      <c r="T102" s="10"/>
    </row>
    <row r="103" spans="2:20">
      <c r="B103" s="3">
        <v>87</v>
      </c>
      <c r="C103" s="21">
        <v>43221</v>
      </c>
      <c r="D103" s="18">
        <v>1.9462900000000002E-2</v>
      </c>
      <c r="E103" s="19">
        <f t="shared" si="4"/>
        <v>1.896724E-2</v>
      </c>
      <c r="F103" s="37">
        <f t="shared" si="3"/>
        <v>5.8967978314396555E-4</v>
      </c>
      <c r="H103" s="7"/>
      <c r="I103" s="7"/>
      <c r="J103" s="7"/>
      <c r="K103" s="7"/>
      <c r="L103" s="7"/>
      <c r="M103" s="7"/>
      <c r="N103" s="7"/>
      <c r="T103" s="10"/>
    </row>
    <row r="104" spans="2:20">
      <c r="B104" s="3">
        <v>88</v>
      </c>
      <c r="C104" s="21">
        <v>43252</v>
      </c>
      <c r="D104" s="18">
        <v>2.0684290476190401E-2</v>
      </c>
      <c r="E104" s="19">
        <f t="shared" si="4"/>
        <v>1.9462900000000002E-2</v>
      </c>
      <c r="F104" s="37">
        <f t="shared" si="3"/>
        <v>1.3189426883346948E-3</v>
      </c>
      <c r="H104" s="7"/>
      <c r="I104" s="7"/>
      <c r="J104" s="7"/>
      <c r="K104" s="7"/>
      <c r="L104" s="7"/>
      <c r="M104" s="7"/>
      <c r="N104" s="7"/>
      <c r="T104" s="10"/>
    </row>
    <row r="105" spans="2:20">
      <c r="B105" s="3">
        <v>89</v>
      </c>
      <c r="C105" s="21">
        <v>43282</v>
      </c>
      <c r="D105" s="18">
        <v>2.0789990909090901E-2</v>
      </c>
      <c r="E105" s="19">
        <f t="shared" si="4"/>
        <v>2.0684290476190401E-2</v>
      </c>
      <c r="F105" s="37">
        <f t="shared" si="3"/>
        <v>2.1195715042917826E-4</v>
      </c>
      <c r="H105" s="7"/>
      <c r="I105" s="7"/>
      <c r="J105" s="7"/>
      <c r="K105" s="7"/>
      <c r="L105" s="7"/>
      <c r="M105" s="7"/>
      <c r="N105" s="7"/>
      <c r="T105" s="10"/>
    </row>
    <row r="106" spans="2:20">
      <c r="B106" s="3">
        <v>90</v>
      </c>
      <c r="C106" s="21">
        <v>43313</v>
      </c>
      <c r="D106" s="18">
        <v>2.0741095454545402E-2</v>
      </c>
      <c r="E106" s="19">
        <f t="shared" si="4"/>
        <v>2.0789990909090901E-2</v>
      </c>
      <c r="F106" s="37">
        <f t="shared" si="3"/>
        <v>5.8114560151652228E-5</v>
      </c>
      <c r="H106" s="7"/>
      <c r="I106" s="7"/>
      <c r="J106" s="7"/>
      <c r="K106" s="7"/>
      <c r="L106" s="7"/>
      <c r="M106" s="7"/>
      <c r="N106" s="7"/>
      <c r="T106" s="10"/>
    </row>
    <row r="107" spans="2:20">
      <c r="B107" s="3">
        <v>91</v>
      </c>
      <c r="C107" s="21">
        <v>43344</v>
      </c>
      <c r="D107" s="18">
        <v>2.1754570000000001E-2</v>
      </c>
      <c r="E107" s="19">
        <f t="shared" si="4"/>
        <v>2.0741095454545402E-2</v>
      </c>
      <c r="F107" s="37">
        <f t="shared" si="3"/>
        <v>1.1201360960400204E-3</v>
      </c>
      <c r="H107" s="7"/>
      <c r="I107" s="7"/>
      <c r="J107" s="7"/>
      <c r="K107" s="7"/>
      <c r="L107" s="7"/>
      <c r="M107" s="7"/>
      <c r="N107" s="7"/>
      <c r="T107" s="10"/>
    </row>
    <row r="108" spans="2:20">
      <c r="B108" s="3">
        <v>92</v>
      </c>
      <c r="C108" s="21">
        <v>43374</v>
      </c>
      <c r="D108" s="18">
        <v>2.28570608695652E-2</v>
      </c>
      <c r="E108" s="19">
        <f t="shared" si="4"/>
        <v>2.1754570000000001E-2</v>
      </c>
      <c r="F108" s="37">
        <f t="shared" si="3"/>
        <v>1.2163751673472112E-3</v>
      </c>
      <c r="H108" s="7"/>
      <c r="I108" s="7"/>
      <c r="J108" s="7"/>
      <c r="K108" s="7"/>
      <c r="L108" s="7"/>
      <c r="M108" s="7"/>
      <c r="N108" s="7"/>
      <c r="T108" s="10"/>
    </row>
    <row r="109" spans="2:20">
      <c r="B109" s="3">
        <v>93</v>
      </c>
      <c r="C109" s="21">
        <v>43405</v>
      </c>
      <c r="D109" s="18">
        <v>2.3192663636363599E-2</v>
      </c>
      <c r="E109" s="19">
        <f t="shared" si="4"/>
        <v>2.28570608695652E-2</v>
      </c>
      <c r="F109" s="37">
        <f t="shared" si="3"/>
        <v>4.5734420600851422E-4</v>
      </c>
      <c r="H109" s="7"/>
      <c r="I109" s="7"/>
      <c r="J109" s="7"/>
      <c r="K109" s="7"/>
      <c r="L109" s="7"/>
      <c r="M109" s="7"/>
      <c r="N109" s="7"/>
      <c r="T109" s="10"/>
    </row>
    <row r="110" spans="2:20">
      <c r="B110" s="3">
        <v>94</v>
      </c>
      <c r="C110" s="21">
        <v>43435</v>
      </c>
      <c r="D110" s="18">
        <v>2.4532431578947297E-2</v>
      </c>
      <c r="E110" s="19">
        <f t="shared" si="4"/>
        <v>2.3192663636363599E-2</v>
      </c>
      <c r="F110" s="37">
        <f t="shared" si="3"/>
        <v>1.4639011280433156E-3</v>
      </c>
      <c r="H110" s="7"/>
      <c r="I110" s="7"/>
      <c r="J110" s="7"/>
      <c r="K110" s="7"/>
      <c r="L110" s="7"/>
      <c r="M110" s="7"/>
      <c r="N110" s="7"/>
      <c r="T110" s="10"/>
    </row>
    <row r="111" spans="2:20">
      <c r="B111" s="3">
        <v>95</v>
      </c>
      <c r="C111" s="21">
        <v>43466</v>
      </c>
      <c r="D111" s="18">
        <v>2.5097909090909001E-2</v>
      </c>
      <c r="E111" s="19">
        <f t="shared" si="4"/>
        <v>2.4532431578947297E-2</v>
      </c>
      <c r="F111" s="37">
        <f t="shared" si="3"/>
        <v>6.9915884561584651E-4</v>
      </c>
      <c r="H111" s="7"/>
      <c r="I111" s="7"/>
      <c r="J111" s="7"/>
      <c r="K111" s="7"/>
      <c r="L111" s="7"/>
      <c r="M111" s="7"/>
      <c r="N111" s="7"/>
      <c r="T111" s="10"/>
    </row>
    <row r="112" spans="2:20">
      <c r="B112" s="3">
        <v>96</v>
      </c>
      <c r="C112" s="21">
        <v>43497</v>
      </c>
      <c r="D112" s="18">
        <v>2.4944655E-2</v>
      </c>
      <c r="E112" s="19">
        <f t="shared" si="4"/>
        <v>2.5097909090909001E-2</v>
      </c>
      <c r="F112" s="37">
        <f t="shared" si="3"/>
        <v>-1.5542758541448737E-5</v>
      </c>
      <c r="H112" s="7"/>
      <c r="I112" s="7"/>
      <c r="J112" s="7"/>
      <c r="K112" s="7"/>
      <c r="L112" s="7"/>
      <c r="M112" s="7"/>
      <c r="N112" s="7"/>
      <c r="T112" s="10"/>
    </row>
    <row r="113" spans="2:20">
      <c r="B113" s="3">
        <v>97</v>
      </c>
      <c r="C113" s="21">
        <v>43525</v>
      </c>
      <c r="D113" s="18">
        <v>2.4898052380952298E-2</v>
      </c>
      <c r="E113" s="19">
        <f t="shared" si="4"/>
        <v>2.4944655E-2</v>
      </c>
      <c r="F113" s="37">
        <f t="shared" si="3"/>
        <v>9.0016514645060997E-5</v>
      </c>
      <c r="H113" s="7"/>
      <c r="I113" s="7"/>
      <c r="J113" s="7"/>
      <c r="K113" s="7"/>
      <c r="L113" s="7"/>
      <c r="M113" s="7"/>
      <c r="N113" s="7"/>
      <c r="T113" s="10"/>
    </row>
    <row r="114" spans="2:20">
      <c r="B114" s="3">
        <v>98</v>
      </c>
      <c r="C114" s="21">
        <v>43556</v>
      </c>
      <c r="D114" s="18">
        <v>2.4801095000000002E-2</v>
      </c>
      <c r="E114" s="19">
        <f t="shared" si="4"/>
        <v>2.4898052380952298E-2</v>
      </c>
      <c r="F114" s="37">
        <f t="shared" ref="F114:F136" si="5">D114-$H$10-$H$11*E114</f>
        <v>3.9329629020545126E-5</v>
      </c>
      <c r="H114" s="7"/>
      <c r="I114" s="7"/>
      <c r="J114" s="7"/>
      <c r="K114" s="7"/>
      <c r="L114" s="7"/>
      <c r="M114" s="7"/>
      <c r="N114" s="7"/>
      <c r="T114" s="10"/>
    </row>
    <row r="115" spans="2:20">
      <c r="B115" s="3">
        <v>99</v>
      </c>
      <c r="C115" s="21">
        <v>43586</v>
      </c>
      <c r="D115" s="18">
        <v>2.4440266666666603E-2</v>
      </c>
      <c r="E115" s="19">
        <f t="shared" si="4"/>
        <v>2.4801095000000002E-2</v>
      </c>
      <c r="F115" s="37">
        <f t="shared" si="5"/>
        <v>-2.2523231126410359E-4</v>
      </c>
      <c r="H115" s="7"/>
      <c r="I115" s="7"/>
      <c r="J115" s="7"/>
      <c r="K115" s="7"/>
      <c r="L115" s="7"/>
      <c r="M115" s="7"/>
      <c r="N115" s="7"/>
      <c r="T115" s="10"/>
    </row>
    <row r="116" spans="2:20">
      <c r="B116" s="3">
        <v>100</v>
      </c>
      <c r="C116" s="21">
        <v>43617</v>
      </c>
      <c r="D116" s="18">
        <v>2.4033660000000002E-2</v>
      </c>
      <c r="E116" s="19">
        <f t="shared" si="4"/>
        <v>2.4440266666666603E-2</v>
      </c>
      <c r="F116" s="37">
        <f t="shared" si="5"/>
        <v>-2.7358216634367979E-4</v>
      </c>
      <c r="H116" s="7"/>
      <c r="I116" s="7"/>
      <c r="J116" s="7"/>
      <c r="K116" s="7"/>
      <c r="L116" s="7"/>
      <c r="M116" s="7"/>
      <c r="N116" s="7"/>
      <c r="T116" s="10"/>
    </row>
    <row r="117" spans="2:20">
      <c r="B117" s="3">
        <v>101</v>
      </c>
      <c r="C117" s="21">
        <v>43647</v>
      </c>
      <c r="D117" s="18">
        <v>2.30610565217391E-2</v>
      </c>
      <c r="E117" s="19">
        <f t="shared" si="4"/>
        <v>2.4033660000000002E-2</v>
      </c>
      <c r="F117" s="37">
        <f t="shared" si="5"/>
        <v>-8.4247674895250937E-4</v>
      </c>
      <c r="H117" s="7"/>
      <c r="I117" s="7"/>
      <c r="J117" s="7"/>
      <c r="K117" s="7"/>
      <c r="L117" s="7"/>
      <c r="M117" s="7"/>
      <c r="N117" s="7"/>
      <c r="T117" s="10"/>
    </row>
    <row r="118" spans="2:20">
      <c r="B118" s="3">
        <v>102</v>
      </c>
      <c r="C118" s="21">
        <v>43678</v>
      </c>
      <c r="D118" s="18">
        <v>2.1744661904761903E-2</v>
      </c>
      <c r="E118" s="19">
        <f t="shared" si="4"/>
        <v>2.30610565217391E-2</v>
      </c>
      <c r="F118" s="37">
        <f t="shared" si="5"/>
        <v>-1.1931993582987369E-3</v>
      </c>
      <c r="H118" s="7"/>
      <c r="I118" s="7"/>
      <c r="J118" s="7"/>
      <c r="K118" s="7"/>
      <c r="L118" s="7"/>
      <c r="M118" s="7"/>
      <c r="N118" s="7"/>
      <c r="T118" s="10"/>
    </row>
    <row r="119" spans="2:20">
      <c r="B119" s="3">
        <v>103</v>
      </c>
      <c r="C119" s="21">
        <v>43709</v>
      </c>
      <c r="D119" s="18">
        <v>2.04316333333333E-2</v>
      </c>
      <c r="E119" s="19">
        <f t="shared" si="4"/>
        <v>2.1744661904761903E-2</v>
      </c>
      <c r="F119" s="37">
        <f t="shared" si="5"/>
        <v>-1.1992148858464002E-3</v>
      </c>
      <c r="H119" s="7"/>
      <c r="I119" s="7"/>
      <c r="J119" s="7"/>
      <c r="K119" s="7"/>
      <c r="L119" s="7"/>
      <c r="M119" s="7"/>
      <c r="N119" s="7"/>
      <c r="T119" s="10"/>
    </row>
    <row r="120" spans="2:20">
      <c r="B120" s="3">
        <v>104</v>
      </c>
      <c r="C120" s="21">
        <v>43739</v>
      </c>
      <c r="D120" s="18">
        <v>1.8782247826086899E-2</v>
      </c>
      <c r="E120" s="19">
        <f t="shared" si="4"/>
        <v>2.04316333333333E-2</v>
      </c>
      <c r="F120" s="37">
        <f t="shared" si="5"/>
        <v>-1.544929405903353E-3</v>
      </c>
      <c r="H120" s="7"/>
      <c r="I120" s="7"/>
      <c r="J120" s="7"/>
      <c r="K120" s="7"/>
      <c r="L120" s="7"/>
      <c r="M120" s="7"/>
      <c r="N120" s="7"/>
      <c r="T120" s="10"/>
    </row>
    <row r="121" spans="2:20">
      <c r="B121" s="3">
        <v>105</v>
      </c>
      <c r="C121" s="21">
        <v>43770</v>
      </c>
      <c r="D121" s="18">
        <v>1.7353652380952302E-2</v>
      </c>
      <c r="E121" s="19">
        <f t="shared" si="4"/>
        <v>1.8782247826086899E-2</v>
      </c>
      <c r="F121" s="37">
        <f t="shared" si="5"/>
        <v>-1.3358940490300654E-3</v>
      </c>
      <c r="H121" s="7"/>
      <c r="I121" s="7"/>
      <c r="J121" s="7"/>
      <c r="K121" s="7"/>
      <c r="L121" s="7"/>
      <c r="M121" s="7"/>
      <c r="N121" s="7"/>
      <c r="T121" s="10"/>
    </row>
    <row r="122" spans="2:20">
      <c r="B122" s="3">
        <v>106</v>
      </c>
      <c r="C122" s="21">
        <v>43800</v>
      </c>
      <c r="D122" s="18">
        <v>1.7492285E-2</v>
      </c>
      <c r="E122" s="19">
        <f t="shared" si="4"/>
        <v>1.7353652380952302E-2</v>
      </c>
      <c r="F122" s="37">
        <f t="shared" si="5"/>
        <v>2.2115281840418693E-4</v>
      </c>
      <c r="H122" s="7"/>
      <c r="I122" s="7"/>
      <c r="J122" s="7"/>
      <c r="K122" s="7"/>
      <c r="L122" s="7"/>
      <c r="M122" s="7"/>
      <c r="N122" s="7"/>
      <c r="T122" s="10"/>
    </row>
    <row r="123" spans="2:20">
      <c r="B123" s="3">
        <v>107</v>
      </c>
      <c r="C123" s="21">
        <v>43831</v>
      </c>
      <c r="D123" s="18">
        <v>1.6708263636363602E-2</v>
      </c>
      <c r="E123" s="19">
        <f t="shared" si="4"/>
        <v>1.7492285E-2</v>
      </c>
      <c r="F123" s="37">
        <f t="shared" si="5"/>
        <v>-7.0051316871053496E-4</v>
      </c>
      <c r="H123" s="7"/>
      <c r="I123" s="7"/>
      <c r="J123" s="7"/>
      <c r="K123" s="7"/>
      <c r="L123" s="7"/>
      <c r="M123" s="7"/>
      <c r="N123" s="7"/>
      <c r="T123" s="10"/>
    </row>
    <row r="124" spans="2:20">
      <c r="B124" s="3">
        <v>108</v>
      </c>
      <c r="C124" s="21">
        <v>43862</v>
      </c>
      <c r="D124" s="18">
        <v>1.6367275000000001E-2</v>
      </c>
      <c r="E124" s="19">
        <f t="shared" si="4"/>
        <v>1.6708263636363602E-2</v>
      </c>
      <c r="F124" s="37">
        <f t="shared" si="5"/>
        <v>-2.6306794053346585E-4</v>
      </c>
      <c r="H124" s="7"/>
      <c r="I124" s="7"/>
      <c r="J124" s="7"/>
      <c r="K124" s="7"/>
      <c r="L124" s="7"/>
      <c r="M124" s="7"/>
      <c r="N124" s="7"/>
      <c r="T124" s="10"/>
    </row>
    <row r="125" spans="2:20">
      <c r="B125" s="3">
        <v>109</v>
      </c>
      <c r="C125" s="21">
        <v>43891</v>
      </c>
      <c r="D125" s="18">
        <v>9.1723090909090893E-3</v>
      </c>
      <c r="E125" s="19">
        <f t="shared" si="4"/>
        <v>1.6367275000000001E-2</v>
      </c>
      <c r="F125" s="37">
        <f t="shared" si="5"/>
        <v>-7.1194753430833882E-3</v>
      </c>
      <c r="H125" s="7"/>
      <c r="I125" s="7"/>
      <c r="J125" s="7"/>
      <c r="K125" s="7"/>
      <c r="L125" s="7"/>
      <c r="M125" s="7"/>
      <c r="N125" s="7"/>
      <c r="T125" s="10"/>
    </row>
    <row r="126" spans="2:20">
      <c r="B126" s="3">
        <v>110</v>
      </c>
      <c r="C126" s="21">
        <v>43922</v>
      </c>
      <c r="D126" s="18">
        <v>6.8387149999999996E-3</v>
      </c>
      <c r="E126" s="19">
        <f t="shared" si="4"/>
        <v>9.1723090909090893E-3</v>
      </c>
      <c r="F126" s="37">
        <f t="shared" si="5"/>
        <v>-2.3093800173231245E-3</v>
      </c>
      <c r="H126" s="7"/>
      <c r="I126" s="7"/>
      <c r="J126" s="7"/>
      <c r="K126" s="7"/>
      <c r="L126" s="7"/>
      <c r="M126" s="7"/>
      <c r="N126" s="7"/>
      <c r="T126" s="10"/>
    </row>
    <row r="127" spans="2:20">
      <c r="B127" s="3">
        <v>111</v>
      </c>
      <c r="C127" s="21">
        <v>43952</v>
      </c>
      <c r="D127" s="18">
        <v>1.94778947368421E-3</v>
      </c>
      <c r="E127" s="19">
        <f t="shared" si="4"/>
        <v>6.8387149999999996E-3</v>
      </c>
      <c r="F127" s="37">
        <f t="shared" si="5"/>
        <v>-4.8833423195371725E-3</v>
      </c>
      <c r="H127" s="7"/>
      <c r="I127" s="7"/>
      <c r="J127" s="7"/>
      <c r="K127" s="7"/>
      <c r="L127" s="7"/>
      <c r="M127" s="7"/>
      <c r="N127" s="7"/>
      <c r="T127" s="10"/>
    </row>
    <row r="128" spans="2:20">
      <c r="B128" s="3">
        <v>112</v>
      </c>
      <c r="C128" s="21">
        <v>43983</v>
      </c>
      <c r="D128" s="18">
        <v>1.83013636363636E-3</v>
      </c>
      <c r="E128" s="19">
        <f t="shared" si="4"/>
        <v>1.94778947368421E-3</v>
      </c>
      <c r="F128" s="37">
        <f t="shared" si="5"/>
        <v>-1.4492614982457362E-4</v>
      </c>
      <c r="H128" s="7"/>
      <c r="I128" s="7"/>
      <c r="J128" s="7"/>
      <c r="K128" s="7"/>
      <c r="L128" s="7"/>
      <c r="M128" s="7"/>
      <c r="N128" s="7"/>
      <c r="T128" s="10"/>
    </row>
    <row r="129" spans="2:20">
      <c r="B129" s="3">
        <v>113</v>
      </c>
      <c r="C129" s="21">
        <v>44013</v>
      </c>
      <c r="D129" s="18">
        <v>1.7222565217391301E-3</v>
      </c>
      <c r="E129" s="19">
        <f t="shared" si="4"/>
        <v>1.83013636363636E-3</v>
      </c>
      <c r="F129" s="37">
        <f t="shared" si="5"/>
        <v>-1.3599136220075053E-4</v>
      </c>
      <c r="H129" s="7"/>
      <c r="I129" s="7"/>
      <c r="J129" s="7"/>
      <c r="K129" s="7"/>
      <c r="L129" s="7"/>
      <c r="M129" s="7"/>
      <c r="N129" s="7"/>
      <c r="T129" s="10"/>
    </row>
    <row r="130" spans="2:20">
      <c r="B130" s="3">
        <v>114</v>
      </c>
      <c r="C130" s="21">
        <v>44044</v>
      </c>
      <c r="D130" s="18">
        <v>1.6218350000000001E-3</v>
      </c>
      <c r="E130" s="19">
        <f t="shared" si="4"/>
        <v>1.7222565217391301E-3</v>
      </c>
      <c r="F130" s="37">
        <f t="shared" si="5"/>
        <v>-1.2930187124425845E-4</v>
      </c>
      <c r="H130" s="7"/>
      <c r="I130" s="7"/>
      <c r="J130" s="7"/>
      <c r="K130" s="7"/>
      <c r="L130" s="7"/>
      <c r="M130" s="7"/>
      <c r="N130" s="7"/>
      <c r="T130" s="10"/>
    </row>
    <row r="131" spans="2:20">
      <c r="B131" s="3">
        <v>115</v>
      </c>
      <c r="C131" s="21">
        <v>44075</v>
      </c>
      <c r="D131" s="18">
        <v>1.5180363636363601E-3</v>
      </c>
      <c r="E131" s="19">
        <f t="shared" si="4"/>
        <v>1.6218350000000001E-3</v>
      </c>
      <c r="F131" s="37">
        <f t="shared" si="5"/>
        <v>-1.3339466172651105E-4</v>
      </c>
      <c r="H131" s="7"/>
      <c r="I131" s="7"/>
      <c r="J131" s="7"/>
      <c r="K131" s="7"/>
      <c r="L131" s="7"/>
      <c r="M131" s="7"/>
      <c r="N131" s="7"/>
      <c r="T131" s="10"/>
    </row>
    <row r="132" spans="2:20">
      <c r="B132" s="3">
        <v>116</v>
      </c>
      <c r="C132" s="21">
        <v>44105</v>
      </c>
      <c r="D132" s="18">
        <v>1.46081363636363E-3</v>
      </c>
      <c r="E132" s="19">
        <f t="shared" si="4"/>
        <v>1.5180363636363601E-3</v>
      </c>
      <c r="F132" s="37">
        <f t="shared" si="5"/>
        <v>-8.7558496236629863E-5</v>
      </c>
      <c r="H132" s="7"/>
      <c r="I132" s="7"/>
      <c r="J132" s="7"/>
      <c r="K132" s="7"/>
      <c r="L132" s="7"/>
      <c r="M132" s="7"/>
      <c r="N132" s="7"/>
      <c r="T132" s="10"/>
    </row>
    <row r="133" spans="2:20">
      <c r="B133" s="3">
        <v>117</v>
      </c>
      <c r="C133" s="21">
        <v>44136</v>
      </c>
      <c r="D133" s="18">
        <v>1.4218714285714202E-3</v>
      </c>
      <c r="E133" s="19">
        <f t="shared" si="4"/>
        <v>1.46081363636363E-3</v>
      </c>
      <c r="F133" s="37">
        <f t="shared" si="5"/>
        <v>-6.9685786991545602E-5</v>
      </c>
      <c r="H133" s="7"/>
      <c r="I133" s="7"/>
      <c r="J133" s="7"/>
      <c r="K133" s="7"/>
      <c r="L133" s="7"/>
      <c r="M133" s="7"/>
      <c r="N133" s="7"/>
      <c r="T133" s="10"/>
    </row>
    <row r="134" spans="2:20">
      <c r="B134" s="3">
        <v>118</v>
      </c>
      <c r="C134" s="21">
        <v>44166</v>
      </c>
      <c r="D134" s="18">
        <v>1.4925238095237999E-3</v>
      </c>
      <c r="E134" s="19">
        <f t="shared" si="4"/>
        <v>1.4218714285714202E-3</v>
      </c>
      <c r="F134" s="37">
        <f t="shared" si="5"/>
        <v>3.9631271623232845E-5</v>
      </c>
      <c r="H134" s="7"/>
      <c r="I134" s="7"/>
      <c r="J134" s="7"/>
      <c r="K134" s="7"/>
      <c r="L134" s="7"/>
      <c r="M134" s="7"/>
      <c r="N134" s="7"/>
      <c r="T134" s="10"/>
    </row>
    <row r="135" spans="2:20">
      <c r="B135" s="3">
        <v>119</v>
      </c>
      <c r="C135" s="21">
        <v>44197</v>
      </c>
      <c r="D135" s="18">
        <v>1.278265E-3</v>
      </c>
      <c r="E135" s="19">
        <f t="shared" si="4"/>
        <v>1.4925238095237999E-3</v>
      </c>
      <c r="F135" s="37">
        <f t="shared" si="5"/>
        <v>-2.4477639926407811E-4</v>
      </c>
      <c r="H135" s="7"/>
      <c r="I135" s="7"/>
      <c r="J135" s="7"/>
      <c r="K135" s="7"/>
      <c r="L135" s="7"/>
      <c r="M135" s="7"/>
      <c r="N135" s="7"/>
      <c r="T135" s="10"/>
    </row>
    <row r="136" spans="2:20">
      <c r="B136" s="3">
        <v>120</v>
      </c>
      <c r="C136" s="21">
        <v>44228</v>
      </c>
      <c r="D136" s="18">
        <v>1.14083E-3</v>
      </c>
      <c r="E136" s="19">
        <f t="shared" si="4"/>
        <v>1.278265E-3</v>
      </c>
      <c r="F136" s="37">
        <f t="shared" si="5"/>
        <v>-1.6947955183594537E-4</v>
      </c>
      <c r="H136" s="7"/>
      <c r="I136" s="7"/>
      <c r="J136" s="7"/>
      <c r="K136" s="7"/>
      <c r="L136" s="7"/>
      <c r="M136" s="7"/>
      <c r="N136" s="7"/>
      <c r="T136" s="10"/>
    </row>
    <row r="137" spans="2:20">
      <c r="B137" s="3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T137" s="10"/>
    </row>
    <row r="138" spans="2:20">
      <c r="B138" s="3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T138" s="10"/>
    </row>
    <row r="139" spans="2:20">
      <c r="B139" s="3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T139" s="10"/>
    </row>
    <row r="140" spans="2:20">
      <c r="B140" s="3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T140" s="10"/>
    </row>
    <row r="141" spans="2:20">
      <c r="B141" s="3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T141" s="10"/>
    </row>
    <row r="142" spans="2:20">
      <c r="B142" s="3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T142" s="10"/>
    </row>
    <row r="143" spans="2:20">
      <c r="B143" s="3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T143" s="10"/>
    </row>
    <row r="144" spans="2:20">
      <c r="B144" s="3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T144" s="10"/>
    </row>
    <row r="145" spans="2:20">
      <c r="B145" s="3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T145" s="10"/>
    </row>
    <row r="146" spans="2:20">
      <c r="B146" s="3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T146" s="10"/>
    </row>
    <row r="147" spans="2:20">
      <c r="B147" s="3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T147" s="10"/>
    </row>
    <row r="148" spans="2:20">
      <c r="B148" s="3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T148" s="10"/>
    </row>
    <row r="149" spans="2:20">
      <c r="B149" s="3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T149" s="10"/>
    </row>
    <row r="150" spans="2:20">
      <c r="B150" s="3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T150" s="10"/>
    </row>
    <row r="151" spans="2:20">
      <c r="B151" s="3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T151" s="10"/>
    </row>
    <row r="152" spans="2:20">
      <c r="B152" s="3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T152" s="10"/>
    </row>
    <row r="153" spans="2:20">
      <c r="B153" s="3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T153" s="10"/>
    </row>
    <row r="154" spans="2:20">
      <c r="B154" s="3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T154" s="10"/>
    </row>
    <row r="155" spans="2:20">
      <c r="B155" s="3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T155" s="10"/>
    </row>
    <row r="156" spans="2:20">
      <c r="B156" s="3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T156" s="10"/>
    </row>
    <row r="157" spans="2:20">
      <c r="B157" s="3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T157" s="10"/>
    </row>
    <row r="158" spans="2:20">
      <c r="B158" s="3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T158" s="10"/>
    </row>
    <row r="159" spans="2:20">
      <c r="B159" s="3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T159" s="10"/>
    </row>
    <row r="160" spans="2:20">
      <c r="B160" s="3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T160" s="10"/>
    </row>
    <row r="161" spans="2:20">
      <c r="B161" s="3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T161" s="10"/>
    </row>
    <row r="162" spans="2:20">
      <c r="B162" s="3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T162" s="10"/>
    </row>
    <row r="163" spans="2:20">
      <c r="B163" s="3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T163" s="10"/>
    </row>
    <row r="164" spans="2:20">
      <c r="B164" s="3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T164" s="10"/>
    </row>
    <row r="165" spans="2:20">
      <c r="B165" s="3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T165" s="10"/>
    </row>
    <row r="166" spans="2:20">
      <c r="B166" s="3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T166" s="10"/>
    </row>
    <row r="167" spans="2:20">
      <c r="B167" s="3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T167" s="10"/>
    </row>
    <row r="168" spans="2:20">
      <c r="B168" s="3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T168" s="10"/>
    </row>
    <row r="169" spans="2:20">
      <c r="B169" s="3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T169" s="10"/>
    </row>
    <row r="170" spans="2:20">
      <c r="B170" s="3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</row>
    <row r="171" spans="2:20">
      <c r="B171" s="3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spans="2:20">
      <c r="B172" s="3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spans="2:20">
      <c r="B173" s="3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spans="2:20">
      <c r="B174" s="3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spans="2:20">
      <c r="B175" s="3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spans="2:20">
      <c r="B176" s="3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spans="2:14">
      <c r="B177" s="3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spans="2:14">
      <c r="B178" s="3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spans="2:14">
      <c r="B179" s="3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spans="2:14">
      <c r="B180" s="3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spans="2:14">
      <c r="B181" s="3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spans="2:14">
      <c r="B182" s="3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spans="2:14">
      <c r="B183" s="3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spans="2:14">
      <c r="B184" s="3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spans="2:14">
      <c r="B185" s="3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spans="2:14">
      <c r="B186" s="3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spans="2:14">
      <c r="B187" s="3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spans="2:14">
      <c r="B188" s="3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spans="2:14">
      <c r="B189" s="3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spans="2:14">
      <c r="B190" s="3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spans="2:14">
      <c r="B191" s="3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spans="2:14">
      <c r="B192" s="3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spans="2:14">
      <c r="B193" s="3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spans="2:14">
      <c r="B194" s="3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spans="2:14">
      <c r="B195" s="3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spans="2:14">
      <c r="B196" s="3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spans="2:14">
      <c r="B197" s="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spans="2:14">
      <c r="B198" s="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spans="2:14">
      <c r="B199" s="3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spans="2:14">
      <c r="B200" s="3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spans="2:14">
      <c r="B201" s="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spans="2:14">
      <c r="B202" s="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spans="2:14">
      <c r="B203" s="3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spans="2:14">
      <c r="B204" s="3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spans="2:14">
      <c r="B205" s="3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spans="2:14">
      <c r="B206" s="3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spans="2:14">
      <c r="B207" s="3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spans="2:14">
      <c r="B208" s="3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spans="2:14">
      <c r="B209" s="3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spans="2:14">
      <c r="B210" s="3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spans="2:14">
      <c r="B211" s="3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spans="2:14">
      <c r="B212" s="3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spans="2:14">
      <c r="B213" s="3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spans="2:14">
      <c r="B214" s="3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spans="2:14">
      <c r="B215" s="3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spans="2:14">
      <c r="B216" s="3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spans="2:14">
      <c r="B217" s="3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spans="2:14">
      <c r="B218" s="3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spans="2:14">
      <c r="B219" s="3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spans="2:14">
      <c r="B220" s="3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spans="2:14">
      <c r="B221" s="3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spans="2:14">
      <c r="B222" s="3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spans="2:14">
      <c r="B223" s="3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spans="2:14">
      <c r="B224" s="3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spans="2:14">
      <c r="B225" s="3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spans="2:14">
      <c r="B226" s="3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spans="2:14">
      <c r="B227" s="3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spans="2:14">
      <c r="B228" s="3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spans="2:14">
      <c r="B229" s="3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spans="2:14">
      <c r="B230" s="3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spans="2:14">
      <c r="B231" s="3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spans="2:14">
      <c r="B232" s="3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spans="2:14">
      <c r="B233" s="3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spans="2:14">
      <c r="B234" s="3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spans="2:14">
      <c r="B235" s="3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spans="2:14">
      <c r="B236" s="3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spans="2:14">
      <c r="B237" s="3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spans="2:14">
      <c r="B238" s="3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spans="2:14">
      <c r="B239" s="3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spans="2:14">
      <c r="B240" s="3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spans="2:14">
      <c r="B241" s="3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spans="2:14">
      <c r="B242" s="3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spans="2:14">
      <c r="B243" s="3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spans="2:14">
      <c r="B244" s="3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spans="2:14">
      <c r="B245" s="3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spans="2:14">
      <c r="B246" s="3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spans="2:14">
      <c r="B247" s="3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spans="2:14">
      <c r="B248" s="3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spans="2:14">
      <c r="B249" s="3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spans="2:14">
      <c r="B250" s="3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spans="2:14">
      <c r="B251" s="3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spans="2:14">
      <c r="B252" s="3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spans="2:14">
      <c r="B253" s="3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spans="2:14">
      <c r="B254" s="3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spans="2:14">
      <c r="B255" s="3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spans="2:14">
      <c r="B256" s="3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spans="2:14">
      <c r="B257" s="3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spans="2:14">
      <c r="B258" s="3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spans="2:14">
      <c r="B259" s="3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spans="2:14">
      <c r="B260" s="3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spans="2:14">
      <c r="B261" s="3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spans="2:14">
      <c r="B262" s="3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spans="2:14">
      <c r="B263" s="3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spans="2:14">
      <c r="B264" s="3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spans="2:14">
      <c r="B265" s="3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spans="2:14">
      <c r="B266" s="3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spans="2:14">
      <c r="B267" s="3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spans="2:14">
      <c r="B268" s="3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spans="2:14">
      <c r="B269" s="3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spans="2:14">
      <c r="B270" s="3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spans="2:14">
      <c r="B271" s="3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spans="2:14">
      <c r="B272" s="3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spans="2:14">
      <c r="B273" s="3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spans="2:14">
      <c r="B274" s="3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spans="2:14">
      <c r="B275" s="3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spans="2:14">
      <c r="B276" s="3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spans="2:14">
      <c r="B277" s="3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spans="2:14">
      <c r="B278" s="3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spans="2:14">
      <c r="B279" s="3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spans="2:14">
      <c r="B280" s="3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spans="2:14">
      <c r="B281" s="3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spans="2:14">
      <c r="B282" s="3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spans="2:14">
      <c r="B283" s="3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spans="2:14">
      <c r="B284" s="3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spans="2:14">
      <c r="B285" s="3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spans="2:14">
      <c r="B286" s="3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spans="2:14">
      <c r="B287" s="3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spans="2:14">
      <c r="B288" s="3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spans="2:14">
      <c r="B289" s="3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spans="2:14">
      <c r="B290" s="3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spans="2:14">
      <c r="B291" s="3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spans="2:14">
      <c r="B292" s="3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spans="2:14">
      <c r="B293" s="3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spans="2:14">
      <c r="B294" s="3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spans="2:14">
      <c r="B295" s="3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spans="2:14">
      <c r="B296" s="3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spans="2:14">
      <c r="B297" s="3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spans="2:14">
      <c r="B298" s="3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spans="2:14">
      <c r="B299" s="3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spans="2:14">
      <c r="B300" s="3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spans="2:14">
      <c r="B301" s="3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spans="2:14">
      <c r="B302" s="3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spans="2:14">
      <c r="B303" s="3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spans="2:14">
      <c r="B304" s="3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spans="2:14">
      <c r="B305" s="3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spans="2:14">
      <c r="B306" s="3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spans="2:14">
      <c r="B307" s="3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spans="2:14">
      <c r="B308" s="3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spans="2:14">
      <c r="B309" s="3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spans="2:14">
      <c r="B310" s="3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spans="2:14">
      <c r="B311" s="3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spans="2:14">
      <c r="B312" s="3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spans="2:14">
      <c r="B313" s="3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spans="2:14">
      <c r="B314" s="3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spans="2:14">
      <c r="B315" s="3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spans="2:14">
      <c r="B316" s="3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spans="2:14">
      <c r="B317" s="3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spans="2:14">
      <c r="B318" s="3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spans="2:14">
      <c r="B319" s="3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spans="2:14">
      <c r="B320" s="3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spans="2:14">
      <c r="B321" s="3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spans="2:14">
      <c r="B322" s="3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spans="2:14">
      <c r="B323" s="3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spans="2:14">
      <c r="B324" s="3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spans="2:14">
      <c r="B325" s="3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spans="2:14">
      <c r="B326" s="3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spans="2:14">
      <c r="B327" s="3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spans="2:14">
      <c r="B328" s="3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spans="2:14">
      <c r="B329" s="3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spans="2:14">
      <c r="B330" s="3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spans="2:14">
      <c r="B331" s="3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spans="2:14">
      <c r="B332" s="3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spans="2:14">
      <c r="B333" s="3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spans="2:14">
      <c r="B334" s="3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spans="2:14">
      <c r="B335" s="3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spans="2:14">
      <c r="B336" s="3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spans="2:14">
      <c r="B337" s="3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spans="2:14">
      <c r="B338" s="3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spans="2:14">
      <c r="B339" s="3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spans="2:14">
      <c r="B340" s="3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spans="2:14">
      <c r="B341" s="3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spans="2:14">
      <c r="B342" s="3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spans="2:14">
      <c r="B343" s="3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spans="2:14">
      <c r="B344" s="3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spans="2:14">
      <c r="B345" s="3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spans="2:14">
      <c r="B346" s="3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spans="2:14">
      <c r="B347" s="3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spans="2:14">
      <c r="B348" s="3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spans="2:14">
      <c r="B349" s="3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spans="2:14">
      <c r="B350" s="3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spans="2:14">
      <c r="B351" s="3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spans="2:14">
      <c r="B352" s="3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spans="2:14">
      <c r="B353" s="3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spans="2:14">
      <c r="B354" s="3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spans="2:14">
      <c r="B355" s="3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spans="2:14">
      <c r="B356" s="3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spans="2:14">
      <c r="B357" s="3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spans="2:14">
      <c r="B358" s="3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spans="2:14">
      <c r="B359" s="3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spans="2:14">
      <c r="B360" s="3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spans="2:14">
      <c r="B361" s="3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spans="2:14">
      <c r="B362" s="3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spans="2:14">
      <c r="B363" s="3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spans="2:14">
      <c r="B364" s="3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spans="2:14">
      <c r="B365" s="3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spans="2:14">
      <c r="B366" s="3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spans="2:14">
      <c r="B367" s="3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spans="2:14">
      <c r="B368" s="3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spans="2:14">
      <c r="B369" s="3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spans="2:14">
      <c r="B370" s="3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spans="2:14">
      <c r="B371" s="3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spans="2:14">
      <c r="B372" s="3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spans="2:14">
      <c r="B373" s="3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spans="2:14">
      <c r="B374" s="3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spans="2:14">
      <c r="B375" s="3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spans="2:14">
      <c r="B376" s="3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spans="2:14">
      <c r="B377" s="3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spans="2:14">
      <c r="B378" s="3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spans="2:14">
      <c r="B379" s="3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spans="2:14">
      <c r="B380" s="3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spans="2:14">
      <c r="B381" s="3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spans="2:14">
      <c r="B382" s="3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spans="2:14">
      <c r="B383" s="3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spans="2:14">
      <c r="B384" s="3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spans="2:14">
      <c r="B385" s="3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spans="2:14">
      <c r="B386" s="3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spans="2:14">
      <c r="B387" s="3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spans="2:14">
      <c r="B388" s="3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spans="2:14">
      <c r="B389" s="3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spans="2:14">
      <c r="B390" s="3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spans="2:14">
      <c r="B391" s="3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spans="2:14">
      <c r="B392" s="3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spans="2:14">
      <c r="B393" s="3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spans="2:14">
      <c r="B394" s="3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spans="2:14">
      <c r="B395" s="3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spans="2:14">
      <c r="B396" s="3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spans="2:14">
      <c r="B397" s="3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spans="2:14">
      <c r="B398" s="3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spans="2:14">
      <c r="B399" s="3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spans="2:14">
      <c r="B400" s="3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spans="2:14">
      <c r="B401" s="3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spans="2:14">
      <c r="B402" s="3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spans="2:14">
      <c r="B403" s="3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spans="2:14">
      <c r="B404" s="3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spans="2:14">
      <c r="B405" s="3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spans="2:14">
      <c r="B406" s="3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spans="2:14">
      <c r="B407" s="3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spans="2:14">
      <c r="B408" s="3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spans="2:14">
      <c r="B409" s="3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spans="2:14">
      <c r="B410" s="3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spans="2:14">
      <c r="B411" s="3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spans="2:14">
      <c r="B412" s="3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spans="2:14">
      <c r="B413" s="3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spans="2:14">
      <c r="B414" s="3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spans="2:14">
      <c r="B415" s="3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spans="2:14">
      <c r="B416" s="3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spans="2:14">
      <c r="B417" s="3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spans="2:14">
      <c r="B418" s="3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spans="2:14">
      <c r="B419" s="3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spans="2:14">
      <c r="B420" s="3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spans="2:14">
      <c r="B421" s="3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spans="2:14">
      <c r="B422" s="3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spans="2:14">
      <c r="B423" s="3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spans="2:14">
      <c r="B424" s="3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spans="2:14">
      <c r="B425" s="3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spans="2:14">
      <c r="B426" s="3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spans="2:14">
      <c r="B427" s="3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spans="2:14">
      <c r="B428" s="3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spans="2:14">
      <c r="B429" s="3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spans="2:14">
      <c r="B430" s="3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spans="2:14">
      <c r="B431" s="3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spans="2:14">
      <c r="B432" s="3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spans="2:14">
      <c r="B433" s="3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spans="2:14">
      <c r="B434" s="3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spans="2:14">
      <c r="B435" s="3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spans="2:14">
      <c r="B436" s="3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spans="2:14">
      <c r="B437" s="3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spans="2:14">
      <c r="B438" s="3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spans="2:14">
      <c r="B439" s="3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spans="2:14">
      <c r="B440" s="3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spans="2:14">
      <c r="B441" s="3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spans="2:14">
      <c r="B442" s="3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spans="2:14">
      <c r="B443" s="3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spans="2:14">
      <c r="B444" s="3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spans="2:14">
      <c r="B445" s="3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spans="2:14">
      <c r="B446" s="3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spans="2:14">
      <c r="B447" s="3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spans="2:14">
      <c r="B448" s="3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spans="2:14">
      <c r="B449" s="3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spans="2:14">
      <c r="B450" s="3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spans="2:14">
      <c r="B451" s="3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spans="2:14">
      <c r="B452" s="3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spans="2:14">
      <c r="B453" s="3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spans="2:14">
      <c r="B454" s="3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spans="2:14">
      <c r="B455" s="3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spans="2:14">
      <c r="B456" s="3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spans="2:14">
      <c r="B457" s="3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spans="2:14">
      <c r="B458" s="3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spans="2:14">
      <c r="B459" s="3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spans="2:14">
      <c r="B460" s="3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spans="2:14">
      <c r="B461" s="3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spans="2:14">
      <c r="B462" s="3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spans="2:14">
      <c r="B463" s="3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spans="2:14">
      <c r="B464" s="3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spans="2:14">
      <c r="B465" s="3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spans="2:14">
      <c r="B466" s="3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spans="2:14">
      <c r="B467" s="3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spans="2:14">
      <c r="B468" s="3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spans="2:14">
      <c r="B469" s="3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spans="2:14">
      <c r="B470" s="3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spans="2:14">
      <c r="B471" s="3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spans="2:14">
      <c r="B472" s="3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spans="2:14">
      <c r="B473" s="3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spans="2:14">
      <c r="B474" s="3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spans="2:14">
      <c r="B475" s="3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spans="2:14">
      <c r="B476" s="3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spans="2:14">
      <c r="B477" s="3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spans="2:14">
      <c r="B478" s="3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spans="2:14">
      <c r="B479" s="3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spans="2:14">
      <c r="B480" s="3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spans="2:14">
      <c r="B481" s="3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spans="2:14">
      <c r="B482" s="3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spans="2:14">
      <c r="B483" s="3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spans="2:14">
      <c r="B484" s="3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spans="2:14">
      <c r="B485" s="3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spans="2:14">
      <c r="B486" s="3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spans="2:14">
      <c r="B487" s="3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spans="2:14">
      <c r="B488" s="3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spans="2:14">
      <c r="B489" s="3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spans="2:14">
      <c r="B490" s="3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spans="2:14">
      <c r="B491" s="3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spans="2:14">
      <c r="B492" s="3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spans="2:14">
      <c r="B493" s="3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spans="2:14">
      <c r="B494" s="3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spans="2:14">
      <c r="B495" s="3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spans="2:14">
      <c r="B496" s="3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spans="2:14">
      <c r="B497" s="3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spans="2:14">
      <c r="B498" s="3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spans="2:14">
      <c r="B499" s="3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spans="2:14">
      <c r="B500" s="3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spans="2:14">
      <c r="B501" s="3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spans="2:14">
      <c r="B502" s="3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spans="2:14">
      <c r="B503" s="3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spans="2:14">
      <c r="B504" s="3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spans="2:14">
      <c r="B505" s="3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spans="2:14">
      <c r="B506" s="3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spans="2:14">
      <c r="B507" s="3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spans="2:14">
      <c r="B508" s="3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spans="2:14">
      <c r="B509" s="3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spans="2:14">
      <c r="B510" s="3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spans="2:14">
      <c r="B511" s="3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spans="2:14">
      <c r="B512" s="3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spans="2:14">
      <c r="B513" s="3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spans="2:14">
      <c r="B514" s="3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spans="2:14">
      <c r="B515" s="3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8BE35-2A04-47B2-8CD2-C6DD90B23DFE}">
  <sheetPr codeName="Sheet3"/>
  <dimension ref="PT2502"/>
  <sheetViews>
    <sheetView workbookViewId="0"/>
  </sheetViews>
  <sheetFormatPr defaultRowHeight="14.5"/>
  <sheetData>
    <row r="2502" spans="436:436">
      <c r="PT2502" s="38">
        <v>45212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AA9A4-9D3E-41FD-B99B-7DA55171C644}">
  <sheetPr codeName="Sheet4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Warning</vt:lpstr>
      <vt:lpstr>'2'!dt</vt:lpstr>
      <vt:lpstr>dt</vt:lpstr>
      <vt:lpstr>'2'!k</vt:lpstr>
      <vt:lpstr>k</vt:lpstr>
      <vt:lpstr>'2'!r0</vt:lpstr>
      <vt:lpstr>r0</vt:lpstr>
      <vt:lpstr>'2'!theta</vt:lpstr>
      <vt:lpstr>theta</vt:lpstr>
      <vt:lpstr>'2'!vol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2023-10-13T17:48:41Z</dcterms:modified>
</cp:coreProperties>
</file>