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0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HAVYA\Desktop\P2\"/>
    </mc:Choice>
  </mc:AlternateContent>
  <xr:revisionPtr revIDLastSave="0" documentId="13_ncr:1_{6988E096-5ED1-4CF0-AD73-1A810D9E660B}" xr6:coauthVersionLast="47" xr6:coauthVersionMax="47" xr10:uidLastSave="{00000000-0000-0000-0000-000000000000}"/>
  <bookViews>
    <workbookView xWindow="-110" yWindow="-110" windowWidth="19420" windowHeight="10300" firstSheet="3" activeTab="3" xr2:uid="{E06D621C-4286-49EE-8377-8D91397B69AD}"/>
  </bookViews>
  <sheets>
    <sheet name="Copyright" sheetId="5" state="veryHidden" r:id="rId1"/>
    <sheet name="1" sheetId="2" state="veryHidden" r:id="rId2"/>
    <sheet name="P2T_Input" sheetId="3" state="veryHidden" r:id="rId3"/>
    <sheet name="Warning" sheetId="4" r:id="rId4"/>
  </sheets>
  <definedNames>
    <definedName name="dt">'1'!$C$14</definedName>
    <definedName name="k">'1'!$C$10</definedName>
    <definedName name="r0">'1'!$C$13</definedName>
    <definedName name="solver_adj" localSheetId="1" hidden="1">'1'!$C$10:$C$12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'1'!$F$12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  <definedName name="theta">'1'!$C$11</definedName>
    <definedName name="vol">'1'!$C$12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37" i="2" l="1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C14" i="2" l="1"/>
  <c r="F78" i="2" s="1"/>
  <c r="F58" i="2" l="1"/>
  <c r="F104" i="2"/>
  <c r="F81" i="2"/>
  <c r="F61" i="2"/>
  <c r="F45" i="2"/>
  <c r="F91" i="2"/>
  <c r="F80" i="2"/>
  <c r="F36" i="2"/>
  <c r="F27" i="2"/>
  <c r="G27" i="2" s="1"/>
  <c r="F41" i="2"/>
  <c r="F118" i="2"/>
  <c r="F127" i="2"/>
  <c r="G127" i="2" s="1"/>
  <c r="F89" i="2"/>
  <c r="F52" i="2"/>
  <c r="F67" i="2"/>
  <c r="F85" i="2"/>
  <c r="F110" i="2"/>
  <c r="F33" i="2"/>
  <c r="F69" i="2"/>
  <c r="G69" i="2" s="1"/>
  <c r="F131" i="2"/>
  <c r="F106" i="2"/>
  <c r="G106" i="2" s="1"/>
  <c r="F115" i="2"/>
  <c r="G115" i="2" s="1"/>
  <c r="F73" i="2"/>
  <c r="G73" i="2" s="1"/>
  <c r="F37" i="2"/>
  <c r="G37" i="2" s="1"/>
  <c r="F30" i="2"/>
  <c r="F39" i="2"/>
  <c r="F40" i="2"/>
  <c r="F103" i="2"/>
  <c r="F112" i="2"/>
  <c r="F47" i="2"/>
  <c r="F92" i="2"/>
  <c r="F84" i="2"/>
  <c r="F130" i="2"/>
  <c r="G130" i="2" s="1"/>
  <c r="F32" i="2"/>
  <c r="G32" i="2" s="1"/>
  <c r="F90" i="2"/>
  <c r="F55" i="2"/>
  <c r="G55" i="2" s="1"/>
  <c r="F82" i="2"/>
  <c r="F43" i="2"/>
  <c r="F129" i="2"/>
  <c r="F35" i="2"/>
  <c r="F96" i="2"/>
  <c r="F66" i="2"/>
  <c r="F77" i="2"/>
  <c r="G77" i="2" s="1"/>
  <c r="F94" i="2"/>
  <c r="F126" i="2"/>
  <c r="F75" i="2"/>
  <c r="G75" i="2" s="1"/>
  <c r="F63" i="2"/>
  <c r="F125" i="2"/>
  <c r="F23" i="2"/>
  <c r="F134" i="2"/>
  <c r="F101" i="2"/>
  <c r="F122" i="2"/>
  <c r="F116" i="2"/>
  <c r="F86" i="2"/>
  <c r="F29" i="2"/>
  <c r="G29" i="2" s="1"/>
  <c r="F114" i="2"/>
  <c r="F44" i="2"/>
  <c r="F100" i="2"/>
  <c r="F56" i="2"/>
  <c r="F51" i="2"/>
  <c r="F113" i="2"/>
  <c r="F19" i="2"/>
  <c r="F46" i="2"/>
  <c r="F98" i="2"/>
  <c r="G98" i="2" s="1"/>
  <c r="F119" i="2"/>
  <c r="F28" i="2"/>
  <c r="G28" i="2" s="1"/>
  <c r="F72" i="2"/>
  <c r="F79" i="2"/>
  <c r="F53" i="2"/>
  <c r="G53" i="2" s="1"/>
  <c r="F123" i="2"/>
  <c r="G123" i="2" s="1"/>
  <c r="F74" i="2"/>
  <c r="F54" i="2"/>
  <c r="G54" i="2" s="1"/>
  <c r="F95" i="2"/>
  <c r="F49" i="2"/>
  <c r="F22" i="2"/>
  <c r="G22" i="2" s="1"/>
  <c r="F133" i="2"/>
  <c r="F83" i="2"/>
  <c r="F136" i="2"/>
  <c r="F108" i="2"/>
  <c r="G108" i="2" s="1"/>
  <c r="F99" i="2"/>
  <c r="G99" i="2" s="1"/>
  <c r="F105" i="2"/>
  <c r="G105" i="2" s="1"/>
  <c r="F50" i="2"/>
  <c r="G50" i="2" s="1"/>
  <c r="F121" i="2"/>
  <c r="F120" i="2"/>
  <c r="F71" i="2"/>
  <c r="F57" i="2"/>
  <c r="F102" i="2"/>
  <c r="F97" i="2"/>
  <c r="G97" i="2" s="1"/>
  <c r="F137" i="2"/>
  <c r="F31" i="2"/>
  <c r="F88" i="2"/>
  <c r="G88" i="2" s="1"/>
  <c r="F20" i="2"/>
  <c r="F76" i="2"/>
  <c r="G76" i="2" s="1"/>
  <c r="F70" i="2"/>
  <c r="G70" i="2" s="1"/>
  <c r="F64" i="2"/>
  <c r="F117" i="2"/>
  <c r="G117" i="2" s="1"/>
  <c r="F25" i="2"/>
  <c r="F68" i="2"/>
  <c r="F65" i="2"/>
  <c r="F135" i="2"/>
  <c r="F107" i="2"/>
  <c r="F26" i="2"/>
  <c r="G26" i="2" s="1"/>
  <c r="F24" i="2"/>
  <c r="G24" i="2" s="1"/>
  <c r="F42" i="2"/>
  <c r="G42" i="2" s="1"/>
  <c r="F34" i="2"/>
  <c r="F111" i="2"/>
  <c r="G111" i="2" s="1"/>
  <c r="F62" i="2"/>
  <c r="F132" i="2"/>
  <c r="G132" i="2" s="1"/>
  <c r="F93" i="2"/>
  <c r="F124" i="2"/>
  <c r="F48" i="2"/>
  <c r="F87" i="2"/>
  <c r="G87" i="2" s="1"/>
  <c r="F128" i="2"/>
  <c r="F38" i="2"/>
  <c r="G38" i="2" s="1"/>
  <c r="F109" i="2"/>
  <c r="F60" i="2"/>
  <c r="G60" i="2" s="1"/>
  <c r="F59" i="2"/>
  <c r="G59" i="2" s="1"/>
  <c r="F21" i="2"/>
  <c r="G21" i="2" s="1"/>
  <c r="G82" i="2"/>
  <c r="G23" i="2"/>
  <c r="G134" i="2"/>
  <c r="G112" i="2"/>
  <c r="G101" i="2"/>
  <c r="G67" i="2"/>
  <c r="G56" i="2"/>
  <c r="G57" i="2"/>
  <c r="G35" i="2"/>
  <c r="G47" i="2"/>
  <c r="G80" i="2"/>
  <c r="G81" i="2"/>
  <c r="G137" i="2"/>
  <c r="G93" i="2"/>
  <c r="G85" i="2"/>
  <c r="G90" i="2"/>
  <c r="G104" i="2"/>
  <c r="G83" i="2"/>
  <c r="G133" i="2"/>
  <c r="G30" i="2"/>
  <c r="G49" i="2"/>
  <c r="G46" i="2"/>
  <c r="G135" i="2"/>
  <c r="G124" i="2"/>
  <c r="G113" i="2"/>
  <c r="G79" i="2"/>
  <c r="G68" i="2"/>
  <c r="G91" i="2"/>
  <c r="G36" i="2"/>
  <c r="G71" i="2"/>
  <c r="G39" i="2"/>
  <c r="G116" i="2"/>
  <c r="G128" i="2"/>
  <c r="G131" i="2"/>
  <c r="G89" i="2"/>
  <c r="G61" i="2"/>
  <c r="G25" i="2"/>
  <c r="G136" i="2"/>
  <c r="G125" i="2"/>
  <c r="G109" i="2"/>
  <c r="G103" i="2"/>
  <c r="G92" i="2"/>
  <c r="G121" i="2"/>
  <c r="G95" i="2"/>
  <c r="G107" i="2"/>
  <c r="G122" i="2"/>
  <c r="G45" i="2"/>
  <c r="G48" i="2"/>
  <c r="G72" i="2"/>
  <c r="G62" i="2"/>
  <c r="G51" i="2"/>
  <c r="G40" i="2"/>
  <c r="G66" i="2"/>
  <c r="G129" i="2"/>
  <c r="G84" i="2"/>
  <c r="G74" i="2"/>
  <c r="G63" i="2"/>
  <c r="G52" i="2"/>
  <c r="G41" i="2"/>
  <c r="G114" i="2"/>
  <c r="G78" i="2"/>
  <c r="G58" i="2"/>
  <c r="G119" i="2"/>
  <c r="G96" i="2"/>
  <c r="G86" i="2"/>
  <c r="G64" i="2"/>
  <c r="G19" i="2"/>
  <c r="G126" i="2"/>
  <c r="G102" i="2"/>
  <c r="G100" i="2"/>
  <c r="G65" i="2"/>
  <c r="G31" i="2"/>
  <c r="G20" i="2"/>
  <c r="G94" i="2"/>
  <c r="G34" i="2"/>
  <c r="G120" i="2"/>
  <c r="G110" i="2"/>
  <c r="G43" i="2"/>
  <c r="G33" i="2"/>
  <c r="G118" i="2"/>
  <c r="G44" i="2"/>
  <c r="F12" i="2" l="1"/>
</calcChain>
</file>

<file path=xl/sharedStrings.xml><?xml version="1.0" encoding="utf-8"?>
<sst xmlns="http://schemas.openxmlformats.org/spreadsheetml/2006/main" count="17" uniqueCount="17">
  <si>
    <t>Model Parameters</t>
  </si>
  <si>
    <t>k</t>
  </si>
  <si>
    <t>θ</t>
  </si>
  <si>
    <t>σ</t>
  </si>
  <si>
    <t>r(0)</t>
  </si>
  <si>
    <t>dt</t>
  </si>
  <si>
    <t>#</t>
  </si>
  <si>
    <t>Parameter estimation refers to estimating the model parameters from time series data using some statistical method</t>
  </si>
  <si>
    <t>DATE</t>
  </si>
  <si>
    <t>Libor 1m</t>
  </si>
  <si>
    <t>dr</t>
  </si>
  <si>
    <t>LL</t>
  </si>
  <si>
    <t>Sum of LL</t>
  </si>
  <si>
    <t>(Maximize)</t>
  </si>
  <si>
    <r>
      <rPr>
        <sz val="11"/>
        <color theme="1"/>
        <rFont val="Calibri"/>
        <family val="2"/>
      </rPr>
      <t>σ</t>
    </r>
    <r>
      <rPr>
        <sz val="11"/>
        <color theme="1"/>
        <rFont val="CMU Sans Serif"/>
      </rPr>
      <t>Z</t>
    </r>
  </si>
  <si>
    <t>Parameter Estimation ( MLE )</t>
  </si>
  <si>
    <t>In MLE method we can use the fact that dr(t) comes from a Gaussian Distribution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</si>
</sst>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%"/>
    <numFmt numFmtId="165" formatCode="0.0000%"/>
    <numFmt numFmtId="166" formatCode="0.00000%"/>
    <numFmt numFmtId="167" formatCode="0.00000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MU Sans Serif"/>
    </font>
    <font>
      <b/>
      <sz val="11"/>
      <color theme="1"/>
      <name val="CMU Sans Serif"/>
    </font>
    <font>
      <b/>
      <sz val="14"/>
      <color theme="1"/>
      <name val="CMU Sans Serif"/>
    </font>
    <font>
      <b/>
      <sz val="11"/>
      <color rgb="FFFF0000"/>
      <name val="CMU Sans Serif"/>
    </font>
    <font>
      <sz val="11"/>
      <color rgb="FF0070C0"/>
      <name val="CMU Sans Serif"/>
    </font>
    <font>
      <sz val="11"/>
      <color theme="1"/>
      <name val="Calibri"/>
      <family val="2"/>
    </font>
    <font>
      <sz val="11"/>
      <color theme="1"/>
      <name val="CMU Sans Serif"/>
      <family val="2"/>
    </font>
    <font>
      <sz val="11"/>
      <color theme="4"/>
      <name val="CMU Sans Serif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1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3" fillId="0" borderId="0" xfId="0" applyFont="1" applyAlignment="1">
      <alignment horizontal="center"/>
    </xf>
    <xf numFmtId="10" fontId="2" fillId="0" borderId="0" xfId="1" applyNumberFormat="1" applyFont="1" applyAlignment="1">
      <alignment horizontal="center"/>
    </xf>
    <xf numFmtId="10" fontId="2" fillId="0" borderId="0" xfId="1" applyNumberFormat="1" applyFont="1"/>
    <xf numFmtId="165" fontId="2" fillId="0" borderId="0" xfId="1" applyNumberFormat="1" applyFont="1"/>
    <xf numFmtId="10" fontId="2" fillId="0" borderId="0" xfId="0" applyNumberFormat="1" applyFont="1" applyAlignment="1">
      <alignment horizontal="center"/>
    </xf>
    <xf numFmtId="10" fontId="5" fillId="0" borderId="0" xfId="1" applyNumberFormat="1" applyFont="1" applyAlignment="1">
      <alignment horizontal="center"/>
    </xf>
    <xf numFmtId="164" fontId="5" fillId="0" borderId="0" xfId="1" applyNumberFormat="1" applyFont="1"/>
    <xf numFmtId="0" fontId="5" fillId="0" borderId="0" xfId="0" applyFont="1" applyAlignment="1">
      <alignment horizontal="center"/>
    </xf>
    <xf numFmtId="164" fontId="2" fillId="0" borderId="0" xfId="1" applyNumberFormat="1" applyFont="1"/>
    <xf numFmtId="0" fontId="6" fillId="0" borderId="0" xfId="0" applyFont="1"/>
    <xf numFmtId="0" fontId="2" fillId="2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6" fontId="2" fillId="0" borderId="0" xfId="1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4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4" fontId="8" fillId="2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left"/>
    </xf>
    <xf numFmtId="1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printerSettings.bin"/></Relationships>
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D:\From%20PC\All\CRM_Protected\logi.jpg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12</xdr:col>
      <xdr:colOff>348722</xdr:colOff>
      <xdr:row>12</xdr:row>
      <xdr:rowOff>134350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FC1E05-01A1-FCBE-EDEE-FDF7B86B5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09600" y="184150"/>
          <a:ext cx="7054322" cy="216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704850</xdr:colOff>
      <xdr:row>8</xdr:row>
      <xdr:rowOff>161925</xdr:rowOff>
    </xdr:from>
    <xdr:to>
      <xdr:col>7</xdr:col>
      <xdr:colOff>137160</xdr:colOff>
      <xdr:row>10</xdr:row>
      <xdr:rowOff>69533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9235DA-B807-4E35-921C-740B753FE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86075" y="1809750"/>
          <a:ext cx="2461260" cy="3076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845DA-4C17-4B28-BC2D-A90D10DF2FC9}">
  <sheetPr codeName="Sheet4"/>
  <dimension ref="A1"/>
  <sheetViews>
    <sheetView showGridLines="0" workbookViewId="0"/>
  </sheetViews>
  <sheetFormatPr defaultRowHeight="14.5"/>
  <sheetData/>
  <sheetProtection algorithmName="SHA-512" hashValue="06Pxqo3M/11I+g1I1nCyWMlwd/OvZxsIFzOlnWD2bVCJn0Erjp+/xAOU8GyA9RsgxydHaT5EOGDvGlCCQJxoJg==" saltValue="9Pjyuhrxcuk9BaYuAiPyrw==" spinCount="100000"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25A6F-A68D-43E4-AF71-E5DFAFFB1480}">
  <sheetPr codeName="Sheet1"/>
  <dimension ref="B3:BD516"/>
  <sheetViews>
    <sheetView showGridLines="0" zoomScale="80" zoomScaleNormal="80" workbookViewId="0">
      <selection activeCell="I13" sqref="I13"/>
    </sheetView>
  </sheetViews>
  <sheetFormatPr defaultColWidth="8.90625" defaultRowHeight="14"/>
  <cols>
    <col min="1" max="1" width="8.90625" style="1"/>
    <col min="2" max="2" width="11.1796875" style="1" customWidth="1"/>
    <col min="3" max="4" width="11.6328125" style="1" customWidth="1"/>
    <col min="5" max="5" width="11.1796875" style="1" customWidth="1"/>
    <col min="6" max="6" width="11.453125" style="1" customWidth="1"/>
    <col min="7" max="7" width="9.90625" style="1" bestFit="1" customWidth="1"/>
    <col min="8" max="12" width="8.90625" style="1"/>
    <col min="13" max="13" width="9.54296875" style="1" bestFit="1" customWidth="1"/>
    <col min="14" max="28" width="8.90625" style="1"/>
    <col min="29" max="29" width="10.1796875" style="1" bestFit="1" customWidth="1"/>
    <col min="30" max="16384" width="8.90625" style="1"/>
  </cols>
  <sheetData>
    <row r="3" spans="2:56" ht="18">
      <c r="B3" s="4" t="s">
        <v>15</v>
      </c>
      <c r="C3" s="5"/>
      <c r="D3" s="5"/>
      <c r="E3" s="5"/>
      <c r="F3" s="5"/>
      <c r="G3" s="5"/>
      <c r="H3" s="5"/>
    </row>
    <row r="5" spans="2:56">
      <c r="B5" s="29" t="s">
        <v>7</v>
      </c>
    </row>
    <row r="6" spans="2:56">
      <c r="B6" s="29" t="s">
        <v>16</v>
      </c>
    </row>
    <row r="8" spans="2:56">
      <c r="B8" s="2" t="s">
        <v>0</v>
      </c>
      <c r="K8" s="2"/>
      <c r="L8" s="2"/>
      <c r="U8" s="2"/>
      <c r="V8" s="2"/>
    </row>
    <row r="10" spans="2:56">
      <c r="B10" s="2" t="s">
        <v>1</v>
      </c>
      <c r="C10" s="23">
        <v>5.1301776352364215E-2</v>
      </c>
      <c r="L10" s="11"/>
      <c r="V10" s="12"/>
    </row>
    <row r="11" spans="2:56">
      <c r="B11" s="2" t="s">
        <v>2</v>
      </c>
      <c r="C11" s="26">
        <v>4.6794337342888244E-3</v>
      </c>
    </row>
    <row r="12" spans="2:56">
      <c r="B12" s="2" t="s">
        <v>3</v>
      </c>
      <c r="C12" s="27">
        <v>3.3793652371629124E-2</v>
      </c>
      <c r="E12" s="1" t="s">
        <v>12</v>
      </c>
      <c r="F12" s="25">
        <f>SUM(G19:G137)</f>
        <v>687.22050430394995</v>
      </c>
    </row>
    <row r="13" spans="2:56">
      <c r="B13" s="2" t="s">
        <v>4</v>
      </c>
      <c r="C13" s="24">
        <v>2.5328478260869501E-3</v>
      </c>
      <c r="F13" s="1" t="s">
        <v>13</v>
      </c>
    </row>
    <row r="14" spans="2:56">
      <c r="B14" s="2" t="s">
        <v>5</v>
      </c>
      <c r="C14" s="3">
        <f>1/12</f>
        <v>8.3333333333333329E-2</v>
      </c>
      <c r="E14" s="7"/>
      <c r="F14" s="7"/>
      <c r="G14" s="7"/>
      <c r="H14" s="7"/>
      <c r="T14" s="2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</row>
    <row r="15" spans="2:56">
      <c r="E15" s="7"/>
      <c r="F15" s="7"/>
      <c r="T15" s="2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</row>
    <row r="16" spans="2:56">
      <c r="E16" s="7"/>
      <c r="F16" s="7"/>
    </row>
    <row r="17" spans="2:56" ht="14.5">
      <c r="B17" s="16" t="s">
        <v>6</v>
      </c>
      <c r="C17" s="16" t="s">
        <v>8</v>
      </c>
      <c r="D17" s="16" t="s">
        <v>9</v>
      </c>
      <c r="E17" s="17" t="s">
        <v>10</v>
      </c>
      <c r="F17" s="28" t="s">
        <v>14</v>
      </c>
      <c r="G17" s="17" t="s">
        <v>11</v>
      </c>
      <c r="T17" s="2"/>
      <c r="U17" s="13"/>
      <c r="V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</row>
    <row r="18" spans="2:56">
      <c r="B18" s="3">
        <v>1</v>
      </c>
      <c r="C18" s="20">
        <v>40603</v>
      </c>
      <c r="D18" s="18">
        <v>2.5328478260869501E-3</v>
      </c>
      <c r="E18" s="21"/>
      <c r="F18" s="21"/>
      <c r="G18" s="21"/>
      <c r="J18" s="7"/>
      <c r="K18" s="7"/>
      <c r="L18" s="7"/>
      <c r="M18" s="7"/>
      <c r="N18" s="7"/>
      <c r="T18" s="10"/>
    </row>
    <row r="19" spans="2:56">
      <c r="B19" s="3">
        <v>2</v>
      </c>
      <c r="C19" s="20">
        <v>40634</v>
      </c>
      <c r="D19" s="18">
        <v>2.2143499999999999E-3</v>
      </c>
      <c r="E19" s="21">
        <f>D19-D18</f>
        <v>-3.184978260869502E-4</v>
      </c>
      <c r="F19" s="22">
        <f t="shared" ref="F19:F50" si="0">(E19-(k*(theta-D18)*dt))/(SQRT(D18*dt))</f>
        <v>-2.2554287658745488E-2</v>
      </c>
      <c r="G19" s="19">
        <f t="shared" ref="G19:G50" si="1">-(LN(vol^2)+(F19/vol)^2)</f>
        <v>6.3295258674136257</v>
      </c>
      <c r="J19" s="7"/>
      <c r="K19" s="7"/>
      <c r="L19" s="7"/>
      <c r="M19" s="7"/>
      <c r="N19" s="7"/>
      <c r="T19" s="10"/>
    </row>
    <row r="20" spans="2:56">
      <c r="B20" s="3">
        <v>3</v>
      </c>
      <c r="C20" s="20">
        <v>40664</v>
      </c>
      <c r="D20" s="18">
        <v>1.9780049999999997E-3</v>
      </c>
      <c r="E20" s="21">
        <f t="shared" ref="E20:E83" si="2">D20-D19</f>
        <v>-2.3634500000000022E-4</v>
      </c>
      <c r="F20" s="22">
        <f t="shared" si="0"/>
        <v>-1.817438515904864E-2</v>
      </c>
      <c r="G20" s="19">
        <f t="shared" si="1"/>
        <v>6.4857306895740869</v>
      </c>
      <c r="J20" s="7"/>
      <c r="K20" s="7"/>
      <c r="L20" s="7"/>
      <c r="M20" s="7"/>
      <c r="N20" s="7"/>
      <c r="T20" s="10"/>
    </row>
    <row r="21" spans="2:56">
      <c r="B21" s="3">
        <v>4</v>
      </c>
      <c r="C21" s="20">
        <v>40695</v>
      </c>
      <c r="D21" s="18">
        <v>1.8716409090908999E-3</v>
      </c>
      <c r="E21" s="21">
        <f t="shared" si="2"/>
        <v>-1.0636409090909976E-4</v>
      </c>
      <c r="F21" s="22">
        <f t="shared" si="0"/>
        <v>-9.1841503089935324E-3</v>
      </c>
      <c r="G21" s="19">
        <f t="shared" si="1"/>
        <v>6.7011048600517453</v>
      </c>
      <c r="J21" s="7"/>
      <c r="K21" s="7"/>
      <c r="L21" s="7"/>
      <c r="M21" s="7"/>
      <c r="N21" s="7"/>
      <c r="T21" s="10"/>
    </row>
    <row r="22" spans="2:56">
      <c r="B22" s="3">
        <v>5</v>
      </c>
      <c r="C22" s="20">
        <v>40725</v>
      </c>
      <c r="D22" s="18">
        <v>1.8661904761904699E-3</v>
      </c>
      <c r="E22" s="21">
        <f t="shared" si="2"/>
        <v>-5.4504329004300724E-6</v>
      </c>
      <c r="F22" s="22">
        <f t="shared" si="0"/>
        <v>-1.3975854881049371E-3</v>
      </c>
      <c r="G22" s="19">
        <f t="shared" si="1"/>
        <v>6.7732542316306965</v>
      </c>
      <c r="J22" s="7"/>
      <c r="K22" s="7"/>
      <c r="L22" s="7"/>
      <c r="M22" s="7"/>
      <c r="N22" s="7"/>
      <c r="O22" s="15"/>
      <c r="T22" s="10"/>
    </row>
    <row r="23" spans="2:56">
      <c r="B23" s="3">
        <v>6</v>
      </c>
      <c r="C23" s="20">
        <v>40756</v>
      </c>
      <c r="D23" s="18">
        <v>2.1116590909090898E-3</v>
      </c>
      <c r="E23" s="21">
        <f t="shared" si="2"/>
        <v>2.4546861471861996E-4</v>
      </c>
      <c r="F23" s="22">
        <f t="shared" si="0"/>
        <v>1.8719354068855276E-2</v>
      </c>
      <c r="G23" s="19">
        <f t="shared" si="1"/>
        <v>6.468124955573936</v>
      </c>
      <c r="J23" s="7"/>
      <c r="K23" s="7"/>
      <c r="L23" s="7"/>
      <c r="M23" s="7"/>
      <c r="N23" s="7"/>
      <c r="T23" s="10"/>
    </row>
    <row r="24" spans="2:56">
      <c r="B24" s="3">
        <v>7</v>
      </c>
      <c r="C24" s="20">
        <v>40787</v>
      </c>
      <c r="D24" s="18">
        <v>2.3085045454545399E-3</v>
      </c>
      <c r="E24" s="21">
        <f t="shared" si="2"/>
        <v>1.9684545454545007E-4</v>
      </c>
      <c r="F24" s="22">
        <f t="shared" si="0"/>
        <v>1.4011446301612145E-2</v>
      </c>
      <c r="G24" s="19">
        <f t="shared" si="1"/>
        <v>6.6030567533457596</v>
      </c>
      <c r="J24" s="7"/>
      <c r="K24" s="7"/>
      <c r="L24" s="7"/>
      <c r="M24" s="7"/>
      <c r="N24" s="7"/>
      <c r="T24" s="10"/>
    </row>
    <row r="25" spans="2:56">
      <c r="B25" s="3">
        <v>8</v>
      </c>
      <c r="C25" s="20">
        <v>40817</v>
      </c>
      <c r="D25" s="18">
        <v>2.4373904761904701E-3</v>
      </c>
      <c r="E25" s="21">
        <f t="shared" si="2"/>
        <v>1.2888593073593019E-4</v>
      </c>
      <c r="F25" s="22">
        <f t="shared" si="0"/>
        <v>8.5616674112489171E-3</v>
      </c>
      <c r="G25" s="19">
        <f t="shared" si="1"/>
        <v>6.7107776816022993</v>
      </c>
      <c r="J25" s="7"/>
      <c r="K25" s="7"/>
      <c r="L25" s="7"/>
      <c r="M25" s="7"/>
      <c r="N25" s="7"/>
      <c r="T25" s="10"/>
    </row>
    <row r="26" spans="2:56">
      <c r="B26" s="3">
        <v>9</v>
      </c>
      <c r="C26" s="20">
        <v>40848</v>
      </c>
      <c r="D26" s="18">
        <v>2.5364636363636298E-3</v>
      </c>
      <c r="E26" s="21">
        <f t="shared" si="2"/>
        <v>9.9073160173159761E-5</v>
      </c>
      <c r="F26" s="22">
        <f t="shared" si="0"/>
        <v>6.2790410620427017E-3</v>
      </c>
      <c r="G26" s="19">
        <f t="shared" si="1"/>
        <v>6.7404409632726088</v>
      </c>
      <c r="J26" s="7"/>
      <c r="K26" s="7"/>
      <c r="L26" s="7"/>
      <c r="M26" s="7"/>
      <c r="N26" s="7"/>
      <c r="O26" s="6"/>
      <c r="P26" s="3"/>
      <c r="Q26" s="3"/>
      <c r="R26" s="3"/>
      <c r="T26" s="10"/>
    </row>
    <row r="27" spans="2:56">
      <c r="B27" s="3">
        <v>10</v>
      </c>
      <c r="C27" s="20">
        <v>40878</v>
      </c>
      <c r="D27" s="18">
        <v>2.8360849999999999E-3</v>
      </c>
      <c r="E27" s="21">
        <f t="shared" si="2"/>
        <v>2.9962136363637006E-4</v>
      </c>
      <c r="F27" s="22">
        <f t="shared" si="0"/>
        <v>1.9978478490102636E-2</v>
      </c>
      <c r="G27" s="19">
        <f t="shared" si="1"/>
        <v>6.4254586515207492</v>
      </c>
      <c r="J27" s="7"/>
      <c r="K27" s="7"/>
      <c r="L27" s="7"/>
      <c r="M27" s="7"/>
      <c r="N27" s="7"/>
      <c r="O27" s="6"/>
      <c r="P27" s="7"/>
      <c r="Q27" s="7"/>
      <c r="R27" s="7"/>
      <c r="T27" s="10"/>
    </row>
    <row r="28" spans="2:56">
      <c r="B28" s="3">
        <v>11</v>
      </c>
      <c r="C28" s="20">
        <v>40909</v>
      </c>
      <c r="D28" s="18">
        <v>2.8289523809523799E-3</v>
      </c>
      <c r="E28" s="21">
        <f t="shared" si="2"/>
        <v>-7.1326190476199945E-6</v>
      </c>
      <c r="F28" s="22">
        <f t="shared" si="0"/>
        <v>-9.7657251253669775E-4</v>
      </c>
      <c r="G28" s="19">
        <f t="shared" si="1"/>
        <v>6.7741294871022264</v>
      </c>
      <c r="J28" s="7"/>
      <c r="K28" s="7"/>
      <c r="L28" s="7"/>
      <c r="M28" s="7"/>
      <c r="N28" s="7"/>
      <c r="O28" s="6"/>
      <c r="P28" s="7"/>
      <c r="Q28" s="7"/>
      <c r="R28" s="7"/>
      <c r="T28" s="10"/>
    </row>
    <row r="29" spans="2:56">
      <c r="B29" s="3">
        <v>12</v>
      </c>
      <c r="C29" s="20">
        <v>40940</v>
      </c>
      <c r="D29" s="18">
        <v>2.5002380952380897E-3</v>
      </c>
      <c r="E29" s="21">
        <f t="shared" si="2"/>
        <v>-3.2871428571429025E-4</v>
      </c>
      <c r="F29" s="22">
        <f t="shared" si="0"/>
        <v>-2.1924244914200568E-2</v>
      </c>
      <c r="G29" s="19">
        <f t="shared" si="1"/>
        <v>6.3540644911158735</v>
      </c>
      <c r="J29" s="7"/>
      <c r="K29" s="7"/>
      <c r="L29" s="7"/>
      <c r="T29" s="10"/>
    </row>
    <row r="30" spans="2:56">
      <c r="B30" s="3">
        <v>13</v>
      </c>
      <c r="C30" s="20">
        <v>40969</v>
      </c>
      <c r="D30" s="18">
        <v>2.4185227272727201E-3</v>
      </c>
      <c r="E30" s="21">
        <f t="shared" si="2"/>
        <v>-8.1715367965369545E-5</v>
      </c>
      <c r="F30" s="22">
        <f t="shared" si="0"/>
        <v>-6.3065644707709636E-3</v>
      </c>
      <c r="G30" s="19">
        <f t="shared" si="1"/>
        <v>6.7401376397641783</v>
      </c>
      <c r="H30" s="7"/>
      <c r="I30" s="7"/>
      <c r="J30" s="7"/>
      <c r="K30" s="7"/>
      <c r="L30" s="7"/>
      <c r="T30" s="10"/>
    </row>
    <row r="31" spans="2:56">
      <c r="B31" s="3">
        <v>14</v>
      </c>
      <c r="C31" s="20">
        <v>41000</v>
      </c>
      <c r="D31" s="18">
        <v>2.39828947368421E-3</v>
      </c>
      <c r="E31" s="21">
        <f t="shared" si="2"/>
        <v>-2.0233253588510143E-5</v>
      </c>
      <c r="F31" s="22">
        <f t="shared" si="0"/>
        <v>-2.1060658704358999E-3</v>
      </c>
      <c r="G31" s="19">
        <f t="shared" si="1"/>
        <v>6.7710806375207158</v>
      </c>
      <c r="H31" s="7"/>
      <c r="I31" s="7"/>
      <c r="J31" s="7"/>
      <c r="K31" s="7"/>
      <c r="L31" s="7"/>
      <c r="T31" s="10"/>
    </row>
    <row r="32" spans="2:56">
      <c r="B32" s="3">
        <v>15</v>
      </c>
      <c r="C32" s="20">
        <v>41030</v>
      </c>
      <c r="D32" s="18">
        <v>2.38931818181818E-3</v>
      </c>
      <c r="E32" s="21">
        <f t="shared" si="2"/>
        <v>-8.9712918660300213E-6</v>
      </c>
      <c r="F32" s="22">
        <f t="shared" si="0"/>
        <v>-1.3244249405453953E-3</v>
      </c>
      <c r="G32" s="19">
        <f t="shared" si="1"/>
        <v>6.7734286115480344</v>
      </c>
      <c r="H32" s="7"/>
      <c r="I32" s="7"/>
      <c r="J32" s="7"/>
      <c r="K32" s="7"/>
      <c r="L32" s="7"/>
      <c r="T32" s="10"/>
    </row>
    <row r="33" spans="2:20">
      <c r="B33" s="3">
        <v>16</v>
      </c>
      <c r="C33" s="20">
        <v>41061</v>
      </c>
      <c r="D33" s="18">
        <v>2.4319736842105199E-3</v>
      </c>
      <c r="E33" s="21">
        <f t="shared" si="2"/>
        <v>4.2655502392339919E-5</v>
      </c>
      <c r="F33" s="22">
        <f t="shared" si="0"/>
        <v>2.3290896238741849E-3</v>
      </c>
      <c r="G33" s="19">
        <f t="shared" si="1"/>
        <v>6.7702144943076821</v>
      </c>
      <c r="H33" s="7"/>
      <c r="I33" s="7"/>
      <c r="J33" s="7"/>
      <c r="K33" s="7"/>
      <c r="L33" s="7"/>
      <c r="M33" s="7"/>
      <c r="N33" s="7"/>
      <c r="O33" s="3"/>
      <c r="P33" s="14"/>
      <c r="Q33" s="14"/>
      <c r="R33" s="14"/>
      <c r="T33" s="10"/>
    </row>
    <row r="34" spans="2:20">
      <c r="B34" s="3">
        <v>17</v>
      </c>
      <c r="C34" s="20">
        <v>41091</v>
      </c>
      <c r="D34" s="18">
        <v>2.4646136363636302E-3</v>
      </c>
      <c r="E34" s="21">
        <f t="shared" si="2"/>
        <v>3.2639952153110368E-5</v>
      </c>
      <c r="F34" s="22">
        <f t="shared" si="0"/>
        <v>1.6178479600370609E-3</v>
      </c>
      <c r="G34" s="19">
        <f t="shared" si="1"/>
        <v>6.7726726375306638</v>
      </c>
      <c r="H34" s="7"/>
      <c r="I34" s="7"/>
      <c r="J34" s="7"/>
      <c r="K34" s="7"/>
      <c r="L34" s="7"/>
      <c r="M34" s="7"/>
      <c r="N34" s="7"/>
      <c r="O34" s="3"/>
      <c r="P34" s="14"/>
      <c r="Q34" s="14"/>
      <c r="R34" s="14"/>
      <c r="T34" s="10"/>
    </row>
    <row r="35" spans="2:20">
      <c r="B35" s="3">
        <v>18</v>
      </c>
      <c r="C35" s="20">
        <v>41122</v>
      </c>
      <c r="D35" s="18">
        <v>2.3783863636363599E-3</v>
      </c>
      <c r="E35" s="21">
        <f t="shared" si="2"/>
        <v>-8.6227272727270373E-5</v>
      </c>
      <c r="F35" s="22">
        <f t="shared" si="0"/>
        <v>-6.6774368143533887E-3</v>
      </c>
      <c r="G35" s="19">
        <f t="shared" si="1"/>
        <v>6.7359210365650011</v>
      </c>
      <c r="H35" s="7"/>
      <c r="I35" s="7"/>
      <c r="J35" s="7"/>
      <c r="K35" s="7"/>
      <c r="L35" s="7"/>
      <c r="M35" s="7"/>
      <c r="N35" s="7"/>
      <c r="O35" s="3"/>
      <c r="P35" s="14"/>
      <c r="Q35" s="14"/>
      <c r="R35" s="14"/>
      <c r="T35" s="10"/>
    </row>
    <row r="36" spans="2:20">
      <c r="B36" s="3">
        <v>19</v>
      </c>
      <c r="C36" s="20">
        <v>41153</v>
      </c>
      <c r="D36" s="18">
        <v>2.2133750000000001E-3</v>
      </c>
      <c r="E36" s="21">
        <f t="shared" si="2"/>
        <v>-1.650113636363598E-4</v>
      </c>
      <c r="F36" s="22">
        <f t="shared" si="0"/>
        <v>-1.2419719355033786E-2</v>
      </c>
      <c r="G36" s="19">
        <f t="shared" si="1"/>
        <v>6.6398963291404725</v>
      </c>
      <c r="H36" s="7"/>
      <c r="I36" s="7"/>
      <c r="J36" s="7"/>
      <c r="K36" s="7"/>
      <c r="L36" s="7"/>
      <c r="M36" s="7"/>
      <c r="N36" s="7"/>
      <c r="O36" s="3"/>
      <c r="P36" s="14"/>
      <c r="Q36" s="14"/>
      <c r="R36" s="14"/>
      <c r="T36" s="10"/>
    </row>
    <row r="37" spans="2:20">
      <c r="B37" s="3">
        <v>20</v>
      </c>
      <c r="C37" s="20">
        <v>41183</v>
      </c>
      <c r="D37" s="18">
        <v>2.1346521739130401E-3</v>
      </c>
      <c r="E37" s="21">
        <f t="shared" si="2"/>
        <v>-7.8722826086959942E-5</v>
      </c>
      <c r="F37" s="22">
        <f t="shared" si="0"/>
        <v>-6.5727515081805583E-3</v>
      </c>
      <c r="G37" s="19">
        <f t="shared" si="1"/>
        <v>6.7371356484150811</v>
      </c>
      <c r="H37" s="7"/>
      <c r="I37" s="7"/>
      <c r="J37" s="7"/>
      <c r="K37" s="7"/>
      <c r="L37" s="7"/>
      <c r="M37" s="7"/>
      <c r="N37" s="7"/>
      <c r="O37" s="3"/>
      <c r="P37" s="14"/>
      <c r="Q37" s="14"/>
      <c r="R37" s="14"/>
      <c r="T37" s="10"/>
    </row>
    <row r="38" spans="2:20">
      <c r="B38" s="3">
        <v>21</v>
      </c>
      <c r="C38" s="20">
        <v>41214</v>
      </c>
      <c r="D38" s="18">
        <v>2.08886363636363E-3</v>
      </c>
      <c r="E38" s="21">
        <f t="shared" si="2"/>
        <v>-4.5788537549410098E-5</v>
      </c>
      <c r="F38" s="22">
        <f t="shared" si="0"/>
        <v>-4.2487760490609785E-3</v>
      </c>
      <c r="G38" s="19">
        <f t="shared" si="1"/>
        <v>6.7591572977520684</v>
      </c>
      <c r="H38" s="7"/>
      <c r="I38" s="7"/>
      <c r="J38" s="7"/>
      <c r="K38" s="7"/>
      <c r="L38" s="7"/>
      <c r="M38" s="7"/>
      <c r="N38" s="7"/>
      <c r="O38" s="3"/>
      <c r="P38" s="14"/>
      <c r="Q38" s="14"/>
      <c r="R38" s="14"/>
      <c r="T38" s="10"/>
    </row>
    <row r="39" spans="2:20">
      <c r="B39" s="3">
        <v>22</v>
      </c>
      <c r="C39" s="20">
        <v>41244</v>
      </c>
      <c r="D39" s="18">
        <v>2.10926315789473E-3</v>
      </c>
      <c r="E39" s="21">
        <f t="shared" si="2"/>
        <v>2.0399521531099928E-5</v>
      </c>
      <c r="F39" s="22">
        <f t="shared" si="0"/>
        <v>7.0673865197282289E-4</v>
      </c>
      <c r="G39" s="19">
        <f t="shared" si="1"/>
        <v>6.7745272191500518</v>
      </c>
      <c r="H39" s="7"/>
      <c r="I39" s="7"/>
      <c r="J39" s="7"/>
      <c r="K39" s="7"/>
      <c r="L39" s="7"/>
      <c r="M39" s="7"/>
      <c r="N39" s="7"/>
      <c r="O39" s="3"/>
      <c r="P39" s="14"/>
      <c r="Q39" s="14"/>
      <c r="R39" s="14"/>
      <c r="T39" s="10"/>
    </row>
    <row r="40" spans="2:20">
      <c r="B40" s="3">
        <v>23</v>
      </c>
      <c r="C40" s="20">
        <v>41275</v>
      </c>
      <c r="D40" s="18">
        <v>2.0497272727272699E-3</v>
      </c>
      <c r="E40" s="21">
        <f t="shared" si="2"/>
        <v>-5.9535885167460046E-5</v>
      </c>
      <c r="F40" s="22">
        <f t="shared" si="0"/>
        <v>-5.3193749650169595E-3</v>
      </c>
      <c r="G40" s="19">
        <f t="shared" si="1"/>
        <v>6.7501874606523797</v>
      </c>
      <c r="H40" s="7"/>
      <c r="I40" s="7"/>
      <c r="J40" s="7"/>
      <c r="K40" s="7"/>
      <c r="L40" s="7"/>
      <c r="M40" s="7"/>
      <c r="N40" s="7"/>
      <c r="O40" s="3"/>
      <c r="P40" s="14"/>
      <c r="Q40" s="14"/>
      <c r="R40" s="14"/>
      <c r="T40" s="10"/>
    </row>
    <row r="41" spans="2:20">
      <c r="B41" s="3">
        <v>24</v>
      </c>
      <c r="C41" s="20">
        <v>41306</v>
      </c>
      <c r="D41" s="18">
        <v>2.013E-3</v>
      </c>
      <c r="E41" s="21">
        <f t="shared" si="2"/>
        <v>-3.6727272727269875E-5</v>
      </c>
      <c r="F41" s="22">
        <f t="shared" si="0"/>
        <v>-3.6703645144606162E-3</v>
      </c>
      <c r="G41" s="19">
        <f t="shared" si="1"/>
        <v>6.7631682245156926</v>
      </c>
      <c r="H41" s="7"/>
      <c r="I41" s="7"/>
      <c r="J41" s="7"/>
      <c r="K41" s="7"/>
      <c r="L41" s="7"/>
      <c r="M41" s="7"/>
      <c r="N41" s="7"/>
      <c r="T41" s="10"/>
    </row>
    <row r="42" spans="2:20">
      <c r="B42" s="3">
        <v>25</v>
      </c>
      <c r="C42" s="20">
        <v>41334</v>
      </c>
      <c r="D42" s="18">
        <v>2.0344999999999999E-3</v>
      </c>
      <c r="E42" s="21">
        <f t="shared" si="2"/>
        <v>2.1499999999999818E-5</v>
      </c>
      <c r="F42" s="22">
        <f t="shared" si="0"/>
        <v>7.7985875936592206E-4</v>
      </c>
      <c r="G42" s="19">
        <f t="shared" si="1"/>
        <v>6.7744320360318335</v>
      </c>
      <c r="H42" s="7"/>
      <c r="I42" s="7"/>
      <c r="J42" s="7"/>
      <c r="K42" s="7"/>
      <c r="L42" s="7"/>
      <c r="M42" s="7"/>
      <c r="N42" s="7"/>
      <c r="T42" s="10"/>
    </row>
    <row r="43" spans="2:20">
      <c r="B43" s="3">
        <v>26</v>
      </c>
      <c r="C43" s="20">
        <v>41365</v>
      </c>
      <c r="D43" s="18">
        <v>1.9953333333333299E-3</v>
      </c>
      <c r="E43" s="21">
        <f t="shared" si="2"/>
        <v>-3.9166666666669986E-5</v>
      </c>
      <c r="F43" s="22">
        <f t="shared" si="0"/>
        <v>-3.8764196748017907E-3</v>
      </c>
      <c r="G43" s="19">
        <f t="shared" si="1"/>
        <v>6.7618065441929618</v>
      </c>
      <c r="H43" s="7"/>
      <c r="I43" s="7"/>
      <c r="J43" s="7"/>
      <c r="K43" s="7"/>
      <c r="L43" s="7"/>
      <c r="M43" s="7"/>
      <c r="N43" s="7"/>
      <c r="T43" s="10"/>
    </row>
    <row r="44" spans="2:20">
      <c r="B44" s="3">
        <v>27</v>
      </c>
      <c r="C44" s="20">
        <v>41395</v>
      </c>
      <c r="D44" s="18">
        <v>1.96709523809523E-3</v>
      </c>
      <c r="E44" s="21">
        <f t="shared" si="2"/>
        <v>-2.8238095238099833E-5</v>
      </c>
      <c r="F44" s="22">
        <f t="shared" si="0"/>
        <v>-3.0797525825356025E-3</v>
      </c>
      <c r="G44" s="19">
        <f t="shared" si="1"/>
        <v>6.7666591715439512</v>
      </c>
      <c r="H44" s="7"/>
      <c r="I44" s="7"/>
      <c r="J44" s="7"/>
      <c r="K44" s="7"/>
      <c r="L44" s="7"/>
      <c r="M44" s="7"/>
      <c r="N44" s="7"/>
      <c r="T44" s="10"/>
    </row>
    <row r="45" spans="2:20">
      <c r="B45" s="3">
        <v>28</v>
      </c>
      <c r="C45" s="20">
        <v>41426</v>
      </c>
      <c r="D45" s="18">
        <v>1.9319249999999999E-3</v>
      </c>
      <c r="E45" s="21">
        <f t="shared" si="2"/>
        <v>-3.5170238095230113E-5</v>
      </c>
      <c r="F45" s="22">
        <f t="shared" si="0"/>
        <v>-3.6526419482020658E-3</v>
      </c>
      <c r="G45" s="19">
        <f t="shared" si="1"/>
        <v>6.7632818683194698</v>
      </c>
      <c r="H45" s="7"/>
      <c r="I45" s="7"/>
      <c r="J45" s="7"/>
      <c r="K45" s="7"/>
      <c r="L45" s="7"/>
      <c r="M45" s="7"/>
      <c r="N45" s="7"/>
      <c r="T45" s="10"/>
    </row>
    <row r="46" spans="2:20">
      <c r="B46" s="3">
        <v>29</v>
      </c>
      <c r="C46" s="20">
        <v>41456</v>
      </c>
      <c r="D46" s="18">
        <v>1.91119130434782E-3</v>
      </c>
      <c r="E46" s="21">
        <f t="shared" si="2"/>
        <v>-2.0733695652179951E-5</v>
      </c>
      <c r="F46" s="22">
        <f t="shared" si="0"/>
        <v>-2.5598088160039339E-3</v>
      </c>
      <c r="G46" s="19">
        <f t="shared" si="1"/>
        <v>6.7692267956278025</v>
      </c>
      <c r="H46" s="7"/>
      <c r="I46" s="7"/>
      <c r="J46" s="7"/>
      <c r="K46" s="7"/>
      <c r="L46" s="7"/>
      <c r="M46" s="7"/>
      <c r="N46" s="7"/>
      <c r="T46" s="10"/>
    </row>
    <row r="47" spans="2:20">
      <c r="B47" s="3">
        <v>30</v>
      </c>
      <c r="C47" s="20">
        <v>41487</v>
      </c>
      <c r="D47" s="18">
        <v>1.8407047619047601E-3</v>
      </c>
      <c r="E47" s="21">
        <f t="shared" si="2"/>
        <v>-7.0486542443059901E-5</v>
      </c>
      <c r="F47" s="22">
        <f t="shared" si="0"/>
        <v>-6.5230420039789757E-3</v>
      </c>
      <c r="G47" s="19">
        <f t="shared" si="1"/>
        <v>6.7377056827111321</v>
      </c>
      <c r="H47" s="7"/>
      <c r="I47" s="7"/>
      <c r="J47" s="7"/>
      <c r="K47" s="7"/>
      <c r="L47" s="7"/>
      <c r="M47" s="7"/>
      <c r="N47" s="7"/>
      <c r="T47" s="10"/>
    </row>
    <row r="48" spans="2:20">
      <c r="B48" s="3">
        <v>31</v>
      </c>
      <c r="C48" s="20">
        <v>41518</v>
      </c>
      <c r="D48" s="18">
        <v>1.80574761904761E-3</v>
      </c>
      <c r="E48" s="21">
        <f t="shared" si="2"/>
        <v>-3.4957142857150111E-5</v>
      </c>
      <c r="F48" s="22">
        <f t="shared" si="0"/>
        <v>-3.8023851590651575E-3</v>
      </c>
      <c r="G48" s="19">
        <f t="shared" si="1"/>
        <v>6.7623043473024529</v>
      </c>
      <c r="H48" s="7"/>
      <c r="I48" s="7"/>
      <c r="J48" s="7"/>
      <c r="K48" s="7"/>
      <c r="L48" s="7"/>
      <c r="M48" s="7"/>
      <c r="N48" s="7"/>
      <c r="T48" s="10"/>
    </row>
    <row r="49" spans="2:20">
      <c r="B49" s="3">
        <v>32</v>
      </c>
      <c r="C49" s="20">
        <v>41548</v>
      </c>
      <c r="D49" s="18">
        <v>1.7241521739130401E-3</v>
      </c>
      <c r="E49" s="21">
        <f t="shared" si="2"/>
        <v>-8.1595445134569891E-5</v>
      </c>
      <c r="F49" s="22">
        <f t="shared" si="0"/>
        <v>-7.6531326910150082E-3</v>
      </c>
      <c r="G49" s="19">
        <f t="shared" si="1"/>
        <v>6.7236774782247659</v>
      </c>
      <c r="H49" s="7"/>
      <c r="I49" s="7"/>
      <c r="J49" s="7"/>
      <c r="K49" s="7"/>
      <c r="L49" s="7"/>
      <c r="M49" s="7"/>
      <c r="N49" s="7"/>
      <c r="T49" s="10"/>
    </row>
    <row r="50" spans="2:20">
      <c r="B50" s="3">
        <v>33</v>
      </c>
      <c r="C50" s="20">
        <v>41579</v>
      </c>
      <c r="D50" s="18">
        <v>1.67271428571428E-3</v>
      </c>
      <c r="E50" s="21">
        <f t="shared" si="2"/>
        <v>-5.1437888198760081E-5</v>
      </c>
      <c r="F50" s="22">
        <f t="shared" si="0"/>
        <v>-5.3453008390927665E-3</v>
      </c>
      <c r="G50" s="19">
        <f t="shared" si="1"/>
        <v>6.7499453517266907</v>
      </c>
      <c r="H50" s="7"/>
      <c r="I50" s="7"/>
      <c r="J50" s="7"/>
      <c r="K50" s="7"/>
      <c r="L50" s="7"/>
      <c r="M50" s="7"/>
      <c r="N50" s="7"/>
      <c r="T50" s="10"/>
    </row>
    <row r="51" spans="2:20">
      <c r="B51" s="3">
        <v>34</v>
      </c>
      <c r="C51" s="20">
        <v>41609</v>
      </c>
      <c r="D51" s="18">
        <v>1.6722999999999998E-3</v>
      </c>
      <c r="E51" s="21">
        <f t="shared" si="2"/>
        <v>-4.142857142801562E-7</v>
      </c>
      <c r="F51" s="22">
        <f t="shared" ref="F51:F82" si="3">(E51-(k*(theta-D50)*dt))/(SQRT(D50*dt))</f>
        <v>-1.1238287627251557E-3</v>
      </c>
      <c r="G51" s="19">
        <f t="shared" ref="G51:G82" si="4">-(LN(vol^2)+(F51/vol)^2)</f>
        <v>6.773858651504522</v>
      </c>
      <c r="H51" s="7"/>
      <c r="I51" s="7"/>
      <c r="J51" s="7"/>
      <c r="K51" s="7"/>
      <c r="L51" s="7"/>
      <c r="M51" s="7"/>
      <c r="N51" s="7"/>
      <c r="T51" s="10"/>
    </row>
    <row r="52" spans="2:20">
      <c r="B52" s="3">
        <v>35</v>
      </c>
      <c r="C52" s="20">
        <v>41640</v>
      </c>
      <c r="D52" s="18">
        <v>1.5970909090909E-3</v>
      </c>
      <c r="E52" s="21">
        <f t="shared" si="2"/>
        <v>-7.5209090909099819E-5</v>
      </c>
      <c r="F52" s="22">
        <f t="shared" si="3"/>
        <v>-7.4599691100658101E-3</v>
      </c>
      <c r="G52" s="19">
        <f t="shared" si="4"/>
        <v>6.7262337592193902</v>
      </c>
      <c r="H52" s="7"/>
      <c r="I52" s="7"/>
      <c r="J52" s="7"/>
      <c r="K52" s="7"/>
      <c r="L52" s="7"/>
      <c r="M52" s="7"/>
      <c r="N52" s="7"/>
      <c r="T52" s="10"/>
    </row>
    <row r="53" spans="2:20">
      <c r="B53" s="3">
        <v>36</v>
      </c>
      <c r="C53" s="20">
        <v>41671</v>
      </c>
      <c r="D53" s="18">
        <v>1.55105E-3</v>
      </c>
      <c r="E53" s="21">
        <f t="shared" si="2"/>
        <v>-4.6040909090900011E-5</v>
      </c>
      <c r="F53" s="22">
        <f t="shared" si="3"/>
        <v>-5.1331308326447046E-3</v>
      </c>
      <c r="G53" s="19">
        <f t="shared" si="4"/>
        <v>6.7518921009532455</v>
      </c>
      <c r="H53" s="7"/>
      <c r="I53" s="7"/>
      <c r="J53" s="7"/>
      <c r="K53" s="7"/>
      <c r="L53" s="7"/>
      <c r="M53" s="7"/>
      <c r="N53" s="7"/>
      <c r="T53" s="10"/>
    </row>
    <row r="54" spans="2:20">
      <c r="B54" s="3">
        <v>37</v>
      </c>
      <c r="C54" s="20">
        <v>41699</v>
      </c>
      <c r="D54" s="18">
        <v>1.54883333333333E-3</v>
      </c>
      <c r="E54" s="21">
        <f t="shared" si="2"/>
        <v>-2.2166666666699822E-6</v>
      </c>
      <c r="F54" s="22">
        <f t="shared" si="3"/>
        <v>-1.3713580685763295E-3</v>
      </c>
      <c r="G54" s="19">
        <f t="shared" si="4"/>
        <v>6.7733178231793669</v>
      </c>
      <c r="H54" s="7"/>
      <c r="I54" s="7"/>
      <c r="J54" s="7"/>
      <c r="K54" s="7"/>
      <c r="L54" s="7"/>
      <c r="M54" s="7"/>
      <c r="N54" s="7"/>
      <c r="T54" s="10"/>
    </row>
    <row r="55" spans="2:20">
      <c r="B55" s="3">
        <v>38</v>
      </c>
      <c r="C55" s="20">
        <v>41730</v>
      </c>
      <c r="D55" s="18">
        <v>1.5170000000000001E-3</v>
      </c>
      <c r="E55" s="21">
        <f t="shared" si="2"/>
        <v>-3.1833333333329897E-5</v>
      </c>
      <c r="F55" s="22">
        <f t="shared" si="3"/>
        <v>-3.9800737029876115E-3</v>
      </c>
      <c r="G55" s="19">
        <f t="shared" si="4"/>
        <v>6.7610934536637366</v>
      </c>
      <c r="H55" s="7"/>
      <c r="I55" s="7"/>
      <c r="J55" s="7"/>
      <c r="K55" s="7"/>
      <c r="L55" s="7"/>
      <c r="M55" s="7"/>
      <c r="N55" s="7"/>
      <c r="T55" s="10"/>
    </row>
    <row r="56" spans="2:20">
      <c r="B56" s="3">
        <v>39</v>
      </c>
      <c r="C56" s="20">
        <v>41760</v>
      </c>
      <c r="D56" s="18">
        <v>1.5035750000000001E-3</v>
      </c>
      <c r="E56" s="21">
        <f t="shared" si="2"/>
        <v>-1.3425000000000069E-5</v>
      </c>
      <c r="F56" s="22">
        <f t="shared" si="3"/>
        <v>-2.3964808507045444E-3</v>
      </c>
      <c r="G56" s="19">
        <f t="shared" si="4"/>
        <v>6.7699356335889016</v>
      </c>
      <c r="H56" s="7"/>
      <c r="I56" s="7"/>
      <c r="J56" s="7"/>
      <c r="K56" s="7"/>
      <c r="L56" s="7"/>
      <c r="M56" s="7"/>
      <c r="N56" s="7"/>
      <c r="T56" s="10"/>
    </row>
    <row r="57" spans="2:20">
      <c r="B57" s="3">
        <v>40</v>
      </c>
      <c r="C57" s="20">
        <v>41791</v>
      </c>
      <c r="D57" s="18">
        <v>1.5237380952380899E-3</v>
      </c>
      <c r="E57" s="21">
        <f t="shared" si="2"/>
        <v>2.0163095238089892E-5</v>
      </c>
      <c r="F57" s="22">
        <f t="shared" si="3"/>
        <v>5.8835375155137063E-4</v>
      </c>
      <c r="G57" s="19">
        <f t="shared" si="4"/>
        <v>6.7746614730173089</v>
      </c>
      <c r="H57" s="7"/>
      <c r="I57" s="7"/>
      <c r="J57" s="7"/>
      <c r="K57" s="7"/>
      <c r="L57" s="7"/>
      <c r="M57" s="7"/>
      <c r="N57" s="7"/>
      <c r="T57" s="10"/>
    </row>
    <row r="58" spans="2:20">
      <c r="B58" s="3">
        <v>41</v>
      </c>
      <c r="C58" s="20">
        <v>41821</v>
      </c>
      <c r="D58" s="18">
        <v>1.54386956521739E-3</v>
      </c>
      <c r="E58" s="21">
        <f t="shared" si="2"/>
        <v>2.0131469979300107E-5</v>
      </c>
      <c r="F58" s="22">
        <f t="shared" si="3"/>
        <v>5.8929120833812305E-4</v>
      </c>
      <c r="G58" s="19">
        <f t="shared" si="4"/>
        <v>6.7746605063091794</v>
      </c>
      <c r="H58" s="7"/>
      <c r="I58" s="7"/>
      <c r="J58" s="7"/>
      <c r="K58" s="7"/>
      <c r="L58" s="7"/>
      <c r="M58" s="7"/>
      <c r="N58" s="7"/>
      <c r="T58" s="10"/>
    </row>
    <row r="59" spans="2:20">
      <c r="B59" s="3">
        <v>42</v>
      </c>
      <c r="C59" s="20">
        <v>41852</v>
      </c>
      <c r="D59" s="18">
        <v>1.5601999999999999E-3</v>
      </c>
      <c r="E59" s="21">
        <f t="shared" si="2"/>
        <v>1.6330434782609819E-5</v>
      </c>
      <c r="F59" s="22">
        <f t="shared" si="3"/>
        <v>2.5791440297205669E-4</v>
      </c>
      <c r="G59" s="19">
        <f t="shared" si="4"/>
        <v>6.774906339583608</v>
      </c>
      <c r="H59" s="7"/>
      <c r="I59" s="7"/>
      <c r="J59" s="7"/>
      <c r="K59" s="7"/>
      <c r="L59" s="7"/>
      <c r="M59" s="7"/>
      <c r="N59" s="7"/>
      <c r="T59" s="10"/>
    </row>
    <row r="60" spans="2:20">
      <c r="B60" s="3">
        <v>43</v>
      </c>
      <c r="C60" s="20">
        <v>41883</v>
      </c>
      <c r="D60" s="18">
        <v>1.5410454545454499E-3</v>
      </c>
      <c r="E60" s="21">
        <f t="shared" si="2"/>
        <v>-1.9154545454549976E-5</v>
      </c>
      <c r="F60" s="22">
        <f t="shared" si="3"/>
        <v>-2.8493553024211541E-3</v>
      </c>
      <c r="G60" s="19">
        <f t="shared" si="4"/>
        <v>6.7678553512665944</v>
      </c>
      <c r="H60" s="7"/>
      <c r="I60" s="7"/>
      <c r="J60" s="7"/>
      <c r="K60" s="7"/>
      <c r="L60" s="7"/>
      <c r="M60" s="7"/>
      <c r="N60" s="7"/>
      <c r="T60" s="10"/>
    </row>
    <row r="61" spans="2:20">
      <c r="B61" s="3">
        <v>44</v>
      </c>
      <c r="C61" s="20">
        <v>41913</v>
      </c>
      <c r="D61" s="18">
        <v>1.53517391304347E-3</v>
      </c>
      <c r="E61" s="21">
        <f t="shared" si="2"/>
        <v>-5.8715415019799325E-6</v>
      </c>
      <c r="F61" s="22">
        <f t="shared" si="3"/>
        <v>-1.7020956631812769E-3</v>
      </c>
      <c r="G61" s="19">
        <f t="shared" si="4"/>
        <v>6.7724277207659664</v>
      </c>
      <c r="H61" s="7"/>
      <c r="I61" s="7"/>
      <c r="J61" s="7"/>
      <c r="K61" s="7"/>
      <c r="L61" s="7"/>
      <c r="M61" s="7"/>
      <c r="N61" s="7"/>
      <c r="T61" s="10"/>
    </row>
    <row r="62" spans="2:20">
      <c r="B62" s="3">
        <v>45</v>
      </c>
      <c r="C62" s="20">
        <v>41944</v>
      </c>
      <c r="D62" s="18">
        <v>1.5480749999999999E-3</v>
      </c>
      <c r="E62" s="21">
        <f t="shared" si="2"/>
        <v>1.2901086956529926E-5</v>
      </c>
      <c r="F62" s="22">
        <f t="shared" si="3"/>
        <v>-4.7838848273230641E-5</v>
      </c>
      <c r="G62" s="19">
        <f t="shared" si="4"/>
        <v>6.7749625836015701</v>
      </c>
      <c r="H62" s="7"/>
      <c r="I62" s="7"/>
      <c r="J62" s="7"/>
      <c r="K62" s="7"/>
      <c r="L62" s="7"/>
      <c r="M62" s="7"/>
      <c r="N62" s="7"/>
      <c r="T62" s="10"/>
    </row>
    <row r="63" spans="2:20">
      <c r="B63" s="3">
        <v>46</v>
      </c>
      <c r="C63" s="20">
        <v>41974</v>
      </c>
      <c r="D63" s="18">
        <v>1.6305E-3</v>
      </c>
      <c r="E63" s="21">
        <f t="shared" si="2"/>
        <v>8.242500000000012E-5</v>
      </c>
      <c r="F63" s="22">
        <f t="shared" si="3"/>
        <v>6.0783077753018642E-3</v>
      </c>
      <c r="G63" s="19">
        <f t="shared" si="4"/>
        <v>6.7426130363756807</v>
      </c>
      <c r="H63" s="7"/>
      <c r="I63" s="7"/>
      <c r="J63" s="7"/>
      <c r="K63" s="7"/>
      <c r="L63" s="7"/>
      <c r="M63" s="7"/>
      <c r="N63" s="7"/>
      <c r="T63" s="10"/>
    </row>
    <row r="64" spans="2:20">
      <c r="B64" s="3">
        <v>47</v>
      </c>
      <c r="C64" s="20">
        <v>42005</v>
      </c>
      <c r="D64" s="18">
        <v>1.68078571428571E-3</v>
      </c>
      <c r="E64" s="21">
        <f t="shared" si="2"/>
        <v>5.0285714285709963E-5</v>
      </c>
      <c r="F64" s="22">
        <f t="shared" si="3"/>
        <v>3.1957219661846543E-3</v>
      </c>
      <c r="G64" s="19">
        <f t="shared" si="4"/>
        <v>6.7660219071451282</v>
      </c>
      <c r="H64" s="7"/>
      <c r="I64" s="7"/>
      <c r="J64" s="7"/>
      <c r="K64" s="7"/>
      <c r="L64" s="7"/>
      <c r="M64" s="7"/>
      <c r="N64" s="7"/>
      <c r="T64" s="10"/>
    </row>
    <row r="65" spans="2:20">
      <c r="B65" s="3">
        <v>48</v>
      </c>
      <c r="C65" s="20">
        <v>42036</v>
      </c>
      <c r="D65" s="18">
        <v>1.7207500000000001E-3</v>
      </c>
      <c r="E65" s="21">
        <f t="shared" si="2"/>
        <v>3.9964285714290089E-5</v>
      </c>
      <c r="F65" s="22">
        <f t="shared" si="3"/>
        <v>2.2936029572885076E-3</v>
      </c>
      <c r="G65" s="19">
        <f t="shared" si="4"/>
        <v>6.7703581391227372</v>
      </c>
      <c r="H65" s="7"/>
      <c r="I65" s="7"/>
      <c r="J65" s="7"/>
      <c r="K65" s="7"/>
      <c r="L65" s="7"/>
      <c r="M65" s="7"/>
      <c r="N65" s="7"/>
      <c r="T65" s="10"/>
    </row>
    <row r="66" spans="2:20">
      <c r="B66" s="3">
        <v>49</v>
      </c>
      <c r="C66" s="20">
        <v>42064</v>
      </c>
      <c r="D66" s="18">
        <v>1.756E-3</v>
      </c>
      <c r="E66" s="21">
        <f t="shared" si="2"/>
        <v>3.5249999999999908E-5</v>
      </c>
      <c r="F66" s="22">
        <f t="shared" si="3"/>
        <v>1.8873959647210746E-3</v>
      </c>
      <c r="G66" s="19">
        <f t="shared" si="4"/>
        <v>6.7718452973780892</v>
      </c>
      <c r="H66" s="7"/>
      <c r="I66" s="7"/>
      <c r="J66" s="7"/>
      <c r="K66" s="7"/>
      <c r="L66" s="7"/>
      <c r="M66" s="7"/>
      <c r="N66" s="7"/>
      <c r="T66" s="10"/>
    </row>
    <row r="67" spans="2:20">
      <c r="B67" s="3">
        <v>50</v>
      </c>
      <c r="C67" s="20">
        <v>42095</v>
      </c>
      <c r="D67" s="18">
        <v>1.8076749999999999E-3</v>
      </c>
      <c r="E67" s="21">
        <f t="shared" si="2"/>
        <v>5.1674999999999941E-5</v>
      </c>
      <c r="F67" s="22">
        <f t="shared" si="3"/>
        <v>3.2386073906071192E-3</v>
      </c>
      <c r="G67" s="19">
        <f t="shared" si="4"/>
        <v>6.7657802816619332</v>
      </c>
      <c r="H67" s="7"/>
      <c r="I67" s="7"/>
      <c r="J67" s="7"/>
      <c r="K67" s="7"/>
      <c r="L67" s="7"/>
      <c r="M67" s="7"/>
      <c r="N67" s="7"/>
      <c r="T67" s="10"/>
    </row>
    <row r="68" spans="2:20">
      <c r="B68" s="3">
        <v>51</v>
      </c>
      <c r="C68" s="20">
        <v>42125</v>
      </c>
      <c r="D68" s="18">
        <v>1.8422894736842099E-3</v>
      </c>
      <c r="E68" s="21">
        <f t="shared" si="2"/>
        <v>3.4614473684209997E-5</v>
      </c>
      <c r="F68" s="22">
        <f t="shared" si="3"/>
        <v>1.8199553574584581E-3</v>
      </c>
      <c r="G68" s="19">
        <f t="shared" si="4"/>
        <v>6.7720642322548157</v>
      </c>
      <c r="H68" s="7"/>
      <c r="I68" s="7"/>
      <c r="J68" s="7"/>
      <c r="K68" s="7"/>
      <c r="L68" s="7"/>
      <c r="M68" s="7"/>
      <c r="N68" s="7"/>
      <c r="T68" s="10"/>
    </row>
    <row r="69" spans="2:20">
      <c r="B69" s="3">
        <v>52</v>
      </c>
      <c r="C69" s="20">
        <v>42156</v>
      </c>
      <c r="D69" s="18">
        <v>1.8588409090909001E-3</v>
      </c>
      <c r="E69" s="21">
        <f t="shared" si="2"/>
        <v>1.6551435406690152E-5</v>
      </c>
      <c r="F69" s="22">
        <f t="shared" si="3"/>
        <v>3.5690480642379142E-4</v>
      </c>
      <c r="G69" s="19">
        <f t="shared" si="4"/>
        <v>6.7748530465726367</v>
      </c>
      <c r="H69" s="7"/>
      <c r="I69" s="7"/>
      <c r="J69" s="7"/>
      <c r="K69" s="7"/>
      <c r="L69" s="7"/>
      <c r="M69" s="7"/>
      <c r="N69" s="7"/>
      <c r="T69" s="10"/>
    </row>
    <row r="70" spans="2:20">
      <c r="B70" s="3">
        <v>53</v>
      </c>
      <c r="C70" s="20">
        <v>42186</v>
      </c>
      <c r="D70" s="18">
        <v>1.8815869565217301E-3</v>
      </c>
      <c r="E70" s="21">
        <f t="shared" si="2"/>
        <v>2.2746047430830018E-5</v>
      </c>
      <c r="F70" s="22">
        <f t="shared" si="3"/>
        <v>8.5871593781738161E-4</v>
      </c>
      <c r="G70" s="19">
        <f t="shared" si="4"/>
        <v>6.7743188905507292</v>
      </c>
      <c r="H70" s="7"/>
      <c r="I70" s="7"/>
      <c r="J70" s="7"/>
      <c r="K70" s="7"/>
      <c r="L70" s="7"/>
      <c r="M70" s="7"/>
      <c r="N70" s="7"/>
      <c r="T70" s="10"/>
    </row>
    <row r="71" spans="2:20">
      <c r="B71" s="3">
        <v>54</v>
      </c>
      <c r="C71" s="20">
        <v>42217</v>
      </c>
      <c r="D71" s="18">
        <v>1.9672750000000001E-3</v>
      </c>
      <c r="E71" s="21">
        <f t="shared" si="2"/>
        <v>8.5688043478270026E-5</v>
      </c>
      <c r="F71" s="22">
        <f t="shared" si="3"/>
        <v>5.8878137414724377E-3</v>
      </c>
      <c r="G71" s="19">
        <f t="shared" si="4"/>
        <v>6.7446090546938562</v>
      </c>
      <c r="H71" s="7"/>
      <c r="I71" s="7"/>
      <c r="J71" s="7"/>
      <c r="K71" s="7"/>
      <c r="L71" s="7"/>
      <c r="M71" s="7"/>
      <c r="N71" s="7"/>
      <c r="T71" s="10"/>
    </row>
    <row r="72" spans="2:20">
      <c r="B72" s="3">
        <v>55</v>
      </c>
      <c r="C72" s="20">
        <v>42248</v>
      </c>
      <c r="D72" s="18">
        <v>2.01077272727272E-3</v>
      </c>
      <c r="E72" s="21">
        <f t="shared" si="2"/>
        <v>4.3497727272719892E-5</v>
      </c>
      <c r="F72" s="22">
        <f t="shared" si="3"/>
        <v>2.4916528290803278E-3</v>
      </c>
      <c r="G72" s="19">
        <f t="shared" si="4"/>
        <v>6.7695282702823638</v>
      </c>
      <c r="H72" s="7"/>
      <c r="I72" s="7"/>
      <c r="J72" s="7"/>
      <c r="K72" s="7"/>
      <c r="L72" s="7"/>
      <c r="M72" s="7"/>
      <c r="N72" s="7"/>
      <c r="T72" s="10"/>
    </row>
    <row r="73" spans="2:20">
      <c r="B73" s="3">
        <v>56</v>
      </c>
      <c r="C73" s="20">
        <v>42278</v>
      </c>
      <c r="D73" s="18">
        <v>1.94511363636363E-3</v>
      </c>
      <c r="E73" s="21">
        <f t="shared" si="2"/>
        <v>-6.5659090909089965E-5</v>
      </c>
      <c r="F73" s="22">
        <f t="shared" si="3"/>
        <v>-5.953649793253005E-3</v>
      </c>
      <c r="G73" s="19">
        <f t="shared" si="4"/>
        <v>6.7439264034348323</v>
      </c>
      <c r="H73" s="7"/>
      <c r="I73" s="7"/>
      <c r="J73" s="7"/>
      <c r="K73" s="7"/>
      <c r="L73" s="7"/>
      <c r="M73" s="7"/>
      <c r="N73" s="7"/>
      <c r="T73" s="10"/>
    </row>
    <row r="74" spans="2:20">
      <c r="B74" s="3">
        <v>57</v>
      </c>
      <c r="C74" s="20">
        <v>42309</v>
      </c>
      <c r="D74" s="18">
        <v>2.08447619047619E-3</v>
      </c>
      <c r="E74" s="21">
        <f t="shared" si="2"/>
        <v>1.3936255411255995E-4</v>
      </c>
      <c r="F74" s="22">
        <f t="shared" si="3"/>
        <v>1.0028060886903653E-2</v>
      </c>
      <c r="G74" s="19">
        <f t="shared" si="4"/>
        <v>6.6869076333206801</v>
      </c>
      <c r="H74" s="7"/>
      <c r="I74" s="7"/>
      <c r="J74" s="7"/>
      <c r="K74" s="7"/>
      <c r="L74" s="7"/>
      <c r="M74" s="7"/>
      <c r="N74" s="7"/>
      <c r="T74" s="10"/>
    </row>
    <row r="75" spans="2:20">
      <c r="B75" s="3">
        <v>58</v>
      </c>
      <c r="C75" s="20">
        <v>42339</v>
      </c>
      <c r="D75" s="18">
        <v>3.5230714285714197E-3</v>
      </c>
      <c r="E75" s="21">
        <f t="shared" si="2"/>
        <v>1.4385952380952297E-3</v>
      </c>
      <c r="F75" s="22">
        <f t="shared" si="3"/>
        <v>0.10831003586173285</v>
      </c>
      <c r="G75" s="19">
        <f t="shared" si="4"/>
        <v>-3.4973221753360129</v>
      </c>
      <c r="H75" s="7"/>
      <c r="I75" s="7"/>
      <c r="J75" s="7"/>
      <c r="K75" s="7"/>
      <c r="L75" s="7"/>
      <c r="M75" s="7"/>
      <c r="N75" s="7"/>
      <c r="T75" s="10"/>
    </row>
    <row r="76" spans="2:20">
      <c r="B76" s="3">
        <v>59</v>
      </c>
      <c r="C76" s="20">
        <v>42370</v>
      </c>
      <c r="D76" s="18">
        <v>4.2544999999999996E-3</v>
      </c>
      <c r="E76" s="21">
        <f t="shared" si="2"/>
        <v>7.3142857142857991E-4</v>
      </c>
      <c r="F76" s="22">
        <f t="shared" si="3"/>
        <v>4.2399088625236156E-2</v>
      </c>
      <c r="G76" s="19">
        <f t="shared" si="4"/>
        <v>5.2008266767004532</v>
      </c>
      <c r="H76" s="7"/>
      <c r="I76" s="7"/>
      <c r="J76" s="7"/>
      <c r="K76" s="7"/>
      <c r="L76" s="7"/>
      <c r="M76" s="7"/>
      <c r="N76" s="7"/>
      <c r="T76" s="10"/>
    </row>
    <row r="77" spans="2:20">
      <c r="B77" s="3">
        <v>60</v>
      </c>
      <c r="C77" s="20">
        <v>42401</v>
      </c>
      <c r="D77" s="18">
        <v>4.31297619047619E-3</v>
      </c>
      <c r="E77" s="21">
        <f t="shared" si="2"/>
        <v>5.847619047619039E-5</v>
      </c>
      <c r="F77" s="22">
        <f t="shared" si="3"/>
        <v>3.0091190603326401E-3</v>
      </c>
      <c r="G77" s="19">
        <f t="shared" si="4"/>
        <v>6.767035769030965</v>
      </c>
      <c r="H77" s="7"/>
      <c r="I77" s="7"/>
      <c r="J77" s="7"/>
      <c r="K77" s="7"/>
      <c r="L77" s="7"/>
      <c r="M77" s="7"/>
      <c r="N77" s="7"/>
      <c r="T77" s="10"/>
    </row>
    <row r="78" spans="2:20">
      <c r="B78" s="3">
        <v>61</v>
      </c>
      <c r="C78" s="20">
        <v>42430</v>
      </c>
      <c r="D78" s="18">
        <v>4.3639523809523798E-3</v>
      </c>
      <c r="E78" s="21">
        <f t="shared" si="2"/>
        <v>5.0976190476189828E-5</v>
      </c>
      <c r="F78" s="22">
        <f t="shared" si="3"/>
        <v>2.6062304673719161E-3</v>
      </c>
      <c r="G78" s="19">
        <f t="shared" si="4"/>
        <v>6.7690168010769298</v>
      </c>
      <c r="H78" s="7"/>
      <c r="I78" s="7"/>
      <c r="J78" s="7"/>
      <c r="K78" s="7"/>
      <c r="L78" s="7"/>
      <c r="M78" s="7"/>
      <c r="N78" s="7"/>
      <c r="T78" s="10"/>
    </row>
    <row r="79" spans="2:20">
      <c r="B79" s="3">
        <v>62</v>
      </c>
      <c r="C79" s="20">
        <v>42461</v>
      </c>
      <c r="D79" s="18">
        <v>4.3739761904761894E-3</v>
      </c>
      <c r="E79" s="21">
        <f t="shared" si="2"/>
        <v>1.0023809523809595E-5</v>
      </c>
      <c r="F79" s="22">
        <f t="shared" si="3"/>
        <v>4.5490856302578291E-4</v>
      </c>
      <c r="G79" s="19">
        <f t="shared" si="4"/>
        <v>6.7747833793242451</v>
      </c>
      <c r="H79" s="7"/>
      <c r="I79" s="7"/>
      <c r="J79" s="7"/>
      <c r="K79" s="7"/>
      <c r="L79" s="7"/>
      <c r="M79" s="7"/>
      <c r="N79" s="7"/>
      <c r="T79" s="10"/>
    </row>
    <row r="80" spans="2:20">
      <c r="B80" s="3">
        <v>63</v>
      </c>
      <c r="C80" s="20">
        <v>42491</v>
      </c>
      <c r="D80" s="18">
        <v>4.4226500000000002E-3</v>
      </c>
      <c r="E80" s="21">
        <f t="shared" si="2"/>
        <v>4.8673809523810778E-5</v>
      </c>
      <c r="F80" s="22">
        <f t="shared" si="3"/>
        <v>2.4810576306856201E-3</v>
      </c>
      <c r="G80" s="19">
        <f t="shared" si="4"/>
        <v>6.769574405439224</v>
      </c>
      <c r="H80" s="7"/>
      <c r="I80" s="7"/>
      <c r="J80" s="7"/>
      <c r="K80" s="7"/>
      <c r="L80" s="7"/>
      <c r="M80" s="7"/>
      <c r="N80" s="7"/>
      <c r="T80" s="10"/>
    </row>
    <row r="81" spans="2:20">
      <c r="B81" s="3">
        <v>64</v>
      </c>
      <c r="C81" s="20">
        <v>42522</v>
      </c>
      <c r="D81" s="18">
        <v>4.5270909090908999E-3</v>
      </c>
      <c r="E81" s="21">
        <f t="shared" si="2"/>
        <v>1.044409090908997E-4</v>
      </c>
      <c r="F81" s="22">
        <f t="shared" si="3"/>
        <v>5.3830809276057068E-3</v>
      </c>
      <c r="G81" s="19">
        <f t="shared" si="4"/>
        <v>6.7495904346253468</v>
      </c>
      <c r="H81" s="7"/>
      <c r="I81" s="7"/>
      <c r="J81" s="7"/>
      <c r="K81" s="7"/>
      <c r="L81" s="7"/>
      <c r="M81" s="7"/>
      <c r="N81" s="7"/>
      <c r="T81" s="10"/>
    </row>
    <row r="82" spans="2:20">
      <c r="B82" s="3">
        <v>65</v>
      </c>
      <c r="C82" s="20">
        <v>42552</v>
      </c>
      <c r="D82" s="18">
        <v>4.8288333333333299E-3</v>
      </c>
      <c r="E82" s="21">
        <f t="shared" si="2"/>
        <v>3.0174242424243006E-4</v>
      </c>
      <c r="F82" s="22">
        <f t="shared" si="3"/>
        <v>1.5501687782921898E-2</v>
      </c>
      <c r="G82" s="19">
        <f t="shared" si="4"/>
        <v>6.5645442530779752</v>
      </c>
      <c r="H82" s="7"/>
      <c r="I82" s="7"/>
      <c r="J82" s="7"/>
      <c r="K82" s="7"/>
      <c r="L82" s="7"/>
      <c r="M82" s="7"/>
      <c r="N82" s="7"/>
      <c r="T82" s="10"/>
    </row>
    <row r="83" spans="2:20">
      <c r="B83" s="3">
        <v>66</v>
      </c>
      <c r="C83" s="20">
        <v>42583</v>
      </c>
      <c r="D83" s="18">
        <v>5.1224181818181804E-3</v>
      </c>
      <c r="E83" s="21">
        <f t="shared" si="2"/>
        <v>2.9358484848485047E-4</v>
      </c>
      <c r="F83" s="22">
        <f t="shared" ref="F83:F114" si="5">(E83-(k*(theta-D82)*dt))/(SQRT(D82*dt))</f>
        <v>1.4667191150395716E-2</v>
      </c>
      <c r="G83" s="19">
        <f t="shared" ref="G83:G114" si="6">-(LN(vol^2)+(F83/vol)^2)</f>
        <v>6.5865894253102102</v>
      </c>
      <c r="H83" s="7"/>
      <c r="I83" s="7"/>
      <c r="J83" s="7"/>
      <c r="K83" s="7"/>
      <c r="L83" s="7"/>
      <c r="M83" s="7"/>
      <c r="N83" s="7"/>
    </row>
    <row r="84" spans="2:20">
      <c r="B84" s="3">
        <v>67</v>
      </c>
      <c r="C84" s="20">
        <v>42614</v>
      </c>
      <c r="D84" s="18">
        <v>5.2700181818181799E-3</v>
      </c>
      <c r="E84" s="21">
        <f t="shared" ref="E84:E137" si="7">D84-D83</f>
        <v>1.4759999999999947E-4</v>
      </c>
      <c r="F84" s="22">
        <f t="shared" si="5"/>
        <v>7.2356301417041769E-3</v>
      </c>
      <c r="G84" s="19">
        <f t="shared" si="6"/>
        <v>6.7291205928374858</v>
      </c>
      <c r="H84" s="7"/>
      <c r="I84" s="7"/>
      <c r="J84" s="7"/>
      <c r="K84" s="7"/>
      <c r="L84" s="7"/>
      <c r="M84" s="7"/>
      <c r="N84" s="7"/>
    </row>
    <row r="85" spans="2:20">
      <c r="B85" s="3">
        <v>68</v>
      </c>
      <c r="C85" s="20">
        <v>42644</v>
      </c>
      <c r="D85" s="18">
        <v>5.3077952380952299E-3</v>
      </c>
      <c r="E85" s="21">
        <f t="shared" si="7"/>
        <v>3.7777056277049983E-5</v>
      </c>
      <c r="F85" s="22">
        <f t="shared" si="5"/>
        <v>1.923136025419178E-3</v>
      </c>
      <c r="G85" s="19">
        <f t="shared" si="6"/>
        <v>6.7717260440156428</v>
      </c>
      <c r="H85" s="7"/>
      <c r="I85" s="7"/>
      <c r="J85" s="7"/>
      <c r="K85" s="7"/>
      <c r="L85" s="7"/>
      <c r="M85" s="7"/>
      <c r="N85" s="7"/>
    </row>
    <row r="86" spans="2:20">
      <c r="B86" s="3">
        <v>69</v>
      </c>
      <c r="C86" s="20">
        <v>42675</v>
      </c>
      <c r="D86" s="18">
        <v>5.6310909090908998E-3</v>
      </c>
      <c r="E86" s="21">
        <f t="shared" si="7"/>
        <v>3.2329567099566997E-4</v>
      </c>
      <c r="F86" s="22">
        <f t="shared" si="5"/>
        <v>1.5499838579808113E-2</v>
      </c>
      <c r="G86" s="19">
        <f t="shared" si="6"/>
        <v>6.5645944523510673</v>
      </c>
      <c r="H86" s="7"/>
      <c r="I86" s="7"/>
      <c r="J86" s="7"/>
      <c r="K86" s="7"/>
      <c r="L86" s="7"/>
      <c r="M86" s="7"/>
      <c r="N86" s="7"/>
      <c r="T86" s="10"/>
    </row>
    <row r="87" spans="2:20">
      <c r="B87" s="3">
        <v>70</v>
      </c>
      <c r="C87" s="20">
        <v>42705</v>
      </c>
      <c r="D87" s="18">
        <v>7.1195850000000003E-3</v>
      </c>
      <c r="E87" s="21">
        <f t="shared" si="7"/>
        <v>1.4884940909091005E-3</v>
      </c>
      <c r="F87" s="22">
        <f t="shared" si="5"/>
        <v>6.890121794970569E-2</v>
      </c>
      <c r="G87" s="19">
        <f t="shared" si="6"/>
        <v>2.6179310022378361</v>
      </c>
      <c r="H87" s="7"/>
      <c r="I87" s="7"/>
      <c r="J87" s="7"/>
      <c r="K87" s="7"/>
      <c r="L87" s="7"/>
      <c r="M87" s="7"/>
      <c r="N87" s="7"/>
      <c r="T87" s="10"/>
    </row>
    <row r="88" spans="2:20">
      <c r="B88" s="3">
        <v>71</v>
      </c>
      <c r="C88" s="20">
        <v>42736</v>
      </c>
      <c r="D88" s="18">
        <v>7.7137476190476091E-3</v>
      </c>
      <c r="E88" s="21">
        <f t="shared" si="7"/>
        <v>5.9416261904760882E-4</v>
      </c>
      <c r="F88" s="22">
        <f t="shared" si="5"/>
        <v>2.4821473913260783E-2</v>
      </c>
      <c r="G88" s="19">
        <f t="shared" si="6"/>
        <v>6.2354727619543642</v>
      </c>
      <c r="H88" s="7"/>
      <c r="I88" s="7"/>
      <c r="J88" s="7"/>
      <c r="K88" s="7"/>
      <c r="L88" s="7"/>
      <c r="M88" s="7"/>
      <c r="N88" s="7"/>
      <c r="T88" s="10"/>
    </row>
    <row r="89" spans="2:20">
      <c r="B89" s="3">
        <v>72</v>
      </c>
      <c r="C89" s="20">
        <v>42767</v>
      </c>
      <c r="D89" s="18">
        <v>7.767085E-3</v>
      </c>
      <c r="E89" s="21">
        <f t="shared" si="7"/>
        <v>5.3337380952390816E-5</v>
      </c>
      <c r="F89" s="22">
        <f t="shared" si="5"/>
        <v>2.6153740327750532E-3</v>
      </c>
      <c r="G89" s="19">
        <f t="shared" si="6"/>
        <v>6.7689749940499055</v>
      </c>
      <c r="H89" s="7"/>
      <c r="I89" s="7"/>
      <c r="J89" s="7"/>
      <c r="K89" s="7"/>
      <c r="L89" s="7"/>
      <c r="M89" s="7"/>
      <c r="N89" s="7"/>
      <c r="T89" s="10"/>
    </row>
    <row r="90" spans="2:20">
      <c r="B90" s="3">
        <v>73</v>
      </c>
      <c r="C90" s="20">
        <v>42795</v>
      </c>
      <c r="D90" s="18">
        <v>9.2863521739130397E-3</v>
      </c>
      <c r="E90" s="21">
        <f t="shared" si="7"/>
        <v>1.5192671739130397E-3</v>
      </c>
      <c r="F90" s="22">
        <f t="shared" si="5"/>
        <v>6.0235541889594617E-2</v>
      </c>
      <c r="G90" s="19">
        <f t="shared" si="6"/>
        <v>3.5978317093340162</v>
      </c>
      <c r="H90" s="7"/>
      <c r="I90" s="7"/>
      <c r="J90" s="7"/>
      <c r="K90" s="7"/>
      <c r="L90" s="7"/>
      <c r="M90" s="7"/>
      <c r="N90" s="7"/>
      <c r="T90" s="10"/>
    </row>
    <row r="91" spans="2:20">
      <c r="B91" s="3">
        <v>74</v>
      </c>
      <c r="C91" s="20">
        <v>42826</v>
      </c>
      <c r="D91" s="18">
        <v>9.9055499999999991E-3</v>
      </c>
      <c r="E91" s="21">
        <f t="shared" si="7"/>
        <v>6.191978260869594E-4</v>
      </c>
      <c r="F91" s="22">
        <f t="shared" si="5"/>
        <v>2.2966575081919613E-2</v>
      </c>
      <c r="G91" s="19">
        <f t="shared" si="6"/>
        <v>6.3130919800202934</v>
      </c>
      <c r="H91" s="7"/>
      <c r="I91" s="7"/>
      <c r="J91" s="7"/>
      <c r="K91" s="7"/>
      <c r="L91" s="7"/>
      <c r="M91" s="7"/>
      <c r="N91" s="7"/>
      <c r="T91" s="10"/>
    </row>
    <row r="92" spans="2:20">
      <c r="B92" s="3">
        <v>75</v>
      </c>
      <c r="C92" s="20">
        <v>42856</v>
      </c>
      <c r="D92" s="18">
        <v>1.01142619047619E-2</v>
      </c>
      <c r="E92" s="21">
        <f t="shared" si="7"/>
        <v>2.0871190476190113E-4</v>
      </c>
      <c r="F92" s="22">
        <f t="shared" si="5"/>
        <v>8.0420251851976345E-3</v>
      </c>
      <c r="G92" s="19">
        <f t="shared" si="6"/>
        <v>6.7183327578932897</v>
      </c>
      <c r="H92" s="7"/>
      <c r="I92" s="7"/>
      <c r="J92" s="7"/>
      <c r="K92" s="7"/>
      <c r="L92" s="7"/>
      <c r="M92" s="7"/>
      <c r="N92" s="7"/>
      <c r="T92" s="10"/>
    </row>
    <row r="93" spans="2:20">
      <c r="B93" s="3">
        <v>76</v>
      </c>
      <c r="C93" s="20">
        <v>42887</v>
      </c>
      <c r="D93" s="18">
        <v>1.17140681818181E-2</v>
      </c>
      <c r="E93" s="21">
        <f t="shared" si="7"/>
        <v>1.5998062770561997E-3</v>
      </c>
      <c r="F93" s="22">
        <f t="shared" si="5"/>
        <v>5.5905303386717377E-2</v>
      </c>
      <c r="G93" s="19">
        <f t="shared" si="6"/>
        <v>4.0382106427456135</v>
      </c>
      <c r="H93" s="7"/>
      <c r="I93" s="7"/>
      <c r="J93" s="7"/>
      <c r="K93" s="7"/>
      <c r="L93" s="7"/>
      <c r="M93" s="7"/>
      <c r="N93" s="7"/>
      <c r="T93" s="10"/>
    </row>
    <row r="94" spans="2:20">
      <c r="B94" s="3">
        <v>77</v>
      </c>
      <c r="C94" s="20">
        <v>42917</v>
      </c>
      <c r="D94" s="18">
        <v>1.22803666666666E-2</v>
      </c>
      <c r="E94" s="21">
        <f t="shared" si="7"/>
        <v>5.6629848484849969E-4</v>
      </c>
      <c r="F94" s="22">
        <f t="shared" si="5"/>
        <v>1.9087736131014957E-2</v>
      </c>
      <c r="G94" s="19">
        <f t="shared" si="6"/>
        <v>6.4559294035378141</v>
      </c>
      <c r="H94" s="7"/>
      <c r="I94" s="7"/>
      <c r="J94" s="7"/>
      <c r="K94" s="7"/>
      <c r="L94" s="7"/>
      <c r="M94" s="7"/>
      <c r="N94" s="7"/>
      <c r="T94" s="10"/>
    </row>
    <row r="95" spans="2:20">
      <c r="B95" s="3">
        <v>78</v>
      </c>
      <c r="C95" s="20">
        <v>42948</v>
      </c>
      <c r="D95" s="18">
        <v>1.2317690909090899E-2</v>
      </c>
      <c r="E95" s="21">
        <f t="shared" si="7"/>
        <v>3.7324242424299423E-5</v>
      </c>
      <c r="F95" s="22">
        <f t="shared" si="5"/>
        <v>2.1825328734677019E-3</v>
      </c>
      <c r="G95" s="19">
        <f t="shared" si="6"/>
        <v>6.7707934806455148</v>
      </c>
      <c r="H95" s="7"/>
      <c r="I95" s="7"/>
      <c r="J95" s="7"/>
      <c r="K95" s="7"/>
      <c r="L95" s="7"/>
      <c r="M95" s="7"/>
      <c r="N95" s="7"/>
      <c r="T95" s="10"/>
    </row>
    <row r="96" spans="2:20">
      <c r="B96" s="3">
        <v>79</v>
      </c>
      <c r="C96" s="20">
        <v>42979</v>
      </c>
      <c r="D96" s="18">
        <v>1.2349199999999999E-2</v>
      </c>
      <c r="E96" s="21">
        <f t="shared" si="7"/>
        <v>3.1509090909100437E-5</v>
      </c>
      <c r="F96" s="22">
        <f t="shared" si="5"/>
        <v>2.0026997900256518E-3</v>
      </c>
      <c r="G96" s="19">
        <f t="shared" si="6"/>
        <v>6.7714525315074914</v>
      </c>
      <c r="H96" s="7"/>
      <c r="I96" s="7"/>
      <c r="J96" s="7"/>
      <c r="K96" s="7"/>
      <c r="L96" s="7"/>
      <c r="M96" s="7"/>
      <c r="N96" s="7"/>
      <c r="T96" s="10"/>
    </row>
    <row r="97" spans="2:20">
      <c r="B97" s="3">
        <v>80</v>
      </c>
      <c r="C97" s="20">
        <v>43009</v>
      </c>
      <c r="D97" s="18">
        <v>1.2385486363636299E-2</v>
      </c>
      <c r="E97" s="21">
        <f t="shared" si="7"/>
        <v>3.6286363636299848E-5</v>
      </c>
      <c r="F97" s="22">
        <f t="shared" si="5"/>
        <v>2.1532617139638608E-3</v>
      </c>
      <c r="G97" s="19">
        <f t="shared" si="6"/>
        <v>6.7709046124485743</v>
      </c>
      <c r="H97" s="7"/>
      <c r="I97" s="7"/>
      <c r="J97" s="7"/>
      <c r="K97" s="7"/>
      <c r="L97" s="7"/>
      <c r="M97" s="7"/>
      <c r="N97" s="7"/>
      <c r="T97" s="10"/>
    </row>
    <row r="98" spans="2:20">
      <c r="B98" s="3">
        <v>81</v>
      </c>
      <c r="C98" s="20">
        <v>43040</v>
      </c>
      <c r="D98" s="18">
        <v>1.2878790909090901E-2</v>
      </c>
      <c r="E98" s="21">
        <f t="shared" si="7"/>
        <v>4.9330454545460159E-4</v>
      </c>
      <c r="F98" s="22">
        <f t="shared" si="5"/>
        <v>1.6380434758704692E-2</v>
      </c>
      <c r="G98" s="19">
        <f t="shared" si="6"/>
        <v>6.5400118096760629</v>
      </c>
      <c r="H98" s="7"/>
      <c r="I98" s="7"/>
      <c r="J98" s="7"/>
      <c r="K98" s="7"/>
      <c r="L98" s="7"/>
      <c r="M98" s="7"/>
      <c r="N98" s="7"/>
      <c r="T98" s="10"/>
    </row>
    <row r="99" spans="2:20">
      <c r="B99" s="3">
        <v>82</v>
      </c>
      <c r="C99" s="20">
        <v>43070</v>
      </c>
      <c r="D99" s="18">
        <v>1.4850410526315701E-2</v>
      </c>
      <c r="E99" s="21">
        <f t="shared" si="7"/>
        <v>1.9716196172247999E-3</v>
      </c>
      <c r="F99" s="22">
        <f t="shared" si="5"/>
        <v>6.1253329743806435E-2</v>
      </c>
      <c r="G99" s="19">
        <f t="shared" si="6"/>
        <v>3.4895578797472018</v>
      </c>
      <c r="H99" s="7"/>
      <c r="I99" s="7"/>
      <c r="J99" s="7"/>
      <c r="K99" s="7"/>
      <c r="L99" s="7"/>
      <c r="M99" s="7"/>
      <c r="N99" s="7"/>
      <c r="T99" s="10"/>
    </row>
    <row r="100" spans="2:20">
      <c r="B100" s="3">
        <v>83</v>
      </c>
      <c r="C100" s="20">
        <v>43101</v>
      </c>
      <c r="D100" s="18">
        <v>1.56108818181818E-2</v>
      </c>
      <c r="E100" s="21">
        <f t="shared" si="7"/>
        <v>7.6047129186609941E-4</v>
      </c>
      <c r="F100" s="22">
        <f t="shared" si="5"/>
        <v>2.2853485406673084E-2</v>
      </c>
      <c r="G100" s="19">
        <f t="shared" si="6"/>
        <v>6.3176293934339016</v>
      </c>
      <c r="H100" s="7"/>
      <c r="I100" s="7"/>
      <c r="J100" s="7"/>
      <c r="K100" s="7"/>
      <c r="L100" s="7"/>
      <c r="M100" s="7"/>
      <c r="N100" s="7"/>
      <c r="T100" s="10"/>
    </row>
    <row r="101" spans="2:20">
      <c r="B101" s="3">
        <v>84</v>
      </c>
      <c r="C101" s="20">
        <v>43132</v>
      </c>
      <c r="D101" s="18">
        <v>1.6018225000000001E-2</v>
      </c>
      <c r="E101" s="21">
        <f t="shared" si="7"/>
        <v>4.0734318181820037E-4</v>
      </c>
      <c r="F101" s="22">
        <f t="shared" si="5"/>
        <v>1.2589432724927043E-2</v>
      </c>
      <c r="G101" s="19">
        <f t="shared" si="6"/>
        <v>6.6361797382334018</v>
      </c>
      <c r="H101" s="7"/>
      <c r="I101" s="7"/>
      <c r="J101" s="7"/>
      <c r="K101" s="7"/>
      <c r="L101" s="7"/>
      <c r="M101" s="7"/>
      <c r="N101" s="7"/>
      <c r="T101" s="10"/>
    </row>
    <row r="102" spans="2:20">
      <c r="B102" s="3">
        <v>85</v>
      </c>
      <c r="C102" s="20">
        <v>43160</v>
      </c>
      <c r="D102" s="18">
        <v>1.79913095238095E-2</v>
      </c>
      <c r="E102" s="21">
        <f t="shared" si="7"/>
        <v>1.9730845238094992E-3</v>
      </c>
      <c r="F102" s="22">
        <f t="shared" si="5"/>
        <v>5.5331184061680271E-2</v>
      </c>
      <c r="G102" s="19">
        <f t="shared" si="6"/>
        <v>4.0941321885225808</v>
      </c>
      <c r="H102" s="7"/>
      <c r="I102" s="7"/>
      <c r="J102" s="7"/>
      <c r="K102" s="7"/>
      <c r="L102" s="7"/>
      <c r="M102" s="7"/>
      <c r="N102" s="7"/>
      <c r="T102" s="10"/>
    </row>
    <row r="103" spans="2:20">
      <c r="B103" s="3">
        <v>86</v>
      </c>
      <c r="C103" s="20">
        <v>43191</v>
      </c>
      <c r="D103" s="18">
        <v>1.896724E-2</v>
      </c>
      <c r="E103" s="21">
        <f t="shared" si="7"/>
        <v>9.7593047619050008E-4</v>
      </c>
      <c r="F103" s="22">
        <f t="shared" si="5"/>
        <v>2.6674272612223708E-2</v>
      </c>
      <c r="G103" s="19">
        <f t="shared" si="6"/>
        <v>6.1519260560767473</v>
      </c>
      <c r="H103" s="7"/>
      <c r="I103" s="7"/>
      <c r="J103" s="7"/>
      <c r="K103" s="7"/>
      <c r="L103" s="7"/>
      <c r="M103" s="7"/>
      <c r="N103" s="7"/>
      <c r="T103" s="10"/>
    </row>
    <row r="104" spans="2:20">
      <c r="B104" s="3">
        <v>87</v>
      </c>
      <c r="C104" s="20">
        <v>43221</v>
      </c>
      <c r="D104" s="18">
        <v>1.9462900000000002E-2</v>
      </c>
      <c r="E104" s="21">
        <f t="shared" si="7"/>
        <v>4.9566000000000193E-4</v>
      </c>
      <c r="F104" s="22">
        <f t="shared" si="5"/>
        <v>1.4003703865765221E-2</v>
      </c>
      <c r="G104" s="19">
        <f t="shared" si="6"/>
        <v>6.603246686292283</v>
      </c>
      <c r="H104" s="7"/>
      <c r="I104" s="7"/>
      <c r="J104" s="7"/>
      <c r="K104" s="7"/>
      <c r="L104" s="7"/>
      <c r="M104" s="7"/>
      <c r="N104" s="7"/>
      <c r="T104" s="10"/>
    </row>
    <row r="105" spans="2:20">
      <c r="B105" s="3">
        <v>88</v>
      </c>
      <c r="C105" s="20">
        <v>43252</v>
      </c>
      <c r="D105" s="18">
        <v>2.0684290476190401E-2</v>
      </c>
      <c r="E105" s="21">
        <f t="shared" si="7"/>
        <v>1.2213904761903989E-3</v>
      </c>
      <c r="F105" s="22">
        <f t="shared" si="5"/>
        <v>3.1897162774627869E-2</v>
      </c>
      <c r="G105" s="19">
        <f t="shared" si="6"/>
        <v>5.8840545648323053</v>
      </c>
      <c r="H105" s="7"/>
      <c r="I105" s="7"/>
      <c r="J105" s="7"/>
      <c r="K105" s="7"/>
      <c r="L105" s="7"/>
      <c r="M105" s="7"/>
      <c r="N105" s="7"/>
      <c r="T105" s="10"/>
    </row>
    <row r="106" spans="2:20">
      <c r="B106" s="3">
        <v>89</v>
      </c>
      <c r="C106" s="20">
        <v>43282</v>
      </c>
      <c r="D106" s="18">
        <v>2.0789990909090901E-2</v>
      </c>
      <c r="E106" s="21">
        <f t="shared" si="7"/>
        <v>1.0570043290050041E-4</v>
      </c>
      <c r="F106" s="22">
        <f t="shared" si="5"/>
        <v>4.193994517847608E-3</v>
      </c>
      <c r="G106" s="19">
        <f t="shared" si="6"/>
        <v>6.7595622920326743</v>
      </c>
      <c r="H106" s="7"/>
      <c r="I106" s="7"/>
      <c r="J106" s="7"/>
      <c r="K106" s="7"/>
      <c r="L106" s="7"/>
      <c r="M106" s="7"/>
      <c r="N106" s="7"/>
      <c r="T106" s="10"/>
    </row>
    <row r="107" spans="2:20">
      <c r="B107" s="3">
        <v>90</v>
      </c>
      <c r="C107" s="20">
        <v>43313</v>
      </c>
      <c r="D107" s="18">
        <v>2.0741095454545402E-2</v>
      </c>
      <c r="E107" s="21">
        <f t="shared" si="7"/>
        <v>-4.8895454545498651E-5</v>
      </c>
      <c r="F107" s="22">
        <f t="shared" si="5"/>
        <v>4.8000906722286832E-4</v>
      </c>
      <c r="G107" s="19">
        <f t="shared" si="6"/>
        <v>6.7747628305684779</v>
      </c>
      <c r="H107" s="7"/>
      <c r="I107" s="7"/>
      <c r="J107" s="7"/>
      <c r="K107" s="7"/>
      <c r="L107" s="7"/>
      <c r="M107" s="7"/>
      <c r="N107" s="7"/>
      <c r="T107" s="10"/>
    </row>
    <row r="108" spans="2:20">
      <c r="B108" s="3">
        <v>91</v>
      </c>
      <c r="C108" s="20">
        <v>43344</v>
      </c>
      <c r="D108" s="18">
        <v>2.1754570000000001E-2</v>
      </c>
      <c r="E108" s="21">
        <f t="shared" si="7"/>
        <v>1.0134745454545985E-3</v>
      </c>
      <c r="F108" s="22">
        <f t="shared" si="5"/>
        <v>2.6029057325958962E-2</v>
      </c>
      <c r="G108" s="19">
        <f t="shared" si="6"/>
        <v>6.1817024731878405</v>
      </c>
      <c r="H108" s="7"/>
      <c r="I108" s="7"/>
      <c r="J108" s="7"/>
      <c r="K108" s="7"/>
      <c r="L108" s="7"/>
      <c r="M108" s="7"/>
      <c r="N108" s="7"/>
      <c r="T108" s="10"/>
    </row>
    <row r="109" spans="2:20">
      <c r="B109" s="3">
        <v>92</v>
      </c>
      <c r="C109" s="20">
        <v>43374</v>
      </c>
      <c r="D109" s="18">
        <v>2.28570608695652E-2</v>
      </c>
      <c r="E109" s="21">
        <f t="shared" si="7"/>
        <v>1.1024908695651987E-3</v>
      </c>
      <c r="F109" s="22">
        <f t="shared" si="5"/>
        <v>2.7607950279796217E-2</v>
      </c>
      <c r="G109" s="19">
        <f t="shared" si="6"/>
        <v>6.1075463592997616</v>
      </c>
      <c r="H109" s="7"/>
      <c r="I109" s="7"/>
      <c r="J109" s="7"/>
      <c r="K109" s="7"/>
      <c r="L109" s="7"/>
      <c r="M109" s="7"/>
      <c r="N109" s="7"/>
      <c r="T109" s="10"/>
    </row>
    <row r="110" spans="2:20">
      <c r="B110" s="3">
        <v>93</v>
      </c>
      <c r="C110" s="20">
        <v>43405</v>
      </c>
      <c r="D110" s="18">
        <v>2.3192663636363599E-2</v>
      </c>
      <c r="E110" s="21">
        <f t="shared" si="7"/>
        <v>3.356027667983999E-4</v>
      </c>
      <c r="F110" s="22">
        <f t="shared" si="5"/>
        <v>9.4702490811003313E-3</v>
      </c>
      <c r="G110" s="19">
        <f t="shared" si="6"/>
        <v>6.6964315241229109</v>
      </c>
      <c r="H110" s="7"/>
      <c r="I110" s="7"/>
      <c r="J110" s="7"/>
      <c r="K110" s="7"/>
      <c r="L110" s="7"/>
      <c r="M110" s="7"/>
      <c r="N110" s="7"/>
      <c r="T110" s="10"/>
    </row>
    <row r="111" spans="2:20">
      <c r="B111" s="3">
        <v>94</v>
      </c>
      <c r="C111" s="20">
        <v>43435</v>
      </c>
      <c r="D111" s="18">
        <v>2.4532431578947297E-2</v>
      </c>
      <c r="E111" s="21">
        <f t="shared" si="7"/>
        <v>1.3397679425836972E-3</v>
      </c>
      <c r="F111" s="22">
        <f t="shared" si="5"/>
        <v>3.2275398181008649E-2</v>
      </c>
      <c r="G111" s="19">
        <f t="shared" si="6"/>
        <v>5.8628005349379073</v>
      </c>
      <c r="H111" s="7"/>
      <c r="I111" s="7"/>
      <c r="J111" s="7"/>
      <c r="K111" s="7"/>
      <c r="L111" s="7"/>
      <c r="M111" s="7"/>
      <c r="N111" s="7"/>
      <c r="T111" s="10"/>
    </row>
    <row r="112" spans="2:20">
      <c r="B112" s="3">
        <v>95</v>
      </c>
      <c r="C112" s="20">
        <v>43466</v>
      </c>
      <c r="D112" s="18">
        <v>2.5097909090909001E-2</v>
      </c>
      <c r="E112" s="21">
        <f t="shared" si="7"/>
        <v>5.6547751196170393E-4</v>
      </c>
      <c r="F112" s="22">
        <f t="shared" si="5"/>
        <v>1.4383640374027052E-2</v>
      </c>
      <c r="G112" s="19">
        <f t="shared" si="6"/>
        <v>6.5938024786531777</v>
      </c>
      <c r="H112" s="7"/>
      <c r="I112" s="7"/>
      <c r="J112" s="7"/>
      <c r="K112" s="7"/>
      <c r="L112" s="7"/>
      <c r="M112" s="7"/>
      <c r="N112" s="7"/>
      <c r="T112" s="10"/>
    </row>
    <row r="113" spans="2:20">
      <c r="B113" s="3">
        <v>96</v>
      </c>
      <c r="C113" s="20">
        <v>43497</v>
      </c>
      <c r="D113" s="18">
        <v>2.4944655E-2</v>
      </c>
      <c r="E113" s="21">
        <f t="shared" si="7"/>
        <v>-1.5325409090900105E-4</v>
      </c>
      <c r="F113" s="22">
        <f t="shared" si="5"/>
        <v>-1.442335307756036E-3</v>
      </c>
      <c r="G113" s="19">
        <f t="shared" si="6"/>
        <v>6.7731429490335531</v>
      </c>
      <c r="H113" s="7"/>
      <c r="I113" s="7"/>
      <c r="J113" s="7"/>
      <c r="K113" s="7"/>
      <c r="L113" s="7"/>
      <c r="M113" s="7"/>
      <c r="N113" s="7"/>
      <c r="T113" s="10"/>
    </row>
    <row r="114" spans="2:20">
      <c r="B114" s="3">
        <v>97</v>
      </c>
      <c r="C114" s="20">
        <v>43525</v>
      </c>
      <c r="D114" s="18">
        <v>2.4898052380952298E-2</v>
      </c>
      <c r="E114" s="21">
        <f t="shared" si="7"/>
        <v>-4.6602619047701743E-5</v>
      </c>
      <c r="F114" s="22">
        <f t="shared" si="5"/>
        <v>8.7807789689652374E-4</v>
      </c>
      <c r="G114" s="19">
        <f t="shared" si="6"/>
        <v>6.7742894444833048</v>
      </c>
      <c r="H114" s="7"/>
      <c r="I114" s="7"/>
      <c r="J114" s="7"/>
      <c r="K114" s="7"/>
      <c r="L114" s="7"/>
      <c r="M114" s="7"/>
      <c r="N114" s="7"/>
      <c r="T114" s="10"/>
    </row>
    <row r="115" spans="2:20">
      <c r="B115" s="3">
        <v>98</v>
      </c>
      <c r="C115" s="20">
        <v>43556</v>
      </c>
      <c r="D115" s="18">
        <v>2.4801095000000002E-2</v>
      </c>
      <c r="E115" s="21">
        <f t="shared" si="7"/>
        <v>-9.6957380952295696E-5</v>
      </c>
      <c r="F115" s="22">
        <f t="shared" ref="F115:F137" si="8">(E115-(k*(theta-D114)*dt))/(SQRT(D114*dt))</f>
        <v>-2.3094849741154891E-4</v>
      </c>
      <c r="G115" s="19">
        <f t="shared" ref="G115:G137" si="9">-(LN(vol^2)+(F115/vol)^2)</f>
        <v>6.7749178829325682</v>
      </c>
      <c r="H115" s="7"/>
      <c r="I115" s="7"/>
      <c r="J115" s="7"/>
      <c r="K115" s="7"/>
      <c r="L115" s="7"/>
      <c r="M115" s="7"/>
      <c r="N115" s="7"/>
      <c r="T115" s="10"/>
    </row>
    <row r="116" spans="2:20">
      <c r="B116" s="3">
        <v>99</v>
      </c>
      <c r="C116" s="20">
        <v>43586</v>
      </c>
      <c r="D116" s="18">
        <v>2.4440266666666603E-2</v>
      </c>
      <c r="E116" s="21">
        <f t="shared" si="7"/>
        <v>-3.6082833333339961E-4</v>
      </c>
      <c r="F116" s="22">
        <f t="shared" si="8"/>
        <v>-6.0447761812311039E-3</v>
      </c>
      <c r="G116" s="19">
        <f t="shared" si="9"/>
        <v>6.7429689929743954</v>
      </c>
      <c r="H116" s="7"/>
      <c r="I116" s="7"/>
      <c r="J116" s="7"/>
      <c r="K116" s="7"/>
      <c r="L116" s="7"/>
      <c r="M116" s="7"/>
      <c r="N116" s="7"/>
      <c r="T116" s="10"/>
    </row>
    <row r="117" spans="2:20">
      <c r="B117" s="3">
        <v>100</v>
      </c>
      <c r="C117" s="20">
        <v>43617</v>
      </c>
      <c r="D117" s="18">
        <v>2.4033660000000002E-2</v>
      </c>
      <c r="E117" s="21">
        <f t="shared" si="7"/>
        <v>-4.0660666666660072E-4</v>
      </c>
      <c r="F117" s="22">
        <f t="shared" si="8"/>
        <v>-7.1377885183258639E-3</v>
      </c>
      <c r="G117" s="19">
        <f t="shared" si="9"/>
        <v>6.7303520334175877</v>
      </c>
      <c r="H117" s="7"/>
      <c r="I117" s="7"/>
      <c r="J117" s="7"/>
      <c r="K117" s="7"/>
      <c r="L117" s="7"/>
      <c r="M117" s="7"/>
      <c r="N117" s="7"/>
      <c r="T117" s="10"/>
    </row>
    <row r="118" spans="2:20">
      <c r="B118" s="3">
        <v>101</v>
      </c>
      <c r="C118" s="20">
        <v>43647</v>
      </c>
      <c r="D118" s="18">
        <v>2.30610565217391E-2</v>
      </c>
      <c r="E118" s="21">
        <f t="shared" si="7"/>
        <v>-9.7260347826090207E-4</v>
      </c>
      <c r="F118" s="22">
        <f t="shared" si="8"/>
        <v>-1.9883964738886793E-2</v>
      </c>
      <c r="G118" s="19">
        <f t="shared" si="9"/>
        <v>6.428757699636849</v>
      </c>
      <c r="H118" s="7"/>
      <c r="I118" s="7"/>
      <c r="J118" s="7"/>
      <c r="K118" s="7"/>
      <c r="L118" s="7"/>
      <c r="M118" s="7"/>
      <c r="N118" s="7"/>
      <c r="T118" s="10"/>
    </row>
    <row r="119" spans="2:20">
      <c r="B119" s="3">
        <v>102</v>
      </c>
      <c r="C119" s="20">
        <v>43678</v>
      </c>
      <c r="D119" s="18">
        <v>2.1744661904761903E-2</v>
      </c>
      <c r="E119" s="21">
        <f t="shared" si="7"/>
        <v>-1.316394616977197E-3</v>
      </c>
      <c r="F119" s="22">
        <f t="shared" si="8"/>
        <v>-2.8236129870025595E-2</v>
      </c>
      <c r="G119" s="19">
        <f t="shared" si="9"/>
        <v>6.0768285175193881</v>
      </c>
      <c r="H119" s="7"/>
      <c r="I119" s="7"/>
      <c r="J119" s="7"/>
      <c r="K119" s="7"/>
      <c r="L119" s="7"/>
      <c r="M119" s="7"/>
      <c r="N119" s="7"/>
      <c r="T119" s="10"/>
    </row>
    <row r="120" spans="2:20">
      <c r="B120" s="3">
        <v>103</v>
      </c>
      <c r="C120" s="20">
        <v>43709</v>
      </c>
      <c r="D120" s="18">
        <v>2.04316333333333E-2</v>
      </c>
      <c r="E120" s="21">
        <f t="shared" si="7"/>
        <v>-1.3130285714286032E-3</v>
      </c>
      <c r="F120" s="22">
        <f t="shared" si="8"/>
        <v>-2.9131393732326982E-2</v>
      </c>
      <c r="G120" s="19">
        <f t="shared" si="9"/>
        <v>6.0318560317713343</v>
      </c>
      <c r="H120" s="7"/>
      <c r="I120" s="7"/>
      <c r="J120" s="7"/>
      <c r="K120" s="7"/>
      <c r="L120" s="7"/>
      <c r="M120" s="7"/>
      <c r="N120" s="7"/>
      <c r="T120" s="10"/>
    </row>
    <row r="121" spans="2:20">
      <c r="B121" s="3">
        <v>104</v>
      </c>
      <c r="C121" s="20">
        <v>43739</v>
      </c>
      <c r="D121" s="18">
        <v>1.8782247826086899E-2</v>
      </c>
      <c r="E121" s="21">
        <f t="shared" si="7"/>
        <v>-1.6493855072464009E-3</v>
      </c>
      <c r="F121" s="22">
        <f t="shared" si="8"/>
        <v>-3.8340452329702415E-2</v>
      </c>
      <c r="G121" s="19">
        <f t="shared" si="9"/>
        <v>5.4877700147634982</v>
      </c>
      <c r="H121" s="7"/>
      <c r="I121" s="7"/>
      <c r="J121" s="7"/>
      <c r="K121" s="7"/>
      <c r="L121" s="7"/>
      <c r="M121" s="7"/>
      <c r="N121" s="7"/>
      <c r="T121" s="10"/>
    </row>
    <row r="122" spans="2:20">
      <c r="B122" s="3">
        <v>105</v>
      </c>
      <c r="C122" s="20">
        <v>43770</v>
      </c>
      <c r="D122" s="18">
        <v>1.7353652380952302E-2</v>
      </c>
      <c r="E122" s="21">
        <f t="shared" si="7"/>
        <v>-1.4285954451345971E-3</v>
      </c>
      <c r="F122" s="22">
        <f t="shared" si="8"/>
        <v>-3.4585923889778207E-2</v>
      </c>
      <c r="G122" s="19">
        <f t="shared" si="9"/>
        <v>5.7275261710305472</v>
      </c>
      <c r="H122" s="7"/>
      <c r="I122" s="7"/>
      <c r="J122" s="7"/>
      <c r="K122" s="7"/>
      <c r="L122" s="7"/>
      <c r="M122" s="7"/>
      <c r="N122" s="7"/>
      <c r="T122" s="10"/>
    </row>
    <row r="123" spans="2:20">
      <c r="B123" s="3">
        <v>106</v>
      </c>
      <c r="C123" s="20">
        <v>43800</v>
      </c>
      <c r="D123" s="18">
        <v>1.7492285E-2</v>
      </c>
      <c r="E123" s="21">
        <f t="shared" si="7"/>
        <v>1.3863261904769816E-4</v>
      </c>
      <c r="F123" s="22">
        <f t="shared" si="8"/>
        <v>5.0703740830041043E-3</v>
      </c>
      <c r="G123" s="19">
        <f t="shared" si="9"/>
        <v>6.7524528125722636</v>
      </c>
      <c r="H123" s="7"/>
      <c r="I123" s="7"/>
      <c r="J123" s="7"/>
      <c r="K123" s="7"/>
      <c r="L123" s="7"/>
      <c r="M123" s="7"/>
      <c r="N123" s="7"/>
      <c r="T123" s="10"/>
    </row>
    <row r="124" spans="2:20">
      <c r="B124" s="3">
        <v>107</v>
      </c>
      <c r="C124" s="20">
        <v>43831</v>
      </c>
      <c r="D124" s="18">
        <v>1.6708263636363602E-2</v>
      </c>
      <c r="E124" s="21">
        <f t="shared" si="7"/>
        <v>-7.840213636363981E-4</v>
      </c>
      <c r="F124" s="22">
        <f t="shared" si="8"/>
        <v>-1.9100314997928754E-2</v>
      </c>
      <c r="G124" s="19">
        <f t="shared" si="9"/>
        <v>6.4555087749818476</v>
      </c>
      <c r="H124" s="7"/>
      <c r="I124" s="7"/>
      <c r="J124" s="7"/>
      <c r="K124" s="7"/>
      <c r="L124" s="7"/>
      <c r="M124" s="7"/>
      <c r="N124" s="7"/>
      <c r="T124" s="10"/>
    </row>
    <row r="125" spans="2:20">
      <c r="B125" s="3">
        <v>108</v>
      </c>
      <c r="C125" s="20">
        <v>43862</v>
      </c>
      <c r="D125" s="18">
        <v>1.6367275000000001E-2</v>
      </c>
      <c r="E125" s="21">
        <f t="shared" si="7"/>
        <v>-3.4098863636360111E-4</v>
      </c>
      <c r="F125" s="22">
        <f t="shared" si="8"/>
        <v>-7.7601290324620133E-3</v>
      </c>
      <c r="G125" s="19">
        <f t="shared" si="9"/>
        <v>6.7222333916967596</v>
      </c>
      <c r="H125" s="7"/>
      <c r="I125" s="7"/>
      <c r="J125" s="7"/>
      <c r="K125" s="7"/>
      <c r="L125" s="7"/>
      <c r="M125" s="7"/>
      <c r="N125" s="7"/>
      <c r="T125" s="10"/>
    </row>
    <row r="126" spans="2:20">
      <c r="B126" s="3">
        <v>109</v>
      </c>
      <c r="C126" s="20">
        <v>43891</v>
      </c>
      <c r="D126" s="18">
        <v>9.1723090909090893E-3</v>
      </c>
      <c r="E126" s="21">
        <f t="shared" si="7"/>
        <v>-7.1949659090909113E-3</v>
      </c>
      <c r="F126" s="22">
        <f t="shared" si="8"/>
        <v>-0.19346596985790887</v>
      </c>
      <c r="G126" s="19">
        <f t="shared" si="9"/>
        <v>-25.999749000479547</v>
      </c>
      <c r="H126" s="7"/>
      <c r="I126" s="7"/>
      <c r="J126" s="7"/>
      <c r="K126" s="7"/>
      <c r="L126" s="7"/>
      <c r="M126" s="7"/>
      <c r="N126" s="7"/>
      <c r="T126" s="10"/>
    </row>
    <row r="127" spans="2:20">
      <c r="B127" s="3">
        <v>110</v>
      </c>
      <c r="C127" s="20">
        <v>43922</v>
      </c>
      <c r="D127" s="18">
        <v>6.8387149999999996E-3</v>
      </c>
      <c r="E127" s="21">
        <f t="shared" si="7"/>
        <v>-2.3335940909090898E-3</v>
      </c>
      <c r="F127" s="22">
        <f t="shared" si="8"/>
        <v>-8.3711890122600649E-2</v>
      </c>
      <c r="G127" s="19">
        <f t="shared" si="9"/>
        <v>0.63870065289525257</v>
      </c>
      <c r="H127" s="7"/>
      <c r="I127" s="7"/>
      <c r="J127" s="7"/>
      <c r="K127" s="7"/>
      <c r="L127" s="7"/>
      <c r="M127" s="7"/>
      <c r="N127" s="7"/>
      <c r="T127" s="10"/>
    </row>
    <row r="128" spans="2:20">
      <c r="B128" s="3">
        <v>111</v>
      </c>
      <c r="C128" s="20">
        <v>43952</v>
      </c>
      <c r="D128" s="18">
        <v>1.94778947368421E-3</v>
      </c>
      <c r="E128" s="21">
        <f t="shared" si="7"/>
        <v>-4.8909255263157895E-3</v>
      </c>
      <c r="F128" s="22">
        <f t="shared" si="8"/>
        <v>-0.2044908820884935</v>
      </c>
      <c r="G128" s="19">
        <f t="shared" si="9"/>
        <v>-29.841603056543114</v>
      </c>
      <c r="H128" s="7"/>
      <c r="I128" s="7"/>
      <c r="J128" s="7"/>
      <c r="K128" s="7"/>
      <c r="L128" s="7"/>
      <c r="M128" s="7"/>
      <c r="N128" s="7"/>
      <c r="T128" s="10"/>
    </row>
    <row r="129" spans="2:20">
      <c r="B129" s="3">
        <v>112</v>
      </c>
      <c r="C129" s="20">
        <v>43983</v>
      </c>
      <c r="D129" s="18">
        <v>1.83013636363636E-3</v>
      </c>
      <c r="E129" s="21">
        <f t="shared" si="7"/>
        <v>-1.1765311004785007E-4</v>
      </c>
      <c r="F129" s="22">
        <f t="shared" si="8"/>
        <v>-1.0151336808999184E-2</v>
      </c>
      <c r="G129" s="19">
        <f t="shared" si="9"/>
        <v>6.6847293408281789</v>
      </c>
      <c r="H129" s="7"/>
      <c r="I129" s="7"/>
      <c r="J129" s="7"/>
      <c r="K129" s="7"/>
      <c r="L129" s="7"/>
      <c r="M129" s="7"/>
      <c r="N129" s="7"/>
      <c r="T129" s="10"/>
    </row>
    <row r="130" spans="2:20">
      <c r="B130" s="3">
        <v>113</v>
      </c>
      <c r="C130" s="20">
        <v>44013</v>
      </c>
      <c r="D130" s="18">
        <v>1.7222565217391301E-3</v>
      </c>
      <c r="E130" s="21">
        <f t="shared" si="7"/>
        <v>-1.0787984189722984E-4</v>
      </c>
      <c r="F130" s="22">
        <f t="shared" si="8"/>
        <v>-9.7218941925142476E-3</v>
      </c>
      <c r="G130" s="19">
        <f t="shared" si="9"/>
        <v>6.6922024849249482</v>
      </c>
      <c r="H130" s="7"/>
      <c r="I130" s="7"/>
      <c r="J130" s="7"/>
      <c r="K130" s="7"/>
      <c r="L130" s="7"/>
      <c r="M130" s="7"/>
      <c r="N130" s="7"/>
      <c r="T130" s="10"/>
    </row>
    <row r="131" spans="2:20">
      <c r="B131" s="3">
        <v>114</v>
      </c>
      <c r="C131" s="20">
        <v>44044</v>
      </c>
      <c r="D131" s="18">
        <v>1.6218350000000001E-3</v>
      </c>
      <c r="E131" s="21">
        <f t="shared" si="7"/>
        <v>-1.0042152173913004E-4</v>
      </c>
      <c r="F131" s="22">
        <f t="shared" si="8"/>
        <v>-9.4376884234350089E-3</v>
      </c>
      <c r="G131" s="19">
        <f t="shared" si="9"/>
        <v>6.696970621305212</v>
      </c>
      <c r="H131" s="7"/>
      <c r="I131" s="7"/>
      <c r="J131" s="7"/>
      <c r="K131" s="7"/>
      <c r="L131" s="7"/>
      <c r="M131" s="7"/>
      <c r="N131" s="7"/>
      <c r="T131" s="10"/>
    </row>
    <row r="132" spans="2:20">
      <c r="B132" s="3">
        <v>115</v>
      </c>
      <c r="C132" s="20">
        <v>44075</v>
      </c>
      <c r="D132" s="18">
        <v>1.5180363636363601E-3</v>
      </c>
      <c r="E132" s="21">
        <f t="shared" si="7"/>
        <v>-1.0379863636363995E-4</v>
      </c>
      <c r="F132" s="22">
        <f t="shared" si="8"/>
        <v>-1.0052903998335706E-2</v>
      </c>
      <c r="G132" s="19">
        <f t="shared" si="9"/>
        <v>6.6864707954318607</v>
      </c>
      <c r="H132" s="7"/>
      <c r="I132" s="7"/>
      <c r="J132" s="7"/>
      <c r="K132" s="7"/>
      <c r="L132" s="7"/>
      <c r="M132" s="7"/>
      <c r="N132" s="7"/>
      <c r="T132" s="10"/>
    </row>
    <row r="133" spans="2:20">
      <c r="B133" s="3">
        <v>116</v>
      </c>
      <c r="C133" s="20">
        <v>44105</v>
      </c>
      <c r="D133" s="18">
        <v>1.46081363636363E-3</v>
      </c>
      <c r="E133" s="21">
        <f t="shared" si="7"/>
        <v>-5.7222727272730105E-5</v>
      </c>
      <c r="F133" s="22">
        <f t="shared" si="8"/>
        <v>-6.2893150434569136E-3</v>
      </c>
      <c r="G133" s="19">
        <f t="shared" si="9"/>
        <v>6.740327893377704</v>
      </c>
      <c r="H133" s="7"/>
      <c r="I133" s="7"/>
      <c r="J133" s="7"/>
      <c r="K133" s="7"/>
      <c r="L133" s="7"/>
      <c r="M133" s="7"/>
      <c r="N133" s="7"/>
      <c r="T133" s="10"/>
    </row>
    <row r="134" spans="2:20">
      <c r="B134" s="3">
        <v>117</v>
      </c>
      <c r="C134" s="20">
        <v>44136</v>
      </c>
      <c r="D134" s="18">
        <v>1.4218714285714202E-3</v>
      </c>
      <c r="E134" s="21">
        <f t="shared" si="7"/>
        <v>-3.8942207792209797E-5</v>
      </c>
      <c r="F134" s="22">
        <f t="shared" si="8"/>
        <v>-4.7766416641866786E-3</v>
      </c>
      <c r="G134" s="19">
        <f t="shared" si="9"/>
        <v>6.7549855271467836</v>
      </c>
      <c r="H134" s="7"/>
      <c r="I134" s="7"/>
      <c r="J134" s="7"/>
      <c r="K134" s="7"/>
      <c r="L134" s="7"/>
      <c r="M134" s="7"/>
      <c r="N134" s="7"/>
      <c r="T134" s="10"/>
    </row>
    <row r="135" spans="2:20">
      <c r="B135" s="3">
        <v>118</v>
      </c>
      <c r="C135" s="20">
        <v>44166</v>
      </c>
      <c r="D135" s="18">
        <v>1.4925238095237999E-3</v>
      </c>
      <c r="E135" s="21">
        <f t="shared" si="7"/>
        <v>7.0652380952379709E-5</v>
      </c>
      <c r="F135" s="22">
        <f t="shared" si="8"/>
        <v>5.2112419937714377E-3</v>
      </c>
      <c r="G135" s="19">
        <f t="shared" si="9"/>
        <v>6.7511845674753577</v>
      </c>
      <c r="H135" s="7"/>
      <c r="I135" s="7"/>
      <c r="J135" s="7"/>
      <c r="K135" s="7"/>
      <c r="L135" s="7"/>
      <c r="M135" s="7"/>
      <c r="N135" s="7"/>
      <c r="T135" s="10"/>
    </row>
    <row r="136" spans="2:20">
      <c r="B136" s="3">
        <v>119</v>
      </c>
      <c r="C136" s="20">
        <v>44197</v>
      </c>
      <c r="D136" s="18">
        <v>1.278265E-3</v>
      </c>
      <c r="E136" s="21">
        <f t="shared" si="7"/>
        <v>-2.1425880952379993E-4</v>
      </c>
      <c r="F136" s="22">
        <f t="shared" si="8"/>
        <v>-2.0433489046973081E-2</v>
      </c>
      <c r="G136" s="19">
        <f t="shared" si="9"/>
        <v>6.4093573418052916</v>
      </c>
      <c r="H136" s="7"/>
      <c r="I136" s="7"/>
      <c r="J136" s="7"/>
      <c r="K136" s="7"/>
      <c r="L136" s="7"/>
      <c r="M136" s="7"/>
      <c r="N136" s="7"/>
      <c r="T136" s="10"/>
    </row>
    <row r="137" spans="2:20">
      <c r="B137" s="3">
        <v>120</v>
      </c>
      <c r="C137" s="20">
        <v>44228</v>
      </c>
      <c r="D137" s="18">
        <v>1.14083E-3</v>
      </c>
      <c r="E137" s="21">
        <f t="shared" si="7"/>
        <v>-1.3743499999999999E-4</v>
      </c>
      <c r="F137" s="22">
        <f t="shared" si="8"/>
        <v>-1.4724947482211332E-2</v>
      </c>
      <c r="G137" s="19">
        <f t="shared" si="9"/>
        <v>6.5851029403289703</v>
      </c>
      <c r="H137" s="7"/>
      <c r="I137" s="7"/>
      <c r="J137" s="7"/>
      <c r="K137" s="7"/>
      <c r="L137" s="7"/>
      <c r="M137" s="7"/>
      <c r="N137" s="7"/>
      <c r="T137" s="10"/>
    </row>
    <row r="138" spans="2:20">
      <c r="B138" s="3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T138" s="10"/>
    </row>
    <row r="139" spans="2:20">
      <c r="B139" s="3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T139" s="10"/>
    </row>
    <row r="140" spans="2:20">
      <c r="B140" s="3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T140" s="10"/>
    </row>
    <row r="141" spans="2:20">
      <c r="B141" s="3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T141" s="10"/>
    </row>
    <row r="142" spans="2:20">
      <c r="B142" s="3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T142" s="10"/>
    </row>
    <row r="143" spans="2:20">
      <c r="B143" s="3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T143" s="10"/>
    </row>
    <row r="144" spans="2:20">
      <c r="B144" s="3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T144" s="10"/>
    </row>
    <row r="145" spans="2:20">
      <c r="B145" s="3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T145" s="10"/>
    </row>
    <row r="146" spans="2:20">
      <c r="B146" s="3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T146" s="10"/>
    </row>
    <row r="147" spans="2:20">
      <c r="B147" s="3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T147" s="10"/>
    </row>
    <row r="148" spans="2:20">
      <c r="B148" s="3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T148" s="10"/>
    </row>
    <row r="149" spans="2:20">
      <c r="B149" s="3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T149" s="10"/>
    </row>
    <row r="150" spans="2:20">
      <c r="B150" s="3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T150" s="10"/>
    </row>
    <row r="151" spans="2:20">
      <c r="B151" s="3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T151" s="10"/>
    </row>
    <row r="152" spans="2:20">
      <c r="B152" s="3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T152" s="10"/>
    </row>
    <row r="153" spans="2:20">
      <c r="B153" s="3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T153" s="10"/>
    </row>
    <row r="154" spans="2:20">
      <c r="B154" s="3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T154" s="10"/>
    </row>
    <row r="155" spans="2:20">
      <c r="B155" s="3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T155" s="10"/>
    </row>
    <row r="156" spans="2:20">
      <c r="B156" s="3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T156" s="10"/>
    </row>
    <row r="157" spans="2:20">
      <c r="B157" s="3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T157" s="10"/>
    </row>
    <row r="158" spans="2:20">
      <c r="B158" s="3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T158" s="10"/>
    </row>
    <row r="159" spans="2:20">
      <c r="B159" s="3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T159" s="10"/>
    </row>
    <row r="160" spans="2:20">
      <c r="B160" s="3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T160" s="10"/>
    </row>
    <row r="161" spans="2:20">
      <c r="B161" s="3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T161" s="10"/>
    </row>
    <row r="162" spans="2:20">
      <c r="B162" s="3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T162" s="10"/>
    </row>
    <row r="163" spans="2:20">
      <c r="B163" s="3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T163" s="10"/>
    </row>
    <row r="164" spans="2:20">
      <c r="B164" s="3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T164" s="10"/>
    </row>
    <row r="165" spans="2:20">
      <c r="B165" s="3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T165" s="10"/>
    </row>
    <row r="166" spans="2:20">
      <c r="B166" s="3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T166" s="10"/>
    </row>
    <row r="167" spans="2:20">
      <c r="B167" s="3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T167" s="10"/>
    </row>
    <row r="168" spans="2:20">
      <c r="B168" s="3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T168" s="10"/>
    </row>
    <row r="169" spans="2:20">
      <c r="B169" s="3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T169" s="10"/>
    </row>
    <row r="170" spans="2:20">
      <c r="B170" s="3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T170" s="10"/>
    </row>
    <row r="171" spans="2:20">
      <c r="B171" s="3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</row>
    <row r="172" spans="2:20">
      <c r="B172" s="3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</row>
    <row r="173" spans="2:20">
      <c r="B173" s="3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</row>
    <row r="174" spans="2:20">
      <c r="B174" s="3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</row>
    <row r="175" spans="2:20">
      <c r="B175" s="3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</row>
    <row r="176" spans="2:20">
      <c r="B176" s="3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</row>
    <row r="177" spans="2:14">
      <c r="B177" s="3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</row>
    <row r="178" spans="2:14">
      <c r="B178" s="3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</row>
    <row r="179" spans="2:14">
      <c r="B179" s="3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</row>
    <row r="180" spans="2:14">
      <c r="B180" s="3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</row>
    <row r="181" spans="2:14">
      <c r="B181" s="3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</row>
    <row r="182" spans="2:14">
      <c r="B182" s="3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</row>
    <row r="183" spans="2:14">
      <c r="B183" s="3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</row>
    <row r="184" spans="2:14">
      <c r="B184" s="3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</row>
    <row r="185" spans="2:14">
      <c r="B185" s="3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</row>
    <row r="186" spans="2:14">
      <c r="B186" s="3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</row>
    <row r="187" spans="2:14">
      <c r="B187" s="3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</row>
    <row r="188" spans="2:14">
      <c r="B188" s="3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</row>
    <row r="189" spans="2:14">
      <c r="B189" s="3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</row>
    <row r="190" spans="2:14">
      <c r="B190" s="3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</row>
    <row r="191" spans="2:14">
      <c r="B191" s="3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</row>
    <row r="192" spans="2:14">
      <c r="B192" s="3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</row>
    <row r="193" spans="2:14">
      <c r="B193" s="3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</row>
    <row r="194" spans="2:14">
      <c r="B194" s="3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</row>
    <row r="195" spans="2:14">
      <c r="B195" s="3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</row>
    <row r="196" spans="2:14">
      <c r="B196" s="3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</row>
    <row r="197" spans="2:14">
      <c r="B197" s="3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</row>
    <row r="198" spans="2:14">
      <c r="B198" s="3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</row>
    <row r="199" spans="2:14">
      <c r="B199" s="3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</row>
    <row r="200" spans="2:14">
      <c r="B200" s="3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</row>
    <row r="201" spans="2:14">
      <c r="B201" s="3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</row>
    <row r="202" spans="2:14">
      <c r="B202" s="3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</row>
    <row r="203" spans="2:14">
      <c r="B203" s="3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</row>
    <row r="204" spans="2:14">
      <c r="B204" s="3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</row>
    <row r="205" spans="2:14">
      <c r="B205" s="3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</row>
    <row r="206" spans="2:14">
      <c r="B206" s="3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</row>
    <row r="207" spans="2:14">
      <c r="B207" s="3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</row>
    <row r="208" spans="2:14">
      <c r="B208" s="3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</row>
    <row r="209" spans="2:14">
      <c r="B209" s="3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</row>
    <row r="210" spans="2:14">
      <c r="B210" s="3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</row>
    <row r="211" spans="2:14">
      <c r="B211" s="3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</row>
    <row r="212" spans="2:14">
      <c r="B212" s="3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</row>
    <row r="213" spans="2:14">
      <c r="B213" s="3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</row>
    <row r="214" spans="2:14">
      <c r="B214" s="3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</row>
    <row r="215" spans="2:14">
      <c r="B215" s="3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</row>
    <row r="216" spans="2:14">
      <c r="B216" s="3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</row>
    <row r="217" spans="2:14">
      <c r="B217" s="3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</row>
    <row r="218" spans="2:14">
      <c r="B218" s="3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</row>
    <row r="219" spans="2:14">
      <c r="B219" s="3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</row>
    <row r="220" spans="2:14">
      <c r="B220" s="3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</row>
    <row r="221" spans="2:14">
      <c r="B221" s="3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</row>
    <row r="222" spans="2:14">
      <c r="B222" s="3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</row>
    <row r="223" spans="2:14">
      <c r="B223" s="3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</row>
    <row r="224" spans="2:14">
      <c r="B224" s="3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</row>
    <row r="225" spans="2:14">
      <c r="B225" s="3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</row>
    <row r="226" spans="2:14">
      <c r="B226" s="3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</row>
    <row r="227" spans="2:14">
      <c r="B227" s="3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</row>
    <row r="228" spans="2:14">
      <c r="B228" s="3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</row>
    <row r="229" spans="2:14">
      <c r="B229" s="3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</row>
    <row r="230" spans="2:14">
      <c r="B230" s="3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</row>
    <row r="231" spans="2:14">
      <c r="B231" s="3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</row>
    <row r="232" spans="2:14">
      <c r="B232" s="3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</row>
    <row r="233" spans="2:14">
      <c r="B233" s="3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</row>
    <row r="234" spans="2:14">
      <c r="B234" s="3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</row>
    <row r="235" spans="2:14">
      <c r="B235" s="3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</row>
    <row r="236" spans="2:14">
      <c r="B236" s="3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</row>
    <row r="237" spans="2:14">
      <c r="B237" s="3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</row>
    <row r="238" spans="2:14">
      <c r="B238" s="3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</row>
    <row r="239" spans="2:14">
      <c r="B239" s="3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</row>
    <row r="240" spans="2:14">
      <c r="B240" s="3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</row>
    <row r="241" spans="2:14">
      <c r="B241" s="3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</row>
    <row r="242" spans="2:14">
      <c r="B242" s="3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</row>
    <row r="243" spans="2:14">
      <c r="B243" s="3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</row>
    <row r="244" spans="2:14">
      <c r="B244" s="3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</row>
    <row r="245" spans="2:14">
      <c r="B245" s="3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</row>
    <row r="246" spans="2:14">
      <c r="B246" s="3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</row>
    <row r="247" spans="2:14">
      <c r="B247" s="3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</row>
    <row r="248" spans="2:14">
      <c r="B248" s="3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</row>
    <row r="249" spans="2:14">
      <c r="B249" s="3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</row>
    <row r="250" spans="2:14">
      <c r="B250" s="3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</row>
    <row r="251" spans="2:14">
      <c r="B251" s="3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</row>
    <row r="252" spans="2:14">
      <c r="B252" s="3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</row>
    <row r="253" spans="2:14">
      <c r="B253" s="3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</row>
    <row r="254" spans="2:14">
      <c r="B254" s="3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</row>
    <row r="255" spans="2:14">
      <c r="B255" s="3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</row>
    <row r="256" spans="2:14">
      <c r="B256" s="3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</row>
    <row r="257" spans="2:14">
      <c r="B257" s="3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</row>
    <row r="258" spans="2:14">
      <c r="B258" s="3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</row>
    <row r="259" spans="2:14">
      <c r="B259" s="3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</row>
    <row r="260" spans="2:14">
      <c r="B260" s="3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</row>
    <row r="261" spans="2:14">
      <c r="B261" s="3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</row>
    <row r="262" spans="2:14">
      <c r="B262" s="3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</row>
    <row r="263" spans="2:14">
      <c r="B263" s="3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</row>
    <row r="264" spans="2:14">
      <c r="B264" s="3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</row>
    <row r="265" spans="2:14">
      <c r="B265" s="3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</row>
    <row r="266" spans="2:14">
      <c r="B266" s="3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</row>
    <row r="267" spans="2:14">
      <c r="B267" s="3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</row>
    <row r="268" spans="2:14">
      <c r="B268" s="3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</row>
    <row r="269" spans="2:14">
      <c r="B269" s="3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</row>
    <row r="270" spans="2:14">
      <c r="B270" s="3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</row>
    <row r="271" spans="2:14">
      <c r="B271" s="3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</row>
    <row r="272" spans="2:14">
      <c r="B272" s="3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</row>
    <row r="273" spans="2:14">
      <c r="B273" s="3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</row>
    <row r="274" spans="2:14">
      <c r="B274" s="3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</row>
    <row r="275" spans="2:14">
      <c r="B275" s="3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</row>
    <row r="276" spans="2:14">
      <c r="B276" s="3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</row>
    <row r="277" spans="2:14">
      <c r="B277" s="3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</row>
    <row r="278" spans="2:14">
      <c r="B278" s="3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</row>
    <row r="279" spans="2:14">
      <c r="B279" s="3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</row>
    <row r="280" spans="2:14">
      <c r="B280" s="3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</row>
    <row r="281" spans="2:14">
      <c r="B281" s="3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</row>
    <row r="282" spans="2:14">
      <c r="B282" s="3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</row>
    <row r="283" spans="2:14">
      <c r="B283" s="3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</row>
    <row r="284" spans="2:14">
      <c r="B284" s="3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</row>
    <row r="285" spans="2:14">
      <c r="B285" s="3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</row>
    <row r="286" spans="2:14">
      <c r="B286" s="3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</row>
    <row r="287" spans="2:14">
      <c r="B287" s="3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</row>
    <row r="288" spans="2:14">
      <c r="B288" s="3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</row>
    <row r="289" spans="2:14">
      <c r="B289" s="3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</row>
    <row r="290" spans="2:14">
      <c r="B290" s="3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</row>
    <row r="291" spans="2:14">
      <c r="B291" s="3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</row>
    <row r="292" spans="2:14">
      <c r="B292" s="3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</row>
    <row r="293" spans="2:14">
      <c r="B293" s="3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</row>
    <row r="294" spans="2:14">
      <c r="B294" s="3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</row>
    <row r="295" spans="2:14">
      <c r="B295" s="3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</row>
    <row r="296" spans="2:14">
      <c r="B296" s="3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</row>
    <row r="297" spans="2:14">
      <c r="B297" s="3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</row>
    <row r="298" spans="2:14">
      <c r="B298" s="3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</row>
    <row r="299" spans="2:14">
      <c r="B299" s="3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</row>
    <row r="300" spans="2:14">
      <c r="B300" s="3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</row>
    <row r="301" spans="2:14">
      <c r="B301" s="3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</row>
    <row r="302" spans="2:14">
      <c r="B302" s="3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</row>
    <row r="303" spans="2:14">
      <c r="B303" s="3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</row>
    <row r="304" spans="2:14">
      <c r="B304" s="3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</row>
    <row r="305" spans="2:14">
      <c r="B305" s="3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</row>
    <row r="306" spans="2:14">
      <c r="B306" s="3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</row>
    <row r="307" spans="2:14">
      <c r="B307" s="3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</row>
    <row r="308" spans="2:14">
      <c r="B308" s="3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</row>
    <row r="309" spans="2:14">
      <c r="B309" s="3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</row>
    <row r="310" spans="2:14">
      <c r="B310" s="3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</row>
    <row r="311" spans="2:14">
      <c r="B311" s="3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</row>
    <row r="312" spans="2:14">
      <c r="B312" s="3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</row>
    <row r="313" spans="2:14">
      <c r="B313" s="3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</row>
    <row r="314" spans="2:14">
      <c r="B314" s="3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</row>
    <row r="315" spans="2:14">
      <c r="B315" s="3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</row>
    <row r="316" spans="2:14">
      <c r="B316" s="3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</row>
    <row r="317" spans="2:14">
      <c r="B317" s="3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</row>
    <row r="318" spans="2:14">
      <c r="B318" s="3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</row>
    <row r="319" spans="2:14">
      <c r="B319" s="3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</row>
    <row r="320" spans="2:14">
      <c r="B320" s="3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</row>
    <row r="321" spans="2:14">
      <c r="B321" s="3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</row>
    <row r="322" spans="2:14">
      <c r="B322" s="3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</row>
    <row r="323" spans="2:14">
      <c r="B323" s="3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</row>
    <row r="324" spans="2:14">
      <c r="B324" s="3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</row>
    <row r="325" spans="2:14">
      <c r="B325" s="3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</row>
    <row r="326" spans="2:14">
      <c r="B326" s="3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</row>
    <row r="327" spans="2:14">
      <c r="B327" s="3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</row>
    <row r="328" spans="2:14">
      <c r="B328" s="3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</row>
    <row r="329" spans="2:14">
      <c r="B329" s="3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</row>
    <row r="330" spans="2:14">
      <c r="B330" s="3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</row>
    <row r="331" spans="2:14">
      <c r="B331" s="3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</row>
    <row r="332" spans="2:14">
      <c r="B332" s="3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</row>
    <row r="333" spans="2:14">
      <c r="B333" s="3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</row>
    <row r="334" spans="2:14">
      <c r="B334" s="3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</row>
    <row r="335" spans="2:14">
      <c r="B335" s="3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</row>
    <row r="336" spans="2:14">
      <c r="B336" s="3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</row>
    <row r="337" spans="2:14">
      <c r="B337" s="3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</row>
    <row r="338" spans="2:14">
      <c r="B338" s="3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</row>
    <row r="339" spans="2:14">
      <c r="B339" s="3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</row>
    <row r="340" spans="2:14">
      <c r="B340" s="3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</row>
    <row r="341" spans="2:14">
      <c r="B341" s="3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</row>
    <row r="342" spans="2:14">
      <c r="B342" s="3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</row>
    <row r="343" spans="2:14">
      <c r="B343" s="3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</row>
    <row r="344" spans="2:14">
      <c r="B344" s="3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</row>
    <row r="345" spans="2:14">
      <c r="B345" s="3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</row>
    <row r="346" spans="2:14">
      <c r="B346" s="3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</row>
    <row r="347" spans="2:14">
      <c r="B347" s="3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</row>
    <row r="348" spans="2:14">
      <c r="B348" s="3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</row>
    <row r="349" spans="2:14">
      <c r="B349" s="3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</row>
    <row r="350" spans="2:14">
      <c r="B350" s="3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</row>
    <row r="351" spans="2:14">
      <c r="B351" s="3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</row>
    <row r="352" spans="2:14">
      <c r="B352" s="3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</row>
    <row r="353" spans="2:14">
      <c r="B353" s="3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</row>
    <row r="354" spans="2:14">
      <c r="B354" s="3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</row>
    <row r="355" spans="2:14">
      <c r="B355" s="3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</row>
    <row r="356" spans="2:14">
      <c r="B356" s="3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</row>
    <row r="357" spans="2:14">
      <c r="B357" s="3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</row>
    <row r="358" spans="2:14">
      <c r="B358" s="3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</row>
    <row r="359" spans="2:14">
      <c r="B359" s="3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</row>
    <row r="360" spans="2:14">
      <c r="B360" s="3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</row>
    <row r="361" spans="2:14">
      <c r="B361" s="3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</row>
    <row r="362" spans="2:14">
      <c r="B362" s="3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</row>
    <row r="363" spans="2:14">
      <c r="B363" s="3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</row>
    <row r="364" spans="2:14">
      <c r="B364" s="3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</row>
    <row r="365" spans="2:14">
      <c r="B365" s="3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</row>
    <row r="366" spans="2:14">
      <c r="B366" s="3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</row>
    <row r="367" spans="2:14">
      <c r="B367" s="3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</row>
    <row r="368" spans="2:14">
      <c r="B368" s="3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</row>
    <row r="369" spans="2:14">
      <c r="B369" s="3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</row>
    <row r="370" spans="2:14">
      <c r="B370" s="3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</row>
    <row r="371" spans="2:14">
      <c r="B371" s="3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</row>
    <row r="372" spans="2:14">
      <c r="B372" s="3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</row>
    <row r="373" spans="2:14">
      <c r="B373" s="3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</row>
    <row r="374" spans="2:14">
      <c r="B374" s="3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</row>
    <row r="375" spans="2:14">
      <c r="B375" s="3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</row>
    <row r="376" spans="2:14">
      <c r="B376" s="3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</row>
    <row r="377" spans="2:14">
      <c r="B377" s="3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</row>
    <row r="378" spans="2:14">
      <c r="B378" s="3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</row>
    <row r="379" spans="2:14">
      <c r="B379" s="3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</row>
    <row r="380" spans="2:14">
      <c r="B380" s="3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</row>
    <row r="381" spans="2:14">
      <c r="B381" s="3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</row>
    <row r="382" spans="2:14">
      <c r="B382" s="3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</row>
    <row r="383" spans="2:14">
      <c r="B383" s="3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</row>
    <row r="384" spans="2:14">
      <c r="B384" s="3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</row>
    <row r="385" spans="2:14">
      <c r="B385" s="3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</row>
    <row r="386" spans="2:14">
      <c r="B386" s="3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</row>
    <row r="387" spans="2:14">
      <c r="B387" s="3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</row>
    <row r="388" spans="2:14">
      <c r="B388" s="3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</row>
    <row r="389" spans="2:14">
      <c r="B389" s="3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</row>
    <row r="390" spans="2:14">
      <c r="B390" s="3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</row>
    <row r="391" spans="2:14">
      <c r="B391" s="3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</row>
    <row r="392" spans="2:14">
      <c r="B392" s="3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</row>
    <row r="393" spans="2:14">
      <c r="B393" s="3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</row>
    <row r="394" spans="2:14">
      <c r="B394" s="3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</row>
    <row r="395" spans="2:14">
      <c r="B395" s="3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</row>
    <row r="396" spans="2:14">
      <c r="B396" s="3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</row>
    <row r="397" spans="2:14">
      <c r="B397" s="3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</row>
    <row r="398" spans="2:14">
      <c r="B398" s="3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</row>
    <row r="399" spans="2:14">
      <c r="B399" s="3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</row>
    <row r="400" spans="2:14">
      <c r="B400" s="3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</row>
    <row r="401" spans="2:14">
      <c r="B401" s="3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</row>
    <row r="402" spans="2:14">
      <c r="B402" s="3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</row>
    <row r="403" spans="2:14">
      <c r="B403" s="3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</row>
    <row r="404" spans="2:14">
      <c r="B404" s="3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</row>
    <row r="405" spans="2:14">
      <c r="B405" s="3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</row>
    <row r="406" spans="2:14">
      <c r="B406" s="3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</row>
    <row r="407" spans="2:14">
      <c r="B407" s="3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</row>
    <row r="408" spans="2:14">
      <c r="B408" s="3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</row>
    <row r="409" spans="2:14">
      <c r="B409" s="3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</row>
    <row r="410" spans="2:14">
      <c r="B410" s="3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</row>
    <row r="411" spans="2:14">
      <c r="B411" s="3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</row>
    <row r="412" spans="2:14">
      <c r="B412" s="3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</row>
    <row r="413" spans="2:14">
      <c r="B413" s="3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</row>
    <row r="414" spans="2:14">
      <c r="B414" s="3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</row>
    <row r="415" spans="2:14">
      <c r="B415" s="3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</row>
    <row r="416" spans="2:14">
      <c r="B416" s="3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</row>
    <row r="417" spans="2:14">
      <c r="B417" s="3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</row>
    <row r="418" spans="2:14">
      <c r="B418" s="3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</row>
    <row r="419" spans="2:14">
      <c r="B419" s="3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</row>
    <row r="420" spans="2:14">
      <c r="B420" s="3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</row>
    <row r="421" spans="2:14">
      <c r="B421" s="3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</row>
    <row r="422" spans="2:14">
      <c r="B422" s="3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</row>
    <row r="423" spans="2:14">
      <c r="B423" s="3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</row>
    <row r="424" spans="2:14">
      <c r="B424" s="3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</row>
    <row r="425" spans="2:14">
      <c r="B425" s="3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</row>
    <row r="426" spans="2:14">
      <c r="B426" s="3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</row>
    <row r="427" spans="2:14">
      <c r="B427" s="3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</row>
    <row r="428" spans="2:14">
      <c r="B428" s="3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</row>
    <row r="429" spans="2:14">
      <c r="B429" s="3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</row>
    <row r="430" spans="2:14">
      <c r="B430" s="3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</row>
    <row r="431" spans="2:14">
      <c r="B431" s="3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</row>
    <row r="432" spans="2:14">
      <c r="B432" s="3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</row>
    <row r="433" spans="2:14">
      <c r="B433" s="3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</row>
    <row r="434" spans="2:14">
      <c r="B434" s="3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</row>
    <row r="435" spans="2:14">
      <c r="B435" s="3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</row>
    <row r="436" spans="2:14">
      <c r="B436" s="3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</row>
    <row r="437" spans="2:14">
      <c r="B437" s="3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</row>
    <row r="438" spans="2:14">
      <c r="B438" s="3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</row>
    <row r="439" spans="2:14">
      <c r="B439" s="3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</row>
    <row r="440" spans="2:14">
      <c r="B440" s="3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</row>
    <row r="441" spans="2:14">
      <c r="B441" s="3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</row>
    <row r="442" spans="2:14">
      <c r="B442" s="3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</row>
    <row r="443" spans="2:14">
      <c r="B443" s="3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</row>
    <row r="444" spans="2:14">
      <c r="B444" s="3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</row>
    <row r="445" spans="2:14">
      <c r="B445" s="3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</row>
    <row r="446" spans="2:14">
      <c r="B446" s="3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</row>
    <row r="447" spans="2:14">
      <c r="B447" s="3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</row>
    <row r="448" spans="2:14">
      <c r="B448" s="3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</row>
    <row r="449" spans="2:14">
      <c r="B449" s="3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</row>
    <row r="450" spans="2:14">
      <c r="B450" s="3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</row>
    <row r="451" spans="2:14">
      <c r="B451" s="3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</row>
    <row r="452" spans="2:14">
      <c r="B452" s="3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</row>
    <row r="453" spans="2:14">
      <c r="B453" s="3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</row>
    <row r="454" spans="2:14">
      <c r="B454" s="3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</row>
    <row r="455" spans="2:14">
      <c r="B455" s="3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</row>
    <row r="456" spans="2:14">
      <c r="B456" s="3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</row>
    <row r="457" spans="2:14">
      <c r="B457" s="3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</row>
    <row r="458" spans="2:14">
      <c r="B458" s="3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</row>
    <row r="459" spans="2:14">
      <c r="B459" s="3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</row>
    <row r="460" spans="2:14">
      <c r="B460" s="3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</row>
    <row r="461" spans="2:14">
      <c r="B461" s="3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</row>
    <row r="462" spans="2:14">
      <c r="B462" s="3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</row>
    <row r="463" spans="2:14">
      <c r="B463" s="3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</row>
    <row r="464" spans="2:14">
      <c r="B464" s="3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</row>
    <row r="465" spans="2:14">
      <c r="B465" s="3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</row>
    <row r="466" spans="2:14">
      <c r="B466" s="3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</row>
    <row r="467" spans="2:14">
      <c r="B467" s="3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</row>
    <row r="468" spans="2:14">
      <c r="B468" s="3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</row>
    <row r="469" spans="2:14">
      <c r="B469" s="3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</row>
    <row r="470" spans="2:14">
      <c r="B470" s="3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</row>
    <row r="471" spans="2:14">
      <c r="B471" s="3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</row>
    <row r="472" spans="2:14">
      <c r="B472" s="3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</row>
    <row r="473" spans="2:14">
      <c r="B473" s="3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</row>
    <row r="474" spans="2:14">
      <c r="B474" s="3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</row>
    <row r="475" spans="2:14">
      <c r="B475" s="3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</row>
    <row r="476" spans="2:14">
      <c r="B476" s="3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</row>
    <row r="477" spans="2:14">
      <c r="B477" s="3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</row>
    <row r="478" spans="2:14">
      <c r="B478" s="3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</row>
    <row r="479" spans="2:14">
      <c r="B479" s="3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</row>
    <row r="480" spans="2:14">
      <c r="B480" s="3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</row>
    <row r="481" spans="2:14">
      <c r="B481" s="3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</row>
    <row r="482" spans="2:14">
      <c r="B482" s="3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</row>
    <row r="483" spans="2:14">
      <c r="B483" s="3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</row>
    <row r="484" spans="2:14">
      <c r="B484" s="3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</row>
    <row r="485" spans="2:14">
      <c r="B485" s="3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</row>
    <row r="486" spans="2:14">
      <c r="B486" s="3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</row>
    <row r="487" spans="2:14">
      <c r="B487" s="3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</row>
    <row r="488" spans="2:14">
      <c r="B488" s="3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</row>
    <row r="489" spans="2:14">
      <c r="B489" s="3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</row>
    <row r="490" spans="2:14">
      <c r="B490" s="3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</row>
    <row r="491" spans="2:14">
      <c r="B491" s="3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</row>
    <row r="492" spans="2:14">
      <c r="B492" s="3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</row>
    <row r="493" spans="2:14">
      <c r="B493" s="3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</row>
    <row r="494" spans="2:14">
      <c r="B494" s="3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</row>
    <row r="495" spans="2:14">
      <c r="B495" s="3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</row>
    <row r="496" spans="2:14">
      <c r="B496" s="3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</row>
    <row r="497" spans="2:14">
      <c r="B497" s="3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</row>
    <row r="498" spans="2:14">
      <c r="B498" s="3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</row>
    <row r="499" spans="2:14">
      <c r="B499" s="3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</row>
    <row r="500" spans="2:14">
      <c r="B500" s="3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</row>
    <row r="501" spans="2:14">
      <c r="B501" s="3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</row>
    <row r="502" spans="2:14">
      <c r="B502" s="3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</row>
    <row r="503" spans="2:14">
      <c r="B503" s="3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</row>
    <row r="504" spans="2:14">
      <c r="B504" s="3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</row>
    <row r="505" spans="2:14">
      <c r="B505" s="3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</row>
    <row r="506" spans="2:14">
      <c r="B506" s="3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</row>
    <row r="507" spans="2:14">
      <c r="B507" s="3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</row>
    <row r="508" spans="2:14">
      <c r="B508" s="3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</row>
    <row r="509" spans="2:14">
      <c r="B509" s="3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</row>
    <row r="510" spans="2:14">
      <c r="B510" s="3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</row>
    <row r="511" spans="2:14">
      <c r="B511" s="3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</row>
    <row r="512" spans="2:14">
      <c r="B512" s="3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</row>
    <row r="513" spans="2:14">
      <c r="B513" s="3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</row>
    <row r="514" spans="2:14">
      <c r="B514" s="3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</row>
    <row r="515" spans="2:14">
      <c r="B515" s="3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</row>
    <row r="516" spans="2:14">
      <c r="B516" s="3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DF854-C5D4-4BA6-9477-04DDD3DCC708}">
  <sheetPr codeName="Sheet2"/>
  <dimension ref="PT2502"/>
  <sheetViews>
    <sheetView workbookViewId="0"/>
  </sheetViews>
  <sheetFormatPr defaultRowHeight="14.5"/>
  <sheetData>
    <row r="2502" spans="436:436">
      <c r="PT2502" s="30">
        <v>45212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7CBF-184E-4D8E-9BFD-BE7F84F6BFE6}">
  <sheetPr codeName="Sheet3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Warning</vt:lpstr>
      <vt:lpstr>dt</vt:lpstr>
      <vt:lpstr>k</vt:lpstr>
      <vt:lpstr>r0</vt:lpstr>
      <vt:lpstr>theta</vt:lpstr>
      <vt:lpstr>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Satyapriya Ojha</dc:creator>
  <cp:lastModifiedBy>Bhavya Gupta</cp:lastModifiedBy>
  <dcterms:created xsi:type="dcterms:W3CDTF">2022-11-24T13:15:54Z</dcterms:created>
  <dcterms:modified xsi:type="dcterms:W3CDTF">2023-10-13T17:48:18Z</dcterms:modified>
</cp:coreProperties>
</file>