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0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HAVYA\Desktop\P2\"/>
    </mc:Choice>
  </mc:AlternateContent>
  <xr:revisionPtr revIDLastSave="0" documentId="13_ncr:1_{51945FD4-4F5B-4597-86B5-57CFF816FF26}" xr6:coauthVersionLast="47" xr6:coauthVersionMax="47" xr10:uidLastSave="{00000000-0000-0000-0000-000000000000}"/>
  <bookViews>
    <workbookView xWindow="-110" yWindow="-110" windowWidth="19420" windowHeight="10300" firstSheet="3" activeTab="3" xr2:uid="{E06D621C-4286-49EE-8377-8D91397B69AD}"/>
  </bookViews>
  <sheets>
    <sheet name="Copyright" sheetId="5" state="veryHidden" r:id="rId1"/>
    <sheet name="1" sheetId="2" state="veryHidden" r:id="rId2"/>
    <sheet name="P2T_Input" sheetId="3" state="veryHidden" r:id="rId3"/>
    <sheet name="Warning" sheetId="4" r:id="rId4"/>
  </sheets>
  <definedNames>
    <definedName name="dt">'1'!$C$18</definedName>
    <definedName name="k">'1'!$C$14</definedName>
    <definedName name="r0">'1'!$C$17</definedName>
    <definedName name="theta">'1'!$C$15</definedName>
    <definedName name="vol">'1'!$C$16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8" i="2" l="1"/>
  <c r="S19" i="2" l="1"/>
  <c r="T19" i="2"/>
  <c r="U19" i="2"/>
  <c r="V19" i="2"/>
  <c r="W19" i="2"/>
  <c r="X19" i="2"/>
  <c r="Y19" i="2"/>
  <c r="Z19" i="2"/>
  <c r="AA19" i="2"/>
  <c r="AB19" i="2"/>
  <c r="AC19" i="2"/>
  <c r="AD19" i="2"/>
  <c r="AE19" i="2"/>
  <c r="AF19" i="2"/>
  <c r="AG19" i="2"/>
  <c r="AH19" i="2"/>
  <c r="AI19" i="2"/>
  <c r="AJ19" i="2"/>
  <c r="AK19" i="2"/>
  <c r="AL19" i="2"/>
  <c r="AM19" i="2"/>
  <c r="AN19" i="2"/>
  <c r="AO19" i="2"/>
  <c r="AP19" i="2"/>
  <c r="AQ19" i="2"/>
  <c r="AR19" i="2"/>
  <c r="AS19" i="2"/>
  <c r="AT19" i="2"/>
  <c r="AU19" i="2"/>
  <c r="AV19" i="2"/>
  <c r="AW19" i="2"/>
  <c r="AX19" i="2"/>
  <c r="AY19" i="2"/>
  <c r="AZ19" i="2"/>
  <c r="BA19" i="2"/>
  <c r="R19" i="2"/>
  <c r="S14" i="2"/>
  <c r="L14" i="2"/>
  <c r="S18" i="2"/>
  <c r="T18" i="2"/>
  <c r="R18" i="2"/>
  <c r="C23" i="2"/>
  <c r="D23" i="2" s="1"/>
  <c r="E23" i="2" s="1"/>
  <c r="F23" i="2" s="1"/>
  <c r="G23" i="2" s="1"/>
  <c r="H23" i="2" s="1"/>
  <c r="I23" i="2" s="1"/>
  <c r="J23" i="2" s="1"/>
  <c r="K23" i="2" s="1"/>
  <c r="L23" i="2" s="1"/>
  <c r="M23" i="2" s="1"/>
  <c r="N23" i="2" s="1"/>
  <c r="O23" i="2" s="1"/>
  <c r="C24" i="2"/>
  <c r="D24" i="2" s="1"/>
  <c r="E24" i="2" s="1"/>
  <c r="F24" i="2" s="1"/>
  <c r="G24" i="2" s="1"/>
  <c r="H24" i="2" s="1"/>
  <c r="I24" i="2" s="1"/>
  <c r="J24" i="2" s="1"/>
  <c r="K24" i="2" s="1"/>
  <c r="L24" i="2" s="1"/>
  <c r="M24" i="2" s="1"/>
  <c r="N24" i="2" s="1"/>
  <c r="O24" i="2" s="1"/>
  <c r="C25" i="2"/>
  <c r="D25" i="2" s="1"/>
  <c r="E25" i="2" s="1"/>
  <c r="F25" i="2" s="1"/>
  <c r="G25" i="2" s="1"/>
  <c r="H25" i="2" s="1"/>
  <c r="I25" i="2" s="1"/>
  <c r="J25" i="2" s="1"/>
  <c r="K25" i="2" s="1"/>
  <c r="L25" i="2" s="1"/>
  <c r="M25" i="2" s="1"/>
  <c r="N25" i="2" s="1"/>
  <c r="O25" i="2" s="1"/>
  <c r="C26" i="2"/>
  <c r="D26" i="2" s="1"/>
  <c r="E26" i="2" s="1"/>
  <c r="F26" i="2" s="1"/>
  <c r="G26" i="2" s="1"/>
  <c r="H26" i="2" s="1"/>
  <c r="I26" i="2" s="1"/>
  <c r="J26" i="2" s="1"/>
  <c r="K26" i="2" s="1"/>
  <c r="L26" i="2" s="1"/>
  <c r="M26" i="2" s="1"/>
  <c r="N26" i="2" s="1"/>
  <c r="O26" i="2" s="1"/>
  <c r="C27" i="2"/>
  <c r="D27" i="2" s="1"/>
  <c r="E27" i="2" s="1"/>
  <c r="F27" i="2" s="1"/>
  <c r="G27" i="2" s="1"/>
  <c r="H27" i="2" s="1"/>
  <c r="I27" i="2" s="1"/>
  <c r="J27" i="2" s="1"/>
  <c r="K27" i="2" s="1"/>
  <c r="L27" i="2" s="1"/>
  <c r="M27" i="2" s="1"/>
  <c r="N27" i="2" s="1"/>
  <c r="O27" i="2" s="1"/>
  <c r="C28" i="2"/>
  <c r="D28" i="2" s="1"/>
  <c r="E28" i="2" s="1"/>
  <c r="F28" i="2" s="1"/>
  <c r="G28" i="2" s="1"/>
  <c r="H28" i="2" s="1"/>
  <c r="I28" i="2" s="1"/>
  <c r="J28" i="2" s="1"/>
  <c r="K28" i="2" s="1"/>
  <c r="L28" i="2" s="1"/>
  <c r="M28" i="2" s="1"/>
  <c r="N28" i="2" s="1"/>
  <c r="O28" i="2" s="1"/>
  <c r="C29" i="2"/>
  <c r="D29" i="2" s="1"/>
  <c r="E29" i="2" s="1"/>
  <c r="F29" i="2" s="1"/>
  <c r="G29" i="2" s="1"/>
  <c r="H29" i="2" s="1"/>
  <c r="I29" i="2" s="1"/>
  <c r="J29" i="2" s="1"/>
  <c r="K29" i="2" s="1"/>
  <c r="L29" i="2" s="1"/>
  <c r="M29" i="2" s="1"/>
  <c r="N29" i="2" s="1"/>
  <c r="O29" i="2" s="1"/>
  <c r="C30" i="2"/>
  <c r="D30" i="2" s="1"/>
  <c r="E30" i="2" s="1"/>
  <c r="F30" i="2" s="1"/>
  <c r="G30" i="2" s="1"/>
  <c r="H30" i="2" s="1"/>
  <c r="I30" i="2" s="1"/>
  <c r="J30" i="2" s="1"/>
  <c r="K30" i="2" s="1"/>
  <c r="L30" i="2" s="1"/>
  <c r="M30" i="2" s="1"/>
  <c r="N30" i="2" s="1"/>
  <c r="O30" i="2" s="1"/>
  <c r="C31" i="2"/>
  <c r="D31" i="2" s="1"/>
  <c r="E31" i="2" s="1"/>
  <c r="F31" i="2" s="1"/>
  <c r="G31" i="2" s="1"/>
  <c r="H31" i="2" s="1"/>
  <c r="I31" i="2" s="1"/>
  <c r="J31" i="2" s="1"/>
  <c r="K31" i="2" s="1"/>
  <c r="L31" i="2" s="1"/>
  <c r="M31" i="2" s="1"/>
  <c r="N31" i="2" s="1"/>
  <c r="O31" i="2" s="1"/>
  <c r="C32" i="2"/>
  <c r="D32" i="2" s="1"/>
  <c r="E32" i="2" s="1"/>
  <c r="F32" i="2" s="1"/>
  <c r="G32" i="2" s="1"/>
  <c r="H32" i="2" s="1"/>
  <c r="I32" i="2" s="1"/>
  <c r="J32" i="2" s="1"/>
  <c r="K32" i="2" s="1"/>
  <c r="L32" i="2" s="1"/>
  <c r="M32" i="2" s="1"/>
  <c r="N32" i="2" s="1"/>
  <c r="O32" i="2" s="1"/>
  <c r="C33" i="2"/>
  <c r="D33" i="2" s="1"/>
  <c r="E33" i="2" s="1"/>
  <c r="F33" i="2" s="1"/>
  <c r="G33" i="2" s="1"/>
  <c r="H33" i="2" s="1"/>
  <c r="I33" i="2" s="1"/>
  <c r="J33" i="2" s="1"/>
  <c r="K33" i="2" s="1"/>
  <c r="L33" i="2" s="1"/>
  <c r="M33" i="2" s="1"/>
  <c r="N33" i="2" s="1"/>
  <c r="O33" i="2" s="1"/>
  <c r="C34" i="2"/>
  <c r="D34" i="2" s="1"/>
  <c r="E34" i="2" s="1"/>
  <c r="F34" i="2" s="1"/>
  <c r="G34" i="2" s="1"/>
  <c r="H34" i="2" s="1"/>
  <c r="I34" i="2" s="1"/>
  <c r="J34" i="2" s="1"/>
  <c r="K34" i="2" s="1"/>
  <c r="L34" i="2" s="1"/>
  <c r="M34" i="2" s="1"/>
  <c r="N34" i="2" s="1"/>
  <c r="O34" i="2" s="1"/>
  <c r="C35" i="2"/>
  <c r="D35" i="2" s="1"/>
  <c r="E35" i="2" s="1"/>
  <c r="F35" i="2" s="1"/>
  <c r="G35" i="2" s="1"/>
  <c r="H35" i="2" s="1"/>
  <c r="I35" i="2" s="1"/>
  <c r="J35" i="2" s="1"/>
  <c r="K35" i="2" s="1"/>
  <c r="L35" i="2" s="1"/>
  <c r="M35" i="2" s="1"/>
  <c r="N35" i="2" s="1"/>
  <c r="O35" i="2" s="1"/>
  <c r="C36" i="2"/>
  <c r="D36" i="2" s="1"/>
  <c r="E36" i="2" s="1"/>
  <c r="F36" i="2" s="1"/>
  <c r="G36" i="2" s="1"/>
  <c r="H36" i="2" s="1"/>
  <c r="I36" i="2" s="1"/>
  <c r="J36" i="2" s="1"/>
  <c r="K36" i="2" s="1"/>
  <c r="L36" i="2" s="1"/>
  <c r="M36" i="2" s="1"/>
  <c r="N36" i="2" s="1"/>
  <c r="O36" i="2" s="1"/>
  <c r="C37" i="2"/>
  <c r="D37" i="2" s="1"/>
  <c r="E37" i="2" s="1"/>
  <c r="F37" i="2" s="1"/>
  <c r="G37" i="2" s="1"/>
  <c r="H37" i="2" s="1"/>
  <c r="I37" i="2" s="1"/>
  <c r="J37" i="2" s="1"/>
  <c r="K37" i="2" s="1"/>
  <c r="L37" i="2" s="1"/>
  <c r="M37" i="2" s="1"/>
  <c r="N37" i="2" s="1"/>
  <c r="O37" i="2" s="1"/>
  <c r="C38" i="2"/>
  <c r="D38" i="2" s="1"/>
  <c r="E38" i="2" s="1"/>
  <c r="F38" i="2" s="1"/>
  <c r="G38" i="2" s="1"/>
  <c r="H38" i="2" s="1"/>
  <c r="I38" i="2" s="1"/>
  <c r="J38" i="2" s="1"/>
  <c r="K38" i="2" s="1"/>
  <c r="L38" i="2" s="1"/>
  <c r="M38" i="2" s="1"/>
  <c r="N38" i="2" s="1"/>
  <c r="O38" i="2" s="1"/>
  <c r="C39" i="2"/>
  <c r="D39" i="2" s="1"/>
  <c r="E39" i="2" s="1"/>
  <c r="F39" i="2" s="1"/>
  <c r="G39" i="2" s="1"/>
  <c r="H39" i="2" s="1"/>
  <c r="I39" i="2" s="1"/>
  <c r="J39" i="2" s="1"/>
  <c r="K39" i="2" s="1"/>
  <c r="L39" i="2" s="1"/>
  <c r="M39" i="2" s="1"/>
  <c r="N39" i="2" s="1"/>
  <c r="O39" i="2" s="1"/>
  <c r="C40" i="2"/>
  <c r="D40" i="2" s="1"/>
  <c r="E40" i="2" s="1"/>
  <c r="F40" i="2" s="1"/>
  <c r="G40" i="2" s="1"/>
  <c r="H40" i="2" s="1"/>
  <c r="I40" i="2" s="1"/>
  <c r="J40" i="2" s="1"/>
  <c r="K40" i="2" s="1"/>
  <c r="L40" i="2" s="1"/>
  <c r="M40" i="2" s="1"/>
  <c r="N40" i="2" s="1"/>
  <c r="O40" i="2" s="1"/>
  <c r="C41" i="2"/>
  <c r="D41" i="2" s="1"/>
  <c r="E41" i="2" s="1"/>
  <c r="F41" i="2" s="1"/>
  <c r="G41" i="2" s="1"/>
  <c r="H41" i="2" s="1"/>
  <c r="I41" i="2" s="1"/>
  <c r="J41" i="2" s="1"/>
  <c r="K41" i="2" s="1"/>
  <c r="L41" i="2" s="1"/>
  <c r="M41" i="2" s="1"/>
  <c r="N41" i="2" s="1"/>
  <c r="O41" i="2" s="1"/>
  <c r="C42" i="2"/>
  <c r="D42" i="2" s="1"/>
  <c r="E42" i="2" s="1"/>
  <c r="F42" i="2" s="1"/>
  <c r="G42" i="2" s="1"/>
  <c r="H42" i="2" s="1"/>
  <c r="I42" i="2" s="1"/>
  <c r="J42" i="2" s="1"/>
  <c r="K42" i="2" s="1"/>
  <c r="L42" i="2" s="1"/>
  <c r="M42" i="2" s="1"/>
  <c r="N42" i="2" s="1"/>
  <c r="O42" i="2" s="1"/>
  <c r="C43" i="2"/>
  <c r="D43" i="2" s="1"/>
  <c r="E43" i="2" s="1"/>
  <c r="F43" i="2" s="1"/>
  <c r="G43" i="2" s="1"/>
  <c r="H43" i="2" s="1"/>
  <c r="I43" i="2" s="1"/>
  <c r="J43" i="2" s="1"/>
  <c r="K43" i="2" s="1"/>
  <c r="L43" i="2" s="1"/>
  <c r="M43" i="2" s="1"/>
  <c r="N43" i="2" s="1"/>
  <c r="O43" i="2" s="1"/>
  <c r="C44" i="2"/>
  <c r="D44" i="2" s="1"/>
  <c r="E44" i="2" s="1"/>
  <c r="F44" i="2" s="1"/>
  <c r="G44" i="2" s="1"/>
  <c r="H44" i="2" s="1"/>
  <c r="I44" i="2" s="1"/>
  <c r="J44" i="2" s="1"/>
  <c r="K44" i="2" s="1"/>
  <c r="L44" i="2" s="1"/>
  <c r="M44" i="2" s="1"/>
  <c r="N44" i="2" s="1"/>
  <c r="O44" i="2" s="1"/>
  <c r="C45" i="2"/>
  <c r="D45" i="2" s="1"/>
  <c r="E45" i="2" s="1"/>
  <c r="F45" i="2" s="1"/>
  <c r="G45" i="2" s="1"/>
  <c r="H45" i="2" s="1"/>
  <c r="I45" i="2" s="1"/>
  <c r="J45" i="2" s="1"/>
  <c r="K45" i="2" s="1"/>
  <c r="L45" i="2" s="1"/>
  <c r="M45" i="2" s="1"/>
  <c r="N45" i="2" s="1"/>
  <c r="O45" i="2" s="1"/>
  <c r="C46" i="2"/>
  <c r="D46" i="2" s="1"/>
  <c r="E46" i="2" s="1"/>
  <c r="F46" i="2" s="1"/>
  <c r="G46" i="2" s="1"/>
  <c r="H46" i="2" s="1"/>
  <c r="I46" i="2" s="1"/>
  <c r="J46" i="2" s="1"/>
  <c r="K46" i="2" s="1"/>
  <c r="L46" i="2" s="1"/>
  <c r="M46" i="2" s="1"/>
  <c r="N46" i="2" s="1"/>
  <c r="O46" i="2" s="1"/>
  <c r="C47" i="2"/>
  <c r="D47" i="2" s="1"/>
  <c r="E47" i="2" s="1"/>
  <c r="F47" i="2" s="1"/>
  <c r="G47" i="2" s="1"/>
  <c r="H47" i="2" s="1"/>
  <c r="I47" i="2" s="1"/>
  <c r="J47" i="2" s="1"/>
  <c r="K47" i="2" s="1"/>
  <c r="L47" i="2" s="1"/>
  <c r="M47" i="2" s="1"/>
  <c r="N47" i="2" s="1"/>
  <c r="O47" i="2" s="1"/>
  <c r="C48" i="2"/>
  <c r="D48" i="2" s="1"/>
  <c r="E48" i="2" s="1"/>
  <c r="F48" i="2" s="1"/>
  <c r="G48" i="2" s="1"/>
  <c r="H48" i="2" s="1"/>
  <c r="I48" i="2" s="1"/>
  <c r="J48" i="2" s="1"/>
  <c r="K48" i="2" s="1"/>
  <c r="L48" i="2" s="1"/>
  <c r="M48" i="2" s="1"/>
  <c r="N48" i="2" s="1"/>
  <c r="O48" i="2" s="1"/>
  <c r="C49" i="2"/>
  <c r="D49" i="2" s="1"/>
  <c r="E49" i="2" s="1"/>
  <c r="F49" i="2" s="1"/>
  <c r="G49" i="2" s="1"/>
  <c r="H49" i="2" s="1"/>
  <c r="I49" i="2" s="1"/>
  <c r="J49" i="2" s="1"/>
  <c r="K49" i="2" s="1"/>
  <c r="L49" i="2" s="1"/>
  <c r="M49" i="2" s="1"/>
  <c r="N49" i="2" s="1"/>
  <c r="O49" i="2" s="1"/>
  <c r="C50" i="2"/>
  <c r="D50" i="2" s="1"/>
  <c r="E50" i="2" s="1"/>
  <c r="F50" i="2" s="1"/>
  <c r="G50" i="2" s="1"/>
  <c r="H50" i="2" s="1"/>
  <c r="I50" i="2" s="1"/>
  <c r="J50" i="2" s="1"/>
  <c r="K50" i="2" s="1"/>
  <c r="L50" i="2" s="1"/>
  <c r="M50" i="2" s="1"/>
  <c r="N50" i="2" s="1"/>
  <c r="O50" i="2" s="1"/>
  <c r="C51" i="2"/>
  <c r="D51" i="2" s="1"/>
  <c r="E51" i="2" s="1"/>
  <c r="F51" i="2" s="1"/>
  <c r="G51" i="2" s="1"/>
  <c r="H51" i="2" s="1"/>
  <c r="I51" i="2" s="1"/>
  <c r="J51" i="2" s="1"/>
  <c r="K51" i="2" s="1"/>
  <c r="L51" i="2" s="1"/>
  <c r="M51" i="2" s="1"/>
  <c r="N51" i="2" s="1"/>
  <c r="O51" i="2" s="1"/>
  <c r="C52" i="2"/>
  <c r="D52" i="2" s="1"/>
  <c r="E52" i="2" s="1"/>
  <c r="F52" i="2" s="1"/>
  <c r="G52" i="2" s="1"/>
  <c r="H52" i="2" s="1"/>
  <c r="I52" i="2" s="1"/>
  <c r="J52" i="2" s="1"/>
  <c r="K52" i="2" s="1"/>
  <c r="L52" i="2" s="1"/>
  <c r="M52" i="2" s="1"/>
  <c r="N52" i="2" s="1"/>
  <c r="O52" i="2" s="1"/>
  <c r="C53" i="2"/>
  <c r="D53" i="2" s="1"/>
  <c r="E53" i="2" s="1"/>
  <c r="F53" i="2" s="1"/>
  <c r="G53" i="2" s="1"/>
  <c r="H53" i="2" s="1"/>
  <c r="I53" i="2" s="1"/>
  <c r="J53" i="2" s="1"/>
  <c r="K53" i="2" s="1"/>
  <c r="L53" i="2" s="1"/>
  <c r="M53" i="2" s="1"/>
  <c r="N53" i="2" s="1"/>
  <c r="O53" i="2" s="1"/>
  <c r="C54" i="2"/>
  <c r="D54" i="2" s="1"/>
  <c r="E54" i="2" s="1"/>
  <c r="F54" i="2" s="1"/>
  <c r="G54" i="2" s="1"/>
  <c r="H54" i="2" s="1"/>
  <c r="I54" i="2" s="1"/>
  <c r="J54" i="2" s="1"/>
  <c r="K54" i="2" s="1"/>
  <c r="L54" i="2" s="1"/>
  <c r="M54" i="2" s="1"/>
  <c r="N54" i="2" s="1"/>
  <c r="O54" i="2" s="1"/>
  <c r="C55" i="2"/>
  <c r="D55" i="2" s="1"/>
  <c r="E55" i="2" s="1"/>
  <c r="F55" i="2" s="1"/>
  <c r="G55" i="2" s="1"/>
  <c r="H55" i="2" s="1"/>
  <c r="I55" i="2" s="1"/>
  <c r="J55" i="2" s="1"/>
  <c r="K55" i="2" s="1"/>
  <c r="L55" i="2" s="1"/>
  <c r="M55" i="2" s="1"/>
  <c r="N55" i="2" s="1"/>
  <c r="O55" i="2" s="1"/>
  <c r="C56" i="2"/>
  <c r="D56" i="2" s="1"/>
  <c r="E56" i="2" s="1"/>
  <c r="F56" i="2" s="1"/>
  <c r="G56" i="2" s="1"/>
  <c r="H56" i="2" s="1"/>
  <c r="I56" i="2" s="1"/>
  <c r="J56" i="2" s="1"/>
  <c r="K56" i="2" s="1"/>
  <c r="L56" i="2" s="1"/>
  <c r="M56" i="2" s="1"/>
  <c r="N56" i="2" s="1"/>
  <c r="O56" i="2" s="1"/>
  <c r="C57" i="2"/>
  <c r="D57" i="2" s="1"/>
  <c r="E57" i="2" s="1"/>
  <c r="F57" i="2" s="1"/>
  <c r="G57" i="2" s="1"/>
  <c r="H57" i="2" s="1"/>
  <c r="I57" i="2" s="1"/>
  <c r="J57" i="2" s="1"/>
  <c r="K57" i="2" s="1"/>
  <c r="L57" i="2" s="1"/>
  <c r="M57" i="2" s="1"/>
  <c r="N57" i="2" s="1"/>
  <c r="O57" i="2" s="1"/>
  <c r="C58" i="2"/>
  <c r="D58" i="2" s="1"/>
  <c r="E58" i="2" s="1"/>
  <c r="F58" i="2" s="1"/>
  <c r="G58" i="2" s="1"/>
  <c r="H58" i="2" s="1"/>
  <c r="I58" i="2" s="1"/>
  <c r="J58" i="2" s="1"/>
  <c r="K58" i="2" s="1"/>
  <c r="L58" i="2" s="1"/>
  <c r="M58" i="2" s="1"/>
  <c r="N58" i="2" s="1"/>
  <c r="O58" i="2" s="1"/>
  <c r="C59" i="2"/>
  <c r="D59" i="2" s="1"/>
  <c r="E59" i="2" s="1"/>
  <c r="F59" i="2" s="1"/>
  <c r="G59" i="2" s="1"/>
  <c r="H59" i="2" s="1"/>
  <c r="I59" i="2" s="1"/>
  <c r="J59" i="2" s="1"/>
  <c r="K59" i="2" s="1"/>
  <c r="L59" i="2" s="1"/>
  <c r="M59" i="2" s="1"/>
  <c r="N59" i="2" s="1"/>
  <c r="O59" i="2" s="1"/>
  <c r="C60" i="2"/>
  <c r="D60" i="2" s="1"/>
  <c r="E60" i="2" s="1"/>
  <c r="F60" i="2" s="1"/>
  <c r="G60" i="2" s="1"/>
  <c r="H60" i="2" s="1"/>
  <c r="I60" i="2" s="1"/>
  <c r="J60" i="2" s="1"/>
  <c r="K60" i="2" s="1"/>
  <c r="L60" i="2" s="1"/>
  <c r="M60" i="2" s="1"/>
  <c r="N60" i="2" s="1"/>
  <c r="O60" i="2" s="1"/>
  <c r="C61" i="2"/>
  <c r="D61" i="2" s="1"/>
  <c r="E61" i="2" s="1"/>
  <c r="F61" i="2" s="1"/>
  <c r="G61" i="2" s="1"/>
  <c r="H61" i="2" s="1"/>
  <c r="I61" i="2" s="1"/>
  <c r="J61" i="2" s="1"/>
  <c r="K61" i="2" s="1"/>
  <c r="L61" i="2" s="1"/>
  <c r="M61" i="2" s="1"/>
  <c r="N61" i="2" s="1"/>
  <c r="O61" i="2" s="1"/>
  <c r="C62" i="2"/>
  <c r="D62" i="2" s="1"/>
  <c r="E62" i="2" s="1"/>
  <c r="F62" i="2" s="1"/>
  <c r="G62" i="2" s="1"/>
  <c r="H62" i="2" s="1"/>
  <c r="I62" i="2" s="1"/>
  <c r="J62" i="2" s="1"/>
  <c r="K62" i="2" s="1"/>
  <c r="L62" i="2" s="1"/>
  <c r="M62" i="2" s="1"/>
  <c r="N62" i="2" s="1"/>
  <c r="O62" i="2" s="1"/>
  <c r="C63" i="2"/>
  <c r="D63" i="2" s="1"/>
  <c r="E63" i="2" s="1"/>
  <c r="F63" i="2" s="1"/>
  <c r="G63" i="2" s="1"/>
  <c r="H63" i="2" s="1"/>
  <c r="I63" i="2" s="1"/>
  <c r="J63" i="2" s="1"/>
  <c r="K63" i="2" s="1"/>
  <c r="L63" i="2" s="1"/>
  <c r="M63" i="2" s="1"/>
  <c r="N63" i="2" s="1"/>
  <c r="O63" i="2" s="1"/>
  <c r="C64" i="2"/>
  <c r="D64" i="2" s="1"/>
  <c r="E64" i="2" s="1"/>
  <c r="F64" i="2" s="1"/>
  <c r="G64" i="2" s="1"/>
  <c r="H64" i="2" s="1"/>
  <c r="I64" i="2" s="1"/>
  <c r="J64" i="2" s="1"/>
  <c r="K64" i="2" s="1"/>
  <c r="L64" i="2" s="1"/>
  <c r="M64" i="2" s="1"/>
  <c r="N64" i="2" s="1"/>
  <c r="O64" i="2" s="1"/>
  <c r="C65" i="2"/>
  <c r="D65" i="2" s="1"/>
  <c r="E65" i="2" s="1"/>
  <c r="F65" i="2" s="1"/>
  <c r="G65" i="2" s="1"/>
  <c r="H65" i="2" s="1"/>
  <c r="I65" i="2" s="1"/>
  <c r="J65" i="2" s="1"/>
  <c r="K65" i="2" s="1"/>
  <c r="L65" i="2" s="1"/>
  <c r="M65" i="2" s="1"/>
  <c r="N65" i="2" s="1"/>
  <c r="O65" i="2" s="1"/>
  <c r="C66" i="2"/>
  <c r="D66" i="2" s="1"/>
  <c r="E66" i="2" s="1"/>
  <c r="F66" i="2" s="1"/>
  <c r="G66" i="2" s="1"/>
  <c r="H66" i="2" s="1"/>
  <c r="I66" i="2" s="1"/>
  <c r="J66" i="2" s="1"/>
  <c r="K66" i="2" s="1"/>
  <c r="L66" i="2" s="1"/>
  <c r="M66" i="2" s="1"/>
  <c r="N66" i="2" s="1"/>
  <c r="O66" i="2" s="1"/>
  <c r="C67" i="2"/>
  <c r="D67" i="2" s="1"/>
  <c r="E67" i="2" s="1"/>
  <c r="F67" i="2" s="1"/>
  <c r="G67" i="2" s="1"/>
  <c r="H67" i="2" s="1"/>
  <c r="I67" i="2" s="1"/>
  <c r="J67" i="2" s="1"/>
  <c r="K67" i="2" s="1"/>
  <c r="L67" i="2" s="1"/>
  <c r="M67" i="2" s="1"/>
  <c r="N67" i="2" s="1"/>
  <c r="O67" i="2" s="1"/>
  <c r="C68" i="2"/>
  <c r="D68" i="2" s="1"/>
  <c r="E68" i="2" s="1"/>
  <c r="F68" i="2" s="1"/>
  <c r="G68" i="2" s="1"/>
  <c r="H68" i="2" s="1"/>
  <c r="I68" i="2" s="1"/>
  <c r="J68" i="2" s="1"/>
  <c r="K68" i="2" s="1"/>
  <c r="L68" i="2" s="1"/>
  <c r="M68" i="2" s="1"/>
  <c r="N68" i="2" s="1"/>
  <c r="O68" i="2" s="1"/>
  <c r="C69" i="2"/>
  <c r="D69" i="2" s="1"/>
  <c r="E69" i="2" s="1"/>
  <c r="F69" i="2" s="1"/>
  <c r="G69" i="2" s="1"/>
  <c r="H69" i="2" s="1"/>
  <c r="I69" i="2" s="1"/>
  <c r="J69" i="2" s="1"/>
  <c r="K69" i="2" s="1"/>
  <c r="L69" i="2" s="1"/>
  <c r="M69" i="2" s="1"/>
  <c r="N69" i="2" s="1"/>
  <c r="O69" i="2" s="1"/>
  <c r="C70" i="2"/>
  <c r="D70" i="2" s="1"/>
  <c r="E70" i="2" s="1"/>
  <c r="F70" i="2" s="1"/>
  <c r="G70" i="2" s="1"/>
  <c r="H70" i="2" s="1"/>
  <c r="I70" i="2" s="1"/>
  <c r="J70" i="2" s="1"/>
  <c r="K70" i="2" s="1"/>
  <c r="L70" i="2" s="1"/>
  <c r="M70" i="2" s="1"/>
  <c r="N70" i="2" s="1"/>
  <c r="O70" i="2" s="1"/>
  <c r="C71" i="2"/>
  <c r="D71" i="2" s="1"/>
  <c r="E71" i="2" s="1"/>
  <c r="F71" i="2" s="1"/>
  <c r="G71" i="2" s="1"/>
  <c r="H71" i="2" s="1"/>
  <c r="I71" i="2" s="1"/>
  <c r="J71" i="2" s="1"/>
  <c r="K71" i="2" s="1"/>
  <c r="L71" i="2" s="1"/>
  <c r="M71" i="2" s="1"/>
  <c r="N71" i="2" s="1"/>
  <c r="O71" i="2" s="1"/>
  <c r="C72" i="2"/>
  <c r="D72" i="2" s="1"/>
  <c r="E72" i="2" s="1"/>
  <c r="F72" i="2" s="1"/>
  <c r="G72" i="2" s="1"/>
  <c r="H72" i="2" s="1"/>
  <c r="I72" i="2" s="1"/>
  <c r="J72" i="2" s="1"/>
  <c r="K72" i="2" s="1"/>
  <c r="L72" i="2" s="1"/>
  <c r="M72" i="2" s="1"/>
  <c r="N72" i="2" s="1"/>
  <c r="O72" i="2" s="1"/>
  <c r="C73" i="2"/>
  <c r="D73" i="2" s="1"/>
  <c r="E73" i="2" s="1"/>
  <c r="F73" i="2" s="1"/>
  <c r="G73" i="2" s="1"/>
  <c r="H73" i="2" s="1"/>
  <c r="I73" i="2" s="1"/>
  <c r="J73" i="2" s="1"/>
  <c r="K73" i="2" s="1"/>
  <c r="L73" i="2" s="1"/>
  <c r="M73" i="2" s="1"/>
  <c r="N73" i="2" s="1"/>
  <c r="O73" i="2" s="1"/>
  <c r="C74" i="2"/>
  <c r="D74" i="2" s="1"/>
  <c r="E74" i="2" s="1"/>
  <c r="F74" i="2" s="1"/>
  <c r="G74" i="2" s="1"/>
  <c r="H74" i="2" s="1"/>
  <c r="I74" i="2" s="1"/>
  <c r="J74" i="2" s="1"/>
  <c r="K74" i="2" s="1"/>
  <c r="L74" i="2" s="1"/>
  <c r="M74" i="2" s="1"/>
  <c r="N74" i="2" s="1"/>
  <c r="O74" i="2" s="1"/>
  <c r="C75" i="2"/>
  <c r="D75" i="2" s="1"/>
  <c r="E75" i="2" s="1"/>
  <c r="F75" i="2" s="1"/>
  <c r="G75" i="2" s="1"/>
  <c r="H75" i="2" s="1"/>
  <c r="I75" i="2" s="1"/>
  <c r="J75" i="2" s="1"/>
  <c r="K75" i="2" s="1"/>
  <c r="L75" i="2" s="1"/>
  <c r="M75" i="2" s="1"/>
  <c r="N75" i="2" s="1"/>
  <c r="O75" i="2" s="1"/>
  <c r="C76" i="2"/>
  <c r="D76" i="2" s="1"/>
  <c r="E76" i="2" s="1"/>
  <c r="F76" i="2" s="1"/>
  <c r="G76" i="2" s="1"/>
  <c r="H76" i="2" s="1"/>
  <c r="I76" i="2" s="1"/>
  <c r="J76" i="2" s="1"/>
  <c r="K76" i="2" s="1"/>
  <c r="L76" i="2" s="1"/>
  <c r="M76" i="2" s="1"/>
  <c r="N76" i="2" s="1"/>
  <c r="O76" i="2" s="1"/>
  <c r="C77" i="2"/>
  <c r="D77" i="2" s="1"/>
  <c r="E77" i="2" s="1"/>
  <c r="F77" i="2" s="1"/>
  <c r="G77" i="2" s="1"/>
  <c r="H77" i="2" s="1"/>
  <c r="I77" i="2" s="1"/>
  <c r="J77" i="2" s="1"/>
  <c r="K77" i="2" s="1"/>
  <c r="L77" i="2" s="1"/>
  <c r="M77" i="2" s="1"/>
  <c r="N77" i="2" s="1"/>
  <c r="O77" i="2" s="1"/>
  <c r="C78" i="2"/>
  <c r="D78" i="2" s="1"/>
  <c r="E78" i="2" s="1"/>
  <c r="F78" i="2" s="1"/>
  <c r="G78" i="2" s="1"/>
  <c r="H78" i="2" s="1"/>
  <c r="I78" i="2" s="1"/>
  <c r="J78" i="2" s="1"/>
  <c r="K78" i="2" s="1"/>
  <c r="L78" i="2" s="1"/>
  <c r="M78" i="2" s="1"/>
  <c r="N78" i="2" s="1"/>
  <c r="O78" i="2" s="1"/>
  <c r="C79" i="2"/>
  <c r="D79" i="2" s="1"/>
  <c r="E79" i="2" s="1"/>
  <c r="F79" i="2" s="1"/>
  <c r="G79" i="2" s="1"/>
  <c r="H79" i="2" s="1"/>
  <c r="I79" i="2" s="1"/>
  <c r="J79" i="2" s="1"/>
  <c r="K79" i="2" s="1"/>
  <c r="L79" i="2" s="1"/>
  <c r="M79" i="2" s="1"/>
  <c r="N79" i="2" s="1"/>
  <c r="O79" i="2" s="1"/>
  <c r="C80" i="2"/>
  <c r="D80" i="2" s="1"/>
  <c r="E80" i="2" s="1"/>
  <c r="F80" i="2" s="1"/>
  <c r="G80" i="2" s="1"/>
  <c r="H80" i="2" s="1"/>
  <c r="I80" i="2" s="1"/>
  <c r="J80" i="2" s="1"/>
  <c r="K80" i="2" s="1"/>
  <c r="L80" i="2" s="1"/>
  <c r="M80" i="2" s="1"/>
  <c r="N80" i="2" s="1"/>
  <c r="O80" i="2" s="1"/>
  <c r="C81" i="2"/>
  <c r="D81" i="2" s="1"/>
  <c r="E81" i="2" s="1"/>
  <c r="F81" i="2" s="1"/>
  <c r="G81" i="2" s="1"/>
  <c r="H81" i="2" s="1"/>
  <c r="I81" i="2" s="1"/>
  <c r="J81" i="2" s="1"/>
  <c r="K81" i="2" s="1"/>
  <c r="L81" i="2" s="1"/>
  <c r="M81" i="2" s="1"/>
  <c r="N81" i="2" s="1"/>
  <c r="O81" i="2" s="1"/>
  <c r="C82" i="2"/>
  <c r="D82" i="2" s="1"/>
  <c r="E82" i="2" s="1"/>
  <c r="F82" i="2" s="1"/>
  <c r="G82" i="2" s="1"/>
  <c r="H82" i="2" s="1"/>
  <c r="I82" i="2" s="1"/>
  <c r="J82" i="2" s="1"/>
  <c r="K82" i="2" s="1"/>
  <c r="L82" i="2" s="1"/>
  <c r="M82" i="2" s="1"/>
  <c r="N82" i="2" s="1"/>
  <c r="O82" i="2" s="1"/>
  <c r="C83" i="2"/>
  <c r="D83" i="2" s="1"/>
  <c r="E83" i="2" s="1"/>
  <c r="F83" i="2" s="1"/>
  <c r="G83" i="2" s="1"/>
  <c r="H83" i="2" s="1"/>
  <c r="I83" i="2" s="1"/>
  <c r="J83" i="2" s="1"/>
  <c r="K83" i="2" s="1"/>
  <c r="L83" i="2" s="1"/>
  <c r="M83" i="2" s="1"/>
  <c r="N83" i="2" s="1"/>
  <c r="O83" i="2" s="1"/>
  <c r="C84" i="2"/>
  <c r="D84" i="2" s="1"/>
  <c r="E84" i="2" s="1"/>
  <c r="F84" i="2" s="1"/>
  <c r="G84" i="2" s="1"/>
  <c r="H84" i="2" s="1"/>
  <c r="I84" i="2" s="1"/>
  <c r="J84" i="2" s="1"/>
  <c r="K84" i="2" s="1"/>
  <c r="L84" i="2" s="1"/>
  <c r="M84" i="2" s="1"/>
  <c r="N84" i="2" s="1"/>
  <c r="O84" i="2" s="1"/>
  <c r="C85" i="2"/>
  <c r="D85" i="2" s="1"/>
  <c r="E85" i="2" s="1"/>
  <c r="F85" i="2" s="1"/>
  <c r="G85" i="2" s="1"/>
  <c r="H85" i="2" s="1"/>
  <c r="I85" i="2" s="1"/>
  <c r="J85" i="2" s="1"/>
  <c r="K85" i="2" s="1"/>
  <c r="L85" i="2" s="1"/>
  <c r="M85" i="2" s="1"/>
  <c r="N85" i="2" s="1"/>
  <c r="O85" i="2" s="1"/>
  <c r="C86" i="2"/>
  <c r="D86" i="2" s="1"/>
  <c r="E86" i="2" s="1"/>
  <c r="F86" i="2" s="1"/>
  <c r="G86" i="2" s="1"/>
  <c r="H86" i="2" s="1"/>
  <c r="I86" i="2" s="1"/>
  <c r="J86" i="2" s="1"/>
  <c r="K86" i="2" s="1"/>
  <c r="L86" i="2" s="1"/>
  <c r="M86" i="2" s="1"/>
  <c r="N86" i="2" s="1"/>
  <c r="O86" i="2" s="1"/>
  <c r="C87" i="2"/>
  <c r="D87" i="2" s="1"/>
  <c r="E87" i="2" s="1"/>
  <c r="F87" i="2" s="1"/>
  <c r="G87" i="2" s="1"/>
  <c r="H87" i="2" s="1"/>
  <c r="I87" i="2" s="1"/>
  <c r="J87" i="2" s="1"/>
  <c r="K87" i="2" s="1"/>
  <c r="L87" i="2" s="1"/>
  <c r="M87" i="2" s="1"/>
  <c r="N87" i="2" s="1"/>
  <c r="O87" i="2" s="1"/>
  <c r="C88" i="2"/>
  <c r="D88" i="2" s="1"/>
  <c r="E88" i="2" s="1"/>
  <c r="F88" i="2" s="1"/>
  <c r="G88" i="2" s="1"/>
  <c r="H88" i="2" s="1"/>
  <c r="I88" i="2" s="1"/>
  <c r="J88" i="2" s="1"/>
  <c r="K88" i="2" s="1"/>
  <c r="L88" i="2" s="1"/>
  <c r="M88" i="2" s="1"/>
  <c r="N88" i="2" s="1"/>
  <c r="O88" i="2" s="1"/>
  <c r="C89" i="2"/>
  <c r="D89" i="2" s="1"/>
  <c r="E89" i="2" s="1"/>
  <c r="F89" i="2" s="1"/>
  <c r="G89" i="2" s="1"/>
  <c r="H89" i="2" s="1"/>
  <c r="I89" i="2" s="1"/>
  <c r="J89" i="2" s="1"/>
  <c r="K89" i="2" s="1"/>
  <c r="L89" i="2" s="1"/>
  <c r="M89" i="2" s="1"/>
  <c r="N89" i="2" s="1"/>
  <c r="O89" i="2" s="1"/>
  <c r="C90" i="2"/>
  <c r="D90" i="2" s="1"/>
  <c r="E90" i="2" s="1"/>
  <c r="F90" i="2" s="1"/>
  <c r="G90" i="2" s="1"/>
  <c r="H90" i="2" s="1"/>
  <c r="I90" i="2" s="1"/>
  <c r="J90" i="2" s="1"/>
  <c r="K90" i="2" s="1"/>
  <c r="L90" i="2" s="1"/>
  <c r="M90" i="2" s="1"/>
  <c r="N90" i="2" s="1"/>
  <c r="O90" i="2" s="1"/>
  <c r="C91" i="2"/>
  <c r="D91" i="2" s="1"/>
  <c r="E91" i="2" s="1"/>
  <c r="F91" i="2" s="1"/>
  <c r="G91" i="2" s="1"/>
  <c r="H91" i="2" s="1"/>
  <c r="I91" i="2" s="1"/>
  <c r="J91" i="2" s="1"/>
  <c r="K91" i="2" s="1"/>
  <c r="L91" i="2" s="1"/>
  <c r="M91" i="2" s="1"/>
  <c r="N91" i="2" s="1"/>
  <c r="O91" i="2" s="1"/>
  <c r="C92" i="2"/>
  <c r="D92" i="2" s="1"/>
  <c r="E92" i="2" s="1"/>
  <c r="F92" i="2" s="1"/>
  <c r="G92" i="2" s="1"/>
  <c r="H92" i="2" s="1"/>
  <c r="I92" i="2" s="1"/>
  <c r="J92" i="2" s="1"/>
  <c r="K92" i="2" s="1"/>
  <c r="L92" i="2" s="1"/>
  <c r="M92" i="2" s="1"/>
  <c r="N92" i="2" s="1"/>
  <c r="O92" i="2" s="1"/>
  <c r="C93" i="2"/>
  <c r="D93" i="2" s="1"/>
  <c r="E93" i="2" s="1"/>
  <c r="F93" i="2" s="1"/>
  <c r="G93" i="2" s="1"/>
  <c r="H93" i="2" s="1"/>
  <c r="I93" i="2" s="1"/>
  <c r="J93" i="2" s="1"/>
  <c r="K93" i="2" s="1"/>
  <c r="L93" i="2" s="1"/>
  <c r="M93" i="2" s="1"/>
  <c r="N93" i="2" s="1"/>
  <c r="O93" i="2" s="1"/>
  <c r="C94" i="2"/>
  <c r="D94" i="2" s="1"/>
  <c r="E94" i="2" s="1"/>
  <c r="F94" i="2" s="1"/>
  <c r="G94" i="2" s="1"/>
  <c r="H94" i="2" s="1"/>
  <c r="I94" i="2" s="1"/>
  <c r="J94" i="2" s="1"/>
  <c r="K94" i="2" s="1"/>
  <c r="L94" i="2" s="1"/>
  <c r="M94" i="2" s="1"/>
  <c r="N94" i="2" s="1"/>
  <c r="O94" i="2" s="1"/>
  <c r="C95" i="2"/>
  <c r="D95" i="2" s="1"/>
  <c r="E95" i="2" s="1"/>
  <c r="F95" i="2" s="1"/>
  <c r="G95" i="2" s="1"/>
  <c r="H95" i="2" s="1"/>
  <c r="I95" i="2" s="1"/>
  <c r="J95" i="2" s="1"/>
  <c r="K95" i="2" s="1"/>
  <c r="L95" i="2" s="1"/>
  <c r="M95" i="2" s="1"/>
  <c r="N95" i="2" s="1"/>
  <c r="O95" i="2" s="1"/>
  <c r="C96" i="2"/>
  <c r="D96" i="2" s="1"/>
  <c r="E96" i="2" s="1"/>
  <c r="F96" i="2" s="1"/>
  <c r="G96" i="2" s="1"/>
  <c r="H96" i="2" s="1"/>
  <c r="I96" i="2" s="1"/>
  <c r="J96" i="2" s="1"/>
  <c r="K96" i="2" s="1"/>
  <c r="L96" i="2" s="1"/>
  <c r="M96" i="2" s="1"/>
  <c r="N96" i="2" s="1"/>
  <c r="O96" i="2" s="1"/>
  <c r="C97" i="2"/>
  <c r="D97" i="2" s="1"/>
  <c r="E97" i="2" s="1"/>
  <c r="F97" i="2" s="1"/>
  <c r="G97" i="2" s="1"/>
  <c r="H97" i="2" s="1"/>
  <c r="I97" i="2" s="1"/>
  <c r="J97" i="2" s="1"/>
  <c r="K97" i="2" s="1"/>
  <c r="L97" i="2" s="1"/>
  <c r="M97" i="2" s="1"/>
  <c r="N97" i="2" s="1"/>
  <c r="O97" i="2" s="1"/>
  <c r="C98" i="2"/>
  <c r="D98" i="2" s="1"/>
  <c r="E98" i="2" s="1"/>
  <c r="F98" i="2" s="1"/>
  <c r="G98" i="2" s="1"/>
  <c r="H98" i="2" s="1"/>
  <c r="I98" i="2" s="1"/>
  <c r="J98" i="2" s="1"/>
  <c r="K98" i="2" s="1"/>
  <c r="L98" i="2" s="1"/>
  <c r="M98" i="2" s="1"/>
  <c r="N98" i="2" s="1"/>
  <c r="O98" i="2" s="1"/>
  <c r="C99" i="2"/>
  <c r="D99" i="2" s="1"/>
  <c r="E99" i="2" s="1"/>
  <c r="F99" i="2" s="1"/>
  <c r="G99" i="2" s="1"/>
  <c r="H99" i="2" s="1"/>
  <c r="I99" i="2" s="1"/>
  <c r="J99" i="2" s="1"/>
  <c r="K99" i="2" s="1"/>
  <c r="L99" i="2" s="1"/>
  <c r="M99" i="2" s="1"/>
  <c r="N99" i="2" s="1"/>
  <c r="O99" i="2" s="1"/>
  <c r="C100" i="2"/>
  <c r="D100" i="2" s="1"/>
  <c r="E100" i="2" s="1"/>
  <c r="F100" i="2" s="1"/>
  <c r="G100" i="2" s="1"/>
  <c r="H100" i="2" s="1"/>
  <c r="I100" i="2" s="1"/>
  <c r="J100" i="2" s="1"/>
  <c r="K100" i="2" s="1"/>
  <c r="L100" i="2" s="1"/>
  <c r="M100" i="2" s="1"/>
  <c r="N100" i="2" s="1"/>
  <c r="O100" i="2" s="1"/>
  <c r="C101" i="2"/>
  <c r="D101" i="2" s="1"/>
  <c r="E101" i="2" s="1"/>
  <c r="F101" i="2" s="1"/>
  <c r="G101" i="2" s="1"/>
  <c r="H101" i="2" s="1"/>
  <c r="I101" i="2" s="1"/>
  <c r="J101" i="2" s="1"/>
  <c r="K101" i="2" s="1"/>
  <c r="L101" i="2" s="1"/>
  <c r="M101" i="2" s="1"/>
  <c r="N101" i="2" s="1"/>
  <c r="O101" i="2" s="1"/>
  <c r="C102" i="2"/>
  <c r="D102" i="2" s="1"/>
  <c r="E102" i="2" s="1"/>
  <c r="F102" i="2" s="1"/>
  <c r="G102" i="2" s="1"/>
  <c r="H102" i="2" s="1"/>
  <c r="I102" i="2" s="1"/>
  <c r="J102" i="2" s="1"/>
  <c r="K102" i="2" s="1"/>
  <c r="L102" i="2" s="1"/>
  <c r="M102" i="2" s="1"/>
  <c r="N102" i="2" s="1"/>
  <c r="O102" i="2" s="1"/>
  <c r="C103" i="2"/>
  <c r="D103" i="2" s="1"/>
  <c r="E103" i="2" s="1"/>
  <c r="F103" i="2" s="1"/>
  <c r="G103" i="2" s="1"/>
  <c r="H103" i="2" s="1"/>
  <c r="I103" i="2" s="1"/>
  <c r="J103" i="2" s="1"/>
  <c r="K103" i="2" s="1"/>
  <c r="L103" i="2" s="1"/>
  <c r="M103" i="2" s="1"/>
  <c r="N103" i="2" s="1"/>
  <c r="O103" i="2" s="1"/>
  <c r="C104" i="2"/>
  <c r="D104" i="2" s="1"/>
  <c r="E104" i="2" s="1"/>
  <c r="F104" i="2" s="1"/>
  <c r="G104" i="2" s="1"/>
  <c r="H104" i="2" s="1"/>
  <c r="I104" i="2" s="1"/>
  <c r="J104" i="2" s="1"/>
  <c r="K104" i="2" s="1"/>
  <c r="L104" i="2" s="1"/>
  <c r="M104" i="2" s="1"/>
  <c r="N104" i="2" s="1"/>
  <c r="O104" i="2" s="1"/>
  <c r="C105" i="2"/>
  <c r="D105" i="2" s="1"/>
  <c r="E105" i="2" s="1"/>
  <c r="F105" i="2" s="1"/>
  <c r="G105" i="2" s="1"/>
  <c r="H105" i="2" s="1"/>
  <c r="I105" i="2" s="1"/>
  <c r="J105" i="2" s="1"/>
  <c r="K105" i="2" s="1"/>
  <c r="L105" i="2" s="1"/>
  <c r="M105" i="2" s="1"/>
  <c r="N105" i="2" s="1"/>
  <c r="O105" i="2" s="1"/>
  <c r="C106" i="2"/>
  <c r="D106" i="2" s="1"/>
  <c r="E106" i="2" s="1"/>
  <c r="F106" i="2" s="1"/>
  <c r="G106" i="2" s="1"/>
  <c r="H106" i="2" s="1"/>
  <c r="I106" i="2" s="1"/>
  <c r="J106" i="2" s="1"/>
  <c r="K106" i="2" s="1"/>
  <c r="L106" i="2" s="1"/>
  <c r="M106" i="2" s="1"/>
  <c r="N106" i="2" s="1"/>
  <c r="O106" i="2" s="1"/>
  <c r="C107" i="2"/>
  <c r="D107" i="2" s="1"/>
  <c r="E107" i="2" s="1"/>
  <c r="F107" i="2" s="1"/>
  <c r="G107" i="2" s="1"/>
  <c r="H107" i="2" s="1"/>
  <c r="I107" i="2" s="1"/>
  <c r="J107" i="2" s="1"/>
  <c r="K107" i="2" s="1"/>
  <c r="L107" i="2" s="1"/>
  <c r="M107" i="2" s="1"/>
  <c r="N107" i="2" s="1"/>
  <c r="O107" i="2" s="1"/>
  <c r="C108" i="2"/>
  <c r="D108" i="2" s="1"/>
  <c r="E108" i="2" s="1"/>
  <c r="F108" i="2" s="1"/>
  <c r="G108" i="2" s="1"/>
  <c r="H108" i="2" s="1"/>
  <c r="I108" i="2" s="1"/>
  <c r="J108" i="2" s="1"/>
  <c r="K108" i="2" s="1"/>
  <c r="L108" i="2" s="1"/>
  <c r="M108" i="2" s="1"/>
  <c r="N108" i="2" s="1"/>
  <c r="O108" i="2" s="1"/>
  <c r="C109" i="2"/>
  <c r="D109" i="2" s="1"/>
  <c r="E109" i="2" s="1"/>
  <c r="F109" i="2" s="1"/>
  <c r="G109" i="2" s="1"/>
  <c r="H109" i="2" s="1"/>
  <c r="I109" i="2" s="1"/>
  <c r="J109" i="2" s="1"/>
  <c r="K109" i="2" s="1"/>
  <c r="L109" i="2" s="1"/>
  <c r="M109" i="2" s="1"/>
  <c r="N109" i="2" s="1"/>
  <c r="O109" i="2" s="1"/>
  <c r="C110" i="2"/>
  <c r="D110" i="2" s="1"/>
  <c r="E110" i="2" s="1"/>
  <c r="F110" i="2" s="1"/>
  <c r="G110" i="2" s="1"/>
  <c r="H110" i="2" s="1"/>
  <c r="I110" i="2" s="1"/>
  <c r="J110" i="2" s="1"/>
  <c r="K110" i="2" s="1"/>
  <c r="L110" i="2" s="1"/>
  <c r="M110" i="2" s="1"/>
  <c r="N110" i="2" s="1"/>
  <c r="O110" i="2" s="1"/>
  <c r="C111" i="2"/>
  <c r="D111" i="2" s="1"/>
  <c r="E111" i="2" s="1"/>
  <c r="F111" i="2" s="1"/>
  <c r="G111" i="2" s="1"/>
  <c r="H111" i="2" s="1"/>
  <c r="I111" i="2" s="1"/>
  <c r="J111" i="2" s="1"/>
  <c r="K111" i="2" s="1"/>
  <c r="L111" i="2" s="1"/>
  <c r="M111" i="2" s="1"/>
  <c r="N111" i="2" s="1"/>
  <c r="O111" i="2" s="1"/>
  <c r="C112" i="2"/>
  <c r="D112" i="2" s="1"/>
  <c r="E112" i="2" s="1"/>
  <c r="F112" i="2" s="1"/>
  <c r="G112" i="2" s="1"/>
  <c r="H112" i="2" s="1"/>
  <c r="I112" i="2" s="1"/>
  <c r="J112" i="2" s="1"/>
  <c r="K112" i="2" s="1"/>
  <c r="L112" i="2" s="1"/>
  <c r="M112" i="2" s="1"/>
  <c r="N112" i="2" s="1"/>
  <c r="O112" i="2" s="1"/>
  <c r="C113" i="2"/>
  <c r="D113" i="2" s="1"/>
  <c r="E113" i="2" s="1"/>
  <c r="F113" i="2" s="1"/>
  <c r="G113" i="2" s="1"/>
  <c r="H113" i="2" s="1"/>
  <c r="I113" i="2" s="1"/>
  <c r="J113" i="2" s="1"/>
  <c r="K113" i="2" s="1"/>
  <c r="L113" i="2" s="1"/>
  <c r="M113" i="2" s="1"/>
  <c r="N113" i="2" s="1"/>
  <c r="O113" i="2" s="1"/>
  <c r="C114" i="2"/>
  <c r="D114" i="2" s="1"/>
  <c r="E114" i="2" s="1"/>
  <c r="F114" i="2" s="1"/>
  <c r="G114" i="2" s="1"/>
  <c r="H114" i="2" s="1"/>
  <c r="I114" i="2" s="1"/>
  <c r="J114" i="2" s="1"/>
  <c r="K114" i="2" s="1"/>
  <c r="L114" i="2" s="1"/>
  <c r="M114" i="2" s="1"/>
  <c r="N114" i="2" s="1"/>
  <c r="O114" i="2" s="1"/>
  <c r="C115" i="2"/>
  <c r="D115" i="2" s="1"/>
  <c r="E115" i="2" s="1"/>
  <c r="F115" i="2" s="1"/>
  <c r="G115" i="2" s="1"/>
  <c r="H115" i="2" s="1"/>
  <c r="I115" i="2" s="1"/>
  <c r="J115" i="2" s="1"/>
  <c r="K115" i="2" s="1"/>
  <c r="L115" i="2" s="1"/>
  <c r="M115" i="2" s="1"/>
  <c r="N115" i="2" s="1"/>
  <c r="O115" i="2" s="1"/>
  <c r="C116" i="2"/>
  <c r="D116" i="2" s="1"/>
  <c r="E116" i="2" s="1"/>
  <c r="F116" i="2" s="1"/>
  <c r="G116" i="2" s="1"/>
  <c r="H116" i="2" s="1"/>
  <c r="I116" i="2" s="1"/>
  <c r="J116" i="2" s="1"/>
  <c r="K116" i="2" s="1"/>
  <c r="L116" i="2" s="1"/>
  <c r="M116" i="2" s="1"/>
  <c r="N116" i="2" s="1"/>
  <c r="O116" i="2" s="1"/>
  <c r="C117" i="2"/>
  <c r="D117" i="2" s="1"/>
  <c r="E117" i="2" s="1"/>
  <c r="F117" i="2" s="1"/>
  <c r="G117" i="2" s="1"/>
  <c r="H117" i="2" s="1"/>
  <c r="I117" i="2" s="1"/>
  <c r="J117" i="2" s="1"/>
  <c r="K117" i="2" s="1"/>
  <c r="L117" i="2" s="1"/>
  <c r="M117" i="2" s="1"/>
  <c r="N117" i="2" s="1"/>
  <c r="O117" i="2" s="1"/>
  <c r="C118" i="2"/>
  <c r="D118" i="2" s="1"/>
  <c r="E118" i="2" s="1"/>
  <c r="F118" i="2" s="1"/>
  <c r="G118" i="2" s="1"/>
  <c r="H118" i="2" s="1"/>
  <c r="I118" i="2" s="1"/>
  <c r="J118" i="2" s="1"/>
  <c r="K118" i="2" s="1"/>
  <c r="L118" i="2" s="1"/>
  <c r="M118" i="2" s="1"/>
  <c r="N118" i="2" s="1"/>
  <c r="O118" i="2" s="1"/>
  <c r="C119" i="2"/>
  <c r="D119" i="2" s="1"/>
  <c r="E119" i="2" s="1"/>
  <c r="F119" i="2" s="1"/>
  <c r="G119" i="2" s="1"/>
  <c r="H119" i="2" s="1"/>
  <c r="I119" i="2" s="1"/>
  <c r="J119" i="2" s="1"/>
  <c r="K119" i="2" s="1"/>
  <c r="L119" i="2" s="1"/>
  <c r="M119" i="2" s="1"/>
  <c r="N119" i="2" s="1"/>
  <c r="O119" i="2" s="1"/>
  <c r="C120" i="2"/>
  <c r="D120" i="2" s="1"/>
  <c r="E120" i="2" s="1"/>
  <c r="F120" i="2" s="1"/>
  <c r="G120" i="2" s="1"/>
  <c r="H120" i="2" s="1"/>
  <c r="I120" i="2" s="1"/>
  <c r="J120" i="2" s="1"/>
  <c r="K120" i="2" s="1"/>
  <c r="L120" i="2" s="1"/>
  <c r="M120" i="2" s="1"/>
  <c r="N120" i="2" s="1"/>
  <c r="O120" i="2" s="1"/>
  <c r="C121" i="2"/>
  <c r="D121" i="2" s="1"/>
  <c r="E121" i="2" s="1"/>
  <c r="F121" i="2" s="1"/>
  <c r="G121" i="2" s="1"/>
  <c r="H121" i="2" s="1"/>
  <c r="I121" i="2" s="1"/>
  <c r="J121" i="2" s="1"/>
  <c r="K121" i="2" s="1"/>
  <c r="L121" i="2" s="1"/>
  <c r="M121" i="2" s="1"/>
  <c r="N121" i="2" s="1"/>
  <c r="O121" i="2" s="1"/>
  <c r="C122" i="2"/>
  <c r="D122" i="2" s="1"/>
  <c r="E122" i="2" s="1"/>
  <c r="F122" i="2" s="1"/>
  <c r="G122" i="2" s="1"/>
  <c r="H122" i="2" s="1"/>
  <c r="I122" i="2" s="1"/>
  <c r="J122" i="2" s="1"/>
  <c r="K122" i="2" s="1"/>
  <c r="L122" i="2" s="1"/>
  <c r="M122" i="2" s="1"/>
  <c r="N122" i="2" s="1"/>
  <c r="O122" i="2" s="1"/>
  <c r="C123" i="2"/>
  <c r="D123" i="2" s="1"/>
  <c r="E123" i="2" s="1"/>
  <c r="F123" i="2" s="1"/>
  <c r="G123" i="2" s="1"/>
  <c r="H123" i="2" s="1"/>
  <c r="I123" i="2" s="1"/>
  <c r="J123" i="2" s="1"/>
  <c r="K123" i="2" s="1"/>
  <c r="L123" i="2" s="1"/>
  <c r="M123" i="2" s="1"/>
  <c r="N123" i="2" s="1"/>
  <c r="O123" i="2" s="1"/>
  <c r="C124" i="2"/>
  <c r="D124" i="2" s="1"/>
  <c r="E124" i="2" s="1"/>
  <c r="F124" i="2" s="1"/>
  <c r="G124" i="2" s="1"/>
  <c r="H124" i="2" s="1"/>
  <c r="I124" i="2" s="1"/>
  <c r="J124" i="2" s="1"/>
  <c r="K124" i="2" s="1"/>
  <c r="L124" i="2" s="1"/>
  <c r="M124" i="2" s="1"/>
  <c r="N124" i="2" s="1"/>
  <c r="O124" i="2" s="1"/>
  <c r="C125" i="2"/>
  <c r="D125" i="2" s="1"/>
  <c r="E125" i="2" s="1"/>
  <c r="F125" i="2" s="1"/>
  <c r="G125" i="2" s="1"/>
  <c r="H125" i="2" s="1"/>
  <c r="I125" i="2" s="1"/>
  <c r="J125" i="2" s="1"/>
  <c r="K125" i="2" s="1"/>
  <c r="L125" i="2" s="1"/>
  <c r="M125" i="2" s="1"/>
  <c r="N125" i="2" s="1"/>
  <c r="O125" i="2" s="1"/>
  <c r="C126" i="2"/>
  <c r="D126" i="2" s="1"/>
  <c r="E126" i="2" s="1"/>
  <c r="F126" i="2" s="1"/>
  <c r="G126" i="2" s="1"/>
  <c r="H126" i="2" s="1"/>
  <c r="I126" i="2" s="1"/>
  <c r="J126" i="2" s="1"/>
  <c r="K126" i="2" s="1"/>
  <c r="L126" i="2" s="1"/>
  <c r="M126" i="2" s="1"/>
  <c r="N126" i="2" s="1"/>
  <c r="O126" i="2" s="1"/>
  <c r="C127" i="2"/>
  <c r="D127" i="2" s="1"/>
  <c r="E127" i="2" s="1"/>
  <c r="F127" i="2" s="1"/>
  <c r="G127" i="2" s="1"/>
  <c r="H127" i="2" s="1"/>
  <c r="I127" i="2" s="1"/>
  <c r="J127" i="2" s="1"/>
  <c r="K127" i="2" s="1"/>
  <c r="L127" i="2" s="1"/>
  <c r="M127" i="2" s="1"/>
  <c r="N127" i="2" s="1"/>
  <c r="O127" i="2" s="1"/>
  <c r="C128" i="2"/>
  <c r="D128" i="2" s="1"/>
  <c r="E128" i="2" s="1"/>
  <c r="F128" i="2" s="1"/>
  <c r="G128" i="2" s="1"/>
  <c r="H128" i="2" s="1"/>
  <c r="I128" i="2" s="1"/>
  <c r="J128" i="2" s="1"/>
  <c r="K128" i="2" s="1"/>
  <c r="L128" i="2" s="1"/>
  <c r="M128" i="2" s="1"/>
  <c r="N128" i="2" s="1"/>
  <c r="O128" i="2" s="1"/>
  <c r="C129" i="2"/>
  <c r="D129" i="2" s="1"/>
  <c r="E129" i="2" s="1"/>
  <c r="F129" i="2" s="1"/>
  <c r="G129" i="2" s="1"/>
  <c r="H129" i="2" s="1"/>
  <c r="I129" i="2" s="1"/>
  <c r="J129" i="2" s="1"/>
  <c r="K129" i="2" s="1"/>
  <c r="L129" i="2" s="1"/>
  <c r="M129" i="2" s="1"/>
  <c r="N129" i="2" s="1"/>
  <c r="O129" i="2" s="1"/>
  <c r="C130" i="2"/>
  <c r="D130" i="2" s="1"/>
  <c r="E130" i="2" s="1"/>
  <c r="F130" i="2" s="1"/>
  <c r="G130" i="2" s="1"/>
  <c r="H130" i="2" s="1"/>
  <c r="I130" i="2" s="1"/>
  <c r="J130" i="2" s="1"/>
  <c r="K130" i="2" s="1"/>
  <c r="L130" i="2" s="1"/>
  <c r="M130" i="2" s="1"/>
  <c r="N130" i="2" s="1"/>
  <c r="O130" i="2" s="1"/>
  <c r="C131" i="2"/>
  <c r="D131" i="2" s="1"/>
  <c r="E131" i="2" s="1"/>
  <c r="F131" i="2" s="1"/>
  <c r="G131" i="2" s="1"/>
  <c r="H131" i="2" s="1"/>
  <c r="I131" i="2" s="1"/>
  <c r="J131" i="2" s="1"/>
  <c r="K131" i="2" s="1"/>
  <c r="L131" i="2" s="1"/>
  <c r="M131" i="2" s="1"/>
  <c r="N131" i="2" s="1"/>
  <c r="O131" i="2" s="1"/>
  <c r="C132" i="2"/>
  <c r="D132" i="2" s="1"/>
  <c r="E132" i="2" s="1"/>
  <c r="F132" i="2" s="1"/>
  <c r="G132" i="2" s="1"/>
  <c r="H132" i="2" s="1"/>
  <c r="I132" i="2" s="1"/>
  <c r="J132" i="2" s="1"/>
  <c r="K132" i="2" s="1"/>
  <c r="L132" i="2" s="1"/>
  <c r="M132" i="2" s="1"/>
  <c r="N132" i="2" s="1"/>
  <c r="O132" i="2" s="1"/>
  <c r="C133" i="2"/>
  <c r="D133" i="2" s="1"/>
  <c r="E133" i="2" s="1"/>
  <c r="F133" i="2" s="1"/>
  <c r="G133" i="2" s="1"/>
  <c r="H133" i="2" s="1"/>
  <c r="I133" i="2" s="1"/>
  <c r="J133" i="2" s="1"/>
  <c r="K133" i="2" s="1"/>
  <c r="L133" i="2" s="1"/>
  <c r="M133" i="2" s="1"/>
  <c r="N133" i="2" s="1"/>
  <c r="O133" i="2" s="1"/>
  <c r="C134" i="2"/>
  <c r="D134" i="2" s="1"/>
  <c r="E134" i="2" s="1"/>
  <c r="F134" i="2" s="1"/>
  <c r="G134" i="2" s="1"/>
  <c r="H134" i="2" s="1"/>
  <c r="I134" i="2" s="1"/>
  <c r="J134" i="2" s="1"/>
  <c r="K134" i="2" s="1"/>
  <c r="L134" i="2" s="1"/>
  <c r="M134" i="2" s="1"/>
  <c r="N134" i="2" s="1"/>
  <c r="O134" i="2" s="1"/>
  <c r="C135" i="2"/>
  <c r="D135" i="2" s="1"/>
  <c r="E135" i="2" s="1"/>
  <c r="F135" i="2" s="1"/>
  <c r="G135" i="2" s="1"/>
  <c r="H135" i="2" s="1"/>
  <c r="I135" i="2" s="1"/>
  <c r="J135" i="2" s="1"/>
  <c r="K135" i="2" s="1"/>
  <c r="L135" i="2" s="1"/>
  <c r="M135" i="2" s="1"/>
  <c r="N135" i="2" s="1"/>
  <c r="O135" i="2" s="1"/>
  <c r="C136" i="2"/>
  <c r="D136" i="2" s="1"/>
  <c r="E136" i="2" s="1"/>
  <c r="F136" i="2" s="1"/>
  <c r="G136" i="2" s="1"/>
  <c r="H136" i="2" s="1"/>
  <c r="I136" i="2" s="1"/>
  <c r="J136" i="2" s="1"/>
  <c r="K136" i="2" s="1"/>
  <c r="L136" i="2" s="1"/>
  <c r="M136" i="2" s="1"/>
  <c r="N136" i="2" s="1"/>
  <c r="O136" i="2" s="1"/>
  <c r="C137" i="2"/>
  <c r="D137" i="2" s="1"/>
  <c r="E137" i="2" s="1"/>
  <c r="F137" i="2" s="1"/>
  <c r="G137" i="2" s="1"/>
  <c r="H137" i="2" s="1"/>
  <c r="I137" i="2" s="1"/>
  <c r="J137" i="2" s="1"/>
  <c r="K137" i="2" s="1"/>
  <c r="L137" i="2" s="1"/>
  <c r="M137" i="2" s="1"/>
  <c r="N137" i="2" s="1"/>
  <c r="O137" i="2" s="1"/>
  <c r="C138" i="2"/>
  <c r="D138" i="2" s="1"/>
  <c r="E138" i="2" s="1"/>
  <c r="F138" i="2" s="1"/>
  <c r="G138" i="2" s="1"/>
  <c r="H138" i="2" s="1"/>
  <c r="I138" i="2" s="1"/>
  <c r="J138" i="2" s="1"/>
  <c r="K138" i="2" s="1"/>
  <c r="L138" i="2" s="1"/>
  <c r="M138" i="2" s="1"/>
  <c r="N138" i="2" s="1"/>
  <c r="O138" i="2" s="1"/>
  <c r="C139" i="2"/>
  <c r="D139" i="2" s="1"/>
  <c r="E139" i="2" s="1"/>
  <c r="F139" i="2" s="1"/>
  <c r="G139" i="2" s="1"/>
  <c r="H139" i="2" s="1"/>
  <c r="I139" i="2" s="1"/>
  <c r="J139" i="2" s="1"/>
  <c r="K139" i="2" s="1"/>
  <c r="L139" i="2" s="1"/>
  <c r="M139" i="2" s="1"/>
  <c r="N139" i="2" s="1"/>
  <c r="O139" i="2" s="1"/>
  <c r="C140" i="2"/>
  <c r="D140" i="2" s="1"/>
  <c r="E140" i="2" s="1"/>
  <c r="F140" i="2" s="1"/>
  <c r="G140" i="2" s="1"/>
  <c r="H140" i="2" s="1"/>
  <c r="I140" i="2" s="1"/>
  <c r="J140" i="2" s="1"/>
  <c r="K140" i="2" s="1"/>
  <c r="L140" i="2" s="1"/>
  <c r="M140" i="2" s="1"/>
  <c r="N140" i="2" s="1"/>
  <c r="O140" i="2" s="1"/>
  <c r="C141" i="2"/>
  <c r="D141" i="2" s="1"/>
  <c r="E141" i="2" s="1"/>
  <c r="F141" i="2" s="1"/>
  <c r="G141" i="2" s="1"/>
  <c r="H141" i="2" s="1"/>
  <c r="I141" i="2" s="1"/>
  <c r="J141" i="2" s="1"/>
  <c r="K141" i="2" s="1"/>
  <c r="L141" i="2" s="1"/>
  <c r="M141" i="2" s="1"/>
  <c r="N141" i="2" s="1"/>
  <c r="O141" i="2" s="1"/>
  <c r="C142" i="2"/>
  <c r="D142" i="2" s="1"/>
  <c r="E142" i="2" s="1"/>
  <c r="F142" i="2" s="1"/>
  <c r="G142" i="2" s="1"/>
  <c r="H142" i="2" s="1"/>
  <c r="I142" i="2" s="1"/>
  <c r="J142" i="2" s="1"/>
  <c r="K142" i="2" s="1"/>
  <c r="L142" i="2" s="1"/>
  <c r="M142" i="2" s="1"/>
  <c r="N142" i="2" s="1"/>
  <c r="O142" i="2" s="1"/>
  <c r="C143" i="2"/>
  <c r="D143" i="2" s="1"/>
  <c r="E143" i="2" s="1"/>
  <c r="F143" i="2" s="1"/>
  <c r="G143" i="2" s="1"/>
  <c r="H143" i="2" s="1"/>
  <c r="I143" i="2" s="1"/>
  <c r="J143" i="2" s="1"/>
  <c r="K143" i="2" s="1"/>
  <c r="L143" i="2" s="1"/>
  <c r="M143" i="2" s="1"/>
  <c r="N143" i="2" s="1"/>
  <c r="O143" i="2" s="1"/>
  <c r="C144" i="2"/>
  <c r="D144" i="2" s="1"/>
  <c r="E144" i="2" s="1"/>
  <c r="F144" i="2" s="1"/>
  <c r="G144" i="2" s="1"/>
  <c r="H144" i="2" s="1"/>
  <c r="I144" i="2" s="1"/>
  <c r="J144" i="2" s="1"/>
  <c r="K144" i="2" s="1"/>
  <c r="L144" i="2" s="1"/>
  <c r="M144" i="2" s="1"/>
  <c r="N144" i="2" s="1"/>
  <c r="O144" i="2" s="1"/>
  <c r="C145" i="2"/>
  <c r="D145" i="2" s="1"/>
  <c r="E145" i="2" s="1"/>
  <c r="F145" i="2" s="1"/>
  <c r="G145" i="2" s="1"/>
  <c r="H145" i="2" s="1"/>
  <c r="I145" i="2" s="1"/>
  <c r="J145" i="2" s="1"/>
  <c r="K145" i="2" s="1"/>
  <c r="L145" i="2" s="1"/>
  <c r="M145" i="2" s="1"/>
  <c r="N145" i="2" s="1"/>
  <c r="O145" i="2" s="1"/>
  <c r="C146" i="2"/>
  <c r="D146" i="2" s="1"/>
  <c r="E146" i="2" s="1"/>
  <c r="F146" i="2" s="1"/>
  <c r="G146" i="2" s="1"/>
  <c r="H146" i="2" s="1"/>
  <c r="I146" i="2" s="1"/>
  <c r="J146" i="2" s="1"/>
  <c r="K146" i="2" s="1"/>
  <c r="L146" i="2" s="1"/>
  <c r="M146" i="2" s="1"/>
  <c r="N146" i="2" s="1"/>
  <c r="O146" i="2" s="1"/>
  <c r="C147" i="2"/>
  <c r="D147" i="2" s="1"/>
  <c r="E147" i="2" s="1"/>
  <c r="F147" i="2" s="1"/>
  <c r="G147" i="2" s="1"/>
  <c r="H147" i="2" s="1"/>
  <c r="I147" i="2" s="1"/>
  <c r="J147" i="2" s="1"/>
  <c r="K147" i="2" s="1"/>
  <c r="L147" i="2" s="1"/>
  <c r="M147" i="2" s="1"/>
  <c r="N147" i="2" s="1"/>
  <c r="O147" i="2" s="1"/>
  <c r="C148" i="2"/>
  <c r="D148" i="2" s="1"/>
  <c r="E148" i="2" s="1"/>
  <c r="F148" i="2" s="1"/>
  <c r="G148" i="2" s="1"/>
  <c r="H148" i="2" s="1"/>
  <c r="I148" i="2" s="1"/>
  <c r="J148" i="2" s="1"/>
  <c r="K148" i="2" s="1"/>
  <c r="L148" i="2" s="1"/>
  <c r="M148" i="2" s="1"/>
  <c r="N148" i="2" s="1"/>
  <c r="O148" i="2" s="1"/>
  <c r="C149" i="2"/>
  <c r="D149" i="2" s="1"/>
  <c r="E149" i="2" s="1"/>
  <c r="F149" i="2" s="1"/>
  <c r="G149" i="2" s="1"/>
  <c r="H149" i="2" s="1"/>
  <c r="I149" i="2" s="1"/>
  <c r="J149" i="2" s="1"/>
  <c r="K149" i="2" s="1"/>
  <c r="L149" i="2" s="1"/>
  <c r="M149" i="2" s="1"/>
  <c r="N149" i="2" s="1"/>
  <c r="O149" i="2" s="1"/>
  <c r="C150" i="2"/>
  <c r="D150" i="2" s="1"/>
  <c r="E150" i="2" s="1"/>
  <c r="F150" i="2" s="1"/>
  <c r="G150" i="2" s="1"/>
  <c r="H150" i="2" s="1"/>
  <c r="I150" i="2" s="1"/>
  <c r="J150" i="2" s="1"/>
  <c r="K150" i="2" s="1"/>
  <c r="L150" i="2" s="1"/>
  <c r="M150" i="2" s="1"/>
  <c r="N150" i="2" s="1"/>
  <c r="O150" i="2" s="1"/>
  <c r="C151" i="2"/>
  <c r="D151" i="2" s="1"/>
  <c r="E151" i="2" s="1"/>
  <c r="F151" i="2" s="1"/>
  <c r="G151" i="2" s="1"/>
  <c r="H151" i="2" s="1"/>
  <c r="I151" i="2" s="1"/>
  <c r="J151" i="2" s="1"/>
  <c r="K151" i="2" s="1"/>
  <c r="L151" i="2" s="1"/>
  <c r="M151" i="2" s="1"/>
  <c r="N151" i="2" s="1"/>
  <c r="O151" i="2" s="1"/>
  <c r="C152" i="2"/>
  <c r="D152" i="2" s="1"/>
  <c r="E152" i="2" s="1"/>
  <c r="F152" i="2" s="1"/>
  <c r="G152" i="2" s="1"/>
  <c r="H152" i="2" s="1"/>
  <c r="I152" i="2" s="1"/>
  <c r="J152" i="2" s="1"/>
  <c r="K152" i="2" s="1"/>
  <c r="L152" i="2" s="1"/>
  <c r="M152" i="2" s="1"/>
  <c r="N152" i="2" s="1"/>
  <c r="O152" i="2" s="1"/>
  <c r="C153" i="2"/>
  <c r="D153" i="2" s="1"/>
  <c r="E153" i="2" s="1"/>
  <c r="F153" i="2" s="1"/>
  <c r="G153" i="2" s="1"/>
  <c r="H153" i="2" s="1"/>
  <c r="I153" i="2" s="1"/>
  <c r="J153" i="2" s="1"/>
  <c r="K153" i="2" s="1"/>
  <c r="L153" i="2" s="1"/>
  <c r="M153" i="2" s="1"/>
  <c r="N153" i="2" s="1"/>
  <c r="O153" i="2" s="1"/>
  <c r="C154" i="2"/>
  <c r="D154" i="2" s="1"/>
  <c r="E154" i="2" s="1"/>
  <c r="F154" i="2" s="1"/>
  <c r="G154" i="2" s="1"/>
  <c r="H154" i="2" s="1"/>
  <c r="I154" i="2" s="1"/>
  <c r="J154" i="2" s="1"/>
  <c r="K154" i="2" s="1"/>
  <c r="L154" i="2" s="1"/>
  <c r="M154" i="2" s="1"/>
  <c r="N154" i="2" s="1"/>
  <c r="O154" i="2" s="1"/>
  <c r="C155" i="2"/>
  <c r="D155" i="2" s="1"/>
  <c r="E155" i="2" s="1"/>
  <c r="F155" i="2" s="1"/>
  <c r="G155" i="2" s="1"/>
  <c r="H155" i="2" s="1"/>
  <c r="I155" i="2" s="1"/>
  <c r="J155" i="2" s="1"/>
  <c r="K155" i="2" s="1"/>
  <c r="L155" i="2" s="1"/>
  <c r="M155" i="2" s="1"/>
  <c r="N155" i="2" s="1"/>
  <c r="O155" i="2" s="1"/>
  <c r="C156" i="2"/>
  <c r="D156" i="2" s="1"/>
  <c r="E156" i="2" s="1"/>
  <c r="F156" i="2" s="1"/>
  <c r="G156" i="2" s="1"/>
  <c r="H156" i="2" s="1"/>
  <c r="I156" i="2" s="1"/>
  <c r="J156" i="2" s="1"/>
  <c r="K156" i="2" s="1"/>
  <c r="L156" i="2" s="1"/>
  <c r="M156" i="2" s="1"/>
  <c r="N156" i="2" s="1"/>
  <c r="O156" i="2" s="1"/>
  <c r="C157" i="2"/>
  <c r="D157" i="2" s="1"/>
  <c r="E157" i="2" s="1"/>
  <c r="F157" i="2" s="1"/>
  <c r="G157" i="2" s="1"/>
  <c r="H157" i="2" s="1"/>
  <c r="I157" i="2" s="1"/>
  <c r="J157" i="2" s="1"/>
  <c r="K157" i="2" s="1"/>
  <c r="L157" i="2" s="1"/>
  <c r="M157" i="2" s="1"/>
  <c r="N157" i="2" s="1"/>
  <c r="O157" i="2" s="1"/>
  <c r="C158" i="2"/>
  <c r="D158" i="2" s="1"/>
  <c r="E158" i="2" s="1"/>
  <c r="F158" i="2" s="1"/>
  <c r="G158" i="2" s="1"/>
  <c r="H158" i="2" s="1"/>
  <c r="I158" i="2" s="1"/>
  <c r="J158" i="2" s="1"/>
  <c r="K158" i="2" s="1"/>
  <c r="L158" i="2" s="1"/>
  <c r="M158" i="2" s="1"/>
  <c r="N158" i="2" s="1"/>
  <c r="O158" i="2" s="1"/>
  <c r="C159" i="2"/>
  <c r="D159" i="2" s="1"/>
  <c r="E159" i="2" s="1"/>
  <c r="F159" i="2" s="1"/>
  <c r="G159" i="2" s="1"/>
  <c r="H159" i="2" s="1"/>
  <c r="I159" i="2" s="1"/>
  <c r="J159" i="2" s="1"/>
  <c r="K159" i="2" s="1"/>
  <c r="L159" i="2" s="1"/>
  <c r="M159" i="2" s="1"/>
  <c r="N159" i="2" s="1"/>
  <c r="O159" i="2" s="1"/>
  <c r="C160" i="2"/>
  <c r="D160" i="2" s="1"/>
  <c r="E160" i="2" s="1"/>
  <c r="F160" i="2" s="1"/>
  <c r="G160" i="2" s="1"/>
  <c r="H160" i="2" s="1"/>
  <c r="I160" i="2" s="1"/>
  <c r="J160" i="2" s="1"/>
  <c r="K160" i="2" s="1"/>
  <c r="L160" i="2" s="1"/>
  <c r="M160" i="2" s="1"/>
  <c r="N160" i="2" s="1"/>
  <c r="O160" i="2" s="1"/>
  <c r="C161" i="2"/>
  <c r="D161" i="2" s="1"/>
  <c r="E161" i="2" s="1"/>
  <c r="F161" i="2" s="1"/>
  <c r="G161" i="2" s="1"/>
  <c r="H161" i="2" s="1"/>
  <c r="I161" i="2" s="1"/>
  <c r="J161" i="2" s="1"/>
  <c r="K161" i="2" s="1"/>
  <c r="L161" i="2" s="1"/>
  <c r="M161" i="2" s="1"/>
  <c r="N161" i="2" s="1"/>
  <c r="O161" i="2" s="1"/>
  <c r="C162" i="2"/>
  <c r="D162" i="2" s="1"/>
  <c r="E162" i="2" s="1"/>
  <c r="F162" i="2" s="1"/>
  <c r="G162" i="2" s="1"/>
  <c r="H162" i="2" s="1"/>
  <c r="I162" i="2" s="1"/>
  <c r="J162" i="2" s="1"/>
  <c r="K162" i="2" s="1"/>
  <c r="L162" i="2" s="1"/>
  <c r="M162" i="2" s="1"/>
  <c r="N162" i="2" s="1"/>
  <c r="O162" i="2" s="1"/>
  <c r="C163" i="2"/>
  <c r="D163" i="2" s="1"/>
  <c r="E163" i="2" s="1"/>
  <c r="F163" i="2" s="1"/>
  <c r="G163" i="2" s="1"/>
  <c r="H163" i="2" s="1"/>
  <c r="I163" i="2" s="1"/>
  <c r="J163" i="2" s="1"/>
  <c r="K163" i="2" s="1"/>
  <c r="L163" i="2" s="1"/>
  <c r="M163" i="2" s="1"/>
  <c r="N163" i="2" s="1"/>
  <c r="O163" i="2" s="1"/>
  <c r="C164" i="2"/>
  <c r="D164" i="2" s="1"/>
  <c r="E164" i="2" s="1"/>
  <c r="F164" i="2" s="1"/>
  <c r="G164" i="2" s="1"/>
  <c r="H164" i="2" s="1"/>
  <c r="I164" i="2" s="1"/>
  <c r="J164" i="2" s="1"/>
  <c r="K164" i="2" s="1"/>
  <c r="L164" i="2" s="1"/>
  <c r="M164" i="2" s="1"/>
  <c r="N164" i="2" s="1"/>
  <c r="O164" i="2" s="1"/>
  <c r="C165" i="2"/>
  <c r="D165" i="2" s="1"/>
  <c r="E165" i="2" s="1"/>
  <c r="F165" i="2" s="1"/>
  <c r="G165" i="2" s="1"/>
  <c r="H165" i="2" s="1"/>
  <c r="I165" i="2" s="1"/>
  <c r="J165" i="2" s="1"/>
  <c r="K165" i="2" s="1"/>
  <c r="L165" i="2" s="1"/>
  <c r="M165" i="2" s="1"/>
  <c r="N165" i="2" s="1"/>
  <c r="O165" i="2" s="1"/>
  <c r="C166" i="2"/>
  <c r="D166" i="2" s="1"/>
  <c r="E166" i="2" s="1"/>
  <c r="F166" i="2" s="1"/>
  <c r="G166" i="2" s="1"/>
  <c r="H166" i="2" s="1"/>
  <c r="I166" i="2" s="1"/>
  <c r="J166" i="2" s="1"/>
  <c r="K166" i="2" s="1"/>
  <c r="L166" i="2" s="1"/>
  <c r="M166" i="2" s="1"/>
  <c r="N166" i="2" s="1"/>
  <c r="O166" i="2" s="1"/>
  <c r="C167" i="2"/>
  <c r="D167" i="2" s="1"/>
  <c r="E167" i="2" s="1"/>
  <c r="F167" i="2" s="1"/>
  <c r="G167" i="2" s="1"/>
  <c r="H167" i="2" s="1"/>
  <c r="I167" i="2" s="1"/>
  <c r="J167" i="2" s="1"/>
  <c r="K167" i="2" s="1"/>
  <c r="L167" i="2" s="1"/>
  <c r="M167" i="2" s="1"/>
  <c r="N167" i="2" s="1"/>
  <c r="O167" i="2" s="1"/>
  <c r="C168" i="2"/>
  <c r="D168" i="2" s="1"/>
  <c r="E168" i="2" s="1"/>
  <c r="F168" i="2" s="1"/>
  <c r="G168" i="2" s="1"/>
  <c r="H168" i="2" s="1"/>
  <c r="I168" i="2" s="1"/>
  <c r="J168" i="2" s="1"/>
  <c r="K168" i="2" s="1"/>
  <c r="L168" i="2" s="1"/>
  <c r="M168" i="2" s="1"/>
  <c r="N168" i="2" s="1"/>
  <c r="O168" i="2" s="1"/>
  <c r="C169" i="2"/>
  <c r="D169" i="2" s="1"/>
  <c r="E169" i="2" s="1"/>
  <c r="F169" i="2" s="1"/>
  <c r="G169" i="2" s="1"/>
  <c r="H169" i="2" s="1"/>
  <c r="I169" i="2" s="1"/>
  <c r="J169" i="2" s="1"/>
  <c r="K169" i="2" s="1"/>
  <c r="L169" i="2" s="1"/>
  <c r="M169" i="2" s="1"/>
  <c r="N169" i="2" s="1"/>
  <c r="O169" i="2" s="1"/>
  <c r="C170" i="2"/>
  <c r="D170" i="2" s="1"/>
  <c r="E170" i="2" s="1"/>
  <c r="F170" i="2" s="1"/>
  <c r="G170" i="2" s="1"/>
  <c r="H170" i="2" s="1"/>
  <c r="I170" i="2" s="1"/>
  <c r="J170" i="2" s="1"/>
  <c r="K170" i="2" s="1"/>
  <c r="L170" i="2" s="1"/>
  <c r="M170" i="2" s="1"/>
  <c r="N170" i="2" s="1"/>
  <c r="O170" i="2" s="1"/>
  <c r="C171" i="2"/>
  <c r="D171" i="2" s="1"/>
  <c r="E171" i="2" s="1"/>
  <c r="F171" i="2" s="1"/>
  <c r="G171" i="2" s="1"/>
  <c r="H171" i="2" s="1"/>
  <c r="I171" i="2" s="1"/>
  <c r="J171" i="2" s="1"/>
  <c r="K171" i="2" s="1"/>
  <c r="L171" i="2" s="1"/>
  <c r="M171" i="2" s="1"/>
  <c r="N171" i="2" s="1"/>
  <c r="O171" i="2" s="1"/>
  <c r="C172" i="2"/>
  <c r="D172" i="2" s="1"/>
  <c r="E172" i="2" s="1"/>
  <c r="F172" i="2" s="1"/>
  <c r="G172" i="2" s="1"/>
  <c r="H172" i="2" s="1"/>
  <c r="I172" i="2" s="1"/>
  <c r="J172" i="2" s="1"/>
  <c r="K172" i="2" s="1"/>
  <c r="L172" i="2" s="1"/>
  <c r="M172" i="2" s="1"/>
  <c r="N172" i="2" s="1"/>
  <c r="O172" i="2" s="1"/>
  <c r="C173" i="2"/>
  <c r="D173" i="2" s="1"/>
  <c r="E173" i="2" s="1"/>
  <c r="F173" i="2" s="1"/>
  <c r="G173" i="2" s="1"/>
  <c r="H173" i="2" s="1"/>
  <c r="I173" i="2" s="1"/>
  <c r="J173" i="2" s="1"/>
  <c r="K173" i="2" s="1"/>
  <c r="L173" i="2" s="1"/>
  <c r="M173" i="2" s="1"/>
  <c r="N173" i="2" s="1"/>
  <c r="O173" i="2" s="1"/>
  <c r="C174" i="2"/>
  <c r="D174" i="2" s="1"/>
  <c r="E174" i="2" s="1"/>
  <c r="F174" i="2" s="1"/>
  <c r="G174" i="2" s="1"/>
  <c r="H174" i="2" s="1"/>
  <c r="I174" i="2" s="1"/>
  <c r="J174" i="2" s="1"/>
  <c r="K174" i="2" s="1"/>
  <c r="L174" i="2" s="1"/>
  <c r="M174" i="2" s="1"/>
  <c r="N174" i="2" s="1"/>
  <c r="O174" i="2" s="1"/>
  <c r="C175" i="2"/>
  <c r="D175" i="2" s="1"/>
  <c r="E175" i="2" s="1"/>
  <c r="F175" i="2" s="1"/>
  <c r="G175" i="2" s="1"/>
  <c r="H175" i="2" s="1"/>
  <c r="I175" i="2" s="1"/>
  <c r="J175" i="2" s="1"/>
  <c r="K175" i="2" s="1"/>
  <c r="L175" i="2" s="1"/>
  <c r="M175" i="2" s="1"/>
  <c r="N175" i="2" s="1"/>
  <c r="O175" i="2" s="1"/>
  <c r="C176" i="2"/>
  <c r="D176" i="2" s="1"/>
  <c r="E176" i="2" s="1"/>
  <c r="F176" i="2" s="1"/>
  <c r="G176" i="2" s="1"/>
  <c r="H176" i="2" s="1"/>
  <c r="I176" i="2" s="1"/>
  <c r="J176" i="2" s="1"/>
  <c r="K176" i="2" s="1"/>
  <c r="L176" i="2" s="1"/>
  <c r="M176" i="2" s="1"/>
  <c r="N176" i="2" s="1"/>
  <c r="O176" i="2" s="1"/>
  <c r="C177" i="2"/>
  <c r="D177" i="2" s="1"/>
  <c r="E177" i="2" s="1"/>
  <c r="F177" i="2" s="1"/>
  <c r="G177" i="2" s="1"/>
  <c r="H177" i="2" s="1"/>
  <c r="I177" i="2" s="1"/>
  <c r="J177" i="2" s="1"/>
  <c r="K177" i="2" s="1"/>
  <c r="L177" i="2" s="1"/>
  <c r="M177" i="2" s="1"/>
  <c r="N177" i="2" s="1"/>
  <c r="O177" i="2" s="1"/>
  <c r="C178" i="2"/>
  <c r="D178" i="2" s="1"/>
  <c r="E178" i="2" s="1"/>
  <c r="F178" i="2" s="1"/>
  <c r="G178" i="2" s="1"/>
  <c r="H178" i="2" s="1"/>
  <c r="I178" i="2" s="1"/>
  <c r="J178" i="2" s="1"/>
  <c r="K178" i="2" s="1"/>
  <c r="L178" i="2" s="1"/>
  <c r="M178" i="2" s="1"/>
  <c r="N178" i="2" s="1"/>
  <c r="O178" i="2" s="1"/>
  <c r="C179" i="2"/>
  <c r="D179" i="2" s="1"/>
  <c r="E179" i="2" s="1"/>
  <c r="F179" i="2" s="1"/>
  <c r="G179" i="2" s="1"/>
  <c r="H179" i="2" s="1"/>
  <c r="I179" i="2" s="1"/>
  <c r="J179" i="2" s="1"/>
  <c r="K179" i="2" s="1"/>
  <c r="L179" i="2" s="1"/>
  <c r="M179" i="2" s="1"/>
  <c r="N179" i="2" s="1"/>
  <c r="O179" i="2" s="1"/>
  <c r="C180" i="2"/>
  <c r="D180" i="2" s="1"/>
  <c r="E180" i="2" s="1"/>
  <c r="F180" i="2" s="1"/>
  <c r="G180" i="2" s="1"/>
  <c r="H180" i="2" s="1"/>
  <c r="I180" i="2" s="1"/>
  <c r="J180" i="2" s="1"/>
  <c r="K180" i="2" s="1"/>
  <c r="L180" i="2" s="1"/>
  <c r="M180" i="2" s="1"/>
  <c r="N180" i="2" s="1"/>
  <c r="O180" i="2" s="1"/>
  <c r="C181" i="2"/>
  <c r="D181" i="2" s="1"/>
  <c r="E181" i="2" s="1"/>
  <c r="F181" i="2" s="1"/>
  <c r="G181" i="2" s="1"/>
  <c r="H181" i="2" s="1"/>
  <c r="I181" i="2" s="1"/>
  <c r="J181" i="2" s="1"/>
  <c r="K181" i="2" s="1"/>
  <c r="L181" i="2" s="1"/>
  <c r="M181" i="2" s="1"/>
  <c r="N181" i="2" s="1"/>
  <c r="O181" i="2" s="1"/>
  <c r="C182" i="2"/>
  <c r="D182" i="2" s="1"/>
  <c r="E182" i="2" s="1"/>
  <c r="F182" i="2" s="1"/>
  <c r="G182" i="2" s="1"/>
  <c r="H182" i="2" s="1"/>
  <c r="I182" i="2" s="1"/>
  <c r="J182" i="2" s="1"/>
  <c r="K182" i="2" s="1"/>
  <c r="L182" i="2" s="1"/>
  <c r="M182" i="2" s="1"/>
  <c r="N182" i="2" s="1"/>
  <c r="O182" i="2" s="1"/>
  <c r="C183" i="2"/>
  <c r="D183" i="2" s="1"/>
  <c r="E183" i="2" s="1"/>
  <c r="F183" i="2" s="1"/>
  <c r="G183" i="2" s="1"/>
  <c r="H183" i="2" s="1"/>
  <c r="I183" i="2" s="1"/>
  <c r="J183" i="2" s="1"/>
  <c r="K183" i="2" s="1"/>
  <c r="L183" i="2" s="1"/>
  <c r="M183" i="2" s="1"/>
  <c r="N183" i="2" s="1"/>
  <c r="O183" i="2" s="1"/>
  <c r="C184" i="2"/>
  <c r="D184" i="2" s="1"/>
  <c r="E184" i="2" s="1"/>
  <c r="F184" i="2" s="1"/>
  <c r="G184" i="2" s="1"/>
  <c r="H184" i="2" s="1"/>
  <c r="I184" i="2" s="1"/>
  <c r="J184" i="2" s="1"/>
  <c r="K184" i="2" s="1"/>
  <c r="L184" i="2" s="1"/>
  <c r="M184" i="2" s="1"/>
  <c r="N184" i="2" s="1"/>
  <c r="O184" i="2" s="1"/>
  <c r="C185" i="2"/>
  <c r="D185" i="2" s="1"/>
  <c r="E185" i="2" s="1"/>
  <c r="F185" i="2" s="1"/>
  <c r="G185" i="2" s="1"/>
  <c r="H185" i="2" s="1"/>
  <c r="I185" i="2" s="1"/>
  <c r="J185" i="2" s="1"/>
  <c r="K185" i="2" s="1"/>
  <c r="L185" i="2" s="1"/>
  <c r="M185" i="2" s="1"/>
  <c r="N185" i="2" s="1"/>
  <c r="O185" i="2" s="1"/>
  <c r="C186" i="2"/>
  <c r="D186" i="2" s="1"/>
  <c r="E186" i="2" s="1"/>
  <c r="F186" i="2" s="1"/>
  <c r="G186" i="2" s="1"/>
  <c r="H186" i="2" s="1"/>
  <c r="I186" i="2" s="1"/>
  <c r="J186" i="2" s="1"/>
  <c r="K186" i="2" s="1"/>
  <c r="L186" i="2" s="1"/>
  <c r="M186" i="2" s="1"/>
  <c r="N186" i="2" s="1"/>
  <c r="O186" i="2" s="1"/>
  <c r="C187" i="2"/>
  <c r="D187" i="2" s="1"/>
  <c r="E187" i="2" s="1"/>
  <c r="F187" i="2" s="1"/>
  <c r="G187" i="2" s="1"/>
  <c r="H187" i="2" s="1"/>
  <c r="I187" i="2" s="1"/>
  <c r="J187" i="2" s="1"/>
  <c r="K187" i="2" s="1"/>
  <c r="L187" i="2" s="1"/>
  <c r="M187" i="2" s="1"/>
  <c r="N187" i="2" s="1"/>
  <c r="O187" i="2" s="1"/>
  <c r="C188" i="2"/>
  <c r="D188" i="2" s="1"/>
  <c r="E188" i="2" s="1"/>
  <c r="F188" i="2" s="1"/>
  <c r="G188" i="2" s="1"/>
  <c r="H188" i="2" s="1"/>
  <c r="I188" i="2" s="1"/>
  <c r="J188" i="2" s="1"/>
  <c r="K188" i="2" s="1"/>
  <c r="L188" i="2" s="1"/>
  <c r="M188" i="2" s="1"/>
  <c r="N188" i="2" s="1"/>
  <c r="O188" i="2" s="1"/>
  <c r="C189" i="2"/>
  <c r="D189" i="2" s="1"/>
  <c r="E189" i="2" s="1"/>
  <c r="F189" i="2" s="1"/>
  <c r="G189" i="2" s="1"/>
  <c r="H189" i="2" s="1"/>
  <c r="I189" i="2" s="1"/>
  <c r="J189" i="2" s="1"/>
  <c r="K189" i="2" s="1"/>
  <c r="L189" i="2" s="1"/>
  <c r="M189" i="2" s="1"/>
  <c r="N189" i="2" s="1"/>
  <c r="O189" i="2" s="1"/>
  <c r="C190" i="2"/>
  <c r="D190" i="2" s="1"/>
  <c r="E190" i="2" s="1"/>
  <c r="F190" i="2" s="1"/>
  <c r="G190" i="2" s="1"/>
  <c r="H190" i="2" s="1"/>
  <c r="I190" i="2" s="1"/>
  <c r="J190" i="2" s="1"/>
  <c r="K190" i="2" s="1"/>
  <c r="L190" i="2" s="1"/>
  <c r="M190" i="2" s="1"/>
  <c r="N190" i="2" s="1"/>
  <c r="O190" i="2" s="1"/>
  <c r="C191" i="2"/>
  <c r="D191" i="2" s="1"/>
  <c r="E191" i="2" s="1"/>
  <c r="F191" i="2" s="1"/>
  <c r="G191" i="2" s="1"/>
  <c r="H191" i="2" s="1"/>
  <c r="I191" i="2" s="1"/>
  <c r="J191" i="2" s="1"/>
  <c r="K191" i="2" s="1"/>
  <c r="L191" i="2" s="1"/>
  <c r="M191" i="2" s="1"/>
  <c r="N191" i="2" s="1"/>
  <c r="O191" i="2" s="1"/>
  <c r="C192" i="2"/>
  <c r="D192" i="2" s="1"/>
  <c r="E192" i="2" s="1"/>
  <c r="F192" i="2" s="1"/>
  <c r="G192" i="2" s="1"/>
  <c r="H192" i="2" s="1"/>
  <c r="I192" i="2" s="1"/>
  <c r="J192" i="2" s="1"/>
  <c r="K192" i="2" s="1"/>
  <c r="L192" i="2" s="1"/>
  <c r="M192" i="2" s="1"/>
  <c r="N192" i="2" s="1"/>
  <c r="O192" i="2" s="1"/>
  <c r="C193" i="2"/>
  <c r="D193" i="2" s="1"/>
  <c r="E193" i="2" s="1"/>
  <c r="F193" i="2" s="1"/>
  <c r="G193" i="2" s="1"/>
  <c r="H193" i="2" s="1"/>
  <c r="I193" i="2" s="1"/>
  <c r="J193" i="2" s="1"/>
  <c r="K193" i="2" s="1"/>
  <c r="L193" i="2" s="1"/>
  <c r="M193" i="2" s="1"/>
  <c r="N193" i="2" s="1"/>
  <c r="O193" i="2" s="1"/>
  <c r="C194" i="2"/>
  <c r="D194" i="2" s="1"/>
  <c r="E194" i="2" s="1"/>
  <c r="F194" i="2" s="1"/>
  <c r="G194" i="2" s="1"/>
  <c r="H194" i="2" s="1"/>
  <c r="I194" i="2" s="1"/>
  <c r="J194" i="2" s="1"/>
  <c r="K194" i="2" s="1"/>
  <c r="L194" i="2" s="1"/>
  <c r="M194" i="2" s="1"/>
  <c r="N194" i="2" s="1"/>
  <c r="O194" i="2" s="1"/>
  <c r="C195" i="2"/>
  <c r="D195" i="2" s="1"/>
  <c r="E195" i="2" s="1"/>
  <c r="F195" i="2" s="1"/>
  <c r="G195" i="2" s="1"/>
  <c r="H195" i="2" s="1"/>
  <c r="I195" i="2" s="1"/>
  <c r="J195" i="2" s="1"/>
  <c r="K195" i="2" s="1"/>
  <c r="L195" i="2" s="1"/>
  <c r="M195" i="2" s="1"/>
  <c r="N195" i="2" s="1"/>
  <c r="O195" i="2" s="1"/>
  <c r="C196" i="2"/>
  <c r="D196" i="2" s="1"/>
  <c r="E196" i="2" s="1"/>
  <c r="F196" i="2" s="1"/>
  <c r="G196" i="2" s="1"/>
  <c r="H196" i="2" s="1"/>
  <c r="I196" i="2" s="1"/>
  <c r="J196" i="2" s="1"/>
  <c r="K196" i="2" s="1"/>
  <c r="L196" i="2" s="1"/>
  <c r="M196" i="2" s="1"/>
  <c r="N196" i="2" s="1"/>
  <c r="O196" i="2" s="1"/>
  <c r="C197" i="2"/>
  <c r="D197" i="2" s="1"/>
  <c r="E197" i="2" s="1"/>
  <c r="F197" i="2" s="1"/>
  <c r="G197" i="2" s="1"/>
  <c r="H197" i="2" s="1"/>
  <c r="I197" i="2" s="1"/>
  <c r="J197" i="2" s="1"/>
  <c r="K197" i="2" s="1"/>
  <c r="L197" i="2" s="1"/>
  <c r="M197" i="2" s="1"/>
  <c r="N197" i="2" s="1"/>
  <c r="O197" i="2" s="1"/>
  <c r="C198" i="2"/>
  <c r="D198" i="2" s="1"/>
  <c r="E198" i="2" s="1"/>
  <c r="F198" i="2" s="1"/>
  <c r="G198" i="2" s="1"/>
  <c r="H198" i="2" s="1"/>
  <c r="I198" i="2" s="1"/>
  <c r="J198" i="2" s="1"/>
  <c r="K198" i="2" s="1"/>
  <c r="L198" i="2" s="1"/>
  <c r="M198" i="2" s="1"/>
  <c r="N198" i="2" s="1"/>
  <c r="O198" i="2" s="1"/>
  <c r="C199" i="2"/>
  <c r="D199" i="2" s="1"/>
  <c r="E199" i="2" s="1"/>
  <c r="F199" i="2" s="1"/>
  <c r="G199" i="2" s="1"/>
  <c r="H199" i="2" s="1"/>
  <c r="I199" i="2" s="1"/>
  <c r="J199" i="2" s="1"/>
  <c r="K199" i="2" s="1"/>
  <c r="L199" i="2" s="1"/>
  <c r="M199" i="2" s="1"/>
  <c r="N199" i="2" s="1"/>
  <c r="O199" i="2" s="1"/>
  <c r="C200" i="2"/>
  <c r="D200" i="2" s="1"/>
  <c r="E200" i="2" s="1"/>
  <c r="F200" i="2" s="1"/>
  <c r="G200" i="2" s="1"/>
  <c r="H200" i="2" s="1"/>
  <c r="I200" i="2" s="1"/>
  <c r="J200" i="2" s="1"/>
  <c r="K200" i="2" s="1"/>
  <c r="L200" i="2" s="1"/>
  <c r="M200" i="2" s="1"/>
  <c r="N200" i="2" s="1"/>
  <c r="O200" i="2" s="1"/>
  <c r="C201" i="2"/>
  <c r="D201" i="2" s="1"/>
  <c r="E201" i="2" s="1"/>
  <c r="F201" i="2" s="1"/>
  <c r="G201" i="2" s="1"/>
  <c r="H201" i="2" s="1"/>
  <c r="I201" i="2" s="1"/>
  <c r="J201" i="2" s="1"/>
  <c r="K201" i="2" s="1"/>
  <c r="L201" i="2" s="1"/>
  <c r="M201" i="2" s="1"/>
  <c r="N201" i="2" s="1"/>
  <c r="O201" i="2" s="1"/>
  <c r="C202" i="2"/>
  <c r="D202" i="2" s="1"/>
  <c r="E202" i="2" s="1"/>
  <c r="F202" i="2" s="1"/>
  <c r="G202" i="2" s="1"/>
  <c r="H202" i="2" s="1"/>
  <c r="I202" i="2" s="1"/>
  <c r="J202" i="2" s="1"/>
  <c r="K202" i="2" s="1"/>
  <c r="L202" i="2" s="1"/>
  <c r="M202" i="2" s="1"/>
  <c r="N202" i="2" s="1"/>
  <c r="O202" i="2" s="1"/>
  <c r="C203" i="2"/>
  <c r="D203" i="2" s="1"/>
  <c r="E203" i="2" s="1"/>
  <c r="F203" i="2" s="1"/>
  <c r="G203" i="2" s="1"/>
  <c r="H203" i="2" s="1"/>
  <c r="I203" i="2" s="1"/>
  <c r="J203" i="2" s="1"/>
  <c r="K203" i="2" s="1"/>
  <c r="L203" i="2" s="1"/>
  <c r="M203" i="2" s="1"/>
  <c r="N203" i="2" s="1"/>
  <c r="O203" i="2" s="1"/>
  <c r="C204" i="2"/>
  <c r="D204" i="2" s="1"/>
  <c r="E204" i="2" s="1"/>
  <c r="F204" i="2" s="1"/>
  <c r="G204" i="2" s="1"/>
  <c r="H204" i="2" s="1"/>
  <c r="I204" i="2" s="1"/>
  <c r="J204" i="2" s="1"/>
  <c r="K204" i="2" s="1"/>
  <c r="L204" i="2" s="1"/>
  <c r="M204" i="2" s="1"/>
  <c r="N204" i="2" s="1"/>
  <c r="O204" i="2" s="1"/>
  <c r="C205" i="2"/>
  <c r="D205" i="2" s="1"/>
  <c r="E205" i="2" s="1"/>
  <c r="F205" i="2" s="1"/>
  <c r="G205" i="2" s="1"/>
  <c r="H205" i="2" s="1"/>
  <c r="I205" i="2" s="1"/>
  <c r="J205" i="2" s="1"/>
  <c r="K205" i="2" s="1"/>
  <c r="L205" i="2" s="1"/>
  <c r="M205" i="2" s="1"/>
  <c r="N205" i="2" s="1"/>
  <c r="O205" i="2" s="1"/>
  <c r="C206" i="2"/>
  <c r="D206" i="2" s="1"/>
  <c r="E206" i="2" s="1"/>
  <c r="F206" i="2" s="1"/>
  <c r="G206" i="2" s="1"/>
  <c r="H206" i="2" s="1"/>
  <c r="I206" i="2" s="1"/>
  <c r="J206" i="2" s="1"/>
  <c r="K206" i="2" s="1"/>
  <c r="L206" i="2" s="1"/>
  <c r="M206" i="2" s="1"/>
  <c r="N206" i="2" s="1"/>
  <c r="O206" i="2" s="1"/>
  <c r="C207" i="2"/>
  <c r="D207" i="2" s="1"/>
  <c r="E207" i="2" s="1"/>
  <c r="F207" i="2" s="1"/>
  <c r="G207" i="2" s="1"/>
  <c r="H207" i="2" s="1"/>
  <c r="I207" i="2" s="1"/>
  <c r="J207" i="2" s="1"/>
  <c r="K207" i="2" s="1"/>
  <c r="L207" i="2" s="1"/>
  <c r="M207" i="2" s="1"/>
  <c r="N207" i="2" s="1"/>
  <c r="O207" i="2" s="1"/>
  <c r="C208" i="2"/>
  <c r="D208" i="2" s="1"/>
  <c r="E208" i="2" s="1"/>
  <c r="F208" i="2" s="1"/>
  <c r="G208" i="2" s="1"/>
  <c r="H208" i="2" s="1"/>
  <c r="I208" i="2" s="1"/>
  <c r="J208" i="2" s="1"/>
  <c r="K208" i="2" s="1"/>
  <c r="L208" i="2" s="1"/>
  <c r="M208" i="2" s="1"/>
  <c r="N208" i="2" s="1"/>
  <c r="O208" i="2" s="1"/>
  <c r="C209" i="2"/>
  <c r="D209" i="2" s="1"/>
  <c r="E209" i="2" s="1"/>
  <c r="F209" i="2" s="1"/>
  <c r="G209" i="2" s="1"/>
  <c r="H209" i="2" s="1"/>
  <c r="I209" i="2" s="1"/>
  <c r="J209" i="2" s="1"/>
  <c r="K209" i="2" s="1"/>
  <c r="L209" i="2" s="1"/>
  <c r="M209" i="2" s="1"/>
  <c r="N209" i="2" s="1"/>
  <c r="O209" i="2" s="1"/>
  <c r="C210" i="2"/>
  <c r="D210" i="2" s="1"/>
  <c r="E210" i="2" s="1"/>
  <c r="F210" i="2" s="1"/>
  <c r="G210" i="2" s="1"/>
  <c r="H210" i="2" s="1"/>
  <c r="I210" i="2" s="1"/>
  <c r="J210" i="2" s="1"/>
  <c r="K210" i="2" s="1"/>
  <c r="L210" i="2" s="1"/>
  <c r="M210" i="2" s="1"/>
  <c r="N210" i="2" s="1"/>
  <c r="O210" i="2" s="1"/>
  <c r="C211" i="2"/>
  <c r="D211" i="2" s="1"/>
  <c r="E211" i="2" s="1"/>
  <c r="F211" i="2" s="1"/>
  <c r="G211" i="2" s="1"/>
  <c r="H211" i="2" s="1"/>
  <c r="I211" i="2" s="1"/>
  <c r="J211" i="2" s="1"/>
  <c r="K211" i="2" s="1"/>
  <c r="L211" i="2" s="1"/>
  <c r="M211" i="2" s="1"/>
  <c r="N211" i="2" s="1"/>
  <c r="O211" i="2" s="1"/>
  <c r="C212" i="2"/>
  <c r="D212" i="2" s="1"/>
  <c r="E212" i="2" s="1"/>
  <c r="F212" i="2" s="1"/>
  <c r="G212" i="2" s="1"/>
  <c r="H212" i="2" s="1"/>
  <c r="I212" i="2" s="1"/>
  <c r="J212" i="2" s="1"/>
  <c r="K212" i="2" s="1"/>
  <c r="L212" i="2" s="1"/>
  <c r="M212" i="2" s="1"/>
  <c r="N212" i="2" s="1"/>
  <c r="O212" i="2" s="1"/>
  <c r="C213" i="2"/>
  <c r="D213" i="2" s="1"/>
  <c r="E213" i="2" s="1"/>
  <c r="F213" i="2" s="1"/>
  <c r="G213" i="2" s="1"/>
  <c r="H213" i="2" s="1"/>
  <c r="I213" i="2" s="1"/>
  <c r="J213" i="2" s="1"/>
  <c r="K213" i="2" s="1"/>
  <c r="L213" i="2" s="1"/>
  <c r="M213" i="2" s="1"/>
  <c r="N213" i="2" s="1"/>
  <c r="O213" i="2" s="1"/>
  <c r="C214" i="2"/>
  <c r="D214" i="2" s="1"/>
  <c r="E214" i="2" s="1"/>
  <c r="F214" i="2" s="1"/>
  <c r="G214" i="2" s="1"/>
  <c r="H214" i="2" s="1"/>
  <c r="I214" i="2" s="1"/>
  <c r="J214" i="2" s="1"/>
  <c r="K214" i="2" s="1"/>
  <c r="L214" i="2" s="1"/>
  <c r="M214" i="2" s="1"/>
  <c r="N214" i="2" s="1"/>
  <c r="O214" i="2" s="1"/>
  <c r="C215" i="2"/>
  <c r="D215" i="2" s="1"/>
  <c r="E215" i="2" s="1"/>
  <c r="F215" i="2" s="1"/>
  <c r="G215" i="2" s="1"/>
  <c r="H215" i="2" s="1"/>
  <c r="I215" i="2" s="1"/>
  <c r="J215" i="2" s="1"/>
  <c r="K215" i="2" s="1"/>
  <c r="L215" i="2" s="1"/>
  <c r="M215" i="2" s="1"/>
  <c r="N215" i="2" s="1"/>
  <c r="O215" i="2" s="1"/>
  <c r="C216" i="2"/>
  <c r="D216" i="2" s="1"/>
  <c r="E216" i="2" s="1"/>
  <c r="F216" i="2" s="1"/>
  <c r="G216" i="2" s="1"/>
  <c r="H216" i="2" s="1"/>
  <c r="I216" i="2" s="1"/>
  <c r="J216" i="2" s="1"/>
  <c r="K216" i="2" s="1"/>
  <c r="L216" i="2" s="1"/>
  <c r="M216" i="2" s="1"/>
  <c r="N216" i="2" s="1"/>
  <c r="O216" i="2" s="1"/>
  <c r="C217" i="2"/>
  <c r="D217" i="2" s="1"/>
  <c r="E217" i="2" s="1"/>
  <c r="F217" i="2" s="1"/>
  <c r="G217" i="2" s="1"/>
  <c r="H217" i="2" s="1"/>
  <c r="I217" i="2" s="1"/>
  <c r="J217" i="2" s="1"/>
  <c r="K217" i="2" s="1"/>
  <c r="L217" i="2" s="1"/>
  <c r="M217" i="2" s="1"/>
  <c r="N217" i="2" s="1"/>
  <c r="O217" i="2" s="1"/>
  <c r="C218" i="2"/>
  <c r="D218" i="2" s="1"/>
  <c r="E218" i="2" s="1"/>
  <c r="F218" i="2" s="1"/>
  <c r="G218" i="2" s="1"/>
  <c r="H218" i="2" s="1"/>
  <c r="I218" i="2" s="1"/>
  <c r="J218" i="2" s="1"/>
  <c r="K218" i="2" s="1"/>
  <c r="L218" i="2" s="1"/>
  <c r="M218" i="2" s="1"/>
  <c r="N218" i="2" s="1"/>
  <c r="O218" i="2" s="1"/>
  <c r="C219" i="2"/>
  <c r="D219" i="2" s="1"/>
  <c r="E219" i="2" s="1"/>
  <c r="F219" i="2" s="1"/>
  <c r="G219" i="2" s="1"/>
  <c r="H219" i="2" s="1"/>
  <c r="I219" i="2" s="1"/>
  <c r="J219" i="2" s="1"/>
  <c r="K219" i="2" s="1"/>
  <c r="L219" i="2" s="1"/>
  <c r="M219" i="2" s="1"/>
  <c r="N219" i="2" s="1"/>
  <c r="O219" i="2" s="1"/>
  <c r="C220" i="2"/>
  <c r="D220" i="2" s="1"/>
  <c r="E220" i="2" s="1"/>
  <c r="F220" i="2" s="1"/>
  <c r="G220" i="2" s="1"/>
  <c r="H220" i="2" s="1"/>
  <c r="I220" i="2" s="1"/>
  <c r="J220" i="2" s="1"/>
  <c r="K220" i="2" s="1"/>
  <c r="L220" i="2" s="1"/>
  <c r="M220" i="2" s="1"/>
  <c r="N220" i="2" s="1"/>
  <c r="O220" i="2" s="1"/>
  <c r="C221" i="2"/>
  <c r="D221" i="2" s="1"/>
  <c r="E221" i="2" s="1"/>
  <c r="F221" i="2" s="1"/>
  <c r="G221" i="2" s="1"/>
  <c r="H221" i="2" s="1"/>
  <c r="I221" i="2" s="1"/>
  <c r="J221" i="2" s="1"/>
  <c r="K221" i="2" s="1"/>
  <c r="L221" i="2" s="1"/>
  <c r="M221" i="2" s="1"/>
  <c r="N221" i="2" s="1"/>
  <c r="O221" i="2" s="1"/>
  <c r="C222" i="2"/>
  <c r="D222" i="2" s="1"/>
  <c r="E222" i="2" s="1"/>
  <c r="F222" i="2" s="1"/>
  <c r="G222" i="2" s="1"/>
  <c r="H222" i="2" s="1"/>
  <c r="I222" i="2" s="1"/>
  <c r="J222" i="2" s="1"/>
  <c r="K222" i="2" s="1"/>
  <c r="L222" i="2" s="1"/>
  <c r="M222" i="2" s="1"/>
  <c r="N222" i="2" s="1"/>
  <c r="O222" i="2" s="1"/>
  <c r="C223" i="2"/>
  <c r="D223" i="2" s="1"/>
  <c r="E223" i="2" s="1"/>
  <c r="F223" i="2" s="1"/>
  <c r="G223" i="2" s="1"/>
  <c r="H223" i="2" s="1"/>
  <c r="I223" i="2" s="1"/>
  <c r="J223" i="2" s="1"/>
  <c r="K223" i="2" s="1"/>
  <c r="L223" i="2" s="1"/>
  <c r="M223" i="2" s="1"/>
  <c r="N223" i="2" s="1"/>
  <c r="O223" i="2" s="1"/>
  <c r="C224" i="2"/>
  <c r="D224" i="2" s="1"/>
  <c r="E224" i="2" s="1"/>
  <c r="F224" i="2" s="1"/>
  <c r="G224" i="2" s="1"/>
  <c r="H224" i="2" s="1"/>
  <c r="I224" i="2" s="1"/>
  <c r="J224" i="2" s="1"/>
  <c r="K224" i="2" s="1"/>
  <c r="L224" i="2" s="1"/>
  <c r="M224" i="2" s="1"/>
  <c r="N224" i="2" s="1"/>
  <c r="O224" i="2" s="1"/>
  <c r="C225" i="2"/>
  <c r="D225" i="2" s="1"/>
  <c r="E225" i="2" s="1"/>
  <c r="F225" i="2" s="1"/>
  <c r="G225" i="2" s="1"/>
  <c r="H225" i="2" s="1"/>
  <c r="I225" i="2" s="1"/>
  <c r="J225" i="2" s="1"/>
  <c r="K225" i="2" s="1"/>
  <c r="L225" i="2" s="1"/>
  <c r="M225" i="2" s="1"/>
  <c r="N225" i="2" s="1"/>
  <c r="O225" i="2" s="1"/>
  <c r="C226" i="2"/>
  <c r="D226" i="2" s="1"/>
  <c r="E226" i="2" s="1"/>
  <c r="F226" i="2" s="1"/>
  <c r="G226" i="2" s="1"/>
  <c r="H226" i="2" s="1"/>
  <c r="I226" i="2" s="1"/>
  <c r="J226" i="2" s="1"/>
  <c r="K226" i="2" s="1"/>
  <c r="L226" i="2" s="1"/>
  <c r="M226" i="2" s="1"/>
  <c r="N226" i="2" s="1"/>
  <c r="O226" i="2" s="1"/>
  <c r="C227" i="2"/>
  <c r="D227" i="2" s="1"/>
  <c r="E227" i="2" s="1"/>
  <c r="F227" i="2" s="1"/>
  <c r="G227" i="2" s="1"/>
  <c r="H227" i="2" s="1"/>
  <c r="I227" i="2" s="1"/>
  <c r="J227" i="2" s="1"/>
  <c r="K227" i="2" s="1"/>
  <c r="L227" i="2" s="1"/>
  <c r="M227" i="2" s="1"/>
  <c r="N227" i="2" s="1"/>
  <c r="O227" i="2" s="1"/>
  <c r="C228" i="2"/>
  <c r="D228" i="2" s="1"/>
  <c r="E228" i="2" s="1"/>
  <c r="F228" i="2" s="1"/>
  <c r="G228" i="2" s="1"/>
  <c r="H228" i="2" s="1"/>
  <c r="I228" i="2" s="1"/>
  <c r="J228" i="2" s="1"/>
  <c r="K228" i="2" s="1"/>
  <c r="L228" i="2" s="1"/>
  <c r="M228" i="2" s="1"/>
  <c r="N228" i="2" s="1"/>
  <c r="O228" i="2" s="1"/>
  <c r="C229" i="2"/>
  <c r="D229" i="2" s="1"/>
  <c r="E229" i="2" s="1"/>
  <c r="F229" i="2" s="1"/>
  <c r="G229" i="2" s="1"/>
  <c r="H229" i="2" s="1"/>
  <c r="I229" i="2" s="1"/>
  <c r="J229" i="2" s="1"/>
  <c r="K229" i="2" s="1"/>
  <c r="L229" i="2" s="1"/>
  <c r="M229" i="2" s="1"/>
  <c r="N229" i="2" s="1"/>
  <c r="O229" i="2" s="1"/>
  <c r="C230" i="2"/>
  <c r="D230" i="2" s="1"/>
  <c r="E230" i="2" s="1"/>
  <c r="F230" i="2" s="1"/>
  <c r="G230" i="2" s="1"/>
  <c r="H230" i="2" s="1"/>
  <c r="I230" i="2" s="1"/>
  <c r="J230" i="2" s="1"/>
  <c r="K230" i="2" s="1"/>
  <c r="L230" i="2" s="1"/>
  <c r="M230" i="2" s="1"/>
  <c r="N230" i="2" s="1"/>
  <c r="O230" i="2" s="1"/>
  <c r="C231" i="2"/>
  <c r="D231" i="2" s="1"/>
  <c r="E231" i="2" s="1"/>
  <c r="F231" i="2" s="1"/>
  <c r="G231" i="2" s="1"/>
  <c r="H231" i="2" s="1"/>
  <c r="I231" i="2" s="1"/>
  <c r="J231" i="2" s="1"/>
  <c r="K231" i="2" s="1"/>
  <c r="L231" i="2" s="1"/>
  <c r="M231" i="2" s="1"/>
  <c r="N231" i="2" s="1"/>
  <c r="O231" i="2" s="1"/>
  <c r="C232" i="2"/>
  <c r="D232" i="2" s="1"/>
  <c r="E232" i="2" s="1"/>
  <c r="F232" i="2" s="1"/>
  <c r="G232" i="2" s="1"/>
  <c r="H232" i="2" s="1"/>
  <c r="I232" i="2" s="1"/>
  <c r="J232" i="2" s="1"/>
  <c r="K232" i="2" s="1"/>
  <c r="L232" i="2" s="1"/>
  <c r="M232" i="2" s="1"/>
  <c r="N232" i="2" s="1"/>
  <c r="O232" i="2" s="1"/>
  <c r="C233" i="2"/>
  <c r="D233" i="2" s="1"/>
  <c r="E233" i="2" s="1"/>
  <c r="F233" i="2" s="1"/>
  <c r="G233" i="2" s="1"/>
  <c r="H233" i="2" s="1"/>
  <c r="I233" i="2" s="1"/>
  <c r="J233" i="2" s="1"/>
  <c r="K233" i="2" s="1"/>
  <c r="L233" i="2" s="1"/>
  <c r="M233" i="2" s="1"/>
  <c r="N233" i="2" s="1"/>
  <c r="O233" i="2" s="1"/>
  <c r="C234" i="2"/>
  <c r="D234" i="2" s="1"/>
  <c r="E234" i="2" s="1"/>
  <c r="F234" i="2" s="1"/>
  <c r="G234" i="2" s="1"/>
  <c r="H234" i="2" s="1"/>
  <c r="I234" i="2" s="1"/>
  <c r="J234" i="2" s="1"/>
  <c r="K234" i="2" s="1"/>
  <c r="L234" i="2" s="1"/>
  <c r="M234" i="2" s="1"/>
  <c r="N234" i="2" s="1"/>
  <c r="O234" i="2" s="1"/>
  <c r="C235" i="2"/>
  <c r="D235" i="2" s="1"/>
  <c r="E235" i="2" s="1"/>
  <c r="F235" i="2" s="1"/>
  <c r="G235" i="2" s="1"/>
  <c r="H235" i="2" s="1"/>
  <c r="I235" i="2" s="1"/>
  <c r="J235" i="2" s="1"/>
  <c r="K235" i="2" s="1"/>
  <c r="L235" i="2" s="1"/>
  <c r="M235" i="2" s="1"/>
  <c r="N235" i="2" s="1"/>
  <c r="O235" i="2" s="1"/>
  <c r="C236" i="2"/>
  <c r="D236" i="2" s="1"/>
  <c r="E236" i="2" s="1"/>
  <c r="F236" i="2" s="1"/>
  <c r="G236" i="2" s="1"/>
  <c r="H236" i="2" s="1"/>
  <c r="I236" i="2" s="1"/>
  <c r="J236" i="2" s="1"/>
  <c r="K236" i="2" s="1"/>
  <c r="L236" i="2" s="1"/>
  <c r="M236" i="2" s="1"/>
  <c r="N236" i="2" s="1"/>
  <c r="O236" i="2" s="1"/>
  <c r="C237" i="2"/>
  <c r="D237" i="2" s="1"/>
  <c r="E237" i="2" s="1"/>
  <c r="F237" i="2" s="1"/>
  <c r="G237" i="2" s="1"/>
  <c r="H237" i="2" s="1"/>
  <c r="I237" i="2" s="1"/>
  <c r="J237" i="2" s="1"/>
  <c r="K237" i="2" s="1"/>
  <c r="L237" i="2" s="1"/>
  <c r="M237" i="2" s="1"/>
  <c r="N237" i="2" s="1"/>
  <c r="O237" i="2" s="1"/>
  <c r="C238" i="2"/>
  <c r="D238" i="2" s="1"/>
  <c r="E238" i="2" s="1"/>
  <c r="F238" i="2" s="1"/>
  <c r="G238" i="2" s="1"/>
  <c r="H238" i="2" s="1"/>
  <c r="I238" i="2" s="1"/>
  <c r="J238" i="2" s="1"/>
  <c r="K238" i="2" s="1"/>
  <c r="L238" i="2" s="1"/>
  <c r="M238" i="2" s="1"/>
  <c r="N238" i="2" s="1"/>
  <c r="O238" i="2" s="1"/>
  <c r="C239" i="2"/>
  <c r="D239" i="2" s="1"/>
  <c r="E239" i="2" s="1"/>
  <c r="F239" i="2" s="1"/>
  <c r="G239" i="2" s="1"/>
  <c r="H239" i="2" s="1"/>
  <c r="I239" i="2" s="1"/>
  <c r="J239" i="2" s="1"/>
  <c r="K239" i="2" s="1"/>
  <c r="L239" i="2" s="1"/>
  <c r="M239" i="2" s="1"/>
  <c r="N239" i="2" s="1"/>
  <c r="O239" i="2" s="1"/>
  <c r="C240" i="2"/>
  <c r="D240" i="2" s="1"/>
  <c r="E240" i="2" s="1"/>
  <c r="F240" i="2" s="1"/>
  <c r="G240" i="2" s="1"/>
  <c r="H240" i="2" s="1"/>
  <c r="I240" i="2" s="1"/>
  <c r="J240" i="2" s="1"/>
  <c r="K240" i="2" s="1"/>
  <c r="L240" i="2" s="1"/>
  <c r="M240" i="2" s="1"/>
  <c r="N240" i="2" s="1"/>
  <c r="O240" i="2" s="1"/>
  <c r="C241" i="2"/>
  <c r="D241" i="2" s="1"/>
  <c r="E241" i="2" s="1"/>
  <c r="F241" i="2" s="1"/>
  <c r="G241" i="2" s="1"/>
  <c r="H241" i="2" s="1"/>
  <c r="I241" i="2" s="1"/>
  <c r="J241" i="2" s="1"/>
  <c r="K241" i="2" s="1"/>
  <c r="L241" i="2" s="1"/>
  <c r="M241" i="2" s="1"/>
  <c r="N241" i="2" s="1"/>
  <c r="O241" i="2" s="1"/>
  <c r="C242" i="2"/>
  <c r="D242" i="2" s="1"/>
  <c r="E242" i="2" s="1"/>
  <c r="F242" i="2" s="1"/>
  <c r="G242" i="2" s="1"/>
  <c r="H242" i="2" s="1"/>
  <c r="I242" i="2" s="1"/>
  <c r="J242" i="2" s="1"/>
  <c r="K242" i="2" s="1"/>
  <c r="L242" i="2" s="1"/>
  <c r="M242" i="2" s="1"/>
  <c r="N242" i="2" s="1"/>
  <c r="O242" i="2" s="1"/>
  <c r="C243" i="2"/>
  <c r="D243" i="2" s="1"/>
  <c r="E243" i="2" s="1"/>
  <c r="F243" i="2" s="1"/>
  <c r="G243" i="2" s="1"/>
  <c r="H243" i="2" s="1"/>
  <c r="I243" i="2" s="1"/>
  <c r="J243" i="2" s="1"/>
  <c r="K243" i="2" s="1"/>
  <c r="L243" i="2" s="1"/>
  <c r="M243" i="2" s="1"/>
  <c r="N243" i="2" s="1"/>
  <c r="O243" i="2" s="1"/>
  <c r="C244" i="2"/>
  <c r="D244" i="2" s="1"/>
  <c r="E244" i="2" s="1"/>
  <c r="F244" i="2" s="1"/>
  <c r="G244" i="2" s="1"/>
  <c r="H244" i="2" s="1"/>
  <c r="I244" i="2" s="1"/>
  <c r="J244" i="2" s="1"/>
  <c r="K244" i="2" s="1"/>
  <c r="L244" i="2" s="1"/>
  <c r="M244" i="2" s="1"/>
  <c r="N244" i="2" s="1"/>
  <c r="O244" i="2" s="1"/>
  <c r="C245" i="2"/>
  <c r="D245" i="2" s="1"/>
  <c r="E245" i="2" s="1"/>
  <c r="F245" i="2" s="1"/>
  <c r="G245" i="2" s="1"/>
  <c r="H245" i="2" s="1"/>
  <c r="I245" i="2" s="1"/>
  <c r="J245" i="2" s="1"/>
  <c r="K245" i="2" s="1"/>
  <c r="L245" i="2" s="1"/>
  <c r="M245" i="2" s="1"/>
  <c r="N245" i="2" s="1"/>
  <c r="O245" i="2" s="1"/>
  <c r="C246" i="2"/>
  <c r="D246" i="2" s="1"/>
  <c r="E246" i="2" s="1"/>
  <c r="F246" i="2" s="1"/>
  <c r="G246" i="2" s="1"/>
  <c r="H246" i="2" s="1"/>
  <c r="I246" i="2" s="1"/>
  <c r="J246" i="2" s="1"/>
  <c r="K246" i="2" s="1"/>
  <c r="L246" i="2" s="1"/>
  <c r="M246" i="2" s="1"/>
  <c r="N246" i="2" s="1"/>
  <c r="O246" i="2" s="1"/>
  <c r="C247" i="2"/>
  <c r="D247" i="2" s="1"/>
  <c r="E247" i="2" s="1"/>
  <c r="F247" i="2" s="1"/>
  <c r="G247" i="2" s="1"/>
  <c r="H247" i="2" s="1"/>
  <c r="I247" i="2" s="1"/>
  <c r="J247" i="2" s="1"/>
  <c r="K247" i="2" s="1"/>
  <c r="L247" i="2" s="1"/>
  <c r="M247" i="2" s="1"/>
  <c r="N247" i="2" s="1"/>
  <c r="O247" i="2" s="1"/>
  <c r="C248" i="2"/>
  <c r="D248" i="2" s="1"/>
  <c r="E248" i="2" s="1"/>
  <c r="F248" i="2" s="1"/>
  <c r="G248" i="2" s="1"/>
  <c r="H248" i="2" s="1"/>
  <c r="I248" i="2" s="1"/>
  <c r="J248" i="2" s="1"/>
  <c r="K248" i="2" s="1"/>
  <c r="L248" i="2" s="1"/>
  <c r="M248" i="2" s="1"/>
  <c r="N248" i="2" s="1"/>
  <c r="O248" i="2" s="1"/>
  <c r="C249" i="2"/>
  <c r="D249" i="2" s="1"/>
  <c r="E249" i="2" s="1"/>
  <c r="F249" i="2" s="1"/>
  <c r="G249" i="2" s="1"/>
  <c r="H249" i="2" s="1"/>
  <c r="I249" i="2" s="1"/>
  <c r="J249" i="2" s="1"/>
  <c r="K249" i="2" s="1"/>
  <c r="L249" i="2" s="1"/>
  <c r="M249" i="2" s="1"/>
  <c r="N249" i="2" s="1"/>
  <c r="O249" i="2" s="1"/>
  <c r="C250" i="2"/>
  <c r="D250" i="2" s="1"/>
  <c r="E250" i="2" s="1"/>
  <c r="F250" i="2" s="1"/>
  <c r="G250" i="2" s="1"/>
  <c r="H250" i="2" s="1"/>
  <c r="I250" i="2" s="1"/>
  <c r="J250" i="2" s="1"/>
  <c r="K250" i="2" s="1"/>
  <c r="L250" i="2" s="1"/>
  <c r="M250" i="2" s="1"/>
  <c r="N250" i="2" s="1"/>
  <c r="O250" i="2" s="1"/>
  <c r="C251" i="2"/>
  <c r="D251" i="2" s="1"/>
  <c r="E251" i="2" s="1"/>
  <c r="F251" i="2" s="1"/>
  <c r="G251" i="2" s="1"/>
  <c r="H251" i="2" s="1"/>
  <c r="I251" i="2" s="1"/>
  <c r="J251" i="2" s="1"/>
  <c r="K251" i="2" s="1"/>
  <c r="L251" i="2" s="1"/>
  <c r="M251" i="2" s="1"/>
  <c r="N251" i="2" s="1"/>
  <c r="O251" i="2" s="1"/>
  <c r="C252" i="2"/>
  <c r="D252" i="2" s="1"/>
  <c r="E252" i="2" s="1"/>
  <c r="F252" i="2" s="1"/>
  <c r="G252" i="2" s="1"/>
  <c r="H252" i="2" s="1"/>
  <c r="I252" i="2" s="1"/>
  <c r="J252" i="2" s="1"/>
  <c r="K252" i="2" s="1"/>
  <c r="L252" i="2" s="1"/>
  <c r="M252" i="2" s="1"/>
  <c r="N252" i="2" s="1"/>
  <c r="O252" i="2" s="1"/>
  <c r="C253" i="2"/>
  <c r="D253" i="2" s="1"/>
  <c r="E253" i="2" s="1"/>
  <c r="F253" i="2" s="1"/>
  <c r="G253" i="2" s="1"/>
  <c r="H253" i="2" s="1"/>
  <c r="I253" i="2" s="1"/>
  <c r="J253" i="2" s="1"/>
  <c r="K253" i="2" s="1"/>
  <c r="L253" i="2" s="1"/>
  <c r="M253" i="2" s="1"/>
  <c r="N253" i="2" s="1"/>
  <c r="O253" i="2" s="1"/>
  <c r="C254" i="2"/>
  <c r="D254" i="2" s="1"/>
  <c r="E254" i="2" s="1"/>
  <c r="F254" i="2" s="1"/>
  <c r="G254" i="2" s="1"/>
  <c r="H254" i="2" s="1"/>
  <c r="I254" i="2" s="1"/>
  <c r="J254" i="2" s="1"/>
  <c r="K254" i="2" s="1"/>
  <c r="L254" i="2" s="1"/>
  <c r="M254" i="2" s="1"/>
  <c r="N254" i="2" s="1"/>
  <c r="O254" i="2" s="1"/>
  <c r="C255" i="2"/>
  <c r="D255" i="2" s="1"/>
  <c r="E255" i="2" s="1"/>
  <c r="F255" i="2" s="1"/>
  <c r="G255" i="2" s="1"/>
  <c r="H255" i="2" s="1"/>
  <c r="I255" i="2" s="1"/>
  <c r="J255" i="2" s="1"/>
  <c r="K255" i="2" s="1"/>
  <c r="L255" i="2" s="1"/>
  <c r="M255" i="2" s="1"/>
  <c r="N255" i="2" s="1"/>
  <c r="O255" i="2" s="1"/>
  <c r="C256" i="2"/>
  <c r="D256" i="2" s="1"/>
  <c r="E256" i="2" s="1"/>
  <c r="F256" i="2" s="1"/>
  <c r="G256" i="2" s="1"/>
  <c r="H256" i="2" s="1"/>
  <c r="I256" i="2" s="1"/>
  <c r="J256" i="2" s="1"/>
  <c r="K256" i="2" s="1"/>
  <c r="L256" i="2" s="1"/>
  <c r="M256" i="2" s="1"/>
  <c r="N256" i="2" s="1"/>
  <c r="O256" i="2" s="1"/>
  <c r="C257" i="2"/>
  <c r="D257" i="2" s="1"/>
  <c r="E257" i="2" s="1"/>
  <c r="F257" i="2" s="1"/>
  <c r="G257" i="2" s="1"/>
  <c r="H257" i="2" s="1"/>
  <c r="I257" i="2" s="1"/>
  <c r="J257" i="2" s="1"/>
  <c r="K257" i="2" s="1"/>
  <c r="L257" i="2" s="1"/>
  <c r="M257" i="2" s="1"/>
  <c r="N257" i="2" s="1"/>
  <c r="O257" i="2" s="1"/>
  <c r="C258" i="2"/>
  <c r="D258" i="2" s="1"/>
  <c r="E258" i="2" s="1"/>
  <c r="F258" i="2" s="1"/>
  <c r="G258" i="2" s="1"/>
  <c r="H258" i="2" s="1"/>
  <c r="I258" i="2" s="1"/>
  <c r="J258" i="2" s="1"/>
  <c r="K258" i="2" s="1"/>
  <c r="L258" i="2" s="1"/>
  <c r="M258" i="2" s="1"/>
  <c r="N258" i="2" s="1"/>
  <c r="O258" i="2" s="1"/>
  <c r="C259" i="2"/>
  <c r="D259" i="2" s="1"/>
  <c r="E259" i="2" s="1"/>
  <c r="F259" i="2" s="1"/>
  <c r="G259" i="2" s="1"/>
  <c r="H259" i="2" s="1"/>
  <c r="I259" i="2" s="1"/>
  <c r="J259" i="2" s="1"/>
  <c r="K259" i="2" s="1"/>
  <c r="L259" i="2" s="1"/>
  <c r="M259" i="2" s="1"/>
  <c r="N259" i="2" s="1"/>
  <c r="O259" i="2" s="1"/>
  <c r="C260" i="2"/>
  <c r="D260" i="2" s="1"/>
  <c r="E260" i="2" s="1"/>
  <c r="F260" i="2" s="1"/>
  <c r="G260" i="2" s="1"/>
  <c r="H260" i="2" s="1"/>
  <c r="I260" i="2" s="1"/>
  <c r="J260" i="2" s="1"/>
  <c r="K260" i="2" s="1"/>
  <c r="L260" i="2" s="1"/>
  <c r="M260" i="2" s="1"/>
  <c r="N260" i="2" s="1"/>
  <c r="O260" i="2" s="1"/>
  <c r="C261" i="2"/>
  <c r="D261" i="2" s="1"/>
  <c r="E261" i="2" s="1"/>
  <c r="F261" i="2" s="1"/>
  <c r="G261" i="2" s="1"/>
  <c r="H261" i="2" s="1"/>
  <c r="I261" i="2" s="1"/>
  <c r="J261" i="2" s="1"/>
  <c r="K261" i="2" s="1"/>
  <c r="L261" i="2" s="1"/>
  <c r="M261" i="2" s="1"/>
  <c r="N261" i="2" s="1"/>
  <c r="O261" i="2" s="1"/>
  <c r="C262" i="2"/>
  <c r="D262" i="2" s="1"/>
  <c r="E262" i="2" s="1"/>
  <c r="F262" i="2" s="1"/>
  <c r="G262" i="2" s="1"/>
  <c r="H262" i="2" s="1"/>
  <c r="I262" i="2" s="1"/>
  <c r="J262" i="2" s="1"/>
  <c r="K262" i="2" s="1"/>
  <c r="L262" i="2" s="1"/>
  <c r="M262" i="2" s="1"/>
  <c r="N262" i="2" s="1"/>
  <c r="O262" i="2" s="1"/>
  <c r="C263" i="2"/>
  <c r="D263" i="2" s="1"/>
  <c r="E263" i="2" s="1"/>
  <c r="F263" i="2" s="1"/>
  <c r="G263" i="2" s="1"/>
  <c r="H263" i="2" s="1"/>
  <c r="I263" i="2" s="1"/>
  <c r="J263" i="2" s="1"/>
  <c r="K263" i="2" s="1"/>
  <c r="L263" i="2" s="1"/>
  <c r="M263" i="2" s="1"/>
  <c r="N263" i="2" s="1"/>
  <c r="O263" i="2" s="1"/>
  <c r="C264" i="2"/>
  <c r="D264" i="2" s="1"/>
  <c r="E264" i="2" s="1"/>
  <c r="F264" i="2" s="1"/>
  <c r="G264" i="2" s="1"/>
  <c r="H264" i="2" s="1"/>
  <c r="I264" i="2" s="1"/>
  <c r="J264" i="2" s="1"/>
  <c r="K264" i="2" s="1"/>
  <c r="L264" i="2" s="1"/>
  <c r="M264" i="2" s="1"/>
  <c r="N264" i="2" s="1"/>
  <c r="O264" i="2" s="1"/>
  <c r="C265" i="2"/>
  <c r="D265" i="2" s="1"/>
  <c r="E265" i="2" s="1"/>
  <c r="F265" i="2" s="1"/>
  <c r="G265" i="2" s="1"/>
  <c r="H265" i="2" s="1"/>
  <c r="I265" i="2" s="1"/>
  <c r="J265" i="2" s="1"/>
  <c r="K265" i="2" s="1"/>
  <c r="L265" i="2" s="1"/>
  <c r="M265" i="2" s="1"/>
  <c r="N265" i="2" s="1"/>
  <c r="O265" i="2" s="1"/>
  <c r="C266" i="2"/>
  <c r="D266" i="2" s="1"/>
  <c r="E266" i="2" s="1"/>
  <c r="F266" i="2" s="1"/>
  <c r="G266" i="2" s="1"/>
  <c r="H266" i="2" s="1"/>
  <c r="I266" i="2" s="1"/>
  <c r="J266" i="2" s="1"/>
  <c r="K266" i="2" s="1"/>
  <c r="L266" i="2" s="1"/>
  <c r="M266" i="2" s="1"/>
  <c r="N266" i="2" s="1"/>
  <c r="O266" i="2" s="1"/>
  <c r="C267" i="2"/>
  <c r="D267" i="2" s="1"/>
  <c r="E267" i="2" s="1"/>
  <c r="F267" i="2" s="1"/>
  <c r="G267" i="2" s="1"/>
  <c r="H267" i="2" s="1"/>
  <c r="I267" i="2" s="1"/>
  <c r="J267" i="2" s="1"/>
  <c r="K267" i="2" s="1"/>
  <c r="L267" i="2" s="1"/>
  <c r="M267" i="2" s="1"/>
  <c r="N267" i="2" s="1"/>
  <c r="O267" i="2" s="1"/>
  <c r="C268" i="2"/>
  <c r="D268" i="2" s="1"/>
  <c r="E268" i="2" s="1"/>
  <c r="F268" i="2" s="1"/>
  <c r="G268" i="2" s="1"/>
  <c r="H268" i="2" s="1"/>
  <c r="I268" i="2" s="1"/>
  <c r="J268" i="2" s="1"/>
  <c r="K268" i="2" s="1"/>
  <c r="L268" i="2" s="1"/>
  <c r="M268" i="2" s="1"/>
  <c r="N268" i="2" s="1"/>
  <c r="O268" i="2" s="1"/>
  <c r="C269" i="2"/>
  <c r="D269" i="2" s="1"/>
  <c r="E269" i="2" s="1"/>
  <c r="F269" i="2" s="1"/>
  <c r="G269" i="2" s="1"/>
  <c r="H269" i="2" s="1"/>
  <c r="I269" i="2" s="1"/>
  <c r="J269" i="2" s="1"/>
  <c r="K269" i="2" s="1"/>
  <c r="L269" i="2" s="1"/>
  <c r="M269" i="2" s="1"/>
  <c r="N269" i="2" s="1"/>
  <c r="O269" i="2" s="1"/>
  <c r="C270" i="2"/>
  <c r="D270" i="2" s="1"/>
  <c r="E270" i="2" s="1"/>
  <c r="F270" i="2" s="1"/>
  <c r="G270" i="2" s="1"/>
  <c r="H270" i="2" s="1"/>
  <c r="I270" i="2" s="1"/>
  <c r="J270" i="2" s="1"/>
  <c r="K270" i="2" s="1"/>
  <c r="L270" i="2" s="1"/>
  <c r="M270" i="2" s="1"/>
  <c r="N270" i="2" s="1"/>
  <c r="O270" i="2" s="1"/>
  <c r="C271" i="2"/>
  <c r="D271" i="2" s="1"/>
  <c r="E271" i="2" s="1"/>
  <c r="F271" i="2" s="1"/>
  <c r="G271" i="2" s="1"/>
  <c r="H271" i="2" s="1"/>
  <c r="I271" i="2" s="1"/>
  <c r="J271" i="2" s="1"/>
  <c r="K271" i="2" s="1"/>
  <c r="L271" i="2" s="1"/>
  <c r="M271" i="2" s="1"/>
  <c r="N271" i="2" s="1"/>
  <c r="O271" i="2" s="1"/>
  <c r="C272" i="2"/>
  <c r="D272" i="2" s="1"/>
  <c r="E272" i="2" s="1"/>
  <c r="F272" i="2" s="1"/>
  <c r="G272" i="2" s="1"/>
  <c r="H272" i="2" s="1"/>
  <c r="I272" i="2" s="1"/>
  <c r="J272" i="2" s="1"/>
  <c r="K272" i="2" s="1"/>
  <c r="L272" i="2" s="1"/>
  <c r="M272" i="2" s="1"/>
  <c r="N272" i="2" s="1"/>
  <c r="O272" i="2" s="1"/>
  <c r="C273" i="2"/>
  <c r="D273" i="2" s="1"/>
  <c r="E273" i="2" s="1"/>
  <c r="F273" i="2" s="1"/>
  <c r="G273" i="2" s="1"/>
  <c r="H273" i="2" s="1"/>
  <c r="I273" i="2" s="1"/>
  <c r="J273" i="2" s="1"/>
  <c r="K273" i="2" s="1"/>
  <c r="L273" i="2" s="1"/>
  <c r="M273" i="2" s="1"/>
  <c r="N273" i="2" s="1"/>
  <c r="O273" i="2" s="1"/>
  <c r="C274" i="2"/>
  <c r="D274" i="2" s="1"/>
  <c r="E274" i="2" s="1"/>
  <c r="F274" i="2" s="1"/>
  <c r="G274" i="2" s="1"/>
  <c r="H274" i="2" s="1"/>
  <c r="I274" i="2" s="1"/>
  <c r="J274" i="2" s="1"/>
  <c r="K274" i="2" s="1"/>
  <c r="L274" i="2" s="1"/>
  <c r="M274" i="2" s="1"/>
  <c r="N274" i="2" s="1"/>
  <c r="O274" i="2" s="1"/>
  <c r="C275" i="2"/>
  <c r="D275" i="2" s="1"/>
  <c r="E275" i="2" s="1"/>
  <c r="F275" i="2" s="1"/>
  <c r="G275" i="2" s="1"/>
  <c r="H275" i="2" s="1"/>
  <c r="I275" i="2" s="1"/>
  <c r="J275" i="2" s="1"/>
  <c r="K275" i="2" s="1"/>
  <c r="L275" i="2" s="1"/>
  <c r="M275" i="2" s="1"/>
  <c r="N275" i="2" s="1"/>
  <c r="O275" i="2" s="1"/>
  <c r="C276" i="2"/>
  <c r="D276" i="2" s="1"/>
  <c r="E276" i="2" s="1"/>
  <c r="F276" i="2" s="1"/>
  <c r="G276" i="2" s="1"/>
  <c r="H276" i="2" s="1"/>
  <c r="I276" i="2" s="1"/>
  <c r="J276" i="2" s="1"/>
  <c r="K276" i="2" s="1"/>
  <c r="L276" i="2" s="1"/>
  <c r="M276" i="2" s="1"/>
  <c r="N276" i="2" s="1"/>
  <c r="O276" i="2" s="1"/>
  <c r="C277" i="2"/>
  <c r="D277" i="2" s="1"/>
  <c r="E277" i="2" s="1"/>
  <c r="F277" i="2" s="1"/>
  <c r="G277" i="2" s="1"/>
  <c r="H277" i="2" s="1"/>
  <c r="I277" i="2" s="1"/>
  <c r="J277" i="2" s="1"/>
  <c r="K277" i="2" s="1"/>
  <c r="L277" i="2" s="1"/>
  <c r="M277" i="2" s="1"/>
  <c r="N277" i="2" s="1"/>
  <c r="O277" i="2" s="1"/>
  <c r="C278" i="2"/>
  <c r="D278" i="2" s="1"/>
  <c r="E278" i="2" s="1"/>
  <c r="F278" i="2" s="1"/>
  <c r="G278" i="2" s="1"/>
  <c r="H278" i="2" s="1"/>
  <c r="I278" i="2" s="1"/>
  <c r="J278" i="2" s="1"/>
  <c r="K278" i="2" s="1"/>
  <c r="L278" i="2" s="1"/>
  <c r="M278" i="2" s="1"/>
  <c r="N278" i="2" s="1"/>
  <c r="O278" i="2" s="1"/>
  <c r="C279" i="2"/>
  <c r="D279" i="2" s="1"/>
  <c r="E279" i="2" s="1"/>
  <c r="F279" i="2" s="1"/>
  <c r="G279" i="2" s="1"/>
  <c r="H279" i="2" s="1"/>
  <c r="I279" i="2" s="1"/>
  <c r="J279" i="2" s="1"/>
  <c r="K279" i="2" s="1"/>
  <c r="L279" i="2" s="1"/>
  <c r="M279" i="2" s="1"/>
  <c r="N279" i="2" s="1"/>
  <c r="O279" i="2" s="1"/>
  <c r="C280" i="2"/>
  <c r="D280" i="2" s="1"/>
  <c r="E280" i="2" s="1"/>
  <c r="F280" i="2" s="1"/>
  <c r="G280" i="2" s="1"/>
  <c r="H280" i="2" s="1"/>
  <c r="I280" i="2" s="1"/>
  <c r="J280" i="2" s="1"/>
  <c r="K280" i="2" s="1"/>
  <c r="L280" i="2" s="1"/>
  <c r="M280" i="2" s="1"/>
  <c r="N280" i="2" s="1"/>
  <c r="O280" i="2" s="1"/>
  <c r="C281" i="2"/>
  <c r="D281" i="2" s="1"/>
  <c r="E281" i="2" s="1"/>
  <c r="F281" i="2" s="1"/>
  <c r="G281" i="2" s="1"/>
  <c r="H281" i="2" s="1"/>
  <c r="I281" i="2" s="1"/>
  <c r="J281" i="2" s="1"/>
  <c r="K281" i="2" s="1"/>
  <c r="L281" i="2" s="1"/>
  <c r="M281" i="2" s="1"/>
  <c r="N281" i="2" s="1"/>
  <c r="O281" i="2" s="1"/>
  <c r="C282" i="2"/>
  <c r="D282" i="2" s="1"/>
  <c r="E282" i="2" s="1"/>
  <c r="F282" i="2" s="1"/>
  <c r="G282" i="2" s="1"/>
  <c r="H282" i="2" s="1"/>
  <c r="I282" i="2" s="1"/>
  <c r="J282" i="2" s="1"/>
  <c r="K282" i="2" s="1"/>
  <c r="L282" i="2" s="1"/>
  <c r="M282" i="2" s="1"/>
  <c r="N282" i="2" s="1"/>
  <c r="O282" i="2" s="1"/>
  <c r="C283" i="2"/>
  <c r="D283" i="2" s="1"/>
  <c r="E283" i="2" s="1"/>
  <c r="F283" i="2" s="1"/>
  <c r="G283" i="2" s="1"/>
  <c r="H283" i="2" s="1"/>
  <c r="I283" i="2" s="1"/>
  <c r="J283" i="2" s="1"/>
  <c r="K283" i="2" s="1"/>
  <c r="L283" i="2" s="1"/>
  <c r="M283" i="2" s="1"/>
  <c r="N283" i="2" s="1"/>
  <c r="O283" i="2" s="1"/>
  <c r="C284" i="2"/>
  <c r="D284" i="2" s="1"/>
  <c r="E284" i="2" s="1"/>
  <c r="F284" i="2" s="1"/>
  <c r="G284" i="2" s="1"/>
  <c r="H284" i="2" s="1"/>
  <c r="I284" i="2" s="1"/>
  <c r="J284" i="2" s="1"/>
  <c r="K284" i="2" s="1"/>
  <c r="L284" i="2" s="1"/>
  <c r="M284" i="2" s="1"/>
  <c r="N284" i="2" s="1"/>
  <c r="O284" i="2" s="1"/>
  <c r="C285" i="2"/>
  <c r="D285" i="2" s="1"/>
  <c r="E285" i="2" s="1"/>
  <c r="F285" i="2" s="1"/>
  <c r="G285" i="2" s="1"/>
  <c r="H285" i="2" s="1"/>
  <c r="I285" i="2" s="1"/>
  <c r="J285" i="2" s="1"/>
  <c r="K285" i="2" s="1"/>
  <c r="L285" i="2" s="1"/>
  <c r="M285" i="2" s="1"/>
  <c r="N285" i="2" s="1"/>
  <c r="O285" i="2" s="1"/>
  <c r="C286" i="2"/>
  <c r="D286" i="2" s="1"/>
  <c r="E286" i="2" s="1"/>
  <c r="F286" i="2" s="1"/>
  <c r="G286" i="2" s="1"/>
  <c r="H286" i="2" s="1"/>
  <c r="I286" i="2" s="1"/>
  <c r="J286" i="2" s="1"/>
  <c r="K286" i="2" s="1"/>
  <c r="L286" i="2" s="1"/>
  <c r="M286" i="2" s="1"/>
  <c r="N286" i="2" s="1"/>
  <c r="O286" i="2" s="1"/>
  <c r="C287" i="2"/>
  <c r="D287" i="2" s="1"/>
  <c r="E287" i="2" s="1"/>
  <c r="F287" i="2" s="1"/>
  <c r="G287" i="2" s="1"/>
  <c r="H287" i="2" s="1"/>
  <c r="I287" i="2" s="1"/>
  <c r="J287" i="2" s="1"/>
  <c r="K287" i="2" s="1"/>
  <c r="L287" i="2" s="1"/>
  <c r="M287" i="2" s="1"/>
  <c r="N287" i="2" s="1"/>
  <c r="O287" i="2" s="1"/>
  <c r="C288" i="2"/>
  <c r="D288" i="2" s="1"/>
  <c r="E288" i="2" s="1"/>
  <c r="F288" i="2" s="1"/>
  <c r="G288" i="2" s="1"/>
  <c r="H288" i="2" s="1"/>
  <c r="I288" i="2" s="1"/>
  <c r="J288" i="2" s="1"/>
  <c r="K288" i="2" s="1"/>
  <c r="L288" i="2" s="1"/>
  <c r="M288" i="2" s="1"/>
  <c r="N288" i="2" s="1"/>
  <c r="O288" i="2" s="1"/>
  <c r="C289" i="2"/>
  <c r="D289" i="2" s="1"/>
  <c r="E289" i="2" s="1"/>
  <c r="F289" i="2" s="1"/>
  <c r="G289" i="2" s="1"/>
  <c r="H289" i="2" s="1"/>
  <c r="I289" i="2" s="1"/>
  <c r="J289" i="2" s="1"/>
  <c r="K289" i="2" s="1"/>
  <c r="L289" i="2" s="1"/>
  <c r="M289" i="2" s="1"/>
  <c r="N289" i="2" s="1"/>
  <c r="O289" i="2" s="1"/>
  <c r="C290" i="2"/>
  <c r="D290" i="2" s="1"/>
  <c r="E290" i="2" s="1"/>
  <c r="F290" i="2" s="1"/>
  <c r="G290" i="2" s="1"/>
  <c r="H290" i="2" s="1"/>
  <c r="I290" i="2" s="1"/>
  <c r="J290" i="2" s="1"/>
  <c r="K290" i="2" s="1"/>
  <c r="L290" i="2" s="1"/>
  <c r="M290" i="2" s="1"/>
  <c r="N290" i="2" s="1"/>
  <c r="O290" i="2" s="1"/>
  <c r="C291" i="2"/>
  <c r="D291" i="2" s="1"/>
  <c r="E291" i="2" s="1"/>
  <c r="F291" i="2" s="1"/>
  <c r="G291" i="2" s="1"/>
  <c r="H291" i="2" s="1"/>
  <c r="I291" i="2" s="1"/>
  <c r="J291" i="2" s="1"/>
  <c r="K291" i="2" s="1"/>
  <c r="L291" i="2" s="1"/>
  <c r="M291" i="2" s="1"/>
  <c r="N291" i="2" s="1"/>
  <c r="O291" i="2" s="1"/>
  <c r="C292" i="2"/>
  <c r="D292" i="2" s="1"/>
  <c r="E292" i="2" s="1"/>
  <c r="F292" i="2" s="1"/>
  <c r="G292" i="2" s="1"/>
  <c r="H292" i="2" s="1"/>
  <c r="I292" i="2" s="1"/>
  <c r="J292" i="2" s="1"/>
  <c r="K292" i="2" s="1"/>
  <c r="L292" i="2" s="1"/>
  <c r="M292" i="2" s="1"/>
  <c r="N292" i="2" s="1"/>
  <c r="O292" i="2" s="1"/>
  <c r="C293" i="2"/>
  <c r="D293" i="2" s="1"/>
  <c r="E293" i="2" s="1"/>
  <c r="F293" i="2" s="1"/>
  <c r="G293" i="2" s="1"/>
  <c r="H293" i="2" s="1"/>
  <c r="I293" i="2" s="1"/>
  <c r="J293" i="2" s="1"/>
  <c r="K293" i="2" s="1"/>
  <c r="L293" i="2" s="1"/>
  <c r="M293" i="2" s="1"/>
  <c r="N293" i="2" s="1"/>
  <c r="O293" i="2" s="1"/>
  <c r="C294" i="2"/>
  <c r="D294" i="2" s="1"/>
  <c r="E294" i="2" s="1"/>
  <c r="F294" i="2" s="1"/>
  <c r="G294" i="2" s="1"/>
  <c r="H294" i="2" s="1"/>
  <c r="I294" i="2" s="1"/>
  <c r="J294" i="2" s="1"/>
  <c r="K294" i="2" s="1"/>
  <c r="L294" i="2" s="1"/>
  <c r="M294" i="2" s="1"/>
  <c r="N294" i="2" s="1"/>
  <c r="O294" i="2" s="1"/>
  <c r="C295" i="2"/>
  <c r="D295" i="2" s="1"/>
  <c r="E295" i="2" s="1"/>
  <c r="F295" i="2" s="1"/>
  <c r="G295" i="2" s="1"/>
  <c r="H295" i="2" s="1"/>
  <c r="I295" i="2" s="1"/>
  <c r="J295" i="2" s="1"/>
  <c r="K295" i="2" s="1"/>
  <c r="L295" i="2" s="1"/>
  <c r="M295" i="2" s="1"/>
  <c r="N295" i="2" s="1"/>
  <c r="O295" i="2" s="1"/>
  <c r="C296" i="2"/>
  <c r="D296" i="2" s="1"/>
  <c r="E296" i="2" s="1"/>
  <c r="F296" i="2" s="1"/>
  <c r="G296" i="2" s="1"/>
  <c r="H296" i="2" s="1"/>
  <c r="I296" i="2" s="1"/>
  <c r="J296" i="2" s="1"/>
  <c r="K296" i="2" s="1"/>
  <c r="L296" i="2" s="1"/>
  <c r="M296" i="2" s="1"/>
  <c r="N296" i="2" s="1"/>
  <c r="O296" i="2" s="1"/>
  <c r="C297" i="2"/>
  <c r="D297" i="2" s="1"/>
  <c r="E297" i="2" s="1"/>
  <c r="F297" i="2" s="1"/>
  <c r="G297" i="2" s="1"/>
  <c r="H297" i="2" s="1"/>
  <c r="I297" i="2" s="1"/>
  <c r="J297" i="2" s="1"/>
  <c r="K297" i="2" s="1"/>
  <c r="L297" i="2" s="1"/>
  <c r="M297" i="2" s="1"/>
  <c r="N297" i="2" s="1"/>
  <c r="O297" i="2" s="1"/>
  <c r="C298" i="2"/>
  <c r="D298" i="2" s="1"/>
  <c r="E298" i="2" s="1"/>
  <c r="F298" i="2" s="1"/>
  <c r="G298" i="2" s="1"/>
  <c r="H298" i="2" s="1"/>
  <c r="I298" i="2" s="1"/>
  <c r="J298" i="2" s="1"/>
  <c r="K298" i="2" s="1"/>
  <c r="L298" i="2" s="1"/>
  <c r="M298" i="2" s="1"/>
  <c r="N298" i="2" s="1"/>
  <c r="O298" i="2" s="1"/>
  <c r="C299" i="2"/>
  <c r="D299" i="2" s="1"/>
  <c r="E299" i="2" s="1"/>
  <c r="F299" i="2" s="1"/>
  <c r="G299" i="2" s="1"/>
  <c r="H299" i="2" s="1"/>
  <c r="I299" i="2" s="1"/>
  <c r="J299" i="2" s="1"/>
  <c r="K299" i="2" s="1"/>
  <c r="L299" i="2" s="1"/>
  <c r="M299" i="2" s="1"/>
  <c r="N299" i="2" s="1"/>
  <c r="O299" i="2" s="1"/>
  <c r="C300" i="2"/>
  <c r="D300" i="2" s="1"/>
  <c r="E300" i="2" s="1"/>
  <c r="F300" i="2" s="1"/>
  <c r="G300" i="2" s="1"/>
  <c r="H300" i="2" s="1"/>
  <c r="I300" i="2" s="1"/>
  <c r="J300" i="2" s="1"/>
  <c r="K300" i="2" s="1"/>
  <c r="L300" i="2" s="1"/>
  <c r="M300" i="2" s="1"/>
  <c r="N300" i="2" s="1"/>
  <c r="O300" i="2" s="1"/>
  <c r="C301" i="2"/>
  <c r="D301" i="2" s="1"/>
  <c r="E301" i="2" s="1"/>
  <c r="F301" i="2" s="1"/>
  <c r="G301" i="2" s="1"/>
  <c r="H301" i="2" s="1"/>
  <c r="I301" i="2" s="1"/>
  <c r="J301" i="2" s="1"/>
  <c r="K301" i="2" s="1"/>
  <c r="L301" i="2" s="1"/>
  <c r="M301" i="2" s="1"/>
  <c r="N301" i="2" s="1"/>
  <c r="O301" i="2" s="1"/>
  <c r="C302" i="2"/>
  <c r="D302" i="2" s="1"/>
  <c r="E302" i="2" s="1"/>
  <c r="F302" i="2" s="1"/>
  <c r="G302" i="2" s="1"/>
  <c r="H302" i="2" s="1"/>
  <c r="I302" i="2" s="1"/>
  <c r="J302" i="2" s="1"/>
  <c r="K302" i="2" s="1"/>
  <c r="L302" i="2" s="1"/>
  <c r="M302" i="2" s="1"/>
  <c r="N302" i="2" s="1"/>
  <c r="O302" i="2" s="1"/>
  <c r="C303" i="2"/>
  <c r="D303" i="2" s="1"/>
  <c r="E303" i="2" s="1"/>
  <c r="F303" i="2" s="1"/>
  <c r="G303" i="2" s="1"/>
  <c r="H303" i="2" s="1"/>
  <c r="I303" i="2" s="1"/>
  <c r="J303" i="2" s="1"/>
  <c r="K303" i="2" s="1"/>
  <c r="L303" i="2" s="1"/>
  <c r="M303" i="2" s="1"/>
  <c r="N303" i="2" s="1"/>
  <c r="O303" i="2" s="1"/>
  <c r="C304" i="2"/>
  <c r="D304" i="2" s="1"/>
  <c r="E304" i="2" s="1"/>
  <c r="F304" i="2" s="1"/>
  <c r="G304" i="2" s="1"/>
  <c r="H304" i="2" s="1"/>
  <c r="I304" i="2" s="1"/>
  <c r="J304" i="2" s="1"/>
  <c r="K304" i="2" s="1"/>
  <c r="L304" i="2" s="1"/>
  <c r="M304" i="2" s="1"/>
  <c r="N304" i="2" s="1"/>
  <c r="O304" i="2" s="1"/>
  <c r="C305" i="2"/>
  <c r="D305" i="2" s="1"/>
  <c r="E305" i="2" s="1"/>
  <c r="F305" i="2" s="1"/>
  <c r="G305" i="2" s="1"/>
  <c r="H305" i="2" s="1"/>
  <c r="I305" i="2" s="1"/>
  <c r="J305" i="2" s="1"/>
  <c r="K305" i="2" s="1"/>
  <c r="L305" i="2" s="1"/>
  <c r="M305" i="2" s="1"/>
  <c r="N305" i="2" s="1"/>
  <c r="O305" i="2" s="1"/>
  <c r="C306" i="2"/>
  <c r="D306" i="2" s="1"/>
  <c r="E306" i="2" s="1"/>
  <c r="F306" i="2" s="1"/>
  <c r="G306" i="2" s="1"/>
  <c r="H306" i="2" s="1"/>
  <c r="I306" i="2" s="1"/>
  <c r="J306" i="2" s="1"/>
  <c r="K306" i="2" s="1"/>
  <c r="L306" i="2" s="1"/>
  <c r="M306" i="2" s="1"/>
  <c r="N306" i="2" s="1"/>
  <c r="O306" i="2" s="1"/>
  <c r="C307" i="2"/>
  <c r="D307" i="2" s="1"/>
  <c r="E307" i="2" s="1"/>
  <c r="F307" i="2" s="1"/>
  <c r="G307" i="2" s="1"/>
  <c r="H307" i="2" s="1"/>
  <c r="I307" i="2" s="1"/>
  <c r="J307" i="2" s="1"/>
  <c r="K307" i="2" s="1"/>
  <c r="L307" i="2" s="1"/>
  <c r="M307" i="2" s="1"/>
  <c r="N307" i="2" s="1"/>
  <c r="O307" i="2" s="1"/>
  <c r="C308" i="2"/>
  <c r="D308" i="2" s="1"/>
  <c r="E308" i="2" s="1"/>
  <c r="F308" i="2" s="1"/>
  <c r="G308" i="2" s="1"/>
  <c r="H308" i="2" s="1"/>
  <c r="I308" i="2" s="1"/>
  <c r="J308" i="2" s="1"/>
  <c r="K308" i="2" s="1"/>
  <c r="L308" i="2" s="1"/>
  <c r="M308" i="2" s="1"/>
  <c r="N308" i="2" s="1"/>
  <c r="O308" i="2" s="1"/>
  <c r="C309" i="2"/>
  <c r="D309" i="2" s="1"/>
  <c r="E309" i="2" s="1"/>
  <c r="F309" i="2" s="1"/>
  <c r="G309" i="2" s="1"/>
  <c r="H309" i="2" s="1"/>
  <c r="I309" i="2" s="1"/>
  <c r="J309" i="2" s="1"/>
  <c r="K309" i="2" s="1"/>
  <c r="L309" i="2" s="1"/>
  <c r="M309" i="2" s="1"/>
  <c r="N309" i="2" s="1"/>
  <c r="O309" i="2" s="1"/>
  <c r="C310" i="2"/>
  <c r="D310" i="2" s="1"/>
  <c r="E310" i="2" s="1"/>
  <c r="F310" i="2" s="1"/>
  <c r="G310" i="2" s="1"/>
  <c r="H310" i="2" s="1"/>
  <c r="I310" i="2" s="1"/>
  <c r="J310" i="2" s="1"/>
  <c r="K310" i="2" s="1"/>
  <c r="L310" i="2" s="1"/>
  <c r="M310" i="2" s="1"/>
  <c r="N310" i="2" s="1"/>
  <c r="O310" i="2" s="1"/>
  <c r="C311" i="2"/>
  <c r="D311" i="2" s="1"/>
  <c r="E311" i="2" s="1"/>
  <c r="F311" i="2" s="1"/>
  <c r="G311" i="2" s="1"/>
  <c r="H311" i="2" s="1"/>
  <c r="I311" i="2" s="1"/>
  <c r="J311" i="2" s="1"/>
  <c r="K311" i="2" s="1"/>
  <c r="L311" i="2" s="1"/>
  <c r="M311" i="2" s="1"/>
  <c r="N311" i="2" s="1"/>
  <c r="O311" i="2" s="1"/>
  <c r="C312" i="2"/>
  <c r="D312" i="2" s="1"/>
  <c r="E312" i="2" s="1"/>
  <c r="F312" i="2" s="1"/>
  <c r="G312" i="2" s="1"/>
  <c r="H312" i="2" s="1"/>
  <c r="I312" i="2" s="1"/>
  <c r="J312" i="2" s="1"/>
  <c r="K312" i="2" s="1"/>
  <c r="L312" i="2" s="1"/>
  <c r="M312" i="2" s="1"/>
  <c r="N312" i="2" s="1"/>
  <c r="O312" i="2" s="1"/>
  <c r="C313" i="2"/>
  <c r="D313" i="2" s="1"/>
  <c r="E313" i="2" s="1"/>
  <c r="F313" i="2" s="1"/>
  <c r="G313" i="2" s="1"/>
  <c r="H313" i="2" s="1"/>
  <c r="I313" i="2" s="1"/>
  <c r="J313" i="2" s="1"/>
  <c r="K313" i="2" s="1"/>
  <c r="L313" i="2" s="1"/>
  <c r="M313" i="2" s="1"/>
  <c r="N313" i="2" s="1"/>
  <c r="O313" i="2" s="1"/>
  <c r="C314" i="2"/>
  <c r="D314" i="2" s="1"/>
  <c r="E314" i="2" s="1"/>
  <c r="F314" i="2" s="1"/>
  <c r="G314" i="2" s="1"/>
  <c r="H314" i="2" s="1"/>
  <c r="I314" i="2" s="1"/>
  <c r="J314" i="2" s="1"/>
  <c r="K314" i="2" s="1"/>
  <c r="L314" i="2" s="1"/>
  <c r="M314" i="2" s="1"/>
  <c r="N314" i="2" s="1"/>
  <c r="O314" i="2" s="1"/>
  <c r="C315" i="2"/>
  <c r="D315" i="2" s="1"/>
  <c r="E315" i="2" s="1"/>
  <c r="F315" i="2" s="1"/>
  <c r="G315" i="2" s="1"/>
  <c r="H315" i="2" s="1"/>
  <c r="I315" i="2" s="1"/>
  <c r="J315" i="2" s="1"/>
  <c r="K315" i="2" s="1"/>
  <c r="L315" i="2" s="1"/>
  <c r="M315" i="2" s="1"/>
  <c r="N315" i="2" s="1"/>
  <c r="O315" i="2" s="1"/>
  <c r="C316" i="2"/>
  <c r="D316" i="2" s="1"/>
  <c r="E316" i="2" s="1"/>
  <c r="F316" i="2" s="1"/>
  <c r="G316" i="2" s="1"/>
  <c r="H316" i="2" s="1"/>
  <c r="I316" i="2" s="1"/>
  <c r="J316" i="2" s="1"/>
  <c r="K316" i="2" s="1"/>
  <c r="L316" i="2" s="1"/>
  <c r="M316" i="2" s="1"/>
  <c r="N316" i="2" s="1"/>
  <c r="O316" i="2" s="1"/>
  <c r="C317" i="2"/>
  <c r="D317" i="2" s="1"/>
  <c r="E317" i="2" s="1"/>
  <c r="F317" i="2" s="1"/>
  <c r="G317" i="2" s="1"/>
  <c r="H317" i="2" s="1"/>
  <c r="I317" i="2" s="1"/>
  <c r="J317" i="2" s="1"/>
  <c r="K317" i="2" s="1"/>
  <c r="L317" i="2" s="1"/>
  <c r="M317" i="2" s="1"/>
  <c r="N317" i="2" s="1"/>
  <c r="O317" i="2" s="1"/>
  <c r="C318" i="2"/>
  <c r="D318" i="2" s="1"/>
  <c r="E318" i="2" s="1"/>
  <c r="F318" i="2" s="1"/>
  <c r="G318" i="2" s="1"/>
  <c r="H318" i="2" s="1"/>
  <c r="I318" i="2" s="1"/>
  <c r="J318" i="2" s="1"/>
  <c r="K318" i="2" s="1"/>
  <c r="L318" i="2" s="1"/>
  <c r="M318" i="2" s="1"/>
  <c r="N318" i="2" s="1"/>
  <c r="O318" i="2" s="1"/>
  <c r="C319" i="2"/>
  <c r="D319" i="2" s="1"/>
  <c r="E319" i="2" s="1"/>
  <c r="F319" i="2" s="1"/>
  <c r="G319" i="2" s="1"/>
  <c r="H319" i="2" s="1"/>
  <c r="I319" i="2" s="1"/>
  <c r="J319" i="2" s="1"/>
  <c r="K319" i="2" s="1"/>
  <c r="L319" i="2" s="1"/>
  <c r="M319" i="2" s="1"/>
  <c r="N319" i="2" s="1"/>
  <c r="O319" i="2" s="1"/>
  <c r="C320" i="2"/>
  <c r="D320" i="2" s="1"/>
  <c r="E320" i="2" s="1"/>
  <c r="F320" i="2" s="1"/>
  <c r="G320" i="2" s="1"/>
  <c r="H320" i="2" s="1"/>
  <c r="I320" i="2" s="1"/>
  <c r="J320" i="2" s="1"/>
  <c r="K320" i="2" s="1"/>
  <c r="L320" i="2" s="1"/>
  <c r="M320" i="2" s="1"/>
  <c r="N320" i="2" s="1"/>
  <c r="O320" i="2" s="1"/>
  <c r="C321" i="2"/>
  <c r="D321" i="2" s="1"/>
  <c r="E321" i="2" s="1"/>
  <c r="F321" i="2" s="1"/>
  <c r="G321" i="2" s="1"/>
  <c r="H321" i="2" s="1"/>
  <c r="I321" i="2" s="1"/>
  <c r="J321" i="2" s="1"/>
  <c r="K321" i="2" s="1"/>
  <c r="L321" i="2" s="1"/>
  <c r="M321" i="2" s="1"/>
  <c r="N321" i="2" s="1"/>
  <c r="O321" i="2" s="1"/>
  <c r="C322" i="2"/>
  <c r="D322" i="2" s="1"/>
  <c r="E322" i="2" s="1"/>
  <c r="F322" i="2" s="1"/>
  <c r="G322" i="2" s="1"/>
  <c r="H322" i="2" s="1"/>
  <c r="I322" i="2" s="1"/>
  <c r="J322" i="2" s="1"/>
  <c r="K322" i="2" s="1"/>
  <c r="L322" i="2" s="1"/>
  <c r="M322" i="2" s="1"/>
  <c r="N322" i="2" s="1"/>
  <c r="O322" i="2" s="1"/>
  <c r="C323" i="2"/>
  <c r="D323" i="2" s="1"/>
  <c r="E323" i="2" s="1"/>
  <c r="F323" i="2" s="1"/>
  <c r="G323" i="2" s="1"/>
  <c r="H323" i="2" s="1"/>
  <c r="I323" i="2" s="1"/>
  <c r="J323" i="2" s="1"/>
  <c r="K323" i="2" s="1"/>
  <c r="L323" i="2" s="1"/>
  <c r="M323" i="2" s="1"/>
  <c r="N323" i="2" s="1"/>
  <c r="O323" i="2" s="1"/>
  <c r="C324" i="2"/>
  <c r="D324" i="2" s="1"/>
  <c r="E324" i="2" s="1"/>
  <c r="F324" i="2" s="1"/>
  <c r="G324" i="2" s="1"/>
  <c r="H324" i="2" s="1"/>
  <c r="I324" i="2" s="1"/>
  <c r="J324" i="2" s="1"/>
  <c r="K324" i="2" s="1"/>
  <c r="L324" i="2" s="1"/>
  <c r="M324" i="2" s="1"/>
  <c r="N324" i="2" s="1"/>
  <c r="O324" i="2" s="1"/>
  <c r="C325" i="2"/>
  <c r="D325" i="2" s="1"/>
  <c r="E325" i="2" s="1"/>
  <c r="F325" i="2" s="1"/>
  <c r="G325" i="2" s="1"/>
  <c r="H325" i="2" s="1"/>
  <c r="I325" i="2" s="1"/>
  <c r="J325" i="2" s="1"/>
  <c r="K325" i="2" s="1"/>
  <c r="L325" i="2" s="1"/>
  <c r="M325" i="2" s="1"/>
  <c r="N325" i="2" s="1"/>
  <c r="O325" i="2" s="1"/>
  <c r="C326" i="2"/>
  <c r="D326" i="2" s="1"/>
  <c r="E326" i="2" s="1"/>
  <c r="F326" i="2" s="1"/>
  <c r="G326" i="2" s="1"/>
  <c r="H326" i="2" s="1"/>
  <c r="I326" i="2" s="1"/>
  <c r="J326" i="2" s="1"/>
  <c r="K326" i="2" s="1"/>
  <c r="L326" i="2" s="1"/>
  <c r="M326" i="2" s="1"/>
  <c r="N326" i="2" s="1"/>
  <c r="O326" i="2" s="1"/>
  <c r="C327" i="2"/>
  <c r="D327" i="2" s="1"/>
  <c r="E327" i="2" s="1"/>
  <c r="F327" i="2" s="1"/>
  <c r="G327" i="2" s="1"/>
  <c r="H327" i="2" s="1"/>
  <c r="I327" i="2" s="1"/>
  <c r="J327" i="2" s="1"/>
  <c r="K327" i="2" s="1"/>
  <c r="L327" i="2" s="1"/>
  <c r="M327" i="2" s="1"/>
  <c r="N327" i="2" s="1"/>
  <c r="O327" i="2" s="1"/>
  <c r="C328" i="2"/>
  <c r="D328" i="2" s="1"/>
  <c r="E328" i="2" s="1"/>
  <c r="F328" i="2" s="1"/>
  <c r="G328" i="2" s="1"/>
  <c r="H328" i="2" s="1"/>
  <c r="I328" i="2" s="1"/>
  <c r="J328" i="2" s="1"/>
  <c r="K328" i="2" s="1"/>
  <c r="L328" i="2" s="1"/>
  <c r="M328" i="2" s="1"/>
  <c r="N328" i="2" s="1"/>
  <c r="O328" i="2" s="1"/>
  <c r="C329" i="2"/>
  <c r="D329" i="2" s="1"/>
  <c r="E329" i="2" s="1"/>
  <c r="F329" i="2" s="1"/>
  <c r="G329" i="2" s="1"/>
  <c r="H329" i="2" s="1"/>
  <c r="I329" i="2" s="1"/>
  <c r="J329" i="2" s="1"/>
  <c r="K329" i="2" s="1"/>
  <c r="L329" i="2" s="1"/>
  <c r="M329" i="2" s="1"/>
  <c r="N329" i="2" s="1"/>
  <c r="O329" i="2" s="1"/>
  <c r="C330" i="2"/>
  <c r="D330" i="2" s="1"/>
  <c r="E330" i="2" s="1"/>
  <c r="F330" i="2" s="1"/>
  <c r="G330" i="2" s="1"/>
  <c r="H330" i="2" s="1"/>
  <c r="I330" i="2" s="1"/>
  <c r="J330" i="2" s="1"/>
  <c r="K330" i="2" s="1"/>
  <c r="L330" i="2" s="1"/>
  <c r="M330" i="2" s="1"/>
  <c r="N330" i="2" s="1"/>
  <c r="O330" i="2" s="1"/>
  <c r="C331" i="2"/>
  <c r="D331" i="2" s="1"/>
  <c r="E331" i="2" s="1"/>
  <c r="F331" i="2" s="1"/>
  <c r="G331" i="2" s="1"/>
  <c r="H331" i="2" s="1"/>
  <c r="I331" i="2" s="1"/>
  <c r="J331" i="2" s="1"/>
  <c r="K331" i="2" s="1"/>
  <c r="L331" i="2" s="1"/>
  <c r="M331" i="2" s="1"/>
  <c r="N331" i="2" s="1"/>
  <c r="O331" i="2" s="1"/>
  <c r="C332" i="2"/>
  <c r="D332" i="2" s="1"/>
  <c r="E332" i="2" s="1"/>
  <c r="F332" i="2" s="1"/>
  <c r="G332" i="2" s="1"/>
  <c r="H332" i="2" s="1"/>
  <c r="I332" i="2" s="1"/>
  <c r="J332" i="2" s="1"/>
  <c r="K332" i="2" s="1"/>
  <c r="L332" i="2" s="1"/>
  <c r="M332" i="2" s="1"/>
  <c r="N332" i="2" s="1"/>
  <c r="O332" i="2" s="1"/>
  <c r="C333" i="2"/>
  <c r="D333" i="2" s="1"/>
  <c r="E333" i="2" s="1"/>
  <c r="F333" i="2" s="1"/>
  <c r="G333" i="2" s="1"/>
  <c r="H333" i="2" s="1"/>
  <c r="I333" i="2" s="1"/>
  <c r="J333" i="2" s="1"/>
  <c r="K333" i="2" s="1"/>
  <c r="L333" i="2" s="1"/>
  <c r="M333" i="2" s="1"/>
  <c r="N333" i="2" s="1"/>
  <c r="O333" i="2" s="1"/>
  <c r="C334" i="2"/>
  <c r="D334" i="2" s="1"/>
  <c r="E334" i="2" s="1"/>
  <c r="F334" i="2" s="1"/>
  <c r="G334" i="2" s="1"/>
  <c r="H334" i="2" s="1"/>
  <c r="I334" i="2" s="1"/>
  <c r="J334" i="2" s="1"/>
  <c r="K334" i="2" s="1"/>
  <c r="L334" i="2" s="1"/>
  <c r="M334" i="2" s="1"/>
  <c r="N334" i="2" s="1"/>
  <c r="O334" i="2" s="1"/>
  <c r="C335" i="2"/>
  <c r="D335" i="2" s="1"/>
  <c r="E335" i="2" s="1"/>
  <c r="F335" i="2" s="1"/>
  <c r="G335" i="2" s="1"/>
  <c r="H335" i="2" s="1"/>
  <c r="I335" i="2" s="1"/>
  <c r="J335" i="2" s="1"/>
  <c r="K335" i="2" s="1"/>
  <c r="L335" i="2" s="1"/>
  <c r="M335" i="2" s="1"/>
  <c r="N335" i="2" s="1"/>
  <c r="O335" i="2" s="1"/>
  <c r="C336" i="2"/>
  <c r="D336" i="2" s="1"/>
  <c r="E336" i="2" s="1"/>
  <c r="F336" i="2" s="1"/>
  <c r="G336" i="2" s="1"/>
  <c r="H336" i="2" s="1"/>
  <c r="I336" i="2" s="1"/>
  <c r="J336" i="2" s="1"/>
  <c r="K336" i="2" s="1"/>
  <c r="L336" i="2" s="1"/>
  <c r="M336" i="2" s="1"/>
  <c r="N336" i="2" s="1"/>
  <c r="O336" i="2" s="1"/>
  <c r="C337" i="2"/>
  <c r="D337" i="2" s="1"/>
  <c r="E337" i="2" s="1"/>
  <c r="F337" i="2" s="1"/>
  <c r="G337" i="2" s="1"/>
  <c r="H337" i="2" s="1"/>
  <c r="I337" i="2" s="1"/>
  <c r="J337" i="2" s="1"/>
  <c r="K337" i="2" s="1"/>
  <c r="L337" i="2" s="1"/>
  <c r="M337" i="2" s="1"/>
  <c r="N337" i="2" s="1"/>
  <c r="O337" i="2" s="1"/>
  <c r="C338" i="2"/>
  <c r="D338" i="2" s="1"/>
  <c r="E338" i="2" s="1"/>
  <c r="F338" i="2" s="1"/>
  <c r="G338" i="2" s="1"/>
  <c r="H338" i="2" s="1"/>
  <c r="I338" i="2" s="1"/>
  <c r="J338" i="2" s="1"/>
  <c r="K338" i="2" s="1"/>
  <c r="L338" i="2" s="1"/>
  <c r="M338" i="2" s="1"/>
  <c r="N338" i="2" s="1"/>
  <c r="O338" i="2" s="1"/>
  <c r="C339" i="2"/>
  <c r="D339" i="2" s="1"/>
  <c r="E339" i="2" s="1"/>
  <c r="F339" i="2" s="1"/>
  <c r="G339" i="2" s="1"/>
  <c r="H339" i="2" s="1"/>
  <c r="I339" i="2" s="1"/>
  <c r="J339" i="2" s="1"/>
  <c r="K339" i="2" s="1"/>
  <c r="L339" i="2" s="1"/>
  <c r="M339" i="2" s="1"/>
  <c r="N339" i="2" s="1"/>
  <c r="O339" i="2" s="1"/>
  <c r="C340" i="2"/>
  <c r="D340" i="2" s="1"/>
  <c r="E340" i="2" s="1"/>
  <c r="F340" i="2" s="1"/>
  <c r="G340" i="2" s="1"/>
  <c r="H340" i="2" s="1"/>
  <c r="I340" i="2" s="1"/>
  <c r="J340" i="2" s="1"/>
  <c r="K340" i="2" s="1"/>
  <c r="L340" i="2" s="1"/>
  <c r="M340" i="2" s="1"/>
  <c r="N340" i="2" s="1"/>
  <c r="O340" i="2" s="1"/>
  <c r="C341" i="2"/>
  <c r="D341" i="2" s="1"/>
  <c r="E341" i="2" s="1"/>
  <c r="F341" i="2" s="1"/>
  <c r="G341" i="2" s="1"/>
  <c r="H341" i="2" s="1"/>
  <c r="I341" i="2" s="1"/>
  <c r="J341" i="2" s="1"/>
  <c r="K341" i="2" s="1"/>
  <c r="L341" i="2" s="1"/>
  <c r="M341" i="2" s="1"/>
  <c r="N341" i="2" s="1"/>
  <c r="O341" i="2" s="1"/>
  <c r="C342" i="2"/>
  <c r="D342" i="2" s="1"/>
  <c r="E342" i="2" s="1"/>
  <c r="F342" i="2" s="1"/>
  <c r="G342" i="2" s="1"/>
  <c r="H342" i="2" s="1"/>
  <c r="I342" i="2" s="1"/>
  <c r="J342" i="2" s="1"/>
  <c r="K342" i="2" s="1"/>
  <c r="L342" i="2" s="1"/>
  <c r="M342" i="2" s="1"/>
  <c r="N342" i="2" s="1"/>
  <c r="O342" i="2" s="1"/>
  <c r="C343" i="2"/>
  <c r="D343" i="2" s="1"/>
  <c r="E343" i="2" s="1"/>
  <c r="F343" i="2" s="1"/>
  <c r="G343" i="2" s="1"/>
  <c r="H343" i="2" s="1"/>
  <c r="I343" i="2" s="1"/>
  <c r="J343" i="2" s="1"/>
  <c r="K343" i="2" s="1"/>
  <c r="L343" i="2" s="1"/>
  <c r="M343" i="2" s="1"/>
  <c r="N343" i="2" s="1"/>
  <c r="O343" i="2" s="1"/>
  <c r="C344" i="2"/>
  <c r="D344" i="2" s="1"/>
  <c r="E344" i="2" s="1"/>
  <c r="F344" i="2" s="1"/>
  <c r="G344" i="2" s="1"/>
  <c r="H344" i="2" s="1"/>
  <c r="I344" i="2" s="1"/>
  <c r="J344" i="2" s="1"/>
  <c r="K344" i="2" s="1"/>
  <c r="L344" i="2" s="1"/>
  <c r="M344" i="2" s="1"/>
  <c r="N344" i="2" s="1"/>
  <c r="O344" i="2" s="1"/>
  <c r="C345" i="2"/>
  <c r="D345" i="2" s="1"/>
  <c r="E345" i="2" s="1"/>
  <c r="F345" i="2" s="1"/>
  <c r="G345" i="2" s="1"/>
  <c r="H345" i="2" s="1"/>
  <c r="I345" i="2" s="1"/>
  <c r="J345" i="2" s="1"/>
  <c r="K345" i="2" s="1"/>
  <c r="L345" i="2" s="1"/>
  <c r="M345" i="2" s="1"/>
  <c r="N345" i="2" s="1"/>
  <c r="O345" i="2" s="1"/>
  <c r="C346" i="2"/>
  <c r="D346" i="2" s="1"/>
  <c r="E346" i="2" s="1"/>
  <c r="F346" i="2" s="1"/>
  <c r="G346" i="2" s="1"/>
  <c r="H346" i="2" s="1"/>
  <c r="I346" i="2" s="1"/>
  <c r="J346" i="2" s="1"/>
  <c r="K346" i="2" s="1"/>
  <c r="L346" i="2" s="1"/>
  <c r="M346" i="2" s="1"/>
  <c r="N346" i="2" s="1"/>
  <c r="O346" i="2" s="1"/>
  <c r="C347" i="2"/>
  <c r="D347" i="2" s="1"/>
  <c r="E347" i="2" s="1"/>
  <c r="F347" i="2" s="1"/>
  <c r="G347" i="2" s="1"/>
  <c r="H347" i="2" s="1"/>
  <c r="I347" i="2" s="1"/>
  <c r="J347" i="2" s="1"/>
  <c r="K347" i="2" s="1"/>
  <c r="L347" i="2" s="1"/>
  <c r="M347" i="2" s="1"/>
  <c r="N347" i="2" s="1"/>
  <c r="O347" i="2" s="1"/>
  <c r="C348" i="2"/>
  <c r="D348" i="2" s="1"/>
  <c r="E348" i="2" s="1"/>
  <c r="F348" i="2" s="1"/>
  <c r="G348" i="2" s="1"/>
  <c r="H348" i="2" s="1"/>
  <c r="I348" i="2" s="1"/>
  <c r="J348" i="2" s="1"/>
  <c r="K348" i="2" s="1"/>
  <c r="L348" i="2" s="1"/>
  <c r="M348" i="2" s="1"/>
  <c r="N348" i="2" s="1"/>
  <c r="O348" i="2" s="1"/>
  <c r="C349" i="2"/>
  <c r="D349" i="2" s="1"/>
  <c r="E349" i="2" s="1"/>
  <c r="F349" i="2" s="1"/>
  <c r="G349" i="2" s="1"/>
  <c r="H349" i="2" s="1"/>
  <c r="I349" i="2" s="1"/>
  <c r="J349" i="2" s="1"/>
  <c r="K349" i="2" s="1"/>
  <c r="L349" i="2" s="1"/>
  <c r="M349" i="2" s="1"/>
  <c r="N349" i="2" s="1"/>
  <c r="O349" i="2" s="1"/>
  <c r="C350" i="2"/>
  <c r="D350" i="2" s="1"/>
  <c r="E350" i="2" s="1"/>
  <c r="F350" i="2" s="1"/>
  <c r="G350" i="2" s="1"/>
  <c r="H350" i="2" s="1"/>
  <c r="I350" i="2" s="1"/>
  <c r="J350" i="2" s="1"/>
  <c r="K350" i="2" s="1"/>
  <c r="L350" i="2" s="1"/>
  <c r="M350" i="2" s="1"/>
  <c r="N350" i="2" s="1"/>
  <c r="O350" i="2" s="1"/>
  <c r="C351" i="2"/>
  <c r="D351" i="2" s="1"/>
  <c r="E351" i="2" s="1"/>
  <c r="F351" i="2" s="1"/>
  <c r="G351" i="2" s="1"/>
  <c r="H351" i="2" s="1"/>
  <c r="I351" i="2" s="1"/>
  <c r="J351" i="2" s="1"/>
  <c r="K351" i="2" s="1"/>
  <c r="L351" i="2" s="1"/>
  <c r="M351" i="2" s="1"/>
  <c r="N351" i="2" s="1"/>
  <c r="O351" i="2" s="1"/>
  <c r="C352" i="2"/>
  <c r="D352" i="2" s="1"/>
  <c r="E352" i="2" s="1"/>
  <c r="F352" i="2" s="1"/>
  <c r="G352" i="2" s="1"/>
  <c r="H352" i="2" s="1"/>
  <c r="I352" i="2" s="1"/>
  <c r="J352" i="2" s="1"/>
  <c r="K352" i="2" s="1"/>
  <c r="L352" i="2" s="1"/>
  <c r="M352" i="2" s="1"/>
  <c r="N352" i="2" s="1"/>
  <c r="O352" i="2" s="1"/>
  <c r="C353" i="2"/>
  <c r="D353" i="2" s="1"/>
  <c r="E353" i="2" s="1"/>
  <c r="F353" i="2" s="1"/>
  <c r="G353" i="2" s="1"/>
  <c r="H353" i="2" s="1"/>
  <c r="I353" i="2" s="1"/>
  <c r="J353" i="2" s="1"/>
  <c r="K353" i="2" s="1"/>
  <c r="L353" i="2" s="1"/>
  <c r="M353" i="2" s="1"/>
  <c r="N353" i="2" s="1"/>
  <c r="O353" i="2" s="1"/>
  <c r="C354" i="2"/>
  <c r="D354" i="2" s="1"/>
  <c r="E354" i="2" s="1"/>
  <c r="F354" i="2" s="1"/>
  <c r="G354" i="2" s="1"/>
  <c r="H354" i="2" s="1"/>
  <c r="I354" i="2" s="1"/>
  <c r="J354" i="2" s="1"/>
  <c r="K354" i="2" s="1"/>
  <c r="L354" i="2" s="1"/>
  <c r="M354" i="2" s="1"/>
  <c r="N354" i="2" s="1"/>
  <c r="O354" i="2" s="1"/>
  <c r="C355" i="2"/>
  <c r="D355" i="2" s="1"/>
  <c r="E355" i="2" s="1"/>
  <c r="F355" i="2" s="1"/>
  <c r="G355" i="2" s="1"/>
  <c r="H355" i="2" s="1"/>
  <c r="I355" i="2" s="1"/>
  <c r="J355" i="2" s="1"/>
  <c r="K355" i="2" s="1"/>
  <c r="L355" i="2" s="1"/>
  <c r="M355" i="2" s="1"/>
  <c r="N355" i="2" s="1"/>
  <c r="O355" i="2" s="1"/>
  <c r="C356" i="2"/>
  <c r="D356" i="2" s="1"/>
  <c r="E356" i="2" s="1"/>
  <c r="F356" i="2" s="1"/>
  <c r="G356" i="2" s="1"/>
  <c r="H356" i="2" s="1"/>
  <c r="I356" i="2" s="1"/>
  <c r="J356" i="2" s="1"/>
  <c r="K356" i="2" s="1"/>
  <c r="L356" i="2" s="1"/>
  <c r="M356" i="2" s="1"/>
  <c r="N356" i="2" s="1"/>
  <c r="O356" i="2" s="1"/>
  <c r="C357" i="2"/>
  <c r="D357" i="2" s="1"/>
  <c r="E357" i="2" s="1"/>
  <c r="F357" i="2" s="1"/>
  <c r="G357" i="2" s="1"/>
  <c r="H357" i="2" s="1"/>
  <c r="I357" i="2" s="1"/>
  <c r="J357" i="2" s="1"/>
  <c r="K357" i="2" s="1"/>
  <c r="L357" i="2" s="1"/>
  <c r="M357" i="2" s="1"/>
  <c r="N357" i="2" s="1"/>
  <c r="O357" i="2" s="1"/>
  <c r="C358" i="2"/>
  <c r="D358" i="2" s="1"/>
  <c r="E358" i="2" s="1"/>
  <c r="F358" i="2" s="1"/>
  <c r="G358" i="2" s="1"/>
  <c r="H358" i="2" s="1"/>
  <c r="I358" i="2" s="1"/>
  <c r="J358" i="2" s="1"/>
  <c r="K358" i="2" s="1"/>
  <c r="L358" i="2" s="1"/>
  <c r="M358" i="2" s="1"/>
  <c r="N358" i="2" s="1"/>
  <c r="O358" i="2" s="1"/>
  <c r="C359" i="2"/>
  <c r="D359" i="2" s="1"/>
  <c r="E359" i="2" s="1"/>
  <c r="F359" i="2" s="1"/>
  <c r="G359" i="2" s="1"/>
  <c r="H359" i="2" s="1"/>
  <c r="I359" i="2" s="1"/>
  <c r="J359" i="2" s="1"/>
  <c r="K359" i="2" s="1"/>
  <c r="L359" i="2" s="1"/>
  <c r="M359" i="2" s="1"/>
  <c r="N359" i="2" s="1"/>
  <c r="O359" i="2" s="1"/>
  <c r="C360" i="2"/>
  <c r="D360" i="2" s="1"/>
  <c r="E360" i="2" s="1"/>
  <c r="F360" i="2" s="1"/>
  <c r="G360" i="2" s="1"/>
  <c r="H360" i="2" s="1"/>
  <c r="I360" i="2" s="1"/>
  <c r="J360" i="2" s="1"/>
  <c r="K360" i="2" s="1"/>
  <c r="L360" i="2" s="1"/>
  <c r="M360" i="2" s="1"/>
  <c r="N360" i="2" s="1"/>
  <c r="O360" i="2" s="1"/>
  <c r="C361" i="2"/>
  <c r="D361" i="2" s="1"/>
  <c r="E361" i="2" s="1"/>
  <c r="F361" i="2" s="1"/>
  <c r="G361" i="2" s="1"/>
  <c r="H361" i="2" s="1"/>
  <c r="I361" i="2" s="1"/>
  <c r="J361" i="2" s="1"/>
  <c r="K361" i="2" s="1"/>
  <c r="L361" i="2" s="1"/>
  <c r="M361" i="2" s="1"/>
  <c r="N361" i="2" s="1"/>
  <c r="O361" i="2" s="1"/>
  <c r="C362" i="2"/>
  <c r="D362" i="2" s="1"/>
  <c r="E362" i="2" s="1"/>
  <c r="F362" i="2" s="1"/>
  <c r="G362" i="2" s="1"/>
  <c r="H362" i="2" s="1"/>
  <c r="I362" i="2" s="1"/>
  <c r="J362" i="2" s="1"/>
  <c r="K362" i="2" s="1"/>
  <c r="L362" i="2" s="1"/>
  <c r="M362" i="2" s="1"/>
  <c r="N362" i="2" s="1"/>
  <c r="O362" i="2" s="1"/>
  <c r="C363" i="2"/>
  <c r="D363" i="2" s="1"/>
  <c r="E363" i="2" s="1"/>
  <c r="F363" i="2" s="1"/>
  <c r="G363" i="2" s="1"/>
  <c r="H363" i="2" s="1"/>
  <c r="I363" i="2" s="1"/>
  <c r="J363" i="2" s="1"/>
  <c r="K363" i="2" s="1"/>
  <c r="L363" i="2" s="1"/>
  <c r="M363" i="2" s="1"/>
  <c r="N363" i="2" s="1"/>
  <c r="O363" i="2" s="1"/>
  <c r="C364" i="2"/>
  <c r="D364" i="2" s="1"/>
  <c r="E364" i="2" s="1"/>
  <c r="F364" i="2" s="1"/>
  <c r="G364" i="2" s="1"/>
  <c r="H364" i="2" s="1"/>
  <c r="I364" i="2" s="1"/>
  <c r="J364" i="2" s="1"/>
  <c r="K364" i="2" s="1"/>
  <c r="L364" i="2" s="1"/>
  <c r="M364" i="2" s="1"/>
  <c r="N364" i="2" s="1"/>
  <c r="O364" i="2" s="1"/>
  <c r="C365" i="2"/>
  <c r="D365" i="2" s="1"/>
  <c r="E365" i="2" s="1"/>
  <c r="F365" i="2" s="1"/>
  <c r="G365" i="2" s="1"/>
  <c r="H365" i="2" s="1"/>
  <c r="I365" i="2" s="1"/>
  <c r="J365" i="2" s="1"/>
  <c r="K365" i="2" s="1"/>
  <c r="L365" i="2" s="1"/>
  <c r="M365" i="2" s="1"/>
  <c r="N365" i="2" s="1"/>
  <c r="O365" i="2" s="1"/>
  <c r="C366" i="2"/>
  <c r="D366" i="2" s="1"/>
  <c r="E366" i="2" s="1"/>
  <c r="F366" i="2" s="1"/>
  <c r="G366" i="2" s="1"/>
  <c r="H366" i="2" s="1"/>
  <c r="I366" i="2" s="1"/>
  <c r="J366" i="2" s="1"/>
  <c r="K366" i="2" s="1"/>
  <c r="L366" i="2" s="1"/>
  <c r="M366" i="2" s="1"/>
  <c r="N366" i="2" s="1"/>
  <c r="O366" i="2" s="1"/>
  <c r="C367" i="2"/>
  <c r="D367" i="2" s="1"/>
  <c r="E367" i="2" s="1"/>
  <c r="F367" i="2" s="1"/>
  <c r="G367" i="2" s="1"/>
  <c r="H367" i="2" s="1"/>
  <c r="I367" i="2" s="1"/>
  <c r="J367" i="2" s="1"/>
  <c r="K367" i="2" s="1"/>
  <c r="L367" i="2" s="1"/>
  <c r="M367" i="2" s="1"/>
  <c r="N367" i="2" s="1"/>
  <c r="O367" i="2" s="1"/>
  <c r="C368" i="2"/>
  <c r="D368" i="2" s="1"/>
  <c r="E368" i="2" s="1"/>
  <c r="F368" i="2" s="1"/>
  <c r="G368" i="2" s="1"/>
  <c r="H368" i="2" s="1"/>
  <c r="I368" i="2" s="1"/>
  <c r="J368" i="2" s="1"/>
  <c r="K368" i="2" s="1"/>
  <c r="L368" i="2" s="1"/>
  <c r="M368" i="2" s="1"/>
  <c r="N368" i="2" s="1"/>
  <c r="O368" i="2" s="1"/>
  <c r="C369" i="2"/>
  <c r="D369" i="2" s="1"/>
  <c r="E369" i="2" s="1"/>
  <c r="F369" i="2" s="1"/>
  <c r="G369" i="2" s="1"/>
  <c r="H369" i="2" s="1"/>
  <c r="I369" i="2" s="1"/>
  <c r="J369" i="2" s="1"/>
  <c r="K369" i="2" s="1"/>
  <c r="L369" i="2" s="1"/>
  <c r="M369" i="2" s="1"/>
  <c r="N369" i="2" s="1"/>
  <c r="O369" i="2" s="1"/>
  <c r="C370" i="2"/>
  <c r="D370" i="2" s="1"/>
  <c r="E370" i="2" s="1"/>
  <c r="F370" i="2" s="1"/>
  <c r="G370" i="2" s="1"/>
  <c r="H370" i="2" s="1"/>
  <c r="I370" i="2" s="1"/>
  <c r="J370" i="2" s="1"/>
  <c r="K370" i="2" s="1"/>
  <c r="L370" i="2" s="1"/>
  <c r="M370" i="2" s="1"/>
  <c r="N370" i="2" s="1"/>
  <c r="O370" i="2" s="1"/>
  <c r="C371" i="2"/>
  <c r="D371" i="2" s="1"/>
  <c r="E371" i="2" s="1"/>
  <c r="F371" i="2" s="1"/>
  <c r="G371" i="2" s="1"/>
  <c r="H371" i="2" s="1"/>
  <c r="I371" i="2" s="1"/>
  <c r="J371" i="2" s="1"/>
  <c r="K371" i="2" s="1"/>
  <c r="L371" i="2" s="1"/>
  <c r="M371" i="2" s="1"/>
  <c r="N371" i="2" s="1"/>
  <c r="O371" i="2" s="1"/>
  <c r="C372" i="2"/>
  <c r="D372" i="2" s="1"/>
  <c r="E372" i="2" s="1"/>
  <c r="F372" i="2" s="1"/>
  <c r="G372" i="2" s="1"/>
  <c r="H372" i="2" s="1"/>
  <c r="I372" i="2" s="1"/>
  <c r="J372" i="2" s="1"/>
  <c r="K372" i="2" s="1"/>
  <c r="L372" i="2" s="1"/>
  <c r="M372" i="2" s="1"/>
  <c r="N372" i="2" s="1"/>
  <c r="O372" i="2" s="1"/>
  <c r="C373" i="2"/>
  <c r="D373" i="2" s="1"/>
  <c r="E373" i="2" s="1"/>
  <c r="F373" i="2" s="1"/>
  <c r="G373" i="2" s="1"/>
  <c r="H373" i="2" s="1"/>
  <c r="I373" i="2" s="1"/>
  <c r="J373" i="2" s="1"/>
  <c r="K373" i="2" s="1"/>
  <c r="L373" i="2" s="1"/>
  <c r="M373" i="2" s="1"/>
  <c r="N373" i="2" s="1"/>
  <c r="O373" i="2" s="1"/>
  <c r="C374" i="2"/>
  <c r="D374" i="2" s="1"/>
  <c r="E374" i="2" s="1"/>
  <c r="F374" i="2" s="1"/>
  <c r="G374" i="2" s="1"/>
  <c r="H374" i="2" s="1"/>
  <c r="I374" i="2" s="1"/>
  <c r="J374" i="2" s="1"/>
  <c r="K374" i="2" s="1"/>
  <c r="L374" i="2" s="1"/>
  <c r="M374" i="2" s="1"/>
  <c r="N374" i="2" s="1"/>
  <c r="O374" i="2" s="1"/>
  <c r="C375" i="2"/>
  <c r="D375" i="2" s="1"/>
  <c r="E375" i="2" s="1"/>
  <c r="F375" i="2" s="1"/>
  <c r="G375" i="2" s="1"/>
  <c r="H375" i="2" s="1"/>
  <c r="I375" i="2" s="1"/>
  <c r="J375" i="2" s="1"/>
  <c r="K375" i="2" s="1"/>
  <c r="L375" i="2" s="1"/>
  <c r="M375" i="2" s="1"/>
  <c r="N375" i="2" s="1"/>
  <c r="O375" i="2" s="1"/>
  <c r="C376" i="2"/>
  <c r="D376" i="2" s="1"/>
  <c r="E376" i="2" s="1"/>
  <c r="F376" i="2" s="1"/>
  <c r="G376" i="2" s="1"/>
  <c r="H376" i="2" s="1"/>
  <c r="I376" i="2" s="1"/>
  <c r="J376" i="2" s="1"/>
  <c r="K376" i="2" s="1"/>
  <c r="L376" i="2" s="1"/>
  <c r="M376" i="2" s="1"/>
  <c r="N376" i="2" s="1"/>
  <c r="O376" i="2" s="1"/>
  <c r="C377" i="2"/>
  <c r="D377" i="2" s="1"/>
  <c r="E377" i="2" s="1"/>
  <c r="F377" i="2" s="1"/>
  <c r="G377" i="2" s="1"/>
  <c r="H377" i="2" s="1"/>
  <c r="I377" i="2" s="1"/>
  <c r="J377" i="2" s="1"/>
  <c r="K377" i="2" s="1"/>
  <c r="L377" i="2" s="1"/>
  <c r="M377" i="2" s="1"/>
  <c r="N377" i="2" s="1"/>
  <c r="O377" i="2" s="1"/>
  <c r="C378" i="2"/>
  <c r="D378" i="2" s="1"/>
  <c r="E378" i="2" s="1"/>
  <c r="F378" i="2" s="1"/>
  <c r="G378" i="2" s="1"/>
  <c r="H378" i="2" s="1"/>
  <c r="I378" i="2" s="1"/>
  <c r="J378" i="2" s="1"/>
  <c r="K378" i="2" s="1"/>
  <c r="L378" i="2" s="1"/>
  <c r="M378" i="2" s="1"/>
  <c r="N378" i="2" s="1"/>
  <c r="O378" i="2" s="1"/>
  <c r="C379" i="2"/>
  <c r="D379" i="2" s="1"/>
  <c r="E379" i="2" s="1"/>
  <c r="F379" i="2" s="1"/>
  <c r="G379" i="2" s="1"/>
  <c r="H379" i="2" s="1"/>
  <c r="I379" i="2" s="1"/>
  <c r="J379" i="2" s="1"/>
  <c r="K379" i="2" s="1"/>
  <c r="L379" i="2" s="1"/>
  <c r="M379" i="2" s="1"/>
  <c r="N379" i="2" s="1"/>
  <c r="O379" i="2" s="1"/>
  <c r="C380" i="2"/>
  <c r="D380" i="2" s="1"/>
  <c r="E380" i="2" s="1"/>
  <c r="F380" i="2" s="1"/>
  <c r="G380" i="2" s="1"/>
  <c r="H380" i="2" s="1"/>
  <c r="I380" i="2" s="1"/>
  <c r="J380" i="2" s="1"/>
  <c r="K380" i="2" s="1"/>
  <c r="L380" i="2" s="1"/>
  <c r="M380" i="2" s="1"/>
  <c r="N380" i="2" s="1"/>
  <c r="O380" i="2" s="1"/>
  <c r="C381" i="2"/>
  <c r="D381" i="2" s="1"/>
  <c r="E381" i="2" s="1"/>
  <c r="F381" i="2" s="1"/>
  <c r="G381" i="2" s="1"/>
  <c r="H381" i="2" s="1"/>
  <c r="I381" i="2" s="1"/>
  <c r="J381" i="2" s="1"/>
  <c r="K381" i="2" s="1"/>
  <c r="L381" i="2" s="1"/>
  <c r="M381" i="2" s="1"/>
  <c r="N381" i="2" s="1"/>
  <c r="O381" i="2" s="1"/>
  <c r="C382" i="2"/>
  <c r="D382" i="2" s="1"/>
  <c r="E382" i="2" s="1"/>
  <c r="F382" i="2" s="1"/>
  <c r="G382" i="2" s="1"/>
  <c r="H382" i="2" s="1"/>
  <c r="I382" i="2" s="1"/>
  <c r="J382" i="2" s="1"/>
  <c r="K382" i="2" s="1"/>
  <c r="L382" i="2" s="1"/>
  <c r="M382" i="2" s="1"/>
  <c r="N382" i="2" s="1"/>
  <c r="O382" i="2" s="1"/>
  <c r="C383" i="2"/>
  <c r="D383" i="2" s="1"/>
  <c r="E383" i="2" s="1"/>
  <c r="F383" i="2" s="1"/>
  <c r="G383" i="2" s="1"/>
  <c r="H383" i="2" s="1"/>
  <c r="I383" i="2" s="1"/>
  <c r="J383" i="2" s="1"/>
  <c r="K383" i="2" s="1"/>
  <c r="L383" i="2" s="1"/>
  <c r="M383" i="2" s="1"/>
  <c r="N383" i="2" s="1"/>
  <c r="O383" i="2" s="1"/>
  <c r="C384" i="2"/>
  <c r="D384" i="2" s="1"/>
  <c r="E384" i="2" s="1"/>
  <c r="F384" i="2" s="1"/>
  <c r="G384" i="2" s="1"/>
  <c r="H384" i="2" s="1"/>
  <c r="I384" i="2" s="1"/>
  <c r="J384" i="2" s="1"/>
  <c r="K384" i="2" s="1"/>
  <c r="L384" i="2" s="1"/>
  <c r="M384" i="2" s="1"/>
  <c r="N384" i="2" s="1"/>
  <c r="O384" i="2" s="1"/>
  <c r="C385" i="2"/>
  <c r="D385" i="2" s="1"/>
  <c r="E385" i="2" s="1"/>
  <c r="F385" i="2" s="1"/>
  <c r="G385" i="2" s="1"/>
  <c r="H385" i="2" s="1"/>
  <c r="I385" i="2" s="1"/>
  <c r="J385" i="2" s="1"/>
  <c r="K385" i="2" s="1"/>
  <c r="L385" i="2" s="1"/>
  <c r="M385" i="2" s="1"/>
  <c r="N385" i="2" s="1"/>
  <c r="O385" i="2" s="1"/>
  <c r="C386" i="2"/>
  <c r="D386" i="2" s="1"/>
  <c r="E386" i="2" s="1"/>
  <c r="F386" i="2" s="1"/>
  <c r="G386" i="2" s="1"/>
  <c r="H386" i="2" s="1"/>
  <c r="I386" i="2" s="1"/>
  <c r="J386" i="2" s="1"/>
  <c r="K386" i="2" s="1"/>
  <c r="L386" i="2" s="1"/>
  <c r="M386" i="2" s="1"/>
  <c r="N386" i="2" s="1"/>
  <c r="O386" i="2" s="1"/>
  <c r="C387" i="2"/>
  <c r="D387" i="2" s="1"/>
  <c r="E387" i="2" s="1"/>
  <c r="F387" i="2" s="1"/>
  <c r="G387" i="2" s="1"/>
  <c r="H387" i="2" s="1"/>
  <c r="I387" i="2" s="1"/>
  <c r="J387" i="2" s="1"/>
  <c r="K387" i="2" s="1"/>
  <c r="L387" i="2" s="1"/>
  <c r="M387" i="2" s="1"/>
  <c r="N387" i="2" s="1"/>
  <c r="O387" i="2" s="1"/>
  <c r="C388" i="2"/>
  <c r="D388" i="2" s="1"/>
  <c r="E388" i="2" s="1"/>
  <c r="F388" i="2" s="1"/>
  <c r="G388" i="2" s="1"/>
  <c r="H388" i="2" s="1"/>
  <c r="I388" i="2" s="1"/>
  <c r="J388" i="2" s="1"/>
  <c r="K388" i="2" s="1"/>
  <c r="L388" i="2" s="1"/>
  <c r="M388" i="2" s="1"/>
  <c r="N388" i="2" s="1"/>
  <c r="O388" i="2" s="1"/>
  <c r="C389" i="2"/>
  <c r="D389" i="2" s="1"/>
  <c r="E389" i="2" s="1"/>
  <c r="F389" i="2" s="1"/>
  <c r="G389" i="2" s="1"/>
  <c r="H389" i="2" s="1"/>
  <c r="I389" i="2" s="1"/>
  <c r="J389" i="2" s="1"/>
  <c r="K389" i="2" s="1"/>
  <c r="L389" i="2" s="1"/>
  <c r="M389" i="2" s="1"/>
  <c r="N389" i="2" s="1"/>
  <c r="O389" i="2" s="1"/>
  <c r="C390" i="2"/>
  <c r="D390" i="2" s="1"/>
  <c r="E390" i="2" s="1"/>
  <c r="F390" i="2" s="1"/>
  <c r="G390" i="2" s="1"/>
  <c r="H390" i="2" s="1"/>
  <c r="I390" i="2" s="1"/>
  <c r="J390" i="2" s="1"/>
  <c r="K390" i="2" s="1"/>
  <c r="L390" i="2" s="1"/>
  <c r="M390" i="2" s="1"/>
  <c r="N390" i="2" s="1"/>
  <c r="O390" i="2" s="1"/>
  <c r="C391" i="2"/>
  <c r="D391" i="2" s="1"/>
  <c r="E391" i="2" s="1"/>
  <c r="F391" i="2" s="1"/>
  <c r="G391" i="2" s="1"/>
  <c r="H391" i="2" s="1"/>
  <c r="I391" i="2" s="1"/>
  <c r="J391" i="2" s="1"/>
  <c r="K391" i="2" s="1"/>
  <c r="L391" i="2" s="1"/>
  <c r="M391" i="2" s="1"/>
  <c r="N391" i="2" s="1"/>
  <c r="O391" i="2" s="1"/>
  <c r="C392" i="2"/>
  <c r="D392" i="2" s="1"/>
  <c r="E392" i="2" s="1"/>
  <c r="F392" i="2" s="1"/>
  <c r="G392" i="2" s="1"/>
  <c r="H392" i="2" s="1"/>
  <c r="I392" i="2" s="1"/>
  <c r="J392" i="2" s="1"/>
  <c r="K392" i="2" s="1"/>
  <c r="L392" i="2" s="1"/>
  <c r="M392" i="2" s="1"/>
  <c r="N392" i="2" s="1"/>
  <c r="O392" i="2" s="1"/>
  <c r="C393" i="2"/>
  <c r="D393" i="2" s="1"/>
  <c r="E393" i="2" s="1"/>
  <c r="F393" i="2" s="1"/>
  <c r="G393" i="2" s="1"/>
  <c r="H393" i="2" s="1"/>
  <c r="I393" i="2" s="1"/>
  <c r="J393" i="2" s="1"/>
  <c r="K393" i="2" s="1"/>
  <c r="L393" i="2" s="1"/>
  <c r="M393" i="2" s="1"/>
  <c r="N393" i="2" s="1"/>
  <c r="O393" i="2" s="1"/>
  <c r="C394" i="2"/>
  <c r="D394" i="2" s="1"/>
  <c r="E394" i="2" s="1"/>
  <c r="F394" i="2" s="1"/>
  <c r="G394" i="2" s="1"/>
  <c r="H394" i="2" s="1"/>
  <c r="I394" i="2" s="1"/>
  <c r="J394" i="2" s="1"/>
  <c r="K394" i="2" s="1"/>
  <c r="L394" i="2" s="1"/>
  <c r="M394" i="2" s="1"/>
  <c r="N394" i="2" s="1"/>
  <c r="O394" i="2" s="1"/>
  <c r="C395" i="2"/>
  <c r="D395" i="2" s="1"/>
  <c r="E395" i="2" s="1"/>
  <c r="F395" i="2" s="1"/>
  <c r="G395" i="2" s="1"/>
  <c r="H395" i="2" s="1"/>
  <c r="I395" i="2" s="1"/>
  <c r="J395" i="2" s="1"/>
  <c r="K395" i="2" s="1"/>
  <c r="L395" i="2" s="1"/>
  <c r="M395" i="2" s="1"/>
  <c r="N395" i="2" s="1"/>
  <c r="O395" i="2" s="1"/>
  <c r="C396" i="2"/>
  <c r="D396" i="2" s="1"/>
  <c r="E396" i="2" s="1"/>
  <c r="F396" i="2" s="1"/>
  <c r="G396" i="2" s="1"/>
  <c r="H396" i="2" s="1"/>
  <c r="I396" i="2" s="1"/>
  <c r="J396" i="2" s="1"/>
  <c r="K396" i="2" s="1"/>
  <c r="L396" i="2" s="1"/>
  <c r="M396" i="2" s="1"/>
  <c r="N396" i="2" s="1"/>
  <c r="O396" i="2" s="1"/>
  <c r="C397" i="2"/>
  <c r="D397" i="2" s="1"/>
  <c r="E397" i="2" s="1"/>
  <c r="F397" i="2" s="1"/>
  <c r="G397" i="2" s="1"/>
  <c r="H397" i="2" s="1"/>
  <c r="I397" i="2" s="1"/>
  <c r="J397" i="2" s="1"/>
  <c r="K397" i="2" s="1"/>
  <c r="L397" i="2" s="1"/>
  <c r="M397" i="2" s="1"/>
  <c r="N397" i="2" s="1"/>
  <c r="O397" i="2" s="1"/>
  <c r="C398" i="2"/>
  <c r="D398" i="2" s="1"/>
  <c r="E398" i="2" s="1"/>
  <c r="F398" i="2" s="1"/>
  <c r="G398" i="2" s="1"/>
  <c r="H398" i="2" s="1"/>
  <c r="I398" i="2" s="1"/>
  <c r="J398" i="2" s="1"/>
  <c r="K398" i="2" s="1"/>
  <c r="L398" i="2" s="1"/>
  <c r="M398" i="2" s="1"/>
  <c r="N398" i="2" s="1"/>
  <c r="O398" i="2" s="1"/>
  <c r="C399" i="2"/>
  <c r="D399" i="2" s="1"/>
  <c r="E399" i="2" s="1"/>
  <c r="F399" i="2" s="1"/>
  <c r="G399" i="2" s="1"/>
  <c r="H399" i="2" s="1"/>
  <c r="I399" i="2" s="1"/>
  <c r="J399" i="2" s="1"/>
  <c r="K399" i="2" s="1"/>
  <c r="L399" i="2" s="1"/>
  <c r="M399" i="2" s="1"/>
  <c r="N399" i="2" s="1"/>
  <c r="O399" i="2" s="1"/>
  <c r="C400" i="2"/>
  <c r="D400" i="2" s="1"/>
  <c r="E400" i="2" s="1"/>
  <c r="F400" i="2" s="1"/>
  <c r="G400" i="2" s="1"/>
  <c r="H400" i="2" s="1"/>
  <c r="I400" i="2" s="1"/>
  <c r="J400" i="2" s="1"/>
  <c r="K400" i="2" s="1"/>
  <c r="L400" i="2" s="1"/>
  <c r="M400" i="2" s="1"/>
  <c r="N400" i="2" s="1"/>
  <c r="O400" i="2" s="1"/>
  <c r="C401" i="2"/>
  <c r="D401" i="2" s="1"/>
  <c r="E401" i="2" s="1"/>
  <c r="F401" i="2" s="1"/>
  <c r="G401" i="2" s="1"/>
  <c r="H401" i="2" s="1"/>
  <c r="I401" i="2" s="1"/>
  <c r="J401" i="2" s="1"/>
  <c r="K401" i="2" s="1"/>
  <c r="L401" i="2" s="1"/>
  <c r="M401" i="2" s="1"/>
  <c r="N401" i="2" s="1"/>
  <c r="O401" i="2" s="1"/>
  <c r="C402" i="2"/>
  <c r="D402" i="2" s="1"/>
  <c r="E402" i="2" s="1"/>
  <c r="F402" i="2" s="1"/>
  <c r="G402" i="2" s="1"/>
  <c r="H402" i="2" s="1"/>
  <c r="I402" i="2" s="1"/>
  <c r="J402" i="2" s="1"/>
  <c r="K402" i="2" s="1"/>
  <c r="L402" i="2" s="1"/>
  <c r="M402" i="2" s="1"/>
  <c r="N402" i="2" s="1"/>
  <c r="O402" i="2" s="1"/>
  <c r="C403" i="2"/>
  <c r="D403" i="2" s="1"/>
  <c r="E403" i="2" s="1"/>
  <c r="F403" i="2" s="1"/>
  <c r="G403" i="2" s="1"/>
  <c r="H403" i="2" s="1"/>
  <c r="I403" i="2" s="1"/>
  <c r="J403" i="2" s="1"/>
  <c r="K403" i="2" s="1"/>
  <c r="L403" i="2" s="1"/>
  <c r="M403" i="2" s="1"/>
  <c r="N403" i="2" s="1"/>
  <c r="O403" i="2" s="1"/>
  <c r="C404" i="2"/>
  <c r="D404" i="2" s="1"/>
  <c r="E404" i="2" s="1"/>
  <c r="F404" i="2" s="1"/>
  <c r="G404" i="2" s="1"/>
  <c r="H404" i="2" s="1"/>
  <c r="I404" i="2" s="1"/>
  <c r="J404" i="2" s="1"/>
  <c r="K404" i="2" s="1"/>
  <c r="L404" i="2" s="1"/>
  <c r="M404" i="2" s="1"/>
  <c r="N404" i="2" s="1"/>
  <c r="O404" i="2" s="1"/>
  <c r="C405" i="2"/>
  <c r="D405" i="2" s="1"/>
  <c r="E405" i="2" s="1"/>
  <c r="F405" i="2" s="1"/>
  <c r="G405" i="2" s="1"/>
  <c r="H405" i="2" s="1"/>
  <c r="I405" i="2" s="1"/>
  <c r="J405" i="2" s="1"/>
  <c r="K405" i="2" s="1"/>
  <c r="L405" i="2" s="1"/>
  <c r="M405" i="2" s="1"/>
  <c r="N405" i="2" s="1"/>
  <c r="O405" i="2" s="1"/>
  <c r="C406" i="2"/>
  <c r="D406" i="2" s="1"/>
  <c r="E406" i="2" s="1"/>
  <c r="F406" i="2" s="1"/>
  <c r="G406" i="2" s="1"/>
  <c r="H406" i="2" s="1"/>
  <c r="I406" i="2" s="1"/>
  <c r="J406" i="2" s="1"/>
  <c r="K406" i="2" s="1"/>
  <c r="L406" i="2" s="1"/>
  <c r="M406" i="2" s="1"/>
  <c r="N406" i="2" s="1"/>
  <c r="O406" i="2" s="1"/>
  <c r="C407" i="2"/>
  <c r="D407" i="2" s="1"/>
  <c r="E407" i="2" s="1"/>
  <c r="F407" i="2" s="1"/>
  <c r="G407" i="2" s="1"/>
  <c r="H407" i="2" s="1"/>
  <c r="I407" i="2" s="1"/>
  <c r="J407" i="2" s="1"/>
  <c r="K407" i="2" s="1"/>
  <c r="L407" i="2" s="1"/>
  <c r="M407" i="2" s="1"/>
  <c r="N407" i="2" s="1"/>
  <c r="O407" i="2" s="1"/>
  <c r="C408" i="2"/>
  <c r="D408" i="2" s="1"/>
  <c r="E408" i="2" s="1"/>
  <c r="F408" i="2" s="1"/>
  <c r="G408" i="2" s="1"/>
  <c r="H408" i="2" s="1"/>
  <c r="I408" i="2" s="1"/>
  <c r="J408" i="2" s="1"/>
  <c r="K408" i="2" s="1"/>
  <c r="L408" i="2" s="1"/>
  <c r="M408" i="2" s="1"/>
  <c r="N408" i="2" s="1"/>
  <c r="O408" i="2" s="1"/>
  <c r="C409" i="2"/>
  <c r="D409" i="2" s="1"/>
  <c r="E409" i="2" s="1"/>
  <c r="F409" i="2" s="1"/>
  <c r="G409" i="2" s="1"/>
  <c r="H409" i="2" s="1"/>
  <c r="I409" i="2" s="1"/>
  <c r="J409" i="2" s="1"/>
  <c r="K409" i="2" s="1"/>
  <c r="L409" i="2" s="1"/>
  <c r="M409" i="2" s="1"/>
  <c r="N409" i="2" s="1"/>
  <c r="O409" i="2" s="1"/>
  <c r="C410" i="2"/>
  <c r="D410" i="2" s="1"/>
  <c r="E410" i="2" s="1"/>
  <c r="F410" i="2" s="1"/>
  <c r="G410" i="2" s="1"/>
  <c r="H410" i="2" s="1"/>
  <c r="I410" i="2" s="1"/>
  <c r="J410" i="2" s="1"/>
  <c r="K410" i="2" s="1"/>
  <c r="L410" i="2" s="1"/>
  <c r="M410" i="2" s="1"/>
  <c r="N410" i="2" s="1"/>
  <c r="O410" i="2" s="1"/>
  <c r="C411" i="2"/>
  <c r="D411" i="2" s="1"/>
  <c r="E411" i="2" s="1"/>
  <c r="F411" i="2" s="1"/>
  <c r="G411" i="2" s="1"/>
  <c r="H411" i="2" s="1"/>
  <c r="I411" i="2" s="1"/>
  <c r="J411" i="2" s="1"/>
  <c r="K411" i="2" s="1"/>
  <c r="L411" i="2" s="1"/>
  <c r="M411" i="2" s="1"/>
  <c r="N411" i="2" s="1"/>
  <c r="O411" i="2" s="1"/>
  <c r="C412" i="2"/>
  <c r="D412" i="2" s="1"/>
  <c r="E412" i="2" s="1"/>
  <c r="F412" i="2" s="1"/>
  <c r="G412" i="2" s="1"/>
  <c r="H412" i="2" s="1"/>
  <c r="I412" i="2" s="1"/>
  <c r="J412" i="2" s="1"/>
  <c r="K412" i="2" s="1"/>
  <c r="L412" i="2" s="1"/>
  <c r="M412" i="2" s="1"/>
  <c r="N412" i="2" s="1"/>
  <c r="O412" i="2" s="1"/>
  <c r="C413" i="2"/>
  <c r="D413" i="2" s="1"/>
  <c r="E413" i="2" s="1"/>
  <c r="F413" i="2" s="1"/>
  <c r="G413" i="2" s="1"/>
  <c r="H413" i="2" s="1"/>
  <c r="I413" i="2" s="1"/>
  <c r="J413" i="2" s="1"/>
  <c r="K413" i="2" s="1"/>
  <c r="L413" i="2" s="1"/>
  <c r="M413" i="2" s="1"/>
  <c r="N413" i="2" s="1"/>
  <c r="O413" i="2" s="1"/>
  <c r="C414" i="2"/>
  <c r="D414" i="2" s="1"/>
  <c r="E414" i="2" s="1"/>
  <c r="F414" i="2" s="1"/>
  <c r="G414" i="2" s="1"/>
  <c r="H414" i="2" s="1"/>
  <c r="I414" i="2" s="1"/>
  <c r="J414" i="2" s="1"/>
  <c r="K414" i="2" s="1"/>
  <c r="L414" i="2" s="1"/>
  <c r="M414" i="2" s="1"/>
  <c r="N414" i="2" s="1"/>
  <c r="O414" i="2" s="1"/>
  <c r="C415" i="2"/>
  <c r="D415" i="2" s="1"/>
  <c r="E415" i="2" s="1"/>
  <c r="F415" i="2" s="1"/>
  <c r="G415" i="2" s="1"/>
  <c r="H415" i="2" s="1"/>
  <c r="I415" i="2" s="1"/>
  <c r="J415" i="2" s="1"/>
  <c r="K415" i="2" s="1"/>
  <c r="L415" i="2" s="1"/>
  <c r="M415" i="2" s="1"/>
  <c r="N415" i="2" s="1"/>
  <c r="O415" i="2" s="1"/>
  <c r="C416" i="2"/>
  <c r="D416" i="2" s="1"/>
  <c r="E416" i="2" s="1"/>
  <c r="F416" i="2" s="1"/>
  <c r="G416" i="2" s="1"/>
  <c r="H416" i="2" s="1"/>
  <c r="I416" i="2" s="1"/>
  <c r="J416" i="2" s="1"/>
  <c r="K416" i="2" s="1"/>
  <c r="L416" i="2" s="1"/>
  <c r="M416" i="2" s="1"/>
  <c r="N416" i="2" s="1"/>
  <c r="O416" i="2" s="1"/>
  <c r="C417" i="2"/>
  <c r="D417" i="2" s="1"/>
  <c r="E417" i="2" s="1"/>
  <c r="F417" i="2" s="1"/>
  <c r="G417" i="2" s="1"/>
  <c r="H417" i="2" s="1"/>
  <c r="I417" i="2" s="1"/>
  <c r="J417" i="2" s="1"/>
  <c r="K417" i="2" s="1"/>
  <c r="L417" i="2" s="1"/>
  <c r="M417" i="2" s="1"/>
  <c r="N417" i="2" s="1"/>
  <c r="O417" i="2" s="1"/>
  <c r="C418" i="2"/>
  <c r="D418" i="2" s="1"/>
  <c r="E418" i="2" s="1"/>
  <c r="F418" i="2" s="1"/>
  <c r="G418" i="2" s="1"/>
  <c r="H418" i="2" s="1"/>
  <c r="I418" i="2" s="1"/>
  <c r="J418" i="2" s="1"/>
  <c r="K418" i="2" s="1"/>
  <c r="L418" i="2" s="1"/>
  <c r="M418" i="2" s="1"/>
  <c r="N418" i="2" s="1"/>
  <c r="O418" i="2" s="1"/>
  <c r="C419" i="2"/>
  <c r="D419" i="2" s="1"/>
  <c r="E419" i="2" s="1"/>
  <c r="F419" i="2" s="1"/>
  <c r="G419" i="2" s="1"/>
  <c r="H419" i="2" s="1"/>
  <c r="I419" i="2" s="1"/>
  <c r="J419" i="2" s="1"/>
  <c r="K419" i="2" s="1"/>
  <c r="L419" i="2" s="1"/>
  <c r="M419" i="2" s="1"/>
  <c r="N419" i="2" s="1"/>
  <c r="O419" i="2" s="1"/>
  <c r="C420" i="2"/>
  <c r="D420" i="2" s="1"/>
  <c r="E420" i="2" s="1"/>
  <c r="F420" i="2" s="1"/>
  <c r="G420" i="2" s="1"/>
  <c r="H420" i="2" s="1"/>
  <c r="I420" i="2" s="1"/>
  <c r="J420" i="2" s="1"/>
  <c r="K420" i="2" s="1"/>
  <c r="L420" i="2" s="1"/>
  <c r="M420" i="2" s="1"/>
  <c r="N420" i="2" s="1"/>
  <c r="O420" i="2" s="1"/>
  <c r="C421" i="2"/>
  <c r="D421" i="2" s="1"/>
  <c r="E421" i="2" s="1"/>
  <c r="F421" i="2" s="1"/>
  <c r="G421" i="2" s="1"/>
  <c r="H421" i="2" s="1"/>
  <c r="I421" i="2" s="1"/>
  <c r="J421" i="2" s="1"/>
  <c r="K421" i="2" s="1"/>
  <c r="L421" i="2" s="1"/>
  <c r="M421" i="2" s="1"/>
  <c r="N421" i="2" s="1"/>
  <c r="O421" i="2" s="1"/>
  <c r="C422" i="2"/>
  <c r="D422" i="2" s="1"/>
  <c r="E422" i="2" s="1"/>
  <c r="F422" i="2" s="1"/>
  <c r="G422" i="2" s="1"/>
  <c r="H422" i="2" s="1"/>
  <c r="I422" i="2" s="1"/>
  <c r="J422" i="2" s="1"/>
  <c r="K422" i="2" s="1"/>
  <c r="L422" i="2" s="1"/>
  <c r="M422" i="2" s="1"/>
  <c r="N422" i="2" s="1"/>
  <c r="O422" i="2" s="1"/>
  <c r="C423" i="2"/>
  <c r="D423" i="2" s="1"/>
  <c r="E423" i="2" s="1"/>
  <c r="F423" i="2" s="1"/>
  <c r="G423" i="2" s="1"/>
  <c r="H423" i="2" s="1"/>
  <c r="I423" i="2" s="1"/>
  <c r="J423" i="2" s="1"/>
  <c r="K423" i="2" s="1"/>
  <c r="L423" i="2" s="1"/>
  <c r="M423" i="2" s="1"/>
  <c r="N423" i="2" s="1"/>
  <c r="O423" i="2" s="1"/>
  <c r="C424" i="2"/>
  <c r="D424" i="2" s="1"/>
  <c r="E424" i="2" s="1"/>
  <c r="F424" i="2" s="1"/>
  <c r="G424" i="2" s="1"/>
  <c r="H424" i="2" s="1"/>
  <c r="I424" i="2" s="1"/>
  <c r="J424" i="2" s="1"/>
  <c r="K424" i="2" s="1"/>
  <c r="L424" i="2" s="1"/>
  <c r="M424" i="2" s="1"/>
  <c r="N424" i="2" s="1"/>
  <c r="O424" i="2" s="1"/>
  <c r="C425" i="2"/>
  <c r="D425" i="2" s="1"/>
  <c r="E425" i="2" s="1"/>
  <c r="F425" i="2" s="1"/>
  <c r="G425" i="2" s="1"/>
  <c r="H425" i="2" s="1"/>
  <c r="I425" i="2" s="1"/>
  <c r="J425" i="2" s="1"/>
  <c r="K425" i="2" s="1"/>
  <c r="L425" i="2" s="1"/>
  <c r="M425" i="2" s="1"/>
  <c r="N425" i="2" s="1"/>
  <c r="O425" i="2" s="1"/>
  <c r="C426" i="2"/>
  <c r="D426" i="2" s="1"/>
  <c r="E426" i="2" s="1"/>
  <c r="F426" i="2" s="1"/>
  <c r="G426" i="2" s="1"/>
  <c r="H426" i="2" s="1"/>
  <c r="I426" i="2" s="1"/>
  <c r="J426" i="2" s="1"/>
  <c r="K426" i="2" s="1"/>
  <c r="L426" i="2" s="1"/>
  <c r="M426" i="2" s="1"/>
  <c r="N426" i="2" s="1"/>
  <c r="O426" i="2" s="1"/>
  <c r="C427" i="2"/>
  <c r="D427" i="2" s="1"/>
  <c r="E427" i="2" s="1"/>
  <c r="F427" i="2" s="1"/>
  <c r="G427" i="2" s="1"/>
  <c r="H427" i="2" s="1"/>
  <c r="I427" i="2" s="1"/>
  <c r="J427" i="2" s="1"/>
  <c r="K427" i="2" s="1"/>
  <c r="L427" i="2" s="1"/>
  <c r="M427" i="2" s="1"/>
  <c r="N427" i="2" s="1"/>
  <c r="O427" i="2" s="1"/>
  <c r="C428" i="2"/>
  <c r="D428" i="2" s="1"/>
  <c r="E428" i="2" s="1"/>
  <c r="F428" i="2" s="1"/>
  <c r="G428" i="2" s="1"/>
  <c r="H428" i="2" s="1"/>
  <c r="I428" i="2" s="1"/>
  <c r="J428" i="2" s="1"/>
  <c r="K428" i="2" s="1"/>
  <c r="L428" i="2" s="1"/>
  <c r="M428" i="2" s="1"/>
  <c r="N428" i="2" s="1"/>
  <c r="O428" i="2" s="1"/>
  <c r="C429" i="2"/>
  <c r="D429" i="2" s="1"/>
  <c r="E429" i="2" s="1"/>
  <c r="F429" i="2" s="1"/>
  <c r="G429" i="2" s="1"/>
  <c r="H429" i="2" s="1"/>
  <c r="I429" i="2" s="1"/>
  <c r="J429" i="2" s="1"/>
  <c r="K429" i="2" s="1"/>
  <c r="L429" i="2" s="1"/>
  <c r="M429" i="2" s="1"/>
  <c r="N429" i="2" s="1"/>
  <c r="O429" i="2" s="1"/>
  <c r="C430" i="2"/>
  <c r="D430" i="2" s="1"/>
  <c r="E430" i="2" s="1"/>
  <c r="F430" i="2" s="1"/>
  <c r="G430" i="2" s="1"/>
  <c r="H430" i="2" s="1"/>
  <c r="I430" i="2" s="1"/>
  <c r="J430" i="2" s="1"/>
  <c r="K430" i="2" s="1"/>
  <c r="L430" i="2" s="1"/>
  <c r="M430" i="2" s="1"/>
  <c r="N430" i="2" s="1"/>
  <c r="O430" i="2" s="1"/>
  <c r="C431" i="2"/>
  <c r="D431" i="2" s="1"/>
  <c r="E431" i="2" s="1"/>
  <c r="F431" i="2" s="1"/>
  <c r="G431" i="2" s="1"/>
  <c r="H431" i="2" s="1"/>
  <c r="I431" i="2" s="1"/>
  <c r="J431" i="2" s="1"/>
  <c r="K431" i="2" s="1"/>
  <c r="L431" i="2" s="1"/>
  <c r="M431" i="2" s="1"/>
  <c r="N431" i="2" s="1"/>
  <c r="O431" i="2" s="1"/>
  <c r="C432" i="2"/>
  <c r="D432" i="2" s="1"/>
  <c r="E432" i="2" s="1"/>
  <c r="F432" i="2" s="1"/>
  <c r="G432" i="2" s="1"/>
  <c r="H432" i="2" s="1"/>
  <c r="I432" i="2" s="1"/>
  <c r="J432" i="2" s="1"/>
  <c r="K432" i="2" s="1"/>
  <c r="L432" i="2" s="1"/>
  <c r="M432" i="2" s="1"/>
  <c r="N432" i="2" s="1"/>
  <c r="O432" i="2" s="1"/>
  <c r="C433" i="2"/>
  <c r="D433" i="2" s="1"/>
  <c r="E433" i="2" s="1"/>
  <c r="F433" i="2" s="1"/>
  <c r="G433" i="2" s="1"/>
  <c r="H433" i="2" s="1"/>
  <c r="I433" i="2" s="1"/>
  <c r="J433" i="2" s="1"/>
  <c r="K433" i="2" s="1"/>
  <c r="L433" i="2" s="1"/>
  <c r="M433" i="2" s="1"/>
  <c r="N433" i="2" s="1"/>
  <c r="O433" i="2" s="1"/>
  <c r="C434" i="2"/>
  <c r="D434" i="2" s="1"/>
  <c r="E434" i="2" s="1"/>
  <c r="F434" i="2" s="1"/>
  <c r="G434" i="2" s="1"/>
  <c r="H434" i="2" s="1"/>
  <c r="I434" i="2" s="1"/>
  <c r="J434" i="2" s="1"/>
  <c r="K434" i="2" s="1"/>
  <c r="L434" i="2" s="1"/>
  <c r="M434" i="2" s="1"/>
  <c r="N434" i="2" s="1"/>
  <c r="O434" i="2" s="1"/>
  <c r="C435" i="2"/>
  <c r="D435" i="2" s="1"/>
  <c r="E435" i="2" s="1"/>
  <c r="F435" i="2" s="1"/>
  <c r="G435" i="2" s="1"/>
  <c r="H435" i="2" s="1"/>
  <c r="I435" i="2" s="1"/>
  <c r="J435" i="2" s="1"/>
  <c r="K435" i="2" s="1"/>
  <c r="L435" i="2" s="1"/>
  <c r="M435" i="2" s="1"/>
  <c r="N435" i="2" s="1"/>
  <c r="O435" i="2" s="1"/>
  <c r="C436" i="2"/>
  <c r="D436" i="2" s="1"/>
  <c r="E436" i="2" s="1"/>
  <c r="F436" i="2" s="1"/>
  <c r="G436" i="2" s="1"/>
  <c r="H436" i="2" s="1"/>
  <c r="I436" i="2" s="1"/>
  <c r="J436" i="2" s="1"/>
  <c r="K436" i="2" s="1"/>
  <c r="L436" i="2" s="1"/>
  <c r="M436" i="2" s="1"/>
  <c r="N436" i="2" s="1"/>
  <c r="O436" i="2" s="1"/>
  <c r="C437" i="2"/>
  <c r="D437" i="2" s="1"/>
  <c r="E437" i="2" s="1"/>
  <c r="F437" i="2" s="1"/>
  <c r="G437" i="2" s="1"/>
  <c r="H437" i="2" s="1"/>
  <c r="I437" i="2" s="1"/>
  <c r="J437" i="2" s="1"/>
  <c r="K437" i="2" s="1"/>
  <c r="L437" i="2" s="1"/>
  <c r="M437" i="2" s="1"/>
  <c r="N437" i="2" s="1"/>
  <c r="O437" i="2" s="1"/>
  <c r="C438" i="2"/>
  <c r="D438" i="2" s="1"/>
  <c r="E438" i="2" s="1"/>
  <c r="F438" i="2" s="1"/>
  <c r="G438" i="2" s="1"/>
  <c r="H438" i="2" s="1"/>
  <c r="I438" i="2" s="1"/>
  <c r="J438" i="2" s="1"/>
  <c r="K438" i="2" s="1"/>
  <c r="L438" i="2" s="1"/>
  <c r="M438" i="2" s="1"/>
  <c r="N438" i="2" s="1"/>
  <c r="O438" i="2" s="1"/>
  <c r="C439" i="2"/>
  <c r="D439" i="2" s="1"/>
  <c r="E439" i="2" s="1"/>
  <c r="F439" i="2" s="1"/>
  <c r="G439" i="2" s="1"/>
  <c r="H439" i="2" s="1"/>
  <c r="I439" i="2" s="1"/>
  <c r="J439" i="2" s="1"/>
  <c r="K439" i="2" s="1"/>
  <c r="L439" i="2" s="1"/>
  <c r="M439" i="2" s="1"/>
  <c r="N439" i="2" s="1"/>
  <c r="O439" i="2" s="1"/>
  <c r="C440" i="2"/>
  <c r="D440" i="2" s="1"/>
  <c r="E440" i="2" s="1"/>
  <c r="F440" i="2" s="1"/>
  <c r="G440" i="2" s="1"/>
  <c r="H440" i="2" s="1"/>
  <c r="I440" i="2" s="1"/>
  <c r="J440" i="2" s="1"/>
  <c r="K440" i="2" s="1"/>
  <c r="L440" i="2" s="1"/>
  <c r="M440" i="2" s="1"/>
  <c r="N440" i="2" s="1"/>
  <c r="O440" i="2" s="1"/>
  <c r="C441" i="2"/>
  <c r="D441" i="2" s="1"/>
  <c r="E441" i="2" s="1"/>
  <c r="F441" i="2" s="1"/>
  <c r="G441" i="2" s="1"/>
  <c r="H441" i="2" s="1"/>
  <c r="I441" i="2" s="1"/>
  <c r="J441" i="2" s="1"/>
  <c r="K441" i="2" s="1"/>
  <c r="L441" i="2" s="1"/>
  <c r="M441" i="2" s="1"/>
  <c r="N441" i="2" s="1"/>
  <c r="O441" i="2" s="1"/>
  <c r="C442" i="2"/>
  <c r="D442" i="2" s="1"/>
  <c r="E442" i="2" s="1"/>
  <c r="F442" i="2" s="1"/>
  <c r="G442" i="2" s="1"/>
  <c r="H442" i="2" s="1"/>
  <c r="I442" i="2" s="1"/>
  <c r="J442" i="2" s="1"/>
  <c r="K442" i="2" s="1"/>
  <c r="L442" i="2" s="1"/>
  <c r="M442" i="2" s="1"/>
  <c r="N442" i="2" s="1"/>
  <c r="O442" i="2" s="1"/>
  <c r="C443" i="2"/>
  <c r="D443" i="2" s="1"/>
  <c r="E443" i="2" s="1"/>
  <c r="F443" i="2" s="1"/>
  <c r="G443" i="2" s="1"/>
  <c r="H443" i="2" s="1"/>
  <c r="I443" i="2" s="1"/>
  <c r="J443" i="2" s="1"/>
  <c r="K443" i="2" s="1"/>
  <c r="L443" i="2" s="1"/>
  <c r="M443" i="2" s="1"/>
  <c r="N443" i="2" s="1"/>
  <c r="O443" i="2" s="1"/>
  <c r="C444" i="2"/>
  <c r="D444" i="2" s="1"/>
  <c r="E444" i="2" s="1"/>
  <c r="F444" i="2" s="1"/>
  <c r="G444" i="2" s="1"/>
  <c r="H444" i="2" s="1"/>
  <c r="I444" i="2" s="1"/>
  <c r="J444" i="2" s="1"/>
  <c r="K444" i="2" s="1"/>
  <c r="L444" i="2" s="1"/>
  <c r="M444" i="2" s="1"/>
  <c r="N444" i="2" s="1"/>
  <c r="O444" i="2" s="1"/>
  <c r="C445" i="2"/>
  <c r="D445" i="2" s="1"/>
  <c r="E445" i="2" s="1"/>
  <c r="F445" i="2" s="1"/>
  <c r="G445" i="2" s="1"/>
  <c r="H445" i="2" s="1"/>
  <c r="I445" i="2" s="1"/>
  <c r="J445" i="2" s="1"/>
  <c r="K445" i="2" s="1"/>
  <c r="L445" i="2" s="1"/>
  <c r="M445" i="2" s="1"/>
  <c r="N445" i="2" s="1"/>
  <c r="O445" i="2" s="1"/>
  <c r="C446" i="2"/>
  <c r="D446" i="2" s="1"/>
  <c r="E446" i="2" s="1"/>
  <c r="F446" i="2" s="1"/>
  <c r="G446" i="2" s="1"/>
  <c r="H446" i="2" s="1"/>
  <c r="I446" i="2" s="1"/>
  <c r="J446" i="2" s="1"/>
  <c r="K446" i="2" s="1"/>
  <c r="L446" i="2" s="1"/>
  <c r="M446" i="2" s="1"/>
  <c r="N446" i="2" s="1"/>
  <c r="O446" i="2" s="1"/>
  <c r="C447" i="2"/>
  <c r="D447" i="2" s="1"/>
  <c r="E447" i="2" s="1"/>
  <c r="F447" i="2" s="1"/>
  <c r="G447" i="2" s="1"/>
  <c r="H447" i="2" s="1"/>
  <c r="I447" i="2" s="1"/>
  <c r="J447" i="2" s="1"/>
  <c r="K447" i="2" s="1"/>
  <c r="L447" i="2" s="1"/>
  <c r="M447" i="2" s="1"/>
  <c r="N447" i="2" s="1"/>
  <c r="O447" i="2" s="1"/>
  <c r="C448" i="2"/>
  <c r="D448" i="2" s="1"/>
  <c r="E448" i="2" s="1"/>
  <c r="F448" i="2" s="1"/>
  <c r="G448" i="2" s="1"/>
  <c r="H448" i="2" s="1"/>
  <c r="I448" i="2" s="1"/>
  <c r="J448" i="2" s="1"/>
  <c r="K448" i="2" s="1"/>
  <c r="L448" i="2" s="1"/>
  <c r="M448" i="2" s="1"/>
  <c r="N448" i="2" s="1"/>
  <c r="O448" i="2" s="1"/>
  <c r="C449" i="2"/>
  <c r="D449" i="2" s="1"/>
  <c r="E449" i="2" s="1"/>
  <c r="F449" i="2" s="1"/>
  <c r="G449" i="2" s="1"/>
  <c r="H449" i="2" s="1"/>
  <c r="I449" i="2" s="1"/>
  <c r="J449" i="2" s="1"/>
  <c r="K449" i="2" s="1"/>
  <c r="L449" i="2" s="1"/>
  <c r="M449" i="2" s="1"/>
  <c r="N449" i="2" s="1"/>
  <c r="O449" i="2" s="1"/>
  <c r="C450" i="2"/>
  <c r="D450" i="2" s="1"/>
  <c r="E450" i="2" s="1"/>
  <c r="F450" i="2" s="1"/>
  <c r="G450" i="2" s="1"/>
  <c r="H450" i="2" s="1"/>
  <c r="I450" i="2" s="1"/>
  <c r="J450" i="2" s="1"/>
  <c r="K450" i="2" s="1"/>
  <c r="L450" i="2" s="1"/>
  <c r="M450" i="2" s="1"/>
  <c r="N450" i="2" s="1"/>
  <c r="O450" i="2" s="1"/>
  <c r="C451" i="2"/>
  <c r="D451" i="2" s="1"/>
  <c r="E451" i="2" s="1"/>
  <c r="F451" i="2" s="1"/>
  <c r="G451" i="2" s="1"/>
  <c r="H451" i="2" s="1"/>
  <c r="I451" i="2" s="1"/>
  <c r="J451" i="2" s="1"/>
  <c r="K451" i="2" s="1"/>
  <c r="L451" i="2" s="1"/>
  <c r="M451" i="2" s="1"/>
  <c r="N451" i="2" s="1"/>
  <c r="O451" i="2" s="1"/>
  <c r="C452" i="2"/>
  <c r="D452" i="2" s="1"/>
  <c r="E452" i="2" s="1"/>
  <c r="F452" i="2" s="1"/>
  <c r="G452" i="2" s="1"/>
  <c r="H452" i="2" s="1"/>
  <c r="I452" i="2" s="1"/>
  <c r="J452" i="2" s="1"/>
  <c r="K452" i="2" s="1"/>
  <c r="L452" i="2" s="1"/>
  <c r="M452" i="2" s="1"/>
  <c r="N452" i="2" s="1"/>
  <c r="O452" i="2" s="1"/>
  <c r="C453" i="2"/>
  <c r="D453" i="2" s="1"/>
  <c r="E453" i="2" s="1"/>
  <c r="F453" i="2" s="1"/>
  <c r="G453" i="2" s="1"/>
  <c r="H453" i="2" s="1"/>
  <c r="I453" i="2" s="1"/>
  <c r="J453" i="2" s="1"/>
  <c r="K453" i="2" s="1"/>
  <c r="L453" i="2" s="1"/>
  <c r="M453" i="2" s="1"/>
  <c r="N453" i="2" s="1"/>
  <c r="O453" i="2" s="1"/>
  <c r="C454" i="2"/>
  <c r="D454" i="2" s="1"/>
  <c r="E454" i="2" s="1"/>
  <c r="F454" i="2" s="1"/>
  <c r="G454" i="2" s="1"/>
  <c r="H454" i="2" s="1"/>
  <c r="I454" i="2" s="1"/>
  <c r="J454" i="2" s="1"/>
  <c r="K454" i="2" s="1"/>
  <c r="L454" i="2" s="1"/>
  <c r="M454" i="2" s="1"/>
  <c r="N454" i="2" s="1"/>
  <c r="O454" i="2" s="1"/>
  <c r="C455" i="2"/>
  <c r="D455" i="2" s="1"/>
  <c r="E455" i="2" s="1"/>
  <c r="F455" i="2" s="1"/>
  <c r="G455" i="2" s="1"/>
  <c r="H455" i="2" s="1"/>
  <c r="I455" i="2" s="1"/>
  <c r="J455" i="2" s="1"/>
  <c r="K455" i="2" s="1"/>
  <c r="L455" i="2" s="1"/>
  <c r="M455" i="2" s="1"/>
  <c r="N455" i="2" s="1"/>
  <c r="O455" i="2" s="1"/>
  <c r="C456" i="2"/>
  <c r="D456" i="2" s="1"/>
  <c r="E456" i="2" s="1"/>
  <c r="F456" i="2" s="1"/>
  <c r="G456" i="2" s="1"/>
  <c r="H456" i="2" s="1"/>
  <c r="I456" i="2" s="1"/>
  <c r="J456" i="2" s="1"/>
  <c r="K456" i="2" s="1"/>
  <c r="L456" i="2" s="1"/>
  <c r="M456" i="2" s="1"/>
  <c r="N456" i="2" s="1"/>
  <c r="O456" i="2" s="1"/>
  <c r="C457" i="2"/>
  <c r="D457" i="2" s="1"/>
  <c r="E457" i="2" s="1"/>
  <c r="F457" i="2" s="1"/>
  <c r="G457" i="2" s="1"/>
  <c r="H457" i="2" s="1"/>
  <c r="I457" i="2" s="1"/>
  <c r="J457" i="2" s="1"/>
  <c r="K457" i="2" s="1"/>
  <c r="L457" i="2" s="1"/>
  <c r="M457" i="2" s="1"/>
  <c r="N457" i="2" s="1"/>
  <c r="O457" i="2" s="1"/>
  <c r="C458" i="2"/>
  <c r="D458" i="2" s="1"/>
  <c r="E458" i="2" s="1"/>
  <c r="F458" i="2" s="1"/>
  <c r="G458" i="2" s="1"/>
  <c r="H458" i="2" s="1"/>
  <c r="I458" i="2" s="1"/>
  <c r="J458" i="2" s="1"/>
  <c r="K458" i="2" s="1"/>
  <c r="L458" i="2" s="1"/>
  <c r="M458" i="2" s="1"/>
  <c r="N458" i="2" s="1"/>
  <c r="O458" i="2" s="1"/>
  <c r="C459" i="2"/>
  <c r="D459" i="2" s="1"/>
  <c r="E459" i="2" s="1"/>
  <c r="F459" i="2" s="1"/>
  <c r="G459" i="2" s="1"/>
  <c r="H459" i="2" s="1"/>
  <c r="I459" i="2" s="1"/>
  <c r="J459" i="2" s="1"/>
  <c r="K459" i="2" s="1"/>
  <c r="L459" i="2" s="1"/>
  <c r="M459" i="2" s="1"/>
  <c r="N459" i="2" s="1"/>
  <c r="O459" i="2" s="1"/>
  <c r="C460" i="2"/>
  <c r="D460" i="2" s="1"/>
  <c r="E460" i="2" s="1"/>
  <c r="F460" i="2" s="1"/>
  <c r="G460" i="2" s="1"/>
  <c r="H460" i="2" s="1"/>
  <c r="I460" i="2" s="1"/>
  <c r="J460" i="2" s="1"/>
  <c r="K460" i="2" s="1"/>
  <c r="L460" i="2" s="1"/>
  <c r="M460" i="2" s="1"/>
  <c r="N460" i="2" s="1"/>
  <c r="O460" i="2" s="1"/>
  <c r="C461" i="2"/>
  <c r="D461" i="2" s="1"/>
  <c r="E461" i="2" s="1"/>
  <c r="F461" i="2" s="1"/>
  <c r="G461" i="2" s="1"/>
  <c r="H461" i="2" s="1"/>
  <c r="I461" i="2" s="1"/>
  <c r="J461" i="2" s="1"/>
  <c r="K461" i="2" s="1"/>
  <c r="L461" i="2" s="1"/>
  <c r="M461" i="2" s="1"/>
  <c r="N461" i="2" s="1"/>
  <c r="O461" i="2" s="1"/>
  <c r="C462" i="2"/>
  <c r="D462" i="2" s="1"/>
  <c r="E462" i="2" s="1"/>
  <c r="F462" i="2" s="1"/>
  <c r="G462" i="2" s="1"/>
  <c r="H462" i="2" s="1"/>
  <c r="I462" i="2" s="1"/>
  <c r="J462" i="2" s="1"/>
  <c r="K462" i="2" s="1"/>
  <c r="L462" i="2" s="1"/>
  <c r="M462" i="2" s="1"/>
  <c r="N462" i="2" s="1"/>
  <c r="O462" i="2" s="1"/>
  <c r="C463" i="2"/>
  <c r="D463" i="2" s="1"/>
  <c r="E463" i="2" s="1"/>
  <c r="F463" i="2" s="1"/>
  <c r="G463" i="2" s="1"/>
  <c r="H463" i="2" s="1"/>
  <c r="I463" i="2" s="1"/>
  <c r="J463" i="2" s="1"/>
  <c r="K463" i="2" s="1"/>
  <c r="L463" i="2" s="1"/>
  <c r="M463" i="2" s="1"/>
  <c r="N463" i="2" s="1"/>
  <c r="O463" i="2" s="1"/>
  <c r="C464" i="2"/>
  <c r="D464" i="2" s="1"/>
  <c r="E464" i="2" s="1"/>
  <c r="F464" i="2" s="1"/>
  <c r="G464" i="2" s="1"/>
  <c r="H464" i="2" s="1"/>
  <c r="I464" i="2" s="1"/>
  <c r="J464" i="2" s="1"/>
  <c r="K464" i="2" s="1"/>
  <c r="L464" i="2" s="1"/>
  <c r="M464" i="2" s="1"/>
  <c r="N464" i="2" s="1"/>
  <c r="O464" i="2" s="1"/>
  <c r="C465" i="2"/>
  <c r="D465" i="2" s="1"/>
  <c r="E465" i="2" s="1"/>
  <c r="F465" i="2" s="1"/>
  <c r="G465" i="2" s="1"/>
  <c r="H465" i="2" s="1"/>
  <c r="I465" i="2" s="1"/>
  <c r="J465" i="2" s="1"/>
  <c r="K465" i="2" s="1"/>
  <c r="L465" i="2" s="1"/>
  <c r="M465" i="2" s="1"/>
  <c r="N465" i="2" s="1"/>
  <c r="O465" i="2" s="1"/>
  <c r="C466" i="2"/>
  <c r="D466" i="2" s="1"/>
  <c r="E466" i="2" s="1"/>
  <c r="F466" i="2" s="1"/>
  <c r="G466" i="2" s="1"/>
  <c r="H466" i="2" s="1"/>
  <c r="I466" i="2" s="1"/>
  <c r="J466" i="2" s="1"/>
  <c r="K466" i="2" s="1"/>
  <c r="L466" i="2" s="1"/>
  <c r="M466" i="2" s="1"/>
  <c r="N466" i="2" s="1"/>
  <c r="O466" i="2" s="1"/>
  <c r="C467" i="2"/>
  <c r="D467" i="2" s="1"/>
  <c r="E467" i="2" s="1"/>
  <c r="F467" i="2" s="1"/>
  <c r="G467" i="2" s="1"/>
  <c r="H467" i="2" s="1"/>
  <c r="I467" i="2" s="1"/>
  <c r="J467" i="2" s="1"/>
  <c r="K467" i="2" s="1"/>
  <c r="L467" i="2" s="1"/>
  <c r="M467" i="2" s="1"/>
  <c r="N467" i="2" s="1"/>
  <c r="O467" i="2" s="1"/>
  <c r="C468" i="2"/>
  <c r="D468" i="2" s="1"/>
  <c r="E468" i="2" s="1"/>
  <c r="F468" i="2" s="1"/>
  <c r="G468" i="2" s="1"/>
  <c r="H468" i="2" s="1"/>
  <c r="I468" i="2" s="1"/>
  <c r="J468" i="2" s="1"/>
  <c r="K468" i="2" s="1"/>
  <c r="L468" i="2" s="1"/>
  <c r="M468" i="2" s="1"/>
  <c r="N468" i="2" s="1"/>
  <c r="O468" i="2" s="1"/>
  <c r="C469" i="2"/>
  <c r="D469" i="2" s="1"/>
  <c r="E469" i="2" s="1"/>
  <c r="F469" i="2" s="1"/>
  <c r="G469" i="2" s="1"/>
  <c r="H469" i="2" s="1"/>
  <c r="I469" i="2" s="1"/>
  <c r="J469" i="2" s="1"/>
  <c r="K469" i="2" s="1"/>
  <c r="L469" i="2" s="1"/>
  <c r="M469" i="2" s="1"/>
  <c r="N469" i="2" s="1"/>
  <c r="O469" i="2" s="1"/>
  <c r="C470" i="2"/>
  <c r="D470" i="2" s="1"/>
  <c r="E470" i="2" s="1"/>
  <c r="F470" i="2" s="1"/>
  <c r="G470" i="2" s="1"/>
  <c r="H470" i="2" s="1"/>
  <c r="I470" i="2" s="1"/>
  <c r="J470" i="2" s="1"/>
  <c r="K470" i="2" s="1"/>
  <c r="L470" i="2" s="1"/>
  <c r="M470" i="2" s="1"/>
  <c r="N470" i="2" s="1"/>
  <c r="O470" i="2" s="1"/>
  <c r="C471" i="2"/>
  <c r="D471" i="2" s="1"/>
  <c r="E471" i="2" s="1"/>
  <c r="F471" i="2" s="1"/>
  <c r="G471" i="2" s="1"/>
  <c r="H471" i="2" s="1"/>
  <c r="I471" i="2" s="1"/>
  <c r="J471" i="2" s="1"/>
  <c r="K471" i="2" s="1"/>
  <c r="L471" i="2" s="1"/>
  <c r="M471" i="2" s="1"/>
  <c r="N471" i="2" s="1"/>
  <c r="O471" i="2" s="1"/>
  <c r="C472" i="2"/>
  <c r="D472" i="2" s="1"/>
  <c r="E472" i="2" s="1"/>
  <c r="F472" i="2" s="1"/>
  <c r="G472" i="2" s="1"/>
  <c r="H472" i="2" s="1"/>
  <c r="I472" i="2" s="1"/>
  <c r="J472" i="2" s="1"/>
  <c r="K472" i="2" s="1"/>
  <c r="L472" i="2" s="1"/>
  <c r="M472" i="2" s="1"/>
  <c r="N472" i="2" s="1"/>
  <c r="O472" i="2" s="1"/>
  <c r="C473" i="2"/>
  <c r="D473" i="2" s="1"/>
  <c r="E473" i="2" s="1"/>
  <c r="F473" i="2" s="1"/>
  <c r="G473" i="2" s="1"/>
  <c r="H473" i="2" s="1"/>
  <c r="I473" i="2" s="1"/>
  <c r="J473" i="2" s="1"/>
  <c r="K473" i="2" s="1"/>
  <c r="L473" i="2" s="1"/>
  <c r="M473" i="2" s="1"/>
  <c r="N473" i="2" s="1"/>
  <c r="O473" i="2" s="1"/>
  <c r="C474" i="2"/>
  <c r="D474" i="2" s="1"/>
  <c r="E474" i="2" s="1"/>
  <c r="F474" i="2" s="1"/>
  <c r="G474" i="2" s="1"/>
  <c r="H474" i="2" s="1"/>
  <c r="I474" i="2" s="1"/>
  <c r="J474" i="2" s="1"/>
  <c r="K474" i="2" s="1"/>
  <c r="L474" i="2" s="1"/>
  <c r="M474" i="2" s="1"/>
  <c r="N474" i="2" s="1"/>
  <c r="O474" i="2" s="1"/>
  <c r="C475" i="2"/>
  <c r="D475" i="2" s="1"/>
  <c r="E475" i="2" s="1"/>
  <c r="F475" i="2" s="1"/>
  <c r="G475" i="2" s="1"/>
  <c r="H475" i="2" s="1"/>
  <c r="I475" i="2" s="1"/>
  <c r="J475" i="2" s="1"/>
  <c r="K475" i="2" s="1"/>
  <c r="L475" i="2" s="1"/>
  <c r="M475" i="2" s="1"/>
  <c r="N475" i="2" s="1"/>
  <c r="O475" i="2" s="1"/>
  <c r="C476" i="2"/>
  <c r="D476" i="2" s="1"/>
  <c r="E476" i="2" s="1"/>
  <c r="F476" i="2" s="1"/>
  <c r="G476" i="2" s="1"/>
  <c r="H476" i="2" s="1"/>
  <c r="I476" i="2" s="1"/>
  <c r="J476" i="2" s="1"/>
  <c r="K476" i="2" s="1"/>
  <c r="L476" i="2" s="1"/>
  <c r="M476" i="2" s="1"/>
  <c r="N476" i="2" s="1"/>
  <c r="O476" i="2" s="1"/>
  <c r="C477" i="2"/>
  <c r="D477" i="2" s="1"/>
  <c r="E477" i="2" s="1"/>
  <c r="F477" i="2" s="1"/>
  <c r="G477" i="2" s="1"/>
  <c r="H477" i="2" s="1"/>
  <c r="I477" i="2" s="1"/>
  <c r="J477" i="2" s="1"/>
  <c r="K477" i="2" s="1"/>
  <c r="L477" i="2" s="1"/>
  <c r="M477" i="2" s="1"/>
  <c r="N477" i="2" s="1"/>
  <c r="O477" i="2" s="1"/>
  <c r="C478" i="2"/>
  <c r="D478" i="2" s="1"/>
  <c r="E478" i="2" s="1"/>
  <c r="F478" i="2" s="1"/>
  <c r="G478" i="2" s="1"/>
  <c r="H478" i="2" s="1"/>
  <c r="I478" i="2" s="1"/>
  <c r="J478" i="2" s="1"/>
  <c r="K478" i="2" s="1"/>
  <c r="L478" i="2" s="1"/>
  <c r="M478" i="2" s="1"/>
  <c r="N478" i="2" s="1"/>
  <c r="O478" i="2" s="1"/>
  <c r="C479" i="2"/>
  <c r="D479" i="2" s="1"/>
  <c r="E479" i="2" s="1"/>
  <c r="F479" i="2" s="1"/>
  <c r="G479" i="2" s="1"/>
  <c r="H479" i="2" s="1"/>
  <c r="I479" i="2" s="1"/>
  <c r="J479" i="2" s="1"/>
  <c r="K479" i="2" s="1"/>
  <c r="L479" i="2" s="1"/>
  <c r="M479" i="2" s="1"/>
  <c r="N479" i="2" s="1"/>
  <c r="O479" i="2" s="1"/>
  <c r="C480" i="2"/>
  <c r="D480" i="2" s="1"/>
  <c r="E480" i="2" s="1"/>
  <c r="F480" i="2" s="1"/>
  <c r="G480" i="2" s="1"/>
  <c r="H480" i="2" s="1"/>
  <c r="I480" i="2" s="1"/>
  <c r="J480" i="2" s="1"/>
  <c r="K480" i="2" s="1"/>
  <c r="L480" i="2" s="1"/>
  <c r="M480" i="2" s="1"/>
  <c r="N480" i="2" s="1"/>
  <c r="O480" i="2" s="1"/>
  <c r="C481" i="2"/>
  <c r="D481" i="2" s="1"/>
  <c r="E481" i="2" s="1"/>
  <c r="F481" i="2" s="1"/>
  <c r="G481" i="2" s="1"/>
  <c r="H481" i="2" s="1"/>
  <c r="I481" i="2" s="1"/>
  <c r="J481" i="2" s="1"/>
  <c r="K481" i="2" s="1"/>
  <c r="L481" i="2" s="1"/>
  <c r="M481" i="2" s="1"/>
  <c r="N481" i="2" s="1"/>
  <c r="O481" i="2" s="1"/>
  <c r="C482" i="2"/>
  <c r="D482" i="2" s="1"/>
  <c r="E482" i="2" s="1"/>
  <c r="F482" i="2" s="1"/>
  <c r="G482" i="2" s="1"/>
  <c r="H482" i="2" s="1"/>
  <c r="I482" i="2" s="1"/>
  <c r="J482" i="2" s="1"/>
  <c r="K482" i="2" s="1"/>
  <c r="L482" i="2" s="1"/>
  <c r="M482" i="2" s="1"/>
  <c r="N482" i="2" s="1"/>
  <c r="O482" i="2" s="1"/>
  <c r="C483" i="2"/>
  <c r="D483" i="2" s="1"/>
  <c r="E483" i="2" s="1"/>
  <c r="F483" i="2" s="1"/>
  <c r="G483" i="2" s="1"/>
  <c r="H483" i="2" s="1"/>
  <c r="I483" i="2" s="1"/>
  <c r="J483" i="2" s="1"/>
  <c r="K483" i="2" s="1"/>
  <c r="L483" i="2" s="1"/>
  <c r="M483" i="2" s="1"/>
  <c r="N483" i="2" s="1"/>
  <c r="O483" i="2" s="1"/>
  <c r="C484" i="2"/>
  <c r="D484" i="2" s="1"/>
  <c r="E484" i="2" s="1"/>
  <c r="F484" i="2" s="1"/>
  <c r="G484" i="2" s="1"/>
  <c r="H484" i="2" s="1"/>
  <c r="I484" i="2" s="1"/>
  <c r="J484" i="2" s="1"/>
  <c r="K484" i="2" s="1"/>
  <c r="L484" i="2" s="1"/>
  <c r="M484" i="2" s="1"/>
  <c r="N484" i="2" s="1"/>
  <c r="O484" i="2" s="1"/>
  <c r="C485" i="2"/>
  <c r="D485" i="2" s="1"/>
  <c r="E485" i="2" s="1"/>
  <c r="F485" i="2" s="1"/>
  <c r="G485" i="2" s="1"/>
  <c r="H485" i="2" s="1"/>
  <c r="I485" i="2" s="1"/>
  <c r="J485" i="2" s="1"/>
  <c r="K485" i="2" s="1"/>
  <c r="L485" i="2" s="1"/>
  <c r="M485" i="2" s="1"/>
  <c r="N485" i="2" s="1"/>
  <c r="O485" i="2" s="1"/>
  <c r="C486" i="2"/>
  <c r="D486" i="2" s="1"/>
  <c r="E486" i="2" s="1"/>
  <c r="F486" i="2" s="1"/>
  <c r="G486" i="2" s="1"/>
  <c r="H486" i="2" s="1"/>
  <c r="I486" i="2" s="1"/>
  <c r="J486" i="2" s="1"/>
  <c r="K486" i="2" s="1"/>
  <c r="L486" i="2" s="1"/>
  <c r="M486" i="2" s="1"/>
  <c r="N486" i="2" s="1"/>
  <c r="O486" i="2" s="1"/>
  <c r="C487" i="2"/>
  <c r="D487" i="2" s="1"/>
  <c r="E487" i="2" s="1"/>
  <c r="F487" i="2" s="1"/>
  <c r="G487" i="2" s="1"/>
  <c r="H487" i="2" s="1"/>
  <c r="I487" i="2" s="1"/>
  <c r="J487" i="2" s="1"/>
  <c r="K487" i="2" s="1"/>
  <c r="L487" i="2" s="1"/>
  <c r="M487" i="2" s="1"/>
  <c r="N487" i="2" s="1"/>
  <c r="O487" i="2" s="1"/>
  <c r="C488" i="2"/>
  <c r="D488" i="2" s="1"/>
  <c r="E488" i="2" s="1"/>
  <c r="F488" i="2" s="1"/>
  <c r="G488" i="2" s="1"/>
  <c r="H488" i="2" s="1"/>
  <c r="I488" i="2" s="1"/>
  <c r="J488" i="2" s="1"/>
  <c r="K488" i="2" s="1"/>
  <c r="L488" i="2" s="1"/>
  <c r="M488" i="2" s="1"/>
  <c r="N488" i="2" s="1"/>
  <c r="O488" i="2" s="1"/>
  <c r="C489" i="2"/>
  <c r="D489" i="2" s="1"/>
  <c r="E489" i="2" s="1"/>
  <c r="F489" i="2" s="1"/>
  <c r="G489" i="2" s="1"/>
  <c r="H489" i="2" s="1"/>
  <c r="I489" i="2" s="1"/>
  <c r="J489" i="2" s="1"/>
  <c r="K489" i="2" s="1"/>
  <c r="L489" i="2" s="1"/>
  <c r="M489" i="2" s="1"/>
  <c r="N489" i="2" s="1"/>
  <c r="O489" i="2" s="1"/>
  <c r="C490" i="2"/>
  <c r="D490" i="2" s="1"/>
  <c r="E490" i="2" s="1"/>
  <c r="F490" i="2" s="1"/>
  <c r="G490" i="2" s="1"/>
  <c r="H490" i="2" s="1"/>
  <c r="I490" i="2" s="1"/>
  <c r="J490" i="2" s="1"/>
  <c r="K490" i="2" s="1"/>
  <c r="L490" i="2" s="1"/>
  <c r="M490" i="2" s="1"/>
  <c r="N490" i="2" s="1"/>
  <c r="O490" i="2" s="1"/>
  <c r="C491" i="2"/>
  <c r="D491" i="2" s="1"/>
  <c r="E491" i="2" s="1"/>
  <c r="F491" i="2" s="1"/>
  <c r="G491" i="2" s="1"/>
  <c r="H491" i="2" s="1"/>
  <c r="I491" i="2" s="1"/>
  <c r="J491" i="2" s="1"/>
  <c r="K491" i="2" s="1"/>
  <c r="L491" i="2" s="1"/>
  <c r="M491" i="2" s="1"/>
  <c r="N491" i="2" s="1"/>
  <c r="O491" i="2" s="1"/>
  <c r="C492" i="2"/>
  <c r="D492" i="2" s="1"/>
  <c r="E492" i="2" s="1"/>
  <c r="F492" i="2" s="1"/>
  <c r="G492" i="2" s="1"/>
  <c r="H492" i="2" s="1"/>
  <c r="I492" i="2" s="1"/>
  <c r="J492" i="2" s="1"/>
  <c r="K492" i="2" s="1"/>
  <c r="L492" i="2" s="1"/>
  <c r="M492" i="2" s="1"/>
  <c r="N492" i="2" s="1"/>
  <c r="O492" i="2" s="1"/>
  <c r="C493" i="2"/>
  <c r="D493" i="2" s="1"/>
  <c r="E493" i="2" s="1"/>
  <c r="F493" i="2" s="1"/>
  <c r="G493" i="2" s="1"/>
  <c r="H493" i="2" s="1"/>
  <c r="I493" i="2" s="1"/>
  <c r="J493" i="2" s="1"/>
  <c r="K493" i="2" s="1"/>
  <c r="L493" i="2" s="1"/>
  <c r="M493" i="2" s="1"/>
  <c r="N493" i="2" s="1"/>
  <c r="O493" i="2" s="1"/>
  <c r="C494" i="2"/>
  <c r="D494" i="2" s="1"/>
  <c r="E494" i="2" s="1"/>
  <c r="F494" i="2" s="1"/>
  <c r="G494" i="2" s="1"/>
  <c r="H494" i="2" s="1"/>
  <c r="I494" i="2" s="1"/>
  <c r="J494" i="2" s="1"/>
  <c r="K494" i="2" s="1"/>
  <c r="L494" i="2" s="1"/>
  <c r="M494" i="2" s="1"/>
  <c r="N494" i="2" s="1"/>
  <c r="O494" i="2" s="1"/>
  <c r="C495" i="2"/>
  <c r="D495" i="2" s="1"/>
  <c r="E495" i="2" s="1"/>
  <c r="F495" i="2" s="1"/>
  <c r="G495" i="2" s="1"/>
  <c r="H495" i="2" s="1"/>
  <c r="I495" i="2" s="1"/>
  <c r="J495" i="2" s="1"/>
  <c r="K495" i="2" s="1"/>
  <c r="L495" i="2" s="1"/>
  <c r="M495" i="2" s="1"/>
  <c r="N495" i="2" s="1"/>
  <c r="O495" i="2" s="1"/>
  <c r="C496" i="2"/>
  <c r="D496" i="2" s="1"/>
  <c r="E496" i="2" s="1"/>
  <c r="F496" i="2" s="1"/>
  <c r="G496" i="2" s="1"/>
  <c r="H496" i="2" s="1"/>
  <c r="I496" i="2" s="1"/>
  <c r="J496" i="2" s="1"/>
  <c r="K496" i="2" s="1"/>
  <c r="L496" i="2" s="1"/>
  <c r="M496" i="2" s="1"/>
  <c r="N496" i="2" s="1"/>
  <c r="O496" i="2" s="1"/>
  <c r="C497" i="2"/>
  <c r="D497" i="2" s="1"/>
  <c r="E497" i="2" s="1"/>
  <c r="F497" i="2" s="1"/>
  <c r="G497" i="2" s="1"/>
  <c r="H497" i="2" s="1"/>
  <c r="I497" i="2" s="1"/>
  <c r="J497" i="2" s="1"/>
  <c r="K497" i="2" s="1"/>
  <c r="L497" i="2" s="1"/>
  <c r="M497" i="2" s="1"/>
  <c r="N497" i="2" s="1"/>
  <c r="O497" i="2" s="1"/>
  <c r="C498" i="2"/>
  <c r="D498" i="2" s="1"/>
  <c r="E498" i="2" s="1"/>
  <c r="F498" i="2" s="1"/>
  <c r="G498" i="2" s="1"/>
  <c r="H498" i="2" s="1"/>
  <c r="I498" i="2" s="1"/>
  <c r="J498" i="2" s="1"/>
  <c r="K498" i="2" s="1"/>
  <c r="L498" i="2" s="1"/>
  <c r="M498" i="2" s="1"/>
  <c r="N498" i="2" s="1"/>
  <c r="O498" i="2" s="1"/>
  <c r="C499" i="2"/>
  <c r="D499" i="2" s="1"/>
  <c r="E499" i="2" s="1"/>
  <c r="F499" i="2" s="1"/>
  <c r="G499" i="2" s="1"/>
  <c r="H499" i="2" s="1"/>
  <c r="I499" i="2" s="1"/>
  <c r="J499" i="2" s="1"/>
  <c r="K499" i="2" s="1"/>
  <c r="L499" i="2" s="1"/>
  <c r="M499" i="2" s="1"/>
  <c r="N499" i="2" s="1"/>
  <c r="O499" i="2" s="1"/>
  <c r="C500" i="2"/>
  <c r="D500" i="2" s="1"/>
  <c r="E500" i="2" s="1"/>
  <c r="F500" i="2" s="1"/>
  <c r="G500" i="2" s="1"/>
  <c r="H500" i="2" s="1"/>
  <c r="I500" i="2" s="1"/>
  <c r="J500" i="2" s="1"/>
  <c r="K500" i="2" s="1"/>
  <c r="L500" i="2" s="1"/>
  <c r="M500" i="2" s="1"/>
  <c r="N500" i="2" s="1"/>
  <c r="O500" i="2" s="1"/>
  <c r="C501" i="2"/>
  <c r="D501" i="2" s="1"/>
  <c r="E501" i="2" s="1"/>
  <c r="F501" i="2" s="1"/>
  <c r="G501" i="2" s="1"/>
  <c r="H501" i="2" s="1"/>
  <c r="I501" i="2" s="1"/>
  <c r="J501" i="2" s="1"/>
  <c r="K501" i="2" s="1"/>
  <c r="L501" i="2" s="1"/>
  <c r="M501" i="2" s="1"/>
  <c r="N501" i="2" s="1"/>
  <c r="O501" i="2" s="1"/>
  <c r="C502" i="2"/>
  <c r="D502" i="2" s="1"/>
  <c r="E502" i="2" s="1"/>
  <c r="F502" i="2" s="1"/>
  <c r="G502" i="2" s="1"/>
  <c r="H502" i="2" s="1"/>
  <c r="I502" i="2" s="1"/>
  <c r="J502" i="2" s="1"/>
  <c r="K502" i="2" s="1"/>
  <c r="L502" i="2" s="1"/>
  <c r="M502" i="2" s="1"/>
  <c r="N502" i="2" s="1"/>
  <c r="O502" i="2" s="1"/>
  <c r="C503" i="2"/>
  <c r="D503" i="2" s="1"/>
  <c r="E503" i="2" s="1"/>
  <c r="F503" i="2" s="1"/>
  <c r="G503" i="2" s="1"/>
  <c r="H503" i="2" s="1"/>
  <c r="I503" i="2" s="1"/>
  <c r="J503" i="2" s="1"/>
  <c r="K503" i="2" s="1"/>
  <c r="L503" i="2" s="1"/>
  <c r="M503" i="2" s="1"/>
  <c r="N503" i="2" s="1"/>
  <c r="O503" i="2" s="1"/>
  <c r="C504" i="2"/>
  <c r="D504" i="2" s="1"/>
  <c r="E504" i="2" s="1"/>
  <c r="F504" i="2" s="1"/>
  <c r="G504" i="2" s="1"/>
  <c r="H504" i="2" s="1"/>
  <c r="I504" i="2" s="1"/>
  <c r="J504" i="2" s="1"/>
  <c r="K504" i="2" s="1"/>
  <c r="L504" i="2" s="1"/>
  <c r="M504" i="2" s="1"/>
  <c r="N504" i="2" s="1"/>
  <c r="O504" i="2" s="1"/>
  <c r="C505" i="2"/>
  <c r="D505" i="2" s="1"/>
  <c r="E505" i="2" s="1"/>
  <c r="F505" i="2" s="1"/>
  <c r="G505" i="2" s="1"/>
  <c r="H505" i="2" s="1"/>
  <c r="I505" i="2" s="1"/>
  <c r="J505" i="2" s="1"/>
  <c r="K505" i="2" s="1"/>
  <c r="L505" i="2" s="1"/>
  <c r="M505" i="2" s="1"/>
  <c r="N505" i="2" s="1"/>
  <c r="O505" i="2" s="1"/>
  <c r="C506" i="2"/>
  <c r="D506" i="2" s="1"/>
  <c r="E506" i="2" s="1"/>
  <c r="F506" i="2" s="1"/>
  <c r="G506" i="2" s="1"/>
  <c r="H506" i="2" s="1"/>
  <c r="I506" i="2" s="1"/>
  <c r="J506" i="2" s="1"/>
  <c r="K506" i="2" s="1"/>
  <c r="L506" i="2" s="1"/>
  <c r="M506" i="2" s="1"/>
  <c r="N506" i="2" s="1"/>
  <c r="O506" i="2" s="1"/>
  <c r="C507" i="2"/>
  <c r="D507" i="2" s="1"/>
  <c r="E507" i="2" s="1"/>
  <c r="F507" i="2" s="1"/>
  <c r="G507" i="2" s="1"/>
  <c r="H507" i="2" s="1"/>
  <c r="I507" i="2" s="1"/>
  <c r="J507" i="2" s="1"/>
  <c r="K507" i="2" s="1"/>
  <c r="L507" i="2" s="1"/>
  <c r="M507" i="2" s="1"/>
  <c r="N507" i="2" s="1"/>
  <c r="O507" i="2" s="1"/>
  <c r="C508" i="2"/>
  <c r="D508" i="2" s="1"/>
  <c r="E508" i="2" s="1"/>
  <c r="F508" i="2" s="1"/>
  <c r="G508" i="2" s="1"/>
  <c r="H508" i="2" s="1"/>
  <c r="I508" i="2" s="1"/>
  <c r="J508" i="2" s="1"/>
  <c r="K508" i="2" s="1"/>
  <c r="L508" i="2" s="1"/>
  <c r="M508" i="2" s="1"/>
  <c r="N508" i="2" s="1"/>
  <c r="O508" i="2" s="1"/>
  <c r="C509" i="2"/>
  <c r="D509" i="2" s="1"/>
  <c r="E509" i="2" s="1"/>
  <c r="F509" i="2" s="1"/>
  <c r="G509" i="2" s="1"/>
  <c r="H509" i="2" s="1"/>
  <c r="I509" i="2" s="1"/>
  <c r="J509" i="2" s="1"/>
  <c r="K509" i="2" s="1"/>
  <c r="L509" i="2" s="1"/>
  <c r="M509" i="2" s="1"/>
  <c r="N509" i="2" s="1"/>
  <c r="O509" i="2" s="1"/>
  <c r="C510" i="2"/>
  <c r="D510" i="2" s="1"/>
  <c r="E510" i="2" s="1"/>
  <c r="F510" i="2" s="1"/>
  <c r="G510" i="2" s="1"/>
  <c r="H510" i="2" s="1"/>
  <c r="I510" i="2" s="1"/>
  <c r="J510" i="2" s="1"/>
  <c r="K510" i="2" s="1"/>
  <c r="L510" i="2" s="1"/>
  <c r="M510" i="2" s="1"/>
  <c r="N510" i="2" s="1"/>
  <c r="O510" i="2" s="1"/>
  <c r="C511" i="2"/>
  <c r="D511" i="2" s="1"/>
  <c r="E511" i="2" s="1"/>
  <c r="F511" i="2" s="1"/>
  <c r="G511" i="2" s="1"/>
  <c r="H511" i="2" s="1"/>
  <c r="I511" i="2" s="1"/>
  <c r="J511" i="2" s="1"/>
  <c r="K511" i="2" s="1"/>
  <c r="L511" i="2" s="1"/>
  <c r="M511" i="2" s="1"/>
  <c r="N511" i="2" s="1"/>
  <c r="O511" i="2" s="1"/>
  <c r="C512" i="2"/>
  <c r="D512" i="2" s="1"/>
  <c r="E512" i="2" s="1"/>
  <c r="F512" i="2" s="1"/>
  <c r="G512" i="2" s="1"/>
  <c r="H512" i="2" s="1"/>
  <c r="I512" i="2" s="1"/>
  <c r="J512" i="2" s="1"/>
  <c r="K512" i="2" s="1"/>
  <c r="L512" i="2" s="1"/>
  <c r="M512" i="2" s="1"/>
  <c r="N512" i="2" s="1"/>
  <c r="O512" i="2" s="1"/>
  <c r="C513" i="2"/>
  <c r="D513" i="2" s="1"/>
  <c r="E513" i="2" s="1"/>
  <c r="F513" i="2" s="1"/>
  <c r="G513" i="2" s="1"/>
  <c r="H513" i="2" s="1"/>
  <c r="I513" i="2" s="1"/>
  <c r="J513" i="2" s="1"/>
  <c r="K513" i="2" s="1"/>
  <c r="L513" i="2" s="1"/>
  <c r="M513" i="2" s="1"/>
  <c r="N513" i="2" s="1"/>
  <c r="O513" i="2" s="1"/>
  <c r="C514" i="2"/>
  <c r="D514" i="2" s="1"/>
  <c r="E514" i="2" s="1"/>
  <c r="F514" i="2" s="1"/>
  <c r="G514" i="2" s="1"/>
  <c r="H514" i="2" s="1"/>
  <c r="I514" i="2" s="1"/>
  <c r="J514" i="2" s="1"/>
  <c r="K514" i="2" s="1"/>
  <c r="L514" i="2" s="1"/>
  <c r="M514" i="2" s="1"/>
  <c r="N514" i="2" s="1"/>
  <c r="O514" i="2" s="1"/>
  <c r="C515" i="2"/>
  <c r="D515" i="2" s="1"/>
  <c r="E515" i="2" s="1"/>
  <c r="F515" i="2" s="1"/>
  <c r="G515" i="2" s="1"/>
  <c r="H515" i="2" s="1"/>
  <c r="I515" i="2" s="1"/>
  <c r="J515" i="2" s="1"/>
  <c r="K515" i="2" s="1"/>
  <c r="L515" i="2" s="1"/>
  <c r="M515" i="2" s="1"/>
  <c r="N515" i="2" s="1"/>
  <c r="O515" i="2" s="1"/>
  <c r="C516" i="2"/>
  <c r="D516" i="2" s="1"/>
  <c r="E516" i="2" s="1"/>
  <c r="F516" i="2" s="1"/>
  <c r="G516" i="2" s="1"/>
  <c r="H516" i="2" s="1"/>
  <c r="I516" i="2" s="1"/>
  <c r="J516" i="2" s="1"/>
  <c r="K516" i="2" s="1"/>
  <c r="L516" i="2" s="1"/>
  <c r="M516" i="2" s="1"/>
  <c r="N516" i="2" s="1"/>
  <c r="O516" i="2" s="1"/>
  <c r="C517" i="2"/>
  <c r="D517" i="2" s="1"/>
  <c r="E517" i="2" s="1"/>
  <c r="F517" i="2" s="1"/>
  <c r="G517" i="2" s="1"/>
  <c r="H517" i="2" s="1"/>
  <c r="I517" i="2" s="1"/>
  <c r="J517" i="2" s="1"/>
  <c r="K517" i="2" s="1"/>
  <c r="L517" i="2" s="1"/>
  <c r="M517" i="2" s="1"/>
  <c r="N517" i="2" s="1"/>
  <c r="O517" i="2" s="1"/>
  <c r="C518" i="2"/>
  <c r="D518" i="2" s="1"/>
  <c r="E518" i="2" s="1"/>
  <c r="F518" i="2" s="1"/>
  <c r="G518" i="2" s="1"/>
  <c r="H518" i="2" s="1"/>
  <c r="I518" i="2" s="1"/>
  <c r="J518" i="2" s="1"/>
  <c r="K518" i="2" s="1"/>
  <c r="L518" i="2" s="1"/>
  <c r="M518" i="2" s="1"/>
  <c r="N518" i="2" s="1"/>
  <c r="O518" i="2" s="1"/>
  <c r="C519" i="2"/>
  <c r="D519" i="2" s="1"/>
  <c r="E519" i="2" s="1"/>
  <c r="F519" i="2" s="1"/>
  <c r="G519" i="2" s="1"/>
  <c r="H519" i="2" s="1"/>
  <c r="I519" i="2" s="1"/>
  <c r="J519" i="2" s="1"/>
  <c r="K519" i="2" s="1"/>
  <c r="L519" i="2" s="1"/>
  <c r="M519" i="2" s="1"/>
  <c r="N519" i="2" s="1"/>
  <c r="O519" i="2" s="1"/>
  <c r="C520" i="2"/>
  <c r="D520" i="2" s="1"/>
  <c r="E520" i="2" s="1"/>
  <c r="F520" i="2" s="1"/>
  <c r="G520" i="2" s="1"/>
  <c r="H520" i="2" s="1"/>
  <c r="I520" i="2" s="1"/>
  <c r="J520" i="2" s="1"/>
  <c r="K520" i="2" s="1"/>
  <c r="L520" i="2" s="1"/>
  <c r="M520" i="2" s="1"/>
  <c r="N520" i="2" s="1"/>
  <c r="O520" i="2" s="1"/>
  <c r="C521" i="2"/>
  <c r="D521" i="2" s="1"/>
  <c r="E521" i="2" s="1"/>
  <c r="F521" i="2" s="1"/>
  <c r="G521" i="2" s="1"/>
  <c r="H521" i="2" s="1"/>
  <c r="I521" i="2" s="1"/>
  <c r="J521" i="2" s="1"/>
  <c r="K521" i="2" s="1"/>
  <c r="L521" i="2" s="1"/>
  <c r="M521" i="2" s="1"/>
  <c r="N521" i="2" s="1"/>
  <c r="O521" i="2" s="1"/>
  <c r="C22" i="2"/>
  <c r="D22" i="2" s="1"/>
  <c r="E22" i="2" s="1"/>
  <c r="F22" i="2" s="1"/>
  <c r="G22" i="2" s="1"/>
  <c r="H22" i="2" s="1"/>
  <c r="I22" i="2" s="1"/>
  <c r="J22" i="2" s="1"/>
  <c r="K22" i="2" s="1"/>
  <c r="L22" i="2" s="1"/>
  <c r="M22" i="2" s="1"/>
  <c r="N22" i="2" s="1"/>
  <c r="O22" i="2" s="1"/>
  <c r="D21" i="2"/>
  <c r="E21" i="2" s="1"/>
  <c r="F21" i="2" s="1"/>
  <c r="G21" i="2" s="1"/>
  <c r="H21" i="2" s="1"/>
  <c r="I21" i="2" s="1"/>
  <c r="J21" i="2" s="1"/>
  <c r="K21" i="2" s="1"/>
  <c r="L21" i="2" s="1"/>
  <c r="M21" i="2" s="1"/>
  <c r="N21" i="2" s="1"/>
  <c r="O21" i="2" s="1"/>
  <c r="T58" i="2" l="1"/>
  <c r="T59" i="2"/>
  <c r="T61" i="2"/>
  <c r="T63" i="2"/>
  <c r="T67" i="2"/>
  <c r="T71" i="2"/>
  <c r="T75" i="2"/>
  <c r="T79" i="2"/>
  <c r="T83" i="2"/>
  <c r="T87" i="2"/>
  <c r="T62" i="2"/>
  <c r="T66" i="2"/>
  <c r="T70" i="2"/>
  <c r="T74" i="2"/>
  <c r="T78" i="2"/>
  <c r="T82" i="2"/>
  <c r="T86" i="2"/>
  <c r="T65" i="2"/>
  <c r="T69" i="2"/>
  <c r="T73" i="2"/>
  <c r="T77" i="2"/>
  <c r="T81" i="2"/>
  <c r="T85" i="2"/>
  <c r="T64" i="2"/>
  <c r="T68" i="2"/>
  <c r="T72" i="2"/>
  <c r="T76" i="2"/>
  <c r="T80" i="2"/>
  <c r="T84" i="2"/>
  <c r="T60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R58" i="2"/>
  <c r="R59" i="2"/>
  <c r="R60" i="2"/>
  <c r="R61" i="2"/>
  <c r="R63" i="2"/>
  <c r="R67" i="2"/>
  <c r="R71" i="2"/>
  <c r="R75" i="2"/>
  <c r="R79" i="2"/>
  <c r="R83" i="2"/>
  <c r="R87" i="2"/>
  <c r="R62" i="2"/>
  <c r="R66" i="2"/>
  <c r="R70" i="2"/>
  <c r="R74" i="2"/>
  <c r="R78" i="2"/>
  <c r="R82" i="2"/>
  <c r="R86" i="2"/>
  <c r="R65" i="2"/>
  <c r="R69" i="2"/>
  <c r="R73" i="2"/>
  <c r="R77" i="2"/>
  <c r="R81" i="2"/>
  <c r="R85" i="2"/>
  <c r="R68" i="2"/>
  <c r="R84" i="2"/>
  <c r="R76" i="2"/>
  <c r="R64" i="2"/>
  <c r="R72" i="2"/>
  <c r="R80" i="2"/>
  <c r="R23" i="2"/>
  <c r="R29" i="2"/>
  <c r="R26" i="2"/>
  <c r="R32" i="2"/>
  <c r="R27" i="2"/>
  <c r="R33" i="2"/>
  <c r="R37" i="2"/>
  <c r="R25" i="2"/>
  <c r="R34" i="2"/>
  <c r="R43" i="2"/>
  <c r="R28" i="2"/>
  <c r="R36" i="2"/>
  <c r="R39" i="2"/>
  <c r="R40" i="2"/>
  <c r="R31" i="2"/>
  <c r="R38" i="2"/>
  <c r="R46" i="2"/>
  <c r="R51" i="2"/>
  <c r="R41" i="2"/>
  <c r="R47" i="2"/>
  <c r="R48" i="2"/>
  <c r="R30" i="2"/>
  <c r="R50" i="2"/>
  <c r="R35" i="2"/>
  <c r="R42" i="2"/>
  <c r="R52" i="2"/>
  <c r="R49" i="2"/>
  <c r="R54" i="2"/>
  <c r="R56" i="2"/>
  <c r="R45" i="2"/>
  <c r="R57" i="2"/>
  <c r="R55" i="2"/>
  <c r="R24" i="2"/>
  <c r="R44" i="2"/>
  <c r="R53" i="2"/>
  <c r="R22" i="2"/>
  <c r="T28" i="2"/>
  <c r="T34" i="2"/>
  <c r="T25" i="2"/>
  <c r="T31" i="2"/>
  <c r="T26" i="2"/>
  <c r="T32" i="2"/>
  <c r="T23" i="2"/>
  <c r="T24" i="2"/>
  <c r="T36" i="2"/>
  <c r="T38" i="2"/>
  <c r="T30" i="2"/>
  <c r="T42" i="2"/>
  <c r="T48" i="2"/>
  <c r="T29" i="2"/>
  <c r="T27" i="2"/>
  <c r="T39" i="2"/>
  <c r="T41" i="2"/>
  <c r="T44" i="2"/>
  <c r="T50" i="2"/>
  <c r="T37" i="2"/>
  <c r="T43" i="2"/>
  <c r="T35" i="2"/>
  <c r="T40" i="2"/>
  <c r="T56" i="2"/>
  <c r="T33" i="2"/>
  <c r="T52" i="2"/>
  <c r="T53" i="2"/>
  <c r="T47" i="2"/>
  <c r="T57" i="2"/>
  <c r="T54" i="2"/>
  <c r="T49" i="2"/>
  <c r="T45" i="2"/>
  <c r="T55" i="2"/>
  <c r="T46" i="2"/>
  <c r="T51" i="2"/>
  <c r="T22" i="2"/>
  <c r="S23" i="2"/>
  <c r="S25" i="2"/>
  <c r="S31" i="2"/>
  <c r="S26" i="2"/>
  <c r="S32" i="2"/>
  <c r="S27" i="2"/>
  <c r="S33" i="2"/>
  <c r="S28" i="2"/>
  <c r="S34" i="2"/>
  <c r="S40" i="2"/>
  <c r="S24" i="2"/>
  <c r="S36" i="2"/>
  <c r="S38" i="2"/>
  <c r="S35" i="2"/>
  <c r="S45" i="2"/>
  <c r="S46" i="2"/>
  <c r="S37" i="2"/>
  <c r="S41" i="2"/>
  <c r="S42" i="2"/>
  <c r="S39" i="2"/>
  <c r="S47" i="2"/>
  <c r="S48" i="2"/>
  <c r="S29" i="2"/>
  <c r="S30" i="2"/>
  <c r="S54" i="2"/>
  <c r="S49" i="2"/>
  <c r="S44" i="2"/>
  <c r="S50" i="2"/>
  <c r="S51" i="2"/>
  <c r="S43" i="2"/>
  <c r="S55" i="2"/>
  <c r="S52" i="2"/>
  <c r="S56" i="2"/>
  <c r="S57" i="2"/>
  <c r="S53" i="2"/>
  <c r="S22" i="2"/>
  <c r="U18" i="2"/>
  <c r="U58" i="2" l="1"/>
  <c r="U59" i="2"/>
  <c r="U64" i="2"/>
  <c r="U68" i="2"/>
  <c r="U72" i="2"/>
  <c r="U76" i="2"/>
  <c r="U80" i="2"/>
  <c r="U84" i="2"/>
  <c r="U61" i="2"/>
  <c r="U63" i="2"/>
  <c r="U67" i="2"/>
  <c r="U71" i="2"/>
  <c r="U75" i="2"/>
  <c r="U79" i="2"/>
  <c r="U83" i="2"/>
  <c r="U87" i="2"/>
  <c r="U62" i="2"/>
  <c r="U66" i="2"/>
  <c r="U70" i="2"/>
  <c r="U74" i="2"/>
  <c r="U78" i="2"/>
  <c r="U82" i="2"/>
  <c r="U65" i="2"/>
  <c r="U69" i="2"/>
  <c r="U73" i="2"/>
  <c r="U77" i="2"/>
  <c r="U86" i="2"/>
  <c r="U60" i="2"/>
  <c r="U81" i="2"/>
  <c r="U85" i="2"/>
  <c r="U23" i="2"/>
  <c r="U24" i="2"/>
  <c r="U30" i="2"/>
  <c r="U25" i="2"/>
  <c r="U31" i="2"/>
  <c r="U26" i="2"/>
  <c r="U32" i="2"/>
  <c r="U27" i="2"/>
  <c r="U33" i="2"/>
  <c r="U38" i="2"/>
  <c r="U39" i="2"/>
  <c r="U29" i="2"/>
  <c r="U35" i="2"/>
  <c r="U44" i="2"/>
  <c r="U45" i="2"/>
  <c r="U37" i="2"/>
  <c r="U40" i="2"/>
  <c r="U41" i="2"/>
  <c r="U34" i="2"/>
  <c r="U28" i="2"/>
  <c r="U42" i="2"/>
  <c r="U53" i="2"/>
  <c r="U49" i="2"/>
  <c r="U43" i="2"/>
  <c r="U47" i="2"/>
  <c r="U46" i="2"/>
  <c r="U48" i="2"/>
  <c r="U51" i="2"/>
  <c r="U57" i="2"/>
  <c r="U50" i="2"/>
  <c r="U54" i="2"/>
  <c r="U56" i="2"/>
  <c r="U55" i="2"/>
  <c r="U52" i="2"/>
  <c r="U36" i="2"/>
  <c r="U22" i="2"/>
  <c r="V18" i="2"/>
  <c r="V58" i="2" l="1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27" i="2"/>
  <c r="V33" i="2"/>
  <c r="V24" i="2"/>
  <c r="V30" i="2"/>
  <c r="V25" i="2"/>
  <c r="V31" i="2"/>
  <c r="V29" i="2"/>
  <c r="V35" i="2"/>
  <c r="V41" i="2"/>
  <c r="V37" i="2"/>
  <c r="V26" i="2"/>
  <c r="V28" i="2"/>
  <c r="V23" i="2"/>
  <c r="V39" i="2"/>
  <c r="V40" i="2"/>
  <c r="V47" i="2"/>
  <c r="V36" i="2"/>
  <c r="V49" i="2"/>
  <c r="V43" i="2"/>
  <c r="V56" i="2"/>
  <c r="V51" i="2"/>
  <c r="V44" i="2"/>
  <c r="V50" i="2"/>
  <c r="V32" i="2"/>
  <c r="V42" i="2"/>
  <c r="V54" i="2"/>
  <c r="V34" i="2"/>
  <c r="V52" i="2"/>
  <c r="V57" i="2"/>
  <c r="V48" i="2"/>
  <c r="V38" i="2"/>
  <c r="V45" i="2"/>
  <c r="V53" i="2"/>
  <c r="V46" i="2"/>
  <c r="V55" i="2"/>
  <c r="V22" i="2"/>
  <c r="W18" i="2"/>
  <c r="W58" i="2" l="1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5" i="2"/>
  <c r="W87" i="2"/>
  <c r="W86" i="2"/>
  <c r="W23" i="2"/>
  <c r="W29" i="2"/>
  <c r="W24" i="2"/>
  <c r="W30" i="2"/>
  <c r="W25" i="2"/>
  <c r="W31" i="2"/>
  <c r="W26" i="2"/>
  <c r="W32" i="2"/>
  <c r="W28" i="2"/>
  <c r="W37" i="2"/>
  <c r="W38" i="2"/>
  <c r="W27" i="2"/>
  <c r="W34" i="2"/>
  <c r="W41" i="2"/>
  <c r="W33" i="2"/>
  <c r="W43" i="2"/>
  <c r="W35" i="2"/>
  <c r="W44" i="2"/>
  <c r="W45" i="2"/>
  <c r="W36" i="2"/>
  <c r="W40" i="2"/>
  <c r="W52" i="2"/>
  <c r="W42" i="2"/>
  <c r="W50" i="2"/>
  <c r="W53" i="2"/>
  <c r="W46" i="2"/>
  <c r="W47" i="2"/>
  <c r="W48" i="2"/>
  <c r="W57" i="2"/>
  <c r="W39" i="2"/>
  <c r="W49" i="2"/>
  <c r="W56" i="2"/>
  <c r="W51" i="2"/>
  <c r="W55" i="2"/>
  <c r="W54" i="2"/>
  <c r="W22" i="2"/>
  <c r="X18" i="2"/>
  <c r="X58" i="2" l="1"/>
  <c r="X59" i="2"/>
  <c r="X60" i="2"/>
  <c r="X61" i="2"/>
  <c r="X64" i="2"/>
  <c r="X68" i="2"/>
  <c r="X72" i="2"/>
  <c r="X76" i="2"/>
  <c r="X80" i="2"/>
  <c r="X84" i="2"/>
  <c r="X63" i="2"/>
  <c r="X67" i="2"/>
  <c r="X71" i="2"/>
  <c r="X75" i="2"/>
  <c r="X79" i="2"/>
  <c r="X83" i="2"/>
  <c r="X62" i="2"/>
  <c r="X66" i="2"/>
  <c r="X70" i="2"/>
  <c r="X74" i="2"/>
  <c r="X78" i="2"/>
  <c r="X82" i="2"/>
  <c r="X87" i="2"/>
  <c r="X69" i="2"/>
  <c r="X81" i="2"/>
  <c r="X77" i="2"/>
  <c r="X85" i="2"/>
  <c r="X65" i="2"/>
  <c r="X86" i="2"/>
  <c r="X73" i="2"/>
  <c r="X26" i="2"/>
  <c r="X32" i="2"/>
  <c r="X23" i="2"/>
  <c r="X29" i="2"/>
  <c r="X24" i="2"/>
  <c r="X30" i="2"/>
  <c r="X25" i="2"/>
  <c r="X27" i="2"/>
  <c r="X34" i="2"/>
  <c r="X40" i="2"/>
  <c r="X36" i="2"/>
  <c r="X31" i="2"/>
  <c r="X33" i="2"/>
  <c r="X37" i="2"/>
  <c r="X46" i="2"/>
  <c r="X28" i="2"/>
  <c r="X35" i="2"/>
  <c r="X43" i="2"/>
  <c r="X54" i="2"/>
  <c r="X45" i="2"/>
  <c r="X55" i="2"/>
  <c r="X39" i="2"/>
  <c r="X41" i="2"/>
  <c r="X47" i="2"/>
  <c r="X51" i="2"/>
  <c r="X44" i="2"/>
  <c r="X50" i="2"/>
  <c r="X48" i="2"/>
  <c r="X38" i="2"/>
  <c r="X49" i="2"/>
  <c r="X53" i="2"/>
  <c r="X56" i="2"/>
  <c r="X42" i="2"/>
  <c r="X52" i="2"/>
  <c r="X57" i="2"/>
  <c r="X22" i="2"/>
  <c r="Y18" i="2"/>
  <c r="Y58" i="2" l="1"/>
  <c r="Y59" i="2"/>
  <c r="Y60" i="2"/>
  <c r="Y64" i="2"/>
  <c r="Y68" i="2"/>
  <c r="Y72" i="2"/>
  <c r="Y76" i="2"/>
  <c r="Y80" i="2"/>
  <c r="Y84" i="2"/>
  <c r="Y61" i="2"/>
  <c r="Y63" i="2"/>
  <c r="Y67" i="2"/>
  <c r="Y71" i="2"/>
  <c r="Y75" i="2"/>
  <c r="Y79" i="2"/>
  <c r="Y83" i="2"/>
  <c r="Y62" i="2"/>
  <c r="Y66" i="2"/>
  <c r="Y70" i="2"/>
  <c r="Y74" i="2"/>
  <c r="Y78" i="2"/>
  <c r="Y82" i="2"/>
  <c r="Y65" i="2"/>
  <c r="Y69" i="2"/>
  <c r="Y73" i="2"/>
  <c r="Y77" i="2"/>
  <c r="Y81" i="2"/>
  <c r="Y85" i="2"/>
  <c r="Y86" i="2"/>
  <c r="Y87" i="2"/>
  <c r="Y28" i="2"/>
  <c r="Y34" i="2"/>
  <c r="Y23" i="2"/>
  <c r="Y29" i="2"/>
  <c r="Y24" i="2"/>
  <c r="Y30" i="2"/>
  <c r="Y25" i="2"/>
  <c r="Y31" i="2"/>
  <c r="Y26" i="2"/>
  <c r="Y33" i="2"/>
  <c r="Y36" i="2"/>
  <c r="Y37" i="2"/>
  <c r="Y32" i="2"/>
  <c r="Y27" i="2"/>
  <c r="Y42" i="2"/>
  <c r="Y43" i="2"/>
  <c r="Y35" i="2"/>
  <c r="Y44" i="2"/>
  <c r="Y45" i="2"/>
  <c r="Y46" i="2"/>
  <c r="Y47" i="2"/>
  <c r="Y48" i="2"/>
  <c r="Y51" i="2"/>
  <c r="Y52" i="2"/>
  <c r="Y53" i="2"/>
  <c r="Y39" i="2"/>
  <c r="Y40" i="2"/>
  <c r="Y41" i="2"/>
  <c r="Y50" i="2"/>
  <c r="Y56" i="2"/>
  <c r="Y54" i="2"/>
  <c r="Y55" i="2"/>
  <c r="Y49" i="2"/>
  <c r="Y57" i="2"/>
  <c r="Y38" i="2"/>
  <c r="Y22" i="2"/>
  <c r="Z18" i="2"/>
  <c r="Z58" i="2" l="1"/>
  <c r="Z59" i="2"/>
  <c r="Z60" i="2"/>
  <c r="Z61" i="2"/>
  <c r="Z62" i="2"/>
  <c r="Z63" i="2"/>
  <c r="Z64" i="2"/>
  <c r="Z65" i="2"/>
  <c r="Z66" i="2"/>
  <c r="Z67" i="2"/>
  <c r="Z68" i="2"/>
  <c r="Z69" i="2"/>
  <c r="Z70" i="2"/>
  <c r="Z71" i="2"/>
  <c r="Z72" i="2"/>
  <c r="Z73" i="2"/>
  <c r="Z74" i="2"/>
  <c r="Z75" i="2"/>
  <c r="Z76" i="2"/>
  <c r="Z77" i="2"/>
  <c r="Z78" i="2"/>
  <c r="Z79" i="2"/>
  <c r="Z80" i="2"/>
  <c r="Z81" i="2"/>
  <c r="Z82" i="2"/>
  <c r="Z83" i="2"/>
  <c r="Z84" i="2"/>
  <c r="Z85" i="2"/>
  <c r="Z86" i="2"/>
  <c r="Z87" i="2"/>
  <c r="Z25" i="2"/>
  <c r="Z31" i="2"/>
  <c r="Z28" i="2"/>
  <c r="Z34" i="2"/>
  <c r="Z23" i="2"/>
  <c r="Z29" i="2"/>
  <c r="Z30" i="2"/>
  <c r="Z32" i="2"/>
  <c r="Z39" i="2"/>
  <c r="Z35" i="2"/>
  <c r="Z45" i="2"/>
  <c r="Z27" i="2"/>
  <c r="Z24" i="2"/>
  <c r="Z36" i="2"/>
  <c r="Z53" i="2"/>
  <c r="Z38" i="2"/>
  <c r="Z33" i="2"/>
  <c r="Z40" i="2"/>
  <c r="Z42" i="2"/>
  <c r="Z46" i="2"/>
  <c r="Z48" i="2"/>
  <c r="Z49" i="2"/>
  <c r="Z54" i="2"/>
  <c r="Z47" i="2"/>
  <c r="Z51" i="2"/>
  <c r="Z41" i="2"/>
  <c r="Z44" i="2"/>
  <c r="Z55" i="2"/>
  <c r="Z26" i="2"/>
  <c r="Z52" i="2"/>
  <c r="Z56" i="2"/>
  <c r="Z57" i="2"/>
  <c r="Z50" i="2"/>
  <c r="Z37" i="2"/>
  <c r="Z43" i="2"/>
  <c r="Z22" i="2"/>
  <c r="AA18" i="2"/>
  <c r="AA58" i="2" l="1"/>
  <c r="AA59" i="2"/>
  <c r="AA65" i="2"/>
  <c r="AA69" i="2"/>
  <c r="AA73" i="2"/>
  <c r="AA77" i="2"/>
  <c r="AA81" i="2"/>
  <c r="AA85" i="2"/>
  <c r="AA86" i="2"/>
  <c r="AA60" i="2"/>
  <c r="AA64" i="2"/>
  <c r="AA68" i="2"/>
  <c r="AA72" i="2"/>
  <c r="AA76" i="2"/>
  <c r="AA80" i="2"/>
  <c r="AA84" i="2"/>
  <c r="AA61" i="2"/>
  <c r="AA63" i="2"/>
  <c r="AA67" i="2"/>
  <c r="AA71" i="2"/>
  <c r="AA75" i="2"/>
  <c r="AA79" i="2"/>
  <c r="AA83" i="2"/>
  <c r="AA62" i="2"/>
  <c r="AA66" i="2"/>
  <c r="AA70" i="2"/>
  <c r="AA74" i="2"/>
  <c r="AA78" i="2"/>
  <c r="AA87" i="2"/>
  <c r="AA82" i="2"/>
  <c r="AA27" i="2"/>
  <c r="AA33" i="2"/>
  <c r="AA28" i="2"/>
  <c r="AA34" i="2"/>
  <c r="AA23" i="2"/>
  <c r="AA29" i="2"/>
  <c r="AA24" i="2"/>
  <c r="AA30" i="2"/>
  <c r="AA31" i="2"/>
  <c r="AA35" i="2"/>
  <c r="AA36" i="2"/>
  <c r="AA38" i="2"/>
  <c r="AA25" i="2"/>
  <c r="AA42" i="2"/>
  <c r="AA48" i="2"/>
  <c r="AA32" i="2"/>
  <c r="AA43" i="2"/>
  <c r="AA44" i="2"/>
  <c r="AA45" i="2"/>
  <c r="AA49" i="2"/>
  <c r="AA46" i="2"/>
  <c r="AA47" i="2"/>
  <c r="AA50" i="2"/>
  <c r="AA51" i="2"/>
  <c r="AA37" i="2"/>
  <c r="AA39" i="2"/>
  <c r="AA40" i="2"/>
  <c r="AA53" i="2"/>
  <c r="AA26" i="2"/>
  <c r="AA54" i="2"/>
  <c r="AA55" i="2"/>
  <c r="AA52" i="2"/>
  <c r="AA41" i="2"/>
  <c r="AA57" i="2"/>
  <c r="AA56" i="2"/>
  <c r="AA22" i="2"/>
  <c r="AB18" i="2"/>
  <c r="AB58" i="2" l="1"/>
  <c r="AB59" i="2"/>
  <c r="AB60" i="2"/>
  <c r="AB61" i="2"/>
  <c r="AB62" i="2"/>
  <c r="AB63" i="2"/>
  <c r="AB64" i="2"/>
  <c r="AB65" i="2"/>
  <c r="AB66" i="2"/>
  <c r="AB67" i="2"/>
  <c r="AB68" i="2"/>
  <c r="AB69" i="2"/>
  <c r="AB70" i="2"/>
  <c r="AB71" i="2"/>
  <c r="AB72" i="2"/>
  <c r="AB73" i="2"/>
  <c r="AB74" i="2"/>
  <c r="AB75" i="2"/>
  <c r="AB76" i="2"/>
  <c r="AB77" i="2"/>
  <c r="AB78" i="2"/>
  <c r="AB79" i="2"/>
  <c r="AB80" i="2"/>
  <c r="AB81" i="2"/>
  <c r="AB82" i="2"/>
  <c r="AB83" i="2"/>
  <c r="AB84" i="2"/>
  <c r="AB85" i="2"/>
  <c r="AB86" i="2"/>
  <c r="AB87" i="2"/>
  <c r="AB24" i="2"/>
  <c r="AB30" i="2"/>
  <c r="AB27" i="2"/>
  <c r="AB33" i="2"/>
  <c r="AB28" i="2"/>
  <c r="AB34" i="2"/>
  <c r="AB38" i="2"/>
  <c r="AB31" i="2"/>
  <c r="AB36" i="2"/>
  <c r="AB44" i="2"/>
  <c r="AB23" i="2"/>
  <c r="AB26" i="2"/>
  <c r="AB39" i="2"/>
  <c r="AB40" i="2"/>
  <c r="AB41" i="2"/>
  <c r="AB25" i="2"/>
  <c r="AB37" i="2"/>
  <c r="AB42" i="2"/>
  <c r="AB52" i="2"/>
  <c r="AB29" i="2"/>
  <c r="AB32" i="2"/>
  <c r="AB48" i="2"/>
  <c r="AB35" i="2"/>
  <c r="AB47" i="2"/>
  <c r="AB51" i="2"/>
  <c r="AB55" i="2"/>
  <c r="AB46" i="2"/>
  <c r="AB53" i="2"/>
  <c r="AB45" i="2"/>
  <c r="AB50" i="2"/>
  <c r="AB49" i="2"/>
  <c r="AB56" i="2"/>
  <c r="AB57" i="2"/>
  <c r="AB54" i="2"/>
  <c r="AB43" i="2"/>
  <c r="AB22" i="2"/>
  <c r="AC18" i="2"/>
  <c r="AC58" i="2" l="1"/>
  <c r="AC65" i="2"/>
  <c r="AC69" i="2"/>
  <c r="AC73" i="2"/>
  <c r="AC77" i="2"/>
  <c r="AC81" i="2"/>
  <c r="AC85" i="2"/>
  <c r="AC86" i="2"/>
  <c r="AC87" i="2"/>
  <c r="AC60" i="2"/>
  <c r="AC59" i="2"/>
  <c r="AC64" i="2"/>
  <c r="AC68" i="2"/>
  <c r="AC72" i="2"/>
  <c r="AC76" i="2"/>
  <c r="AC80" i="2"/>
  <c r="AC84" i="2"/>
  <c r="AC61" i="2"/>
  <c r="AC63" i="2"/>
  <c r="AC67" i="2"/>
  <c r="AC71" i="2"/>
  <c r="AC75" i="2"/>
  <c r="AC79" i="2"/>
  <c r="AC83" i="2"/>
  <c r="AC74" i="2"/>
  <c r="AC62" i="2"/>
  <c r="AC70" i="2"/>
  <c r="AC78" i="2"/>
  <c r="AC82" i="2"/>
  <c r="AC66" i="2"/>
  <c r="AC26" i="2"/>
  <c r="AC32" i="2"/>
  <c r="AC27" i="2"/>
  <c r="AC33" i="2"/>
  <c r="AC28" i="2"/>
  <c r="AC34" i="2"/>
  <c r="AC23" i="2"/>
  <c r="AC29" i="2"/>
  <c r="AC35" i="2"/>
  <c r="AC41" i="2"/>
  <c r="AC37" i="2"/>
  <c r="AC38" i="2"/>
  <c r="AC47" i="2"/>
  <c r="AC42" i="2"/>
  <c r="AC43" i="2"/>
  <c r="AC39" i="2"/>
  <c r="AC25" i="2"/>
  <c r="AC45" i="2"/>
  <c r="AC49" i="2"/>
  <c r="AC24" i="2"/>
  <c r="AC46" i="2"/>
  <c r="AC50" i="2"/>
  <c r="AC40" i="2"/>
  <c r="AC51" i="2"/>
  <c r="AC36" i="2"/>
  <c r="AC52" i="2"/>
  <c r="AC53" i="2"/>
  <c r="AC44" i="2"/>
  <c r="AC30" i="2"/>
  <c r="AC55" i="2"/>
  <c r="AC56" i="2"/>
  <c r="AC31" i="2"/>
  <c r="AC48" i="2"/>
  <c r="AC57" i="2"/>
  <c r="AC54" i="2"/>
  <c r="AC22" i="2"/>
  <c r="AD18" i="2"/>
  <c r="AD58" i="2" l="1"/>
  <c r="AD59" i="2"/>
  <c r="AD60" i="2"/>
  <c r="AD61" i="2"/>
  <c r="AD65" i="2"/>
  <c r="AD69" i="2"/>
  <c r="AD73" i="2"/>
  <c r="AD77" i="2"/>
  <c r="AD81" i="2"/>
  <c r="AD85" i="2"/>
  <c r="AD86" i="2"/>
  <c r="AD87" i="2"/>
  <c r="AD64" i="2"/>
  <c r="AD68" i="2"/>
  <c r="AD72" i="2"/>
  <c r="AD76" i="2"/>
  <c r="AD80" i="2"/>
  <c r="AD84" i="2"/>
  <c r="AD63" i="2"/>
  <c r="AD67" i="2"/>
  <c r="AD71" i="2"/>
  <c r="AD75" i="2"/>
  <c r="AD79" i="2"/>
  <c r="AD83" i="2"/>
  <c r="AD62" i="2"/>
  <c r="AD66" i="2"/>
  <c r="AD70" i="2"/>
  <c r="AD74" i="2"/>
  <c r="AD78" i="2"/>
  <c r="AD82" i="2"/>
  <c r="AD23" i="2"/>
  <c r="AD29" i="2"/>
  <c r="AD26" i="2"/>
  <c r="AD32" i="2"/>
  <c r="AD27" i="2"/>
  <c r="AD33" i="2"/>
  <c r="AD37" i="2"/>
  <c r="AD25" i="2"/>
  <c r="AD43" i="2"/>
  <c r="AD39" i="2"/>
  <c r="AD40" i="2"/>
  <c r="AD24" i="2"/>
  <c r="AD35" i="2"/>
  <c r="AD51" i="2"/>
  <c r="AD41" i="2"/>
  <c r="AD44" i="2"/>
  <c r="AD30" i="2"/>
  <c r="AD31" i="2"/>
  <c r="AD34" i="2"/>
  <c r="AD36" i="2"/>
  <c r="AD47" i="2"/>
  <c r="AD48" i="2"/>
  <c r="AD52" i="2"/>
  <c r="AD42" i="2"/>
  <c r="AD50" i="2"/>
  <c r="AD28" i="2"/>
  <c r="AD57" i="2"/>
  <c r="AD46" i="2"/>
  <c r="AD56" i="2"/>
  <c r="AD55" i="2"/>
  <c r="AD54" i="2"/>
  <c r="AD53" i="2"/>
  <c r="AD45" i="2"/>
  <c r="AD49" i="2"/>
  <c r="AD38" i="2"/>
  <c r="AD22" i="2"/>
  <c r="AE18" i="2"/>
  <c r="AE58" i="2" l="1"/>
  <c r="AE59" i="2"/>
  <c r="AE60" i="2"/>
  <c r="AE61" i="2"/>
  <c r="AE62" i="2"/>
  <c r="AE63" i="2"/>
  <c r="AE64" i="2"/>
  <c r="AE65" i="2"/>
  <c r="AE66" i="2"/>
  <c r="AE67" i="2"/>
  <c r="AE68" i="2"/>
  <c r="AE69" i="2"/>
  <c r="AE70" i="2"/>
  <c r="AE71" i="2"/>
  <c r="AE72" i="2"/>
  <c r="AE73" i="2"/>
  <c r="AE74" i="2"/>
  <c r="AE75" i="2"/>
  <c r="AE76" i="2"/>
  <c r="AE77" i="2"/>
  <c r="AE78" i="2"/>
  <c r="AE79" i="2"/>
  <c r="AE80" i="2"/>
  <c r="AE81" i="2"/>
  <c r="AE82" i="2"/>
  <c r="AE83" i="2"/>
  <c r="AE84" i="2"/>
  <c r="AE85" i="2"/>
  <c r="AE86" i="2"/>
  <c r="AE87" i="2"/>
  <c r="AE25" i="2"/>
  <c r="AE31" i="2"/>
  <c r="AE26" i="2"/>
  <c r="AE32" i="2"/>
  <c r="AE27" i="2"/>
  <c r="AE33" i="2"/>
  <c r="AE28" i="2"/>
  <c r="AE34" i="2"/>
  <c r="AE24" i="2"/>
  <c r="AE40" i="2"/>
  <c r="AE36" i="2"/>
  <c r="AE35" i="2"/>
  <c r="AE30" i="2"/>
  <c r="AE45" i="2"/>
  <c r="AE29" i="2"/>
  <c r="AE38" i="2"/>
  <c r="AE41" i="2"/>
  <c r="AE46" i="2"/>
  <c r="AE42" i="2"/>
  <c r="AE23" i="2"/>
  <c r="AE49" i="2"/>
  <c r="AE50" i="2"/>
  <c r="AE43" i="2"/>
  <c r="AE37" i="2"/>
  <c r="AE52" i="2"/>
  <c r="AE56" i="2"/>
  <c r="AE51" i="2"/>
  <c r="AE47" i="2"/>
  <c r="AE54" i="2"/>
  <c r="AE53" i="2"/>
  <c r="AE55" i="2"/>
  <c r="AE39" i="2"/>
  <c r="AE48" i="2"/>
  <c r="AE44" i="2"/>
  <c r="AE57" i="2"/>
  <c r="AE22" i="2"/>
  <c r="AF18" i="2"/>
  <c r="AF58" i="2" l="1"/>
  <c r="AF59" i="2"/>
  <c r="AF62" i="2"/>
  <c r="AF66" i="2"/>
  <c r="AF70" i="2"/>
  <c r="AF74" i="2"/>
  <c r="AF78" i="2"/>
  <c r="AF82" i="2"/>
  <c r="AF60" i="2"/>
  <c r="AF65" i="2"/>
  <c r="AF69" i="2"/>
  <c r="AF73" i="2"/>
  <c r="AF77" i="2"/>
  <c r="AF81" i="2"/>
  <c r="AF85" i="2"/>
  <c r="AF86" i="2"/>
  <c r="AF87" i="2"/>
  <c r="AF61" i="2"/>
  <c r="AF64" i="2"/>
  <c r="AF68" i="2"/>
  <c r="AF72" i="2"/>
  <c r="AF76" i="2"/>
  <c r="AF80" i="2"/>
  <c r="AF84" i="2"/>
  <c r="AF63" i="2"/>
  <c r="AF67" i="2"/>
  <c r="AF71" i="2"/>
  <c r="AF75" i="2"/>
  <c r="AF79" i="2"/>
  <c r="AF83" i="2"/>
  <c r="AF28" i="2"/>
  <c r="AF34" i="2"/>
  <c r="AF25" i="2"/>
  <c r="AF31" i="2"/>
  <c r="AF26" i="2"/>
  <c r="AF32" i="2"/>
  <c r="AF36" i="2"/>
  <c r="AF23" i="2"/>
  <c r="AF30" i="2"/>
  <c r="AF38" i="2"/>
  <c r="AF24" i="2"/>
  <c r="AF42" i="2"/>
  <c r="AF48" i="2"/>
  <c r="AF37" i="2"/>
  <c r="AF33" i="2"/>
  <c r="AF39" i="2"/>
  <c r="AF40" i="2"/>
  <c r="AF50" i="2"/>
  <c r="AF29" i="2"/>
  <c r="AF44" i="2"/>
  <c r="AF45" i="2"/>
  <c r="AF27" i="2"/>
  <c r="AF46" i="2"/>
  <c r="AF47" i="2"/>
  <c r="AF49" i="2"/>
  <c r="AF52" i="2"/>
  <c r="AF35" i="2"/>
  <c r="AF41" i="2"/>
  <c r="AF51" i="2"/>
  <c r="AF53" i="2"/>
  <c r="AF55" i="2"/>
  <c r="AF57" i="2"/>
  <c r="AF54" i="2"/>
  <c r="AF56" i="2"/>
  <c r="AF43" i="2"/>
  <c r="AF22" i="2"/>
  <c r="AG18" i="2"/>
  <c r="AG58" i="2" l="1"/>
  <c r="AG62" i="2"/>
  <c r="AG66" i="2"/>
  <c r="AG70" i="2"/>
  <c r="AG74" i="2"/>
  <c r="AG78" i="2"/>
  <c r="AG82" i="2"/>
  <c r="AG59" i="2"/>
  <c r="AG60" i="2"/>
  <c r="AG65" i="2"/>
  <c r="AG69" i="2"/>
  <c r="AG73" i="2"/>
  <c r="AG77" i="2"/>
  <c r="AG81" i="2"/>
  <c r="AG85" i="2"/>
  <c r="AG86" i="2"/>
  <c r="AG87" i="2"/>
  <c r="AG61" i="2"/>
  <c r="AG64" i="2"/>
  <c r="AG68" i="2"/>
  <c r="AG72" i="2"/>
  <c r="AG76" i="2"/>
  <c r="AG80" i="2"/>
  <c r="AG84" i="2"/>
  <c r="AG67" i="2"/>
  <c r="AG75" i="2"/>
  <c r="AG63" i="2"/>
  <c r="AG71" i="2"/>
  <c r="AG83" i="2"/>
  <c r="AG79" i="2"/>
  <c r="AG24" i="2"/>
  <c r="AG30" i="2"/>
  <c r="AG25" i="2"/>
  <c r="AG31" i="2"/>
  <c r="AG26" i="2"/>
  <c r="AG32" i="2"/>
  <c r="AG27" i="2"/>
  <c r="AG33" i="2"/>
  <c r="AG29" i="2"/>
  <c r="AG23" i="2"/>
  <c r="AG38" i="2"/>
  <c r="AG39" i="2"/>
  <c r="AG35" i="2"/>
  <c r="AG44" i="2"/>
  <c r="AG45" i="2"/>
  <c r="AG40" i="2"/>
  <c r="AG41" i="2"/>
  <c r="AG28" i="2"/>
  <c r="AG46" i="2"/>
  <c r="AG47" i="2"/>
  <c r="AG43" i="2"/>
  <c r="AG53" i="2"/>
  <c r="AG48" i="2"/>
  <c r="AG49" i="2"/>
  <c r="AG50" i="2"/>
  <c r="AG37" i="2"/>
  <c r="AG36" i="2"/>
  <c r="AG54" i="2"/>
  <c r="AG57" i="2"/>
  <c r="AG56" i="2"/>
  <c r="AG42" i="2"/>
  <c r="AG55" i="2"/>
  <c r="AG52" i="2"/>
  <c r="AG51" i="2"/>
  <c r="AG34" i="2"/>
  <c r="AG22" i="2"/>
  <c r="AH18" i="2"/>
  <c r="AH58" i="2" l="1"/>
  <c r="AH59" i="2"/>
  <c r="AH60" i="2"/>
  <c r="AH61" i="2"/>
  <c r="AH62" i="2"/>
  <c r="AH63" i="2"/>
  <c r="AH64" i="2"/>
  <c r="AH65" i="2"/>
  <c r="AH66" i="2"/>
  <c r="AH67" i="2"/>
  <c r="AH68" i="2"/>
  <c r="AH69" i="2"/>
  <c r="AH70" i="2"/>
  <c r="AH71" i="2"/>
  <c r="AH72" i="2"/>
  <c r="AH73" i="2"/>
  <c r="AH74" i="2"/>
  <c r="AH75" i="2"/>
  <c r="AH76" i="2"/>
  <c r="AH77" i="2"/>
  <c r="AH78" i="2"/>
  <c r="AH79" i="2"/>
  <c r="AH80" i="2"/>
  <c r="AH81" i="2"/>
  <c r="AH82" i="2"/>
  <c r="AH83" i="2"/>
  <c r="AH84" i="2"/>
  <c r="AH85" i="2"/>
  <c r="AH86" i="2"/>
  <c r="AH87" i="2"/>
  <c r="AH27" i="2"/>
  <c r="AH33" i="2"/>
  <c r="AH24" i="2"/>
  <c r="AH30" i="2"/>
  <c r="AH25" i="2"/>
  <c r="AH31" i="2"/>
  <c r="AH35" i="2"/>
  <c r="AH41" i="2"/>
  <c r="AH26" i="2"/>
  <c r="AH28" i="2"/>
  <c r="AH37" i="2"/>
  <c r="AH29" i="2"/>
  <c r="AH47" i="2"/>
  <c r="AH34" i="2"/>
  <c r="AH32" i="2"/>
  <c r="AH48" i="2"/>
  <c r="AH49" i="2"/>
  <c r="AH23" i="2"/>
  <c r="AH38" i="2"/>
  <c r="AH39" i="2"/>
  <c r="AH36" i="2"/>
  <c r="AH56" i="2"/>
  <c r="AH45" i="2"/>
  <c r="AH46" i="2"/>
  <c r="AH43" i="2"/>
  <c r="AH44" i="2"/>
  <c r="AH52" i="2"/>
  <c r="AH51" i="2"/>
  <c r="AH54" i="2"/>
  <c r="AH53" i="2"/>
  <c r="AH57" i="2"/>
  <c r="AH42" i="2"/>
  <c r="AH50" i="2"/>
  <c r="AH40" i="2"/>
  <c r="AH55" i="2"/>
  <c r="AH22" i="2"/>
  <c r="AI18" i="2"/>
  <c r="AI58" i="2" l="1"/>
  <c r="AI59" i="2"/>
  <c r="AI60" i="2"/>
  <c r="AI61" i="2"/>
  <c r="AI62" i="2"/>
  <c r="AI63" i="2"/>
  <c r="AI64" i="2"/>
  <c r="AI65" i="2"/>
  <c r="AI66" i="2"/>
  <c r="AI67" i="2"/>
  <c r="AI68" i="2"/>
  <c r="AI69" i="2"/>
  <c r="AI70" i="2"/>
  <c r="AI71" i="2"/>
  <c r="AI72" i="2"/>
  <c r="AI73" i="2"/>
  <c r="AI74" i="2"/>
  <c r="AI75" i="2"/>
  <c r="AI76" i="2"/>
  <c r="AI77" i="2"/>
  <c r="AI78" i="2"/>
  <c r="AI79" i="2"/>
  <c r="AI80" i="2"/>
  <c r="AI81" i="2"/>
  <c r="AI82" i="2"/>
  <c r="AI83" i="2"/>
  <c r="AI84" i="2"/>
  <c r="AI85" i="2"/>
  <c r="AI86" i="2"/>
  <c r="AI87" i="2"/>
  <c r="AI23" i="2"/>
  <c r="AI29" i="2"/>
  <c r="AI24" i="2"/>
  <c r="AI30" i="2"/>
  <c r="AI25" i="2"/>
  <c r="AI31" i="2"/>
  <c r="AI26" i="2"/>
  <c r="AI32" i="2"/>
  <c r="AI27" i="2"/>
  <c r="AI34" i="2"/>
  <c r="AI28" i="2"/>
  <c r="AI37" i="2"/>
  <c r="AI38" i="2"/>
  <c r="AI36" i="2"/>
  <c r="AI43" i="2"/>
  <c r="AI44" i="2"/>
  <c r="AI45" i="2"/>
  <c r="AI39" i="2"/>
  <c r="AI40" i="2"/>
  <c r="AI41" i="2"/>
  <c r="AI52" i="2"/>
  <c r="AI42" i="2"/>
  <c r="AI51" i="2"/>
  <c r="AI48" i="2"/>
  <c r="AI54" i="2"/>
  <c r="AI57" i="2"/>
  <c r="AI46" i="2"/>
  <c r="AI35" i="2"/>
  <c r="AI50" i="2"/>
  <c r="AI49" i="2"/>
  <c r="AI53" i="2"/>
  <c r="AI33" i="2"/>
  <c r="AI55" i="2"/>
  <c r="AI47" i="2"/>
  <c r="AI56" i="2"/>
  <c r="AI22" i="2"/>
  <c r="AJ18" i="2"/>
  <c r="AJ58" i="2" l="1"/>
  <c r="AJ59" i="2"/>
  <c r="AJ60" i="2"/>
  <c r="AJ61" i="2"/>
  <c r="AJ62" i="2"/>
  <c r="AJ66" i="2"/>
  <c r="AJ70" i="2"/>
  <c r="AJ74" i="2"/>
  <c r="AJ78" i="2"/>
  <c r="AJ82" i="2"/>
  <c r="AJ65" i="2"/>
  <c r="AJ69" i="2"/>
  <c r="AJ73" i="2"/>
  <c r="AJ77" i="2"/>
  <c r="AJ81" i="2"/>
  <c r="AJ85" i="2"/>
  <c r="AJ64" i="2"/>
  <c r="AJ68" i="2"/>
  <c r="AJ72" i="2"/>
  <c r="AJ76" i="2"/>
  <c r="AJ80" i="2"/>
  <c r="AJ84" i="2"/>
  <c r="AJ86" i="2"/>
  <c r="AJ87" i="2"/>
  <c r="AJ63" i="2"/>
  <c r="AJ67" i="2"/>
  <c r="AJ71" i="2"/>
  <c r="AJ75" i="2"/>
  <c r="AJ79" i="2"/>
  <c r="AJ83" i="2"/>
  <c r="AJ26" i="2"/>
  <c r="AJ32" i="2"/>
  <c r="AJ23" i="2"/>
  <c r="AJ29" i="2"/>
  <c r="AJ24" i="2"/>
  <c r="AJ30" i="2"/>
  <c r="AJ40" i="2"/>
  <c r="AJ31" i="2"/>
  <c r="AJ33" i="2"/>
  <c r="AJ36" i="2"/>
  <c r="AJ25" i="2"/>
  <c r="AJ27" i="2"/>
  <c r="AJ34" i="2"/>
  <c r="AJ28" i="2"/>
  <c r="AJ39" i="2"/>
  <c r="AJ46" i="2"/>
  <c r="AJ37" i="2"/>
  <c r="AJ38" i="2"/>
  <c r="AJ41" i="2"/>
  <c r="AJ42" i="2"/>
  <c r="AJ43" i="2"/>
  <c r="AJ44" i="2"/>
  <c r="AJ45" i="2"/>
  <c r="AJ55" i="2"/>
  <c r="AJ50" i="2"/>
  <c r="AJ49" i="2"/>
  <c r="AJ35" i="2"/>
  <c r="AJ52" i="2"/>
  <c r="AJ54" i="2"/>
  <c r="AJ48" i="2"/>
  <c r="AJ51" i="2"/>
  <c r="AJ47" i="2"/>
  <c r="AJ57" i="2"/>
  <c r="AJ53" i="2"/>
  <c r="AJ56" i="2"/>
  <c r="AJ22" i="2"/>
  <c r="AK18" i="2"/>
  <c r="AK58" i="2" l="1"/>
  <c r="AK59" i="2"/>
  <c r="AK63" i="2"/>
  <c r="AK67" i="2"/>
  <c r="AK71" i="2"/>
  <c r="AK75" i="2"/>
  <c r="AK79" i="2"/>
  <c r="AK83" i="2"/>
  <c r="AK62" i="2"/>
  <c r="AK66" i="2"/>
  <c r="AK70" i="2"/>
  <c r="AK74" i="2"/>
  <c r="AK78" i="2"/>
  <c r="AK82" i="2"/>
  <c r="AK60" i="2"/>
  <c r="AK65" i="2"/>
  <c r="AK69" i="2"/>
  <c r="AK73" i="2"/>
  <c r="AK77" i="2"/>
  <c r="AK81" i="2"/>
  <c r="AK64" i="2"/>
  <c r="AK68" i="2"/>
  <c r="AK72" i="2"/>
  <c r="AK76" i="2"/>
  <c r="AK85" i="2"/>
  <c r="AK61" i="2"/>
  <c r="AK80" i="2"/>
  <c r="AK84" i="2"/>
  <c r="AK87" i="2"/>
  <c r="AK86" i="2"/>
  <c r="AK28" i="2"/>
  <c r="AK34" i="2"/>
  <c r="AK23" i="2"/>
  <c r="AK29" i="2"/>
  <c r="AK24" i="2"/>
  <c r="AK30" i="2"/>
  <c r="AK25" i="2"/>
  <c r="AK31" i="2"/>
  <c r="AK32" i="2"/>
  <c r="AK26" i="2"/>
  <c r="AK33" i="2"/>
  <c r="AK36" i="2"/>
  <c r="AK37" i="2"/>
  <c r="AK40" i="2"/>
  <c r="AK41" i="2"/>
  <c r="AK42" i="2"/>
  <c r="AK43" i="2"/>
  <c r="AK44" i="2"/>
  <c r="AK45" i="2"/>
  <c r="AK27" i="2"/>
  <c r="AK35" i="2"/>
  <c r="AK51" i="2"/>
  <c r="AK38" i="2"/>
  <c r="AK46" i="2"/>
  <c r="AK48" i="2"/>
  <c r="AK49" i="2"/>
  <c r="AK47" i="2"/>
  <c r="AK57" i="2"/>
  <c r="AK39" i="2"/>
  <c r="AK53" i="2"/>
  <c r="AK55" i="2"/>
  <c r="AK52" i="2"/>
  <c r="AK54" i="2"/>
  <c r="AK50" i="2"/>
  <c r="AK56" i="2"/>
  <c r="AK22" i="2"/>
  <c r="AL18" i="2"/>
  <c r="AL58" i="2" l="1"/>
  <c r="AL59" i="2"/>
  <c r="AL60" i="2"/>
  <c r="AL61" i="2"/>
  <c r="AL62" i="2"/>
  <c r="AL63" i="2"/>
  <c r="AL64" i="2"/>
  <c r="AL65" i="2"/>
  <c r="AL66" i="2"/>
  <c r="AL67" i="2"/>
  <c r="AL68" i="2"/>
  <c r="AL69" i="2"/>
  <c r="AL70" i="2"/>
  <c r="AL71" i="2"/>
  <c r="AL72" i="2"/>
  <c r="AL73" i="2"/>
  <c r="AL74" i="2"/>
  <c r="AL75" i="2"/>
  <c r="AL76" i="2"/>
  <c r="AL77" i="2"/>
  <c r="AL78" i="2"/>
  <c r="AL79" i="2"/>
  <c r="AL80" i="2"/>
  <c r="AL81" i="2"/>
  <c r="AL82" i="2"/>
  <c r="AL83" i="2"/>
  <c r="AL84" i="2"/>
  <c r="AL85" i="2"/>
  <c r="AL87" i="2"/>
  <c r="AL86" i="2"/>
  <c r="AL25" i="2"/>
  <c r="AL31" i="2"/>
  <c r="AL28" i="2"/>
  <c r="AL34" i="2"/>
  <c r="AL23" i="2"/>
  <c r="AL29" i="2"/>
  <c r="AL39" i="2"/>
  <c r="AL35" i="2"/>
  <c r="AL30" i="2"/>
  <c r="AL32" i="2"/>
  <c r="AL27" i="2"/>
  <c r="AL24" i="2"/>
  <c r="AL45" i="2"/>
  <c r="AL26" i="2"/>
  <c r="AL33" i="2"/>
  <c r="AL38" i="2"/>
  <c r="AL53" i="2"/>
  <c r="AL47" i="2"/>
  <c r="AL54" i="2"/>
  <c r="AL50" i="2"/>
  <c r="AL43" i="2"/>
  <c r="AL46" i="2"/>
  <c r="AL48" i="2"/>
  <c r="AL37" i="2"/>
  <c r="AL49" i="2"/>
  <c r="AL44" i="2"/>
  <c r="AL56" i="2"/>
  <c r="AL42" i="2"/>
  <c r="AL41" i="2"/>
  <c r="AL40" i="2"/>
  <c r="AL52" i="2"/>
  <c r="AL36" i="2"/>
  <c r="AL51" i="2"/>
  <c r="AL55" i="2"/>
  <c r="AL57" i="2"/>
  <c r="AL22" i="2"/>
  <c r="AM18" i="2"/>
  <c r="AM58" i="2" l="1"/>
  <c r="AM59" i="2"/>
  <c r="AM63" i="2"/>
  <c r="AM67" i="2"/>
  <c r="AM71" i="2"/>
  <c r="AM75" i="2"/>
  <c r="AM79" i="2"/>
  <c r="AM83" i="2"/>
  <c r="AM62" i="2"/>
  <c r="AM66" i="2"/>
  <c r="AM70" i="2"/>
  <c r="AM74" i="2"/>
  <c r="AM78" i="2"/>
  <c r="AM82" i="2"/>
  <c r="AM60" i="2"/>
  <c r="AM61" i="2"/>
  <c r="AM65" i="2"/>
  <c r="AM69" i="2"/>
  <c r="AM73" i="2"/>
  <c r="AM77" i="2"/>
  <c r="AM81" i="2"/>
  <c r="AM85" i="2"/>
  <c r="AM86" i="2"/>
  <c r="AM87" i="2"/>
  <c r="AM80" i="2"/>
  <c r="AM68" i="2"/>
  <c r="AM84" i="2"/>
  <c r="AM76" i="2"/>
  <c r="AM64" i="2"/>
  <c r="AM72" i="2"/>
  <c r="AM27" i="2"/>
  <c r="AM33" i="2"/>
  <c r="AM28" i="2"/>
  <c r="AM34" i="2"/>
  <c r="AM23" i="2"/>
  <c r="AM29" i="2"/>
  <c r="AM24" i="2"/>
  <c r="AM30" i="2"/>
  <c r="AM31" i="2"/>
  <c r="AM35" i="2"/>
  <c r="AM26" i="2"/>
  <c r="AM36" i="2"/>
  <c r="AM38" i="2"/>
  <c r="AM32" i="2"/>
  <c r="AM42" i="2"/>
  <c r="AM48" i="2"/>
  <c r="AM25" i="2"/>
  <c r="AM37" i="2"/>
  <c r="AM43" i="2"/>
  <c r="AM44" i="2"/>
  <c r="AM45" i="2"/>
  <c r="AM46" i="2"/>
  <c r="AM47" i="2"/>
  <c r="AM50" i="2"/>
  <c r="AM39" i="2"/>
  <c r="AM41" i="2"/>
  <c r="AM51" i="2"/>
  <c r="AM52" i="2"/>
  <c r="AM55" i="2"/>
  <c r="AM56" i="2"/>
  <c r="AM54" i="2"/>
  <c r="AM40" i="2"/>
  <c r="AM49" i="2"/>
  <c r="AM57" i="2"/>
  <c r="AM53" i="2"/>
  <c r="AM22" i="2"/>
  <c r="AN18" i="2"/>
  <c r="AN58" i="2" l="1"/>
  <c r="AN59" i="2"/>
  <c r="AN60" i="2"/>
  <c r="AN61" i="2"/>
  <c r="AN62" i="2"/>
  <c r="AN63" i="2"/>
  <c r="AN64" i="2"/>
  <c r="AN65" i="2"/>
  <c r="AN66" i="2"/>
  <c r="AN67" i="2"/>
  <c r="AN68" i="2"/>
  <c r="AN69" i="2"/>
  <c r="AN70" i="2"/>
  <c r="AN71" i="2"/>
  <c r="AN72" i="2"/>
  <c r="AN73" i="2"/>
  <c r="AN74" i="2"/>
  <c r="AN75" i="2"/>
  <c r="AN76" i="2"/>
  <c r="AN77" i="2"/>
  <c r="AN78" i="2"/>
  <c r="AN79" i="2"/>
  <c r="AN80" i="2"/>
  <c r="AN81" i="2"/>
  <c r="AN82" i="2"/>
  <c r="AN83" i="2"/>
  <c r="AN84" i="2"/>
  <c r="AN85" i="2"/>
  <c r="AN86" i="2"/>
  <c r="AN87" i="2"/>
  <c r="AN24" i="2"/>
  <c r="AN30" i="2"/>
  <c r="AN27" i="2"/>
  <c r="AN33" i="2"/>
  <c r="AN28" i="2"/>
  <c r="AN34" i="2"/>
  <c r="AN38" i="2"/>
  <c r="AN23" i="2"/>
  <c r="AN25" i="2"/>
  <c r="AN32" i="2"/>
  <c r="AN44" i="2"/>
  <c r="AN35" i="2"/>
  <c r="AN26" i="2"/>
  <c r="AN36" i="2"/>
  <c r="AN29" i="2"/>
  <c r="AN52" i="2"/>
  <c r="AN48" i="2"/>
  <c r="AN42" i="2"/>
  <c r="AN43" i="2"/>
  <c r="AN31" i="2"/>
  <c r="AN53" i="2"/>
  <c r="AN51" i="2"/>
  <c r="AN50" i="2"/>
  <c r="AN46" i="2"/>
  <c r="AN40" i="2"/>
  <c r="AN49" i="2"/>
  <c r="AN41" i="2"/>
  <c r="AN54" i="2"/>
  <c r="AN37" i="2"/>
  <c r="AN47" i="2"/>
  <c r="AN57" i="2"/>
  <c r="AN39" i="2"/>
  <c r="AN45" i="2"/>
  <c r="AN55" i="2"/>
  <c r="AN56" i="2"/>
  <c r="AN22" i="2"/>
  <c r="AO18" i="2"/>
  <c r="AO58" i="2" l="1"/>
  <c r="AO86" i="2"/>
  <c r="AO87" i="2"/>
  <c r="AO63" i="2"/>
  <c r="AO67" i="2"/>
  <c r="AO71" i="2"/>
  <c r="AO75" i="2"/>
  <c r="AO79" i="2"/>
  <c r="AO83" i="2"/>
  <c r="AO59" i="2"/>
  <c r="AO62" i="2"/>
  <c r="AO66" i="2"/>
  <c r="AO70" i="2"/>
  <c r="AO74" i="2"/>
  <c r="AO78" i="2"/>
  <c r="AO82" i="2"/>
  <c r="AO60" i="2"/>
  <c r="AO65" i="2"/>
  <c r="AO69" i="2"/>
  <c r="AO73" i="2"/>
  <c r="AO77" i="2"/>
  <c r="AO81" i="2"/>
  <c r="AO64" i="2"/>
  <c r="AO68" i="2"/>
  <c r="AO72" i="2"/>
  <c r="AO76" i="2"/>
  <c r="AO80" i="2"/>
  <c r="AO84" i="2"/>
  <c r="AO61" i="2"/>
  <c r="AO85" i="2"/>
  <c r="AO26" i="2"/>
  <c r="AO32" i="2"/>
  <c r="AO27" i="2"/>
  <c r="AO33" i="2"/>
  <c r="AO28" i="2"/>
  <c r="AO34" i="2"/>
  <c r="AO23" i="2"/>
  <c r="AO29" i="2"/>
  <c r="AO24" i="2"/>
  <c r="AO31" i="2"/>
  <c r="AO35" i="2"/>
  <c r="AO41" i="2"/>
  <c r="AO37" i="2"/>
  <c r="AO38" i="2"/>
  <c r="AO47" i="2"/>
  <c r="AO42" i="2"/>
  <c r="AO43" i="2"/>
  <c r="AO40" i="2"/>
  <c r="AO25" i="2"/>
  <c r="AO46" i="2"/>
  <c r="AO49" i="2"/>
  <c r="AO50" i="2"/>
  <c r="AO36" i="2"/>
  <c r="AO39" i="2"/>
  <c r="AO44" i="2"/>
  <c r="AO51" i="2"/>
  <c r="AO30" i="2"/>
  <c r="AO45" i="2"/>
  <c r="AO48" i="2"/>
  <c r="AO53" i="2"/>
  <c r="AO55" i="2"/>
  <c r="AO52" i="2"/>
  <c r="AO56" i="2"/>
  <c r="AO54" i="2"/>
  <c r="AO57" i="2"/>
  <c r="AO22" i="2"/>
  <c r="AP18" i="2"/>
  <c r="AP58" i="2" l="1"/>
  <c r="AP59" i="2"/>
  <c r="AP60" i="2"/>
  <c r="AP61" i="2"/>
  <c r="AP64" i="2"/>
  <c r="AP68" i="2"/>
  <c r="AP72" i="2"/>
  <c r="AP76" i="2"/>
  <c r="AP80" i="2"/>
  <c r="AP84" i="2"/>
  <c r="AP86" i="2"/>
  <c r="AP87" i="2"/>
  <c r="AP63" i="2"/>
  <c r="AP67" i="2"/>
  <c r="AP71" i="2"/>
  <c r="AP75" i="2"/>
  <c r="AP79" i="2"/>
  <c r="AP83" i="2"/>
  <c r="AP62" i="2"/>
  <c r="AP66" i="2"/>
  <c r="AP70" i="2"/>
  <c r="AP74" i="2"/>
  <c r="AP78" i="2"/>
  <c r="AP82" i="2"/>
  <c r="AP65" i="2"/>
  <c r="AP69" i="2"/>
  <c r="AP73" i="2"/>
  <c r="AP77" i="2"/>
  <c r="AP81" i="2"/>
  <c r="AP85" i="2"/>
  <c r="AP23" i="2"/>
  <c r="AP29" i="2"/>
  <c r="AP26" i="2"/>
  <c r="AP32" i="2"/>
  <c r="AP27" i="2"/>
  <c r="AP33" i="2"/>
  <c r="AP37" i="2"/>
  <c r="AP28" i="2"/>
  <c r="AP30" i="2"/>
  <c r="AP43" i="2"/>
  <c r="AP24" i="2"/>
  <c r="AP39" i="2"/>
  <c r="AP40" i="2"/>
  <c r="AP36" i="2"/>
  <c r="AP25" i="2"/>
  <c r="AP44" i="2"/>
  <c r="AP51" i="2"/>
  <c r="AP47" i="2"/>
  <c r="AP48" i="2"/>
  <c r="AP31" i="2"/>
  <c r="AP34" i="2"/>
  <c r="AP38" i="2"/>
  <c r="AP41" i="2"/>
  <c r="AP45" i="2"/>
  <c r="AP50" i="2"/>
  <c r="AP35" i="2"/>
  <c r="AP55" i="2"/>
  <c r="AP42" i="2"/>
  <c r="AP46" i="2"/>
  <c r="AP56" i="2"/>
  <c r="AP49" i="2"/>
  <c r="AP54" i="2"/>
  <c r="AP53" i="2"/>
  <c r="AP57" i="2"/>
  <c r="AP52" i="2"/>
  <c r="AP22" i="2"/>
  <c r="AQ18" i="2"/>
  <c r="AQ58" i="2" l="1"/>
  <c r="AQ59" i="2"/>
  <c r="AQ60" i="2"/>
  <c r="AQ61" i="2"/>
  <c r="AQ62" i="2"/>
  <c r="AQ63" i="2"/>
  <c r="AQ64" i="2"/>
  <c r="AQ65" i="2"/>
  <c r="AQ66" i="2"/>
  <c r="AQ67" i="2"/>
  <c r="AQ68" i="2"/>
  <c r="AQ69" i="2"/>
  <c r="AQ70" i="2"/>
  <c r="AQ71" i="2"/>
  <c r="AQ72" i="2"/>
  <c r="AQ73" i="2"/>
  <c r="AQ74" i="2"/>
  <c r="AQ75" i="2"/>
  <c r="AQ76" i="2"/>
  <c r="AQ77" i="2"/>
  <c r="AQ78" i="2"/>
  <c r="AQ79" i="2"/>
  <c r="AQ80" i="2"/>
  <c r="AQ81" i="2"/>
  <c r="AQ82" i="2"/>
  <c r="AQ83" i="2"/>
  <c r="AQ84" i="2"/>
  <c r="AQ85" i="2"/>
  <c r="AQ86" i="2"/>
  <c r="AQ87" i="2"/>
  <c r="AQ25" i="2"/>
  <c r="AQ31" i="2"/>
  <c r="AQ26" i="2"/>
  <c r="AQ32" i="2"/>
  <c r="AQ27" i="2"/>
  <c r="AQ33" i="2"/>
  <c r="AQ28" i="2"/>
  <c r="AQ34" i="2"/>
  <c r="AQ29" i="2"/>
  <c r="AQ40" i="2"/>
  <c r="AQ36" i="2"/>
  <c r="AQ41" i="2"/>
  <c r="AQ45" i="2"/>
  <c r="AQ30" i="2"/>
  <c r="AQ35" i="2"/>
  <c r="AQ46" i="2"/>
  <c r="AQ37" i="2"/>
  <c r="AQ42" i="2"/>
  <c r="AQ39" i="2"/>
  <c r="AQ49" i="2"/>
  <c r="AQ50" i="2"/>
  <c r="AQ44" i="2"/>
  <c r="AQ52" i="2"/>
  <c r="AQ53" i="2"/>
  <c r="AQ43" i="2"/>
  <c r="AQ24" i="2"/>
  <c r="AQ51" i="2"/>
  <c r="AQ47" i="2"/>
  <c r="AQ54" i="2"/>
  <c r="AQ23" i="2"/>
  <c r="AQ38" i="2"/>
  <c r="AQ56" i="2"/>
  <c r="AQ48" i="2"/>
  <c r="AQ55" i="2"/>
  <c r="AQ57" i="2"/>
  <c r="AQ22" i="2"/>
  <c r="AR18" i="2"/>
  <c r="AR58" i="2" l="1"/>
  <c r="AR59" i="2"/>
  <c r="AR64" i="2"/>
  <c r="AR68" i="2"/>
  <c r="AR72" i="2"/>
  <c r="AR76" i="2"/>
  <c r="AR80" i="2"/>
  <c r="AR84" i="2"/>
  <c r="AR63" i="2"/>
  <c r="AR67" i="2"/>
  <c r="AR71" i="2"/>
  <c r="AR75" i="2"/>
  <c r="AR79" i="2"/>
  <c r="AR83" i="2"/>
  <c r="AR86" i="2"/>
  <c r="AR87" i="2"/>
  <c r="AR62" i="2"/>
  <c r="AR66" i="2"/>
  <c r="AR70" i="2"/>
  <c r="AR74" i="2"/>
  <c r="AR78" i="2"/>
  <c r="AR82" i="2"/>
  <c r="AR60" i="2"/>
  <c r="AR61" i="2"/>
  <c r="AR85" i="2"/>
  <c r="AR69" i="2"/>
  <c r="AR81" i="2"/>
  <c r="AR77" i="2"/>
  <c r="AR73" i="2"/>
  <c r="AR65" i="2"/>
  <c r="AR28" i="2"/>
  <c r="AR34" i="2"/>
  <c r="AR25" i="2"/>
  <c r="AR31" i="2"/>
  <c r="AR26" i="2"/>
  <c r="AR32" i="2"/>
  <c r="AR36" i="2"/>
  <c r="AR38" i="2"/>
  <c r="AR33" i="2"/>
  <c r="AR37" i="2"/>
  <c r="AR42" i="2"/>
  <c r="AR48" i="2"/>
  <c r="AR23" i="2"/>
  <c r="AR39" i="2"/>
  <c r="AR41" i="2"/>
  <c r="AR50" i="2"/>
  <c r="AR27" i="2"/>
  <c r="AR35" i="2"/>
  <c r="AR30" i="2"/>
  <c r="AR46" i="2"/>
  <c r="AR47" i="2"/>
  <c r="AR24" i="2"/>
  <c r="AR43" i="2"/>
  <c r="AR40" i="2"/>
  <c r="AR51" i="2"/>
  <c r="AR45" i="2"/>
  <c r="AR56" i="2"/>
  <c r="AR49" i="2"/>
  <c r="AR53" i="2"/>
  <c r="AR54" i="2"/>
  <c r="AR55" i="2"/>
  <c r="AR44" i="2"/>
  <c r="AR57" i="2"/>
  <c r="AR29" i="2"/>
  <c r="AR52" i="2"/>
  <c r="AR22" i="2"/>
  <c r="AS18" i="2"/>
  <c r="AS58" i="2" l="1"/>
  <c r="AS61" i="2"/>
  <c r="AS85" i="2"/>
  <c r="AS64" i="2"/>
  <c r="AS68" i="2"/>
  <c r="AS72" i="2"/>
  <c r="AS76" i="2"/>
  <c r="AS80" i="2"/>
  <c r="AS84" i="2"/>
  <c r="AS63" i="2"/>
  <c r="AS67" i="2"/>
  <c r="AS71" i="2"/>
  <c r="AS75" i="2"/>
  <c r="AS79" i="2"/>
  <c r="AS83" i="2"/>
  <c r="AS86" i="2"/>
  <c r="AS87" i="2"/>
  <c r="AS59" i="2"/>
  <c r="AS60" i="2"/>
  <c r="AS62" i="2"/>
  <c r="AS66" i="2"/>
  <c r="AS70" i="2"/>
  <c r="AS74" i="2"/>
  <c r="AS78" i="2"/>
  <c r="AS82" i="2"/>
  <c r="AS65" i="2"/>
  <c r="AS69" i="2"/>
  <c r="AS73" i="2"/>
  <c r="AS77" i="2"/>
  <c r="AS81" i="2"/>
  <c r="AS24" i="2"/>
  <c r="AS30" i="2"/>
  <c r="AS25" i="2"/>
  <c r="AS31" i="2"/>
  <c r="AS26" i="2"/>
  <c r="AS32" i="2"/>
  <c r="AS27" i="2"/>
  <c r="AS33" i="2"/>
  <c r="AS38" i="2"/>
  <c r="AS34" i="2"/>
  <c r="AS39" i="2"/>
  <c r="AS35" i="2"/>
  <c r="AS28" i="2"/>
  <c r="AS44" i="2"/>
  <c r="AS23" i="2"/>
  <c r="AS40" i="2"/>
  <c r="AS41" i="2"/>
  <c r="AS45" i="2"/>
  <c r="AS29" i="2"/>
  <c r="AS36" i="2"/>
  <c r="AS43" i="2"/>
  <c r="AS37" i="2"/>
  <c r="AS53" i="2"/>
  <c r="AS42" i="2"/>
  <c r="AS48" i="2"/>
  <c r="AS49" i="2"/>
  <c r="AS47" i="2"/>
  <c r="AS52" i="2"/>
  <c r="AS51" i="2"/>
  <c r="AS57" i="2"/>
  <c r="AS55" i="2"/>
  <c r="AS50" i="2"/>
  <c r="AS56" i="2"/>
  <c r="AS46" i="2"/>
  <c r="AS54" i="2"/>
  <c r="AS22" i="2"/>
  <c r="AT18" i="2"/>
  <c r="AT58" i="2" l="1"/>
  <c r="AT59" i="2"/>
  <c r="AT60" i="2"/>
  <c r="AT61" i="2"/>
  <c r="AT62" i="2"/>
  <c r="AT63" i="2"/>
  <c r="AT64" i="2"/>
  <c r="AT65" i="2"/>
  <c r="AT66" i="2"/>
  <c r="AT67" i="2"/>
  <c r="AT68" i="2"/>
  <c r="AT69" i="2"/>
  <c r="AT70" i="2"/>
  <c r="AT71" i="2"/>
  <c r="AT72" i="2"/>
  <c r="AT73" i="2"/>
  <c r="AT74" i="2"/>
  <c r="AT75" i="2"/>
  <c r="AT76" i="2"/>
  <c r="AT77" i="2"/>
  <c r="AT78" i="2"/>
  <c r="AT79" i="2"/>
  <c r="AT80" i="2"/>
  <c r="AT81" i="2"/>
  <c r="AT82" i="2"/>
  <c r="AT83" i="2"/>
  <c r="AT84" i="2"/>
  <c r="AT85" i="2"/>
  <c r="AT86" i="2"/>
  <c r="AT87" i="2"/>
  <c r="AT27" i="2"/>
  <c r="AT33" i="2"/>
  <c r="AT24" i="2"/>
  <c r="AT30" i="2"/>
  <c r="AT25" i="2"/>
  <c r="AT31" i="2"/>
  <c r="AT35" i="2"/>
  <c r="AT41" i="2"/>
  <c r="AT37" i="2"/>
  <c r="AT23" i="2"/>
  <c r="AT29" i="2"/>
  <c r="AT47" i="2"/>
  <c r="AT34" i="2"/>
  <c r="AT36" i="2"/>
  <c r="AT49" i="2"/>
  <c r="AT45" i="2"/>
  <c r="AT40" i="2"/>
  <c r="AT28" i="2"/>
  <c r="AT38" i="2"/>
  <c r="AT46" i="2"/>
  <c r="AT56" i="2"/>
  <c r="AT42" i="2"/>
  <c r="AT52" i="2"/>
  <c r="AT32" i="2"/>
  <c r="AT54" i="2"/>
  <c r="AT53" i="2"/>
  <c r="AT43" i="2"/>
  <c r="AT44" i="2"/>
  <c r="AT50" i="2"/>
  <c r="AT39" i="2"/>
  <c r="AT26" i="2"/>
  <c r="AT48" i="2"/>
  <c r="AT55" i="2"/>
  <c r="AT51" i="2"/>
  <c r="AT57" i="2"/>
  <c r="AT22" i="2"/>
  <c r="AU18" i="2"/>
  <c r="AU58" i="2" l="1"/>
  <c r="AU59" i="2"/>
  <c r="AU60" i="2"/>
  <c r="AU61" i="2"/>
  <c r="AU62" i="2"/>
  <c r="AU63" i="2"/>
  <c r="AU64" i="2"/>
  <c r="AU65" i="2"/>
  <c r="AU66" i="2"/>
  <c r="AU67" i="2"/>
  <c r="AU68" i="2"/>
  <c r="AU69" i="2"/>
  <c r="AU70" i="2"/>
  <c r="AU71" i="2"/>
  <c r="AU72" i="2"/>
  <c r="AU73" i="2"/>
  <c r="AU74" i="2"/>
  <c r="AU75" i="2"/>
  <c r="AU76" i="2"/>
  <c r="AU77" i="2"/>
  <c r="AU78" i="2"/>
  <c r="AU79" i="2"/>
  <c r="AU80" i="2"/>
  <c r="AU81" i="2"/>
  <c r="AU82" i="2"/>
  <c r="AU83" i="2"/>
  <c r="AU84" i="2"/>
  <c r="AU85" i="2"/>
  <c r="AU86" i="2"/>
  <c r="AU87" i="2"/>
  <c r="AU23" i="2"/>
  <c r="AU29" i="2"/>
  <c r="AU24" i="2"/>
  <c r="AU30" i="2"/>
  <c r="AU25" i="2"/>
  <c r="AU31" i="2"/>
  <c r="AU26" i="2"/>
  <c r="AU32" i="2"/>
  <c r="AU37" i="2"/>
  <c r="AU38" i="2"/>
  <c r="AU36" i="2"/>
  <c r="AU27" i="2"/>
  <c r="AU43" i="2"/>
  <c r="AU44" i="2"/>
  <c r="AU35" i="2"/>
  <c r="AU39" i="2"/>
  <c r="AU40" i="2"/>
  <c r="AU45" i="2"/>
  <c r="AU46" i="2"/>
  <c r="AU52" i="2"/>
  <c r="AU33" i="2"/>
  <c r="AU42" i="2"/>
  <c r="AU47" i="2"/>
  <c r="AU48" i="2"/>
  <c r="AU41" i="2"/>
  <c r="AU49" i="2"/>
  <c r="AU28" i="2"/>
  <c r="AU50" i="2"/>
  <c r="AU56" i="2"/>
  <c r="AU57" i="2"/>
  <c r="AU55" i="2"/>
  <c r="AU51" i="2"/>
  <c r="AU54" i="2"/>
  <c r="AU53" i="2"/>
  <c r="AU34" i="2"/>
  <c r="AU22" i="2"/>
  <c r="AV18" i="2"/>
  <c r="AV58" i="2" l="1"/>
  <c r="AV59" i="2"/>
  <c r="AV60" i="2"/>
  <c r="AV61" i="2"/>
  <c r="AV65" i="2"/>
  <c r="AV69" i="2"/>
  <c r="AV73" i="2"/>
  <c r="AV77" i="2"/>
  <c r="AV81" i="2"/>
  <c r="AV85" i="2"/>
  <c r="AV64" i="2"/>
  <c r="AV68" i="2"/>
  <c r="AV72" i="2"/>
  <c r="AV76" i="2"/>
  <c r="AV80" i="2"/>
  <c r="AV84" i="2"/>
  <c r="AV63" i="2"/>
  <c r="AV67" i="2"/>
  <c r="AV71" i="2"/>
  <c r="AV75" i="2"/>
  <c r="AV79" i="2"/>
  <c r="AV83" i="2"/>
  <c r="AV62" i="2"/>
  <c r="AV66" i="2"/>
  <c r="AV70" i="2"/>
  <c r="AV74" i="2"/>
  <c r="AV78" i="2"/>
  <c r="AV86" i="2"/>
  <c r="AV87" i="2"/>
  <c r="AV82" i="2"/>
  <c r="AV26" i="2"/>
  <c r="AV32" i="2"/>
  <c r="AV23" i="2"/>
  <c r="AV29" i="2"/>
  <c r="AV24" i="2"/>
  <c r="AV30" i="2"/>
  <c r="AV40" i="2"/>
  <c r="AV36" i="2"/>
  <c r="AV28" i="2"/>
  <c r="AV25" i="2"/>
  <c r="AV46" i="2"/>
  <c r="AV31" i="2"/>
  <c r="AV27" i="2"/>
  <c r="AV34" i="2"/>
  <c r="AV41" i="2"/>
  <c r="AV33" i="2"/>
  <c r="AV38" i="2"/>
  <c r="AV42" i="2"/>
  <c r="AV47" i="2"/>
  <c r="AV48" i="2"/>
  <c r="AV39" i="2"/>
  <c r="AV55" i="2"/>
  <c r="AV44" i="2"/>
  <c r="AV54" i="2"/>
  <c r="AV49" i="2"/>
  <c r="AV53" i="2"/>
  <c r="AV57" i="2"/>
  <c r="AV37" i="2"/>
  <c r="AV51" i="2"/>
  <c r="AV50" i="2"/>
  <c r="AV56" i="2"/>
  <c r="AV43" i="2"/>
  <c r="AV45" i="2"/>
  <c r="AV52" i="2"/>
  <c r="AV35" i="2"/>
  <c r="AV22" i="2"/>
  <c r="AW18" i="2"/>
  <c r="AW58" i="2" l="1"/>
  <c r="AW61" i="2"/>
  <c r="AW65" i="2"/>
  <c r="AW69" i="2"/>
  <c r="AW73" i="2"/>
  <c r="AW77" i="2"/>
  <c r="AW81" i="2"/>
  <c r="AW85" i="2"/>
  <c r="AW64" i="2"/>
  <c r="AW68" i="2"/>
  <c r="AW72" i="2"/>
  <c r="AW76" i="2"/>
  <c r="AW80" i="2"/>
  <c r="AW84" i="2"/>
  <c r="AW59" i="2"/>
  <c r="AW63" i="2"/>
  <c r="AW67" i="2"/>
  <c r="AW71" i="2"/>
  <c r="AW75" i="2"/>
  <c r="AW79" i="2"/>
  <c r="AW83" i="2"/>
  <c r="AW86" i="2"/>
  <c r="AW60" i="2"/>
  <c r="AW74" i="2"/>
  <c r="AW62" i="2"/>
  <c r="AW70" i="2"/>
  <c r="AW87" i="2"/>
  <c r="AW78" i="2"/>
  <c r="AW66" i="2"/>
  <c r="AW82" i="2"/>
  <c r="AW28" i="2"/>
  <c r="AW34" i="2"/>
  <c r="AW23" i="2"/>
  <c r="AW29" i="2"/>
  <c r="AW24" i="2"/>
  <c r="AW30" i="2"/>
  <c r="AW25" i="2"/>
  <c r="AW31" i="2"/>
  <c r="AW36" i="2"/>
  <c r="AW37" i="2"/>
  <c r="AW27" i="2"/>
  <c r="AW33" i="2"/>
  <c r="AW38" i="2"/>
  <c r="AW42" i="2"/>
  <c r="AW43" i="2"/>
  <c r="AW26" i="2"/>
  <c r="AW44" i="2"/>
  <c r="AW35" i="2"/>
  <c r="AW39" i="2"/>
  <c r="AW45" i="2"/>
  <c r="AW51" i="2"/>
  <c r="AW32" i="2"/>
  <c r="AW50" i="2"/>
  <c r="AW41" i="2"/>
  <c r="AW54" i="2"/>
  <c r="AW53" i="2"/>
  <c r="AW52" i="2"/>
  <c r="AW46" i="2"/>
  <c r="AW40" i="2"/>
  <c r="AW47" i="2"/>
  <c r="AW55" i="2"/>
  <c r="AW49" i="2"/>
  <c r="AW56" i="2"/>
  <c r="AW48" i="2"/>
  <c r="AW57" i="2"/>
  <c r="AW22" i="2"/>
  <c r="AX18" i="2"/>
  <c r="AX58" i="2" l="1"/>
  <c r="AX59" i="2"/>
  <c r="AX60" i="2"/>
  <c r="AX61" i="2"/>
  <c r="AX62" i="2"/>
  <c r="AX63" i="2"/>
  <c r="AX64" i="2"/>
  <c r="AX65" i="2"/>
  <c r="AX66" i="2"/>
  <c r="AX67" i="2"/>
  <c r="AX68" i="2"/>
  <c r="AX69" i="2"/>
  <c r="AX70" i="2"/>
  <c r="AX71" i="2"/>
  <c r="AX72" i="2"/>
  <c r="AX73" i="2"/>
  <c r="AX74" i="2"/>
  <c r="AX75" i="2"/>
  <c r="AX76" i="2"/>
  <c r="AX77" i="2"/>
  <c r="AX78" i="2"/>
  <c r="AX79" i="2"/>
  <c r="AX80" i="2"/>
  <c r="AX81" i="2"/>
  <c r="AX82" i="2"/>
  <c r="AX83" i="2"/>
  <c r="AX84" i="2"/>
  <c r="AX85" i="2"/>
  <c r="AX86" i="2"/>
  <c r="AX87" i="2"/>
  <c r="AX25" i="2"/>
  <c r="AX31" i="2"/>
  <c r="AX28" i="2"/>
  <c r="AX34" i="2"/>
  <c r="AX23" i="2"/>
  <c r="AX29" i="2"/>
  <c r="AX27" i="2"/>
  <c r="AX39" i="2"/>
  <c r="AX35" i="2"/>
  <c r="AX24" i="2"/>
  <c r="AX26" i="2"/>
  <c r="AX33" i="2"/>
  <c r="AX45" i="2"/>
  <c r="AX30" i="2"/>
  <c r="AX40" i="2"/>
  <c r="AX41" i="2"/>
  <c r="AX53" i="2"/>
  <c r="AX44" i="2"/>
  <c r="AX37" i="2"/>
  <c r="AX54" i="2"/>
  <c r="AX36" i="2"/>
  <c r="AX49" i="2"/>
  <c r="AX47" i="2"/>
  <c r="AX43" i="2"/>
  <c r="AX51" i="2"/>
  <c r="AX50" i="2"/>
  <c r="AX38" i="2"/>
  <c r="AX48" i="2"/>
  <c r="AX55" i="2"/>
  <c r="AX57" i="2"/>
  <c r="AX32" i="2"/>
  <c r="AX52" i="2"/>
  <c r="AX56" i="2"/>
  <c r="AX42" i="2"/>
  <c r="AX46" i="2"/>
  <c r="AX22" i="2"/>
  <c r="AY18" i="2"/>
  <c r="AY58" i="2" l="1"/>
  <c r="AY61" i="2"/>
  <c r="AY65" i="2"/>
  <c r="AY69" i="2"/>
  <c r="AY73" i="2"/>
  <c r="AY77" i="2"/>
  <c r="AY81" i="2"/>
  <c r="AY85" i="2"/>
  <c r="AY64" i="2"/>
  <c r="AY68" i="2"/>
  <c r="AY72" i="2"/>
  <c r="AY76" i="2"/>
  <c r="AY80" i="2"/>
  <c r="AY84" i="2"/>
  <c r="AY59" i="2"/>
  <c r="AY63" i="2"/>
  <c r="AY67" i="2"/>
  <c r="AY71" i="2"/>
  <c r="AY75" i="2"/>
  <c r="AY79" i="2"/>
  <c r="AY83" i="2"/>
  <c r="AY60" i="2"/>
  <c r="AY62" i="2"/>
  <c r="AY66" i="2"/>
  <c r="AY70" i="2"/>
  <c r="AY74" i="2"/>
  <c r="AY78" i="2"/>
  <c r="AY82" i="2"/>
  <c r="AY86" i="2"/>
  <c r="AY87" i="2"/>
  <c r="AY27" i="2"/>
  <c r="AY33" i="2"/>
  <c r="AY28" i="2"/>
  <c r="AY34" i="2"/>
  <c r="AY23" i="2"/>
  <c r="AY29" i="2"/>
  <c r="AY24" i="2"/>
  <c r="AY30" i="2"/>
  <c r="AY26" i="2"/>
  <c r="AY35" i="2"/>
  <c r="AY36" i="2"/>
  <c r="AY25" i="2"/>
  <c r="AY32" i="2"/>
  <c r="AY38" i="2"/>
  <c r="AY39" i="2"/>
  <c r="AY40" i="2"/>
  <c r="AY41" i="2"/>
  <c r="AY42" i="2"/>
  <c r="AY43" i="2"/>
  <c r="AY44" i="2"/>
  <c r="AY45" i="2"/>
  <c r="AY50" i="2"/>
  <c r="AY51" i="2"/>
  <c r="AY46" i="2"/>
  <c r="AY48" i="2"/>
  <c r="AY47" i="2"/>
  <c r="AY37" i="2"/>
  <c r="AY52" i="2"/>
  <c r="AY56" i="2"/>
  <c r="AY31" i="2"/>
  <c r="AY55" i="2"/>
  <c r="AY57" i="2"/>
  <c r="AY49" i="2"/>
  <c r="AY54" i="2"/>
  <c r="AY53" i="2"/>
  <c r="AY22" i="2"/>
  <c r="AZ18" i="2"/>
  <c r="AZ58" i="2" l="1"/>
  <c r="AZ59" i="2"/>
  <c r="AZ60" i="2"/>
  <c r="AZ61" i="2"/>
  <c r="AZ62" i="2"/>
  <c r="AZ63" i="2"/>
  <c r="AZ64" i="2"/>
  <c r="AZ65" i="2"/>
  <c r="AZ66" i="2"/>
  <c r="AZ67" i="2"/>
  <c r="AZ68" i="2"/>
  <c r="AZ69" i="2"/>
  <c r="AZ70" i="2"/>
  <c r="AZ71" i="2"/>
  <c r="AZ72" i="2"/>
  <c r="AZ73" i="2"/>
  <c r="AZ74" i="2"/>
  <c r="AZ75" i="2"/>
  <c r="AZ76" i="2"/>
  <c r="AZ77" i="2"/>
  <c r="AZ78" i="2"/>
  <c r="AZ79" i="2"/>
  <c r="AZ80" i="2"/>
  <c r="AZ81" i="2"/>
  <c r="AZ82" i="2"/>
  <c r="AZ83" i="2"/>
  <c r="AZ84" i="2"/>
  <c r="AZ85" i="2"/>
  <c r="AZ86" i="2"/>
  <c r="AZ87" i="2"/>
  <c r="AZ24" i="2"/>
  <c r="AZ30" i="2"/>
  <c r="AZ27" i="2"/>
  <c r="AZ33" i="2"/>
  <c r="AZ28" i="2"/>
  <c r="AZ34" i="2"/>
  <c r="AZ23" i="2"/>
  <c r="AZ25" i="2"/>
  <c r="AZ32" i="2"/>
  <c r="AZ38" i="2"/>
  <c r="AZ29" i="2"/>
  <c r="AZ31" i="2"/>
  <c r="AZ35" i="2"/>
  <c r="AZ44" i="2"/>
  <c r="AZ37" i="2"/>
  <c r="AZ52" i="2"/>
  <c r="AZ26" i="2"/>
  <c r="AZ40" i="2"/>
  <c r="AZ42" i="2"/>
  <c r="AZ49" i="2"/>
  <c r="AZ47" i="2"/>
  <c r="AZ55" i="2"/>
  <c r="AZ36" i="2"/>
  <c r="AZ50" i="2"/>
  <c r="AZ45" i="2"/>
  <c r="AZ54" i="2"/>
  <c r="AZ43" i="2"/>
  <c r="AZ53" i="2"/>
  <c r="AZ46" i="2"/>
  <c r="AZ51" i="2"/>
  <c r="AZ48" i="2"/>
  <c r="AZ57" i="2"/>
  <c r="AZ39" i="2"/>
  <c r="AZ56" i="2"/>
  <c r="AZ41" i="2"/>
  <c r="AZ22" i="2"/>
  <c r="BA18" i="2"/>
  <c r="BA60" i="2" l="1"/>
  <c r="BA62" i="2"/>
  <c r="BA66" i="2"/>
  <c r="BA70" i="2"/>
  <c r="BA74" i="2"/>
  <c r="BA78" i="2"/>
  <c r="BA82" i="2"/>
  <c r="BA86" i="2"/>
  <c r="BA87" i="2"/>
  <c r="BA58" i="2"/>
  <c r="BA61" i="2"/>
  <c r="BA65" i="2"/>
  <c r="BA69" i="2"/>
  <c r="BA73" i="2"/>
  <c r="BA77" i="2"/>
  <c r="BA81" i="2"/>
  <c r="BA85" i="2"/>
  <c r="BA64" i="2"/>
  <c r="BA68" i="2"/>
  <c r="BA72" i="2"/>
  <c r="BA76" i="2"/>
  <c r="BA80" i="2"/>
  <c r="BA84" i="2"/>
  <c r="BA59" i="2"/>
  <c r="BA63" i="2"/>
  <c r="BA67" i="2"/>
  <c r="BA71" i="2"/>
  <c r="BA75" i="2"/>
  <c r="BA83" i="2"/>
  <c r="BA79" i="2"/>
  <c r="BA26" i="2"/>
  <c r="BA32" i="2"/>
  <c r="BA27" i="2"/>
  <c r="BA33" i="2"/>
  <c r="BA28" i="2"/>
  <c r="BA34" i="2"/>
  <c r="BA23" i="2"/>
  <c r="BA29" i="2"/>
  <c r="BA24" i="2"/>
  <c r="BA31" i="2"/>
  <c r="BA35" i="2"/>
  <c r="BA41" i="2"/>
  <c r="BA30" i="2"/>
  <c r="BA37" i="2"/>
  <c r="BA25" i="2"/>
  <c r="BA38" i="2"/>
  <c r="BA47" i="2"/>
  <c r="BA42" i="2"/>
  <c r="BA43" i="2"/>
  <c r="BA46" i="2"/>
  <c r="BA48" i="2"/>
  <c r="BA49" i="2"/>
  <c r="BA45" i="2"/>
  <c r="BA50" i="2"/>
  <c r="BA51" i="2"/>
  <c r="BA36" i="2"/>
  <c r="BA39" i="2"/>
  <c r="BA40" i="2"/>
  <c r="BA44" i="2"/>
  <c r="BA54" i="2"/>
  <c r="BA52" i="2"/>
  <c r="BA57" i="2"/>
  <c r="BA56" i="2"/>
  <c r="BA53" i="2"/>
  <c r="BA55" i="2"/>
  <c r="BA22" i="2"/>
</calcChain>
</file>

<file path=xl/sharedStrings.xml><?xml version="1.0" encoding="utf-8"?>
<sst xmlns="http://schemas.openxmlformats.org/spreadsheetml/2006/main" count="21" uniqueCount="20">
  <si>
    <t>Model</t>
  </si>
  <si>
    <t>Solution</t>
  </si>
  <si>
    <t>Model Parameters</t>
  </si>
  <si>
    <t>k</t>
  </si>
  <si>
    <t>θ</t>
  </si>
  <si>
    <t>σ</t>
  </si>
  <si>
    <t>r(0)</t>
  </si>
  <si>
    <t>dt</t>
  </si>
  <si>
    <t>#</t>
  </si>
  <si>
    <r>
      <t xml:space="preserve">t </t>
    </r>
    <r>
      <rPr>
        <b/>
        <sz val="11"/>
        <color theme="1"/>
        <rFont val="Calibri"/>
        <family val="2"/>
      </rPr>
      <t>→</t>
    </r>
  </si>
  <si>
    <t>E</t>
  </si>
  <si>
    <t>V</t>
  </si>
  <si>
    <r>
      <t xml:space="preserve">f(r) </t>
    </r>
    <r>
      <rPr>
        <b/>
        <sz val="11"/>
        <color theme="1"/>
        <rFont val="Calibri"/>
        <family val="2"/>
      </rPr>
      <t>↘</t>
    </r>
  </si>
  <si>
    <t>E = θ</t>
  </si>
  <si>
    <t xml:space="preserve">V = </t>
  </si>
  <si>
    <r>
      <t xml:space="preserve">t -&gt; </t>
    </r>
    <r>
      <rPr>
        <b/>
        <sz val="11"/>
        <color theme="1"/>
        <rFont val="Calibri"/>
        <family val="2"/>
      </rPr>
      <t>∞</t>
    </r>
  </si>
  <si>
    <t>Short rate Dynamics</t>
  </si>
  <si>
    <t>short rates have gaussian distribution at any time t</t>
  </si>
  <si>
    <t xml:space="preserve">short rates can be negative </t>
  </si>
  <si>
    <r>
      <t xml:space="preserve">short rates approach steady state distribution at t -&gt; </t>
    </r>
    <r>
      <rPr>
        <sz val="11"/>
        <color rgb="FF0070C0"/>
        <rFont val="Calibri"/>
        <family val="2"/>
      </rPr>
      <t>∞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</si>
</sst>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%"/>
    <numFmt numFmtId="165" formatCode="0.0000%"/>
  </numFmts>
  <fonts count="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MU Sans Serif"/>
    </font>
    <font>
      <b/>
      <sz val="11"/>
      <color theme="1"/>
      <name val="CMU Sans Serif"/>
    </font>
    <font>
      <b/>
      <sz val="14"/>
      <color theme="1"/>
      <name val="CMU Sans Serif"/>
    </font>
    <font>
      <b/>
      <sz val="11"/>
      <color theme="1"/>
      <name val="Calibri"/>
      <family val="2"/>
    </font>
    <font>
      <b/>
      <sz val="11"/>
      <color rgb="FFFF0000"/>
      <name val="CMU Sans Serif"/>
    </font>
    <font>
      <sz val="11"/>
      <color rgb="FF0070C0"/>
      <name val="CMU Sans Serif"/>
    </font>
    <font>
      <sz val="11"/>
      <color rgb="FF0070C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7">
    <xf numFmtId="0" fontId="0" fillId="0" borderId="0" xfId="0"/>
    <xf numFmtId="0" fontId="2" fillId="0" borderId="0" xfId="0" applyFont="1"/>
    <xf numFmtId="0" fontId="3" fillId="0" borderId="0" xfId="0" applyFont="1"/>
    <xf numFmtId="0" fontId="2" fillId="0" borderId="0" xfId="0" applyFont="1" applyAlignment="1">
      <alignment horizontal="center"/>
    </xf>
    <xf numFmtId="0" fontId="4" fillId="0" borderId="1" xfId="0" applyFont="1" applyBorder="1"/>
    <xf numFmtId="0" fontId="2" fillId="0" borderId="1" xfId="0" applyFont="1" applyBorder="1"/>
    <xf numFmtId="0" fontId="3" fillId="0" borderId="0" xfId="0" applyFont="1" applyAlignment="1">
      <alignment horizontal="center"/>
    </xf>
    <xf numFmtId="0" fontId="6" fillId="0" borderId="1" xfId="0" applyFont="1" applyBorder="1" applyAlignment="1">
      <alignment horizontal="center"/>
    </xf>
    <xf numFmtId="10" fontId="2" fillId="0" borderId="0" xfId="1" applyNumberFormat="1" applyFont="1" applyAlignment="1">
      <alignment horizontal="center"/>
    </xf>
    <xf numFmtId="9" fontId="2" fillId="0" borderId="0" xfId="0" applyNumberFormat="1" applyFont="1" applyAlignment="1">
      <alignment horizontal="center"/>
    </xf>
    <xf numFmtId="10" fontId="2" fillId="0" borderId="0" xfId="1" applyNumberFormat="1" applyFont="1"/>
    <xf numFmtId="165" fontId="2" fillId="0" borderId="0" xfId="1" applyNumberFormat="1" applyFont="1"/>
    <xf numFmtId="10" fontId="2" fillId="0" borderId="0" xfId="0" applyNumberFormat="1" applyFont="1" applyAlignment="1">
      <alignment horizontal="center"/>
    </xf>
    <xf numFmtId="10" fontId="6" fillId="0" borderId="0" xfId="1" applyNumberFormat="1" applyFont="1" applyAlignment="1">
      <alignment horizontal="center"/>
    </xf>
    <xf numFmtId="164" fontId="6" fillId="0" borderId="0" xfId="1" applyNumberFormat="1" applyFont="1"/>
    <xf numFmtId="0" fontId="7" fillId="0" borderId="0" xfId="0" applyFont="1"/>
    <xf numFmtId="14" fontId="0" fillId="0" borderId="0" xfId="0" applyNumberForma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printerSettings.bin"/></Relationships>
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50 simulations of short rates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'1'!$C$21:$O$21</c:f>
              <c:numCache>
                <c:formatCode>General</c:formatCode>
                <c:ptCount val="1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</c:numCache>
            </c:numRef>
          </c:xVal>
          <c:yVal>
            <c:numRef>
              <c:f>'1'!$C$22:$O$22</c:f>
              <c:numCache>
                <c:formatCode>0.00%</c:formatCode>
                <c:ptCount val="13"/>
                <c:pt idx="0">
                  <c:v>0.05</c:v>
                </c:pt>
                <c:pt idx="1">
                  <c:v>6.0913995705229811E-2</c:v>
                </c:pt>
                <c:pt idx="2">
                  <c:v>6.8921910209190057E-2</c:v>
                </c:pt>
                <c:pt idx="3">
                  <c:v>7.424000928174132E-2</c:v>
                </c:pt>
                <c:pt idx="4">
                  <c:v>7.1433940663157419E-2</c:v>
                </c:pt>
                <c:pt idx="5">
                  <c:v>8.4266022139238006E-2</c:v>
                </c:pt>
                <c:pt idx="6">
                  <c:v>8.5865099769463368E-2</c:v>
                </c:pt>
                <c:pt idx="7">
                  <c:v>8.4638840177257188E-2</c:v>
                </c:pt>
                <c:pt idx="8">
                  <c:v>8.3594021951379452E-2</c:v>
                </c:pt>
                <c:pt idx="9">
                  <c:v>8.4126202577919335E-2</c:v>
                </c:pt>
                <c:pt idx="10">
                  <c:v>8.5159040642629538E-2</c:v>
                </c:pt>
                <c:pt idx="11">
                  <c:v>9.3654826416126269E-2</c:v>
                </c:pt>
                <c:pt idx="12">
                  <c:v>8.963569995606413E-2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0F8-4405-8E8A-EDA41107589C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'1'!$C$21:$O$21</c:f>
              <c:numCache>
                <c:formatCode>General</c:formatCode>
                <c:ptCount val="1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</c:numCache>
            </c:numRef>
          </c:xVal>
          <c:yVal>
            <c:numRef>
              <c:f>'1'!$C$23:$O$23</c:f>
              <c:numCache>
                <c:formatCode>0.00%</c:formatCode>
                <c:ptCount val="13"/>
                <c:pt idx="0">
                  <c:v>0.05</c:v>
                </c:pt>
                <c:pt idx="1">
                  <c:v>5.3517073463032958E-2</c:v>
                </c:pt>
                <c:pt idx="2">
                  <c:v>5.7638660221723724E-2</c:v>
                </c:pt>
                <c:pt idx="3">
                  <c:v>5.6894470433811489E-2</c:v>
                </c:pt>
                <c:pt idx="4">
                  <c:v>5.5568648221237228E-2</c:v>
                </c:pt>
                <c:pt idx="5">
                  <c:v>5.4852951700707024E-2</c:v>
                </c:pt>
                <c:pt idx="6">
                  <c:v>5.0696847461199519E-2</c:v>
                </c:pt>
                <c:pt idx="7">
                  <c:v>4.7979990008955843E-2</c:v>
                </c:pt>
                <c:pt idx="8">
                  <c:v>3.5653932144665883E-2</c:v>
                </c:pt>
                <c:pt idx="9">
                  <c:v>3.2271706694272907E-2</c:v>
                </c:pt>
                <c:pt idx="10">
                  <c:v>3.2808184075841976E-2</c:v>
                </c:pt>
                <c:pt idx="11">
                  <c:v>2.6755092477113954E-2</c:v>
                </c:pt>
                <c:pt idx="12">
                  <c:v>2.8396962423389474E-2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0F8-4405-8E8A-EDA41107589C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'1'!$C$21:$O$21</c:f>
              <c:numCache>
                <c:formatCode>General</c:formatCode>
                <c:ptCount val="1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</c:numCache>
            </c:numRef>
          </c:xVal>
          <c:yVal>
            <c:numRef>
              <c:f>'1'!$C$24:$O$24</c:f>
              <c:numCache>
                <c:formatCode>0.00%</c:formatCode>
                <c:ptCount val="13"/>
                <c:pt idx="0">
                  <c:v>0.05</c:v>
                </c:pt>
                <c:pt idx="1">
                  <c:v>4.7036682095898702E-2</c:v>
                </c:pt>
                <c:pt idx="2">
                  <c:v>5.1464162734988765E-2</c:v>
                </c:pt>
                <c:pt idx="3">
                  <c:v>5.4334997756641926E-2</c:v>
                </c:pt>
                <c:pt idx="4">
                  <c:v>6.1090482274912233E-2</c:v>
                </c:pt>
                <c:pt idx="5">
                  <c:v>6.1465856205632413E-2</c:v>
                </c:pt>
                <c:pt idx="6">
                  <c:v>6.5470677764345897E-2</c:v>
                </c:pt>
                <c:pt idx="7">
                  <c:v>7.4282324866689356E-2</c:v>
                </c:pt>
                <c:pt idx="8">
                  <c:v>8.2109447794361398E-2</c:v>
                </c:pt>
                <c:pt idx="9">
                  <c:v>8.3449393591519441E-2</c:v>
                </c:pt>
                <c:pt idx="10">
                  <c:v>7.3703055442281479E-2</c:v>
                </c:pt>
                <c:pt idx="11">
                  <c:v>8.1453875145724081E-2</c:v>
                </c:pt>
                <c:pt idx="12">
                  <c:v>7.9411337800014997E-2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0F8-4405-8E8A-EDA41107589C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'1'!$C$21:$O$21</c:f>
              <c:numCache>
                <c:formatCode>General</c:formatCode>
                <c:ptCount val="1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</c:numCache>
            </c:numRef>
          </c:xVal>
          <c:yVal>
            <c:numRef>
              <c:f>'1'!$C$25:$O$25</c:f>
              <c:numCache>
                <c:formatCode>0.00%</c:formatCode>
                <c:ptCount val="13"/>
                <c:pt idx="0">
                  <c:v>0.05</c:v>
                </c:pt>
                <c:pt idx="1">
                  <c:v>4.7142749361937471E-2</c:v>
                </c:pt>
                <c:pt idx="2">
                  <c:v>4.0678041869223837E-2</c:v>
                </c:pt>
                <c:pt idx="3">
                  <c:v>4.1437006646273068E-2</c:v>
                </c:pt>
                <c:pt idx="4">
                  <c:v>5.4546322039753722E-2</c:v>
                </c:pt>
                <c:pt idx="5">
                  <c:v>6.4295163531756544E-2</c:v>
                </c:pt>
                <c:pt idx="6">
                  <c:v>6.5637937543974706E-2</c:v>
                </c:pt>
                <c:pt idx="7">
                  <c:v>6.9924911506216048E-2</c:v>
                </c:pt>
                <c:pt idx="8">
                  <c:v>6.1500141023743418E-2</c:v>
                </c:pt>
                <c:pt idx="9">
                  <c:v>5.5030064013322735E-2</c:v>
                </c:pt>
                <c:pt idx="10">
                  <c:v>5.0414554598362887E-2</c:v>
                </c:pt>
                <c:pt idx="11">
                  <c:v>4.8510216839515195E-2</c:v>
                </c:pt>
                <c:pt idx="12">
                  <c:v>4.5445631316564344E-2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0F8-4405-8E8A-EDA41107589C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'1'!$C$21:$O$21</c:f>
              <c:numCache>
                <c:formatCode>General</c:formatCode>
                <c:ptCount val="1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</c:numCache>
            </c:numRef>
          </c:xVal>
          <c:yVal>
            <c:numRef>
              <c:f>'1'!$C$26:$O$26</c:f>
              <c:numCache>
                <c:formatCode>0.00%</c:formatCode>
                <c:ptCount val="13"/>
                <c:pt idx="0">
                  <c:v>0.05</c:v>
                </c:pt>
                <c:pt idx="1">
                  <c:v>5.4252819765217009E-2</c:v>
                </c:pt>
                <c:pt idx="2">
                  <c:v>5.8630715571144236E-2</c:v>
                </c:pt>
                <c:pt idx="3">
                  <c:v>6.4089231191790538E-2</c:v>
                </c:pt>
                <c:pt idx="4">
                  <c:v>6.8009441847649912E-2</c:v>
                </c:pt>
                <c:pt idx="5">
                  <c:v>6.8205236395923921E-2</c:v>
                </c:pt>
                <c:pt idx="6">
                  <c:v>6.5593750889911151E-2</c:v>
                </c:pt>
                <c:pt idx="7">
                  <c:v>5.7770528301209517E-2</c:v>
                </c:pt>
                <c:pt idx="8">
                  <c:v>6.0689697025987928E-2</c:v>
                </c:pt>
                <c:pt idx="9">
                  <c:v>6.5359108672763455E-2</c:v>
                </c:pt>
                <c:pt idx="10">
                  <c:v>6.291494906550564E-2</c:v>
                </c:pt>
                <c:pt idx="11">
                  <c:v>6.5432211427409917E-2</c:v>
                </c:pt>
                <c:pt idx="12">
                  <c:v>7.2637158155154952E-2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0F8-4405-8E8A-EDA41107589C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'1'!$C$21:$O$21</c:f>
              <c:numCache>
                <c:formatCode>General</c:formatCode>
                <c:ptCount val="1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</c:numCache>
            </c:numRef>
          </c:xVal>
          <c:yVal>
            <c:numRef>
              <c:f>'1'!$C$27:$O$27</c:f>
              <c:numCache>
                <c:formatCode>0.00%</c:formatCode>
                <c:ptCount val="13"/>
                <c:pt idx="0">
                  <c:v>0.05</c:v>
                </c:pt>
                <c:pt idx="1">
                  <c:v>3.8472380696883413E-2</c:v>
                </c:pt>
                <c:pt idx="2">
                  <c:v>4.6868355397629284E-2</c:v>
                </c:pt>
                <c:pt idx="3">
                  <c:v>4.5657307412793537E-2</c:v>
                </c:pt>
                <c:pt idx="4">
                  <c:v>4.2002844589523941E-2</c:v>
                </c:pt>
                <c:pt idx="5">
                  <c:v>5.2403486152064638E-2</c:v>
                </c:pt>
                <c:pt idx="6">
                  <c:v>5.7482436951669505E-2</c:v>
                </c:pt>
                <c:pt idx="7">
                  <c:v>4.8724536923109393E-2</c:v>
                </c:pt>
                <c:pt idx="8">
                  <c:v>4.3383072988218113E-2</c:v>
                </c:pt>
                <c:pt idx="9">
                  <c:v>4.6501370420119016E-2</c:v>
                </c:pt>
                <c:pt idx="10">
                  <c:v>5.1200207273633315E-2</c:v>
                </c:pt>
                <c:pt idx="11">
                  <c:v>5.1406317366882906E-2</c:v>
                </c:pt>
                <c:pt idx="12">
                  <c:v>5.039111108296554E-2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40F8-4405-8E8A-EDA41107589C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'1'!$C$21:$O$21</c:f>
              <c:numCache>
                <c:formatCode>General</c:formatCode>
                <c:ptCount val="1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</c:numCache>
            </c:numRef>
          </c:xVal>
          <c:yVal>
            <c:numRef>
              <c:f>'1'!$C$28:$O$28</c:f>
              <c:numCache>
                <c:formatCode>0.00%</c:formatCode>
                <c:ptCount val="13"/>
                <c:pt idx="0">
                  <c:v>0.05</c:v>
                </c:pt>
                <c:pt idx="1">
                  <c:v>5.2427743933357009E-2</c:v>
                </c:pt>
                <c:pt idx="2">
                  <c:v>5.3816759548914204E-2</c:v>
                </c:pt>
                <c:pt idx="3">
                  <c:v>5.86110299451486E-2</c:v>
                </c:pt>
                <c:pt idx="4">
                  <c:v>6.0024417168169628E-2</c:v>
                </c:pt>
                <c:pt idx="5">
                  <c:v>5.7909311761760895E-2</c:v>
                </c:pt>
                <c:pt idx="6">
                  <c:v>4.8730919008758526E-2</c:v>
                </c:pt>
                <c:pt idx="7">
                  <c:v>4.4304493078358043E-2</c:v>
                </c:pt>
                <c:pt idx="8">
                  <c:v>3.4378197618250769E-2</c:v>
                </c:pt>
                <c:pt idx="9">
                  <c:v>2.8466764692597152E-2</c:v>
                </c:pt>
                <c:pt idx="10">
                  <c:v>2.4367554316711164E-2</c:v>
                </c:pt>
                <c:pt idx="11">
                  <c:v>2.5280717535076044E-2</c:v>
                </c:pt>
                <c:pt idx="12">
                  <c:v>2.8032734486753245E-2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40F8-4405-8E8A-EDA41107589C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'1'!$C$21:$O$21</c:f>
              <c:numCache>
                <c:formatCode>General</c:formatCode>
                <c:ptCount val="1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</c:numCache>
            </c:numRef>
          </c:xVal>
          <c:yVal>
            <c:numRef>
              <c:f>'1'!$C$29:$O$29</c:f>
              <c:numCache>
                <c:formatCode>0.00%</c:formatCode>
                <c:ptCount val="13"/>
                <c:pt idx="0">
                  <c:v>0.05</c:v>
                </c:pt>
                <c:pt idx="1">
                  <c:v>5.6721141907492827E-2</c:v>
                </c:pt>
                <c:pt idx="2">
                  <c:v>5.5917048282097093E-2</c:v>
                </c:pt>
                <c:pt idx="3">
                  <c:v>5.4497121064120024E-2</c:v>
                </c:pt>
                <c:pt idx="4">
                  <c:v>6.0310236102695258E-2</c:v>
                </c:pt>
                <c:pt idx="5">
                  <c:v>5.4852500452923864E-2</c:v>
                </c:pt>
                <c:pt idx="6">
                  <c:v>5.7474023275417958E-2</c:v>
                </c:pt>
                <c:pt idx="7">
                  <c:v>5.1961994694473518E-2</c:v>
                </c:pt>
                <c:pt idx="8">
                  <c:v>5.9637635341463588E-2</c:v>
                </c:pt>
                <c:pt idx="9">
                  <c:v>5.0949222623934629E-2</c:v>
                </c:pt>
                <c:pt idx="10">
                  <c:v>4.964377309221845E-2</c:v>
                </c:pt>
                <c:pt idx="11">
                  <c:v>5.8661494175966347E-2</c:v>
                </c:pt>
                <c:pt idx="12">
                  <c:v>5.4978630041342721E-2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40F8-4405-8E8A-EDA41107589C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'1'!$C$21:$O$21</c:f>
              <c:numCache>
                <c:formatCode>General</c:formatCode>
                <c:ptCount val="1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</c:numCache>
            </c:numRef>
          </c:xVal>
          <c:yVal>
            <c:numRef>
              <c:f>'1'!$C$30:$O$30</c:f>
              <c:numCache>
                <c:formatCode>0.00%</c:formatCode>
                <c:ptCount val="13"/>
                <c:pt idx="0">
                  <c:v>0.05</c:v>
                </c:pt>
                <c:pt idx="1">
                  <c:v>5.1172842574872486E-2</c:v>
                </c:pt>
                <c:pt idx="2">
                  <c:v>5.8628095817586656E-2</c:v>
                </c:pt>
                <c:pt idx="3">
                  <c:v>5.6031540538862987E-2</c:v>
                </c:pt>
                <c:pt idx="4">
                  <c:v>5.5367179145862304E-2</c:v>
                </c:pt>
                <c:pt idx="5">
                  <c:v>6.367996460633632E-2</c:v>
                </c:pt>
                <c:pt idx="6">
                  <c:v>6.4009533542690969E-2</c:v>
                </c:pt>
                <c:pt idx="7">
                  <c:v>5.9528626408404346E-2</c:v>
                </c:pt>
                <c:pt idx="8">
                  <c:v>7.0954369497000874E-2</c:v>
                </c:pt>
                <c:pt idx="9">
                  <c:v>7.3104975992717564E-2</c:v>
                </c:pt>
                <c:pt idx="10">
                  <c:v>6.9358237745743317E-2</c:v>
                </c:pt>
                <c:pt idx="11">
                  <c:v>8.6535663837678245E-2</c:v>
                </c:pt>
                <c:pt idx="12">
                  <c:v>8.9657110606455648E-2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40F8-4405-8E8A-EDA41107589C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'1'!$C$21:$O$21</c:f>
              <c:numCache>
                <c:formatCode>General</c:formatCode>
                <c:ptCount val="1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</c:numCache>
            </c:numRef>
          </c:xVal>
          <c:yVal>
            <c:numRef>
              <c:f>'1'!$C$31:$O$31</c:f>
              <c:numCache>
                <c:formatCode>0.00%</c:formatCode>
                <c:ptCount val="13"/>
                <c:pt idx="0">
                  <c:v>0.05</c:v>
                </c:pt>
                <c:pt idx="1">
                  <c:v>5.6952346058224572E-2</c:v>
                </c:pt>
                <c:pt idx="2">
                  <c:v>5.7447023099541535E-2</c:v>
                </c:pt>
                <c:pt idx="3">
                  <c:v>6.1507755367273008E-2</c:v>
                </c:pt>
                <c:pt idx="4">
                  <c:v>5.887466089532821E-2</c:v>
                </c:pt>
                <c:pt idx="5">
                  <c:v>5.8801846945259265E-2</c:v>
                </c:pt>
                <c:pt idx="6">
                  <c:v>5.6004773816016991E-2</c:v>
                </c:pt>
                <c:pt idx="7">
                  <c:v>5.3842793886926137E-2</c:v>
                </c:pt>
                <c:pt idx="8">
                  <c:v>6.3372031165546461E-2</c:v>
                </c:pt>
                <c:pt idx="9">
                  <c:v>5.7140431739153015E-2</c:v>
                </c:pt>
                <c:pt idx="10">
                  <c:v>4.8334023355020572E-2</c:v>
                </c:pt>
                <c:pt idx="11">
                  <c:v>4.6064278330766657E-2</c:v>
                </c:pt>
                <c:pt idx="12">
                  <c:v>4.6629522696342587E-2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40F8-4405-8E8A-EDA41107589C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'1'!$C$21:$O$21</c:f>
              <c:numCache>
                <c:formatCode>General</c:formatCode>
                <c:ptCount val="1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</c:numCache>
            </c:numRef>
          </c:xVal>
          <c:yVal>
            <c:numRef>
              <c:f>'1'!$C$32:$O$32</c:f>
              <c:numCache>
                <c:formatCode>0.00%</c:formatCode>
                <c:ptCount val="13"/>
                <c:pt idx="0">
                  <c:v>0.05</c:v>
                </c:pt>
                <c:pt idx="1">
                  <c:v>5.9294810550214294E-2</c:v>
                </c:pt>
                <c:pt idx="2">
                  <c:v>6.1748799033817553E-2</c:v>
                </c:pt>
                <c:pt idx="3">
                  <c:v>6.2779069477635577E-2</c:v>
                </c:pt>
                <c:pt idx="4">
                  <c:v>6.4791641163301786E-2</c:v>
                </c:pt>
                <c:pt idx="5">
                  <c:v>7.0133122825758551E-2</c:v>
                </c:pt>
                <c:pt idx="6">
                  <c:v>6.2286579577689516E-2</c:v>
                </c:pt>
                <c:pt idx="7">
                  <c:v>6.1892180981887895E-2</c:v>
                </c:pt>
                <c:pt idx="8">
                  <c:v>6.1707396962285811E-2</c:v>
                </c:pt>
                <c:pt idx="9">
                  <c:v>6.708362616798931E-2</c:v>
                </c:pt>
                <c:pt idx="10">
                  <c:v>6.9176207418592067E-2</c:v>
                </c:pt>
                <c:pt idx="11">
                  <c:v>6.7723486157704071E-2</c:v>
                </c:pt>
                <c:pt idx="12">
                  <c:v>7.2181153316935476E-2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40F8-4405-8E8A-EDA41107589C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'1'!$C$21:$O$21</c:f>
              <c:numCache>
                <c:formatCode>General</c:formatCode>
                <c:ptCount val="1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</c:numCache>
            </c:numRef>
          </c:xVal>
          <c:yVal>
            <c:numRef>
              <c:f>'1'!$C$33:$O$33</c:f>
              <c:numCache>
                <c:formatCode>0.00%</c:formatCode>
                <c:ptCount val="13"/>
                <c:pt idx="0">
                  <c:v>0.05</c:v>
                </c:pt>
                <c:pt idx="1">
                  <c:v>4.4278861420418238E-2</c:v>
                </c:pt>
                <c:pt idx="2">
                  <c:v>4.7156184779962682E-2</c:v>
                </c:pt>
                <c:pt idx="3">
                  <c:v>5.6614644491364649E-2</c:v>
                </c:pt>
                <c:pt idx="4">
                  <c:v>5.9923920393382929E-2</c:v>
                </c:pt>
                <c:pt idx="5">
                  <c:v>5.9590409294099894E-2</c:v>
                </c:pt>
                <c:pt idx="6">
                  <c:v>5.562742572967274E-2</c:v>
                </c:pt>
                <c:pt idx="7">
                  <c:v>4.901159211310957E-2</c:v>
                </c:pt>
                <c:pt idx="8">
                  <c:v>5.7463724706061099E-2</c:v>
                </c:pt>
                <c:pt idx="9">
                  <c:v>6.1592042947283682E-2</c:v>
                </c:pt>
                <c:pt idx="10">
                  <c:v>7.565817551212066E-2</c:v>
                </c:pt>
                <c:pt idx="11">
                  <c:v>7.8319278039482049E-2</c:v>
                </c:pt>
                <c:pt idx="12">
                  <c:v>7.9813717720435551E-2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40F8-4405-8E8A-EDA41107589C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'1'!$C$21:$O$21</c:f>
              <c:numCache>
                <c:formatCode>General</c:formatCode>
                <c:ptCount val="1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</c:numCache>
            </c:numRef>
          </c:xVal>
          <c:yVal>
            <c:numRef>
              <c:f>'1'!$C$34:$O$34</c:f>
              <c:numCache>
                <c:formatCode>0.00%</c:formatCode>
                <c:ptCount val="13"/>
                <c:pt idx="0">
                  <c:v>0.05</c:v>
                </c:pt>
                <c:pt idx="1">
                  <c:v>5.6471162533548336E-2</c:v>
                </c:pt>
                <c:pt idx="2">
                  <c:v>5.3799801954426137E-2</c:v>
                </c:pt>
                <c:pt idx="3">
                  <c:v>4.5536281513976741E-2</c:v>
                </c:pt>
                <c:pt idx="4">
                  <c:v>4.1736428900135777E-2</c:v>
                </c:pt>
                <c:pt idx="5">
                  <c:v>3.3274749997496043E-2</c:v>
                </c:pt>
                <c:pt idx="6">
                  <c:v>3.1484274766079554E-2</c:v>
                </c:pt>
                <c:pt idx="7">
                  <c:v>2.4880675535834763E-2</c:v>
                </c:pt>
                <c:pt idx="8">
                  <c:v>2.8720843969080354E-2</c:v>
                </c:pt>
                <c:pt idx="9">
                  <c:v>2.5891053371036477E-2</c:v>
                </c:pt>
                <c:pt idx="10">
                  <c:v>3.2743085099487083E-2</c:v>
                </c:pt>
                <c:pt idx="11">
                  <c:v>3.6516407795573989E-2</c:v>
                </c:pt>
                <c:pt idx="12">
                  <c:v>2.9731943997851361E-2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40F8-4405-8E8A-EDA41107589C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'1'!$C$21:$O$21</c:f>
              <c:numCache>
                <c:formatCode>General</c:formatCode>
                <c:ptCount val="1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</c:numCache>
            </c:numRef>
          </c:xVal>
          <c:yVal>
            <c:numRef>
              <c:f>'1'!$C$35:$O$35</c:f>
              <c:numCache>
                <c:formatCode>0.00%</c:formatCode>
                <c:ptCount val="13"/>
                <c:pt idx="0">
                  <c:v>0.05</c:v>
                </c:pt>
                <c:pt idx="1">
                  <c:v>5.7315291981441689E-2</c:v>
                </c:pt>
                <c:pt idx="2">
                  <c:v>6.5696628050393474E-2</c:v>
                </c:pt>
                <c:pt idx="3">
                  <c:v>7.8498357887387377E-2</c:v>
                </c:pt>
                <c:pt idx="4">
                  <c:v>6.9427434405831379E-2</c:v>
                </c:pt>
                <c:pt idx="5">
                  <c:v>6.2888940205873892E-2</c:v>
                </c:pt>
                <c:pt idx="6">
                  <c:v>7.4274686271365783E-2</c:v>
                </c:pt>
                <c:pt idx="7">
                  <c:v>7.4552562659983168E-2</c:v>
                </c:pt>
                <c:pt idx="8">
                  <c:v>7.93195490166623E-2</c:v>
                </c:pt>
                <c:pt idx="9">
                  <c:v>9.4701894354987881E-2</c:v>
                </c:pt>
                <c:pt idx="10">
                  <c:v>7.9320033990758917E-2</c:v>
                </c:pt>
                <c:pt idx="11">
                  <c:v>8.0142264106175781E-2</c:v>
                </c:pt>
                <c:pt idx="12">
                  <c:v>7.9751067987358565E-2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40F8-4405-8E8A-EDA41107589C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'1'!$C$21:$O$21</c:f>
              <c:numCache>
                <c:formatCode>General</c:formatCode>
                <c:ptCount val="1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</c:numCache>
            </c:numRef>
          </c:xVal>
          <c:yVal>
            <c:numRef>
              <c:f>'1'!$C$36:$O$36</c:f>
              <c:numCache>
                <c:formatCode>0.00%</c:formatCode>
                <c:ptCount val="13"/>
                <c:pt idx="0">
                  <c:v>0.05</c:v>
                </c:pt>
                <c:pt idx="1">
                  <c:v>5.7879427926633684E-2</c:v>
                </c:pt>
                <c:pt idx="2">
                  <c:v>6.0976451904433245E-2</c:v>
                </c:pt>
                <c:pt idx="3">
                  <c:v>6.5021198687478091E-2</c:v>
                </c:pt>
                <c:pt idx="4">
                  <c:v>6.4209930402268939E-2</c:v>
                </c:pt>
                <c:pt idx="5">
                  <c:v>6.4168145459976539E-2</c:v>
                </c:pt>
                <c:pt idx="6">
                  <c:v>6.8984199097887125E-2</c:v>
                </c:pt>
                <c:pt idx="7">
                  <c:v>7.2520675115791064E-2</c:v>
                </c:pt>
                <c:pt idx="8">
                  <c:v>7.6129960605587327E-2</c:v>
                </c:pt>
                <c:pt idx="9">
                  <c:v>6.4040244335341029E-2</c:v>
                </c:pt>
                <c:pt idx="10">
                  <c:v>6.834005781336408E-2</c:v>
                </c:pt>
                <c:pt idx="11">
                  <c:v>7.1125755080002032E-2</c:v>
                </c:pt>
                <c:pt idx="12">
                  <c:v>7.7461695032174746E-2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40F8-4405-8E8A-EDA41107589C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'1'!$C$21:$O$21</c:f>
              <c:numCache>
                <c:formatCode>General</c:formatCode>
                <c:ptCount val="1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</c:numCache>
            </c:numRef>
          </c:xVal>
          <c:yVal>
            <c:numRef>
              <c:f>'1'!$C$37:$O$37</c:f>
              <c:numCache>
                <c:formatCode>0.00%</c:formatCode>
                <c:ptCount val="13"/>
                <c:pt idx="0">
                  <c:v>0.05</c:v>
                </c:pt>
                <c:pt idx="1">
                  <c:v>4.4095735464339668E-2</c:v>
                </c:pt>
                <c:pt idx="2">
                  <c:v>4.2744280710942932E-2</c:v>
                </c:pt>
                <c:pt idx="3">
                  <c:v>4.2468056111186522E-2</c:v>
                </c:pt>
                <c:pt idx="4">
                  <c:v>3.639308002687193E-2</c:v>
                </c:pt>
                <c:pt idx="5">
                  <c:v>3.8197215447376288E-2</c:v>
                </c:pt>
                <c:pt idx="6">
                  <c:v>4.2712413384168833E-2</c:v>
                </c:pt>
                <c:pt idx="7">
                  <c:v>4.8201573346255591E-2</c:v>
                </c:pt>
                <c:pt idx="8">
                  <c:v>6.1540324502201822E-2</c:v>
                </c:pt>
                <c:pt idx="9">
                  <c:v>5.8316865219994386E-2</c:v>
                </c:pt>
                <c:pt idx="10">
                  <c:v>4.9016999006003995E-2</c:v>
                </c:pt>
                <c:pt idx="11">
                  <c:v>5.533082309909447E-2</c:v>
                </c:pt>
                <c:pt idx="12">
                  <c:v>5.9711125653926313E-2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40F8-4405-8E8A-EDA41107589C}"/>
            </c:ext>
          </c:extLst>
        </c:ser>
        <c:ser>
          <c:idx val="16"/>
          <c:order val="16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'1'!$C$21:$O$21</c:f>
              <c:numCache>
                <c:formatCode>General</c:formatCode>
                <c:ptCount val="1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</c:numCache>
            </c:numRef>
          </c:xVal>
          <c:yVal>
            <c:numRef>
              <c:f>'1'!$C$38:$O$38</c:f>
              <c:numCache>
                <c:formatCode>0.00%</c:formatCode>
                <c:ptCount val="13"/>
                <c:pt idx="0">
                  <c:v>0.05</c:v>
                </c:pt>
                <c:pt idx="1">
                  <c:v>4.9078625151448334E-2</c:v>
                </c:pt>
                <c:pt idx="2">
                  <c:v>5.1882495967027077E-2</c:v>
                </c:pt>
                <c:pt idx="3">
                  <c:v>5.4677618997767664E-2</c:v>
                </c:pt>
                <c:pt idx="4">
                  <c:v>4.8963514760107824E-2</c:v>
                </c:pt>
                <c:pt idx="5">
                  <c:v>5.7275302907944137E-2</c:v>
                </c:pt>
                <c:pt idx="6">
                  <c:v>6.0432635217588342E-2</c:v>
                </c:pt>
                <c:pt idx="7">
                  <c:v>5.8070283955989621E-2</c:v>
                </c:pt>
                <c:pt idx="8">
                  <c:v>5.6156802644388243E-2</c:v>
                </c:pt>
                <c:pt idx="9">
                  <c:v>6.0415387136993993E-2</c:v>
                </c:pt>
                <c:pt idx="10">
                  <c:v>6.1369962823561934E-2</c:v>
                </c:pt>
                <c:pt idx="11">
                  <c:v>5.803027871126247E-2</c:v>
                </c:pt>
                <c:pt idx="12">
                  <c:v>6.0567356268426041E-2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40F8-4405-8E8A-EDA41107589C}"/>
            </c:ext>
          </c:extLst>
        </c:ser>
        <c:ser>
          <c:idx val="17"/>
          <c:order val="17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'1'!$C$21:$O$21</c:f>
              <c:numCache>
                <c:formatCode>General</c:formatCode>
                <c:ptCount val="1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</c:numCache>
            </c:numRef>
          </c:xVal>
          <c:yVal>
            <c:numRef>
              <c:f>'1'!$C$39:$O$39</c:f>
              <c:numCache>
                <c:formatCode>0.00%</c:formatCode>
                <c:ptCount val="13"/>
                <c:pt idx="0">
                  <c:v>0.05</c:v>
                </c:pt>
                <c:pt idx="1">
                  <c:v>5.8054238281258816E-2</c:v>
                </c:pt>
                <c:pt idx="2">
                  <c:v>5.2732023849547748E-2</c:v>
                </c:pt>
                <c:pt idx="3">
                  <c:v>4.6157023521285839E-2</c:v>
                </c:pt>
                <c:pt idx="4">
                  <c:v>5.633572210834395E-2</c:v>
                </c:pt>
                <c:pt idx="5">
                  <c:v>5.197968921878867E-2</c:v>
                </c:pt>
                <c:pt idx="6">
                  <c:v>4.8792284049142536E-2</c:v>
                </c:pt>
                <c:pt idx="7">
                  <c:v>5.2277970611158776E-2</c:v>
                </c:pt>
                <c:pt idx="8">
                  <c:v>5.5372110368736023E-2</c:v>
                </c:pt>
                <c:pt idx="9">
                  <c:v>4.7864828145689056E-2</c:v>
                </c:pt>
                <c:pt idx="10">
                  <c:v>5.3122247925603508E-2</c:v>
                </c:pt>
                <c:pt idx="11">
                  <c:v>5.4576977681998658E-2</c:v>
                </c:pt>
                <c:pt idx="12">
                  <c:v>5.0759216369238344E-2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40F8-4405-8E8A-EDA41107589C}"/>
            </c:ext>
          </c:extLst>
        </c:ser>
        <c:ser>
          <c:idx val="18"/>
          <c:order val="18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'1'!$C$21:$O$21</c:f>
              <c:numCache>
                <c:formatCode>General</c:formatCode>
                <c:ptCount val="1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</c:numCache>
            </c:numRef>
          </c:xVal>
          <c:yVal>
            <c:numRef>
              <c:f>'1'!$C$40:$O$40</c:f>
              <c:numCache>
                <c:formatCode>0.00%</c:formatCode>
                <c:ptCount val="13"/>
                <c:pt idx="0">
                  <c:v>0.05</c:v>
                </c:pt>
                <c:pt idx="1">
                  <c:v>5.2523697980915766E-2</c:v>
                </c:pt>
                <c:pt idx="2">
                  <c:v>6.3159509613732845E-2</c:v>
                </c:pt>
                <c:pt idx="3">
                  <c:v>6.4205761936365596E-2</c:v>
                </c:pt>
                <c:pt idx="4">
                  <c:v>6.7490461834192467E-2</c:v>
                </c:pt>
                <c:pt idx="5">
                  <c:v>6.5643392352262991E-2</c:v>
                </c:pt>
                <c:pt idx="6">
                  <c:v>6.2741853427683902E-2</c:v>
                </c:pt>
                <c:pt idx="7">
                  <c:v>7.1579546113053144E-2</c:v>
                </c:pt>
                <c:pt idx="8">
                  <c:v>7.21666362270907E-2</c:v>
                </c:pt>
                <c:pt idx="9">
                  <c:v>6.5385691373381558E-2</c:v>
                </c:pt>
                <c:pt idx="10">
                  <c:v>6.9317532803936571E-2</c:v>
                </c:pt>
                <c:pt idx="11">
                  <c:v>6.7153474119669265E-2</c:v>
                </c:pt>
                <c:pt idx="12">
                  <c:v>6.2763413603029838E-2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40F8-4405-8E8A-EDA41107589C}"/>
            </c:ext>
          </c:extLst>
        </c:ser>
        <c:ser>
          <c:idx val="19"/>
          <c:order val="19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'1'!$C$21:$O$21</c:f>
              <c:numCache>
                <c:formatCode>General</c:formatCode>
                <c:ptCount val="1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</c:numCache>
            </c:numRef>
          </c:xVal>
          <c:yVal>
            <c:numRef>
              <c:f>'1'!$C$41:$O$41</c:f>
              <c:numCache>
                <c:formatCode>0.00%</c:formatCode>
                <c:ptCount val="13"/>
                <c:pt idx="0">
                  <c:v>0.05</c:v>
                </c:pt>
                <c:pt idx="1">
                  <c:v>5.0354889894895484E-2</c:v>
                </c:pt>
                <c:pt idx="2">
                  <c:v>4.588844717845865E-2</c:v>
                </c:pt>
                <c:pt idx="3">
                  <c:v>4.9427134086331072E-2</c:v>
                </c:pt>
                <c:pt idx="4">
                  <c:v>3.9978494372690937E-2</c:v>
                </c:pt>
                <c:pt idx="5">
                  <c:v>5.6289424902399951E-2</c:v>
                </c:pt>
                <c:pt idx="6">
                  <c:v>5.7440084437096736E-2</c:v>
                </c:pt>
                <c:pt idx="7">
                  <c:v>5.4228491155667843E-2</c:v>
                </c:pt>
                <c:pt idx="8">
                  <c:v>5.5860732864702785E-2</c:v>
                </c:pt>
                <c:pt idx="9">
                  <c:v>5.3456967650832674E-2</c:v>
                </c:pt>
                <c:pt idx="10">
                  <c:v>5.9595251583045766E-2</c:v>
                </c:pt>
                <c:pt idx="11">
                  <c:v>5.6082428817694409E-2</c:v>
                </c:pt>
                <c:pt idx="12">
                  <c:v>5.6078074911880049E-2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40F8-4405-8E8A-EDA41107589C}"/>
            </c:ext>
          </c:extLst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'1'!$C$21:$O$21</c:f>
              <c:numCache>
                <c:formatCode>General</c:formatCode>
                <c:ptCount val="1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</c:numCache>
            </c:numRef>
          </c:xVal>
          <c:yVal>
            <c:numRef>
              <c:f>'1'!$C$42:$O$42</c:f>
              <c:numCache>
                <c:formatCode>0.00%</c:formatCode>
                <c:ptCount val="13"/>
                <c:pt idx="0">
                  <c:v>0.05</c:v>
                </c:pt>
                <c:pt idx="1">
                  <c:v>4.9891210145922932E-2</c:v>
                </c:pt>
                <c:pt idx="2">
                  <c:v>5.9002630946598224E-2</c:v>
                </c:pt>
                <c:pt idx="3">
                  <c:v>6.6319755801150945E-2</c:v>
                </c:pt>
                <c:pt idx="4">
                  <c:v>6.7878026618350462E-2</c:v>
                </c:pt>
                <c:pt idx="5">
                  <c:v>7.5546597739533539E-2</c:v>
                </c:pt>
                <c:pt idx="6">
                  <c:v>7.8883197577653344E-2</c:v>
                </c:pt>
                <c:pt idx="7">
                  <c:v>8.0465038287352755E-2</c:v>
                </c:pt>
                <c:pt idx="8">
                  <c:v>8.2804258872265724E-2</c:v>
                </c:pt>
                <c:pt idx="9">
                  <c:v>9.2894204574217695E-2</c:v>
                </c:pt>
                <c:pt idx="10">
                  <c:v>8.2697808214455146E-2</c:v>
                </c:pt>
                <c:pt idx="11">
                  <c:v>8.151885384701639E-2</c:v>
                </c:pt>
                <c:pt idx="12">
                  <c:v>9.0800295457845695E-2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40F8-4405-8E8A-EDA41107589C}"/>
            </c:ext>
          </c:extLst>
        </c:ser>
        <c:ser>
          <c:idx val="21"/>
          <c:order val="21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'1'!$C$21:$O$21</c:f>
              <c:numCache>
                <c:formatCode>General</c:formatCode>
                <c:ptCount val="1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</c:numCache>
            </c:numRef>
          </c:xVal>
          <c:yVal>
            <c:numRef>
              <c:f>'1'!$C$43:$O$43</c:f>
              <c:numCache>
                <c:formatCode>0.00%</c:formatCode>
                <c:ptCount val="13"/>
                <c:pt idx="0">
                  <c:v>0.05</c:v>
                </c:pt>
                <c:pt idx="1">
                  <c:v>5.3933824870948596E-2</c:v>
                </c:pt>
                <c:pt idx="2">
                  <c:v>6.9362456214202797E-2</c:v>
                </c:pt>
                <c:pt idx="3">
                  <c:v>6.4439353366052859E-2</c:v>
                </c:pt>
                <c:pt idx="4">
                  <c:v>6.4801338714708542E-2</c:v>
                </c:pt>
                <c:pt idx="5">
                  <c:v>6.7625037594040496E-2</c:v>
                </c:pt>
                <c:pt idx="6">
                  <c:v>5.8646228892837757E-2</c:v>
                </c:pt>
                <c:pt idx="7">
                  <c:v>6.2698433637110251E-2</c:v>
                </c:pt>
                <c:pt idx="8">
                  <c:v>6.7688131449439151E-2</c:v>
                </c:pt>
                <c:pt idx="9">
                  <c:v>6.7772611276888869E-2</c:v>
                </c:pt>
                <c:pt idx="10">
                  <c:v>6.3906651039889587E-2</c:v>
                </c:pt>
                <c:pt idx="11">
                  <c:v>6.3586353805659343E-2</c:v>
                </c:pt>
                <c:pt idx="12">
                  <c:v>6.5122790751080462E-2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40F8-4405-8E8A-EDA41107589C}"/>
            </c:ext>
          </c:extLst>
        </c:ser>
        <c:ser>
          <c:idx val="22"/>
          <c:order val="22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'1'!$C$21:$O$21</c:f>
              <c:numCache>
                <c:formatCode>General</c:formatCode>
                <c:ptCount val="1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</c:numCache>
            </c:numRef>
          </c:xVal>
          <c:yVal>
            <c:numRef>
              <c:f>'1'!$C$44:$O$44</c:f>
              <c:numCache>
                <c:formatCode>0.00%</c:formatCode>
                <c:ptCount val="13"/>
                <c:pt idx="0">
                  <c:v>0.05</c:v>
                </c:pt>
                <c:pt idx="1">
                  <c:v>4.258913858231559E-2</c:v>
                </c:pt>
                <c:pt idx="2">
                  <c:v>5.4504943107421128E-2</c:v>
                </c:pt>
                <c:pt idx="3">
                  <c:v>5.6283409764013762E-2</c:v>
                </c:pt>
                <c:pt idx="4">
                  <c:v>5.5921146237779044E-2</c:v>
                </c:pt>
                <c:pt idx="5">
                  <c:v>5.8776071379103401E-2</c:v>
                </c:pt>
                <c:pt idx="6">
                  <c:v>5.5485170200308548E-2</c:v>
                </c:pt>
                <c:pt idx="7">
                  <c:v>5.9941071899730469E-2</c:v>
                </c:pt>
                <c:pt idx="8">
                  <c:v>6.5042838717773929E-2</c:v>
                </c:pt>
                <c:pt idx="9">
                  <c:v>6.3244703305986694E-2</c:v>
                </c:pt>
                <c:pt idx="10">
                  <c:v>6.3053256609313185E-2</c:v>
                </c:pt>
                <c:pt idx="11">
                  <c:v>5.9793483229238734E-2</c:v>
                </c:pt>
                <c:pt idx="12">
                  <c:v>5.8792208253351963E-2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40F8-4405-8E8A-EDA41107589C}"/>
            </c:ext>
          </c:extLst>
        </c:ser>
        <c:ser>
          <c:idx val="23"/>
          <c:order val="23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'1'!$C$21:$O$21</c:f>
              <c:numCache>
                <c:formatCode>General</c:formatCode>
                <c:ptCount val="1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</c:numCache>
            </c:numRef>
          </c:xVal>
          <c:yVal>
            <c:numRef>
              <c:f>'1'!$C$45:$O$45</c:f>
              <c:numCache>
                <c:formatCode>0.00%</c:formatCode>
                <c:ptCount val="13"/>
                <c:pt idx="0">
                  <c:v>0.05</c:v>
                </c:pt>
                <c:pt idx="1">
                  <c:v>5.7301962773461314E-2</c:v>
                </c:pt>
                <c:pt idx="2">
                  <c:v>6.3138581455266463E-2</c:v>
                </c:pt>
                <c:pt idx="3">
                  <c:v>6.0801765222383515E-2</c:v>
                </c:pt>
                <c:pt idx="4">
                  <c:v>6.1031874388025681E-2</c:v>
                </c:pt>
                <c:pt idx="5">
                  <c:v>4.9474963560314077E-2</c:v>
                </c:pt>
                <c:pt idx="6">
                  <c:v>5.7393928701375135E-2</c:v>
                </c:pt>
                <c:pt idx="7">
                  <c:v>5.5035363405800376E-2</c:v>
                </c:pt>
                <c:pt idx="8">
                  <c:v>5.0217053603821393E-2</c:v>
                </c:pt>
                <c:pt idx="9">
                  <c:v>4.7718940609849325E-2</c:v>
                </c:pt>
                <c:pt idx="10">
                  <c:v>4.3561894848209812E-2</c:v>
                </c:pt>
                <c:pt idx="11">
                  <c:v>4.0941185769450335E-2</c:v>
                </c:pt>
                <c:pt idx="12">
                  <c:v>4.7830416921959065E-2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40F8-4405-8E8A-EDA41107589C}"/>
            </c:ext>
          </c:extLst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'1'!$C$21:$O$21</c:f>
              <c:numCache>
                <c:formatCode>General</c:formatCode>
                <c:ptCount val="1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</c:numCache>
            </c:numRef>
          </c:xVal>
          <c:yVal>
            <c:numRef>
              <c:f>'1'!$C$46:$O$46</c:f>
              <c:numCache>
                <c:formatCode>0.00%</c:formatCode>
                <c:ptCount val="13"/>
                <c:pt idx="0">
                  <c:v>0.05</c:v>
                </c:pt>
                <c:pt idx="1">
                  <c:v>4.3385303131687286E-2</c:v>
                </c:pt>
                <c:pt idx="2">
                  <c:v>4.2336569266855535E-2</c:v>
                </c:pt>
                <c:pt idx="3">
                  <c:v>4.8531208165832049E-2</c:v>
                </c:pt>
                <c:pt idx="4">
                  <c:v>5.8159621116604818E-2</c:v>
                </c:pt>
                <c:pt idx="5">
                  <c:v>5.1711434125938587E-2</c:v>
                </c:pt>
                <c:pt idx="6">
                  <c:v>5.2810342659923751E-2</c:v>
                </c:pt>
                <c:pt idx="7">
                  <c:v>4.735206471179669E-2</c:v>
                </c:pt>
                <c:pt idx="8">
                  <c:v>4.7050180233328902E-2</c:v>
                </c:pt>
                <c:pt idx="9">
                  <c:v>5.0861321360006415E-2</c:v>
                </c:pt>
                <c:pt idx="10">
                  <c:v>5.1914862869252676E-2</c:v>
                </c:pt>
                <c:pt idx="11">
                  <c:v>4.0679139182833571E-2</c:v>
                </c:pt>
                <c:pt idx="12">
                  <c:v>3.6306598113881698E-2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40F8-4405-8E8A-EDA41107589C}"/>
            </c:ext>
          </c:extLst>
        </c:ser>
        <c:ser>
          <c:idx val="25"/>
          <c:order val="25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'1'!$C$21:$O$21</c:f>
              <c:numCache>
                <c:formatCode>General</c:formatCode>
                <c:ptCount val="1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</c:numCache>
            </c:numRef>
          </c:xVal>
          <c:yVal>
            <c:numRef>
              <c:f>'1'!$C$47:$O$47</c:f>
              <c:numCache>
                <c:formatCode>0.00%</c:formatCode>
                <c:ptCount val="13"/>
                <c:pt idx="0">
                  <c:v>0.05</c:v>
                </c:pt>
                <c:pt idx="1">
                  <c:v>4.7503011170884568E-2</c:v>
                </c:pt>
                <c:pt idx="2">
                  <c:v>3.9309079088020588E-2</c:v>
                </c:pt>
                <c:pt idx="3">
                  <c:v>4.2859954990231972E-2</c:v>
                </c:pt>
                <c:pt idx="4">
                  <c:v>4.3451818775935923E-2</c:v>
                </c:pt>
                <c:pt idx="5">
                  <c:v>3.544924395289472E-2</c:v>
                </c:pt>
                <c:pt idx="6">
                  <c:v>3.1678448766909652E-2</c:v>
                </c:pt>
                <c:pt idx="7">
                  <c:v>4.5443049077177694E-2</c:v>
                </c:pt>
                <c:pt idx="8">
                  <c:v>4.2774272799973485E-2</c:v>
                </c:pt>
                <c:pt idx="9">
                  <c:v>4.2534131457271411E-2</c:v>
                </c:pt>
                <c:pt idx="10">
                  <c:v>5.0122772518692175E-2</c:v>
                </c:pt>
                <c:pt idx="11">
                  <c:v>4.6336837523998614E-2</c:v>
                </c:pt>
                <c:pt idx="12">
                  <c:v>5.1914950793994122E-2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40F8-4405-8E8A-EDA41107589C}"/>
            </c:ext>
          </c:extLst>
        </c:ser>
        <c:ser>
          <c:idx val="26"/>
          <c:order val="26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'1'!$C$21:$O$21</c:f>
              <c:numCache>
                <c:formatCode>General</c:formatCode>
                <c:ptCount val="1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</c:numCache>
            </c:numRef>
          </c:xVal>
          <c:yVal>
            <c:numRef>
              <c:f>'1'!$C$48:$O$48</c:f>
              <c:numCache>
                <c:formatCode>0.00%</c:formatCode>
                <c:ptCount val="13"/>
                <c:pt idx="0">
                  <c:v>0.05</c:v>
                </c:pt>
                <c:pt idx="1">
                  <c:v>3.7862561297609898E-2</c:v>
                </c:pt>
                <c:pt idx="2">
                  <c:v>4.4866177900873896E-2</c:v>
                </c:pt>
                <c:pt idx="3">
                  <c:v>4.2949079046070537E-2</c:v>
                </c:pt>
                <c:pt idx="4">
                  <c:v>4.7526883416872681E-2</c:v>
                </c:pt>
                <c:pt idx="5">
                  <c:v>4.5913884764069185E-2</c:v>
                </c:pt>
                <c:pt idx="6">
                  <c:v>3.8100787230846429E-2</c:v>
                </c:pt>
                <c:pt idx="7">
                  <c:v>4.507131174172252E-2</c:v>
                </c:pt>
                <c:pt idx="8">
                  <c:v>5.2675406173735798E-2</c:v>
                </c:pt>
                <c:pt idx="9">
                  <c:v>4.8301774761918687E-2</c:v>
                </c:pt>
                <c:pt idx="10">
                  <c:v>5.5174767199482916E-2</c:v>
                </c:pt>
                <c:pt idx="11">
                  <c:v>5.4998159794682262E-2</c:v>
                </c:pt>
                <c:pt idx="12">
                  <c:v>5.8972812180506831E-2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40F8-4405-8E8A-EDA41107589C}"/>
            </c:ext>
          </c:extLst>
        </c:ser>
        <c:ser>
          <c:idx val="27"/>
          <c:order val="27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'1'!$C$21:$O$21</c:f>
              <c:numCache>
                <c:formatCode>General</c:formatCode>
                <c:ptCount val="1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</c:numCache>
            </c:numRef>
          </c:xVal>
          <c:yVal>
            <c:numRef>
              <c:f>'1'!$C$49:$O$49</c:f>
              <c:numCache>
                <c:formatCode>0.00%</c:formatCode>
                <c:ptCount val="13"/>
                <c:pt idx="0">
                  <c:v>0.05</c:v>
                </c:pt>
                <c:pt idx="1">
                  <c:v>4.7869618902314233E-2</c:v>
                </c:pt>
                <c:pt idx="2">
                  <c:v>5.9302006673526135E-2</c:v>
                </c:pt>
                <c:pt idx="3">
                  <c:v>5.8040149209969416E-2</c:v>
                </c:pt>
                <c:pt idx="4">
                  <c:v>6.7703668631878655E-2</c:v>
                </c:pt>
                <c:pt idx="5">
                  <c:v>6.0963386337247127E-2</c:v>
                </c:pt>
                <c:pt idx="6">
                  <c:v>5.5923721667916398E-2</c:v>
                </c:pt>
                <c:pt idx="7">
                  <c:v>5.6111894647805541E-2</c:v>
                </c:pt>
                <c:pt idx="8">
                  <c:v>5.7328830277464007E-2</c:v>
                </c:pt>
                <c:pt idx="9">
                  <c:v>5.7565332775662469E-2</c:v>
                </c:pt>
                <c:pt idx="10">
                  <c:v>4.7111966004882072E-2</c:v>
                </c:pt>
                <c:pt idx="11">
                  <c:v>5.0908149107235928E-2</c:v>
                </c:pt>
                <c:pt idx="12">
                  <c:v>6.4046150729711843E-2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40F8-4405-8E8A-EDA41107589C}"/>
            </c:ext>
          </c:extLst>
        </c:ser>
        <c:ser>
          <c:idx val="28"/>
          <c:order val="28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'1'!$C$21:$O$21</c:f>
              <c:numCache>
                <c:formatCode>General</c:formatCode>
                <c:ptCount val="1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</c:numCache>
            </c:numRef>
          </c:xVal>
          <c:yVal>
            <c:numRef>
              <c:f>'1'!$C$50:$O$50</c:f>
              <c:numCache>
                <c:formatCode>0.00%</c:formatCode>
                <c:ptCount val="13"/>
                <c:pt idx="0">
                  <c:v>0.05</c:v>
                </c:pt>
                <c:pt idx="1">
                  <c:v>5.2165108311274723E-2</c:v>
                </c:pt>
                <c:pt idx="2">
                  <c:v>5.9121716735579879E-2</c:v>
                </c:pt>
                <c:pt idx="3">
                  <c:v>5.3173667739148008E-2</c:v>
                </c:pt>
                <c:pt idx="4">
                  <c:v>5.1705867453844756E-2</c:v>
                </c:pt>
                <c:pt idx="5">
                  <c:v>4.9330202366946768E-2</c:v>
                </c:pt>
                <c:pt idx="6">
                  <c:v>6.1747698358422434E-2</c:v>
                </c:pt>
                <c:pt idx="7">
                  <c:v>7.3226614732806242E-2</c:v>
                </c:pt>
                <c:pt idx="8">
                  <c:v>7.0186240540297415E-2</c:v>
                </c:pt>
                <c:pt idx="9">
                  <c:v>7.2481131150706077E-2</c:v>
                </c:pt>
                <c:pt idx="10">
                  <c:v>7.2167048816285106E-2</c:v>
                </c:pt>
                <c:pt idx="11">
                  <c:v>7.1139342883623613E-2</c:v>
                </c:pt>
                <c:pt idx="12">
                  <c:v>7.5021597681389177E-2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40F8-4405-8E8A-EDA41107589C}"/>
            </c:ext>
          </c:extLst>
        </c:ser>
        <c:ser>
          <c:idx val="29"/>
          <c:order val="29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'1'!$C$21:$O$21</c:f>
              <c:numCache>
                <c:formatCode>General</c:formatCode>
                <c:ptCount val="1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</c:numCache>
            </c:numRef>
          </c:xVal>
          <c:yVal>
            <c:numRef>
              <c:f>'1'!$C$51:$O$51</c:f>
              <c:numCache>
                <c:formatCode>0.00%</c:formatCode>
                <c:ptCount val="13"/>
                <c:pt idx="0">
                  <c:v>0.05</c:v>
                </c:pt>
                <c:pt idx="1">
                  <c:v>5.5696926027844457E-2</c:v>
                </c:pt>
                <c:pt idx="2">
                  <c:v>5.2049660919769078E-2</c:v>
                </c:pt>
                <c:pt idx="3">
                  <c:v>5.3912650372015515E-2</c:v>
                </c:pt>
                <c:pt idx="4">
                  <c:v>5.549680701450023E-2</c:v>
                </c:pt>
                <c:pt idx="5">
                  <c:v>5.6759487163548061E-2</c:v>
                </c:pt>
                <c:pt idx="6">
                  <c:v>5.9610202191044764E-2</c:v>
                </c:pt>
                <c:pt idx="7">
                  <c:v>4.8670052283003681E-2</c:v>
                </c:pt>
                <c:pt idx="8">
                  <c:v>5.7384626893494613E-2</c:v>
                </c:pt>
                <c:pt idx="9">
                  <c:v>4.4634647378475549E-2</c:v>
                </c:pt>
                <c:pt idx="10">
                  <c:v>3.7211084732606557E-2</c:v>
                </c:pt>
                <c:pt idx="11">
                  <c:v>3.562230699138523E-2</c:v>
                </c:pt>
                <c:pt idx="12">
                  <c:v>3.5390941862891656E-2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40F8-4405-8E8A-EDA41107589C}"/>
            </c:ext>
          </c:extLst>
        </c:ser>
        <c:ser>
          <c:idx val="30"/>
          <c:order val="30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'1'!$C$21:$O$21</c:f>
              <c:numCache>
                <c:formatCode>General</c:formatCode>
                <c:ptCount val="1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</c:numCache>
            </c:numRef>
          </c:xVal>
          <c:yVal>
            <c:numRef>
              <c:f>'1'!$C$52:$O$52</c:f>
              <c:numCache>
                <c:formatCode>0.00%</c:formatCode>
                <c:ptCount val="13"/>
                <c:pt idx="0">
                  <c:v>0.05</c:v>
                </c:pt>
                <c:pt idx="1">
                  <c:v>4.578863400017625E-2</c:v>
                </c:pt>
                <c:pt idx="2">
                  <c:v>3.9683972475443863E-2</c:v>
                </c:pt>
                <c:pt idx="3">
                  <c:v>3.9116505399460273E-2</c:v>
                </c:pt>
                <c:pt idx="4">
                  <c:v>3.6922445822993165E-2</c:v>
                </c:pt>
                <c:pt idx="5">
                  <c:v>4.6968866342117166E-2</c:v>
                </c:pt>
                <c:pt idx="6">
                  <c:v>5.5235382517816796E-2</c:v>
                </c:pt>
                <c:pt idx="7">
                  <c:v>5.3801335536977329E-2</c:v>
                </c:pt>
                <c:pt idx="8">
                  <c:v>6.0291506524597478E-2</c:v>
                </c:pt>
                <c:pt idx="9">
                  <c:v>4.936739511405213E-2</c:v>
                </c:pt>
                <c:pt idx="10">
                  <c:v>6.2397747213152735E-2</c:v>
                </c:pt>
                <c:pt idx="11">
                  <c:v>6.2582245301435871E-2</c:v>
                </c:pt>
                <c:pt idx="12">
                  <c:v>6.010117069386451E-2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40F8-4405-8E8A-EDA41107589C}"/>
            </c:ext>
          </c:extLst>
        </c:ser>
        <c:ser>
          <c:idx val="31"/>
          <c:order val="31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'1'!$C$21:$O$21</c:f>
              <c:numCache>
                <c:formatCode>General</c:formatCode>
                <c:ptCount val="1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</c:numCache>
            </c:numRef>
          </c:xVal>
          <c:yVal>
            <c:numRef>
              <c:f>'1'!$C$53:$O$53</c:f>
              <c:numCache>
                <c:formatCode>0.00%</c:formatCode>
                <c:ptCount val="13"/>
                <c:pt idx="0">
                  <c:v>0.05</c:v>
                </c:pt>
                <c:pt idx="1">
                  <c:v>4.7968130033322572E-2</c:v>
                </c:pt>
                <c:pt idx="2">
                  <c:v>6.0042685340427393E-2</c:v>
                </c:pt>
                <c:pt idx="3">
                  <c:v>6.5939489790653172E-2</c:v>
                </c:pt>
                <c:pt idx="4">
                  <c:v>6.7176378609745402E-2</c:v>
                </c:pt>
                <c:pt idx="5">
                  <c:v>7.0327415303885782E-2</c:v>
                </c:pt>
                <c:pt idx="6">
                  <c:v>7.5822655748472426E-2</c:v>
                </c:pt>
                <c:pt idx="7">
                  <c:v>6.8091511207637401E-2</c:v>
                </c:pt>
                <c:pt idx="8">
                  <c:v>7.0836054106667573E-2</c:v>
                </c:pt>
                <c:pt idx="9">
                  <c:v>7.6979997219638857E-2</c:v>
                </c:pt>
                <c:pt idx="10">
                  <c:v>7.878353522640795E-2</c:v>
                </c:pt>
                <c:pt idx="11">
                  <c:v>8.6479757974323196E-2</c:v>
                </c:pt>
                <c:pt idx="12">
                  <c:v>7.79885408611138E-2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40F8-4405-8E8A-EDA41107589C}"/>
            </c:ext>
          </c:extLst>
        </c:ser>
        <c:ser>
          <c:idx val="32"/>
          <c:order val="32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'1'!$C$21:$O$21</c:f>
              <c:numCache>
                <c:formatCode>General</c:formatCode>
                <c:ptCount val="1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</c:numCache>
            </c:numRef>
          </c:xVal>
          <c:yVal>
            <c:numRef>
              <c:f>'1'!$C$54:$O$54</c:f>
              <c:numCache>
                <c:formatCode>0.00%</c:formatCode>
                <c:ptCount val="13"/>
                <c:pt idx="0">
                  <c:v>0.05</c:v>
                </c:pt>
                <c:pt idx="1">
                  <c:v>5.1933116602337598E-2</c:v>
                </c:pt>
                <c:pt idx="2">
                  <c:v>5.9232374478045288E-2</c:v>
                </c:pt>
                <c:pt idx="3">
                  <c:v>6.356665545960978E-2</c:v>
                </c:pt>
                <c:pt idx="4">
                  <c:v>5.729202075109846E-2</c:v>
                </c:pt>
                <c:pt idx="5">
                  <c:v>6.4703761647798591E-2</c:v>
                </c:pt>
                <c:pt idx="6">
                  <c:v>6.0460985686768783E-2</c:v>
                </c:pt>
                <c:pt idx="7">
                  <c:v>5.7167027047101839E-2</c:v>
                </c:pt>
                <c:pt idx="8">
                  <c:v>6.6615560964257636E-2</c:v>
                </c:pt>
                <c:pt idx="9">
                  <c:v>7.1881802086310398E-2</c:v>
                </c:pt>
                <c:pt idx="10">
                  <c:v>7.2336105978707071E-2</c:v>
                </c:pt>
                <c:pt idx="11">
                  <c:v>6.4962352035860177E-2</c:v>
                </c:pt>
                <c:pt idx="12">
                  <c:v>6.1191995660668283E-2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40F8-4405-8E8A-EDA41107589C}"/>
            </c:ext>
          </c:extLst>
        </c:ser>
        <c:ser>
          <c:idx val="33"/>
          <c:order val="33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'1'!$C$21:$O$21</c:f>
              <c:numCache>
                <c:formatCode>General</c:formatCode>
                <c:ptCount val="1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</c:numCache>
            </c:numRef>
          </c:xVal>
          <c:yVal>
            <c:numRef>
              <c:f>'1'!$C$55:$O$55</c:f>
              <c:numCache>
                <c:formatCode>0.00%</c:formatCode>
                <c:ptCount val="13"/>
                <c:pt idx="0">
                  <c:v>0.05</c:v>
                </c:pt>
                <c:pt idx="1">
                  <c:v>4.6177395257587808E-2</c:v>
                </c:pt>
                <c:pt idx="2">
                  <c:v>3.4673948313731065E-2</c:v>
                </c:pt>
                <c:pt idx="3">
                  <c:v>3.7417117511283446E-2</c:v>
                </c:pt>
                <c:pt idx="4">
                  <c:v>3.8216398514678923E-2</c:v>
                </c:pt>
                <c:pt idx="5">
                  <c:v>2.7396380424385598E-2</c:v>
                </c:pt>
                <c:pt idx="6">
                  <c:v>3.6451157771152265E-2</c:v>
                </c:pt>
                <c:pt idx="7">
                  <c:v>4.6423827121212964E-2</c:v>
                </c:pt>
                <c:pt idx="8">
                  <c:v>4.7157607449623593E-2</c:v>
                </c:pt>
                <c:pt idx="9">
                  <c:v>4.8353095047079603E-2</c:v>
                </c:pt>
                <c:pt idx="10">
                  <c:v>4.6257986413741424E-2</c:v>
                </c:pt>
                <c:pt idx="11">
                  <c:v>4.4626144894543578E-2</c:v>
                </c:pt>
                <c:pt idx="12">
                  <c:v>4.2973655281024217E-2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40F8-4405-8E8A-EDA41107589C}"/>
            </c:ext>
          </c:extLst>
        </c:ser>
        <c:ser>
          <c:idx val="34"/>
          <c:order val="34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'1'!$C$21:$O$21</c:f>
              <c:numCache>
                <c:formatCode>General</c:formatCode>
                <c:ptCount val="1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</c:numCache>
            </c:numRef>
          </c:xVal>
          <c:yVal>
            <c:numRef>
              <c:f>'1'!$C$56:$O$56</c:f>
              <c:numCache>
                <c:formatCode>0.00%</c:formatCode>
                <c:ptCount val="13"/>
                <c:pt idx="0">
                  <c:v>0.05</c:v>
                </c:pt>
                <c:pt idx="1">
                  <c:v>5.4319948689746544E-2</c:v>
                </c:pt>
                <c:pt idx="2">
                  <c:v>4.3639612308290845E-2</c:v>
                </c:pt>
                <c:pt idx="3">
                  <c:v>4.7260640127466474E-2</c:v>
                </c:pt>
                <c:pt idx="4">
                  <c:v>4.9355573119313829E-2</c:v>
                </c:pt>
                <c:pt idx="5">
                  <c:v>5.1589979469414404E-2</c:v>
                </c:pt>
                <c:pt idx="6">
                  <c:v>5.3089990966867139E-2</c:v>
                </c:pt>
                <c:pt idx="7">
                  <c:v>5.1383810982221251E-2</c:v>
                </c:pt>
                <c:pt idx="8">
                  <c:v>5.8570505302401196E-2</c:v>
                </c:pt>
                <c:pt idx="9">
                  <c:v>5.8044626124642937E-2</c:v>
                </c:pt>
                <c:pt idx="10">
                  <c:v>5.8605311041325471E-2</c:v>
                </c:pt>
                <c:pt idx="11">
                  <c:v>5.3679805435157893E-2</c:v>
                </c:pt>
                <c:pt idx="12">
                  <c:v>6.254856818257791E-2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40F8-4405-8E8A-EDA41107589C}"/>
            </c:ext>
          </c:extLst>
        </c:ser>
        <c:ser>
          <c:idx val="35"/>
          <c:order val="35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'1'!$C$21:$O$21</c:f>
              <c:numCache>
                <c:formatCode>General</c:formatCode>
                <c:ptCount val="1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</c:numCache>
            </c:numRef>
          </c:xVal>
          <c:yVal>
            <c:numRef>
              <c:f>'1'!$C$57:$O$57</c:f>
              <c:numCache>
                <c:formatCode>0.00%</c:formatCode>
                <c:ptCount val="13"/>
                <c:pt idx="0">
                  <c:v>0.05</c:v>
                </c:pt>
                <c:pt idx="1">
                  <c:v>5.5247908120633904E-2</c:v>
                </c:pt>
                <c:pt idx="2">
                  <c:v>5.1602362541697748E-2</c:v>
                </c:pt>
                <c:pt idx="3">
                  <c:v>5.3387983544268783E-2</c:v>
                </c:pt>
                <c:pt idx="4">
                  <c:v>4.9527304718305756E-2</c:v>
                </c:pt>
                <c:pt idx="5">
                  <c:v>4.7918895119956152E-2</c:v>
                </c:pt>
                <c:pt idx="6">
                  <c:v>4.6118963195906096E-2</c:v>
                </c:pt>
                <c:pt idx="7">
                  <c:v>4.8476368594093371E-2</c:v>
                </c:pt>
                <c:pt idx="8">
                  <c:v>4.9971225975511749E-2</c:v>
                </c:pt>
                <c:pt idx="9">
                  <c:v>5.9318560080881343E-2</c:v>
                </c:pt>
                <c:pt idx="10">
                  <c:v>5.6763722900282761E-2</c:v>
                </c:pt>
                <c:pt idx="11">
                  <c:v>5.7815629330979917E-2</c:v>
                </c:pt>
                <c:pt idx="12">
                  <c:v>4.7423909911475992E-2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40F8-4405-8E8A-EDA41107589C}"/>
            </c:ext>
          </c:extLst>
        </c:ser>
        <c:ser>
          <c:idx val="36"/>
          <c:order val="36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'1'!$C$21:$O$21</c:f>
              <c:numCache>
                <c:formatCode>General</c:formatCode>
                <c:ptCount val="1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</c:numCache>
            </c:numRef>
          </c:xVal>
          <c:yVal>
            <c:numRef>
              <c:f>'1'!$C$58:$O$58</c:f>
              <c:numCache>
                <c:formatCode>0.00%</c:formatCode>
                <c:ptCount val="13"/>
                <c:pt idx="0">
                  <c:v>0.05</c:v>
                </c:pt>
                <c:pt idx="1">
                  <c:v>4.5967950021595289E-2</c:v>
                </c:pt>
                <c:pt idx="2">
                  <c:v>4.1541451078213394E-2</c:v>
                </c:pt>
                <c:pt idx="3">
                  <c:v>4.4176881604586216E-2</c:v>
                </c:pt>
                <c:pt idx="4">
                  <c:v>3.3302669989999797E-2</c:v>
                </c:pt>
                <c:pt idx="5">
                  <c:v>2.7139359114415347E-2</c:v>
                </c:pt>
                <c:pt idx="6">
                  <c:v>2.8691052608122013E-2</c:v>
                </c:pt>
                <c:pt idx="7">
                  <c:v>3.2820852136507241E-2</c:v>
                </c:pt>
                <c:pt idx="8">
                  <c:v>3.4355814210782175E-2</c:v>
                </c:pt>
                <c:pt idx="9">
                  <c:v>4.3589574184737599E-2</c:v>
                </c:pt>
                <c:pt idx="10">
                  <c:v>5.2152643712383401E-2</c:v>
                </c:pt>
                <c:pt idx="11">
                  <c:v>4.8855047112531948E-2</c:v>
                </c:pt>
                <c:pt idx="12">
                  <c:v>4.6110339182702471E-2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40F8-4405-8E8A-EDA41107589C}"/>
            </c:ext>
          </c:extLst>
        </c:ser>
        <c:ser>
          <c:idx val="37"/>
          <c:order val="37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'1'!$C$21:$O$21</c:f>
              <c:numCache>
                <c:formatCode>General</c:formatCode>
                <c:ptCount val="1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</c:numCache>
            </c:numRef>
          </c:xVal>
          <c:yVal>
            <c:numRef>
              <c:f>'1'!$C$59:$O$59</c:f>
              <c:numCache>
                <c:formatCode>0.00%</c:formatCode>
                <c:ptCount val="13"/>
                <c:pt idx="0">
                  <c:v>0.05</c:v>
                </c:pt>
                <c:pt idx="1">
                  <c:v>5.3600659957610687E-2</c:v>
                </c:pt>
                <c:pt idx="2">
                  <c:v>6.1027918126196262E-2</c:v>
                </c:pt>
                <c:pt idx="3">
                  <c:v>6.5982626598706878E-2</c:v>
                </c:pt>
                <c:pt idx="4">
                  <c:v>6.4599903856886617E-2</c:v>
                </c:pt>
                <c:pt idx="5">
                  <c:v>7.310959050764107E-2</c:v>
                </c:pt>
                <c:pt idx="6">
                  <c:v>7.3856858096399802E-2</c:v>
                </c:pt>
                <c:pt idx="7">
                  <c:v>6.7870588208318955E-2</c:v>
                </c:pt>
                <c:pt idx="8">
                  <c:v>7.0432618888053036E-2</c:v>
                </c:pt>
                <c:pt idx="9">
                  <c:v>6.5967539186445961E-2</c:v>
                </c:pt>
                <c:pt idx="10">
                  <c:v>5.4473736999621443E-2</c:v>
                </c:pt>
                <c:pt idx="11">
                  <c:v>4.9921091609931217E-2</c:v>
                </c:pt>
                <c:pt idx="12">
                  <c:v>5.0194027926310392E-2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40F8-4405-8E8A-EDA41107589C}"/>
            </c:ext>
          </c:extLst>
        </c:ser>
        <c:ser>
          <c:idx val="38"/>
          <c:order val="38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'1'!$C$21:$O$21</c:f>
              <c:numCache>
                <c:formatCode>General</c:formatCode>
                <c:ptCount val="1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</c:numCache>
            </c:numRef>
          </c:xVal>
          <c:yVal>
            <c:numRef>
              <c:f>'1'!$C$60:$O$60</c:f>
              <c:numCache>
                <c:formatCode>0.00%</c:formatCode>
                <c:ptCount val="13"/>
                <c:pt idx="0">
                  <c:v>0.05</c:v>
                </c:pt>
                <c:pt idx="1">
                  <c:v>5.2510742837987276E-2</c:v>
                </c:pt>
                <c:pt idx="2">
                  <c:v>5.2871518068341422E-2</c:v>
                </c:pt>
                <c:pt idx="3">
                  <c:v>5.0028246644523322E-2</c:v>
                </c:pt>
                <c:pt idx="4">
                  <c:v>5.163661823558905E-2</c:v>
                </c:pt>
                <c:pt idx="5">
                  <c:v>6.6705935712581779E-2</c:v>
                </c:pt>
                <c:pt idx="6">
                  <c:v>7.0302524189487264E-2</c:v>
                </c:pt>
                <c:pt idx="7">
                  <c:v>6.1746200446577776E-2</c:v>
                </c:pt>
                <c:pt idx="8">
                  <c:v>6.0807675717292821E-2</c:v>
                </c:pt>
                <c:pt idx="9">
                  <c:v>5.755744915682269E-2</c:v>
                </c:pt>
                <c:pt idx="10">
                  <c:v>6.1805011912390295E-2</c:v>
                </c:pt>
                <c:pt idx="11">
                  <c:v>6.8398027783076812E-2</c:v>
                </c:pt>
                <c:pt idx="12">
                  <c:v>7.4237966162817554E-2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40F8-4405-8E8A-EDA41107589C}"/>
            </c:ext>
          </c:extLst>
        </c:ser>
        <c:ser>
          <c:idx val="39"/>
          <c:order val="39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'1'!$C$21:$O$21</c:f>
              <c:numCache>
                <c:formatCode>General</c:formatCode>
                <c:ptCount val="1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</c:numCache>
            </c:numRef>
          </c:xVal>
          <c:yVal>
            <c:numRef>
              <c:f>'1'!$C$61:$O$61</c:f>
              <c:numCache>
                <c:formatCode>0.00%</c:formatCode>
                <c:ptCount val="13"/>
                <c:pt idx="0">
                  <c:v>0.05</c:v>
                </c:pt>
                <c:pt idx="1">
                  <c:v>5.8095985256676974E-2</c:v>
                </c:pt>
                <c:pt idx="2">
                  <c:v>6.1049821514636893E-2</c:v>
                </c:pt>
                <c:pt idx="3">
                  <c:v>6.5683008231349899E-2</c:v>
                </c:pt>
                <c:pt idx="4">
                  <c:v>6.6316513337744909E-2</c:v>
                </c:pt>
                <c:pt idx="5">
                  <c:v>6.4897789636157346E-2</c:v>
                </c:pt>
                <c:pt idx="6">
                  <c:v>7.7317142210759721E-2</c:v>
                </c:pt>
                <c:pt idx="7">
                  <c:v>7.8552570729195539E-2</c:v>
                </c:pt>
                <c:pt idx="8">
                  <c:v>8.5633740651153922E-2</c:v>
                </c:pt>
                <c:pt idx="9">
                  <c:v>8.9737757878250557E-2</c:v>
                </c:pt>
                <c:pt idx="10">
                  <c:v>7.9870311162525937E-2</c:v>
                </c:pt>
                <c:pt idx="11">
                  <c:v>7.7116358264351967E-2</c:v>
                </c:pt>
                <c:pt idx="12">
                  <c:v>7.947694099597602E-2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40F8-4405-8E8A-EDA41107589C}"/>
            </c:ext>
          </c:extLst>
        </c:ser>
        <c:ser>
          <c:idx val="40"/>
          <c:order val="40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'1'!$C$21:$O$21</c:f>
              <c:numCache>
                <c:formatCode>General</c:formatCode>
                <c:ptCount val="1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</c:numCache>
            </c:numRef>
          </c:xVal>
          <c:yVal>
            <c:numRef>
              <c:f>'1'!$C$62:$O$62</c:f>
              <c:numCache>
                <c:formatCode>0.00%</c:formatCode>
                <c:ptCount val="13"/>
                <c:pt idx="0">
                  <c:v>0.05</c:v>
                </c:pt>
                <c:pt idx="1">
                  <c:v>5.3477022033033367E-2</c:v>
                </c:pt>
                <c:pt idx="2">
                  <c:v>5.3931011113736008E-2</c:v>
                </c:pt>
                <c:pt idx="3">
                  <c:v>5.6017294074788018E-2</c:v>
                </c:pt>
                <c:pt idx="4">
                  <c:v>5.9221948454211401E-2</c:v>
                </c:pt>
                <c:pt idx="5">
                  <c:v>6.120541025004983E-2</c:v>
                </c:pt>
                <c:pt idx="6">
                  <c:v>6.9866290578666543E-2</c:v>
                </c:pt>
                <c:pt idx="7">
                  <c:v>6.8622949265200628E-2</c:v>
                </c:pt>
                <c:pt idx="8">
                  <c:v>6.6346793220412287E-2</c:v>
                </c:pt>
                <c:pt idx="9">
                  <c:v>6.4752135540666125E-2</c:v>
                </c:pt>
                <c:pt idx="10">
                  <c:v>7.2357241984737017E-2</c:v>
                </c:pt>
                <c:pt idx="11">
                  <c:v>7.5440066621685842E-2</c:v>
                </c:pt>
                <c:pt idx="12">
                  <c:v>7.5375654825455343E-2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40F8-4405-8E8A-EDA41107589C}"/>
            </c:ext>
          </c:extLst>
        </c:ser>
        <c:ser>
          <c:idx val="41"/>
          <c:order val="41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'1'!$C$21:$O$21</c:f>
              <c:numCache>
                <c:formatCode>General</c:formatCode>
                <c:ptCount val="1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</c:numCache>
            </c:numRef>
          </c:xVal>
          <c:yVal>
            <c:numRef>
              <c:f>'1'!$C$63:$O$63</c:f>
              <c:numCache>
                <c:formatCode>0.00%</c:formatCode>
                <c:ptCount val="13"/>
                <c:pt idx="0">
                  <c:v>0.05</c:v>
                </c:pt>
                <c:pt idx="1">
                  <c:v>6.0340393234255794E-2</c:v>
                </c:pt>
                <c:pt idx="2">
                  <c:v>6.4582469440049542E-2</c:v>
                </c:pt>
                <c:pt idx="3">
                  <c:v>6.4389734020684694E-2</c:v>
                </c:pt>
                <c:pt idx="4">
                  <c:v>7.1477108904904829E-2</c:v>
                </c:pt>
                <c:pt idx="5">
                  <c:v>7.0219950614171703E-2</c:v>
                </c:pt>
                <c:pt idx="6">
                  <c:v>8.0966474074800066E-2</c:v>
                </c:pt>
                <c:pt idx="7">
                  <c:v>8.5407410572132941E-2</c:v>
                </c:pt>
                <c:pt idx="8">
                  <c:v>8.8169670705917552E-2</c:v>
                </c:pt>
                <c:pt idx="9">
                  <c:v>8.8938242675080922E-2</c:v>
                </c:pt>
                <c:pt idx="10">
                  <c:v>7.9581047071716648E-2</c:v>
                </c:pt>
                <c:pt idx="11">
                  <c:v>8.37943533230395E-2</c:v>
                </c:pt>
                <c:pt idx="12">
                  <c:v>8.4799738419658682E-2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40F8-4405-8E8A-EDA41107589C}"/>
            </c:ext>
          </c:extLst>
        </c:ser>
        <c:ser>
          <c:idx val="42"/>
          <c:order val="42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'1'!$C$21:$O$21</c:f>
              <c:numCache>
                <c:formatCode>General</c:formatCode>
                <c:ptCount val="1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</c:numCache>
            </c:numRef>
          </c:xVal>
          <c:yVal>
            <c:numRef>
              <c:f>'1'!$C$64:$O$64</c:f>
              <c:numCache>
                <c:formatCode>0.00%</c:formatCode>
                <c:ptCount val="13"/>
                <c:pt idx="0">
                  <c:v>0.05</c:v>
                </c:pt>
                <c:pt idx="1">
                  <c:v>4.6755166113008395E-2</c:v>
                </c:pt>
                <c:pt idx="2">
                  <c:v>3.9743828014535354E-2</c:v>
                </c:pt>
                <c:pt idx="3">
                  <c:v>3.6601741504366514E-2</c:v>
                </c:pt>
                <c:pt idx="4">
                  <c:v>4.0561015273746191E-2</c:v>
                </c:pt>
                <c:pt idx="5">
                  <c:v>4.4536186150962526E-2</c:v>
                </c:pt>
                <c:pt idx="6">
                  <c:v>4.6008591062582122E-2</c:v>
                </c:pt>
                <c:pt idx="7">
                  <c:v>4.9828582656279471E-2</c:v>
                </c:pt>
                <c:pt idx="8">
                  <c:v>5.9492279199986987E-2</c:v>
                </c:pt>
                <c:pt idx="9">
                  <c:v>6.0100454812616208E-2</c:v>
                </c:pt>
                <c:pt idx="10">
                  <c:v>6.5791328860672849E-2</c:v>
                </c:pt>
                <c:pt idx="11">
                  <c:v>7.1311737124672703E-2</c:v>
                </c:pt>
                <c:pt idx="12">
                  <c:v>7.2185148078166589E-2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40F8-4405-8E8A-EDA41107589C}"/>
            </c:ext>
          </c:extLst>
        </c:ser>
        <c:ser>
          <c:idx val="43"/>
          <c:order val="43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'1'!$C$21:$O$21</c:f>
              <c:numCache>
                <c:formatCode>General</c:formatCode>
                <c:ptCount val="1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</c:numCache>
            </c:numRef>
          </c:xVal>
          <c:yVal>
            <c:numRef>
              <c:f>'1'!$C$65:$O$65</c:f>
              <c:numCache>
                <c:formatCode>0.00%</c:formatCode>
                <c:ptCount val="13"/>
                <c:pt idx="0">
                  <c:v>0.05</c:v>
                </c:pt>
                <c:pt idx="1">
                  <c:v>3.6453571834833873E-2</c:v>
                </c:pt>
                <c:pt idx="2">
                  <c:v>3.0278423448642157E-2</c:v>
                </c:pt>
                <c:pt idx="3">
                  <c:v>2.8734952730133691E-2</c:v>
                </c:pt>
                <c:pt idx="4">
                  <c:v>2.853622314407564E-2</c:v>
                </c:pt>
                <c:pt idx="5">
                  <c:v>3.9248098381939198E-2</c:v>
                </c:pt>
                <c:pt idx="6">
                  <c:v>3.9734856861135072E-2</c:v>
                </c:pt>
                <c:pt idx="7">
                  <c:v>3.703255706159251E-2</c:v>
                </c:pt>
                <c:pt idx="8">
                  <c:v>3.2069169197215058E-2</c:v>
                </c:pt>
                <c:pt idx="9">
                  <c:v>3.6931634617435892E-2</c:v>
                </c:pt>
                <c:pt idx="10">
                  <c:v>3.4766112903906576E-2</c:v>
                </c:pt>
                <c:pt idx="11">
                  <c:v>4.1735486700448479E-2</c:v>
                </c:pt>
                <c:pt idx="12">
                  <c:v>4.5622301652373146E-2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40F8-4405-8E8A-EDA41107589C}"/>
            </c:ext>
          </c:extLst>
        </c:ser>
        <c:ser>
          <c:idx val="44"/>
          <c:order val="44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'1'!$C$21:$O$21</c:f>
              <c:numCache>
                <c:formatCode>General</c:formatCode>
                <c:ptCount val="1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</c:numCache>
            </c:numRef>
          </c:xVal>
          <c:yVal>
            <c:numRef>
              <c:f>'1'!$C$66:$O$66</c:f>
              <c:numCache>
                <c:formatCode>0.00%</c:formatCode>
                <c:ptCount val="13"/>
                <c:pt idx="0">
                  <c:v>0.05</c:v>
                </c:pt>
                <c:pt idx="1">
                  <c:v>4.47976476313377E-2</c:v>
                </c:pt>
                <c:pt idx="2">
                  <c:v>5.261664034177823E-2</c:v>
                </c:pt>
                <c:pt idx="3">
                  <c:v>6.3740503106174184E-2</c:v>
                </c:pt>
                <c:pt idx="4">
                  <c:v>4.8224586303372327E-2</c:v>
                </c:pt>
                <c:pt idx="5">
                  <c:v>4.5824231208470921E-2</c:v>
                </c:pt>
                <c:pt idx="6">
                  <c:v>4.2601363725388815E-2</c:v>
                </c:pt>
                <c:pt idx="7">
                  <c:v>3.7230506287690451E-2</c:v>
                </c:pt>
                <c:pt idx="8">
                  <c:v>4.4050037351735023E-2</c:v>
                </c:pt>
                <c:pt idx="9">
                  <c:v>4.0407352347054754E-2</c:v>
                </c:pt>
                <c:pt idx="10">
                  <c:v>3.3837967606635544E-2</c:v>
                </c:pt>
                <c:pt idx="11">
                  <c:v>2.7251010779423528E-2</c:v>
                </c:pt>
                <c:pt idx="12">
                  <c:v>2.3716646113041726E-2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40F8-4405-8E8A-EDA41107589C}"/>
            </c:ext>
          </c:extLst>
        </c:ser>
        <c:ser>
          <c:idx val="45"/>
          <c:order val="45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'1'!$C$21:$O$21</c:f>
              <c:numCache>
                <c:formatCode>General</c:formatCode>
                <c:ptCount val="1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</c:numCache>
            </c:numRef>
          </c:xVal>
          <c:yVal>
            <c:numRef>
              <c:f>'1'!$C$67:$O$67</c:f>
              <c:numCache>
                <c:formatCode>0.00%</c:formatCode>
                <c:ptCount val="13"/>
                <c:pt idx="0">
                  <c:v>0.05</c:v>
                </c:pt>
                <c:pt idx="1">
                  <c:v>3.8155136036892336E-2</c:v>
                </c:pt>
                <c:pt idx="2">
                  <c:v>2.8943861550001969E-2</c:v>
                </c:pt>
                <c:pt idx="3">
                  <c:v>3.1707804978209679E-2</c:v>
                </c:pt>
                <c:pt idx="4">
                  <c:v>2.9422308215133506E-2</c:v>
                </c:pt>
                <c:pt idx="5">
                  <c:v>3.513178047603692E-2</c:v>
                </c:pt>
                <c:pt idx="6">
                  <c:v>4.5990881310430637E-2</c:v>
                </c:pt>
                <c:pt idx="7">
                  <c:v>3.8470204540428238E-2</c:v>
                </c:pt>
                <c:pt idx="8">
                  <c:v>3.7362995651409464E-2</c:v>
                </c:pt>
                <c:pt idx="9">
                  <c:v>3.0090776872038826E-2</c:v>
                </c:pt>
                <c:pt idx="10">
                  <c:v>3.6657715243764849E-2</c:v>
                </c:pt>
                <c:pt idx="11">
                  <c:v>4.7652197250646428E-2</c:v>
                </c:pt>
                <c:pt idx="12">
                  <c:v>4.807184269969552E-2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40F8-4405-8E8A-EDA41107589C}"/>
            </c:ext>
          </c:extLst>
        </c:ser>
        <c:ser>
          <c:idx val="46"/>
          <c:order val="46"/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'1'!$C$21:$O$21</c:f>
              <c:numCache>
                <c:formatCode>General</c:formatCode>
                <c:ptCount val="1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</c:numCache>
            </c:numRef>
          </c:xVal>
          <c:yVal>
            <c:numRef>
              <c:f>'1'!$C$68:$O$68</c:f>
              <c:numCache>
                <c:formatCode>0.00%</c:formatCode>
                <c:ptCount val="13"/>
                <c:pt idx="0">
                  <c:v>0.05</c:v>
                </c:pt>
                <c:pt idx="1">
                  <c:v>5.4179197755960529E-2</c:v>
                </c:pt>
                <c:pt idx="2">
                  <c:v>6.0890815241363631E-2</c:v>
                </c:pt>
                <c:pt idx="3">
                  <c:v>5.962454906016737E-2</c:v>
                </c:pt>
                <c:pt idx="4">
                  <c:v>6.2591662436601192E-2</c:v>
                </c:pt>
                <c:pt idx="5">
                  <c:v>6.6039789718842931E-2</c:v>
                </c:pt>
                <c:pt idx="6">
                  <c:v>7.3038686687613014E-2</c:v>
                </c:pt>
                <c:pt idx="7">
                  <c:v>7.9721200200025696E-2</c:v>
                </c:pt>
                <c:pt idx="8">
                  <c:v>7.7802911038252903E-2</c:v>
                </c:pt>
                <c:pt idx="9">
                  <c:v>7.8279822199159785E-2</c:v>
                </c:pt>
                <c:pt idx="10">
                  <c:v>8.8875665447357685E-2</c:v>
                </c:pt>
                <c:pt idx="11">
                  <c:v>9.5385646993581166E-2</c:v>
                </c:pt>
                <c:pt idx="12">
                  <c:v>9.6608776923298167E-2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40F8-4405-8E8A-EDA41107589C}"/>
            </c:ext>
          </c:extLst>
        </c:ser>
        <c:ser>
          <c:idx val="47"/>
          <c:order val="47"/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'1'!$C$21:$O$21</c:f>
              <c:numCache>
                <c:formatCode>General</c:formatCode>
                <c:ptCount val="1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</c:numCache>
            </c:numRef>
          </c:xVal>
          <c:yVal>
            <c:numRef>
              <c:f>'1'!$C$69:$O$69</c:f>
              <c:numCache>
                <c:formatCode>0.00%</c:formatCode>
                <c:ptCount val="13"/>
                <c:pt idx="0">
                  <c:v>0.05</c:v>
                </c:pt>
                <c:pt idx="1">
                  <c:v>4.916193819749836E-2</c:v>
                </c:pt>
                <c:pt idx="2">
                  <c:v>5.0623793344320794E-2</c:v>
                </c:pt>
                <c:pt idx="3">
                  <c:v>5.8339160154164876E-2</c:v>
                </c:pt>
                <c:pt idx="4">
                  <c:v>5.8077906254190716E-2</c:v>
                </c:pt>
                <c:pt idx="5">
                  <c:v>6.7149576931156016E-2</c:v>
                </c:pt>
                <c:pt idx="6">
                  <c:v>6.9140987826943417E-2</c:v>
                </c:pt>
                <c:pt idx="7">
                  <c:v>7.8194829806837535E-2</c:v>
                </c:pt>
                <c:pt idx="8">
                  <c:v>7.1846668888500553E-2</c:v>
                </c:pt>
                <c:pt idx="9">
                  <c:v>6.849780897882779E-2</c:v>
                </c:pt>
                <c:pt idx="10">
                  <c:v>8.0767616451777838E-2</c:v>
                </c:pt>
                <c:pt idx="11">
                  <c:v>7.5765164504222188E-2</c:v>
                </c:pt>
                <c:pt idx="12">
                  <c:v>7.687616025739448E-2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40F8-4405-8E8A-EDA41107589C}"/>
            </c:ext>
          </c:extLst>
        </c:ser>
        <c:ser>
          <c:idx val="48"/>
          <c:order val="48"/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'1'!$C$21:$O$21</c:f>
              <c:numCache>
                <c:formatCode>General</c:formatCode>
                <c:ptCount val="1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</c:numCache>
            </c:numRef>
          </c:xVal>
          <c:yVal>
            <c:numRef>
              <c:f>'1'!$C$70:$O$70</c:f>
              <c:numCache>
                <c:formatCode>0.00%</c:formatCode>
                <c:ptCount val="13"/>
                <c:pt idx="0">
                  <c:v>0.05</c:v>
                </c:pt>
                <c:pt idx="1">
                  <c:v>4.9508678278521769E-2</c:v>
                </c:pt>
                <c:pt idx="2">
                  <c:v>4.4445806922277904E-2</c:v>
                </c:pt>
                <c:pt idx="3">
                  <c:v>5.0067595959765072E-2</c:v>
                </c:pt>
                <c:pt idx="4">
                  <c:v>6.3537365986890582E-2</c:v>
                </c:pt>
                <c:pt idx="5">
                  <c:v>5.9732750927236095E-2</c:v>
                </c:pt>
                <c:pt idx="6">
                  <c:v>6.6946323524429099E-2</c:v>
                </c:pt>
                <c:pt idx="7">
                  <c:v>6.6929928389980825E-2</c:v>
                </c:pt>
                <c:pt idx="8">
                  <c:v>7.0762031915236862E-2</c:v>
                </c:pt>
                <c:pt idx="9">
                  <c:v>6.4467330996773153E-2</c:v>
                </c:pt>
                <c:pt idx="10">
                  <c:v>7.0578017744838753E-2</c:v>
                </c:pt>
                <c:pt idx="11">
                  <c:v>6.5747594140735291E-2</c:v>
                </c:pt>
                <c:pt idx="12">
                  <c:v>6.7553955345166339E-2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40F8-4405-8E8A-EDA41107589C}"/>
            </c:ext>
          </c:extLst>
        </c:ser>
        <c:ser>
          <c:idx val="49"/>
          <c:order val="49"/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'1'!$C$21:$O$21</c:f>
              <c:numCache>
                <c:formatCode>General</c:formatCode>
                <c:ptCount val="1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</c:numCache>
            </c:numRef>
          </c:xVal>
          <c:yVal>
            <c:numRef>
              <c:f>'1'!$C$71:$O$71</c:f>
              <c:numCache>
                <c:formatCode>0.00%</c:formatCode>
                <c:ptCount val="13"/>
                <c:pt idx="0">
                  <c:v>0.05</c:v>
                </c:pt>
                <c:pt idx="1">
                  <c:v>5.529937272142052E-2</c:v>
                </c:pt>
                <c:pt idx="2">
                  <c:v>5.5929593701006447E-2</c:v>
                </c:pt>
                <c:pt idx="3">
                  <c:v>6.5104717234884826E-2</c:v>
                </c:pt>
                <c:pt idx="4">
                  <c:v>7.9134422265247889E-2</c:v>
                </c:pt>
                <c:pt idx="5">
                  <c:v>8.1562458425838785E-2</c:v>
                </c:pt>
                <c:pt idx="6">
                  <c:v>8.6962354150848686E-2</c:v>
                </c:pt>
                <c:pt idx="7">
                  <c:v>9.0801589341610006E-2</c:v>
                </c:pt>
                <c:pt idx="8">
                  <c:v>9.0254971399423164E-2</c:v>
                </c:pt>
                <c:pt idx="9">
                  <c:v>9.1429404138044554E-2</c:v>
                </c:pt>
                <c:pt idx="10">
                  <c:v>7.7916894283492882E-2</c:v>
                </c:pt>
                <c:pt idx="11">
                  <c:v>7.3018097757947362E-2</c:v>
                </c:pt>
                <c:pt idx="12">
                  <c:v>7.6697188363239813E-2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40F8-4405-8E8A-EDA4110758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836864"/>
        <c:axId val="1568837696"/>
      </c:scatterChart>
      <c:valAx>
        <c:axId val="1568836864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8837696"/>
        <c:crosses val="autoZero"/>
        <c:crossBetween val="midCat"/>
      </c:valAx>
      <c:valAx>
        <c:axId val="1568837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8836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Density of r(t)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20"/>
      <c:rotY val="27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'1'!$R$22:$BA$22</c:f>
              <c:numCache>
                <c:formatCode>General</c:formatCode>
                <c:ptCount val="36"/>
                <c:pt idx="0">
                  <c:v>1.3432481236686415E-26</c:v>
                </c:pt>
                <c:pt idx="1">
                  <c:v>3.3145138832499614E-7</c:v>
                </c:pt>
                <c:pt idx="2">
                  <c:v>3.9168075357672228E-4</c:v>
                </c:pt>
                <c:pt idx="3">
                  <c:v>3.4219115050084926E-3</c:v>
                </c:pt>
                <c:pt idx="4">
                  <c:v>8.9796112662219214E-3</c:v>
                </c:pt>
                <c:pt idx="5">
                  <c:v>1.471573764160383E-2</c:v>
                </c:pt>
                <c:pt idx="6">
                  <c:v>1.9174970264699873E-2</c:v>
                </c:pt>
                <c:pt idx="7">
                  <c:v>2.2014023513683829E-2</c:v>
                </c:pt>
                <c:pt idx="8">
                  <c:v>2.3432912430440031E-2</c:v>
                </c:pt>
                <c:pt idx="9">
                  <c:v>2.3788194309656702E-2</c:v>
                </c:pt>
                <c:pt idx="10">
                  <c:v>2.3421929102335055E-2</c:v>
                </c:pt>
                <c:pt idx="11">
                  <c:v>2.260707265950292E-2</c:v>
                </c:pt>
                <c:pt idx="12">
                  <c:v>2.1542373166442426E-2</c:v>
                </c:pt>
                <c:pt idx="13">
                  <c:v>2.0364215823014838E-2</c:v>
                </c:pt>
                <c:pt idx="14">
                  <c:v>1.916174878866797E-2</c:v>
                </c:pt>
                <c:pt idx="15">
                  <c:v>1.7990357412204328E-2</c:v>
                </c:pt>
                <c:pt idx="16">
                  <c:v>1.6882219224011986E-2</c:v>
                </c:pt>
                <c:pt idx="17">
                  <c:v>1.5854051849448093E-2</c:v>
                </c:pt>
                <c:pt idx="18">
                  <c:v>1.4912581134041774E-2</c:v>
                </c:pt>
                <c:pt idx="19">
                  <c:v>1.4058296204618131E-2</c:v>
                </c:pt>
                <c:pt idx="20">
                  <c:v>1.3287972428116322E-2</c:v>
                </c:pt>
                <c:pt idx="21">
                  <c:v>1.2596332661508591E-2</c:v>
                </c:pt>
                <c:pt idx="22">
                  <c:v>1.1977117756045066E-2</c:v>
                </c:pt>
                <c:pt idx="23">
                  <c:v>1.1423758476885398E-2</c:v>
                </c:pt>
                <c:pt idx="24">
                  <c:v>1.0929782323920861E-2</c:v>
                </c:pt>
                <c:pt idx="25">
                  <c:v>1.0489046597096931E-2</c:v>
                </c:pt>
                <c:pt idx="26">
                  <c:v>1.0095859467438534E-2</c:v>
                </c:pt>
                <c:pt idx="27">
                  <c:v>9.7450303733824517E-3</c:v>
                </c:pt>
                <c:pt idx="28">
                  <c:v>9.4318770988883523E-3</c:v>
                </c:pt>
                <c:pt idx="29">
                  <c:v>9.1522074391102264E-3</c:v>
                </c:pt>
                <c:pt idx="30">
                  <c:v>8.9022870137624166E-3</c:v>
                </c:pt>
                <c:pt idx="31">
                  <c:v>8.6788005600951096E-3</c:v>
                </c:pt>
                <c:pt idx="32">
                  <c:v>8.4788112428833204E-3</c:v>
                </c:pt>
                <c:pt idx="33">
                  <c:v>8.2997206891896776E-3</c:v>
                </c:pt>
                <c:pt idx="34">
                  <c:v>8.1392312716623578E-3</c:v>
                </c:pt>
                <c:pt idx="35">
                  <c:v>7.9953114096256803E-3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CD-43A5-96F6-EEDE77262695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'1'!$R$23:$BA$23</c:f>
              <c:numCache>
                <c:formatCode>General</c:formatCode>
                <c:ptCount val="36"/>
                <c:pt idx="0">
                  <c:v>2.0410028058703221E-24</c:v>
                </c:pt>
                <c:pt idx="1">
                  <c:v>1.3594750557125575E-6</c:v>
                </c:pt>
                <c:pt idx="2">
                  <c:v>8.8592916523349825E-4</c:v>
                </c:pt>
                <c:pt idx="3">
                  <c:v>6.3798291240086194E-3</c:v>
                </c:pt>
                <c:pt idx="4">
                  <c:v>1.5257163533429936E-2</c:v>
                </c:pt>
                <c:pt idx="5">
                  <c:v>2.3717831688123085E-2</c:v>
                </c:pt>
                <c:pt idx="6">
                  <c:v>2.9906329884933181E-2</c:v>
                </c:pt>
                <c:pt idx="7">
                  <c:v>3.3602354268663717E-2</c:v>
                </c:pt>
                <c:pt idx="8">
                  <c:v>3.5250425855587651E-2</c:v>
                </c:pt>
                <c:pt idx="9">
                  <c:v>3.5427930105872155E-2</c:v>
                </c:pt>
                <c:pt idx="10">
                  <c:v>3.4641859112783321E-2</c:v>
                </c:pt>
                <c:pt idx="11">
                  <c:v>3.3278443931645293E-2</c:v>
                </c:pt>
                <c:pt idx="12">
                  <c:v>3.1610396984714031E-2</c:v>
                </c:pt>
                <c:pt idx="13">
                  <c:v>2.9820426110038198E-2</c:v>
                </c:pt>
                <c:pt idx="14">
                  <c:v>2.802535685234487E-2</c:v>
                </c:pt>
                <c:pt idx="15">
                  <c:v>2.6296013585029709E-2</c:v>
                </c:pt>
                <c:pt idx="16">
                  <c:v>2.46721627859002E-2</c:v>
                </c:pt>
                <c:pt idx="17">
                  <c:v>2.3173199424076248E-2</c:v>
                </c:pt>
                <c:pt idx="18">
                  <c:v>2.1805551983248725E-2</c:v>
                </c:pt>
                <c:pt idx="19">
                  <c:v>2.056769692354939E-2</c:v>
                </c:pt>
                <c:pt idx="20">
                  <c:v>1.9453488667117259E-2</c:v>
                </c:pt>
                <c:pt idx="21">
                  <c:v>1.8454328653886937E-2</c:v>
                </c:pt>
                <c:pt idx="22">
                  <c:v>1.7560547387365094E-2</c:v>
                </c:pt>
                <c:pt idx="23">
                  <c:v>1.6762260319018986E-2</c:v>
                </c:pt>
                <c:pt idx="24">
                  <c:v>1.6049876621436681E-2</c:v>
                </c:pt>
                <c:pt idx="25">
                  <c:v>1.541438226166955E-2</c:v>
                </c:pt>
                <c:pt idx="26">
                  <c:v>1.4847478864952936E-2</c:v>
                </c:pt>
                <c:pt idx="27">
                  <c:v>1.4341632542453719E-2</c:v>
                </c:pt>
                <c:pt idx="28">
                  <c:v>1.389006833665667E-2</c:v>
                </c:pt>
                <c:pt idx="29">
                  <c:v>1.3486733477738013E-2</c:v>
                </c:pt>
                <c:pt idx="30">
                  <c:v>1.3126244319973317E-2</c:v>
                </c:pt>
                <c:pt idx="31">
                  <c:v>1.2803826305953973E-2</c:v>
                </c:pt>
                <c:pt idx="32">
                  <c:v>1.2515252673772917E-2</c:v>
                </c:pt>
                <c:pt idx="33">
                  <c:v>1.2256785255627622E-2</c:v>
                </c:pt>
                <c:pt idx="34">
                  <c:v>1.2025119193631754E-2</c:v>
                </c:pt>
                <c:pt idx="35">
                  <c:v>1.1817332435536468E-2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CD-43A5-96F6-EEDE77262695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'1'!$R$24:$BA$24</c:f>
              <c:numCache>
                <c:formatCode>General</c:formatCode>
                <c:ptCount val="36"/>
                <c:pt idx="0">
                  <c:v>2.5262858950495664E-22</c:v>
                </c:pt>
                <c:pt idx="1">
                  <c:v>5.2767207757510145E-6</c:v>
                </c:pt>
                <c:pt idx="2">
                  <c:v>1.9439833987879088E-3</c:v>
                </c:pt>
                <c:pt idx="3">
                  <c:v>1.16338577831782E-2</c:v>
                </c:pt>
                <c:pt idx="4">
                  <c:v>2.5456777411945783E-2</c:v>
                </c:pt>
                <c:pt idx="5">
                  <c:v>3.7626817901965183E-2</c:v>
                </c:pt>
                <c:pt idx="6">
                  <c:v>4.5980821954794845E-2</c:v>
                </c:pt>
                <c:pt idx="7">
                  <c:v>5.0614569678876585E-2</c:v>
                </c:pt>
                <c:pt idx="8">
                  <c:v>5.2367384724135907E-2</c:v>
                </c:pt>
                <c:pt idx="9">
                  <c:v>5.2134725013802015E-2</c:v>
                </c:pt>
                <c:pt idx="10">
                  <c:v>5.0647385099917439E-2</c:v>
                </c:pt>
                <c:pt idx="11">
                  <c:v>4.8439267914058635E-2</c:v>
                </c:pt>
                <c:pt idx="12">
                  <c:v>4.5876483408179396E-2</c:v>
                </c:pt>
                <c:pt idx="13">
                  <c:v>4.319849408563483E-2</c:v>
                </c:pt>
                <c:pt idx="14">
                  <c:v>4.055487071663242E-2</c:v>
                </c:pt>
                <c:pt idx="15">
                  <c:v>3.8033784630490494E-2</c:v>
                </c:pt>
                <c:pt idx="16">
                  <c:v>3.5682675678803427E-2</c:v>
                </c:pt>
                <c:pt idx="17">
                  <c:v>3.3522688140768045E-2</c:v>
                </c:pt>
                <c:pt idx="18">
                  <c:v>3.1558503906303957E-2</c:v>
                </c:pt>
                <c:pt idx="19">
                  <c:v>2.9784911612795204E-2</c:v>
                </c:pt>
                <c:pt idx="20">
                  <c:v>2.819111814203178E-2</c:v>
                </c:pt>
                <c:pt idx="21">
                  <c:v>2.6763525321497356E-2</c:v>
                </c:pt>
                <c:pt idx="22">
                  <c:v>2.5487477293529751E-2</c:v>
                </c:pt>
                <c:pt idx="23">
                  <c:v>2.4348325935239629E-2</c:v>
                </c:pt>
                <c:pt idx="24">
                  <c:v>2.3332050141149311E-2</c:v>
                </c:pt>
                <c:pt idx="25">
                  <c:v>2.2425587485347905E-2</c:v>
                </c:pt>
                <c:pt idx="26">
                  <c:v>2.1616983894392188E-2</c:v>
                </c:pt>
                <c:pt idx="27">
                  <c:v>2.0895431103825583E-2</c:v>
                </c:pt>
                <c:pt idx="28">
                  <c:v>2.0251237532291137E-2</c:v>
                </c:pt>
                <c:pt idx="29">
                  <c:v>1.967576206061938E-2</c:v>
                </c:pt>
                <c:pt idx="30">
                  <c:v>1.916132947048645E-2</c:v>
                </c:pt>
                <c:pt idx="31">
                  <c:v>1.8701139212059011E-2</c:v>
                </c:pt>
                <c:pt idx="32">
                  <c:v>1.8289174531013946E-2</c:v>
                </c:pt>
                <c:pt idx="33">
                  <c:v>1.7920115979306744E-2</c:v>
                </c:pt>
                <c:pt idx="34">
                  <c:v>1.7589261412922663E-2</c:v>
                </c:pt>
                <c:pt idx="35">
                  <c:v>1.7292453375341531E-2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BCD-43A5-96F6-EEDE77262695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'1'!$R$25:$BA$25</c:f>
              <c:numCache>
                <c:formatCode>General</c:formatCode>
                <c:ptCount val="36"/>
                <c:pt idx="0">
                  <c:v>2.5472579666421753E-20</c:v>
                </c:pt>
                <c:pt idx="1">
                  <c:v>1.9381993921708997E-5</c:v>
                </c:pt>
                <c:pt idx="2">
                  <c:v>4.1382134681515314E-3</c:v>
                </c:pt>
                <c:pt idx="3">
                  <c:v>2.0749750785484272E-2</c:v>
                </c:pt>
                <c:pt idx="4">
                  <c:v>4.1710597210555457E-2</c:v>
                </c:pt>
                <c:pt idx="5">
                  <c:v>5.8755640225675185E-2</c:v>
                </c:pt>
                <c:pt idx="6">
                  <c:v>6.9690813159831763E-2</c:v>
                </c:pt>
                <c:pt idx="7">
                  <c:v>7.5234485236785942E-2</c:v>
                </c:pt>
                <c:pt idx="8">
                  <c:v>7.6827344388775573E-2</c:v>
                </c:pt>
                <c:pt idx="9">
                  <c:v>7.5806317696091946E-2</c:v>
                </c:pt>
                <c:pt idx="10">
                  <c:v>7.3196475931761276E-2</c:v>
                </c:pt>
                <c:pt idx="11">
                  <c:v>6.9718496027806068E-2</c:v>
                </c:pt>
                <c:pt idx="12">
                  <c:v>6.5852771194760934E-2</c:v>
                </c:pt>
                <c:pt idx="13">
                  <c:v>6.1905891004952411E-2</c:v>
                </c:pt>
                <c:pt idx="14">
                  <c:v>5.8064508241716752E-2</c:v>
                </c:pt>
                <c:pt idx="15">
                  <c:v>5.4435055994280293E-2</c:v>
                </c:pt>
                <c:pt idx="16">
                  <c:v>5.1071675741167506E-2</c:v>
                </c:pt>
                <c:pt idx="17">
                  <c:v>4.7995308492450248E-2</c:v>
                </c:pt>
                <c:pt idx="18">
                  <c:v>4.5206489607202104E-2</c:v>
                </c:pt>
                <c:pt idx="19">
                  <c:v>4.2693783573276446E-2</c:v>
                </c:pt>
                <c:pt idx="20">
                  <c:v>4.0439253889211595E-2</c:v>
                </c:pt>
                <c:pt idx="21">
                  <c:v>3.8421943169019784E-2</c:v>
                </c:pt>
                <c:pt idx="22">
                  <c:v>3.6620032635494779E-2</c:v>
                </c:pt>
                <c:pt idx="23">
                  <c:v>3.5012134635394931E-2</c:v>
                </c:pt>
                <c:pt idx="24">
                  <c:v>3.3578022914836213E-2</c:v>
                </c:pt>
                <c:pt idx="25">
                  <c:v>3.2299003796409737E-2</c:v>
                </c:pt>
                <c:pt idx="26">
                  <c:v>3.1158062661446419E-2</c:v>
                </c:pt>
                <c:pt idx="27">
                  <c:v>3.0139873931307223E-2</c:v>
                </c:pt>
                <c:pt idx="28">
                  <c:v>2.9230731845708034E-2</c:v>
                </c:pt>
                <c:pt idx="29">
                  <c:v>2.8418438787255147E-2</c:v>
                </c:pt>
                <c:pt idx="30">
                  <c:v>2.7692174311948831E-2</c:v>
                </c:pt>
                <c:pt idx="31">
                  <c:v>2.7042359118840602E-2</c:v>
                </c:pt>
                <c:pt idx="32">
                  <c:v>2.6460522378121687E-2</c:v>
                </c:pt>
                <c:pt idx="33">
                  <c:v>2.5939177092665012E-2</c:v>
                </c:pt>
                <c:pt idx="34">
                  <c:v>2.5471705793579165E-2</c:v>
                </c:pt>
                <c:pt idx="35">
                  <c:v>2.5052257397228897E-2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BCD-43A5-96F6-EEDE77262695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'1'!$R$26:$BA$26</c:f>
              <c:numCache>
                <c:formatCode>General</c:formatCode>
                <c:ptCount val="36"/>
                <c:pt idx="0">
                  <c:v>2.0922563635960907E-18</c:v>
                </c:pt>
                <c:pt idx="1">
                  <c:v>6.737119671756646E-5</c:v>
                </c:pt>
                <c:pt idx="2">
                  <c:v>8.5459434189719026E-3</c:v>
                </c:pt>
                <c:pt idx="3">
                  <c:v>3.619732276065022E-2</c:v>
                </c:pt>
                <c:pt idx="4">
                  <c:v>6.7112396916094524E-2</c:v>
                </c:pt>
                <c:pt idx="5">
                  <c:v>9.0309033954617854E-2</c:v>
                </c:pt>
                <c:pt idx="6">
                  <c:v>0.10412608120067403</c:v>
                </c:pt>
                <c:pt idx="7">
                  <c:v>0.11035548433112571</c:v>
                </c:pt>
                <c:pt idx="8">
                  <c:v>0.11130871698170611</c:v>
                </c:pt>
                <c:pt idx="9">
                  <c:v>0.10891325091409908</c:v>
                </c:pt>
                <c:pt idx="10">
                  <c:v>0.10456843889154485</c:v>
                </c:pt>
                <c:pt idx="11">
                  <c:v>9.9223451092078183E-2</c:v>
                </c:pt>
                <c:pt idx="12">
                  <c:v>9.349357263393733E-2</c:v>
                </c:pt>
                <c:pt idx="13">
                  <c:v>8.7761484099342757E-2</c:v>
                </c:pt>
                <c:pt idx="14">
                  <c:v>8.2253491938795026E-2</c:v>
                </c:pt>
                <c:pt idx="15">
                  <c:v>7.7093419368622434E-2</c:v>
                </c:pt>
                <c:pt idx="16">
                  <c:v>7.2339467536571958E-2</c:v>
                </c:pt>
                <c:pt idx="17">
                  <c:v>6.8008915730454811E-2</c:v>
                </c:pt>
                <c:pt idx="18">
                  <c:v>6.409441950335508E-2</c:v>
                </c:pt>
                <c:pt idx="19">
                  <c:v>6.0574613213099891E-2</c:v>
                </c:pt>
                <c:pt idx="20">
                  <c:v>5.7420899846938885E-2</c:v>
                </c:pt>
                <c:pt idx="21">
                  <c:v>5.4601713357282942E-2</c:v>
                </c:pt>
                <c:pt idx="22">
                  <c:v>5.2085120679128322E-2</c:v>
                </c:pt>
                <c:pt idx="23">
                  <c:v>4.9840343896060228E-2</c:v>
                </c:pt>
                <c:pt idx="24">
                  <c:v>4.7838588652854584E-2</c:v>
                </c:pt>
                <c:pt idx="25">
                  <c:v>4.6053434096579512E-2</c:v>
                </c:pt>
                <c:pt idx="26">
                  <c:v>4.4460952033285608E-2</c:v>
                </c:pt>
                <c:pt idx="27">
                  <c:v>4.3039664575744097E-2</c:v>
                </c:pt>
                <c:pt idx="28">
                  <c:v>4.177041076002088E-2</c:v>
                </c:pt>
                <c:pt idx="29">
                  <c:v>4.0636166950483735E-2</c:v>
                </c:pt>
                <c:pt idx="30">
                  <c:v>3.9621848973565188E-2</c:v>
                </c:pt>
                <c:pt idx="31">
                  <c:v>3.8714112891791601E-2</c:v>
                </c:pt>
                <c:pt idx="32">
                  <c:v>3.7901164188580964E-2</c:v>
                </c:pt>
                <c:pt idx="33">
                  <c:v>3.7172580567899544E-2</c:v>
                </c:pt>
                <c:pt idx="34">
                  <c:v>3.6519150703652997E-2</c:v>
                </c:pt>
                <c:pt idx="35">
                  <c:v>3.5932729516636897E-2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BCD-43A5-96F6-EEDE77262695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'1'!$R$27:$BA$27</c:f>
              <c:numCache>
                <c:formatCode>General</c:formatCode>
                <c:ptCount val="36"/>
                <c:pt idx="0">
                  <c:v>1.399936710096074E-16</c:v>
                </c:pt>
                <c:pt idx="1">
                  <c:v>2.2161111553708888E-4</c:v>
                </c:pt>
                <c:pt idx="2">
                  <c:v>1.7121189009474624E-2</c:v>
                </c:pt>
                <c:pt idx="3">
                  <c:v>6.1761018077692159E-2</c:v>
                </c:pt>
                <c:pt idx="4">
                  <c:v>0.10604066695370946</c:v>
                </c:pt>
                <c:pt idx="5">
                  <c:v>0.13662884367099926</c:v>
                </c:pt>
                <c:pt idx="6">
                  <c:v>0.15336586433117239</c:v>
                </c:pt>
                <c:pt idx="7">
                  <c:v>0.15973734098900683</c:v>
                </c:pt>
                <c:pt idx="8">
                  <c:v>0.15925788758311152</c:v>
                </c:pt>
                <c:pt idx="9">
                  <c:v>0.15461550651899231</c:v>
                </c:pt>
                <c:pt idx="10">
                  <c:v>0.14766867712075274</c:v>
                </c:pt>
                <c:pt idx="11">
                  <c:v>0.13963571899715219</c:v>
                </c:pt>
                <c:pt idx="12">
                  <c:v>0.13128442931060216</c:v>
                </c:pt>
                <c:pt idx="13">
                  <c:v>0.12307916682228826</c:v>
                </c:pt>
                <c:pt idx="14">
                  <c:v>0.11528526369762343</c:v>
                </c:pt>
                <c:pt idx="15">
                  <c:v>0.10804021674891703</c:v>
                </c:pt>
                <c:pt idx="16">
                  <c:v>0.10140118073558084</c:v>
                </c:pt>
                <c:pt idx="17">
                  <c:v>9.537620264309693E-2</c:v>
                </c:pt>
                <c:pt idx="18">
                  <c:v>8.9944520115735421E-2</c:v>
                </c:pt>
                <c:pt idx="19">
                  <c:v>8.5069588538012289E-2</c:v>
                </c:pt>
                <c:pt idx="20">
                  <c:v>8.0707311648832464E-2</c:v>
                </c:pt>
                <c:pt idx="21">
                  <c:v>7.6811130120940277E-2</c:v>
                </c:pt>
                <c:pt idx="22">
                  <c:v>7.3335067335787263E-2</c:v>
                </c:pt>
                <c:pt idx="23">
                  <c:v>7.0235459503419334E-2</c:v>
                </c:pt>
                <c:pt idx="24">
                  <c:v>6.7471849212064741E-2</c:v>
                </c:pt>
                <c:pt idx="25">
                  <c:v>6.5007356615237266E-2</c:v>
                </c:pt>
                <c:pt idx="26">
                  <c:v>6.2808733123993571E-2</c:v>
                </c:pt>
                <c:pt idx="27">
                  <c:v>6.0846230120614159E-2</c:v>
                </c:pt>
                <c:pt idx="28">
                  <c:v>5.9093367462912758E-2</c:v>
                </c:pt>
                <c:pt idx="29">
                  <c:v>5.7526655152872821E-2</c:v>
                </c:pt>
                <c:pt idx="30">
                  <c:v>5.6125301003906718E-2</c:v>
                </c:pt>
                <c:pt idx="31">
                  <c:v>5.4870923798782757E-2</c:v>
                </c:pt>
                <c:pt idx="32">
                  <c:v>5.3747282849190642E-2</c:v>
                </c:pt>
                <c:pt idx="33">
                  <c:v>5.2740029426508302E-2</c:v>
                </c:pt>
                <c:pt idx="34">
                  <c:v>5.1836482152866716E-2</c:v>
                </c:pt>
                <c:pt idx="35">
                  <c:v>5.1025426405250811E-2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BCD-43A5-96F6-EEDE77262695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'1'!$R$28:$BA$28</c:f>
              <c:numCache>
                <c:formatCode>General</c:formatCode>
                <c:ptCount val="36"/>
                <c:pt idx="0">
                  <c:v>7.6305078420986223E-15</c:v>
                </c:pt>
                <c:pt idx="1">
                  <c:v>6.8984304046403792E-4</c:v>
                </c:pt>
                <c:pt idx="2">
                  <c:v>3.3276268169126696E-2</c:v>
                </c:pt>
                <c:pt idx="3">
                  <c:v>0.10306871777486666</c:v>
                </c:pt>
                <c:pt idx="4">
                  <c:v>0.16453394477231767</c:v>
                </c:pt>
                <c:pt idx="5">
                  <c:v>0.20346192607392985</c:v>
                </c:pt>
                <c:pt idx="6">
                  <c:v>0.22268095729290249</c:v>
                </c:pt>
                <c:pt idx="7">
                  <c:v>0.22816789873270327</c:v>
                </c:pt>
                <c:pt idx="8">
                  <c:v>0.22502519352610342</c:v>
                </c:pt>
                <c:pt idx="9">
                  <c:v>0.21688143583733527</c:v>
                </c:pt>
                <c:pt idx="10">
                  <c:v>0.20613581364762831</c:v>
                </c:pt>
                <c:pt idx="11">
                  <c:v>0.19430975410232146</c:v>
                </c:pt>
                <c:pt idx="12">
                  <c:v>0.18233433210971223</c:v>
                </c:pt>
                <c:pt idx="13">
                  <c:v>0.17075512417920105</c:v>
                </c:pt>
                <c:pt idx="14">
                  <c:v>0.15987078641588021</c:v>
                </c:pt>
                <c:pt idx="15">
                  <c:v>0.14982458676679142</c:v>
                </c:pt>
                <c:pt idx="16">
                  <c:v>0.14066408346949172</c:v>
                </c:pt>
                <c:pt idx="17">
                  <c:v>0.13237967677605189</c:v>
                </c:pt>
                <c:pt idx="18">
                  <c:v>0.12492928540576716</c:v>
                </c:pt>
                <c:pt idx="19">
                  <c:v>0.11825395965720188</c:v>
                </c:pt>
                <c:pt idx="20">
                  <c:v>0.11228759903424804</c:v>
                </c:pt>
                <c:pt idx="21">
                  <c:v>0.10696285290819536</c:v>
                </c:pt>
                <c:pt idx="22">
                  <c:v>0.102214565779723</c:v>
                </c:pt>
                <c:pt idx="23">
                  <c:v>9.7981657795137525E-2</c:v>
                </c:pt>
                <c:pt idx="24">
                  <c:v>9.4208021904364628E-2</c:v>
                </c:pt>
                <c:pt idx="25">
                  <c:v>9.0842815852165484E-2</c:v>
                </c:pt>
                <c:pt idx="26">
                  <c:v>8.7840393664643385E-2</c:v>
                </c:pt>
                <c:pt idx="27">
                  <c:v>8.5160033593228546E-2</c:v>
                </c:pt>
                <c:pt idx="28">
                  <c:v>8.2765561974340346E-2</c:v>
                </c:pt>
                <c:pt idx="29">
                  <c:v>8.0624934876675464E-2</c:v>
                </c:pt>
                <c:pt idx="30">
                  <c:v>7.8709814965495284E-2</c:v>
                </c:pt>
                <c:pt idx="31">
                  <c:v>7.6995165239854821E-2</c:v>
                </c:pt>
                <c:pt idx="32">
                  <c:v>7.5458871233850117E-2</c:v>
                </c:pt>
                <c:pt idx="33">
                  <c:v>7.4081396955740286E-2</c:v>
                </c:pt>
                <c:pt idx="34">
                  <c:v>7.2845475970024429E-2</c:v>
                </c:pt>
                <c:pt idx="35">
                  <c:v>7.1735836746975118E-2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BCD-43A5-96F6-EEDE77262695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'1'!$R$29:$BA$29</c:f>
              <c:numCache>
                <c:formatCode>General</c:formatCode>
                <c:ptCount val="36"/>
                <c:pt idx="0">
                  <c:v>3.3880516339139094E-13</c:v>
                </c:pt>
                <c:pt idx="1">
                  <c:v>2.0321253984088845E-3</c:v>
                </c:pt>
                <c:pt idx="2">
                  <c:v>6.2742539784108833E-2</c:v>
                </c:pt>
                <c:pt idx="3">
                  <c:v>0.16823398447287255</c:v>
                </c:pt>
                <c:pt idx="4">
                  <c:v>0.25069861158155726</c:v>
                </c:pt>
                <c:pt idx="5">
                  <c:v>0.29823147229825131</c:v>
                </c:pt>
                <c:pt idx="6">
                  <c:v>0.31872978024512355</c:v>
                </c:pt>
                <c:pt idx="7">
                  <c:v>0.32161640807352693</c:v>
                </c:pt>
                <c:pt idx="8">
                  <c:v>0.3139928478265076</c:v>
                </c:pt>
                <c:pt idx="9">
                  <c:v>0.3005998213163048</c:v>
                </c:pt>
                <c:pt idx="10">
                  <c:v>0.28444337765124789</c:v>
                </c:pt>
                <c:pt idx="11">
                  <c:v>0.26736746472304451</c:v>
                </c:pt>
                <c:pt idx="12">
                  <c:v>0.25046523028337414</c:v>
                </c:pt>
                <c:pt idx="13">
                  <c:v>0.23435355810494218</c:v>
                </c:pt>
                <c:pt idx="14">
                  <c:v>0.21935133720923178</c:v>
                </c:pt>
                <c:pt idx="15">
                  <c:v>0.20559390421679877</c:v>
                </c:pt>
                <c:pt idx="16">
                  <c:v>0.19310607385075637</c:v>
                </c:pt>
                <c:pt idx="17">
                  <c:v>0.18184849802142858</c:v>
                </c:pt>
                <c:pt idx="18">
                  <c:v>0.17174688103759983</c:v>
                </c:pt>
                <c:pt idx="19">
                  <c:v>0.1627101810049425</c:v>
                </c:pt>
                <c:pt idx="20">
                  <c:v>0.15464174350463133</c:v>
                </c:pt>
                <c:pt idx="21">
                  <c:v>0.1474459132094266</c:v>
                </c:pt>
                <c:pt idx="22">
                  <c:v>0.14103176906022288</c:v>
                </c:pt>
                <c:pt idx="23">
                  <c:v>0.13531504792512347</c:v>
                </c:pt>
                <c:pt idx="24">
                  <c:v>0.1302189454811376</c:v>
                </c:pt>
                <c:pt idx="25">
                  <c:v>0.12567423854543563</c:v>
                </c:pt>
                <c:pt idx="26">
                  <c:v>0.12161901379761732</c:v>
                </c:pt>
                <c:pt idx="27">
                  <c:v>0.11799818398579456</c:v>
                </c:pt>
                <c:pt idx="28">
                  <c:v>0.11476290506379523</c:v>
                </c:pt>
                <c:pt idx="29">
                  <c:v>0.11186996377184889</c:v>
                </c:pt>
                <c:pt idx="30">
                  <c:v>0.10928117679242938</c:v>
                </c:pt>
                <c:pt idx="31">
                  <c:v>0.1069628244384838</c:v>
                </c:pt>
                <c:pt idx="32">
                  <c:v>0.10488513034531503</c:v>
                </c:pt>
                <c:pt idx="33">
                  <c:v>0.10302179152099031</c:v>
                </c:pt>
                <c:pt idx="34">
                  <c:v>0.1013495588332099</c:v>
                </c:pt>
                <c:pt idx="35">
                  <c:v>9.9847865563622074E-2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BCD-43A5-96F6-EEDE77262695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'1'!$R$30:$BA$30</c:f>
              <c:numCache>
                <c:formatCode>General</c:formatCode>
                <c:ptCount val="36"/>
                <c:pt idx="0">
                  <c:v>1.2254571612153791E-11</c:v>
                </c:pt>
                <c:pt idx="1">
                  <c:v>5.664899243035911E-3</c:v>
                </c:pt>
                <c:pt idx="2">
                  <c:v>0.11476682289463506</c:v>
                </c:pt>
                <c:pt idx="3">
                  <c:v>0.26858083483074041</c:v>
                </c:pt>
                <c:pt idx="4">
                  <c:v>0.37511264654072879</c:v>
                </c:pt>
                <c:pt idx="5">
                  <c:v>0.43028217583891876</c:v>
                </c:pt>
                <c:pt idx="6">
                  <c:v>0.44972538008389973</c:v>
                </c:pt>
                <c:pt idx="7">
                  <c:v>0.4473602722560176</c:v>
                </c:pt>
                <c:pt idx="8">
                  <c:v>0.43267996565254779</c:v>
                </c:pt>
                <c:pt idx="9">
                  <c:v>0.41167269496804826</c:v>
                </c:pt>
                <c:pt idx="10">
                  <c:v>0.38798551320986707</c:v>
                </c:pt>
                <c:pt idx="11">
                  <c:v>0.36377964336765978</c:v>
                </c:pt>
                <c:pt idx="12">
                  <c:v>0.34029079791484346</c:v>
                </c:pt>
                <c:pt idx="13">
                  <c:v>0.31818372861788885</c:v>
                </c:pt>
                <c:pt idx="14">
                  <c:v>0.29777437535746309</c:v>
                </c:pt>
                <c:pt idx="15">
                  <c:v>0.27916880189514504</c:v>
                </c:pt>
                <c:pt idx="16">
                  <c:v>0.26235005029016567</c:v>
                </c:pt>
                <c:pt idx="17">
                  <c:v>0.24723231369866661</c:v>
                </c:pt>
                <c:pt idx="18">
                  <c:v>0.23369451448430742</c:v>
                </c:pt>
                <c:pt idx="19">
                  <c:v>0.22160086009150987</c:v>
                </c:pt>
                <c:pt idx="20">
                  <c:v>0.2108131543479472</c:v>
                </c:pt>
                <c:pt idx="21">
                  <c:v>0.20119789844700722</c:v>
                </c:pt>
                <c:pt idx="22">
                  <c:v>0.19263011848777067</c:v>
                </c:pt>
                <c:pt idx="23">
                  <c:v>0.18499515972625702</c:v>
                </c:pt>
                <c:pt idx="24">
                  <c:v>0.17818924203462341</c:v>
                </c:pt>
                <c:pt idx="25">
                  <c:v>0.17211928433947377</c:v>
                </c:pt>
                <c:pt idx="26">
                  <c:v>0.16670232060956133</c:v>
                </c:pt>
                <c:pt idx="27">
                  <c:v>0.16186471011327919</c:v>
                </c:pt>
                <c:pt idx="28">
                  <c:v>0.1575412671375731</c:v>
                </c:pt>
                <c:pt idx="29">
                  <c:v>0.15367438535813796</c:v>
                </c:pt>
                <c:pt idx="30">
                  <c:v>0.1502132000007024</c:v>
                </c:pt>
                <c:pt idx="31">
                  <c:v>0.14711281059991851</c:v>
                </c:pt>
                <c:pt idx="32">
                  <c:v>0.14433357446763348</c:v>
                </c:pt>
                <c:pt idx="33">
                  <c:v>0.14184047325035026</c:v>
                </c:pt>
                <c:pt idx="34">
                  <c:v>0.13960255042813341</c:v>
                </c:pt>
                <c:pt idx="35">
                  <c:v>0.13759241512855469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BCD-43A5-96F6-EEDE77262695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'1'!$R$31:$BA$31</c:f>
              <c:numCache>
                <c:formatCode>General</c:formatCode>
                <c:ptCount val="36"/>
                <c:pt idx="0">
                  <c:v>3.6107530278647831E-10</c:v>
                </c:pt>
                <c:pt idx="1">
                  <c:v>1.4944292010474754E-2</c:v>
                </c:pt>
                <c:pt idx="2">
                  <c:v>0.20365609348852892</c:v>
                </c:pt>
                <c:pt idx="3">
                  <c:v>0.41938291951852724</c:v>
                </c:pt>
                <c:pt idx="4">
                  <c:v>0.55116907545210159</c:v>
                </c:pt>
                <c:pt idx="5">
                  <c:v>0.6110585175322969</c:v>
                </c:pt>
                <c:pt idx="6">
                  <c:v>0.62554325015530454</c:v>
                </c:pt>
                <c:pt idx="7">
                  <c:v>0.61406195813228304</c:v>
                </c:pt>
                <c:pt idx="8">
                  <c:v>0.58880601274263933</c:v>
                </c:pt>
                <c:pt idx="9">
                  <c:v>0.55707338890480484</c:v>
                </c:pt>
                <c:pt idx="10">
                  <c:v>0.52313346230571456</c:v>
                </c:pt>
                <c:pt idx="11">
                  <c:v>0.48942269816972495</c:v>
                </c:pt>
                <c:pt idx="12">
                  <c:v>0.45727423282089896</c:v>
                </c:pt>
                <c:pt idx="13">
                  <c:v>0.42735913407437226</c:v>
                </c:pt>
                <c:pt idx="14">
                  <c:v>0.39995416089103547</c:v>
                </c:pt>
                <c:pt idx="15">
                  <c:v>0.37510515718021853</c:v>
                </c:pt>
                <c:pt idx="16">
                  <c:v>0.35272713755390361</c:v>
                </c:pt>
                <c:pt idx="17">
                  <c:v>0.33266557458354384</c:v>
                </c:pt>
                <c:pt idx="18">
                  <c:v>0.31473369033906412</c:v>
                </c:pt>
                <c:pt idx="19">
                  <c:v>0.29873481035431071</c:v>
                </c:pt>
                <c:pt idx="20">
                  <c:v>0.28447539092991159</c:v>
                </c:pt>
                <c:pt idx="21">
                  <c:v>0.27177223088809388</c:v>
                </c:pt>
                <c:pt idx="22">
                  <c:v>0.2604560815833839</c:v>
                </c:pt>
                <c:pt idx="23">
                  <c:v>0.25037305740808874</c:v>
                </c:pt>
                <c:pt idx="24">
                  <c:v>0.24138473609396291</c:v>
                </c:pt>
                <c:pt idx="25">
                  <c:v>0.23336751135872655</c:v>
                </c:pt>
                <c:pt idx="26">
                  <c:v>0.22621155118686109</c:v>
                </c:pt>
                <c:pt idx="27">
                  <c:v>0.21981958066386376</c:v>
                </c:pt>
                <c:pt idx="28">
                  <c:v>0.21410562202014616</c:v>
                </c:pt>
                <c:pt idx="29">
                  <c:v>0.208993769355203</c:v>
                </c:pt>
                <c:pt idx="30">
                  <c:v>0.20441704047198578</c:v>
                </c:pt>
                <c:pt idx="31">
                  <c:v>0.20031632628408327</c:v>
                </c:pt>
                <c:pt idx="32">
                  <c:v>0.19663944476408682</c:v>
                </c:pt>
                <c:pt idx="33">
                  <c:v>0.19334029837649658</c:v>
                </c:pt>
                <c:pt idx="34">
                  <c:v>0.1903781294170824</c:v>
                </c:pt>
                <c:pt idx="35">
                  <c:v>0.18771686537656307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BCD-43A5-96F6-EEDE77262695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'1'!$R$32:$BA$32</c:f>
              <c:numCache>
                <c:formatCode>General</c:formatCode>
                <c:ptCount val="36"/>
                <c:pt idx="0">
                  <c:v>8.6666043504899651E-9</c:v>
                </c:pt>
                <c:pt idx="1">
                  <c:v>3.7307828318168652E-2</c:v>
                </c:pt>
                <c:pt idx="2">
                  <c:v>0.35059461721036472</c:v>
                </c:pt>
                <c:pt idx="3">
                  <c:v>0.64050258784378034</c:v>
                </c:pt>
                <c:pt idx="4">
                  <c:v>0.79528233845814578</c:v>
                </c:pt>
                <c:pt idx="5">
                  <c:v>0.85416507597562319</c:v>
                </c:pt>
                <c:pt idx="6">
                  <c:v>0.85773370767121637</c:v>
                </c:pt>
                <c:pt idx="7">
                  <c:v>0.83176862547505992</c:v>
                </c:pt>
                <c:pt idx="8">
                  <c:v>0.79129077898643108</c:v>
                </c:pt>
                <c:pt idx="9">
                  <c:v>0.74485162481010647</c:v>
                </c:pt>
                <c:pt idx="10">
                  <c:v>0.69724723216956386</c:v>
                </c:pt>
                <c:pt idx="11">
                  <c:v>0.65109700886281052</c:v>
                </c:pt>
                <c:pt idx="12">
                  <c:v>0.6077528713342033</c:v>
                </c:pt>
                <c:pt idx="13">
                  <c:v>0.5678277637325172</c:v>
                </c:pt>
                <c:pt idx="14">
                  <c:v>0.53150698616597092</c:v>
                </c:pt>
                <c:pt idx="15">
                  <c:v>0.49873367262100099</c:v>
                </c:pt>
                <c:pt idx="16">
                  <c:v>0.46932004183086234</c:v>
                </c:pt>
                <c:pt idx="17">
                  <c:v>0.44301415351214535</c:v>
                </c:pt>
                <c:pt idx="18">
                  <c:v>0.41953964462042914</c:v>
                </c:pt>
                <c:pt idx="19">
                  <c:v>0.39861891211667622</c:v>
                </c:pt>
                <c:pt idx="20">
                  <c:v>0.37998611423309714</c:v>
                </c:pt>
                <c:pt idx="21">
                  <c:v>0.36339392051018671</c:v>
                </c:pt>
                <c:pt idx="22">
                  <c:v>0.34861645789515522</c:v>
                </c:pt>
                <c:pt idx="23">
                  <c:v>0.33544998535380516</c:v>
                </c:pt>
                <c:pt idx="24">
                  <c:v>0.32371225792737557</c:v>
                </c:pt>
                <c:pt idx="25">
                  <c:v>0.31324118070497936</c:v>
                </c:pt>
                <c:pt idx="26">
                  <c:v>0.30389312438684318</c:v>
                </c:pt>
                <c:pt idx="27">
                  <c:v>0.29554112844437019</c:v>
                </c:pt>
                <c:pt idx="28">
                  <c:v>0.28807312518530248</c:v>
                </c:pt>
                <c:pt idx="29">
                  <c:v>0.28139025931492101</c:v>
                </c:pt>
                <c:pt idx="30">
                  <c:v>0.2754053407513648</c:v>
                </c:pt>
                <c:pt idx="31">
                  <c:v>0.27004144573146022</c:v>
                </c:pt>
                <c:pt idx="32">
                  <c:v>0.26523066760415948</c:v>
                </c:pt>
                <c:pt idx="33">
                  <c:v>0.26091301088416496</c:v>
                </c:pt>
                <c:pt idx="34">
                  <c:v>0.25703541800046115</c:v>
                </c:pt>
                <c:pt idx="35">
                  <c:v>0.25355091633759164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BCD-43A5-96F6-EEDE77262695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'1'!$R$33:$BA$33</c:f>
              <c:numCache>
                <c:formatCode>General</c:formatCode>
                <c:ptCount val="36"/>
                <c:pt idx="0">
                  <c:v>1.6945394864462243E-7</c:v>
                </c:pt>
                <c:pt idx="1">
                  <c:v>8.8138582855547959E-2</c:v>
                </c:pt>
                <c:pt idx="2">
                  <c:v>0.5855174790170411</c:v>
                </c:pt>
                <c:pt idx="3">
                  <c:v>0.9567654183926616</c:v>
                </c:pt>
                <c:pt idx="4">
                  <c:v>1.1268631885988383</c:v>
                </c:pt>
                <c:pt idx="5">
                  <c:v>1.1752503291580993</c:v>
                </c:pt>
                <c:pt idx="6">
                  <c:v>1.1593986848114339</c:v>
                </c:pt>
                <c:pt idx="7">
                  <c:v>1.1118045281092692</c:v>
                </c:pt>
                <c:pt idx="8">
                  <c:v>1.0501670611745857</c:v>
                </c:pt>
                <c:pt idx="9">
                  <c:v>0.98406578496690633</c:v>
                </c:pt>
                <c:pt idx="10">
                  <c:v>0.91862530579417956</c:v>
                </c:pt>
                <c:pt idx="11">
                  <c:v>0.85649172745551383</c:v>
                </c:pt>
                <c:pt idx="12">
                  <c:v>0.79891591702955034</c:v>
                </c:pt>
                <c:pt idx="13">
                  <c:v>0.74636087440387799</c:v>
                </c:pt>
                <c:pt idx="14">
                  <c:v>0.69884939944235536</c:v>
                </c:pt>
                <c:pt idx="15">
                  <c:v>0.65616619268437903</c:v>
                </c:pt>
                <c:pt idx="16">
                  <c:v>0.61797631723441138</c:v>
                </c:pt>
                <c:pt idx="17">
                  <c:v>0.58389459453822923</c:v>
                </c:pt>
                <c:pt idx="18">
                  <c:v>0.55352575666426029</c:v>
                </c:pt>
                <c:pt idx="19">
                  <c:v>0.52648699020871548</c:v>
                </c:pt>
                <c:pt idx="20">
                  <c:v>0.50241983610153007</c:v>
                </c:pt>
                <c:pt idx="21">
                  <c:v>0.48099567817187538</c:v>
                </c:pt>
                <c:pt idx="22">
                  <c:v>0.46191742118128409</c:v>
                </c:pt>
                <c:pt idx="23">
                  <c:v>0.44491896588879715</c:v>
                </c:pt>
                <c:pt idx="24">
                  <c:v>0.42976347555204525</c:v>
                </c:pt>
                <c:pt idx="25">
                  <c:v>0.41624104558796798</c:v>
                </c:pt>
                <c:pt idx="26">
                  <c:v>0.40416614760307706</c:v>
                </c:pt>
                <c:pt idx="27">
                  <c:v>0.39337506738855532</c:v>
                </c:pt>
                <c:pt idx="28">
                  <c:v>0.38372346104029054</c:v>
                </c:pt>
                <c:pt idx="29">
                  <c:v>0.37508409369431761</c:v>
                </c:pt>
                <c:pt idx="30">
                  <c:v>0.36734478856384767</c:v>
                </c:pt>
                <c:pt idx="31">
                  <c:v>0.36040659178974399</c:v>
                </c:pt>
                <c:pt idx="32">
                  <c:v>0.35418214577540241</c:v>
                </c:pt>
                <c:pt idx="33">
                  <c:v>0.34859425674657857</c:v>
                </c:pt>
                <c:pt idx="34">
                  <c:v>0.34357463903980329</c:v>
                </c:pt>
                <c:pt idx="35">
                  <c:v>0.33906281764471852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BCD-43A5-96F6-EEDE77262695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'1'!$R$34:$BA$34</c:f>
              <c:numCache>
                <c:formatCode>General</c:formatCode>
                <c:ptCount val="36"/>
                <c:pt idx="0">
                  <c:v>2.6990190659109953E-6</c:v>
                </c:pt>
                <c:pt idx="1">
                  <c:v>0.19704872380701655</c:v>
                </c:pt>
                <c:pt idx="2">
                  <c:v>0.94863964370076126</c:v>
                </c:pt>
                <c:pt idx="3">
                  <c:v>1.3978625868411061</c:v>
                </c:pt>
                <c:pt idx="4">
                  <c:v>1.567957926823538</c:v>
                </c:pt>
                <c:pt idx="5">
                  <c:v>1.5916534497420409</c:v>
                </c:pt>
                <c:pt idx="6">
                  <c:v>1.5448926954976276</c:v>
                </c:pt>
                <c:pt idx="7">
                  <c:v>1.4665264650016854</c:v>
                </c:pt>
                <c:pt idx="8">
                  <c:v>1.3763823625995739</c:v>
                </c:pt>
                <c:pt idx="9">
                  <c:v>1.2846224300993572</c:v>
                </c:pt>
                <c:pt idx="10">
                  <c:v>1.1963749708780178</c:v>
                </c:pt>
                <c:pt idx="11">
                  <c:v>1.1140803755221207</c:v>
                </c:pt>
                <c:pt idx="12">
                  <c:v>1.0387209552271273</c:v>
                </c:pt>
                <c:pt idx="13">
                  <c:v>0.97048698391013555</c:v>
                </c:pt>
                <c:pt idx="14">
                  <c:v>0.90914692946076681</c:v>
                </c:pt>
                <c:pt idx="15">
                  <c:v>0.85425693628265986</c:v>
                </c:pt>
                <c:pt idx="16">
                  <c:v>0.80528028651660366</c:v>
                </c:pt>
                <c:pt idx="17">
                  <c:v>0.76165521665406433</c:v>
                </c:pt>
                <c:pt idx="18">
                  <c:v>0.72283257953431546</c:v>
                </c:pt>
                <c:pt idx="19">
                  <c:v>0.68829571429039316</c:v>
                </c:pt>
                <c:pt idx="20">
                  <c:v>0.65756979463667176</c:v>
                </c:pt>
                <c:pt idx="21">
                  <c:v>0.63022500406063409</c:v>
                </c:pt>
                <c:pt idx="22">
                  <c:v>0.60587616881954731</c:v>
                </c:pt>
                <c:pt idx="23">
                  <c:v>0.58418044925840595</c:v>
                </c:pt>
                <c:pt idx="24">
                  <c:v>0.56483406188166385</c:v>
                </c:pt>
                <c:pt idx="25">
                  <c:v>0.54756861726177142</c:v>
                </c:pt>
                <c:pt idx="26">
                  <c:v>0.53214741828219725</c:v>
                </c:pt>
                <c:pt idx="27">
                  <c:v>0.51836191346480831</c:v>
                </c:pt>
                <c:pt idx="28">
                  <c:v>0.50602840725727016</c:v>
                </c:pt>
                <c:pt idx="29">
                  <c:v>0.4949850721697307</c:v>
                </c:pt>
                <c:pt idx="30">
                  <c:v>0.48508927339937541</c:v>
                </c:pt>
                <c:pt idx="31">
                  <c:v>0.47621519673076085</c:v>
                </c:pt>
                <c:pt idx="32">
                  <c:v>0.46825175972368244</c:v>
                </c:pt>
                <c:pt idx="33">
                  <c:v>0.4611007810793728</c:v>
                </c:pt>
                <c:pt idx="34">
                  <c:v>0.45467538141083752</c:v>
                </c:pt>
                <c:pt idx="35">
                  <c:v>0.44889858902222418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BCD-43A5-96F6-EEDE77262695}"/>
            </c:ext>
          </c:extLst>
        </c:ser>
        <c:ser>
          <c:idx val="13"/>
          <c:order val="13"/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'1'!$R$35:$BA$35</c:f>
              <c:numCache>
                <c:formatCode>General</c:formatCode>
                <c:ptCount val="36"/>
                <c:pt idx="0">
                  <c:v>3.5019645699244213E-5</c:v>
                </c:pt>
                <c:pt idx="1">
                  <c:v>0.41689113378031811</c:v>
                </c:pt>
                <c:pt idx="2">
                  <c:v>1.4910405712863048</c:v>
                </c:pt>
                <c:pt idx="3">
                  <c:v>1.9975512190046609</c:v>
                </c:pt>
                <c:pt idx="4">
                  <c:v>2.142451390022567</c:v>
                </c:pt>
                <c:pt idx="5">
                  <c:v>2.1217597704114977</c:v>
                </c:pt>
                <c:pt idx="6">
                  <c:v>2.0293129494312487</c:v>
                </c:pt>
                <c:pt idx="7">
                  <c:v>1.9089165060992292</c:v>
                </c:pt>
                <c:pt idx="8">
                  <c:v>1.7814688141247101</c:v>
                </c:pt>
                <c:pt idx="9">
                  <c:v>1.6570052157852906</c:v>
                </c:pt>
                <c:pt idx="10">
                  <c:v>1.5401873073939654</c:v>
                </c:pt>
                <c:pt idx="11">
                  <c:v>1.4329325727804203</c:v>
                </c:pt>
                <c:pt idx="12">
                  <c:v>1.3357355278683813</c:v>
                </c:pt>
                <c:pt idx="13">
                  <c:v>1.2483580726476762</c:v>
                </c:pt>
                <c:pt idx="14">
                  <c:v>1.1702008716898491</c:v>
                </c:pt>
                <c:pt idx="15">
                  <c:v>1.1005066735581208</c:v>
                </c:pt>
                <c:pt idx="16">
                  <c:v>1.0384720393431641</c:v>
                </c:pt>
                <c:pt idx="17">
                  <c:v>0.98330783585886827</c:v>
                </c:pt>
                <c:pt idx="18">
                  <c:v>0.93427055103830936</c:v>
                </c:pt>
                <c:pt idx="19">
                  <c:v>0.89067684855011975</c:v>
                </c:pt>
                <c:pt idx="20">
                  <c:v>0.85190851921352728</c:v>
                </c:pt>
                <c:pt idx="21">
                  <c:v>0.81741202818689096</c:v>
                </c:pt>
                <c:pt idx="22">
                  <c:v>0.78669514823059072</c:v>
                </c:pt>
                <c:pt idx="23">
                  <c:v>0.75932216081782</c:v>
                </c:pt>
                <c:pt idx="24">
                  <c:v>0.73490850140285391</c:v>
                </c:pt>
                <c:pt idx="25">
                  <c:v>0.71311535733994524</c:v>
                </c:pt>
                <c:pt idx="26">
                  <c:v>0.69364450210664319</c:v>
                </c:pt>
                <c:pt idx="27">
                  <c:v>0.67623351207705296</c:v>
                </c:pt>
                <c:pt idx="28">
                  <c:v>0.66065142879853045</c:v>
                </c:pt>
                <c:pt idx="29">
                  <c:v>0.64669488018771526</c:v>
                </c:pt>
                <c:pt idx="30">
                  <c:v>0.63418464563928856</c:v>
                </c:pt>
                <c:pt idx="31">
                  <c:v>0.62296263479219338</c:v>
                </c:pt>
                <c:pt idx="32">
                  <c:v>0.61288924259228172</c:v>
                </c:pt>
                <c:pt idx="33">
                  <c:v>0.6038410411252344</c:v>
                </c:pt>
                <c:pt idx="34">
                  <c:v>0.5957087694301334</c:v>
                </c:pt>
                <c:pt idx="35">
                  <c:v>0.58839558484904519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BCD-43A5-96F6-EEDE77262695}"/>
            </c:ext>
          </c:extLst>
        </c:ser>
        <c:ser>
          <c:idx val="14"/>
          <c:order val="14"/>
          <c:spPr>
            <a:solidFill>
              <a:schemeClr val="accent3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'1'!$R$36:$BA$36</c:f>
              <c:numCache>
                <c:formatCode>General</c:formatCode>
                <c:ptCount val="36"/>
                <c:pt idx="0">
                  <c:v>3.7014260726126564E-4</c:v>
                </c:pt>
                <c:pt idx="1">
                  <c:v>0.83466684106678179</c:v>
                </c:pt>
                <c:pt idx="2">
                  <c:v>2.2735496194861873</c:v>
                </c:pt>
                <c:pt idx="3">
                  <c:v>2.7919381757806763</c:v>
                </c:pt>
                <c:pt idx="4">
                  <c:v>2.8747554627450516</c:v>
                </c:pt>
                <c:pt idx="5">
                  <c:v>2.7840271678996977</c:v>
                </c:pt>
                <c:pt idx="6">
                  <c:v>2.6277553209583737</c:v>
                </c:pt>
                <c:pt idx="7">
                  <c:v>2.451994683364668</c:v>
                </c:pt>
                <c:pt idx="8">
                  <c:v>2.2770667847461366</c:v>
                </c:pt>
                <c:pt idx="9">
                  <c:v>2.1118800920086809</c:v>
                </c:pt>
                <c:pt idx="10">
                  <c:v>1.9600045032083799</c:v>
                </c:pt>
                <c:pt idx="11">
                  <c:v>1.8224300375645148</c:v>
                </c:pt>
                <c:pt idx="12">
                  <c:v>1.6988922167144533</c:v>
                </c:pt>
                <c:pt idx="13">
                  <c:v>1.5885366596892176</c:v>
                </c:pt>
                <c:pt idx="14">
                  <c:v>1.4902619715284962</c:v>
                </c:pt>
                <c:pt idx="15">
                  <c:v>1.402898822601963</c:v>
                </c:pt>
                <c:pt idx="16">
                  <c:v>1.3253026073381429</c:v>
                </c:pt>
                <c:pt idx="17">
                  <c:v>1.2563993178116228</c:v>
                </c:pt>
                <c:pt idx="18">
                  <c:v>1.1952057035359249</c:v>
                </c:pt>
                <c:pt idx="19">
                  <c:v>1.140835269605166</c:v>
                </c:pt>
                <c:pt idx="20">
                  <c:v>1.0924966001109779</c:v>
                </c:pt>
                <c:pt idx="21">
                  <c:v>1.0494877099437765</c:v>
                </c:pt>
                <c:pt idx="22">
                  <c:v>1.0111885552858615</c:v>
                </c:pt>
                <c:pt idx="23">
                  <c:v>0.97705292423438539</c:v>
                </c:pt>
                <c:pt idx="24">
                  <c:v>0.94660039480585767</c:v>
                </c:pt>
                <c:pt idx="25">
                  <c:v>0.91940873026415459</c:v>
                </c:pt>
                <c:pt idx="26">
                  <c:v>0.89510689265347887</c:v>
                </c:pt>
                <c:pt idx="27">
                  <c:v>0.87336874349430482</c:v>
                </c:pt>
                <c:pt idx="28">
                  <c:v>0.85390743563296101</c:v>
                </c:pt>
                <c:pt idx="29">
                  <c:v>0.83647046403516356</c:v>
                </c:pt>
                <c:pt idx="30">
                  <c:v>0.82083532473467069</c:v>
                </c:pt>
                <c:pt idx="31">
                  <c:v>0.8068057232728153</c:v>
                </c:pt>
                <c:pt idx="32">
                  <c:v>0.79420827246532755</c:v>
                </c:pt>
                <c:pt idx="33">
                  <c:v>0.78288962149296559</c:v>
                </c:pt>
                <c:pt idx="34">
                  <c:v>0.77271396243126511</c:v>
                </c:pt>
                <c:pt idx="35">
                  <c:v>0.76356086535708867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1BCD-43A5-96F6-EEDE77262695}"/>
            </c:ext>
          </c:extLst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'1'!$R$37:$BA$37</c:f>
              <c:numCache>
                <c:formatCode>General</c:formatCode>
                <c:ptCount val="36"/>
                <c:pt idx="0">
                  <c:v>3.1869697993858154E-3</c:v>
                </c:pt>
                <c:pt idx="1">
                  <c:v>1.5814123698451557</c:v>
                </c:pt>
                <c:pt idx="2">
                  <c:v>3.363149695908306</c:v>
                </c:pt>
                <c:pt idx="3">
                  <c:v>3.8167006704643485</c:v>
                </c:pt>
                <c:pt idx="4">
                  <c:v>3.787949650476321</c:v>
                </c:pt>
                <c:pt idx="5">
                  <c:v>3.5956738345779571</c:v>
                </c:pt>
                <c:pt idx="6">
                  <c:v>3.3543317439109135</c:v>
                </c:pt>
                <c:pt idx="7">
                  <c:v>3.1080477146445529</c:v>
                </c:pt>
                <c:pt idx="8">
                  <c:v>2.87429759489476</c:v>
                </c:pt>
                <c:pt idx="9">
                  <c:v>2.6595713329951582</c:v>
                </c:pt>
                <c:pt idx="10">
                  <c:v>2.4655732295768091</c:v>
                </c:pt>
                <c:pt idx="11">
                  <c:v>2.2918798903529813</c:v>
                </c:pt>
                <c:pt idx="12">
                  <c:v>2.1371496838448851</c:v>
                </c:pt>
                <c:pt idx="13">
                  <c:v>1.9996957255978607</c:v>
                </c:pt>
                <c:pt idx="14">
                  <c:v>1.8777625889412242</c:v>
                </c:pt>
                <c:pt idx="15">
                  <c:v>1.7696587367820542</c:v>
                </c:pt>
                <c:pt idx="16">
                  <c:v>1.6738163335720551</c:v>
                </c:pt>
                <c:pt idx="17">
                  <c:v>1.5888137756140588</c:v>
                </c:pt>
                <c:pt idx="18">
                  <c:v>1.5133790247945738</c:v>
                </c:pt>
                <c:pt idx="19">
                  <c:v>1.4463832759620918</c:v>
                </c:pt>
                <c:pt idx="20">
                  <c:v>1.3868300844737254</c:v>
                </c:pt>
                <c:pt idx="21">
                  <c:v>1.3338427390072922</c:v>
                </c:pt>
                <c:pt idx="22">
                  <c:v>1.2866513855582662</c:v>
                </c:pt>
                <c:pt idx="23">
                  <c:v>1.2445806947297395</c:v>
                </c:pt>
                <c:pt idx="24">
                  <c:v>1.207038460518568</c:v>
                </c:pt>
                <c:pt idx="25">
                  <c:v>1.1735052892188167</c:v>
                </c:pt>
                <c:pt idx="26">
                  <c:v>1.143525407674242</c:v>
                </c:pt>
                <c:pt idx="27">
                  <c:v>1.1166985492495032</c:v>
                </c:pt>
                <c:pt idx="28">
                  <c:v>1.0926728395453613</c:v>
                </c:pt>
                <c:pt idx="29">
                  <c:v>1.0711385879172526</c:v>
                </c:pt>
                <c:pt idx="30">
                  <c:v>1.0518228867963795</c:v>
                </c:pt>
                <c:pt idx="31">
                  <c:v>1.0344849235173195</c:v>
                </c:pt>
                <c:pt idx="32">
                  <c:v>1.0189119156880284</c:v>
                </c:pt>
                <c:pt idx="33">
                  <c:v>1.0049155891850565</c:v>
                </c:pt>
                <c:pt idx="34">
                  <c:v>0.99232912646644</c:v>
                </c:pt>
                <c:pt idx="35">
                  <c:v>0.98100452139113337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1BCD-43A5-96F6-EEDE77262695}"/>
            </c:ext>
          </c:extLst>
        </c:ser>
        <c:ser>
          <c:idx val="16"/>
          <c:order val="16"/>
          <c:spPr>
            <a:solidFill>
              <a:schemeClr val="accent5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'1'!$R$38:$BA$38</c:f>
              <c:numCache>
                <c:formatCode>General</c:formatCode>
                <c:ptCount val="36"/>
                <c:pt idx="0">
                  <c:v>2.2353130448083118E-2</c:v>
                </c:pt>
                <c:pt idx="1">
                  <c:v>2.835427660992774</c:v>
                </c:pt>
                <c:pt idx="2">
                  <c:v>4.8263047934214676</c:v>
                </c:pt>
                <c:pt idx="3">
                  <c:v>5.1032264028089847</c:v>
                </c:pt>
                <c:pt idx="4">
                  <c:v>4.9014078999601338</c:v>
                </c:pt>
                <c:pt idx="5">
                  <c:v>4.5710573800817462</c:v>
                </c:pt>
                <c:pt idx="6">
                  <c:v>4.2209702456254234</c:v>
                </c:pt>
                <c:pt idx="7">
                  <c:v>3.8876879018339858</c:v>
                </c:pt>
                <c:pt idx="8">
                  <c:v>3.5829942690985708</c:v>
                </c:pt>
                <c:pt idx="9">
                  <c:v>3.3094135144242394</c:v>
                </c:pt>
                <c:pt idx="10">
                  <c:v>3.0658863400859651</c:v>
                </c:pt>
                <c:pt idx="11">
                  <c:v>2.850025345559422</c:v>
                </c:pt>
                <c:pt idx="12">
                  <c:v>2.6590580577379024</c:v>
                </c:pt>
                <c:pt idx="13">
                  <c:v>2.4902285250915894</c:v>
                </c:pt>
                <c:pt idx="14">
                  <c:v>2.3409633058134993</c:v>
                </c:pt>
                <c:pt idx="15">
                  <c:v>2.2089312635113245</c:v>
                </c:pt>
                <c:pt idx="16">
                  <c:v>2.0920547938582672</c:v>
                </c:pt>
                <c:pt idx="17">
                  <c:v>1.9884991709580069</c:v>
                </c:pt>
                <c:pt idx="18">
                  <c:v>1.8966527287818129</c:v>
                </c:pt>
                <c:pt idx="19">
                  <c:v>1.8151040295333114</c:v>
                </c:pt>
                <c:pt idx="20">
                  <c:v>1.7426189869642557</c:v>
                </c:pt>
                <c:pt idx="21">
                  <c:v>1.6781193284136304</c:v>
                </c:pt>
                <c:pt idx="22">
                  <c:v>1.620662977017342</c:v>
                </c:pt>
                <c:pt idx="23">
                  <c:v>1.5694265264623728</c:v>
                </c:pt>
                <c:pt idx="24">
                  <c:v>1.5236897743124596</c:v>
                </c:pt>
                <c:pt idx="25">
                  <c:v>1.4828221802326536</c:v>
                </c:pt>
                <c:pt idx="26">
                  <c:v>1.4462710726300403</c:v>
                </c:pt>
                <c:pt idx="27">
                  <c:v>1.4135514148853856</c:v>
                </c:pt>
                <c:pt idx="28">
                  <c:v>1.3842369461202777</c:v>
                </c:pt>
                <c:pt idx="29">
                  <c:v>1.35795252337532</c:v>
                </c:pt>
                <c:pt idx="30">
                  <c:v>1.3343675077041395</c:v>
                </c:pt>
                <c:pt idx="31">
                  <c:v>1.3131900535010075</c:v>
                </c:pt>
                <c:pt idx="32">
                  <c:v>1.2941621769763649</c:v>
                </c:pt>
                <c:pt idx="33">
                  <c:v>1.2770554953240703</c:v>
                </c:pt>
                <c:pt idx="34">
                  <c:v>1.2616675424194377</c:v>
                </c:pt>
                <c:pt idx="35">
                  <c:v>1.2478185797080819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1BCD-43A5-96F6-EEDE77262695}"/>
            </c:ext>
          </c:extLst>
        </c:ser>
        <c:ser>
          <c:idx val="17"/>
          <c:order val="17"/>
          <c:spPr>
            <a:solidFill>
              <a:schemeClr val="accent6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'1'!$R$39:$BA$39</c:f>
              <c:numCache>
                <c:formatCode>General</c:formatCode>
                <c:ptCount val="36"/>
                <c:pt idx="0">
                  <c:v>0.12771746607395557</c:v>
                </c:pt>
                <c:pt idx="1">
                  <c:v>4.8109792232359965</c:v>
                </c:pt>
                <c:pt idx="2">
                  <c:v>6.7190841045831533</c:v>
                </c:pt>
                <c:pt idx="3">
                  <c:v>6.6738432452607803</c:v>
                </c:pt>
                <c:pt idx="4">
                  <c:v>6.2280322684097262</c:v>
                </c:pt>
                <c:pt idx="5">
                  <c:v>5.719823380632441</c:v>
                </c:pt>
                <c:pt idx="6">
                  <c:v>5.2360496961406602</c:v>
                </c:pt>
                <c:pt idx="7">
                  <c:v>4.7987781319225249</c:v>
                </c:pt>
                <c:pt idx="8">
                  <c:v>4.4108157276611131</c:v>
                </c:pt>
                <c:pt idx="9">
                  <c:v>4.0689976129130372</c:v>
                </c:pt>
                <c:pt idx="10">
                  <c:v>3.7685258847545962</c:v>
                </c:pt>
                <c:pt idx="11">
                  <c:v>3.5044629241246965</c:v>
                </c:pt>
                <c:pt idx="12">
                  <c:v>3.2722348354056985</c:v>
                </c:pt>
                <c:pt idx="13">
                  <c:v>3.0677721297361682</c:v>
                </c:pt>
                <c:pt idx="14">
                  <c:v>2.8875159459901498</c:v>
                </c:pt>
                <c:pt idx="15">
                  <c:v>2.7283770190529886</c:v>
                </c:pt>
                <c:pt idx="16">
                  <c:v>2.5876814539881741</c:v>
                </c:pt>
                <c:pt idx="17">
                  <c:v>2.4631164500565195</c:v>
                </c:pt>
                <c:pt idx="18">
                  <c:v>2.3526806808989811</c:v>
                </c:pt>
                <c:pt idx="19">
                  <c:v>2.2546406210489387</c:v>
                </c:pt>
                <c:pt idx="20">
                  <c:v>2.1674927643086144</c:v>
                </c:pt>
                <c:pt idx="21">
                  <c:v>2.0899311974786188</c:v>
                </c:pt>
                <c:pt idx="22">
                  <c:v>2.0208198663575523</c:v>
                </c:pt>
                <c:pt idx="23">
                  <c:v>1.9591688847280579</c:v>
                </c:pt>
                <c:pt idx="24">
                  <c:v>1.9041143002673795</c:v>
                </c:pt>
                <c:pt idx="25">
                  <c:v>1.8549008063962509</c:v>
                </c:pt>
                <c:pt idx="26">
                  <c:v>1.8108669613866355</c:v>
                </c:pt>
                <c:pt idx="27">
                  <c:v>1.7714325406743654</c:v>
                </c:pt>
                <c:pt idx="28">
                  <c:v>1.7360877043087639</c:v>
                </c:pt>
                <c:pt idx="29">
                  <c:v>1.7043837093410015</c:v>
                </c:pt>
                <c:pt idx="30">
                  <c:v>1.675924937676845</c:v>
                </c:pt>
                <c:pt idx="31">
                  <c:v>1.6503620445120399</c:v>
                </c:pt>
                <c:pt idx="32">
                  <c:v>1.627386061847651</c:v>
                </c:pt>
                <c:pt idx="33">
                  <c:v>1.6067233165382484</c:v>
                </c:pt>
                <c:pt idx="34">
                  <c:v>1.5881310435246354</c:v>
                </c:pt>
                <c:pt idx="35">
                  <c:v>1.5713935929075475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BCD-43A5-96F6-EEDE77262695}"/>
            </c:ext>
          </c:extLst>
        </c:ser>
        <c:ser>
          <c:idx val="18"/>
          <c:order val="18"/>
          <c:spPr>
            <a:solidFill>
              <a:schemeClr val="accent1">
                <a:lumMod val="80000"/>
              </a:schemeClr>
            </a:solidFill>
            <a:ln/>
            <a:effectLst/>
            <a:sp3d/>
          </c:spPr>
          <c:val>
            <c:numRef>
              <c:f>'1'!$R$40:$BA$40</c:f>
              <c:numCache>
                <c:formatCode>General</c:formatCode>
                <c:ptCount val="36"/>
                <c:pt idx="0">
                  <c:v>0.59444786392420779</c:v>
                </c:pt>
                <c:pt idx="1">
                  <c:v>7.7248465331067502</c:v>
                </c:pt>
                <c:pt idx="2">
                  <c:v>9.0746982872422883</c:v>
                </c:pt>
                <c:pt idx="3">
                  <c:v>8.5365344684854492</c:v>
                </c:pt>
                <c:pt idx="4">
                  <c:v>7.7713097697220634</c:v>
                </c:pt>
                <c:pt idx="5">
                  <c:v>7.0449534330312362</c:v>
                </c:pt>
                <c:pt idx="6">
                  <c:v>6.4029545561392798</c:v>
                </c:pt>
                <c:pt idx="7">
                  <c:v>5.8452825833664965</c:v>
                </c:pt>
                <c:pt idx="8">
                  <c:v>5.362287984930588</c:v>
                </c:pt>
                <c:pt idx="9">
                  <c:v>4.9433440765566834</c:v>
                </c:pt>
                <c:pt idx="10">
                  <c:v>4.5789327221455016</c:v>
                </c:pt>
                <c:pt idx="11">
                  <c:v>4.2609858919979269</c:v>
                </c:pt>
                <c:pt idx="12">
                  <c:v>3.982766747953514</c:v>
                </c:pt>
                <c:pt idx="13">
                  <c:v>3.7386568058885241</c:v>
                </c:pt>
                <c:pt idx="14">
                  <c:v>3.5239524301713039</c:v>
                </c:pt>
                <c:pt idx="15">
                  <c:v>3.3346946082617399</c:v>
                </c:pt>
                <c:pt idx="16">
                  <c:v>3.1675324724556453</c:v>
                </c:pt>
                <c:pt idx="17">
                  <c:v>3.019615096677756</c:v>
                </c:pt>
                <c:pt idx="18">
                  <c:v>2.8885055654303406</c:v>
                </c:pt>
                <c:pt idx="19">
                  <c:v>2.7721122410038106</c:v>
                </c:pt>
                <c:pt idx="20">
                  <c:v>2.6686332839187128</c:v>
                </c:pt>
                <c:pt idx="21">
                  <c:v>2.5765114517489249</c:v>
                </c:pt>
                <c:pt idx="22">
                  <c:v>2.4943969508961823</c:v>
                </c:pt>
                <c:pt idx="23">
                  <c:v>2.4211166707690261</c:v>
                </c:pt>
                <c:pt idx="24">
                  <c:v>2.3556485343251401</c:v>
                </c:pt>
                <c:pt idx="25">
                  <c:v>2.2970999933310576</c:v>
                </c:pt>
                <c:pt idx="26">
                  <c:v>2.2446899123476434</c:v>
                </c:pt>
                <c:pt idx="27">
                  <c:v>2.1977332452453342</c:v>
                </c:pt>
                <c:pt idx="28">
                  <c:v>2.1556280281656788</c:v>
                </c:pt>
                <c:pt idx="29">
                  <c:v>2.1178443045446267</c:v>
                </c:pt>
                <c:pt idx="30">
                  <c:v>2.0839146689167993</c:v>
                </c:pt>
                <c:pt idx="31">
                  <c:v>2.0534261721651133</c:v>
                </c:pt>
                <c:pt idx="32">
                  <c:v>2.0260133754782204</c:v>
                </c:pt>
                <c:pt idx="33">
                  <c:v>2.00135237623364</c:v>
                </c:pt>
                <c:pt idx="34">
                  <c:v>1.979155658285876</c:v>
                </c:pt>
                <c:pt idx="35">
                  <c:v>1.9591676431350726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BCD-43A5-96F6-EEDE77262695}"/>
            </c:ext>
          </c:extLst>
        </c:ser>
        <c:ser>
          <c:idx val="19"/>
          <c:order val="19"/>
          <c:spPr>
            <a:solidFill>
              <a:schemeClr val="accent2">
                <a:lumMod val="80000"/>
              </a:schemeClr>
            </a:solidFill>
            <a:ln/>
            <a:effectLst/>
            <a:sp3d/>
          </c:spPr>
          <c:val>
            <c:numRef>
              <c:f>'1'!$R$41:$BA$41</c:f>
              <c:numCache>
                <c:formatCode>General</c:formatCode>
                <c:ptCount val="36"/>
                <c:pt idx="0">
                  <c:v>2.2538695927032029</c:v>
                </c:pt>
                <c:pt idx="1">
                  <c:v>11.737827109152079</c:v>
                </c:pt>
                <c:pt idx="2">
                  <c:v>11.889979266491556</c:v>
                </c:pt>
                <c:pt idx="3">
                  <c:v>10.679763255157836</c:v>
                </c:pt>
                <c:pt idx="4">
                  <c:v>9.5224992257203489</c:v>
                </c:pt>
                <c:pt idx="5">
                  <c:v>8.5408913536905686</c:v>
                </c:pt>
                <c:pt idx="6">
                  <c:v>7.718666373901157</c:v>
                </c:pt>
                <c:pt idx="7">
                  <c:v>7.0261256834035954</c:v>
                </c:pt>
                <c:pt idx="8">
                  <c:v>6.4378339836746656</c:v>
                </c:pt>
                <c:pt idx="9">
                  <c:v>5.9340506825568156</c:v>
                </c:pt>
                <c:pt idx="10">
                  <c:v>5.4996408621822948</c:v>
                </c:pt>
                <c:pt idx="11">
                  <c:v>5.1228849434595274</c:v>
                </c:pt>
                <c:pt idx="12">
                  <c:v>4.7945631845444989</c:v>
                </c:pt>
                <c:pt idx="13">
                  <c:v>4.5073025626879364</c:v>
                </c:pt>
                <c:pt idx="14">
                  <c:v>4.2551173737594583</c:v>
                </c:pt>
                <c:pt idx="15">
                  <c:v>4.0330838877755406</c:v>
                </c:pt>
                <c:pt idx="16">
                  <c:v>3.837106407706854</c:v>
                </c:pt>
                <c:pt idx="17">
                  <c:v>3.6637458887310137</c:v>
                </c:pt>
                <c:pt idx="18">
                  <c:v>3.5100919013810103</c:v>
                </c:pt>
                <c:pt idx="19">
                  <c:v>3.3736651190379559</c:v>
                </c:pt>
                <c:pt idx="20">
                  <c:v>3.2523417012348563</c:v>
                </c:pt>
                <c:pt idx="21">
                  <c:v>3.1442936888658095</c:v>
                </c:pt>
                <c:pt idx="22">
                  <c:v>3.0479413359795853</c:v>
                </c:pt>
                <c:pt idx="23">
                  <c:v>2.9619145064216408</c:v>
                </c:pt>
                <c:pt idx="24">
                  <c:v>2.8850210744404308</c:v>
                </c:pt>
                <c:pt idx="25">
                  <c:v>2.8162208223973133</c:v>
                </c:pt>
                <c:pt idx="26">
                  <c:v>2.754603713218605</c:v>
                </c:pt>
                <c:pt idx="27">
                  <c:v>2.6993716866057316</c:v>
                </c:pt>
                <c:pt idx="28">
                  <c:v>2.6498233229743886</c:v>
                </c:pt>
                <c:pt idx="29">
                  <c:v>2.6053408617030906</c:v>
                </c:pt>
                <c:pt idx="30">
                  <c:v>2.5653791664787797</c:v>
                </c:pt>
                <c:pt idx="31">
                  <c:v>2.5294563110012365</c:v>
                </c:pt>
                <c:pt idx="32">
                  <c:v>2.4971455202741693</c:v>
                </c:pt>
                <c:pt idx="33">
                  <c:v>2.4680682511278964</c:v>
                </c:pt>
                <c:pt idx="34">
                  <c:v>2.4418882339408463</c:v>
                </c:pt>
                <c:pt idx="35">
                  <c:v>2.4183063281995461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BCD-43A5-96F6-EEDE77262695}"/>
            </c:ext>
          </c:extLst>
        </c:ser>
        <c:ser>
          <c:idx val="20"/>
          <c:order val="20"/>
          <c:spPr>
            <a:solidFill>
              <a:schemeClr val="accent3">
                <a:lumMod val="80000"/>
              </a:schemeClr>
            </a:solidFill>
            <a:ln/>
            <a:effectLst/>
            <a:sp3d/>
          </c:spPr>
          <c:val>
            <c:numRef>
              <c:f>'1'!$R$42:$BA$42</c:f>
              <c:numCache>
                <c:formatCode>General</c:formatCode>
                <c:ptCount val="36"/>
                <c:pt idx="0">
                  <c:v>6.9613798925482335</c:v>
                </c:pt>
                <c:pt idx="1">
                  <c:v>16.878234859371897</c:v>
                </c:pt>
                <c:pt idx="2">
                  <c:v>15.113212375863922</c:v>
                </c:pt>
                <c:pt idx="3">
                  <c:v>13.068209363372329</c:v>
                </c:pt>
                <c:pt idx="4">
                  <c:v>11.458322206001363</c:v>
                </c:pt>
                <c:pt idx="5">
                  <c:v>10.191962813017701</c:v>
                </c:pt>
                <c:pt idx="6">
                  <c:v>9.1725335819496099</c:v>
                </c:pt>
                <c:pt idx="7">
                  <c:v>8.3341608720985718</c:v>
                </c:pt>
                <c:pt idx="8">
                  <c:v>7.6328693853520431</c:v>
                </c:pt>
                <c:pt idx="9">
                  <c:v>7.0384765579443274</c:v>
                </c:pt>
                <c:pt idx="10">
                  <c:v>6.5295267492344102</c:v>
                </c:pt>
                <c:pt idx="11">
                  <c:v>6.0902481279207272</c:v>
                </c:pt>
                <c:pt idx="12">
                  <c:v>5.7086968992862488</c:v>
                </c:pt>
                <c:pt idx="13">
                  <c:v>5.3755936516611067</c:v>
                </c:pt>
                <c:pt idx="14">
                  <c:v>5.0835712186184825</c:v>
                </c:pt>
                <c:pt idx="15">
                  <c:v>4.8266737779859952</c:v>
                </c:pt>
                <c:pt idx="16">
                  <c:v>4.6000135869214374</c:v>
                </c:pt>
                <c:pt idx="17">
                  <c:v>4.3995292869756932</c:v>
                </c:pt>
                <c:pt idx="18">
                  <c:v>4.2218113420479897</c:v>
                </c:pt>
                <c:pt idx="19">
                  <c:v>4.0639729463876613</c:v>
                </c:pt>
                <c:pt idx="20">
                  <c:v>3.9235524647171429</c:v>
                </c:pt>
                <c:pt idx="21">
                  <c:v>3.7984382417635274</c:v>
                </c:pt>
                <c:pt idx="22">
                  <c:v>3.68680963097562</c:v>
                </c:pt>
                <c:pt idx="23">
                  <c:v>3.5870900291901449</c:v>
                </c:pt>
                <c:pt idx="24">
                  <c:v>3.4979089722914676</c:v>
                </c:pt>
                <c:pt idx="25">
                  <c:v>3.4180711921694344</c:v>
                </c:pt>
                <c:pt idx="26">
                  <c:v>3.3465311086034779</c:v>
                </c:pt>
                <c:pt idx="27">
                  <c:v>3.2823716255085897</c:v>
                </c:pt>
                <c:pt idx="28">
                  <c:v>3.2247863791519515</c:v>
                </c:pt>
                <c:pt idx="29">
                  <c:v>3.1730647849843967</c:v>
                </c:pt>
                <c:pt idx="30">
                  <c:v>3.1265793747005644</c:v>
                </c:pt>
                <c:pt idx="31">
                  <c:v>3.0847750225822552</c:v>
                </c:pt>
                <c:pt idx="32">
                  <c:v>3.0471597411413907</c:v>
                </c:pt>
                <c:pt idx="33">
                  <c:v>3.0132967880442627</c:v>
                </c:pt>
                <c:pt idx="34">
                  <c:v>2.9827978744054051</c:v>
                </c:pt>
                <c:pt idx="35">
                  <c:v>2.9553173023675776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1BCD-43A5-96F6-EEDE77262695}"/>
            </c:ext>
          </c:extLst>
        </c:ser>
        <c:ser>
          <c:idx val="21"/>
          <c:order val="21"/>
          <c:spPr>
            <a:solidFill>
              <a:schemeClr val="accent4">
                <a:lumMod val="80000"/>
              </a:schemeClr>
            </a:solidFill>
            <a:ln/>
            <a:effectLst/>
            <a:sp3d/>
          </c:spPr>
          <c:val>
            <c:numRef>
              <c:f>'1'!$R$43:$BA$43</c:f>
              <c:numCache>
                <c:formatCode>General</c:formatCode>
                <c:ptCount val="36"/>
                <c:pt idx="0">
                  <c:v>17.515132250264358</c:v>
                </c:pt>
                <c:pt idx="1">
                  <c:v>22.967187318448829</c:v>
                </c:pt>
                <c:pt idx="2">
                  <c:v>18.63628135614583</c:v>
                </c:pt>
                <c:pt idx="3">
                  <c:v>15.640296160755888</c:v>
                </c:pt>
                <c:pt idx="4">
                  <c:v>13.539557583093725</c:v>
                </c:pt>
                <c:pt idx="5">
                  <c:v>11.971319614374522</c:v>
                </c:pt>
                <c:pt idx="6">
                  <c:v>10.745374141738774</c:v>
                </c:pt>
                <c:pt idx="7">
                  <c:v>9.7553623813324304</c:v>
                </c:pt>
                <c:pt idx="8">
                  <c:v>8.9370524617214535</c:v>
                </c:pt>
                <c:pt idx="9">
                  <c:v>8.2490339648845321</c:v>
                </c:pt>
                <c:pt idx="10">
                  <c:v>7.6631334442697527</c:v>
                </c:pt>
                <c:pt idx="11">
                  <c:v>7.1593113707587728</c:v>
                </c:pt>
                <c:pt idx="12">
                  <c:v>6.7227767355401067</c:v>
                </c:pt>
                <c:pt idx="13">
                  <c:v>6.3422705089146953</c:v>
                </c:pt>
                <c:pt idx="14">
                  <c:v>6.0089991308580633</c:v>
                </c:pt>
                <c:pt idx="15">
                  <c:v>5.7159463281981573</c:v>
                </c:pt>
                <c:pt idx="16">
                  <c:v>5.4574138722130536</c:v>
                </c:pt>
                <c:pt idx="17">
                  <c:v>5.2287056618569201</c:v>
                </c:pt>
                <c:pt idx="18">
                  <c:v>5.0259042860925005</c:v>
                </c:pt>
                <c:pt idx="19">
                  <c:v>4.8457089181380688</c:v>
                </c:pt>
                <c:pt idx="20">
                  <c:v>4.6853149324721546</c:v>
                </c:pt>
                <c:pt idx="21">
                  <c:v>4.5423225908153171</c:v>
                </c:pt>
                <c:pt idx="22">
                  <c:v>4.4146664434773113</c:v>
                </c:pt>
                <c:pt idx="23">
                  <c:v>4.3005598116399222</c:v>
                </c:pt>
                <c:pt idx="24">
                  <c:v>4.1984504712465354</c:v>
                </c:pt>
                <c:pt idx="25">
                  <c:v>4.1069848138707519</c:v>
                </c:pt>
                <c:pt idx="26">
                  <c:v>4.0249785336097759</c:v>
                </c:pt>
                <c:pt idx="27">
                  <c:v>3.9513924167022512</c:v>
                </c:pt>
                <c:pt idx="28">
                  <c:v>3.8853121767837644</c:v>
                </c:pt>
                <c:pt idx="29">
                  <c:v>3.8259315373068734</c:v>
                </c:pt>
                <c:pt idx="30">
                  <c:v>3.7725379484438393</c:v>
                </c:pt>
                <c:pt idx="31">
                  <c:v>3.724500461535754</c:v>
                </c:pt>
                <c:pt idx="32">
                  <c:v>3.6812593849676882</c:v>
                </c:pt>
                <c:pt idx="33">
                  <c:v>3.642317421402709</c:v>
                </c:pt>
                <c:pt idx="34">
                  <c:v>3.6072320445266701</c:v>
                </c:pt>
                <c:pt idx="35">
                  <c:v>3.5756089186284323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1BCD-43A5-96F6-EEDE77262695}"/>
            </c:ext>
          </c:extLst>
        </c:ser>
        <c:ser>
          <c:idx val="22"/>
          <c:order val="22"/>
          <c:spPr>
            <a:solidFill>
              <a:schemeClr val="accent5">
                <a:lumMod val="80000"/>
              </a:schemeClr>
            </a:solidFill>
            <a:ln/>
            <a:effectLst/>
            <a:sp3d/>
          </c:spPr>
          <c:val>
            <c:numRef>
              <c:f>'1'!$R$44:$BA$44</c:f>
              <c:numCache>
                <c:formatCode>General</c:formatCode>
                <c:ptCount val="36"/>
                <c:pt idx="0">
                  <c:v>35.899057244990502</c:v>
                </c:pt>
                <c:pt idx="1">
                  <c:v>29.575361961283477</c:v>
                </c:pt>
                <c:pt idx="2">
                  <c:v>22.294026703457163</c:v>
                </c:pt>
                <c:pt idx="3">
                  <c:v>18.308311466939649</c:v>
                </c:pt>
                <c:pt idx="4">
                  <c:v>15.710907649498006</c:v>
                </c:pt>
                <c:pt idx="5">
                  <c:v>13.840627609739714</c:v>
                </c:pt>
                <c:pt idx="6">
                  <c:v>12.409062260291783</c:v>
                </c:pt>
                <c:pt idx="7">
                  <c:v>11.268354375011699</c:v>
                </c:pt>
                <c:pt idx="8">
                  <c:v>10.333779794087487</c:v>
                </c:pt>
                <c:pt idx="9">
                  <c:v>9.5526644124774283</c:v>
                </c:pt>
                <c:pt idx="10">
                  <c:v>8.8901354720209227</c:v>
                </c:pt>
                <c:pt idx="11">
                  <c:v>8.3219172745835923</c:v>
                </c:pt>
                <c:pt idx="12">
                  <c:v>7.8304037737903833</c:v>
                </c:pt>
                <c:pt idx="13">
                  <c:v>7.4023855160244905</c:v>
                </c:pt>
                <c:pt idx="14">
                  <c:v>7.0276679149618273</c:v>
                </c:pt>
                <c:pt idx="15">
                  <c:v>6.6981958362094636</c:v>
                </c:pt>
                <c:pt idx="16">
                  <c:v>6.4074786978971057</c:v>
                </c:pt>
                <c:pt idx="17">
                  <c:v>6.1502007167407911</c:v>
                </c:pt>
                <c:pt idx="18">
                  <c:v>5.9219489760030877</c:v>
                </c:pt>
                <c:pt idx="19">
                  <c:v>5.7190186628457242</c:v>
                </c:pt>
                <c:pt idx="20">
                  <c:v>5.5382701889283856</c:v>
                </c:pt>
                <c:pt idx="21">
                  <c:v>5.3770220483886542</c:v>
                </c:pt>
                <c:pt idx="22">
                  <c:v>5.2329688566538897</c:v>
                </c:pt>
                <c:pt idx="23">
                  <c:v>5.1041175154764327</c:v>
                </c:pt>
                <c:pt idx="24">
                  <c:v>4.9887366918640703</c:v>
                </c:pt>
                <c:pt idx="25">
                  <c:v>4.8853162630302984</c:v>
                </c:pt>
                <c:pt idx="26">
                  <c:v>4.7925343537730232</c:v>
                </c:pt>
                <c:pt idx="27">
                  <c:v>4.7092302523776555</c:v>
                </c:pt>
                <c:pt idx="28">
                  <c:v>4.6343819454954289</c:v>
                </c:pt>
                <c:pt idx="29">
                  <c:v>4.5670873306553004</c:v>
                </c:pt>
                <c:pt idx="30">
                  <c:v>4.5065483916242446</c:v>
                </c:pt>
                <c:pt idx="31">
                  <c:v>4.4520577857682646</c:v>
                </c:pt>
                <c:pt idx="32">
                  <c:v>4.4029874130852935</c:v>
                </c:pt>
                <c:pt idx="33">
                  <c:v>4.3587786265478528</c:v>
                </c:pt>
                <c:pt idx="34">
                  <c:v>4.3189338115408269</c:v>
                </c:pt>
                <c:pt idx="35">
                  <c:v>4.2830091145127147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1BCD-43A5-96F6-EEDE77262695}"/>
            </c:ext>
          </c:extLst>
        </c:ser>
        <c:ser>
          <c:idx val="23"/>
          <c:order val="23"/>
          <c:spPr>
            <a:solidFill>
              <a:schemeClr val="accent6">
                <a:lumMod val="80000"/>
              </a:schemeClr>
            </a:solidFill>
            <a:ln/>
            <a:effectLst/>
            <a:sp3d/>
          </c:spPr>
          <c:val>
            <c:numRef>
              <c:f>'1'!$R$45:$BA$45</c:f>
              <c:numCache>
                <c:formatCode>General</c:formatCode>
                <c:ptCount val="36"/>
                <c:pt idx="0">
                  <c:v>59.938269857009843</c:v>
                </c:pt>
                <c:pt idx="1">
                  <c:v>36.04074782735389</c:v>
                </c:pt>
                <c:pt idx="2">
                  <c:v>25.872867284354953</c:v>
                </c:pt>
                <c:pt idx="3">
                  <c:v>20.96167787050096</c:v>
                </c:pt>
                <c:pt idx="4">
                  <c:v>17.902407435148849</c:v>
                </c:pt>
                <c:pt idx="5">
                  <c:v>15.750672603380769</c:v>
                </c:pt>
                <c:pt idx="6">
                  <c:v>14.126727763414127</c:v>
                </c:pt>
                <c:pt idx="7">
                  <c:v>12.844380089705091</c:v>
                </c:pt>
                <c:pt idx="8">
                  <c:v>11.800013853102211</c:v>
                </c:pt>
                <c:pt idx="9">
                  <c:v>10.930573692766197</c:v>
                </c:pt>
                <c:pt idx="10">
                  <c:v>10.195010499031378</c:v>
                </c:pt>
                <c:pt idx="11">
                  <c:v>9.5651418891274904</c:v>
                </c:pt>
                <c:pt idx="12">
                  <c:v>9.0207654402312158</c:v>
                </c:pt>
                <c:pt idx="13">
                  <c:v>8.5468729079839605</c:v>
                </c:pt>
                <c:pt idx="14">
                  <c:v>8.1319777588557578</c:v>
                </c:pt>
                <c:pt idx="15">
                  <c:v>7.7670668526985658</c:v>
                </c:pt>
                <c:pt idx="16">
                  <c:v>7.4449186399781135</c:v>
                </c:pt>
                <c:pt idx="17">
                  <c:v>7.1596451326542905</c:v>
                </c:pt>
                <c:pt idx="18">
                  <c:v>6.9063751462320901</c:v>
                </c:pt>
                <c:pt idx="19">
                  <c:v>6.6810293871254958</c:v>
                </c:pt>
                <c:pt idx="20">
                  <c:v>6.4801568478901865</c:v>
                </c:pt>
                <c:pt idx="21">
                  <c:v>6.3008131269859993</c:v>
                </c:pt>
                <c:pt idx="22">
                  <c:v>6.1404680699509218</c:v>
                </c:pt>
                <c:pt idx="23">
                  <c:v>5.9969343557736519</c:v>
                </c:pt>
                <c:pt idx="24">
                  <c:v>5.8683113469621846</c:v>
                </c:pt>
                <c:pt idx="25">
                  <c:v>5.7529402746776706</c:v>
                </c:pt>
                <c:pt idx="26">
                  <c:v>5.6493679918270123</c:v>
                </c:pt>
                <c:pt idx="27">
                  <c:v>5.5563173101629815</c:v>
                </c:pt>
                <c:pt idx="28">
                  <c:v>5.4726624743171843</c:v>
                </c:pt>
                <c:pt idx="29">
                  <c:v>5.3974086997090494</c:v>
                </c:pt>
                <c:pt idx="30">
                  <c:v>5.3296749659758085</c:v>
                </c:pt>
                <c:pt idx="31">
                  <c:v>5.2686794478302135</c:v>
                </c:pt>
                <c:pt idx="32">
                  <c:v>5.2137271041044366</c:v>
                </c:pt>
                <c:pt idx="33">
                  <c:v>5.1641990485857603</c:v>
                </c:pt>
                <c:pt idx="34">
                  <c:v>5.1195434035277509</c:v>
                </c:pt>
                <c:pt idx="35">
                  <c:v>5.0792673955852647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1BCD-43A5-96F6-EEDE77262695}"/>
            </c:ext>
          </c:extLst>
        </c:ser>
        <c:ser>
          <c:idx val="24"/>
          <c:order val="24"/>
          <c:spPr>
            <a:solidFill>
              <a:schemeClr val="accent1">
                <a:lumMod val="60000"/>
                <a:lumOff val="40000"/>
              </a:schemeClr>
            </a:solidFill>
            <a:ln/>
            <a:effectLst/>
            <a:sp3d/>
          </c:spPr>
          <c:val>
            <c:numRef>
              <c:f>'1'!$R$46:$BA$46</c:f>
              <c:numCache>
                <c:formatCode>General</c:formatCode>
                <c:ptCount val="36"/>
                <c:pt idx="0">
                  <c:v>81.522389008960261</c:v>
                </c:pt>
                <c:pt idx="1">
                  <c:v>41.56224407044445</c:v>
                </c:pt>
                <c:pt idx="2">
                  <c:v>29.129121692733065</c:v>
                </c:pt>
                <c:pt idx="3">
                  <c:v>23.473520232833806</c:v>
                </c:pt>
                <c:pt idx="4">
                  <c:v>20.032491025957469</c:v>
                </c:pt>
                <c:pt idx="5">
                  <c:v>17.642981841343463</c:v>
                </c:pt>
                <c:pt idx="6">
                  <c:v>15.853654117375429</c:v>
                </c:pt>
                <c:pt idx="7">
                  <c:v>14.447788094039321</c:v>
                </c:pt>
                <c:pt idx="8">
                  <c:v>13.306512627945404</c:v>
                </c:pt>
                <c:pt idx="9">
                  <c:v>12.358290451882876</c:v>
                </c:pt>
                <c:pt idx="10">
                  <c:v>11.556977916523957</c:v>
                </c:pt>
                <c:pt idx="11">
                  <c:v>10.871145748239384</c:v>
                </c:pt>
                <c:pt idx="12">
                  <c:v>10.278420678127533</c:v>
                </c:pt>
                <c:pt idx="13">
                  <c:v>9.7622831832396653</c:v>
                </c:pt>
                <c:pt idx="14">
                  <c:v>9.3101567740608449</c:v>
                </c:pt>
                <c:pt idx="15">
                  <c:v>8.9122169317898443</c:v>
                </c:pt>
                <c:pt idx="16">
                  <c:v>8.5606205141187814</c:v>
                </c:pt>
                <c:pt idx="17">
                  <c:v>8.2489907653429491</c:v>
                </c:pt>
                <c:pt idx="18">
                  <c:v>7.972063056833421</c:v>
                </c:pt>
                <c:pt idx="19">
                  <c:v>7.7254347236590073</c:v>
                </c:pt>
                <c:pt idx="20">
                  <c:v>7.5053841124245784</c:v>
                </c:pt>
                <c:pt idx="21">
                  <c:v>7.3087367579249847</c:v>
                </c:pt>
                <c:pt idx="22">
                  <c:v>7.1327643687452982</c:v>
                </c:pt>
                <c:pt idx="23">
                  <c:v>6.9751071313131945</c:v>
                </c:pt>
                <c:pt idx="24">
                  <c:v>6.8337129152921321</c:v>
                </c:pt>
                <c:pt idx="25">
                  <c:v>6.7067889590625418</c:v>
                </c:pt>
                <c:pt idx="26">
                  <c:v>6.5927629342175535</c:v>
                </c:pt>
                <c:pt idx="27">
                  <c:v>6.4902511762647146</c:v>
                </c:pt>
                <c:pt idx="28">
                  <c:v>6.3980324760914726</c:v>
                </c:pt>
                <c:pt idx="29">
                  <c:v>6.3150262485293691</c:v>
                </c:pt>
                <c:pt idx="30">
                  <c:v>6.2402741916978473</c:v>
                </c:pt>
                <c:pt idx="31">
                  <c:v>6.1729247635535662</c:v>
                </c:pt>
                <c:pt idx="32">
                  <c:v>6.1122199565153021</c:v>
                </c:pt>
                <c:pt idx="33">
                  <c:v>6.0574839647657326</c:v>
                </c:pt>
                <c:pt idx="34">
                  <c:v>6.0081134237552627</c:v>
                </c:pt>
                <c:pt idx="35">
                  <c:v>5.9635689657049591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1BCD-43A5-96F6-EEDE77262695}"/>
            </c:ext>
          </c:extLst>
        </c:ser>
        <c:ser>
          <c:idx val="25"/>
          <c:order val="25"/>
          <c:spPr>
            <a:solidFill>
              <a:schemeClr val="accent2">
                <a:lumMod val="60000"/>
                <a:lumOff val="40000"/>
              </a:schemeClr>
            </a:solidFill>
            <a:ln/>
            <a:effectLst/>
            <a:sp3d/>
          </c:spPr>
          <c:val>
            <c:numRef>
              <c:f>'1'!$R$47:$BA$47</c:f>
              <c:numCache>
                <c:formatCode>General</c:formatCode>
                <c:ptCount val="36"/>
                <c:pt idx="0">
                  <c:v>90.323577367023191</c:v>
                </c:pt>
                <c:pt idx="1">
                  <c:v>45.357138956288232</c:v>
                </c:pt>
                <c:pt idx="2">
                  <c:v>31.815371904989405</c:v>
                </c:pt>
                <c:pt idx="3">
                  <c:v>25.71016335448186</c:v>
                </c:pt>
                <c:pt idx="4">
                  <c:v>22.012625030764301</c:v>
                </c:pt>
                <c:pt idx="5">
                  <c:v>19.452455588481165</c:v>
                </c:pt>
                <c:pt idx="6">
                  <c:v>17.538900824278773</c:v>
                </c:pt>
                <c:pt idx="7">
                  <c:v>16.037074255511747</c:v>
                </c:pt>
                <c:pt idx="8">
                  <c:v>14.818505396313705</c:v>
                </c:pt>
                <c:pt idx="9">
                  <c:v>13.806094623317373</c:v>
                </c:pt>
                <c:pt idx="10">
                  <c:v>12.950251334744356</c:v>
                </c:pt>
                <c:pt idx="11">
                  <c:v>12.217296084698008</c:v>
                </c:pt>
                <c:pt idx="12">
                  <c:v>11.583322601504975</c:v>
                </c:pt>
                <c:pt idx="13">
                  <c:v>11.030727744539325</c:v>
                </c:pt>
                <c:pt idx="14">
                  <c:v>10.546143274130136</c:v>
                </c:pt>
                <c:pt idx="15">
                  <c:v>10.119148249160382</c:v>
                </c:pt>
                <c:pt idx="16">
                  <c:v>9.7414372987335156</c:v>
                </c:pt>
                <c:pt idx="17">
                  <c:v>9.4062658831937007</c:v>
                </c:pt>
                <c:pt idx="18">
                  <c:v>9.108069621186031</c:v>
                </c:pt>
                <c:pt idx="19">
                  <c:v>8.8421962460918291</c:v>
                </c:pt>
                <c:pt idx="20">
                  <c:v>8.604712348525192</c:v>
                </c:pt>
                <c:pt idx="21">
                  <c:v>8.3922609514203828</c:v>
                </c:pt>
                <c:pt idx="22">
                  <c:v>8.2019543887661932</c:v>
                </c:pt>
                <c:pt idx="23">
                  <c:v>8.031292202560218</c:v>
                </c:pt>
                <c:pt idx="24">
                  <c:v>7.8780971109678788</c:v>
                </c:pt>
                <c:pt idx="25">
                  <c:v>7.7404642693235743</c:v>
                </c:pt>
                <c:pt idx="26">
                  <c:v>7.6167204801561432</c:v>
                </c:pt>
                <c:pt idx="27">
                  <c:v>7.5053909732876098</c:v>
                </c:pt>
                <c:pt idx="28">
                  <c:v>7.4051720362044664</c:v>
                </c:pt>
                <c:pt idx="29">
                  <c:v>7.3149082319327254</c:v>
                </c:pt>
                <c:pt idx="30">
                  <c:v>7.2335732631201024</c:v>
                </c:pt>
                <c:pt idx="31">
                  <c:v>7.1602537703470928</c:v>
                </c:pt>
                <c:pt idx="32">
                  <c:v>7.0941355185474944</c:v>
                </c:pt>
                <c:pt idx="33">
                  <c:v>7.0344915470263798</c:v>
                </c:pt>
                <c:pt idx="34">
                  <c:v>6.9806719489292375</c:v>
                </c:pt>
                <c:pt idx="35">
                  <c:v>6.9320950140520914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1BCD-43A5-96F6-EEDE77262695}"/>
            </c:ext>
          </c:extLst>
        </c:ser>
        <c:ser>
          <c:idx val="26"/>
          <c:order val="26"/>
          <c:spPr>
            <a:solidFill>
              <a:schemeClr val="accent3">
                <a:lumMod val="60000"/>
                <a:lumOff val="40000"/>
              </a:schemeClr>
            </a:solidFill>
            <a:ln/>
            <a:effectLst/>
            <a:sp3d/>
          </c:spPr>
          <c:val>
            <c:numRef>
              <c:f>'1'!$R$48:$BA$48</c:f>
              <c:numCache>
                <c:formatCode>General</c:formatCode>
                <c:ptCount val="36"/>
                <c:pt idx="0">
                  <c:v>81.522389008960317</c:v>
                </c:pt>
                <c:pt idx="1">
                  <c:v>46.841822648451434</c:v>
                </c:pt>
                <c:pt idx="2">
                  <c:v>33.711137265554342</c:v>
                </c:pt>
                <c:pt idx="3">
                  <c:v>27.542659867202858</c:v>
                </c:pt>
                <c:pt idx="4">
                  <c:v>23.753197160054004</c:v>
                </c:pt>
                <c:pt idx="5">
                  <c:v>21.110885013405653</c:v>
                </c:pt>
                <c:pt idx="6">
                  <c:v>19.12760331152532</c:v>
                </c:pt>
                <c:pt idx="7">
                  <c:v>17.566469231319079</c:v>
                </c:pt>
                <c:pt idx="8">
                  <c:v>16.296823939669299</c:v>
                </c:pt>
                <c:pt idx="9">
                  <c:v>15.239836202082978</c:v>
                </c:pt>
                <c:pt idx="10">
                  <c:v>14.344632242953878</c:v>
                </c:pt>
                <c:pt idx="11">
                  <c:v>13.576591753199642</c:v>
                </c:pt>
                <c:pt idx="12">
                  <c:v>12.911112934316531</c:v>
                </c:pt>
                <c:pt idx="13">
                  <c:v>12.330069899130921</c:v>
                </c:pt>
                <c:pt idx="14">
                  <c:v>11.819693125222848</c:v>
                </c:pt>
                <c:pt idx="15">
                  <c:v>11.369246208480478</c:v>
                </c:pt>
                <c:pt idx="16">
                  <c:v>10.970169501893325</c:v>
                </c:pt>
                <c:pt idx="17">
                  <c:v>10.615508359430251</c:v>
                </c:pt>
                <c:pt idx="18">
                  <c:v>10.299520691514736</c:v>
                </c:pt>
                <c:pt idx="19">
                  <c:v>10.017400761681287</c:v>
                </c:pt>
                <c:pt idx="20">
                  <c:v>9.7650802570150894</c:v>
                </c:pt>
                <c:pt idx="21">
                  <c:v>9.5390819041877748</c:v>
                </c:pt>
                <c:pt idx="22">
                  <c:v>9.3364095670966751</c:v>
                </c:pt>
                <c:pt idx="23">
                  <c:v>9.1544641707430436</c:v>
                </c:pt>
                <c:pt idx="24">
                  <c:v>8.9909782486670746</c:v>
                </c:pt>
                <c:pt idx="25">
                  <c:v>8.8439641592745257</c:v>
                </c:pt>
                <c:pt idx="26">
                  <c:v>8.7116725061577647</c:v>
                </c:pt>
                <c:pt idx="27">
                  <c:v>8.5925583008047166</c:v>
                </c:pt>
                <c:pt idx="28">
                  <c:v>8.4852530919215106</c:v>
                </c:pt>
                <c:pt idx="29">
                  <c:v>8.3885417610818038</c:v>
                </c:pt>
                <c:pt idx="30">
                  <c:v>8.3013430185763539</c:v>
                </c:pt>
                <c:pt idx="31">
                  <c:v>8.2226928713074958</c:v>
                </c:pt>
                <c:pt idx="32">
                  <c:v>8.1517305062687484</c:v>
                </c:pt>
                <c:pt idx="33">
                  <c:v>8.0876861586400857</c:v>
                </c:pt>
                <c:pt idx="34">
                  <c:v>8.0298706264313733</c:v>
                </c:pt>
                <c:pt idx="35">
                  <c:v>7.9776661632595216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1BCD-43A5-96F6-EEDE77262695}"/>
            </c:ext>
          </c:extLst>
        </c:ser>
        <c:ser>
          <c:idx val="27"/>
          <c:order val="27"/>
          <c:spPr>
            <a:solidFill>
              <a:schemeClr val="accent4">
                <a:lumMod val="60000"/>
                <a:lumOff val="40000"/>
              </a:schemeClr>
            </a:solidFill>
            <a:ln/>
            <a:effectLst/>
            <a:sp3d/>
          </c:spPr>
          <c:val>
            <c:numRef>
              <c:f>'1'!$R$49:$BA$49</c:f>
              <c:numCache>
                <c:formatCode>General</c:formatCode>
                <c:ptCount val="36"/>
                <c:pt idx="0">
                  <c:v>59.938269857009928</c:v>
                </c:pt>
                <c:pt idx="1">
                  <c:v>45.778692859013056</c:v>
                </c:pt>
                <c:pt idx="2">
                  <c:v>34.652660915710172</c:v>
                </c:pt>
                <c:pt idx="3">
                  <c:v>28.859004944762052</c:v>
                </c:pt>
                <c:pt idx="4">
                  <c:v>25.170142266782246</c:v>
                </c:pt>
                <c:pt idx="5">
                  <c:v>22.551114523015318</c:v>
                </c:pt>
                <c:pt idx="6">
                  <c:v>20.563826495032693</c:v>
                </c:pt>
                <c:pt idx="7">
                  <c:v>18.98800690362712</c:v>
                </c:pt>
                <c:pt idx="8">
                  <c:v>17.699457849847057</c:v>
                </c:pt>
                <c:pt idx="9">
                  <c:v>16.622133228786783</c:v>
                </c:pt>
                <c:pt idx="10">
                  <c:v>15.706446804062164</c:v>
                </c:pt>
                <c:pt idx="11">
                  <c:v>14.918401737946601</c:v>
                </c:pt>
                <c:pt idx="12">
                  <c:v>14.23370540388483</c:v>
                </c:pt>
                <c:pt idx="13">
                  <c:v>13.634383968553921</c:v>
                </c:pt>
                <c:pt idx="14">
                  <c:v>13.106737335635406</c:v>
                </c:pt>
                <c:pt idx="15">
                  <c:v>12.640052799615011</c:v>
                </c:pt>
                <c:pt idx="16">
                  <c:v>12.225767738551324</c:v>
                </c:pt>
                <c:pt idx="17">
                  <c:v>11.856908148458444</c:v>
                </c:pt>
                <c:pt idx="18">
                  <c:v>11.527702063375385</c:v>
                </c:pt>
                <c:pt idx="19">
                  <c:v>11.233306919382409</c:v>
                </c:pt>
                <c:pt idx="20">
                  <c:v>10.969612959927611</c:v>
                </c:pt>
                <c:pt idx="21">
                  <c:v>10.733098493941133</c:v>
                </c:pt>
                <c:pt idx="22">
                  <c:v>10.520721219249515</c:v>
                </c:pt>
                <c:pt idx="23">
                  <c:v>10.329835099664843</c:v>
                </c:pt>
                <c:pt idx="24">
                  <c:v>10.15812566992661</c:v>
                </c:pt>
                <c:pt idx="25">
                  <c:v>10.003558857297566</c:v>
                </c:pt>
                <c:pt idx="26">
                  <c:v>9.8643398819340806</c:v>
                </c:pt>
                <c:pt idx="27">
                  <c:v>9.738879793429108</c:v>
                </c:pt>
                <c:pt idx="28">
                  <c:v>9.6257678828137951</c:v>
                </c:pt>
                <c:pt idx="29">
                  <c:v>9.5237486827035465</c:v>
                </c:pt>
                <c:pt idx="30">
                  <c:v>9.4317026011205201</c:v>
                </c:pt>
                <c:pt idx="31">
                  <c:v>9.348629471450014</c:v>
                </c:pt>
                <c:pt idx="32">
                  <c:v>9.2736344717002659</c:v>
                </c:pt>
                <c:pt idx="33">
                  <c:v>9.2059159907372656</c:v>
                </c:pt>
                <c:pt idx="34">
                  <c:v>9.1447551110739713</c:v>
                </c:pt>
                <c:pt idx="35">
                  <c:v>9.0895064464664426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1BCD-43A5-96F6-EEDE77262695}"/>
            </c:ext>
          </c:extLst>
        </c:ser>
        <c:ser>
          <c:idx val="28"/>
          <c:order val="28"/>
          <c:spPr>
            <a:solidFill>
              <a:schemeClr val="accent5">
                <a:lumMod val="60000"/>
                <a:lumOff val="40000"/>
              </a:schemeClr>
            </a:solidFill>
            <a:ln/>
            <a:effectLst/>
            <a:sp3d/>
          </c:spPr>
          <c:val>
            <c:numRef>
              <c:f>'1'!$R$50:$BA$50</c:f>
              <c:numCache>
                <c:formatCode>General</c:formatCode>
                <c:ptCount val="36"/>
                <c:pt idx="0">
                  <c:v>35.899057244990573</c:v>
                </c:pt>
                <c:pt idx="1">
                  <c:v>42.338401752004778</c:v>
                </c:pt>
                <c:pt idx="2">
                  <c:v>34.556246172671514</c:v>
                </c:pt>
                <c:pt idx="3">
                  <c:v>29.575442903491531</c:v>
                </c:pt>
                <c:pt idx="4">
                  <c:v>26.191635965441513</c:v>
                </c:pt>
                <c:pt idx="5">
                  <c:v>23.711506260707292</c:v>
                </c:pt>
                <c:pt idx="6">
                  <c:v>21.793776660777077</c:v>
                </c:pt>
                <c:pt idx="7">
                  <c:v>20.253955194830365</c:v>
                </c:pt>
                <c:pt idx="8">
                  <c:v>18.983460049060572</c:v>
                </c:pt>
                <c:pt idx="9">
                  <c:v>17.913903264469106</c:v>
                </c:pt>
                <c:pt idx="10">
                  <c:v>16.999798926553407</c:v>
                </c:pt>
                <c:pt idx="11">
                  <c:v>16.209503642725512</c:v>
                </c:pt>
                <c:pt idx="12">
                  <c:v>15.520154164901781</c:v>
                </c:pt>
                <c:pt idx="13">
                  <c:v>14.914685872005711</c:v>
                </c:pt>
                <c:pt idx="14">
                  <c:v>14.379998874438169</c:v>
                </c:pt>
                <c:pt idx="15">
                  <c:v>13.905788131336415</c:v>
                </c:pt>
                <c:pt idx="16">
                  <c:v>13.483773491650133</c:v>
                </c:pt>
                <c:pt idx="17">
                  <c:v>13.107178903561623</c:v>
                </c:pt>
                <c:pt idx="18">
                  <c:v>12.770371424840759</c:v>
                </c:pt>
                <c:pt idx="19">
                  <c:v>12.468605323077849</c:v>
                </c:pt>
                <c:pt idx="20">
                  <c:v>12.197836832647884</c:v>
                </c:pt>
                <c:pt idx="21">
                  <c:v>11.954587373562148</c:v>
                </c:pt>
                <c:pt idx="22">
                  <c:v>11.735840624580181</c:v>
                </c:pt>
                <c:pt idx="23">
                  <c:v>11.538963657632232</c:v>
                </c:pt>
                <c:pt idx="24">
                  <c:v>11.361645458543908</c:v>
                </c:pt>
                <c:pt idx="25">
                  <c:v>11.20184821444677</c:v>
                </c:pt>
                <c:pt idx="26">
                  <c:v>11.057768124711398</c:v>
                </c:pt>
                <c:pt idx="27">
                  <c:v>10.927803427148827</c:v>
                </c:pt>
                <c:pt idx="28">
                  <c:v>10.8105279744948</c:v>
                </c:pt>
                <c:pt idx="29">
                  <c:v>10.704669144167664</c:v>
                </c:pt>
                <c:pt idx="30">
                  <c:v>10.609089179873887</c:v>
                </c:pt>
                <c:pt idx="31">
                  <c:v>10.522769288455125</c:v>
                </c:pt>
                <c:pt idx="32">
                  <c:v>10.444795977316129</c:v>
                </c:pt>
                <c:pt idx="33">
                  <c:v>10.374349235733467</c:v>
                </c:pt>
                <c:pt idx="34">
                  <c:v>10.310692250239589</c:v>
                </c:pt>
                <c:pt idx="35">
                  <c:v>10.25316240902295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1BCD-43A5-96F6-EEDE77262695}"/>
            </c:ext>
          </c:extLst>
        </c:ser>
        <c:ser>
          <c:idx val="29"/>
          <c:order val="29"/>
          <c:spPr>
            <a:solidFill>
              <a:schemeClr val="accent6">
                <a:lumMod val="60000"/>
                <a:lumOff val="40000"/>
              </a:schemeClr>
            </a:solidFill>
            <a:ln/>
            <a:effectLst/>
            <a:sp3d/>
          </c:spPr>
          <c:val>
            <c:numRef>
              <c:f>'1'!$R$51:$BA$51</c:f>
              <c:numCache>
                <c:formatCode>General</c:formatCode>
                <c:ptCount val="36"/>
                <c:pt idx="0">
                  <c:v>17.515132250264358</c:v>
                </c:pt>
                <c:pt idx="1">
                  <c:v>37.055015621708215</c:v>
                </c:pt>
                <c:pt idx="2">
                  <c:v>33.430534070394529</c:v>
                </c:pt>
                <c:pt idx="3">
                  <c:v>29.645282439608501</c:v>
                </c:pt>
                <c:pt idx="4">
                  <c:v>26.764118275247593</c:v>
                </c:pt>
                <c:pt idx="5">
                  <c:v>24.540298347203127</c:v>
                </c:pt>
                <c:pt idx="6">
                  <c:v>22.769120298095132</c:v>
                </c:pt>
                <c:pt idx="7">
                  <c:v>21.319443848259183</c:v>
                </c:pt>
                <c:pt idx="8">
                  <c:v>20.107089009897937</c:v>
                </c:pt>
                <c:pt idx="9">
                  <c:v>19.076148585006884</c:v>
                </c:pt>
                <c:pt idx="10">
                  <c:v>18.188083071133416</c:v>
                </c:pt>
                <c:pt idx="11">
                  <c:v>17.415382352747741</c:v>
                </c:pt>
                <c:pt idx="12">
                  <c:v>16.737779941569617</c:v>
                </c:pt>
                <c:pt idx="13">
                  <c:v>16.139917485823567</c:v>
                </c:pt>
                <c:pt idx="14">
                  <c:v>15.609858598244491</c:v>
                </c:pt>
                <c:pt idx="15">
                  <c:v>15.138116106306105</c:v>
                </c:pt>
                <c:pt idx="16">
                  <c:v>14.71699899776292</c:v>
                </c:pt>
                <c:pt idx="17">
                  <c:v>14.340163792790118</c:v>
                </c:pt>
                <c:pt idx="18">
                  <c:v>14.00229975233883</c:v>
                </c:pt>
                <c:pt idx="19">
                  <c:v>13.698903562205718</c:v>
                </c:pt>
                <c:pt idx="20">
                  <c:v>13.426114971848987</c:v>
                </c:pt>
                <c:pt idx="21">
                  <c:v>13.180594678518148</c:v>
                </c:pt>
                <c:pt idx="22">
                  <c:v>12.95943196388731</c:v>
                </c:pt>
                <c:pt idx="23">
                  <c:v>12.760073608569797</c:v>
                </c:pt>
                <c:pt idx="24">
                  <c:v>12.580268252963686</c:v>
                </c:pt>
                <c:pt idx="25">
                  <c:v>12.418022138390283</c:v>
                </c:pt>
                <c:pt idx="26">
                  <c:v>12.271563357977211</c:v>
                </c:pt>
                <c:pt idx="27">
                  <c:v>12.139312566174677</c:v>
                </c:pt>
                <c:pt idx="28">
                  <c:v>12.019858663741047</c:v>
                </c:pt>
                <c:pt idx="29">
                  <c:v>11.911938372768214</c:v>
                </c:pt>
                <c:pt idx="30">
                  <c:v>11.814418897612107</c:v>
                </c:pt>
                <c:pt idx="31">
                  <c:v>11.726283068466088</c:v>
                </c:pt>
                <c:pt idx="32">
                  <c:v>11.64661650914765</c:v>
                </c:pt>
                <c:pt idx="33">
                  <c:v>11.574596476126795</c:v>
                </c:pt>
                <c:pt idx="34">
                  <c:v>11.509482093394691</c:v>
                </c:pt>
                <c:pt idx="35">
                  <c:v>11.450605765431517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1BCD-43A5-96F6-EEDE77262695}"/>
            </c:ext>
          </c:extLst>
        </c:ser>
        <c:ser>
          <c:idx val="30"/>
          <c:order val="30"/>
          <c:spPr>
            <a:solidFill>
              <a:schemeClr val="accent1">
                <a:lumMod val="50000"/>
              </a:schemeClr>
            </a:solidFill>
            <a:ln/>
            <a:effectLst/>
            <a:sp3d/>
          </c:spPr>
          <c:val>
            <c:numRef>
              <c:f>'1'!$R$52:$BA$52</c:f>
              <c:numCache>
                <c:formatCode>General</c:formatCode>
                <c:ptCount val="36"/>
                <c:pt idx="0">
                  <c:v>6.9613798925482566</c:v>
                </c:pt>
                <c:pt idx="1">
                  <c:v>30.690291330127074</c:v>
                </c:pt>
                <c:pt idx="2">
                  <c:v>31.375225479009703</c:v>
                </c:pt>
                <c:pt idx="3">
                  <c:v>29.06393130992879</c:v>
                </c:pt>
                <c:pt idx="4">
                  <c:v>26.856945253265813</c:v>
                </c:pt>
                <c:pt idx="5">
                  <c:v>24.9994293839625</c:v>
                </c:pt>
                <c:pt idx="6">
                  <c:v>23.450126932692903</c:v>
                </c:pt>
                <c:pt idx="7">
                  <c:v>22.145090524159077</c:v>
                </c:pt>
                <c:pt idx="8">
                  <c:v>21.032042330004362</c:v>
                </c:pt>
                <c:pt idx="9">
                  <c:v>20.071885663267075</c:v>
                </c:pt>
                <c:pt idx="10">
                  <c:v>19.235672810813689</c:v>
                </c:pt>
                <c:pt idx="11">
                  <c:v>18.501723672421402</c:v>
                </c:pt>
                <c:pt idx="12">
                  <c:v>17.853503024540618</c:v>
                </c:pt>
                <c:pt idx="13">
                  <c:v>17.278145150776169</c:v>
                </c:pt>
                <c:pt idx="14">
                  <c:v>16.765439662610952</c:v>
                </c:pt>
                <c:pt idx="15">
                  <c:v>16.307130965288799</c:v>
                </c:pt>
                <c:pt idx="16">
                  <c:v>15.896429075503637</c:v>
                </c:pt>
                <c:pt idx="17">
                  <c:v>15.527663442475889</c:v>
                </c:pt>
                <c:pt idx="18">
                  <c:v>15.196034416055227</c:v>
                </c:pt>
                <c:pt idx="19">
                  <c:v>14.897432128655474</c:v>
                </c:pt>
                <c:pt idx="20">
                  <c:v>14.628302460383187</c:v>
                </c:pt>
                <c:pt idx="21">
                  <c:v>14.385546275278868</c:v>
                </c:pt>
                <c:pt idx="22">
                  <c:v>14.166442446978547</c:v>
                </c:pt>
                <c:pt idx="23">
                  <c:v>13.968588098739152</c:v>
                </c:pt>
                <c:pt idx="24">
                  <c:v>13.789851453956498</c:v>
                </c:pt>
                <c:pt idx="25">
                  <c:v>13.628334043175268</c:v>
                </c:pt>
                <c:pt idx="26">
                  <c:v>13.482339946344771</c:v>
                </c:pt>
                <c:pt idx="27">
                  <c:v>13.350350398977755</c:v>
                </c:pt>
                <c:pt idx="28">
                  <c:v>13.231002547208996</c:v>
                </c:pt>
                <c:pt idx="29">
                  <c:v>13.123071459540185</c:v>
                </c:pt>
                <c:pt idx="30">
                  <c:v>13.025454733024546</c:v>
                </c:pt>
                <c:pt idx="31">
                  <c:v>12.937159196666462</c:v>
                </c:pt>
                <c:pt idx="32">
                  <c:v>12.857289334113668</c:v>
                </c:pt>
                <c:pt idx="33">
                  <c:v>12.785037134651562</c:v>
                </c:pt>
                <c:pt idx="34">
                  <c:v>12.719673145392914</c:v>
                </c:pt>
                <c:pt idx="35">
                  <c:v>12.6605385449359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1BCD-43A5-96F6-EEDE77262695}"/>
            </c:ext>
          </c:extLst>
        </c:ser>
        <c:ser>
          <c:idx val="31"/>
          <c:order val="31"/>
          <c:spPr>
            <a:solidFill>
              <a:schemeClr val="accent2">
                <a:lumMod val="50000"/>
              </a:schemeClr>
            </a:solidFill>
            <a:ln/>
            <a:effectLst/>
            <a:sp3d/>
          </c:spPr>
          <c:val>
            <c:numRef>
              <c:f>'1'!$R$53:$BA$53</c:f>
              <c:numCache>
                <c:formatCode>General</c:formatCode>
                <c:ptCount val="36"/>
                <c:pt idx="0">
                  <c:v>2.2538695927032113</c:v>
                </c:pt>
                <c:pt idx="1">
                  <c:v>24.054508674934485</c:v>
                </c:pt>
                <c:pt idx="2">
                  <c:v>28.566509755451868</c:v>
                </c:pt>
                <c:pt idx="3">
                  <c:v>27.869395920496817</c:v>
                </c:pt>
                <c:pt idx="4">
                  <c:v>26.465106513665674</c:v>
                </c:pt>
                <c:pt idx="5">
                  <c:v>25.067436069212743</c:v>
                </c:pt>
                <c:pt idx="6">
                  <c:v>23.808351985687452</c:v>
                </c:pt>
                <c:pt idx="7">
                  <c:v>22.699412182277534</c:v>
                </c:pt>
                <c:pt idx="8">
                  <c:v>21.725616684597441</c:v>
                </c:pt>
                <c:pt idx="9">
                  <c:v>20.868087948330547</c:v>
                </c:pt>
                <c:pt idx="10">
                  <c:v>20.109679139371696</c:v>
                </c:pt>
                <c:pt idx="11">
                  <c:v>19.436015920819262</c:v>
                </c:pt>
                <c:pt idx="12">
                  <c:v>18.835310940849421</c:v>
                </c:pt>
                <c:pt idx="13">
                  <c:v>18.297912012530251</c:v>
                </c:pt>
                <c:pt idx="14">
                  <c:v>17.815859782242274</c:v>
                </c:pt>
                <c:pt idx="15">
                  <c:v>17.382522087698685</c:v>
                </c:pt>
                <c:pt idx="16">
                  <c:v>16.992309024274807</c:v>
                </c:pt>
                <c:pt idx="17">
                  <c:v>16.640455862623071</c:v>
                </c:pt>
                <c:pt idx="18">
                  <c:v>16.322858759928923</c:v>
                </c:pt>
                <c:pt idx="19">
                  <c:v>16.035950228750082</c:v>
                </c:pt>
                <c:pt idx="20">
                  <c:v>15.776604129043573</c:v>
                </c:pt>
                <c:pt idx="21">
                  <c:v>15.542062478376033</c:v>
                </c:pt>
                <c:pt idx="22">
                  <c:v>15.329878393167336</c:v>
                </c:pt>
                <c:pt idx="23">
                  <c:v>15.13787100215904</c:v>
                </c:pt>
                <c:pt idx="24">
                  <c:v>14.964089302378003</c:v>
                </c:pt>
                <c:pt idx="25">
                  <c:v>14.806782751516316</c:v>
                </c:pt>
                <c:pt idx="26">
                  <c:v>14.664376987670247</c:v>
                </c:pt>
                <c:pt idx="27">
                  <c:v>14.535453498851</c:v>
                </c:pt>
                <c:pt idx="28">
                  <c:v>14.418732376213566</c:v>
                </c:pt>
                <c:pt idx="29">
                  <c:v>14.313057509976362</c:v>
                </c:pt>
                <c:pt idx="30">
                  <c:v>14.217383749774795</c:v>
                </c:pt>
                <c:pt idx="31">
                  <c:v>14.130765669204498</c:v>
                </c:pt>
                <c:pt idx="32">
                  <c:v>14.052347660150888</c:v>
                </c:pt>
                <c:pt idx="33">
                  <c:v>13.981355145210197</c:v>
                </c:pt>
                <c:pt idx="34">
                  <c:v>13.917086742568936</c:v>
                </c:pt>
                <c:pt idx="35">
                  <c:v>13.858907251774406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1BCD-43A5-96F6-EEDE77262695}"/>
            </c:ext>
          </c:extLst>
        </c:ser>
        <c:ser>
          <c:idx val="32"/>
          <c:order val="32"/>
          <c:spPr>
            <a:solidFill>
              <a:schemeClr val="accent3">
                <a:lumMod val="50000"/>
              </a:schemeClr>
            </a:solidFill>
            <a:ln/>
            <a:effectLst/>
            <a:sp3d/>
          </c:spPr>
          <c:val>
            <c:numRef>
              <c:f>'1'!$R$54:$BA$54</c:f>
              <c:numCache>
                <c:formatCode>General</c:formatCode>
                <c:ptCount val="36"/>
                <c:pt idx="0">
                  <c:v>0.59444786392421045</c:v>
                </c:pt>
                <c:pt idx="1">
                  <c:v>17.841585255627713</c:v>
                </c:pt>
                <c:pt idx="2">
                  <c:v>25.232152053009671</c:v>
                </c:pt>
                <c:pt idx="3">
                  <c:v>26.138170286483199</c:v>
                </c:pt>
                <c:pt idx="4">
                  <c:v>25.609673254983985</c:v>
                </c:pt>
                <c:pt idx="5">
                  <c:v>24.741116742664005</c:v>
                </c:pt>
                <c:pt idx="6">
                  <c:v>23.828607398089552</c:v>
                </c:pt>
                <c:pt idx="7">
                  <c:v>22.960816320736598</c:v>
                </c:pt>
                <c:pt idx="8">
                  <c:v>22.162624961351362</c:v>
                </c:pt>
                <c:pt idx="9">
                  <c:v>21.437500544663358</c:v>
                </c:pt>
                <c:pt idx="10">
                  <c:v>20.781658738301438</c:v>
                </c:pt>
                <c:pt idx="11">
                  <c:v>20.189156802330551</c:v>
                </c:pt>
                <c:pt idx="12">
                  <c:v>19.65377191379595</c:v>
                </c:pt>
                <c:pt idx="13">
                  <c:v>19.169666635550882</c:v>
                </c:pt>
                <c:pt idx="14">
                  <c:v>18.731583212690705</c:v>
                </c:pt>
                <c:pt idx="15">
                  <c:v>18.334856880958601</c:v>
                </c:pt>
                <c:pt idx="16">
                  <c:v>17.975365217199922</c:v>
                </c:pt>
                <c:pt idx="17">
                  <c:v>17.649460826378171</c:v>
                </c:pt>
                <c:pt idx="18">
                  <c:v>17.353905703922234</c:v>
                </c:pt>
                <c:pt idx="19">
                  <c:v>17.085813471310459</c:v>
                </c:pt>
                <c:pt idx="20">
                  <c:v>16.842600689509027</c:v>
                </c:pt>
                <c:pt idx="21">
                  <c:v>16.621946544882267</c:v>
                </c:pt>
                <c:pt idx="22">
                  <c:v>16.421759614510925</c:v>
                </c:pt>
                <c:pt idx="23">
                  <c:v>16.240150375622498</c:v>
                </c:pt>
                <c:pt idx="24">
                  <c:v>16.075408283313855</c:v>
                </c:pt>
                <c:pt idx="25">
                  <c:v>15.925982452706712</c:v>
                </c:pt>
                <c:pt idx="26">
                  <c:v>15.7904651850428</c:v>
                </c:pt>
                <c:pt idx="27">
                  <c:v>15.667577750600007</c:v>
                </c:pt>
                <c:pt idx="28">
                  <c:v>15.556157980609656</c:v>
                </c:pt>
                <c:pt idx="29">
                  <c:v>15.455149328470789</c:v>
                </c:pt>
                <c:pt idx="30">
                  <c:v>15.363591142644371</c:v>
                </c:pt>
                <c:pt idx="31">
                  <c:v>15.280609955030403</c:v>
                </c:pt>
                <c:pt idx="32">
                  <c:v>15.205411634141859</c:v>
                </c:pt>
                <c:pt idx="33">
                  <c:v>15.137274285909413</c:v>
                </c:pt>
                <c:pt idx="34">
                  <c:v>15.075541809570538</c:v>
                </c:pt>
                <c:pt idx="35">
                  <c:v>15.019618034184676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1BCD-43A5-96F6-EEDE77262695}"/>
            </c:ext>
          </c:extLst>
        </c:ser>
        <c:ser>
          <c:idx val="33"/>
          <c:order val="33"/>
          <c:spPr>
            <a:solidFill>
              <a:schemeClr val="accent4">
                <a:lumMod val="50000"/>
              </a:schemeClr>
            </a:solidFill>
            <a:ln/>
            <a:effectLst/>
            <a:sp3d/>
          </c:spPr>
          <c:val>
            <c:numRef>
              <c:f>'1'!$R$55:$BA$55</c:f>
              <c:numCache>
                <c:formatCode>General</c:formatCode>
                <c:ptCount val="36"/>
                <c:pt idx="0">
                  <c:v>0.12771746607395557</c:v>
                </c:pt>
                <c:pt idx="1">
                  <c:v>12.523100266216987</c:v>
                </c:pt>
                <c:pt idx="2">
                  <c:v>21.621120132219065</c:v>
                </c:pt>
                <c:pt idx="3">
                  <c:v>23.977132403291083</c:v>
                </c:pt>
                <c:pt idx="4">
                  <c:v>24.335921043097578</c:v>
                </c:pt>
                <c:pt idx="5">
                  <c:v>24.035781287605435</c:v>
                </c:pt>
                <c:pt idx="6">
                  <c:v>23.510029804005921</c:v>
                </c:pt>
                <c:pt idx="7">
                  <c:v>22.918996597955875</c:v>
                </c:pt>
                <c:pt idx="8">
                  <c:v>22.326914063084974</c:v>
                </c:pt>
                <c:pt idx="9">
                  <c:v>21.76018806716819</c:v>
                </c:pt>
                <c:pt idx="10">
                  <c:v>21.229148949303628</c:v>
                </c:pt>
                <c:pt idx="11">
                  <c:v>20.736955473878304</c:v>
                </c:pt>
                <c:pt idx="12">
                  <c:v>20.283495223840678</c:v>
                </c:pt>
                <c:pt idx="13">
                  <c:v>19.867178546331587</c:v>
                </c:pt>
                <c:pt idx="14">
                  <c:v>19.485791305718895</c:v>
                </c:pt>
                <c:pt idx="15">
                  <c:v>19.136907699591831</c:v>
                </c:pt>
                <c:pt idx="16">
                  <c:v>18.818090501869456</c:v>
                </c:pt>
                <c:pt idx="17">
                  <c:v>18.526986225194932</c:v>
                </c:pt>
                <c:pt idx="18">
                  <c:v>18.261367653450055</c:v>
                </c:pt>
                <c:pt idx="19">
                  <c:v>18.019149931188444</c:v>
                </c:pt>
                <c:pt idx="20">
                  <c:v>17.798393481098973</c:v>
                </c:pt>
                <c:pt idx="21">
                  <c:v>17.597300524240293</c:v>
                </c:pt>
                <c:pt idx="22">
                  <c:v>17.414208659428287</c:v>
                </c:pt>
                <c:pt idx="23">
                  <c:v>17.247583248805761</c:v>
                </c:pt>
                <c:pt idx="24">
                  <c:v>17.096009475060452</c:v>
                </c:pt>
                <c:pt idx="25">
                  <c:v>16.958184484173451</c:v>
                </c:pt>
                <c:pt idx="26">
                  <c:v>16.832909799967762</c:v>
                </c:pt>
                <c:pt idx="27">
                  <c:v>16.719084085218132</c:v>
                </c:pt>
                <c:pt idx="28">
                  <c:v>16.615696271918551</c:v>
                </c:pt>
                <c:pt idx="29">
                  <c:v>16.521819060678599</c:v>
                </c:pt>
                <c:pt idx="30">
                  <c:v>16.436602780645323</c:v>
                </c:pt>
                <c:pt idx="31">
                  <c:v>16.359269598947993</c:v>
                </c:pt>
                <c:pt idx="32">
                  <c:v>16.289108068586334</c:v>
                </c:pt>
                <c:pt idx="33">
                  <c:v>16.225468004169819</c:v>
                </c:pt>
                <c:pt idx="34">
                  <c:v>16.167755675265592</c:v>
                </c:pt>
                <c:pt idx="35">
                  <c:v>16.115429307131606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1BCD-43A5-96F6-EEDE77262695}"/>
            </c:ext>
          </c:extLst>
        </c:ser>
        <c:ser>
          <c:idx val="34"/>
          <c:order val="34"/>
          <c:spPr>
            <a:solidFill>
              <a:schemeClr val="accent5">
                <a:lumMod val="50000"/>
              </a:schemeClr>
            </a:solidFill>
            <a:ln/>
            <a:effectLst/>
            <a:sp3d/>
          </c:spPr>
          <c:val>
            <c:numRef>
              <c:f>'1'!$R$56:$BA$56</c:f>
              <c:numCache>
                <c:formatCode>General</c:formatCode>
                <c:ptCount val="36"/>
                <c:pt idx="0">
                  <c:v>2.2353130448083118E-2</c:v>
                </c:pt>
                <c:pt idx="1">
                  <c:v>8.3182457208743763</c:v>
                </c:pt>
                <c:pt idx="2">
                  <c:v>17.973343390975582</c:v>
                </c:pt>
                <c:pt idx="3">
                  <c:v>21.512641046231963</c:v>
                </c:pt>
                <c:pt idx="4">
                  <c:v>22.709360090332208</c:v>
                </c:pt>
                <c:pt idx="5">
                  <c:v>22.984060224611522</c:v>
                </c:pt>
                <c:pt idx="6">
                  <c:v>22.866141573620105</c:v>
                </c:pt>
                <c:pt idx="7">
                  <c:v>22.575607107222808</c:v>
                </c:pt>
                <c:pt idx="8">
                  <c:v>22.212355885815452</c:v>
                </c:pt>
                <c:pt idx="9">
                  <c:v>21.82469316801939</c:v>
                </c:pt>
                <c:pt idx="10">
                  <c:v>21.436914075034704</c:v>
                </c:pt>
                <c:pt idx="11">
                  <c:v>21.061421922626725</c:v>
                </c:pt>
                <c:pt idx="12">
                  <c:v>20.704437760529142</c:v>
                </c:pt>
                <c:pt idx="13">
                  <c:v>20.368846619965019</c:v>
                </c:pt>
                <c:pt idx="14">
                  <c:v>20.055683569477679</c:v>
                </c:pt>
                <c:pt idx="15">
                  <c:v>19.76494015428074</c:v>
                </c:pt>
                <c:pt idx="16">
                  <c:v>19.496016655961775</c:v>
                </c:pt>
                <c:pt idx="17">
                  <c:v>19.24798304416171</c:v>
                </c:pt>
                <c:pt idx="18">
                  <c:v>19.01973331999848</c:v>
                </c:pt>
                <c:pt idx="19">
                  <c:v>18.810078761230738</c:v>
                </c:pt>
                <c:pt idx="20">
                  <c:v>18.617805224639806</c:v>
                </c:pt>
                <c:pt idx="21">
                  <c:v>18.441708765492752</c:v>
                </c:pt>
                <c:pt idx="22">
                  <c:v>18.280617848372017</c:v>
                </c:pt>
                <c:pt idx="23">
                  <c:v>18.133407060160945</c:v>
                </c:pt>
                <c:pt idx="24">
                  <c:v>17.999005307175889</c:v>
                </c:pt>
                <c:pt idx="25">
                  <c:v>17.87640035121273</c:v>
                </c:pt>
                <c:pt idx="26">
                  <c:v>17.764640868101402</c:v>
                </c:pt>
                <c:pt idx="27">
                  <c:v>17.662836804874669</c:v>
                </c:pt>
                <c:pt idx="28">
                  <c:v>17.570158558932903</c:v>
                </c:pt>
                <c:pt idx="29">
                  <c:v>17.485835342045586</c:v>
                </c:pt>
                <c:pt idx="30">
                  <c:v>17.409152987259269</c:v>
                </c:pt>
                <c:pt idx="31">
                  <c:v>17.339451386351637</c:v>
                </c:pt>
                <c:pt idx="32">
                  <c:v>17.27612169662752</c:v>
                </c:pt>
                <c:pt idx="33">
                  <c:v>17.218603420917628</c:v>
                </c:pt>
                <c:pt idx="34">
                  <c:v>17.166381438929509</c:v>
                </c:pt>
                <c:pt idx="35">
                  <c:v>17.118983048706003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1BCD-43A5-96F6-EEDE77262695}"/>
            </c:ext>
          </c:extLst>
        </c:ser>
        <c:ser>
          <c:idx val="35"/>
          <c:order val="35"/>
          <c:spPr>
            <a:solidFill>
              <a:schemeClr val="accent6">
                <a:lumMod val="50000"/>
              </a:schemeClr>
            </a:solidFill>
            <a:ln/>
            <a:effectLst/>
            <a:sp3d/>
          </c:spPr>
          <c:val>
            <c:numRef>
              <c:f>'1'!$R$57:$BA$57</c:f>
              <c:numCache>
                <c:formatCode>General</c:formatCode>
                <c:ptCount val="36"/>
                <c:pt idx="0">
                  <c:v>3.1869697993858154E-3</c:v>
                </c:pt>
                <c:pt idx="1">
                  <c:v>5.2286925046587447</c:v>
                </c:pt>
                <c:pt idx="2">
                  <c:v>14.494603479982477</c:v>
                </c:pt>
                <c:pt idx="3">
                  <c:v>18.878376833818297</c:v>
                </c:pt>
                <c:pt idx="4">
                  <c:v>20.810157384185199</c:v>
                </c:pt>
                <c:pt idx="5">
                  <c:v>21.633402013693079</c:v>
                </c:pt>
                <c:pt idx="6">
                  <c:v>21.923898712154539</c:v>
                </c:pt>
                <c:pt idx="7">
                  <c:v>21.944153815460027</c:v>
                </c:pt>
                <c:pt idx="8">
                  <c:v>21.823226710787115</c:v>
                </c:pt>
                <c:pt idx="9">
                  <c:v>21.628711859432688</c:v>
                </c:pt>
                <c:pt idx="10">
                  <c:v>21.397806598683104</c:v>
                </c:pt>
                <c:pt idx="11">
                  <c:v>21.151747861567415</c:v>
                </c:pt>
                <c:pt idx="12">
                  <c:v>20.902963095217146</c:v>
                </c:pt>
                <c:pt idx="13">
                  <c:v>20.658809444534715</c:v>
                </c:pt>
                <c:pt idx="14">
                  <c:v>20.423621430509201</c:v>
                </c:pt>
                <c:pt idx="15">
                  <c:v>20.199878105728089</c:v>
                </c:pt>
                <c:pt idx="16">
                  <c:v>19.98889220905831</c:v>
                </c:pt>
                <c:pt idx="17">
                  <c:v>19.791230144351807</c:v>
                </c:pt>
                <c:pt idx="18">
                  <c:v>19.606975346149337</c:v>
                </c:pt>
                <c:pt idx="19">
                  <c:v>19.435897772301256</c:v>
                </c:pt>
                <c:pt idx="20">
                  <c:v>19.277565548579972</c:v>
                </c:pt>
                <c:pt idx="21">
                  <c:v>19.131420016176413</c:v>
                </c:pt>
                <c:pt idx="22">
                  <c:v>18.99682703606944</c:v>
                </c:pt>
                <c:pt idx="23">
                  <c:v>18.873112513533037</c:v>
                </c:pt>
                <c:pt idx="24">
                  <c:v>18.759587192881291</c:v>
                </c:pt>
                <c:pt idx="25">
                  <c:v>18.655564000364862</c:v>
                </c:pt>
                <c:pt idx="26">
                  <c:v>18.560370112820433</c:v>
                </c:pt>
                <c:pt idx="27">
                  <c:v>18.47335523247764</c:v>
                </c:pt>
                <c:pt idx="28">
                  <c:v>18.393897097300503</c:v>
                </c:pt>
                <c:pt idx="29">
                  <c:v>18.321404958150776</c:v>
                </c:pt>
                <c:pt idx="30">
                  <c:v>18.255321552646912</c:v>
                </c:pt>
                <c:pt idx="31">
                  <c:v>18.195123966402456</c:v>
                </c:pt>
                <c:pt idx="32">
                  <c:v>18.140323673957447</c:v>
                </c:pt>
                <c:pt idx="33">
                  <c:v>18.090465980675386</c:v>
                </c:pt>
                <c:pt idx="34">
                  <c:v>18.0451290345327</c:v>
                </c:pt>
                <c:pt idx="35">
                  <c:v>18.003922537458717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1BCD-43A5-96F6-EEDE77262695}"/>
            </c:ext>
          </c:extLst>
        </c:ser>
        <c:ser>
          <c:idx val="36"/>
          <c:order val="36"/>
          <c:spPr>
            <a:solidFill>
              <a:schemeClr val="accent1">
                <a:lumMod val="70000"/>
                <a:lumOff val="30000"/>
              </a:schemeClr>
            </a:solidFill>
            <a:ln/>
            <a:effectLst/>
            <a:sp3d/>
          </c:spPr>
          <c:val>
            <c:numRef>
              <c:f>'1'!$R$58:$BA$58</c:f>
              <c:numCache>
                <c:formatCode>General</c:formatCode>
                <c:ptCount val="36"/>
                <c:pt idx="0">
                  <c:v>3.7014260726126884E-4</c:v>
                </c:pt>
                <c:pt idx="1">
                  <c:v>3.1102545073993451</c:v>
                </c:pt>
                <c:pt idx="2">
                  <c:v>11.339935691917978</c:v>
                </c:pt>
                <c:pt idx="3">
                  <c:v>16.203543588144417</c:v>
                </c:pt>
                <c:pt idx="4">
                  <c:v>18.7266111062123</c:v>
                </c:pt>
                <c:pt idx="5">
                  <c:v>20.042525887037243</c:v>
                </c:pt>
                <c:pt idx="6">
                  <c:v>20.721819024311667</c:v>
                </c:pt>
                <c:pt idx="7">
                  <c:v>21.049113097574551</c:v>
                </c:pt>
                <c:pt idx="8">
                  <c:v>21.173942262928055</c:v>
                </c:pt>
                <c:pt idx="9">
                  <c:v>21.179230125407415</c:v>
                </c:pt>
                <c:pt idx="10">
                  <c:v>21.113175429976675</c:v>
                </c:pt>
                <c:pt idx="11">
                  <c:v>21.004904553680166</c:v>
                </c:pt>
                <c:pt idx="12">
                  <c:v>20.872575035875155</c:v>
                </c:pt>
                <c:pt idx="13">
                  <c:v>20.727778085760583</c:v>
                </c:pt>
                <c:pt idx="14">
                  <c:v>20.578034727954275</c:v>
                </c:pt>
                <c:pt idx="15">
                  <c:v>20.428265676183717</c:v>
                </c:pt>
                <c:pt idx="16">
                  <c:v>20.281686684497011</c:v>
                </c:pt>
                <c:pt idx="17">
                  <c:v>20.140370872707443</c:v>
                </c:pt>
                <c:pt idx="18">
                  <c:v>20.005611857449285</c:v>
                </c:pt>
                <c:pt idx="19">
                  <c:v>19.878164269344175</c:v>
                </c:pt>
                <c:pt idx="20">
                  <c:v>19.758406757574726</c:v>
                </c:pt>
                <c:pt idx="21">
                  <c:v>19.646454751243546</c:v>
                </c:pt>
                <c:pt idx="22">
                  <c:v>19.542239872688643</c:v>
                </c:pt>
                <c:pt idx="23">
                  <c:v>19.445566714928376</c:v>
                </c:pt>
                <c:pt idx="24">
                  <c:v>19.356153927622</c:v>
                </c:pt>
                <c:pt idx="25">
                  <c:v>19.273664211642856</c:v>
                </c:pt>
                <c:pt idx="26">
                  <c:v>19.19772633441524</c:v>
                </c:pt>
                <c:pt idx="27">
                  <c:v>19.127951315198743</c:v>
                </c:pt>
                <c:pt idx="28">
                  <c:v>19.063944294139294</c:v>
                </c:pt>
                <c:pt idx="29">
                  <c:v>19.005313171506263</c:v>
                </c:pt>
                <c:pt idx="30">
                  <c:v>18.951674810398242</c:v>
                </c:pt>
                <c:pt idx="31">
                  <c:v>18.90265939122979</c:v>
                </c:pt>
                <c:pt idx="32">
                  <c:v>18.85791336025148</c:v>
                </c:pt>
                <c:pt idx="33">
                  <c:v>18.817101308366421</c:v>
                </c:pt>
                <c:pt idx="34">
                  <c:v>18.779907038275955</c:v>
                </c:pt>
                <c:pt idx="35">
                  <c:v>18.746034019345586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1BCD-43A5-96F6-EEDE77262695}"/>
            </c:ext>
          </c:extLst>
        </c:ser>
        <c:ser>
          <c:idx val="37"/>
          <c:order val="37"/>
          <c:spPr>
            <a:solidFill>
              <a:schemeClr val="accent2">
                <a:lumMod val="70000"/>
                <a:lumOff val="30000"/>
              </a:schemeClr>
            </a:solidFill>
            <a:ln/>
            <a:effectLst/>
            <a:sp3d/>
          </c:spPr>
          <c:val>
            <c:numRef>
              <c:f>'1'!$R$59:$BA$59</c:f>
              <c:numCache>
                <c:formatCode>General</c:formatCode>
                <c:ptCount val="36"/>
                <c:pt idx="0">
                  <c:v>3.5019645699244586E-5</c:v>
                </c:pt>
                <c:pt idx="1">
                  <c:v>1.7508148579303713</c:v>
                </c:pt>
                <c:pt idx="2">
                  <c:v>8.6067983826182548</c:v>
                </c:pt>
                <c:pt idx="3">
                  <c:v>13.602846064085204</c:v>
                </c:pt>
                <c:pt idx="4">
                  <c:v>16.548414004329558</c:v>
                </c:pt>
                <c:pt idx="5">
                  <c:v>18.277199320138809</c:v>
                </c:pt>
                <c:pt idx="6">
                  <c:v>19.307371649658911</c:v>
                </c:pt>
                <c:pt idx="7">
                  <c:v>19.924357554589836</c:v>
                </c:pt>
                <c:pt idx="8">
                  <c:v>20.288171321281599</c:v>
                </c:pt>
                <c:pt idx="9">
                  <c:v>20.492110527055971</c:v>
                </c:pt>
                <c:pt idx="10">
                  <c:v>20.592788657207421</c:v>
                </c:pt>
                <c:pt idx="11">
                  <c:v>20.625811443268166</c:v>
                </c:pt>
                <c:pt idx="12">
                  <c:v>20.614270621091819</c:v>
                </c:pt>
                <c:pt idx="13">
                  <c:v>20.573530264582445</c:v>
                </c:pt>
                <c:pt idx="14">
                  <c:v>20.514025960311926</c:v>
                </c:pt>
                <c:pt idx="15">
                  <c:v>20.442958619283324</c:v>
                </c:pt>
                <c:pt idx="16">
                  <c:v>20.36535182309618</c:v>
                </c:pt>
                <c:pt idx="17">
                  <c:v>20.284730910735515</c:v>
                </c:pt>
                <c:pt idx="18">
                  <c:v>20.203570645102282</c:v>
                </c:pt>
                <c:pt idx="19">
                  <c:v>20.123597455147888</c:v>
                </c:pt>
                <c:pt idx="20">
                  <c:v>20.045997987264165</c:v>
                </c:pt>
                <c:pt idx="21">
                  <c:v>19.971565867189238</c:v>
                </c:pt>
                <c:pt idx="22">
                  <c:v>19.900806802743027</c:v>
                </c:pt>
                <c:pt idx="23">
                  <c:v>19.834015009431475</c:v>
                </c:pt>
                <c:pt idx="24">
                  <c:v>19.771329506943722</c:v>
                </c:pt>
                <c:pt idx="25">
                  <c:v>19.712776028948646</c:v>
                </c:pt>
                <c:pt idx="26">
                  <c:v>19.658298479383401</c:v>
                </c:pt>
                <c:pt idx="27">
                  <c:v>19.607782680150212</c:v>
                </c:pt>
                <c:pt idx="28">
                  <c:v>19.561074360528103</c:v>
                </c:pt>
                <c:pt idx="29">
                  <c:v>19.517992797721973</c:v>
                </c:pt>
                <c:pt idx="30">
                  <c:v>19.478341143266988</c:v>
                </c:pt>
                <c:pt idx="31">
                  <c:v>19.44191420589328</c:v>
                </c:pt>
                <c:pt idx="32">
                  <c:v>19.408504272127622</c:v>
                </c:pt>
                <c:pt idx="33">
                  <c:v>19.377905407976659</c:v>
                </c:pt>
                <c:pt idx="34">
                  <c:v>19.349916583007175</c:v>
                </c:pt>
                <c:pt idx="35">
                  <c:v>19.324343881602456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1BCD-43A5-96F6-EEDE77262695}"/>
            </c:ext>
          </c:extLst>
        </c:ser>
        <c:ser>
          <c:idx val="38"/>
          <c:order val="38"/>
          <c:spPr>
            <a:solidFill>
              <a:schemeClr val="accent3">
                <a:lumMod val="70000"/>
                <a:lumOff val="30000"/>
              </a:schemeClr>
            </a:solidFill>
            <a:ln/>
            <a:effectLst/>
            <a:sp3d/>
          </c:spPr>
          <c:val>
            <c:numRef>
              <c:f>'1'!$R$60:$BA$60</c:f>
              <c:numCache>
                <c:formatCode>General</c:formatCode>
                <c:ptCount val="36"/>
                <c:pt idx="0">
                  <c:v>2.6990190659110144E-6</c:v>
                </c:pt>
                <c:pt idx="1">
                  <c:v>0.93266566318704203</c:v>
                </c:pt>
                <c:pt idx="2">
                  <c:v>6.3372297560337527</c:v>
                </c:pt>
                <c:pt idx="3">
                  <c:v>11.169249590791923</c:v>
                </c:pt>
                <c:pt idx="4">
                  <c:v>14.360412732972613</c:v>
                </c:pt>
                <c:pt idx="5">
                  <c:v>16.405761938684289</c:v>
                </c:pt>
                <c:pt idx="6">
                  <c:v>17.733874348674643</c:v>
                </c:pt>
                <c:pt idx="7">
                  <c:v>18.611030222395303</c:v>
                </c:pt>
                <c:pt idx="8">
                  <c:v>19.197403868886944</c:v>
                </c:pt>
                <c:pt idx="9">
                  <c:v>19.591162913735722</c:v>
                </c:pt>
                <c:pt idx="10">
                  <c:v>19.854276974853448</c:v>
                </c:pt>
                <c:pt idx="11">
                  <c:v>20.027062498863163</c:v>
                </c:pt>
                <c:pt idx="12">
                  <c:v>20.136485797096011</c:v>
                </c:pt>
                <c:pt idx="13">
                  <c:v>20.201029272150922</c:v>
                </c:pt>
                <c:pt idx="14">
                  <c:v>20.233628261537788</c:v>
                </c:pt>
                <c:pt idx="15">
                  <c:v>20.243495491245938</c:v>
                </c:pt>
                <c:pt idx="16">
                  <c:v>20.237286006701328</c:v>
                </c:pt>
                <c:pt idx="17">
                  <c:v>20.219860317613303</c:v>
                </c:pt>
                <c:pt idx="18">
                  <c:v>20.194796393001429</c:v>
                </c:pt>
                <c:pt idx="19">
                  <c:v>20.164740819898888</c:v>
                </c:pt>
                <c:pt idx="20">
                  <c:v>20.131654587856914</c:v>
                </c:pt>
                <c:pt idx="21">
                  <c:v>20.096988334429025</c:v>
                </c:pt>
                <c:pt idx="22">
                  <c:v>20.061809400278445</c:v>
                </c:pt>
                <c:pt idx="23">
                  <c:v>20.026895323327246</c:v>
                </c:pt>
                <c:pt idx="24">
                  <c:v>19.99280353455978</c:v>
                </c:pt>
                <c:pt idx="25">
                  <c:v>19.959923892193398</c:v>
                </c:pt>
                <c:pt idx="26">
                  <c:v>19.928518647298365</c:v>
                </c:pt>
                <c:pt idx="27">
                  <c:v>19.898753074809168</c:v>
                </c:pt>
                <c:pt idx="28">
                  <c:v>19.870719084734645</c:v>
                </c:pt>
                <c:pt idx="29">
                  <c:v>19.844453496523897</c:v>
                </c:pt>
                <c:pt idx="30">
                  <c:v>19.819952218125245</c:v>
                </c:pt>
                <c:pt idx="31">
                  <c:v>19.797181257983134</c:v>
                </c:pt>
                <c:pt idx="32">
                  <c:v>19.776085272421522</c:v>
                </c:pt>
                <c:pt idx="33">
                  <c:v>19.75659418571065</c:v>
                </c:pt>
                <c:pt idx="34">
                  <c:v>19.738628297624345</c:v>
                </c:pt>
                <c:pt idx="35">
                  <c:v>19.722102201264015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1BCD-43A5-96F6-EEDE77262695}"/>
            </c:ext>
          </c:extLst>
        </c:ser>
        <c:ser>
          <c:idx val="39"/>
          <c:order val="39"/>
          <c:spPr>
            <a:solidFill>
              <a:schemeClr val="accent4">
                <a:lumMod val="70000"/>
                <a:lumOff val="30000"/>
              </a:schemeClr>
            </a:solidFill>
            <a:ln/>
            <a:effectLst/>
            <a:sp3d/>
          </c:spPr>
          <c:val>
            <c:numRef>
              <c:f>'1'!$R$61:$BA$61</c:f>
              <c:numCache>
                <c:formatCode>General</c:formatCode>
                <c:ptCount val="36"/>
                <c:pt idx="0">
                  <c:v>1.6945394864462362E-7</c:v>
                </c:pt>
                <c:pt idx="1">
                  <c:v>0.47016816752596119</c:v>
                </c:pt>
                <c:pt idx="2">
                  <c:v>4.5267244728704519</c:v>
                </c:pt>
                <c:pt idx="3">
                  <c:v>8.9700040510225918</c:v>
                </c:pt>
                <c:pt idx="4">
                  <c:v>12.237447053007861</c:v>
                </c:pt>
                <c:pt idx="5">
                  <c:v>14.494816610824719</c:v>
                </c:pt>
                <c:pt idx="6">
                  <c:v>16.057180454008922</c:v>
                </c:pt>
                <c:pt idx="7">
                  <c:v>17.155053006574608</c:v>
                </c:pt>
                <c:pt idx="8">
                  <c:v>17.939094530675522</c:v>
                </c:pt>
                <c:pt idx="9">
                  <c:v>18.50677515498155</c:v>
                </c:pt>
                <c:pt idx="10">
                  <c:v>18.922142015256139</c:v>
                </c:pt>
                <c:pt idx="11">
                  <c:v>19.228231500588898</c:v>
                </c:pt>
                <c:pt idx="12">
                  <c:v>19.454637906375812</c:v>
                </c:pt>
                <c:pt idx="13">
                  <c:v>19.622158745590898</c:v>
                </c:pt>
                <c:pt idx="14">
                  <c:v>19.745698148944062</c:v>
                </c:pt>
                <c:pt idx="15">
                  <c:v>19.836121719949535</c:v>
                </c:pt>
                <c:pt idx="16">
                  <c:v>19.901468623804689</c:v>
                </c:pt>
                <c:pt idx="17">
                  <c:v>19.947761364822846</c:v>
                </c:pt>
                <c:pt idx="18">
                  <c:v>19.979558335105146</c:v>
                </c:pt>
                <c:pt idx="19">
                  <c:v>20.000338423650899</c:v>
                </c:pt>
                <c:pt idx="20">
                  <c:v>20.012773746326104</c:v>
                </c:pt>
                <c:pt idx="21">
                  <c:v>20.018926387616638</c:v>
                </c:pt>
                <c:pt idx="22">
                  <c:v>20.020392569033302</c:v>
                </c:pt>
                <c:pt idx="23">
                  <c:v>20.018409799484221</c:v>
                </c:pt>
                <c:pt idx="24">
                  <c:v>20.013937524096463</c:v>
                </c:pt>
                <c:pt idx="25">
                  <c:v>20.007718502767535</c:v>
                </c:pt>
                <c:pt idx="26">
                  <c:v>20.000325972869536</c:v>
                </c:pt>
                <c:pt idx="27">
                  <c:v>19.99220018522616</c:v>
                </c:pt>
                <c:pt idx="28">
                  <c:v>19.983676900877107</c:v>
                </c:pt>
                <c:pt idx="29">
                  <c:v>19.97500974110152</c:v>
                </c:pt>
                <c:pt idx="30">
                  <c:v>19.966387793670599</c:v>
                </c:pt>
                <c:pt idx="31">
                  <c:v>19.957949528526587</c:v>
                </c:pt>
                <c:pt idx="32">
                  <c:v>19.949793822612381</c:v>
                </c:pt>
                <c:pt idx="33">
                  <c:v>19.941988707385729</c:v>
                </c:pt>
                <c:pt idx="34">
                  <c:v>19.934578314015955</c:v>
                </c:pt>
                <c:pt idx="35">
                  <c:v>19.927588386935348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1BCD-43A5-96F6-EEDE77262695}"/>
            </c:ext>
          </c:extLst>
        </c:ser>
        <c:ser>
          <c:idx val="40"/>
          <c:order val="40"/>
          <c:spPr>
            <a:solidFill>
              <a:schemeClr val="accent5">
                <a:lumMod val="70000"/>
                <a:lumOff val="30000"/>
              </a:schemeClr>
            </a:solidFill>
            <a:ln/>
            <a:effectLst/>
            <a:sp3d/>
          </c:spPr>
          <c:val>
            <c:numRef>
              <c:f>'1'!$R$62:$BA$62</c:f>
              <c:numCache>
                <c:formatCode>General</c:formatCode>
                <c:ptCount val="36"/>
                <c:pt idx="0">
                  <c:v>8.6666043504900263E-9</c:v>
                </c:pt>
                <c:pt idx="1">
                  <c:v>0.2242962048963191</c:v>
                </c:pt>
                <c:pt idx="2">
                  <c:v>3.1368623014902601</c:v>
                </c:pt>
                <c:pt idx="3">
                  <c:v>7.045887640129556</c:v>
                </c:pt>
                <c:pt idx="4">
                  <c:v>10.240663323420524</c:v>
                </c:pt>
                <c:pt idx="5">
                  <c:v>12.60545734598648</c:v>
                </c:pt>
                <c:pt idx="6">
                  <c:v>14.332440243365529</c:v>
                </c:pt>
                <c:pt idx="7">
                  <c:v>15.604479125847941</c:v>
                </c:pt>
                <c:pt idx="8">
                  <c:v>16.554533772931215</c:v>
                </c:pt>
                <c:pt idx="9">
                  <c:v>17.274213669123181</c:v>
                </c:pt>
                <c:pt idx="10">
                  <c:v>17.826407370053783</c:v>
                </c:pt>
                <c:pt idx="11">
                  <c:v>18.254809723068554</c:v>
                </c:pt>
                <c:pt idx="12">
                  <c:v>18.590299599272104</c:v>
                </c:pt>
                <c:pt idx="13">
                  <c:v>18.855093075692754</c:v>
                </c:pt>
                <c:pt idx="14">
                  <c:v>19.065450935889039</c:v>
                </c:pt>
                <c:pt idx="15">
                  <c:v>19.233464820372824</c:v>
                </c:pt>
                <c:pt idx="16">
                  <c:v>19.368254695333466</c:v>
                </c:pt>
                <c:pt idx="17">
                  <c:v>19.476785887131065</c:v>
                </c:pt>
                <c:pt idx="18">
                  <c:v>19.564436533510225</c:v>
                </c:pt>
                <c:pt idx="19">
                  <c:v>19.635398577512845</c:v>
                </c:pt>
                <c:pt idx="20">
                  <c:v>19.692965859075258</c:v>
                </c:pt>
                <c:pt idx="21">
                  <c:v>19.739744339100568</c:v>
                </c:pt>
                <c:pt idx="22">
                  <c:v>19.777807736621732</c:v>
                </c:pt>
                <c:pt idx="23">
                  <c:v>19.808814292498223</c:v>
                </c:pt>
                <c:pt idx="24">
                  <c:v>19.834095430225155</c:v>
                </c:pt>
                <c:pt idx="25">
                  <c:v>19.854723808801868</c:v>
                </c:pt>
                <c:pt idx="26">
                  <c:v>19.871566060690899</c:v>
                </c:pt>
                <c:pt idx="27">
                  <c:v>19.885324006815029</c:v>
                </c:pt>
                <c:pt idx="28">
                  <c:v>19.896567102958034</c:v>
                </c:pt>
                <c:pt idx="29">
                  <c:v>19.905758144869193</c:v>
                </c:pt>
                <c:pt idx="30">
                  <c:v>19.913273742991034</c:v>
                </c:pt>
                <c:pt idx="31">
                  <c:v>19.919420706107019</c:v>
                </c:pt>
                <c:pt idx="32">
                  <c:v>19.924449202297094</c:v>
                </c:pt>
                <c:pt idx="33">
                  <c:v>19.928563365630698</c:v>
                </c:pt>
                <c:pt idx="34">
                  <c:v>19.931929867677805</c:v>
                </c:pt>
                <c:pt idx="35">
                  <c:v>19.934684860117294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1BCD-43A5-96F6-EEDE77262695}"/>
            </c:ext>
          </c:extLst>
        </c:ser>
        <c:ser>
          <c:idx val="41"/>
          <c:order val="41"/>
          <c:spPr>
            <a:solidFill>
              <a:schemeClr val="accent6">
                <a:lumMod val="70000"/>
                <a:lumOff val="30000"/>
              </a:schemeClr>
            </a:solidFill>
            <a:ln/>
            <a:effectLst/>
            <a:sp3d/>
          </c:spPr>
          <c:val>
            <c:numRef>
              <c:f>'1'!$R$63:$BA$63</c:f>
              <c:numCache>
                <c:formatCode>General</c:formatCode>
                <c:ptCount val="36"/>
                <c:pt idx="0">
                  <c:v>3.6107530278647831E-10</c:v>
                </c:pt>
                <c:pt idx="1">
                  <c:v>0.1012586418163238</c:v>
                </c:pt>
                <c:pt idx="2">
                  <c:v>2.108791459135003</c:v>
                </c:pt>
                <c:pt idx="3">
                  <c:v>5.4131893429697451</c:v>
                </c:pt>
                <c:pt idx="4">
                  <c:v>8.4154764649104283</c:v>
                </c:pt>
                <c:pt idx="5">
                  <c:v>10.790313227760121</c:v>
                </c:pt>
                <c:pt idx="6">
                  <c:v>12.611193284471186</c:v>
                </c:pt>
                <c:pt idx="7">
                  <c:v>14.00690074657274</c:v>
                </c:pt>
                <c:pt idx="8">
                  <c:v>15.086615044244992</c:v>
                </c:pt>
                <c:pt idx="9">
                  <c:v>15.931726117844679</c:v>
                </c:pt>
                <c:pt idx="10">
                  <c:v>16.60101583003587</c:v>
                </c:pt>
                <c:pt idx="11">
                  <c:v>17.13685641527103</c:v>
                </c:pt>
                <c:pt idx="12">
                  <c:v>17.570065908402331</c:v>
                </c:pt>
                <c:pt idx="13">
                  <c:v>17.923349977285358</c:v>
                </c:pt>
                <c:pt idx="14">
                  <c:v>18.213672808564947</c:v>
                </c:pt>
                <c:pt idx="15">
                  <c:v>18.453884320164711</c:v>
                </c:pt>
                <c:pt idx="16">
                  <c:v>18.653844548433348</c:v>
                </c:pt>
                <c:pt idx="17">
                  <c:v>18.821209492108231</c:v>
                </c:pt>
                <c:pt idx="18">
                  <c:v>18.961987752993458</c:v>
                </c:pt>
                <c:pt idx="19">
                  <c:v>19.080940418408904</c:v>
                </c:pt>
                <c:pt idx="20">
                  <c:v>19.181872403210335</c:v>
                </c:pt>
                <c:pt idx="21">
                  <c:v>19.267847631501169</c:v>
                </c:pt>
                <c:pt idx="22">
                  <c:v>19.341350045393405</c:v>
                </c:pt>
                <c:pt idx="23">
                  <c:v>19.404405554267559</c:v>
                </c:pt>
                <c:pt idx="24">
                  <c:v>19.458675445848463</c:v>
                </c:pt>
                <c:pt idx="25">
                  <c:v>19.505528678527025</c:v>
                </c:pt>
                <c:pt idx="26">
                  <c:v>19.546098354661762</c:v>
                </c:pt>
                <c:pt idx="27">
                  <c:v>19.581326208790763</c:v>
                </c:pt>
                <c:pt idx="28">
                  <c:v>19.611997918831133</c:v>
                </c:pt>
                <c:pt idx="29">
                  <c:v>19.638771321706646</c:v>
                </c:pt>
                <c:pt idx="30">
                  <c:v>19.662199093949187</c:v>
                </c:pt>
                <c:pt idx="31">
                  <c:v>19.682747079961977</c:v>
                </c:pt>
                <c:pt idx="32">
                  <c:v>19.70080917333047</c:v>
                </c:pt>
                <c:pt idx="33">
                  <c:v>19.716719450750421</c:v>
                </c:pt>
                <c:pt idx="34">
                  <c:v>19.730762103717613</c:v>
                </c:pt>
                <c:pt idx="35">
                  <c:v>19.743179596059402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1BCD-43A5-96F6-EEDE77262695}"/>
            </c:ext>
          </c:extLst>
        </c:ser>
        <c:ser>
          <c:idx val="42"/>
          <c:order val="42"/>
          <c:spPr>
            <a:solidFill>
              <a:schemeClr val="accent1">
                <a:lumMod val="70000"/>
              </a:schemeClr>
            </a:solidFill>
            <a:ln/>
            <a:effectLst/>
            <a:sp3d/>
          </c:spPr>
          <c:val>
            <c:numRef>
              <c:f>'1'!$R$64:$BA$64</c:f>
              <c:numCache>
                <c:formatCode>General</c:formatCode>
                <c:ptCount val="36"/>
                <c:pt idx="0">
                  <c:v>1.2254571612153791E-11</c:v>
                </c:pt>
                <c:pt idx="1">
                  <c:v>4.3259723544871925E-2</c:v>
                </c:pt>
                <c:pt idx="2">
                  <c:v>1.375303658561291</c:v>
                </c:pt>
                <c:pt idx="3">
                  <c:v>4.0676647679048177</c:v>
                </c:pt>
                <c:pt idx="4">
                  <c:v>6.7911401021963709</c:v>
                </c:pt>
                <c:pt idx="5">
                  <c:v>9.0915736011378421</c:v>
                </c:pt>
                <c:pt idx="6">
                  <c:v>10.938994768973194</c:v>
                </c:pt>
                <c:pt idx="7">
                  <c:v>12.407103017654126</c:v>
                </c:pt>
                <c:pt idx="8">
                  <c:v>13.577664789557707</c:v>
                </c:pt>
                <c:pt idx="9">
                  <c:v>14.518588043715603</c:v>
                </c:pt>
                <c:pt idx="10">
                  <c:v>15.282091943866151</c:v>
                </c:pt>
                <c:pt idx="11">
                  <c:v>15.907461635717167</c:v>
                </c:pt>
                <c:pt idx="12">
                  <c:v>16.424197443449714</c:v>
                </c:pt>
                <c:pt idx="13">
                  <c:v>16.85459410698197</c:v>
                </c:pt>
                <c:pt idx="14">
                  <c:v>17.215666484714358</c:v>
                </c:pt>
                <c:pt idx="15">
                  <c:v>17.520543083945967</c:v>
                </c:pt>
                <c:pt idx="16">
                  <c:v>17.779466431499717</c:v>
                </c:pt>
                <c:pt idx="17">
                  <c:v>18.00051291484538</c:v>
                </c:pt>
                <c:pt idx="18">
                  <c:v>18.190114604303311</c:v>
                </c:pt>
                <c:pt idx="19">
                  <c:v>18.353441269709275</c:v>
                </c:pt>
                <c:pt idx="20">
                  <c:v>18.494683125733577</c:v>
                </c:pt>
                <c:pt idx="21">
                  <c:v>18.617262479133775</c:v>
                </c:pt>
                <c:pt idx="22">
                  <c:v>18.72399393852913</c:v>
                </c:pt>
                <c:pt idx="23">
                  <c:v>18.817207005526633</c:v>
                </c:pt>
                <c:pt idx="24">
                  <c:v>18.89884084731975</c:v>
                </c:pt>
                <c:pt idx="25">
                  <c:v>18.970518270311871</c:v>
                </c:pt>
                <c:pt idx="26">
                  <c:v>19.033603975588736</c:v>
                </c:pt>
                <c:pt idx="27">
                  <c:v>19.089250813316518</c:v>
                </c:pt>
                <c:pt idx="28">
                  <c:v>19.138436784663103</c:v>
                </c:pt>
                <c:pt idx="29">
                  <c:v>19.181994845182835</c:v>
                </c:pt>
                <c:pt idx="30">
                  <c:v>19.220637060247572</c:v>
                </c:pt>
                <c:pt idx="31">
                  <c:v>19.254974294602302</c:v>
                </c:pt>
                <c:pt idx="32">
                  <c:v>19.28553234557269</c:v>
                </c:pt>
                <c:pt idx="33">
                  <c:v>19.312765225834173</c:v>
                </c:pt>
                <c:pt idx="34">
                  <c:v>19.337066148042616</c:v>
                </c:pt>
                <c:pt idx="35">
                  <c:v>19.358776646653325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1BCD-43A5-96F6-EEDE77262695}"/>
            </c:ext>
          </c:extLst>
        </c:ser>
        <c:ser>
          <c:idx val="43"/>
          <c:order val="43"/>
          <c:spPr>
            <a:solidFill>
              <a:schemeClr val="accent2">
                <a:lumMod val="70000"/>
              </a:schemeClr>
            </a:solidFill>
            <a:ln/>
            <a:effectLst/>
            <a:sp3d/>
          </c:spPr>
          <c:val>
            <c:numRef>
              <c:f>'1'!$R$65:$BA$65</c:f>
              <c:numCache>
                <c:formatCode>General</c:formatCode>
                <c:ptCount val="36"/>
                <c:pt idx="0">
                  <c:v>3.3880516339140054E-13</c:v>
                </c:pt>
                <c:pt idx="1">
                  <c:v>1.7489478134230064E-2</c:v>
                </c:pt>
                <c:pt idx="2">
                  <c:v>0.87014243323152751</c:v>
                </c:pt>
                <c:pt idx="3">
                  <c:v>2.9895892300689013</c:v>
                </c:pt>
                <c:pt idx="4">
                  <c:v>5.3817067509805954</c:v>
                </c:pt>
                <c:pt idx="5">
                  <c:v>7.540039629591865</c:v>
                </c:pt>
                <c:pt idx="6">
                  <c:v>9.3537086410172385</c:v>
                </c:pt>
                <c:pt idx="7">
                  <c:v>10.845118147445406</c:v>
                </c:pt>
                <c:pt idx="8">
                  <c:v>12.067485202292943</c:v>
                </c:pt>
                <c:pt idx="9">
                  <c:v>13.073231128481567</c:v>
                </c:pt>
                <c:pt idx="10">
                  <c:v>13.906193255834276</c:v>
                </c:pt>
                <c:pt idx="11">
                  <c:v>14.601130759486606</c:v>
                </c:pt>
                <c:pt idx="12">
                  <c:v>15.185136103349265</c:v>
                </c:pt>
                <c:pt idx="13">
                  <c:v>15.679276551817306</c:v>
                </c:pt>
                <c:pt idx="14">
                  <c:v>16.100005023266661</c:v>
                </c:pt>
                <c:pt idx="15">
                  <c:v>16.460265553627568</c:v>
                </c:pt>
                <c:pt idx="16">
                  <c:v>16.770329599955158</c:v>
                </c:pt>
                <c:pt idx="17">
                  <c:v>17.038420988626672</c:v>
                </c:pt>
                <c:pt idx="18">
                  <c:v>17.271182175969482</c:v>
                </c:pt>
                <c:pt idx="19">
                  <c:v>17.474023458801518</c:v>
                </c:pt>
                <c:pt idx="20">
                  <c:v>17.651386284953048</c:v>
                </c:pt>
                <c:pt idx="21">
                  <c:v>17.806943430684811</c:v>
                </c:pt>
                <c:pt idx="22">
                  <c:v>17.943752541118709</c:v>
                </c:pt>
                <c:pt idx="23">
                  <c:v>18.064374973524455</c:v>
                </c:pt>
                <c:pt idx="24">
                  <c:v>18.170968613249105</c:v>
                </c:pt>
                <c:pt idx="25">
                  <c:v>18.265360993674989</c:v>
                </c:pt>
                <c:pt idx="26">
                  <c:v>18.349107377357335</c:v>
                </c:pt>
                <c:pt idx="27">
                  <c:v>18.423537251816853</c:v>
                </c:pt>
                <c:pt idx="28">
                  <c:v>18.489791822927831</c:v>
                </c:pt>
                <c:pt idx="29">
                  <c:v>18.548854454756242</c:v>
                </c:pt>
                <c:pt idx="30">
                  <c:v>18.601575539205854</c:v>
                </c:pt>
                <c:pt idx="31">
                  <c:v>18.648692934254726</c:v>
                </c:pt>
                <c:pt idx="32">
                  <c:v>18.690848852316488</c:v>
                </c:pt>
                <c:pt idx="33">
                  <c:v>18.728603886553667</c:v>
                </c:pt>
                <c:pt idx="34">
                  <c:v>18.762448715865602</c:v>
                </c:pt>
                <c:pt idx="35">
                  <c:v>18.792813916630074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1BCD-43A5-96F6-EEDE77262695}"/>
            </c:ext>
          </c:extLst>
        </c:ser>
        <c:ser>
          <c:idx val="44"/>
          <c:order val="44"/>
          <c:spPr>
            <a:solidFill>
              <a:schemeClr val="accent3">
                <a:lumMod val="70000"/>
              </a:schemeClr>
            </a:solidFill>
            <a:ln/>
            <a:effectLst/>
            <a:sp3d/>
          </c:spPr>
          <c:val>
            <c:numRef>
              <c:f>'1'!$R$66:$BA$66</c:f>
              <c:numCache>
                <c:formatCode>General</c:formatCode>
                <c:ptCount val="36"/>
                <c:pt idx="0">
                  <c:v>7.6305078420988384E-15</c:v>
                </c:pt>
                <c:pt idx="1">
                  <c:v>6.6913143227947981E-3</c:v>
                </c:pt>
                <c:pt idx="2">
                  <c:v>0.534083157818251</c:v>
                </c:pt>
                <c:pt idx="3">
                  <c:v>2.1490786890839417</c:v>
                </c:pt>
                <c:pt idx="4">
                  <c:v>4.1880390991003766</c:v>
                </c:pt>
                <c:pt idx="5">
                  <c:v>6.1551375195719533</c:v>
                </c:pt>
                <c:pt idx="6">
                  <c:v>7.8845234966539852</c:v>
                </c:pt>
                <c:pt idx="7">
                  <c:v>9.3547836802060651</c:v>
                </c:pt>
                <c:pt idx="8">
                  <c:v>10.591729633090438</c:v>
                </c:pt>
                <c:pt idx="9">
                  <c:v>11.631574380813991</c:v>
                </c:pt>
                <c:pt idx="10">
                  <c:v>12.508666694744056</c:v>
                </c:pt>
                <c:pt idx="11">
                  <c:v>13.252199806128292</c:v>
                </c:pt>
                <c:pt idx="12">
                  <c:v>13.885994384532825</c:v>
                </c:pt>
                <c:pt idx="13">
                  <c:v>14.429203254002067</c:v>
                </c:pt>
                <c:pt idx="14">
                  <c:v>14.897179251767596</c:v>
                </c:pt>
                <c:pt idx="15">
                  <c:v>15.302261330299553</c:v>
                </c:pt>
                <c:pt idx="16">
                  <c:v>15.654419851315312</c:v>
                </c:pt>
                <c:pt idx="17">
                  <c:v>15.961765345015998</c:v>
                </c:pt>
                <c:pt idx="18">
                  <c:v>16.230942950388989</c:v>
                </c:pt>
                <c:pt idx="19">
                  <c:v>16.467436574074686</c:v>
                </c:pt>
                <c:pt idx="20">
                  <c:v>16.675803573102144</c:v>
                </c:pt>
                <c:pt idx="21">
                  <c:v>16.859856545440824</c:v>
                </c:pt>
                <c:pt idx="22">
                  <c:v>17.022804968561925</c:v>
                </c:pt>
                <c:pt idx="23">
                  <c:v>17.167366308367992</c:v>
                </c:pt>
                <c:pt idx="24">
                  <c:v>17.295853816603206</c:v>
                </c:pt>
                <c:pt idx="25">
                  <c:v>17.410246425321738</c:v>
                </c:pt>
                <c:pt idx="26">
                  <c:v>17.512244800382263</c:v>
                </c:pt>
                <c:pt idx="27">
                  <c:v>17.603316617998019</c:v>
                </c:pt>
                <c:pt idx="28">
                  <c:v>17.684733388771772</c:v>
                </c:pt>
                <c:pt idx="29">
                  <c:v>17.757600604011198</c:v>
                </c:pt>
                <c:pt idx="30">
                  <c:v>17.822882568842331</c:v>
                </c:pt>
                <c:pt idx="31">
                  <c:v>17.881422978678216</c:v>
                </c:pt>
                <c:pt idx="32">
                  <c:v>17.933962062985255</c:v>
                </c:pt>
                <c:pt idx="33">
                  <c:v>17.98115094340524</c:v>
                </c:pt>
                <c:pt idx="34">
                  <c:v>18.023563717849388</c:v>
                </c:pt>
                <c:pt idx="35">
                  <c:v>18.061707677746476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1BCD-43A5-96F6-EEDE77262695}"/>
            </c:ext>
          </c:extLst>
        </c:ser>
        <c:ser>
          <c:idx val="45"/>
          <c:order val="45"/>
          <c:spPr>
            <a:solidFill>
              <a:schemeClr val="accent4">
                <a:lumMod val="70000"/>
              </a:schemeClr>
            </a:solidFill>
            <a:ln/>
            <a:effectLst/>
            <a:sp3d/>
          </c:spPr>
          <c:val>
            <c:numRef>
              <c:f>'1'!$R$67:$BA$67</c:f>
              <c:numCache>
                <c:formatCode>General</c:formatCode>
                <c:ptCount val="36"/>
                <c:pt idx="0">
                  <c:v>1.3999367100960937E-16</c:v>
                </c:pt>
                <c:pt idx="1">
                  <c:v>2.4226321757465992E-3</c:v>
                </c:pt>
                <c:pt idx="2">
                  <c:v>0.31801983140713491</c:v>
                </c:pt>
                <c:pt idx="3">
                  <c:v>1.5110107206291703</c:v>
                </c:pt>
                <c:pt idx="4">
                  <c:v>3.200477546219183</c:v>
                </c:pt>
                <c:pt idx="5">
                  <c:v>4.9457419747414999</c:v>
                </c:pt>
                <c:pt idx="6">
                  <c:v>6.5516736465811087</c:v>
                </c:pt>
                <c:pt idx="7">
                  <c:v>7.9628543753813235</c:v>
                </c:pt>
                <c:pt idx="8">
                  <c:v>9.1806919789925594</c:v>
                </c:pt>
                <c:pt idx="9">
                  <c:v>10.225653470474079</c:v>
                </c:pt>
                <c:pt idx="10">
                  <c:v>11.122209932085683</c:v>
                </c:pt>
                <c:pt idx="11">
                  <c:v>11.893381211829306</c:v>
                </c:pt>
                <c:pt idx="12">
                  <c:v>12.559115275058845</c:v>
                </c:pt>
                <c:pt idx="13">
                  <c:v>13.13612554934253</c:v>
                </c:pt>
                <c:pt idx="14">
                  <c:v>13.638227681630646</c:v>
                </c:pt>
                <c:pt idx="15">
                  <c:v>14.076798538266322</c:v>
                </c:pt>
                <c:pt idx="16">
                  <c:v>14.461217601492997</c:v>
                </c:pt>
                <c:pt idx="17">
                  <c:v>14.799246774811976</c:v>
                </c:pt>
                <c:pt idx="18">
                  <c:v>15.097342016431906</c:v>
                </c:pt>
                <c:pt idx="19">
                  <c:v>15.360903517825886</c:v>
                </c:pt>
                <c:pt idx="20">
                  <c:v>15.594474688900892</c:v>
                </c:pt>
                <c:pt idx="21">
                  <c:v>15.80190002642432</c:v>
                </c:pt>
                <c:pt idx="22">
                  <c:v>15.986450531585263</c:v>
                </c:pt>
                <c:pt idx="23">
                  <c:v>16.15092371063291</c:v>
                </c:pt>
                <c:pt idx="24">
                  <c:v>16.297723708163268</c:v>
                </c:pt>
                <c:pt idx="25">
                  <c:v>16.428925890332636</c:v>
                </c:pt>
                <c:pt idx="26">
                  <c:v>16.546329215797019</c:v>
                </c:pt>
                <c:pt idx="27">
                  <c:v>16.651498970865553</c:v>
                </c:pt>
                <c:pt idx="28">
                  <c:v>16.745801860312628</c:v>
                </c:pt>
                <c:pt idx="29">
                  <c:v>16.830434997970677</c:v>
                </c:pt>
                <c:pt idx="30">
                  <c:v>16.906449999601378</c:v>
                </c:pt>
                <c:pt idx="31">
                  <c:v>16.974773119291857</c:v>
                </c:pt>
                <c:pt idx="32">
                  <c:v>17.036222170237423</c:v>
                </c:pt>
                <c:pt idx="33">
                  <c:v>17.091520816442582</c:v>
                </c:pt>
                <c:pt idx="34">
                  <c:v>17.141310702439444</c:v>
                </c:pt>
                <c:pt idx="35">
                  <c:v>17.186161795208037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1BCD-43A5-96F6-EEDE77262695}"/>
            </c:ext>
          </c:extLst>
        </c:ser>
        <c:ser>
          <c:idx val="46"/>
          <c:order val="46"/>
          <c:spPr>
            <a:solidFill>
              <a:schemeClr val="accent5">
                <a:lumMod val="70000"/>
              </a:schemeClr>
            </a:solidFill>
            <a:ln/>
            <a:effectLst/>
            <a:sp3d/>
          </c:spPr>
          <c:val>
            <c:numRef>
              <c:f>'1'!$R$68:$BA$68</c:f>
              <c:numCache>
                <c:formatCode>General</c:formatCode>
                <c:ptCount val="36"/>
                <c:pt idx="0">
                  <c:v>2.0922563635961354E-18</c:v>
                </c:pt>
                <c:pt idx="1">
                  <c:v>8.3005142581317611E-4</c:v>
                </c:pt>
                <c:pt idx="2">
                  <c:v>0.18370725526025405</c:v>
                </c:pt>
                <c:pt idx="3">
                  <c:v>1.0390996643908053</c:v>
                </c:pt>
                <c:pt idx="4">
                  <c:v>2.4017743400933038</c:v>
                </c:pt>
                <c:pt idx="5">
                  <c:v>3.9116024716694375</c:v>
                </c:pt>
                <c:pt idx="6">
                  <c:v>5.3667856643973417</c:v>
                </c:pt>
                <c:pt idx="7">
                  <c:v>6.6886636893344749</c:v>
                </c:pt>
                <c:pt idx="8">
                  <c:v>7.8585490073070661</c:v>
                </c:pt>
                <c:pt idx="9">
                  <c:v>8.882611058853314</c:v>
                </c:pt>
                <c:pt idx="10">
                  <c:v>9.7757134643180414</c:v>
                </c:pt>
                <c:pt idx="11">
                  <c:v>10.554522317988869</c:v>
                </c:pt>
                <c:pt idx="12">
                  <c:v>11.234787773516132</c:v>
                </c:pt>
                <c:pt idx="13">
                  <c:v>11.830438409233349</c:v>
                </c:pt>
                <c:pt idx="14">
                  <c:v>12.353433746924301</c:v>
                </c:pt>
                <c:pt idx="15">
                  <c:v>12.813910297698706</c:v>
                </c:pt>
                <c:pt idx="16">
                  <c:v>13.220419902300634</c:v>
                </c:pt>
                <c:pt idx="17">
                  <c:v>13.580176516017783</c:v>
                </c:pt>
                <c:pt idx="18">
                  <c:v>13.899279635084067</c:v>
                </c:pt>
                <c:pt idx="19">
                  <c:v>14.182905208575278</c:v>
                </c:pt>
                <c:pt idx="20">
                  <c:v>14.435464268321615</c:v>
                </c:pt>
                <c:pt idx="21">
                  <c:v>14.660732962363303</c:v>
                </c:pt>
                <c:pt idx="22">
                  <c:v>14.861958540289478</c:v>
                </c:pt>
                <c:pt idx="23">
                  <c:v>15.041945639247228</c:v>
                </c:pt>
                <c:pt idx="24">
                  <c:v>15.203126646585442</c:v>
                </c:pt>
                <c:pt idx="25">
                  <c:v>15.34761926938892</c:v>
                </c:pt>
                <c:pt idx="26">
                  <c:v>15.477273843576903</c:v>
                </c:pt>
                <c:pt idx="27">
                  <c:v>15.593712405568926</c:v>
                </c:pt>
                <c:pt idx="28">
                  <c:v>15.698361132331334</c:v>
                </c:pt>
                <c:pt idx="29">
                  <c:v>15.792477421667208</c:v>
                </c:pt>
                <c:pt idx="30">
                  <c:v>15.877172620541629</c:v>
                </c:pt>
                <c:pt idx="31">
                  <c:v>15.953431201722715</c:v>
                </c:pt>
                <c:pt idx="32">
                  <c:v>16.022127026360739</c:v>
                </c:pt>
                <c:pt idx="33">
                  <c:v>16.084037202630086</c:v>
                </c:pt>
                <c:pt idx="34">
                  <c:v>16.139853950456445</c:v>
                </c:pt>
                <c:pt idx="35">
                  <c:v>16.190194803537569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1BCD-43A5-96F6-EEDE77262695}"/>
            </c:ext>
          </c:extLst>
        </c:ser>
        <c:ser>
          <c:idx val="47"/>
          <c:order val="47"/>
          <c:spPr>
            <a:solidFill>
              <a:schemeClr val="accent6">
                <a:lumMod val="70000"/>
              </a:schemeClr>
            </a:solidFill>
            <a:ln/>
            <a:effectLst/>
            <a:sp3d/>
          </c:spPr>
          <c:val>
            <c:numRef>
              <c:f>'1'!$R$69:$BA$69</c:f>
              <c:numCache>
                <c:formatCode>General</c:formatCode>
                <c:ptCount val="36"/>
                <c:pt idx="0">
                  <c:v>2.5472579666422114E-20</c:v>
                </c:pt>
                <c:pt idx="1">
                  <c:v>2.6913116304132288E-4</c:v>
                </c:pt>
                <c:pt idx="2">
                  <c:v>0.10294972699273217</c:v>
                </c:pt>
                <c:pt idx="3">
                  <c:v>0.69891006410513978</c:v>
                </c:pt>
                <c:pt idx="4">
                  <c:v>1.7699580594347939</c:v>
                </c:pt>
                <c:pt idx="5">
                  <c:v>3.0451418734410982</c:v>
                </c:pt>
                <c:pt idx="6">
                  <c:v>4.3337258694847769</c:v>
                </c:pt>
                <c:pt idx="7">
                  <c:v>5.54428451369174</c:v>
                </c:pt>
                <c:pt idx="8">
                  <c:v>6.6430532538391232</c:v>
                </c:pt>
                <c:pt idx="9">
                  <c:v>7.6240761815869176</c:v>
                </c:pt>
                <c:pt idx="10">
                  <c:v>8.4934306787825005</c:v>
                </c:pt>
                <c:pt idx="11">
                  <c:v>9.2616359275931703</c:v>
                </c:pt>
                <c:pt idx="12">
                  <c:v>9.9401849287378425</c:v>
                </c:pt>
                <c:pt idx="13">
                  <c:v>10.540057884484122</c:v>
                </c:pt>
                <c:pt idx="14">
                  <c:v>11.071164540819256</c:v>
                </c:pt>
                <c:pt idx="15">
                  <c:v>11.542209883105311</c:v>
                </c:pt>
                <c:pt idx="16">
                  <c:v>11.960742535175786</c:v>
                </c:pt>
                <c:pt idx="17">
                  <c:v>12.33327260063915</c:v>
                </c:pt>
                <c:pt idx="18">
                  <c:v>12.665406917443804</c:v>
                </c:pt>
                <c:pt idx="19">
                  <c:v>12.961979081331981</c:v>
                </c:pt>
                <c:pt idx="20">
                  <c:v>13.227165563462801</c:v>
                </c:pt>
                <c:pt idx="21">
                  <c:v>13.464585724737269</c:v>
                </c:pt>
                <c:pt idx="22">
                  <c:v>13.677386368614853</c:v>
                </c:pt>
                <c:pt idx="23">
                  <c:v>13.86831256551889</c:v>
                </c:pt>
                <c:pt idx="24">
                  <c:v>14.039766755888964</c:v>
                </c:pt>
                <c:pt idx="25">
                  <c:v>14.19385805269291</c:v>
                </c:pt>
                <c:pt idx="26">
                  <c:v>14.332443439530556</c:v>
                </c:pt>
                <c:pt idx="27">
                  <c:v>14.457162301792128</c:v>
                </c:pt>
                <c:pt idx="28">
                  <c:v>14.569465481882231</c:v>
                </c:pt>
                <c:pt idx="29">
                  <c:v>14.670639832994537</c:v>
                </c:pt>
                <c:pt idx="30">
                  <c:v>14.761829063534998</c:v>
                </c:pt>
                <c:pt idx="31">
                  <c:v>14.844051514266255</c:v>
                </c:pt>
                <c:pt idx="32">
                  <c:v>14.918215388523642</c:v>
                </c:pt>
                <c:pt idx="33">
                  <c:v>14.985131857851615</c:v>
                </c:pt>
                <c:pt idx="34">
                  <c:v>15.04552638680722</c:v>
                </c:pt>
                <c:pt idx="35">
                  <c:v>15.100048557712524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1BCD-43A5-96F6-EEDE77262695}"/>
            </c:ext>
          </c:extLst>
        </c:ser>
        <c:ser>
          <c:idx val="48"/>
          <c:order val="48"/>
          <c:spPr>
            <a:solidFill>
              <a:schemeClr val="accent1">
                <a:lumMod val="50000"/>
                <a:lumOff val="50000"/>
              </a:schemeClr>
            </a:solidFill>
            <a:ln/>
            <a:effectLst/>
            <a:sp3d/>
          </c:spPr>
          <c:val>
            <c:numRef>
              <c:f>'1'!$R$70:$BA$70</c:f>
              <c:numCache>
                <c:formatCode>General</c:formatCode>
                <c:ptCount val="36"/>
                <c:pt idx="0">
                  <c:v>2.5262858950495664E-22</c:v>
                </c:pt>
                <c:pt idx="1">
                  <c:v>8.2578016256418718E-5</c:v>
                </c:pt>
                <c:pt idx="2">
                  <c:v>5.5969428881440721E-2</c:v>
                </c:pt>
                <c:pt idx="3">
                  <c:v>0.45979031038873719</c:v>
                </c:pt>
                <c:pt idx="4">
                  <c:v>1.2808760621297095</c:v>
                </c:pt>
                <c:pt idx="5">
                  <c:v>2.3334038661321683</c:v>
                </c:pt>
                <c:pt idx="6">
                  <c:v>3.4497991630479281</c:v>
                </c:pt>
                <c:pt idx="7">
                  <c:v>4.5351036763104791</c:v>
                </c:pt>
                <c:pt idx="8">
                  <c:v>5.5456380517665114</c:v>
                </c:pt>
                <c:pt idx="9">
                  <c:v>6.4659272564194366</c:v>
                </c:pt>
                <c:pt idx="10">
                  <c:v>7.2944934268439461</c:v>
                </c:pt>
                <c:pt idx="11">
                  <c:v>8.0362364516727993</c:v>
                </c:pt>
                <c:pt idx="12">
                  <c:v>8.6985691496339079</c:v>
                </c:pt>
                <c:pt idx="13">
                  <c:v>9.2895304322387169</c:v>
                </c:pt>
                <c:pt idx="14">
                  <c:v>9.8169093632701543</c:v>
                </c:pt>
                <c:pt idx="15">
                  <c:v>10.287876889541744</c:v>
                </c:pt>
                <c:pt idx="16">
                  <c:v>10.708867351422978</c:v>
                </c:pt>
                <c:pt idx="17">
                  <c:v>11.085578441999033</c:v>
                </c:pt>
                <c:pt idx="18">
                  <c:v>11.423023199146286</c:v>
                </c:pt>
                <c:pt idx="19">
                  <c:v>11.725600926324052</c:v>
                </c:pt>
                <c:pt idx="20">
                  <c:v>11.997171038626519</c:v>
                </c:pt>
                <c:pt idx="21">
                  <c:v>12.241122576187239</c:v>
                </c:pt>
                <c:pt idx="22">
                  <c:v>12.460436545235732</c:v>
                </c:pt>
                <c:pt idx="23">
                  <c:v>12.657740419206732</c:v>
                </c:pt>
                <c:pt idx="24">
                  <c:v>12.835355142038754</c:v>
                </c:pt>
                <c:pt idx="25">
                  <c:v>12.995335390797596</c:v>
                </c:pt>
                <c:pt idx="26">
                  <c:v>13.139503973016494</c:v>
                </c:pt>
                <c:pt idx="27">
                  <c:v>13.269481211633464</c:v>
                </c:pt>
                <c:pt idx="28">
                  <c:v>13.386710087878575</c:v>
                </c:pt>
                <c:pt idx="29">
                  <c:v>13.492477810743162</c:v>
                </c:pt>
                <c:pt idx="30">
                  <c:v>13.587934380455449</c:v>
                </c:pt>
                <c:pt idx="31">
                  <c:v>13.674108621344972</c:v>
                </c:pt>
                <c:pt idx="32">
                  <c:v>13.751922079599622</c:v>
                </c:pt>
                <c:pt idx="33">
                  <c:v>13.82220111392918</c:v>
                </c:pt>
                <c:pt idx="34">
                  <c:v>13.885687451025767</c:v>
                </c:pt>
                <c:pt idx="35">
                  <c:v>13.943047431473614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1BCD-43A5-96F6-EEDE77262695}"/>
            </c:ext>
          </c:extLst>
        </c:ser>
        <c:ser>
          <c:idx val="49"/>
          <c:order val="49"/>
          <c:spPr>
            <a:solidFill>
              <a:schemeClr val="accent2">
                <a:lumMod val="50000"/>
                <a:lumOff val="50000"/>
              </a:schemeClr>
            </a:solidFill>
            <a:ln/>
            <a:effectLst/>
            <a:sp3d/>
          </c:spPr>
          <c:val>
            <c:numRef>
              <c:f>'1'!$R$71:$BA$71</c:f>
              <c:numCache>
                <c:formatCode>General</c:formatCode>
                <c:ptCount val="36"/>
                <c:pt idx="0">
                  <c:v>2.0410028058703221E-24</c:v>
                </c:pt>
                <c:pt idx="1">
                  <c:v>2.3977636532521954E-5</c:v>
                </c:pt>
                <c:pt idx="2">
                  <c:v>2.951911525462864E-2</c:v>
                </c:pt>
                <c:pt idx="3">
                  <c:v>0.29585081227782456</c:v>
                </c:pt>
                <c:pt idx="4">
                  <c:v>0.9102582044531794</c:v>
                </c:pt>
                <c:pt idx="5">
                  <c:v>1.7599561907785002</c:v>
                </c:pt>
                <c:pt idx="6">
                  <c:v>2.7071441334050443</c:v>
                </c:pt>
                <c:pt idx="7">
                  <c:v>3.6607029850661679</c:v>
                </c:pt>
                <c:pt idx="8">
                  <c:v>4.5718684637645026</c:v>
                </c:pt>
                <c:pt idx="9">
                  <c:v>5.4184043039546177</c:v>
                </c:pt>
                <c:pt idx="10">
                  <c:v>6.1927626583655639</c:v>
                </c:pt>
                <c:pt idx="11">
                  <c:v>6.8949891539804389</c:v>
                </c:pt>
                <c:pt idx="12">
                  <c:v>7.5287857997248855</c:v>
                </c:pt>
                <c:pt idx="13">
                  <c:v>8.0994053838278788</c:v>
                </c:pt>
                <c:pt idx="14">
                  <c:v>8.6125571795212412</c:v>
                </c:pt>
                <c:pt idx="15">
                  <c:v>9.0738595664032378</c:v>
                </c:pt>
                <c:pt idx="16">
                  <c:v>9.4885847443158831</c:v>
                </c:pt>
                <c:pt idx="17">
                  <c:v>9.8615572628433412</c:v>
                </c:pt>
                <c:pt idx="18">
                  <c:v>10.197131653436697</c:v>
                </c:pt>
                <c:pt idx="19">
                  <c:v>10.499208953400817</c:v>
                </c:pt>
                <c:pt idx="20">
                  <c:v>10.771270650703087</c:v>
                </c:pt>
                <c:pt idx="21">
                  <c:v>11.016418772054269</c:v>
                </c:pt>
                <c:pt idx="22">
                  <c:v>11.2374163784632</c:v>
                </c:pt>
                <c:pt idx="23">
                  <c:v>11.436725730165515</c:v>
                </c:pt>
                <c:pt idx="24">
                  <c:v>11.616542984177778</c:v>
                </c:pt>
                <c:pt idx="25">
                  <c:v>11.778829122044954</c:v>
                </c:pt>
                <c:pt idx="26">
                  <c:v>11.925337219829043</c:v>
                </c:pt>
                <c:pt idx="27">
                  <c:v>12.057636359402462</c:v>
                </c:pt>
                <c:pt idx="28">
                  <c:v>12.177132546392109</c:v>
                </c:pt>
                <c:pt idx="29">
                  <c:v>12.28508700471771</c:v>
                </c:pt>
                <c:pt idx="30">
                  <c:v>12.382632192967026</c:v>
                </c:pt>
                <c:pt idx="31">
                  <c:v>12.470785851304825</c:v>
                </c:pt>
                <c:pt idx="32">
                  <c:v>12.550463348333702</c:v>
                </c:pt>
                <c:pt idx="33">
                  <c:v>12.62248855979872</c:v>
                </c:pt>
                <c:pt idx="34">
                  <c:v>12.687603477213942</c:v>
                </c:pt>
                <c:pt idx="35">
                  <c:v>12.746476715006699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1BCD-43A5-96F6-EEDE77262695}"/>
            </c:ext>
          </c:extLst>
        </c:ser>
        <c:ser>
          <c:idx val="50"/>
          <c:order val="50"/>
          <c:spPr>
            <a:solidFill>
              <a:schemeClr val="accent3">
                <a:lumMod val="50000"/>
                <a:lumOff val="50000"/>
              </a:schemeClr>
            </a:solidFill>
            <a:ln/>
            <a:effectLst/>
            <a:sp3d/>
          </c:spPr>
          <c:val>
            <c:numRef>
              <c:f>'1'!$R$72:$BA$72</c:f>
              <c:numCache>
                <c:formatCode>General</c:formatCode>
                <c:ptCount val="36"/>
                <c:pt idx="0">
                  <c:v>1.3432481236686415E-26</c:v>
                </c:pt>
                <c:pt idx="1">
                  <c:v>6.5885488265202802E-6</c:v>
                </c:pt>
                <c:pt idx="2">
                  <c:v>1.5103673310183302E-2</c:v>
                </c:pt>
                <c:pt idx="3">
                  <c:v>0.18619162748502838</c:v>
                </c:pt>
                <c:pt idx="4">
                  <c:v>0.63523651384390456</c:v>
                </c:pt>
                <c:pt idx="5">
                  <c:v>1.3066021369569831</c:v>
                </c:pt>
                <c:pt idx="6">
                  <c:v>2.0941806195531814</c:v>
                </c:pt>
                <c:pt idx="7">
                  <c:v>2.9159315791479803</c:v>
                </c:pt>
                <c:pt idx="8">
                  <c:v>3.7221541210385776</c:v>
                </c:pt>
                <c:pt idx="9">
                  <c:v>4.4865137887702708</c:v>
                </c:pt>
                <c:pt idx="10">
                  <c:v>5.196979956327465</c:v>
                </c:pt>
                <c:pt idx="11">
                  <c:v>5.8496562687626072</c:v>
                </c:pt>
                <c:pt idx="12">
                  <c:v>6.4450431183502417</c:v>
                </c:pt>
                <c:pt idx="13">
                  <c:v>6.9858799760745658</c:v>
                </c:pt>
                <c:pt idx="14">
                  <c:v>7.4759315480799078</c:v>
                </c:pt>
                <c:pt idx="15">
                  <c:v>7.9193192694455607</c:v>
                </c:pt>
                <c:pt idx="16">
                  <c:v>8.3201632338808906</c:v>
                </c:pt>
                <c:pt idx="17">
                  <c:v>8.682399304114476</c:v>
                </c:pt>
                <c:pt idx="18">
                  <c:v>9.0096941922577223</c:v>
                </c:pt>
                <c:pt idx="19">
                  <c:v>9.3054145612520731</c:v>
                </c:pt>
                <c:pt idx="20">
                  <c:v>9.5726251743169897</c:v>
                </c:pt>
                <c:pt idx="21">
                  <c:v>9.8141019506203033</c:v>
                </c:pt>
                <c:pt idx="22">
                  <c:v>10.032351980075843</c:v>
                </c:pt>
                <c:pt idx="23">
                  <c:v>10.229636097837616</c:v>
                </c:pt>
                <c:pt idx="24">
                  <c:v>10.407991649150521</c:v>
                </c:pt>
                <c:pt idx="25">
                  <c:v>10.569254231760825</c:v>
                </c:pt>
                <c:pt idx="26">
                  <c:v>10.715077855442443</c:v>
                </c:pt>
                <c:pt idx="27">
                  <c:v>10.846953319409982</c:v>
                </c:pt>
                <c:pt idx="28">
                  <c:v>10.966224801956036</c:v>
                </c:pt>
                <c:pt idx="29">
                  <c:v>11.074104754376865</c:v>
                </c:pt>
                <c:pt idx="30">
                  <c:v>11.171687234937734</c:v>
                </c:pt>
                <c:pt idx="31">
                  <c:v>11.259959832564441</c:v>
                </c:pt>
                <c:pt idx="32">
                  <c:v>11.339814328161546</c:v>
                </c:pt>
                <c:pt idx="33">
                  <c:v>11.412056231966892</c:v>
                </c:pt>
                <c:pt idx="34">
                  <c:v>11.477413322650417</c:v>
                </c:pt>
                <c:pt idx="35">
                  <c:v>11.536543300396003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BCD-43A5-96F6-EEDE77262695}"/>
            </c:ext>
          </c:extLst>
        </c:ser>
        <c:ser>
          <c:idx val="51"/>
          <c:order val="51"/>
          <c:spPr>
            <a:solidFill>
              <a:schemeClr val="accent4">
                <a:lumMod val="50000"/>
                <a:lumOff val="50000"/>
              </a:schemeClr>
            </a:solidFill>
            <a:ln/>
            <a:effectLst/>
            <a:sp3d/>
          </c:spPr>
          <c:val>
            <c:numRef>
              <c:f>'1'!$R$73:$BA$73</c:f>
              <c:numCache>
                <c:formatCode>General</c:formatCode>
                <c:ptCount val="36"/>
                <c:pt idx="0">
                  <c:v>7.2014577947234205E-29</c:v>
                </c:pt>
                <c:pt idx="1">
                  <c:v>1.7132259114464002E-6</c:v>
                </c:pt>
                <c:pt idx="2">
                  <c:v>7.497019065279378E-3</c:v>
                </c:pt>
                <c:pt idx="3">
                  <c:v>0.11460985444175605</c:v>
                </c:pt>
                <c:pt idx="4">
                  <c:v>0.43533106994770149</c:v>
                </c:pt>
                <c:pt idx="5">
                  <c:v>0.95480444763814054</c:v>
                </c:pt>
                <c:pt idx="6">
                  <c:v>1.5969895847414985</c:v>
                </c:pt>
                <c:pt idx="7">
                  <c:v>2.2920586563230754</c:v>
                </c:pt>
                <c:pt idx="8">
                  <c:v>2.9926325510860483</c:v>
                </c:pt>
                <c:pt idx="9">
                  <c:v>3.6706553763282006</c:v>
                </c:pt>
                <c:pt idx="10">
                  <c:v>4.3111680859195864</c:v>
                </c:pt>
                <c:pt idx="11">
                  <c:v>4.9073042676447329</c:v>
                </c:pt>
                <c:pt idx="12">
                  <c:v>5.4569563266174157</c:v>
                </c:pt>
                <c:pt idx="13">
                  <c:v>5.9607061410668143</c:v>
                </c:pt>
                <c:pt idx="14">
                  <c:v>6.4205816781831349</c:v>
                </c:pt>
                <c:pt idx="15">
                  <c:v>6.839323621535498</c:v>
                </c:pt>
                <c:pt idx="16">
                  <c:v>7.219959433617138</c:v>
                </c:pt>
                <c:pt idx="17">
                  <c:v>7.5655607402583742</c:v>
                </c:pt>
                <c:pt idx="18">
                  <c:v>7.8791093996447588</c:v>
                </c:pt>
                <c:pt idx="19">
                  <c:v>8.1634276828723209</c:v>
                </c:pt>
                <c:pt idx="20">
                  <c:v>8.421145996481064</c:v>
                </c:pt>
                <c:pt idx="21">
                  <c:v>8.6546923106681248</c:v>
                </c:pt>
                <c:pt idx="22">
                  <c:v>8.8662938573704295</c:v>
                </c:pt>
                <c:pt idx="23">
                  <c:v>9.0579854873929655</c:v>
                </c:pt>
                <c:pt idx="24">
                  <c:v>9.2316213672754248</c:v>
                </c:pt>
                <c:pt idx="25">
                  <c:v>9.3888880718804675</c:v>
                </c:pt>
                <c:pt idx="26">
                  <c:v>9.5313179543717936</c:v>
                </c:pt>
                <c:pt idx="27">
                  <c:v>9.6603021700586353</c:v>
                </c:pt>
                <c:pt idx="28">
                  <c:v>9.777103025660983</c:v>
                </c:pt>
                <c:pt idx="29">
                  <c:v>9.8828654999008467</c:v>
                </c:pt>
                <c:pt idx="30">
                  <c:v>9.9786278827348855</c:v>
                </c:pt>
                <c:pt idx="31">
                  <c:v>10.065331538003447</c:v>
                </c:pt>
                <c:pt idx="32">
                  <c:v>10.143829825395878</c:v>
                </c:pt>
                <c:pt idx="33">
                  <c:v>10.214896233128284</c:v>
                </c:pt>
                <c:pt idx="34">
                  <c:v>10.279231779090848</c:v>
                </c:pt>
                <c:pt idx="35">
                  <c:v>10.337471739372473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BCD-43A5-96F6-EEDE77262695}"/>
            </c:ext>
          </c:extLst>
        </c:ser>
        <c:ser>
          <c:idx val="52"/>
          <c:order val="52"/>
          <c:spPr>
            <a:solidFill>
              <a:schemeClr val="accent5">
                <a:lumMod val="50000"/>
                <a:lumOff val="50000"/>
              </a:schemeClr>
            </a:solidFill>
            <a:ln/>
            <a:effectLst/>
            <a:sp3d/>
          </c:spPr>
          <c:val>
            <c:numRef>
              <c:f>'1'!$R$74:$BA$74</c:f>
              <c:numCache>
                <c:formatCode>General</c:formatCode>
                <c:ptCount val="36"/>
                <c:pt idx="0">
                  <c:v>3.1451121281363759E-31</c:v>
                </c:pt>
                <c:pt idx="1">
                  <c:v>4.2158094103966758E-7</c:v>
                </c:pt>
                <c:pt idx="2">
                  <c:v>3.6101182914241533E-3</c:v>
                </c:pt>
                <c:pt idx="3">
                  <c:v>6.9001448017770362E-2</c:v>
                </c:pt>
                <c:pt idx="4">
                  <c:v>0.29296600822578484</c:v>
                </c:pt>
                <c:pt idx="5">
                  <c:v>0.68677592895895534</c:v>
                </c:pt>
                <c:pt idx="6">
                  <c:v>1.2005360949230093</c:v>
                </c:pt>
                <c:pt idx="7">
                  <c:v>1.7779096538961554</c:v>
                </c:pt>
                <c:pt idx="8">
                  <c:v>2.3761336140852274</c:v>
                </c:pt>
                <c:pt idx="9">
                  <c:v>2.9673940640700085</c:v>
                </c:pt>
                <c:pt idx="10">
                  <c:v>3.535217815756901</c:v>
                </c:pt>
                <c:pt idx="11">
                  <c:v>4.0707225655079524</c:v>
                </c:pt>
                <c:pt idx="12">
                  <c:v>4.569817892673842</c:v>
                </c:pt>
                <c:pt idx="13">
                  <c:v>5.0313312699566115</c:v>
                </c:pt>
                <c:pt idx="14">
                  <c:v>5.4558107234562758</c:v>
                </c:pt>
                <c:pt idx="15">
                  <c:v>5.8447771859225419</c:v>
                </c:pt>
                <c:pt idx="16">
                  <c:v>6.200263869700076</c:v>
                </c:pt>
                <c:pt idx="17">
                  <c:v>6.5245355587248701</c:v>
                </c:pt>
                <c:pt idx="18">
                  <c:v>6.819919793751966</c:v>
                </c:pt>
                <c:pt idx="19">
                  <c:v>7.0887074051022037</c:v>
                </c:pt>
                <c:pt idx="20">
                  <c:v>7.3330959362650212</c:v>
                </c:pt>
                <c:pt idx="21">
                  <c:v>7.5551595236333586</c:v>
                </c:pt>
                <c:pt idx="22">
                  <c:v>7.7568350116509688</c:v>
                </c:pt>
                <c:pt idx="23">
                  <c:v>7.9399179353646572</c:v>
                </c:pt>
                <c:pt idx="24">
                  <c:v>8.1060643963540571</c:v>
                </c:pt>
                <c:pt idx="25">
                  <c:v>8.2567963503596342</c:v>
                </c:pt>
                <c:pt idx="26">
                  <c:v>8.3935087584736028</c:v>
                </c:pt>
                <c:pt idx="27">
                  <c:v>8.5174776396821201</c:v>
                </c:pt>
                <c:pt idx="28">
                  <c:v>8.6298684313418885</c:v>
                </c:pt>
                <c:pt idx="29">
                  <c:v>8.7317442967978049</c:v>
                </c:pt>
                <c:pt idx="30">
                  <c:v>8.8240741662466871</c:v>
                </c:pt>
                <c:pt idx="31">
                  <c:v>8.9077403896965048</c:v>
                </c:pt>
                <c:pt idx="32">
                  <c:v>8.9835459392981569</c:v>
                </c:pt>
                <c:pt idx="33">
                  <c:v>9.0522211349500523</c:v>
                </c:pt>
                <c:pt idx="34">
                  <c:v>9.1144298898123477</c:v>
                </c:pt>
                <c:pt idx="35">
                  <c:v>9.1707754862454625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BCD-43A5-96F6-EEDE77262695}"/>
            </c:ext>
          </c:extLst>
        </c:ser>
        <c:ser>
          <c:idx val="53"/>
          <c:order val="53"/>
          <c:spPr>
            <a:solidFill>
              <a:schemeClr val="accent6">
                <a:lumMod val="50000"/>
                <a:lumOff val="50000"/>
              </a:schemeClr>
            </a:solidFill>
            <a:ln/>
            <a:effectLst/>
            <a:sp3d/>
          </c:spPr>
          <c:val>
            <c:numRef>
              <c:f>'1'!$R$75:$BA$75</c:f>
              <c:numCache>
                <c:formatCode>General</c:formatCode>
                <c:ptCount val="36"/>
                <c:pt idx="0">
                  <c:v>1.1189311986182959E-33</c:v>
                </c:pt>
                <c:pt idx="1">
                  <c:v>9.8172256395004765E-8</c:v>
                </c:pt>
                <c:pt idx="2">
                  <c:v>1.6864793778098319E-3</c:v>
                </c:pt>
                <c:pt idx="3">
                  <c:v>4.0632063554847074E-2</c:v>
                </c:pt>
                <c:pt idx="4">
                  <c:v>0.19361016810154083</c:v>
                </c:pt>
                <c:pt idx="5">
                  <c:v>0.48623392773743684</c:v>
                </c:pt>
                <c:pt idx="6">
                  <c:v>0.88967943240371805</c:v>
                </c:pt>
                <c:pt idx="7">
                  <c:v>1.3609093914477255</c:v>
                </c:pt>
                <c:pt idx="8">
                  <c:v>1.8631453617318923</c:v>
                </c:pt>
                <c:pt idx="9">
                  <c:v>2.3703028629542335</c:v>
                </c:pt>
                <c:pt idx="10">
                  <c:v>2.8655943116341067</c:v>
                </c:pt>
                <c:pt idx="11">
                  <c:v>3.3389960253023427</c:v>
                </c:pt>
                <c:pt idx="12">
                  <c:v>3.7850452377075015</c:v>
                </c:pt>
                <c:pt idx="13">
                  <c:v>4.2012325585446311</c:v>
                </c:pt>
                <c:pt idx="14">
                  <c:v>4.5869084909887601</c:v>
                </c:pt>
                <c:pt idx="15">
                  <c:v>4.942563627419565</c:v>
                </c:pt>
                <c:pt idx="16">
                  <c:v>5.2693626902114357</c:v>
                </c:pt>
                <c:pt idx="17">
                  <c:v>5.568845834475459</c:v>
                </c:pt>
                <c:pt idx="18">
                  <c:v>5.8427386435785387</c:v>
                </c:pt>
                <c:pt idx="19">
                  <c:v>6.0928323539234546</c:v>
                </c:pt>
                <c:pt idx="20">
                  <c:v>6.3209093796051334</c:v>
                </c:pt>
                <c:pt idx="21">
                  <c:v>6.5286980573730222</c:v>
                </c:pt>
                <c:pt idx="22">
                  <c:v>6.7178462443329883</c:v>
                </c:pt>
                <c:pt idx="23">
                  <c:v>6.8899070699324776</c:v>
                </c:pt>
                <c:pt idx="24">
                  <c:v>7.0463324999125732</c:v>
                </c:pt>
                <c:pt idx="25">
                  <c:v>7.1884718863239128</c:v>
                </c:pt>
                <c:pt idx="26">
                  <c:v>7.3175736573231189</c:v>
                </c:pt>
                <c:pt idx="27">
                  <c:v>7.4347889362519402</c:v>
                </c:pt>
                <c:pt idx="28">
                  <c:v>7.541176294285159</c:v>
                </c:pt>
                <c:pt idx="29">
                  <c:v>7.6377071130449092</c:v>
                </c:pt>
                <c:pt idx="30">
                  <c:v>7.7252712131296422</c:v>
                </c:pt>
                <c:pt idx="31">
                  <c:v>7.8046825236790527</c:v>
                </c:pt>
                <c:pt idx="32">
                  <c:v>7.8766846476561012</c:v>
                </c:pt>
                <c:pt idx="33">
                  <c:v>7.94195623093192</c:v>
                </c:pt>
                <c:pt idx="34">
                  <c:v>8.0011160792787468</c:v>
                </c:pt>
                <c:pt idx="35">
                  <c:v>8.0547279917551986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BCD-43A5-96F6-EEDE77262695}"/>
            </c:ext>
          </c:extLst>
        </c:ser>
        <c:ser>
          <c:idx val="54"/>
          <c:order val="54"/>
          <c:spPr>
            <a:solidFill>
              <a:schemeClr val="accent1"/>
            </a:solidFill>
            <a:ln/>
            <a:effectLst/>
            <a:sp3d/>
          </c:spPr>
          <c:val>
            <c:numRef>
              <c:f>'1'!$R$76:$BA$76</c:f>
              <c:numCache>
                <c:formatCode>General</c:formatCode>
                <c:ptCount val="36"/>
                <c:pt idx="0">
                  <c:v>3.2428149722507146E-36</c:v>
                </c:pt>
                <c:pt idx="1">
                  <c:v>2.1634060817668723E-8</c:v>
                </c:pt>
                <c:pt idx="2">
                  <c:v>7.6430627086553169E-4</c:v>
                </c:pt>
                <c:pt idx="3">
                  <c:v>2.3402054391464238E-2</c:v>
                </c:pt>
                <c:pt idx="4">
                  <c:v>0.12564709421316692</c:v>
                </c:pt>
                <c:pt idx="5">
                  <c:v>0.33884806951909047</c:v>
                </c:pt>
                <c:pt idx="6">
                  <c:v>0.6499456926784265</c:v>
                </c:pt>
                <c:pt idx="7">
                  <c:v>1.0279791269378722</c:v>
                </c:pt>
                <c:pt idx="8">
                  <c:v>1.442716637470667</c:v>
                </c:pt>
                <c:pt idx="9">
                  <c:v>1.8708090607379604</c:v>
                </c:pt>
                <c:pt idx="10">
                  <c:v>2.2960986504494305</c:v>
                </c:pt>
                <c:pt idx="11">
                  <c:v>2.7081715953041705</c:v>
                </c:pt>
                <c:pt idx="12">
                  <c:v>3.1007519106708257</c:v>
                </c:pt>
                <c:pt idx="13">
                  <c:v>3.4703968537920198</c:v>
                </c:pt>
                <c:pt idx="14">
                  <c:v>3.8155462127611139</c:v>
                </c:pt>
                <c:pt idx="15">
                  <c:v>4.1358624021522079</c:v>
                </c:pt>
                <c:pt idx="16">
                  <c:v>4.4317832950497733</c:v>
                </c:pt>
                <c:pt idx="17">
                  <c:v>4.704222999933787</c:v>
                </c:pt>
                <c:pt idx="18">
                  <c:v>4.9543731010808596</c:v>
                </c:pt>
                <c:pt idx="19">
                  <c:v>5.1835713806273294</c:v>
                </c:pt>
                <c:pt idx="20">
                  <c:v>5.3932156821073445</c:v>
                </c:pt>
                <c:pt idx="21">
                  <c:v>5.5847079558887849</c:v>
                </c:pt>
                <c:pt idx="22">
                  <c:v>5.7594185099471948</c:v>
                </c:pt>
                <c:pt idx="23">
                  <c:v>5.918663811497991</c:v>
                </c:pt>
                <c:pt idx="24">
                  <c:v>6.0636933888761932</c:v>
                </c:pt>
                <c:pt idx="25">
                  <c:v>6.1956828444265462</c:v>
                </c:pt>
                <c:pt idx="26">
                  <c:v>6.3157309604288958</c:v>
                </c:pt>
                <c:pt idx="27">
                  <c:v>6.4248595282646725</c:v>
                </c:pt>
                <c:pt idx="28">
                  <c:v>6.5240149659290916</c:v>
                </c:pt>
                <c:pt idx="29">
                  <c:v>6.6140710826281968</c:v>
                </c:pt>
                <c:pt idx="30">
                  <c:v>6.6958325488420254</c:v>
                </c:pt>
                <c:pt idx="31">
                  <c:v>6.770038766986505</c:v>
                </c:pt>
                <c:pt idx="32">
                  <c:v>6.8373679322064129</c:v>
                </c:pt>
                <c:pt idx="33">
                  <c:v>6.8984411385042321</c:v>
                </c:pt>
                <c:pt idx="34">
                  <c:v>6.9538264314419438</c:v>
                </c:pt>
                <c:pt idx="35">
                  <c:v>7.0040427411425874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1BCD-43A5-96F6-EEDE77262695}"/>
            </c:ext>
          </c:extLst>
        </c:ser>
        <c:ser>
          <c:idx val="55"/>
          <c:order val="55"/>
          <c:spPr>
            <a:solidFill>
              <a:schemeClr val="accent2"/>
            </a:solidFill>
            <a:ln/>
            <a:effectLst/>
            <a:sp3d/>
          </c:spPr>
          <c:val>
            <c:numRef>
              <c:f>'1'!$R$77:$BA$77</c:f>
              <c:numCache>
                <c:formatCode>General</c:formatCode>
                <c:ptCount val="36"/>
                <c:pt idx="0">
                  <c:v>7.655833717871062E-39</c:v>
                </c:pt>
                <c:pt idx="1">
                  <c:v>4.5115813101536907E-9</c:v>
                </c:pt>
                <c:pt idx="2">
                  <c:v>3.3603196837963655E-4</c:v>
                </c:pt>
                <c:pt idx="3">
                  <c:v>1.3182977792612833E-2</c:v>
                </c:pt>
                <c:pt idx="4">
                  <c:v>8.0073736667695489E-2</c:v>
                </c:pt>
                <c:pt idx="5">
                  <c:v>0.23243115202751211</c:v>
                </c:pt>
                <c:pt idx="6">
                  <c:v>0.46806458203956008</c:v>
                </c:pt>
                <c:pt idx="7">
                  <c:v>0.76625786304212162</c:v>
                </c:pt>
                <c:pt idx="8">
                  <c:v>1.1032495512910445</c:v>
                </c:pt>
                <c:pt idx="9">
                  <c:v>1.4589892576212793</c:v>
                </c:pt>
                <c:pt idx="10">
                  <c:v>1.8186272237521592</c:v>
                </c:pt>
                <c:pt idx="11">
                  <c:v>2.1719625588336817</c:v>
                </c:pt>
                <c:pt idx="12">
                  <c:v>2.5123881159834265</c:v>
                </c:pt>
                <c:pt idx="13">
                  <c:v>2.8358951387640019</c:v>
                </c:pt>
                <c:pt idx="14">
                  <c:v>3.140286129274716</c:v>
                </c:pt>
                <c:pt idx="15">
                  <c:v>3.4245964164375815</c:v>
                </c:pt>
                <c:pt idx="16">
                  <c:v>3.6886839384322663</c:v>
                </c:pt>
                <c:pt idx="17">
                  <c:v>3.9329436089829013</c:v>
                </c:pt>
                <c:pt idx="18">
                  <c:v>4.1581103866951334</c:v>
                </c:pt>
                <c:pt idx="19">
                  <c:v>4.365124301515797</c:v>
                </c:pt>
                <c:pt idx="20">
                  <c:v>4.5550383794846114</c:v>
                </c:pt>
                <c:pt idx="21">
                  <c:v>4.7289561794937978</c:v>
                </c:pt>
                <c:pt idx="22">
                  <c:v>4.8879897733907365</c:v>
                </c:pt>
                <c:pt idx="23">
                  <c:v>5.0332318642718841</c:v>
                </c:pt>
                <c:pt idx="24">
                  <c:v>5.1657377047798629</c:v>
                </c:pt>
                <c:pt idx="25">
                  <c:v>5.2865138215885725</c:v>
                </c:pt>
                <c:pt idx="26">
                  <c:v>5.3965114705995827</c:v>
                </c:pt>
                <c:pt idx="27">
                  <c:v>5.4966233761511551</c:v>
                </c:pt>
                <c:pt idx="28">
                  <c:v>5.5876827399149667</c:v>
                </c:pt>
                <c:pt idx="29">
                  <c:v>5.6704638041717024</c:v>
                </c:pt>
                <c:pt idx="30">
                  <c:v>5.7456834623367747</c:v>
                </c:pt>
                <c:pt idx="31">
                  <c:v>5.8140035556213396</c:v>
                </c:pt>
                <c:pt idx="32">
                  <c:v>5.8760335979278988</c:v>
                </c:pt>
                <c:pt idx="33">
                  <c:v>5.9323337446213458</c:v>
                </c:pt>
                <c:pt idx="34">
                  <c:v>5.9834178736243757</c:v>
                </c:pt>
                <c:pt idx="35">
                  <c:v>6.0297566854851326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7-1BCD-43A5-96F6-EEDE77262695}"/>
            </c:ext>
          </c:extLst>
        </c:ser>
        <c:ser>
          <c:idx val="56"/>
          <c:order val="56"/>
          <c:spPr>
            <a:solidFill>
              <a:schemeClr val="accent3"/>
            </a:solidFill>
            <a:ln/>
            <a:effectLst/>
            <a:sp3d/>
          </c:spPr>
          <c:val>
            <c:numRef>
              <c:f>'1'!$R$78:$BA$78</c:f>
              <c:numCache>
                <c:formatCode>General</c:formatCode>
                <c:ptCount val="36"/>
                <c:pt idx="0">
                  <c:v>1.4723611553665869E-41</c:v>
                </c:pt>
                <c:pt idx="1">
                  <c:v>8.9035048735179403E-10</c:v>
                </c:pt>
                <c:pt idx="2">
                  <c:v>1.433245392544912E-4</c:v>
                </c:pt>
                <c:pt idx="3">
                  <c:v>7.2635258650415157E-3</c:v>
                </c:pt>
                <c:pt idx="4">
                  <c:v>5.0111926673925514E-2</c:v>
                </c:pt>
                <c:pt idx="5">
                  <c:v>0.15693261670344355</c:v>
                </c:pt>
                <c:pt idx="6">
                  <c:v>0.33229184272497519</c:v>
                </c:pt>
                <c:pt idx="7">
                  <c:v>0.56363915372540629</c:v>
                </c:pt>
                <c:pt idx="8">
                  <c:v>0.833153259548849</c:v>
                </c:pt>
                <c:pt idx="9">
                  <c:v>1.1242728678368579</c:v>
                </c:pt>
                <c:pt idx="10">
                  <c:v>1.4238824600043241</c:v>
                </c:pt>
                <c:pt idx="11">
                  <c:v>1.722441058433172</c:v>
                </c:pt>
                <c:pt idx="12">
                  <c:v>2.013400656247653</c:v>
                </c:pt>
                <c:pt idx="13">
                  <c:v>2.2925024270802155</c:v>
                </c:pt>
                <c:pt idx="14">
                  <c:v>2.557158130071187</c:v>
                </c:pt>
                <c:pt idx="15">
                  <c:v>2.8059647943189789</c:v>
                </c:pt>
                <c:pt idx="16">
                  <c:v>3.0383435436590434</c:v>
                </c:pt>
                <c:pt idx="17">
                  <c:v>3.254278004868147</c:v>
                </c:pt>
                <c:pt idx="18">
                  <c:v>3.4541275943594689</c:v>
                </c:pt>
                <c:pt idx="19">
                  <c:v>3.6384953482612308</c:v>
                </c:pt>
                <c:pt idx="20">
                  <c:v>3.8081348584272203</c:v>
                </c:pt>
                <c:pt idx="21">
                  <c:v>3.9638850419660616</c:v>
                </c:pt>
                <c:pt idx="22">
                  <c:v>4.106624672025621</c:v>
                </c:pt>
                <c:pt idx="23">
                  <c:v>4.2372409417730967</c:v>
                </c:pt>
                <c:pt idx="24">
                  <c:v>4.3566080095354875</c:v>
                </c:pt>
                <c:pt idx="25">
                  <c:v>4.4655726569570504</c:v>
                </c:pt>
                <c:pt idx="26">
                  <c:v>4.5649450240796083</c:v>
                </c:pt>
                <c:pt idx="27">
                  <c:v>4.6554929696375291</c:v>
                </c:pt>
                <c:pt idx="28">
                  <c:v>4.737939016221544</c:v>
                </c:pt>
                <c:pt idx="29">
                  <c:v>4.8129591307583004</c:v>
                </c:pt>
                <c:pt idx="30">
                  <c:v>4.881182797468087</c:v>
                </c:pt>
                <c:pt idx="31">
                  <c:v>4.9431939883707754</c:v>
                </c:pt>
                <c:pt idx="32">
                  <c:v>4.9995327429897696</c:v>
                </c:pt>
                <c:pt idx="33">
                  <c:v>5.05069714626398</c:v>
                </c:pt>
                <c:pt idx="34">
                  <c:v>5.0971455502340106</c:v>
                </c:pt>
                <c:pt idx="35">
                  <c:v>5.139298926698431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8-1BCD-43A5-96F6-EEDE77262695}"/>
            </c:ext>
          </c:extLst>
        </c:ser>
        <c:ser>
          <c:idx val="57"/>
          <c:order val="57"/>
          <c:spPr>
            <a:solidFill>
              <a:schemeClr val="accent4"/>
            </a:solidFill>
            <a:ln/>
            <a:effectLst/>
            <a:sp3d/>
          </c:spPr>
          <c:val>
            <c:numRef>
              <c:f>'1'!$R$79:$BA$79</c:f>
              <c:numCache>
                <c:formatCode>General</c:formatCode>
                <c:ptCount val="36"/>
                <c:pt idx="0">
                  <c:v>2.3066821053106113E-44</c:v>
                </c:pt>
                <c:pt idx="1">
                  <c:v>1.6627795780380529E-10</c:v>
                </c:pt>
                <c:pt idx="2">
                  <c:v>5.9304452111799868E-5</c:v>
                </c:pt>
                <c:pt idx="3">
                  <c:v>3.9143160182309594E-3</c:v>
                </c:pt>
                <c:pt idx="4">
                  <c:v>3.0796790916543745E-2</c:v>
                </c:pt>
                <c:pt idx="5">
                  <c:v>0.1042945609547211</c:v>
                </c:pt>
                <c:pt idx="6">
                  <c:v>0.23255129967582699</c:v>
                </c:pt>
                <c:pt idx="7">
                  <c:v>0.40913150793932446</c:v>
                </c:pt>
                <c:pt idx="8">
                  <c:v>0.6213473564076728</c:v>
                </c:pt>
                <c:pt idx="9">
                  <c:v>0.85602879108109675</c:v>
                </c:pt>
                <c:pt idx="10">
                  <c:v>1.1020007757265844</c:v>
                </c:pt>
                <c:pt idx="11">
                  <c:v>1.3506794224894614</c:v>
                </c:pt>
                <c:pt idx="12">
                  <c:v>1.5958697626423852</c:v>
                </c:pt>
                <c:pt idx="13">
                  <c:v>1.8333190401330361</c:v>
                </c:pt>
                <c:pt idx="14">
                  <c:v>2.0602589516389713</c:v>
                </c:pt>
                <c:pt idx="15">
                  <c:v>2.2750164495309666</c:v>
                </c:pt>
                <c:pt idx="16">
                  <c:v>2.4767080471383696</c:v>
                </c:pt>
                <c:pt idx="17">
                  <c:v>2.6650090926622121</c:v>
                </c:pt>
                <c:pt idx="18">
                  <c:v>2.8399833521881996</c:v>
                </c:pt>
                <c:pt idx="19">
                  <c:v>3.0019586775811757</c:v>
                </c:pt>
                <c:pt idx="20">
                  <c:v>3.1514369755668086</c:v>
                </c:pt>
                <c:pt idx="21">
                  <c:v>3.2890293640081429</c:v>
                </c:pt>
                <c:pt idx="22">
                  <c:v>3.4154097039073212</c:v>
                </c:pt>
                <c:pt idx="23">
                  <c:v>3.5312815054198321</c:v>
                </c:pt>
                <c:pt idx="24">
                  <c:v>3.6373545659635282</c:v>
                </c:pt>
                <c:pt idx="25">
                  <c:v>3.734328696538848</c:v>
                </c:pt>
                <c:pt idx="26">
                  <c:v>3.8228826161960821</c:v>
                </c:pt>
                <c:pt idx="27">
                  <c:v>3.9036666168280405</c:v>
                </c:pt>
                <c:pt idx="28">
                  <c:v>3.9772979769361769</c:v>
                </c:pt>
                <c:pt idx="29">
                  <c:v>4.0443583749289953</c:v>
                </c:pt>
                <c:pt idx="30">
                  <c:v>4.1053927496542233</c:v>
                </c:pt>
                <c:pt idx="31">
                  <c:v>4.1609091995242533</c:v>
                </c:pt>
                <c:pt idx="32">
                  <c:v>4.2113796168877515</c:v>
                </c:pt>
                <c:pt idx="33">
                  <c:v>4.2572408319509805</c:v>
                </c:pt>
                <c:pt idx="34">
                  <c:v>4.2988960981724595</c:v>
                </c:pt>
                <c:pt idx="35">
                  <c:v>4.336716794064718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1BCD-43A5-96F6-EEDE77262695}"/>
            </c:ext>
          </c:extLst>
        </c:ser>
        <c:ser>
          <c:idx val="58"/>
          <c:order val="58"/>
          <c:spPr>
            <a:solidFill>
              <a:schemeClr val="accent5"/>
            </a:solidFill>
            <a:ln/>
            <a:effectLst/>
            <a:sp3d/>
          </c:spPr>
          <c:val>
            <c:numRef>
              <c:f>'1'!$R$80:$BA$80</c:f>
              <c:numCache>
                <c:formatCode>General</c:formatCode>
                <c:ptCount val="36"/>
                <c:pt idx="0">
                  <c:v>2.9438296705689287E-47</c:v>
                </c:pt>
                <c:pt idx="1">
                  <c:v>2.9386633214690782E-11</c:v>
                </c:pt>
                <c:pt idx="2">
                  <c:v>2.3805692910545754E-5</c:v>
                </c:pt>
                <c:pt idx="3">
                  <c:v>2.0631875741325282E-3</c:v>
                </c:pt>
                <c:pt idx="4">
                  <c:v>1.8585882510685343E-2</c:v>
                </c:pt>
                <c:pt idx="5">
                  <c:v>6.8224390836270049E-2</c:v>
                </c:pt>
                <c:pt idx="6">
                  <c:v>0.160436453235108</c:v>
                </c:pt>
                <c:pt idx="7">
                  <c:v>0.29306250759658836</c:v>
                </c:pt>
                <c:pt idx="8">
                  <c:v>0.45761729642841148</c:v>
                </c:pt>
                <c:pt idx="9">
                  <c:v>0.64402395189595174</c:v>
                </c:pt>
                <c:pt idx="10">
                  <c:v>0.84307646897571642</c:v>
                </c:pt>
                <c:pt idx="11">
                  <c:v>1.0473119929226296</c:v>
                </c:pt>
                <c:pt idx="12">
                  <c:v>1.2510897077077912</c:v>
                </c:pt>
                <c:pt idx="13">
                  <c:v>1.4503569566377179</c:v>
                </c:pt>
                <c:pt idx="14">
                  <c:v>1.6423355575595981</c:v>
                </c:pt>
                <c:pt idx="15">
                  <c:v>1.8252248298503568</c:v>
                </c:pt>
                <c:pt idx="16">
                  <c:v>1.9979529521300041</c:v>
                </c:pt>
                <c:pt idx="17">
                  <c:v>2.1599806083533442</c:v>
                </c:pt>
                <c:pt idx="18">
                  <c:v>2.3111507198212076</c:v>
                </c:pt>
                <c:pt idx="19">
                  <c:v>2.4515755003054069</c:v>
                </c:pt>
                <c:pt idx="20">
                  <c:v>2.5815524910217715</c:v>
                </c:pt>
                <c:pt idx="21">
                  <c:v>2.7015025980642751</c:v>
                </c:pt>
                <c:pt idx="22">
                  <c:v>2.8119246353189165</c:v>
                </c:pt>
                <c:pt idx="23">
                  <c:v>2.913362173611667</c:v>
                </c:pt>
                <c:pt idx="24">
                  <c:v>3.0063795400042865</c:v>
                </c:pt>
                <c:pt idx="25">
                  <c:v>3.0915446143019572</c:v>
                </c:pt>
                <c:pt idx="26">
                  <c:v>3.1694166742057255</c:v>
                </c:pt>
                <c:pt idx="27">
                  <c:v>3.2405379899273501</c:v>
                </c:pt>
                <c:pt idx="28">
                  <c:v>3.3054282014154781</c:v>
                </c:pt>
                <c:pt idx="29">
                  <c:v>3.3645807567804238</c:v>
                </c:pt>
                <c:pt idx="30">
                  <c:v>3.4184608720097822</c:v>
                </c:pt>
                <c:pt idx="31">
                  <c:v>3.4675046067024766</c:v>
                </c:pt>
                <c:pt idx="32">
                  <c:v>3.5121187508296563</c:v>
                </c:pt>
                <c:pt idx="33">
                  <c:v>3.5526812925748001</c:v>
                </c:pt>
                <c:pt idx="34">
                  <c:v>3.5895422937386314</c:v>
                </c:pt>
                <c:pt idx="35">
                  <c:v>3.6230250418360717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A-1BCD-43A5-96F6-EEDE77262695}"/>
            </c:ext>
          </c:extLst>
        </c:ser>
        <c:ser>
          <c:idx val="59"/>
          <c:order val="59"/>
          <c:spPr>
            <a:solidFill>
              <a:schemeClr val="accent6"/>
            </a:solidFill>
            <a:ln/>
            <a:effectLst/>
            <a:sp3d/>
          </c:spPr>
          <c:val>
            <c:numRef>
              <c:f>'1'!$R$81:$BA$81</c:f>
              <c:numCache>
                <c:formatCode>General</c:formatCode>
                <c:ptCount val="36"/>
                <c:pt idx="0">
                  <c:v>3.0604771847449894E-50</c:v>
                </c:pt>
                <c:pt idx="1">
                  <c:v>4.914806819209381E-12</c:v>
                </c:pt>
                <c:pt idx="2">
                  <c:v>9.2704569447776983E-6</c:v>
                </c:pt>
                <c:pt idx="3">
                  <c:v>1.0636432119303383E-3</c:v>
                </c:pt>
                <c:pt idx="4">
                  <c:v>1.1014740483722356E-2</c:v>
                </c:pt>
                <c:pt idx="5">
                  <c:v>4.3928587145966348E-2</c:v>
                </c:pt>
                <c:pt idx="6">
                  <c:v>0.10911200203514335</c:v>
                </c:pt>
                <c:pt idx="7">
                  <c:v>0.20715392121563089</c:v>
                </c:pt>
                <c:pt idx="8">
                  <c:v>0.33283487489913965</c:v>
                </c:pt>
                <c:pt idx="9">
                  <c:v>0.4787542842661941</c:v>
                </c:pt>
                <c:pt idx="10">
                  <c:v>0.63757215743909013</c:v>
                </c:pt>
                <c:pt idx="11">
                  <c:v>0.80300037697819948</c:v>
                </c:pt>
                <c:pt idx="12">
                  <c:v>0.97007032934029602</c:v>
                </c:pt>
                <c:pt idx="13">
                  <c:v>1.1350640391363012</c:v>
                </c:pt>
                <c:pt idx="14">
                  <c:v>1.2953223010302799</c:v>
                </c:pt>
                <c:pt idx="15">
                  <c:v>1.449031073452941</c:v>
                </c:pt>
                <c:pt idx="16">
                  <c:v>1.5950276048440093</c:v>
                </c:pt>
                <c:pt idx="17">
                  <c:v>1.7326391452975345</c:v>
                </c:pt>
                <c:pt idx="18">
                  <c:v>1.8615546876294884</c:v>
                </c:pt>
                <c:pt idx="19">
                  <c:v>1.9817255668033049</c:v>
                </c:pt>
                <c:pt idx="20">
                  <c:v>2.0932896257840494</c:v>
                </c:pt>
                <c:pt idx="21">
                  <c:v>2.1965139561807945</c:v>
                </c:pt>
                <c:pt idx="22">
                  <c:v>2.2917519937621362</c:v>
                </c:pt>
                <c:pt idx="23">
                  <c:v>2.3794115850554083</c:v>
                </c:pt>
                <c:pt idx="24">
                  <c:v>2.4599313871103909</c:v>
                </c:pt>
                <c:pt idx="25">
                  <c:v>2.5337635753866965</c:v>
                </c:pt>
                <c:pt idx="26">
                  <c:v>2.6013613177400376</c:v>
                </c:pt>
                <c:pt idx="27">
                  <c:v>2.6631698446358771</c:v>
                </c:pt>
                <c:pt idx="28">
                  <c:v>2.7196202289820706</c:v>
                </c:pt>
                <c:pt idx="29">
                  <c:v>2.7711252032932365</c:v>
                </c:pt>
                <c:pt idx="30">
                  <c:v>2.8180765037221369</c:v>
                </c:pt>
                <c:pt idx="31">
                  <c:v>2.860843352726417</c:v>
                </c:pt>
                <c:pt idx="32">
                  <c:v>2.8997717846499933</c:v>
                </c:pt>
                <c:pt idx="33">
                  <c:v>2.9351845887166332</c:v>
                </c:pt>
                <c:pt idx="34">
                  <c:v>2.9673816974089178</c:v>
                </c:pt>
                <c:pt idx="35">
                  <c:v>2.9966408890715881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B-1BCD-43A5-96F6-EEDE77262695}"/>
            </c:ext>
          </c:extLst>
        </c:ser>
        <c:ser>
          <c:idx val="60"/>
          <c:order val="60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'1'!$R$82:$BA$82</c:f>
              <c:numCache>
                <c:formatCode>General</c:formatCode>
                <c:ptCount val="36"/>
                <c:pt idx="0">
                  <c:v>2.5918934889198387E-53</c:v>
                </c:pt>
                <c:pt idx="1">
                  <c:v>7.7786555589566151E-13</c:v>
                </c:pt>
                <c:pt idx="2">
                  <c:v>3.5022588450514907E-6</c:v>
                </c:pt>
                <c:pt idx="3">
                  <c:v>5.3632453253035718E-4</c:v>
                </c:pt>
                <c:pt idx="4">
                  <c:v>6.4103052422497487E-3</c:v>
                </c:pt>
                <c:pt idx="5">
                  <c:v>2.7840970286235504E-2</c:v>
                </c:pt>
                <c:pt idx="6">
                  <c:v>7.3152165514184103E-2</c:v>
                </c:pt>
                <c:pt idx="7">
                  <c:v>0.14449792743594825</c:v>
                </c:pt>
                <c:pt idx="8">
                  <c:v>0.23906370167996124</c:v>
                </c:pt>
                <c:pt idx="9">
                  <c:v>0.35165786361857726</c:v>
                </c:pt>
                <c:pt idx="10">
                  <c:v>0.47661644871509551</c:v>
                </c:pt>
                <c:pt idx="11">
                  <c:v>0.60879531375371509</c:v>
                </c:pt>
                <c:pt idx="12">
                  <c:v>0.74394658825122906</c:v>
                </c:pt>
                <c:pt idx="13">
                  <c:v>0.87876840841343518</c:v>
                </c:pt>
                <c:pt idx="14">
                  <c:v>1.0108102812172193</c:v>
                </c:pt>
                <c:pt idx="15">
                  <c:v>1.1383309206685936</c:v>
                </c:pt>
                <c:pt idx="16">
                  <c:v>1.2601540939243843</c:v>
                </c:pt>
                <c:pt idx="17">
                  <c:v>1.3755408898132506</c:v>
                </c:pt>
                <c:pt idx="18">
                  <c:v>1.4840836690245329</c:v>
                </c:pt>
                <c:pt idx="19">
                  <c:v>1.585621146561788</c:v>
                </c:pt>
                <c:pt idx="20">
                  <c:v>1.6801718706033739</c:v>
                </c:pt>
                <c:pt idx="21">
                  <c:v>1.7678828519177252</c:v>
                </c:pt>
                <c:pt idx="22">
                  <c:v>1.8489902951822679</c:v>
                </c:pt>
                <c:pt idx="23">
                  <c:v>1.923789826560417</c:v>
                </c:pt>
                <c:pt idx="24">
                  <c:v>1.9926140938953363</c:v>
                </c:pt>
                <c:pt idx="25">
                  <c:v>2.0558160534954713</c:v>
                </c:pt>
                <c:pt idx="26">
                  <c:v>2.1137566247243607</c:v>
                </c:pt>
                <c:pt idx="27">
                  <c:v>2.1667956894606406</c:v>
                </c:pt>
                <c:pt idx="28">
                  <c:v>2.2152856464991766</c:v>
                </c:pt>
                <c:pt idx="29">
                  <c:v>2.2595669121578106</c:v>
                </c:pt>
                <c:pt idx="30">
                  <c:v>2.2999648983075933</c:v>
                </c:pt>
                <c:pt idx="31">
                  <c:v>2.3367881068120941</c:v>
                </c:pt>
                <c:pt idx="32">
                  <c:v>2.370327062282449</c:v>
                </c:pt>
                <c:pt idx="33">
                  <c:v>2.4008538689007923</c:v>
                </c:pt>
                <c:pt idx="34">
                  <c:v>2.4286222262976302</c:v>
                </c:pt>
                <c:pt idx="35">
                  <c:v>2.4538677775053239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C-1BCD-43A5-96F6-EEDE77262695}"/>
            </c:ext>
          </c:extLst>
        </c:ser>
        <c:ser>
          <c:idx val="61"/>
          <c:order val="61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'1'!$R$83:$BA$83</c:f>
              <c:numCache>
                <c:formatCode>General</c:formatCode>
                <c:ptCount val="36"/>
                <c:pt idx="0">
                  <c:v>1.7881201265247789E-56</c:v>
                </c:pt>
                <c:pt idx="1">
                  <c:v>1.1650487535705286E-13</c:v>
                </c:pt>
                <c:pt idx="2">
                  <c:v>1.2835775884881431E-6</c:v>
                </c:pt>
                <c:pt idx="3">
                  <c:v>2.6450493772890666E-4</c:v>
                </c:pt>
                <c:pt idx="4">
                  <c:v>3.6635026466838427E-3</c:v>
                </c:pt>
                <c:pt idx="5">
                  <c:v>1.7368049994875925E-2</c:v>
                </c:pt>
                <c:pt idx="6">
                  <c:v>4.8346722743539641E-2</c:v>
                </c:pt>
                <c:pt idx="7">
                  <c:v>9.9463935683013052E-2</c:v>
                </c:pt>
                <c:pt idx="8">
                  <c:v>0.16957306602891345</c:v>
                </c:pt>
                <c:pt idx="9">
                  <c:v>0.25522605012416705</c:v>
                </c:pt>
                <c:pt idx="10">
                  <c:v>0.35219729586218773</c:v>
                </c:pt>
                <c:pt idx="11">
                  <c:v>0.45639694796701402</c:v>
                </c:pt>
                <c:pt idx="12">
                  <c:v>0.56429221186877621</c:v>
                </c:pt>
                <c:pt idx="13">
                  <c:v>0.67303417243839425</c:v>
                </c:pt>
                <c:pt idx="14">
                  <c:v>0.78043604524833066</c:v>
                </c:pt>
                <c:pt idx="15">
                  <c:v>0.8848891508745016</c:v>
                </c:pt>
                <c:pt idx="16">
                  <c:v>0.98526172112514865</c:v>
                </c:pt>
                <c:pt idx="17">
                  <c:v>1.0808016537324929</c:v>
                </c:pt>
                <c:pt idx="18">
                  <c:v>1.1710515933102328</c:v>
                </c:pt>
                <c:pt idx="19">
                  <c:v>1.2557784409443635</c:v>
                </c:pt>
                <c:pt idx="20">
                  <c:v>1.3349165738894722</c:v>
                </c:pt>
                <c:pt idx="21">
                  <c:v>1.4085229845631888</c:v>
                </c:pt>
                <c:pt idx="22">
                  <c:v>1.4767423104487813</c:v>
                </c:pt>
                <c:pt idx="23">
                  <c:v>1.5397798537356722</c:v>
                </c:pt>
                <c:pt idx="24">
                  <c:v>1.5978809495752868</c:v>
                </c:pt>
                <c:pt idx="25">
                  <c:v>1.6513153262202467</c:v>
                </c:pt>
                <c:pt idx="26">
                  <c:v>1.7003653627962296</c:v>
                </c:pt>
                <c:pt idx="27">
                  <c:v>1.7453173750242519</c:v>
                </c:pt>
                <c:pt idx="28">
                  <c:v>1.7864552437769921</c:v>
                </c:pt>
                <c:pt idx="29">
                  <c:v>1.8240558496040988</c:v>
                </c:pt>
                <c:pt idx="30">
                  <c:v>1.8583858938578171</c:v>
                </c:pt>
                <c:pt idx="31">
                  <c:v>1.889699779452779</c:v>
                </c:pt>
                <c:pt idx="32">
                  <c:v>1.9182382966545304</c:v>
                </c:pt>
                <c:pt idx="33">
                  <c:v>1.9442279158414404</c:v>
                </c:pt>
                <c:pt idx="34">
                  <c:v>1.9678805333485763</c:v>
                </c:pt>
                <c:pt idx="35">
                  <c:v>1.9893935509969842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D-1BCD-43A5-96F6-EEDE77262695}"/>
            </c:ext>
          </c:extLst>
        </c:ser>
        <c:ser>
          <c:idx val="62"/>
          <c:order val="62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'1'!$R$84:$BA$84</c:f>
              <c:numCache>
                <c:formatCode>General</c:formatCode>
                <c:ptCount val="36"/>
                <c:pt idx="0">
                  <c:v>1.0049113898946137E-59</c:v>
                </c:pt>
                <c:pt idx="1">
                  <c:v>1.6512967540782729E-14</c:v>
                </c:pt>
                <c:pt idx="2">
                  <c:v>4.5637599808915456E-7</c:v>
                </c:pt>
                <c:pt idx="3">
                  <c:v>1.2758932371119544E-4</c:v>
                </c:pt>
                <c:pt idx="4">
                  <c:v>2.0560215774882433E-3</c:v>
                </c:pt>
                <c:pt idx="5">
                  <c:v>1.0664667429772866E-2</c:v>
                </c:pt>
                <c:pt idx="6">
                  <c:v>3.1498660368870689E-2</c:v>
                </c:pt>
                <c:pt idx="7">
                  <c:v>6.7562424195250853E-2</c:v>
                </c:pt>
                <c:pt idx="8">
                  <c:v>0.11878415822418058</c:v>
                </c:pt>
                <c:pt idx="9">
                  <c:v>0.18303185088903012</c:v>
                </c:pt>
                <c:pt idx="10">
                  <c:v>0.25726476877060744</c:v>
                </c:pt>
                <c:pt idx="11">
                  <c:v>0.3383218457308142</c:v>
                </c:pt>
                <c:pt idx="12">
                  <c:v>0.4233407951481169</c:v>
                </c:pt>
                <c:pt idx="13">
                  <c:v>0.50992746516970733</c:v>
                </c:pt>
                <c:pt idx="14">
                  <c:v>0.59618473157359297</c:v>
                </c:pt>
                <c:pt idx="15">
                  <c:v>0.68067329431156554</c:v>
                </c:pt>
                <c:pt idx="16">
                  <c:v>0.76234590198085128</c:v>
                </c:pt>
                <c:pt idx="17">
                  <c:v>0.84047656592202657</c:v>
                </c:pt>
                <c:pt idx="18">
                  <c:v>0.91459480208488764</c:v>
                </c:pt>
                <c:pt idx="19">
                  <c:v>0.98442876115005085</c:v>
                </c:pt>
                <c:pt idx="20">
                  <c:v>1.0498580149253764</c:v>
                </c:pt>
                <c:pt idx="21">
                  <c:v>1.1108753552530608</c:v>
                </c:pt>
                <c:pt idx="22">
                  <c:v>1.1675564225468962</c:v>
                </c:pt>
                <c:pt idx="23">
                  <c:v>1.2200358708406807</c:v>
                </c:pt>
                <c:pt idx="24">
                  <c:v>1.268488859702233</c:v>
                </c:pt>
                <c:pt idx="25">
                  <c:v>1.3131168204210397</c:v>
                </c:pt>
                <c:pt idx="26">
                  <c:v>1.3541366160702335</c:v>
                </c:pt>
                <c:pt idx="27">
                  <c:v>1.3917723761647185</c:v>
                </c:pt>
                <c:pt idx="28">
                  <c:v>1.4262494267950458</c:v>
                </c:pt>
                <c:pt idx="29">
                  <c:v>1.4577898543059147</c:v>
                </c:pt>
                <c:pt idx="30">
                  <c:v>1.4866093363202206</c:v>
                </c:pt>
                <c:pt idx="31">
                  <c:v>1.5129149510103956</c:v>
                </c:pt>
                <c:pt idx="32">
                  <c:v>1.536903737070797</c:v>
                </c:pt>
                <c:pt idx="33">
                  <c:v>1.5587618257176501</c:v>
                </c:pt>
                <c:pt idx="34">
                  <c:v>1.5786640047204328</c:v>
                </c:pt>
                <c:pt idx="35">
                  <c:v>1.5967736050174868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E-1BCD-43A5-96F6-EEDE77262695}"/>
            </c:ext>
          </c:extLst>
        </c:ser>
        <c:ser>
          <c:idx val="63"/>
          <c:order val="63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'1'!$R$85:$BA$85</c:f>
              <c:numCache>
                <c:formatCode>General</c:formatCode>
                <c:ptCount val="36"/>
                <c:pt idx="0">
                  <c:v>4.600556642629546E-63</c:v>
                </c:pt>
                <c:pt idx="1">
                  <c:v>2.214866855385384E-15</c:v>
                </c:pt>
                <c:pt idx="2">
                  <c:v>1.5741649968033821E-7</c:v>
                </c:pt>
                <c:pt idx="3">
                  <c:v>6.019623347112094E-5</c:v>
                </c:pt>
                <c:pt idx="4">
                  <c:v>1.1331102955885978E-3</c:v>
                </c:pt>
                <c:pt idx="5">
                  <c:v>6.445745224405974E-3</c:v>
                </c:pt>
                <c:pt idx="6">
                  <c:v>2.0230299759318907E-2</c:v>
                </c:pt>
                <c:pt idx="7">
                  <c:v>4.5287711012793837E-2</c:v>
                </c:pt>
                <c:pt idx="8">
                  <c:v>8.2171004296360928E-2</c:v>
                </c:pt>
                <c:pt idx="9">
                  <c:v>0.12969563195960374</c:v>
                </c:pt>
                <c:pt idx="10">
                  <c:v>0.18575987998869442</c:v>
                </c:pt>
                <c:pt idx="11">
                  <c:v>0.24798946436246447</c:v>
                </c:pt>
                <c:pt idx="12">
                  <c:v>0.31412315510663463</c:v>
                </c:pt>
                <c:pt idx="13">
                  <c:v>0.38219790437617501</c:v>
                </c:pt>
                <c:pt idx="14">
                  <c:v>0.45060939299284453</c:v>
                </c:pt>
                <c:pt idx="15">
                  <c:v>0.51810532573254553</c:v>
                </c:pt>
                <c:pt idx="16">
                  <c:v>0.58374750115901886</c:v>
                </c:pt>
                <c:pt idx="17">
                  <c:v>0.64686302936647611</c:v>
                </c:pt>
                <c:pt idx="18">
                  <c:v>0.70699523155760535</c:v>
                </c:pt>
                <c:pt idx="19">
                  <c:v>0.7638590727140302</c:v>
                </c:pt>
                <c:pt idx="20">
                  <c:v>0.81730289710149284</c:v>
                </c:pt>
                <c:pt idx="21">
                  <c:v>0.86727667141056231</c:v>
                </c:pt>
                <c:pt idx="22">
                  <c:v>0.91380621786871441</c:v>
                </c:pt>
                <c:pt idx="23">
                  <c:v>0.95697264522903336</c:v>
                </c:pt>
                <c:pt idx="24">
                  <c:v>0.99689613718185865</c:v>
                </c:pt>
                <c:pt idx="25">
                  <c:v>1.0337233144533673</c:v>
                </c:pt>
                <c:pt idx="26">
                  <c:v>1.0676174848647224</c:v>
                </c:pt>
                <c:pt idx="27">
                  <c:v>1.0987512027722599</c:v>
                </c:pt>
                <c:pt idx="28">
                  <c:v>1.1273006605239573</c:v>
                </c:pt>
                <c:pt idx="29">
                  <c:v>1.1534415237571163</c:v>
                </c:pt>
                <c:pt idx="30">
                  <c:v>1.1773458979669336</c:v>
                </c:pt>
                <c:pt idx="31">
                  <c:v>1.199180176377872</c:v>
                </c:pt>
                <c:pt idx="32">
                  <c:v>1.2191035702192459</c:v>
                </c:pt>
                <c:pt idx="33">
                  <c:v>1.2372671637639241</c:v>
                </c:pt>
                <c:pt idx="34">
                  <c:v>1.2538133696040947</c:v>
                </c:pt>
                <c:pt idx="35">
                  <c:v>1.2688756861006389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F-1BCD-43A5-96F6-EEDE77262695}"/>
            </c:ext>
          </c:extLst>
        </c:ser>
        <c:ser>
          <c:idx val="64"/>
          <c:order val="64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'1'!$R$86:$BA$86</c:f>
              <c:numCache>
                <c:formatCode>General</c:formatCode>
                <c:ptCount val="36"/>
                <c:pt idx="0">
                  <c:v>1.7157125658084609E-66</c:v>
                </c:pt>
                <c:pt idx="1">
                  <c:v>2.8113284679990175E-16</c:v>
                </c:pt>
                <c:pt idx="2">
                  <c:v>5.2674993645694382E-8</c:v>
                </c:pt>
                <c:pt idx="3">
                  <c:v>2.7777856576559542E-5</c:v>
                </c:pt>
                <c:pt idx="4">
                  <c:v>6.1323941684518794E-4</c:v>
                </c:pt>
                <c:pt idx="5">
                  <c:v>3.8346745988059989E-3</c:v>
                </c:pt>
                <c:pt idx="6">
                  <c:v>1.2808484369441098E-2</c:v>
                </c:pt>
                <c:pt idx="7">
                  <c:v>2.9956500606679651E-2</c:v>
                </c:pt>
                <c:pt idx="8">
                  <c:v>5.6135433976655998E-2</c:v>
                </c:pt>
                <c:pt idx="9">
                  <c:v>9.080735666965889E-2</c:v>
                </c:pt>
                <c:pt idx="10">
                  <c:v>0.13258696690319716</c:v>
                </c:pt>
                <c:pt idx="11">
                  <c:v>0.17974312946724275</c:v>
                </c:pt>
                <c:pt idx="12">
                  <c:v>0.23053323550206362</c:v>
                </c:pt>
                <c:pt idx="13">
                  <c:v>0.28338496666664131</c:v>
                </c:pt>
                <c:pt idx="14">
                  <c:v>0.33697330101245121</c:v>
                </c:pt>
                <c:pt idx="15">
                  <c:v>0.39023561677428886</c:v>
                </c:pt>
                <c:pt idx="16">
                  <c:v>0.44235455477025043</c:v>
                </c:pt>
                <c:pt idx="17">
                  <c:v>0.49272677701619488</c:v>
                </c:pt>
                <c:pt idx="18">
                  <c:v>0.54092779372011612</c:v>
                </c:pt>
                <c:pt idx="19">
                  <c:v>0.58667808540475053</c:v>
                </c:pt>
                <c:pt idx="20">
                  <c:v>0.62981287707165068</c:v>
                </c:pt>
                <c:pt idx="21">
                  <c:v>0.67025634804688716</c:v>
                </c:pt>
                <c:pt idx="22">
                  <c:v>0.70800025334467231</c:v>
                </c:pt>
                <c:pt idx="23">
                  <c:v>0.7430865578406004</c:v>
                </c:pt>
                <c:pt idx="24">
                  <c:v>0.77559354540264425</c:v>
                </c:pt>
                <c:pt idx="25">
                  <c:v>0.8056248474580282</c:v>
                </c:pt>
                <c:pt idx="26">
                  <c:v>0.83330087554336874</c:v>
                </c:pt>
                <c:pt idx="27">
                  <c:v>0.85875220563753873</c:v>
                </c:pt>
                <c:pt idx="28">
                  <c:v>0.88211453054596523</c:v>
                </c:pt>
                <c:pt idx="29">
                  <c:v>0.90352486156264056</c:v>
                </c:pt>
                <c:pt idx="30">
                  <c:v>0.92311871836893455</c:v>
                </c:pt>
                <c:pt idx="31">
                  <c:v>0.94102809555245148</c:v>
                </c:pt>
                <c:pt idx="32">
                  <c:v>0.95738003546335793</c:v>
                </c:pt>
                <c:pt idx="33">
                  <c:v>0.97229567116772964</c:v>
                </c:pt>
                <c:pt idx="34">
                  <c:v>0.98588963100251781</c:v>
                </c:pt>
                <c:pt idx="35">
                  <c:v>0.99826971868468395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0-1BCD-43A5-96F6-EEDE77262695}"/>
            </c:ext>
          </c:extLst>
        </c:ser>
        <c:ser>
          <c:idx val="65"/>
          <c:order val="65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'1'!$R$87:$BA$87</c:f>
              <c:numCache>
                <c:formatCode>General</c:formatCode>
                <c:ptCount val="36"/>
                <c:pt idx="0">
                  <c:v>5.2123097716329747E-70</c:v>
                </c:pt>
                <c:pt idx="1">
                  <c:v>3.3768908698237583E-17</c:v>
                </c:pt>
                <c:pt idx="2">
                  <c:v>1.7099582933847389E-8</c:v>
                </c:pt>
                <c:pt idx="3">
                  <c:v>1.2537258350593823E-5</c:v>
                </c:pt>
                <c:pt idx="4">
                  <c:v>3.2591270982342913E-4</c:v>
                </c:pt>
                <c:pt idx="5">
                  <c:v>2.2455020727375368E-3</c:v>
                </c:pt>
                <c:pt idx="6">
                  <c:v>7.9942616389626318E-3</c:v>
                </c:pt>
                <c:pt idx="7">
                  <c:v>1.9554078341617587E-2</c:v>
                </c:pt>
                <c:pt idx="8">
                  <c:v>3.7871629588111015E-2</c:v>
                </c:pt>
                <c:pt idx="9">
                  <c:v>6.2822284348278898E-2</c:v>
                </c:pt>
                <c:pt idx="10">
                  <c:v>9.3546395323382964E-2</c:v>
                </c:pt>
                <c:pt idx="11">
                  <c:v>0.12882117207661256</c:v>
                </c:pt>
                <c:pt idx="12">
                  <c:v>0.16733658633678761</c:v>
                </c:pt>
                <c:pt idx="13">
                  <c:v>0.20786143561108747</c:v>
                </c:pt>
                <c:pt idx="14">
                  <c:v>0.2493254463765516</c:v>
                </c:pt>
                <c:pt idx="15">
                  <c:v>0.29084744754374586</c:v>
                </c:pt>
                <c:pt idx="16">
                  <c:v>0.33173284766416994</c:v>
                </c:pt>
                <c:pt idx="17">
                  <c:v>0.37145577223580706</c:v>
                </c:pt>
                <c:pt idx="18">
                  <c:v>0.409635102481264</c:v>
                </c:pt>
                <c:pt idx="19">
                  <c:v>0.44600955999764541</c:v>
                </c:pt>
                <c:pt idx="20">
                  <c:v>0.4804144489403111</c:v>
                </c:pt>
                <c:pt idx="21">
                  <c:v>0.51276118907518642</c:v>
                </c:pt>
                <c:pt idx="22">
                  <c:v>0.54301995569037109</c:v>
                </c:pt>
                <c:pt idx="23">
                  <c:v>0.57120532029301063</c:v>
                </c:pt>
                <c:pt idx="24">
                  <c:v>0.59736459146495013</c:v>
                </c:pt>
                <c:pt idx="25">
                  <c:v>0.62156848654968866</c:v>
                </c:pt>
                <c:pt idx="26">
                  <c:v>0.64390376221284906</c:v>
                </c:pt>
                <c:pt idx="27">
                  <c:v>0.66446746114016619</c:v>
                </c:pt>
                <c:pt idx="28">
                  <c:v>0.68336247420639396</c:v>
                </c:pt>
                <c:pt idx="29">
                  <c:v>0.70069416223377357</c:v>
                </c:pt>
                <c:pt idx="30">
                  <c:v>0.71656782390233364</c:v>
                </c:pt>
                <c:pt idx="31">
                  <c:v>0.73108683425279886</c:v>
                </c:pt>
                <c:pt idx="32">
                  <c:v>0.74435131084492678</c:v>
                </c:pt>
                <c:pt idx="33">
                  <c:v>0.75645719209482143</c:v>
                </c:pt>
                <c:pt idx="34">
                  <c:v>0.76749563507660812</c:v>
                </c:pt>
                <c:pt idx="35">
                  <c:v>0.77755265873739665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1-1BCD-43A5-96F6-EEDE77262695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942807184"/>
        <c:axId val="1942808848"/>
        <c:axId val="1863094192"/>
      </c:surface3DChart>
      <c:catAx>
        <c:axId val="1942807184"/>
        <c:scaling>
          <c:orientation val="minMax"/>
        </c:scaling>
        <c:delete val="1"/>
        <c:axPos val="b"/>
        <c:majorTickMark val="out"/>
        <c:minorTickMark val="none"/>
        <c:tickLblPos val="nextTo"/>
        <c:crossAx val="1942808848"/>
        <c:crosses val="autoZero"/>
        <c:auto val="1"/>
        <c:lblAlgn val="ctr"/>
        <c:lblOffset val="100"/>
        <c:noMultiLvlLbl val="0"/>
      </c:catAx>
      <c:valAx>
        <c:axId val="1942808848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942807184"/>
        <c:crosses val="autoZero"/>
        <c:crossBetween val="midCat"/>
      </c:valAx>
      <c:serAx>
        <c:axId val="1863094192"/>
        <c:scaling>
          <c:orientation val="minMax"/>
        </c:scaling>
        <c:delete val="1"/>
        <c:axPos val="b"/>
        <c:majorTickMark val="out"/>
        <c:minorTickMark val="none"/>
        <c:tickLblPos val="nextTo"/>
        <c:crossAx val="1942808848"/>
        <c:crosses val="autoZero"/>
      </c:ser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file:///D:\From%20PC\All\CRM_Protected\logi.jpg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2.xml"/><Relationship Id="rId5" Type="http://schemas.openxmlformats.org/officeDocument/2006/relationships/chart" Target="../charts/chart1.xml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12</xdr:col>
      <xdr:colOff>348722</xdr:colOff>
      <xdr:row>12</xdr:row>
      <xdr:rowOff>134350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1073423-3991-0DC0-525E-76400B92A4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09600" y="184150"/>
          <a:ext cx="7054322" cy="216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133350</xdr:colOff>
      <xdr:row>4</xdr:row>
      <xdr:rowOff>180975</xdr:rowOff>
    </xdr:from>
    <xdr:to>
      <xdr:col>5</xdr:col>
      <xdr:colOff>362128</xdr:colOff>
      <xdr:row>6</xdr:row>
      <xdr:rowOff>32407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7FEED44-2985-DC32-8FB0-91985B88D3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52550" y="381000"/>
          <a:ext cx="2057578" cy="251482"/>
        </a:xfrm>
        <a:prstGeom prst="rect">
          <a:avLst/>
        </a:prstGeom>
      </xdr:spPr>
    </xdr:pic>
    <xdr:clientData/>
  </xdr:twoCellAnchor>
  <xdr:twoCellAnchor editAs="oneCell">
    <xdr:from>
      <xdr:col>2</xdr:col>
      <xdr:colOff>171450</xdr:colOff>
      <xdr:row>7</xdr:row>
      <xdr:rowOff>76200</xdr:rowOff>
    </xdr:from>
    <xdr:to>
      <xdr:col>9</xdr:col>
      <xdr:colOff>19407</xdr:colOff>
      <xdr:row>10</xdr:row>
      <xdr:rowOff>9571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6B7691CF-3786-14B2-CBFA-C9B8D0E3B9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90650" y="876300"/>
          <a:ext cx="4115157" cy="533446"/>
        </a:xfrm>
        <a:prstGeom prst="rect">
          <a:avLst/>
        </a:prstGeom>
      </xdr:spPr>
    </xdr:pic>
    <xdr:clientData/>
  </xdr:twoCellAnchor>
  <xdr:twoCellAnchor editAs="oneCell">
    <xdr:from>
      <xdr:col>9</xdr:col>
      <xdr:colOff>571500</xdr:colOff>
      <xdr:row>7</xdr:row>
      <xdr:rowOff>57150</xdr:rowOff>
    </xdr:from>
    <xdr:to>
      <xdr:col>15</xdr:col>
      <xdr:colOff>44090</xdr:colOff>
      <xdr:row>9</xdr:row>
      <xdr:rowOff>167684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D9FA2125-E653-CEC9-A550-3C89870772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219825" y="1504950"/>
          <a:ext cx="3177815" cy="510584"/>
        </a:xfrm>
        <a:prstGeom prst="rect">
          <a:avLst/>
        </a:prstGeom>
      </xdr:spPr>
    </xdr:pic>
    <xdr:clientData/>
  </xdr:twoCellAnchor>
  <xdr:twoCellAnchor editAs="oneCell">
    <xdr:from>
      <xdr:col>16</xdr:col>
      <xdr:colOff>381000</xdr:colOff>
      <xdr:row>7</xdr:row>
      <xdr:rowOff>9525</xdr:rowOff>
    </xdr:from>
    <xdr:to>
      <xdr:col>26</xdr:col>
      <xdr:colOff>210072</xdr:colOff>
      <xdr:row>9</xdr:row>
      <xdr:rowOff>165783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226E92C4-8F84-0CBD-2CB5-C5AECE2EF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296525" y="1457325"/>
          <a:ext cx="6020322" cy="556308"/>
        </a:xfrm>
        <a:prstGeom prst="rect">
          <a:avLst/>
        </a:prstGeom>
      </xdr:spPr>
    </xdr:pic>
    <xdr:clientData/>
  </xdr:twoCellAnchor>
  <xdr:twoCellAnchor>
    <xdr:from>
      <xdr:col>3</xdr:col>
      <xdr:colOff>66674</xdr:colOff>
      <xdr:row>22</xdr:row>
      <xdr:rowOff>114298</xdr:rowOff>
    </xdr:from>
    <xdr:to>
      <xdr:col>13</xdr:col>
      <xdr:colOff>133350</xdr:colOff>
      <xdr:row>44</xdr:row>
      <xdr:rowOff>95249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59B3AFF-6035-4478-775B-55F304F960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18</xdr:col>
      <xdr:colOff>390525</xdr:colOff>
      <xdr:row>10</xdr:row>
      <xdr:rowOff>114300</xdr:rowOff>
    </xdr:from>
    <xdr:ext cx="212751" cy="33861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5C05C8EE-3457-BFD7-155A-1E022BE61F37}"/>
                </a:ext>
              </a:extLst>
            </xdr:cNvPr>
            <xdr:cNvSpPr txBox="1"/>
          </xdr:nvSpPr>
          <xdr:spPr>
            <a:xfrm>
              <a:off x="11572875" y="2162175"/>
              <a:ext cx="212751" cy="33861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US" sz="110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𝜎</m:t>
                            </m:r>
                          </m:e>
                          <m:sup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num>
                      <m:den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𝐾</m:t>
                        </m:r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5C05C8EE-3457-BFD7-155A-1E022BE61F37}"/>
                </a:ext>
              </a:extLst>
            </xdr:cNvPr>
            <xdr:cNvSpPr txBox="1"/>
          </xdr:nvSpPr>
          <xdr:spPr>
            <a:xfrm>
              <a:off x="11572875" y="2162175"/>
              <a:ext cx="212751" cy="33861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𝜎^</a:t>
              </a:r>
              <a:r>
                <a:rPr lang="en-US" sz="1100" b="0" i="0">
                  <a:latin typeface="Cambria Math" panose="02040503050406030204" pitchFamily="18" charset="0"/>
                </a:rPr>
                <a:t>2/2𝐾</a:t>
              </a:r>
              <a:endParaRPr lang="en-US" sz="1100"/>
            </a:p>
          </xdr:txBody>
        </xdr:sp>
      </mc:Fallback>
    </mc:AlternateContent>
    <xdr:clientData/>
  </xdr:oneCellAnchor>
  <xdr:twoCellAnchor>
    <xdr:from>
      <xdr:col>17</xdr:col>
      <xdr:colOff>447675</xdr:colOff>
      <xdr:row>23</xdr:row>
      <xdr:rowOff>142875</xdr:rowOff>
    </xdr:from>
    <xdr:to>
      <xdr:col>26</xdr:col>
      <xdr:colOff>361951</xdr:colOff>
      <xdr:row>41</xdr:row>
      <xdr:rowOff>9525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9AA2ED85-6E62-544D-DB4F-2A0EB6DC9B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504015-9790-41EB-9652-B6B083CA4589}">
  <sheetPr codeName="Sheet4"/>
  <dimension ref="A1"/>
  <sheetViews>
    <sheetView showGridLines="0" workbookViewId="0"/>
  </sheetViews>
  <sheetFormatPr defaultRowHeight="14.5"/>
  <sheetData/>
  <sheetProtection algorithmName="SHA-512" hashValue="7tsyv2sxnwJCj5kvEiAMWNOpXghei2tjlt4jz6v4bQj+50haJpz7LxnBI2v/ekjw1GAqY7OKT81sZcqv/+2dnw==" saltValue="z5c2s0pE9EyFSYb/Avmk6w==" spinCount="100000" sheet="1" objects="1" scenarios="1" selectLockedCells="1" selectUnlockedCell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25A6F-A68D-43E4-AF71-E5DFAFFB1480}">
  <sheetPr codeName="Sheet1"/>
  <dimension ref="B3:BA521"/>
  <sheetViews>
    <sheetView showGridLines="0" zoomScale="80" zoomScaleNormal="80" workbookViewId="0">
      <selection activeCell="L17" sqref="L17"/>
    </sheetView>
  </sheetViews>
  <sheetFormatPr defaultColWidth="8.90625" defaultRowHeight="14"/>
  <cols>
    <col min="1" max="1" width="8.90625" style="1"/>
    <col min="2" max="2" width="11.1796875" style="1" customWidth="1"/>
    <col min="3" max="12" width="8.90625" style="1"/>
    <col min="13" max="13" width="9.54296875" style="1" bestFit="1" customWidth="1"/>
    <col min="14" max="25" width="8.90625" style="1"/>
    <col min="26" max="26" width="10.1796875" style="1" bestFit="1" customWidth="1"/>
    <col min="27" max="16384" width="8.90625" style="1"/>
  </cols>
  <sheetData>
    <row r="3" spans="2:29" ht="18">
      <c r="B3" s="4" t="s">
        <v>16</v>
      </c>
      <c r="C3" s="5"/>
      <c r="D3" s="5"/>
      <c r="E3" s="5"/>
      <c r="F3" s="5"/>
      <c r="G3" s="5"/>
      <c r="H3" s="5"/>
    </row>
    <row r="6" spans="2:29">
      <c r="B6" s="2" t="s">
        <v>0</v>
      </c>
    </row>
    <row r="9" spans="2:29">
      <c r="B9" s="2" t="s">
        <v>1</v>
      </c>
      <c r="AC9" s="11"/>
    </row>
    <row r="12" spans="2:29" ht="14.5">
      <c r="B12" s="2" t="s">
        <v>2</v>
      </c>
      <c r="K12" s="2" t="s">
        <v>15</v>
      </c>
      <c r="L12" s="2" t="s">
        <v>13</v>
      </c>
      <c r="R12" s="2" t="s">
        <v>15</v>
      </c>
      <c r="S12" s="2" t="s">
        <v>14</v>
      </c>
    </row>
    <row r="14" spans="2:29">
      <c r="B14" s="2" t="s">
        <v>3</v>
      </c>
      <c r="C14" s="3">
        <v>0.5</v>
      </c>
      <c r="L14" s="13">
        <f>theta</f>
        <v>0.08</v>
      </c>
      <c r="S14" s="14">
        <f>(vol^2)/(2*k)</f>
        <v>4.0000000000000002E-4</v>
      </c>
    </row>
    <row r="15" spans="2:29">
      <c r="B15" s="2" t="s">
        <v>4</v>
      </c>
      <c r="C15" s="9">
        <v>0.08</v>
      </c>
    </row>
    <row r="16" spans="2:29">
      <c r="B16" s="2" t="s">
        <v>5</v>
      </c>
      <c r="C16" s="9">
        <v>0.02</v>
      </c>
      <c r="F16" s="15" t="s">
        <v>17</v>
      </c>
    </row>
    <row r="17" spans="2:53" ht="14.5">
      <c r="B17" s="2" t="s">
        <v>6</v>
      </c>
      <c r="C17" s="9">
        <v>0.05</v>
      </c>
      <c r="F17" s="15" t="s">
        <v>19</v>
      </c>
    </row>
    <row r="18" spans="2:53">
      <c r="B18" s="2" t="s">
        <v>7</v>
      </c>
      <c r="C18" s="3">
        <f>1/12</f>
        <v>8.3333333333333329E-2</v>
      </c>
      <c r="F18" s="15" t="s">
        <v>18</v>
      </c>
      <c r="Q18" s="2" t="s">
        <v>10</v>
      </c>
      <c r="R18" s="10">
        <f t="shared" ref="R18:BA18" si="0">r0*EXP(-k*(R$21-$R$21))+theta*(1-EXP(-k*(R$21-$R$21)))</f>
        <v>0.05</v>
      </c>
      <c r="S18" s="10">
        <f t="shared" si="0"/>
        <v>5.2167695410143419E-2</v>
      </c>
      <c r="T18" s="10">
        <f t="shared" si="0"/>
        <v>5.4816289376923781E-2</v>
      </c>
      <c r="U18" s="10">
        <f t="shared" si="0"/>
        <v>5.7212836303250955E-2</v>
      </c>
      <c r="V18" s="10">
        <f t="shared" si="0"/>
        <v>5.9381321636270828E-2</v>
      </c>
      <c r="W18" s="10">
        <f t="shared" si="0"/>
        <v>6.1343448306049403E-2</v>
      </c>
      <c r="X18" s="10">
        <f t="shared" si="0"/>
        <v>6.3118853935791336E-2</v>
      </c>
      <c r="Y18" s="10">
        <f t="shared" si="0"/>
        <v>6.4725307381773525E-2</v>
      </c>
      <c r="Z18" s="10">
        <f t="shared" si="0"/>
        <v>6.6178886570031029E-2</v>
      </c>
      <c r="AA18" s="10">
        <f t="shared" si="0"/>
        <v>6.7494139409644743E-2</v>
      </c>
      <c r="AB18" s="10">
        <f t="shared" si="0"/>
        <v>6.8684229393105298E-2</v>
      </c>
      <c r="AC18" s="10">
        <f t="shared" si="0"/>
        <v>6.9761067340970193E-2</v>
      </c>
      <c r="AD18" s="10">
        <f t="shared" si="0"/>
        <v>7.0735430609359412E-2</v>
      </c>
      <c r="AE18" s="10">
        <f t="shared" si="0"/>
        <v>7.1617070953357787E-2</v>
      </c>
      <c r="AF18" s="10">
        <f t="shared" si="0"/>
        <v>7.2414812125857611E-2</v>
      </c>
      <c r="AG18" s="10">
        <f t="shared" si="0"/>
        <v>7.3136638188643327E-2</v>
      </c>
      <c r="AH18" s="10">
        <f t="shared" si="0"/>
        <v>7.3789773419565427E-2</v>
      </c>
      <c r="AI18" s="10">
        <f t="shared" si="0"/>
        <v>7.4380754615541292E-2</v>
      </c>
      <c r="AJ18" s="10">
        <f t="shared" si="0"/>
        <v>7.4915496515015903E-2</v>
      </c>
      <c r="AK18" s="10">
        <f t="shared" si="0"/>
        <v>7.5399350994652156E-2</v>
      </c>
      <c r="AL18" s="10">
        <f t="shared" si="0"/>
        <v>7.5837160632711342E-2</v>
      </c>
      <c r="AM18" s="10">
        <f t="shared" si="0"/>
        <v>7.6233307175204088E-2</v>
      </c>
      <c r="AN18" s="10">
        <f t="shared" si="0"/>
        <v>7.6591755389877086E-2</v>
      </c>
      <c r="AO18" s="10">
        <f t="shared" si="0"/>
        <v>7.6916092746941403E-2</v>
      </c>
      <c r="AP18" s="10">
        <f t="shared" si="0"/>
        <v>7.7209565323680104E-2</v>
      </c>
      <c r="AQ18" s="10">
        <f t="shared" si="0"/>
        <v>7.7475110292280699E-2</v>
      </c>
      <c r="AR18" s="10">
        <f t="shared" si="0"/>
        <v>7.7715385316041691E-2</v>
      </c>
      <c r="AS18" s="10">
        <f t="shared" si="0"/>
        <v>7.7932795148160122E-2</v>
      </c>
      <c r="AT18" s="10">
        <f t="shared" si="0"/>
        <v>7.8129515699309801E-2</v>
      </c>
      <c r="AU18" s="10">
        <f t="shared" si="0"/>
        <v>7.830751581488668E-2</v>
      </c>
      <c r="AV18" s="10">
        <f t="shared" si="0"/>
        <v>7.8468576979875374E-2</v>
      </c>
      <c r="AW18" s="10">
        <f t="shared" si="0"/>
        <v>7.8614311148549609E-2</v>
      </c>
      <c r="AX18" s="10">
        <f t="shared" si="0"/>
        <v>7.8746176877452403E-2</v>
      </c>
      <c r="AY18" s="10">
        <f t="shared" si="0"/>
        <v>7.8865493923120256E-2</v>
      </c>
      <c r="AZ18" s="10">
        <f t="shared" si="0"/>
        <v>7.8973456450650029E-2</v>
      </c>
      <c r="BA18" s="10">
        <f t="shared" si="0"/>
        <v>7.9071144985304695E-2</v>
      </c>
    </row>
    <row r="19" spans="2:53">
      <c r="Q19" s="2" t="s">
        <v>11</v>
      </c>
      <c r="R19" s="11">
        <f t="shared" ref="R19:BA19" si="1">((vol^2)/(2*k))*(1-EXP(-2*k*(R$21-0)))</f>
        <v>1.9508230199714393E-5</v>
      </c>
      <c r="S19" s="11">
        <f t="shared" si="1"/>
        <v>7.2507698768807278E-5</v>
      </c>
      <c r="T19" s="11">
        <f t="shared" si="1"/>
        <v>1.3187198158574428E-4</v>
      </c>
      <c r="U19" s="11">
        <f t="shared" si="1"/>
        <v>1.8047534556238945E-4</v>
      </c>
      <c r="V19" s="11">
        <f t="shared" si="1"/>
        <v>2.2026841435311139E-4</v>
      </c>
      <c r="W19" s="11">
        <f t="shared" si="1"/>
        <v>2.528482235314231E-4</v>
      </c>
      <c r="X19" s="11">
        <f t="shared" si="1"/>
        <v>2.7952231523511913E-4</v>
      </c>
      <c r="Y19" s="11">
        <f t="shared" si="1"/>
        <v>3.0136121442335742E-4</v>
      </c>
      <c r="Z19" s="11">
        <f t="shared" si="1"/>
        <v>3.1924139280213788E-4</v>
      </c>
      <c r="AA19" s="11">
        <f t="shared" si="1"/>
        <v>3.3388044471136538E-4</v>
      </c>
      <c r="AB19" s="11">
        <f t="shared" si="1"/>
        <v>3.4586588670535492E-4</v>
      </c>
      <c r="AC19" s="11">
        <f t="shared" si="1"/>
        <v>3.5567873665506643E-4</v>
      </c>
      <c r="AD19" s="11">
        <f t="shared" si="1"/>
        <v>3.6371281868423502E-4</v>
      </c>
      <c r="AE19" s="11">
        <f t="shared" si="1"/>
        <v>3.7029056871426644E-4</v>
      </c>
      <c r="AF19" s="11">
        <f t="shared" si="1"/>
        <v>3.7567597494991286E-4</v>
      </c>
      <c r="AG19" s="11">
        <f t="shared" si="1"/>
        <v>3.8008517265285442E-4</v>
      </c>
      <c r="AH19" s="11">
        <f t="shared" si="1"/>
        <v>3.8369511840865357E-4</v>
      </c>
      <c r="AI19" s="11">
        <f t="shared" si="1"/>
        <v>3.8665069201586957E-4</v>
      </c>
      <c r="AJ19" s="11">
        <f t="shared" si="1"/>
        <v>3.8907051102108302E-4</v>
      </c>
      <c r="AK19" s="11">
        <f t="shared" si="1"/>
        <v>3.9105169125753375E-4</v>
      </c>
      <c r="AL19" s="11">
        <f t="shared" si="1"/>
        <v>3.9267374444450632E-4</v>
      </c>
      <c r="AM19" s="11">
        <f t="shared" si="1"/>
        <v>3.9400176927180896E-4</v>
      </c>
      <c r="AN19" s="11">
        <f t="shared" si="1"/>
        <v>3.9508906403877266E-4</v>
      </c>
      <c r="AO19" s="11">
        <f t="shared" si="1"/>
        <v>3.9597926570214662E-4</v>
      </c>
      <c r="AP19" s="11">
        <f t="shared" si="1"/>
        <v>3.9670810118039204E-4</v>
      </c>
      <c r="AQ19" s="11">
        <f t="shared" si="1"/>
        <v>3.9730482120036581E-4</v>
      </c>
      <c r="AR19" s="11">
        <f t="shared" si="1"/>
        <v>3.9779337423169573E-4</v>
      </c>
      <c r="AS19" s="11">
        <f t="shared" si="1"/>
        <v>3.9819336762295495E-4</v>
      </c>
      <c r="AT19" s="11">
        <f t="shared" si="1"/>
        <v>3.9852085451340684E-4</v>
      </c>
      <c r="AU19" s="11">
        <f t="shared" si="1"/>
        <v>3.9878897810184969E-4</v>
      </c>
      <c r="AV19" s="11">
        <f t="shared" si="1"/>
        <v>3.9900849912933347E-4</v>
      </c>
      <c r="AW19" s="11">
        <f t="shared" si="1"/>
        <v>3.9918822774548174E-4</v>
      </c>
      <c r="AX19" s="11">
        <f t="shared" si="1"/>
        <v>3.9933537709073045E-4</v>
      </c>
      <c r="AY19" s="11">
        <f t="shared" si="1"/>
        <v>3.9945585278498087E-4</v>
      </c>
      <c r="AZ19" s="11">
        <f t="shared" si="1"/>
        <v>3.9955448994086207E-4</v>
      </c>
      <c r="BA19" s="11">
        <f t="shared" si="1"/>
        <v>3.9963524721377822E-4</v>
      </c>
    </row>
    <row r="20" spans="2:53" ht="14.5">
      <c r="C20" s="6" t="s">
        <v>9</v>
      </c>
    </row>
    <row r="21" spans="2:53" ht="14.5">
      <c r="B21" s="6" t="s">
        <v>8</v>
      </c>
      <c r="C21" s="7">
        <v>0</v>
      </c>
      <c r="D21" s="7">
        <f t="shared" ref="D21:O21" si="2">C21+dt</f>
        <v>8.3333333333333329E-2</v>
      </c>
      <c r="E21" s="7">
        <f t="shared" si="2"/>
        <v>0.16666666666666666</v>
      </c>
      <c r="F21" s="7">
        <f t="shared" si="2"/>
        <v>0.25</v>
      </c>
      <c r="G21" s="7">
        <f t="shared" si="2"/>
        <v>0.33333333333333331</v>
      </c>
      <c r="H21" s="7">
        <f t="shared" si="2"/>
        <v>0.41666666666666663</v>
      </c>
      <c r="I21" s="7">
        <f t="shared" si="2"/>
        <v>0.49999999999999994</v>
      </c>
      <c r="J21" s="7">
        <f t="shared" si="2"/>
        <v>0.58333333333333326</v>
      </c>
      <c r="K21" s="7">
        <f t="shared" si="2"/>
        <v>0.66666666666666663</v>
      </c>
      <c r="L21" s="7">
        <f t="shared" si="2"/>
        <v>0.75</v>
      </c>
      <c r="M21" s="7">
        <f t="shared" si="2"/>
        <v>0.83333333333333337</v>
      </c>
      <c r="N21" s="7">
        <f t="shared" si="2"/>
        <v>0.91666666666666674</v>
      </c>
      <c r="O21" s="7">
        <f t="shared" si="2"/>
        <v>1</v>
      </c>
      <c r="Q21" s="2" t="s">
        <v>12</v>
      </c>
      <c r="R21" s="7">
        <v>0.05</v>
      </c>
      <c r="S21" s="7">
        <v>0.2</v>
      </c>
      <c r="T21" s="7">
        <v>0.4</v>
      </c>
      <c r="U21" s="7">
        <v>0.6</v>
      </c>
      <c r="V21" s="7">
        <v>0.8</v>
      </c>
      <c r="W21" s="7">
        <v>1</v>
      </c>
      <c r="X21" s="7">
        <v>1.2</v>
      </c>
      <c r="Y21" s="7">
        <v>1.4</v>
      </c>
      <c r="Z21" s="7">
        <v>1.6</v>
      </c>
      <c r="AA21" s="7">
        <v>1.8</v>
      </c>
      <c r="AB21" s="7">
        <v>2</v>
      </c>
      <c r="AC21" s="7">
        <v>2.2000000000000002</v>
      </c>
      <c r="AD21" s="7">
        <v>2.4</v>
      </c>
      <c r="AE21" s="7">
        <v>2.6</v>
      </c>
      <c r="AF21" s="7">
        <v>2.8</v>
      </c>
      <c r="AG21" s="7">
        <v>3</v>
      </c>
      <c r="AH21" s="7">
        <v>3.2</v>
      </c>
      <c r="AI21" s="7">
        <v>3.4</v>
      </c>
      <c r="AJ21" s="7">
        <v>3.6</v>
      </c>
      <c r="AK21" s="7">
        <v>3.8</v>
      </c>
      <c r="AL21" s="7">
        <v>4</v>
      </c>
      <c r="AM21" s="7">
        <v>4.2</v>
      </c>
      <c r="AN21" s="7">
        <v>4.4000000000000004</v>
      </c>
      <c r="AO21" s="7">
        <v>4.5999999999999996</v>
      </c>
      <c r="AP21" s="7">
        <v>4.8</v>
      </c>
      <c r="AQ21" s="7">
        <v>5</v>
      </c>
      <c r="AR21" s="7">
        <v>5.2</v>
      </c>
      <c r="AS21" s="7">
        <v>5.4</v>
      </c>
      <c r="AT21" s="7">
        <v>5.6</v>
      </c>
      <c r="AU21" s="7">
        <v>5.8</v>
      </c>
      <c r="AV21" s="7">
        <v>6</v>
      </c>
      <c r="AW21" s="7">
        <v>6.2</v>
      </c>
      <c r="AX21" s="7">
        <v>6.4</v>
      </c>
      <c r="AY21" s="7">
        <v>6.6</v>
      </c>
      <c r="AZ21" s="7">
        <v>6.8</v>
      </c>
      <c r="BA21" s="7">
        <v>7</v>
      </c>
    </row>
    <row r="22" spans="2:53">
      <c r="B22" s="3">
        <v>1</v>
      </c>
      <c r="C22" s="8">
        <f t="shared" ref="C22:C85" si="3">r0</f>
        <v>0.05</v>
      </c>
      <c r="D22" s="8">
        <f t="shared" ref="D22:O22" ca="1" si="4">C22+k*(theta-C22)*dt+vol*SQRT(dt)*_xlfn.NORM.S.INV(RAND())</f>
        <v>6.0913995705229811E-2</v>
      </c>
      <c r="E22" s="8">
        <f t="shared" ca="1" si="4"/>
        <v>6.8921910209190057E-2</v>
      </c>
      <c r="F22" s="8">
        <f t="shared" ca="1" si="4"/>
        <v>7.424000928174132E-2</v>
      </c>
      <c r="G22" s="8">
        <f t="shared" ca="1" si="4"/>
        <v>7.1433940663157419E-2</v>
      </c>
      <c r="H22" s="8">
        <f t="shared" ca="1" si="4"/>
        <v>8.4266022139238006E-2</v>
      </c>
      <c r="I22" s="8">
        <f t="shared" ca="1" si="4"/>
        <v>8.5865099769463368E-2</v>
      </c>
      <c r="J22" s="8">
        <f t="shared" ca="1" si="4"/>
        <v>8.4638840177257188E-2</v>
      </c>
      <c r="K22" s="8">
        <f t="shared" ca="1" si="4"/>
        <v>8.3594021951379452E-2</v>
      </c>
      <c r="L22" s="8">
        <f t="shared" ca="1" si="4"/>
        <v>8.4126202577919335E-2</v>
      </c>
      <c r="M22" s="8">
        <f t="shared" ca="1" si="4"/>
        <v>8.5159040642629538E-2</v>
      </c>
      <c r="N22" s="8">
        <f t="shared" ca="1" si="4"/>
        <v>9.3654826416126269E-2</v>
      </c>
      <c r="O22" s="8">
        <f t="shared" ca="1" si="4"/>
        <v>8.963569995606413E-2</v>
      </c>
      <c r="Q22" s="12">
        <v>0</v>
      </c>
      <c r="R22" s="1">
        <f t="shared" ref="R22:AA31" si="5">_xlfn.NORM.DIST($Q22,R$18,SQRT(R$19),FALSE)</f>
        <v>1.3432481236686415E-26</v>
      </c>
      <c r="S22" s="1">
        <f t="shared" si="5"/>
        <v>3.3145138832499614E-7</v>
      </c>
      <c r="T22" s="1">
        <f t="shared" si="5"/>
        <v>3.9168075357672228E-4</v>
      </c>
      <c r="U22" s="1">
        <f t="shared" si="5"/>
        <v>3.4219115050084926E-3</v>
      </c>
      <c r="V22" s="1">
        <f t="shared" si="5"/>
        <v>8.9796112662219214E-3</v>
      </c>
      <c r="W22" s="1">
        <f t="shared" si="5"/>
        <v>1.471573764160383E-2</v>
      </c>
      <c r="X22" s="1">
        <f t="shared" si="5"/>
        <v>1.9174970264699873E-2</v>
      </c>
      <c r="Y22" s="1">
        <f t="shared" si="5"/>
        <v>2.2014023513683829E-2</v>
      </c>
      <c r="Z22" s="1">
        <f t="shared" si="5"/>
        <v>2.3432912430440031E-2</v>
      </c>
      <c r="AA22" s="1">
        <f t="shared" si="5"/>
        <v>2.3788194309656702E-2</v>
      </c>
      <c r="AB22" s="1">
        <f t="shared" ref="AB22:AK31" si="6">_xlfn.NORM.DIST($Q22,AB$18,SQRT(AB$19),FALSE)</f>
        <v>2.3421929102335055E-2</v>
      </c>
      <c r="AC22" s="1">
        <f t="shared" si="6"/>
        <v>2.260707265950292E-2</v>
      </c>
      <c r="AD22" s="1">
        <f t="shared" si="6"/>
        <v>2.1542373166442426E-2</v>
      </c>
      <c r="AE22" s="1">
        <f t="shared" si="6"/>
        <v>2.0364215823014838E-2</v>
      </c>
      <c r="AF22" s="1">
        <f t="shared" si="6"/>
        <v>1.916174878866797E-2</v>
      </c>
      <c r="AG22" s="1">
        <f t="shared" si="6"/>
        <v>1.7990357412204328E-2</v>
      </c>
      <c r="AH22" s="1">
        <f t="shared" si="6"/>
        <v>1.6882219224011986E-2</v>
      </c>
      <c r="AI22" s="1">
        <f t="shared" si="6"/>
        <v>1.5854051849448093E-2</v>
      </c>
      <c r="AJ22" s="1">
        <f t="shared" si="6"/>
        <v>1.4912581134041774E-2</v>
      </c>
      <c r="AK22" s="1">
        <f t="shared" si="6"/>
        <v>1.4058296204618131E-2</v>
      </c>
      <c r="AL22" s="1">
        <f t="shared" ref="AL22:AU31" si="7">_xlfn.NORM.DIST($Q22,AL$18,SQRT(AL$19),FALSE)</f>
        <v>1.3287972428116322E-2</v>
      </c>
      <c r="AM22" s="1">
        <f t="shared" si="7"/>
        <v>1.2596332661508591E-2</v>
      </c>
      <c r="AN22" s="1">
        <f t="shared" si="7"/>
        <v>1.1977117756045066E-2</v>
      </c>
      <c r="AO22" s="1">
        <f t="shared" si="7"/>
        <v>1.1423758476885398E-2</v>
      </c>
      <c r="AP22" s="1">
        <f t="shared" si="7"/>
        <v>1.0929782323920861E-2</v>
      </c>
      <c r="AQ22" s="1">
        <f t="shared" si="7"/>
        <v>1.0489046597096931E-2</v>
      </c>
      <c r="AR22" s="1">
        <f t="shared" si="7"/>
        <v>1.0095859467438534E-2</v>
      </c>
      <c r="AS22" s="1">
        <f t="shared" si="7"/>
        <v>9.7450303733824517E-3</v>
      </c>
      <c r="AT22" s="1">
        <f t="shared" si="7"/>
        <v>9.4318770988883523E-3</v>
      </c>
      <c r="AU22" s="1">
        <f t="shared" si="7"/>
        <v>9.1522074391102264E-3</v>
      </c>
      <c r="AV22" s="1">
        <f t="shared" ref="AV22:BA31" si="8">_xlfn.NORM.DIST($Q22,AV$18,SQRT(AV$19),FALSE)</f>
        <v>8.9022870137624166E-3</v>
      </c>
      <c r="AW22" s="1">
        <f t="shared" si="8"/>
        <v>8.6788005600951096E-3</v>
      </c>
      <c r="AX22" s="1">
        <f t="shared" si="8"/>
        <v>8.4788112428833204E-3</v>
      </c>
      <c r="AY22" s="1">
        <f t="shared" si="8"/>
        <v>8.2997206891896776E-3</v>
      </c>
      <c r="AZ22" s="1">
        <f t="shared" si="8"/>
        <v>8.1392312716623578E-3</v>
      </c>
      <c r="BA22" s="1">
        <f t="shared" si="8"/>
        <v>7.9953114096256803E-3</v>
      </c>
    </row>
    <row r="23" spans="2:53">
      <c r="B23" s="3">
        <v>2</v>
      </c>
      <c r="C23" s="8">
        <f t="shared" si="3"/>
        <v>0.05</v>
      </c>
      <c r="D23" s="8">
        <f t="shared" ref="D23:O23" ca="1" si="9">C23+k*(theta-C23)*dt+vol*SQRT(dt)*_xlfn.NORM.S.INV(RAND())</f>
        <v>5.3517073463032958E-2</v>
      </c>
      <c r="E23" s="8">
        <f t="shared" ca="1" si="9"/>
        <v>5.7638660221723724E-2</v>
      </c>
      <c r="F23" s="8">
        <f t="shared" ca="1" si="9"/>
        <v>5.6894470433811489E-2</v>
      </c>
      <c r="G23" s="8">
        <f t="shared" ca="1" si="9"/>
        <v>5.5568648221237228E-2</v>
      </c>
      <c r="H23" s="8">
        <f t="shared" ca="1" si="9"/>
        <v>5.4852951700707024E-2</v>
      </c>
      <c r="I23" s="8">
        <f t="shared" ca="1" si="9"/>
        <v>5.0696847461199519E-2</v>
      </c>
      <c r="J23" s="8">
        <f t="shared" ca="1" si="9"/>
        <v>4.7979990008955843E-2</v>
      </c>
      <c r="K23" s="8">
        <f t="shared" ca="1" si="9"/>
        <v>3.5653932144665883E-2</v>
      </c>
      <c r="L23" s="8">
        <f t="shared" ca="1" si="9"/>
        <v>3.2271706694272907E-2</v>
      </c>
      <c r="M23" s="8">
        <f t="shared" ca="1" si="9"/>
        <v>3.2808184075841976E-2</v>
      </c>
      <c r="N23" s="8">
        <f t="shared" ca="1" si="9"/>
        <v>2.6755092477113954E-2</v>
      </c>
      <c r="O23" s="8">
        <f t="shared" ca="1" si="9"/>
        <v>2.8396962423389474E-2</v>
      </c>
      <c r="Q23" s="12">
        <v>2E-3</v>
      </c>
      <c r="R23" s="1">
        <f t="shared" si="5"/>
        <v>2.0410028058703221E-24</v>
      </c>
      <c r="S23" s="1">
        <f t="shared" si="5"/>
        <v>1.3594750557125575E-6</v>
      </c>
      <c r="T23" s="1">
        <f t="shared" si="5"/>
        <v>8.8592916523349825E-4</v>
      </c>
      <c r="U23" s="1">
        <f t="shared" si="5"/>
        <v>6.3798291240086194E-3</v>
      </c>
      <c r="V23" s="1">
        <f t="shared" si="5"/>
        <v>1.5257163533429936E-2</v>
      </c>
      <c r="W23" s="1">
        <f t="shared" si="5"/>
        <v>2.3717831688123085E-2</v>
      </c>
      <c r="X23" s="1">
        <f t="shared" si="5"/>
        <v>2.9906329884933181E-2</v>
      </c>
      <c r="Y23" s="1">
        <f t="shared" si="5"/>
        <v>3.3602354268663717E-2</v>
      </c>
      <c r="Z23" s="1">
        <f t="shared" si="5"/>
        <v>3.5250425855587651E-2</v>
      </c>
      <c r="AA23" s="1">
        <f t="shared" si="5"/>
        <v>3.5427930105872155E-2</v>
      </c>
      <c r="AB23" s="1">
        <f t="shared" si="6"/>
        <v>3.4641859112783321E-2</v>
      </c>
      <c r="AC23" s="1">
        <f t="shared" si="6"/>
        <v>3.3278443931645293E-2</v>
      </c>
      <c r="AD23" s="1">
        <f t="shared" si="6"/>
        <v>3.1610396984714031E-2</v>
      </c>
      <c r="AE23" s="1">
        <f t="shared" si="6"/>
        <v>2.9820426110038198E-2</v>
      </c>
      <c r="AF23" s="1">
        <f t="shared" si="6"/>
        <v>2.802535685234487E-2</v>
      </c>
      <c r="AG23" s="1">
        <f t="shared" si="6"/>
        <v>2.6296013585029709E-2</v>
      </c>
      <c r="AH23" s="1">
        <f t="shared" si="6"/>
        <v>2.46721627859002E-2</v>
      </c>
      <c r="AI23" s="1">
        <f t="shared" si="6"/>
        <v>2.3173199424076248E-2</v>
      </c>
      <c r="AJ23" s="1">
        <f t="shared" si="6"/>
        <v>2.1805551983248725E-2</v>
      </c>
      <c r="AK23" s="1">
        <f t="shared" si="6"/>
        <v>2.056769692354939E-2</v>
      </c>
      <c r="AL23" s="1">
        <f t="shared" si="7"/>
        <v>1.9453488667117259E-2</v>
      </c>
      <c r="AM23" s="1">
        <f t="shared" si="7"/>
        <v>1.8454328653886937E-2</v>
      </c>
      <c r="AN23" s="1">
        <f t="shared" si="7"/>
        <v>1.7560547387365094E-2</v>
      </c>
      <c r="AO23" s="1">
        <f t="shared" si="7"/>
        <v>1.6762260319018986E-2</v>
      </c>
      <c r="AP23" s="1">
        <f t="shared" si="7"/>
        <v>1.6049876621436681E-2</v>
      </c>
      <c r="AQ23" s="1">
        <f t="shared" si="7"/>
        <v>1.541438226166955E-2</v>
      </c>
      <c r="AR23" s="1">
        <f t="shared" si="7"/>
        <v>1.4847478864952936E-2</v>
      </c>
      <c r="AS23" s="1">
        <f t="shared" si="7"/>
        <v>1.4341632542453719E-2</v>
      </c>
      <c r="AT23" s="1">
        <f t="shared" si="7"/>
        <v>1.389006833665667E-2</v>
      </c>
      <c r="AU23" s="1">
        <f t="shared" si="7"/>
        <v>1.3486733477738013E-2</v>
      </c>
      <c r="AV23" s="1">
        <f t="shared" si="8"/>
        <v>1.3126244319973317E-2</v>
      </c>
      <c r="AW23" s="1">
        <f t="shared" si="8"/>
        <v>1.2803826305953973E-2</v>
      </c>
      <c r="AX23" s="1">
        <f t="shared" si="8"/>
        <v>1.2515252673772917E-2</v>
      </c>
      <c r="AY23" s="1">
        <f t="shared" si="8"/>
        <v>1.2256785255627622E-2</v>
      </c>
      <c r="AZ23" s="1">
        <f t="shared" si="8"/>
        <v>1.2025119193631754E-2</v>
      </c>
      <c r="BA23" s="1">
        <f t="shared" si="8"/>
        <v>1.1817332435536468E-2</v>
      </c>
    </row>
    <row r="24" spans="2:53">
      <c r="B24" s="3">
        <v>3</v>
      </c>
      <c r="C24" s="8">
        <f t="shared" si="3"/>
        <v>0.05</v>
      </c>
      <c r="D24" s="8">
        <f t="shared" ref="D24:O24" ca="1" si="10">C24+k*(theta-C24)*dt+vol*SQRT(dt)*_xlfn.NORM.S.INV(RAND())</f>
        <v>4.7036682095898702E-2</v>
      </c>
      <c r="E24" s="8">
        <f t="shared" ca="1" si="10"/>
        <v>5.1464162734988765E-2</v>
      </c>
      <c r="F24" s="8">
        <f t="shared" ca="1" si="10"/>
        <v>5.4334997756641926E-2</v>
      </c>
      <c r="G24" s="8">
        <f t="shared" ca="1" si="10"/>
        <v>6.1090482274912233E-2</v>
      </c>
      <c r="H24" s="8">
        <f t="shared" ca="1" si="10"/>
        <v>6.1465856205632413E-2</v>
      </c>
      <c r="I24" s="8">
        <f t="shared" ca="1" si="10"/>
        <v>6.5470677764345897E-2</v>
      </c>
      <c r="J24" s="8">
        <f t="shared" ca="1" si="10"/>
        <v>7.4282324866689356E-2</v>
      </c>
      <c r="K24" s="8">
        <f t="shared" ca="1" si="10"/>
        <v>8.2109447794361398E-2</v>
      </c>
      <c r="L24" s="8">
        <f t="shared" ca="1" si="10"/>
        <v>8.3449393591519441E-2</v>
      </c>
      <c r="M24" s="8">
        <f t="shared" ca="1" si="10"/>
        <v>7.3703055442281479E-2</v>
      </c>
      <c r="N24" s="8">
        <f t="shared" ca="1" si="10"/>
        <v>8.1453875145724081E-2</v>
      </c>
      <c r="O24" s="8">
        <f t="shared" ca="1" si="10"/>
        <v>7.9411337800014997E-2</v>
      </c>
      <c r="Q24" s="12">
        <v>4.0000000000000001E-3</v>
      </c>
      <c r="R24" s="1">
        <f t="shared" si="5"/>
        <v>2.5262858950495664E-22</v>
      </c>
      <c r="S24" s="1">
        <f t="shared" si="5"/>
        <v>5.2767207757510145E-6</v>
      </c>
      <c r="T24" s="1">
        <f t="shared" si="5"/>
        <v>1.9439833987879088E-3</v>
      </c>
      <c r="U24" s="1">
        <f t="shared" si="5"/>
        <v>1.16338577831782E-2</v>
      </c>
      <c r="V24" s="1">
        <f t="shared" si="5"/>
        <v>2.5456777411945783E-2</v>
      </c>
      <c r="W24" s="1">
        <f t="shared" si="5"/>
        <v>3.7626817901965183E-2</v>
      </c>
      <c r="X24" s="1">
        <f t="shared" si="5"/>
        <v>4.5980821954794845E-2</v>
      </c>
      <c r="Y24" s="1">
        <f t="shared" si="5"/>
        <v>5.0614569678876585E-2</v>
      </c>
      <c r="Z24" s="1">
        <f t="shared" si="5"/>
        <v>5.2367384724135907E-2</v>
      </c>
      <c r="AA24" s="1">
        <f t="shared" si="5"/>
        <v>5.2134725013802015E-2</v>
      </c>
      <c r="AB24" s="1">
        <f t="shared" si="6"/>
        <v>5.0647385099917439E-2</v>
      </c>
      <c r="AC24" s="1">
        <f t="shared" si="6"/>
        <v>4.8439267914058635E-2</v>
      </c>
      <c r="AD24" s="1">
        <f t="shared" si="6"/>
        <v>4.5876483408179396E-2</v>
      </c>
      <c r="AE24" s="1">
        <f t="shared" si="6"/>
        <v>4.319849408563483E-2</v>
      </c>
      <c r="AF24" s="1">
        <f t="shared" si="6"/>
        <v>4.055487071663242E-2</v>
      </c>
      <c r="AG24" s="1">
        <f t="shared" si="6"/>
        <v>3.8033784630490494E-2</v>
      </c>
      <c r="AH24" s="1">
        <f t="shared" si="6"/>
        <v>3.5682675678803427E-2</v>
      </c>
      <c r="AI24" s="1">
        <f t="shared" si="6"/>
        <v>3.3522688140768045E-2</v>
      </c>
      <c r="AJ24" s="1">
        <f t="shared" si="6"/>
        <v>3.1558503906303957E-2</v>
      </c>
      <c r="AK24" s="1">
        <f t="shared" si="6"/>
        <v>2.9784911612795204E-2</v>
      </c>
      <c r="AL24" s="1">
        <f t="shared" si="7"/>
        <v>2.819111814203178E-2</v>
      </c>
      <c r="AM24" s="1">
        <f t="shared" si="7"/>
        <v>2.6763525321497356E-2</v>
      </c>
      <c r="AN24" s="1">
        <f t="shared" si="7"/>
        <v>2.5487477293529751E-2</v>
      </c>
      <c r="AO24" s="1">
        <f t="shared" si="7"/>
        <v>2.4348325935239629E-2</v>
      </c>
      <c r="AP24" s="1">
        <f t="shared" si="7"/>
        <v>2.3332050141149311E-2</v>
      </c>
      <c r="AQ24" s="1">
        <f t="shared" si="7"/>
        <v>2.2425587485347905E-2</v>
      </c>
      <c r="AR24" s="1">
        <f t="shared" si="7"/>
        <v>2.1616983894392188E-2</v>
      </c>
      <c r="AS24" s="1">
        <f t="shared" si="7"/>
        <v>2.0895431103825583E-2</v>
      </c>
      <c r="AT24" s="1">
        <f t="shared" si="7"/>
        <v>2.0251237532291137E-2</v>
      </c>
      <c r="AU24" s="1">
        <f t="shared" si="7"/>
        <v>1.967576206061938E-2</v>
      </c>
      <c r="AV24" s="1">
        <f t="shared" si="8"/>
        <v>1.916132947048645E-2</v>
      </c>
      <c r="AW24" s="1">
        <f t="shared" si="8"/>
        <v>1.8701139212059011E-2</v>
      </c>
      <c r="AX24" s="1">
        <f t="shared" si="8"/>
        <v>1.8289174531013946E-2</v>
      </c>
      <c r="AY24" s="1">
        <f t="shared" si="8"/>
        <v>1.7920115979306744E-2</v>
      </c>
      <c r="AZ24" s="1">
        <f t="shared" si="8"/>
        <v>1.7589261412922663E-2</v>
      </c>
      <c r="BA24" s="1">
        <f t="shared" si="8"/>
        <v>1.7292453375341531E-2</v>
      </c>
    </row>
    <row r="25" spans="2:53">
      <c r="B25" s="3">
        <v>4</v>
      </c>
      <c r="C25" s="8">
        <f t="shared" si="3"/>
        <v>0.05</v>
      </c>
      <c r="D25" s="8">
        <f t="shared" ref="D25:O25" ca="1" si="11">C25+k*(theta-C25)*dt+vol*SQRT(dt)*_xlfn.NORM.S.INV(RAND())</f>
        <v>4.7142749361937471E-2</v>
      </c>
      <c r="E25" s="8">
        <f t="shared" ca="1" si="11"/>
        <v>4.0678041869223837E-2</v>
      </c>
      <c r="F25" s="8">
        <f t="shared" ca="1" si="11"/>
        <v>4.1437006646273068E-2</v>
      </c>
      <c r="G25" s="8">
        <f t="shared" ca="1" si="11"/>
        <v>5.4546322039753722E-2</v>
      </c>
      <c r="H25" s="8">
        <f t="shared" ca="1" si="11"/>
        <v>6.4295163531756544E-2</v>
      </c>
      <c r="I25" s="8">
        <f t="shared" ca="1" si="11"/>
        <v>6.5637937543974706E-2</v>
      </c>
      <c r="J25" s="8">
        <f t="shared" ca="1" si="11"/>
        <v>6.9924911506216048E-2</v>
      </c>
      <c r="K25" s="8">
        <f t="shared" ca="1" si="11"/>
        <v>6.1500141023743418E-2</v>
      </c>
      <c r="L25" s="8">
        <f t="shared" ca="1" si="11"/>
        <v>5.5030064013322735E-2</v>
      </c>
      <c r="M25" s="8">
        <f t="shared" ca="1" si="11"/>
        <v>5.0414554598362887E-2</v>
      </c>
      <c r="N25" s="8">
        <f t="shared" ca="1" si="11"/>
        <v>4.8510216839515195E-2</v>
      </c>
      <c r="O25" s="8">
        <f t="shared" ca="1" si="11"/>
        <v>4.5445631316564344E-2</v>
      </c>
      <c r="Q25" s="12">
        <v>6.0000000000000001E-3</v>
      </c>
      <c r="R25" s="1">
        <f t="shared" si="5"/>
        <v>2.5472579666421753E-20</v>
      </c>
      <c r="S25" s="1">
        <f t="shared" si="5"/>
        <v>1.9381993921708997E-5</v>
      </c>
      <c r="T25" s="1">
        <f t="shared" si="5"/>
        <v>4.1382134681515314E-3</v>
      </c>
      <c r="U25" s="1">
        <f t="shared" si="5"/>
        <v>2.0749750785484272E-2</v>
      </c>
      <c r="V25" s="1">
        <f t="shared" si="5"/>
        <v>4.1710597210555457E-2</v>
      </c>
      <c r="W25" s="1">
        <f t="shared" si="5"/>
        <v>5.8755640225675185E-2</v>
      </c>
      <c r="X25" s="1">
        <f t="shared" si="5"/>
        <v>6.9690813159831763E-2</v>
      </c>
      <c r="Y25" s="1">
        <f t="shared" si="5"/>
        <v>7.5234485236785942E-2</v>
      </c>
      <c r="Z25" s="1">
        <f t="shared" si="5"/>
        <v>7.6827344388775573E-2</v>
      </c>
      <c r="AA25" s="1">
        <f t="shared" si="5"/>
        <v>7.5806317696091946E-2</v>
      </c>
      <c r="AB25" s="1">
        <f t="shared" si="6"/>
        <v>7.3196475931761276E-2</v>
      </c>
      <c r="AC25" s="1">
        <f t="shared" si="6"/>
        <v>6.9718496027806068E-2</v>
      </c>
      <c r="AD25" s="1">
        <f t="shared" si="6"/>
        <v>6.5852771194760934E-2</v>
      </c>
      <c r="AE25" s="1">
        <f t="shared" si="6"/>
        <v>6.1905891004952411E-2</v>
      </c>
      <c r="AF25" s="1">
        <f t="shared" si="6"/>
        <v>5.8064508241716752E-2</v>
      </c>
      <c r="AG25" s="1">
        <f t="shared" si="6"/>
        <v>5.4435055994280293E-2</v>
      </c>
      <c r="AH25" s="1">
        <f t="shared" si="6"/>
        <v>5.1071675741167506E-2</v>
      </c>
      <c r="AI25" s="1">
        <f t="shared" si="6"/>
        <v>4.7995308492450248E-2</v>
      </c>
      <c r="AJ25" s="1">
        <f t="shared" si="6"/>
        <v>4.5206489607202104E-2</v>
      </c>
      <c r="AK25" s="1">
        <f t="shared" si="6"/>
        <v>4.2693783573276446E-2</v>
      </c>
      <c r="AL25" s="1">
        <f t="shared" si="7"/>
        <v>4.0439253889211595E-2</v>
      </c>
      <c r="AM25" s="1">
        <f t="shared" si="7"/>
        <v>3.8421943169019784E-2</v>
      </c>
      <c r="AN25" s="1">
        <f t="shared" si="7"/>
        <v>3.6620032635494779E-2</v>
      </c>
      <c r="AO25" s="1">
        <f t="shared" si="7"/>
        <v>3.5012134635394931E-2</v>
      </c>
      <c r="AP25" s="1">
        <f t="shared" si="7"/>
        <v>3.3578022914836213E-2</v>
      </c>
      <c r="AQ25" s="1">
        <f t="shared" si="7"/>
        <v>3.2299003796409737E-2</v>
      </c>
      <c r="AR25" s="1">
        <f t="shared" si="7"/>
        <v>3.1158062661446419E-2</v>
      </c>
      <c r="AS25" s="1">
        <f t="shared" si="7"/>
        <v>3.0139873931307223E-2</v>
      </c>
      <c r="AT25" s="1">
        <f t="shared" si="7"/>
        <v>2.9230731845708034E-2</v>
      </c>
      <c r="AU25" s="1">
        <f t="shared" si="7"/>
        <v>2.8418438787255147E-2</v>
      </c>
      <c r="AV25" s="1">
        <f t="shared" si="8"/>
        <v>2.7692174311948831E-2</v>
      </c>
      <c r="AW25" s="1">
        <f t="shared" si="8"/>
        <v>2.7042359118840602E-2</v>
      </c>
      <c r="AX25" s="1">
        <f t="shared" si="8"/>
        <v>2.6460522378121687E-2</v>
      </c>
      <c r="AY25" s="1">
        <f t="shared" si="8"/>
        <v>2.5939177092665012E-2</v>
      </c>
      <c r="AZ25" s="1">
        <f t="shared" si="8"/>
        <v>2.5471705793579165E-2</v>
      </c>
      <c r="BA25" s="1">
        <f t="shared" si="8"/>
        <v>2.5052257397228897E-2</v>
      </c>
    </row>
    <row r="26" spans="2:53">
      <c r="B26" s="3">
        <v>5</v>
      </c>
      <c r="C26" s="8">
        <f t="shared" si="3"/>
        <v>0.05</v>
      </c>
      <c r="D26" s="8">
        <f t="shared" ref="D26:O26" ca="1" si="12">C26+k*(theta-C26)*dt+vol*SQRT(dt)*_xlfn.NORM.S.INV(RAND())</f>
        <v>5.4252819765217009E-2</v>
      </c>
      <c r="E26" s="8">
        <f t="shared" ca="1" si="12"/>
        <v>5.8630715571144236E-2</v>
      </c>
      <c r="F26" s="8">
        <f t="shared" ca="1" si="12"/>
        <v>6.4089231191790538E-2</v>
      </c>
      <c r="G26" s="8">
        <f t="shared" ca="1" si="12"/>
        <v>6.8009441847649912E-2</v>
      </c>
      <c r="H26" s="8">
        <f t="shared" ca="1" si="12"/>
        <v>6.8205236395923921E-2</v>
      </c>
      <c r="I26" s="8">
        <f t="shared" ca="1" si="12"/>
        <v>6.5593750889911151E-2</v>
      </c>
      <c r="J26" s="8">
        <f t="shared" ca="1" si="12"/>
        <v>5.7770528301209517E-2</v>
      </c>
      <c r="K26" s="8">
        <f t="shared" ca="1" si="12"/>
        <v>6.0689697025987928E-2</v>
      </c>
      <c r="L26" s="8">
        <f t="shared" ca="1" si="12"/>
        <v>6.5359108672763455E-2</v>
      </c>
      <c r="M26" s="8">
        <f t="shared" ca="1" si="12"/>
        <v>6.291494906550564E-2</v>
      </c>
      <c r="N26" s="8">
        <f t="shared" ca="1" si="12"/>
        <v>6.5432211427409917E-2</v>
      </c>
      <c r="O26" s="8">
        <f t="shared" ca="1" si="12"/>
        <v>7.2637158155154952E-2</v>
      </c>
      <c r="Q26" s="12">
        <v>8.0000000000000002E-3</v>
      </c>
      <c r="R26" s="1">
        <f t="shared" si="5"/>
        <v>2.0922563635960907E-18</v>
      </c>
      <c r="S26" s="1">
        <f t="shared" si="5"/>
        <v>6.737119671756646E-5</v>
      </c>
      <c r="T26" s="1">
        <f t="shared" si="5"/>
        <v>8.5459434189719026E-3</v>
      </c>
      <c r="U26" s="1">
        <f t="shared" si="5"/>
        <v>3.619732276065022E-2</v>
      </c>
      <c r="V26" s="1">
        <f t="shared" si="5"/>
        <v>6.7112396916094524E-2</v>
      </c>
      <c r="W26" s="1">
        <f t="shared" si="5"/>
        <v>9.0309033954617854E-2</v>
      </c>
      <c r="X26" s="1">
        <f t="shared" si="5"/>
        <v>0.10412608120067403</v>
      </c>
      <c r="Y26" s="1">
        <f t="shared" si="5"/>
        <v>0.11035548433112571</v>
      </c>
      <c r="Z26" s="1">
        <f t="shared" si="5"/>
        <v>0.11130871698170611</v>
      </c>
      <c r="AA26" s="1">
        <f t="shared" si="5"/>
        <v>0.10891325091409908</v>
      </c>
      <c r="AB26" s="1">
        <f t="shared" si="6"/>
        <v>0.10456843889154485</v>
      </c>
      <c r="AC26" s="1">
        <f t="shared" si="6"/>
        <v>9.9223451092078183E-2</v>
      </c>
      <c r="AD26" s="1">
        <f t="shared" si="6"/>
        <v>9.349357263393733E-2</v>
      </c>
      <c r="AE26" s="1">
        <f t="shared" si="6"/>
        <v>8.7761484099342757E-2</v>
      </c>
      <c r="AF26" s="1">
        <f t="shared" si="6"/>
        <v>8.2253491938795026E-2</v>
      </c>
      <c r="AG26" s="1">
        <f t="shared" si="6"/>
        <v>7.7093419368622434E-2</v>
      </c>
      <c r="AH26" s="1">
        <f t="shared" si="6"/>
        <v>7.2339467536571958E-2</v>
      </c>
      <c r="AI26" s="1">
        <f t="shared" si="6"/>
        <v>6.8008915730454811E-2</v>
      </c>
      <c r="AJ26" s="1">
        <f t="shared" si="6"/>
        <v>6.409441950335508E-2</v>
      </c>
      <c r="AK26" s="1">
        <f t="shared" si="6"/>
        <v>6.0574613213099891E-2</v>
      </c>
      <c r="AL26" s="1">
        <f t="shared" si="7"/>
        <v>5.7420899846938885E-2</v>
      </c>
      <c r="AM26" s="1">
        <f t="shared" si="7"/>
        <v>5.4601713357282942E-2</v>
      </c>
      <c r="AN26" s="1">
        <f t="shared" si="7"/>
        <v>5.2085120679128322E-2</v>
      </c>
      <c r="AO26" s="1">
        <f t="shared" si="7"/>
        <v>4.9840343896060228E-2</v>
      </c>
      <c r="AP26" s="1">
        <f t="shared" si="7"/>
        <v>4.7838588652854584E-2</v>
      </c>
      <c r="AQ26" s="1">
        <f t="shared" si="7"/>
        <v>4.6053434096579512E-2</v>
      </c>
      <c r="AR26" s="1">
        <f t="shared" si="7"/>
        <v>4.4460952033285608E-2</v>
      </c>
      <c r="AS26" s="1">
        <f t="shared" si="7"/>
        <v>4.3039664575744097E-2</v>
      </c>
      <c r="AT26" s="1">
        <f t="shared" si="7"/>
        <v>4.177041076002088E-2</v>
      </c>
      <c r="AU26" s="1">
        <f t="shared" si="7"/>
        <v>4.0636166950483735E-2</v>
      </c>
      <c r="AV26" s="1">
        <f t="shared" si="8"/>
        <v>3.9621848973565188E-2</v>
      </c>
      <c r="AW26" s="1">
        <f t="shared" si="8"/>
        <v>3.8714112891791601E-2</v>
      </c>
      <c r="AX26" s="1">
        <f t="shared" si="8"/>
        <v>3.7901164188580964E-2</v>
      </c>
      <c r="AY26" s="1">
        <f t="shared" si="8"/>
        <v>3.7172580567899544E-2</v>
      </c>
      <c r="AZ26" s="1">
        <f t="shared" si="8"/>
        <v>3.6519150703652997E-2</v>
      </c>
      <c r="BA26" s="1">
        <f t="shared" si="8"/>
        <v>3.5932729516636897E-2</v>
      </c>
    </row>
    <row r="27" spans="2:53">
      <c r="B27" s="3">
        <v>6</v>
      </c>
      <c r="C27" s="8">
        <f t="shared" si="3"/>
        <v>0.05</v>
      </c>
      <c r="D27" s="8">
        <f t="shared" ref="D27:O27" ca="1" si="13">C27+k*(theta-C27)*dt+vol*SQRT(dt)*_xlfn.NORM.S.INV(RAND())</f>
        <v>3.8472380696883413E-2</v>
      </c>
      <c r="E27" s="8">
        <f t="shared" ca="1" si="13"/>
        <v>4.6868355397629284E-2</v>
      </c>
      <c r="F27" s="8">
        <f t="shared" ca="1" si="13"/>
        <v>4.5657307412793537E-2</v>
      </c>
      <c r="G27" s="8">
        <f t="shared" ca="1" si="13"/>
        <v>4.2002844589523941E-2</v>
      </c>
      <c r="H27" s="8">
        <f t="shared" ca="1" si="13"/>
        <v>5.2403486152064638E-2</v>
      </c>
      <c r="I27" s="8">
        <f t="shared" ca="1" si="13"/>
        <v>5.7482436951669505E-2</v>
      </c>
      <c r="J27" s="8">
        <f t="shared" ca="1" si="13"/>
        <v>4.8724536923109393E-2</v>
      </c>
      <c r="K27" s="8">
        <f t="shared" ca="1" si="13"/>
        <v>4.3383072988218113E-2</v>
      </c>
      <c r="L27" s="8">
        <f t="shared" ca="1" si="13"/>
        <v>4.6501370420119016E-2</v>
      </c>
      <c r="M27" s="8">
        <f t="shared" ca="1" si="13"/>
        <v>5.1200207273633315E-2</v>
      </c>
      <c r="N27" s="8">
        <f t="shared" ca="1" si="13"/>
        <v>5.1406317366882906E-2</v>
      </c>
      <c r="O27" s="8">
        <f t="shared" ca="1" si="13"/>
        <v>5.039111108296554E-2</v>
      </c>
      <c r="Q27" s="12">
        <v>0.01</v>
      </c>
      <c r="R27" s="1">
        <f t="shared" si="5"/>
        <v>1.399936710096074E-16</v>
      </c>
      <c r="S27" s="1">
        <f t="shared" si="5"/>
        <v>2.2161111553708888E-4</v>
      </c>
      <c r="T27" s="1">
        <f t="shared" si="5"/>
        <v>1.7121189009474624E-2</v>
      </c>
      <c r="U27" s="1">
        <f t="shared" si="5"/>
        <v>6.1761018077692159E-2</v>
      </c>
      <c r="V27" s="1">
        <f t="shared" si="5"/>
        <v>0.10604066695370946</v>
      </c>
      <c r="W27" s="1">
        <f t="shared" si="5"/>
        <v>0.13662884367099926</v>
      </c>
      <c r="X27" s="1">
        <f t="shared" si="5"/>
        <v>0.15336586433117239</v>
      </c>
      <c r="Y27" s="1">
        <f t="shared" si="5"/>
        <v>0.15973734098900683</v>
      </c>
      <c r="Z27" s="1">
        <f t="shared" si="5"/>
        <v>0.15925788758311152</v>
      </c>
      <c r="AA27" s="1">
        <f t="shared" si="5"/>
        <v>0.15461550651899231</v>
      </c>
      <c r="AB27" s="1">
        <f t="shared" si="6"/>
        <v>0.14766867712075274</v>
      </c>
      <c r="AC27" s="1">
        <f t="shared" si="6"/>
        <v>0.13963571899715219</v>
      </c>
      <c r="AD27" s="1">
        <f t="shared" si="6"/>
        <v>0.13128442931060216</v>
      </c>
      <c r="AE27" s="1">
        <f t="shared" si="6"/>
        <v>0.12307916682228826</v>
      </c>
      <c r="AF27" s="1">
        <f t="shared" si="6"/>
        <v>0.11528526369762343</v>
      </c>
      <c r="AG27" s="1">
        <f t="shared" si="6"/>
        <v>0.10804021674891703</v>
      </c>
      <c r="AH27" s="1">
        <f t="shared" si="6"/>
        <v>0.10140118073558084</v>
      </c>
      <c r="AI27" s="1">
        <f t="shared" si="6"/>
        <v>9.537620264309693E-2</v>
      </c>
      <c r="AJ27" s="1">
        <f t="shared" si="6"/>
        <v>8.9944520115735421E-2</v>
      </c>
      <c r="AK27" s="1">
        <f t="shared" si="6"/>
        <v>8.5069588538012289E-2</v>
      </c>
      <c r="AL27" s="1">
        <f t="shared" si="7"/>
        <v>8.0707311648832464E-2</v>
      </c>
      <c r="AM27" s="1">
        <f t="shared" si="7"/>
        <v>7.6811130120940277E-2</v>
      </c>
      <c r="AN27" s="1">
        <f t="shared" si="7"/>
        <v>7.3335067335787263E-2</v>
      </c>
      <c r="AO27" s="1">
        <f t="shared" si="7"/>
        <v>7.0235459503419334E-2</v>
      </c>
      <c r="AP27" s="1">
        <f t="shared" si="7"/>
        <v>6.7471849212064741E-2</v>
      </c>
      <c r="AQ27" s="1">
        <f t="shared" si="7"/>
        <v>6.5007356615237266E-2</v>
      </c>
      <c r="AR27" s="1">
        <f t="shared" si="7"/>
        <v>6.2808733123993571E-2</v>
      </c>
      <c r="AS27" s="1">
        <f t="shared" si="7"/>
        <v>6.0846230120614159E-2</v>
      </c>
      <c r="AT27" s="1">
        <f t="shared" si="7"/>
        <v>5.9093367462912758E-2</v>
      </c>
      <c r="AU27" s="1">
        <f t="shared" si="7"/>
        <v>5.7526655152872821E-2</v>
      </c>
      <c r="AV27" s="1">
        <f t="shared" si="8"/>
        <v>5.6125301003906718E-2</v>
      </c>
      <c r="AW27" s="1">
        <f t="shared" si="8"/>
        <v>5.4870923798782757E-2</v>
      </c>
      <c r="AX27" s="1">
        <f t="shared" si="8"/>
        <v>5.3747282849190642E-2</v>
      </c>
      <c r="AY27" s="1">
        <f t="shared" si="8"/>
        <v>5.2740029426508302E-2</v>
      </c>
      <c r="AZ27" s="1">
        <f t="shared" si="8"/>
        <v>5.1836482152866716E-2</v>
      </c>
      <c r="BA27" s="1">
        <f t="shared" si="8"/>
        <v>5.1025426405250811E-2</v>
      </c>
    </row>
    <row r="28" spans="2:53">
      <c r="B28" s="3">
        <v>7</v>
      </c>
      <c r="C28" s="8">
        <f t="shared" si="3"/>
        <v>0.05</v>
      </c>
      <c r="D28" s="8">
        <f t="shared" ref="D28:O28" ca="1" si="14">C28+k*(theta-C28)*dt+vol*SQRT(dt)*_xlfn.NORM.S.INV(RAND())</f>
        <v>5.2427743933357009E-2</v>
      </c>
      <c r="E28" s="8">
        <f t="shared" ca="1" si="14"/>
        <v>5.3816759548914204E-2</v>
      </c>
      <c r="F28" s="8">
        <f t="shared" ca="1" si="14"/>
        <v>5.86110299451486E-2</v>
      </c>
      <c r="G28" s="8">
        <f t="shared" ca="1" si="14"/>
        <v>6.0024417168169628E-2</v>
      </c>
      <c r="H28" s="8">
        <f t="shared" ca="1" si="14"/>
        <v>5.7909311761760895E-2</v>
      </c>
      <c r="I28" s="8">
        <f t="shared" ca="1" si="14"/>
        <v>4.8730919008758526E-2</v>
      </c>
      <c r="J28" s="8">
        <f t="shared" ca="1" si="14"/>
        <v>4.4304493078358043E-2</v>
      </c>
      <c r="K28" s="8">
        <f t="shared" ca="1" si="14"/>
        <v>3.4378197618250769E-2</v>
      </c>
      <c r="L28" s="8">
        <f t="shared" ca="1" si="14"/>
        <v>2.8466764692597152E-2</v>
      </c>
      <c r="M28" s="8">
        <f t="shared" ca="1" si="14"/>
        <v>2.4367554316711164E-2</v>
      </c>
      <c r="N28" s="8">
        <f t="shared" ca="1" si="14"/>
        <v>2.5280717535076044E-2</v>
      </c>
      <c r="O28" s="8">
        <f t="shared" ca="1" si="14"/>
        <v>2.8032734486753245E-2</v>
      </c>
      <c r="Q28" s="12">
        <v>1.2E-2</v>
      </c>
      <c r="R28" s="1">
        <f t="shared" si="5"/>
        <v>7.6305078420986223E-15</v>
      </c>
      <c r="S28" s="1">
        <f t="shared" si="5"/>
        <v>6.8984304046403792E-4</v>
      </c>
      <c r="T28" s="1">
        <f t="shared" si="5"/>
        <v>3.3276268169126696E-2</v>
      </c>
      <c r="U28" s="1">
        <f t="shared" si="5"/>
        <v>0.10306871777486666</v>
      </c>
      <c r="V28" s="1">
        <f t="shared" si="5"/>
        <v>0.16453394477231767</v>
      </c>
      <c r="W28" s="1">
        <f t="shared" si="5"/>
        <v>0.20346192607392985</v>
      </c>
      <c r="X28" s="1">
        <f t="shared" si="5"/>
        <v>0.22268095729290249</v>
      </c>
      <c r="Y28" s="1">
        <f t="shared" si="5"/>
        <v>0.22816789873270327</v>
      </c>
      <c r="Z28" s="1">
        <f t="shared" si="5"/>
        <v>0.22502519352610342</v>
      </c>
      <c r="AA28" s="1">
        <f t="shared" si="5"/>
        <v>0.21688143583733527</v>
      </c>
      <c r="AB28" s="1">
        <f t="shared" si="6"/>
        <v>0.20613581364762831</v>
      </c>
      <c r="AC28" s="1">
        <f t="shared" si="6"/>
        <v>0.19430975410232146</v>
      </c>
      <c r="AD28" s="1">
        <f t="shared" si="6"/>
        <v>0.18233433210971223</v>
      </c>
      <c r="AE28" s="1">
        <f t="shared" si="6"/>
        <v>0.17075512417920105</v>
      </c>
      <c r="AF28" s="1">
        <f t="shared" si="6"/>
        <v>0.15987078641588021</v>
      </c>
      <c r="AG28" s="1">
        <f t="shared" si="6"/>
        <v>0.14982458676679142</v>
      </c>
      <c r="AH28" s="1">
        <f t="shared" si="6"/>
        <v>0.14066408346949172</v>
      </c>
      <c r="AI28" s="1">
        <f t="shared" si="6"/>
        <v>0.13237967677605189</v>
      </c>
      <c r="AJ28" s="1">
        <f t="shared" si="6"/>
        <v>0.12492928540576716</v>
      </c>
      <c r="AK28" s="1">
        <f t="shared" si="6"/>
        <v>0.11825395965720188</v>
      </c>
      <c r="AL28" s="1">
        <f t="shared" si="7"/>
        <v>0.11228759903424804</v>
      </c>
      <c r="AM28" s="1">
        <f t="shared" si="7"/>
        <v>0.10696285290819536</v>
      </c>
      <c r="AN28" s="1">
        <f t="shared" si="7"/>
        <v>0.102214565779723</v>
      </c>
      <c r="AO28" s="1">
        <f t="shared" si="7"/>
        <v>9.7981657795137525E-2</v>
      </c>
      <c r="AP28" s="1">
        <f t="shared" si="7"/>
        <v>9.4208021904364628E-2</v>
      </c>
      <c r="AQ28" s="1">
        <f t="shared" si="7"/>
        <v>9.0842815852165484E-2</v>
      </c>
      <c r="AR28" s="1">
        <f t="shared" si="7"/>
        <v>8.7840393664643385E-2</v>
      </c>
      <c r="AS28" s="1">
        <f t="shared" si="7"/>
        <v>8.5160033593228546E-2</v>
      </c>
      <c r="AT28" s="1">
        <f t="shared" si="7"/>
        <v>8.2765561974340346E-2</v>
      </c>
      <c r="AU28" s="1">
        <f t="shared" si="7"/>
        <v>8.0624934876675464E-2</v>
      </c>
      <c r="AV28" s="1">
        <f t="shared" si="8"/>
        <v>7.8709814965495284E-2</v>
      </c>
      <c r="AW28" s="1">
        <f t="shared" si="8"/>
        <v>7.6995165239854821E-2</v>
      </c>
      <c r="AX28" s="1">
        <f t="shared" si="8"/>
        <v>7.5458871233850117E-2</v>
      </c>
      <c r="AY28" s="1">
        <f t="shared" si="8"/>
        <v>7.4081396955740286E-2</v>
      </c>
      <c r="AZ28" s="1">
        <f t="shared" si="8"/>
        <v>7.2845475970024429E-2</v>
      </c>
      <c r="BA28" s="1">
        <f t="shared" si="8"/>
        <v>7.1735836746975118E-2</v>
      </c>
    </row>
    <row r="29" spans="2:53">
      <c r="B29" s="3">
        <v>8</v>
      </c>
      <c r="C29" s="8">
        <f t="shared" si="3"/>
        <v>0.05</v>
      </c>
      <c r="D29" s="8">
        <f t="shared" ref="D29:O29" ca="1" si="15">C29+k*(theta-C29)*dt+vol*SQRT(dt)*_xlfn.NORM.S.INV(RAND())</f>
        <v>5.6721141907492827E-2</v>
      </c>
      <c r="E29" s="8">
        <f t="shared" ca="1" si="15"/>
        <v>5.5917048282097093E-2</v>
      </c>
      <c r="F29" s="8">
        <f t="shared" ca="1" si="15"/>
        <v>5.4497121064120024E-2</v>
      </c>
      <c r="G29" s="8">
        <f t="shared" ca="1" si="15"/>
        <v>6.0310236102695258E-2</v>
      </c>
      <c r="H29" s="8">
        <f t="shared" ca="1" si="15"/>
        <v>5.4852500452923864E-2</v>
      </c>
      <c r="I29" s="8">
        <f t="shared" ca="1" si="15"/>
        <v>5.7474023275417958E-2</v>
      </c>
      <c r="J29" s="8">
        <f t="shared" ca="1" si="15"/>
        <v>5.1961994694473518E-2</v>
      </c>
      <c r="K29" s="8">
        <f t="shared" ca="1" si="15"/>
        <v>5.9637635341463588E-2</v>
      </c>
      <c r="L29" s="8">
        <f t="shared" ca="1" si="15"/>
        <v>5.0949222623934629E-2</v>
      </c>
      <c r="M29" s="8">
        <f t="shared" ca="1" si="15"/>
        <v>4.964377309221845E-2</v>
      </c>
      <c r="N29" s="8">
        <f t="shared" ca="1" si="15"/>
        <v>5.8661494175966347E-2</v>
      </c>
      <c r="O29" s="8">
        <f t="shared" ca="1" si="15"/>
        <v>5.4978630041342721E-2</v>
      </c>
      <c r="Q29" s="12">
        <v>1.4E-2</v>
      </c>
      <c r="R29" s="1">
        <f t="shared" si="5"/>
        <v>3.3880516339139094E-13</v>
      </c>
      <c r="S29" s="1">
        <f t="shared" si="5"/>
        <v>2.0321253984088845E-3</v>
      </c>
      <c r="T29" s="1">
        <f t="shared" si="5"/>
        <v>6.2742539784108833E-2</v>
      </c>
      <c r="U29" s="1">
        <f t="shared" si="5"/>
        <v>0.16823398447287255</v>
      </c>
      <c r="V29" s="1">
        <f t="shared" si="5"/>
        <v>0.25069861158155726</v>
      </c>
      <c r="W29" s="1">
        <f t="shared" si="5"/>
        <v>0.29823147229825131</v>
      </c>
      <c r="X29" s="1">
        <f t="shared" si="5"/>
        <v>0.31872978024512355</v>
      </c>
      <c r="Y29" s="1">
        <f t="shared" si="5"/>
        <v>0.32161640807352693</v>
      </c>
      <c r="Z29" s="1">
        <f t="shared" si="5"/>
        <v>0.3139928478265076</v>
      </c>
      <c r="AA29" s="1">
        <f t="shared" si="5"/>
        <v>0.3005998213163048</v>
      </c>
      <c r="AB29" s="1">
        <f t="shared" si="6"/>
        <v>0.28444337765124789</v>
      </c>
      <c r="AC29" s="1">
        <f t="shared" si="6"/>
        <v>0.26736746472304451</v>
      </c>
      <c r="AD29" s="1">
        <f t="shared" si="6"/>
        <v>0.25046523028337414</v>
      </c>
      <c r="AE29" s="1">
        <f t="shared" si="6"/>
        <v>0.23435355810494218</v>
      </c>
      <c r="AF29" s="1">
        <f t="shared" si="6"/>
        <v>0.21935133720923178</v>
      </c>
      <c r="AG29" s="1">
        <f t="shared" si="6"/>
        <v>0.20559390421679877</v>
      </c>
      <c r="AH29" s="1">
        <f t="shared" si="6"/>
        <v>0.19310607385075637</v>
      </c>
      <c r="AI29" s="1">
        <f t="shared" si="6"/>
        <v>0.18184849802142858</v>
      </c>
      <c r="AJ29" s="1">
        <f t="shared" si="6"/>
        <v>0.17174688103759983</v>
      </c>
      <c r="AK29" s="1">
        <f t="shared" si="6"/>
        <v>0.1627101810049425</v>
      </c>
      <c r="AL29" s="1">
        <f t="shared" si="7"/>
        <v>0.15464174350463133</v>
      </c>
      <c r="AM29" s="1">
        <f t="shared" si="7"/>
        <v>0.1474459132094266</v>
      </c>
      <c r="AN29" s="1">
        <f t="shared" si="7"/>
        <v>0.14103176906022288</v>
      </c>
      <c r="AO29" s="1">
        <f t="shared" si="7"/>
        <v>0.13531504792512347</v>
      </c>
      <c r="AP29" s="1">
        <f t="shared" si="7"/>
        <v>0.1302189454811376</v>
      </c>
      <c r="AQ29" s="1">
        <f t="shared" si="7"/>
        <v>0.12567423854543563</v>
      </c>
      <c r="AR29" s="1">
        <f t="shared" si="7"/>
        <v>0.12161901379761732</v>
      </c>
      <c r="AS29" s="1">
        <f t="shared" si="7"/>
        <v>0.11799818398579456</v>
      </c>
      <c r="AT29" s="1">
        <f t="shared" si="7"/>
        <v>0.11476290506379523</v>
      </c>
      <c r="AU29" s="1">
        <f t="shared" si="7"/>
        <v>0.11186996377184889</v>
      </c>
      <c r="AV29" s="1">
        <f t="shared" si="8"/>
        <v>0.10928117679242938</v>
      </c>
      <c r="AW29" s="1">
        <f t="shared" si="8"/>
        <v>0.1069628244384838</v>
      </c>
      <c r="AX29" s="1">
        <f t="shared" si="8"/>
        <v>0.10488513034531503</v>
      </c>
      <c r="AY29" s="1">
        <f t="shared" si="8"/>
        <v>0.10302179152099031</v>
      </c>
      <c r="AZ29" s="1">
        <f t="shared" si="8"/>
        <v>0.1013495588332099</v>
      </c>
      <c r="BA29" s="1">
        <f t="shared" si="8"/>
        <v>9.9847865563622074E-2</v>
      </c>
    </row>
    <row r="30" spans="2:53">
      <c r="B30" s="3">
        <v>9</v>
      </c>
      <c r="C30" s="8">
        <f t="shared" si="3"/>
        <v>0.05</v>
      </c>
      <c r="D30" s="8">
        <f t="shared" ref="D30:O30" ca="1" si="16">C30+k*(theta-C30)*dt+vol*SQRT(dt)*_xlfn.NORM.S.INV(RAND())</f>
        <v>5.1172842574872486E-2</v>
      </c>
      <c r="E30" s="8">
        <f t="shared" ca="1" si="16"/>
        <v>5.8628095817586656E-2</v>
      </c>
      <c r="F30" s="8">
        <f t="shared" ca="1" si="16"/>
        <v>5.6031540538862987E-2</v>
      </c>
      <c r="G30" s="8">
        <f t="shared" ca="1" si="16"/>
        <v>5.5367179145862304E-2</v>
      </c>
      <c r="H30" s="8">
        <f t="shared" ca="1" si="16"/>
        <v>6.367996460633632E-2</v>
      </c>
      <c r="I30" s="8">
        <f t="shared" ca="1" si="16"/>
        <v>6.4009533542690969E-2</v>
      </c>
      <c r="J30" s="8">
        <f t="shared" ca="1" si="16"/>
        <v>5.9528626408404346E-2</v>
      </c>
      <c r="K30" s="8">
        <f t="shared" ca="1" si="16"/>
        <v>7.0954369497000874E-2</v>
      </c>
      <c r="L30" s="8">
        <f t="shared" ca="1" si="16"/>
        <v>7.3104975992717564E-2</v>
      </c>
      <c r="M30" s="8">
        <f t="shared" ca="1" si="16"/>
        <v>6.9358237745743317E-2</v>
      </c>
      <c r="N30" s="8">
        <f t="shared" ca="1" si="16"/>
        <v>8.6535663837678245E-2</v>
      </c>
      <c r="O30" s="8">
        <f t="shared" ca="1" si="16"/>
        <v>8.9657110606455648E-2</v>
      </c>
      <c r="Q30" s="12">
        <v>1.6E-2</v>
      </c>
      <c r="R30" s="1">
        <f t="shared" si="5"/>
        <v>1.2254571612153791E-11</v>
      </c>
      <c r="S30" s="1">
        <f t="shared" si="5"/>
        <v>5.664899243035911E-3</v>
      </c>
      <c r="T30" s="1">
        <f t="shared" si="5"/>
        <v>0.11476682289463506</v>
      </c>
      <c r="U30" s="1">
        <f t="shared" si="5"/>
        <v>0.26858083483074041</v>
      </c>
      <c r="V30" s="1">
        <f t="shared" si="5"/>
        <v>0.37511264654072879</v>
      </c>
      <c r="W30" s="1">
        <f t="shared" si="5"/>
        <v>0.43028217583891876</v>
      </c>
      <c r="X30" s="1">
        <f t="shared" si="5"/>
        <v>0.44972538008389973</v>
      </c>
      <c r="Y30" s="1">
        <f t="shared" si="5"/>
        <v>0.4473602722560176</v>
      </c>
      <c r="Z30" s="1">
        <f t="shared" si="5"/>
        <v>0.43267996565254779</v>
      </c>
      <c r="AA30" s="1">
        <f t="shared" si="5"/>
        <v>0.41167269496804826</v>
      </c>
      <c r="AB30" s="1">
        <f t="shared" si="6"/>
        <v>0.38798551320986707</v>
      </c>
      <c r="AC30" s="1">
        <f t="shared" si="6"/>
        <v>0.36377964336765978</v>
      </c>
      <c r="AD30" s="1">
        <f t="shared" si="6"/>
        <v>0.34029079791484346</v>
      </c>
      <c r="AE30" s="1">
        <f t="shared" si="6"/>
        <v>0.31818372861788885</v>
      </c>
      <c r="AF30" s="1">
        <f t="shared" si="6"/>
        <v>0.29777437535746309</v>
      </c>
      <c r="AG30" s="1">
        <f t="shared" si="6"/>
        <v>0.27916880189514504</v>
      </c>
      <c r="AH30" s="1">
        <f t="shared" si="6"/>
        <v>0.26235005029016567</v>
      </c>
      <c r="AI30" s="1">
        <f t="shared" si="6"/>
        <v>0.24723231369866661</v>
      </c>
      <c r="AJ30" s="1">
        <f t="shared" si="6"/>
        <v>0.23369451448430742</v>
      </c>
      <c r="AK30" s="1">
        <f t="shared" si="6"/>
        <v>0.22160086009150987</v>
      </c>
      <c r="AL30" s="1">
        <f t="shared" si="7"/>
        <v>0.2108131543479472</v>
      </c>
      <c r="AM30" s="1">
        <f t="shared" si="7"/>
        <v>0.20119789844700722</v>
      </c>
      <c r="AN30" s="1">
        <f t="shared" si="7"/>
        <v>0.19263011848777067</v>
      </c>
      <c r="AO30" s="1">
        <f t="shared" si="7"/>
        <v>0.18499515972625702</v>
      </c>
      <c r="AP30" s="1">
        <f t="shared" si="7"/>
        <v>0.17818924203462341</v>
      </c>
      <c r="AQ30" s="1">
        <f t="shared" si="7"/>
        <v>0.17211928433947377</v>
      </c>
      <c r="AR30" s="1">
        <f t="shared" si="7"/>
        <v>0.16670232060956133</v>
      </c>
      <c r="AS30" s="1">
        <f t="shared" si="7"/>
        <v>0.16186471011327919</v>
      </c>
      <c r="AT30" s="1">
        <f t="shared" si="7"/>
        <v>0.1575412671375731</v>
      </c>
      <c r="AU30" s="1">
        <f t="shared" si="7"/>
        <v>0.15367438535813796</v>
      </c>
      <c r="AV30" s="1">
        <f t="shared" si="8"/>
        <v>0.1502132000007024</v>
      </c>
      <c r="AW30" s="1">
        <f t="shared" si="8"/>
        <v>0.14711281059991851</v>
      </c>
      <c r="AX30" s="1">
        <f t="shared" si="8"/>
        <v>0.14433357446763348</v>
      </c>
      <c r="AY30" s="1">
        <f t="shared" si="8"/>
        <v>0.14184047325035026</v>
      </c>
      <c r="AZ30" s="1">
        <f t="shared" si="8"/>
        <v>0.13960255042813341</v>
      </c>
      <c r="BA30" s="1">
        <f t="shared" si="8"/>
        <v>0.13759241512855469</v>
      </c>
    </row>
    <row r="31" spans="2:53">
      <c r="B31" s="3">
        <v>10</v>
      </c>
      <c r="C31" s="8">
        <f t="shared" si="3"/>
        <v>0.05</v>
      </c>
      <c r="D31" s="8">
        <f t="shared" ref="D31:O31" ca="1" si="17">C31+k*(theta-C31)*dt+vol*SQRT(dt)*_xlfn.NORM.S.INV(RAND())</f>
        <v>5.6952346058224572E-2</v>
      </c>
      <c r="E31" s="8">
        <f t="shared" ca="1" si="17"/>
        <v>5.7447023099541535E-2</v>
      </c>
      <c r="F31" s="8">
        <f t="shared" ca="1" si="17"/>
        <v>6.1507755367273008E-2</v>
      </c>
      <c r="G31" s="8">
        <f t="shared" ca="1" si="17"/>
        <v>5.887466089532821E-2</v>
      </c>
      <c r="H31" s="8">
        <f t="shared" ca="1" si="17"/>
        <v>5.8801846945259265E-2</v>
      </c>
      <c r="I31" s="8">
        <f t="shared" ca="1" si="17"/>
        <v>5.6004773816016991E-2</v>
      </c>
      <c r="J31" s="8">
        <f t="shared" ca="1" si="17"/>
        <v>5.3842793886926137E-2</v>
      </c>
      <c r="K31" s="8">
        <f t="shared" ca="1" si="17"/>
        <v>6.3372031165546461E-2</v>
      </c>
      <c r="L31" s="8">
        <f t="shared" ca="1" si="17"/>
        <v>5.7140431739153015E-2</v>
      </c>
      <c r="M31" s="8">
        <f t="shared" ca="1" si="17"/>
        <v>4.8334023355020572E-2</v>
      </c>
      <c r="N31" s="8">
        <f t="shared" ca="1" si="17"/>
        <v>4.6064278330766657E-2</v>
      </c>
      <c r="O31" s="8">
        <f t="shared" ca="1" si="17"/>
        <v>4.6629522696342587E-2</v>
      </c>
      <c r="Q31" s="12">
        <v>1.7999999999999999E-2</v>
      </c>
      <c r="R31" s="1">
        <f t="shared" si="5"/>
        <v>3.6107530278647831E-10</v>
      </c>
      <c r="S31" s="1">
        <f t="shared" si="5"/>
        <v>1.4944292010474754E-2</v>
      </c>
      <c r="T31" s="1">
        <f t="shared" si="5"/>
        <v>0.20365609348852892</v>
      </c>
      <c r="U31" s="1">
        <f t="shared" si="5"/>
        <v>0.41938291951852724</v>
      </c>
      <c r="V31" s="1">
        <f t="shared" si="5"/>
        <v>0.55116907545210159</v>
      </c>
      <c r="W31" s="1">
        <f t="shared" si="5"/>
        <v>0.6110585175322969</v>
      </c>
      <c r="X31" s="1">
        <f t="shared" si="5"/>
        <v>0.62554325015530454</v>
      </c>
      <c r="Y31" s="1">
        <f t="shared" si="5"/>
        <v>0.61406195813228304</v>
      </c>
      <c r="Z31" s="1">
        <f t="shared" si="5"/>
        <v>0.58880601274263933</v>
      </c>
      <c r="AA31" s="1">
        <f t="shared" si="5"/>
        <v>0.55707338890480484</v>
      </c>
      <c r="AB31" s="1">
        <f t="shared" si="6"/>
        <v>0.52313346230571456</v>
      </c>
      <c r="AC31" s="1">
        <f t="shared" si="6"/>
        <v>0.48942269816972495</v>
      </c>
      <c r="AD31" s="1">
        <f t="shared" si="6"/>
        <v>0.45727423282089896</v>
      </c>
      <c r="AE31" s="1">
        <f t="shared" si="6"/>
        <v>0.42735913407437226</v>
      </c>
      <c r="AF31" s="1">
        <f t="shared" si="6"/>
        <v>0.39995416089103547</v>
      </c>
      <c r="AG31" s="1">
        <f t="shared" si="6"/>
        <v>0.37510515718021853</v>
      </c>
      <c r="AH31" s="1">
        <f t="shared" si="6"/>
        <v>0.35272713755390361</v>
      </c>
      <c r="AI31" s="1">
        <f t="shared" si="6"/>
        <v>0.33266557458354384</v>
      </c>
      <c r="AJ31" s="1">
        <f t="shared" si="6"/>
        <v>0.31473369033906412</v>
      </c>
      <c r="AK31" s="1">
        <f t="shared" si="6"/>
        <v>0.29873481035431071</v>
      </c>
      <c r="AL31" s="1">
        <f t="shared" si="7"/>
        <v>0.28447539092991159</v>
      </c>
      <c r="AM31" s="1">
        <f t="shared" si="7"/>
        <v>0.27177223088809388</v>
      </c>
      <c r="AN31" s="1">
        <f t="shared" si="7"/>
        <v>0.2604560815833839</v>
      </c>
      <c r="AO31" s="1">
        <f t="shared" si="7"/>
        <v>0.25037305740808874</v>
      </c>
      <c r="AP31" s="1">
        <f t="shared" si="7"/>
        <v>0.24138473609396291</v>
      </c>
      <c r="AQ31" s="1">
        <f t="shared" si="7"/>
        <v>0.23336751135872655</v>
      </c>
      <c r="AR31" s="1">
        <f t="shared" si="7"/>
        <v>0.22621155118686109</v>
      </c>
      <c r="AS31" s="1">
        <f t="shared" si="7"/>
        <v>0.21981958066386376</v>
      </c>
      <c r="AT31" s="1">
        <f t="shared" si="7"/>
        <v>0.21410562202014616</v>
      </c>
      <c r="AU31" s="1">
        <f t="shared" si="7"/>
        <v>0.208993769355203</v>
      </c>
      <c r="AV31" s="1">
        <f t="shared" si="8"/>
        <v>0.20441704047198578</v>
      </c>
      <c r="AW31" s="1">
        <f t="shared" si="8"/>
        <v>0.20031632628408327</v>
      </c>
      <c r="AX31" s="1">
        <f t="shared" si="8"/>
        <v>0.19663944476408682</v>
      </c>
      <c r="AY31" s="1">
        <f t="shared" si="8"/>
        <v>0.19334029837649658</v>
      </c>
      <c r="AZ31" s="1">
        <f t="shared" si="8"/>
        <v>0.1903781294170824</v>
      </c>
      <c r="BA31" s="1">
        <f t="shared" si="8"/>
        <v>0.18771686537656307</v>
      </c>
    </row>
    <row r="32" spans="2:53">
      <c r="B32" s="3">
        <v>11</v>
      </c>
      <c r="C32" s="8">
        <f t="shared" si="3"/>
        <v>0.05</v>
      </c>
      <c r="D32" s="8">
        <f t="shared" ref="D32:O32" ca="1" si="18">C32+k*(theta-C32)*dt+vol*SQRT(dt)*_xlfn.NORM.S.INV(RAND())</f>
        <v>5.9294810550214294E-2</v>
      </c>
      <c r="E32" s="8">
        <f t="shared" ca="1" si="18"/>
        <v>6.1748799033817553E-2</v>
      </c>
      <c r="F32" s="8">
        <f t="shared" ca="1" si="18"/>
        <v>6.2779069477635577E-2</v>
      </c>
      <c r="G32" s="8">
        <f t="shared" ca="1" si="18"/>
        <v>6.4791641163301786E-2</v>
      </c>
      <c r="H32" s="8">
        <f t="shared" ca="1" si="18"/>
        <v>7.0133122825758551E-2</v>
      </c>
      <c r="I32" s="8">
        <f t="shared" ca="1" si="18"/>
        <v>6.2286579577689516E-2</v>
      </c>
      <c r="J32" s="8">
        <f t="shared" ca="1" si="18"/>
        <v>6.1892180981887895E-2</v>
      </c>
      <c r="K32" s="8">
        <f t="shared" ca="1" si="18"/>
        <v>6.1707396962285811E-2</v>
      </c>
      <c r="L32" s="8">
        <f t="shared" ca="1" si="18"/>
        <v>6.708362616798931E-2</v>
      </c>
      <c r="M32" s="8">
        <f t="shared" ca="1" si="18"/>
        <v>6.9176207418592067E-2</v>
      </c>
      <c r="N32" s="8">
        <f t="shared" ca="1" si="18"/>
        <v>6.7723486157704071E-2</v>
      </c>
      <c r="O32" s="8">
        <f t="shared" ca="1" si="18"/>
        <v>7.2181153316935476E-2</v>
      </c>
      <c r="Q32" s="12">
        <v>0.02</v>
      </c>
      <c r="R32" s="1">
        <f t="shared" ref="R32:AA41" si="19">_xlfn.NORM.DIST($Q32,R$18,SQRT(R$19),FALSE)</f>
        <v>8.6666043504899651E-9</v>
      </c>
      <c r="S32" s="1">
        <f t="shared" si="19"/>
        <v>3.7307828318168652E-2</v>
      </c>
      <c r="T32" s="1">
        <f t="shared" si="19"/>
        <v>0.35059461721036472</v>
      </c>
      <c r="U32" s="1">
        <f t="shared" si="19"/>
        <v>0.64050258784378034</v>
      </c>
      <c r="V32" s="1">
        <f t="shared" si="19"/>
        <v>0.79528233845814578</v>
      </c>
      <c r="W32" s="1">
        <f t="shared" si="19"/>
        <v>0.85416507597562319</v>
      </c>
      <c r="X32" s="1">
        <f t="shared" si="19"/>
        <v>0.85773370767121637</v>
      </c>
      <c r="Y32" s="1">
        <f t="shared" si="19"/>
        <v>0.83176862547505992</v>
      </c>
      <c r="Z32" s="1">
        <f t="shared" si="19"/>
        <v>0.79129077898643108</v>
      </c>
      <c r="AA32" s="1">
        <f t="shared" si="19"/>
        <v>0.74485162481010647</v>
      </c>
      <c r="AB32" s="1">
        <f t="shared" ref="AB32:AK41" si="20">_xlfn.NORM.DIST($Q32,AB$18,SQRT(AB$19),FALSE)</f>
        <v>0.69724723216956386</v>
      </c>
      <c r="AC32" s="1">
        <f t="shared" si="20"/>
        <v>0.65109700886281052</v>
      </c>
      <c r="AD32" s="1">
        <f t="shared" si="20"/>
        <v>0.6077528713342033</v>
      </c>
      <c r="AE32" s="1">
        <f t="shared" si="20"/>
        <v>0.5678277637325172</v>
      </c>
      <c r="AF32" s="1">
        <f t="shared" si="20"/>
        <v>0.53150698616597092</v>
      </c>
      <c r="AG32" s="1">
        <f t="shared" si="20"/>
        <v>0.49873367262100099</v>
      </c>
      <c r="AH32" s="1">
        <f t="shared" si="20"/>
        <v>0.46932004183086234</v>
      </c>
      <c r="AI32" s="1">
        <f t="shared" si="20"/>
        <v>0.44301415351214535</v>
      </c>
      <c r="AJ32" s="1">
        <f t="shared" si="20"/>
        <v>0.41953964462042914</v>
      </c>
      <c r="AK32" s="1">
        <f t="shared" si="20"/>
        <v>0.39861891211667622</v>
      </c>
      <c r="AL32" s="1">
        <f t="shared" ref="AL32:AU41" si="21">_xlfn.NORM.DIST($Q32,AL$18,SQRT(AL$19),FALSE)</f>
        <v>0.37998611423309714</v>
      </c>
      <c r="AM32" s="1">
        <f t="shared" si="21"/>
        <v>0.36339392051018671</v>
      </c>
      <c r="AN32" s="1">
        <f t="shared" si="21"/>
        <v>0.34861645789515522</v>
      </c>
      <c r="AO32" s="1">
        <f t="shared" si="21"/>
        <v>0.33544998535380516</v>
      </c>
      <c r="AP32" s="1">
        <f t="shared" si="21"/>
        <v>0.32371225792737557</v>
      </c>
      <c r="AQ32" s="1">
        <f t="shared" si="21"/>
        <v>0.31324118070497936</v>
      </c>
      <c r="AR32" s="1">
        <f t="shared" si="21"/>
        <v>0.30389312438684318</v>
      </c>
      <c r="AS32" s="1">
        <f t="shared" si="21"/>
        <v>0.29554112844437019</v>
      </c>
      <c r="AT32" s="1">
        <f t="shared" si="21"/>
        <v>0.28807312518530248</v>
      </c>
      <c r="AU32" s="1">
        <f t="shared" si="21"/>
        <v>0.28139025931492101</v>
      </c>
      <c r="AV32" s="1">
        <f t="shared" ref="AV32:BA41" si="22">_xlfn.NORM.DIST($Q32,AV$18,SQRT(AV$19),FALSE)</f>
        <v>0.2754053407513648</v>
      </c>
      <c r="AW32" s="1">
        <f t="shared" si="22"/>
        <v>0.27004144573146022</v>
      </c>
      <c r="AX32" s="1">
        <f t="shared" si="22"/>
        <v>0.26523066760415948</v>
      </c>
      <c r="AY32" s="1">
        <f t="shared" si="22"/>
        <v>0.26091301088416496</v>
      </c>
      <c r="AZ32" s="1">
        <f t="shared" si="22"/>
        <v>0.25703541800046115</v>
      </c>
      <c r="BA32" s="1">
        <f t="shared" si="22"/>
        <v>0.25355091633759164</v>
      </c>
    </row>
    <row r="33" spans="2:53">
      <c r="B33" s="3">
        <v>12</v>
      </c>
      <c r="C33" s="8">
        <f t="shared" si="3"/>
        <v>0.05</v>
      </c>
      <c r="D33" s="8">
        <f t="shared" ref="D33:O33" ca="1" si="23">C33+k*(theta-C33)*dt+vol*SQRT(dt)*_xlfn.NORM.S.INV(RAND())</f>
        <v>4.4278861420418238E-2</v>
      </c>
      <c r="E33" s="8">
        <f t="shared" ca="1" si="23"/>
        <v>4.7156184779962682E-2</v>
      </c>
      <c r="F33" s="8">
        <f t="shared" ca="1" si="23"/>
        <v>5.6614644491364649E-2</v>
      </c>
      <c r="G33" s="8">
        <f t="shared" ca="1" si="23"/>
        <v>5.9923920393382929E-2</v>
      </c>
      <c r="H33" s="8">
        <f t="shared" ca="1" si="23"/>
        <v>5.9590409294099894E-2</v>
      </c>
      <c r="I33" s="8">
        <f t="shared" ca="1" si="23"/>
        <v>5.562742572967274E-2</v>
      </c>
      <c r="J33" s="8">
        <f t="shared" ca="1" si="23"/>
        <v>4.901159211310957E-2</v>
      </c>
      <c r="K33" s="8">
        <f t="shared" ca="1" si="23"/>
        <v>5.7463724706061099E-2</v>
      </c>
      <c r="L33" s="8">
        <f t="shared" ca="1" si="23"/>
        <v>6.1592042947283682E-2</v>
      </c>
      <c r="M33" s="8">
        <f t="shared" ca="1" si="23"/>
        <v>7.565817551212066E-2</v>
      </c>
      <c r="N33" s="8">
        <f t="shared" ca="1" si="23"/>
        <v>7.8319278039482049E-2</v>
      </c>
      <c r="O33" s="8">
        <f t="shared" ca="1" si="23"/>
        <v>7.9813717720435551E-2</v>
      </c>
      <c r="Q33" s="12">
        <v>2.1999999999999999E-2</v>
      </c>
      <c r="R33" s="1">
        <f t="shared" si="19"/>
        <v>1.6945394864462243E-7</v>
      </c>
      <c r="S33" s="1">
        <f t="shared" si="19"/>
        <v>8.8138582855547959E-2</v>
      </c>
      <c r="T33" s="1">
        <f t="shared" si="19"/>
        <v>0.5855174790170411</v>
      </c>
      <c r="U33" s="1">
        <f t="shared" si="19"/>
        <v>0.9567654183926616</v>
      </c>
      <c r="V33" s="1">
        <f t="shared" si="19"/>
        <v>1.1268631885988383</v>
      </c>
      <c r="W33" s="1">
        <f t="shared" si="19"/>
        <v>1.1752503291580993</v>
      </c>
      <c r="X33" s="1">
        <f t="shared" si="19"/>
        <v>1.1593986848114339</v>
      </c>
      <c r="Y33" s="1">
        <f t="shared" si="19"/>
        <v>1.1118045281092692</v>
      </c>
      <c r="Z33" s="1">
        <f t="shared" si="19"/>
        <v>1.0501670611745857</v>
      </c>
      <c r="AA33" s="1">
        <f t="shared" si="19"/>
        <v>0.98406578496690633</v>
      </c>
      <c r="AB33" s="1">
        <f t="shared" si="20"/>
        <v>0.91862530579417956</v>
      </c>
      <c r="AC33" s="1">
        <f t="shared" si="20"/>
        <v>0.85649172745551383</v>
      </c>
      <c r="AD33" s="1">
        <f t="shared" si="20"/>
        <v>0.79891591702955034</v>
      </c>
      <c r="AE33" s="1">
        <f t="shared" si="20"/>
        <v>0.74636087440387799</v>
      </c>
      <c r="AF33" s="1">
        <f t="shared" si="20"/>
        <v>0.69884939944235536</v>
      </c>
      <c r="AG33" s="1">
        <f t="shared" si="20"/>
        <v>0.65616619268437903</v>
      </c>
      <c r="AH33" s="1">
        <f t="shared" si="20"/>
        <v>0.61797631723441138</v>
      </c>
      <c r="AI33" s="1">
        <f t="shared" si="20"/>
        <v>0.58389459453822923</v>
      </c>
      <c r="AJ33" s="1">
        <f t="shared" si="20"/>
        <v>0.55352575666426029</v>
      </c>
      <c r="AK33" s="1">
        <f t="shared" si="20"/>
        <v>0.52648699020871548</v>
      </c>
      <c r="AL33" s="1">
        <f t="shared" si="21"/>
        <v>0.50241983610153007</v>
      </c>
      <c r="AM33" s="1">
        <f t="shared" si="21"/>
        <v>0.48099567817187538</v>
      </c>
      <c r="AN33" s="1">
        <f t="shared" si="21"/>
        <v>0.46191742118128409</v>
      </c>
      <c r="AO33" s="1">
        <f t="shared" si="21"/>
        <v>0.44491896588879715</v>
      </c>
      <c r="AP33" s="1">
        <f t="shared" si="21"/>
        <v>0.42976347555204525</v>
      </c>
      <c r="AQ33" s="1">
        <f t="shared" si="21"/>
        <v>0.41624104558796798</v>
      </c>
      <c r="AR33" s="1">
        <f t="shared" si="21"/>
        <v>0.40416614760307706</v>
      </c>
      <c r="AS33" s="1">
        <f t="shared" si="21"/>
        <v>0.39337506738855532</v>
      </c>
      <c r="AT33" s="1">
        <f t="shared" si="21"/>
        <v>0.38372346104029054</v>
      </c>
      <c r="AU33" s="1">
        <f t="shared" si="21"/>
        <v>0.37508409369431761</v>
      </c>
      <c r="AV33" s="1">
        <f t="shared" si="22"/>
        <v>0.36734478856384767</v>
      </c>
      <c r="AW33" s="1">
        <f t="shared" si="22"/>
        <v>0.36040659178974399</v>
      </c>
      <c r="AX33" s="1">
        <f t="shared" si="22"/>
        <v>0.35418214577540241</v>
      </c>
      <c r="AY33" s="1">
        <f t="shared" si="22"/>
        <v>0.34859425674657857</v>
      </c>
      <c r="AZ33" s="1">
        <f t="shared" si="22"/>
        <v>0.34357463903980329</v>
      </c>
      <c r="BA33" s="1">
        <f t="shared" si="22"/>
        <v>0.33906281764471852</v>
      </c>
    </row>
    <row r="34" spans="2:53">
      <c r="B34" s="3">
        <v>13</v>
      </c>
      <c r="C34" s="8">
        <f t="shared" si="3"/>
        <v>0.05</v>
      </c>
      <c r="D34" s="8">
        <f t="shared" ref="D34:O34" ca="1" si="24">C34+k*(theta-C34)*dt+vol*SQRT(dt)*_xlfn.NORM.S.INV(RAND())</f>
        <v>5.6471162533548336E-2</v>
      </c>
      <c r="E34" s="8">
        <f t="shared" ca="1" si="24"/>
        <v>5.3799801954426137E-2</v>
      </c>
      <c r="F34" s="8">
        <f t="shared" ca="1" si="24"/>
        <v>4.5536281513976741E-2</v>
      </c>
      <c r="G34" s="8">
        <f t="shared" ca="1" si="24"/>
        <v>4.1736428900135777E-2</v>
      </c>
      <c r="H34" s="8">
        <f t="shared" ca="1" si="24"/>
        <v>3.3274749997496043E-2</v>
      </c>
      <c r="I34" s="8">
        <f t="shared" ca="1" si="24"/>
        <v>3.1484274766079554E-2</v>
      </c>
      <c r="J34" s="8">
        <f t="shared" ca="1" si="24"/>
        <v>2.4880675535834763E-2</v>
      </c>
      <c r="K34" s="8">
        <f t="shared" ca="1" si="24"/>
        <v>2.8720843969080354E-2</v>
      </c>
      <c r="L34" s="8">
        <f t="shared" ca="1" si="24"/>
        <v>2.5891053371036477E-2</v>
      </c>
      <c r="M34" s="8">
        <f t="shared" ca="1" si="24"/>
        <v>3.2743085099487083E-2</v>
      </c>
      <c r="N34" s="8">
        <f t="shared" ca="1" si="24"/>
        <v>3.6516407795573989E-2</v>
      </c>
      <c r="O34" s="8">
        <f t="shared" ca="1" si="24"/>
        <v>2.9731943997851361E-2</v>
      </c>
      <c r="Q34" s="12">
        <v>2.4E-2</v>
      </c>
      <c r="R34" s="1">
        <f t="shared" si="19"/>
        <v>2.6990190659109953E-6</v>
      </c>
      <c r="S34" s="1">
        <f t="shared" si="19"/>
        <v>0.19704872380701655</v>
      </c>
      <c r="T34" s="1">
        <f t="shared" si="19"/>
        <v>0.94863964370076126</v>
      </c>
      <c r="U34" s="1">
        <f t="shared" si="19"/>
        <v>1.3978625868411061</v>
      </c>
      <c r="V34" s="1">
        <f t="shared" si="19"/>
        <v>1.567957926823538</v>
      </c>
      <c r="W34" s="1">
        <f t="shared" si="19"/>
        <v>1.5916534497420409</v>
      </c>
      <c r="X34" s="1">
        <f t="shared" si="19"/>
        <v>1.5448926954976276</v>
      </c>
      <c r="Y34" s="1">
        <f t="shared" si="19"/>
        <v>1.4665264650016854</v>
      </c>
      <c r="Z34" s="1">
        <f t="shared" si="19"/>
        <v>1.3763823625995739</v>
      </c>
      <c r="AA34" s="1">
        <f t="shared" si="19"/>
        <v>1.2846224300993572</v>
      </c>
      <c r="AB34" s="1">
        <f t="shared" si="20"/>
        <v>1.1963749708780178</v>
      </c>
      <c r="AC34" s="1">
        <f t="shared" si="20"/>
        <v>1.1140803755221207</v>
      </c>
      <c r="AD34" s="1">
        <f t="shared" si="20"/>
        <v>1.0387209552271273</v>
      </c>
      <c r="AE34" s="1">
        <f t="shared" si="20"/>
        <v>0.97048698391013555</v>
      </c>
      <c r="AF34" s="1">
        <f t="shared" si="20"/>
        <v>0.90914692946076681</v>
      </c>
      <c r="AG34" s="1">
        <f t="shared" si="20"/>
        <v>0.85425693628265986</v>
      </c>
      <c r="AH34" s="1">
        <f t="shared" si="20"/>
        <v>0.80528028651660366</v>
      </c>
      <c r="AI34" s="1">
        <f t="shared" si="20"/>
        <v>0.76165521665406433</v>
      </c>
      <c r="AJ34" s="1">
        <f t="shared" si="20"/>
        <v>0.72283257953431546</v>
      </c>
      <c r="AK34" s="1">
        <f t="shared" si="20"/>
        <v>0.68829571429039316</v>
      </c>
      <c r="AL34" s="1">
        <f t="shared" si="21"/>
        <v>0.65756979463667176</v>
      </c>
      <c r="AM34" s="1">
        <f t="shared" si="21"/>
        <v>0.63022500406063409</v>
      </c>
      <c r="AN34" s="1">
        <f t="shared" si="21"/>
        <v>0.60587616881954731</v>
      </c>
      <c r="AO34" s="1">
        <f t="shared" si="21"/>
        <v>0.58418044925840595</v>
      </c>
      <c r="AP34" s="1">
        <f t="shared" si="21"/>
        <v>0.56483406188166385</v>
      </c>
      <c r="AQ34" s="1">
        <f t="shared" si="21"/>
        <v>0.54756861726177142</v>
      </c>
      <c r="AR34" s="1">
        <f t="shared" si="21"/>
        <v>0.53214741828219725</v>
      </c>
      <c r="AS34" s="1">
        <f t="shared" si="21"/>
        <v>0.51836191346480831</v>
      </c>
      <c r="AT34" s="1">
        <f t="shared" si="21"/>
        <v>0.50602840725727016</v>
      </c>
      <c r="AU34" s="1">
        <f t="shared" si="21"/>
        <v>0.4949850721697307</v>
      </c>
      <c r="AV34" s="1">
        <f t="shared" si="22"/>
        <v>0.48508927339937541</v>
      </c>
      <c r="AW34" s="1">
        <f t="shared" si="22"/>
        <v>0.47621519673076085</v>
      </c>
      <c r="AX34" s="1">
        <f t="shared" si="22"/>
        <v>0.46825175972368244</v>
      </c>
      <c r="AY34" s="1">
        <f t="shared" si="22"/>
        <v>0.4611007810793728</v>
      </c>
      <c r="AZ34" s="1">
        <f t="shared" si="22"/>
        <v>0.45467538141083752</v>
      </c>
      <c r="BA34" s="1">
        <f t="shared" si="22"/>
        <v>0.44889858902222418</v>
      </c>
    </row>
    <row r="35" spans="2:53">
      <c r="B35" s="3">
        <v>14</v>
      </c>
      <c r="C35" s="8">
        <f t="shared" si="3"/>
        <v>0.05</v>
      </c>
      <c r="D35" s="8">
        <f t="shared" ref="D35:O35" ca="1" si="25">C35+k*(theta-C35)*dt+vol*SQRT(dt)*_xlfn.NORM.S.INV(RAND())</f>
        <v>5.7315291981441689E-2</v>
      </c>
      <c r="E35" s="8">
        <f t="shared" ca="1" si="25"/>
        <v>6.5696628050393474E-2</v>
      </c>
      <c r="F35" s="8">
        <f t="shared" ca="1" si="25"/>
        <v>7.8498357887387377E-2</v>
      </c>
      <c r="G35" s="8">
        <f t="shared" ca="1" si="25"/>
        <v>6.9427434405831379E-2</v>
      </c>
      <c r="H35" s="8">
        <f t="shared" ca="1" si="25"/>
        <v>6.2888940205873892E-2</v>
      </c>
      <c r="I35" s="8">
        <f t="shared" ca="1" si="25"/>
        <v>7.4274686271365783E-2</v>
      </c>
      <c r="J35" s="8">
        <f t="shared" ca="1" si="25"/>
        <v>7.4552562659983168E-2</v>
      </c>
      <c r="K35" s="8">
        <f t="shared" ca="1" si="25"/>
        <v>7.93195490166623E-2</v>
      </c>
      <c r="L35" s="8">
        <f t="shared" ca="1" si="25"/>
        <v>9.4701894354987881E-2</v>
      </c>
      <c r="M35" s="8">
        <f t="shared" ca="1" si="25"/>
        <v>7.9320033990758917E-2</v>
      </c>
      <c r="N35" s="8">
        <f t="shared" ca="1" si="25"/>
        <v>8.0142264106175781E-2</v>
      </c>
      <c r="O35" s="8">
        <f t="shared" ca="1" si="25"/>
        <v>7.9751067987358565E-2</v>
      </c>
      <c r="Q35" s="12">
        <v>2.5999999999999999E-2</v>
      </c>
      <c r="R35" s="1">
        <f t="shared" si="19"/>
        <v>3.5019645699244213E-5</v>
      </c>
      <c r="S35" s="1">
        <f t="shared" si="19"/>
        <v>0.41689113378031811</v>
      </c>
      <c r="T35" s="1">
        <f t="shared" si="19"/>
        <v>1.4910405712863048</v>
      </c>
      <c r="U35" s="1">
        <f t="shared" si="19"/>
        <v>1.9975512190046609</v>
      </c>
      <c r="V35" s="1">
        <f t="shared" si="19"/>
        <v>2.142451390022567</v>
      </c>
      <c r="W35" s="1">
        <f t="shared" si="19"/>
        <v>2.1217597704114977</v>
      </c>
      <c r="X35" s="1">
        <f t="shared" si="19"/>
        <v>2.0293129494312487</v>
      </c>
      <c r="Y35" s="1">
        <f t="shared" si="19"/>
        <v>1.9089165060992292</v>
      </c>
      <c r="Z35" s="1">
        <f t="shared" si="19"/>
        <v>1.7814688141247101</v>
      </c>
      <c r="AA35" s="1">
        <f t="shared" si="19"/>
        <v>1.6570052157852906</v>
      </c>
      <c r="AB35" s="1">
        <f t="shared" si="20"/>
        <v>1.5401873073939654</v>
      </c>
      <c r="AC35" s="1">
        <f t="shared" si="20"/>
        <v>1.4329325727804203</v>
      </c>
      <c r="AD35" s="1">
        <f t="shared" si="20"/>
        <v>1.3357355278683813</v>
      </c>
      <c r="AE35" s="1">
        <f t="shared" si="20"/>
        <v>1.2483580726476762</v>
      </c>
      <c r="AF35" s="1">
        <f t="shared" si="20"/>
        <v>1.1702008716898491</v>
      </c>
      <c r="AG35" s="1">
        <f t="shared" si="20"/>
        <v>1.1005066735581208</v>
      </c>
      <c r="AH35" s="1">
        <f t="shared" si="20"/>
        <v>1.0384720393431641</v>
      </c>
      <c r="AI35" s="1">
        <f t="shared" si="20"/>
        <v>0.98330783585886827</v>
      </c>
      <c r="AJ35" s="1">
        <f t="shared" si="20"/>
        <v>0.93427055103830936</v>
      </c>
      <c r="AK35" s="1">
        <f t="shared" si="20"/>
        <v>0.89067684855011975</v>
      </c>
      <c r="AL35" s="1">
        <f t="shared" si="21"/>
        <v>0.85190851921352728</v>
      </c>
      <c r="AM35" s="1">
        <f t="shared" si="21"/>
        <v>0.81741202818689096</v>
      </c>
      <c r="AN35" s="1">
        <f t="shared" si="21"/>
        <v>0.78669514823059072</v>
      </c>
      <c r="AO35" s="1">
        <f t="shared" si="21"/>
        <v>0.75932216081782</v>
      </c>
      <c r="AP35" s="1">
        <f t="shared" si="21"/>
        <v>0.73490850140285391</v>
      </c>
      <c r="AQ35" s="1">
        <f t="shared" si="21"/>
        <v>0.71311535733994524</v>
      </c>
      <c r="AR35" s="1">
        <f t="shared" si="21"/>
        <v>0.69364450210664319</v>
      </c>
      <c r="AS35" s="1">
        <f t="shared" si="21"/>
        <v>0.67623351207705296</v>
      </c>
      <c r="AT35" s="1">
        <f t="shared" si="21"/>
        <v>0.66065142879853045</v>
      </c>
      <c r="AU35" s="1">
        <f t="shared" si="21"/>
        <v>0.64669488018771526</v>
      </c>
      <c r="AV35" s="1">
        <f t="shared" si="22"/>
        <v>0.63418464563928856</v>
      </c>
      <c r="AW35" s="1">
        <f t="shared" si="22"/>
        <v>0.62296263479219338</v>
      </c>
      <c r="AX35" s="1">
        <f t="shared" si="22"/>
        <v>0.61288924259228172</v>
      </c>
      <c r="AY35" s="1">
        <f t="shared" si="22"/>
        <v>0.6038410411252344</v>
      </c>
      <c r="AZ35" s="1">
        <f t="shared" si="22"/>
        <v>0.5957087694301334</v>
      </c>
      <c r="BA35" s="1">
        <f t="shared" si="22"/>
        <v>0.58839558484904519</v>
      </c>
    </row>
    <row r="36" spans="2:53">
      <c r="B36" s="3">
        <v>15</v>
      </c>
      <c r="C36" s="8">
        <f t="shared" si="3"/>
        <v>0.05</v>
      </c>
      <c r="D36" s="8">
        <f t="shared" ref="D36:O36" ca="1" si="26">C36+k*(theta-C36)*dt+vol*SQRT(dt)*_xlfn.NORM.S.INV(RAND())</f>
        <v>5.7879427926633684E-2</v>
      </c>
      <c r="E36" s="8">
        <f t="shared" ca="1" si="26"/>
        <v>6.0976451904433245E-2</v>
      </c>
      <c r="F36" s="8">
        <f t="shared" ca="1" si="26"/>
        <v>6.5021198687478091E-2</v>
      </c>
      <c r="G36" s="8">
        <f t="shared" ca="1" si="26"/>
        <v>6.4209930402268939E-2</v>
      </c>
      <c r="H36" s="8">
        <f t="shared" ca="1" si="26"/>
        <v>6.4168145459976539E-2</v>
      </c>
      <c r="I36" s="8">
        <f t="shared" ca="1" si="26"/>
        <v>6.8984199097887125E-2</v>
      </c>
      <c r="J36" s="8">
        <f t="shared" ca="1" si="26"/>
        <v>7.2520675115791064E-2</v>
      </c>
      <c r="K36" s="8">
        <f t="shared" ca="1" si="26"/>
        <v>7.6129960605587327E-2</v>
      </c>
      <c r="L36" s="8">
        <f t="shared" ca="1" si="26"/>
        <v>6.4040244335341029E-2</v>
      </c>
      <c r="M36" s="8">
        <f t="shared" ca="1" si="26"/>
        <v>6.834005781336408E-2</v>
      </c>
      <c r="N36" s="8">
        <f t="shared" ca="1" si="26"/>
        <v>7.1125755080002032E-2</v>
      </c>
      <c r="O36" s="8">
        <f t="shared" ca="1" si="26"/>
        <v>7.7461695032174746E-2</v>
      </c>
      <c r="Q36" s="12">
        <v>2.8000000000000001E-2</v>
      </c>
      <c r="R36" s="1">
        <f t="shared" si="19"/>
        <v>3.7014260726126564E-4</v>
      </c>
      <c r="S36" s="1">
        <f t="shared" si="19"/>
        <v>0.83466684106678179</v>
      </c>
      <c r="T36" s="1">
        <f t="shared" si="19"/>
        <v>2.2735496194861873</v>
      </c>
      <c r="U36" s="1">
        <f t="shared" si="19"/>
        <v>2.7919381757806763</v>
      </c>
      <c r="V36" s="1">
        <f t="shared" si="19"/>
        <v>2.8747554627450516</v>
      </c>
      <c r="W36" s="1">
        <f t="shared" si="19"/>
        <v>2.7840271678996977</v>
      </c>
      <c r="X36" s="1">
        <f t="shared" si="19"/>
        <v>2.6277553209583737</v>
      </c>
      <c r="Y36" s="1">
        <f t="shared" si="19"/>
        <v>2.451994683364668</v>
      </c>
      <c r="Z36" s="1">
        <f t="shared" si="19"/>
        <v>2.2770667847461366</v>
      </c>
      <c r="AA36" s="1">
        <f t="shared" si="19"/>
        <v>2.1118800920086809</v>
      </c>
      <c r="AB36" s="1">
        <f t="shared" si="20"/>
        <v>1.9600045032083799</v>
      </c>
      <c r="AC36" s="1">
        <f t="shared" si="20"/>
        <v>1.8224300375645148</v>
      </c>
      <c r="AD36" s="1">
        <f t="shared" si="20"/>
        <v>1.6988922167144533</v>
      </c>
      <c r="AE36" s="1">
        <f t="shared" si="20"/>
        <v>1.5885366596892176</v>
      </c>
      <c r="AF36" s="1">
        <f t="shared" si="20"/>
        <v>1.4902619715284962</v>
      </c>
      <c r="AG36" s="1">
        <f t="shared" si="20"/>
        <v>1.402898822601963</v>
      </c>
      <c r="AH36" s="1">
        <f t="shared" si="20"/>
        <v>1.3253026073381429</v>
      </c>
      <c r="AI36" s="1">
        <f t="shared" si="20"/>
        <v>1.2563993178116228</v>
      </c>
      <c r="AJ36" s="1">
        <f t="shared" si="20"/>
        <v>1.1952057035359249</v>
      </c>
      <c r="AK36" s="1">
        <f t="shared" si="20"/>
        <v>1.140835269605166</v>
      </c>
      <c r="AL36" s="1">
        <f t="shared" si="21"/>
        <v>1.0924966001109779</v>
      </c>
      <c r="AM36" s="1">
        <f t="shared" si="21"/>
        <v>1.0494877099437765</v>
      </c>
      <c r="AN36" s="1">
        <f t="shared" si="21"/>
        <v>1.0111885552858615</v>
      </c>
      <c r="AO36" s="1">
        <f t="shared" si="21"/>
        <v>0.97705292423438539</v>
      </c>
      <c r="AP36" s="1">
        <f t="shared" si="21"/>
        <v>0.94660039480585767</v>
      </c>
      <c r="AQ36" s="1">
        <f t="shared" si="21"/>
        <v>0.91940873026415459</v>
      </c>
      <c r="AR36" s="1">
        <f t="shared" si="21"/>
        <v>0.89510689265347887</v>
      </c>
      <c r="AS36" s="1">
        <f t="shared" si="21"/>
        <v>0.87336874349430482</v>
      </c>
      <c r="AT36" s="1">
        <f t="shared" si="21"/>
        <v>0.85390743563296101</v>
      </c>
      <c r="AU36" s="1">
        <f t="shared" si="21"/>
        <v>0.83647046403516356</v>
      </c>
      <c r="AV36" s="1">
        <f t="shared" si="22"/>
        <v>0.82083532473467069</v>
      </c>
      <c r="AW36" s="1">
        <f t="shared" si="22"/>
        <v>0.8068057232728153</v>
      </c>
      <c r="AX36" s="1">
        <f t="shared" si="22"/>
        <v>0.79420827246532755</v>
      </c>
      <c r="AY36" s="1">
        <f t="shared" si="22"/>
        <v>0.78288962149296559</v>
      </c>
      <c r="AZ36" s="1">
        <f t="shared" si="22"/>
        <v>0.77271396243126511</v>
      </c>
      <c r="BA36" s="1">
        <f t="shared" si="22"/>
        <v>0.76356086535708867</v>
      </c>
    </row>
    <row r="37" spans="2:53">
      <c r="B37" s="3">
        <v>16</v>
      </c>
      <c r="C37" s="8">
        <f t="shared" si="3"/>
        <v>0.05</v>
      </c>
      <c r="D37" s="8">
        <f t="shared" ref="D37:O37" ca="1" si="27">C37+k*(theta-C37)*dt+vol*SQRT(dt)*_xlfn.NORM.S.INV(RAND())</f>
        <v>4.4095735464339668E-2</v>
      </c>
      <c r="E37" s="8">
        <f t="shared" ca="1" si="27"/>
        <v>4.2744280710942932E-2</v>
      </c>
      <c r="F37" s="8">
        <f t="shared" ca="1" si="27"/>
        <v>4.2468056111186522E-2</v>
      </c>
      <c r="G37" s="8">
        <f t="shared" ca="1" si="27"/>
        <v>3.639308002687193E-2</v>
      </c>
      <c r="H37" s="8">
        <f t="shared" ca="1" si="27"/>
        <v>3.8197215447376288E-2</v>
      </c>
      <c r="I37" s="8">
        <f t="shared" ca="1" si="27"/>
        <v>4.2712413384168833E-2</v>
      </c>
      <c r="J37" s="8">
        <f t="shared" ca="1" si="27"/>
        <v>4.8201573346255591E-2</v>
      </c>
      <c r="K37" s="8">
        <f t="shared" ca="1" si="27"/>
        <v>6.1540324502201822E-2</v>
      </c>
      <c r="L37" s="8">
        <f t="shared" ca="1" si="27"/>
        <v>5.8316865219994386E-2</v>
      </c>
      <c r="M37" s="8">
        <f t="shared" ca="1" si="27"/>
        <v>4.9016999006003995E-2</v>
      </c>
      <c r="N37" s="8">
        <f t="shared" ca="1" si="27"/>
        <v>5.533082309909447E-2</v>
      </c>
      <c r="O37" s="8">
        <f t="shared" ca="1" si="27"/>
        <v>5.9711125653926313E-2</v>
      </c>
      <c r="Q37" s="12">
        <v>0.03</v>
      </c>
      <c r="R37" s="1">
        <f t="shared" si="19"/>
        <v>3.1869697993858154E-3</v>
      </c>
      <c r="S37" s="1">
        <f t="shared" si="19"/>
        <v>1.5814123698451557</v>
      </c>
      <c r="T37" s="1">
        <f t="shared" si="19"/>
        <v>3.363149695908306</v>
      </c>
      <c r="U37" s="1">
        <f t="shared" si="19"/>
        <v>3.8167006704643485</v>
      </c>
      <c r="V37" s="1">
        <f t="shared" si="19"/>
        <v>3.787949650476321</v>
      </c>
      <c r="W37" s="1">
        <f t="shared" si="19"/>
        <v>3.5956738345779571</v>
      </c>
      <c r="X37" s="1">
        <f t="shared" si="19"/>
        <v>3.3543317439109135</v>
      </c>
      <c r="Y37" s="1">
        <f t="shared" si="19"/>
        <v>3.1080477146445529</v>
      </c>
      <c r="Z37" s="1">
        <f t="shared" si="19"/>
        <v>2.87429759489476</v>
      </c>
      <c r="AA37" s="1">
        <f t="shared" si="19"/>
        <v>2.6595713329951582</v>
      </c>
      <c r="AB37" s="1">
        <f t="shared" si="20"/>
        <v>2.4655732295768091</v>
      </c>
      <c r="AC37" s="1">
        <f t="shared" si="20"/>
        <v>2.2918798903529813</v>
      </c>
      <c r="AD37" s="1">
        <f t="shared" si="20"/>
        <v>2.1371496838448851</v>
      </c>
      <c r="AE37" s="1">
        <f t="shared" si="20"/>
        <v>1.9996957255978607</v>
      </c>
      <c r="AF37" s="1">
        <f t="shared" si="20"/>
        <v>1.8777625889412242</v>
      </c>
      <c r="AG37" s="1">
        <f t="shared" si="20"/>
        <v>1.7696587367820542</v>
      </c>
      <c r="AH37" s="1">
        <f t="shared" si="20"/>
        <v>1.6738163335720551</v>
      </c>
      <c r="AI37" s="1">
        <f t="shared" si="20"/>
        <v>1.5888137756140588</v>
      </c>
      <c r="AJ37" s="1">
        <f t="shared" si="20"/>
        <v>1.5133790247945738</v>
      </c>
      <c r="AK37" s="1">
        <f t="shared" si="20"/>
        <v>1.4463832759620918</v>
      </c>
      <c r="AL37" s="1">
        <f t="shared" si="21"/>
        <v>1.3868300844737254</v>
      </c>
      <c r="AM37" s="1">
        <f t="shared" si="21"/>
        <v>1.3338427390072922</v>
      </c>
      <c r="AN37" s="1">
        <f t="shared" si="21"/>
        <v>1.2866513855582662</v>
      </c>
      <c r="AO37" s="1">
        <f t="shared" si="21"/>
        <v>1.2445806947297395</v>
      </c>
      <c r="AP37" s="1">
        <f t="shared" si="21"/>
        <v>1.207038460518568</v>
      </c>
      <c r="AQ37" s="1">
        <f t="shared" si="21"/>
        <v>1.1735052892188167</v>
      </c>
      <c r="AR37" s="1">
        <f t="shared" si="21"/>
        <v>1.143525407674242</v>
      </c>
      <c r="AS37" s="1">
        <f t="shared" si="21"/>
        <v>1.1166985492495032</v>
      </c>
      <c r="AT37" s="1">
        <f t="shared" si="21"/>
        <v>1.0926728395453613</v>
      </c>
      <c r="AU37" s="1">
        <f t="shared" si="21"/>
        <v>1.0711385879172526</v>
      </c>
      <c r="AV37" s="1">
        <f t="shared" si="22"/>
        <v>1.0518228867963795</v>
      </c>
      <c r="AW37" s="1">
        <f t="shared" si="22"/>
        <v>1.0344849235173195</v>
      </c>
      <c r="AX37" s="1">
        <f t="shared" si="22"/>
        <v>1.0189119156880284</v>
      </c>
      <c r="AY37" s="1">
        <f t="shared" si="22"/>
        <v>1.0049155891850565</v>
      </c>
      <c r="AZ37" s="1">
        <f t="shared" si="22"/>
        <v>0.99232912646644</v>
      </c>
      <c r="BA37" s="1">
        <f t="shared" si="22"/>
        <v>0.98100452139113337</v>
      </c>
    </row>
    <row r="38" spans="2:53">
      <c r="B38" s="3">
        <v>17</v>
      </c>
      <c r="C38" s="8">
        <f t="shared" si="3"/>
        <v>0.05</v>
      </c>
      <c r="D38" s="8">
        <f t="shared" ref="D38:O38" ca="1" si="28">C38+k*(theta-C38)*dt+vol*SQRT(dt)*_xlfn.NORM.S.INV(RAND())</f>
        <v>4.9078625151448334E-2</v>
      </c>
      <c r="E38" s="8">
        <f t="shared" ca="1" si="28"/>
        <v>5.1882495967027077E-2</v>
      </c>
      <c r="F38" s="8">
        <f t="shared" ca="1" si="28"/>
        <v>5.4677618997767664E-2</v>
      </c>
      <c r="G38" s="8">
        <f t="shared" ca="1" si="28"/>
        <v>4.8963514760107824E-2</v>
      </c>
      <c r="H38" s="8">
        <f t="shared" ca="1" si="28"/>
        <v>5.7275302907944137E-2</v>
      </c>
      <c r="I38" s="8">
        <f t="shared" ca="1" si="28"/>
        <v>6.0432635217588342E-2</v>
      </c>
      <c r="J38" s="8">
        <f t="shared" ca="1" si="28"/>
        <v>5.8070283955989621E-2</v>
      </c>
      <c r="K38" s="8">
        <f t="shared" ca="1" si="28"/>
        <v>5.6156802644388243E-2</v>
      </c>
      <c r="L38" s="8">
        <f t="shared" ca="1" si="28"/>
        <v>6.0415387136993993E-2</v>
      </c>
      <c r="M38" s="8">
        <f t="shared" ca="1" si="28"/>
        <v>6.1369962823561934E-2</v>
      </c>
      <c r="N38" s="8">
        <f t="shared" ca="1" si="28"/>
        <v>5.803027871126247E-2</v>
      </c>
      <c r="O38" s="8">
        <f t="shared" ca="1" si="28"/>
        <v>6.0567356268426041E-2</v>
      </c>
      <c r="Q38" s="12">
        <v>3.2000000000000001E-2</v>
      </c>
      <c r="R38" s="1">
        <f t="shared" si="19"/>
        <v>2.2353130448083118E-2</v>
      </c>
      <c r="S38" s="1">
        <f t="shared" si="19"/>
        <v>2.835427660992774</v>
      </c>
      <c r="T38" s="1">
        <f t="shared" si="19"/>
        <v>4.8263047934214676</v>
      </c>
      <c r="U38" s="1">
        <f t="shared" si="19"/>
        <v>5.1032264028089847</v>
      </c>
      <c r="V38" s="1">
        <f t="shared" si="19"/>
        <v>4.9014078999601338</v>
      </c>
      <c r="W38" s="1">
        <f t="shared" si="19"/>
        <v>4.5710573800817462</v>
      </c>
      <c r="X38" s="1">
        <f t="shared" si="19"/>
        <v>4.2209702456254234</v>
      </c>
      <c r="Y38" s="1">
        <f t="shared" si="19"/>
        <v>3.8876879018339858</v>
      </c>
      <c r="Z38" s="1">
        <f t="shared" si="19"/>
        <v>3.5829942690985708</v>
      </c>
      <c r="AA38" s="1">
        <f t="shared" si="19"/>
        <v>3.3094135144242394</v>
      </c>
      <c r="AB38" s="1">
        <f t="shared" si="20"/>
        <v>3.0658863400859651</v>
      </c>
      <c r="AC38" s="1">
        <f t="shared" si="20"/>
        <v>2.850025345559422</v>
      </c>
      <c r="AD38" s="1">
        <f t="shared" si="20"/>
        <v>2.6590580577379024</v>
      </c>
      <c r="AE38" s="1">
        <f t="shared" si="20"/>
        <v>2.4902285250915894</v>
      </c>
      <c r="AF38" s="1">
        <f t="shared" si="20"/>
        <v>2.3409633058134993</v>
      </c>
      <c r="AG38" s="1">
        <f t="shared" si="20"/>
        <v>2.2089312635113245</v>
      </c>
      <c r="AH38" s="1">
        <f t="shared" si="20"/>
        <v>2.0920547938582672</v>
      </c>
      <c r="AI38" s="1">
        <f t="shared" si="20"/>
        <v>1.9884991709580069</v>
      </c>
      <c r="AJ38" s="1">
        <f t="shared" si="20"/>
        <v>1.8966527287818129</v>
      </c>
      <c r="AK38" s="1">
        <f t="shared" si="20"/>
        <v>1.8151040295333114</v>
      </c>
      <c r="AL38" s="1">
        <f t="shared" si="21"/>
        <v>1.7426189869642557</v>
      </c>
      <c r="AM38" s="1">
        <f t="shared" si="21"/>
        <v>1.6781193284136304</v>
      </c>
      <c r="AN38" s="1">
        <f t="shared" si="21"/>
        <v>1.620662977017342</v>
      </c>
      <c r="AO38" s="1">
        <f t="shared" si="21"/>
        <v>1.5694265264623728</v>
      </c>
      <c r="AP38" s="1">
        <f t="shared" si="21"/>
        <v>1.5236897743124596</v>
      </c>
      <c r="AQ38" s="1">
        <f t="shared" si="21"/>
        <v>1.4828221802326536</v>
      </c>
      <c r="AR38" s="1">
        <f t="shared" si="21"/>
        <v>1.4462710726300403</v>
      </c>
      <c r="AS38" s="1">
        <f t="shared" si="21"/>
        <v>1.4135514148853856</v>
      </c>
      <c r="AT38" s="1">
        <f t="shared" si="21"/>
        <v>1.3842369461202777</v>
      </c>
      <c r="AU38" s="1">
        <f t="shared" si="21"/>
        <v>1.35795252337532</v>
      </c>
      <c r="AV38" s="1">
        <f t="shared" si="22"/>
        <v>1.3343675077041395</v>
      </c>
      <c r="AW38" s="1">
        <f t="shared" si="22"/>
        <v>1.3131900535010075</v>
      </c>
      <c r="AX38" s="1">
        <f t="shared" si="22"/>
        <v>1.2941621769763649</v>
      </c>
      <c r="AY38" s="1">
        <f t="shared" si="22"/>
        <v>1.2770554953240703</v>
      </c>
      <c r="AZ38" s="1">
        <f t="shared" si="22"/>
        <v>1.2616675424194377</v>
      </c>
      <c r="BA38" s="1">
        <f t="shared" si="22"/>
        <v>1.2478185797080819</v>
      </c>
    </row>
    <row r="39" spans="2:53">
      <c r="B39" s="3">
        <v>18</v>
      </c>
      <c r="C39" s="8">
        <f t="shared" si="3"/>
        <v>0.05</v>
      </c>
      <c r="D39" s="8">
        <f t="shared" ref="D39:O39" ca="1" si="29">C39+k*(theta-C39)*dt+vol*SQRT(dt)*_xlfn.NORM.S.INV(RAND())</f>
        <v>5.8054238281258816E-2</v>
      </c>
      <c r="E39" s="8">
        <f t="shared" ca="1" si="29"/>
        <v>5.2732023849547748E-2</v>
      </c>
      <c r="F39" s="8">
        <f t="shared" ca="1" si="29"/>
        <v>4.6157023521285839E-2</v>
      </c>
      <c r="G39" s="8">
        <f t="shared" ca="1" si="29"/>
        <v>5.633572210834395E-2</v>
      </c>
      <c r="H39" s="8">
        <f t="shared" ca="1" si="29"/>
        <v>5.197968921878867E-2</v>
      </c>
      <c r="I39" s="8">
        <f t="shared" ca="1" si="29"/>
        <v>4.8792284049142536E-2</v>
      </c>
      <c r="J39" s="8">
        <f t="shared" ca="1" si="29"/>
        <v>5.2277970611158776E-2</v>
      </c>
      <c r="K39" s="8">
        <f t="shared" ca="1" si="29"/>
        <v>5.5372110368736023E-2</v>
      </c>
      <c r="L39" s="8">
        <f t="shared" ca="1" si="29"/>
        <v>4.7864828145689056E-2</v>
      </c>
      <c r="M39" s="8">
        <f t="shared" ca="1" si="29"/>
        <v>5.3122247925603508E-2</v>
      </c>
      <c r="N39" s="8">
        <f t="shared" ca="1" si="29"/>
        <v>5.4576977681998658E-2</v>
      </c>
      <c r="O39" s="8">
        <f t="shared" ca="1" si="29"/>
        <v>5.0759216369238344E-2</v>
      </c>
      <c r="Q39" s="12">
        <v>3.4000000000000002E-2</v>
      </c>
      <c r="R39" s="1">
        <f t="shared" si="19"/>
        <v>0.12771746607395557</v>
      </c>
      <c r="S39" s="1">
        <f t="shared" si="19"/>
        <v>4.8109792232359965</v>
      </c>
      <c r="T39" s="1">
        <f t="shared" si="19"/>
        <v>6.7190841045831533</v>
      </c>
      <c r="U39" s="1">
        <f t="shared" si="19"/>
        <v>6.6738432452607803</v>
      </c>
      <c r="V39" s="1">
        <f t="shared" si="19"/>
        <v>6.2280322684097262</v>
      </c>
      <c r="W39" s="1">
        <f t="shared" si="19"/>
        <v>5.719823380632441</v>
      </c>
      <c r="X39" s="1">
        <f t="shared" si="19"/>
        <v>5.2360496961406602</v>
      </c>
      <c r="Y39" s="1">
        <f t="shared" si="19"/>
        <v>4.7987781319225249</v>
      </c>
      <c r="Z39" s="1">
        <f t="shared" si="19"/>
        <v>4.4108157276611131</v>
      </c>
      <c r="AA39" s="1">
        <f t="shared" si="19"/>
        <v>4.0689976129130372</v>
      </c>
      <c r="AB39" s="1">
        <f t="shared" si="20"/>
        <v>3.7685258847545962</v>
      </c>
      <c r="AC39" s="1">
        <f t="shared" si="20"/>
        <v>3.5044629241246965</v>
      </c>
      <c r="AD39" s="1">
        <f t="shared" si="20"/>
        <v>3.2722348354056985</v>
      </c>
      <c r="AE39" s="1">
        <f t="shared" si="20"/>
        <v>3.0677721297361682</v>
      </c>
      <c r="AF39" s="1">
        <f t="shared" si="20"/>
        <v>2.8875159459901498</v>
      </c>
      <c r="AG39" s="1">
        <f t="shared" si="20"/>
        <v>2.7283770190529886</v>
      </c>
      <c r="AH39" s="1">
        <f t="shared" si="20"/>
        <v>2.5876814539881741</v>
      </c>
      <c r="AI39" s="1">
        <f t="shared" si="20"/>
        <v>2.4631164500565195</v>
      </c>
      <c r="AJ39" s="1">
        <f t="shared" si="20"/>
        <v>2.3526806808989811</v>
      </c>
      <c r="AK39" s="1">
        <f t="shared" si="20"/>
        <v>2.2546406210489387</v>
      </c>
      <c r="AL39" s="1">
        <f t="shared" si="21"/>
        <v>2.1674927643086144</v>
      </c>
      <c r="AM39" s="1">
        <f t="shared" si="21"/>
        <v>2.0899311974786188</v>
      </c>
      <c r="AN39" s="1">
        <f t="shared" si="21"/>
        <v>2.0208198663575523</v>
      </c>
      <c r="AO39" s="1">
        <f t="shared" si="21"/>
        <v>1.9591688847280579</v>
      </c>
      <c r="AP39" s="1">
        <f t="shared" si="21"/>
        <v>1.9041143002673795</v>
      </c>
      <c r="AQ39" s="1">
        <f t="shared" si="21"/>
        <v>1.8549008063962509</v>
      </c>
      <c r="AR39" s="1">
        <f t="shared" si="21"/>
        <v>1.8108669613866355</v>
      </c>
      <c r="AS39" s="1">
        <f t="shared" si="21"/>
        <v>1.7714325406743654</v>
      </c>
      <c r="AT39" s="1">
        <f t="shared" si="21"/>
        <v>1.7360877043087639</v>
      </c>
      <c r="AU39" s="1">
        <f t="shared" si="21"/>
        <v>1.7043837093410015</v>
      </c>
      <c r="AV39" s="1">
        <f t="shared" si="22"/>
        <v>1.675924937676845</v>
      </c>
      <c r="AW39" s="1">
        <f t="shared" si="22"/>
        <v>1.6503620445120399</v>
      </c>
      <c r="AX39" s="1">
        <f t="shared" si="22"/>
        <v>1.627386061847651</v>
      </c>
      <c r="AY39" s="1">
        <f t="shared" si="22"/>
        <v>1.6067233165382484</v>
      </c>
      <c r="AZ39" s="1">
        <f t="shared" si="22"/>
        <v>1.5881310435246354</v>
      </c>
      <c r="BA39" s="1">
        <f t="shared" si="22"/>
        <v>1.5713935929075475</v>
      </c>
    </row>
    <row r="40" spans="2:53">
      <c r="B40" s="3">
        <v>19</v>
      </c>
      <c r="C40" s="8">
        <f t="shared" si="3"/>
        <v>0.05</v>
      </c>
      <c r="D40" s="8">
        <f t="shared" ref="D40:O40" ca="1" si="30">C40+k*(theta-C40)*dt+vol*SQRT(dt)*_xlfn.NORM.S.INV(RAND())</f>
        <v>5.2523697980915766E-2</v>
      </c>
      <c r="E40" s="8">
        <f t="shared" ca="1" si="30"/>
        <v>6.3159509613732845E-2</v>
      </c>
      <c r="F40" s="8">
        <f t="shared" ca="1" si="30"/>
        <v>6.4205761936365596E-2</v>
      </c>
      <c r="G40" s="8">
        <f t="shared" ca="1" si="30"/>
        <v>6.7490461834192467E-2</v>
      </c>
      <c r="H40" s="8">
        <f t="shared" ca="1" si="30"/>
        <v>6.5643392352262991E-2</v>
      </c>
      <c r="I40" s="8">
        <f t="shared" ca="1" si="30"/>
        <v>6.2741853427683902E-2</v>
      </c>
      <c r="J40" s="8">
        <f t="shared" ca="1" si="30"/>
        <v>7.1579546113053144E-2</v>
      </c>
      <c r="K40" s="8">
        <f t="shared" ca="1" si="30"/>
        <v>7.21666362270907E-2</v>
      </c>
      <c r="L40" s="8">
        <f t="shared" ca="1" si="30"/>
        <v>6.5385691373381558E-2</v>
      </c>
      <c r="M40" s="8">
        <f t="shared" ca="1" si="30"/>
        <v>6.9317532803936571E-2</v>
      </c>
      <c r="N40" s="8">
        <f t="shared" ca="1" si="30"/>
        <v>6.7153474119669265E-2</v>
      </c>
      <c r="O40" s="8">
        <f t="shared" ca="1" si="30"/>
        <v>6.2763413603029838E-2</v>
      </c>
      <c r="Q40" s="12">
        <v>3.5999999999999997E-2</v>
      </c>
      <c r="R40" s="1">
        <f t="shared" si="19"/>
        <v>0.59444786392420779</v>
      </c>
      <c r="S40" s="1">
        <f t="shared" si="19"/>
        <v>7.7248465331067502</v>
      </c>
      <c r="T40" s="1">
        <f t="shared" si="19"/>
        <v>9.0746982872422883</v>
      </c>
      <c r="U40" s="1">
        <f t="shared" si="19"/>
        <v>8.5365344684854492</v>
      </c>
      <c r="V40" s="1">
        <f t="shared" si="19"/>
        <v>7.7713097697220634</v>
      </c>
      <c r="W40" s="1">
        <f t="shared" si="19"/>
        <v>7.0449534330312362</v>
      </c>
      <c r="X40" s="1">
        <f t="shared" si="19"/>
        <v>6.4029545561392798</v>
      </c>
      <c r="Y40" s="1">
        <f t="shared" si="19"/>
        <v>5.8452825833664965</v>
      </c>
      <c r="Z40" s="1">
        <f t="shared" si="19"/>
        <v>5.362287984930588</v>
      </c>
      <c r="AA40" s="1">
        <f t="shared" si="19"/>
        <v>4.9433440765566834</v>
      </c>
      <c r="AB40" s="1">
        <f t="shared" si="20"/>
        <v>4.5789327221455016</v>
      </c>
      <c r="AC40" s="1">
        <f t="shared" si="20"/>
        <v>4.2609858919979269</v>
      </c>
      <c r="AD40" s="1">
        <f t="shared" si="20"/>
        <v>3.982766747953514</v>
      </c>
      <c r="AE40" s="1">
        <f t="shared" si="20"/>
        <v>3.7386568058885241</v>
      </c>
      <c r="AF40" s="1">
        <f t="shared" si="20"/>
        <v>3.5239524301713039</v>
      </c>
      <c r="AG40" s="1">
        <f t="shared" si="20"/>
        <v>3.3346946082617399</v>
      </c>
      <c r="AH40" s="1">
        <f t="shared" si="20"/>
        <v>3.1675324724556453</v>
      </c>
      <c r="AI40" s="1">
        <f t="shared" si="20"/>
        <v>3.019615096677756</v>
      </c>
      <c r="AJ40" s="1">
        <f t="shared" si="20"/>
        <v>2.8885055654303406</v>
      </c>
      <c r="AK40" s="1">
        <f t="shared" si="20"/>
        <v>2.7721122410038106</v>
      </c>
      <c r="AL40" s="1">
        <f t="shared" si="21"/>
        <v>2.6686332839187128</v>
      </c>
      <c r="AM40" s="1">
        <f t="shared" si="21"/>
        <v>2.5765114517489249</v>
      </c>
      <c r="AN40" s="1">
        <f t="shared" si="21"/>
        <v>2.4943969508961823</v>
      </c>
      <c r="AO40" s="1">
        <f t="shared" si="21"/>
        <v>2.4211166707690261</v>
      </c>
      <c r="AP40" s="1">
        <f t="shared" si="21"/>
        <v>2.3556485343251401</v>
      </c>
      <c r="AQ40" s="1">
        <f t="shared" si="21"/>
        <v>2.2970999933310576</v>
      </c>
      <c r="AR40" s="1">
        <f t="shared" si="21"/>
        <v>2.2446899123476434</v>
      </c>
      <c r="AS40" s="1">
        <f t="shared" si="21"/>
        <v>2.1977332452453342</v>
      </c>
      <c r="AT40" s="1">
        <f t="shared" si="21"/>
        <v>2.1556280281656788</v>
      </c>
      <c r="AU40" s="1">
        <f t="shared" si="21"/>
        <v>2.1178443045446267</v>
      </c>
      <c r="AV40" s="1">
        <f t="shared" si="22"/>
        <v>2.0839146689167993</v>
      </c>
      <c r="AW40" s="1">
        <f t="shared" si="22"/>
        <v>2.0534261721651133</v>
      </c>
      <c r="AX40" s="1">
        <f t="shared" si="22"/>
        <v>2.0260133754782204</v>
      </c>
      <c r="AY40" s="1">
        <f t="shared" si="22"/>
        <v>2.00135237623364</v>
      </c>
      <c r="AZ40" s="1">
        <f t="shared" si="22"/>
        <v>1.979155658285876</v>
      </c>
      <c r="BA40" s="1">
        <f t="shared" si="22"/>
        <v>1.9591676431350726</v>
      </c>
    </row>
    <row r="41" spans="2:53">
      <c r="B41" s="3">
        <v>20</v>
      </c>
      <c r="C41" s="8">
        <f t="shared" si="3"/>
        <v>0.05</v>
      </c>
      <c r="D41" s="8">
        <f t="shared" ref="D41:O41" ca="1" si="31">C41+k*(theta-C41)*dt+vol*SQRT(dt)*_xlfn.NORM.S.INV(RAND())</f>
        <v>5.0354889894895484E-2</v>
      </c>
      <c r="E41" s="8">
        <f t="shared" ca="1" si="31"/>
        <v>4.588844717845865E-2</v>
      </c>
      <c r="F41" s="8">
        <f t="shared" ca="1" si="31"/>
        <v>4.9427134086331072E-2</v>
      </c>
      <c r="G41" s="8">
        <f t="shared" ca="1" si="31"/>
        <v>3.9978494372690937E-2</v>
      </c>
      <c r="H41" s="8">
        <f t="shared" ca="1" si="31"/>
        <v>5.6289424902399951E-2</v>
      </c>
      <c r="I41" s="8">
        <f t="shared" ca="1" si="31"/>
        <v>5.7440084437096736E-2</v>
      </c>
      <c r="J41" s="8">
        <f t="shared" ca="1" si="31"/>
        <v>5.4228491155667843E-2</v>
      </c>
      <c r="K41" s="8">
        <f t="shared" ca="1" si="31"/>
        <v>5.5860732864702785E-2</v>
      </c>
      <c r="L41" s="8">
        <f t="shared" ca="1" si="31"/>
        <v>5.3456967650832674E-2</v>
      </c>
      <c r="M41" s="8">
        <f t="shared" ca="1" si="31"/>
        <v>5.9595251583045766E-2</v>
      </c>
      <c r="N41" s="8">
        <f t="shared" ca="1" si="31"/>
        <v>5.6082428817694409E-2</v>
      </c>
      <c r="O41" s="8">
        <f t="shared" ca="1" si="31"/>
        <v>5.6078074911880049E-2</v>
      </c>
      <c r="Q41" s="12">
        <v>3.7999999999999999E-2</v>
      </c>
      <c r="R41" s="1">
        <f t="shared" si="19"/>
        <v>2.2538695927032029</v>
      </c>
      <c r="S41" s="1">
        <f t="shared" si="19"/>
        <v>11.737827109152079</v>
      </c>
      <c r="T41" s="1">
        <f t="shared" si="19"/>
        <v>11.889979266491556</v>
      </c>
      <c r="U41" s="1">
        <f t="shared" si="19"/>
        <v>10.679763255157836</v>
      </c>
      <c r="V41" s="1">
        <f t="shared" si="19"/>
        <v>9.5224992257203489</v>
      </c>
      <c r="W41" s="1">
        <f t="shared" si="19"/>
        <v>8.5408913536905686</v>
      </c>
      <c r="X41" s="1">
        <f t="shared" si="19"/>
        <v>7.718666373901157</v>
      </c>
      <c r="Y41" s="1">
        <f t="shared" si="19"/>
        <v>7.0261256834035954</v>
      </c>
      <c r="Z41" s="1">
        <f t="shared" si="19"/>
        <v>6.4378339836746656</v>
      </c>
      <c r="AA41" s="1">
        <f t="shared" si="19"/>
        <v>5.9340506825568156</v>
      </c>
      <c r="AB41" s="1">
        <f t="shared" si="20"/>
        <v>5.4996408621822948</v>
      </c>
      <c r="AC41" s="1">
        <f t="shared" si="20"/>
        <v>5.1228849434595274</v>
      </c>
      <c r="AD41" s="1">
        <f t="shared" si="20"/>
        <v>4.7945631845444989</v>
      </c>
      <c r="AE41" s="1">
        <f t="shared" si="20"/>
        <v>4.5073025626879364</v>
      </c>
      <c r="AF41" s="1">
        <f t="shared" si="20"/>
        <v>4.2551173737594583</v>
      </c>
      <c r="AG41" s="1">
        <f t="shared" si="20"/>
        <v>4.0330838877755406</v>
      </c>
      <c r="AH41" s="1">
        <f t="shared" si="20"/>
        <v>3.837106407706854</v>
      </c>
      <c r="AI41" s="1">
        <f t="shared" si="20"/>
        <v>3.6637458887310137</v>
      </c>
      <c r="AJ41" s="1">
        <f t="shared" si="20"/>
        <v>3.5100919013810103</v>
      </c>
      <c r="AK41" s="1">
        <f t="shared" si="20"/>
        <v>3.3736651190379559</v>
      </c>
      <c r="AL41" s="1">
        <f t="shared" si="21"/>
        <v>3.2523417012348563</v>
      </c>
      <c r="AM41" s="1">
        <f t="shared" si="21"/>
        <v>3.1442936888658095</v>
      </c>
      <c r="AN41" s="1">
        <f t="shared" si="21"/>
        <v>3.0479413359795853</v>
      </c>
      <c r="AO41" s="1">
        <f t="shared" si="21"/>
        <v>2.9619145064216408</v>
      </c>
      <c r="AP41" s="1">
        <f t="shared" si="21"/>
        <v>2.8850210744404308</v>
      </c>
      <c r="AQ41" s="1">
        <f t="shared" si="21"/>
        <v>2.8162208223973133</v>
      </c>
      <c r="AR41" s="1">
        <f t="shared" si="21"/>
        <v>2.754603713218605</v>
      </c>
      <c r="AS41" s="1">
        <f t="shared" si="21"/>
        <v>2.6993716866057316</v>
      </c>
      <c r="AT41" s="1">
        <f t="shared" si="21"/>
        <v>2.6498233229743886</v>
      </c>
      <c r="AU41" s="1">
        <f t="shared" si="21"/>
        <v>2.6053408617030906</v>
      </c>
      <c r="AV41" s="1">
        <f t="shared" si="22"/>
        <v>2.5653791664787797</v>
      </c>
      <c r="AW41" s="1">
        <f t="shared" si="22"/>
        <v>2.5294563110012365</v>
      </c>
      <c r="AX41" s="1">
        <f t="shared" si="22"/>
        <v>2.4971455202741693</v>
      </c>
      <c r="AY41" s="1">
        <f t="shared" si="22"/>
        <v>2.4680682511278964</v>
      </c>
      <c r="AZ41" s="1">
        <f t="shared" si="22"/>
        <v>2.4418882339408463</v>
      </c>
      <c r="BA41" s="1">
        <f t="shared" si="22"/>
        <v>2.4183063281995461</v>
      </c>
    </row>
    <row r="42" spans="2:53">
      <c r="B42" s="3">
        <v>21</v>
      </c>
      <c r="C42" s="8">
        <f t="shared" si="3"/>
        <v>0.05</v>
      </c>
      <c r="D42" s="8">
        <f t="shared" ref="D42:O42" ca="1" si="32">C42+k*(theta-C42)*dt+vol*SQRT(dt)*_xlfn.NORM.S.INV(RAND())</f>
        <v>4.9891210145922932E-2</v>
      </c>
      <c r="E42" s="8">
        <f t="shared" ca="1" si="32"/>
        <v>5.9002630946598224E-2</v>
      </c>
      <c r="F42" s="8">
        <f t="shared" ca="1" si="32"/>
        <v>6.6319755801150945E-2</v>
      </c>
      <c r="G42" s="8">
        <f t="shared" ca="1" si="32"/>
        <v>6.7878026618350462E-2</v>
      </c>
      <c r="H42" s="8">
        <f t="shared" ca="1" si="32"/>
        <v>7.5546597739533539E-2</v>
      </c>
      <c r="I42" s="8">
        <f t="shared" ca="1" si="32"/>
        <v>7.8883197577653344E-2</v>
      </c>
      <c r="J42" s="8">
        <f t="shared" ca="1" si="32"/>
        <v>8.0465038287352755E-2</v>
      </c>
      <c r="K42" s="8">
        <f t="shared" ca="1" si="32"/>
        <v>8.2804258872265724E-2</v>
      </c>
      <c r="L42" s="8">
        <f t="shared" ca="1" si="32"/>
        <v>9.2894204574217695E-2</v>
      </c>
      <c r="M42" s="8">
        <f t="shared" ca="1" si="32"/>
        <v>8.2697808214455146E-2</v>
      </c>
      <c r="N42" s="8">
        <f t="shared" ca="1" si="32"/>
        <v>8.151885384701639E-2</v>
      </c>
      <c r="O42" s="8">
        <f t="shared" ca="1" si="32"/>
        <v>9.0800295457845695E-2</v>
      </c>
      <c r="Q42" s="12">
        <v>0.04</v>
      </c>
      <c r="R42" s="1">
        <f t="shared" ref="R42:AA51" si="33">_xlfn.NORM.DIST($Q42,R$18,SQRT(R$19),FALSE)</f>
        <v>6.9613798925482335</v>
      </c>
      <c r="S42" s="1">
        <f t="shared" si="33"/>
        <v>16.878234859371897</v>
      </c>
      <c r="T42" s="1">
        <f t="shared" si="33"/>
        <v>15.113212375863922</v>
      </c>
      <c r="U42" s="1">
        <f t="shared" si="33"/>
        <v>13.068209363372329</v>
      </c>
      <c r="V42" s="1">
        <f t="shared" si="33"/>
        <v>11.458322206001363</v>
      </c>
      <c r="W42" s="1">
        <f t="shared" si="33"/>
        <v>10.191962813017701</v>
      </c>
      <c r="X42" s="1">
        <f t="shared" si="33"/>
        <v>9.1725335819496099</v>
      </c>
      <c r="Y42" s="1">
        <f t="shared" si="33"/>
        <v>8.3341608720985718</v>
      </c>
      <c r="Z42" s="1">
        <f t="shared" si="33"/>
        <v>7.6328693853520431</v>
      </c>
      <c r="AA42" s="1">
        <f t="shared" si="33"/>
        <v>7.0384765579443274</v>
      </c>
      <c r="AB42" s="1">
        <f t="shared" ref="AB42:AK51" si="34">_xlfn.NORM.DIST($Q42,AB$18,SQRT(AB$19),FALSE)</f>
        <v>6.5295267492344102</v>
      </c>
      <c r="AC42" s="1">
        <f t="shared" si="34"/>
        <v>6.0902481279207272</v>
      </c>
      <c r="AD42" s="1">
        <f t="shared" si="34"/>
        <v>5.7086968992862488</v>
      </c>
      <c r="AE42" s="1">
        <f t="shared" si="34"/>
        <v>5.3755936516611067</v>
      </c>
      <c r="AF42" s="1">
        <f t="shared" si="34"/>
        <v>5.0835712186184825</v>
      </c>
      <c r="AG42" s="1">
        <f t="shared" si="34"/>
        <v>4.8266737779859952</v>
      </c>
      <c r="AH42" s="1">
        <f t="shared" si="34"/>
        <v>4.6000135869214374</v>
      </c>
      <c r="AI42" s="1">
        <f t="shared" si="34"/>
        <v>4.3995292869756932</v>
      </c>
      <c r="AJ42" s="1">
        <f t="shared" si="34"/>
        <v>4.2218113420479897</v>
      </c>
      <c r="AK42" s="1">
        <f t="shared" si="34"/>
        <v>4.0639729463876613</v>
      </c>
      <c r="AL42" s="1">
        <f t="shared" ref="AL42:AU51" si="35">_xlfn.NORM.DIST($Q42,AL$18,SQRT(AL$19),FALSE)</f>
        <v>3.9235524647171429</v>
      </c>
      <c r="AM42" s="1">
        <f t="shared" si="35"/>
        <v>3.7984382417635274</v>
      </c>
      <c r="AN42" s="1">
        <f t="shared" si="35"/>
        <v>3.68680963097562</v>
      </c>
      <c r="AO42" s="1">
        <f t="shared" si="35"/>
        <v>3.5870900291901449</v>
      </c>
      <c r="AP42" s="1">
        <f t="shared" si="35"/>
        <v>3.4979089722914676</v>
      </c>
      <c r="AQ42" s="1">
        <f t="shared" si="35"/>
        <v>3.4180711921694344</v>
      </c>
      <c r="AR42" s="1">
        <f t="shared" si="35"/>
        <v>3.3465311086034779</v>
      </c>
      <c r="AS42" s="1">
        <f t="shared" si="35"/>
        <v>3.2823716255085897</v>
      </c>
      <c r="AT42" s="1">
        <f t="shared" si="35"/>
        <v>3.2247863791519515</v>
      </c>
      <c r="AU42" s="1">
        <f t="shared" si="35"/>
        <v>3.1730647849843967</v>
      </c>
      <c r="AV42" s="1">
        <f t="shared" ref="AV42:BA51" si="36">_xlfn.NORM.DIST($Q42,AV$18,SQRT(AV$19),FALSE)</f>
        <v>3.1265793747005644</v>
      </c>
      <c r="AW42" s="1">
        <f t="shared" si="36"/>
        <v>3.0847750225822552</v>
      </c>
      <c r="AX42" s="1">
        <f t="shared" si="36"/>
        <v>3.0471597411413907</v>
      </c>
      <c r="AY42" s="1">
        <f t="shared" si="36"/>
        <v>3.0132967880442627</v>
      </c>
      <c r="AZ42" s="1">
        <f t="shared" si="36"/>
        <v>2.9827978744054051</v>
      </c>
      <c r="BA42" s="1">
        <f t="shared" si="36"/>
        <v>2.9553173023675776</v>
      </c>
    </row>
    <row r="43" spans="2:53">
      <c r="B43" s="3">
        <v>22</v>
      </c>
      <c r="C43" s="8">
        <f t="shared" si="3"/>
        <v>0.05</v>
      </c>
      <c r="D43" s="8">
        <f t="shared" ref="D43:O43" ca="1" si="37">C43+k*(theta-C43)*dt+vol*SQRT(dt)*_xlfn.NORM.S.INV(RAND())</f>
        <v>5.3933824870948596E-2</v>
      </c>
      <c r="E43" s="8">
        <f t="shared" ca="1" si="37"/>
        <v>6.9362456214202797E-2</v>
      </c>
      <c r="F43" s="8">
        <f t="shared" ca="1" si="37"/>
        <v>6.4439353366052859E-2</v>
      </c>
      <c r="G43" s="8">
        <f t="shared" ca="1" si="37"/>
        <v>6.4801338714708542E-2</v>
      </c>
      <c r="H43" s="8">
        <f t="shared" ca="1" si="37"/>
        <v>6.7625037594040496E-2</v>
      </c>
      <c r="I43" s="8">
        <f t="shared" ca="1" si="37"/>
        <v>5.8646228892837757E-2</v>
      </c>
      <c r="J43" s="8">
        <f t="shared" ca="1" si="37"/>
        <v>6.2698433637110251E-2</v>
      </c>
      <c r="K43" s="8">
        <f t="shared" ca="1" si="37"/>
        <v>6.7688131449439151E-2</v>
      </c>
      <c r="L43" s="8">
        <f t="shared" ca="1" si="37"/>
        <v>6.7772611276888869E-2</v>
      </c>
      <c r="M43" s="8">
        <f t="shared" ca="1" si="37"/>
        <v>6.3906651039889587E-2</v>
      </c>
      <c r="N43" s="8">
        <f t="shared" ca="1" si="37"/>
        <v>6.3586353805659343E-2</v>
      </c>
      <c r="O43" s="8">
        <f t="shared" ca="1" si="37"/>
        <v>6.5122790751080462E-2</v>
      </c>
      <c r="Q43" s="12">
        <v>4.2000000000000003E-2</v>
      </c>
      <c r="R43" s="1">
        <f t="shared" si="33"/>
        <v>17.515132250264358</v>
      </c>
      <c r="S43" s="1">
        <f t="shared" si="33"/>
        <v>22.967187318448829</v>
      </c>
      <c r="T43" s="1">
        <f t="shared" si="33"/>
        <v>18.63628135614583</v>
      </c>
      <c r="U43" s="1">
        <f t="shared" si="33"/>
        <v>15.640296160755888</v>
      </c>
      <c r="V43" s="1">
        <f t="shared" si="33"/>
        <v>13.539557583093725</v>
      </c>
      <c r="W43" s="1">
        <f t="shared" si="33"/>
        <v>11.971319614374522</v>
      </c>
      <c r="X43" s="1">
        <f t="shared" si="33"/>
        <v>10.745374141738774</v>
      </c>
      <c r="Y43" s="1">
        <f t="shared" si="33"/>
        <v>9.7553623813324304</v>
      </c>
      <c r="Z43" s="1">
        <f t="shared" si="33"/>
        <v>8.9370524617214535</v>
      </c>
      <c r="AA43" s="1">
        <f t="shared" si="33"/>
        <v>8.2490339648845321</v>
      </c>
      <c r="AB43" s="1">
        <f t="shared" si="34"/>
        <v>7.6631334442697527</v>
      </c>
      <c r="AC43" s="1">
        <f t="shared" si="34"/>
        <v>7.1593113707587728</v>
      </c>
      <c r="AD43" s="1">
        <f t="shared" si="34"/>
        <v>6.7227767355401067</v>
      </c>
      <c r="AE43" s="1">
        <f t="shared" si="34"/>
        <v>6.3422705089146953</v>
      </c>
      <c r="AF43" s="1">
        <f t="shared" si="34"/>
        <v>6.0089991308580633</v>
      </c>
      <c r="AG43" s="1">
        <f t="shared" si="34"/>
        <v>5.7159463281981573</v>
      </c>
      <c r="AH43" s="1">
        <f t="shared" si="34"/>
        <v>5.4574138722130536</v>
      </c>
      <c r="AI43" s="1">
        <f t="shared" si="34"/>
        <v>5.2287056618569201</v>
      </c>
      <c r="AJ43" s="1">
        <f t="shared" si="34"/>
        <v>5.0259042860925005</v>
      </c>
      <c r="AK43" s="1">
        <f t="shared" si="34"/>
        <v>4.8457089181380688</v>
      </c>
      <c r="AL43" s="1">
        <f t="shared" si="35"/>
        <v>4.6853149324721546</v>
      </c>
      <c r="AM43" s="1">
        <f t="shared" si="35"/>
        <v>4.5423225908153171</v>
      </c>
      <c r="AN43" s="1">
        <f t="shared" si="35"/>
        <v>4.4146664434773113</v>
      </c>
      <c r="AO43" s="1">
        <f t="shared" si="35"/>
        <v>4.3005598116399222</v>
      </c>
      <c r="AP43" s="1">
        <f t="shared" si="35"/>
        <v>4.1984504712465354</v>
      </c>
      <c r="AQ43" s="1">
        <f t="shared" si="35"/>
        <v>4.1069848138707519</v>
      </c>
      <c r="AR43" s="1">
        <f t="shared" si="35"/>
        <v>4.0249785336097759</v>
      </c>
      <c r="AS43" s="1">
        <f t="shared" si="35"/>
        <v>3.9513924167022512</v>
      </c>
      <c r="AT43" s="1">
        <f t="shared" si="35"/>
        <v>3.8853121767837644</v>
      </c>
      <c r="AU43" s="1">
        <f t="shared" si="35"/>
        <v>3.8259315373068734</v>
      </c>
      <c r="AV43" s="1">
        <f t="shared" si="36"/>
        <v>3.7725379484438393</v>
      </c>
      <c r="AW43" s="1">
        <f t="shared" si="36"/>
        <v>3.724500461535754</v>
      </c>
      <c r="AX43" s="1">
        <f t="shared" si="36"/>
        <v>3.6812593849676882</v>
      </c>
      <c r="AY43" s="1">
        <f t="shared" si="36"/>
        <v>3.642317421402709</v>
      </c>
      <c r="AZ43" s="1">
        <f t="shared" si="36"/>
        <v>3.6072320445266701</v>
      </c>
      <c r="BA43" s="1">
        <f t="shared" si="36"/>
        <v>3.5756089186284323</v>
      </c>
    </row>
    <row r="44" spans="2:53">
      <c r="B44" s="3">
        <v>23</v>
      </c>
      <c r="C44" s="8">
        <f t="shared" si="3"/>
        <v>0.05</v>
      </c>
      <c r="D44" s="8">
        <f t="shared" ref="D44:O44" ca="1" si="38">C44+k*(theta-C44)*dt+vol*SQRT(dt)*_xlfn.NORM.S.INV(RAND())</f>
        <v>4.258913858231559E-2</v>
      </c>
      <c r="E44" s="8">
        <f t="shared" ca="1" si="38"/>
        <v>5.4504943107421128E-2</v>
      </c>
      <c r="F44" s="8">
        <f t="shared" ca="1" si="38"/>
        <v>5.6283409764013762E-2</v>
      </c>
      <c r="G44" s="8">
        <f t="shared" ca="1" si="38"/>
        <v>5.5921146237779044E-2</v>
      </c>
      <c r="H44" s="8">
        <f t="shared" ca="1" si="38"/>
        <v>5.8776071379103401E-2</v>
      </c>
      <c r="I44" s="8">
        <f t="shared" ca="1" si="38"/>
        <v>5.5485170200308548E-2</v>
      </c>
      <c r="J44" s="8">
        <f t="shared" ca="1" si="38"/>
        <v>5.9941071899730469E-2</v>
      </c>
      <c r="K44" s="8">
        <f t="shared" ca="1" si="38"/>
        <v>6.5042838717773929E-2</v>
      </c>
      <c r="L44" s="8">
        <f t="shared" ca="1" si="38"/>
        <v>6.3244703305986694E-2</v>
      </c>
      <c r="M44" s="8">
        <f t="shared" ca="1" si="38"/>
        <v>6.3053256609313185E-2</v>
      </c>
      <c r="N44" s="8">
        <f t="shared" ca="1" si="38"/>
        <v>5.9793483229238734E-2</v>
      </c>
      <c r="O44" s="8">
        <f t="shared" ca="1" si="38"/>
        <v>5.8792208253351963E-2</v>
      </c>
      <c r="Q44" s="12">
        <v>4.3999999999999997E-2</v>
      </c>
      <c r="R44" s="1">
        <f t="shared" si="33"/>
        <v>35.899057244990502</v>
      </c>
      <c r="S44" s="1">
        <f t="shared" si="33"/>
        <v>29.575361961283477</v>
      </c>
      <c r="T44" s="1">
        <f t="shared" si="33"/>
        <v>22.294026703457163</v>
      </c>
      <c r="U44" s="1">
        <f t="shared" si="33"/>
        <v>18.308311466939649</v>
      </c>
      <c r="V44" s="1">
        <f t="shared" si="33"/>
        <v>15.710907649498006</v>
      </c>
      <c r="W44" s="1">
        <f t="shared" si="33"/>
        <v>13.840627609739714</v>
      </c>
      <c r="X44" s="1">
        <f t="shared" si="33"/>
        <v>12.409062260291783</v>
      </c>
      <c r="Y44" s="1">
        <f t="shared" si="33"/>
        <v>11.268354375011699</v>
      </c>
      <c r="Z44" s="1">
        <f t="shared" si="33"/>
        <v>10.333779794087487</v>
      </c>
      <c r="AA44" s="1">
        <f t="shared" si="33"/>
        <v>9.5526644124774283</v>
      </c>
      <c r="AB44" s="1">
        <f t="shared" si="34"/>
        <v>8.8901354720209227</v>
      </c>
      <c r="AC44" s="1">
        <f t="shared" si="34"/>
        <v>8.3219172745835923</v>
      </c>
      <c r="AD44" s="1">
        <f t="shared" si="34"/>
        <v>7.8304037737903833</v>
      </c>
      <c r="AE44" s="1">
        <f t="shared" si="34"/>
        <v>7.4023855160244905</v>
      </c>
      <c r="AF44" s="1">
        <f t="shared" si="34"/>
        <v>7.0276679149618273</v>
      </c>
      <c r="AG44" s="1">
        <f t="shared" si="34"/>
        <v>6.6981958362094636</v>
      </c>
      <c r="AH44" s="1">
        <f t="shared" si="34"/>
        <v>6.4074786978971057</v>
      </c>
      <c r="AI44" s="1">
        <f t="shared" si="34"/>
        <v>6.1502007167407911</v>
      </c>
      <c r="AJ44" s="1">
        <f t="shared" si="34"/>
        <v>5.9219489760030877</v>
      </c>
      <c r="AK44" s="1">
        <f t="shared" si="34"/>
        <v>5.7190186628457242</v>
      </c>
      <c r="AL44" s="1">
        <f t="shared" si="35"/>
        <v>5.5382701889283856</v>
      </c>
      <c r="AM44" s="1">
        <f t="shared" si="35"/>
        <v>5.3770220483886542</v>
      </c>
      <c r="AN44" s="1">
        <f t="shared" si="35"/>
        <v>5.2329688566538897</v>
      </c>
      <c r="AO44" s="1">
        <f t="shared" si="35"/>
        <v>5.1041175154764327</v>
      </c>
      <c r="AP44" s="1">
        <f t="shared" si="35"/>
        <v>4.9887366918640703</v>
      </c>
      <c r="AQ44" s="1">
        <f t="shared" si="35"/>
        <v>4.8853162630302984</v>
      </c>
      <c r="AR44" s="1">
        <f t="shared" si="35"/>
        <v>4.7925343537730232</v>
      </c>
      <c r="AS44" s="1">
        <f t="shared" si="35"/>
        <v>4.7092302523776555</v>
      </c>
      <c r="AT44" s="1">
        <f t="shared" si="35"/>
        <v>4.6343819454954289</v>
      </c>
      <c r="AU44" s="1">
        <f t="shared" si="35"/>
        <v>4.5670873306553004</v>
      </c>
      <c r="AV44" s="1">
        <f t="shared" si="36"/>
        <v>4.5065483916242446</v>
      </c>
      <c r="AW44" s="1">
        <f t="shared" si="36"/>
        <v>4.4520577857682646</v>
      </c>
      <c r="AX44" s="1">
        <f t="shared" si="36"/>
        <v>4.4029874130852935</v>
      </c>
      <c r="AY44" s="1">
        <f t="shared" si="36"/>
        <v>4.3587786265478528</v>
      </c>
      <c r="AZ44" s="1">
        <f t="shared" si="36"/>
        <v>4.3189338115408269</v>
      </c>
      <c r="BA44" s="1">
        <f t="shared" si="36"/>
        <v>4.2830091145127147</v>
      </c>
    </row>
    <row r="45" spans="2:53">
      <c r="B45" s="3">
        <v>24</v>
      </c>
      <c r="C45" s="8">
        <f t="shared" si="3"/>
        <v>0.05</v>
      </c>
      <c r="D45" s="8">
        <f t="shared" ref="D45:O45" ca="1" si="39">C45+k*(theta-C45)*dt+vol*SQRT(dt)*_xlfn.NORM.S.INV(RAND())</f>
        <v>5.7301962773461314E-2</v>
      </c>
      <c r="E45" s="8">
        <f t="shared" ca="1" si="39"/>
        <v>6.3138581455266463E-2</v>
      </c>
      <c r="F45" s="8">
        <f t="shared" ca="1" si="39"/>
        <v>6.0801765222383515E-2</v>
      </c>
      <c r="G45" s="8">
        <f t="shared" ca="1" si="39"/>
        <v>6.1031874388025681E-2</v>
      </c>
      <c r="H45" s="8">
        <f t="shared" ca="1" si="39"/>
        <v>4.9474963560314077E-2</v>
      </c>
      <c r="I45" s="8">
        <f t="shared" ca="1" si="39"/>
        <v>5.7393928701375135E-2</v>
      </c>
      <c r="J45" s="8">
        <f t="shared" ca="1" si="39"/>
        <v>5.5035363405800376E-2</v>
      </c>
      <c r="K45" s="8">
        <f t="shared" ca="1" si="39"/>
        <v>5.0217053603821393E-2</v>
      </c>
      <c r="L45" s="8">
        <f t="shared" ca="1" si="39"/>
        <v>4.7718940609849325E-2</v>
      </c>
      <c r="M45" s="8">
        <f t="shared" ca="1" si="39"/>
        <v>4.3561894848209812E-2</v>
      </c>
      <c r="N45" s="8">
        <f t="shared" ca="1" si="39"/>
        <v>4.0941185769450335E-2</v>
      </c>
      <c r="O45" s="8">
        <f t="shared" ca="1" si="39"/>
        <v>4.7830416921959065E-2</v>
      </c>
      <c r="Q45" s="12">
        <v>4.5999999999999999E-2</v>
      </c>
      <c r="R45" s="1">
        <f t="shared" si="33"/>
        <v>59.938269857009843</v>
      </c>
      <c r="S45" s="1">
        <f t="shared" si="33"/>
        <v>36.04074782735389</v>
      </c>
      <c r="T45" s="1">
        <f t="shared" si="33"/>
        <v>25.872867284354953</v>
      </c>
      <c r="U45" s="1">
        <f t="shared" si="33"/>
        <v>20.96167787050096</v>
      </c>
      <c r="V45" s="1">
        <f t="shared" si="33"/>
        <v>17.902407435148849</v>
      </c>
      <c r="W45" s="1">
        <f t="shared" si="33"/>
        <v>15.750672603380769</v>
      </c>
      <c r="X45" s="1">
        <f t="shared" si="33"/>
        <v>14.126727763414127</v>
      </c>
      <c r="Y45" s="1">
        <f t="shared" si="33"/>
        <v>12.844380089705091</v>
      </c>
      <c r="Z45" s="1">
        <f t="shared" si="33"/>
        <v>11.800013853102211</v>
      </c>
      <c r="AA45" s="1">
        <f t="shared" si="33"/>
        <v>10.930573692766197</v>
      </c>
      <c r="AB45" s="1">
        <f t="shared" si="34"/>
        <v>10.195010499031378</v>
      </c>
      <c r="AC45" s="1">
        <f t="shared" si="34"/>
        <v>9.5651418891274904</v>
      </c>
      <c r="AD45" s="1">
        <f t="shared" si="34"/>
        <v>9.0207654402312158</v>
      </c>
      <c r="AE45" s="1">
        <f t="shared" si="34"/>
        <v>8.5468729079839605</v>
      </c>
      <c r="AF45" s="1">
        <f t="shared" si="34"/>
        <v>8.1319777588557578</v>
      </c>
      <c r="AG45" s="1">
        <f t="shared" si="34"/>
        <v>7.7670668526985658</v>
      </c>
      <c r="AH45" s="1">
        <f t="shared" si="34"/>
        <v>7.4449186399781135</v>
      </c>
      <c r="AI45" s="1">
        <f t="shared" si="34"/>
        <v>7.1596451326542905</v>
      </c>
      <c r="AJ45" s="1">
        <f t="shared" si="34"/>
        <v>6.9063751462320901</v>
      </c>
      <c r="AK45" s="1">
        <f t="shared" si="34"/>
        <v>6.6810293871254958</v>
      </c>
      <c r="AL45" s="1">
        <f t="shared" si="35"/>
        <v>6.4801568478901865</v>
      </c>
      <c r="AM45" s="1">
        <f t="shared" si="35"/>
        <v>6.3008131269859993</v>
      </c>
      <c r="AN45" s="1">
        <f t="shared" si="35"/>
        <v>6.1404680699509218</v>
      </c>
      <c r="AO45" s="1">
        <f t="shared" si="35"/>
        <v>5.9969343557736519</v>
      </c>
      <c r="AP45" s="1">
        <f t="shared" si="35"/>
        <v>5.8683113469621846</v>
      </c>
      <c r="AQ45" s="1">
        <f t="shared" si="35"/>
        <v>5.7529402746776706</v>
      </c>
      <c r="AR45" s="1">
        <f t="shared" si="35"/>
        <v>5.6493679918270123</v>
      </c>
      <c r="AS45" s="1">
        <f t="shared" si="35"/>
        <v>5.5563173101629815</v>
      </c>
      <c r="AT45" s="1">
        <f t="shared" si="35"/>
        <v>5.4726624743171843</v>
      </c>
      <c r="AU45" s="1">
        <f t="shared" si="35"/>
        <v>5.3974086997090494</v>
      </c>
      <c r="AV45" s="1">
        <f t="shared" si="36"/>
        <v>5.3296749659758085</v>
      </c>
      <c r="AW45" s="1">
        <f t="shared" si="36"/>
        <v>5.2686794478302135</v>
      </c>
      <c r="AX45" s="1">
        <f t="shared" si="36"/>
        <v>5.2137271041044366</v>
      </c>
      <c r="AY45" s="1">
        <f t="shared" si="36"/>
        <v>5.1641990485857603</v>
      </c>
      <c r="AZ45" s="1">
        <f t="shared" si="36"/>
        <v>5.1195434035277509</v>
      </c>
      <c r="BA45" s="1">
        <f t="shared" si="36"/>
        <v>5.0792673955852647</v>
      </c>
    </row>
    <row r="46" spans="2:53">
      <c r="B46" s="3">
        <v>25</v>
      </c>
      <c r="C46" s="8">
        <f t="shared" si="3"/>
        <v>0.05</v>
      </c>
      <c r="D46" s="8">
        <f t="shared" ref="D46:O46" ca="1" si="40">C46+k*(theta-C46)*dt+vol*SQRT(dt)*_xlfn.NORM.S.INV(RAND())</f>
        <v>4.3385303131687286E-2</v>
      </c>
      <c r="E46" s="8">
        <f t="shared" ca="1" si="40"/>
        <v>4.2336569266855535E-2</v>
      </c>
      <c r="F46" s="8">
        <f t="shared" ca="1" si="40"/>
        <v>4.8531208165832049E-2</v>
      </c>
      <c r="G46" s="8">
        <f t="shared" ca="1" si="40"/>
        <v>5.8159621116604818E-2</v>
      </c>
      <c r="H46" s="8">
        <f t="shared" ca="1" si="40"/>
        <v>5.1711434125938587E-2</v>
      </c>
      <c r="I46" s="8">
        <f t="shared" ca="1" si="40"/>
        <v>5.2810342659923751E-2</v>
      </c>
      <c r="J46" s="8">
        <f t="shared" ca="1" si="40"/>
        <v>4.735206471179669E-2</v>
      </c>
      <c r="K46" s="8">
        <f t="shared" ca="1" si="40"/>
        <v>4.7050180233328902E-2</v>
      </c>
      <c r="L46" s="8">
        <f t="shared" ca="1" si="40"/>
        <v>5.0861321360006415E-2</v>
      </c>
      <c r="M46" s="8">
        <f t="shared" ca="1" si="40"/>
        <v>5.1914862869252676E-2</v>
      </c>
      <c r="N46" s="8">
        <f t="shared" ca="1" si="40"/>
        <v>4.0679139182833571E-2</v>
      </c>
      <c r="O46" s="8">
        <f t="shared" ca="1" si="40"/>
        <v>3.6306598113881698E-2</v>
      </c>
      <c r="Q46" s="12">
        <v>4.8000000000000001E-2</v>
      </c>
      <c r="R46" s="1">
        <f t="shared" si="33"/>
        <v>81.522389008960261</v>
      </c>
      <c r="S46" s="1">
        <f t="shared" si="33"/>
        <v>41.56224407044445</v>
      </c>
      <c r="T46" s="1">
        <f t="shared" si="33"/>
        <v>29.129121692733065</v>
      </c>
      <c r="U46" s="1">
        <f t="shared" si="33"/>
        <v>23.473520232833806</v>
      </c>
      <c r="V46" s="1">
        <f t="shared" si="33"/>
        <v>20.032491025957469</v>
      </c>
      <c r="W46" s="1">
        <f t="shared" si="33"/>
        <v>17.642981841343463</v>
      </c>
      <c r="X46" s="1">
        <f t="shared" si="33"/>
        <v>15.853654117375429</v>
      </c>
      <c r="Y46" s="1">
        <f t="shared" si="33"/>
        <v>14.447788094039321</v>
      </c>
      <c r="Z46" s="1">
        <f t="shared" si="33"/>
        <v>13.306512627945404</v>
      </c>
      <c r="AA46" s="1">
        <f t="shared" si="33"/>
        <v>12.358290451882876</v>
      </c>
      <c r="AB46" s="1">
        <f t="shared" si="34"/>
        <v>11.556977916523957</v>
      </c>
      <c r="AC46" s="1">
        <f t="shared" si="34"/>
        <v>10.871145748239384</v>
      </c>
      <c r="AD46" s="1">
        <f t="shared" si="34"/>
        <v>10.278420678127533</v>
      </c>
      <c r="AE46" s="1">
        <f t="shared" si="34"/>
        <v>9.7622831832396653</v>
      </c>
      <c r="AF46" s="1">
        <f t="shared" si="34"/>
        <v>9.3101567740608449</v>
      </c>
      <c r="AG46" s="1">
        <f t="shared" si="34"/>
        <v>8.9122169317898443</v>
      </c>
      <c r="AH46" s="1">
        <f t="shared" si="34"/>
        <v>8.5606205141187814</v>
      </c>
      <c r="AI46" s="1">
        <f t="shared" si="34"/>
        <v>8.2489907653429491</v>
      </c>
      <c r="AJ46" s="1">
        <f t="shared" si="34"/>
        <v>7.972063056833421</v>
      </c>
      <c r="AK46" s="1">
        <f t="shared" si="34"/>
        <v>7.7254347236590073</v>
      </c>
      <c r="AL46" s="1">
        <f t="shared" si="35"/>
        <v>7.5053841124245784</v>
      </c>
      <c r="AM46" s="1">
        <f t="shared" si="35"/>
        <v>7.3087367579249847</v>
      </c>
      <c r="AN46" s="1">
        <f t="shared" si="35"/>
        <v>7.1327643687452982</v>
      </c>
      <c r="AO46" s="1">
        <f t="shared" si="35"/>
        <v>6.9751071313131945</v>
      </c>
      <c r="AP46" s="1">
        <f t="shared" si="35"/>
        <v>6.8337129152921321</v>
      </c>
      <c r="AQ46" s="1">
        <f t="shared" si="35"/>
        <v>6.7067889590625418</v>
      </c>
      <c r="AR46" s="1">
        <f t="shared" si="35"/>
        <v>6.5927629342175535</v>
      </c>
      <c r="AS46" s="1">
        <f t="shared" si="35"/>
        <v>6.4902511762647146</v>
      </c>
      <c r="AT46" s="1">
        <f t="shared" si="35"/>
        <v>6.3980324760914726</v>
      </c>
      <c r="AU46" s="1">
        <f t="shared" si="35"/>
        <v>6.3150262485293691</v>
      </c>
      <c r="AV46" s="1">
        <f t="shared" si="36"/>
        <v>6.2402741916978473</v>
      </c>
      <c r="AW46" s="1">
        <f t="shared" si="36"/>
        <v>6.1729247635535662</v>
      </c>
      <c r="AX46" s="1">
        <f t="shared" si="36"/>
        <v>6.1122199565153021</v>
      </c>
      <c r="AY46" s="1">
        <f t="shared" si="36"/>
        <v>6.0574839647657326</v>
      </c>
      <c r="AZ46" s="1">
        <f t="shared" si="36"/>
        <v>6.0081134237552627</v>
      </c>
      <c r="BA46" s="1">
        <f t="shared" si="36"/>
        <v>5.9635689657049591</v>
      </c>
    </row>
    <row r="47" spans="2:53">
      <c r="B47" s="3">
        <v>26</v>
      </c>
      <c r="C47" s="8">
        <f t="shared" si="3"/>
        <v>0.05</v>
      </c>
      <c r="D47" s="8">
        <f t="shared" ref="D47:O47" ca="1" si="41">C47+k*(theta-C47)*dt+vol*SQRT(dt)*_xlfn.NORM.S.INV(RAND())</f>
        <v>4.7503011170884568E-2</v>
      </c>
      <c r="E47" s="8">
        <f t="shared" ca="1" si="41"/>
        <v>3.9309079088020588E-2</v>
      </c>
      <c r="F47" s="8">
        <f t="shared" ca="1" si="41"/>
        <v>4.2859954990231972E-2</v>
      </c>
      <c r="G47" s="8">
        <f t="shared" ca="1" si="41"/>
        <v>4.3451818775935923E-2</v>
      </c>
      <c r="H47" s="8">
        <f t="shared" ca="1" si="41"/>
        <v>3.544924395289472E-2</v>
      </c>
      <c r="I47" s="8">
        <f t="shared" ca="1" si="41"/>
        <v>3.1678448766909652E-2</v>
      </c>
      <c r="J47" s="8">
        <f t="shared" ca="1" si="41"/>
        <v>4.5443049077177694E-2</v>
      </c>
      <c r="K47" s="8">
        <f t="shared" ca="1" si="41"/>
        <v>4.2774272799973485E-2</v>
      </c>
      <c r="L47" s="8">
        <f t="shared" ca="1" si="41"/>
        <v>4.2534131457271411E-2</v>
      </c>
      <c r="M47" s="8">
        <f t="shared" ca="1" si="41"/>
        <v>5.0122772518692175E-2</v>
      </c>
      <c r="N47" s="8">
        <f t="shared" ca="1" si="41"/>
        <v>4.6336837523998614E-2</v>
      </c>
      <c r="O47" s="8">
        <f t="shared" ca="1" si="41"/>
        <v>5.1914950793994122E-2</v>
      </c>
      <c r="Q47" s="12">
        <v>0.05</v>
      </c>
      <c r="R47" s="1">
        <f t="shared" si="33"/>
        <v>90.323577367023191</v>
      </c>
      <c r="S47" s="1">
        <f t="shared" si="33"/>
        <v>45.357138956288232</v>
      </c>
      <c r="T47" s="1">
        <f t="shared" si="33"/>
        <v>31.815371904989405</v>
      </c>
      <c r="U47" s="1">
        <f t="shared" si="33"/>
        <v>25.71016335448186</v>
      </c>
      <c r="V47" s="1">
        <f t="shared" si="33"/>
        <v>22.012625030764301</v>
      </c>
      <c r="W47" s="1">
        <f t="shared" si="33"/>
        <v>19.452455588481165</v>
      </c>
      <c r="X47" s="1">
        <f t="shared" si="33"/>
        <v>17.538900824278773</v>
      </c>
      <c r="Y47" s="1">
        <f t="shared" si="33"/>
        <v>16.037074255511747</v>
      </c>
      <c r="Z47" s="1">
        <f t="shared" si="33"/>
        <v>14.818505396313705</v>
      </c>
      <c r="AA47" s="1">
        <f t="shared" si="33"/>
        <v>13.806094623317373</v>
      </c>
      <c r="AB47" s="1">
        <f t="shared" si="34"/>
        <v>12.950251334744356</v>
      </c>
      <c r="AC47" s="1">
        <f t="shared" si="34"/>
        <v>12.217296084698008</v>
      </c>
      <c r="AD47" s="1">
        <f t="shared" si="34"/>
        <v>11.583322601504975</v>
      </c>
      <c r="AE47" s="1">
        <f t="shared" si="34"/>
        <v>11.030727744539325</v>
      </c>
      <c r="AF47" s="1">
        <f t="shared" si="34"/>
        <v>10.546143274130136</v>
      </c>
      <c r="AG47" s="1">
        <f t="shared" si="34"/>
        <v>10.119148249160382</v>
      </c>
      <c r="AH47" s="1">
        <f t="shared" si="34"/>
        <v>9.7414372987335156</v>
      </c>
      <c r="AI47" s="1">
        <f t="shared" si="34"/>
        <v>9.4062658831937007</v>
      </c>
      <c r="AJ47" s="1">
        <f t="shared" si="34"/>
        <v>9.108069621186031</v>
      </c>
      <c r="AK47" s="1">
        <f t="shared" si="34"/>
        <v>8.8421962460918291</v>
      </c>
      <c r="AL47" s="1">
        <f t="shared" si="35"/>
        <v>8.604712348525192</v>
      </c>
      <c r="AM47" s="1">
        <f t="shared" si="35"/>
        <v>8.3922609514203828</v>
      </c>
      <c r="AN47" s="1">
        <f t="shared" si="35"/>
        <v>8.2019543887661932</v>
      </c>
      <c r="AO47" s="1">
        <f t="shared" si="35"/>
        <v>8.031292202560218</v>
      </c>
      <c r="AP47" s="1">
        <f t="shared" si="35"/>
        <v>7.8780971109678788</v>
      </c>
      <c r="AQ47" s="1">
        <f t="shared" si="35"/>
        <v>7.7404642693235743</v>
      </c>
      <c r="AR47" s="1">
        <f t="shared" si="35"/>
        <v>7.6167204801561432</v>
      </c>
      <c r="AS47" s="1">
        <f t="shared" si="35"/>
        <v>7.5053909732876098</v>
      </c>
      <c r="AT47" s="1">
        <f t="shared" si="35"/>
        <v>7.4051720362044664</v>
      </c>
      <c r="AU47" s="1">
        <f t="shared" si="35"/>
        <v>7.3149082319327254</v>
      </c>
      <c r="AV47" s="1">
        <f t="shared" si="36"/>
        <v>7.2335732631201024</v>
      </c>
      <c r="AW47" s="1">
        <f t="shared" si="36"/>
        <v>7.1602537703470928</v>
      </c>
      <c r="AX47" s="1">
        <f t="shared" si="36"/>
        <v>7.0941355185474944</v>
      </c>
      <c r="AY47" s="1">
        <f t="shared" si="36"/>
        <v>7.0344915470263798</v>
      </c>
      <c r="AZ47" s="1">
        <f t="shared" si="36"/>
        <v>6.9806719489292375</v>
      </c>
      <c r="BA47" s="1">
        <f t="shared" si="36"/>
        <v>6.9320950140520914</v>
      </c>
    </row>
    <row r="48" spans="2:53">
      <c r="B48" s="3">
        <v>27</v>
      </c>
      <c r="C48" s="8">
        <f t="shared" si="3"/>
        <v>0.05</v>
      </c>
      <c r="D48" s="8">
        <f t="shared" ref="D48:O48" ca="1" si="42">C48+k*(theta-C48)*dt+vol*SQRT(dt)*_xlfn.NORM.S.INV(RAND())</f>
        <v>3.7862561297609898E-2</v>
      </c>
      <c r="E48" s="8">
        <f t="shared" ca="1" si="42"/>
        <v>4.4866177900873896E-2</v>
      </c>
      <c r="F48" s="8">
        <f t="shared" ca="1" si="42"/>
        <v>4.2949079046070537E-2</v>
      </c>
      <c r="G48" s="8">
        <f t="shared" ca="1" si="42"/>
        <v>4.7526883416872681E-2</v>
      </c>
      <c r="H48" s="8">
        <f t="shared" ca="1" si="42"/>
        <v>4.5913884764069185E-2</v>
      </c>
      <c r="I48" s="8">
        <f t="shared" ca="1" si="42"/>
        <v>3.8100787230846429E-2</v>
      </c>
      <c r="J48" s="8">
        <f t="shared" ca="1" si="42"/>
        <v>4.507131174172252E-2</v>
      </c>
      <c r="K48" s="8">
        <f t="shared" ca="1" si="42"/>
        <v>5.2675406173735798E-2</v>
      </c>
      <c r="L48" s="8">
        <f t="shared" ca="1" si="42"/>
        <v>4.8301774761918687E-2</v>
      </c>
      <c r="M48" s="8">
        <f t="shared" ca="1" si="42"/>
        <v>5.5174767199482916E-2</v>
      </c>
      <c r="N48" s="8">
        <f t="shared" ca="1" si="42"/>
        <v>5.4998159794682262E-2</v>
      </c>
      <c r="O48" s="8">
        <f t="shared" ca="1" si="42"/>
        <v>5.8972812180506831E-2</v>
      </c>
      <c r="Q48" s="12">
        <v>5.1999999999999998E-2</v>
      </c>
      <c r="R48" s="1">
        <f t="shared" si="33"/>
        <v>81.522389008960317</v>
      </c>
      <c r="S48" s="1">
        <f t="shared" si="33"/>
        <v>46.841822648451434</v>
      </c>
      <c r="T48" s="1">
        <f t="shared" si="33"/>
        <v>33.711137265554342</v>
      </c>
      <c r="U48" s="1">
        <f t="shared" si="33"/>
        <v>27.542659867202858</v>
      </c>
      <c r="V48" s="1">
        <f t="shared" si="33"/>
        <v>23.753197160054004</v>
      </c>
      <c r="W48" s="1">
        <f t="shared" si="33"/>
        <v>21.110885013405653</v>
      </c>
      <c r="X48" s="1">
        <f t="shared" si="33"/>
        <v>19.12760331152532</v>
      </c>
      <c r="Y48" s="1">
        <f t="shared" si="33"/>
        <v>17.566469231319079</v>
      </c>
      <c r="Z48" s="1">
        <f t="shared" si="33"/>
        <v>16.296823939669299</v>
      </c>
      <c r="AA48" s="1">
        <f t="shared" si="33"/>
        <v>15.239836202082978</v>
      </c>
      <c r="AB48" s="1">
        <f t="shared" si="34"/>
        <v>14.344632242953878</v>
      </c>
      <c r="AC48" s="1">
        <f t="shared" si="34"/>
        <v>13.576591753199642</v>
      </c>
      <c r="AD48" s="1">
        <f t="shared" si="34"/>
        <v>12.911112934316531</v>
      </c>
      <c r="AE48" s="1">
        <f t="shared" si="34"/>
        <v>12.330069899130921</v>
      </c>
      <c r="AF48" s="1">
        <f t="shared" si="34"/>
        <v>11.819693125222848</v>
      </c>
      <c r="AG48" s="1">
        <f t="shared" si="34"/>
        <v>11.369246208480478</v>
      </c>
      <c r="AH48" s="1">
        <f t="shared" si="34"/>
        <v>10.970169501893325</v>
      </c>
      <c r="AI48" s="1">
        <f t="shared" si="34"/>
        <v>10.615508359430251</v>
      </c>
      <c r="AJ48" s="1">
        <f t="shared" si="34"/>
        <v>10.299520691514736</v>
      </c>
      <c r="AK48" s="1">
        <f t="shared" si="34"/>
        <v>10.017400761681287</v>
      </c>
      <c r="AL48" s="1">
        <f t="shared" si="35"/>
        <v>9.7650802570150894</v>
      </c>
      <c r="AM48" s="1">
        <f t="shared" si="35"/>
        <v>9.5390819041877748</v>
      </c>
      <c r="AN48" s="1">
        <f t="shared" si="35"/>
        <v>9.3364095670966751</v>
      </c>
      <c r="AO48" s="1">
        <f t="shared" si="35"/>
        <v>9.1544641707430436</v>
      </c>
      <c r="AP48" s="1">
        <f t="shared" si="35"/>
        <v>8.9909782486670746</v>
      </c>
      <c r="AQ48" s="1">
        <f t="shared" si="35"/>
        <v>8.8439641592745257</v>
      </c>
      <c r="AR48" s="1">
        <f t="shared" si="35"/>
        <v>8.7116725061577647</v>
      </c>
      <c r="AS48" s="1">
        <f t="shared" si="35"/>
        <v>8.5925583008047166</v>
      </c>
      <c r="AT48" s="1">
        <f t="shared" si="35"/>
        <v>8.4852530919215106</v>
      </c>
      <c r="AU48" s="1">
        <f t="shared" si="35"/>
        <v>8.3885417610818038</v>
      </c>
      <c r="AV48" s="1">
        <f t="shared" si="36"/>
        <v>8.3013430185763539</v>
      </c>
      <c r="AW48" s="1">
        <f t="shared" si="36"/>
        <v>8.2226928713074958</v>
      </c>
      <c r="AX48" s="1">
        <f t="shared" si="36"/>
        <v>8.1517305062687484</v>
      </c>
      <c r="AY48" s="1">
        <f t="shared" si="36"/>
        <v>8.0876861586400857</v>
      </c>
      <c r="AZ48" s="1">
        <f t="shared" si="36"/>
        <v>8.0298706264313733</v>
      </c>
      <c r="BA48" s="1">
        <f t="shared" si="36"/>
        <v>7.9776661632595216</v>
      </c>
    </row>
    <row r="49" spans="2:53">
      <c r="B49" s="3">
        <v>28</v>
      </c>
      <c r="C49" s="8">
        <f t="shared" si="3"/>
        <v>0.05</v>
      </c>
      <c r="D49" s="8">
        <f t="shared" ref="D49:O49" ca="1" si="43">C49+k*(theta-C49)*dt+vol*SQRT(dt)*_xlfn.NORM.S.INV(RAND())</f>
        <v>4.7869618902314233E-2</v>
      </c>
      <c r="E49" s="8">
        <f t="shared" ca="1" si="43"/>
        <v>5.9302006673526135E-2</v>
      </c>
      <c r="F49" s="8">
        <f t="shared" ca="1" si="43"/>
        <v>5.8040149209969416E-2</v>
      </c>
      <c r="G49" s="8">
        <f t="shared" ca="1" si="43"/>
        <v>6.7703668631878655E-2</v>
      </c>
      <c r="H49" s="8">
        <f t="shared" ca="1" si="43"/>
        <v>6.0963386337247127E-2</v>
      </c>
      <c r="I49" s="8">
        <f t="shared" ca="1" si="43"/>
        <v>5.5923721667916398E-2</v>
      </c>
      <c r="J49" s="8">
        <f t="shared" ca="1" si="43"/>
        <v>5.6111894647805541E-2</v>
      </c>
      <c r="K49" s="8">
        <f t="shared" ca="1" si="43"/>
        <v>5.7328830277464007E-2</v>
      </c>
      <c r="L49" s="8">
        <f t="shared" ca="1" si="43"/>
        <v>5.7565332775662469E-2</v>
      </c>
      <c r="M49" s="8">
        <f t="shared" ca="1" si="43"/>
        <v>4.7111966004882072E-2</v>
      </c>
      <c r="N49" s="8">
        <f t="shared" ca="1" si="43"/>
        <v>5.0908149107235928E-2</v>
      </c>
      <c r="O49" s="8">
        <f t="shared" ca="1" si="43"/>
        <v>6.4046150729711843E-2</v>
      </c>
      <c r="Q49" s="12">
        <v>5.3999999999999999E-2</v>
      </c>
      <c r="R49" s="1">
        <f t="shared" si="33"/>
        <v>59.938269857009928</v>
      </c>
      <c r="S49" s="1">
        <f t="shared" si="33"/>
        <v>45.778692859013056</v>
      </c>
      <c r="T49" s="1">
        <f t="shared" si="33"/>
        <v>34.652660915710172</v>
      </c>
      <c r="U49" s="1">
        <f t="shared" si="33"/>
        <v>28.859004944762052</v>
      </c>
      <c r="V49" s="1">
        <f t="shared" si="33"/>
        <v>25.170142266782246</v>
      </c>
      <c r="W49" s="1">
        <f t="shared" si="33"/>
        <v>22.551114523015318</v>
      </c>
      <c r="X49" s="1">
        <f t="shared" si="33"/>
        <v>20.563826495032693</v>
      </c>
      <c r="Y49" s="1">
        <f t="shared" si="33"/>
        <v>18.98800690362712</v>
      </c>
      <c r="Z49" s="1">
        <f t="shared" si="33"/>
        <v>17.699457849847057</v>
      </c>
      <c r="AA49" s="1">
        <f t="shared" si="33"/>
        <v>16.622133228786783</v>
      </c>
      <c r="AB49" s="1">
        <f t="shared" si="34"/>
        <v>15.706446804062164</v>
      </c>
      <c r="AC49" s="1">
        <f t="shared" si="34"/>
        <v>14.918401737946601</v>
      </c>
      <c r="AD49" s="1">
        <f t="shared" si="34"/>
        <v>14.23370540388483</v>
      </c>
      <c r="AE49" s="1">
        <f t="shared" si="34"/>
        <v>13.634383968553921</v>
      </c>
      <c r="AF49" s="1">
        <f t="shared" si="34"/>
        <v>13.106737335635406</v>
      </c>
      <c r="AG49" s="1">
        <f t="shared" si="34"/>
        <v>12.640052799615011</v>
      </c>
      <c r="AH49" s="1">
        <f t="shared" si="34"/>
        <v>12.225767738551324</v>
      </c>
      <c r="AI49" s="1">
        <f t="shared" si="34"/>
        <v>11.856908148458444</v>
      </c>
      <c r="AJ49" s="1">
        <f t="shared" si="34"/>
        <v>11.527702063375385</v>
      </c>
      <c r="AK49" s="1">
        <f t="shared" si="34"/>
        <v>11.233306919382409</v>
      </c>
      <c r="AL49" s="1">
        <f t="shared" si="35"/>
        <v>10.969612959927611</v>
      </c>
      <c r="AM49" s="1">
        <f t="shared" si="35"/>
        <v>10.733098493941133</v>
      </c>
      <c r="AN49" s="1">
        <f t="shared" si="35"/>
        <v>10.520721219249515</v>
      </c>
      <c r="AO49" s="1">
        <f t="shared" si="35"/>
        <v>10.329835099664843</v>
      </c>
      <c r="AP49" s="1">
        <f t="shared" si="35"/>
        <v>10.15812566992661</v>
      </c>
      <c r="AQ49" s="1">
        <f t="shared" si="35"/>
        <v>10.003558857297566</v>
      </c>
      <c r="AR49" s="1">
        <f t="shared" si="35"/>
        <v>9.8643398819340806</v>
      </c>
      <c r="AS49" s="1">
        <f t="shared" si="35"/>
        <v>9.738879793429108</v>
      </c>
      <c r="AT49" s="1">
        <f t="shared" si="35"/>
        <v>9.6257678828137951</v>
      </c>
      <c r="AU49" s="1">
        <f t="shared" si="35"/>
        <v>9.5237486827035465</v>
      </c>
      <c r="AV49" s="1">
        <f t="shared" si="36"/>
        <v>9.4317026011205201</v>
      </c>
      <c r="AW49" s="1">
        <f t="shared" si="36"/>
        <v>9.348629471450014</v>
      </c>
      <c r="AX49" s="1">
        <f t="shared" si="36"/>
        <v>9.2736344717002659</v>
      </c>
      <c r="AY49" s="1">
        <f t="shared" si="36"/>
        <v>9.2059159907372656</v>
      </c>
      <c r="AZ49" s="1">
        <f t="shared" si="36"/>
        <v>9.1447551110739713</v>
      </c>
      <c r="BA49" s="1">
        <f t="shared" si="36"/>
        <v>9.0895064464664426</v>
      </c>
    </row>
    <row r="50" spans="2:53">
      <c r="B50" s="3">
        <v>29</v>
      </c>
      <c r="C50" s="8">
        <f t="shared" si="3"/>
        <v>0.05</v>
      </c>
      <c r="D50" s="8">
        <f t="shared" ref="D50:O50" ca="1" si="44">C50+k*(theta-C50)*dt+vol*SQRT(dt)*_xlfn.NORM.S.INV(RAND())</f>
        <v>5.2165108311274723E-2</v>
      </c>
      <c r="E50" s="8">
        <f t="shared" ca="1" si="44"/>
        <v>5.9121716735579879E-2</v>
      </c>
      <c r="F50" s="8">
        <f t="shared" ca="1" si="44"/>
        <v>5.3173667739148008E-2</v>
      </c>
      <c r="G50" s="8">
        <f t="shared" ca="1" si="44"/>
        <v>5.1705867453844756E-2</v>
      </c>
      <c r="H50" s="8">
        <f t="shared" ca="1" si="44"/>
        <v>4.9330202366946768E-2</v>
      </c>
      <c r="I50" s="8">
        <f t="shared" ca="1" si="44"/>
        <v>6.1747698358422434E-2</v>
      </c>
      <c r="J50" s="8">
        <f t="shared" ca="1" si="44"/>
        <v>7.3226614732806242E-2</v>
      </c>
      <c r="K50" s="8">
        <f t="shared" ca="1" si="44"/>
        <v>7.0186240540297415E-2</v>
      </c>
      <c r="L50" s="8">
        <f t="shared" ca="1" si="44"/>
        <v>7.2481131150706077E-2</v>
      </c>
      <c r="M50" s="8">
        <f t="shared" ca="1" si="44"/>
        <v>7.2167048816285106E-2</v>
      </c>
      <c r="N50" s="8">
        <f t="shared" ca="1" si="44"/>
        <v>7.1139342883623613E-2</v>
      </c>
      <c r="O50" s="8">
        <f t="shared" ca="1" si="44"/>
        <v>7.5021597681389177E-2</v>
      </c>
      <c r="Q50" s="12">
        <v>5.6000000000000001E-2</v>
      </c>
      <c r="R50" s="1">
        <f t="shared" si="33"/>
        <v>35.899057244990573</v>
      </c>
      <c r="S50" s="1">
        <f t="shared" si="33"/>
        <v>42.338401752004778</v>
      </c>
      <c r="T50" s="1">
        <f t="shared" si="33"/>
        <v>34.556246172671514</v>
      </c>
      <c r="U50" s="1">
        <f t="shared" si="33"/>
        <v>29.575442903491531</v>
      </c>
      <c r="V50" s="1">
        <f t="shared" si="33"/>
        <v>26.191635965441513</v>
      </c>
      <c r="W50" s="1">
        <f t="shared" si="33"/>
        <v>23.711506260707292</v>
      </c>
      <c r="X50" s="1">
        <f t="shared" si="33"/>
        <v>21.793776660777077</v>
      </c>
      <c r="Y50" s="1">
        <f t="shared" si="33"/>
        <v>20.253955194830365</v>
      </c>
      <c r="Z50" s="1">
        <f t="shared" si="33"/>
        <v>18.983460049060572</v>
      </c>
      <c r="AA50" s="1">
        <f t="shared" si="33"/>
        <v>17.913903264469106</v>
      </c>
      <c r="AB50" s="1">
        <f t="shared" si="34"/>
        <v>16.999798926553407</v>
      </c>
      <c r="AC50" s="1">
        <f t="shared" si="34"/>
        <v>16.209503642725512</v>
      </c>
      <c r="AD50" s="1">
        <f t="shared" si="34"/>
        <v>15.520154164901781</v>
      </c>
      <c r="AE50" s="1">
        <f t="shared" si="34"/>
        <v>14.914685872005711</v>
      </c>
      <c r="AF50" s="1">
        <f t="shared" si="34"/>
        <v>14.379998874438169</v>
      </c>
      <c r="AG50" s="1">
        <f t="shared" si="34"/>
        <v>13.905788131336415</v>
      </c>
      <c r="AH50" s="1">
        <f t="shared" si="34"/>
        <v>13.483773491650133</v>
      </c>
      <c r="AI50" s="1">
        <f t="shared" si="34"/>
        <v>13.107178903561623</v>
      </c>
      <c r="AJ50" s="1">
        <f t="shared" si="34"/>
        <v>12.770371424840759</v>
      </c>
      <c r="AK50" s="1">
        <f t="shared" si="34"/>
        <v>12.468605323077849</v>
      </c>
      <c r="AL50" s="1">
        <f t="shared" si="35"/>
        <v>12.197836832647884</v>
      </c>
      <c r="AM50" s="1">
        <f t="shared" si="35"/>
        <v>11.954587373562148</v>
      </c>
      <c r="AN50" s="1">
        <f t="shared" si="35"/>
        <v>11.735840624580181</v>
      </c>
      <c r="AO50" s="1">
        <f t="shared" si="35"/>
        <v>11.538963657632232</v>
      </c>
      <c r="AP50" s="1">
        <f t="shared" si="35"/>
        <v>11.361645458543908</v>
      </c>
      <c r="AQ50" s="1">
        <f t="shared" si="35"/>
        <v>11.20184821444677</v>
      </c>
      <c r="AR50" s="1">
        <f t="shared" si="35"/>
        <v>11.057768124711398</v>
      </c>
      <c r="AS50" s="1">
        <f t="shared" si="35"/>
        <v>10.927803427148827</v>
      </c>
      <c r="AT50" s="1">
        <f t="shared" si="35"/>
        <v>10.8105279744948</v>
      </c>
      <c r="AU50" s="1">
        <f t="shared" si="35"/>
        <v>10.704669144167664</v>
      </c>
      <c r="AV50" s="1">
        <f t="shared" si="36"/>
        <v>10.609089179873887</v>
      </c>
      <c r="AW50" s="1">
        <f t="shared" si="36"/>
        <v>10.522769288455125</v>
      </c>
      <c r="AX50" s="1">
        <f t="shared" si="36"/>
        <v>10.444795977316129</v>
      </c>
      <c r="AY50" s="1">
        <f t="shared" si="36"/>
        <v>10.374349235733467</v>
      </c>
      <c r="AZ50" s="1">
        <f t="shared" si="36"/>
        <v>10.310692250239589</v>
      </c>
      <c r="BA50" s="1">
        <f t="shared" si="36"/>
        <v>10.25316240902295</v>
      </c>
    </row>
    <row r="51" spans="2:53">
      <c r="B51" s="3">
        <v>30</v>
      </c>
      <c r="C51" s="8">
        <f t="shared" si="3"/>
        <v>0.05</v>
      </c>
      <c r="D51" s="8">
        <f t="shared" ref="D51:O51" ca="1" si="45">C51+k*(theta-C51)*dt+vol*SQRT(dt)*_xlfn.NORM.S.INV(RAND())</f>
        <v>5.5696926027844457E-2</v>
      </c>
      <c r="E51" s="8">
        <f t="shared" ca="1" si="45"/>
        <v>5.2049660919769078E-2</v>
      </c>
      <c r="F51" s="8">
        <f t="shared" ca="1" si="45"/>
        <v>5.3912650372015515E-2</v>
      </c>
      <c r="G51" s="8">
        <f t="shared" ca="1" si="45"/>
        <v>5.549680701450023E-2</v>
      </c>
      <c r="H51" s="8">
        <f t="shared" ca="1" si="45"/>
        <v>5.6759487163548061E-2</v>
      </c>
      <c r="I51" s="8">
        <f t="shared" ca="1" si="45"/>
        <v>5.9610202191044764E-2</v>
      </c>
      <c r="J51" s="8">
        <f t="shared" ca="1" si="45"/>
        <v>4.8670052283003681E-2</v>
      </c>
      <c r="K51" s="8">
        <f t="shared" ca="1" si="45"/>
        <v>5.7384626893494613E-2</v>
      </c>
      <c r="L51" s="8">
        <f t="shared" ca="1" si="45"/>
        <v>4.4634647378475549E-2</v>
      </c>
      <c r="M51" s="8">
        <f t="shared" ca="1" si="45"/>
        <v>3.7211084732606557E-2</v>
      </c>
      <c r="N51" s="8">
        <f t="shared" ca="1" si="45"/>
        <v>3.562230699138523E-2</v>
      </c>
      <c r="O51" s="8">
        <f t="shared" ca="1" si="45"/>
        <v>3.5390941862891656E-2</v>
      </c>
      <c r="Q51" s="12">
        <v>5.8000000000000003E-2</v>
      </c>
      <c r="R51" s="1">
        <f t="shared" si="33"/>
        <v>17.515132250264358</v>
      </c>
      <c r="S51" s="1">
        <f t="shared" si="33"/>
        <v>37.055015621708215</v>
      </c>
      <c r="T51" s="1">
        <f t="shared" si="33"/>
        <v>33.430534070394529</v>
      </c>
      <c r="U51" s="1">
        <f t="shared" si="33"/>
        <v>29.645282439608501</v>
      </c>
      <c r="V51" s="1">
        <f t="shared" si="33"/>
        <v>26.764118275247593</v>
      </c>
      <c r="W51" s="1">
        <f t="shared" si="33"/>
        <v>24.540298347203127</v>
      </c>
      <c r="X51" s="1">
        <f t="shared" si="33"/>
        <v>22.769120298095132</v>
      </c>
      <c r="Y51" s="1">
        <f t="shared" si="33"/>
        <v>21.319443848259183</v>
      </c>
      <c r="Z51" s="1">
        <f t="shared" si="33"/>
        <v>20.107089009897937</v>
      </c>
      <c r="AA51" s="1">
        <f t="shared" si="33"/>
        <v>19.076148585006884</v>
      </c>
      <c r="AB51" s="1">
        <f t="shared" si="34"/>
        <v>18.188083071133416</v>
      </c>
      <c r="AC51" s="1">
        <f t="shared" si="34"/>
        <v>17.415382352747741</v>
      </c>
      <c r="AD51" s="1">
        <f t="shared" si="34"/>
        <v>16.737779941569617</v>
      </c>
      <c r="AE51" s="1">
        <f t="shared" si="34"/>
        <v>16.139917485823567</v>
      </c>
      <c r="AF51" s="1">
        <f t="shared" si="34"/>
        <v>15.609858598244491</v>
      </c>
      <c r="AG51" s="1">
        <f t="shared" si="34"/>
        <v>15.138116106306105</v>
      </c>
      <c r="AH51" s="1">
        <f t="shared" si="34"/>
        <v>14.71699899776292</v>
      </c>
      <c r="AI51" s="1">
        <f t="shared" si="34"/>
        <v>14.340163792790118</v>
      </c>
      <c r="AJ51" s="1">
        <f t="shared" si="34"/>
        <v>14.00229975233883</v>
      </c>
      <c r="AK51" s="1">
        <f t="shared" si="34"/>
        <v>13.698903562205718</v>
      </c>
      <c r="AL51" s="1">
        <f t="shared" si="35"/>
        <v>13.426114971848987</v>
      </c>
      <c r="AM51" s="1">
        <f t="shared" si="35"/>
        <v>13.180594678518148</v>
      </c>
      <c r="AN51" s="1">
        <f t="shared" si="35"/>
        <v>12.95943196388731</v>
      </c>
      <c r="AO51" s="1">
        <f t="shared" si="35"/>
        <v>12.760073608569797</v>
      </c>
      <c r="AP51" s="1">
        <f t="shared" si="35"/>
        <v>12.580268252963686</v>
      </c>
      <c r="AQ51" s="1">
        <f t="shared" si="35"/>
        <v>12.418022138390283</v>
      </c>
      <c r="AR51" s="1">
        <f t="shared" si="35"/>
        <v>12.271563357977211</v>
      </c>
      <c r="AS51" s="1">
        <f t="shared" si="35"/>
        <v>12.139312566174677</v>
      </c>
      <c r="AT51" s="1">
        <f t="shared" si="35"/>
        <v>12.019858663741047</v>
      </c>
      <c r="AU51" s="1">
        <f t="shared" si="35"/>
        <v>11.911938372768214</v>
      </c>
      <c r="AV51" s="1">
        <f t="shared" si="36"/>
        <v>11.814418897612107</v>
      </c>
      <c r="AW51" s="1">
        <f t="shared" si="36"/>
        <v>11.726283068466088</v>
      </c>
      <c r="AX51" s="1">
        <f t="shared" si="36"/>
        <v>11.64661650914765</v>
      </c>
      <c r="AY51" s="1">
        <f t="shared" si="36"/>
        <v>11.574596476126795</v>
      </c>
      <c r="AZ51" s="1">
        <f t="shared" si="36"/>
        <v>11.509482093394691</v>
      </c>
      <c r="BA51" s="1">
        <f t="shared" si="36"/>
        <v>11.450605765431517</v>
      </c>
    </row>
    <row r="52" spans="2:53">
      <c r="B52" s="3">
        <v>31</v>
      </c>
      <c r="C52" s="8">
        <f t="shared" si="3"/>
        <v>0.05</v>
      </c>
      <c r="D52" s="8">
        <f t="shared" ref="D52:O52" ca="1" si="46">C52+k*(theta-C52)*dt+vol*SQRT(dt)*_xlfn.NORM.S.INV(RAND())</f>
        <v>4.578863400017625E-2</v>
      </c>
      <c r="E52" s="8">
        <f t="shared" ca="1" si="46"/>
        <v>3.9683972475443863E-2</v>
      </c>
      <c r="F52" s="8">
        <f t="shared" ca="1" si="46"/>
        <v>3.9116505399460273E-2</v>
      </c>
      <c r="G52" s="8">
        <f t="shared" ca="1" si="46"/>
        <v>3.6922445822993165E-2</v>
      </c>
      <c r="H52" s="8">
        <f t="shared" ca="1" si="46"/>
        <v>4.6968866342117166E-2</v>
      </c>
      <c r="I52" s="8">
        <f t="shared" ca="1" si="46"/>
        <v>5.5235382517816796E-2</v>
      </c>
      <c r="J52" s="8">
        <f t="shared" ca="1" si="46"/>
        <v>5.3801335536977329E-2</v>
      </c>
      <c r="K52" s="8">
        <f t="shared" ca="1" si="46"/>
        <v>6.0291506524597478E-2</v>
      </c>
      <c r="L52" s="8">
        <f t="shared" ca="1" si="46"/>
        <v>4.936739511405213E-2</v>
      </c>
      <c r="M52" s="8">
        <f t="shared" ca="1" si="46"/>
        <v>6.2397747213152735E-2</v>
      </c>
      <c r="N52" s="8">
        <f t="shared" ca="1" si="46"/>
        <v>6.2582245301435871E-2</v>
      </c>
      <c r="O52" s="8">
        <f t="shared" ca="1" si="46"/>
        <v>6.010117069386451E-2</v>
      </c>
      <c r="Q52" s="12">
        <v>0.06</v>
      </c>
      <c r="R52" s="1">
        <f t="shared" ref="R52:AA61" si="47">_xlfn.NORM.DIST($Q52,R$18,SQRT(R$19),FALSE)</f>
        <v>6.9613798925482566</v>
      </c>
      <c r="S52" s="1">
        <f t="shared" si="47"/>
        <v>30.690291330127074</v>
      </c>
      <c r="T52" s="1">
        <f t="shared" si="47"/>
        <v>31.375225479009703</v>
      </c>
      <c r="U52" s="1">
        <f t="shared" si="47"/>
        <v>29.06393130992879</v>
      </c>
      <c r="V52" s="1">
        <f t="shared" si="47"/>
        <v>26.856945253265813</v>
      </c>
      <c r="W52" s="1">
        <f t="shared" si="47"/>
        <v>24.9994293839625</v>
      </c>
      <c r="X52" s="1">
        <f t="shared" si="47"/>
        <v>23.450126932692903</v>
      </c>
      <c r="Y52" s="1">
        <f t="shared" si="47"/>
        <v>22.145090524159077</v>
      </c>
      <c r="Z52" s="1">
        <f t="shared" si="47"/>
        <v>21.032042330004362</v>
      </c>
      <c r="AA52" s="1">
        <f t="shared" si="47"/>
        <v>20.071885663267075</v>
      </c>
      <c r="AB52" s="1">
        <f t="shared" ref="AB52:AK61" si="48">_xlfn.NORM.DIST($Q52,AB$18,SQRT(AB$19),FALSE)</f>
        <v>19.235672810813689</v>
      </c>
      <c r="AC52" s="1">
        <f t="shared" si="48"/>
        <v>18.501723672421402</v>
      </c>
      <c r="AD52" s="1">
        <f t="shared" si="48"/>
        <v>17.853503024540618</v>
      </c>
      <c r="AE52" s="1">
        <f t="shared" si="48"/>
        <v>17.278145150776169</v>
      </c>
      <c r="AF52" s="1">
        <f t="shared" si="48"/>
        <v>16.765439662610952</v>
      </c>
      <c r="AG52" s="1">
        <f t="shared" si="48"/>
        <v>16.307130965288799</v>
      </c>
      <c r="AH52" s="1">
        <f t="shared" si="48"/>
        <v>15.896429075503637</v>
      </c>
      <c r="AI52" s="1">
        <f t="shared" si="48"/>
        <v>15.527663442475889</v>
      </c>
      <c r="AJ52" s="1">
        <f t="shared" si="48"/>
        <v>15.196034416055227</v>
      </c>
      <c r="AK52" s="1">
        <f t="shared" si="48"/>
        <v>14.897432128655474</v>
      </c>
      <c r="AL52" s="1">
        <f t="shared" ref="AL52:AU61" si="49">_xlfn.NORM.DIST($Q52,AL$18,SQRT(AL$19),FALSE)</f>
        <v>14.628302460383187</v>
      </c>
      <c r="AM52" s="1">
        <f t="shared" si="49"/>
        <v>14.385546275278868</v>
      </c>
      <c r="AN52" s="1">
        <f t="shared" si="49"/>
        <v>14.166442446978547</v>
      </c>
      <c r="AO52" s="1">
        <f t="shared" si="49"/>
        <v>13.968588098739152</v>
      </c>
      <c r="AP52" s="1">
        <f t="shared" si="49"/>
        <v>13.789851453956498</v>
      </c>
      <c r="AQ52" s="1">
        <f t="shared" si="49"/>
        <v>13.628334043175268</v>
      </c>
      <c r="AR52" s="1">
        <f t="shared" si="49"/>
        <v>13.482339946344771</v>
      </c>
      <c r="AS52" s="1">
        <f t="shared" si="49"/>
        <v>13.350350398977755</v>
      </c>
      <c r="AT52" s="1">
        <f t="shared" si="49"/>
        <v>13.231002547208996</v>
      </c>
      <c r="AU52" s="1">
        <f t="shared" si="49"/>
        <v>13.123071459540185</v>
      </c>
      <c r="AV52" s="1">
        <f t="shared" ref="AV52:BA61" si="50">_xlfn.NORM.DIST($Q52,AV$18,SQRT(AV$19),FALSE)</f>
        <v>13.025454733024546</v>
      </c>
      <c r="AW52" s="1">
        <f t="shared" si="50"/>
        <v>12.937159196666462</v>
      </c>
      <c r="AX52" s="1">
        <f t="shared" si="50"/>
        <v>12.857289334113668</v>
      </c>
      <c r="AY52" s="1">
        <f t="shared" si="50"/>
        <v>12.785037134651562</v>
      </c>
      <c r="AZ52" s="1">
        <f t="shared" si="50"/>
        <v>12.719673145392914</v>
      </c>
      <c r="BA52" s="1">
        <f t="shared" si="50"/>
        <v>12.6605385449359</v>
      </c>
    </row>
    <row r="53" spans="2:53">
      <c r="B53" s="3">
        <v>32</v>
      </c>
      <c r="C53" s="8">
        <f t="shared" si="3"/>
        <v>0.05</v>
      </c>
      <c r="D53" s="8">
        <f t="shared" ref="D53:O53" ca="1" si="51">C53+k*(theta-C53)*dt+vol*SQRT(dt)*_xlfn.NORM.S.INV(RAND())</f>
        <v>4.7968130033322572E-2</v>
      </c>
      <c r="E53" s="8">
        <f t="shared" ca="1" si="51"/>
        <v>6.0042685340427393E-2</v>
      </c>
      <c r="F53" s="8">
        <f t="shared" ca="1" si="51"/>
        <v>6.5939489790653172E-2</v>
      </c>
      <c r="G53" s="8">
        <f t="shared" ca="1" si="51"/>
        <v>6.7176378609745402E-2</v>
      </c>
      <c r="H53" s="8">
        <f t="shared" ca="1" si="51"/>
        <v>7.0327415303885782E-2</v>
      </c>
      <c r="I53" s="8">
        <f t="shared" ca="1" si="51"/>
        <v>7.5822655748472426E-2</v>
      </c>
      <c r="J53" s="8">
        <f t="shared" ca="1" si="51"/>
        <v>6.8091511207637401E-2</v>
      </c>
      <c r="K53" s="8">
        <f t="shared" ca="1" si="51"/>
        <v>7.0836054106667573E-2</v>
      </c>
      <c r="L53" s="8">
        <f t="shared" ca="1" si="51"/>
        <v>7.6979997219638857E-2</v>
      </c>
      <c r="M53" s="8">
        <f t="shared" ca="1" si="51"/>
        <v>7.878353522640795E-2</v>
      </c>
      <c r="N53" s="8">
        <f t="shared" ca="1" si="51"/>
        <v>8.6479757974323196E-2</v>
      </c>
      <c r="O53" s="8">
        <f t="shared" ca="1" si="51"/>
        <v>7.79885408611138E-2</v>
      </c>
      <c r="Q53" s="12">
        <v>6.2E-2</v>
      </c>
      <c r="R53" s="1">
        <f t="shared" si="47"/>
        <v>2.2538695927032113</v>
      </c>
      <c r="S53" s="1">
        <f t="shared" si="47"/>
        <v>24.054508674934485</v>
      </c>
      <c r="T53" s="1">
        <f t="shared" si="47"/>
        <v>28.566509755451868</v>
      </c>
      <c r="U53" s="1">
        <f t="shared" si="47"/>
        <v>27.869395920496817</v>
      </c>
      <c r="V53" s="1">
        <f t="shared" si="47"/>
        <v>26.465106513665674</v>
      </c>
      <c r="W53" s="1">
        <f t="shared" si="47"/>
        <v>25.067436069212743</v>
      </c>
      <c r="X53" s="1">
        <f t="shared" si="47"/>
        <v>23.808351985687452</v>
      </c>
      <c r="Y53" s="1">
        <f t="shared" si="47"/>
        <v>22.699412182277534</v>
      </c>
      <c r="Z53" s="1">
        <f t="shared" si="47"/>
        <v>21.725616684597441</v>
      </c>
      <c r="AA53" s="1">
        <f t="shared" si="47"/>
        <v>20.868087948330547</v>
      </c>
      <c r="AB53" s="1">
        <f t="shared" si="48"/>
        <v>20.109679139371696</v>
      </c>
      <c r="AC53" s="1">
        <f t="shared" si="48"/>
        <v>19.436015920819262</v>
      </c>
      <c r="AD53" s="1">
        <f t="shared" si="48"/>
        <v>18.835310940849421</v>
      </c>
      <c r="AE53" s="1">
        <f t="shared" si="48"/>
        <v>18.297912012530251</v>
      </c>
      <c r="AF53" s="1">
        <f t="shared" si="48"/>
        <v>17.815859782242274</v>
      </c>
      <c r="AG53" s="1">
        <f t="shared" si="48"/>
        <v>17.382522087698685</v>
      </c>
      <c r="AH53" s="1">
        <f t="shared" si="48"/>
        <v>16.992309024274807</v>
      </c>
      <c r="AI53" s="1">
        <f t="shared" si="48"/>
        <v>16.640455862623071</v>
      </c>
      <c r="AJ53" s="1">
        <f t="shared" si="48"/>
        <v>16.322858759928923</v>
      </c>
      <c r="AK53" s="1">
        <f t="shared" si="48"/>
        <v>16.035950228750082</v>
      </c>
      <c r="AL53" s="1">
        <f t="shared" si="49"/>
        <v>15.776604129043573</v>
      </c>
      <c r="AM53" s="1">
        <f t="shared" si="49"/>
        <v>15.542062478376033</v>
      </c>
      <c r="AN53" s="1">
        <f t="shared" si="49"/>
        <v>15.329878393167336</v>
      </c>
      <c r="AO53" s="1">
        <f t="shared" si="49"/>
        <v>15.13787100215904</v>
      </c>
      <c r="AP53" s="1">
        <f t="shared" si="49"/>
        <v>14.964089302378003</v>
      </c>
      <c r="AQ53" s="1">
        <f t="shared" si="49"/>
        <v>14.806782751516316</v>
      </c>
      <c r="AR53" s="1">
        <f t="shared" si="49"/>
        <v>14.664376987670247</v>
      </c>
      <c r="AS53" s="1">
        <f t="shared" si="49"/>
        <v>14.535453498851</v>
      </c>
      <c r="AT53" s="1">
        <f t="shared" si="49"/>
        <v>14.418732376213566</v>
      </c>
      <c r="AU53" s="1">
        <f t="shared" si="49"/>
        <v>14.313057509976362</v>
      </c>
      <c r="AV53" s="1">
        <f t="shared" si="50"/>
        <v>14.217383749774795</v>
      </c>
      <c r="AW53" s="1">
        <f t="shared" si="50"/>
        <v>14.130765669204498</v>
      </c>
      <c r="AX53" s="1">
        <f t="shared" si="50"/>
        <v>14.052347660150888</v>
      </c>
      <c r="AY53" s="1">
        <f t="shared" si="50"/>
        <v>13.981355145210197</v>
      </c>
      <c r="AZ53" s="1">
        <f t="shared" si="50"/>
        <v>13.917086742568936</v>
      </c>
      <c r="BA53" s="1">
        <f t="shared" si="50"/>
        <v>13.858907251774406</v>
      </c>
    </row>
    <row r="54" spans="2:53">
      <c r="B54" s="3">
        <v>33</v>
      </c>
      <c r="C54" s="8">
        <f t="shared" si="3"/>
        <v>0.05</v>
      </c>
      <c r="D54" s="8">
        <f t="shared" ref="D54:O54" ca="1" si="52">C54+k*(theta-C54)*dt+vol*SQRT(dt)*_xlfn.NORM.S.INV(RAND())</f>
        <v>5.1933116602337598E-2</v>
      </c>
      <c r="E54" s="8">
        <f t="shared" ca="1" si="52"/>
        <v>5.9232374478045288E-2</v>
      </c>
      <c r="F54" s="8">
        <f t="shared" ca="1" si="52"/>
        <v>6.356665545960978E-2</v>
      </c>
      <c r="G54" s="8">
        <f t="shared" ca="1" si="52"/>
        <v>5.729202075109846E-2</v>
      </c>
      <c r="H54" s="8">
        <f t="shared" ca="1" si="52"/>
        <v>6.4703761647798591E-2</v>
      </c>
      <c r="I54" s="8">
        <f t="shared" ca="1" si="52"/>
        <v>6.0460985686768783E-2</v>
      </c>
      <c r="J54" s="8">
        <f t="shared" ca="1" si="52"/>
        <v>5.7167027047101839E-2</v>
      </c>
      <c r="K54" s="8">
        <f t="shared" ca="1" si="52"/>
        <v>6.6615560964257636E-2</v>
      </c>
      <c r="L54" s="8">
        <f t="shared" ca="1" si="52"/>
        <v>7.1881802086310398E-2</v>
      </c>
      <c r="M54" s="8">
        <f t="shared" ca="1" si="52"/>
        <v>7.2336105978707071E-2</v>
      </c>
      <c r="N54" s="8">
        <f t="shared" ca="1" si="52"/>
        <v>6.4962352035860177E-2</v>
      </c>
      <c r="O54" s="8">
        <f t="shared" ca="1" si="52"/>
        <v>6.1191995660668283E-2</v>
      </c>
      <c r="Q54" s="12">
        <v>6.4000000000000001E-2</v>
      </c>
      <c r="R54" s="1">
        <f t="shared" si="47"/>
        <v>0.59444786392421045</v>
      </c>
      <c r="S54" s="1">
        <f t="shared" si="47"/>
        <v>17.841585255627713</v>
      </c>
      <c r="T54" s="1">
        <f t="shared" si="47"/>
        <v>25.232152053009671</v>
      </c>
      <c r="U54" s="1">
        <f t="shared" si="47"/>
        <v>26.138170286483199</v>
      </c>
      <c r="V54" s="1">
        <f t="shared" si="47"/>
        <v>25.609673254983985</v>
      </c>
      <c r="W54" s="1">
        <f t="shared" si="47"/>
        <v>24.741116742664005</v>
      </c>
      <c r="X54" s="1">
        <f t="shared" si="47"/>
        <v>23.828607398089552</v>
      </c>
      <c r="Y54" s="1">
        <f t="shared" si="47"/>
        <v>22.960816320736598</v>
      </c>
      <c r="Z54" s="1">
        <f t="shared" si="47"/>
        <v>22.162624961351362</v>
      </c>
      <c r="AA54" s="1">
        <f t="shared" si="47"/>
        <v>21.437500544663358</v>
      </c>
      <c r="AB54" s="1">
        <f t="shared" si="48"/>
        <v>20.781658738301438</v>
      </c>
      <c r="AC54" s="1">
        <f t="shared" si="48"/>
        <v>20.189156802330551</v>
      </c>
      <c r="AD54" s="1">
        <f t="shared" si="48"/>
        <v>19.65377191379595</v>
      </c>
      <c r="AE54" s="1">
        <f t="shared" si="48"/>
        <v>19.169666635550882</v>
      </c>
      <c r="AF54" s="1">
        <f t="shared" si="48"/>
        <v>18.731583212690705</v>
      </c>
      <c r="AG54" s="1">
        <f t="shared" si="48"/>
        <v>18.334856880958601</v>
      </c>
      <c r="AH54" s="1">
        <f t="shared" si="48"/>
        <v>17.975365217199922</v>
      </c>
      <c r="AI54" s="1">
        <f t="shared" si="48"/>
        <v>17.649460826378171</v>
      </c>
      <c r="AJ54" s="1">
        <f t="shared" si="48"/>
        <v>17.353905703922234</v>
      </c>
      <c r="AK54" s="1">
        <f t="shared" si="48"/>
        <v>17.085813471310459</v>
      </c>
      <c r="AL54" s="1">
        <f t="shared" si="49"/>
        <v>16.842600689509027</v>
      </c>
      <c r="AM54" s="1">
        <f t="shared" si="49"/>
        <v>16.621946544882267</v>
      </c>
      <c r="AN54" s="1">
        <f t="shared" si="49"/>
        <v>16.421759614510925</v>
      </c>
      <c r="AO54" s="1">
        <f t="shared" si="49"/>
        <v>16.240150375622498</v>
      </c>
      <c r="AP54" s="1">
        <f t="shared" si="49"/>
        <v>16.075408283313855</v>
      </c>
      <c r="AQ54" s="1">
        <f t="shared" si="49"/>
        <v>15.925982452706712</v>
      </c>
      <c r="AR54" s="1">
        <f t="shared" si="49"/>
        <v>15.7904651850428</v>
      </c>
      <c r="AS54" s="1">
        <f t="shared" si="49"/>
        <v>15.667577750600007</v>
      </c>
      <c r="AT54" s="1">
        <f t="shared" si="49"/>
        <v>15.556157980609656</v>
      </c>
      <c r="AU54" s="1">
        <f t="shared" si="49"/>
        <v>15.455149328470789</v>
      </c>
      <c r="AV54" s="1">
        <f t="shared" si="50"/>
        <v>15.363591142644371</v>
      </c>
      <c r="AW54" s="1">
        <f t="shared" si="50"/>
        <v>15.280609955030403</v>
      </c>
      <c r="AX54" s="1">
        <f t="shared" si="50"/>
        <v>15.205411634141859</v>
      </c>
      <c r="AY54" s="1">
        <f t="shared" si="50"/>
        <v>15.137274285909413</v>
      </c>
      <c r="AZ54" s="1">
        <f t="shared" si="50"/>
        <v>15.075541809570538</v>
      </c>
      <c r="BA54" s="1">
        <f t="shared" si="50"/>
        <v>15.019618034184676</v>
      </c>
    </row>
    <row r="55" spans="2:53">
      <c r="B55" s="3">
        <v>34</v>
      </c>
      <c r="C55" s="8">
        <f t="shared" si="3"/>
        <v>0.05</v>
      </c>
      <c r="D55" s="8">
        <f t="shared" ref="D55:O55" ca="1" si="53">C55+k*(theta-C55)*dt+vol*SQRT(dt)*_xlfn.NORM.S.INV(RAND())</f>
        <v>4.6177395257587808E-2</v>
      </c>
      <c r="E55" s="8">
        <f t="shared" ca="1" si="53"/>
        <v>3.4673948313731065E-2</v>
      </c>
      <c r="F55" s="8">
        <f t="shared" ca="1" si="53"/>
        <v>3.7417117511283446E-2</v>
      </c>
      <c r="G55" s="8">
        <f t="shared" ca="1" si="53"/>
        <v>3.8216398514678923E-2</v>
      </c>
      <c r="H55" s="8">
        <f t="shared" ca="1" si="53"/>
        <v>2.7396380424385598E-2</v>
      </c>
      <c r="I55" s="8">
        <f t="shared" ca="1" si="53"/>
        <v>3.6451157771152265E-2</v>
      </c>
      <c r="J55" s="8">
        <f t="shared" ca="1" si="53"/>
        <v>4.6423827121212964E-2</v>
      </c>
      <c r="K55" s="8">
        <f t="shared" ca="1" si="53"/>
        <v>4.7157607449623593E-2</v>
      </c>
      <c r="L55" s="8">
        <f t="shared" ca="1" si="53"/>
        <v>4.8353095047079603E-2</v>
      </c>
      <c r="M55" s="8">
        <f t="shared" ca="1" si="53"/>
        <v>4.6257986413741424E-2</v>
      </c>
      <c r="N55" s="8">
        <f t="shared" ca="1" si="53"/>
        <v>4.4626144894543578E-2</v>
      </c>
      <c r="O55" s="8">
        <f t="shared" ca="1" si="53"/>
        <v>4.2973655281024217E-2</v>
      </c>
      <c r="Q55" s="12">
        <v>6.6000000000000003E-2</v>
      </c>
      <c r="R55" s="1">
        <f t="shared" si="47"/>
        <v>0.12771746607395557</v>
      </c>
      <c r="S55" s="1">
        <f t="shared" si="47"/>
        <v>12.523100266216987</v>
      </c>
      <c r="T55" s="1">
        <f t="shared" si="47"/>
        <v>21.621120132219065</v>
      </c>
      <c r="U55" s="1">
        <f t="shared" si="47"/>
        <v>23.977132403291083</v>
      </c>
      <c r="V55" s="1">
        <f t="shared" si="47"/>
        <v>24.335921043097578</v>
      </c>
      <c r="W55" s="1">
        <f t="shared" si="47"/>
        <v>24.035781287605435</v>
      </c>
      <c r="X55" s="1">
        <f t="shared" si="47"/>
        <v>23.510029804005921</v>
      </c>
      <c r="Y55" s="1">
        <f t="shared" si="47"/>
        <v>22.918996597955875</v>
      </c>
      <c r="Z55" s="1">
        <f t="shared" si="47"/>
        <v>22.326914063084974</v>
      </c>
      <c r="AA55" s="1">
        <f t="shared" si="47"/>
        <v>21.76018806716819</v>
      </c>
      <c r="AB55" s="1">
        <f t="shared" si="48"/>
        <v>21.229148949303628</v>
      </c>
      <c r="AC55" s="1">
        <f t="shared" si="48"/>
        <v>20.736955473878304</v>
      </c>
      <c r="AD55" s="1">
        <f t="shared" si="48"/>
        <v>20.283495223840678</v>
      </c>
      <c r="AE55" s="1">
        <f t="shared" si="48"/>
        <v>19.867178546331587</v>
      </c>
      <c r="AF55" s="1">
        <f t="shared" si="48"/>
        <v>19.485791305718895</v>
      </c>
      <c r="AG55" s="1">
        <f t="shared" si="48"/>
        <v>19.136907699591831</v>
      </c>
      <c r="AH55" s="1">
        <f t="shared" si="48"/>
        <v>18.818090501869456</v>
      </c>
      <c r="AI55" s="1">
        <f t="shared" si="48"/>
        <v>18.526986225194932</v>
      </c>
      <c r="AJ55" s="1">
        <f t="shared" si="48"/>
        <v>18.261367653450055</v>
      </c>
      <c r="AK55" s="1">
        <f t="shared" si="48"/>
        <v>18.019149931188444</v>
      </c>
      <c r="AL55" s="1">
        <f t="shared" si="49"/>
        <v>17.798393481098973</v>
      </c>
      <c r="AM55" s="1">
        <f t="shared" si="49"/>
        <v>17.597300524240293</v>
      </c>
      <c r="AN55" s="1">
        <f t="shared" si="49"/>
        <v>17.414208659428287</v>
      </c>
      <c r="AO55" s="1">
        <f t="shared" si="49"/>
        <v>17.247583248805761</v>
      </c>
      <c r="AP55" s="1">
        <f t="shared" si="49"/>
        <v>17.096009475060452</v>
      </c>
      <c r="AQ55" s="1">
        <f t="shared" si="49"/>
        <v>16.958184484173451</v>
      </c>
      <c r="AR55" s="1">
        <f t="shared" si="49"/>
        <v>16.832909799967762</v>
      </c>
      <c r="AS55" s="1">
        <f t="shared" si="49"/>
        <v>16.719084085218132</v>
      </c>
      <c r="AT55" s="1">
        <f t="shared" si="49"/>
        <v>16.615696271918551</v>
      </c>
      <c r="AU55" s="1">
        <f t="shared" si="49"/>
        <v>16.521819060678599</v>
      </c>
      <c r="AV55" s="1">
        <f t="shared" si="50"/>
        <v>16.436602780645323</v>
      </c>
      <c r="AW55" s="1">
        <f t="shared" si="50"/>
        <v>16.359269598947993</v>
      </c>
      <c r="AX55" s="1">
        <f t="shared" si="50"/>
        <v>16.289108068586334</v>
      </c>
      <c r="AY55" s="1">
        <f t="shared" si="50"/>
        <v>16.225468004169819</v>
      </c>
      <c r="AZ55" s="1">
        <f t="shared" si="50"/>
        <v>16.167755675265592</v>
      </c>
      <c r="BA55" s="1">
        <f t="shared" si="50"/>
        <v>16.115429307131606</v>
      </c>
    </row>
    <row r="56" spans="2:53">
      <c r="B56" s="3">
        <v>35</v>
      </c>
      <c r="C56" s="8">
        <f t="shared" si="3"/>
        <v>0.05</v>
      </c>
      <c r="D56" s="8">
        <f t="shared" ref="D56:O56" ca="1" si="54">C56+k*(theta-C56)*dt+vol*SQRT(dt)*_xlfn.NORM.S.INV(RAND())</f>
        <v>5.4319948689746544E-2</v>
      </c>
      <c r="E56" s="8">
        <f t="shared" ca="1" si="54"/>
        <v>4.3639612308290845E-2</v>
      </c>
      <c r="F56" s="8">
        <f t="shared" ca="1" si="54"/>
        <v>4.7260640127466474E-2</v>
      </c>
      <c r="G56" s="8">
        <f t="shared" ca="1" si="54"/>
        <v>4.9355573119313829E-2</v>
      </c>
      <c r="H56" s="8">
        <f t="shared" ca="1" si="54"/>
        <v>5.1589979469414404E-2</v>
      </c>
      <c r="I56" s="8">
        <f t="shared" ca="1" si="54"/>
        <v>5.3089990966867139E-2</v>
      </c>
      <c r="J56" s="8">
        <f t="shared" ca="1" si="54"/>
        <v>5.1383810982221251E-2</v>
      </c>
      <c r="K56" s="8">
        <f t="shared" ca="1" si="54"/>
        <v>5.8570505302401196E-2</v>
      </c>
      <c r="L56" s="8">
        <f t="shared" ca="1" si="54"/>
        <v>5.8044626124642937E-2</v>
      </c>
      <c r="M56" s="8">
        <f t="shared" ca="1" si="54"/>
        <v>5.8605311041325471E-2</v>
      </c>
      <c r="N56" s="8">
        <f t="shared" ca="1" si="54"/>
        <v>5.3679805435157893E-2</v>
      </c>
      <c r="O56" s="8">
        <f t="shared" ca="1" si="54"/>
        <v>6.254856818257791E-2</v>
      </c>
      <c r="Q56" s="12">
        <v>6.8000000000000005E-2</v>
      </c>
      <c r="R56" s="1">
        <f t="shared" si="47"/>
        <v>2.2353130448083118E-2</v>
      </c>
      <c r="S56" s="1">
        <f t="shared" si="47"/>
        <v>8.3182457208743763</v>
      </c>
      <c r="T56" s="1">
        <f t="shared" si="47"/>
        <v>17.973343390975582</v>
      </c>
      <c r="U56" s="1">
        <f t="shared" si="47"/>
        <v>21.512641046231963</v>
      </c>
      <c r="V56" s="1">
        <f t="shared" si="47"/>
        <v>22.709360090332208</v>
      </c>
      <c r="W56" s="1">
        <f t="shared" si="47"/>
        <v>22.984060224611522</v>
      </c>
      <c r="X56" s="1">
        <f t="shared" si="47"/>
        <v>22.866141573620105</v>
      </c>
      <c r="Y56" s="1">
        <f t="shared" si="47"/>
        <v>22.575607107222808</v>
      </c>
      <c r="Z56" s="1">
        <f t="shared" si="47"/>
        <v>22.212355885815452</v>
      </c>
      <c r="AA56" s="1">
        <f t="shared" si="47"/>
        <v>21.82469316801939</v>
      </c>
      <c r="AB56" s="1">
        <f t="shared" si="48"/>
        <v>21.436914075034704</v>
      </c>
      <c r="AC56" s="1">
        <f t="shared" si="48"/>
        <v>21.061421922626725</v>
      </c>
      <c r="AD56" s="1">
        <f t="shared" si="48"/>
        <v>20.704437760529142</v>
      </c>
      <c r="AE56" s="1">
        <f t="shared" si="48"/>
        <v>20.368846619965019</v>
      </c>
      <c r="AF56" s="1">
        <f t="shared" si="48"/>
        <v>20.055683569477679</v>
      </c>
      <c r="AG56" s="1">
        <f t="shared" si="48"/>
        <v>19.76494015428074</v>
      </c>
      <c r="AH56" s="1">
        <f t="shared" si="48"/>
        <v>19.496016655961775</v>
      </c>
      <c r="AI56" s="1">
        <f t="shared" si="48"/>
        <v>19.24798304416171</v>
      </c>
      <c r="AJ56" s="1">
        <f t="shared" si="48"/>
        <v>19.01973331999848</v>
      </c>
      <c r="AK56" s="1">
        <f t="shared" si="48"/>
        <v>18.810078761230738</v>
      </c>
      <c r="AL56" s="1">
        <f t="shared" si="49"/>
        <v>18.617805224639806</v>
      </c>
      <c r="AM56" s="1">
        <f t="shared" si="49"/>
        <v>18.441708765492752</v>
      </c>
      <c r="AN56" s="1">
        <f t="shared" si="49"/>
        <v>18.280617848372017</v>
      </c>
      <c r="AO56" s="1">
        <f t="shared" si="49"/>
        <v>18.133407060160945</v>
      </c>
      <c r="AP56" s="1">
        <f t="shared" si="49"/>
        <v>17.999005307175889</v>
      </c>
      <c r="AQ56" s="1">
        <f t="shared" si="49"/>
        <v>17.87640035121273</v>
      </c>
      <c r="AR56" s="1">
        <f t="shared" si="49"/>
        <v>17.764640868101402</v>
      </c>
      <c r="AS56" s="1">
        <f t="shared" si="49"/>
        <v>17.662836804874669</v>
      </c>
      <c r="AT56" s="1">
        <f t="shared" si="49"/>
        <v>17.570158558932903</v>
      </c>
      <c r="AU56" s="1">
        <f t="shared" si="49"/>
        <v>17.485835342045586</v>
      </c>
      <c r="AV56" s="1">
        <f t="shared" si="50"/>
        <v>17.409152987259269</v>
      </c>
      <c r="AW56" s="1">
        <f t="shared" si="50"/>
        <v>17.339451386351637</v>
      </c>
      <c r="AX56" s="1">
        <f t="shared" si="50"/>
        <v>17.27612169662752</v>
      </c>
      <c r="AY56" s="1">
        <f t="shared" si="50"/>
        <v>17.218603420917628</v>
      </c>
      <c r="AZ56" s="1">
        <f t="shared" si="50"/>
        <v>17.166381438929509</v>
      </c>
      <c r="BA56" s="1">
        <f t="shared" si="50"/>
        <v>17.118983048706003</v>
      </c>
    </row>
    <row r="57" spans="2:53">
      <c r="B57" s="3">
        <v>36</v>
      </c>
      <c r="C57" s="8">
        <f t="shared" si="3"/>
        <v>0.05</v>
      </c>
      <c r="D57" s="8">
        <f t="shared" ref="D57:O57" ca="1" si="55">C57+k*(theta-C57)*dt+vol*SQRT(dt)*_xlfn.NORM.S.INV(RAND())</f>
        <v>5.5247908120633904E-2</v>
      </c>
      <c r="E57" s="8">
        <f t="shared" ca="1" si="55"/>
        <v>5.1602362541697748E-2</v>
      </c>
      <c r="F57" s="8">
        <f t="shared" ca="1" si="55"/>
        <v>5.3387983544268783E-2</v>
      </c>
      <c r="G57" s="8">
        <f t="shared" ca="1" si="55"/>
        <v>4.9527304718305756E-2</v>
      </c>
      <c r="H57" s="8">
        <f t="shared" ca="1" si="55"/>
        <v>4.7918895119956152E-2</v>
      </c>
      <c r="I57" s="8">
        <f t="shared" ca="1" si="55"/>
        <v>4.6118963195906096E-2</v>
      </c>
      <c r="J57" s="8">
        <f t="shared" ca="1" si="55"/>
        <v>4.8476368594093371E-2</v>
      </c>
      <c r="K57" s="8">
        <f t="shared" ca="1" si="55"/>
        <v>4.9971225975511749E-2</v>
      </c>
      <c r="L57" s="8">
        <f t="shared" ca="1" si="55"/>
        <v>5.9318560080881343E-2</v>
      </c>
      <c r="M57" s="8">
        <f t="shared" ca="1" si="55"/>
        <v>5.6763722900282761E-2</v>
      </c>
      <c r="N57" s="8">
        <f t="shared" ca="1" si="55"/>
        <v>5.7815629330979917E-2</v>
      </c>
      <c r="O57" s="8">
        <f t="shared" ca="1" si="55"/>
        <v>4.7423909911475992E-2</v>
      </c>
      <c r="Q57" s="12">
        <v>7.0000000000000007E-2</v>
      </c>
      <c r="R57" s="1">
        <f t="shared" si="47"/>
        <v>3.1869697993858154E-3</v>
      </c>
      <c r="S57" s="1">
        <f t="shared" si="47"/>
        <v>5.2286925046587447</v>
      </c>
      <c r="T57" s="1">
        <f t="shared" si="47"/>
        <v>14.494603479982477</v>
      </c>
      <c r="U57" s="1">
        <f t="shared" si="47"/>
        <v>18.878376833818297</v>
      </c>
      <c r="V57" s="1">
        <f t="shared" si="47"/>
        <v>20.810157384185199</v>
      </c>
      <c r="W57" s="1">
        <f t="shared" si="47"/>
        <v>21.633402013693079</v>
      </c>
      <c r="X57" s="1">
        <f t="shared" si="47"/>
        <v>21.923898712154539</v>
      </c>
      <c r="Y57" s="1">
        <f t="shared" si="47"/>
        <v>21.944153815460027</v>
      </c>
      <c r="Z57" s="1">
        <f t="shared" si="47"/>
        <v>21.823226710787115</v>
      </c>
      <c r="AA57" s="1">
        <f t="shared" si="47"/>
        <v>21.628711859432688</v>
      </c>
      <c r="AB57" s="1">
        <f t="shared" si="48"/>
        <v>21.397806598683104</v>
      </c>
      <c r="AC57" s="1">
        <f t="shared" si="48"/>
        <v>21.151747861567415</v>
      </c>
      <c r="AD57" s="1">
        <f t="shared" si="48"/>
        <v>20.902963095217146</v>
      </c>
      <c r="AE57" s="1">
        <f t="shared" si="48"/>
        <v>20.658809444534715</v>
      </c>
      <c r="AF57" s="1">
        <f t="shared" si="48"/>
        <v>20.423621430509201</v>
      </c>
      <c r="AG57" s="1">
        <f t="shared" si="48"/>
        <v>20.199878105728089</v>
      </c>
      <c r="AH57" s="1">
        <f t="shared" si="48"/>
        <v>19.98889220905831</v>
      </c>
      <c r="AI57" s="1">
        <f t="shared" si="48"/>
        <v>19.791230144351807</v>
      </c>
      <c r="AJ57" s="1">
        <f t="shared" si="48"/>
        <v>19.606975346149337</v>
      </c>
      <c r="AK57" s="1">
        <f t="shared" si="48"/>
        <v>19.435897772301256</v>
      </c>
      <c r="AL57" s="1">
        <f t="shared" si="49"/>
        <v>19.277565548579972</v>
      </c>
      <c r="AM57" s="1">
        <f t="shared" si="49"/>
        <v>19.131420016176413</v>
      </c>
      <c r="AN57" s="1">
        <f t="shared" si="49"/>
        <v>18.99682703606944</v>
      </c>
      <c r="AO57" s="1">
        <f t="shared" si="49"/>
        <v>18.873112513533037</v>
      </c>
      <c r="AP57" s="1">
        <f t="shared" si="49"/>
        <v>18.759587192881291</v>
      </c>
      <c r="AQ57" s="1">
        <f t="shared" si="49"/>
        <v>18.655564000364862</v>
      </c>
      <c r="AR57" s="1">
        <f t="shared" si="49"/>
        <v>18.560370112820433</v>
      </c>
      <c r="AS57" s="1">
        <f t="shared" si="49"/>
        <v>18.47335523247764</v>
      </c>
      <c r="AT57" s="1">
        <f t="shared" si="49"/>
        <v>18.393897097300503</v>
      </c>
      <c r="AU57" s="1">
        <f t="shared" si="49"/>
        <v>18.321404958150776</v>
      </c>
      <c r="AV57" s="1">
        <f t="shared" si="50"/>
        <v>18.255321552646912</v>
      </c>
      <c r="AW57" s="1">
        <f t="shared" si="50"/>
        <v>18.195123966402456</v>
      </c>
      <c r="AX57" s="1">
        <f t="shared" si="50"/>
        <v>18.140323673957447</v>
      </c>
      <c r="AY57" s="1">
        <f t="shared" si="50"/>
        <v>18.090465980675386</v>
      </c>
      <c r="AZ57" s="1">
        <f t="shared" si="50"/>
        <v>18.0451290345327</v>
      </c>
      <c r="BA57" s="1">
        <f t="shared" si="50"/>
        <v>18.003922537458717</v>
      </c>
    </row>
    <row r="58" spans="2:53">
      <c r="B58" s="3">
        <v>37</v>
      </c>
      <c r="C58" s="8">
        <f t="shared" si="3"/>
        <v>0.05</v>
      </c>
      <c r="D58" s="8">
        <f t="shared" ref="D58:O58" ca="1" si="56">C58+k*(theta-C58)*dt+vol*SQRT(dt)*_xlfn.NORM.S.INV(RAND())</f>
        <v>4.5967950021595289E-2</v>
      </c>
      <c r="E58" s="8">
        <f t="shared" ca="1" si="56"/>
        <v>4.1541451078213394E-2</v>
      </c>
      <c r="F58" s="8">
        <f t="shared" ca="1" si="56"/>
        <v>4.4176881604586216E-2</v>
      </c>
      <c r="G58" s="8">
        <f t="shared" ca="1" si="56"/>
        <v>3.3302669989999797E-2</v>
      </c>
      <c r="H58" s="8">
        <f t="shared" ca="1" si="56"/>
        <v>2.7139359114415347E-2</v>
      </c>
      <c r="I58" s="8">
        <f t="shared" ca="1" si="56"/>
        <v>2.8691052608122013E-2</v>
      </c>
      <c r="J58" s="8">
        <f t="shared" ca="1" si="56"/>
        <v>3.2820852136507241E-2</v>
      </c>
      <c r="K58" s="8">
        <f t="shared" ca="1" si="56"/>
        <v>3.4355814210782175E-2</v>
      </c>
      <c r="L58" s="8">
        <f t="shared" ca="1" si="56"/>
        <v>4.3589574184737599E-2</v>
      </c>
      <c r="M58" s="8">
        <f t="shared" ca="1" si="56"/>
        <v>5.2152643712383401E-2</v>
      </c>
      <c r="N58" s="8">
        <f t="shared" ca="1" si="56"/>
        <v>4.8855047112531948E-2</v>
      </c>
      <c r="O58" s="8">
        <f t="shared" ca="1" si="56"/>
        <v>4.6110339182702471E-2</v>
      </c>
      <c r="Q58" s="12">
        <v>7.1999999999999995E-2</v>
      </c>
      <c r="R58" s="1">
        <f t="shared" si="47"/>
        <v>3.7014260726126884E-4</v>
      </c>
      <c r="S58" s="1">
        <f t="shared" si="47"/>
        <v>3.1102545073993451</v>
      </c>
      <c r="T58" s="1">
        <f t="shared" si="47"/>
        <v>11.339935691917978</v>
      </c>
      <c r="U58" s="1">
        <f t="shared" si="47"/>
        <v>16.203543588144417</v>
      </c>
      <c r="V58" s="1">
        <f t="shared" si="47"/>
        <v>18.7266111062123</v>
      </c>
      <c r="W58" s="1">
        <f t="shared" si="47"/>
        <v>20.042525887037243</v>
      </c>
      <c r="X58" s="1">
        <f t="shared" si="47"/>
        <v>20.721819024311667</v>
      </c>
      <c r="Y58" s="1">
        <f t="shared" si="47"/>
        <v>21.049113097574551</v>
      </c>
      <c r="Z58" s="1">
        <f t="shared" si="47"/>
        <v>21.173942262928055</v>
      </c>
      <c r="AA58" s="1">
        <f t="shared" si="47"/>
        <v>21.179230125407415</v>
      </c>
      <c r="AB58" s="1">
        <f t="shared" si="48"/>
        <v>21.113175429976675</v>
      </c>
      <c r="AC58" s="1">
        <f t="shared" si="48"/>
        <v>21.004904553680166</v>
      </c>
      <c r="AD58" s="1">
        <f t="shared" si="48"/>
        <v>20.872575035875155</v>
      </c>
      <c r="AE58" s="1">
        <f t="shared" si="48"/>
        <v>20.727778085760583</v>
      </c>
      <c r="AF58" s="1">
        <f t="shared" si="48"/>
        <v>20.578034727954275</v>
      </c>
      <c r="AG58" s="1">
        <f t="shared" si="48"/>
        <v>20.428265676183717</v>
      </c>
      <c r="AH58" s="1">
        <f t="shared" si="48"/>
        <v>20.281686684497011</v>
      </c>
      <c r="AI58" s="1">
        <f t="shared" si="48"/>
        <v>20.140370872707443</v>
      </c>
      <c r="AJ58" s="1">
        <f t="shared" si="48"/>
        <v>20.005611857449285</v>
      </c>
      <c r="AK58" s="1">
        <f t="shared" si="48"/>
        <v>19.878164269344175</v>
      </c>
      <c r="AL58" s="1">
        <f t="shared" si="49"/>
        <v>19.758406757574726</v>
      </c>
      <c r="AM58" s="1">
        <f t="shared" si="49"/>
        <v>19.646454751243546</v>
      </c>
      <c r="AN58" s="1">
        <f t="shared" si="49"/>
        <v>19.542239872688643</v>
      </c>
      <c r="AO58" s="1">
        <f t="shared" si="49"/>
        <v>19.445566714928376</v>
      </c>
      <c r="AP58" s="1">
        <f t="shared" si="49"/>
        <v>19.356153927622</v>
      </c>
      <c r="AQ58" s="1">
        <f t="shared" si="49"/>
        <v>19.273664211642856</v>
      </c>
      <c r="AR58" s="1">
        <f t="shared" si="49"/>
        <v>19.19772633441524</v>
      </c>
      <c r="AS58" s="1">
        <f t="shared" si="49"/>
        <v>19.127951315198743</v>
      </c>
      <c r="AT58" s="1">
        <f t="shared" si="49"/>
        <v>19.063944294139294</v>
      </c>
      <c r="AU58" s="1">
        <f t="shared" si="49"/>
        <v>19.005313171506263</v>
      </c>
      <c r="AV58" s="1">
        <f t="shared" si="50"/>
        <v>18.951674810398242</v>
      </c>
      <c r="AW58" s="1">
        <f t="shared" si="50"/>
        <v>18.90265939122979</v>
      </c>
      <c r="AX58" s="1">
        <f t="shared" si="50"/>
        <v>18.85791336025148</v>
      </c>
      <c r="AY58" s="1">
        <f t="shared" si="50"/>
        <v>18.817101308366421</v>
      </c>
      <c r="AZ58" s="1">
        <f t="shared" si="50"/>
        <v>18.779907038275955</v>
      </c>
      <c r="BA58" s="1">
        <f t="shared" si="50"/>
        <v>18.746034019345586</v>
      </c>
    </row>
    <row r="59" spans="2:53">
      <c r="B59" s="3">
        <v>38</v>
      </c>
      <c r="C59" s="8">
        <f t="shared" si="3"/>
        <v>0.05</v>
      </c>
      <c r="D59" s="8">
        <f t="shared" ref="D59:O59" ca="1" si="57">C59+k*(theta-C59)*dt+vol*SQRT(dt)*_xlfn.NORM.S.INV(RAND())</f>
        <v>5.3600659957610687E-2</v>
      </c>
      <c r="E59" s="8">
        <f t="shared" ca="1" si="57"/>
        <v>6.1027918126196262E-2</v>
      </c>
      <c r="F59" s="8">
        <f t="shared" ca="1" si="57"/>
        <v>6.5982626598706878E-2</v>
      </c>
      <c r="G59" s="8">
        <f t="shared" ca="1" si="57"/>
        <v>6.4599903856886617E-2</v>
      </c>
      <c r="H59" s="8">
        <f t="shared" ca="1" si="57"/>
        <v>7.310959050764107E-2</v>
      </c>
      <c r="I59" s="8">
        <f t="shared" ca="1" si="57"/>
        <v>7.3856858096399802E-2</v>
      </c>
      <c r="J59" s="8">
        <f t="shared" ca="1" si="57"/>
        <v>6.7870588208318955E-2</v>
      </c>
      <c r="K59" s="8">
        <f t="shared" ca="1" si="57"/>
        <v>7.0432618888053036E-2</v>
      </c>
      <c r="L59" s="8">
        <f t="shared" ca="1" si="57"/>
        <v>6.5967539186445961E-2</v>
      </c>
      <c r="M59" s="8">
        <f t="shared" ca="1" si="57"/>
        <v>5.4473736999621443E-2</v>
      </c>
      <c r="N59" s="8">
        <f t="shared" ca="1" si="57"/>
        <v>4.9921091609931217E-2</v>
      </c>
      <c r="O59" s="8">
        <f t="shared" ca="1" si="57"/>
        <v>5.0194027926310392E-2</v>
      </c>
      <c r="Q59" s="12">
        <v>7.3999999999999996E-2</v>
      </c>
      <c r="R59" s="1">
        <f t="shared" si="47"/>
        <v>3.5019645699244586E-5</v>
      </c>
      <c r="S59" s="1">
        <f t="shared" si="47"/>
        <v>1.7508148579303713</v>
      </c>
      <c r="T59" s="1">
        <f t="shared" si="47"/>
        <v>8.6067983826182548</v>
      </c>
      <c r="U59" s="1">
        <f t="shared" si="47"/>
        <v>13.602846064085204</v>
      </c>
      <c r="V59" s="1">
        <f t="shared" si="47"/>
        <v>16.548414004329558</v>
      </c>
      <c r="W59" s="1">
        <f t="shared" si="47"/>
        <v>18.277199320138809</v>
      </c>
      <c r="X59" s="1">
        <f t="shared" si="47"/>
        <v>19.307371649658911</v>
      </c>
      <c r="Y59" s="1">
        <f t="shared" si="47"/>
        <v>19.924357554589836</v>
      </c>
      <c r="Z59" s="1">
        <f t="shared" si="47"/>
        <v>20.288171321281599</v>
      </c>
      <c r="AA59" s="1">
        <f t="shared" si="47"/>
        <v>20.492110527055971</v>
      </c>
      <c r="AB59" s="1">
        <f t="shared" si="48"/>
        <v>20.592788657207421</v>
      </c>
      <c r="AC59" s="1">
        <f t="shared" si="48"/>
        <v>20.625811443268166</v>
      </c>
      <c r="AD59" s="1">
        <f t="shared" si="48"/>
        <v>20.614270621091819</v>
      </c>
      <c r="AE59" s="1">
        <f t="shared" si="48"/>
        <v>20.573530264582445</v>
      </c>
      <c r="AF59" s="1">
        <f t="shared" si="48"/>
        <v>20.514025960311926</v>
      </c>
      <c r="AG59" s="1">
        <f t="shared" si="48"/>
        <v>20.442958619283324</v>
      </c>
      <c r="AH59" s="1">
        <f t="shared" si="48"/>
        <v>20.36535182309618</v>
      </c>
      <c r="AI59" s="1">
        <f t="shared" si="48"/>
        <v>20.284730910735515</v>
      </c>
      <c r="AJ59" s="1">
        <f t="shared" si="48"/>
        <v>20.203570645102282</v>
      </c>
      <c r="AK59" s="1">
        <f t="shared" si="48"/>
        <v>20.123597455147888</v>
      </c>
      <c r="AL59" s="1">
        <f t="shared" si="49"/>
        <v>20.045997987264165</v>
      </c>
      <c r="AM59" s="1">
        <f t="shared" si="49"/>
        <v>19.971565867189238</v>
      </c>
      <c r="AN59" s="1">
        <f t="shared" si="49"/>
        <v>19.900806802743027</v>
      </c>
      <c r="AO59" s="1">
        <f t="shared" si="49"/>
        <v>19.834015009431475</v>
      </c>
      <c r="AP59" s="1">
        <f t="shared" si="49"/>
        <v>19.771329506943722</v>
      </c>
      <c r="AQ59" s="1">
        <f t="shared" si="49"/>
        <v>19.712776028948646</v>
      </c>
      <c r="AR59" s="1">
        <f t="shared" si="49"/>
        <v>19.658298479383401</v>
      </c>
      <c r="AS59" s="1">
        <f t="shared" si="49"/>
        <v>19.607782680150212</v>
      </c>
      <c r="AT59" s="1">
        <f t="shared" si="49"/>
        <v>19.561074360528103</v>
      </c>
      <c r="AU59" s="1">
        <f t="shared" si="49"/>
        <v>19.517992797721973</v>
      </c>
      <c r="AV59" s="1">
        <f t="shared" si="50"/>
        <v>19.478341143266988</v>
      </c>
      <c r="AW59" s="1">
        <f t="shared" si="50"/>
        <v>19.44191420589328</v>
      </c>
      <c r="AX59" s="1">
        <f t="shared" si="50"/>
        <v>19.408504272127622</v>
      </c>
      <c r="AY59" s="1">
        <f t="shared" si="50"/>
        <v>19.377905407976659</v>
      </c>
      <c r="AZ59" s="1">
        <f t="shared" si="50"/>
        <v>19.349916583007175</v>
      </c>
      <c r="BA59" s="1">
        <f t="shared" si="50"/>
        <v>19.324343881602456</v>
      </c>
    </row>
    <row r="60" spans="2:53">
      <c r="B60" s="3">
        <v>39</v>
      </c>
      <c r="C60" s="8">
        <f t="shared" si="3"/>
        <v>0.05</v>
      </c>
      <c r="D60" s="8">
        <f t="shared" ref="D60:O60" ca="1" si="58">C60+k*(theta-C60)*dt+vol*SQRT(dt)*_xlfn.NORM.S.INV(RAND())</f>
        <v>5.2510742837987276E-2</v>
      </c>
      <c r="E60" s="8">
        <f t="shared" ca="1" si="58"/>
        <v>5.2871518068341422E-2</v>
      </c>
      <c r="F60" s="8">
        <f t="shared" ca="1" si="58"/>
        <v>5.0028246644523322E-2</v>
      </c>
      <c r="G60" s="8">
        <f t="shared" ca="1" si="58"/>
        <v>5.163661823558905E-2</v>
      </c>
      <c r="H60" s="8">
        <f t="shared" ca="1" si="58"/>
        <v>6.6705935712581779E-2</v>
      </c>
      <c r="I60" s="8">
        <f t="shared" ca="1" si="58"/>
        <v>7.0302524189487264E-2</v>
      </c>
      <c r="J60" s="8">
        <f t="shared" ca="1" si="58"/>
        <v>6.1746200446577776E-2</v>
      </c>
      <c r="K60" s="8">
        <f t="shared" ca="1" si="58"/>
        <v>6.0807675717292821E-2</v>
      </c>
      <c r="L60" s="8">
        <f t="shared" ca="1" si="58"/>
        <v>5.755744915682269E-2</v>
      </c>
      <c r="M60" s="8">
        <f t="shared" ca="1" si="58"/>
        <v>6.1805011912390295E-2</v>
      </c>
      <c r="N60" s="8">
        <f t="shared" ca="1" si="58"/>
        <v>6.8398027783076812E-2</v>
      </c>
      <c r="O60" s="8">
        <f t="shared" ca="1" si="58"/>
        <v>7.4237966162817554E-2</v>
      </c>
      <c r="Q60" s="12">
        <v>7.5999999999999998E-2</v>
      </c>
      <c r="R60" s="1">
        <f t="shared" si="47"/>
        <v>2.6990190659110144E-6</v>
      </c>
      <c r="S60" s="1">
        <f t="shared" si="47"/>
        <v>0.93266566318704203</v>
      </c>
      <c r="T60" s="1">
        <f t="shared" si="47"/>
        <v>6.3372297560337527</v>
      </c>
      <c r="U60" s="1">
        <f t="shared" si="47"/>
        <v>11.169249590791923</v>
      </c>
      <c r="V60" s="1">
        <f t="shared" si="47"/>
        <v>14.360412732972613</v>
      </c>
      <c r="W60" s="1">
        <f t="shared" si="47"/>
        <v>16.405761938684289</v>
      </c>
      <c r="X60" s="1">
        <f t="shared" si="47"/>
        <v>17.733874348674643</v>
      </c>
      <c r="Y60" s="1">
        <f t="shared" si="47"/>
        <v>18.611030222395303</v>
      </c>
      <c r="Z60" s="1">
        <f t="shared" si="47"/>
        <v>19.197403868886944</v>
      </c>
      <c r="AA60" s="1">
        <f t="shared" si="47"/>
        <v>19.591162913735722</v>
      </c>
      <c r="AB60" s="1">
        <f t="shared" si="48"/>
        <v>19.854276974853448</v>
      </c>
      <c r="AC60" s="1">
        <f t="shared" si="48"/>
        <v>20.027062498863163</v>
      </c>
      <c r="AD60" s="1">
        <f t="shared" si="48"/>
        <v>20.136485797096011</v>
      </c>
      <c r="AE60" s="1">
        <f t="shared" si="48"/>
        <v>20.201029272150922</v>
      </c>
      <c r="AF60" s="1">
        <f t="shared" si="48"/>
        <v>20.233628261537788</v>
      </c>
      <c r="AG60" s="1">
        <f t="shared" si="48"/>
        <v>20.243495491245938</v>
      </c>
      <c r="AH60" s="1">
        <f t="shared" si="48"/>
        <v>20.237286006701328</v>
      </c>
      <c r="AI60" s="1">
        <f t="shared" si="48"/>
        <v>20.219860317613303</v>
      </c>
      <c r="AJ60" s="1">
        <f t="shared" si="48"/>
        <v>20.194796393001429</v>
      </c>
      <c r="AK60" s="1">
        <f t="shared" si="48"/>
        <v>20.164740819898888</v>
      </c>
      <c r="AL60" s="1">
        <f t="shared" si="49"/>
        <v>20.131654587856914</v>
      </c>
      <c r="AM60" s="1">
        <f t="shared" si="49"/>
        <v>20.096988334429025</v>
      </c>
      <c r="AN60" s="1">
        <f t="shared" si="49"/>
        <v>20.061809400278445</v>
      </c>
      <c r="AO60" s="1">
        <f t="shared" si="49"/>
        <v>20.026895323327246</v>
      </c>
      <c r="AP60" s="1">
        <f t="shared" si="49"/>
        <v>19.99280353455978</v>
      </c>
      <c r="AQ60" s="1">
        <f t="shared" si="49"/>
        <v>19.959923892193398</v>
      </c>
      <c r="AR60" s="1">
        <f t="shared" si="49"/>
        <v>19.928518647298365</v>
      </c>
      <c r="AS60" s="1">
        <f t="shared" si="49"/>
        <v>19.898753074809168</v>
      </c>
      <c r="AT60" s="1">
        <f t="shared" si="49"/>
        <v>19.870719084734645</v>
      </c>
      <c r="AU60" s="1">
        <f t="shared" si="49"/>
        <v>19.844453496523897</v>
      </c>
      <c r="AV60" s="1">
        <f t="shared" si="50"/>
        <v>19.819952218125245</v>
      </c>
      <c r="AW60" s="1">
        <f t="shared" si="50"/>
        <v>19.797181257983134</v>
      </c>
      <c r="AX60" s="1">
        <f t="shared" si="50"/>
        <v>19.776085272421522</v>
      </c>
      <c r="AY60" s="1">
        <f t="shared" si="50"/>
        <v>19.75659418571065</v>
      </c>
      <c r="AZ60" s="1">
        <f t="shared" si="50"/>
        <v>19.738628297624345</v>
      </c>
      <c r="BA60" s="1">
        <f t="shared" si="50"/>
        <v>19.722102201264015</v>
      </c>
    </row>
    <row r="61" spans="2:53">
      <c r="B61" s="3">
        <v>40</v>
      </c>
      <c r="C61" s="8">
        <f t="shared" si="3"/>
        <v>0.05</v>
      </c>
      <c r="D61" s="8">
        <f t="shared" ref="D61:O61" ca="1" si="59">C61+k*(theta-C61)*dt+vol*SQRT(dt)*_xlfn.NORM.S.INV(RAND())</f>
        <v>5.8095985256676974E-2</v>
      </c>
      <c r="E61" s="8">
        <f t="shared" ca="1" si="59"/>
        <v>6.1049821514636893E-2</v>
      </c>
      <c r="F61" s="8">
        <f t="shared" ca="1" si="59"/>
        <v>6.5683008231349899E-2</v>
      </c>
      <c r="G61" s="8">
        <f t="shared" ca="1" si="59"/>
        <v>6.6316513337744909E-2</v>
      </c>
      <c r="H61" s="8">
        <f t="shared" ca="1" si="59"/>
        <v>6.4897789636157346E-2</v>
      </c>
      <c r="I61" s="8">
        <f t="shared" ca="1" si="59"/>
        <v>7.7317142210759721E-2</v>
      </c>
      <c r="J61" s="8">
        <f t="shared" ca="1" si="59"/>
        <v>7.8552570729195539E-2</v>
      </c>
      <c r="K61" s="8">
        <f t="shared" ca="1" si="59"/>
        <v>8.5633740651153922E-2</v>
      </c>
      <c r="L61" s="8">
        <f t="shared" ca="1" si="59"/>
        <v>8.9737757878250557E-2</v>
      </c>
      <c r="M61" s="8">
        <f t="shared" ca="1" si="59"/>
        <v>7.9870311162525937E-2</v>
      </c>
      <c r="N61" s="8">
        <f t="shared" ca="1" si="59"/>
        <v>7.7116358264351967E-2</v>
      </c>
      <c r="O61" s="8">
        <f t="shared" ca="1" si="59"/>
        <v>7.947694099597602E-2</v>
      </c>
      <c r="Q61" s="12">
        <v>7.8E-2</v>
      </c>
      <c r="R61" s="1">
        <f t="shared" si="47"/>
        <v>1.6945394864462362E-7</v>
      </c>
      <c r="S61" s="1">
        <f t="shared" si="47"/>
        <v>0.47016816752596119</v>
      </c>
      <c r="T61" s="1">
        <f t="shared" si="47"/>
        <v>4.5267244728704519</v>
      </c>
      <c r="U61" s="1">
        <f t="shared" si="47"/>
        <v>8.9700040510225918</v>
      </c>
      <c r="V61" s="1">
        <f t="shared" si="47"/>
        <v>12.237447053007861</v>
      </c>
      <c r="W61" s="1">
        <f t="shared" si="47"/>
        <v>14.494816610824719</v>
      </c>
      <c r="X61" s="1">
        <f t="shared" si="47"/>
        <v>16.057180454008922</v>
      </c>
      <c r="Y61" s="1">
        <f t="shared" si="47"/>
        <v>17.155053006574608</v>
      </c>
      <c r="Z61" s="1">
        <f t="shared" si="47"/>
        <v>17.939094530675522</v>
      </c>
      <c r="AA61" s="1">
        <f t="shared" si="47"/>
        <v>18.50677515498155</v>
      </c>
      <c r="AB61" s="1">
        <f t="shared" si="48"/>
        <v>18.922142015256139</v>
      </c>
      <c r="AC61" s="1">
        <f t="shared" si="48"/>
        <v>19.228231500588898</v>
      </c>
      <c r="AD61" s="1">
        <f t="shared" si="48"/>
        <v>19.454637906375812</v>
      </c>
      <c r="AE61" s="1">
        <f t="shared" si="48"/>
        <v>19.622158745590898</v>
      </c>
      <c r="AF61" s="1">
        <f t="shared" si="48"/>
        <v>19.745698148944062</v>
      </c>
      <c r="AG61" s="1">
        <f t="shared" si="48"/>
        <v>19.836121719949535</v>
      </c>
      <c r="AH61" s="1">
        <f t="shared" si="48"/>
        <v>19.901468623804689</v>
      </c>
      <c r="AI61" s="1">
        <f t="shared" si="48"/>
        <v>19.947761364822846</v>
      </c>
      <c r="AJ61" s="1">
        <f t="shared" si="48"/>
        <v>19.979558335105146</v>
      </c>
      <c r="AK61" s="1">
        <f t="shared" si="48"/>
        <v>20.000338423650899</v>
      </c>
      <c r="AL61" s="1">
        <f t="shared" si="49"/>
        <v>20.012773746326104</v>
      </c>
      <c r="AM61" s="1">
        <f t="shared" si="49"/>
        <v>20.018926387616638</v>
      </c>
      <c r="AN61" s="1">
        <f t="shared" si="49"/>
        <v>20.020392569033302</v>
      </c>
      <c r="AO61" s="1">
        <f t="shared" si="49"/>
        <v>20.018409799484221</v>
      </c>
      <c r="AP61" s="1">
        <f t="shared" si="49"/>
        <v>20.013937524096463</v>
      </c>
      <c r="AQ61" s="1">
        <f t="shared" si="49"/>
        <v>20.007718502767535</v>
      </c>
      <c r="AR61" s="1">
        <f t="shared" si="49"/>
        <v>20.000325972869536</v>
      </c>
      <c r="AS61" s="1">
        <f t="shared" si="49"/>
        <v>19.99220018522616</v>
      </c>
      <c r="AT61" s="1">
        <f t="shared" si="49"/>
        <v>19.983676900877107</v>
      </c>
      <c r="AU61" s="1">
        <f t="shared" si="49"/>
        <v>19.97500974110152</v>
      </c>
      <c r="AV61" s="1">
        <f t="shared" si="50"/>
        <v>19.966387793670599</v>
      </c>
      <c r="AW61" s="1">
        <f t="shared" si="50"/>
        <v>19.957949528526587</v>
      </c>
      <c r="AX61" s="1">
        <f t="shared" si="50"/>
        <v>19.949793822612381</v>
      </c>
      <c r="AY61" s="1">
        <f t="shared" si="50"/>
        <v>19.941988707385729</v>
      </c>
      <c r="AZ61" s="1">
        <f t="shared" si="50"/>
        <v>19.934578314015955</v>
      </c>
      <c r="BA61" s="1">
        <f t="shared" si="50"/>
        <v>19.927588386935348</v>
      </c>
    </row>
    <row r="62" spans="2:53">
      <c r="B62" s="3">
        <v>41</v>
      </c>
      <c r="C62" s="8">
        <f t="shared" si="3"/>
        <v>0.05</v>
      </c>
      <c r="D62" s="8">
        <f t="shared" ref="D62:O62" ca="1" si="60">C62+k*(theta-C62)*dt+vol*SQRT(dt)*_xlfn.NORM.S.INV(RAND())</f>
        <v>5.3477022033033367E-2</v>
      </c>
      <c r="E62" s="8">
        <f t="shared" ca="1" si="60"/>
        <v>5.3931011113736008E-2</v>
      </c>
      <c r="F62" s="8">
        <f t="shared" ca="1" si="60"/>
        <v>5.6017294074788018E-2</v>
      </c>
      <c r="G62" s="8">
        <f t="shared" ca="1" si="60"/>
        <v>5.9221948454211401E-2</v>
      </c>
      <c r="H62" s="8">
        <f t="shared" ca="1" si="60"/>
        <v>6.120541025004983E-2</v>
      </c>
      <c r="I62" s="8">
        <f t="shared" ca="1" si="60"/>
        <v>6.9866290578666543E-2</v>
      </c>
      <c r="J62" s="8">
        <f t="shared" ca="1" si="60"/>
        <v>6.8622949265200628E-2</v>
      </c>
      <c r="K62" s="8">
        <f t="shared" ca="1" si="60"/>
        <v>6.6346793220412287E-2</v>
      </c>
      <c r="L62" s="8">
        <f t="shared" ca="1" si="60"/>
        <v>6.4752135540666125E-2</v>
      </c>
      <c r="M62" s="8">
        <f t="shared" ca="1" si="60"/>
        <v>7.2357241984737017E-2</v>
      </c>
      <c r="N62" s="8">
        <f t="shared" ca="1" si="60"/>
        <v>7.5440066621685842E-2</v>
      </c>
      <c r="O62" s="8">
        <f t="shared" ca="1" si="60"/>
        <v>7.5375654825455343E-2</v>
      </c>
      <c r="Q62" s="12">
        <v>0.08</v>
      </c>
      <c r="R62" s="1">
        <f t="shared" ref="R62:AA71" si="61">_xlfn.NORM.DIST($Q62,R$18,SQRT(R$19),FALSE)</f>
        <v>8.6666043504900263E-9</v>
      </c>
      <c r="S62" s="1">
        <f t="shared" si="61"/>
        <v>0.2242962048963191</v>
      </c>
      <c r="T62" s="1">
        <f t="shared" si="61"/>
        <v>3.1368623014902601</v>
      </c>
      <c r="U62" s="1">
        <f t="shared" si="61"/>
        <v>7.045887640129556</v>
      </c>
      <c r="V62" s="1">
        <f t="shared" si="61"/>
        <v>10.240663323420524</v>
      </c>
      <c r="W62" s="1">
        <f t="shared" si="61"/>
        <v>12.60545734598648</v>
      </c>
      <c r="X62" s="1">
        <f t="shared" si="61"/>
        <v>14.332440243365529</v>
      </c>
      <c r="Y62" s="1">
        <f t="shared" si="61"/>
        <v>15.604479125847941</v>
      </c>
      <c r="Z62" s="1">
        <f t="shared" si="61"/>
        <v>16.554533772931215</v>
      </c>
      <c r="AA62" s="1">
        <f t="shared" si="61"/>
        <v>17.274213669123181</v>
      </c>
      <c r="AB62" s="1">
        <f t="shared" ref="AB62:AK71" si="62">_xlfn.NORM.DIST($Q62,AB$18,SQRT(AB$19),FALSE)</f>
        <v>17.826407370053783</v>
      </c>
      <c r="AC62" s="1">
        <f t="shared" si="62"/>
        <v>18.254809723068554</v>
      </c>
      <c r="AD62" s="1">
        <f t="shared" si="62"/>
        <v>18.590299599272104</v>
      </c>
      <c r="AE62" s="1">
        <f t="shared" si="62"/>
        <v>18.855093075692754</v>
      </c>
      <c r="AF62" s="1">
        <f t="shared" si="62"/>
        <v>19.065450935889039</v>
      </c>
      <c r="AG62" s="1">
        <f t="shared" si="62"/>
        <v>19.233464820372824</v>
      </c>
      <c r="AH62" s="1">
        <f t="shared" si="62"/>
        <v>19.368254695333466</v>
      </c>
      <c r="AI62" s="1">
        <f t="shared" si="62"/>
        <v>19.476785887131065</v>
      </c>
      <c r="AJ62" s="1">
        <f t="shared" si="62"/>
        <v>19.564436533510225</v>
      </c>
      <c r="AK62" s="1">
        <f t="shared" si="62"/>
        <v>19.635398577512845</v>
      </c>
      <c r="AL62" s="1">
        <f t="shared" ref="AL62:AU71" si="63">_xlfn.NORM.DIST($Q62,AL$18,SQRT(AL$19),FALSE)</f>
        <v>19.692965859075258</v>
      </c>
      <c r="AM62" s="1">
        <f t="shared" si="63"/>
        <v>19.739744339100568</v>
      </c>
      <c r="AN62" s="1">
        <f t="shared" si="63"/>
        <v>19.777807736621732</v>
      </c>
      <c r="AO62" s="1">
        <f t="shared" si="63"/>
        <v>19.808814292498223</v>
      </c>
      <c r="AP62" s="1">
        <f t="shared" si="63"/>
        <v>19.834095430225155</v>
      </c>
      <c r="AQ62" s="1">
        <f t="shared" si="63"/>
        <v>19.854723808801868</v>
      </c>
      <c r="AR62" s="1">
        <f t="shared" si="63"/>
        <v>19.871566060690899</v>
      </c>
      <c r="AS62" s="1">
        <f t="shared" si="63"/>
        <v>19.885324006815029</v>
      </c>
      <c r="AT62" s="1">
        <f t="shared" si="63"/>
        <v>19.896567102958034</v>
      </c>
      <c r="AU62" s="1">
        <f t="shared" si="63"/>
        <v>19.905758144869193</v>
      </c>
      <c r="AV62" s="1">
        <f t="shared" ref="AV62:BA71" si="64">_xlfn.NORM.DIST($Q62,AV$18,SQRT(AV$19),FALSE)</f>
        <v>19.913273742991034</v>
      </c>
      <c r="AW62" s="1">
        <f t="shared" si="64"/>
        <v>19.919420706107019</v>
      </c>
      <c r="AX62" s="1">
        <f t="shared" si="64"/>
        <v>19.924449202297094</v>
      </c>
      <c r="AY62" s="1">
        <f t="shared" si="64"/>
        <v>19.928563365630698</v>
      </c>
      <c r="AZ62" s="1">
        <f t="shared" si="64"/>
        <v>19.931929867677805</v>
      </c>
      <c r="BA62" s="1">
        <f t="shared" si="64"/>
        <v>19.934684860117294</v>
      </c>
    </row>
    <row r="63" spans="2:53">
      <c r="B63" s="3">
        <v>42</v>
      </c>
      <c r="C63" s="8">
        <f t="shared" si="3"/>
        <v>0.05</v>
      </c>
      <c r="D63" s="8">
        <f t="shared" ref="D63:O63" ca="1" si="65">C63+k*(theta-C63)*dt+vol*SQRT(dt)*_xlfn.NORM.S.INV(RAND())</f>
        <v>6.0340393234255794E-2</v>
      </c>
      <c r="E63" s="8">
        <f t="shared" ca="1" si="65"/>
        <v>6.4582469440049542E-2</v>
      </c>
      <c r="F63" s="8">
        <f t="shared" ca="1" si="65"/>
        <v>6.4389734020684694E-2</v>
      </c>
      <c r="G63" s="8">
        <f t="shared" ca="1" si="65"/>
        <v>7.1477108904904829E-2</v>
      </c>
      <c r="H63" s="8">
        <f t="shared" ca="1" si="65"/>
        <v>7.0219950614171703E-2</v>
      </c>
      <c r="I63" s="8">
        <f t="shared" ca="1" si="65"/>
        <v>8.0966474074800066E-2</v>
      </c>
      <c r="J63" s="8">
        <f t="shared" ca="1" si="65"/>
        <v>8.5407410572132941E-2</v>
      </c>
      <c r="K63" s="8">
        <f t="shared" ca="1" si="65"/>
        <v>8.8169670705917552E-2</v>
      </c>
      <c r="L63" s="8">
        <f t="shared" ca="1" si="65"/>
        <v>8.8938242675080922E-2</v>
      </c>
      <c r="M63" s="8">
        <f t="shared" ca="1" si="65"/>
        <v>7.9581047071716648E-2</v>
      </c>
      <c r="N63" s="8">
        <f t="shared" ca="1" si="65"/>
        <v>8.37943533230395E-2</v>
      </c>
      <c r="O63" s="8">
        <f t="shared" ca="1" si="65"/>
        <v>8.4799738419658682E-2</v>
      </c>
      <c r="Q63" s="12">
        <v>8.2000000000000003E-2</v>
      </c>
      <c r="R63" s="1">
        <f t="shared" si="61"/>
        <v>3.6107530278647831E-10</v>
      </c>
      <c r="S63" s="1">
        <f t="shared" si="61"/>
        <v>0.1012586418163238</v>
      </c>
      <c r="T63" s="1">
        <f t="shared" si="61"/>
        <v>2.108791459135003</v>
      </c>
      <c r="U63" s="1">
        <f t="shared" si="61"/>
        <v>5.4131893429697451</v>
      </c>
      <c r="V63" s="1">
        <f t="shared" si="61"/>
        <v>8.4154764649104283</v>
      </c>
      <c r="W63" s="1">
        <f t="shared" si="61"/>
        <v>10.790313227760121</v>
      </c>
      <c r="X63" s="1">
        <f t="shared" si="61"/>
        <v>12.611193284471186</v>
      </c>
      <c r="Y63" s="1">
        <f t="shared" si="61"/>
        <v>14.00690074657274</v>
      </c>
      <c r="Z63" s="1">
        <f t="shared" si="61"/>
        <v>15.086615044244992</v>
      </c>
      <c r="AA63" s="1">
        <f t="shared" si="61"/>
        <v>15.931726117844679</v>
      </c>
      <c r="AB63" s="1">
        <f t="shared" si="62"/>
        <v>16.60101583003587</v>
      </c>
      <c r="AC63" s="1">
        <f t="shared" si="62"/>
        <v>17.13685641527103</v>
      </c>
      <c r="AD63" s="1">
        <f t="shared" si="62"/>
        <v>17.570065908402331</v>
      </c>
      <c r="AE63" s="1">
        <f t="shared" si="62"/>
        <v>17.923349977285358</v>
      </c>
      <c r="AF63" s="1">
        <f t="shared" si="62"/>
        <v>18.213672808564947</v>
      </c>
      <c r="AG63" s="1">
        <f t="shared" si="62"/>
        <v>18.453884320164711</v>
      </c>
      <c r="AH63" s="1">
        <f t="shared" si="62"/>
        <v>18.653844548433348</v>
      </c>
      <c r="AI63" s="1">
        <f t="shared" si="62"/>
        <v>18.821209492108231</v>
      </c>
      <c r="AJ63" s="1">
        <f t="shared" si="62"/>
        <v>18.961987752993458</v>
      </c>
      <c r="AK63" s="1">
        <f t="shared" si="62"/>
        <v>19.080940418408904</v>
      </c>
      <c r="AL63" s="1">
        <f t="shared" si="63"/>
        <v>19.181872403210335</v>
      </c>
      <c r="AM63" s="1">
        <f t="shared" si="63"/>
        <v>19.267847631501169</v>
      </c>
      <c r="AN63" s="1">
        <f t="shared" si="63"/>
        <v>19.341350045393405</v>
      </c>
      <c r="AO63" s="1">
        <f t="shared" si="63"/>
        <v>19.404405554267559</v>
      </c>
      <c r="AP63" s="1">
        <f t="shared" si="63"/>
        <v>19.458675445848463</v>
      </c>
      <c r="AQ63" s="1">
        <f t="shared" si="63"/>
        <v>19.505528678527025</v>
      </c>
      <c r="AR63" s="1">
        <f t="shared" si="63"/>
        <v>19.546098354661762</v>
      </c>
      <c r="AS63" s="1">
        <f t="shared" si="63"/>
        <v>19.581326208790763</v>
      </c>
      <c r="AT63" s="1">
        <f t="shared" si="63"/>
        <v>19.611997918831133</v>
      </c>
      <c r="AU63" s="1">
        <f t="shared" si="63"/>
        <v>19.638771321706646</v>
      </c>
      <c r="AV63" s="1">
        <f t="shared" si="64"/>
        <v>19.662199093949187</v>
      </c>
      <c r="AW63" s="1">
        <f t="shared" si="64"/>
        <v>19.682747079961977</v>
      </c>
      <c r="AX63" s="1">
        <f t="shared" si="64"/>
        <v>19.70080917333047</v>
      </c>
      <c r="AY63" s="1">
        <f t="shared" si="64"/>
        <v>19.716719450750421</v>
      </c>
      <c r="AZ63" s="1">
        <f t="shared" si="64"/>
        <v>19.730762103717613</v>
      </c>
      <c r="BA63" s="1">
        <f t="shared" si="64"/>
        <v>19.743179596059402</v>
      </c>
    </row>
    <row r="64" spans="2:53">
      <c r="B64" s="3">
        <v>43</v>
      </c>
      <c r="C64" s="8">
        <f t="shared" si="3"/>
        <v>0.05</v>
      </c>
      <c r="D64" s="8">
        <f t="shared" ref="D64:O64" ca="1" si="66">C64+k*(theta-C64)*dt+vol*SQRT(dt)*_xlfn.NORM.S.INV(RAND())</f>
        <v>4.6755166113008395E-2</v>
      </c>
      <c r="E64" s="8">
        <f t="shared" ca="1" si="66"/>
        <v>3.9743828014535354E-2</v>
      </c>
      <c r="F64" s="8">
        <f t="shared" ca="1" si="66"/>
        <v>3.6601741504366514E-2</v>
      </c>
      <c r="G64" s="8">
        <f t="shared" ca="1" si="66"/>
        <v>4.0561015273746191E-2</v>
      </c>
      <c r="H64" s="8">
        <f t="shared" ca="1" si="66"/>
        <v>4.4536186150962526E-2</v>
      </c>
      <c r="I64" s="8">
        <f t="shared" ca="1" si="66"/>
        <v>4.6008591062582122E-2</v>
      </c>
      <c r="J64" s="8">
        <f t="shared" ca="1" si="66"/>
        <v>4.9828582656279471E-2</v>
      </c>
      <c r="K64" s="8">
        <f t="shared" ca="1" si="66"/>
        <v>5.9492279199986987E-2</v>
      </c>
      <c r="L64" s="8">
        <f t="shared" ca="1" si="66"/>
        <v>6.0100454812616208E-2</v>
      </c>
      <c r="M64" s="8">
        <f t="shared" ca="1" si="66"/>
        <v>6.5791328860672849E-2</v>
      </c>
      <c r="N64" s="8">
        <f t="shared" ca="1" si="66"/>
        <v>7.1311737124672703E-2</v>
      </c>
      <c r="O64" s="8">
        <f t="shared" ca="1" si="66"/>
        <v>7.2185148078166589E-2</v>
      </c>
      <c r="Q64" s="12">
        <v>8.4000000000000005E-2</v>
      </c>
      <c r="R64" s="1">
        <f t="shared" si="61"/>
        <v>1.2254571612153791E-11</v>
      </c>
      <c r="S64" s="1">
        <f t="shared" si="61"/>
        <v>4.3259723544871925E-2</v>
      </c>
      <c r="T64" s="1">
        <f t="shared" si="61"/>
        <v>1.375303658561291</v>
      </c>
      <c r="U64" s="1">
        <f t="shared" si="61"/>
        <v>4.0676647679048177</v>
      </c>
      <c r="V64" s="1">
        <f t="shared" si="61"/>
        <v>6.7911401021963709</v>
      </c>
      <c r="W64" s="1">
        <f t="shared" si="61"/>
        <v>9.0915736011378421</v>
      </c>
      <c r="X64" s="1">
        <f t="shared" si="61"/>
        <v>10.938994768973194</v>
      </c>
      <c r="Y64" s="1">
        <f t="shared" si="61"/>
        <v>12.407103017654126</v>
      </c>
      <c r="Z64" s="1">
        <f t="shared" si="61"/>
        <v>13.577664789557707</v>
      </c>
      <c r="AA64" s="1">
        <f t="shared" si="61"/>
        <v>14.518588043715603</v>
      </c>
      <c r="AB64" s="1">
        <f t="shared" si="62"/>
        <v>15.282091943866151</v>
      </c>
      <c r="AC64" s="1">
        <f t="shared" si="62"/>
        <v>15.907461635717167</v>
      </c>
      <c r="AD64" s="1">
        <f t="shared" si="62"/>
        <v>16.424197443449714</v>
      </c>
      <c r="AE64" s="1">
        <f t="shared" si="62"/>
        <v>16.85459410698197</v>
      </c>
      <c r="AF64" s="1">
        <f t="shared" si="62"/>
        <v>17.215666484714358</v>
      </c>
      <c r="AG64" s="1">
        <f t="shared" si="62"/>
        <v>17.520543083945967</v>
      </c>
      <c r="AH64" s="1">
        <f t="shared" si="62"/>
        <v>17.779466431499717</v>
      </c>
      <c r="AI64" s="1">
        <f t="shared" si="62"/>
        <v>18.00051291484538</v>
      </c>
      <c r="AJ64" s="1">
        <f t="shared" si="62"/>
        <v>18.190114604303311</v>
      </c>
      <c r="AK64" s="1">
        <f t="shared" si="62"/>
        <v>18.353441269709275</v>
      </c>
      <c r="AL64" s="1">
        <f t="shared" si="63"/>
        <v>18.494683125733577</v>
      </c>
      <c r="AM64" s="1">
        <f t="shared" si="63"/>
        <v>18.617262479133775</v>
      </c>
      <c r="AN64" s="1">
        <f t="shared" si="63"/>
        <v>18.72399393852913</v>
      </c>
      <c r="AO64" s="1">
        <f t="shared" si="63"/>
        <v>18.817207005526633</v>
      </c>
      <c r="AP64" s="1">
        <f t="shared" si="63"/>
        <v>18.89884084731975</v>
      </c>
      <c r="AQ64" s="1">
        <f t="shared" si="63"/>
        <v>18.970518270311871</v>
      </c>
      <c r="AR64" s="1">
        <f t="shared" si="63"/>
        <v>19.033603975588736</v>
      </c>
      <c r="AS64" s="1">
        <f t="shared" si="63"/>
        <v>19.089250813316518</v>
      </c>
      <c r="AT64" s="1">
        <f t="shared" si="63"/>
        <v>19.138436784663103</v>
      </c>
      <c r="AU64" s="1">
        <f t="shared" si="63"/>
        <v>19.181994845182835</v>
      </c>
      <c r="AV64" s="1">
        <f t="shared" si="64"/>
        <v>19.220637060247572</v>
      </c>
      <c r="AW64" s="1">
        <f t="shared" si="64"/>
        <v>19.254974294602302</v>
      </c>
      <c r="AX64" s="1">
        <f t="shared" si="64"/>
        <v>19.28553234557269</v>
      </c>
      <c r="AY64" s="1">
        <f t="shared" si="64"/>
        <v>19.312765225834173</v>
      </c>
      <c r="AZ64" s="1">
        <f t="shared" si="64"/>
        <v>19.337066148042616</v>
      </c>
      <c r="BA64" s="1">
        <f t="shared" si="64"/>
        <v>19.358776646653325</v>
      </c>
    </row>
    <row r="65" spans="2:53">
      <c r="B65" s="3">
        <v>44</v>
      </c>
      <c r="C65" s="8">
        <f t="shared" si="3"/>
        <v>0.05</v>
      </c>
      <c r="D65" s="8">
        <f t="shared" ref="D65:O65" ca="1" si="67">C65+k*(theta-C65)*dt+vol*SQRT(dt)*_xlfn.NORM.S.INV(RAND())</f>
        <v>3.6453571834833873E-2</v>
      </c>
      <c r="E65" s="8">
        <f t="shared" ca="1" si="67"/>
        <v>3.0278423448642157E-2</v>
      </c>
      <c r="F65" s="8">
        <f t="shared" ca="1" si="67"/>
        <v>2.8734952730133691E-2</v>
      </c>
      <c r="G65" s="8">
        <f t="shared" ca="1" si="67"/>
        <v>2.853622314407564E-2</v>
      </c>
      <c r="H65" s="8">
        <f t="shared" ca="1" si="67"/>
        <v>3.9248098381939198E-2</v>
      </c>
      <c r="I65" s="8">
        <f t="shared" ca="1" si="67"/>
        <v>3.9734856861135072E-2</v>
      </c>
      <c r="J65" s="8">
        <f t="shared" ca="1" si="67"/>
        <v>3.703255706159251E-2</v>
      </c>
      <c r="K65" s="8">
        <f t="shared" ca="1" si="67"/>
        <v>3.2069169197215058E-2</v>
      </c>
      <c r="L65" s="8">
        <f t="shared" ca="1" si="67"/>
        <v>3.6931634617435892E-2</v>
      </c>
      <c r="M65" s="8">
        <f t="shared" ca="1" si="67"/>
        <v>3.4766112903906576E-2</v>
      </c>
      <c r="N65" s="8">
        <f t="shared" ca="1" si="67"/>
        <v>4.1735486700448479E-2</v>
      </c>
      <c r="O65" s="8">
        <f t="shared" ca="1" si="67"/>
        <v>4.5622301652373146E-2</v>
      </c>
      <c r="Q65" s="12">
        <v>8.5999999999999993E-2</v>
      </c>
      <c r="R65" s="1">
        <f t="shared" si="61"/>
        <v>3.3880516339140054E-13</v>
      </c>
      <c r="S65" s="1">
        <f t="shared" si="61"/>
        <v>1.7489478134230064E-2</v>
      </c>
      <c r="T65" s="1">
        <f t="shared" si="61"/>
        <v>0.87014243323152751</v>
      </c>
      <c r="U65" s="1">
        <f t="shared" si="61"/>
        <v>2.9895892300689013</v>
      </c>
      <c r="V65" s="1">
        <f t="shared" si="61"/>
        <v>5.3817067509805954</v>
      </c>
      <c r="W65" s="1">
        <f t="shared" si="61"/>
        <v>7.540039629591865</v>
      </c>
      <c r="X65" s="1">
        <f t="shared" si="61"/>
        <v>9.3537086410172385</v>
      </c>
      <c r="Y65" s="1">
        <f t="shared" si="61"/>
        <v>10.845118147445406</v>
      </c>
      <c r="Z65" s="1">
        <f t="shared" si="61"/>
        <v>12.067485202292943</v>
      </c>
      <c r="AA65" s="1">
        <f t="shared" si="61"/>
        <v>13.073231128481567</v>
      </c>
      <c r="AB65" s="1">
        <f t="shared" si="62"/>
        <v>13.906193255834276</v>
      </c>
      <c r="AC65" s="1">
        <f t="shared" si="62"/>
        <v>14.601130759486606</v>
      </c>
      <c r="AD65" s="1">
        <f t="shared" si="62"/>
        <v>15.185136103349265</v>
      </c>
      <c r="AE65" s="1">
        <f t="shared" si="62"/>
        <v>15.679276551817306</v>
      </c>
      <c r="AF65" s="1">
        <f t="shared" si="62"/>
        <v>16.100005023266661</v>
      </c>
      <c r="AG65" s="1">
        <f t="shared" si="62"/>
        <v>16.460265553627568</v>
      </c>
      <c r="AH65" s="1">
        <f t="shared" si="62"/>
        <v>16.770329599955158</v>
      </c>
      <c r="AI65" s="1">
        <f t="shared" si="62"/>
        <v>17.038420988626672</v>
      </c>
      <c r="AJ65" s="1">
        <f t="shared" si="62"/>
        <v>17.271182175969482</v>
      </c>
      <c r="AK65" s="1">
        <f t="shared" si="62"/>
        <v>17.474023458801518</v>
      </c>
      <c r="AL65" s="1">
        <f t="shared" si="63"/>
        <v>17.651386284953048</v>
      </c>
      <c r="AM65" s="1">
        <f t="shared" si="63"/>
        <v>17.806943430684811</v>
      </c>
      <c r="AN65" s="1">
        <f t="shared" si="63"/>
        <v>17.943752541118709</v>
      </c>
      <c r="AO65" s="1">
        <f t="shared" si="63"/>
        <v>18.064374973524455</v>
      </c>
      <c r="AP65" s="1">
        <f t="shared" si="63"/>
        <v>18.170968613249105</v>
      </c>
      <c r="AQ65" s="1">
        <f t="shared" si="63"/>
        <v>18.265360993674989</v>
      </c>
      <c r="AR65" s="1">
        <f t="shared" si="63"/>
        <v>18.349107377357335</v>
      </c>
      <c r="AS65" s="1">
        <f t="shared" si="63"/>
        <v>18.423537251816853</v>
      </c>
      <c r="AT65" s="1">
        <f t="shared" si="63"/>
        <v>18.489791822927831</v>
      </c>
      <c r="AU65" s="1">
        <f t="shared" si="63"/>
        <v>18.548854454756242</v>
      </c>
      <c r="AV65" s="1">
        <f t="shared" si="64"/>
        <v>18.601575539205854</v>
      </c>
      <c r="AW65" s="1">
        <f t="shared" si="64"/>
        <v>18.648692934254726</v>
      </c>
      <c r="AX65" s="1">
        <f t="shared" si="64"/>
        <v>18.690848852316488</v>
      </c>
      <c r="AY65" s="1">
        <f t="shared" si="64"/>
        <v>18.728603886553667</v>
      </c>
      <c r="AZ65" s="1">
        <f t="shared" si="64"/>
        <v>18.762448715865602</v>
      </c>
      <c r="BA65" s="1">
        <f t="shared" si="64"/>
        <v>18.792813916630074</v>
      </c>
    </row>
    <row r="66" spans="2:53">
      <c r="B66" s="3">
        <v>45</v>
      </c>
      <c r="C66" s="8">
        <f t="shared" si="3"/>
        <v>0.05</v>
      </c>
      <c r="D66" s="8">
        <f t="shared" ref="D66:O66" ca="1" si="68">C66+k*(theta-C66)*dt+vol*SQRT(dt)*_xlfn.NORM.S.INV(RAND())</f>
        <v>4.47976476313377E-2</v>
      </c>
      <c r="E66" s="8">
        <f t="shared" ca="1" si="68"/>
        <v>5.261664034177823E-2</v>
      </c>
      <c r="F66" s="8">
        <f t="shared" ca="1" si="68"/>
        <v>6.3740503106174184E-2</v>
      </c>
      <c r="G66" s="8">
        <f t="shared" ca="1" si="68"/>
        <v>4.8224586303372327E-2</v>
      </c>
      <c r="H66" s="8">
        <f t="shared" ca="1" si="68"/>
        <v>4.5824231208470921E-2</v>
      </c>
      <c r="I66" s="8">
        <f t="shared" ca="1" si="68"/>
        <v>4.2601363725388815E-2</v>
      </c>
      <c r="J66" s="8">
        <f t="shared" ca="1" si="68"/>
        <v>3.7230506287690451E-2</v>
      </c>
      <c r="K66" s="8">
        <f t="shared" ca="1" si="68"/>
        <v>4.4050037351735023E-2</v>
      </c>
      <c r="L66" s="8">
        <f t="shared" ca="1" si="68"/>
        <v>4.0407352347054754E-2</v>
      </c>
      <c r="M66" s="8">
        <f t="shared" ca="1" si="68"/>
        <v>3.3837967606635544E-2</v>
      </c>
      <c r="N66" s="8">
        <f t="shared" ca="1" si="68"/>
        <v>2.7251010779423528E-2</v>
      </c>
      <c r="O66" s="8">
        <f t="shared" ca="1" si="68"/>
        <v>2.3716646113041726E-2</v>
      </c>
      <c r="Q66" s="12">
        <v>8.7999999999999995E-2</v>
      </c>
      <c r="R66" s="1">
        <f t="shared" si="61"/>
        <v>7.6305078420988384E-15</v>
      </c>
      <c r="S66" s="1">
        <f t="shared" si="61"/>
        <v>6.6913143227947981E-3</v>
      </c>
      <c r="T66" s="1">
        <f t="shared" si="61"/>
        <v>0.534083157818251</v>
      </c>
      <c r="U66" s="1">
        <f t="shared" si="61"/>
        <v>2.1490786890839417</v>
      </c>
      <c r="V66" s="1">
        <f t="shared" si="61"/>
        <v>4.1880390991003766</v>
      </c>
      <c r="W66" s="1">
        <f t="shared" si="61"/>
        <v>6.1551375195719533</v>
      </c>
      <c r="X66" s="1">
        <f t="shared" si="61"/>
        <v>7.8845234966539852</v>
      </c>
      <c r="Y66" s="1">
        <f t="shared" si="61"/>
        <v>9.3547836802060651</v>
      </c>
      <c r="Z66" s="1">
        <f t="shared" si="61"/>
        <v>10.591729633090438</v>
      </c>
      <c r="AA66" s="1">
        <f t="shared" si="61"/>
        <v>11.631574380813991</v>
      </c>
      <c r="AB66" s="1">
        <f t="shared" si="62"/>
        <v>12.508666694744056</v>
      </c>
      <c r="AC66" s="1">
        <f t="shared" si="62"/>
        <v>13.252199806128292</v>
      </c>
      <c r="AD66" s="1">
        <f t="shared" si="62"/>
        <v>13.885994384532825</v>
      </c>
      <c r="AE66" s="1">
        <f t="shared" si="62"/>
        <v>14.429203254002067</v>
      </c>
      <c r="AF66" s="1">
        <f t="shared" si="62"/>
        <v>14.897179251767596</v>
      </c>
      <c r="AG66" s="1">
        <f t="shared" si="62"/>
        <v>15.302261330299553</v>
      </c>
      <c r="AH66" s="1">
        <f t="shared" si="62"/>
        <v>15.654419851315312</v>
      </c>
      <c r="AI66" s="1">
        <f t="shared" si="62"/>
        <v>15.961765345015998</v>
      </c>
      <c r="AJ66" s="1">
        <f t="shared" si="62"/>
        <v>16.230942950388989</v>
      </c>
      <c r="AK66" s="1">
        <f t="shared" si="62"/>
        <v>16.467436574074686</v>
      </c>
      <c r="AL66" s="1">
        <f t="shared" si="63"/>
        <v>16.675803573102144</v>
      </c>
      <c r="AM66" s="1">
        <f t="shared" si="63"/>
        <v>16.859856545440824</v>
      </c>
      <c r="AN66" s="1">
        <f t="shared" si="63"/>
        <v>17.022804968561925</v>
      </c>
      <c r="AO66" s="1">
        <f t="shared" si="63"/>
        <v>17.167366308367992</v>
      </c>
      <c r="AP66" s="1">
        <f t="shared" si="63"/>
        <v>17.295853816603206</v>
      </c>
      <c r="AQ66" s="1">
        <f t="shared" si="63"/>
        <v>17.410246425321738</v>
      </c>
      <c r="AR66" s="1">
        <f t="shared" si="63"/>
        <v>17.512244800382263</v>
      </c>
      <c r="AS66" s="1">
        <f t="shared" si="63"/>
        <v>17.603316617998019</v>
      </c>
      <c r="AT66" s="1">
        <f t="shared" si="63"/>
        <v>17.684733388771772</v>
      </c>
      <c r="AU66" s="1">
        <f t="shared" si="63"/>
        <v>17.757600604011198</v>
      </c>
      <c r="AV66" s="1">
        <f t="shared" si="64"/>
        <v>17.822882568842331</v>
      </c>
      <c r="AW66" s="1">
        <f t="shared" si="64"/>
        <v>17.881422978678216</v>
      </c>
      <c r="AX66" s="1">
        <f t="shared" si="64"/>
        <v>17.933962062985255</v>
      </c>
      <c r="AY66" s="1">
        <f t="shared" si="64"/>
        <v>17.98115094340524</v>
      </c>
      <c r="AZ66" s="1">
        <f t="shared" si="64"/>
        <v>18.023563717849388</v>
      </c>
      <c r="BA66" s="1">
        <f t="shared" si="64"/>
        <v>18.061707677746476</v>
      </c>
    </row>
    <row r="67" spans="2:53">
      <c r="B67" s="3">
        <v>46</v>
      </c>
      <c r="C67" s="8">
        <f t="shared" si="3"/>
        <v>0.05</v>
      </c>
      <c r="D67" s="8">
        <f t="shared" ref="D67:O67" ca="1" si="69">C67+k*(theta-C67)*dt+vol*SQRT(dt)*_xlfn.NORM.S.INV(RAND())</f>
        <v>3.8155136036892336E-2</v>
      </c>
      <c r="E67" s="8">
        <f t="shared" ca="1" si="69"/>
        <v>2.8943861550001969E-2</v>
      </c>
      <c r="F67" s="8">
        <f t="shared" ca="1" si="69"/>
        <v>3.1707804978209679E-2</v>
      </c>
      <c r="G67" s="8">
        <f t="shared" ca="1" si="69"/>
        <v>2.9422308215133506E-2</v>
      </c>
      <c r="H67" s="8">
        <f t="shared" ca="1" si="69"/>
        <v>3.513178047603692E-2</v>
      </c>
      <c r="I67" s="8">
        <f t="shared" ca="1" si="69"/>
        <v>4.5990881310430637E-2</v>
      </c>
      <c r="J67" s="8">
        <f t="shared" ca="1" si="69"/>
        <v>3.8470204540428238E-2</v>
      </c>
      <c r="K67" s="8">
        <f t="shared" ca="1" si="69"/>
        <v>3.7362995651409464E-2</v>
      </c>
      <c r="L67" s="8">
        <f t="shared" ca="1" si="69"/>
        <v>3.0090776872038826E-2</v>
      </c>
      <c r="M67" s="8">
        <f t="shared" ca="1" si="69"/>
        <v>3.6657715243764849E-2</v>
      </c>
      <c r="N67" s="8">
        <f t="shared" ca="1" si="69"/>
        <v>4.7652197250646428E-2</v>
      </c>
      <c r="O67" s="8">
        <f t="shared" ca="1" si="69"/>
        <v>4.807184269969552E-2</v>
      </c>
      <c r="Q67" s="12">
        <v>0.09</v>
      </c>
      <c r="R67" s="1">
        <f t="shared" si="61"/>
        <v>1.3999367100960937E-16</v>
      </c>
      <c r="S67" s="1">
        <f t="shared" si="61"/>
        <v>2.4226321757465992E-3</v>
      </c>
      <c r="T67" s="1">
        <f t="shared" si="61"/>
        <v>0.31801983140713491</v>
      </c>
      <c r="U67" s="1">
        <f t="shared" si="61"/>
        <v>1.5110107206291703</v>
      </c>
      <c r="V67" s="1">
        <f t="shared" si="61"/>
        <v>3.200477546219183</v>
      </c>
      <c r="W67" s="1">
        <f t="shared" si="61"/>
        <v>4.9457419747414999</v>
      </c>
      <c r="X67" s="1">
        <f t="shared" si="61"/>
        <v>6.5516736465811087</v>
      </c>
      <c r="Y67" s="1">
        <f t="shared" si="61"/>
        <v>7.9628543753813235</v>
      </c>
      <c r="Z67" s="1">
        <f t="shared" si="61"/>
        <v>9.1806919789925594</v>
      </c>
      <c r="AA67" s="1">
        <f t="shared" si="61"/>
        <v>10.225653470474079</v>
      </c>
      <c r="AB67" s="1">
        <f t="shared" si="62"/>
        <v>11.122209932085683</v>
      </c>
      <c r="AC67" s="1">
        <f t="shared" si="62"/>
        <v>11.893381211829306</v>
      </c>
      <c r="AD67" s="1">
        <f t="shared" si="62"/>
        <v>12.559115275058845</v>
      </c>
      <c r="AE67" s="1">
        <f t="shared" si="62"/>
        <v>13.13612554934253</v>
      </c>
      <c r="AF67" s="1">
        <f t="shared" si="62"/>
        <v>13.638227681630646</v>
      </c>
      <c r="AG67" s="1">
        <f t="shared" si="62"/>
        <v>14.076798538266322</v>
      </c>
      <c r="AH67" s="1">
        <f t="shared" si="62"/>
        <v>14.461217601492997</v>
      </c>
      <c r="AI67" s="1">
        <f t="shared" si="62"/>
        <v>14.799246774811976</v>
      </c>
      <c r="AJ67" s="1">
        <f t="shared" si="62"/>
        <v>15.097342016431906</v>
      </c>
      <c r="AK67" s="1">
        <f t="shared" si="62"/>
        <v>15.360903517825886</v>
      </c>
      <c r="AL67" s="1">
        <f t="shared" si="63"/>
        <v>15.594474688900892</v>
      </c>
      <c r="AM67" s="1">
        <f t="shared" si="63"/>
        <v>15.80190002642432</v>
      </c>
      <c r="AN67" s="1">
        <f t="shared" si="63"/>
        <v>15.986450531585263</v>
      </c>
      <c r="AO67" s="1">
        <f t="shared" si="63"/>
        <v>16.15092371063291</v>
      </c>
      <c r="AP67" s="1">
        <f t="shared" si="63"/>
        <v>16.297723708163268</v>
      </c>
      <c r="AQ67" s="1">
        <f t="shared" si="63"/>
        <v>16.428925890332636</v>
      </c>
      <c r="AR67" s="1">
        <f t="shared" si="63"/>
        <v>16.546329215797019</v>
      </c>
      <c r="AS67" s="1">
        <f t="shared" si="63"/>
        <v>16.651498970865553</v>
      </c>
      <c r="AT67" s="1">
        <f t="shared" si="63"/>
        <v>16.745801860312628</v>
      </c>
      <c r="AU67" s="1">
        <f t="shared" si="63"/>
        <v>16.830434997970677</v>
      </c>
      <c r="AV67" s="1">
        <f t="shared" si="64"/>
        <v>16.906449999601378</v>
      </c>
      <c r="AW67" s="1">
        <f t="shared" si="64"/>
        <v>16.974773119291857</v>
      </c>
      <c r="AX67" s="1">
        <f t="shared" si="64"/>
        <v>17.036222170237423</v>
      </c>
      <c r="AY67" s="1">
        <f t="shared" si="64"/>
        <v>17.091520816442582</v>
      </c>
      <c r="AZ67" s="1">
        <f t="shared" si="64"/>
        <v>17.141310702439444</v>
      </c>
      <c r="BA67" s="1">
        <f t="shared" si="64"/>
        <v>17.186161795208037</v>
      </c>
    </row>
    <row r="68" spans="2:53">
      <c r="B68" s="3">
        <v>47</v>
      </c>
      <c r="C68" s="8">
        <f t="shared" si="3"/>
        <v>0.05</v>
      </c>
      <c r="D68" s="8">
        <f t="shared" ref="D68:O68" ca="1" si="70">C68+k*(theta-C68)*dt+vol*SQRT(dt)*_xlfn.NORM.S.INV(RAND())</f>
        <v>5.4179197755960529E-2</v>
      </c>
      <c r="E68" s="8">
        <f t="shared" ca="1" si="70"/>
        <v>6.0890815241363631E-2</v>
      </c>
      <c r="F68" s="8">
        <f t="shared" ca="1" si="70"/>
        <v>5.962454906016737E-2</v>
      </c>
      <c r="G68" s="8">
        <f t="shared" ca="1" si="70"/>
        <v>6.2591662436601192E-2</v>
      </c>
      <c r="H68" s="8">
        <f t="shared" ca="1" si="70"/>
        <v>6.6039789718842931E-2</v>
      </c>
      <c r="I68" s="8">
        <f t="shared" ca="1" si="70"/>
        <v>7.3038686687613014E-2</v>
      </c>
      <c r="J68" s="8">
        <f t="shared" ca="1" si="70"/>
        <v>7.9721200200025696E-2</v>
      </c>
      <c r="K68" s="8">
        <f t="shared" ca="1" si="70"/>
        <v>7.7802911038252903E-2</v>
      </c>
      <c r="L68" s="8">
        <f t="shared" ca="1" si="70"/>
        <v>7.8279822199159785E-2</v>
      </c>
      <c r="M68" s="8">
        <f t="shared" ca="1" si="70"/>
        <v>8.8875665447357685E-2</v>
      </c>
      <c r="N68" s="8">
        <f t="shared" ca="1" si="70"/>
        <v>9.5385646993581166E-2</v>
      </c>
      <c r="O68" s="8">
        <f t="shared" ca="1" si="70"/>
        <v>9.6608776923298167E-2</v>
      </c>
      <c r="Q68" s="12">
        <v>9.1999999999999998E-2</v>
      </c>
      <c r="R68" s="1">
        <f t="shared" si="61"/>
        <v>2.0922563635961354E-18</v>
      </c>
      <c r="S68" s="1">
        <f t="shared" si="61"/>
        <v>8.3005142581317611E-4</v>
      </c>
      <c r="T68" s="1">
        <f t="shared" si="61"/>
        <v>0.18370725526025405</v>
      </c>
      <c r="U68" s="1">
        <f t="shared" si="61"/>
        <v>1.0390996643908053</v>
      </c>
      <c r="V68" s="1">
        <f t="shared" si="61"/>
        <v>2.4017743400933038</v>
      </c>
      <c r="W68" s="1">
        <f t="shared" si="61"/>
        <v>3.9116024716694375</v>
      </c>
      <c r="X68" s="1">
        <f t="shared" si="61"/>
        <v>5.3667856643973417</v>
      </c>
      <c r="Y68" s="1">
        <f t="shared" si="61"/>
        <v>6.6886636893344749</v>
      </c>
      <c r="Z68" s="1">
        <f t="shared" si="61"/>
        <v>7.8585490073070661</v>
      </c>
      <c r="AA68" s="1">
        <f t="shared" si="61"/>
        <v>8.882611058853314</v>
      </c>
      <c r="AB68" s="1">
        <f t="shared" si="62"/>
        <v>9.7757134643180414</v>
      </c>
      <c r="AC68" s="1">
        <f t="shared" si="62"/>
        <v>10.554522317988869</v>
      </c>
      <c r="AD68" s="1">
        <f t="shared" si="62"/>
        <v>11.234787773516132</v>
      </c>
      <c r="AE68" s="1">
        <f t="shared" si="62"/>
        <v>11.830438409233349</v>
      </c>
      <c r="AF68" s="1">
        <f t="shared" si="62"/>
        <v>12.353433746924301</v>
      </c>
      <c r="AG68" s="1">
        <f t="shared" si="62"/>
        <v>12.813910297698706</v>
      </c>
      <c r="AH68" s="1">
        <f t="shared" si="62"/>
        <v>13.220419902300634</v>
      </c>
      <c r="AI68" s="1">
        <f t="shared" si="62"/>
        <v>13.580176516017783</v>
      </c>
      <c r="AJ68" s="1">
        <f t="shared" si="62"/>
        <v>13.899279635084067</v>
      </c>
      <c r="AK68" s="1">
        <f t="shared" si="62"/>
        <v>14.182905208575278</v>
      </c>
      <c r="AL68" s="1">
        <f t="shared" si="63"/>
        <v>14.435464268321615</v>
      </c>
      <c r="AM68" s="1">
        <f t="shared" si="63"/>
        <v>14.660732962363303</v>
      </c>
      <c r="AN68" s="1">
        <f t="shared" si="63"/>
        <v>14.861958540289478</v>
      </c>
      <c r="AO68" s="1">
        <f t="shared" si="63"/>
        <v>15.041945639247228</v>
      </c>
      <c r="AP68" s="1">
        <f t="shared" si="63"/>
        <v>15.203126646585442</v>
      </c>
      <c r="AQ68" s="1">
        <f t="shared" si="63"/>
        <v>15.34761926938892</v>
      </c>
      <c r="AR68" s="1">
        <f t="shared" si="63"/>
        <v>15.477273843576903</v>
      </c>
      <c r="AS68" s="1">
        <f t="shared" si="63"/>
        <v>15.593712405568926</v>
      </c>
      <c r="AT68" s="1">
        <f t="shared" si="63"/>
        <v>15.698361132331334</v>
      </c>
      <c r="AU68" s="1">
        <f t="shared" si="63"/>
        <v>15.792477421667208</v>
      </c>
      <c r="AV68" s="1">
        <f t="shared" si="64"/>
        <v>15.877172620541629</v>
      </c>
      <c r="AW68" s="1">
        <f t="shared" si="64"/>
        <v>15.953431201722715</v>
      </c>
      <c r="AX68" s="1">
        <f t="shared" si="64"/>
        <v>16.022127026360739</v>
      </c>
      <c r="AY68" s="1">
        <f t="shared" si="64"/>
        <v>16.084037202630086</v>
      </c>
      <c r="AZ68" s="1">
        <f t="shared" si="64"/>
        <v>16.139853950456445</v>
      </c>
      <c r="BA68" s="1">
        <f t="shared" si="64"/>
        <v>16.190194803537569</v>
      </c>
    </row>
    <row r="69" spans="2:53">
      <c r="B69" s="3">
        <v>48</v>
      </c>
      <c r="C69" s="8">
        <f t="shared" si="3"/>
        <v>0.05</v>
      </c>
      <c r="D69" s="8">
        <f t="shared" ref="D69:O69" ca="1" si="71">C69+k*(theta-C69)*dt+vol*SQRT(dt)*_xlfn.NORM.S.INV(RAND())</f>
        <v>4.916193819749836E-2</v>
      </c>
      <c r="E69" s="8">
        <f t="shared" ca="1" si="71"/>
        <v>5.0623793344320794E-2</v>
      </c>
      <c r="F69" s="8">
        <f t="shared" ca="1" si="71"/>
        <v>5.8339160154164876E-2</v>
      </c>
      <c r="G69" s="8">
        <f t="shared" ca="1" si="71"/>
        <v>5.8077906254190716E-2</v>
      </c>
      <c r="H69" s="8">
        <f t="shared" ca="1" si="71"/>
        <v>6.7149576931156016E-2</v>
      </c>
      <c r="I69" s="8">
        <f t="shared" ca="1" si="71"/>
        <v>6.9140987826943417E-2</v>
      </c>
      <c r="J69" s="8">
        <f t="shared" ca="1" si="71"/>
        <v>7.8194829806837535E-2</v>
      </c>
      <c r="K69" s="8">
        <f t="shared" ca="1" si="71"/>
        <v>7.1846668888500553E-2</v>
      </c>
      <c r="L69" s="8">
        <f t="shared" ca="1" si="71"/>
        <v>6.849780897882779E-2</v>
      </c>
      <c r="M69" s="8">
        <f t="shared" ca="1" si="71"/>
        <v>8.0767616451777838E-2</v>
      </c>
      <c r="N69" s="8">
        <f t="shared" ca="1" si="71"/>
        <v>7.5765164504222188E-2</v>
      </c>
      <c r="O69" s="8">
        <f t="shared" ca="1" si="71"/>
        <v>7.687616025739448E-2</v>
      </c>
      <c r="Q69" s="12">
        <v>9.4E-2</v>
      </c>
      <c r="R69" s="1">
        <f t="shared" si="61"/>
        <v>2.5472579666422114E-20</v>
      </c>
      <c r="S69" s="1">
        <f t="shared" si="61"/>
        <v>2.6913116304132288E-4</v>
      </c>
      <c r="T69" s="1">
        <f t="shared" si="61"/>
        <v>0.10294972699273217</v>
      </c>
      <c r="U69" s="1">
        <f t="shared" si="61"/>
        <v>0.69891006410513978</v>
      </c>
      <c r="V69" s="1">
        <f t="shared" si="61"/>
        <v>1.7699580594347939</v>
      </c>
      <c r="W69" s="1">
        <f t="shared" si="61"/>
        <v>3.0451418734410982</v>
      </c>
      <c r="X69" s="1">
        <f t="shared" si="61"/>
        <v>4.3337258694847769</v>
      </c>
      <c r="Y69" s="1">
        <f t="shared" si="61"/>
        <v>5.54428451369174</v>
      </c>
      <c r="Z69" s="1">
        <f t="shared" si="61"/>
        <v>6.6430532538391232</v>
      </c>
      <c r="AA69" s="1">
        <f t="shared" si="61"/>
        <v>7.6240761815869176</v>
      </c>
      <c r="AB69" s="1">
        <f t="shared" si="62"/>
        <v>8.4934306787825005</v>
      </c>
      <c r="AC69" s="1">
        <f t="shared" si="62"/>
        <v>9.2616359275931703</v>
      </c>
      <c r="AD69" s="1">
        <f t="shared" si="62"/>
        <v>9.9401849287378425</v>
      </c>
      <c r="AE69" s="1">
        <f t="shared" si="62"/>
        <v>10.540057884484122</v>
      </c>
      <c r="AF69" s="1">
        <f t="shared" si="62"/>
        <v>11.071164540819256</v>
      </c>
      <c r="AG69" s="1">
        <f t="shared" si="62"/>
        <v>11.542209883105311</v>
      </c>
      <c r="AH69" s="1">
        <f t="shared" si="62"/>
        <v>11.960742535175786</v>
      </c>
      <c r="AI69" s="1">
        <f t="shared" si="62"/>
        <v>12.33327260063915</v>
      </c>
      <c r="AJ69" s="1">
        <f t="shared" si="62"/>
        <v>12.665406917443804</v>
      </c>
      <c r="AK69" s="1">
        <f t="shared" si="62"/>
        <v>12.961979081331981</v>
      </c>
      <c r="AL69" s="1">
        <f t="shared" si="63"/>
        <v>13.227165563462801</v>
      </c>
      <c r="AM69" s="1">
        <f t="shared" si="63"/>
        <v>13.464585724737269</v>
      </c>
      <c r="AN69" s="1">
        <f t="shared" si="63"/>
        <v>13.677386368614853</v>
      </c>
      <c r="AO69" s="1">
        <f t="shared" si="63"/>
        <v>13.86831256551889</v>
      </c>
      <c r="AP69" s="1">
        <f t="shared" si="63"/>
        <v>14.039766755888964</v>
      </c>
      <c r="AQ69" s="1">
        <f t="shared" si="63"/>
        <v>14.19385805269291</v>
      </c>
      <c r="AR69" s="1">
        <f t="shared" si="63"/>
        <v>14.332443439530556</v>
      </c>
      <c r="AS69" s="1">
        <f t="shared" si="63"/>
        <v>14.457162301792128</v>
      </c>
      <c r="AT69" s="1">
        <f t="shared" si="63"/>
        <v>14.569465481882231</v>
      </c>
      <c r="AU69" s="1">
        <f t="shared" si="63"/>
        <v>14.670639832994537</v>
      </c>
      <c r="AV69" s="1">
        <f t="shared" si="64"/>
        <v>14.761829063534998</v>
      </c>
      <c r="AW69" s="1">
        <f t="shared" si="64"/>
        <v>14.844051514266255</v>
      </c>
      <c r="AX69" s="1">
        <f t="shared" si="64"/>
        <v>14.918215388523642</v>
      </c>
      <c r="AY69" s="1">
        <f t="shared" si="64"/>
        <v>14.985131857851615</v>
      </c>
      <c r="AZ69" s="1">
        <f t="shared" si="64"/>
        <v>15.04552638680722</v>
      </c>
      <c r="BA69" s="1">
        <f t="shared" si="64"/>
        <v>15.100048557712524</v>
      </c>
    </row>
    <row r="70" spans="2:53">
      <c r="B70" s="3">
        <v>49</v>
      </c>
      <c r="C70" s="8">
        <f t="shared" si="3"/>
        <v>0.05</v>
      </c>
      <c r="D70" s="8">
        <f t="shared" ref="D70:O70" ca="1" si="72">C70+k*(theta-C70)*dt+vol*SQRT(dt)*_xlfn.NORM.S.INV(RAND())</f>
        <v>4.9508678278521769E-2</v>
      </c>
      <c r="E70" s="8">
        <f t="shared" ca="1" si="72"/>
        <v>4.4445806922277904E-2</v>
      </c>
      <c r="F70" s="8">
        <f t="shared" ca="1" si="72"/>
        <v>5.0067595959765072E-2</v>
      </c>
      <c r="G70" s="8">
        <f t="shared" ca="1" si="72"/>
        <v>6.3537365986890582E-2</v>
      </c>
      <c r="H70" s="8">
        <f t="shared" ca="1" si="72"/>
        <v>5.9732750927236095E-2</v>
      </c>
      <c r="I70" s="8">
        <f t="shared" ca="1" si="72"/>
        <v>6.6946323524429099E-2</v>
      </c>
      <c r="J70" s="8">
        <f t="shared" ca="1" si="72"/>
        <v>6.6929928389980825E-2</v>
      </c>
      <c r="K70" s="8">
        <f t="shared" ca="1" si="72"/>
        <v>7.0762031915236862E-2</v>
      </c>
      <c r="L70" s="8">
        <f t="shared" ca="1" si="72"/>
        <v>6.4467330996773153E-2</v>
      </c>
      <c r="M70" s="8">
        <f t="shared" ca="1" si="72"/>
        <v>7.0578017744838753E-2</v>
      </c>
      <c r="N70" s="8">
        <f t="shared" ca="1" si="72"/>
        <v>6.5747594140735291E-2</v>
      </c>
      <c r="O70" s="8">
        <f t="shared" ca="1" si="72"/>
        <v>6.7553955345166339E-2</v>
      </c>
      <c r="Q70" s="12">
        <v>9.6000000000000002E-2</v>
      </c>
      <c r="R70" s="1">
        <f t="shared" si="61"/>
        <v>2.5262858950495664E-22</v>
      </c>
      <c r="S70" s="1">
        <f t="shared" si="61"/>
        <v>8.2578016256418718E-5</v>
      </c>
      <c r="T70" s="1">
        <f t="shared" si="61"/>
        <v>5.5969428881440721E-2</v>
      </c>
      <c r="U70" s="1">
        <f t="shared" si="61"/>
        <v>0.45979031038873719</v>
      </c>
      <c r="V70" s="1">
        <f t="shared" si="61"/>
        <v>1.2808760621297095</v>
      </c>
      <c r="W70" s="1">
        <f t="shared" si="61"/>
        <v>2.3334038661321683</v>
      </c>
      <c r="X70" s="1">
        <f t="shared" si="61"/>
        <v>3.4497991630479281</v>
      </c>
      <c r="Y70" s="1">
        <f t="shared" si="61"/>
        <v>4.5351036763104791</v>
      </c>
      <c r="Z70" s="1">
        <f t="shared" si="61"/>
        <v>5.5456380517665114</v>
      </c>
      <c r="AA70" s="1">
        <f t="shared" si="61"/>
        <v>6.4659272564194366</v>
      </c>
      <c r="AB70" s="1">
        <f t="shared" si="62"/>
        <v>7.2944934268439461</v>
      </c>
      <c r="AC70" s="1">
        <f t="shared" si="62"/>
        <v>8.0362364516727993</v>
      </c>
      <c r="AD70" s="1">
        <f t="shared" si="62"/>
        <v>8.6985691496339079</v>
      </c>
      <c r="AE70" s="1">
        <f t="shared" si="62"/>
        <v>9.2895304322387169</v>
      </c>
      <c r="AF70" s="1">
        <f t="shared" si="62"/>
        <v>9.8169093632701543</v>
      </c>
      <c r="AG70" s="1">
        <f t="shared" si="62"/>
        <v>10.287876889541744</v>
      </c>
      <c r="AH70" s="1">
        <f t="shared" si="62"/>
        <v>10.708867351422978</v>
      </c>
      <c r="AI70" s="1">
        <f t="shared" si="62"/>
        <v>11.085578441999033</v>
      </c>
      <c r="AJ70" s="1">
        <f t="shared" si="62"/>
        <v>11.423023199146286</v>
      </c>
      <c r="AK70" s="1">
        <f t="shared" si="62"/>
        <v>11.725600926324052</v>
      </c>
      <c r="AL70" s="1">
        <f t="shared" si="63"/>
        <v>11.997171038626519</v>
      </c>
      <c r="AM70" s="1">
        <f t="shared" si="63"/>
        <v>12.241122576187239</v>
      </c>
      <c r="AN70" s="1">
        <f t="shared" si="63"/>
        <v>12.460436545235732</v>
      </c>
      <c r="AO70" s="1">
        <f t="shared" si="63"/>
        <v>12.657740419206732</v>
      </c>
      <c r="AP70" s="1">
        <f t="shared" si="63"/>
        <v>12.835355142038754</v>
      </c>
      <c r="AQ70" s="1">
        <f t="shared" si="63"/>
        <v>12.995335390797596</v>
      </c>
      <c r="AR70" s="1">
        <f t="shared" si="63"/>
        <v>13.139503973016494</v>
      </c>
      <c r="AS70" s="1">
        <f t="shared" si="63"/>
        <v>13.269481211633464</v>
      </c>
      <c r="AT70" s="1">
        <f t="shared" si="63"/>
        <v>13.386710087878575</v>
      </c>
      <c r="AU70" s="1">
        <f t="shared" si="63"/>
        <v>13.492477810743162</v>
      </c>
      <c r="AV70" s="1">
        <f t="shared" si="64"/>
        <v>13.587934380455449</v>
      </c>
      <c r="AW70" s="1">
        <f t="shared" si="64"/>
        <v>13.674108621344972</v>
      </c>
      <c r="AX70" s="1">
        <f t="shared" si="64"/>
        <v>13.751922079599622</v>
      </c>
      <c r="AY70" s="1">
        <f t="shared" si="64"/>
        <v>13.82220111392918</v>
      </c>
      <c r="AZ70" s="1">
        <f t="shared" si="64"/>
        <v>13.885687451025767</v>
      </c>
      <c r="BA70" s="1">
        <f t="shared" si="64"/>
        <v>13.943047431473614</v>
      </c>
    </row>
    <row r="71" spans="2:53">
      <c r="B71" s="3">
        <v>50</v>
      </c>
      <c r="C71" s="8">
        <f t="shared" si="3"/>
        <v>0.05</v>
      </c>
      <c r="D71" s="8">
        <f t="shared" ref="D71:O71" ca="1" si="73">C71+k*(theta-C71)*dt+vol*SQRT(dt)*_xlfn.NORM.S.INV(RAND())</f>
        <v>5.529937272142052E-2</v>
      </c>
      <c r="E71" s="8">
        <f t="shared" ca="1" si="73"/>
        <v>5.5929593701006447E-2</v>
      </c>
      <c r="F71" s="8">
        <f t="shared" ca="1" si="73"/>
        <v>6.5104717234884826E-2</v>
      </c>
      <c r="G71" s="8">
        <f t="shared" ca="1" si="73"/>
        <v>7.9134422265247889E-2</v>
      </c>
      <c r="H71" s="8">
        <f t="shared" ca="1" si="73"/>
        <v>8.1562458425838785E-2</v>
      </c>
      <c r="I71" s="8">
        <f t="shared" ca="1" si="73"/>
        <v>8.6962354150848686E-2</v>
      </c>
      <c r="J71" s="8">
        <f t="shared" ca="1" si="73"/>
        <v>9.0801589341610006E-2</v>
      </c>
      <c r="K71" s="8">
        <f t="shared" ca="1" si="73"/>
        <v>9.0254971399423164E-2</v>
      </c>
      <c r="L71" s="8">
        <f t="shared" ca="1" si="73"/>
        <v>9.1429404138044554E-2</v>
      </c>
      <c r="M71" s="8">
        <f t="shared" ca="1" si="73"/>
        <v>7.7916894283492882E-2</v>
      </c>
      <c r="N71" s="8">
        <f t="shared" ca="1" si="73"/>
        <v>7.3018097757947362E-2</v>
      </c>
      <c r="O71" s="8">
        <f t="shared" ca="1" si="73"/>
        <v>7.6697188363239813E-2</v>
      </c>
      <c r="Q71" s="12">
        <v>9.8000000000000004E-2</v>
      </c>
      <c r="R71" s="1">
        <f t="shared" si="61"/>
        <v>2.0410028058703221E-24</v>
      </c>
      <c r="S71" s="1">
        <f t="shared" si="61"/>
        <v>2.3977636532521954E-5</v>
      </c>
      <c r="T71" s="1">
        <f t="shared" si="61"/>
        <v>2.951911525462864E-2</v>
      </c>
      <c r="U71" s="1">
        <f t="shared" si="61"/>
        <v>0.29585081227782456</v>
      </c>
      <c r="V71" s="1">
        <f t="shared" si="61"/>
        <v>0.9102582044531794</v>
      </c>
      <c r="W71" s="1">
        <f t="shared" si="61"/>
        <v>1.7599561907785002</v>
      </c>
      <c r="X71" s="1">
        <f t="shared" si="61"/>
        <v>2.7071441334050443</v>
      </c>
      <c r="Y71" s="1">
        <f t="shared" si="61"/>
        <v>3.6607029850661679</v>
      </c>
      <c r="Z71" s="1">
        <f t="shared" si="61"/>
        <v>4.5718684637645026</v>
      </c>
      <c r="AA71" s="1">
        <f t="shared" si="61"/>
        <v>5.4184043039546177</v>
      </c>
      <c r="AB71" s="1">
        <f t="shared" si="62"/>
        <v>6.1927626583655639</v>
      </c>
      <c r="AC71" s="1">
        <f t="shared" si="62"/>
        <v>6.8949891539804389</v>
      </c>
      <c r="AD71" s="1">
        <f t="shared" si="62"/>
        <v>7.5287857997248855</v>
      </c>
      <c r="AE71" s="1">
        <f t="shared" si="62"/>
        <v>8.0994053838278788</v>
      </c>
      <c r="AF71" s="1">
        <f t="shared" si="62"/>
        <v>8.6125571795212412</v>
      </c>
      <c r="AG71" s="1">
        <f t="shared" si="62"/>
        <v>9.0738595664032378</v>
      </c>
      <c r="AH71" s="1">
        <f t="shared" si="62"/>
        <v>9.4885847443158831</v>
      </c>
      <c r="AI71" s="1">
        <f t="shared" si="62"/>
        <v>9.8615572628433412</v>
      </c>
      <c r="AJ71" s="1">
        <f t="shared" si="62"/>
        <v>10.197131653436697</v>
      </c>
      <c r="AK71" s="1">
        <f t="shared" si="62"/>
        <v>10.499208953400817</v>
      </c>
      <c r="AL71" s="1">
        <f t="shared" si="63"/>
        <v>10.771270650703087</v>
      </c>
      <c r="AM71" s="1">
        <f t="shared" si="63"/>
        <v>11.016418772054269</v>
      </c>
      <c r="AN71" s="1">
        <f t="shared" si="63"/>
        <v>11.2374163784632</v>
      </c>
      <c r="AO71" s="1">
        <f t="shared" si="63"/>
        <v>11.436725730165515</v>
      </c>
      <c r="AP71" s="1">
        <f t="shared" si="63"/>
        <v>11.616542984177778</v>
      </c>
      <c r="AQ71" s="1">
        <f t="shared" si="63"/>
        <v>11.778829122044954</v>
      </c>
      <c r="AR71" s="1">
        <f t="shared" si="63"/>
        <v>11.925337219829043</v>
      </c>
      <c r="AS71" s="1">
        <f t="shared" si="63"/>
        <v>12.057636359402462</v>
      </c>
      <c r="AT71" s="1">
        <f t="shared" si="63"/>
        <v>12.177132546392109</v>
      </c>
      <c r="AU71" s="1">
        <f t="shared" si="63"/>
        <v>12.28508700471771</v>
      </c>
      <c r="AV71" s="1">
        <f t="shared" si="64"/>
        <v>12.382632192967026</v>
      </c>
      <c r="AW71" s="1">
        <f t="shared" si="64"/>
        <v>12.470785851304825</v>
      </c>
      <c r="AX71" s="1">
        <f t="shared" si="64"/>
        <v>12.550463348333702</v>
      </c>
      <c r="AY71" s="1">
        <f t="shared" si="64"/>
        <v>12.62248855979872</v>
      </c>
      <c r="AZ71" s="1">
        <f t="shared" si="64"/>
        <v>12.687603477213942</v>
      </c>
      <c r="BA71" s="1">
        <f t="shared" si="64"/>
        <v>12.746476715006699</v>
      </c>
    </row>
    <row r="72" spans="2:53">
      <c r="B72" s="3">
        <v>51</v>
      </c>
      <c r="C72" s="8">
        <f t="shared" si="3"/>
        <v>0.05</v>
      </c>
      <c r="D72" s="8">
        <f t="shared" ref="D72:O72" ca="1" si="74">C72+k*(theta-C72)*dt+vol*SQRT(dt)*_xlfn.NORM.S.INV(RAND())</f>
        <v>5.9051434052852868E-2</v>
      </c>
      <c r="E72" s="8">
        <f t="shared" ca="1" si="74"/>
        <v>5.2733669542513815E-2</v>
      </c>
      <c r="F72" s="8">
        <f t="shared" ca="1" si="74"/>
        <v>6.6473515688810561E-2</v>
      </c>
      <c r="G72" s="8">
        <f t="shared" ca="1" si="74"/>
        <v>7.0490069080884607E-2</v>
      </c>
      <c r="H72" s="8">
        <f t="shared" ca="1" si="74"/>
        <v>7.0955563011717016E-2</v>
      </c>
      <c r="I72" s="8">
        <f t="shared" ca="1" si="74"/>
        <v>6.7169945403569159E-2</v>
      </c>
      <c r="J72" s="8">
        <f t="shared" ca="1" si="74"/>
        <v>5.5654063091229604E-2</v>
      </c>
      <c r="K72" s="8">
        <f t="shared" ca="1" si="74"/>
        <v>5.5426425620940856E-2</v>
      </c>
      <c r="L72" s="8">
        <f t="shared" ca="1" si="74"/>
        <v>6.1163993867275411E-2</v>
      </c>
      <c r="M72" s="8">
        <f t="shared" ca="1" si="74"/>
        <v>6.3735067402500498E-2</v>
      </c>
      <c r="N72" s="8">
        <f t="shared" ca="1" si="74"/>
        <v>6.2083421520392555E-2</v>
      </c>
      <c r="O72" s="8">
        <f t="shared" ca="1" si="74"/>
        <v>5.4840610016313962E-2</v>
      </c>
      <c r="Q72" s="12">
        <v>0.1</v>
      </c>
      <c r="R72" s="1">
        <f t="shared" ref="R72:AA81" si="75">_xlfn.NORM.DIST($Q72,R$18,SQRT(R$19),FALSE)</f>
        <v>1.3432481236686415E-26</v>
      </c>
      <c r="S72" s="1">
        <f t="shared" si="75"/>
        <v>6.5885488265202802E-6</v>
      </c>
      <c r="T72" s="1">
        <f t="shared" si="75"/>
        <v>1.5103673310183302E-2</v>
      </c>
      <c r="U72" s="1">
        <f t="shared" si="75"/>
        <v>0.18619162748502838</v>
      </c>
      <c r="V72" s="1">
        <f t="shared" si="75"/>
        <v>0.63523651384390456</v>
      </c>
      <c r="W72" s="1">
        <f t="shared" si="75"/>
        <v>1.3066021369569831</v>
      </c>
      <c r="X72" s="1">
        <f t="shared" si="75"/>
        <v>2.0941806195531814</v>
      </c>
      <c r="Y72" s="1">
        <f t="shared" si="75"/>
        <v>2.9159315791479803</v>
      </c>
      <c r="Z72" s="1">
        <f t="shared" si="75"/>
        <v>3.7221541210385776</v>
      </c>
      <c r="AA72" s="1">
        <f t="shared" si="75"/>
        <v>4.4865137887702708</v>
      </c>
      <c r="AB72" s="1">
        <f t="shared" ref="AB72:AK81" si="76">_xlfn.NORM.DIST($Q72,AB$18,SQRT(AB$19),FALSE)</f>
        <v>5.196979956327465</v>
      </c>
      <c r="AC72" s="1">
        <f t="shared" si="76"/>
        <v>5.8496562687626072</v>
      </c>
      <c r="AD72" s="1">
        <f t="shared" si="76"/>
        <v>6.4450431183502417</v>
      </c>
      <c r="AE72" s="1">
        <f t="shared" si="76"/>
        <v>6.9858799760745658</v>
      </c>
      <c r="AF72" s="1">
        <f t="shared" si="76"/>
        <v>7.4759315480799078</v>
      </c>
      <c r="AG72" s="1">
        <f t="shared" si="76"/>
        <v>7.9193192694455607</v>
      </c>
      <c r="AH72" s="1">
        <f t="shared" si="76"/>
        <v>8.3201632338808906</v>
      </c>
      <c r="AI72" s="1">
        <f t="shared" si="76"/>
        <v>8.682399304114476</v>
      </c>
      <c r="AJ72" s="1">
        <f t="shared" si="76"/>
        <v>9.0096941922577223</v>
      </c>
      <c r="AK72" s="1">
        <f t="shared" si="76"/>
        <v>9.3054145612520731</v>
      </c>
      <c r="AL72" s="1">
        <f t="shared" ref="AL72:AU81" si="77">_xlfn.NORM.DIST($Q72,AL$18,SQRT(AL$19),FALSE)</f>
        <v>9.5726251743169897</v>
      </c>
      <c r="AM72" s="1">
        <f t="shared" si="77"/>
        <v>9.8141019506203033</v>
      </c>
      <c r="AN72" s="1">
        <f t="shared" si="77"/>
        <v>10.032351980075843</v>
      </c>
      <c r="AO72" s="1">
        <f t="shared" si="77"/>
        <v>10.229636097837616</v>
      </c>
      <c r="AP72" s="1">
        <f t="shared" si="77"/>
        <v>10.407991649150521</v>
      </c>
      <c r="AQ72" s="1">
        <f t="shared" si="77"/>
        <v>10.569254231760825</v>
      </c>
      <c r="AR72" s="1">
        <f t="shared" si="77"/>
        <v>10.715077855442443</v>
      </c>
      <c r="AS72" s="1">
        <f t="shared" si="77"/>
        <v>10.846953319409982</v>
      </c>
      <c r="AT72" s="1">
        <f t="shared" si="77"/>
        <v>10.966224801956036</v>
      </c>
      <c r="AU72" s="1">
        <f t="shared" si="77"/>
        <v>11.074104754376865</v>
      </c>
      <c r="AV72" s="1">
        <f t="shared" ref="AV72:BA81" si="78">_xlfn.NORM.DIST($Q72,AV$18,SQRT(AV$19),FALSE)</f>
        <v>11.171687234937734</v>
      </c>
      <c r="AW72" s="1">
        <f t="shared" si="78"/>
        <v>11.259959832564441</v>
      </c>
      <c r="AX72" s="1">
        <f t="shared" si="78"/>
        <v>11.339814328161546</v>
      </c>
      <c r="AY72" s="1">
        <f t="shared" si="78"/>
        <v>11.412056231966892</v>
      </c>
      <c r="AZ72" s="1">
        <f t="shared" si="78"/>
        <v>11.477413322650417</v>
      </c>
      <c r="BA72" s="1">
        <f t="shared" si="78"/>
        <v>11.536543300396003</v>
      </c>
    </row>
    <row r="73" spans="2:53">
      <c r="B73" s="3">
        <v>52</v>
      </c>
      <c r="C73" s="8">
        <f t="shared" si="3"/>
        <v>0.05</v>
      </c>
      <c r="D73" s="8">
        <f t="shared" ref="D73:O73" ca="1" si="79">C73+k*(theta-C73)*dt+vol*SQRT(dt)*_xlfn.NORM.S.INV(RAND())</f>
        <v>4.3799577844117761E-2</v>
      </c>
      <c r="E73" s="8">
        <f t="shared" ca="1" si="79"/>
        <v>5.410955376382947E-2</v>
      </c>
      <c r="F73" s="8">
        <f t="shared" ca="1" si="79"/>
        <v>5.9173383504270746E-2</v>
      </c>
      <c r="G73" s="8">
        <f t="shared" ca="1" si="79"/>
        <v>5.9851226703745049E-2</v>
      </c>
      <c r="H73" s="8">
        <f t="shared" ca="1" si="79"/>
        <v>7.0083504220274706E-2</v>
      </c>
      <c r="I73" s="8">
        <f t="shared" ca="1" si="79"/>
        <v>6.5895853034483018E-2</v>
      </c>
      <c r="J73" s="8">
        <f t="shared" ca="1" si="79"/>
        <v>7.3833490935604415E-2</v>
      </c>
      <c r="K73" s="8">
        <f t="shared" ca="1" si="79"/>
        <v>7.2003532521585714E-2</v>
      </c>
      <c r="L73" s="8">
        <f t="shared" ca="1" si="79"/>
        <v>7.1667612506876713E-2</v>
      </c>
      <c r="M73" s="8">
        <f t="shared" ca="1" si="79"/>
        <v>7.6029249696802623E-2</v>
      </c>
      <c r="N73" s="8">
        <f t="shared" ca="1" si="79"/>
        <v>7.1098525900699983E-2</v>
      </c>
      <c r="O73" s="8">
        <f t="shared" ca="1" si="79"/>
        <v>7.1977112745328073E-2</v>
      </c>
      <c r="Q73" s="12">
        <v>0.10199999999999999</v>
      </c>
      <c r="R73" s="1">
        <f t="shared" si="75"/>
        <v>7.2014577947234205E-29</v>
      </c>
      <c r="S73" s="1">
        <f t="shared" si="75"/>
        <v>1.7132259114464002E-6</v>
      </c>
      <c r="T73" s="1">
        <f t="shared" si="75"/>
        <v>7.497019065279378E-3</v>
      </c>
      <c r="U73" s="1">
        <f t="shared" si="75"/>
        <v>0.11460985444175605</v>
      </c>
      <c r="V73" s="1">
        <f t="shared" si="75"/>
        <v>0.43533106994770149</v>
      </c>
      <c r="W73" s="1">
        <f t="shared" si="75"/>
        <v>0.95480444763814054</v>
      </c>
      <c r="X73" s="1">
        <f t="shared" si="75"/>
        <v>1.5969895847414985</v>
      </c>
      <c r="Y73" s="1">
        <f t="shared" si="75"/>
        <v>2.2920586563230754</v>
      </c>
      <c r="Z73" s="1">
        <f t="shared" si="75"/>
        <v>2.9926325510860483</v>
      </c>
      <c r="AA73" s="1">
        <f t="shared" si="75"/>
        <v>3.6706553763282006</v>
      </c>
      <c r="AB73" s="1">
        <f t="shared" si="76"/>
        <v>4.3111680859195864</v>
      </c>
      <c r="AC73" s="1">
        <f t="shared" si="76"/>
        <v>4.9073042676447329</v>
      </c>
      <c r="AD73" s="1">
        <f t="shared" si="76"/>
        <v>5.4569563266174157</v>
      </c>
      <c r="AE73" s="1">
        <f t="shared" si="76"/>
        <v>5.9607061410668143</v>
      </c>
      <c r="AF73" s="1">
        <f t="shared" si="76"/>
        <v>6.4205816781831349</v>
      </c>
      <c r="AG73" s="1">
        <f t="shared" si="76"/>
        <v>6.839323621535498</v>
      </c>
      <c r="AH73" s="1">
        <f t="shared" si="76"/>
        <v>7.219959433617138</v>
      </c>
      <c r="AI73" s="1">
        <f t="shared" si="76"/>
        <v>7.5655607402583742</v>
      </c>
      <c r="AJ73" s="1">
        <f t="shared" si="76"/>
        <v>7.8791093996447588</v>
      </c>
      <c r="AK73" s="1">
        <f t="shared" si="76"/>
        <v>8.1634276828723209</v>
      </c>
      <c r="AL73" s="1">
        <f t="shared" si="77"/>
        <v>8.421145996481064</v>
      </c>
      <c r="AM73" s="1">
        <f t="shared" si="77"/>
        <v>8.6546923106681248</v>
      </c>
      <c r="AN73" s="1">
        <f t="shared" si="77"/>
        <v>8.8662938573704295</v>
      </c>
      <c r="AO73" s="1">
        <f t="shared" si="77"/>
        <v>9.0579854873929655</v>
      </c>
      <c r="AP73" s="1">
        <f t="shared" si="77"/>
        <v>9.2316213672754248</v>
      </c>
      <c r="AQ73" s="1">
        <f t="shared" si="77"/>
        <v>9.3888880718804675</v>
      </c>
      <c r="AR73" s="1">
        <f t="shared" si="77"/>
        <v>9.5313179543717936</v>
      </c>
      <c r="AS73" s="1">
        <f t="shared" si="77"/>
        <v>9.6603021700586353</v>
      </c>
      <c r="AT73" s="1">
        <f t="shared" si="77"/>
        <v>9.777103025660983</v>
      </c>
      <c r="AU73" s="1">
        <f t="shared" si="77"/>
        <v>9.8828654999008467</v>
      </c>
      <c r="AV73" s="1">
        <f t="shared" si="78"/>
        <v>9.9786278827348855</v>
      </c>
      <c r="AW73" s="1">
        <f t="shared" si="78"/>
        <v>10.065331538003447</v>
      </c>
      <c r="AX73" s="1">
        <f t="shared" si="78"/>
        <v>10.143829825395878</v>
      </c>
      <c r="AY73" s="1">
        <f t="shared" si="78"/>
        <v>10.214896233128284</v>
      </c>
      <c r="AZ73" s="1">
        <f t="shared" si="78"/>
        <v>10.279231779090848</v>
      </c>
      <c r="BA73" s="1">
        <f t="shared" si="78"/>
        <v>10.337471739372473</v>
      </c>
    </row>
    <row r="74" spans="2:53">
      <c r="B74" s="3">
        <v>53</v>
      </c>
      <c r="C74" s="8">
        <f t="shared" si="3"/>
        <v>0.05</v>
      </c>
      <c r="D74" s="8">
        <f t="shared" ref="D74:O74" ca="1" si="80">C74+k*(theta-C74)*dt+vol*SQRT(dt)*_xlfn.NORM.S.INV(RAND())</f>
        <v>4.7566838032204975E-2</v>
      </c>
      <c r="E74" s="8">
        <f t="shared" ca="1" si="80"/>
        <v>3.4193169908389637E-2</v>
      </c>
      <c r="F74" s="8">
        <f t="shared" ca="1" si="80"/>
        <v>4.0514846021005906E-2</v>
      </c>
      <c r="G74" s="8">
        <f t="shared" ca="1" si="80"/>
        <v>5.0250222956454337E-2</v>
      </c>
      <c r="H74" s="8">
        <f t="shared" ca="1" si="80"/>
        <v>5.5097288254303128E-2</v>
      </c>
      <c r="I74" s="8">
        <f t="shared" ca="1" si="80"/>
        <v>4.2519708453064464E-2</v>
      </c>
      <c r="J74" s="8">
        <f t="shared" ca="1" si="80"/>
        <v>4.6095760746599705E-2</v>
      </c>
      <c r="K74" s="8">
        <f t="shared" ca="1" si="80"/>
        <v>5.2458351095637928E-2</v>
      </c>
      <c r="L74" s="8">
        <f t="shared" ca="1" si="80"/>
        <v>5.1759810107961039E-2</v>
      </c>
      <c r="M74" s="8">
        <f t="shared" ca="1" si="80"/>
        <v>5.1473675665499867E-2</v>
      </c>
      <c r="N74" s="8">
        <f t="shared" ca="1" si="80"/>
        <v>5.7178922319909391E-2</v>
      </c>
      <c r="O74" s="8">
        <f t="shared" ca="1" si="80"/>
        <v>6.6322833008320675E-2</v>
      </c>
      <c r="Q74" s="12">
        <v>0.104</v>
      </c>
      <c r="R74" s="1">
        <f t="shared" si="75"/>
        <v>3.1451121281363759E-31</v>
      </c>
      <c r="S74" s="1">
        <f t="shared" si="75"/>
        <v>4.2158094103966758E-7</v>
      </c>
      <c r="T74" s="1">
        <f t="shared" si="75"/>
        <v>3.6101182914241533E-3</v>
      </c>
      <c r="U74" s="1">
        <f t="shared" si="75"/>
        <v>6.9001448017770362E-2</v>
      </c>
      <c r="V74" s="1">
        <f t="shared" si="75"/>
        <v>0.29296600822578484</v>
      </c>
      <c r="W74" s="1">
        <f t="shared" si="75"/>
        <v>0.68677592895895534</v>
      </c>
      <c r="X74" s="1">
        <f t="shared" si="75"/>
        <v>1.2005360949230093</v>
      </c>
      <c r="Y74" s="1">
        <f t="shared" si="75"/>
        <v>1.7779096538961554</v>
      </c>
      <c r="Z74" s="1">
        <f t="shared" si="75"/>
        <v>2.3761336140852274</v>
      </c>
      <c r="AA74" s="1">
        <f t="shared" si="75"/>
        <v>2.9673940640700085</v>
      </c>
      <c r="AB74" s="1">
        <f t="shared" si="76"/>
        <v>3.535217815756901</v>
      </c>
      <c r="AC74" s="1">
        <f t="shared" si="76"/>
        <v>4.0707225655079524</v>
      </c>
      <c r="AD74" s="1">
        <f t="shared" si="76"/>
        <v>4.569817892673842</v>
      </c>
      <c r="AE74" s="1">
        <f t="shared" si="76"/>
        <v>5.0313312699566115</v>
      </c>
      <c r="AF74" s="1">
        <f t="shared" si="76"/>
        <v>5.4558107234562758</v>
      </c>
      <c r="AG74" s="1">
        <f t="shared" si="76"/>
        <v>5.8447771859225419</v>
      </c>
      <c r="AH74" s="1">
        <f t="shared" si="76"/>
        <v>6.200263869700076</v>
      </c>
      <c r="AI74" s="1">
        <f t="shared" si="76"/>
        <v>6.5245355587248701</v>
      </c>
      <c r="AJ74" s="1">
        <f t="shared" si="76"/>
        <v>6.819919793751966</v>
      </c>
      <c r="AK74" s="1">
        <f t="shared" si="76"/>
        <v>7.0887074051022037</v>
      </c>
      <c r="AL74" s="1">
        <f t="shared" si="77"/>
        <v>7.3330959362650212</v>
      </c>
      <c r="AM74" s="1">
        <f t="shared" si="77"/>
        <v>7.5551595236333586</v>
      </c>
      <c r="AN74" s="1">
        <f t="shared" si="77"/>
        <v>7.7568350116509688</v>
      </c>
      <c r="AO74" s="1">
        <f t="shared" si="77"/>
        <v>7.9399179353646572</v>
      </c>
      <c r="AP74" s="1">
        <f t="shared" si="77"/>
        <v>8.1060643963540571</v>
      </c>
      <c r="AQ74" s="1">
        <f t="shared" si="77"/>
        <v>8.2567963503596342</v>
      </c>
      <c r="AR74" s="1">
        <f t="shared" si="77"/>
        <v>8.3935087584736028</v>
      </c>
      <c r="AS74" s="1">
        <f t="shared" si="77"/>
        <v>8.5174776396821201</v>
      </c>
      <c r="AT74" s="1">
        <f t="shared" si="77"/>
        <v>8.6298684313418885</v>
      </c>
      <c r="AU74" s="1">
        <f t="shared" si="77"/>
        <v>8.7317442967978049</v>
      </c>
      <c r="AV74" s="1">
        <f t="shared" si="78"/>
        <v>8.8240741662466871</v>
      </c>
      <c r="AW74" s="1">
        <f t="shared" si="78"/>
        <v>8.9077403896965048</v>
      </c>
      <c r="AX74" s="1">
        <f t="shared" si="78"/>
        <v>8.9835459392981569</v>
      </c>
      <c r="AY74" s="1">
        <f t="shared" si="78"/>
        <v>9.0522211349500523</v>
      </c>
      <c r="AZ74" s="1">
        <f t="shared" si="78"/>
        <v>9.1144298898123477</v>
      </c>
      <c r="BA74" s="1">
        <f t="shared" si="78"/>
        <v>9.1707754862454625</v>
      </c>
    </row>
    <row r="75" spans="2:53">
      <c r="B75" s="3">
        <v>54</v>
      </c>
      <c r="C75" s="8">
        <f t="shared" si="3"/>
        <v>0.05</v>
      </c>
      <c r="D75" s="8">
        <f t="shared" ref="D75:O75" ca="1" si="81">C75+k*(theta-C75)*dt+vol*SQRT(dt)*_xlfn.NORM.S.INV(RAND())</f>
        <v>5.6186670405059334E-2</v>
      </c>
      <c r="E75" s="8">
        <f t="shared" ca="1" si="81"/>
        <v>5.5874369525519017E-2</v>
      </c>
      <c r="F75" s="8">
        <f t="shared" ca="1" si="81"/>
        <v>6.1847962100855899E-2</v>
      </c>
      <c r="G75" s="8">
        <f t="shared" ca="1" si="81"/>
        <v>5.6823563380348843E-2</v>
      </c>
      <c r="H75" s="8">
        <f t="shared" ca="1" si="81"/>
        <v>5.4646099277161776E-2</v>
      </c>
      <c r="I75" s="8">
        <f t="shared" ca="1" si="81"/>
        <v>5.7472267836529527E-2</v>
      </c>
      <c r="J75" s="8">
        <f t="shared" ca="1" si="81"/>
        <v>6.0070816561394312E-2</v>
      </c>
      <c r="K75" s="8">
        <f t="shared" ca="1" si="81"/>
        <v>6.6243737240694378E-2</v>
      </c>
      <c r="L75" s="8">
        <f t="shared" ca="1" si="81"/>
        <v>7.0529413863958709E-2</v>
      </c>
      <c r="M75" s="8">
        <f t="shared" ca="1" si="81"/>
        <v>8.2495990188031887E-2</v>
      </c>
      <c r="N75" s="8">
        <f t="shared" ca="1" si="81"/>
        <v>8.5854978338282317E-2</v>
      </c>
      <c r="O75" s="8">
        <f t="shared" ca="1" si="81"/>
        <v>8.1793908749141012E-2</v>
      </c>
      <c r="Q75" s="12">
        <v>0.106</v>
      </c>
      <c r="R75" s="1">
        <f t="shared" si="75"/>
        <v>1.1189311986182959E-33</v>
      </c>
      <c r="S75" s="1">
        <f t="shared" si="75"/>
        <v>9.8172256395004765E-8</v>
      </c>
      <c r="T75" s="1">
        <f t="shared" si="75"/>
        <v>1.6864793778098319E-3</v>
      </c>
      <c r="U75" s="1">
        <f t="shared" si="75"/>
        <v>4.0632063554847074E-2</v>
      </c>
      <c r="V75" s="1">
        <f t="shared" si="75"/>
        <v>0.19361016810154083</v>
      </c>
      <c r="W75" s="1">
        <f t="shared" si="75"/>
        <v>0.48623392773743684</v>
      </c>
      <c r="X75" s="1">
        <f t="shared" si="75"/>
        <v>0.88967943240371805</v>
      </c>
      <c r="Y75" s="1">
        <f t="shared" si="75"/>
        <v>1.3609093914477255</v>
      </c>
      <c r="Z75" s="1">
        <f t="shared" si="75"/>
        <v>1.8631453617318923</v>
      </c>
      <c r="AA75" s="1">
        <f t="shared" si="75"/>
        <v>2.3703028629542335</v>
      </c>
      <c r="AB75" s="1">
        <f t="shared" si="76"/>
        <v>2.8655943116341067</v>
      </c>
      <c r="AC75" s="1">
        <f t="shared" si="76"/>
        <v>3.3389960253023427</v>
      </c>
      <c r="AD75" s="1">
        <f t="shared" si="76"/>
        <v>3.7850452377075015</v>
      </c>
      <c r="AE75" s="1">
        <f t="shared" si="76"/>
        <v>4.2012325585446311</v>
      </c>
      <c r="AF75" s="1">
        <f t="shared" si="76"/>
        <v>4.5869084909887601</v>
      </c>
      <c r="AG75" s="1">
        <f t="shared" si="76"/>
        <v>4.942563627419565</v>
      </c>
      <c r="AH75" s="1">
        <f t="shared" si="76"/>
        <v>5.2693626902114357</v>
      </c>
      <c r="AI75" s="1">
        <f t="shared" si="76"/>
        <v>5.568845834475459</v>
      </c>
      <c r="AJ75" s="1">
        <f t="shared" si="76"/>
        <v>5.8427386435785387</v>
      </c>
      <c r="AK75" s="1">
        <f t="shared" si="76"/>
        <v>6.0928323539234546</v>
      </c>
      <c r="AL75" s="1">
        <f t="shared" si="77"/>
        <v>6.3209093796051334</v>
      </c>
      <c r="AM75" s="1">
        <f t="shared" si="77"/>
        <v>6.5286980573730222</v>
      </c>
      <c r="AN75" s="1">
        <f t="shared" si="77"/>
        <v>6.7178462443329883</v>
      </c>
      <c r="AO75" s="1">
        <f t="shared" si="77"/>
        <v>6.8899070699324776</v>
      </c>
      <c r="AP75" s="1">
        <f t="shared" si="77"/>
        <v>7.0463324999125732</v>
      </c>
      <c r="AQ75" s="1">
        <f t="shared" si="77"/>
        <v>7.1884718863239128</v>
      </c>
      <c r="AR75" s="1">
        <f t="shared" si="77"/>
        <v>7.3175736573231189</v>
      </c>
      <c r="AS75" s="1">
        <f t="shared" si="77"/>
        <v>7.4347889362519402</v>
      </c>
      <c r="AT75" s="1">
        <f t="shared" si="77"/>
        <v>7.541176294285159</v>
      </c>
      <c r="AU75" s="1">
        <f t="shared" si="77"/>
        <v>7.6377071130449092</v>
      </c>
      <c r="AV75" s="1">
        <f t="shared" si="78"/>
        <v>7.7252712131296422</v>
      </c>
      <c r="AW75" s="1">
        <f t="shared" si="78"/>
        <v>7.8046825236790527</v>
      </c>
      <c r="AX75" s="1">
        <f t="shared" si="78"/>
        <v>7.8766846476561012</v>
      </c>
      <c r="AY75" s="1">
        <f t="shared" si="78"/>
        <v>7.94195623093192</v>
      </c>
      <c r="AZ75" s="1">
        <f t="shared" si="78"/>
        <v>8.0011160792787468</v>
      </c>
      <c r="BA75" s="1">
        <f t="shared" si="78"/>
        <v>8.0547279917551986</v>
      </c>
    </row>
    <row r="76" spans="2:53">
      <c r="B76" s="3">
        <v>55</v>
      </c>
      <c r="C76" s="8">
        <f t="shared" si="3"/>
        <v>0.05</v>
      </c>
      <c r="D76" s="8">
        <f t="shared" ref="D76:O76" ca="1" si="82">C76+k*(theta-C76)*dt+vol*SQRT(dt)*_xlfn.NORM.S.INV(RAND())</f>
        <v>5.441429989444968E-2</v>
      </c>
      <c r="E76" s="8">
        <f t="shared" ca="1" si="82"/>
        <v>5.326762772553216E-2</v>
      </c>
      <c r="F76" s="8">
        <f t="shared" ca="1" si="82"/>
        <v>4.6578764939745401E-2</v>
      </c>
      <c r="G76" s="8">
        <f t="shared" ca="1" si="82"/>
        <v>5.1913790031592369E-2</v>
      </c>
      <c r="H76" s="8">
        <f t="shared" ca="1" si="82"/>
        <v>5.852743121673095E-2</v>
      </c>
      <c r="I76" s="8">
        <f t="shared" ca="1" si="82"/>
        <v>6.6698541597919631E-2</v>
      </c>
      <c r="J76" s="8">
        <f t="shared" ca="1" si="82"/>
        <v>7.0553619030339534E-2</v>
      </c>
      <c r="K76" s="8">
        <f t="shared" ca="1" si="82"/>
        <v>6.0908991569528934E-2</v>
      </c>
      <c r="L76" s="8">
        <f t="shared" ca="1" si="82"/>
        <v>6.1068636586754474E-2</v>
      </c>
      <c r="M76" s="8">
        <f t="shared" ca="1" si="82"/>
        <v>6.7973080880423767E-2</v>
      </c>
      <c r="N76" s="8">
        <f t="shared" ca="1" si="82"/>
        <v>5.5770414141962252E-2</v>
      </c>
      <c r="O76" s="8">
        <f t="shared" ca="1" si="82"/>
        <v>4.5770469561005396E-2</v>
      </c>
      <c r="Q76" s="12">
        <v>0.108</v>
      </c>
      <c r="R76" s="1">
        <f t="shared" si="75"/>
        <v>3.2428149722507146E-36</v>
      </c>
      <c r="S76" s="1">
        <f t="shared" si="75"/>
        <v>2.1634060817668723E-8</v>
      </c>
      <c r="T76" s="1">
        <f t="shared" si="75"/>
        <v>7.6430627086553169E-4</v>
      </c>
      <c r="U76" s="1">
        <f t="shared" si="75"/>
        <v>2.3402054391464238E-2</v>
      </c>
      <c r="V76" s="1">
        <f t="shared" si="75"/>
        <v>0.12564709421316692</v>
      </c>
      <c r="W76" s="1">
        <f t="shared" si="75"/>
        <v>0.33884806951909047</v>
      </c>
      <c r="X76" s="1">
        <f t="shared" si="75"/>
        <v>0.6499456926784265</v>
      </c>
      <c r="Y76" s="1">
        <f t="shared" si="75"/>
        <v>1.0279791269378722</v>
      </c>
      <c r="Z76" s="1">
        <f t="shared" si="75"/>
        <v>1.442716637470667</v>
      </c>
      <c r="AA76" s="1">
        <f t="shared" si="75"/>
        <v>1.8708090607379604</v>
      </c>
      <c r="AB76" s="1">
        <f t="shared" si="76"/>
        <v>2.2960986504494305</v>
      </c>
      <c r="AC76" s="1">
        <f t="shared" si="76"/>
        <v>2.7081715953041705</v>
      </c>
      <c r="AD76" s="1">
        <f t="shared" si="76"/>
        <v>3.1007519106708257</v>
      </c>
      <c r="AE76" s="1">
        <f t="shared" si="76"/>
        <v>3.4703968537920198</v>
      </c>
      <c r="AF76" s="1">
        <f t="shared" si="76"/>
        <v>3.8155462127611139</v>
      </c>
      <c r="AG76" s="1">
        <f t="shared" si="76"/>
        <v>4.1358624021522079</v>
      </c>
      <c r="AH76" s="1">
        <f t="shared" si="76"/>
        <v>4.4317832950497733</v>
      </c>
      <c r="AI76" s="1">
        <f t="shared" si="76"/>
        <v>4.704222999933787</v>
      </c>
      <c r="AJ76" s="1">
        <f t="shared" si="76"/>
        <v>4.9543731010808596</v>
      </c>
      <c r="AK76" s="1">
        <f t="shared" si="76"/>
        <v>5.1835713806273294</v>
      </c>
      <c r="AL76" s="1">
        <f t="shared" si="77"/>
        <v>5.3932156821073445</v>
      </c>
      <c r="AM76" s="1">
        <f t="shared" si="77"/>
        <v>5.5847079558887849</v>
      </c>
      <c r="AN76" s="1">
        <f t="shared" si="77"/>
        <v>5.7594185099471948</v>
      </c>
      <c r="AO76" s="1">
        <f t="shared" si="77"/>
        <v>5.918663811497991</v>
      </c>
      <c r="AP76" s="1">
        <f t="shared" si="77"/>
        <v>6.0636933888761932</v>
      </c>
      <c r="AQ76" s="1">
        <f t="shared" si="77"/>
        <v>6.1956828444265462</v>
      </c>
      <c r="AR76" s="1">
        <f t="shared" si="77"/>
        <v>6.3157309604288958</v>
      </c>
      <c r="AS76" s="1">
        <f t="shared" si="77"/>
        <v>6.4248595282646725</v>
      </c>
      <c r="AT76" s="1">
        <f t="shared" si="77"/>
        <v>6.5240149659290916</v>
      </c>
      <c r="AU76" s="1">
        <f t="shared" si="77"/>
        <v>6.6140710826281968</v>
      </c>
      <c r="AV76" s="1">
        <f t="shared" si="78"/>
        <v>6.6958325488420254</v>
      </c>
      <c r="AW76" s="1">
        <f t="shared" si="78"/>
        <v>6.770038766986505</v>
      </c>
      <c r="AX76" s="1">
        <f t="shared" si="78"/>
        <v>6.8373679322064129</v>
      </c>
      <c r="AY76" s="1">
        <f t="shared" si="78"/>
        <v>6.8984411385042321</v>
      </c>
      <c r="AZ76" s="1">
        <f t="shared" si="78"/>
        <v>6.9538264314419438</v>
      </c>
      <c r="BA76" s="1">
        <f t="shared" si="78"/>
        <v>7.0040427411425874</v>
      </c>
    </row>
    <row r="77" spans="2:53">
      <c r="B77" s="3">
        <v>56</v>
      </c>
      <c r="C77" s="8">
        <f t="shared" si="3"/>
        <v>0.05</v>
      </c>
      <c r="D77" s="8">
        <f t="shared" ref="D77:O77" ca="1" si="83">C77+k*(theta-C77)*dt+vol*SQRT(dt)*_xlfn.NORM.S.INV(RAND())</f>
        <v>4.2928545181668734E-2</v>
      </c>
      <c r="E77" s="8">
        <f t="shared" ca="1" si="83"/>
        <v>4.6498837914324104E-2</v>
      </c>
      <c r="F77" s="8">
        <f t="shared" ca="1" si="83"/>
        <v>3.9221797627112358E-2</v>
      </c>
      <c r="G77" s="8">
        <f t="shared" ca="1" si="83"/>
        <v>4.9605149346708233E-2</v>
      </c>
      <c r="H77" s="8">
        <f t="shared" ca="1" si="83"/>
        <v>4.5783980569220346E-2</v>
      </c>
      <c r="I77" s="8">
        <f t="shared" ca="1" si="83"/>
        <v>6.0617196596962221E-2</v>
      </c>
      <c r="J77" s="8">
        <f t="shared" ca="1" si="83"/>
        <v>6.2594313549971997E-2</v>
      </c>
      <c r="K77" s="8">
        <f t="shared" ca="1" si="83"/>
        <v>6.950247890123476E-2</v>
      </c>
      <c r="L77" s="8">
        <f t="shared" ca="1" si="83"/>
        <v>6.4841061335962388E-2</v>
      </c>
      <c r="M77" s="8">
        <f t="shared" ca="1" si="83"/>
        <v>5.5728437617195772E-2</v>
      </c>
      <c r="N77" s="8">
        <f t="shared" ca="1" si="83"/>
        <v>5.4501064975723705E-2</v>
      </c>
      <c r="O77" s="8">
        <f t="shared" ca="1" si="83"/>
        <v>5.7917708607156955E-2</v>
      </c>
      <c r="Q77" s="12">
        <v>0.11</v>
      </c>
      <c r="R77" s="1">
        <f t="shared" si="75"/>
        <v>7.655833717871062E-39</v>
      </c>
      <c r="S77" s="1">
        <f t="shared" si="75"/>
        <v>4.5115813101536907E-9</v>
      </c>
      <c r="T77" s="1">
        <f t="shared" si="75"/>
        <v>3.3603196837963655E-4</v>
      </c>
      <c r="U77" s="1">
        <f t="shared" si="75"/>
        <v>1.3182977792612833E-2</v>
      </c>
      <c r="V77" s="1">
        <f t="shared" si="75"/>
        <v>8.0073736667695489E-2</v>
      </c>
      <c r="W77" s="1">
        <f t="shared" si="75"/>
        <v>0.23243115202751211</v>
      </c>
      <c r="X77" s="1">
        <f t="shared" si="75"/>
        <v>0.46806458203956008</v>
      </c>
      <c r="Y77" s="1">
        <f t="shared" si="75"/>
        <v>0.76625786304212162</v>
      </c>
      <c r="Z77" s="1">
        <f t="shared" si="75"/>
        <v>1.1032495512910445</v>
      </c>
      <c r="AA77" s="1">
        <f t="shared" si="75"/>
        <v>1.4589892576212793</v>
      </c>
      <c r="AB77" s="1">
        <f t="shared" si="76"/>
        <v>1.8186272237521592</v>
      </c>
      <c r="AC77" s="1">
        <f t="shared" si="76"/>
        <v>2.1719625588336817</v>
      </c>
      <c r="AD77" s="1">
        <f t="shared" si="76"/>
        <v>2.5123881159834265</v>
      </c>
      <c r="AE77" s="1">
        <f t="shared" si="76"/>
        <v>2.8358951387640019</v>
      </c>
      <c r="AF77" s="1">
        <f t="shared" si="76"/>
        <v>3.140286129274716</v>
      </c>
      <c r="AG77" s="1">
        <f t="shared" si="76"/>
        <v>3.4245964164375815</v>
      </c>
      <c r="AH77" s="1">
        <f t="shared" si="76"/>
        <v>3.6886839384322663</v>
      </c>
      <c r="AI77" s="1">
        <f t="shared" si="76"/>
        <v>3.9329436089829013</v>
      </c>
      <c r="AJ77" s="1">
        <f t="shared" si="76"/>
        <v>4.1581103866951334</v>
      </c>
      <c r="AK77" s="1">
        <f t="shared" si="76"/>
        <v>4.365124301515797</v>
      </c>
      <c r="AL77" s="1">
        <f t="shared" si="77"/>
        <v>4.5550383794846114</v>
      </c>
      <c r="AM77" s="1">
        <f t="shared" si="77"/>
        <v>4.7289561794937978</v>
      </c>
      <c r="AN77" s="1">
        <f t="shared" si="77"/>
        <v>4.8879897733907365</v>
      </c>
      <c r="AO77" s="1">
        <f t="shared" si="77"/>
        <v>5.0332318642718841</v>
      </c>
      <c r="AP77" s="1">
        <f t="shared" si="77"/>
        <v>5.1657377047798629</v>
      </c>
      <c r="AQ77" s="1">
        <f t="shared" si="77"/>
        <v>5.2865138215885725</v>
      </c>
      <c r="AR77" s="1">
        <f t="shared" si="77"/>
        <v>5.3965114705995827</v>
      </c>
      <c r="AS77" s="1">
        <f t="shared" si="77"/>
        <v>5.4966233761511551</v>
      </c>
      <c r="AT77" s="1">
        <f t="shared" si="77"/>
        <v>5.5876827399149667</v>
      </c>
      <c r="AU77" s="1">
        <f t="shared" si="77"/>
        <v>5.6704638041717024</v>
      </c>
      <c r="AV77" s="1">
        <f t="shared" si="78"/>
        <v>5.7456834623367747</v>
      </c>
      <c r="AW77" s="1">
        <f t="shared" si="78"/>
        <v>5.8140035556213396</v>
      </c>
      <c r="AX77" s="1">
        <f t="shared" si="78"/>
        <v>5.8760335979278988</v>
      </c>
      <c r="AY77" s="1">
        <f t="shared" si="78"/>
        <v>5.9323337446213458</v>
      </c>
      <c r="AZ77" s="1">
        <f t="shared" si="78"/>
        <v>5.9834178736243757</v>
      </c>
      <c r="BA77" s="1">
        <f t="shared" si="78"/>
        <v>6.0297566854851326</v>
      </c>
    </row>
    <row r="78" spans="2:53">
      <c r="B78" s="3">
        <v>57</v>
      </c>
      <c r="C78" s="8">
        <f t="shared" si="3"/>
        <v>0.05</v>
      </c>
      <c r="D78" s="8">
        <f t="shared" ref="D78:O78" ca="1" si="84">C78+k*(theta-C78)*dt+vol*SQRT(dt)*_xlfn.NORM.S.INV(RAND())</f>
        <v>5.7888460219032531E-2</v>
      </c>
      <c r="E78" s="8">
        <f t="shared" ca="1" si="84"/>
        <v>6.0426055559214487E-2</v>
      </c>
      <c r="F78" s="8">
        <f t="shared" ca="1" si="84"/>
        <v>4.9928478312334691E-2</v>
      </c>
      <c r="G78" s="8">
        <f t="shared" ca="1" si="84"/>
        <v>5.3609530156152337E-2</v>
      </c>
      <c r="H78" s="8">
        <f t="shared" ca="1" si="84"/>
        <v>5.8305038689658931E-2</v>
      </c>
      <c r="I78" s="8">
        <f t="shared" ca="1" si="84"/>
        <v>6.1737048417072643E-2</v>
      </c>
      <c r="J78" s="8">
        <f t="shared" ca="1" si="84"/>
        <v>5.2462119742282452E-2</v>
      </c>
      <c r="K78" s="8">
        <f t="shared" ca="1" si="84"/>
        <v>5.6252207152000286E-2</v>
      </c>
      <c r="L78" s="8">
        <f t="shared" ca="1" si="84"/>
        <v>4.9755760550969093E-2</v>
      </c>
      <c r="M78" s="8">
        <f t="shared" ca="1" si="84"/>
        <v>4.8915736347898531E-2</v>
      </c>
      <c r="N78" s="8">
        <f t="shared" ca="1" si="84"/>
        <v>4.9285233081815066E-2</v>
      </c>
      <c r="O78" s="8">
        <f t="shared" ca="1" si="84"/>
        <v>4.9306366883313593E-2</v>
      </c>
      <c r="Q78" s="12">
        <v>0.112</v>
      </c>
      <c r="R78" s="1">
        <f t="shared" si="75"/>
        <v>1.4723611553665869E-41</v>
      </c>
      <c r="S78" s="1">
        <f t="shared" si="75"/>
        <v>8.9035048735179403E-10</v>
      </c>
      <c r="T78" s="1">
        <f t="shared" si="75"/>
        <v>1.433245392544912E-4</v>
      </c>
      <c r="U78" s="1">
        <f t="shared" si="75"/>
        <v>7.2635258650415157E-3</v>
      </c>
      <c r="V78" s="1">
        <f t="shared" si="75"/>
        <v>5.0111926673925514E-2</v>
      </c>
      <c r="W78" s="1">
        <f t="shared" si="75"/>
        <v>0.15693261670344355</v>
      </c>
      <c r="X78" s="1">
        <f t="shared" si="75"/>
        <v>0.33229184272497519</v>
      </c>
      <c r="Y78" s="1">
        <f t="shared" si="75"/>
        <v>0.56363915372540629</v>
      </c>
      <c r="Z78" s="1">
        <f t="shared" si="75"/>
        <v>0.833153259548849</v>
      </c>
      <c r="AA78" s="1">
        <f t="shared" si="75"/>
        <v>1.1242728678368579</v>
      </c>
      <c r="AB78" s="1">
        <f t="shared" si="76"/>
        <v>1.4238824600043241</v>
      </c>
      <c r="AC78" s="1">
        <f t="shared" si="76"/>
        <v>1.722441058433172</v>
      </c>
      <c r="AD78" s="1">
        <f t="shared" si="76"/>
        <v>2.013400656247653</v>
      </c>
      <c r="AE78" s="1">
        <f t="shared" si="76"/>
        <v>2.2925024270802155</v>
      </c>
      <c r="AF78" s="1">
        <f t="shared" si="76"/>
        <v>2.557158130071187</v>
      </c>
      <c r="AG78" s="1">
        <f t="shared" si="76"/>
        <v>2.8059647943189789</v>
      </c>
      <c r="AH78" s="1">
        <f t="shared" si="76"/>
        <v>3.0383435436590434</v>
      </c>
      <c r="AI78" s="1">
        <f t="shared" si="76"/>
        <v>3.254278004868147</v>
      </c>
      <c r="AJ78" s="1">
        <f t="shared" si="76"/>
        <v>3.4541275943594689</v>
      </c>
      <c r="AK78" s="1">
        <f t="shared" si="76"/>
        <v>3.6384953482612308</v>
      </c>
      <c r="AL78" s="1">
        <f t="shared" si="77"/>
        <v>3.8081348584272203</v>
      </c>
      <c r="AM78" s="1">
        <f t="shared" si="77"/>
        <v>3.9638850419660616</v>
      </c>
      <c r="AN78" s="1">
        <f t="shared" si="77"/>
        <v>4.106624672025621</v>
      </c>
      <c r="AO78" s="1">
        <f t="shared" si="77"/>
        <v>4.2372409417730967</v>
      </c>
      <c r="AP78" s="1">
        <f t="shared" si="77"/>
        <v>4.3566080095354875</v>
      </c>
      <c r="AQ78" s="1">
        <f t="shared" si="77"/>
        <v>4.4655726569570504</v>
      </c>
      <c r="AR78" s="1">
        <f t="shared" si="77"/>
        <v>4.5649450240796083</v>
      </c>
      <c r="AS78" s="1">
        <f t="shared" si="77"/>
        <v>4.6554929696375291</v>
      </c>
      <c r="AT78" s="1">
        <f t="shared" si="77"/>
        <v>4.737939016221544</v>
      </c>
      <c r="AU78" s="1">
        <f t="shared" si="77"/>
        <v>4.8129591307583004</v>
      </c>
      <c r="AV78" s="1">
        <f t="shared" si="78"/>
        <v>4.881182797468087</v>
      </c>
      <c r="AW78" s="1">
        <f t="shared" si="78"/>
        <v>4.9431939883707754</v>
      </c>
      <c r="AX78" s="1">
        <f t="shared" si="78"/>
        <v>4.9995327429897696</v>
      </c>
      <c r="AY78" s="1">
        <f t="shared" si="78"/>
        <v>5.05069714626398</v>
      </c>
      <c r="AZ78" s="1">
        <f t="shared" si="78"/>
        <v>5.0971455502340106</v>
      </c>
      <c r="BA78" s="1">
        <f t="shared" si="78"/>
        <v>5.139298926698431</v>
      </c>
    </row>
    <row r="79" spans="2:53">
      <c r="B79" s="3">
        <v>58</v>
      </c>
      <c r="C79" s="8">
        <f t="shared" si="3"/>
        <v>0.05</v>
      </c>
      <c r="D79" s="8">
        <f t="shared" ref="D79:O79" ca="1" si="85">C79+k*(theta-C79)*dt+vol*SQRT(dt)*_xlfn.NORM.S.INV(RAND())</f>
        <v>5.6274632356820738E-2</v>
      </c>
      <c r="E79" s="8">
        <f t="shared" ca="1" si="85"/>
        <v>6.4473483700464296E-2</v>
      </c>
      <c r="F79" s="8">
        <f t="shared" ca="1" si="85"/>
        <v>6.4307835628970023E-2</v>
      </c>
      <c r="G79" s="8">
        <f t="shared" ca="1" si="85"/>
        <v>7.016367683302982E-2</v>
      </c>
      <c r="H79" s="8">
        <f t="shared" ca="1" si="85"/>
        <v>7.5882623726377565E-2</v>
      </c>
      <c r="I79" s="8">
        <f t="shared" ca="1" si="85"/>
        <v>7.2066232786936954E-2</v>
      </c>
      <c r="J79" s="8">
        <f t="shared" ca="1" si="85"/>
        <v>7.3351949205733916E-2</v>
      </c>
      <c r="K79" s="8">
        <f t="shared" ca="1" si="85"/>
        <v>7.7337008836531509E-2</v>
      </c>
      <c r="L79" s="8">
        <f t="shared" ca="1" si="85"/>
        <v>8.7107821035433061E-2</v>
      </c>
      <c r="M79" s="8">
        <f t="shared" ca="1" si="85"/>
        <v>8.3713935546848764E-2</v>
      </c>
      <c r="N79" s="8">
        <f t="shared" ca="1" si="85"/>
        <v>8.2769188478554676E-2</v>
      </c>
      <c r="O79" s="8">
        <f t="shared" ca="1" si="85"/>
        <v>7.8523949672462179E-2</v>
      </c>
      <c r="Q79" s="12">
        <v>0.114</v>
      </c>
      <c r="R79" s="1">
        <f t="shared" si="75"/>
        <v>2.3066821053106113E-44</v>
      </c>
      <c r="S79" s="1">
        <f t="shared" si="75"/>
        <v>1.6627795780380529E-10</v>
      </c>
      <c r="T79" s="1">
        <f t="shared" si="75"/>
        <v>5.9304452111799868E-5</v>
      </c>
      <c r="U79" s="1">
        <f t="shared" si="75"/>
        <v>3.9143160182309594E-3</v>
      </c>
      <c r="V79" s="1">
        <f t="shared" si="75"/>
        <v>3.0796790916543745E-2</v>
      </c>
      <c r="W79" s="1">
        <f t="shared" si="75"/>
        <v>0.1042945609547211</v>
      </c>
      <c r="X79" s="1">
        <f t="shared" si="75"/>
        <v>0.23255129967582699</v>
      </c>
      <c r="Y79" s="1">
        <f t="shared" si="75"/>
        <v>0.40913150793932446</v>
      </c>
      <c r="Z79" s="1">
        <f t="shared" si="75"/>
        <v>0.6213473564076728</v>
      </c>
      <c r="AA79" s="1">
        <f t="shared" si="75"/>
        <v>0.85602879108109675</v>
      </c>
      <c r="AB79" s="1">
        <f t="shared" si="76"/>
        <v>1.1020007757265844</v>
      </c>
      <c r="AC79" s="1">
        <f t="shared" si="76"/>
        <v>1.3506794224894614</v>
      </c>
      <c r="AD79" s="1">
        <f t="shared" si="76"/>
        <v>1.5958697626423852</v>
      </c>
      <c r="AE79" s="1">
        <f t="shared" si="76"/>
        <v>1.8333190401330361</v>
      </c>
      <c r="AF79" s="1">
        <f t="shared" si="76"/>
        <v>2.0602589516389713</v>
      </c>
      <c r="AG79" s="1">
        <f t="shared" si="76"/>
        <v>2.2750164495309666</v>
      </c>
      <c r="AH79" s="1">
        <f t="shared" si="76"/>
        <v>2.4767080471383696</v>
      </c>
      <c r="AI79" s="1">
        <f t="shared" si="76"/>
        <v>2.6650090926622121</v>
      </c>
      <c r="AJ79" s="1">
        <f t="shared" si="76"/>
        <v>2.8399833521881996</v>
      </c>
      <c r="AK79" s="1">
        <f t="shared" si="76"/>
        <v>3.0019586775811757</v>
      </c>
      <c r="AL79" s="1">
        <f t="shared" si="77"/>
        <v>3.1514369755668086</v>
      </c>
      <c r="AM79" s="1">
        <f t="shared" si="77"/>
        <v>3.2890293640081429</v>
      </c>
      <c r="AN79" s="1">
        <f t="shared" si="77"/>
        <v>3.4154097039073212</v>
      </c>
      <c r="AO79" s="1">
        <f t="shared" si="77"/>
        <v>3.5312815054198321</v>
      </c>
      <c r="AP79" s="1">
        <f t="shared" si="77"/>
        <v>3.6373545659635282</v>
      </c>
      <c r="AQ79" s="1">
        <f t="shared" si="77"/>
        <v>3.734328696538848</v>
      </c>
      <c r="AR79" s="1">
        <f t="shared" si="77"/>
        <v>3.8228826161960821</v>
      </c>
      <c r="AS79" s="1">
        <f t="shared" si="77"/>
        <v>3.9036666168280405</v>
      </c>
      <c r="AT79" s="1">
        <f t="shared" si="77"/>
        <v>3.9772979769361769</v>
      </c>
      <c r="AU79" s="1">
        <f t="shared" si="77"/>
        <v>4.0443583749289953</v>
      </c>
      <c r="AV79" s="1">
        <f t="shared" si="78"/>
        <v>4.1053927496542233</v>
      </c>
      <c r="AW79" s="1">
        <f t="shared" si="78"/>
        <v>4.1609091995242533</v>
      </c>
      <c r="AX79" s="1">
        <f t="shared" si="78"/>
        <v>4.2113796168877515</v>
      </c>
      <c r="AY79" s="1">
        <f t="shared" si="78"/>
        <v>4.2572408319509805</v>
      </c>
      <c r="AZ79" s="1">
        <f t="shared" si="78"/>
        <v>4.2988960981724595</v>
      </c>
      <c r="BA79" s="1">
        <f t="shared" si="78"/>
        <v>4.336716794064718</v>
      </c>
    </row>
    <row r="80" spans="2:53">
      <c r="B80" s="3">
        <v>59</v>
      </c>
      <c r="C80" s="8">
        <f t="shared" si="3"/>
        <v>0.05</v>
      </c>
      <c r="D80" s="8">
        <f t="shared" ref="D80:O80" ca="1" si="86">C80+k*(theta-C80)*dt+vol*SQRT(dt)*_xlfn.NORM.S.INV(RAND())</f>
        <v>4.8949168207912029E-2</v>
      </c>
      <c r="E80" s="8">
        <f t="shared" ca="1" si="86"/>
        <v>4.2526336551320348E-2</v>
      </c>
      <c r="F80" s="8">
        <f t="shared" ca="1" si="86"/>
        <v>3.8459880114570015E-2</v>
      </c>
      <c r="G80" s="8">
        <f t="shared" ca="1" si="86"/>
        <v>3.7673357810003756E-2</v>
      </c>
      <c r="H80" s="8">
        <f t="shared" ca="1" si="86"/>
        <v>2.3980121281309059E-2</v>
      </c>
      <c r="I80" s="8">
        <f t="shared" ca="1" si="86"/>
        <v>2.7549345867058119E-2</v>
      </c>
      <c r="J80" s="8">
        <f t="shared" ca="1" si="86"/>
        <v>2.3596714134469569E-2</v>
      </c>
      <c r="K80" s="8">
        <f t="shared" ca="1" si="86"/>
        <v>2.7254926471294835E-2</v>
      </c>
      <c r="L80" s="8">
        <f t="shared" ca="1" si="86"/>
        <v>2.5861748138895274E-2</v>
      </c>
      <c r="M80" s="8">
        <f t="shared" ca="1" si="86"/>
        <v>3.3115060139779405E-2</v>
      </c>
      <c r="N80" s="8">
        <f t="shared" ca="1" si="86"/>
        <v>2.4041647528129546E-2</v>
      </c>
      <c r="O80" s="8">
        <f t="shared" ca="1" si="86"/>
        <v>2.0721731509350055E-2</v>
      </c>
      <c r="Q80" s="12">
        <v>0.11600000000000001</v>
      </c>
      <c r="R80" s="1">
        <f t="shared" si="75"/>
        <v>2.9438296705689287E-47</v>
      </c>
      <c r="S80" s="1">
        <f t="shared" si="75"/>
        <v>2.9386633214690782E-11</v>
      </c>
      <c r="T80" s="1">
        <f t="shared" si="75"/>
        <v>2.3805692910545754E-5</v>
      </c>
      <c r="U80" s="1">
        <f t="shared" si="75"/>
        <v>2.0631875741325282E-3</v>
      </c>
      <c r="V80" s="1">
        <f t="shared" si="75"/>
        <v>1.8585882510685343E-2</v>
      </c>
      <c r="W80" s="1">
        <f t="shared" si="75"/>
        <v>6.8224390836270049E-2</v>
      </c>
      <c r="X80" s="1">
        <f t="shared" si="75"/>
        <v>0.160436453235108</v>
      </c>
      <c r="Y80" s="1">
        <f t="shared" si="75"/>
        <v>0.29306250759658836</v>
      </c>
      <c r="Z80" s="1">
        <f t="shared" si="75"/>
        <v>0.45761729642841148</v>
      </c>
      <c r="AA80" s="1">
        <f t="shared" si="75"/>
        <v>0.64402395189595174</v>
      </c>
      <c r="AB80" s="1">
        <f t="shared" si="76"/>
        <v>0.84307646897571642</v>
      </c>
      <c r="AC80" s="1">
        <f t="shared" si="76"/>
        <v>1.0473119929226296</v>
      </c>
      <c r="AD80" s="1">
        <f t="shared" si="76"/>
        <v>1.2510897077077912</v>
      </c>
      <c r="AE80" s="1">
        <f t="shared" si="76"/>
        <v>1.4503569566377179</v>
      </c>
      <c r="AF80" s="1">
        <f t="shared" si="76"/>
        <v>1.6423355575595981</v>
      </c>
      <c r="AG80" s="1">
        <f t="shared" si="76"/>
        <v>1.8252248298503568</v>
      </c>
      <c r="AH80" s="1">
        <f t="shared" si="76"/>
        <v>1.9979529521300041</v>
      </c>
      <c r="AI80" s="1">
        <f t="shared" si="76"/>
        <v>2.1599806083533442</v>
      </c>
      <c r="AJ80" s="1">
        <f t="shared" si="76"/>
        <v>2.3111507198212076</v>
      </c>
      <c r="AK80" s="1">
        <f t="shared" si="76"/>
        <v>2.4515755003054069</v>
      </c>
      <c r="AL80" s="1">
        <f t="shared" si="77"/>
        <v>2.5815524910217715</v>
      </c>
      <c r="AM80" s="1">
        <f t="shared" si="77"/>
        <v>2.7015025980642751</v>
      </c>
      <c r="AN80" s="1">
        <f t="shared" si="77"/>
        <v>2.8119246353189165</v>
      </c>
      <c r="AO80" s="1">
        <f t="shared" si="77"/>
        <v>2.913362173611667</v>
      </c>
      <c r="AP80" s="1">
        <f t="shared" si="77"/>
        <v>3.0063795400042865</v>
      </c>
      <c r="AQ80" s="1">
        <f t="shared" si="77"/>
        <v>3.0915446143019572</v>
      </c>
      <c r="AR80" s="1">
        <f t="shared" si="77"/>
        <v>3.1694166742057255</v>
      </c>
      <c r="AS80" s="1">
        <f t="shared" si="77"/>
        <v>3.2405379899273501</v>
      </c>
      <c r="AT80" s="1">
        <f t="shared" si="77"/>
        <v>3.3054282014154781</v>
      </c>
      <c r="AU80" s="1">
        <f t="shared" si="77"/>
        <v>3.3645807567804238</v>
      </c>
      <c r="AV80" s="1">
        <f t="shared" si="78"/>
        <v>3.4184608720097822</v>
      </c>
      <c r="AW80" s="1">
        <f t="shared" si="78"/>
        <v>3.4675046067024766</v>
      </c>
      <c r="AX80" s="1">
        <f t="shared" si="78"/>
        <v>3.5121187508296563</v>
      </c>
      <c r="AY80" s="1">
        <f t="shared" si="78"/>
        <v>3.5526812925748001</v>
      </c>
      <c r="AZ80" s="1">
        <f t="shared" si="78"/>
        <v>3.5895422937386314</v>
      </c>
      <c r="BA80" s="1">
        <f t="shared" si="78"/>
        <v>3.6230250418360717</v>
      </c>
    </row>
    <row r="81" spans="2:53">
      <c r="B81" s="3">
        <v>60</v>
      </c>
      <c r="C81" s="8">
        <f t="shared" si="3"/>
        <v>0.05</v>
      </c>
      <c r="D81" s="8">
        <f t="shared" ref="D81:O81" ca="1" si="87">C81+k*(theta-C81)*dt+vol*SQRT(dt)*_xlfn.NORM.S.INV(RAND())</f>
        <v>4.9243591628999633E-2</v>
      </c>
      <c r="E81" s="8">
        <f t="shared" ca="1" si="87"/>
        <v>4.3626028233200068E-2</v>
      </c>
      <c r="F81" s="8">
        <f t="shared" ca="1" si="87"/>
        <v>5.2297898861150903E-2</v>
      </c>
      <c r="G81" s="8">
        <f t="shared" ca="1" si="87"/>
        <v>5.1239983193736217E-2</v>
      </c>
      <c r="H81" s="8">
        <f t="shared" ca="1" si="87"/>
        <v>4.7999817277370044E-2</v>
      </c>
      <c r="I81" s="8">
        <f t="shared" ca="1" si="87"/>
        <v>4.5385203087057138E-2</v>
      </c>
      <c r="J81" s="8">
        <f t="shared" ca="1" si="87"/>
        <v>4.251686786784975E-2</v>
      </c>
      <c r="K81" s="8">
        <f t="shared" ca="1" si="87"/>
        <v>3.7686964454233134E-2</v>
      </c>
      <c r="L81" s="8">
        <f t="shared" ca="1" si="87"/>
        <v>3.4032420883090199E-2</v>
      </c>
      <c r="M81" s="8">
        <f t="shared" ca="1" si="87"/>
        <v>3.5769465311601197E-2</v>
      </c>
      <c r="N81" s="8">
        <f t="shared" ca="1" si="87"/>
        <v>3.6401942092156345E-2</v>
      </c>
      <c r="O81" s="8">
        <f t="shared" ca="1" si="87"/>
        <v>4.3947509807965884E-2</v>
      </c>
      <c r="Q81" s="12">
        <v>0.11799999999999999</v>
      </c>
      <c r="R81" s="1">
        <f t="shared" si="75"/>
        <v>3.0604771847449894E-50</v>
      </c>
      <c r="S81" s="1">
        <f t="shared" si="75"/>
        <v>4.914806819209381E-12</v>
      </c>
      <c r="T81" s="1">
        <f t="shared" si="75"/>
        <v>9.2704569447776983E-6</v>
      </c>
      <c r="U81" s="1">
        <f t="shared" si="75"/>
        <v>1.0636432119303383E-3</v>
      </c>
      <c r="V81" s="1">
        <f t="shared" si="75"/>
        <v>1.1014740483722356E-2</v>
      </c>
      <c r="W81" s="1">
        <f t="shared" si="75"/>
        <v>4.3928587145966348E-2</v>
      </c>
      <c r="X81" s="1">
        <f t="shared" si="75"/>
        <v>0.10911200203514335</v>
      </c>
      <c r="Y81" s="1">
        <f t="shared" si="75"/>
        <v>0.20715392121563089</v>
      </c>
      <c r="Z81" s="1">
        <f t="shared" si="75"/>
        <v>0.33283487489913965</v>
      </c>
      <c r="AA81" s="1">
        <f t="shared" si="75"/>
        <v>0.4787542842661941</v>
      </c>
      <c r="AB81" s="1">
        <f t="shared" si="76"/>
        <v>0.63757215743909013</v>
      </c>
      <c r="AC81" s="1">
        <f t="shared" si="76"/>
        <v>0.80300037697819948</v>
      </c>
      <c r="AD81" s="1">
        <f t="shared" si="76"/>
        <v>0.97007032934029602</v>
      </c>
      <c r="AE81" s="1">
        <f t="shared" si="76"/>
        <v>1.1350640391363012</v>
      </c>
      <c r="AF81" s="1">
        <f t="shared" si="76"/>
        <v>1.2953223010302799</v>
      </c>
      <c r="AG81" s="1">
        <f t="shared" si="76"/>
        <v>1.449031073452941</v>
      </c>
      <c r="AH81" s="1">
        <f t="shared" si="76"/>
        <v>1.5950276048440093</v>
      </c>
      <c r="AI81" s="1">
        <f t="shared" si="76"/>
        <v>1.7326391452975345</v>
      </c>
      <c r="AJ81" s="1">
        <f t="shared" si="76"/>
        <v>1.8615546876294884</v>
      </c>
      <c r="AK81" s="1">
        <f t="shared" si="76"/>
        <v>1.9817255668033049</v>
      </c>
      <c r="AL81" s="1">
        <f t="shared" si="77"/>
        <v>2.0932896257840494</v>
      </c>
      <c r="AM81" s="1">
        <f t="shared" si="77"/>
        <v>2.1965139561807945</v>
      </c>
      <c r="AN81" s="1">
        <f t="shared" si="77"/>
        <v>2.2917519937621362</v>
      </c>
      <c r="AO81" s="1">
        <f t="shared" si="77"/>
        <v>2.3794115850554083</v>
      </c>
      <c r="AP81" s="1">
        <f t="shared" si="77"/>
        <v>2.4599313871103909</v>
      </c>
      <c r="AQ81" s="1">
        <f t="shared" si="77"/>
        <v>2.5337635753866965</v>
      </c>
      <c r="AR81" s="1">
        <f t="shared" si="77"/>
        <v>2.6013613177400376</v>
      </c>
      <c r="AS81" s="1">
        <f t="shared" si="77"/>
        <v>2.6631698446358771</v>
      </c>
      <c r="AT81" s="1">
        <f t="shared" si="77"/>
        <v>2.7196202289820706</v>
      </c>
      <c r="AU81" s="1">
        <f t="shared" si="77"/>
        <v>2.7711252032932365</v>
      </c>
      <c r="AV81" s="1">
        <f t="shared" si="78"/>
        <v>2.8180765037221369</v>
      </c>
      <c r="AW81" s="1">
        <f t="shared" si="78"/>
        <v>2.860843352726417</v>
      </c>
      <c r="AX81" s="1">
        <f t="shared" si="78"/>
        <v>2.8997717846499933</v>
      </c>
      <c r="AY81" s="1">
        <f t="shared" si="78"/>
        <v>2.9351845887166332</v>
      </c>
      <c r="AZ81" s="1">
        <f t="shared" si="78"/>
        <v>2.9673816974089178</v>
      </c>
      <c r="BA81" s="1">
        <f t="shared" si="78"/>
        <v>2.9966408890715881</v>
      </c>
    </row>
    <row r="82" spans="2:53">
      <c r="B82" s="3">
        <v>61</v>
      </c>
      <c r="C82" s="8">
        <f t="shared" si="3"/>
        <v>0.05</v>
      </c>
      <c r="D82" s="8">
        <f t="shared" ref="D82:O82" ca="1" si="88">C82+k*(theta-C82)*dt+vol*SQRT(dt)*_xlfn.NORM.S.INV(RAND())</f>
        <v>5.4442090898230773E-2</v>
      </c>
      <c r="E82" s="8">
        <f t="shared" ca="1" si="88"/>
        <v>5.3470775357695358E-2</v>
      </c>
      <c r="F82" s="8">
        <f t="shared" ca="1" si="88"/>
        <v>5.3418695691901767E-2</v>
      </c>
      <c r="G82" s="8">
        <f t="shared" ca="1" si="88"/>
        <v>5.6188412599838949E-2</v>
      </c>
      <c r="H82" s="8">
        <f t="shared" ca="1" si="88"/>
        <v>6.1101340332926898E-2</v>
      </c>
      <c r="I82" s="8">
        <f t="shared" ca="1" si="88"/>
        <v>5.8307051987520134E-2</v>
      </c>
      <c r="J82" s="8">
        <f t="shared" ca="1" si="88"/>
        <v>7.2042969789296585E-2</v>
      </c>
      <c r="K82" s="8">
        <f t="shared" ca="1" si="88"/>
        <v>7.3073084839929456E-2</v>
      </c>
      <c r="L82" s="8">
        <f t="shared" ca="1" si="88"/>
        <v>7.4225739957855752E-2</v>
      </c>
      <c r="M82" s="8">
        <f t="shared" ca="1" si="88"/>
        <v>6.6065899903840847E-2</v>
      </c>
      <c r="N82" s="8">
        <f t="shared" ca="1" si="88"/>
        <v>6.0595122124652512E-2</v>
      </c>
      <c r="O82" s="8">
        <f t="shared" ca="1" si="88"/>
        <v>5.468711093068114E-2</v>
      </c>
      <c r="Q82" s="12">
        <v>0.12</v>
      </c>
      <c r="R82" s="1">
        <f t="shared" ref="R82:AA87" si="89">_xlfn.NORM.DIST($Q82,R$18,SQRT(R$19),FALSE)</f>
        <v>2.5918934889198387E-53</v>
      </c>
      <c r="S82" s="1">
        <f t="shared" si="89"/>
        <v>7.7786555589566151E-13</v>
      </c>
      <c r="T82" s="1">
        <f t="shared" si="89"/>
        <v>3.5022588450514907E-6</v>
      </c>
      <c r="U82" s="1">
        <f t="shared" si="89"/>
        <v>5.3632453253035718E-4</v>
      </c>
      <c r="V82" s="1">
        <f t="shared" si="89"/>
        <v>6.4103052422497487E-3</v>
      </c>
      <c r="W82" s="1">
        <f t="shared" si="89"/>
        <v>2.7840970286235504E-2</v>
      </c>
      <c r="X82" s="1">
        <f t="shared" si="89"/>
        <v>7.3152165514184103E-2</v>
      </c>
      <c r="Y82" s="1">
        <f t="shared" si="89"/>
        <v>0.14449792743594825</v>
      </c>
      <c r="Z82" s="1">
        <f t="shared" si="89"/>
        <v>0.23906370167996124</v>
      </c>
      <c r="AA82" s="1">
        <f t="shared" si="89"/>
        <v>0.35165786361857726</v>
      </c>
      <c r="AB82" s="1">
        <f t="shared" ref="AB82:AK87" si="90">_xlfn.NORM.DIST($Q82,AB$18,SQRT(AB$19),FALSE)</f>
        <v>0.47661644871509551</v>
      </c>
      <c r="AC82" s="1">
        <f t="shared" si="90"/>
        <v>0.60879531375371509</v>
      </c>
      <c r="AD82" s="1">
        <f t="shared" si="90"/>
        <v>0.74394658825122906</v>
      </c>
      <c r="AE82" s="1">
        <f t="shared" si="90"/>
        <v>0.87876840841343518</v>
      </c>
      <c r="AF82" s="1">
        <f t="shared" si="90"/>
        <v>1.0108102812172193</v>
      </c>
      <c r="AG82" s="1">
        <f t="shared" si="90"/>
        <v>1.1383309206685936</v>
      </c>
      <c r="AH82" s="1">
        <f t="shared" si="90"/>
        <v>1.2601540939243843</v>
      </c>
      <c r="AI82" s="1">
        <f t="shared" si="90"/>
        <v>1.3755408898132506</v>
      </c>
      <c r="AJ82" s="1">
        <f t="shared" si="90"/>
        <v>1.4840836690245329</v>
      </c>
      <c r="AK82" s="1">
        <f t="shared" si="90"/>
        <v>1.585621146561788</v>
      </c>
      <c r="AL82" s="1">
        <f t="shared" ref="AL82:AU87" si="91">_xlfn.NORM.DIST($Q82,AL$18,SQRT(AL$19),FALSE)</f>
        <v>1.6801718706033739</v>
      </c>
      <c r="AM82" s="1">
        <f t="shared" si="91"/>
        <v>1.7678828519177252</v>
      </c>
      <c r="AN82" s="1">
        <f t="shared" si="91"/>
        <v>1.8489902951822679</v>
      </c>
      <c r="AO82" s="1">
        <f t="shared" si="91"/>
        <v>1.923789826560417</v>
      </c>
      <c r="AP82" s="1">
        <f t="shared" si="91"/>
        <v>1.9926140938953363</v>
      </c>
      <c r="AQ82" s="1">
        <f t="shared" si="91"/>
        <v>2.0558160534954713</v>
      </c>
      <c r="AR82" s="1">
        <f t="shared" si="91"/>
        <v>2.1137566247243607</v>
      </c>
      <c r="AS82" s="1">
        <f t="shared" si="91"/>
        <v>2.1667956894606406</v>
      </c>
      <c r="AT82" s="1">
        <f t="shared" si="91"/>
        <v>2.2152856464991766</v>
      </c>
      <c r="AU82" s="1">
        <f t="shared" si="91"/>
        <v>2.2595669121578106</v>
      </c>
      <c r="AV82" s="1">
        <f t="shared" ref="AV82:BA87" si="92">_xlfn.NORM.DIST($Q82,AV$18,SQRT(AV$19),FALSE)</f>
        <v>2.2999648983075933</v>
      </c>
      <c r="AW82" s="1">
        <f t="shared" si="92"/>
        <v>2.3367881068120941</v>
      </c>
      <c r="AX82" s="1">
        <f t="shared" si="92"/>
        <v>2.370327062282449</v>
      </c>
      <c r="AY82" s="1">
        <f t="shared" si="92"/>
        <v>2.4008538689007923</v>
      </c>
      <c r="AZ82" s="1">
        <f t="shared" si="92"/>
        <v>2.4286222262976302</v>
      </c>
      <c r="BA82" s="1">
        <f t="shared" si="92"/>
        <v>2.4538677775053239</v>
      </c>
    </row>
    <row r="83" spans="2:53">
      <c r="B83" s="3">
        <v>62</v>
      </c>
      <c r="C83" s="8">
        <f t="shared" si="3"/>
        <v>0.05</v>
      </c>
      <c r="D83" s="8">
        <f t="shared" ref="D83:O83" ca="1" si="93">C83+k*(theta-C83)*dt+vol*SQRT(dt)*_xlfn.NORM.S.INV(RAND())</f>
        <v>5.9688686818380889E-2</v>
      </c>
      <c r="E83" s="8">
        <f t="shared" ca="1" si="93"/>
        <v>5.1260857232414699E-2</v>
      </c>
      <c r="F83" s="8">
        <f t="shared" ca="1" si="93"/>
        <v>3.988912964487959E-2</v>
      </c>
      <c r="G83" s="8">
        <f t="shared" ca="1" si="93"/>
        <v>4.7785428268814031E-2</v>
      </c>
      <c r="H83" s="8">
        <f t="shared" ca="1" si="93"/>
        <v>4.9550296949610433E-2</v>
      </c>
      <c r="I83" s="8">
        <f t="shared" ca="1" si="93"/>
        <v>5.1237320313970651E-2</v>
      </c>
      <c r="J83" s="8">
        <f t="shared" ca="1" si="93"/>
        <v>4.8591321109922078E-2</v>
      </c>
      <c r="K83" s="8">
        <f t="shared" ca="1" si="93"/>
        <v>4.5059920078701909E-2</v>
      </c>
      <c r="L83" s="8">
        <f t="shared" ca="1" si="93"/>
        <v>4.3749966820075793E-2</v>
      </c>
      <c r="M83" s="8">
        <f t="shared" ca="1" si="93"/>
        <v>4.0400005480766617E-2</v>
      </c>
      <c r="N83" s="8">
        <f t="shared" ca="1" si="93"/>
        <v>5.0928735063294567E-2</v>
      </c>
      <c r="O83" s="8">
        <f t="shared" ca="1" si="93"/>
        <v>5.057271927660173E-2</v>
      </c>
      <c r="Q83" s="12">
        <v>0.122</v>
      </c>
      <c r="R83" s="1">
        <f t="shared" si="89"/>
        <v>1.7881201265247789E-56</v>
      </c>
      <c r="S83" s="1">
        <f t="shared" si="89"/>
        <v>1.1650487535705286E-13</v>
      </c>
      <c r="T83" s="1">
        <f t="shared" si="89"/>
        <v>1.2835775884881431E-6</v>
      </c>
      <c r="U83" s="1">
        <f t="shared" si="89"/>
        <v>2.6450493772890666E-4</v>
      </c>
      <c r="V83" s="1">
        <f t="shared" si="89"/>
        <v>3.6635026466838427E-3</v>
      </c>
      <c r="W83" s="1">
        <f t="shared" si="89"/>
        <v>1.7368049994875925E-2</v>
      </c>
      <c r="X83" s="1">
        <f t="shared" si="89"/>
        <v>4.8346722743539641E-2</v>
      </c>
      <c r="Y83" s="1">
        <f t="shared" si="89"/>
        <v>9.9463935683013052E-2</v>
      </c>
      <c r="Z83" s="1">
        <f t="shared" si="89"/>
        <v>0.16957306602891345</v>
      </c>
      <c r="AA83" s="1">
        <f t="shared" si="89"/>
        <v>0.25522605012416705</v>
      </c>
      <c r="AB83" s="1">
        <f t="shared" si="90"/>
        <v>0.35219729586218773</v>
      </c>
      <c r="AC83" s="1">
        <f t="shared" si="90"/>
        <v>0.45639694796701402</v>
      </c>
      <c r="AD83" s="1">
        <f t="shared" si="90"/>
        <v>0.56429221186877621</v>
      </c>
      <c r="AE83" s="1">
        <f t="shared" si="90"/>
        <v>0.67303417243839425</v>
      </c>
      <c r="AF83" s="1">
        <f t="shared" si="90"/>
        <v>0.78043604524833066</v>
      </c>
      <c r="AG83" s="1">
        <f t="shared" si="90"/>
        <v>0.8848891508745016</v>
      </c>
      <c r="AH83" s="1">
        <f t="shared" si="90"/>
        <v>0.98526172112514865</v>
      </c>
      <c r="AI83" s="1">
        <f t="shared" si="90"/>
        <v>1.0808016537324929</v>
      </c>
      <c r="AJ83" s="1">
        <f t="shared" si="90"/>
        <v>1.1710515933102328</v>
      </c>
      <c r="AK83" s="1">
        <f t="shared" si="90"/>
        <v>1.2557784409443635</v>
      </c>
      <c r="AL83" s="1">
        <f t="shared" si="91"/>
        <v>1.3349165738894722</v>
      </c>
      <c r="AM83" s="1">
        <f t="shared" si="91"/>
        <v>1.4085229845631888</v>
      </c>
      <c r="AN83" s="1">
        <f t="shared" si="91"/>
        <v>1.4767423104487813</v>
      </c>
      <c r="AO83" s="1">
        <f t="shared" si="91"/>
        <v>1.5397798537356722</v>
      </c>
      <c r="AP83" s="1">
        <f t="shared" si="91"/>
        <v>1.5978809495752868</v>
      </c>
      <c r="AQ83" s="1">
        <f t="shared" si="91"/>
        <v>1.6513153262202467</v>
      </c>
      <c r="AR83" s="1">
        <f t="shared" si="91"/>
        <v>1.7003653627962296</v>
      </c>
      <c r="AS83" s="1">
        <f t="shared" si="91"/>
        <v>1.7453173750242519</v>
      </c>
      <c r="AT83" s="1">
        <f t="shared" si="91"/>
        <v>1.7864552437769921</v>
      </c>
      <c r="AU83" s="1">
        <f t="shared" si="91"/>
        <v>1.8240558496040988</v>
      </c>
      <c r="AV83" s="1">
        <f t="shared" si="92"/>
        <v>1.8583858938578171</v>
      </c>
      <c r="AW83" s="1">
        <f t="shared" si="92"/>
        <v>1.889699779452779</v>
      </c>
      <c r="AX83" s="1">
        <f t="shared" si="92"/>
        <v>1.9182382966545304</v>
      </c>
      <c r="AY83" s="1">
        <f t="shared" si="92"/>
        <v>1.9442279158414404</v>
      </c>
      <c r="AZ83" s="1">
        <f t="shared" si="92"/>
        <v>1.9678805333485763</v>
      </c>
      <c r="BA83" s="1">
        <f t="shared" si="92"/>
        <v>1.9893935509969842</v>
      </c>
    </row>
    <row r="84" spans="2:53">
      <c r="B84" s="3">
        <v>63</v>
      </c>
      <c r="C84" s="8">
        <f t="shared" si="3"/>
        <v>0.05</v>
      </c>
      <c r="D84" s="8">
        <f t="shared" ref="D84:O84" ca="1" si="94">C84+k*(theta-C84)*dt+vol*SQRT(dt)*_xlfn.NORM.S.INV(RAND())</f>
        <v>6.1692501874451543E-2</v>
      </c>
      <c r="E84" s="8">
        <f t="shared" ca="1" si="94"/>
        <v>6.5495162721715947E-2</v>
      </c>
      <c r="F84" s="8">
        <f t="shared" ca="1" si="94"/>
        <v>6.6288002910806623E-2</v>
      </c>
      <c r="G84" s="8">
        <f t="shared" ca="1" si="94"/>
        <v>7.0334581646893976E-2</v>
      </c>
      <c r="H84" s="8">
        <f t="shared" ca="1" si="94"/>
        <v>7.3059460986161742E-2</v>
      </c>
      <c r="I84" s="8">
        <f t="shared" ca="1" si="94"/>
        <v>6.9624943797036903E-2</v>
      </c>
      <c r="J84" s="8">
        <f t="shared" ca="1" si="94"/>
        <v>7.6671849134249098E-2</v>
      </c>
      <c r="K84" s="8">
        <f t="shared" ca="1" si="94"/>
        <v>7.771265646770649E-2</v>
      </c>
      <c r="L84" s="8">
        <f t="shared" ca="1" si="94"/>
        <v>8.6727303600522221E-2</v>
      </c>
      <c r="M84" s="8">
        <f t="shared" ca="1" si="94"/>
        <v>9.0733845812441552E-2</v>
      </c>
      <c r="N84" s="8">
        <f t="shared" ca="1" si="94"/>
        <v>9.4085377503674975E-2</v>
      </c>
      <c r="O84" s="8">
        <f t="shared" ca="1" si="94"/>
        <v>9.5002213337234367E-2</v>
      </c>
      <c r="Q84" s="12">
        <v>0.124</v>
      </c>
      <c r="R84" s="1">
        <f t="shared" si="89"/>
        <v>1.0049113898946137E-59</v>
      </c>
      <c r="S84" s="1">
        <f t="shared" si="89"/>
        <v>1.6512967540782729E-14</v>
      </c>
      <c r="T84" s="1">
        <f t="shared" si="89"/>
        <v>4.5637599808915456E-7</v>
      </c>
      <c r="U84" s="1">
        <f t="shared" si="89"/>
        <v>1.2758932371119544E-4</v>
      </c>
      <c r="V84" s="1">
        <f t="shared" si="89"/>
        <v>2.0560215774882433E-3</v>
      </c>
      <c r="W84" s="1">
        <f t="shared" si="89"/>
        <v>1.0664667429772866E-2</v>
      </c>
      <c r="X84" s="1">
        <f t="shared" si="89"/>
        <v>3.1498660368870689E-2</v>
      </c>
      <c r="Y84" s="1">
        <f t="shared" si="89"/>
        <v>6.7562424195250853E-2</v>
      </c>
      <c r="Z84" s="1">
        <f t="shared" si="89"/>
        <v>0.11878415822418058</v>
      </c>
      <c r="AA84" s="1">
        <f t="shared" si="89"/>
        <v>0.18303185088903012</v>
      </c>
      <c r="AB84" s="1">
        <f t="shared" si="90"/>
        <v>0.25726476877060744</v>
      </c>
      <c r="AC84" s="1">
        <f t="shared" si="90"/>
        <v>0.3383218457308142</v>
      </c>
      <c r="AD84" s="1">
        <f t="shared" si="90"/>
        <v>0.4233407951481169</v>
      </c>
      <c r="AE84" s="1">
        <f t="shared" si="90"/>
        <v>0.50992746516970733</v>
      </c>
      <c r="AF84" s="1">
        <f t="shared" si="90"/>
        <v>0.59618473157359297</v>
      </c>
      <c r="AG84" s="1">
        <f t="shared" si="90"/>
        <v>0.68067329431156554</v>
      </c>
      <c r="AH84" s="1">
        <f t="shared" si="90"/>
        <v>0.76234590198085128</v>
      </c>
      <c r="AI84" s="1">
        <f t="shared" si="90"/>
        <v>0.84047656592202657</v>
      </c>
      <c r="AJ84" s="1">
        <f t="shared" si="90"/>
        <v>0.91459480208488764</v>
      </c>
      <c r="AK84" s="1">
        <f t="shared" si="90"/>
        <v>0.98442876115005085</v>
      </c>
      <c r="AL84" s="1">
        <f t="shared" si="91"/>
        <v>1.0498580149253764</v>
      </c>
      <c r="AM84" s="1">
        <f t="shared" si="91"/>
        <v>1.1108753552530608</v>
      </c>
      <c r="AN84" s="1">
        <f t="shared" si="91"/>
        <v>1.1675564225468962</v>
      </c>
      <c r="AO84" s="1">
        <f t="shared" si="91"/>
        <v>1.2200358708406807</v>
      </c>
      <c r="AP84" s="1">
        <f t="shared" si="91"/>
        <v>1.268488859702233</v>
      </c>
      <c r="AQ84" s="1">
        <f t="shared" si="91"/>
        <v>1.3131168204210397</v>
      </c>
      <c r="AR84" s="1">
        <f t="shared" si="91"/>
        <v>1.3541366160702335</v>
      </c>
      <c r="AS84" s="1">
        <f t="shared" si="91"/>
        <v>1.3917723761647185</v>
      </c>
      <c r="AT84" s="1">
        <f t="shared" si="91"/>
        <v>1.4262494267950458</v>
      </c>
      <c r="AU84" s="1">
        <f t="shared" si="91"/>
        <v>1.4577898543059147</v>
      </c>
      <c r="AV84" s="1">
        <f t="shared" si="92"/>
        <v>1.4866093363202206</v>
      </c>
      <c r="AW84" s="1">
        <f t="shared" si="92"/>
        <v>1.5129149510103956</v>
      </c>
      <c r="AX84" s="1">
        <f t="shared" si="92"/>
        <v>1.536903737070797</v>
      </c>
      <c r="AY84" s="1">
        <f t="shared" si="92"/>
        <v>1.5587618257176501</v>
      </c>
      <c r="AZ84" s="1">
        <f t="shared" si="92"/>
        <v>1.5786640047204328</v>
      </c>
      <c r="BA84" s="1">
        <f t="shared" si="92"/>
        <v>1.5967736050174868</v>
      </c>
    </row>
    <row r="85" spans="2:53">
      <c r="B85" s="3">
        <v>64</v>
      </c>
      <c r="C85" s="8">
        <f t="shared" si="3"/>
        <v>0.05</v>
      </c>
      <c r="D85" s="8">
        <f t="shared" ref="D85:O85" ca="1" si="95">C85+k*(theta-C85)*dt+vol*SQRT(dt)*_xlfn.NORM.S.INV(RAND())</f>
        <v>5.3126165688201415E-2</v>
      </c>
      <c r="E85" s="8">
        <f t="shared" ca="1" si="95"/>
        <v>7.5930017945070108E-2</v>
      </c>
      <c r="F85" s="8">
        <f t="shared" ca="1" si="95"/>
        <v>7.3871601505035953E-2</v>
      </c>
      <c r="G85" s="8">
        <f t="shared" ca="1" si="95"/>
        <v>8.0072706896984897E-2</v>
      </c>
      <c r="H85" s="8">
        <f t="shared" ca="1" si="95"/>
        <v>7.6755431941338381E-2</v>
      </c>
      <c r="I85" s="8">
        <f t="shared" ca="1" si="95"/>
        <v>7.2509719270620637E-2</v>
      </c>
      <c r="J85" s="8">
        <f t="shared" ca="1" si="95"/>
        <v>7.598019490231131E-2</v>
      </c>
      <c r="K85" s="8">
        <f t="shared" ca="1" si="95"/>
        <v>8.7049059741718407E-2</v>
      </c>
      <c r="L85" s="8">
        <f t="shared" ca="1" si="95"/>
        <v>8.4560349033427643E-2</v>
      </c>
      <c r="M85" s="8">
        <f t="shared" ca="1" si="95"/>
        <v>7.6740099309502804E-2</v>
      </c>
      <c r="N85" s="8">
        <f t="shared" ca="1" si="95"/>
        <v>7.3716319211400316E-2</v>
      </c>
      <c r="O85" s="8">
        <f t="shared" ca="1" si="95"/>
        <v>7.8165640125358385E-2</v>
      </c>
      <c r="Q85" s="12">
        <v>0.126</v>
      </c>
      <c r="R85" s="1">
        <f t="shared" si="89"/>
        <v>4.600556642629546E-63</v>
      </c>
      <c r="S85" s="1">
        <f t="shared" si="89"/>
        <v>2.214866855385384E-15</v>
      </c>
      <c r="T85" s="1">
        <f t="shared" si="89"/>
        <v>1.5741649968033821E-7</v>
      </c>
      <c r="U85" s="1">
        <f t="shared" si="89"/>
        <v>6.019623347112094E-5</v>
      </c>
      <c r="V85" s="1">
        <f t="shared" si="89"/>
        <v>1.1331102955885978E-3</v>
      </c>
      <c r="W85" s="1">
        <f t="shared" si="89"/>
        <v>6.445745224405974E-3</v>
      </c>
      <c r="X85" s="1">
        <f t="shared" si="89"/>
        <v>2.0230299759318907E-2</v>
      </c>
      <c r="Y85" s="1">
        <f t="shared" si="89"/>
        <v>4.5287711012793837E-2</v>
      </c>
      <c r="Z85" s="1">
        <f t="shared" si="89"/>
        <v>8.2171004296360928E-2</v>
      </c>
      <c r="AA85" s="1">
        <f t="shared" si="89"/>
        <v>0.12969563195960374</v>
      </c>
      <c r="AB85" s="1">
        <f t="shared" si="90"/>
        <v>0.18575987998869442</v>
      </c>
      <c r="AC85" s="1">
        <f t="shared" si="90"/>
        <v>0.24798946436246447</v>
      </c>
      <c r="AD85" s="1">
        <f t="shared" si="90"/>
        <v>0.31412315510663463</v>
      </c>
      <c r="AE85" s="1">
        <f t="shared" si="90"/>
        <v>0.38219790437617501</v>
      </c>
      <c r="AF85" s="1">
        <f t="shared" si="90"/>
        <v>0.45060939299284453</v>
      </c>
      <c r="AG85" s="1">
        <f t="shared" si="90"/>
        <v>0.51810532573254553</v>
      </c>
      <c r="AH85" s="1">
        <f t="shared" si="90"/>
        <v>0.58374750115901886</v>
      </c>
      <c r="AI85" s="1">
        <f t="shared" si="90"/>
        <v>0.64686302936647611</v>
      </c>
      <c r="AJ85" s="1">
        <f t="shared" si="90"/>
        <v>0.70699523155760535</v>
      </c>
      <c r="AK85" s="1">
        <f t="shared" si="90"/>
        <v>0.7638590727140302</v>
      </c>
      <c r="AL85" s="1">
        <f t="shared" si="91"/>
        <v>0.81730289710149284</v>
      </c>
      <c r="AM85" s="1">
        <f t="shared" si="91"/>
        <v>0.86727667141056231</v>
      </c>
      <c r="AN85" s="1">
        <f t="shared" si="91"/>
        <v>0.91380621786871441</v>
      </c>
      <c r="AO85" s="1">
        <f t="shared" si="91"/>
        <v>0.95697264522903336</v>
      </c>
      <c r="AP85" s="1">
        <f t="shared" si="91"/>
        <v>0.99689613718185865</v>
      </c>
      <c r="AQ85" s="1">
        <f t="shared" si="91"/>
        <v>1.0337233144533673</v>
      </c>
      <c r="AR85" s="1">
        <f t="shared" si="91"/>
        <v>1.0676174848647224</v>
      </c>
      <c r="AS85" s="1">
        <f t="shared" si="91"/>
        <v>1.0987512027722599</v>
      </c>
      <c r="AT85" s="1">
        <f t="shared" si="91"/>
        <v>1.1273006605239573</v>
      </c>
      <c r="AU85" s="1">
        <f t="shared" si="91"/>
        <v>1.1534415237571163</v>
      </c>
      <c r="AV85" s="1">
        <f t="shared" si="92"/>
        <v>1.1773458979669336</v>
      </c>
      <c r="AW85" s="1">
        <f t="shared" si="92"/>
        <v>1.199180176377872</v>
      </c>
      <c r="AX85" s="1">
        <f t="shared" si="92"/>
        <v>1.2191035702192459</v>
      </c>
      <c r="AY85" s="1">
        <f t="shared" si="92"/>
        <v>1.2372671637639241</v>
      </c>
      <c r="AZ85" s="1">
        <f t="shared" si="92"/>
        <v>1.2538133696040947</v>
      </c>
      <c r="BA85" s="1">
        <f t="shared" si="92"/>
        <v>1.2688756861006389</v>
      </c>
    </row>
    <row r="86" spans="2:53">
      <c r="B86" s="3">
        <v>65</v>
      </c>
      <c r="C86" s="8">
        <f t="shared" ref="C86:C149" si="96">r0</f>
        <v>0.05</v>
      </c>
      <c r="D86" s="8">
        <f t="shared" ref="D86:O86" ca="1" si="97">C86+k*(theta-C86)*dt+vol*SQRT(dt)*_xlfn.NORM.S.INV(RAND())</f>
        <v>5.9088160583864791E-2</v>
      </c>
      <c r="E86" s="8">
        <f t="shared" ca="1" si="97"/>
        <v>5.9724009418435739E-2</v>
      </c>
      <c r="F86" s="8">
        <f t="shared" ca="1" si="97"/>
        <v>6.1736014668174265E-2</v>
      </c>
      <c r="G86" s="8">
        <f t="shared" ca="1" si="97"/>
        <v>6.5863077390302824E-2</v>
      </c>
      <c r="H86" s="8">
        <f t="shared" ca="1" si="97"/>
        <v>6.7745197183718436E-2</v>
      </c>
      <c r="I86" s="8">
        <f t="shared" ca="1" si="97"/>
        <v>7.438035325839526E-2</v>
      </c>
      <c r="J86" s="8">
        <f t="shared" ca="1" si="97"/>
        <v>8.3302606206476781E-2</v>
      </c>
      <c r="K86" s="8">
        <f t="shared" ca="1" si="97"/>
        <v>8.905742603912252E-2</v>
      </c>
      <c r="L86" s="8">
        <f t="shared" ca="1" si="97"/>
        <v>9.1864203919893736E-2</v>
      </c>
      <c r="M86" s="8">
        <f t="shared" ca="1" si="97"/>
        <v>9.1399340682296451E-2</v>
      </c>
      <c r="N86" s="8">
        <f t="shared" ca="1" si="97"/>
        <v>9.663120782570675E-2</v>
      </c>
      <c r="O86" s="8">
        <f t="shared" ca="1" si="97"/>
        <v>9.3772741551443592E-2</v>
      </c>
      <c r="Q86" s="12">
        <v>0.128</v>
      </c>
      <c r="R86" s="1">
        <f t="shared" si="89"/>
        <v>1.7157125658084609E-66</v>
      </c>
      <c r="S86" s="1">
        <f t="shared" si="89"/>
        <v>2.8113284679990175E-16</v>
      </c>
      <c r="T86" s="1">
        <f t="shared" si="89"/>
        <v>5.2674993645694382E-8</v>
      </c>
      <c r="U86" s="1">
        <f t="shared" si="89"/>
        <v>2.7777856576559542E-5</v>
      </c>
      <c r="V86" s="1">
        <f t="shared" si="89"/>
        <v>6.1323941684518794E-4</v>
      </c>
      <c r="W86" s="1">
        <f t="shared" si="89"/>
        <v>3.8346745988059989E-3</v>
      </c>
      <c r="X86" s="1">
        <f t="shared" si="89"/>
        <v>1.2808484369441098E-2</v>
      </c>
      <c r="Y86" s="1">
        <f t="shared" si="89"/>
        <v>2.9956500606679651E-2</v>
      </c>
      <c r="Z86" s="1">
        <f t="shared" si="89"/>
        <v>5.6135433976655998E-2</v>
      </c>
      <c r="AA86" s="1">
        <f t="shared" si="89"/>
        <v>9.080735666965889E-2</v>
      </c>
      <c r="AB86" s="1">
        <f t="shared" si="90"/>
        <v>0.13258696690319716</v>
      </c>
      <c r="AC86" s="1">
        <f t="shared" si="90"/>
        <v>0.17974312946724275</v>
      </c>
      <c r="AD86" s="1">
        <f t="shared" si="90"/>
        <v>0.23053323550206362</v>
      </c>
      <c r="AE86" s="1">
        <f t="shared" si="90"/>
        <v>0.28338496666664131</v>
      </c>
      <c r="AF86" s="1">
        <f t="shared" si="90"/>
        <v>0.33697330101245121</v>
      </c>
      <c r="AG86" s="1">
        <f t="shared" si="90"/>
        <v>0.39023561677428886</v>
      </c>
      <c r="AH86" s="1">
        <f t="shared" si="90"/>
        <v>0.44235455477025043</v>
      </c>
      <c r="AI86" s="1">
        <f t="shared" si="90"/>
        <v>0.49272677701619488</v>
      </c>
      <c r="AJ86" s="1">
        <f t="shared" si="90"/>
        <v>0.54092779372011612</v>
      </c>
      <c r="AK86" s="1">
        <f t="shared" si="90"/>
        <v>0.58667808540475053</v>
      </c>
      <c r="AL86" s="1">
        <f t="shared" si="91"/>
        <v>0.62981287707165068</v>
      </c>
      <c r="AM86" s="1">
        <f t="shared" si="91"/>
        <v>0.67025634804688716</v>
      </c>
      <c r="AN86" s="1">
        <f t="shared" si="91"/>
        <v>0.70800025334467231</v>
      </c>
      <c r="AO86" s="1">
        <f t="shared" si="91"/>
        <v>0.7430865578406004</v>
      </c>
      <c r="AP86" s="1">
        <f t="shared" si="91"/>
        <v>0.77559354540264425</v>
      </c>
      <c r="AQ86" s="1">
        <f t="shared" si="91"/>
        <v>0.8056248474580282</v>
      </c>
      <c r="AR86" s="1">
        <f t="shared" si="91"/>
        <v>0.83330087554336874</v>
      </c>
      <c r="AS86" s="1">
        <f t="shared" si="91"/>
        <v>0.85875220563753873</v>
      </c>
      <c r="AT86" s="1">
        <f t="shared" si="91"/>
        <v>0.88211453054596523</v>
      </c>
      <c r="AU86" s="1">
        <f t="shared" si="91"/>
        <v>0.90352486156264056</v>
      </c>
      <c r="AV86" s="1">
        <f t="shared" si="92"/>
        <v>0.92311871836893455</v>
      </c>
      <c r="AW86" s="1">
        <f t="shared" si="92"/>
        <v>0.94102809555245148</v>
      </c>
      <c r="AX86" s="1">
        <f t="shared" si="92"/>
        <v>0.95738003546335793</v>
      </c>
      <c r="AY86" s="1">
        <f t="shared" si="92"/>
        <v>0.97229567116772964</v>
      </c>
      <c r="AZ86" s="1">
        <f t="shared" si="92"/>
        <v>0.98588963100251781</v>
      </c>
      <c r="BA86" s="1">
        <f t="shared" si="92"/>
        <v>0.99826971868468395</v>
      </c>
    </row>
    <row r="87" spans="2:53">
      <c r="B87" s="3">
        <v>66</v>
      </c>
      <c r="C87" s="8">
        <f t="shared" si="96"/>
        <v>0.05</v>
      </c>
      <c r="D87" s="8">
        <f t="shared" ref="D87:O87" ca="1" si="98">C87+k*(theta-C87)*dt+vol*SQRT(dt)*_xlfn.NORM.S.INV(RAND())</f>
        <v>4.5541706896148892E-2</v>
      </c>
      <c r="E87" s="8">
        <f t="shared" ca="1" si="98"/>
        <v>5.6307364815972587E-2</v>
      </c>
      <c r="F87" s="8">
        <f t="shared" ca="1" si="98"/>
        <v>5.2888425928725613E-2</v>
      </c>
      <c r="G87" s="8">
        <f t="shared" ca="1" si="98"/>
        <v>5.4614450716598192E-2</v>
      </c>
      <c r="H87" s="8">
        <f t="shared" ca="1" si="98"/>
        <v>6.5747619436303667E-2</v>
      </c>
      <c r="I87" s="8">
        <f t="shared" ca="1" si="98"/>
        <v>5.6625559290110747E-2</v>
      </c>
      <c r="J87" s="8">
        <f t="shared" ca="1" si="98"/>
        <v>4.9685231305866939E-2</v>
      </c>
      <c r="K87" s="8">
        <f t="shared" ca="1" si="98"/>
        <v>5.75815948624347E-2</v>
      </c>
      <c r="L87" s="8">
        <f t="shared" ca="1" si="98"/>
        <v>5.4631184164130236E-2</v>
      </c>
      <c r="M87" s="8">
        <f t="shared" ca="1" si="98"/>
        <v>5.5158663765301374E-2</v>
      </c>
      <c r="N87" s="8">
        <f t="shared" ca="1" si="98"/>
        <v>5.6623646241908826E-2</v>
      </c>
      <c r="O87" s="8">
        <f t="shared" ca="1" si="98"/>
        <v>5.7771589933081187E-2</v>
      </c>
      <c r="Q87" s="12">
        <v>0.13</v>
      </c>
      <c r="R87" s="1">
        <f t="shared" si="89"/>
        <v>5.2123097716329747E-70</v>
      </c>
      <c r="S87" s="1">
        <f t="shared" si="89"/>
        <v>3.3768908698237583E-17</v>
      </c>
      <c r="T87" s="1">
        <f t="shared" si="89"/>
        <v>1.7099582933847389E-8</v>
      </c>
      <c r="U87" s="1">
        <f t="shared" si="89"/>
        <v>1.2537258350593823E-5</v>
      </c>
      <c r="V87" s="1">
        <f t="shared" si="89"/>
        <v>3.2591270982342913E-4</v>
      </c>
      <c r="W87" s="1">
        <f t="shared" si="89"/>
        <v>2.2455020727375368E-3</v>
      </c>
      <c r="X87" s="1">
        <f t="shared" si="89"/>
        <v>7.9942616389626318E-3</v>
      </c>
      <c r="Y87" s="1">
        <f t="shared" si="89"/>
        <v>1.9554078341617587E-2</v>
      </c>
      <c r="Z87" s="1">
        <f t="shared" si="89"/>
        <v>3.7871629588111015E-2</v>
      </c>
      <c r="AA87" s="1">
        <f t="shared" si="89"/>
        <v>6.2822284348278898E-2</v>
      </c>
      <c r="AB87" s="1">
        <f t="shared" si="90"/>
        <v>9.3546395323382964E-2</v>
      </c>
      <c r="AC87" s="1">
        <f t="shared" si="90"/>
        <v>0.12882117207661256</v>
      </c>
      <c r="AD87" s="1">
        <f t="shared" si="90"/>
        <v>0.16733658633678761</v>
      </c>
      <c r="AE87" s="1">
        <f t="shared" si="90"/>
        <v>0.20786143561108747</v>
      </c>
      <c r="AF87" s="1">
        <f t="shared" si="90"/>
        <v>0.2493254463765516</v>
      </c>
      <c r="AG87" s="1">
        <f t="shared" si="90"/>
        <v>0.29084744754374586</v>
      </c>
      <c r="AH87" s="1">
        <f t="shared" si="90"/>
        <v>0.33173284766416994</v>
      </c>
      <c r="AI87" s="1">
        <f t="shared" si="90"/>
        <v>0.37145577223580706</v>
      </c>
      <c r="AJ87" s="1">
        <f t="shared" si="90"/>
        <v>0.409635102481264</v>
      </c>
      <c r="AK87" s="1">
        <f t="shared" si="90"/>
        <v>0.44600955999764541</v>
      </c>
      <c r="AL87" s="1">
        <f t="shared" si="91"/>
        <v>0.4804144489403111</v>
      </c>
      <c r="AM87" s="1">
        <f t="shared" si="91"/>
        <v>0.51276118907518642</v>
      </c>
      <c r="AN87" s="1">
        <f t="shared" si="91"/>
        <v>0.54301995569037109</v>
      </c>
      <c r="AO87" s="1">
        <f t="shared" si="91"/>
        <v>0.57120532029301063</v>
      </c>
      <c r="AP87" s="1">
        <f t="shared" si="91"/>
        <v>0.59736459146495013</v>
      </c>
      <c r="AQ87" s="1">
        <f t="shared" si="91"/>
        <v>0.62156848654968866</v>
      </c>
      <c r="AR87" s="1">
        <f t="shared" si="91"/>
        <v>0.64390376221284906</v>
      </c>
      <c r="AS87" s="1">
        <f t="shared" si="91"/>
        <v>0.66446746114016619</v>
      </c>
      <c r="AT87" s="1">
        <f t="shared" si="91"/>
        <v>0.68336247420639396</v>
      </c>
      <c r="AU87" s="1">
        <f t="shared" si="91"/>
        <v>0.70069416223377357</v>
      </c>
      <c r="AV87" s="1">
        <f t="shared" si="92"/>
        <v>0.71656782390233364</v>
      </c>
      <c r="AW87" s="1">
        <f t="shared" si="92"/>
        <v>0.73108683425279886</v>
      </c>
      <c r="AX87" s="1">
        <f t="shared" si="92"/>
        <v>0.74435131084492678</v>
      </c>
      <c r="AY87" s="1">
        <f t="shared" si="92"/>
        <v>0.75645719209482143</v>
      </c>
      <c r="AZ87" s="1">
        <f t="shared" si="92"/>
        <v>0.76749563507660812</v>
      </c>
      <c r="BA87" s="1">
        <f t="shared" si="92"/>
        <v>0.77755265873739665</v>
      </c>
    </row>
    <row r="88" spans="2:53">
      <c r="B88" s="3">
        <v>67</v>
      </c>
      <c r="C88" s="8">
        <f t="shared" si="96"/>
        <v>0.05</v>
      </c>
      <c r="D88" s="8">
        <f t="shared" ref="D88:O88" ca="1" si="99">C88+k*(theta-C88)*dt+vol*SQRT(dt)*_xlfn.NORM.S.INV(RAND())</f>
        <v>4.3934585264595392E-2</v>
      </c>
      <c r="E88" s="8">
        <f t="shared" ca="1" si="99"/>
        <v>5.6378586672867062E-2</v>
      </c>
      <c r="F88" s="8">
        <f t="shared" ca="1" si="99"/>
        <v>5.2978874004836793E-2</v>
      </c>
      <c r="G88" s="8">
        <f t="shared" ca="1" si="99"/>
        <v>5.6277992526785767E-2</v>
      </c>
      <c r="H88" s="8">
        <f t="shared" ca="1" si="99"/>
        <v>5.6321403580779625E-2</v>
      </c>
      <c r="I88" s="8">
        <f t="shared" ca="1" si="99"/>
        <v>4.6415587345532625E-2</v>
      </c>
      <c r="J88" s="8">
        <f t="shared" ca="1" si="99"/>
        <v>5.705564349323862E-2</v>
      </c>
      <c r="K88" s="8">
        <f t="shared" ca="1" si="99"/>
        <v>6.1013024933918608E-2</v>
      </c>
      <c r="L88" s="8">
        <f t="shared" ca="1" si="99"/>
        <v>5.8105293357290262E-2</v>
      </c>
      <c r="M88" s="8">
        <f t="shared" ca="1" si="99"/>
        <v>6.5847819888893488E-2</v>
      </c>
      <c r="N88" s="8">
        <f t="shared" ca="1" si="99"/>
        <v>6.2688137238703312E-2</v>
      </c>
      <c r="O88" s="8">
        <f t="shared" ca="1" si="99"/>
        <v>5.9440941291573964E-2</v>
      </c>
    </row>
    <row r="89" spans="2:53">
      <c r="B89" s="3">
        <v>68</v>
      </c>
      <c r="C89" s="8">
        <f t="shared" si="96"/>
        <v>0.05</v>
      </c>
      <c r="D89" s="8">
        <f t="shared" ref="D89:O89" ca="1" si="100">C89+k*(theta-C89)*dt+vol*SQRT(dt)*_xlfn.NORM.S.INV(RAND())</f>
        <v>5.6271931697631228E-2</v>
      </c>
      <c r="E89" s="8">
        <f t="shared" ca="1" si="100"/>
        <v>5.2874681817650211E-2</v>
      </c>
      <c r="F89" s="8">
        <f t="shared" ca="1" si="100"/>
        <v>5.7556776047018789E-2</v>
      </c>
      <c r="G89" s="8">
        <f t="shared" ca="1" si="100"/>
        <v>5.6201763658664076E-2</v>
      </c>
      <c r="H89" s="8">
        <f t="shared" ca="1" si="100"/>
        <v>5.4721790633965539E-2</v>
      </c>
      <c r="I89" s="8">
        <f t="shared" ca="1" si="100"/>
        <v>5.0776130120986675E-2</v>
      </c>
      <c r="J89" s="8">
        <f t="shared" ca="1" si="100"/>
        <v>4.5258274183479524E-2</v>
      </c>
      <c r="K89" s="8">
        <f t="shared" ca="1" si="100"/>
        <v>5.5252104539222947E-2</v>
      </c>
      <c r="L89" s="8">
        <f t="shared" ca="1" si="100"/>
        <v>5.7659015304997022E-2</v>
      </c>
      <c r="M89" s="8">
        <f t="shared" ca="1" si="100"/>
        <v>6.6481111761224981E-2</v>
      </c>
      <c r="N89" s="8">
        <f t="shared" ca="1" si="100"/>
        <v>7.0376114957026323E-2</v>
      </c>
      <c r="O89" s="8">
        <f t="shared" ca="1" si="100"/>
        <v>6.6192663378332406E-2</v>
      </c>
    </row>
    <row r="90" spans="2:53">
      <c r="B90" s="3">
        <v>69</v>
      </c>
      <c r="C90" s="8">
        <f t="shared" si="96"/>
        <v>0.05</v>
      </c>
      <c r="D90" s="8">
        <f t="shared" ref="D90:O90" ca="1" si="101">C90+k*(theta-C90)*dt+vol*SQRT(dt)*_xlfn.NORM.S.INV(RAND())</f>
        <v>4.8388220156760239E-2</v>
      </c>
      <c r="E90" s="8">
        <f t="shared" ca="1" si="101"/>
        <v>4.5319346151375783E-2</v>
      </c>
      <c r="F90" s="8">
        <f t="shared" ca="1" si="101"/>
        <v>3.7575735875997648E-2</v>
      </c>
      <c r="G90" s="8">
        <f t="shared" ca="1" si="101"/>
        <v>3.8822110215759882E-2</v>
      </c>
      <c r="H90" s="8">
        <f t="shared" ca="1" si="101"/>
        <v>5.1351635688085623E-2</v>
      </c>
      <c r="I90" s="8">
        <f t="shared" ca="1" si="101"/>
        <v>5.7474113723272331E-2</v>
      </c>
      <c r="J90" s="8">
        <f t="shared" ca="1" si="101"/>
        <v>5.5566715082008653E-2</v>
      </c>
      <c r="K90" s="8">
        <f t="shared" ca="1" si="101"/>
        <v>6.5380964788167018E-2</v>
      </c>
      <c r="L90" s="8">
        <f t="shared" ca="1" si="101"/>
        <v>6.4503267893220834E-2</v>
      </c>
      <c r="M90" s="8">
        <f t="shared" ca="1" si="101"/>
        <v>6.1078199113017553E-2</v>
      </c>
      <c r="N90" s="8">
        <f t="shared" ca="1" si="101"/>
        <v>6.4240448676495282E-2</v>
      </c>
      <c r="O90" s="8">
        <f t="shared" ca="1" si="101"/>
        <v>6.6378877245141937E-2</v>
      </c>
    </row>
    <row r="91" spans="2:53">
      <c r="B91" s="3">
        <v>70</v>
      </c>
      <c r="C91" s="8">
        <f t="shared" si="96"/>
        <v>0.05</v>
      </c>
      <c r="D91" s="8">
        <f t="shared" ref="D91:O91" ca="1" si="102">C91+k*(theta-C91)*dt+vol*SQRT(dt)*_xlfn.NORM.S.INV(RAND())</f>
        <v>4.4437122788383625E-2</v>
      </c>
      <c r="E91" s="8">
        <f t="shared" ca="1" si="102"/>
        <v>4.0687094907091007E-2</v>
      </c>
      <c r="F91" s="8">
        <f t="shared" ca="1" si="102"/>
        <v>4.6573055636886122E-2</v>
      </c>
      <c r="G91" s="8">
        <f t="shared" ca="1" si="102"/>
        <v>5.1551120618384343E-2</v>
      </c>
      <c r="H91" s="8">
        <f t="shared" ca="1" si="102"/>
        <v>5.1175058683226957E-2</v>
      </c>
      <c r="I91" s="8">
        <f t="shared" ca="1" si="102"/>
        <v>5.4773384617177699E-2</v>
      </c>
      <c r="J91" s="8">
        <f t="shared" ca="1" si="102"/>
        <v>6.4318008040784913E-2</v>
      </c>
      <c r="K91" s="8">
        <f t="shared" ca="1" si="102"/>
        <v>6.7503109941402975E-2</v>
      </c>
      <c r="L91" s="8">
        <f t="shared" ca="1" si="102"/>
        <v>6.5076561825550189E-2</v>
      </c>
      <c r="M91" s="8">
        <f t="shared" ca="1" si="102"/>
        <v>6.4143717107745468E-2</v>
      </c>
      <c r="N91" s="8">
        <f t="shared" ca="1" si="102"/>
        <v>7.1457739435907733E-2</v>
      </c>
      <c r="O91" s="8">
        <f t="shared" ca="1" si="102"/>
        <v>7.3451405958451149E-2</v>
      </c>
      <c r="Q91" s="12"/>
    </row>
    <row r="92" spans="2:53">
      <c r="B92" s="3">
        <v>71</v>
      </c>
      <c r="C92" s="8">
        <f t="shared" si="96"/>
        <v>0.05</v>
      </c>
      <c r="D92" s="8">
        <f t="shared" ref="D92:O92" ca="1" si="103">C92+k*(theta-C92)*dt+vol*SQRT(dt)*_xlfn.NORM.S.INV(RAND())</f>
        <v>5.4911609668011313E-2</v>
      </c>
      <c r="E92" s="8">
        <f t="shared" ca="1" si="103"/>
        <v>5.288573382061023E-2</v>
      </c>
      <c r="F92" s="8">
        <f t="shared" ca="1" si="103"/>
        <v>5.3644885656646657E-2</v>
      </c>
      <c r="G92" s="8">
        <f t="shared" ca="1" si="103"/>
        <v>6.0093304023748108E-2</v>
      </c>
      <c r="H92" s="8">
        <f t="shared" ca="1" si="103"/>
        <v>6.5690884107219655E-2</v>
      </c>
      <c r="I92" s="8">
        <f t="shared" ca="1" si="103"/>
        <v>6.3778073988188813E-2</v>
      </c>
      <c r="J92" s="8">
        <f t="shared" ca="1" si="103"/>
        <v>6.6872046673290414E-2</v>
      </c>
      <c r="K92" s="8">
        <f t="shared" ca="1" si="103"/>
        <v>7.6860115979269797E-2</v>
      </c>
      <c r="L92" s="8">
        <f t="shared" ca="1" si="103"/>
        <v>7.3429446132506154E-2</v>
      </c>
      <c r="M92" s="8">
        <f t="shared" ca="1" si="103"/>
        <v>6.6403502043358209E-2</v>
      </c>
      <c r="N92" s="8">
        <f t="shared" ca="1" si="103"/>
        <v>6.6268240476977394E-2</v>
      </c>
      <c r="O92" s="8">
        <f t="shared" ca="1" si="103"/>
        <v>5.8804827989974037E-2</v>
      </c>
      <c r="Q92" s="12"/>
    </row>
    <row r="93" spans="2:53">
      <c r="B93" s="3">
        <v>72</v>
      </c>
      <c r="C93" s="8">
        <f t="shared" si="96"/>
        <v>0.05</v>
      </c>
      <c r="D93" s="8">
        <f t="shared" ref="D93:O93" ca="1" si="104">C93+k*(theta-C93)*dt+vol*SQRT(dt)*_xlfn.NORM.S.INV(RAND())</f>
        <v>5.5041338580223836E-2</v>
      </c>
      <c r="E93" s="8">
        <f t="shared" ca="1" si="104"/>
        <v>5.0534475550291523E-2</v>
      </c>
      <c r="F93" s="8">
        <f t="shared" ca="1" si="104"/>
        <v>6.2323417417827459E-2</v>
      </c>
      <c r="G93" s="8">
        <f t="shared" ca="1" si="104"/>
        <v>6.4526322193059579E-2</v>
      </c>
      <c r="H93" s="8">
        <f t="shared" ca="1" si="104"/>
        <v>5.3834049101935309E-2</v>
      </c>
      <c r="I93" s="8">
        <f t="shared" ca="1" si="104"/>
        <v>6.6937736384902732E-2</v>
      </c>
      <c r="J93" s="8">
        <f t="shared" ca="1" si="104"/>
        <v>6.0233291933849409E-2</v>
      </c>
      <c r="K93" s="8">
        <f t="shared" ca="1" si="104"/>
        <v>6.0744428036099744E-2</v>
      </c>
      <c r="L93" s="8">
        <f t="shared" ca="1" si="104"/>
        <v>7.3928350081036751E-2</v>
      </c>
      <c r="M93" s="8">
        <f t="shared" ca="1" si="104"/>
        <v>6.8906277759228349E-2</v>
      </c>
      <c r="N93" s="8">
        <f t="shared" ca="1" si="104"/>
        <v>6.0825982688289024E-2</v>
      </c>
      <c r="O93" s="8">
        <f t="shared" ca="1" si="104"/>
        <v>5.7912619757702885E-2</v>
      </c>
      <c r="Q93" s="12"/>
    </row>
    <row r="94" spans="2:53">
      <c r="B94" s="3">
        <v>73</v>
      </c>
      <c r="C94" s="8">
        <f t="shared" si="96"/>
        <v>0.05</v>
      </c>
      <c r="D94" s="8">
        <f t="shared" ref="D94:O94" ca="1" si="105">C94+k*(theta-C94)*dt+vol*SQRT(dt)*_xlfn.NORM.S.INV(RAND())</f>
        <v>5.8320408754495151E-2</v>
      </c>
      <c r="E94" s="8">
        <f t="shared" ca="1" si="105"/>
        <v>6.7450575077963718E-2</v>
      </c>
      <c r="F94" s="8">
        <f t="shared" ca="1" si="105"/>
        <v>6.4325236669702662E-2</v>
      </c>
      <c r="G94" s="8">
        <f t="shared" ca="1" si="105"/>
        <v>5.9394433620626338E-2</v>
      </c>
      <c r="H94" s="8">
        <f t="shared" ca="1" si="105"/>
        <v>6.2034660419375248E-2</v>
      </c>
      <c r="I94" s="8">
        <f t="shared" ca="1" si="105"/>
        <v>6.7197951434364175E-2</v>
      </c>
      <c r="J94" s="8">
        <f t="shared" ca="1" si="105"/>
        <v>6.4506839459766846E-2</v>
      </c>
      <c r="K94" s="8">
        <f t="shared" ca="1" si="105"/>
        <v>6.5987761557604205E-2</v>
      </c>
      <c r="L94" s="8">
        <f t="shared" ca="1" si="105"/>
        <v>5.9409688936002562E-2</v>
      </c>
      <c r="M94" s="8">
        <f t="shared" ca="1" si="105"/>
        <v>6.2148938512540171E-2</v>
      </c>
      <c r="N94" s="8">
        <f t="shared" ca="1" si="105"/>
        <v>7.2274505633038805E-2</v>
      </c>
      <c r="O94" s="8">
        <f t="shared" ca="1" si="105"/>
        <v>7.7869680880198383E-2</v>
      </c>
      <c r="Q94" s="12"/>
    </row>
    <row r="95" spans="2:53">
      <c r="B95" s="3">
        <v>74</v>
      </c>
      <c r="C95" s="8">
        <f t="shared" si="96"/>
        <v>0.05</v>
      </c>
      <c r="D95" s="8">
        <f t="shared" ref="D95:O95" ca="1" si="106">C95+k*(theta-C95)*dt+vol*SQRT(dt)*_xlfn.NORM.S.INV(RAND())</f>
        <v>4.1511731097118941E-2</v>
      </c>
      <c r="E95" s="8">
        <f t="shared" ca="1" si="106"/>
        <v>5.3144345063614547E-2</v>
      </c>
      <c r="F95" s="8">
        <f t="shared" ca="1" si="106"/>
        <v>5.7719057458230694E-2</v>
      </c>
      <c r="G95" s="8">
        <f t="shared" ca="1" si="106"/>
        <v>6.1103150200124308E-2</v>
      </c>
      <c r="H95" s="8">
        <f t="shared" ca="1" si="106"/>
        <v>6.4939997675820177E-2</v>
      </c>
      <c r="I95" s="8">
        <f t="shared" ca="1" si="106"/>
        <v>6.2445453421759688E-2</v>
      </c>
      <c r="J95" s="8">
        <f t="shared" ca="1" si="106"/>
        <v>6.050019718071719E-2</v>
      </c>
      <c r="K95" s="8">
        <f t="shared" ca="1" si="106"/>
        <v>6.4558913162902118E-2</v>
      </c>
      <c r="L95" s="8">
        <f t="shared" ca="1" si="106"/>
        <v>6.1991615808270777E-2</v>
      </c>
      <c r="M95" s="8">
        <f t="shared" ca="1" si="106"/>
        <v>5.2912885359908818E-2</v>
      </c>
      <c r="N95" s="8">
        <f t="shared" ca="1" si="106"/>
        <v>5.4102995158018662E-2</v>
      </c>
      <c r="O95" s="8">
        <f t="shared" ca="1" si="106"/>
        <v>5.9256906595291814E-2</v>
      </c>
      <c r="Q95" s="12"/>
    </row>
    <row r="96" spans="2:53">
      <c r="B96" s="3">
        <v>75</v>
      </c>
      <c r="C96" s="8">
        <f t="shared" si="96"/>
        <v>0.05</v>
      </c>
      <c r="D96" s="8">
        <f t="shared" ref="D96:O96" ca="1" si="107">C96+k*(theta-C96)*dt+vol*SQRT(dt)*_xlfn.NORM.S.INV(RAND())</f>
        <v>4.5623927429139323E-2</v>
      </c>
      <c r="E96" s="8">
        <f t="shared" ca="1" si="107"/>
        <v>5.041910455718699E-2</v>
      </c>
      <c r="F96" s="8">
        <f t="shared" ca="1" si="107"/>
        <v>3.7851927538047676E-2</v>
      </c>
      <c r="G96" s="8">
        <f t="shared" ca="1" si="107"/>
        <v>4.0649018915371961E-2</v>
      </c>
      <c r="H96" s="8">
        <f t="shared" ca="1" si="107"/>
        <v>4.0855346926129882E-2</v>
      </c>
      <c r="I96" s="8">
        <f t="shared" ca="1" si="107"/>
        <v>4.2399958973156376E-2</v>
      </c>
      <c r="J96" s="8">
        <f t="shared" ca="1" si="107"/>
        <v>4.283557943776501E-2</v>
      </c>
      <c r="K96" s="8">
        <f t="shared" ca="1" si="107"/>
        <v>3.6536855944048152E-2</v>
      </c>
      <c r="L96" s="8">
        <f t="shared" ca="1" si="107"/>
        <v>3.6222531609468769E-2</v>
      </c>
      <c r="M96" s="8">
        <f t="shared" ca="1" si="107"/>
        <v>4.2441107068406661E-2</v>
      </c>
      <c r="N96" s="8">
        <f t="shared" ca="1" si="107"/>
        <v>4.4760706695256794E-2</v>
      </c>
      <c r="O96" s="8">
        <f t="shared" ca="1" si="107"/>
        <v>5.3511738541391796E-2</v>
      </c>
      <c r="Q96" s="12"/>
    </row>
    <row r="97" spans="2:17">
      <c r="B97" s="3">
        <v>76</v>
      </c>
      <c r="C97" s="8">
        <f t="shared" si="96"/>
        <v>0.05</v>
      </c>
      <c r="D97" s="8">
        <f t="shared" ref="D97:O97" ca="1" si="108">C97+k*(theta-C97)*dt+vol*SQRT(dt)*_xlfn.NORM.S.INV(RAND())</f>
        <v>5.885682418086826E-2</v>
      </c>
      <c r="E97" s="8">
        <f t="shared" ca="1" si="108"/>
        <v>5.6473242415550566E-2</v>
      </c>
      <c r="F97" s="8">
        <f t="shared" ca="1" si="108"/>
        <v>5.9423538485012035E-2</v>
      </c>
      <c r="G97" s="8">
        <f t="shared" ca="1" si="108"/>
        <v>7.2097004139844614E-2</v>
      </c>
      <c r="H97" s="8">
        <f t="shared" ca="1" si="108"/>
        <v>7.0648288125456538E-2</v>
      </c>
      <c r="I97" s="8">
        <f t="shared" ca="1" si="108"/>
        <v>8.8276726605531097E-2</v>
      </c>
      <c r="J97" s="8">
        <f t="shared" ca="1" si="108"/>
        <v>7.3747718991048705E-2</v>
      </c>
      <c r="K97" s="8">
        <f t="shared" ca="1" si="108"/>
        <v>7.4508219349504481E-2</v>
      </c>
      <c r="L97" s="8">
        <f t="shared" ca="1" si="108"/>
        <v>7.3952768215452935E-2</v>
      </c>
      <c r="M97" s="8">
        <f t="shared" ca="1" si="108"/>
        <v>6.9941496693025643E-2</v>
      </c>
      <c r="N97" s="8">
        <f t="shared" ca="1" si="108"/>
        <v>7.3430973974732763E-2</v>
      </c>
      <c r="O97" s="8">
        <f t="shared" ca="1" si="108"/>
        <v>6.8243190548329502E-2</v>
      </c>
      <c r="Q97" s="12"/>
    </row>
    <row r="98" spans="2:17">
      <c r="B98" s="3">
        <v>77</v>
      </c>
      <c r="C98" s="8">
        <f t="shared" si="96"/>
        <v>0.05</v>
      </c>
      <c r="D98" s="8">
        <f t="shared" ref="D98:O98" ca="1" si="109">C98+k*(theta-C98)*dt+vol*SQRT(dt)*_xlfn.NORM.S.INV(RAND())</f>
        <v>4.6596660960522875E-2</v>
      </c>
      <c r="E98" s="8">
        <f t="shared" ca="1" si="109"/>
        <v>4.8103887448730807E-2</v>
      </c>
      <c r="F98" s="8">
        <f t="shared" ca="1" si="109"/>
        <v>4.2313313330642158E-2</v>
      </c>
      <c r="G98" s="8">
        <f t="shared" ca="1" si="109"/>
        <v>5.0676967948679E-2</v>
      </c>
      <c r="H98" s="8">
        <f t="shared" ca="1" si="109"/>
        <v>4.8122295211590491E-2</v>
      </c>
      <c r="I98" s="8">
        <f t="shared" ca="1" si="109"/>
        <v>4.6557922798825487E-2</v>
      </c>
      <c r="J98" s="8">
        <f t="shared" ca="1" si="109"/>
        <v>4.2826258521564249E-2</v>
      </c>
      <c r="K98" s="8">
        <f t="shared" ca="1" si="109"/>
        <v>4.7655685343667029E-2</v>
      </c>
      <c r="L98" s="8">
        <f t="shared" ca="1" si="109"/>
        <v>4.4588269109147725E-2</v>
      </c>
      <c r="M98" s="8">
        <f t="shared" ca="1" si="109"/>
        <v>4.9329089472397822E-2</v>
      </c>
      <c r="N98" s="8">
        <f t="shared" ca="1" si="109"/>
        <v>5.1242819034720354E-2</v>
      </c>
      <c r="O98" s="8">
        <f t="shared" ca="1" si="109"/>
        <v>5.0294054869973966E-2</v>
      </c>
      <c r="Q98" s="12"/>
    </row>
    <row r="99" spans="2:17">
      <c r="B99" s="3">
        <v>78</v>
      </c>
      <c r="C99" s="8">
        <f t="shared" si="96"/>
        <v>0.05</v>
      </c>
      <c r="D99" s="8">
        <f t="shared" ref="D99:O99" ca="1" si="110">C99+k*(theta-C99)*dt+vol*SQRT(dt)*_xlfn.NORM.S.INV(RAND())</f>
        <v>4.2040037509762221E-2</v>
      </c>
      <c r="E99" s="8">
        <f t="shared" ca="1" si="110"/>
        <v>4.5661263028433006E-2</v>
      </c>
      <c r="F99" s="8">
        <f t="shared" ca="1" si="110"/>
        <v>4.6359621483208185E-2</v>
      </c>
      <c r="G99" s="8">
        <f t="shared" ca="1" si="110"/>
        <v>4.5027547606597412E-2</v>
      </c>
      <c r="H99" s="8">
        <f t="shared" ca="1" si="110"/>
        <v>5.2349359207321949E-2</v>
      </c>
      <c r="I99" s="8">
        <f t="shared" ca="1" si="110"/>
        <v>5.974326812666355E-2</v>
      </c>
      <c r="J99" s="8">
        <f t="shared" ca="1" si="110"/>
        <v>6.6664914342131384E-2</v>
      </c>
      <c r="K99" s="8">
        <f t="shared" ca="1" si="110"/>
        <v>5.9084941813797316E-2</v>
      </c>
      <c r="L99" s="8">
        <f t="shared" ca="1" si="110"/>
        <v>6.9599793951175826E-2</v>
      </c>
      <c r="M99" s="8">
        <f t="shared" ca="1" si="110"/>
        <v>7.1585683884793028E-2</v>
      </c>
      <c r="N99" s="8">
        <f t="shared" ca="1" si="110"/>
        <v>6.6468549918623498E-2</v>
      </c>
      <c r="O99" s="8">
        <f t="shared" ca="1" si="110"/>
        <v>7.2258996909680087E-2</v>
      </c>
      <c r="Q99" s="12"/>
    </row>
    <row r="100" spans="2:17">
      <c r="B100" s="3">
        <v>79</v>
      </c>
      <c r="C100" s="8">
        <f t="shared" si="96"/>
        <v>0.05</v>
      </c>
      <c r="D100" s="8">
        <f t="shared" ref="D100:O100" ca="1" si="111">C100+k*(theta-C100)*dt+vol*SQRT(dt)*_xlfn.NORM.S.INV(RAND())</f>
        <v>5.8192222696702656E-2</v>
      </c>
      <c r="E100" s="8">
        <f t="shared" ca="1" si="111"/>
        <v>6.2463252361270517E-2</v>
      </c>
      <c r="F100" s="8">
        <f t="shared" ca="1" si="111"/>
        <v>6.3562502222730924E-2</v>
      </c>
      <c r="G100" s="8">
        <f t="shared" ca="1" si="111"/>
        <v>6.6675684495660845E-2</v>
      </c>
      <c r="H100" s="8">
        <f t="shared" ca="1" si="111"/>
        <v>6.8313116962133033E-2</v>
      </c>
      <c r="I100" s="8">
        <f t="shared" ca="1" si="111"/>
        <v>5.9029146208272494E-2</v>
      </c>
      <c r="J100" s="8">
        <f t="shared" ca="1" si="111"/>
        <v>6.3941071515198775E-2</v>
      </c>
      <c r="K100" s="8">
        <f t="shared" ca="1" si="111"/>
        <v>6.5190291021514149E-2</v>
      </c>
      <c r="L100" s="8">
        <f t="shared" ca="1" si="111"/>
        <v>6.071529313603001E-2</v>
      </c>
      <c r="M100" s="8">
        <f t="shared" ca="1" si="111"/>
        <v>6.1620535417592388E-2</v>
      </c>
      <c r="N100" s="8">
        <f t="shared" ca="1" si="111"/>
        <v>7.1724412894353329E-2</v>
      </c>
      <c r="O100" s="8">
        <f t="shared" ca="1" si="111"/>
        <v>7.5690852561943148E-2</v>
      </c>
      <c r="Q100" s="12"/>
    </row>
    <row r="101" spans="2:17">
      <c r="B101" s="3">
        <v>80</v>
      </c>
      <c r="C101" s="8">
        <f t="shared" si="96"/>
        <v>0.05</v>
      </c>
      <c r="D101" s="8">
        <f t="shared" ref="D101:O101" ca="1" si="112">C101+k*(theta-C101)*dt+vol*SQRT(dt)*_xlfn.NORM.S.INV(RAND())</f>
        <v>5.467655705365311E-2</v>
      </c>
      <c r="E101" s="8">
        <f t="shared" ca="1" si="112"/>
        <v>5.7738835545684992E-2</v>
      </c>
      <c r="F101" s="8">
        <f t="shared" ca="1" si="112"/>
        <v>6.1957659642090442E-2</v>
      </c>
      <c r="G101" s="8">
        <f t="shared" ca="1" si="112"/>
        <v>5.5965291845167693E-2</v>
      </c>
      <c r="H101" s="8">
        <f t="shared" ca="1" si="112"/>
        <v>5.4050745825306494E-2</v>
      </c>
      <c r="I101" s="8">
        <f t="shared" ca="1" si="112"/>
        <v>5.2305306368093434E-2</v>
      </c>
      <c r="J101" s="8">
        <f t="shared" ca="1" si="112"/>
        <v>5.6401444561910603E-2</v>
      </c>
      <c r="K101" s="8">
        <f t="shared" ca="1" si="112"/>
        <v>5.3762262485036919E-2</v>
      </c>
      <c r="L101" s="8">
        <f t="shared" ca="1" si="112"/>
        <v>5.5177000431943755E-2</v>
      </c>
      <c r="M101" s="8">
        <f t="shared" ca="1" si="112"/>
        <v>5.8514938876562374E-2</v>
      </c>
      <c r="N101" s="8">
        <f t="shared" ca="1" si="112"/>
        <v>5.4099397085490795E-2</v>
      </c>
      <c r="O101" s="8">
        <f t="shared" ca="1" si="112"/>
        <v>5.1127211112738477E-2</v>
      </c>
      <c r="Q101" s="12"/>
    </row>
    <row r="102" spans="2:17">
      <c r="B102" s="3">
        <v>81</v>
      </c>
      <c r="C102" s="8">
        <f t="shared" si="96"/>
        <v>0.05</v>
      </c>
      <c r="D102" s="8">
        <f t="shared" ref="D102:O102" ca="1" si="113">C102+k*(theta-C102)*dt+vol*SQRT(dt)*_xlfn.NORM.S.INV(RAND())</f>
        <v>5.0549701102776512E-2</v>
      </c>
      <c r="E102" s="8">
        <f t="shared" ca="1" si="113"/>
        <v>3.7576625555941059E-2</v>
      </c>
      <c r="F102" s="8">
        <f t="shared" ca="1" si="113"/>
        <v>3.4797661083831095E-2</v>
      </c>
      <c r="G102" s="8">
        <f t="shared" ca="1" si="113"/>
        <v>4.6386050699654444E-2</v>
      </c>
      <c r="H102" s="8">
        <f t="shared" ca="1" si="113"/>
        <v>4.9797497601988358E-2</v>
      </c>
      <c r="I102" s="8">
        <f t="shared" ca="1" si="113"/>
        <v>4.9272276548617461E-2</v>
      </c>
      <c r="J102" s="8">
        <f t="shared" ca="1" si="113"/>
        <v>4.7010329146472539E-2</v>
      </c>
      <c r="K102" s="8">
        <f t="shared" ca="1" si="113"/>
        <v>5.6563240958280442E-2</v>
      </c>
      <c r="L102" s="8">
        <f t="shared" ca="1" si="113"/>
        <v>4.6452477471519538E-2</v>
      </c>
      <c r="M102" s="8">
        <f t="shared" ca="1" si="113"/>
        <v>4.6619005192579034E-2</v>
      </c>
      <c r="N102" s="8">
        <f t="shared" ca="1" si="113"/>
        <v>4.371470123055203E-2</v>
      </c>
      <c r="O102" s="8">
        <f t="shared" ca="1" si="113"/>
        <v>4.0625796766355408E-2</v>
      </c>
      <c r="Q102" s="12"/>
    </row>
    <row r="103" spans="2:17">
      <c r="B103" s="3">
        <v>82</v>
      </c>
      <c r="C103" s="8">
        <f t="shared" si="96"/>
        <v>0.05</v>
      </c>
      <c r="D103" s="8">
        <f t="shared" ref="D103:O103" ca="1" si="114">C103+k*(theta-C103)*dt+vol*SQRT(dt)*_xlfn.NORM.S.INV(RAND())</f>
        <v>6.0073209604164512E-2</v>
      </c>
      <c r="E103" s="8">
        <f t="shared" ca="1" si="114"/>
        <v>5.5353217304282609E-2</v>
      </c>
      <c r="F103" s="8">
        <f t="shared" ca="1" si="114"/>
        <v>6.4559805599218728E-2</v>
      </c>
      <c r="G103" s="8">
        <f t="shared" ca="1" si="114"/>
        <v>6.2556090104648132E-2</v>
      </c>
      <c r="H103" s="8">
        <f t="shared" ca="1" si="114"/>
        <v>6.3729473362650738E-2</v>
      </c>
      <c r="I103" s="8">
        <f t="shared" ca="1" si="114"/>
        <v>5.8400166527685246E-2</v>
      </c>
      <c r="J103" s="8">
        <f t="shared" ca="1" si="114"/>
        <v>6.3170814676578507E-2</v>
      </c>
      <c r="K103" s="8">
        <f t="shared" ca="1" si="114"/>
        <v>6.3393959830256821E-2</v>
      </c>
      <c r="L103" s="8">
        <f t="shared" ca="1" si="114"/>
        <v>6.0948016960870308E-2</v>
      </c>
      <c r="M103" s="8">
        <f t="shared" ca="1" si="114"/>
        <v>5.5522512713312495E-2</v>
      </c>
      <c r="N103" s="8">
        <f t="shared" ca="1" si="114"/>
        <v>6.3015547242472381E-2</v>
      </c>
      <c r="O103" s="8">
        <f t="shared" ca="1" si="114"/>
        <v>5.9924808284680102E-2</v>
      </c>
      <c r="Q103" s="12"/>
    </row>
    <row r="104" spans="2:17">
      <c r="B104" s="3">
        <v>83</v>
      </c>
      <c r="C104" s="8">
        <f t="shared" si="96"/>
        <v>0.05</v>
      </c>
      <c r="D104" s="8">
        <f t="shared" ref="D104:O104" ca="1" si="115">C104+k*(theta-C104)*dt+vol*SQRT(dt)*_xlfn.NORM.S.INV(RAND())</f>
        <v>5.1639337342110458E-2</v>
      </c>
      <c r="E104" s="8">
        <f t="shared" ca="1" si="115"/>
        <v>4.8657527951318495E-2</v>
      </c>
      <c r="F104" s="8">
        <f t="shared" ca="1" si="115"/>
        <v>4.3341848501864261E-2</v>
      </c>
      <c r="G104" s="8">
        <f t="shared" ca="1" si="115"/>
        <v>4.749962487394483E-2</v>
      </c>
      <c r="H104" s="8">
        <f t="shared" ca="1" si="115"/>
        <v>5.5180039982456547E-2</v>
      </c>
      <c r="I104" s="8">
        <f t="shared" ca="1" si="115"/>
        <v>6.2106059881974596E-2</v>
      </c>
      <c r="J104" s="8">
        <f t="shared" ca="1" si="115"/>
        <v>5.5909891607866836E-2</v>
      </c>
      <c r="K104" s="8">
        <f t="shared" ca="1" si="115"/>
        <v>4.8929590909993187E-2</v>
      </c>
      <c r="L104" s="8">
        <f t="shared" ca="1" si="115"/>
        <v>5.5501262053174155E-2</v>
      </c>
      <c r="M104" s="8">
        <f t="shared" ca="1" si="115"/>
        <v>5.2237034346508629E-2</v>
      </c>
      <c r="N104" s="8">
        <f t="shared" ca="1" si="115"/>
        <v>4.550749804197473E-2</v>
      </c>
      <c r="O104" s="8">
        <f t="shared" ca="1" si="115"/>
        <v>5.2436727118470763E-2</v>
      </c>
      <c r="Q104" s="12"/>
    </row>
    <row r="105" spans="2:17">
      <c r="B105" s="3">
        <v>84</v>
      </c>
      <c r="C105" s="8">
        <f t="shared" si="96"/>
        <v>0.05</v>
      </c>
      <c r="D105" s="8">
        <f t="shared" ref="D105:O105" ca="1" si="116">C105+k*(theta-C105)*dt+vol*SQRT(dt)*_xlfn.NORM.S.INV(RAND())</f>
        <v>6.0016898111436429E-2</v>
      </c>
      <c r="E105" s="8">
        <f t="shared" ca="1" si="116"/>
        <v>6.6491499987112304E-2</v>
      </c>
      <c r="F105" s="8">
        <f t="shared" ca="1" si="116"/>
        <v>6.2267910384840378E-2</v>
      </c>
      <c r="G105" s="8">
        <f t="shared" ca="1" si="116"/>
        <v>6.0440528518932939E-2</v>
      </c>
      <c r="H105" s="8">
        <f t="shared" ca="1" si="116"/>
        <v>6.1151752956098107E-2</v>
      </c>
      <c r="I105" s="8">
        <f t="shared" ca="1" si="116"/>
        <v>6.7198314265936671E-2</v>
      </c>
      <c r="J105" s="8">
        <f t="shared" ca="1" si="116"/>
        <v>5.8087056285536696E-2</v>
      </c>
      <c r="K105" s="8">
        <f t="shared" ca="1" si="116"/>
        <v>5.6655282856912403E-2</v>
      </c>
      <c r="L105" s="8">
        <f t="shared" ca="1" si="116"/>
        <v>6.2646867772807591E-2</v>
      </c>
      <c r="M105" s="8">
        <f t="shared" ca="1" si="116"/>
        <v>5.9451120273204192E-2</v>
      </c>
      <c r="N105" s="8">
        <f t="shared" ca="1" si="116"/>
        <v>5.5605768505881302E-2</v>
      </c>
      <c r="O105" s="8">
        <f t="shared" ca="1" si="116"/>
        <v>5.9895697199345961E-2</v>
      </c>
      <c r="Q105" s="12"/>
    </row>
    <row r="106" spans="2:17">
      <c r="B106" s="3">
        <v>85</v>
      </c>
      <c r="C106" s="8">
        <f t="shared" si="96"/>
        <v>0.05</v>
      </c>
      <c r="D106" s="8">
        <f t="shared" ref="D106:O106" ca="1" si="117">C106+k*(theta-C106)*dt+vol*SQRT(dt)*_xlfn.NORM.S.INV(RAND())</f>
        <v>5.0527927991512622E-2</v>
      </c>
      <c r="E106" s="8">
        <f t="shared" ca="1" si="117"/>
        <v>5.0278583164309956E-2</v>
      </c>
      <c r="F106" s="8">
        <f t="shared" ca="1" si="117"/>
        <v>4.8535911211555774E-2</v>
      </c>
      <c r="G106" s="8">
        <f t="shared" ca="1" si="117"/>
        <v>4.9020456081093303E-2</v>
      </c>
      <c r="H106" s="8">
        <f t="shared" ca="1" si="117"/>
        <v>4.6400901754567875E-2</v>
      </c>
      <c r="I106" s="8">
        <f t="shared" ca="1" si="117"/>
        <v>5.4431258475567561E-2</v>
      </c>
      <c r="J106" s="8">
        <f t="shared" ca="1" si="117"/>
        <v>4.9829728220994997E-2</v>
      </c>
      <c r="K106" s="8">
        <f t="shared" ca="1" si="117"/>
        <v>4.8963129849347545E-2</v>
      </c>
      <c r="L106" s="8">
        <f t="shared" ca="1" si="117"/>
        <v>5.703728517026261E-2</v>
      </c>
      <c r="M106" s="8">
        <f t="shared" ca="1" si="117"/>
        <v>5.9314489339306296E-2</v>
      </c>
      <c r="N106" s="8">
        <f t="shared" ca="1" si="117"/>
        <v>6.6557661660293144E-2</v>
      </c>
      <c r="O106" s="8">
        <f t="shared" ca="1" si="117"/>
        <v>6.1408598892775688E-2</v>
      </c>
      <c r="Q106" s="12"/>
    </row>
    <row r="107" spans="2:17">
      <c r="B107" s="3">
        <v>86</v>
      </c>
      <c r="C107" s="8">
        <f t="shared" si="96"/>
        <v>0.05</v>
      </c>
      <c r="D107" s="8">
        <f t="shared" ref="D107:O107" ca="1" si="118">C107+k*(theta-C107)*dt+vol*SQRT(dt)*_xlfn.NORM.S.INV(RAND())</f>
        <v>4.5012031250555154E-2</v>
      </c>
      <c r="E107" s="8">
        <f t="shared" ca="1" si="118"/>
        <v>4.4224149903754895E-2</v>
      </c>
      <c r="F107" s="8">
        <f t="shared" ca="1" si="118"/>
        <v>3.4300654342766523E-2</v>
      </c>
      <c r="G107" s="8">
        <f t="shared" ca="1" si="118"/>
        <v>3.693399497800029E-2</v>
      </c>
      <c r="H107" s="8">
        <f t="shared" ca="1" si="118"/>
        <v>3.2266553126564616E-2</v>
      </c>
      <c r="I107" s="8">
        <f t="shared" ca="1" si="118"/>
        <v>2.451843657994715E-2</v>
      </c>
      <c r="J107" s="8">
        <f t="shared" ca="1" si="118"/>
        <v>2.5584078035112746E-2</v>
      </c>
      <c r="K107" s="8">
        <f t="shared" ca="1" si="118"/>
        <v>2.2045224741231322E-2</v>
      </c>
      <c r="L107" s="8">
        <f t="shared" ca="1" si="118"/>
        <v>1.6683145631154396E-2</v>
      </c>
      <c r="M107" s="8">
        <f t="shared" ca="1" si="118"/>
        <v>2.4268344520050007E-2</v>
      </c>
      <c r="N107" s="8">
        <f t="shared" ca="1" si="118"/>
        <v>2.1145249708387208E-2</v>
      </c>
      <c r="O107" s="8">
        <f t="shared" ca="1" si="118"/>
        <v>2.579445148510303E-2</v>
      </c>
      <c r="Q107" s="12"/>
    </row>
    <row r="108" spans="2:17">
      <c r="B108" s="3">
        <v>87</v>
      </c>
      <c r="C108" s="8">
        <f t="shared" si="96"/>
        <v>0.05</v>
      </c>
      <c r="D108" s="8">
        <f t="shared" ref="D108:O108" ca="1" si="119">C108+k*(theta-C108)*dt+vol*SQRT(dt)*_xlfn.NORM.S.INV(RAND())</f>
        <v>5.5360195199551425E-2</v>
      </c>
      <c r="E108" s="8">
        <f t="shared" ca="1" si="119"/>
        <v>4.8244263965242361E-2</v>
      </c>
      <c r="F108" s="8">
        <f t="shared" ca="1" si="119"/>
        <v>4.4142373923847664E-2</v>
      </c>
      <c r="G108" s="8">
        <f t="shared" ca="1" si="119"/>
        <v>4.1814131539607814E-2</v>
      </c>
      <c r="H108" s="8">
        <f t="shared" ca="1" si="119"/>
        <v>4.8065186717473139E-2</v>
      </c>
      <c r="I108" s="8">
        <f t="shared" ca="1" si="119"/>
        <v>4.512932133060267E-2</v>
      </c>
      <c r="J108" s="8">
        <f t="shared" ca="1" si="119"/>
        <v>3.5815116026832433E-2</v>
      </c>
      <c r="K108" s="8">
        <f t="shared" ca="1" si="119"/>
        <v>3.4950341254504087E-2</v>
      </c>
      <c r="L108" s="8">
        <f t="shared" ca="1" si="119"/>
        <v>3.7407250928729645E-2</v>
      </c>
      <c r="M108" s="8">
        <f t="shared" ca="1" si="119"/>
        <v>3.5920854079597594E-2</v>
      </c>
      <c r="N108" s="8">
        <f t="shared" ca="1" si="119"/>
        <v>4.1743003022309974E-2</v>
      </c>
      <c r="O108" s="8">
        <f t="shared" ca="1" si="119"/>
        <v>4.4603551795741381E-2</v>
      </c>
      <c r="Q108" s="12"/>
    </row>
    <row r="109" spans="2:17">
      <c r="B109" s="3">
        <v>88</v>
      </c>
      <c r="C109" s="8">
        <f t="shared" si="96"/>
        <v>0.05</v>
      </c>
      <c r="D109" s="8">
        <f t="shared" ref="D109:O109" ca="1" si="120">C109+k*(theta-C109)*dt+vol*SQRT(dt)*_xlfn.NORM.S.INV(RAND())</f>
        <v>4.3774256485617079E-2</v>
      </c>
      <c r="E109" s="8">
        <f t="shared" ca="1" si="120"/>
        <v>3.2573369552528458E-2</v>
      </c>
      <c r="F109" s="8">
        <f t="shared" ca="1" si="120"/>
        <v>3.6127113118630177E-2</v>
      </c>
      <c r="G109" s="8">
        <f t="shared" ca="1" si="120"/>
        <v>4.508237786237735E-2</v>
      </c>
      <c r="H109" s="8">
        <f t="shared" ca="1" si="120"/>
        <v>5.0009001901325338E-2</v>
      </c>
      <c r="I109" s="8">
        <f t="shared" ca="1" si="120"/>
        <v>4.6701376247172757E-2</v>
      </c>
      <c r="J109" s="8">
        <f t="shared" ca="1" si="120"/>
        <v>4.9144627905774597E-2</v>
      </c>
      <c r="K109" s="8">
        <f t="shared" ca="1" si="120"/>
        <v>5.5872873920360402E-2</v>
      </c>
      <c r="L109" s="8">
        <f t="shared" ca="1" si="120"/>
        <v>5.9196085878663741E-2</v>
      </c>
      <c r="M109" s="8">
        <f t="shared" ca="1" si="120"/>
        <v>7.0536195463922008E-2</v>
      </c>
      <c r="N109" s="8">
        <f t="shared" ca="1" si="120"/>
        <v>7.5046408068940029E-2</v>
      </c>
      <c r="O109" s="8">
        <f t="shared" ca="1" si="120"/>
        <v>7.3820401742291694E-2</v>
      </c>
      <c r="Q109" s="12"/>
    </row>
    <row r="110" spans="2:17">
      <c r="B110" s="3">
        <v>89</v>
      </c>
      <c r="C110" s="8">
        <f t="shared" si="96"/>
        <v>0.05</v>
      </c>
      <c r="D110" s="8">
        <f t="shared" ref="D110:O110" ca="1" si="121">C110+k*(theta-C110)*dt+vol*SQRT(dt)*_xlfn.NORM.S.INV(RAND())</f>
        <v>4.8406953098995065E-2</v>
      </c>
      <c r="E110" s="8">
        <f t="shared" ca="1" si="121"/>
        <v>5.5429346238603142E-2</v>
      </c>
      <c r="F110" s="8">
        <f t="shared" ca="1" si="121"/>
        <v>5.7069798101980061E-2</v>
      </c>
      <c r="G110" s="8">
        <f t="shared" ca="1" si="121"/>
        <v>6.6746055325716064E-2</v>
      </c>
      <c r="H110" s="8">
        <f t="shared" ca="1" si="121"/>
        <v>7.3166157439107982E-2</v>
      </c>
      <c r="I110" s="8">
        <f t="shared" ca="1" si="121"/>
        <v>7.4066343788962291E-2</v>
      </c>
      <c r="J110" s="8">
        <f t="shared" ca="1" si="121"/>
        <v>8.1690502681295935E-2</v>
      </c>
      <c r="K110" s="8">
        <f t="shared" ca="1" si="121"/>
        <v>7.5989107361201486E-2</v>
      </c>
      <c r="L110" s="8">
        <f t="shared" ca="1" si="121"/>
        <v>8.3759711654719765E-2</v>
      </c>
      <c r="M110" s="8">
        <f t="shared" ca="1" si="121"/>
        <v>9.4660697406299246E-2</v>
      </c>
      <c r="N110" s="8">
        <f t="shared" ca="1" si="121"/>
        <v>9.6610412189618869E-2</v>
      </c>
      <c r="O110" s="8">
        <f t="shared" ca="1" si="121"/>
        <v>8.7368554480511784E-2</v>
      </c>
      <c r="Q110" s="12"/>
    </row>
    <row r="111" spans="2:17">
      <c r="B111" s="3">
        <v>90</v>
      </c>
      <c r="C111" s="8">
        <f t="shared" si="96"/>
        <v>0.05</v>
      </c>
      <c r="D111" s="8">
        <f t="shared" ref="D111:O111" ca="1" si="122">C111+k*(theta-C111)*dt+vol*SQRT(dt)*_xlfn.NORM.S.INV(RAND())</f>
        <v>4.4053931400709782E-2</v>
      </c>
      <c r="E111" s="8">
        <f t="shared" ca="1" si="122"/>
        <v>5.0399694306234206E-2</v>
      </c>
      <c r="F111" s="8">
        <f t="shared" ca="1" si="122"/>
        <v>4.2533567082750981E-2</v>
      </c>
      <c r="G111" s="8">
        <f t="shared" ca="1" si="122"/>
        <v>4.3814667292945517E-2</v>
      </c>
      <c r="H111" s="8">
        <f t="shared" ca="1" si="122"/>
        <v>4.5327548653347052E-2</v>
      </c>
      <c r="I111" s="8">
        <f t="shared" ca="1" si="122"/>
        <v>4.4813047928499453E-2</v>
      </c>
      <c r="J111" s="8">
        <f t="shared" ca="1" si="122"/>
        <v>5.2278393787178697E-2</v>
      </c>
      <c r="K111" s="8">
        <f t="shared" ca="1" si="122"/>
        <v>5.4791358135306695E-2</v>
      </c>
      <c r="L111" s="8">
        <f t="shared" ca="1" si="122"/>
        <v>5.4384108769976632E-2</v>
      </c>
      <c r="M111" s="8">
        <f t="shared" ca="1" si="122"/>
        <v>6.1418330730753312E-2</v>
      </c>
      <c r="N111" s="8">
        <f t="shared" ca="1" si="122"/>
        <v>7.2694428812601464E-2</v>
      </c>
      <c r="O111" s="8">
        <f t="shared" ca="1" si="122"/>
        <v>5.7013977434857935E-2</v>
      </c>
      <c r="Q111" s="12"/>
    </row>
    <row r="112" spans="2:17">
      <c r="B112" s="3">
        <v>91</v>
      </c>
      <c r="C112" s="8">
        <f t="shared" si="96"/>
        <v>0.05</v>
      </c>
      <c r="D112" s="8">
        <f t="shared" ref="D112:O112" ca="1" si="123">C112+k*(theta-C112)*dt+vol*SQRT(dt)*_xlfn.NORM.S.INV(RAND())</f>
        <v>5.4702480842343269E-2</v>
      </c>
      <c r="E112" s="8">
        <f t="shared" ca="1" si="123"/>
        <v>5.4516316440884748E-2</v>
      </c>
      <c r="F112" s="8">
        <f t="shared" ca="1" si="123"/>
        <v>5.060235904869026E-2</v>
      </c>
      <c r="G112" s="8">
        <f t="shared" ca="1" si="123"/>
        <v>6.2372354652117476E-2</v>
      </c>
      <c r="H112" s="8">
        <f t="shared" ca="1" si="123"/>
        <v>6.2096930173200345E-2</v>
      </c>
      <c r="I112" s="8">
        <f t="shared" ca="1" si="123"/>
        <v>5.5762323854383705E-2</v>
      </c>
      <c r="J112" s="8">
        <f t="shared" ca="1" si="123"/>
        <v>5.8088260959848335E-2</v>
      </c>
      <c r="K112" s="8">
        <f t="shared" ca="1" si="123"/>
        <v>7.0422546724398905E-2</v>
      </c>
      <c r="L112" s="8">
        <f t="shared" ca="1" si="123"/>
        <v>6.0349113546365463E-2</v>
      </c>
      <c r="M112" s="8">
        <f t="shared" ca="1" si="123"/>
        <v>5.8687482715391009E-2</v>
      </c>
      <c r="N112" s="8">
        <f t="shared" ca="1" si="123"/>
        <v>6.0097579026562549E-2</v>
      </c>
      <c r="O112" s="8">
        <f t="shared" ca="1" si="123"/>
        <v>6.5989310760948286E-2</v>
      </c>
      <c r="Q112" s="12"/>
    </row>
    <row r="113" spans="2:17">
      <c r="B113" s="3">
        <v>92</v>
      </c>
      <c r="C113" s="8">
        <f t="shared" si="96"/>
        <v>0.05</v>
      </c>
      <c r="D113" s="8">
        <f t="shared" ref="D113:O113" ca="1" si="124">C113+k*(theta-C113)*dt+vol*SQRT(dt)*_xlfn.NORM.S.INV(RAND())</f>
        <v>4.832261923646379E-2</v>
      </c>
      <c r="E113" s="8">
        <f t="shared" ca="1" si="124"/>
        <v>5.5256524731446599E-2</v>
      </c>
      <c r="F113" s="8">
        <f t="shared" ca="1" si="124"/>
        <v>5.2455845352987543E-2</v>
      </c>
      <c r="G113" s="8">
        <f t="shared" ca="1" si="124"/>
        <v>6.0165588619545657E-2</v>
      </c>
      <c r="H113" s="8">
        <f t="shared" ca="1" si="124"/>
        <v>5.8393958617005776E-2</v>
      </c>
      <c r="I113" s="8">
        <f t="shared" ca="1" si="124"/>
        <v>5.3289357659771414E-2</v>
      </c>
      <c r="J113" s="8">
        <f t="shared" ca="1" si="124"/>
        <v>5.1420556053601886E-2</v>
      </c>
      <c r="K113" s="8">
        <f t="shared" ca="1" si="124"/>
        <v>4.6711748911609494E-2</v>
      </c>
      <c r="L113" s="8">
        <f t="shared" ca="1" si="124"/>
        <v>5.1777481288331262E-2</v>
      </c>
      <c r="M113" s="8">
        <f t="shared" ca="1" si="124"/>
        <v>6.294432016018757E-2</v>
      </c>
      <c r="N113" s="8">
        <f t="shared" ca="1" si="124"/>
        <v>7.3950448526987914E-2</v>
      </c>
      <c r="O113" s="8">
        <f t="shared" ca="1" si="124"/>
        <v>7.7896586235851134E-2</v>
      </c>
      <c r="Q113" s="12"/>
    </row>
    <row r="114" spans="2:17">
      <c r="B114" s="3">
        <v>93</v>
      </c>
      <c r="C114" s="8">
        <f t="shared" si="96"/>
        <v>0.05</v>
      </c>
      <c r="D114" s="8">
        <f t="shared" ref="D114:O114" ca="1" si="125">C114+k*(theta-C114)*dt+vol*SQRT(dt)*_xlfn.NORM.S.INV(RAND())</f>
        <v>5.2966216724294357E-2</v>
      </c>
      <c r="E114" s="8">
        <f t="shared" ca="1" si="125"/>
        <v>4.7216260935908527E-2</v>
      </c>
      <c r="F114" s="8">
        <f t="shared" ca="1" si="125"/>
        <v>4.7867767868925847E-2</v>
      </c>
      <c r="G114" s="8">
        <f t="shared" ca="1" si="125"/>
        <v>4.622476540873615E-2</v>
      </c>
      <c r="H114" s="8">
        <f t="shared" ca="1" si="125"/>
        <v>4.9262236014753165E-2</v>
      </c>
      <c r="I114" s="8">
        <f t="shared" ca="1" si="125"/>
        <v>4.9337748464542967E-2</v>
      </c>
      <c r="J114" s="8">
        <f t="shared" ca="1" si="125"/>
        <v>5.6033951467022308E-2</v>
      </c>
      <c r="K114" s="8">
        <f t="shared" ca="1" si="125"/>
        <v>5.6274496494492662E-2</v>
      </c>
      <c r="L114" s="8">
        <f t="shared" ca="1" si="125"/>
        <v>5.37121995589004E-2</v>
      </c>
      <c r="M114" s="8">
        <f t="shared" ca="1" si="125"/>
        <v>5.5701664939713076E-2</v>
      </c>
      <c r="N114" s="8">
        <f t="shared" ca="1" si="125"/>
        <v>5.4079734339892417E-2</v>
      </c>
      <c r="O114" s="8">
        <f t="shared" ca="1" si="125"/>
        <v>6.467096079750731E-2</v>
      </c>
      <c r="Q114" s="12"/>
    </row>
    <row r="115" spans="2:17">
      <c r="B115" s="3">
        <v>94</v>
      </c>
      <c r="C115" s="8">
        <f t="shared" si="96"/>
        <v>0.05</v>
      </c>
      <c r="D115" s="8">
        <f t="shared" ref="D115:O115" ca="1" si="126">C115+k*(theta-C115)*dt+vol*SQRT(dt)*_xlfn.NORM.S.INV(RAND())</f>
        <v>5.6470630456513453E-2</v>
      </c>
      <c r="E115" s="8">
        <f t="shared" ca="1" si="126"/>
        <v>4.8767303876359067E-2</v>
      </c>
      <c r="F115" s="8">
        <f t="shared" ca="1" si="126"/>
        <v>4.5114054792519266E-2</v>
      </c>
      <c r="G115" s="8">
        <f t="shared" ca="1" si="126"/>
        <v>4.0677684478847551E-2</v>
      </c>
      <c r="H115" s="8">
        <f t="shared" ca="1" si="126"/>
        <v>3.7234262858535878E-2</v>
      </c>
      <c r="I115" s="8">
        <f t="shared" ca="1" si="126"/>
        <v>3.2729225401900777E-2</v>
      </c>
      <c r="J115" s="8">
        <f t="shared" ca="1" si="126"/>
        <v>3.9435020138636853E-2</v>
      </c>
      <c r="K115" s="8">
        <f t="shared" ca="1" si="126"/>
        <v>4.8116834330574051E-2</v>
      </c>
      <c r="L115" s="8">
        <f t="shared" ca="1" si="126"/>
        <v>5.0046849313805417E-2</v>
      </c>
      <c r="M115" s="8">
        <f t="shared" ca="1" si="126"/>
        <v>5.2462190942866443E-2</v>
      </c>
      <c r="N115" s="8">
        <f t="shared" ca="1" si="126"/>
        <v>5.0676188601487364E-2</v>
      </c>
      <c r="O115" s="8">
        <f t="shared" ca="1" si="126"/>
        <v>6.1338341983128708E-2</v>
      </c>
      <c r="Q115" s="12"/>
    </row>
    <row r="116" spans="2:17">
      <c r="B116" s="3">
        <v>95</v>
      </c>
      <c r="C116" s="8">
        <f t="shared" si="96"/>
        <v>0.05</v>
      </c>
      <c r="D116" s="8">
        <f t="shared" ref="D116:O116" ca="1" si="127">C116+k*(theta-C116)*dt+vol*SQRT(dt)*_xlfn.NORM.S.INV(RAND())</f>
        <v>5.0893663473110674E-2</v>
      </c>
      <c r="E116" s="8">
        <f t="shared" ca="1" si="127"/>
        <v>4.7672617659604226E-2</v>
      </c>
      <c r="F116" s="8">
        <f t="shared" ca="1" si="127"/>
        <v>5.8070821555237274E-2</v>
      </c>
      <c r="G116" s="8">
        <f t="shared" ca="1" si="127"/>
        <v>6.6626872443403234E-2</v>
      </c>
      <c r="H116" s="8">
        <f t="shared" ca="1" si="127"/>
        <v>7.964745395875239E-2</v>
      </c>
      <c r="I116" s="8">
        <f t="shared" ca="1" si="127"/>
        <v>7.1738909069753692E-2</v>
      </c>
      <c r="J116" s="8">
        <f t="shared" ca="1" si="127"/>
        <v>7.6044456019844373E-2</v>
      </c>
      <c r="K116" s="8">
        <f t="shared" ca="1" si="127"/>
        <v>8.1811873118088546E-2</v>
      </c>
      <c r="L116" s="8">
        <f t="shared" ca="1" si="127"/>
        <v>9.6593536678913142E-2</v>
      </c>
      <c r="M116" s="8">
        <f t="shared" ca="1" si="127"/>
        <v>9.033774407383767E-2</v>
      </c>
      <c r="N116" s="8">
        <f t="shared" ca="1" si="127"/>
        <v>9.3396541127400021E-2</v>
      </c>
      <c r="O116" s="8">
        <f t="shared" ca="1" si="127"/>
        <v>8.9799029493449603E-2</v>
      </c>
      <c r="Q116" s="12"/>
    </row>
    <row r="117" spans="2:17">
      <c r="B117" s="3">
        <v>96</v>
      </c>
      <c r="C117" s="8">
        <f t="shared" si="96"/>
        <v>0.05</v>
      </c>
      <c r="D117" s="8">
        <f t="shared" ref="D117:O117" ca="1" si="128">C117+k*(theta-C117)*dt+vol*SQRT(dt)*_xlfn.NORM.S.INV(RAND())</f>
        <v>4.9619944073732977E-2</v>
      </c>
      <c r="E117" s="8">
        <f t="shared" ca="1" si="128"/>
        <v>4.3857961685158084E-2</v>
      </c>
      <c r="F117" s="8">
        <f t="shared" ca="1" si="128"/>
        <v>5.0704078869909019E-2</v>
      </c>
      <c r="G117" s="8">
        <f t="shared" ca="1" si="128"/>
        <v>4.8848664635301908E-2</v>
      </c>
      <c r="H117" s="8">
        <f t="shared" ca="1" si="128"/>
        <v>5.04308037910755E-2</v>
      </c>
      <c r="I117" s="8">
        <f t="shared" ca="1" si="128"/>
        <v>6.6397782018947152E-2</v>
      </c>
      <c r="J117" s="8">
        <f t="shared" ca="1" si="128"/>
        <v>7.0651060527697276E-2</v>
      </c>
      <c r="K117" s="8">
        <f t="shared" ca="1" si="128"/>
        <v>7.1873770684594274E-2</v>
      </c>
      <c r="L117" s="8">
        <f t="shared" ca="1" si="128"/>
        <v>7.5114194832025652E-2</v>
      </c>
      <c r="M117" s="8">
        <f t="shared" ca="1" si="128"/>
        <v>7.0825398124739633E-2</v>
      </c>
      <c r="N117" s="8">
        <f t="shared" ca="1" si="128"/>
        <v>6.0982851619915894E-2</v>
      </c>
      <c r="O117" s="8">
        <f t="shared" ca="1" si="128"/>
        <v>5.7403759021888878E-2</v>
      </c>
      <c r="Q117" s="12"/>
    </row>
    <row r="118" spans="2:17">
      <c r="B118" s="3">
        <v>97</v>
      </c>
      <c r="C118" s="8">
        <f t="shared" si="96"/>
        <v>0.05</v>
      </c>
      <c r="D118" s="8">
        <f t="shared" ref="D118:O118" ca="1" si="129">C118+k*(theta-C118)*dt+vol*SQRT(dt)*_xlfn.NORM.S.INV(RAND())</f>
        <v>6.0771182691398147E-2</v>
      </c>
      <c r="E118" s="8">
        <f t="shared" ca="1" si="129"/>
        <v>7.5959612412494354E-2</v>
      </c>
      <c r="F118" s="8">
        <f t="shared" ca="1" si="129"/>
        <v>7.8126736816406903E-2</v>
      </c>
      <c r="G118" s="8">
        <f t="shared" ca="1" si="129"/>
        <v>8.0037457597336215E-2</v>
      </c>
      <c r="H118" s="8">
        <f t="shared" ca="1" si="129"/>
        <v>7.7106333262510998E-2</v>
      </c>
      <c r="I118" s="8">
        <f t="shared" ca="1" si="129"/>
        <v>7.0122883228926278E-2</v>
      </c>
      <c r="J118" s="8">
        <f t="shared" ca="1" si="129"/>
        <v>7.7993169602324969E-2</v>
      </c>
      <c r="K118" s="8">
        <f t="shared" ca="1" si="129"/>
        <v>8.4196024296293387E-2</v>
      </c>
      <c r="L118" s="8">
        <f t="shared" ca="1" si="129"/>
        <v>7.6224343451957138E-2</v>
      </c>
      <c r="M118" s="8">
        <f t="shared" ca="1" si="129"/>
        <v>7.2301811960425177E-2</v>
      </c>
      <c r="N118" s="8">
        <f t="shared" ca="1" si="129"/>
        <v>6.3746963174831278E-2</v>
      </c>
      <c r="O118" s="8">
        <f t="shared" ca="1" si="129"/>
        <v>6.3809776198455348E-2</v>
      </c>
      <c r="Q118" s="12"/>
    </row>
    <row r="119" spans="2:17">
      <c r="B119" s="3">
        <v>98</v>
      </c>
      <c r="C119" s="8">
        <f t="shared" si="96"/>
        <v>0.05</v>
      </c>
      <c r="D119" s="8">
        <f t="shared" ref="D119:O119" ca="1" si="130">C119+k*(theta-C119)*dt+vol*SQRT(dt)*_xlfn.NORM.S.INV(RAND())</f>
        <v>4.2002825520028153E-2</v>
      </c>
      <c r="E119" s="8">
        <f t="shared" ca="1" si="130"/>
        <v>3.4428184336341164E-2</v>
      </c>
      <c r="F119" s="8">
        <f t="shared" ca="1" si="130"/>
        <v>4.1473213030333717E-2</v>
      </c>
      <c r="G119" s="8">
        <f t="shared" ca="1" si="130"/>
        <v>4.362081141051817E-2</v>
      </c>
      <c r="H119" s="8">
        <f t="shared" ca="1" si="130"/>
        <v>4.7523397637284963E-2</v>
      </c>
      <c r="I119" s="8">
        <f t="shared" ca="1" si="130"/>
        <v>3.9992298162147465E-2</v>
      </c>
      <c r="J119" s="8">
        <f t="shared" ca="1" si="130"/>
        <v>4.3494065792793878E-2</v>
      </c>
      <c r="K119" s="8">
        <f t="shared" ca="1" si="130"/>
        <v>4.0976218999511614E-2</v>
      </c>
      <c r="L119" s="8">
        <f t="shared" ca="1" si="130"/>
        <v>4.3383136767085204E-2</v>
      </c>
      <c r="M119" s="8">
        <f t="shared" ca="1" si="130"/>
        <v>4.3166557199242617E-2</v>
      </c>
      <c r="N119" s="8">
        <f t="shared" ca="1" si="130"/>
        <v>3.7064296178005919E-2</v>
      </c>
      <c r="O119" s="8">
        <f t="shared" ca="1" si="130"/>
        <v>4.5332914229564154E-2</v>
      </c>
      <c r="Q119" s="12"/>
    </row>
    <row r="120" spans="2:17">
      <c r="B120" s="3">
        <v>99</v>
      </c>
      <c r="C120" s="8">
        <f t="shared" si="96"/>
        <v>0.05</v>
      </c>
      <c r="D120" s="8">
        <f t="shared" ref="D120:O120" ca="1" si="131">C120+k*(theta-C120)*dt+vol*SQRT(dt)*_xlfn.NORM.S.INV(RAND())</f>
        <v>4.144586045051675E-2</v>
      </c>
      <c r="E120" s="8">
        <f t="shared" ca="1" si="131"/>
        <v>4.364395808248725E-2</v>
      </c>
      <c r="F120" s="8">
        <f t="shared" ca="1" si="131"/>
        <v>4.7848928839997383E-2</v>
      </c>
      <c r="G120" s="8">
        <f t="shared" ca="1" si="131"/>
        <v>4.5463123902295108E-2</v>
      </c>
      <c r="H120" s="8">
        <f t="shared" ca="1" si="131"/>
        <v>4.0448824020442239E-2</v>
      </c>
      <c r="I120" s="8">
        <f t="shared" ca="1" si="131"/>
        <v>3.7923230380208464E-2</v>
      </c>
      <c r="J120" s="8">
        <f t="shared" ca="1" si="131"/>
        <v>5.5502193826080008E-2</v>
      </c>
      <c r="K120" s="8">
        <f t="shared" ca="1" si="131"/>
        <v>7.043783097404123E-2</v>
      </c>
      <c r="L120" s="8">
        <f t="shared" ca="1" si="131"/>
        <v>6.8096923939895151E-2</v>
      </c>
      <c r="M120" s="8">
        <f t="shared" ca="1" si="131"/>
        <v>6.1822639685759399E-2</v>
      </c>
      <c r="N120" s="8">
        <f t="shared" ca="1" si="131"/>
        <v>6.4183733499768081E-2</v>
      </c>
      <c r="O120" s="8">
        <f t="shared" ca="1" si="131"/>
        <v>7.106417681016626E-2</v>
      </c>
      <c r="Q120" s="12"/>
    </row>
    <row r="121" spans="2:17">
      <c r="B121" s="3">
        <v>100</v>
      </c>
      <c r="C121" s="8">
        <f t="shared" si="96"/>
        <v>0.05</v>
      </c>
      <c r="D121" s="8">
        <f t="shared" ref="D121:O121" ca="1" si="132">C121+k*(theta-C121)*dt+vol*SQRT(dt)*_xlfn.NORM.S.INV(RAND())</f>
        <v>6.0423828624127957E-2</v>
      </c>
      <c r="E121" s="8">
        <f t="shared" ca="1" si="132"/>
        <v>6.886840986850129E-2</v>
      </c>
      <c r="F121" s="8">
        <f t="shared" ca="1" si="132"/>
        <v>7.3272101436135828E-2</v>
      </c>
      <c r="G121" s="8">
        <f t="shared" ca="1" si="132"/>
        <v>8.4423739575824913E-2</v>
      </c>
      <c r="H121" s="8">
        <f t="shared" ca="1" si="132"/>
        <v>7.2824121491994367E-2</v>
      </c>
      <c r="I121" s="8">
        <f t="shared" ca="1" si="132"/>
        <v>7.5858365210633313E-2</v>
      </c>
      <c r="J121" s="8">
        <f t="shared" ca="1" si="132"/>
        <v>8.0883355981607341E-2</v>
      </c>
      <c r="K121" s="8">
        <f t="shared" ca="1" si="132"/>
        <v>8.4124332019934162E-2</v>
      </c>
      <c r="L121" s="8">
        <f t="shared" ca="1" si="132"/>
        <v>7.6675129157402433E-2</v>
      </c>
      <c r="M121" s="8">
        <f t="shared" ca="1" si="132"/>
        <v>8.0700655745523847E-2</v>
      </c>
      <c r="N121" s="8">
        <f t="shared" ca="1" si="132"/>
        <v>9.0435403960415078E-2</v>
      </c>
      <c r="O121" s="8">
        <f t="shared" ca="1" si="132"/>
        <v>9.2988597354363184E-2</v>
      </c>
      <c r="Q121" s="12"/>
    </row>
    <row r="122" spans="2:17">
      <c r="B122" s="3">
        <v>101</v>
      </c>
      <c r="C122" s="8">
        <f t="shared" si="96"/>
        <v>0.05</v>
      </c>
      <c r="D122" s="8">
        <f t="shared" ref="D122:O122" ca="1" si="133">C122+k*(theta-C122)*dt+vol*SQRT(dt)*_xlfn.NORM.S.INV(RAND())</f>
        <v>5.0742724147430078E-2</v>
      </c>
      <c r="E122" s="8">
        <f t="shared" ca="1" si="133"/>
        <v>4.4770265049834376E-2</v>
      </c>
      <c r="F122" s="8">
        <f t="shared" ca="1" si="133"/>
        <v>4.6219924320039185E-2</v>
      </c>
      <c r="G122" s="8">
        <f t="shared" ca="1" si="133"/>
        <v>4.7473889968295255E-2</v>
      </c>
      <c r="H122" s="8">
        <f t="shared" ca="1" si="133"/>
        <v>4.8576207488048716E-2</v>
      </c>
      <c r="I122" s="8">
        <f t="shared" ca="1" si="133"/>
        <v>4.7539412432712258E-2</v>
      </c>
      <c r="J122" s="8">
        <f t="shared" ca="1" si="133"/>
        <v>4.4362659475438382E-2</v>
      </c>
      <c r="K122" s="8">
        <f t="shared" ca="1" si="133"/>
        <v>5.2454798261244051E-2</v>
      </c>
      <c r="L122" s="8">
        <f t="shared" ca="1" si="133"/>
        <v>4.8757704993012872E-2</v>
      </c>
      <c r="M122" s="8">
        <f t="shared" ca="1" si="133"/>
        <v>5.2903752529077648E-2</v>
      </c>
      <c r="N122" s="8">
        <f t="shared" ca="1" si="133"/>
        <v>5.4949002714881769E-2</v>
      </c>
      <c r="O122" s="8">
        <f t="shared" ca="1" si="133"/>
        <v>5.4673739318866765E-2</v>
      </c>
      <c r="Q122" s="12"/>
    </row>
    <row r="123" spans="2:17">
      <c r="B123" s="3">
        <v>102</v>
      </c>
      <c r="C123" s="8">
        <f t="shared" si="96"/>
        <v>0.05</v>
      </c>
      <c r="D123" s="8">
        <f t="shared" ref="D123:O123" ca="1" si="134">C123+k*(theta-C123)*dt+vol*SQRT(dt)*_xlfn.NORM.S.INV(RAND())</f>
        <v>5.0443027129960405E-2</v>
      </c>
      <c r="E123" s="8">
        <f t="shared" ca="1" si="134"/>
        <v>4.800416751800568E-2</v>
      </c>
      <c r="F123" s="8">
        <f t="shared" ca="1" si="134"/>
        <v>6.0356951633998443E-2</v>
      </c>
      <c r="G123" s="8">
        <f t="shared" ca="1" si="134"/>
        <v>6.6898131558085147E-2</v>
      </c>
      <c r="H123" s="8">
        <f t="shared" ca="1" si="134"/>
        <v>6.6046077362053243E-2</v>
      </c>
      <c r="I123" s="8">
        <f t="shared" ca="1" si="134"/>
        <v>6.712584207848013E-2</v>
      </c>
      <c r="J123" s="8">
        <f t="shared" ca="1" si="134"/>
        <v>6.5493968452601609E-2</v>
      </c>
      <c r="K123" s="8">
        <f t="shared" ca="1" si="134"/>
        <v>6.5876724537970915E-2</v>
      </c>
      <c r="L123" s="8">
        <f t="shared" ca="1" si="134"/>
        <v>6.9822547340399777E-2</v>
      </c>
      <c r="M123" s="8">
        <f t="shared" ca="1" si="134"/>
        <v>6.757989420399875E-2</v>
      </c>
      <c r="N123" s="8">
        <f t="shared" ca="1" si="134"/>
        <v>7.1548328129856231E-2</v>
      </c>
      <c r="O123" s="8">
        <f t="shared" ca="1" si="134"/>
        <v>7.7175904454689845E-2</v>
      </c>
      <c r="Q123" s="12"/>
    </row>
    <row r="124" spans="2:17">
      <c r="B124" s="3">
        <v>103</v>
      </c>
      <c r="C124" s="8">
        <f t="shared" si="96"/>
        <v>0.05</v>
      </c>
      <c r="D124" s="8">
        <f t="shared" ref="D124:O124" ca="1" si="135">C124+k*(theta-C124)*dt+vol*SQRT(dt)*_xlfn.NORM.S.INV(RAND())</f>
        <v>4.1281771913129525E-2</v>
      </c>
      <c r="E124" s="8">
        <f t="shared" ca="1" si="135"/>
        <v>4.7569921282157965E-2</v>
      </c>
      <c r="F124" s="8">
        <f t="shared" ca="1" si="135"/>
        <v>4.5670051328495567E-2</v>
      </c>
      <c r="G124" s="8">
        <f t="shared" ca="1" si="135"/>
        <v>6.0620520689893556E-2</v>
      </c>
      <c r="H124" s="8">
        <f t="shared" ca="1" si="135"/>
        <v>5.4929197481133722E-2</v>
      </c>
      <c r="I124" s="8">
        <f t="shared" ca="1" si="135"/>
        <v>5.3118908915771319E-2</v>
      </c>
      <c r="J124" s="8">
        <f t="shared" ca="1" si="135"/>
        <v>5.402632293212449E-2</v>
      </c>
      <c r="K124" s="8">
        <f t="shared" ca="1" si="135"/>
        <v>6.438914527783203E-2</v>
      </c>
      <c r="L124" s="8">
        <f t="shared" ca="1" si="135"/>
        <v>6.9023645094715536E-2</v>
      </c>
      <c r="M124" s="8">
        <f t="shared" ca="1" si="135"/>
        <v>7.6342219046032236E-2</v>
      </c>
      <c r="N124" s="8">
        <f t="shared" ca="1" si="135"/>
        <v>8.2263354547261261E-2</v>
      </c>
      <c r="O124" s="8">
        <f t="shared" ca="1" si="135"/>
        <v>8.8078729095636257E-2</v>
      </c>
      <c r="Q124" s="12"/>
    </row>
    <row r="125" spans="2:17">
      <c r="B125" s="3">
        <v>104</v>
      </c>
      <c r="C125" s="8">
        <f t="shared" si="96"/>
        <v>0.05</v>
      </c>
      <c r="D125" s="8">
        <f t="shared" ref="D125:O125" ca="1" si="136">C125+k*(theta-C125)*dt+vol*SQRT(dt)*_xlfn.NORM.S.INV(RAND())</f>
        <v>4.4787784817030794E-2</v>
      </c>
      <c r="E125" s="8">
        <f t="shared" ca="1" si="136"/>
        <v>5.2443809649428859E-2</v>
      </c>
      <c r="F125" s="8">
        <f t="shared" ca="1" si="136"/>
        <v>4.8675625077984425E-2</v>
      </c>
      <c r="G125" s="8">
        <f t="shared" ca="1" si="136"/>
        <v>4.8351480090605525E-2</v>
      </c>
      <c r="H125" s="8">
        <f t="shared" ca="1" si="136"/>
        <v>6.3773634284472067E-2</v>
      </c>
      <c r="I125" s="8">
        <f t="shared" ca="1" si="136"/>
        <v>5.8177309581406336E-2</v>
      </c>
      <c r="J125" s="8">
        <f t="shared" ca="1" si="136"/>
        <v>6.2661494747229221E-2</v>
      </c>
      <c r="K125" s="8">
        <f t="shared" ca="1" si="136"/>
        <v>6.5497213950673025E-2</v>
      </c>
      <c r="L125" s="8">
        <f t="shared" ca="1" si="136"/>
        <v>6.9751100156419679E-2</v>
      </c>
      <c r="M125" s="8">
        <f t="shared" ca="1" si="136"/>
        <v>7.2793372018102348E-2</v>
      </c>
      <c r="N125" s="8">
        <f t="shared" ca="1" si="136"/>
        <v>7.5578313855173412E-2</v>
      </c>
      <c r="O125" s="8">
        <f t="shared" ca="1" si="136"/>
        <v>7.8148047502484635E-2</v>
      </c>
      <c r="Q125" s="12"/>
    </row>
    <row r="126" spans="2:17">
      <c r="B126" s="3">
        <v>105</v>
      </c>
      <c r="C126" s="8">
        <f t="shared" si="96"/>
        <v>0.05</v>
      </c>
      <c r="D126" s="8">
        <f t="shared" ref="D126:O126" ca="1" si="137">C126+k*(theta-C126)*dt+vol*SQRT(dt)*_xlfn.NORM.S.INV(RAND())</f>
        <v>4.8645388754092071E-2</v>
      </c>
      <c r="E126" s="8">
        <f t="shared" ca="1" si="137"/>
        <v>4.9901818366094371E-2</v>
      </c>
      <c r="F126" s="8">
        <f t="shared" ca="1" si="137"/>
        <v>5.1009911012996671E-2</v>
      </c>
      <c r="G126" s="8">
        <f t="shared" ca="1" si="137"/>
        <v>4.942420974946226E-2</v>
      </c>
      <c r="H126" s="8">
        <f t="shared" ca="1" si="137"/>
        <v>3.8124997466172234E-2</v>
      </c>
      <c r="I126" s="8">
        <f t="shared" ca="1" si="137"/>
        <v>4.055054515134681E-2</v>
      </c>
      <c r="J126" s="8">
        <f t="shared" ca="1" si="137"/>
        <v>4.8500838923006495E-2</v>
      </c>
      <c r="K126" s="8">
        <f t="shared" ca="1" si="137"/>
        <v>5.4417117348895733E-2</v>
      </c>
      <c r="L126" s="8">
        <f t="shared" ca="1" si="137"/>
        <v>5.4690394104860769E-2</v>
      </c>
      <c r="M126" s="8">
        <f t="shared" ca="1" si="137"/>
        <v>5.9823928235274139E-2</v>
      </c>
      <c r="N126" s="8">
        <f t="shared" ca="1" si="137"/>
        <v>7.0357372521385284E-2</v>
      </c>
      <c r="O126" s="8">
        <f t="shared" ca="1" si="137"/>
        <v>7.1640647244548591E-2</v>
      </c>
      <c r="Q126" s="12"/>
    </row>
    <row r="127" spans="2:17">
      <c r="B127" s="3">
        <v>106</v>
      </c>
      <c r="C127" s="8">
        <f t="shared" si="96"/>
        <v>0.05</v>
      </c>
      <c r="D127" s="8">
        <f t="shared" ref="D127:O127" ca="1" si="138">C127+k*(theta-C127)*dt+vol*SQRT(dt)*_xlfn.NORM.S.INV(RAND())</f>
        <v>3.9123161968181108E-2</v>
      </c>
      <c r="E127" s="8">
        <f t="shared" ca="1" si="138"/>
        <v>4.0104686669021845E-2</v>
      </c>
      <c r="F127" s="8">
        <f t="shared" ca="1" si="138"/>
        <v>4.1953368265432542E-2</v>
      </c>
      <c r="G127" s="8">
        <f t="shared" ca="1" si="138"/>
        <v>3.8556931500618258E-2</v>
      </c>
      <c r="H127" s="8">
        <f t="shared" ca="1" si="138"/>
        <v>3.4072940107238756E-2</v>
      </c>
      <c r="I127" s="8">
        <f t="shared" ca="1" si="138"/>
        <v>3.3791291545818225E-2</v>
      </c>
      <c r="J127" s="8">
        <f t="shared" ca="1" si="138"/>
        <v>3.0473674672738111E-2</v>
      </c>
      <c r="K127" s="8">
        <f t="shared" ca="1" si="138"/>
        <v>3.0524507278439986E-2</v>
      </c>
      <c r="L127" s="8">
        <f t="shared" ca="1" si="138"/>
        <v>2.4100698794328742E-2</v>
      </c>
      <c r="M127" s="8">
        <f t="shared" ca="1" si="138"/>
        <v>2.7853966556349342E-2</v>
      </c>
      <c r="N127" s="8">
        <f t="shared" ca="1" si="138"/>
        <v>3.0388179937466099E-2</v>
      </c>
      <c r="O127" s="8">
        <f t="shared" ca="1" si="138"/>
        <v>3.3546789304464031E-2</v>
      </c>
      <c r="Q127" s="12"/>
    </row>
    <row r="128" spans="2:17">
      <c r="B128" s="3">
        <v>107</v>
      </c>
      <c r="C128" s="8">
        <f t="shared" si="96"/>
        <v>0.05</v>
      </c>
      <c r="D128" s="8">
        <f t="shared" ref="D128:O128" ca="1" si="139">C128+k*(theta-C128)*dt+vol*SQRT(dt)*_xlfn.NORM.S.INV(RAND())</f>
        <v>5.851734330747696E-2</v>
      </c>
      <c r="E128" s="8">
        <f t="shared" ca="1" si="139"/>
        <v>5.9960878410386262E-2</v>
      </c>
      <c r="F128" s="8">
        <f t="shared" ca="1" si="139"/>
        <v>6.3742093534894823E-2</v>
      </c>
      <c r="G128" s="8">
        <f t="shared" ca="1" si="139"/>
        <v>6.6901720823911492E-2</v>
      </c>
      <c r="H128" s="8">
        <f t="shared" ca="1" si="139"/>
        <v>8.1044202061846704E-2</v>
      </c>
      <c r="I128" s="8">
        <f t="shared" ca="1" si="139"/>
        <v>8.231948910443429E-2</v>
      </c>
      <c r="J128" s="8">
        <f t="shared" ca="1" si="139"/>
        <v>8.5989363173797365E-2</v>
      </c>
      <c r="K128" s="8">
        <f t="shared" ca="1" si="139"/>
        <v>8.7717345156108753E-2</v>
      </c>
      <c r="L128" s="8">
        <f t="shared" ca="1" si="139"/>
        <v>9.194556321748143E-2</v>
      </c>
      <c r="M128" s="8">
        <f t="shared" ca="1" si="139"/>
        <v>9.1015896838977262E-2</v>
      </c>
      <c r="N128" s="8">
        <f t="shared" ca="1" si="139"/>
        <v>9.5586551296562003E-2</v>
      </c>
      <c r="O128" s="8">
        <f t="shared" ca="1" si="139"/>
        <v>9.7853813064825462E-2</v>
      </c>
      <c r="Q128" s="12"/>
    </row>
    <row r="129" spans="2:17">
      <c r="B129" s="3">
        <v>108</v>
      </c>
      <c r="C129" s="8">
        <f t="shared" si="96"/>
        <v>0.05</v>
      </c>
      <c r="D129" s="8">
        <f t="shared" ref="D129:O129" ca="1" si="140">C129+k*(theta-C129)*dt+vol*SQRT(dt)*_xlfn.NORM.S.INV(RAND())</f>
        <v>5.6524363259636938E-2</v>
      </c>
      <c r="E129" s="8">
        <f t="shared" ca="1" si="140"/>
        <v>5.0460866179365814E-2</v>
      </c>
      <c r="F129" s="8">
        <f t="shared" ca="1" si="140"/>
        <v>4.9973537412670244E-2</v>
      </c>
      <c r="G129" s="8">
        <f t="shared" ca="1" si="140"/>
        <v>5.491152393583236E-2</v>
      </c>
      <c r="H129" s="8">
        <f t="shared" ca="1" si="140"/>
        <v>5.3197433078769528E-2</v>
      </c>
      <c r="I129" s="8">
        <f t="shared" ca="1" si="140"/>
        <v>5.1317667754974428E-2</v>
      </c>
      <c r="J129" s="8">
        <f t="shared" ca="1" si="140"/>
        <v>4.5373407404499431E-2</v>
      </c>
      <c r="K129" s="8">
        <f t="shared" ca="1" si="140"/>
        <v>4.8515849145331982E-2</v>
      </c>
      <c r="L129" s="8">
        <f t="shared" ca="1" si="140"/>
        <v>4.5930617443068478E-2</v>
      </c>
      <c r="M129" s="8">
        <f t="shared" ca="1" si="140"/>
        <v>5.0809746646256169E-2</v>
      </c>
      <c r="N129" s="8">
        <f t="shared" ca="1" si="140"/>
        <v>5.5117748615078885E-2</v>
      </c>
      <c r="O129" s="8">
        <f t="shared" ca="1" si="140"/>
        <v>6.3023880376974248E-2</v>
      </c>
      <c r="Q129" s="12"/>
    </row>
    <row r="130" spans="2:17">
      <c r="B130" s="3">
        <v>109</v>
      </c>
      <c r="C130" s="8">
        <f t="shared" si="96"/>
        <v>0.05</v>
      </c>
      <c r="D130" s="8">
        <f t="shared" ref="D130:O130" ca="1" si="141">C130+k*(theta-C130)*dt+vol*SQRT(dt)*_xlfn.NORM.S.INV(RAND())</f>
        <v>4.4896850910831287E-2</v>
      </c>
      <c r="E130" s="8">
        <f t="shared" ca="1" si="141"/>
        <v>4.5897706674162243E-2</v>
      </c>
      <c r="F130" s="8">
        <f t="shared" ca="1" si="141"/>
        <v>4.5825958635032395E-2</v>
      </c>
      <c r="G130" s="8">
        <f t="shared" ca="1" si="141"/>
        <v>4.3933811533865573E-2</v>
      </c>
      <c r="H130" s="8">
        <f t="shared" ca="1" si="141"/>
        <v>4.5226314735898034E-2</v>
      </c>
      <c r="I130" s="8">
        <f t="shared" ca="1" si="141"/>
        <v>4.2301555530700669E-2</v>
      </c>
      <c r="J130" s="8">
        <f t="shared" ca="1" si="141"/>
        <v>4.6908372745603451E-2</v>
      </c>
      <c r="K130" s="8">
        <f t="shared" ca="1" si="141"/>
        <v>5.4406974747499719E-2</v>
      </c>
      <c r="L130" s="8">
        <f t="shared" ca="1" si="141"/>
        <v>5.7509461415826961E-2</v>
      </c>
      <c r="M130" s="8">
        <f t="shared" ca="1" si="141"/>
        <v>6.7604507141761666E-2</v>
      </c>
      <c r="N130" s="8">
        <f t="shared" ca="1" si="141"/>
        <v>6.9109419624052315E-2</v>
      </c>
      <c r="O130" s="8">
        <f t="shared" ca="1" si="141"/>
        <v>6.8896011269602125E-2</v>
      </c>
      <c r="Q130" s="12"/>
    </row>
    <row r="131" spans="2:17">
      <c r="B131" s="3">
        <v>110</v>
      </c>
      <c r="C131" s="8">
        <f t="shared" si="96"/>
        <v>0.05</v>
      </c>
      <c r="D131" s="8">
        <f t="shared" ref="D131:O131" ca="1" si="142">C131+k*(theta-C131)*dt+vol*SQRT(dt)*_xlfn.NORM.S.INV(RAND())</f>
        <v>4.7056254539075304E-2</v>
      </c>
      <c r="E131" s="8">
        <f t="shared" ca="1" si="142"/>
        <v>3.5572290946322631E-2</v>
      </c>
      <c r="F131" s="8">
        <f t="shared" ca="1" si="142"/>
        <v>3.8081353442715793E-2</v>
      </c>
      <c r="G131" s="8">
        <f t="shared" ca="1" si="142"/>
        <v>3.9703531202283808E-2</v>
      </c>
      <c r="H131" s="8">
        <f t="shared" ca="1" si="142"/>
        <v>4.5867583813488183E-2</v>
      </c>
      <c r="I131" s="8">
        <f t="shared" ca="1" si="142"/>
        <v>4.2059971684488759E-2</v>
      </c>
      <c r="J131" s="8">
        <f t="shared" ca="1" si="142"/>
        <v>5.0243216156029273E-2</v>
      </c>
      <c r="K131" s="8">
        <f t="shared" ca="1" si="142"/>
        <v>4.8584556378889684E-2</v>
      </c>
      <c r="L131" s="8">
        <f t="shared" ca="1" si="142"/>
        <v>5.0829174820104399E-2</v>
      </c>
      <c r="M131" s="8">
        <f t="shared" ca="1" si="142"/>
        <v>5.7792930963646579E-2</v>
      </c>
      <c r="N131" s="8">
        <f t="shared" ca="1" si="142"/>
        <v>6.1253228638828788E-2</v>
      </c>
      <c r="O131" s="8">
        <f t="shared" ca="1" si="142"/>
        <v>7.3456233915282471E-2</v>
      </c>
      <c r="Q131" s="12"/>
    </row>
    <row r="132" spans="2:17">
      <c r="B132" s="3">
        <v>111</v>
      </c>
      <c r="C132" s="8">
        <f t="shared" si="96"/>
        <v>0.05</v>
      </c>
      <c r="D132" s="8">
        <f t="shared" ref="D132:O132" ca="1" si="143">C132+k*(theta-C132)*dt+vol*SQRT(dt)*_xlfn.NORM.S.INV(RAND())</f>
        <v>5.4758240422048604E-2</v>
      </c>
      <c r="E132" s="8">
        <f t="shared" ca="1" si="143"/>
        <v>5.9564463379436987E-2</v>
      </c>
      <c r="F132" s="8">
        <f t="shared" ca="1" si="143"/>
        <v>6.9846786565832625E-2</v>
      </c>
      <c r="G132" s="8">
        <f t="shared" ca="1" si="143"/>
        <v>6.9286962506478145E-2</v>
      </c>
      <c r="H132" s="8">
        <f t="shared" ca="1" si="143"/>
        <v>7.5007364344352706E-2</v>
      </c>
      <c r="I132" s="8">
        <f t="shared" ca="1" si="143"/>
        <v>6.9643521923243454E-2</v>
      </c>
      <c r="J132" s="8">
        <f t="shared" ca="1" si="143"/>
        <v>6.2649804746991125E-2</v>
      </c>
      <c r="K132" s="8">
        <f t="shared" ca="1" si="143"/>
        <v>5.8570139016583887E-2</v>
      </c>
      <c r="L132" s="8">
        <f t="shared" ca="1" si="143"/>
        <v>5.7540971332996432E-2</v>
      </c>
      <c r="M132" s="8">
        <f t="shared" ca="1" si="143"/>
        <v>5.9743538182193516E-2</v>
      </c>
      <c r="N132" s="8">
        <f t="shared" ca="1" si="143"/>
        <v>5.4843655223668242E-2</v>
      </c>
      <c r="O132" s="8">
        <f t="shared" ca="1" si="143"/>
        <v>5.8041323068128418E-2</v>
      </c>
      <c r="Q132" s="12"/>
    </row>
    <row r="133" spans="2:17">
      <c r="B133" s="3">
        <v>112</v>
      </c>
      <c r="C133" s="8">
        <f t="shared" si="96"/>
        <v>0.05</v>
      </c>
      <c r="D133" s="8">
        <f t="shared" ref="D133:O133" ca="1" si="144">C133+k*(theta-C133)*dt+vol*SQRT(dt)*_xlfn.NORM.S.INV(RAND())</f>
        <v>5.5290262108748288E-2</v>
      </c>
      <c r="E133" s="8">
        <f t="shared" ca="1" si="144"/>
        <v>5.7340348779400585E-2</v>
      </c>
      <c r="F133" s="8">
        <f t="shared" ca="1" si="144"/>
        <v>5.12025429898628E-2</v>
      </c>
      <c r="G133" s="8">
        <f t="shared" ca="1" si="144"/>
        <v>4.9547826821071991E-2</v>
      </c>
      <c r="H133" s="8">
        <f t="shared" ca="1" si="144"/>
        <v>4.4744809418132622E-2</v>
      </c>
      <c r="I133" s="8">
        <f t="shared" ca="1" si="144"/>
        <v>4.6327805959934951E-2</v>
      </c>
      <c r="J133" s="8">
        <f t="shared" ca="1" si="144"/>
        <v>4.2856484587568994E-2</v>
      </c>
      <c r="K133" s="8">
        <f t="shared" ca="1" si="144"/>
        <v>4.7270363873992687E-2</v>
      </c>
      <c r="L133" s="8">
        <f t="shared" ca="1" si="144"/>
        <v>5.5275540779931465E-2</v>
      </c>
      <c r="M133" s="8">
        <f t="shared" ca="1" si="144"/>
        <v>5.2691646260360256E-2</v>
      </c>
      <c r="N133" s="8">
        <f t="shared" ca="1" si="144"/>
        <v>6.6523993491827402E-2</v>
      </c>
      <c r="O133" s="8">
        <f t="shared" ca="1" si="144"/>
        <v>6.4637947182414071E-2</v>
      </c>
      <c r="Q133" s="12"/>
    </row>
    <row r="134" spans="2:17">
      <c r="B134" s="3">
        <v>113</v>
      </c>
      <c r="C134" s="8">
        <f t="shared" si="96"/>
        <v>0.05</v>
      </c>
      <c r="D134" s="8">
        <f t="shared" ref="D134:O134" ca="1" si="145">C134+k*(theta-C134)*dt+vol*SQRT(dt)*_xlfn.NORM.S.INV(RAND())</f>
        <v>4.9909646606820748E-2</v>
      </c>
      <c r="E134" s="8">
        <f t="shared" ca="1" si="145"/>
        <v>5.3700335945314495E-2</v>
      </c>
      <c r="F134" s="8">
        <f t="shared" ca="1" si="145"/>
        <v>4.7166954176566404E-2</v>
      </c>
      <c r="G134" s="8">
        <f t="shared" ca="1" si="145"/>
        <v>5.6439211426746752E-2</v>
      </c>
      <c r="H134" s="8">
        <f t="shared" ca="1" si="145"/>
        <v>5.8934403613460043E-2</v>
      </c>
      <c r="I134" s="8">
        <f t="shared" ca="1" si="145"/>
        <v>7.5683566069308289E-2</v>
      </c>
      <c r="J134" s="8">
        <f t="shared" ca="1" si="145"/>
        <v>7.1469033279829453E-2</v>
      </c>
      <c r="K134" s="8">
        <f t="shared" ca="1" si="145"/>
        <v>7.823459099976246E-2</v>
      </c>
      <c r="L134" s="8">
        <f t="shared" ca="1" si="145"/>
        <v>7.2874975941189954E-2</v>
      </c>
      <c r="M134" s="8">
        <f t="shared" ca="1" si="145"/>
        <v>7.3596024883682207E-2</v>
      </c>
      <c r="N134" s="8">
        <f t="shared" ca="1" si="145"/>
        <v>7.0263493332432897E-2</v>
      </c>
      <c r="O134" s="8">
        <f t="shared" ca="1" si="145"/>
        <v>6.5204152859225276E-2</v>
      </c>
      <c r="Q134" s="12"/>
    </row>
    <row r="135" spans="2:17">
      <c r="B135" s="3">
        <v>114</v>
      </c>
      <c r="C135" s="8">
        <f t="shared" si="96"/>
        <v>0.05</v>
      </c>
      <c r="D135" s="8">
        <f t="shared" ref="D135:O135" ca="1" si="146">C135+k*(theta-C135)*dt+vol*SQRT(dt)*_xlfn.NORM.S.INV(RAND())</f>
        <v>5.0515669536568879E-2</v>
      </c>
      <c r="E135" s="8">
        <f t="shared" ca="1" si="146"/>
        <v>5.2290058886427696E-2</v>
      </c>
      <c r="F135" s="8">
        <f t="shared" ca="1" si="146"/>
        <v>5.5522940669052397E-2</v>
      </c>
      <c r="G135" s="8">
        <f t="shared" ca="1" si="146"/>
        <v>5.4991517478920185E-2</v>
      </c>
      <c r="H135" s="8">
        <f t="shared" ca="1" si="146"/>
        <v>6.415793109745016E-2</v>
      </c>
      <c r="I135" s="8">
        <f t="shared" ca="1" si="146"/>
        <v>6.5534992164221373E-2</v>
      </c>
      <c r="J135" s="8">
        <f t="shared" ca="1" si="146"/>
        <v>7.3118637844599738E-2</v>
      </c>
      <c r="K135" s="8">
        <f t="shared" ca="1" si="146"/>
        <v>7.958955078508459E-2</v>
      </c>
      <c r="L135" s="8">
        <f t="shared" ca="1" si="146"/>
        <v>7.7071495829173331E-2</v>
      </c>
      <c r="M135" s="8">
        <f t="shared" ca="1" si="146"/>
        <v>7.8853532737934037E-2</v>
      </c>
      <c r="N135" s="8">
        <f t="shared" ca="1" si="146"/>
        <v>7.9239087527190583E-2</v>
      </c>
      <c r="O135" s="8">
        <f t="shared" ca="1" si="146"/>
        <v>7.6422508925810193E-2</v>
      </c>
      <c r="Q135" s="12"/>
    </row>
    <row r="136" spans="2:17">
      <c r="B136" s="3">
        <v>115</v>
      </c>
      <c r="C136" s="8">
        <f t="shared" si="96"/>
        <v>0.05</v>
      </c>
      <c r="D136" s="8">
        <f t="shared" ref="D136:O136" ca="1" si="147">C136+k*(theta-C136)*dt+vol*SQRT(dt)*_xlfn.NORM.S.INV(RAND())</f>
        <v>5.1247639787439729E-2</v>
      </c>
      <c r="E136" s="8">
        <f t="shared" ca="1" si="147"/>
        <v>5.1032642322999387E-2</v>
      </c>
      <c r="F136" s="8">
        <f t="shared" ca="1" si="147"/>
        <v>4.3622165313527063E-2</v>
      </c>
      <c r="G136" s="8">
        <f t="shared" ca="1" si="147"/>
        <v>4.4592361533759541E-2</v>
      </c>
      <c r="H136" s="8">
        <f t="shared" ca="1" si="147"/>
        <v>4.1760029502952281E-2</v>
      </c>
      <c r="I136" s="8">
        <f t="shared" ca="1" si="147"/>
        <v>3.9185818574661718E-2</v>
      </c>
      <c r="J136" s="8">
        <f t="shared" ca="1" si="147"/>
        <v>3.5734020261207158E-2</v>
      </c>
      <c r="K136" s="8">
        <f t="shared" ca="1" si="147"/>
        <v>3.7166955673437405E-2</v>
      </c>
      <c r="L136" s="8">
        <f t="shared" ca="1" si="147"/>
        <v>3.4947285690643322E-2</v>
      </c>
      <c r="M136" s="8">
        <f t="shared" ca="1" si="147"/>
        <v>3.1597617662236531E-2</v>
      </c>
      <c r="N136" s="8">
        <f t="shared" ca="1" si="147"/>
        <v>4.0672387904246751E-2</v>
      </c>
      <c r="O136" s="8">
        <f t="shared" ca="1" si="147"/>
        <v>4.8958507700266912E-2</v>
      </c>
      <c r="Q136" s="12"/>
    </row>
    <row r="137" spans="2:17">
      <c r="B137" s="3">
        <v>116</v>
      </c>
      <c r="C137" s="8">
        <f t="shared" si="96"/>
        <v>0.05</v>
      </c>
      <c r="D137" s="8">
        <f t="shared" ref="D137:O137" ca="1" si="148">C137+k*(theta-C137)*dt+vol*SQRT(dt)*_xlfn.NORM.S.INV(RAND())</f>
        <v>5.5062817121517144E-2</v>
      </c>
      <c r="E137" s="8">
        <f t="shared" ca="1" si="148"/>
        <v>4.9754684964158184E-2</v>
      </c>
      <c r="F137" s="8">
        <f t="shared" ca="1" si="148"/>
        <v>4.8479791770269877E-2</v>
      </c>
      <c r="G137" s="8">
        <f t="shared" ca="1" si="148"/>
        <v>4.8433298580196356E-2</v>
      </c>
      <c r="H137" s="8">
        <f t="shared" ca="1" si="148"/>
        <v>4.7542381284256252E-2</v>
      </c>
      <c r="I137" s="8">
        <f t="shared" ca="1" si="148"/>
        <v>4.5865479512235054E-2</v>
      </c>
      <c r="J137" s="8">
        <f t="shared" ca="1" si="148"/>
        <v>4.7735939242325699E-2</v>
      </c>
      <c r="K137" s="8">
        <f t="shared" ca="1" si="148"/>
        <v>4.7487264769267491E-2</v>
      </c>
      <c r="L137" s="8">
        <f t="shared" ca="1" si="148"/>
        <v>3.4818631108536884E-2</v>
      </c>
      <c r="M137" s="8">
        <f t="shared" ca="1" si="148"/>
        <v>3.4033529901427217E-2</v>
      </c>
      <c r="N137" s="8">
        <f t="shared" ca="1" si="148"/>
        <v>3.6117794672498926E-2</v>
      </c>
      <c r="O137" s="8">
        <f t="shared" ca="1" si="148"/>
        <v>4.1408410704132766E-2</v>
      </c>
      <c r="Q137" s="12"/>
    </row>
    <row r="138" spans="2:17">
      <c r="B138" s="3">
        <v>117</v>
      </c>
      <c r="C138" s="8">
        <f t="shared" si="96"/>
        <v>0.05</v>
      </c>
      <c r="D138" s="8">
        <f t="shared" ref="D138:O138" ca="1" si="149">C138+k*(theta-C138)*dt+vol*SQRT(dt)*_xlfn.NORM.S.INV(RAND())</f>
        <v>5.0499479962123311E-2</v>
      </c>
      <c r="E138" s="8">
        <f t="shared" ca="1" si="149"/>
        <v>4.9946665003541994E-2</v>
      </c>
      <c r="F138" s="8">
        <f t="shared" ca="1" si="149"/>
        <v>5.5288199622227516E-2</v>
      </c>
      <c r="G138" s="8">
        <f t="shared" ca="1" si="149"/>
        <v>5.4033142666484492E-2</v>
      </c>
      <c r="H138" s="8">
        <f t="shared" ca="1" si="149"/>
        <v>5.6231096843562006E-2</v>
      </c>
      <c r="I138" s="8">
        <f t="shared" ca="1" si="149"/>
        <v>5.697464114494246E-2</v>
      </c>
      <c r="J138" s="8">
        <f t="shared" ca="1" si="149"/>
        <v>6.7581940870451773E-2</v>
      </c>
      <c r="K138" s="8">
        <f t="shared" ca="1" si="149"/>
        <v>6.8567271672559812E-2</v>
      </c>
      <c r="L138" s="8">
        <f t="shared" ca="1" si="149"/>
        <v>6.566681752165672E-2</v>
      </c>
      <c r="M138" s="8">
        <f t="shared" ca="1" si="149"/>
        <v>6.3074794795786149E-2</v>
      </c>
      <c r="N138" s="8">
        <f t="shared" ca="1" si="149"/>
        <v>6.9271264302209284E-2</v>
      </c>
      <c r="O138" s="8">
        <f t="shared" ca="1" si="149"/>
        <v>6.5282157451376083E-2</v>
      </c>
      <c r="Q138" s="12"/>
    </row>
    <row r="139" spans="2:17">
      <c r="B139" s="3">
        <v>118</v>
      </c>
      <c r="C139" s="8">
        <f t="shared" si="96"/>
        <v>0.05</v>
      </c>
      <c r="D139" s="8">
        <f t="shared" ref="D139:O139" ca="1" si="150">C139+k*(theta-C139)*dt+vol*SQRT(dt)*_xlfn.NORM.S.INV(RAND())</f>
        <v>4.5467783481500282E-2</v>
      </c>
      <c r="E139" s="8">
        <f t="shared" ca="1" si="150"/>
        <v>3.7177674148289999E-2</v>
      </c>
      <c r="F139" s="8">
        <f t="shared" ca="1" si="150"/>
        <v>2.7108607802805419E-2</v>
      </c>
      <c r="G139" s="8">
        <f t="shared" ca="1" si="150"/>
        <v>2.2485900316306227E-2</v>
      </c>
      <c r="H139" s="8">
        <f t="shared" ca="1" si="150"/>
        <v>3.3121510766678235E-2</v>
      </c>
      <c r="I139" s="8">
        <f t="shared" ca="1" si="150"/>
        <v>2.8253382015727621E-2</v>
      </c>
      <c r="J139" s="8">
        <f t="shared" ca="1" si="150"/>
        <v>2.8738263168889507E-2</v>
      </c>
      <c r="K139" s="8">
        <f t="shared" ca="1" si="150"/>
        <v>3.4217917218523623E-2</v>
      </c>
      <c r="L139" s="8">
        <f t="shared" ca="1" si="150"/>
        <v>4.8988079013959768E-2</v>
      </c>
      <c r="M139" s="8">
        <f t="shared" ca="1" si="150"/>
        <v>5.3038800309785229E-2</v>
      </c>
      <c r="N139" s="8">
        <f t="shared" ca="1" si="150"/>
        <v>6.5259776844952863E-2</v>
      </c>
      <c r="O139" s="8">
        <f t="shared" ca="1" si="150"/>
        <v>5.7834262066811727E-2</v>
      </c>
      <c r="Q139" s="12"/>
    </row>
    <row r="140" spans="2:17">
      <c r="B140" s="3">
        <v>119</v>
      </c>
      <c r="C140" s="8">
        <f t="shared" si="96"/>
        <v>0.05</v>
      </c>
      <c r="D140" s="8">
        <f t="shared" ref="D140:O140" ca="1" si="151">C140+k*(theta-C140)*dt+vol*SQRT(dt)*_xlfn.NORM.S.INV(RAND())</f>
        <v>6.0673730341362669E-2</v>
      </c>
      <c r="E140" s="8">
        <f t="shared" ca="1" si="151"/>
        <v>5.4291731569375855E-2</v>
      </c>
      <c r="F140" s="8">
        <f t="shared" ca="1" si="151"/>
        <v>5.4648383095741791E-2</v>
      </c>
      <c r="G140" s="8">
        <f t="shared" ca="1" si="151"/>
        <v>5.2870461067018495E-2</v>
      </c>
      <c r="H140" s="8">
        <f t="shared" ca="1" si="151"/>
        <v>4.1146783817892579E-2</v>
      </c>
      <c r="I140" s="8">
        <f t="shared" ca="1" si="151"/>
        <v>4.5003096608679329E-2</v>
      </c>
      <c r="J140" s="8">
        <f t="shared" ca="1" si="151"/>
        <v>4.2504396660640667E-2</v>
      </c>
      <c r="K140" s="8">
        <f t="shared" ca="1" si="151"/>
        <v>4.9499540235236825E-2</v>
      </c>
      <c r="L140" s="8">
        <f t="shared" ca="1" si="151"/>
        <v>4.1502612277980834E-2</v>
      </c>
      <c r="M140" s="8">
        <f t="shared" ca="1" si="151"/>
        <v>3.5865720904128477E-2</v>
      </c>
      <c r="N140" s="8">
        <f t="shared" ca="1" si="151"/>
        <v>5.3119216135464421E-2</v>
      </c>
      <c r="O140" s="8">
        <f t="shared" ca="1" si="151"/>
        <v>5.7886590319028722E-2</v>
      </c>
      <c r="Q140" s="12"/>
    </row>
    <row r="141" spans="2:17">
      <c r="B141" s="3">
        <v>120</v>
      </c>
      <c r="C141" s="8">
        <f t="shared" si="96"/>
        <v>0.05</v>
      </c>
      <c r="D141" s="8">
        <f t="shared" ref="D141:O141" ca="1" si="152">C141+k*(theta-C141)*dt+vol*SQRT(dt)*_xlfn.NORM.S.INV(RAND())</f>
        <v>4.6261779946651996E-2</v>
      </c>
      <c r="E141" s="8">
        <f t="shared" ca="1" si="152"/>
        <v>4.2020733226067815E-2</v>
      </c>
      <c r="F141" s="8">
        <f t="shared" ca="1" si="152"/>
        <v>5.0197916816714407E-2</v>
      </c>
      <c r="G141" s="8">
        <f t="shared" ca="1" si="152"/>
        <v>5.9607327654386241E-2</v>
      </c>
      <c r="H141" s="8">
        <f t="shared" ca="1" si="152"/>
        <v>6.3669214231638724E-2</v>
      </c>
      <c r="I141" s="8">
        <f t="shared" ca="1" si="152"/>
        <v>6.2884120670403804E-2</v>
      </c>
      <c r="J141" s="8">
        <f t="shared" ca="1" si="152"/>
        <v>7.9564702155081254E-2</v>
      </c>
      <c r="K141" s="8">
        <f t="shared" ca="1" si="152"/>
        <v>7.6335785526473271E-2</v>
      </c>
      <c r="L141" s="8">
        <f t="shared" ca="1" si="152"/>
        <v>7.3981236056054278E-2</v>
      </c>
      <c r="M141" s="8">
        <f t="shared" ca="1" si="152"/>
        <v>7.6816785611898974E-2</v>
      </c>
      <c r="N141" s="8">
        <f t="shared" ca="1" si="152"/>
        <v>8.0658711517064566E-2</v>
      </c>
      <c r="O141" s="8">
        <f t="shared" ca="1" si="152"/>
        <v>8.1161540538662535E-2</v>
      </c>
      <c r="Q141" s="12"/>
    </row>
    <row r="142" spans="2:17">
      <c r="B142" s="3">
        <v>121</v>
      </c>
      <c r="C142" s="8">
        <f t="shared" si="96"/>
        <v>0.05</v>
      </c>
      <c r="D142" s="8">
        <f t="shared" ref="D142:O142" ca="1" si="153">C142+k*(theta-C142)*dt+vol*SQRT(dt)*_xlfn.NORM.S.INV(RAND())</f>
        <v>5.6961737177945379E-2</v>
      </c>
      <c r="E142" s="8">
        <f t="shared" ca="1" si="153"/>
        <v>4.9336384252095203E-2</v>
      </c>
      <c r="F142" s="8">
        <f t="shared" ca="1" si="153"/>
        <v>5.8448674438041186E-2</v>
      </c>
      <c r="G142" s="8">
        <f t="shared" ca="1" si="153"/>
        <v>5.372485804591625E-2</v>
      </c>
      <c r="H142" s="8">
        <f t="shared" ca="1" si="153"/>
        <v>5.2890354469726911E-2</v>
      </c>
      <c r="I142" s="8">
        <f t="shared" ca="1" si="153"/>
        <v>5.4043054338557772E-2</v>
      </c>
      <c r="J142" s="8">
        <f t="shared" ca="1" si="153"/>
        <v>5.8404039021291203E-2</v>
      </c>
      <c r="K142" s="8">
        <f t="shared" ca="1" si="153"/>
        <v>5.7710382236854207E-2</v>
      </c>
      <c r="L142" s="8">
        <f t="shared" ca="1" si="153"/>
        <v>6.0078704813597131E-2</v>
      </c>
      <c r="M142" s="8">
        <f t="shared" ca="1" si="153"/>
        <v>6.4416176731399155E-2</v>
      </c>
      <c r="N142" s="8">
        <f t="shared" ca="1" si="153"/>
        <v>6.6907434727500076E-2</v>
      </c>
      <c r="O142" s="8">
        <f t="shared" ca="1" si="153"/>
        <v>5.8601566500811608E-2</v>
      </c>
      <c r="Q142" s="12"/>
    </row>
    <row r="143" spans="2:17">
      <c r="B143" s="3">
        <v>122</v>
      </c>
      <c r="C143" s="8">
        <f t="shared" si="96"/>
        <v>0.05</v>
      </c>
      <c r="D143" s="8">
        <f t="shared" ref="D143:O143" ca="1" si="154">C143+k*(theta-C143)*dt+vol*SQRT(dt)*_xlfn.NORM.S.INV(RAND())</f>
        <v>4.7358205075140831E-2</v>
      </c>
      <c r="E143" s="8">
        <f t="shared" ca="1" si="154"/>
        <v>4.7183283107950696E-2</v>
      </c>
      <c r="F143" s="8">
        <f t="shared" ca="1" si="154"/>
        <v>5.6435230148734444E-2</v>
      </c>
      <c r="G143" s="8">
        <f t="shared" ca="1" si="154"/>
        <v>6.2260854351625053E-2</v>
      </c>
      <c r="H143" s="8">
        <f t="shared" ca="1" si="154"/>
        <v>6.7134908576905156E-2</v>
      </c>
      <c r="I143" s="8">
        <f t="shared" ca="1" si="154"/>
        <v>7.0046219330298837E-2</v>
      </c>
      <c r="J143" s="8">
        <f t="shared" ca="1" si="154"/>
        <v>6.5350528955209763E-2</v>
      </c>
      <c r="K143" s="8">
        <f t="shared" ca="1" si="154"/>
        <v>5.138890213398413E-2</v>
      </c>
      <c r="L143" s="8">
        <f t="shared" ca="1" si="154"/>
        <v>5.0787786412503227E-2</v>
      </c>
      <c r="M143" s="8">
        <f t="shared" ca="1" si="154"/>
        <v>5.6581681914067969E-2</v>
      </c>
      <c r="N143" s="8">
        <f t="shared" ca="1" si="154"/>
        <v>6.2627075079261255E-2</v>
      </c>
      <c r="O143" s="8">
        <f t="shared" ca="1" si="154"/>
        <v>6.2335174674926823E-2</v>
      </c>
      <c r="Q143" s="12"/>
    </row>
    <row r="144" spans="2:17">
      <c r="B144" s="3">
        <v>123</v>
      </c>
      <c r="C144" s="8">
        <f t="shared" si="96"/>
        <v>0.05</v>
      </c>
      <c r="D144" s="8">
        <f t="shared" ref="D144:O144" ca="1" si="155">C144+k*(theta-C144)*dt+vol*SQRT(dt)*_xlfn.NORM.S.INV(RAND())</f>
        <v>4.310123388038356E-2</v>
      </c>
      <c r="E144" s="8">
        <f t="shared" ca="1" si="155"/>
        <v>3.8622130453609356E-2</v>
      </c>
      <c r="F144" s="8">
        <f t="shared" ca="1" si="155"/>
        <v>4.484687177171244E-2</v>
      </c>
      <c r="G144" s="8">
        <f t="shared" ca="1" si="155"/>
        <v>4.7917733193249254E-2</v>
      </c>
      <c r="H144" s="8">
        <f t="shared" ca="1" si="155"/>
        <v>5.3917842874300244E-2</v>
      </c>
      <c r="I144" s="8">
        <f t="shared" ca="1" si="155"/>
        <v>5.8642118252701464E-2</v>
      </c>
      <c r="J144" s="8">
        <f t="shared" ca="1" si="155"/>
        <v>7.4406667395313111E-2</v>
      </c>
      <c r="K144" s="8">
        <f t="shared" ca="1" si="155"/>
        <v>7.7290455234979613E-2</v>
      </c>
      <c r="L144" s="8">
        <f t="shared" ca="1" si="155"/>
        <v>7.6329971596504773E-2</v>
      </c>
      <c r="M144" s="8">
        <f t="shared" ca="1" si="155"/>
        <v>9.0171498748417303E-2</v>
      </c>
      <c r="N144" s="8">
        <f t="shared" ca="1" si="155"/>
        <v>9.0405052362274682E-2</v>
      </c>
      <c r="O144" s="8">
        <f t="shared" ca="1" si="155"/>
        <v>8.396796463740272E-2</v>
      </c>
      <c r="Q144" s="12"/>
    </row>
    <row r="145" spans="2:17">
      <c r="B145" s="3">
        <v>124</v>
      </c>
      <c r="C145" s="8">
        <f t="shared" si="96"/>
        <v>0.05</v>
      </c>
      <c r="D145" s="8">
        <f t="shared" ref="D145:O145" ca="1" si="156">C145+k*(theta-C145)*dt+vol*SQRT(dt)*_xlfn.NORM.S.INV(RAND())</f>
        <v>4.1205054207259763E-2</v>
      </c>
      <c r="E145" s="8">
        <f t="shared" ca="1" si="156"/>
        <v>4.3093371575979075E-2</v>
      </c>
      <c r="F145" s="8">
        <f t="shared" ca="1" si="156"/>
        <v>4.6175922990008084E-2</v>
      </c>
      <c r="G145" s="8">
        <f t="shared" ca="1" si="156"/>
        <v>5.1126921354300962E-2</v>
      </c>
      <c r="H145" s="8">
        <f t="shared" ca="1" si="156"/>
        <v>5.3158043149814996E-2</v>
      </c>
      <c r="I145" s="8">
        <f t="shared" ca="1" si="156"/>
        <v>4.9001203107764978E-2</v>
      </c>
      <c r="J145" s="8">
        <f t="shared" ca="1" si="156"/>
        <v>4.8806731761973837E-2</v>
      </c>
      <c r="K145" s="8">
        <f t="shared" ca="1" si="156"/>
        <v>5.0469034897168912E-2</v>
      </c>
      <c r="L145" s="8">
        <f t="shared" ca="1" si="156"/>
        <v>5.3024509313112062E-2</v>
      </c>
      <c r="M145" s="8">
        <f t="shared" ca="1" si="156"/>
        <v>6.0051822386169913E-2</v>
      </c>
      <c r="N145" s="8">
        <f t="shared" ca="1" si="156"/>
        <v>6.88836625428495E-2</v>
      </c>
      <c r="O145" s="8">
        <f t="shared" ca="1" si="156"/>
        <v>6.1562067130586789E-2</v>
      </c>
      <c r="Q145" s="12"/>
    </row>
    <row r="146" spans="2:17">
      <c r="B146" s="3">
        <v>125</v>
      </c>
      <c r="C146" s="8">
        <f t="shared" si="96"/>
        <v>0.05</v>
      </c>
      <c r="D146" s="8">
        <f t="shared" ref="D146:O146" ca="1" si="157">C146+k*(theta-C146)*dt+vol*SQRT(dt)*_xlfn.NORM.S.INV(RAND())</f>
        <v>5.120563876640935E-2</v>
      </c>
      <c r="E146" s="8">
        <f t="shared" ca="1" si="157"/>
        <v>5.397737672110195E-2</v>
      </c>
      <c r="F146" s="8">
        <f t="shared" ca="1" si="157"/>
        <v>5.0209372806379035E-2</v>
      </c>
      <c r="G146" s="8">
        <f t="shared" ca="1" si="157"/>
        <v>4.625486054913712E-2</v>
      </c>
      <c r="H146" s="8">
        <f t="shared" ca="1" si="157"/>
        <v>4.1915019289660599E-2</v>
      </c>
      <c r="I146" s="8">
        <f t="shared" ca="1" si="157"/>
        <v>3.651788503482617E-2</v>
      </c>
      <c r="J146" s="8">
        <f t="shared" ca="1" si="157"/>
        <v>3.3437969285466822E-2</v>
      </c>
      <c r="K146" s="8">
        <f t="shared" ca="1" si="157"/>
        <v>3.4562569448577461E-2</v>
      </c>
      <c r="L146" s="8">
        <f t="shared" ca="1" si="157"/>
        <v>3.4362621871178466E-2</v>
      </c>
      <c r="M146" s="8">
        <f t="shared" ca="1" si="157"/>
        <v>3.3475373292085456E-2</v>
      </c>
      <c r="N146" s="8">
        <f t="shared" ca="1" si="157"/>
        <v>4.0550096123331478E-2</v>
      </c>
      <c r="O146" s="8">
        <f t="shared" ca="1" si="157"/>
        <v>4.0784215542938526E-2</v>
      </c>
      <c r="Q146" s="12"/>
    </row>
    <row r="147" spans="2:17">
      <c r="B147" s="3">
        <v>126</v>
      </c>
      <c r="C147" s="8">
        <f t="shared" si="96"/>
        <v>0.05</v>
      </c>
      <c r="D147" s="8">
        <f t="shared" ref="D147:O147" ca="1" si="158">C147+k*(theta-C147)*dt+vol*SQRT(dt)*_xlfn.NORM.S.INV(RAND())</f>
        <v>5.2701529306660062E-2</v>
      </c>
      <c r="E147" s="8">
        <f t="shared" ca="1" si="158"/>
        <v>5.8160474154192496E-2</v>
      </c>
      <c r="F147" s="8">
        <f t="shared" ca="1" si="158"/>
        <v>6.1377655590282444E-2</v>
      </c>
      <c r="G147" s="8">
        <f t="shared" ca="1" si="158"/>
        <v>6.4614179352447426E-2</v>
      </c>
      <c r="H147" s="8">
        <f t="shared" ca="1" si="158"/>
        <v>6.7212008611890042E-2</v>
      </c>
      <c r="I147" s="8">
        <f t="shared" ca="1" si="158"/>
        <v>6.5038564873052401E-2</v>
      </c>
      <c r="J147" s="8">
        <f t="shared" ca="1" si="158"/>
        <v>6.6199594783918153E-2</v>
      </c>
      <c r="K147" s="8">
        <f t="shared" ca="1" si="158"/>
        <v>7.8801275000093624E-2</v>
      </c>
      <c r="L147" s="8">
        <f t="shared" ca="1" si="158"/>
        <v>7.07375905201858E-2</v>
      </c>
      <c r="M147" s="8">
        <f t="shared" ca="1" si="158"/>
        <v>8.1251792544451099E-2</v>
      </c>
      <c r="N147" s="8">
        <f t="shared" ca="1" si="158"/>
        <v>8.3224827103412821E-2</v>
      </c>
      <c r="O147" s="8">
        <f t="shared" ca="1" si="158"/>
        <v>8.3792714519002956E-2</v>
      </c>
      <c r="Q147" s="12"/>
    </row>
    <row r="148" spans="2:17">
      <c r="B148" s="3">
        <v>127</v>
      </c>
      <c r="C148" s="8">
        <f t="shared" si="96"/>
        <v>0.05</v>
      </c>
      <c r="D148" s="8">
        <f t="shared" ref="D148:O148" ca="1" si="159">C148+k*(theta-C148)*dt+vol*SQRT(dt)*_xlfn.NORM.S.INV(RAND())</f>
        <v>6.020574029366204E-2</v>
      </c>
      <c r="E148" s="8">
        <f t="shared" ca="1" si="159"/>
        <v>5.7333623476668975E-2</v>
      </c>
      <c r="F148" s="8">
        <f t="shared" ca="1" si="159"/>
        <v>5.4475434513889316E-2</v>
      </c>
      <c r="G148" s="8">
        <f t="shared" ca="1" si="159"/>
        <v>5.2820459989564972E-2</v>
      </c>
      <c r="H148" s="8">
        <f t="shared" ca="1" si="159"/>
        <v>4.3061219233958219E-2</v>
      </c>
      <c r="I148" s="8">
        <f t="shared" ca="1" si="159"/>
        <v>5.8672530545848645E-2</v>
      </c>
      <c r="J148" s="8">
        <f t="shared" ca="1" si="159"/>
        <v>6.6807035644325385E-2</v>
      </c>
      <c r="K148" s="8">
        <f t="shared" ca="1" si="159"/>
        <v>7.0612721797623831E-2</v>
      </c>
      <c r="L148" s="8">
        <f t="shared" ca="1" si="159"/>
        <v>7.2118875692922343E-2</v>
      </c>
      <c r="M148" s="8">
        <f t="shared" ca="1" si="159"/>
        <v>7.7603624666459939E-2</v>
      </c>
      <c r="N148" s="8">
        <f t="shared" ca="1" si="159"/>
        <v>7.3967433288177981E-2</v>
      </c>
      <c r="O148" s="8">
        <f t="shared" ca="1" si="159"/>
        <v>6.4680503911349468E-2</v>
      </c>
      <c r="Q148" s="12"/>
    </row>
    <row r="149" spans="2:17">
      <c r="B149" s="3">
        <v>128</v>
      </c>
      <c r="C149" s="8">
        <f t="shared" si="96"/>
        <v>0.05</v>
      </c>
      <c r="D149" s="8">
        <f t="shared" ref="D149:O149" ca="1" si="160">C149+k*(theta-C149)*dt+vol*SQRT(dt)*_xlfn.NORM.S.INV(RAND())</f>
        <v>4.1168958892610553E-2</v>
      </c>
      <c r="E149" s="8">
        <f t="shared" ca="1" si="160"/>
        <v>4.9489813686560115E-2</v>
      </c>
      <c r="F149" s="8">
        <f t="shared" ca="1" si="160"/>
        <v>5.3804771155244277E-2</v>
      </c>
      <c r="G149" s="8">
        <f t="shared" ca="1" si="160"/>
        <v>4.9039112004711234E-2</v>
      </c>
      <c r="H149" s="8">
        <f t="shared" ca="1" si="160"/>
        <v>5.3100426110494064E-2</v>
      </c>
      <c r="I149" s="8">
        <f t="shared" ca="1" si="160"/>
        <v>5.3709493412708774E-2</v>
      </c>
      <c r="J149" s="8">
        <f t="shared" ca="1" si="160"/>
        <v>5.0663268062174749E-2</v>
      </c>
      <c r="K149" s="8">
        <f t="shared" ca="1" si="160"/>
        <v>5.0482456105871494E-2</v>
      </c>
      <c r="L149" s="8">
        <f t="shared" ca="1" si="160"/>
        <v>5.6074975411081612E-2</v>
      </c>
      <c r="M149" s="8">
        <f t="shared" ca="1" si="160"/>
        <v>6.1250586147908875E-2</v>
      </c>
      <c r="N149" s="8">
        <f t="shared" ca="1" si="160"/>
        <v>6.6579658774507111E-2</v>
      </c>
      <c r="O149" s="8">
        <f t="shared" ca="1" si="160"/>
        <v>7.213341081442301E-2</v>
      </c>
      <c r="Q149" s="12"/>
    </row>
    <row r="150" spans="2:17">
      <c r="B150" s="3">
        <v>129</v>
      </c>
      <c r="C150" s="8">
        <f t="shared" ref="C150:C213" si="161">r0</f>
        <v>0.05</v>
      </c>
      <c r="D150" s="8">
        <f t="shared" ref="D150:O150" ca="1" si="162">C150+k*(theta-C150)*dt+vol*SQRT(dt)*_xlfn.NORM.S.INV(RAND())</f>
        <v>5.7344119286317372E-2</v>
      </c>
      <c r="E150" s="8">
        <f t="shared" ca="1" si="162"/>
        <v>5.5112343055608679E-2</v>
      </c>
      <c r="F150" s="8">
        <f t="shared" ca="1" si="162"/>
        <v>6.040304475851134E-2</v>
      </c>
      <c r="G150" s="8">
        <f t="shared" ca="1" si="162"/>
        <v>5.8174627719390547E-2</v>
      </c>
      <c r="H150" s="8">
        <f t="shared" ca="1" si="162"/>
        <v>6.3802430849144817E-2</v>
      </c>
      <c r="I150" s="8">
        <f t="shared" ca="1" si="162"/>
        <v>5.5968206091840098E-2</v>
      </c>
      <c r="J150" s="8">
        <f t="shared" ca="1" si="162"/>
        <v>5.7683323777906026E-2</v>
      </c>
      <c r="K150" s="8">
        <f t="shared" ca="1" si="162"/>
        <v>6.3161031325177405E-2</v>
      </c>
      <c r="L150" s="8">
        <f t="shared" ca="1" si="162"/>
        <v>6.346916829755446E-2</v>
      </c>
      <c r="M150" s="8">
        <f t="shared" ca="1" si="162"/>
        <v>7.1076662970499013E-2</v>
      </c>
      <c r="N150" s="8">
        <f t="shared" ca="1" si="162"/>
        <v>6.915249220627355E-2</v>
      </c>
      <c r="O150" s="8">
        <f t="shared" ca="1" si="162"/>
        <v>7.5076535886137344E-2</v>
      </c>
      <c r="Q150" s="12"/>
    </row>
    <row r="151" spans="2:17">
      <c r="B151" s="3">
        <v>130</v>
      </c>
      <c r="C151" s="8">
        <f t="shared" si="161"/>
        <v>0.05</v>
      </c>
      <c r="D151" s="8">
        <f t="shared" ref="D151:O151" ca="1" si="163">C151+k*(theta-C151)*dt+vol*SQRT(dt)*_xlfn.NORM.S.INV(RAND())</f>
        <v>5.080649640976613E-2</v>
      </c>
      <c r="E151" s="8">
        <f t="shared" ca="1" si="163"/>
        <v>6.1058198916600775E-2</v>
      </c>
      <c r="F151" s="8">
        <f t="shared" ca="1" si="163"/>
        <v>7.02911863266934E-2</v>
      </c>
      <c r="G151" s="8">
        <f t="shared" ca="1" si="163"/>
        <v>7.2664345871627317E-2</v>
      </c>
      <c r="H151" s="8">
        <f t="shared" ca="1" si="163"/>
        <v>7.7277554843182314E-2</v>
      </c>
      <c r="I151" s="8">
        <f t="shared" ca="1" si="163"/>
        <v>7.3191397098740688E-2</v>
      </c>
      <c r="J151" s="8">
        <f t="shared" ca="1" si="163"/>
        <v>7.1184671720773862E-2</v>
      </c>
      <c r="K151" s="8">
        <f t="shared" ca="1" si="163"/>
        <v>7.1911777790909084E-2</v>
      </c>
      <c r="L151" s="8">
        <f t="shared" ca="1" si="163"/>
        <v>7.7252354270553908E-2</v>
      </c>
      <c r="M151" s="8">
        <f t="shared" ca="1" si="163"/>
        <v>7.7744904895071312E-2</v>
      </c>
      <c r="N151" s="8">
        <f t="shared" ca="1" si="163"/>
        <v>7.5117814576709449E-2</v>
      </c>
      <c r="O151" s="8">
        <f t="shared" ca="1" si="163"/>
        <v>8.119234722104747E-2</v>
      </c>
      <c r="Q151" s="12"/>
    </row>
    <row r="152" spans="2:17">
      <c r="B152" s="3">
        <v>131</v>
      </c>
      <c r="C152" s="8">
        <f t="shared" si="161"/>
        <v>0.05</v>
      </c>
      <c r="D152" s="8">
        <f t="shared" ref="D152:O152" ca="1" si="164">C152+k*(theta-C152)*dt+vol*SQRT(dt)*_xlfn.NORM.S.INV(RAND())</f>
        <v>4.936970394917059E-2</v>
      </c>
      <c r="E152" s="8">
        <f t="shared" ca="1" si="164"/>
        <v>4.3901172335508748E-2</v>
      </c>
      <c r="F152" s="8">
        <f t="shared" ca="1" si="164"/>
        <v>5.1617074323007925E-2</v>
      </c>
      <c r="G152" s="8">
        <f t="shared" ca="1" si="164"/>
        <v>5.8037334126224339E-2</v>
      </c>
      <c r="H152" s="8">
        <f t="shared" ca="1" si="164"/>
        <v>5.8835917181918072E-2</v>
      </c>
      <c r="I152" s="8">
        <f t="shared" ca="1" si="164"/>
        <v>6.401243107659009E-2</v>
      </c>
      <c r="J152" s="8">
        <f t="shared" ca="1" si="164"/>
        <v>6.0124391021886325E-2</v>
      </c>
      <c r="K152" s="8">
        <f t="shared" ca="1" si="164"/>
        <v>6.0462977096131139E-2</v>
      </c>
      <c r="L152" s="8">
        <f t="shared" ca="1" si="164"/>
        <v>5.5925386896931557E-2</v>
      </c>
      <c r="M152" s="8">
        <f t="shared" ca="1" si="164"/>
        <v>5.4817223372275778E-2</v>
      </c>
      <c r="N152" s="8">
        <f t="shared" ca="1" si="164"/>
        <v>6.7149973984664352E-2</v>
      </c>
      <c r="O152" s="8">
        <f t="shared" ca="1" si="164"/>
        <v>6.6167808814084433E-2</v>
      </c>
      <c r="Q152" s="12"/>
    </row>
    <row r="153" spans="2:17">
      <c r="B153" s="3">
        <v>132</v>
      </c>
      <c r="C153" s="8">
        <f t="shared" si="161"/>
        <v>0.05</v>
      </c>
      <c r="D153" s="8">
        <f t="shared" ref="D153:O153" ca="1" si="165">C153+k*(theta-C153)*dt+vol*SQRT(dt)*_xlfn.NORM.S.INV(RAND())</f>
        <v>4.9288213240222561E-2</v>
      </c>
      <c r="E153" s="8">
        <f t="shared" ca="1" si="165"/>
        <v>5.3189974650404939E-2</v>
      </c>
      <c r="F153" s="8">
        <f t="shared" ca="1" si="165"/>
        <v>4.5681603916953764E-2</v>
      </c>
      <c r="G153" s="8">
        <f t="shared" ca="1" si="165"/>
        <v>4.6385728284012329E-2</v>
      </c>
      <c r="H153" s="8">
        <f t="shared" ca="1" si="165"/>
        <v>4.8968696705264908E-2</v>
      </c>
      <c r="I153" s="8">
        <f t="shared" ca="1" si="165"/>
        <v>4.7979762549791583E-2</v>
      </c>
      <c r="J153" s="8">
        <f t="shared" ca="1" si="165"/>
        <v>5.0918906834152344E-2</v>
      </c>
      <c r="K153" s="8">
        <f t="shared" ca="1" si="165"/>
        <v>6.2512311469398785E-2</v>
      </c>
      <c r="L153" s="8">
        <f t="shared" ca="1" si="165"/>
        <v>6.9950816981161859E-2</v>
      </c>
      <c r="M153" s="8">
        <f t="shared" ca="1" si="165"/>
        <v>7.3432968173812299E-2</v>
      </c>
      <c r="N153" s="8">
        <f t="shared" ca="1" si="165"/>
        <v>6.6254988854444363E-2</v>
      </c>
      <c r="O153" s="8">
        <f t="shared" ca="1" si="165"/>
        <v>7.6788994947348407E-2</v>
      </c>
      <c r="Q153" s="12"/>
    </row>
    <row r="154" spans="2:17">
      <c r="B154" s="3">
        <v>133</v>
      </c>
      <c r="C154" s="8">
        <f t="shared" si="161"/>
        <v>0.05</v>
      </c>
      <c r="D154" s="8">
        <f t="shared" ref="D154:O154" ca="1" si="166">C154+k*(theta-C154)*dt+vol*SQRT(dt)*_xlfn.NORM.S.INV(RAND())</f>
        <v>5.3037375668625465E-2</v>
      </c>
      <c r="E154" s="8">
        <f t="shared" ca="1" si="166"/>
        <v>5.9055352104053209E-2</v>
      </c>
      <c r="F154" s="8">
        <f t="shared" ca="1" si="166"/>
        <v>5.4285313833784821E-2</v>
      </c>
      <c r="G154" s="8">
        <f t="shared" ca="1" si="166"/>
        <v>5.5213155418718941E-2</v>
      </c>
      <c r="H154" s="8">
        <f t="shared" ca="1" si="166"/>
        <v>5.3084578630052087E-2</v>
      </c>
      <c r="I154" s="8">
        <f t="shared" ca="1" si="166"/>
        <v>6.0621894545245324E-2</v>
      </c>
      <c r="J154" s="8">
        <f t="shared" ca="1" si="166"/>
        <v>6.1973857390239549E-2</v>
      </c>
      <c r="K154" s="8">
        <f t="shared" ca="1" si="166"/>
        <v>4.9338552825858709E-2</v>
      </c>
      <c r="L154" s="8">
        <f t="shared" ca="1" si="166"/>
        <v>5.1825858854031362E-2</v>
      </c>
      <c r="M154" s="8">
        <f t="shared" ca="1" si="166"/>
        <v>4.9521417142732178E-2</v>
      </c>
      <c r="N154" s="8">
        <f t="shared" ca="1" si="166"/>
        <v>4.823324890926451E-2</v>
      </c>
      <c r="O154" s="8">
        <f t="shared" ca="1" si="166"/>
        <v>5.8213049918868262E-2</v>
      </c>
      <c r="Q154" s="12"/>
    </row>
    <row r="155" spans="2:17">
      <c r="B155" s="3">
        <v>134</v>
      </c>
      <c r="C155" s="8">
        <f t="shared" si="161"/>
        <v>0.05</v>
      </c>
      <c r="D155" s="8">
        <f t="shared" ref="D155:O155" ca="1" si="167">C155+k*(theta-C155)*dt+vol*SQRT(dt)*_xlfn.NORM.S.INV(RAND())</f>
        <v>5.9871670059683621E-2</v>
      </c>
      <c r="E155" s="8">
        <f t="shared" ca="1" si="167"/>
        <v>5.3447026539015827E-2</v>
      </c>
      <c r="F155" s="8">
        <f t="shared" ca="1" si="167"/>
        <v>5.6459015818181781E-2</v>
      </c>
      <c r="G155" s="8">
        <f t="shared" ca="1" si="167"/>
        <v>5.1915548108183815E-2</v>
      </c>
      <c r="H155" s="8">
        <f t="shared" ca="1" si="167"/>
        <v>5.6000548750685379E-2</v>
      </c>
      <c r="I155" s="8">
        <f t="shared" ca="1" si="167"/>
        <v>5.7138014616963197E-2</v>
      </c>
      <c r="J155" s="8">
        <f t="shared" ca="1" si="167"/>
        <v>4.8432022804710123E-2</v>
      </c>
      <c r="K155" s="8">
        <f t="shared" ca="1" si="167"/>
        <v>4.3646658634547579E-2</v>
      </c>
      <c r="L155" s="8">
        <f t="shared" ca="1" si="167"/>
        <v>4.7956996412870191E-2</v>
      </c>
      <c r="M155" s="8">
        <f t="shared" ca="1" si="167"/>
        <v>5.1956614135306625E-2</v>
      </c>
      <c r="N155" s="8">
        <f t="shared" ca="1" si="167"/>
        <v>5.666327616513353E-2</v>
      </c>
      <c r="O155" s="8">
        <f t="shared" ca="1" si="167"/>
        <v>5.1924176668723045E-2</v>
      </c>
      <c r="Q155" s="12"/>
    </row>
    <row r="156" spans="2:17">
      <c r="B156" s="3">
        <v>135</v>
      </c>
      <c r="C156" s="8">
        <f t="shared" si="161"/>
        <v>0.05</v>
      </c>
      <c r="D156" s="8">
        <f t="shared" ref="D156:O156" ca="1" si="168">C156+k*(theta-C156)*dt+vol*SQRT(dt)*_xlfn.NORM.S.INV(RAND())</f>
        <v>4.9516903809116788E-2</v>
      </c>
      <c r="E156" s="8">
        <f t="shared" ca="1" si="168"/>
        <v>4.6436060286445376E-2</v>
      </c>
      <c r="F156" s="8">
        <f t="shared" ca="1" si="168"/>
        <v>4.9097035366660768E-2</v>
      </c>
      <c r="G156" s="8">
        <f t="shared" ca="1" si="168"/>
        <v>5.2057951485014672E-2</v>
      </c>
      <c r="H156" s="8">
        <f t="shared" ca="1" si="168"/>
        <v>4.6294888613805957E-2</v>
      </c>
      <c r="I156" s="8">
        <f t="shared" ca="1" si="168"/>
        <v>4.600677842012018E-2</v>
      </c>
      <c r="J156" s="8">
        <f t="shared" ca="1" si="168"/>
        <v>3.9449546847086861E-2</v>
      </c>
      <c r="K156" s="8">
        <f t="shared" ca="1" si="168"/>
        <v>4.0655521257606332E-2</v>
      </c>
      <c r="L156" s="8">
        <f t="shared" ca="1" si="168"/>
        <v>3.7061169111479553E-2</v>
      </c>
      <c r="M156" s="8">
        <f t="shared" ca="1" si="168"/>
        <v>3.9494387652942962E-2</v>
      </c>
      <c r="N156" s="8">
        <f t="shared" ca="1" si="168"/>
        <v>3.6930698259083378E-2</v>
      </c>
      <c r="O156" s="8">
        <f t="shared" ca="1" si="168"/>
        <v>4.1349118923972014E-2</v>
      </c>
      <c r="Q156" s="12"/>
    </row>
    <row r="157" spans="2:17">
      <c r="B157" s="3">
        <v>136</v>
      </c>
      <c r="C157" s="8">
        <f t="shared" si="161"/>
        <v>0.05</v>
      </c>
      <c r="D157" s="8">
        <f t="shared" ref="D157:O157" ca="1" si="169">C157+k*(theta-C157)*dt+vol*SQRT(dt)*_xlfn.NORM.S.INV(RAND())</f>
        <v>5.6009482343738232E-2</v>
      </c>
      <c r="E157" s="8">
        <f t="shared" ca="1" si="169"/>
        <v>6.3571047285895604E-2</v>
      </c>
      <c r="F157" s="8">
        <f t="shared" ca="1" si="169"/>
        <v>7.1302083172614938E-2</v>
      </c>
      <c r="G157" s="8">
        <f t="shared" ca="1" si="169"/>
        <v>7.3422515576544042E-2</v>
      </c>
      <c r="H157" s="8">
        <f t="shared" ca="1" si="169"/>
        <v>6.3537541568885927E-2</v>
      </c>
      <c r="I157" s="8">
        <f t="shared" ca="1" si="169"/>
        <v>6.4734573618855457E-2</v>
      </c>
      <c r="J157" s="8">
        <f t="shared" ca="1" si="169"/>
        <v>6.6879120659537161E-2</v>
      </c>
      <c r="K157" s="8">
        <f t="shared" ca="1" si="169"/>
        <v>5.8474516225069023E-2</v>
      </c>
      <c r="L157" s="8">
        <f t="shared" ca="1" si="169"/>
        <v>6.9911555689321503E-2</v>
      </c>
      <c r="M157" s="8">
        <f t="shared" ca="1" si="169"/>
        <v>6.4486867807108245E-2</v>
      </c>
      <c r="N157" s="8">
        <f t="shared" ca="1" si="169"/>
        <v>6.1513752333256191E-2</v>
      </c>
      <c r="O157" s="8">
        <f t="shared" ca="1" si="169"/>
        <v>6.5642510166769433E-2</v>
      </c>
      <c r="Q157" s="12"/>
    </row>
    <row r="158" spans="2:17">
      <c r="B158" s="3">
        <v>137</v>
      </c>
      <c r="C158" s="8">
        <f t="shared" si="161"/>
        <v>0.05</v>
      </c>
      <c r="D158" s="8">
        <f t="shared" ref="D158:O158" ca="1" si="170">C158+k*(theta-C158)*dt+vol*SQRT(dt)*_xlfn.NORM.S.INV(RAND())</f>
        <v>4.5727890085713742E-2</v>
      </c>
      <c r="E158" s="8">
        <f t="shared" ca="1" si="170"/>
        <v>5.2369523244990911E-2</v>
      </c>
      <c r="F158" s="8">
        <f t="shared" ca="1" si="170"/>
        <v>6.5811681746563114E-2</v>
      </c>
      <c r="G158" s="8">
        <f t="shared" ca="1" si="170"/>
        <v>7.1734851289065316E-2</v>
      </c>
      <c r="H158" s="8">
        <f t="shared" ca="1" si="170"/>
        <v>8.3819539027109563E-2</v>
      </c>
      <c r="I158" s="8">
        <f t="shared" ca="1" si="170"/>
        <v>8.5476392816819166E-2</v>
      </c>
      <c r="J158" s="8">
        <f t="shared" ca="1" si="170"/>
        <v>8.3821160821141605E-2</v>
      </c>
      <c r="K158" s="8">
        <f t="shared" ca="1" si="170"/>
        <v>8.6242197962674835E-2</v>
      </c>
      <c r="L158" s="8">
        <f t="shared" ca="1" si="170"/>
        <v>8.7201665818753993E-2</v>
      </c>
      <c r="M158" s="8">
        <f t="shared" ca="1" si="170"/>
        <v>8.5010834469608068E-2</v>
      </c>
      <c r="N158" s="8">
        <f t="shared" ca="1" si="170"/>
        <v>8.2849457213397606E-2</v>
      </c>
      <c r="O158" s="8">
        <f t="shared" ca="1" si="170"/>
        <v>8.2908326769793331E-2</v>
      </c>
      <c r="Q158" s="12"/>
    </row>
    <row r="159" spans="2:17">
      <c r="B159" s="3">
        <v>138</v>
      </c>
      <c r="C159" s="8">
        <f t="shared" si="161"/>
        <v>0.05</v>
      </c>
      <c r="D159" s="8">
        <f t="shared" ref="D159:O159" ca="1" si="171">C159+k*(theta-C159)*dt+vol*SQRT(dt)*_xlfn.NORM.S.INV(RAND())</f>
        <v>3.5865245870601484E-2</v>
      </c>
      <c r="E159" s="8">
        <f t="shared" ca="1" si="171"/>
        <v>3.5579550922208672E-2</v>
      </c>
      <c r="F159" s="8">
        <f t="shared" ca="1" si="171"/>
        <v>2.8682556379339478E-2</v>
      </c>
      <c r="G159" s="8">
        <f t="shared" ca="1" si="171"/>
        <v>3.8730368078828098E-2</v>
      </c>
      <c r="H159" s="8">
        <f t="shared" ca="1" si="171"/>
        <v>4.3216109716801218E-2</v>
      </c>
      <c r="I159" s="8">
        <f t="shared" ca="1" si="171"/>
        <v>3.9717611473193311E-2</v>
      </c>
      <c r="J159" s="8">
        <f t="shared" ca="1" si="171"/>
        <v>5.9787639310855151E-2</v>
      </c>
      <c r="K159" s="8">
        <f t="shared" ca="1" si="171"/>
        <v>5.5509472922444229E-2</v>
      </c>
      <c r="L159" s="8">
        <f t="shared" ca="1" si="171"/>
        <v>4.7221199466365743E-2</v>
      </c>
      <c r="M159" s="8">
        <f t="shared" ca="1" si="171"/>
        <v>5.2548042507916032E-2</v>
      </c>
      <c r="N159" s="8">
        <f t="shared" ca="1" si="171"/>
        <v>5.2470294605958603E-2</v>
      </c>
      <c r="O159" s="8">
        <f t="shared" ca="1" si="171"/>
        <v>4.4201401552831913E-2</v>
      </c>
      <c r="Q159" s="12"/>
    </row>
    <row r="160" spans="2:17">
      <c r="B160" s="3">
        <v>139</v>
      </c>
      <c r="C160" s="8">
        <f t="shared" si="161"/>
        <v>0.05</v>
      </c>
      <c r="D160" s="8">
        <f t="shared" ref="D160:O160" ca="1" si="172">C160+k*(theta-C160)*dt+vol*SQRT(dt)*_xlfn.NORM.S.INV(RAND())</f>
        <v>4.1850386328700181E-2</v>
      </c>
      <c r="E160" s="8">
        <f t="shared" ca="1" si="172"/>
        <v>4.5864002661749712E-2</v>
      </c>
      <c r="F160" s="8">
        <f t="shared" ca="1" si="172"/>
        <v>4.9653334254771787E-2</v>
      </c>
      <c r="G160" s="8">
        <f t="shared" ca="1" si="172"/>
        <v>5.5820120709711006E-2</v>
      </c>
      <c r="H160" s="8">
        <f t="shared" ca="1" si="172"/>
        <v>6.109255847672454E-2</v>
      </c>
      <c r="I160" s="8">
        <f t="shared" ca="1" si="172"/>
        <v>5.8015253844885921E-2</v>
      </c>
      <c r="J160" s="8">
        <f t="shared" ca="1" si="172"/>
        <v>6.0505846932283718E-2</v>
      </c>
      <c r="K160" s="8">
        <f t="shared" ca="1" si="172"/>
        <v>6.0762807800358511E-2</v>
      </c>
      <c r="L160" s="8">
        <f t="shared" ca="1" si="172"/>
        <v>5.9349639310192395E-2</v>
      </c>
      <c r="M160" s="8">
        <f t="shared" ca="1" si="172"/>
        <v>5.1949918137839945E-2</v>
      </c>
      <c r="N160" s="8">
        <f t="shared" ca="1" si="172"/>
        <v>5.6078381653432638E-2</v>
      </c>
      <c r="O160" s="8">
        <f t="shared" ca="1" si="172"/>
        <v>5.8487312016937146E-2</v>
      </c>
      <c r="Q160" s="12"/>
    </row>
    <row r="161" spans="2:17">
      <c r="B161" s="3">
        <v>140</v>
      </c>
      <c r="C161" s="8">
        <f t="shared" si="161"/>
        <v>0.05</v>
      </c>
      <c r="D161" s="8">
        <f t="shared" ref="D161:O161" ca="1" si="173">C161+k*(theta-C161)*dt+vol*SQRT(dt)*_xlfn.NORM.S.INV(RAND())</f>
        <v>6.0921118016472764E-2</v>
      </c>
      <c r="E161" s="8">
        <f t="shared" ca="1" si="173"/>
        <v>5.5178279635012567E-2</v>
      </c>
      <c r="F161" s="8">
        <f t="shared" ca="1" si="173"/>
        <v>5.8857747673163339E-2</v>
      </c>
      <c r="G161" s="8">
        <f t="shared" ca="1" si="173"/>
        <v>6.0376351038320404E-2</v>
      </c>
      <c r="H161" s="8">
        <f t="shared" ca="1" si="173"/>
        <v>5.3174273098602558E-2</v>
      </c>
      <c r="I161" s="8">
        <f t="shared" ca="1" si="173"/>
        <v>5.7384030613726898E-2</v>
      </c>
      <c r="J161" s="8">
        <f t="shared" ca="1" si="173"/>
        <v>5.7603804298286355E-2</v>
      </c>
      <c r="K161" s="8">
        <f t="shared" ca="1" si="173"/>
        <v>4.9945804847355141E-2</v>
      </c>
      <c r="L161" s="8">
        <f t="shared" ca="1" si="173"/>
        <v>3.8494968686685976E-2</v>
      </c>
      <c r="M161" s="8">
        <f t="shared" ca="1" si="173"/>
        <v>4.613023299466075E-2</v>
      </c>
      <c r="N161" s="8">
        <f t="shared" ca="1" si="173"/>
        <v>5.0694794911794794E-2</v>
      </c>
      <c r="O161" s="8">
        <f t="shared" ca="1" si="173"/>
        <v>4.87806890991766E-2</v>
      </c>
      <c r="Q161" s="12"/>
    </row>
    <row r="162" spans="2:17">
      <c r="B162" s="3">
        <v>141</v>
      </c>
      <c r="C162" s="8">
        <f t="shared" si="161"/>
        <v>0.05</v>
      </c>
      <c r="D162" s="8">
        <f t="shared" ref="D162:O162" ca="1" si="174">C162+k*(theta-C162)*dt+vol*SQRT(dt)*_xlfn.NORM.S.INV(RAND())</f>
        <v>5.0075256214321164E-2</v>
      </c>
      <c r="E162" s="8">
        <f t="shared" ca="1" si="174"/>
        <v>5.7684740489586953E-2</v>
      </c>
      <c r="F162" s="8">
        <f t="shared" ca="1" si="174"/>
        <v>5.5658432564773527E-2</v>
      </c>
      <c r="G162" s="8">
        <f t="shared" ca="1" si="174"/>
        <v>6.6194468050947308E-2</v>
      </c>
      <c r="H162" s="8">
        <f t="shared" ca="1" si="174"/>
        <v>7.2447660017911836E-2</v>
      </c>
      <c r="I162" s="8">
        <f t="shared" ca="1" si="174"/>
        <v>7.6127442289921021E-2</v>
      </c>
      <c r="J162" s="8">
        <f t="shared" ca="1" si="174"/>
        <v>7.3336385566428117E-2</v>
      </c>
      <c r="K162" s="8">
        <f t="shared" ca="1" si="174"/>
        <v>7.329676772715471E-2</v>
      </c>
      <c r="L162" s="8">
        <f t="shared" ca="1" si="174"/>
        <v>8.2931190713023795E-2</v>
      </c>
      <c r="M162" s="8">
        <f t="shared" ca="1" si="174"/>
        <v>9.4059765032856402E-2</v>
      </c>
      <c r="N162" s="8">
        <f t="shared" ca="1" si="174"/>
        <v>9.2264192826293154E-2</v>
      </c>
      <c r="O162" s="8">
        <f t="shared" ca="1" si="174"/>
        <v>0.10017900910517624</v>
      </c>
      <c r="Q162" s="12"/>
    </row>
    <row r="163" spans="2:17">
      <c r="B163" s="3">
        <v>142</v>
      </c>
      <c r="C163" s="8">
        <f t="shared" si="161"/>
        <v>0.05</v>
      </c>
      <c r="D163" s="8">
        <f t="shared" ref="D163:O163" ca="1" si="175">C163+k*(theta-C163)*dt+vol*SQRT(dt)*_xlfn.NORM.S.INV(RAND())</f>
        <v>6.4821880862766093E-2</v>
      </c>
      <c r="E163" s="8">
        <f t="shared" ca="1" si="175"/>
        <v>7.3736283775803727E-2</v>
      </c>
      <c r="F163" s="8">
        <f t="shared" ca="1" si="175"/>
        <v>7.7292977810805893E-2</v>
      </c>
      <c r="G163" s="8">
        <f t="shared" ca="1" si="175"/>
        <v>7.9171337612250509E-2</v>
      </c>
      <c r="H163" s="8">
        <f t="shared" ca="1" si="175"/>
        <v>8.8151857778777348E-2</v>
      </c>
      <c r="I163" s="8">
        <f t="shared" ca="1" si="175"/>
        <v>9.5721700949566002E-2</v>
      </c>
      <c r="J163" s="8">
        <f t="shared" ca="1" si="175"/>
        <v>9.1489611528285233E-2</v>
      </c>
      <c r="K163" s="8">
        <f t="shared" ca="1" si="175"/>
        <v>8.8313483311366472E-2</v>
      </c>
      <c r="L163" s="8">
        <f t="shared" ca="1" si="175"/>
        <v>7.3970156967106002E-2</v>
      </c>
      <c r="M163" s="8">
        <f t="shared" ca="1" si="175"/>
        <v>8.4459293690757456E-2</v>
      </c>
      <c r="N163" s="8">
        <f t="shared" ca="1" si="175"/>
        <v>8.3461061665355551E-2</v>
      </c>
      <c r="O163" s="8">
        <f t="shared" ca="1" si="175"/>
        <v>8.7110839600193557E-2</v>
      </c>
      <c r="Q163" s="12"/>
    </row>
    <row r="164" spans="2:17">
      <c r="B164" s="3">
        <v>143</v>
      </c>
      <c r="C164" s="8">
        <f t="shared" si="161"/>
        <v>0.05</v>
      </c>
      <c r="D164" s="8">
        <f t="shared" ref="D164:O164" ca="1" si="176">C164+k*(theta-C164)*dt+vol*SQRT(dt)*_xlfn.NORM.S.INV(RAND())</f>
        <v>4.3263562113780567E-2</v>
      </c>
      <c r="E164" s="8">
        <f t="shared" ca="1" si="176"/>
        <v>4.785708172067886E-2</v>
      </c>
      <c r="F164" s="8">
        <f t="shared" ca="1" si="176"/>
        <v>4.9111461359627066E-2</v>
      </c>
      <c r="G164" s="8">
        <f t="shared" ca="1" si="176"/>
        <v>5.6157106070727297E-2</v>
      </c>
      <c r="H164" s="8">
        <f t="shared" ca="1" si="176"/>
        <v>4.4611507125177106E-2</v>
      </c>
      <c r="I164" s="8">
        <f t="shared" ca="1" si="176"/>
        <v>4.5041560929408954E-2</v>
      </c>
      <c r="J164" s="8">
        <f t="shared" ca="1" si="176"/>
        <v>4.6269171279767839E-2</v>
      </c>
      <c r="K164" s="8">
        <f t="shared" ca="1" si="176"/>
        <v>4.1889691968340283E-2</v>
      </c>
      <c r="L164" s="8">
        <f t="shared" ca="1" si="176"/>
        <v>5.2310619027177832E-2</v>
      </c>
      <c r="M164" s="8">
        <f t="shared" ca="1" si="176"/>
        <v>6.6460650763226048E-2</v>
      </c>
      <c r="N164" s="8">
        <f t="shared" ca="1" si="176"/>
        <v>6.7536628719906566E-2</v>
      </c>
      <c r="O164" s="8">
        <f t="shared" ca="1" si="176"/>
        <v>6.5937991305136764E-2</v>
      </c>
      <c r="Q164" s="12"/>
    </row>
    <row r="165" spans="2:17">
      <c r="B165" s="3">
        <v>144</v>
      </c>
      <c r="C165" s="8">
        <f t="shared" si="161"/>
        <v>0.05</v>
      </c>
      <c r="D165" s="8">
        <f t="shared" ref="D165:O165" ca="1" si="177">C165+k*(theta-C165)*dt+vol*SQRT(dt)*_xlfn.NORM.S.INV(RAND())</f>
        <v>4.845123441054832E-2</v>
      </c>
      <c r="E165" s="8">
        <f t="shared" ca="1" si="177"/>
        <v>5.5721302048239094E-2</v>
      </c>
      <c r="F165" s="8">
        <f t="shared" ca="1" si="177"/>
        <v>5.1069734103193876E-2</v>
      </c>
      <c r="G165" s="8">
        <f t="shared" ca="1" si="177"/>
        <v>5.5318343500988118E-2</v>
      </c>
      <c r="H165" s="8">
        <f t="shared" ca="1" si="177"/>
        <v>5.1041767797707097E-2</v>
      </c>
      <c r="I165" s="8">
        <f t="shared" ca="1" si="177"/>
        <v>4.4584739282161091E-2</v>
      </c>
      <c r="J165" s="8">
        <f t="shared" ca="1" si="177"/>
        <v>4.820716863671301E-2</v>
      </c>
      <c r="K165" s="8">
        <f t="shared" ca="1" si="177"/>
        <v>4.1038911421513481E-2</v>
      </c>
      <c r="L165" s="8">
        <f t="shared" ca="1" si="177"/>
        <v>4.6568086108380445E-2</v>
      </c>
      <c r="M165" s="8">
        <f t="shared" ca="1" si="177"/>
        <v>5.307614000313312E-2</v>
      </c>
      <c r="N165" s="8">
        <f t="shared" ca="1" si="177"/>
        <v>5.3303887324349646E-2</v>
      </c>
      <c r="O165" s="8">
        <f t="shared" ca="1" si="177"/>
        <v>5.6257118477334479E-2</v>
      </c>
      <c r="Q165" s="12"/>
    </row>
    <row r="166" spans="2:17">
      <c r="B166" s="3">
        <v>145</v>
      </c>
      <c r="C166" s="8">
        <f t="shared" si="161"/>
        <v>0.05</v>
      </c>
      <c r="D166" s="8">
        <f t="shared" ref="D166:O166" ca="1" si="178">C166+k*(theta-C166)*dt+vol*SQRT(dt)*_xlfn.NORM.S.INV(RAND())</f>
        <v>4.7819021322266453E-2</v>
      </c>
      <c r="E166" s="8">
        <f t="shared" ca="1" si="178"/>
        <v>5.5738755562152131E-2</v>
      </c>
      <c r="F166" s="8">
        <f t="shared" ca="1" si="178"/>
        <v>4.416137541968769E-2</v>
      </c>
      <c r="G166" s="8">
        <f t="shared" ca="1" si="178"/>
        <v>4.5006952907688566E-2</v>
      </c>
      <c r="H166" s="8">
        <f t="shared" ca="1" si="178"/>
        <v>4.8780378813614592E-2</v>
      </c>
      <c r="I166" s="8">
        <f t="shared" ca="1" si="178"/>
        <v>5.8478884939769736E-2</v>
      </c>
      <c r="J166" s="8">
        <f t="shared" ca="1" si="178"/>
        <v>7.1147477844796692E-2</v>
      </c>
      <c r="K166" s="8">
        <f t="shared" ca="1" si="178"/>
        <v>6.3333500084170324E-2</v>
      </c>
      <c r="L166" s="8">
        <f t="shared" ca="1" si="178"/>
        <v>6.5926516533039728E-2</v>
      </c>
      <c r="M166" s="8">
        <f t="shared" ca="1" si="178"/>
        <v>6.7959093586697272E-2</v>
      </c>
      <c r="N166" s="8">
        <f t="shared" ca="1" si="178"/>
        <v>7.1671360690579736E-2</v>
      </c>
      <c r="O166" s="8">
        <f t="shared" ca="1" si="178"/>
        <v>7.072617044970414E-2</v>
      </c>
      <c r="Q166" s="12"/>
    </row>
    <row r="167" spans="2:17">
      <c r="B167" s="3">
        <v>146</v>
      </c>
      <c r="C167" s="8">
        <f t="shared" si="161"/>
        <v>0.05</v>
      </c>
      <c r="D167" s="8">
        <f t="shared" ref="D167:O167" ca="1" si="179">C167+k*(theta-C167)*dt+vol*SQRT(dt)*_xlfn.NORM.S.INV(RAND())</f>
        <v>5.9781940951663268E-2</v>
      </c>
      <c r="E167" s="8">
        <f t="shared" ca="1" si="179"/>
        <v>6.2881257765312962E-2</v>
      </c>
      <c r="F167" s="8">
        <f t="shared" ca="1" si="179"/>
        <v>5.890718830007196E-2</v>
      </c>
      <c r="G167" s="8">
        <f t="shared" ca="1" si="179"/>
        <v>6.630723532034162E-2</v>
      </c>
      <c r="H167" s="8">
        <f t="shared" ca="1" si="179"/>
        <v>6.9234081713785853E-2</v>
      </c>
      <c r="I167" s="8">
        <f t="shared" ca="1" si="179"/>
        <v>7.2509884601280189E-2</v>
      </c>
      <c r="J167" s="8">
        <f t="shared" ca="1" si="179"/>
        <v>7.2978535349535203E-2</v>
      </c>
      <c r="K167" s="8">
        <f t="shared" ca="1" si="179"/>
        <v>7.6573163443248909E-2</v>
      </c>
      <c r="L167" s="8">
        <f t="shared" ca="1" si="179"/>
        <v>7.6599686175529785E-2</v>
      </c>
      <c r="M167" s="8">
        <f t="shared" ca="1" si="179"/>
        <v>7.2341111403699088E-2</v>
      </c>
      <c r="N167" s="8">
        <f t="shared" ca="1" si="179"/>
        <v>6.5793458570278338E-2</v>
      </c>
      <c r="O167" s="8">
        <f t="shared" ca="1" si="179"/>
        <v>6.0797064088516331E-2</v>
      </c>
      <c r="Q167" s="12"/>
    </row>
    <row r="168" spans="2:17">
      <c r="B168" s="3">
        <v>147</v>
      </c>
      <c r="C168" s="8">
        <f t="shared" si="161"/>
        <v>0.05</v>
      </c>
      <c r="D168" s="8">
        <f t="shared" ref="D168:O168" ca="1" si="180">C168+k*(theta-C168)*dt+vol*SQRT(dt)*_xlfn.NORM.S.INV(RAND())</f>
        <v>5.3190911666593316E-2</v>
      </c>
      <c r="E168" s="8">
        <f t="shared" ca="1" si="180"/>
        <v>5.2163019891779946E-2</v>
      </c>
      <c r="F168" s="8">
        <f t="shared" ca="1" si="180"/>
        <v>5.9855971373871372E-2</v>
      </c>
      <c r="G168" s="8">
        <f t="shared" ca="1" si="180"/>
        <v>5.8368019423712392E-2</v>
      </c>
      <c r="H168" s="8">
        <f t="shared" ca="1" si="180"/>
        <v>6.5209664634651665E-2</v>
      </c>
      <c r="I168" s="8">
        <f t="shared" ca="1" si="180"/>
        <v>8.1610080967158979E-2</v>
      </c>
      <c r="J168" s="8">
        <f t="shared" ca="1" si="180"/>
        <v>8.2861530833013008E-2</v>
      </c>
      <c r="K168" s="8">
        <f t="shared" ca="1" si="180"/>
        <v>8.84757555475576E-2</v>
      </c>
      <c r="L168" s="8">
        <f t="shared" ca="1" si="180"/>
        <v>9.2619879192065296E-2</v>
      </c>
      <c r="M168" s="8">
        <f t="shared" ca="1" si="180"/>
        <v>9.1079037615593994E-2</v>
      </c>
      <c r="N168" s="8">
        <f t="shared" ca="1" si="180"/>
        <v>9.1658100411385238E-2</v>
      </c>
      <c r="O168" s="8">
        <f t="shared" ca="1" si="180"/>
        <v>9.6225311423788928E-2</v>
      </c>
      <c r="Q168" s="12"/>
    </row>
    <row r="169" spans="2:17">
      <c r="B169" s="3">
        <v>148</v>
      </c>
      <c r="C169" s="8">
        <f t="shared" si="161"/>
        <v>0.05</v>
      </c>
      <c r="D169" s="8">
        <f t="shared" ref="D169:O169" ca="1" si="181">C169+k*(theta-C169)*dt+vol*SQRT(dt)*_xlfn.NORM.S.INV(RAND())</f>
        <v>5.2199308365635307E-2</v>
      </c>
      <c r="E169" s="8">
        <f t="shared" ca="1" si="181"/>
        <v>6.0289041956613665E-2</v>
      </c>
      <c r="F169" s="8">
        <f t="shared" ca="1" si="181"/>
        <v>6.686769612364199E-2</v>
      </c>
      <c r="G169" s="8">
        <f t="shared" ca="1" si="181"/>
        <v>7.3493311459451816E-2</v>
      </c>
      <c r="H169" s="8">
        <f t="shared" ca="1" si="181"/>
        <v>8.3444548162996499E-2</v>
      </c>
      <c r="I169" s="8">
        <f t="shared" ca="1" si="181"/>
        <v>7.3463400475307555E-2</v>
      </c>
      <c r="J169" s="8">
        <f t="shared" ca="1" si="181"/>
        <v>6.0249886304961087E-2</v>
      </c>
      <c r="K169" s="8">
        <f t="shared" ca="1" si="181"/>
        <v>6.4016331370961896E-2</v>
      </c>
      <c r="L169" s="8">
        <f t="shared" ca="1" si="181"/>
        <v>5.4585386410596869E-2</v>
      </c>
      <c r="M169" s="8">
        <f t="shared" ca="1" si="181"/>
        <v>5.0272964113305653E-2</v>
      </c>
      <c r="N169" s="8">
        <f t="shared" ca="1" si="181"/>
        <v>4.8604842011392396E-2</v>
      </c>
      <c r="O169" s="8">
        <f t="shared" ca="1" si="181"/>
        <v>4.588605510901346E-2</v>
      </c>
      <c r="Q169" s="12"/>
    </row>
    <row r="170" spans="2:17">
      <c r="B170" s="3">
        <v>149</v>
      </c>
      <c r="C170" s="8">
        <f t="shared" si="161"/>
        <v>0.05</v>
      </c>
      <c r="D170" s="8">
        <f t="shared" ref="D170:O170" ca="1" si="182">C170+k*(theta-C170)*dt+vol*SQRT(dt)*_xlfn.NORM.S.INV(RAND())</f>
        <v>4.8878555506435148E-2</v>
      </c>
      <c r="E170" s="8">
        <f t="shared" ca="1" si="182"/>
        <v>4.2667804110118765E-2</v>
      </c>
      <c r="F170" s="8">
        <f t="shared" ca="1" si="182"/>
        <v>5.0471367560421324E-2</v>
      </c>
      <c r="G170" s="8">
        <f t="shared" ca="1" si="182"/>
        <v>5.2591063015622455E-2</v>
      </c>
      <c r="H170" s="8">
        <f t="shared" ca="1" si="182"/>
        <v>5.3607734921918039E-2</v>
      </c>
      <c r="I170" s="8">
        <f t="shared" ca="1" si="182"/>
        <v>6.84201540964995E-2</v>
      </c>
      <c r="J170" s="8">
        <f t="shared" ca="1" si="182"/>
        <v>6.8357037228524778E-2</v>
      </c>
      <c r="K170" s="8">
        <f t="shared" ca="1" si="182"/>
        <v>6.8186148992630646E-2</v>
      </c>
      <c r="L170" s="8">
        <f t="shared" ca="1" si="182"/>
        <v>6.8294536376397291E-2</v>
      </c>
      <c r="M170" s="8">
        <f t="shared" ca="1" si="182"/>
        <v>7.589540973252458E-2</v>
      </c>
      <c r="N170" s="8">
        <f t="shared" ca="1" si="182"/>
        <v>8.2499061129780477E-2</v>
      </c>
      <c r="O170" s="8">
        <f t="shared" ca="1" si="182"/>
        <v>8.0663090167755733E-2</v>
      </c>
      <c r="Q170" s="12"/>
    </row>
    <row r="171" spans="2:17">
      <c r="B171" s="3">
        <v>150</v>
      </c>
      <c r="C171" s="8">
        <f t="shared" si="161"/>
        <v>0.05</v>
      </c>
      <c r="D171" s="8">
        <f t="shared" ref="D171:O171" ca="1" si="183">C171+k*(theta-C171)*dt+vol*SQRT(dt)*_xlfn.NORM.S.INV(RAND())</f>
        <v>5.2118260437541093E-2</v>
      </c>
      <c r="E171" s="8">
        <f t="shared" ca="1" si="183"/>
        <v>5.1275865076983521E-2</v>
      </c>
      <c r="F171" s="8">
        <f t="shared" ca="1" si="183"/>
        <v>5.6679572994034533E-2</v>
      </c>
      <c r="G171" s="8">
        <f t="shared" ca="1" si="183"/>
        <v>6.1365479968488373E-2</v>
      </c>
      <c r="H171" s="8">
        <f t="shared" ca="1" si="183"/>
        <v>6.2948055063027031E-2</v>
      </c>
      <c r="I171" s="8">
        <f t="shared" ca="1" si="183"/>
        <v>5.7092043490948118E-2</v>
      </c>
      <c r="J171" s="8">
        <f t="shared" ca="1" si="183"/>
        <v>5.3125022169101921E-2</v>
      </c>
      <c r="K171" s="8">
        <f t="shared" ca="1" si="183"/>
        <v>4.5426987895090254E-2</v>
      </c>
      <c r="L171" s="8">
        <f t="shared" ca="1" si="183"/>
        <v>4.8992448801789407E-2</v>
      </c>
      <c r="M171" s="8">
        <f t="shared" ca="1" si="183"/>
        <v>4.8944204050382342E-2</v>
      </c>
      <c r="N171" s="8">
        <f t="shared" ca="1" si="183"/>
        <v>4.0446991766466406E-2</v>
      </c>
      <c r="O171" s="8">
        <f t="shared" ca="1" si="183"/>
        <v>3.9954587232527386E-2</v>
      </c>
      <c r="Q171" s="12"/>
    </row>
    <row r="172" spans="2:17">
      <c r="B172" s="3">
        <v>151</v>
      </c>
      <c r="C172" s="8">
        <f t="shared" si="161"/>
        <v>0.05</v>
      </c>
      <c r="D172" s="8">
        <f t="shared" ref="D172:O172" ca="1" si="184">C172+k*(theta-C172)*dt+vol*SQRT(dt)*_xlfn.NORM.S.INV(RAND())</f>
        <v>5.906499309557068E-2</v>
      </c>
      <c r="E172" s="8">
        <f t="shared" ca="1" si="184"/>
        <v>5.5450034373003089E-2</v>
      </c>
      <c r="F172" s="8">
        <f t="shared" ca="1" si="184"/>
        <v>6.7240831815903887E-2</v>
      </c>
      <c r="G172" s="8">
        <f t="shared" ca="1" si="184"/>
        <v>6.0511660062927186E-2</v>
      </c>
      <c r="H172" s="8">
        <f t="shared" ca="1" si="184"/>
        <v>4.5756698005339165E-2</v>
      </c>
      <c r="I172" s="8">
        <f t="shared" ca="1" si="184"/>
        <v>5.9104563102523149E-2</v>
      </c>
      <c r="J172" s="8">
        <f t="shared" ca="1" si="184"/>
        <v>6.1962053974577276E-2</v>
      </c>
      <c r="K172" s="8">
        <f t="shared" ca="1" si="184"/>
        <v>6.493182141424686E-2</v>
      </c>
      <c r="L172" s="8">
        <f t="shared" ca="1" si="184"/>
        <v>6.8759083957455405E-2</v>
      </c>
      <c r="M172" s="8">
        <f t="shared" ca="1" si="184"/>
        <v>7.2610184392119401E-2</v>
      </c>
      <c r="N172" s="8">
        <f t="shared" ca="1" si="184"/>
        <v>7.1378176435448415E-2</v>
      </c>
      <c r="O172" s="8">
        <f t="shared" ca="1" si="184"/>
        <v>6.249493201728696E-2</v>
      </c>
      <c r="Q172" s="12"/>
    </row>
    <row r="173" spans="2:17">
      <c r="B173" s="3">
        <v>152</v>
      </c>
      <c r="C173" s="8">
        <f t="shared" si="161"/>
        <v>0.05</v>
      </c>
      <c r="D173" s="8">
        <f t="shared" ref="D173:O173" ca="1" si="185">C173+k*(theta-C173)*dt+vol*SQRT(dt)*_xlfn.NORM.S.INV(RAND())</f>
        <v>4.0383148885038252E-2</v>
      </c>
      <c r="E173" s="8">
        <f t="shared" ca="1" si="185"/>
        <v>3.7288328197378512E-2</v>
      </c>
      <c r="F173" s="8">
        <f t="shared" ca="1" si="185"/>
        <v>3.0322619003830001E-2</v>
      </c>
      <c r="G173" s="8">
        <f t="shared" ca="1" si="185"/>
        <v>3.1330020481641921E-2</v>
      </c>
      <c r="H173" s="8">
        <f t="shared" ca="1" si="185"/>
        <v>3.5376853530872193E-2</v>
      </c>
      <c r="I173" s="8">
        <f t="shared" ca="1" si="185"/>
        <v>4.022693603937598E-2</v>
      </c>
      <c r="J173" s="8">
        <f t="shared" ca="1" si="185"/>
        <v>3.7520379649768155E-2</v>
      </c>
      <c r="K173" s="8">
        <f t="shared" ca="1" si="185"/>
        <v>5.1300098131269296E-2</v>
      </c>
      <c r="L173" s="8">
        <f t="shared" ca="1" si="185"/>
        <v>4.2031743290021302E-2</v>
      </c>
      <c r="M173" s="8">
        <f t="shared" ca="1" si="185"/>
        <v>3.4332271816443535E-2</v>
      </c>
      <c r="N173" s="8">
        <f t="shared" ca="1" si="185"/>
        <v>3.7315823066393555E-2</v>
      </c>
      <c r="O173" s="8">
        <f t="shared" ca="1" si="185"/>
        <v>3.2284546880307761E-2</v>
      </c>
      <c r="Q173" s="12"/>
    </row>
    <row r="174" spans="2:17">
      <c r="B174" s="3">
        <v>153</v>
      </c>
      <c r="C174" s="8">
        <f t="shared" si="161"/>
        <v>0.05</v>
      </c>
      <c r="D174" s="8">
        <f t="shared" ref="D174:O174" ca="1" si="186">C174+k*(theta-C174)*dt+vol*SQRT(dt)*_xlfn.NORM.S.INV(RAND())</f>
        <v>4.0568475418089833E-2</v>
      </c>
      <c r="E174" s="8">
        <f t="shared" ca="1" si="186"/>
        <v>4.6794351522772448E-2</v>
      </c>
      <c r="F174" s="8">
        <f t="shared" ca="1" si="186"/>
        <v>4.459354622301652E-2</v>
      </c>
      <c r="G174" s="8">
        <f t="shared" ca="1" si="186"/>
        <v>4.6811796278364522E-2</v>
      </c>
      <c r="H174" s="8">
        <f t="shared" ca="1" si="186"/>
        <v>4.670845596711598E-2</v>
      </c>
      <c r="I174" s="8">
        <f t="shared" ca="1" si="186"/>
        <v>4.9093068693322292E-2</v>
      </c>
      <c r="J174" s="8">
        <f t="shared" ca="1" si="186"/>
        <v>5.141344653441933E-2</v>
      </c>
      <c r="K174" s="8">
        <f t="shared" ca="1" si="186"/>
        <v>4.3251053397688123E-2</v>
      </c>
      <c r="L174" s="8">
        <f t="shared" ca="1" si="186"/>
        <v>4.1590575942273944E-2</v>
      </c>
      <c r="M174" s="8">
        <f t="shared" ca="1" si="186"/>
        <v>3.5417438401257717E-2</v>
      </c>
      <c r="N174" s="8">
        <f t="shared" ca="1" si="186"/>
        <v>3.9856861237918026E-2</v>
      </c>
      <c r="O174" s="8">
        <f t="shared" ca="1" si="186"/>
        <v>3.7535911386011318E-2</v>
      </c>
      <c r="Q174" s="12"/>
    </row>
    <row r="175" spans="2:17">
      <c r="B175" s="3">
        <v>154</v>
      </c>
      <c r="C175" s="8">
        <f t="shared" si="161"/>
        <v>0.05</v>
      </c>
      <c r="D175" s="8">
        <f t="shared" ref="D175:O175" ca="1" si="187">C175+k*(theta-C175)*dt+vol*SQRT(dt)*_xlfn.NORM.S.INV(RAND())</f>
        <v>5.9778527272999801E-2</v>
      </c>
      <c r="E175" s="8">
        <f t="shared" ca="1" si="187"/>
        <v>6.1636135533168365E-2</v>
      </c>
      <c r="F175" s="8">
        <f t="shared" ca="1" si="187"/>
        <v>7.159889620724505E-2</v>
      </c>
      <c r="G175" s="8">
        <f t="shared" ca="1" si="187"/>
        <v>7.3886193496902175E-2</v>
      </c>
      <c r="H175" s="8">
        <f t="shared" ca="1" si="187"/>
        <v>8.4719313793552353E-2</v>
      </c>
      <c r="I175" s="8">
        <f t="shared" ca="1" si="187"/>
        <v>8.3512899355638964E-2</v>
      </c>
      <c r="J175" s="8">
        <f t="shared" ca="1" si="187"/>
        <v>8.663947020435607E-2</v>
      </c>
      <c r="K175" s="8">
        <f t="shared" ca="1" si="187"/>
        <v>8.6217873780904009E-2</v>
      </c>
      <c r="L175" s="8">
        <f t="shared" ca="1" si="187"/>
        <v>8.3797140094325234E-2</v>
      </c>
      <c r="M175" s="8">
        <f t="shared" ca="1" si="187"/>
        <v>6.9758313181303738E-2</v>
      </c>
      <c r="N175" s="8">
        <f t="shared" ca="1" si="187"/>
        <v>7.6371009666491935E-2</v>
      </c>
      <c r="O175" s="8">
        <f t="shared" ca="1" si="187"/>
        <v>7.7518390335320778E-2</v>
      </c>
      <c r="Q175" s="12"/>
    </row>
    <row r="176" spans="2:17">
      <c r="B176" s="3">
        <v>155</v>
      </c>
      <c r="C176" s="8">
        <f t="shared" si="161"/>
        <v>0.05</v>
      </c>
      <c r="D176" s="8">
        <f t="shared" ref="D176:O176" ca="1" si="188">C176+k*(theta-C176)*dt+vol*SQRT(dt)*_xlfn.NORM.S.INV(RAND())</f>
        <v>4.4758774982791676E-2</v>
      </c>
      <c r="E176" s="8">
        <f t="shared" ca="1" si="188"/>
        <v>4.6621872897723668E-2</v>
      </c>
      <c r="F176" s="8">
        <f t="shared" ca="1" si="188"/>
        <v>4.0743385666076215E-2</v>
      </c>
      <c r="G176" s="8">
        <f t="shared" ca="1" si="188"/>
        <v>4.1470074652421328E-2</v>
      </c>
      <c r="H176" s="8">
        <f t="shared" ca="1" si="188"/>
        <v>4.5759585368701151E-2</v>
      </c>
      <c r="I176" s="8">
        <f t="shared" ca="1" si="188"/>
        <v>3.9037219782128076E-2</v>
      </c>
      <c r="J176" s="8">
        <f t="shared" ca="1" si="188"/>
        <v>3.5710167043461589E-2</v>
      </c>
      <c r="K176" s="8">
        <f t="shared" ca="1" si="188"/>
        <v>4.143421053326888E-2</v>
      </c>
      <c r="L176" s="8">
        <f t="shared" ca="1" si="188"/>
        <v>4.1392722305442185E-2</v>
      </c>
      <c r="M176" s="8">
        <f t="shared" ca="1" si="188"/>
        <v>4.1794288967417603E-2</v>
      </c>
      <c r="N176" s="8">
        <f t="shared" ca="1" si="188"/>
        <v>4.2918472003338273E-2</v>
      </c>
      <c r="O176" s="8">
        <f t="shared" ca="1" si="188"/>
        <v>4.0510397864048073E-2</v>
      </c>
    </row>
    <row r="177" spans="2:15">
      <c r="B177" s="3">
        <v>156</v>
      </c>
      <c r="C177" s="8">
        <f t="shared" si="161"/>
        <v>0.05</v>
      </c>
      <c r="D177" s="8">
        <f t="shared" ref="D177:O177" ca="1" si="189">C177+k*(theta-C177)*dt+vol*SQRT(dt)*_xlfn.NORM.S.INV(RAND())</f>
        <v>4.7270394433059373E-2</v>
      </c>
      <c r="E177" s="8">
        <f t="shared" ca="1" si="189"/>
        <v>4.6386602995373637E-2</v>
      </c>
      <c r="F177" s="8">
        <f t="shared" ca="1" si="189"/>
        <v>4.6188909473516636E-2</v>
      </c>
      <c r="G177" s="8">
        <f t="shared" ca="1" si="189"/>
        <v>4.9152018712353668E-2</v>
      </c>
      <c r="H177" s="8">
        <f t="shared" ca="1" si="189"/>
        <v>4.9964337868698444E-2</v>
      </c>
      <c r="I177" s="8">
        <f t="shared" ca="1" si="189"/>
        <v>5.4886467993984077E-2</v>
      </c>
      <c r="J177" s="8">
        <f t="shared" ca="1" si="189"/>
        <v>6.0365789073509146E-2</v>
      </c>
      <c r="K177" s="8">
        <f t="shared" ca="1" si="189"/>
        <v>5.5370020261149566E-2</v>
      </c>
      <c r="L177" s="8">
        <f t="shared" ca="1" si="189"/>
        <v>5.9096545814186892E-2</v>
      </c>
      <c r="M177" s="8">
        <f t="shared" ca="1" si="189"/>
        <v>5.2486257781413977E-2</v>
      </c>
      <c r="N177" s="8">
        <f t="shared" ca="1" si="189"/>
        <v>5.5660529550488391E-2</v>
      </c>
      <c r="O177" s="8">
        <f t="shared" ca="1" si="189"/>
        <v>6.4829602426958566E-2</v>
      </c>
    </row>
    <row r="178" spans="2:15">
      <c r="B178" s="3">
        <v>157</v>
      </c>
      <c r="C178" s="8">
        <f t="shared" si="161"/>
        <v>0.05</v>
      </c>
      <c r="D178" s="8">
        <f t="shared" ref="D178:O178" ca="1" si="190">C178+k*(theta-C178)*dt+vol*SQRT(dt)*_xlfn.NORM.S.INV(RAND())</f>
        <v>5.8647019944545194E-2</v>
      </c>
      <c r="E178" s="8">
        <f t="shared" ca="1" si="190"/>
        <v>5.6884492476739601E-2</v>
      </c>
      <c r="F178" s="8">
        <f t="shared" ca="1" si="190"/>
        <v>5.7211145550194867E-2</v>
      </c>
      <c r="G178" s="8">
        <f t="shared" ca="1" si="190"/>
        <v>5.7437742221584633E-2</v>
      </c>
      <c r="H178" s="8">
        <f t="shared" ca="1" si="190"/>
        <v>6.6419474620406815E-2</v>
      </c>
      <c r="I178" s="8">
        <f t="shared" ca="1" si="190"/>
        <v>6.3095942469500677E-2</v>
      </c>
      <c r="J178" s="8">
        <f t="shared" ca="1" si="190"/>
        <v>5.3560463385761273E-2</v>
      </c>
      <c r="K178" s="8">
        <f t="shared" ca="1" si="190"/>
        <v>4.8646942130364502E-2</v>
      </c>
      <c r="L178" s="8">
        <f t="shared" ca="1" si="190"/>
        <v>4.4698448379864579E-2</v>
      </c>
      <c r="M178" s="8">
        <f t="shared" ca="1" si="190"/>
        <v>4.5327508958520106E-2</v>
      </c>
      <c r="N178" s="8">
        <f t="shared" ca="1" si="190"/>
        <v>4.8877929713058745E-2</v>
      </c>
      <c r="O178" s="8">
        <f t="shared" ca="1" si="190"/>
        <v>4.8549103830414039E-2</v>
      </c>
    </row>
    <row r="179" spans="2:15">
      <c r="B179" s="3">
        <v>158</v>
      </c>
      <c r="C179" s="8">
        <f t="shared" si="161"/>
        <v>0.05</v>
      </c>
      <c r="D179" s="8">
        <f t="shared" ref="D179:O179" ca="1" si="191">C179+k*(theta-C179)*dt+vol*SQRT(dt)*_xlfn.NORM.S.INV(RAND())</f>
        <v>5.3282884428406917E-2</v>
      </c>
      <c r="E179" s="8">
        <f t="shared" ca="1" si="191"/>
        <v>4.7278446022521764E-2</v>
      </c>
      <c r="F179" s="8">
        <f t="shared" ca="1" si="191"/>
        <v>4.9632498847319441E-2</v>
      </c>
      <c r="G179" s="8">
        <f t="shared" ca="1" si="191"/>
        <v>5.0445609731632646E-2</v>
      </c>
      <c r="H179" s="8">
        <f t="shared" ca="1" si="191"/>
        <v>4.800305588341397E-2</v>
      </c>
      <c r="I179" s="8">
        <f t="shared" ca="1" si="191"/>
        <v>4.7671250427299659E-2</v>
      </c>
      <c r="J179" s="8">
        <f t="shared" ca="1" si="191"/>
        <v>4.2927807242289062E-2</v>
      </c>
      <c r="K179" s="8">
        <f t="shared" ca="1" si="191"/>
        <v>3.8462743633943669E-2</v>
      </c>
      <c r="L179" s="8">
        <f t="shared" ca="1" si="191"/>
        <v>4.8570222557394224E-2</v>
      </c>
      <c r="M179" s="8">
        <f t="shared" ca="1" si="191"/>
        <v>5.5964234823226447E-2</v>
      </c>
      <c r="N179" s="8">
        <f t="shared" ca="1" si="191"/>
        <v>5.4141409556633442E-2</v>
      </c>
      <c r="O179" s="8">
        <f t="shared" ca="1" si="191"/>
        <v>4.879672818976856E-2</v>
      </c>
    </row>
    <row r="180" spans="2:15">
      <c r="B180" s="3">
        <v>159</v>
      </c>
      <c r="C180" s="8">
        <f t="shared" si="161"/>
        <v>0.05</v>
      </c>
      <c r="D180" s="8">
        <f t="shared" ref="D180:O180" ca="1" si="192">C180+k*(theta-C180)*dt+vol*SQRT(dt)*_xlfn.NORM.S.INV(RAND())</f>
        <v>5.7015524130636097E-2</v>
      </c>
      <c r="E180" s="8">
        <f t="shared" ca="1" si="192"/>
        <v>5.9285556858254949E-2</v>
      </c>
      <c r="F180" s="8">
        <f t="shared" ca="1" si="192"/>
        <v>5.8630801992419726E-2</v>
      </c>
      <c r="G180" s="8">
        <f t="shared" ca="1" si="192"/>
        <v>6.7838852706280692E-2</v>
      </c>
      <c r="H180" s="8">
        <f t="shared" ca="1" si="192"/>
        <v>5.8754141287924493E-2</v>
      </c>
      <c r="I180" s="8">
        <f t="shared" ca="1" si="192"/>
        <v>6.4230475352633168E-2</v>
      </c>
      <c r="J180" s="8">
        <f t="shared" ca="1" si="192"/>
        <v>5.2567325064905655E-2</v>
      </c>
      <c r="K180" s="8">
        <f t="shared" ca="1" si="192"/>
        <v>5.375415108142316E-2</v>
      </c>
      <c r="L180" s="8">
        <f t="shared" ca="1" si="192"/>
        <v>4.3262147460679939E-2</v>
      </c>
      <c r="M180" s="8">
        <f t="shared" ca="1" si="192"/>
        <v>3.3957282598063313E-2</v>
      </c>
      <c r="N180" s="8">
        <f t="shared" ca="1" si="192"/>
        <v>3.1230090142719848E-2</v>
      </c>
      <c r="O180" s="8">
        <f t="shared" ca="1" si="192"/>
        <v>3.1896386395392745E-2</v>
      </c>
    </row>
    <row r="181" spans="2:15">
      <c r="B181" s="3">
        <v>160</v>
      </c>
      <c r="C181" s="8">
        <f t="shared" si="161"/>
        <v>0.05</v>
      </c>
      <c r="D181" s="8">
        <f t="shared" ref="D181:O181" ca="1" si="193">C181+k*(theta-C181)*dt+vol*SQRT(dt)*_xlfn.NORM.S.INV(RAND())</f>
        <v>4.4211281556578684E-2</v>
      </c>
      <c r="E181" s="8">
        <f t="shared" ca="1" si="193"/>
        <v>4.4211621326135764E-2</v>
      </c>
      <c r="F181" s="8">
        <f t="shared" ca="1" si="193"/>
        <v>4.8845159434581432E-2</v>
      </c>
      <c r="G181" s="8">
        <f t="shared" ca="1" si="193"/>
        <v>5.421888730038673E-2</v>
      </c>
      <c r="H181" s="8">
        <f t="shared" ca="1" si="193"/>
        <v>5.7562740271541249E-2</v>
      </c>
      <c r="I181" s="8">
        <f t="shared" ca="1" si="193"/>
        <v>5.3874684316714785E-2</v>
      </c>
      <c r="J181" s="8">
        <f t="shared" ca="1" si="193"/>
        <v>6.1365361443776217E-2</v>
      </c>
      <c r="K181" s="8">
        <f t="shared" ca="1" si="193"/>
        <v>5.6341729242941625E-2</v>
      </c>
      <c r="L181" s="8">
        <f t="shared" ca="1" si="193"/>
        <v>5.2069899650684474E-2</v>
      </c>
      <c r="M181" s="8">
        <f t="shared" ca="1" si="193"/>
        <v>4.6365256069917253E-2</v>
      </c>
      <c r="N181" s="8">
        <f t="shared" ca="1" si="193"/>
        <v>4.6963985541172329E-2</v>
      </c>
      <c r="O181" s="8">
        <f t="shared" ca="1" si="193"/>
        <v>4.7815340229431985E-2</v>
      </c>
    </row>
    <row r="182" spans="2:15">
      <c r="B182" s="3">
        <v>161</v>
      </c>
      <c r="C182" s="8">
        <f t="shared" si="161"/>
        <v>0.05</v>
      </c>
      <c r="D182" s="8">
        <f t="shared" ref="D182:O182" ca="1" si="194">C182+k*(theta-C182)*dt+vol*SQRT(dt)*_xlfn.NORM.S.INV(RAND())</f>
        <v>4.1602788183989721E-2</v>
      </c>
      <c r="E182" s="8">
        <f t="shared" ca="1" si="194"/>
        <v>3.0999678706167128E-2</v>
      </c>
      <c r="F182" s="8">
        <f t="shared" ca="1" si="194"/>
        <v>3.2430769503821281E-2</v>
      </c>
      <c r="G182" s="8">
        <f t="shared" ca="1" si="194"/>
        <v>3.4456734960744528E-2</v>
      </c>
      <c r="H182" s="8">
        <f t="shared" ca="1" si="194"/>
        <v>3.3670749414926433E-2</v>
      </c>
      <c r="I182" s="8">
        <f t="shared" ca="1" si="194"/>
        <v>3.6822761097598251E-2</v>
      </c>
      <c r="J182" s="8">
        <f t="shared" ca="1" si="194"/>
        <v>3.3972921115245004E-2</v>
      </c>
      <c r="K182" s="8">
        <f t="shared" ca="1" si="194"/>
        <v>3.5638907619005469E-2</v>
      </c>
      <c r="L182" s="8">
        <f t="shared" ca="1" si="194"/>
        <v>4.2660996024060989E-2</v>
      </c>
      <c r="M182" s="8">
        <f t="shared" ca="1" si="194"/>
        <v>5.1946001177520983E-2</v>
      </c>
      <c r="N182" s="8">
        <f t="shared" ca="1" si="194"/>
        <v>4.8383183752842979E-2</v>
      </c>
      <c r="O182" s="8">
        <f t="shared" ca="1" si="194"/>
        <v>5.2421220113673089E-2</v>
      </c>
    </row>
    <row r="183" spans="2:15">
      <c r="B183" s="3">
        <v>162</v>
      </c>
      <c r="C183" s="8">
        <f t="shared" si="161"/>
        <v>0.05</v>
      </c>
      <c r="D183" s="8">
        <f t="shared" ref="D183:O183" ca="1" si="195">C183+k*(theta-C183)*dt+vol*SQRT(dt)*_xlfn.NORM.S.INV(RAND())</f>
        <v>5.3304912561845094E-2</v>
      </c>
      <c r="E183" s="8">
        <f t="shared" ca="1" si="195"/>
        <v>5.263880684928475E-2</v>
      </c>
      <c r="F183" s="8">
        <f t="shared" ca="1" si="195"/>
        <v>6.0881965583493347E-2</v>
      </c>
      <c r="G183" s="8">
        <f t="shared" ca="1" si="195"/>
        <v>7.0701748988079932E-2</v>
      </c>
      <c r="H183" s="8">
        <f t="shared" ca="1" si="195"/>
        <v>7.3005798391915663E-2</v>
      </c>
      <c r="I183" s="8">
        <f t="shared" ca="1" si="195"/>
        <v>7.2605117016992946E-2</v>
      </c>
      <c r="J183" s="8">
        <f t="shared" ca="1" si="195"/>
        <v>6.890527280509165E-2</v>
      </c>
      <c r="K183" s="8">
        <f t="shared" ca="1" si="195"/>
        <v>6.0720851337122642E-2</v>
      </c>
      <c r="L183" s="8">
        <f t="shared" ca="1" si="195"/>
        <v>6.0630379846664938E-2</v>
      </c>
      <c r="M183" s="8">
        <f t="shared" ca="1" si="195"/>
        <v>7.1459307366849398E-2</v>
      </c>
      <c r="N183" s="8">
        <f t="shared" ca="1" si="195"/>
        <v>6.6921952952081615E-2</v>
      </c>
      <c r="O183" s="8">
        <f t="shared" ca="1" si="195"/>
        <v>7.0873931319570149E-2</v>
      </c>
    </row>
    <row r="184" spans="2:15">
      <c r="B184" s="3">
        <v>163</v>
      </c>
      <c r="C184" s="8">
        <f t="shared" si="161"/>
        <v>0.05</v>
      </c>
      <c r="D184" s="8">
        <f t="shared" ref="D184:O184" ca="1" si="196">C184+k*(theta-C184)*dt+vol*SQRT(dt)*_xlfn.NORM.S.INV(RAND())</f>
        <v>4.94500903681757E-2</v>
      </c>
      <c r="E184" s="8">
        <f t="shared" ca="1" si="196"/>
        <v>5.7886697918675664E-2</v>
      </c>
      <c r="F184" s="8">
        <f t="shared" ca="1" si="196"/>
        <v>6.3387154553658287E-2</v>
      </c>
      <c r="G184" s="8">
        <f t="shared" ca="1" si="196"/>
        <v>5.8932454632564121E-2</v>
      </c>
      <c r="H184" s="8">
        <f t="shared" ca="1" si="196"/>
        <v>5.8606637952273694E-2</v>
      </c>
      <c r="I184" s="8">
        <f t="shared" ca="1" si="196"/>
        <v>4.9557324953717986E-2</v>
      </c>
      <c r="J184" s="8">
        <f t="shared" ca="1" si="196"/>
        <v>5.0668221748410118E-2</v>
      </c>
      <c r="K184" s="8">
        <f t="shared" ca="1" si="196"/>
        <v>5.7502919617104881E-2</v>
      </c>
      <c r="L184" s="8">
        <f t="shared" ca="1" si="196"/>
        <v>4.9121162563942375E-2</v>
      </c>
      <c r="M184" s="8">
        <f t="shared" ca="1" si="196"/>
        <v>5.4615834751590125E-2</v>
      </c>
      <c r="N184" s="8">
        <f t="shared" ca="1" si="196"/>
        <v>4.8852652713736136E-2</v>
      </c>
      <c r="O184" s="8">
        <f t="shared" ca="1" si="196"/>
        <v>5.2163940141781016E-2</v>
      </c>
    </row>
    <row r="185" spans="2:15">
      <c r="B185" s="3">
        <v>164</v>
      </c>
      <c r="C185" s="8">
        <f t="shared" si="161"/>
        <v>0.05</v>
      </c>
      <c r="D185" s="8">
        <f t="shared" ref="D185:O185" ca="1" si="197">C185+k*(theta-C185)*dt+vol*SQRT(dt)*_xlfn.NORM.S.INV(RAND())</f>
        <v>4.9788235709969063E-2</v>
      </c>
      <c r="E185" s="8">
        <f t="shared" ca="1" si="197"/>
        <v>4.7662393093471943E-2</v>
      </c>
      <c r="F185" s="8">
        <f t="shared" ca="1" si="197"/>
        <v>5.5264204971813724E-2</v>
      </c>
      <c r="G185" s="8">
        <f t="shared" ca="1" si="197"/>
        <v>5.7845715883787355E-2</v>
      </c>
      <c r="H185" s="8">
        <f t="shared" ca="1" si="197"/>
        <v>5.57938087815113E-2</v>
      </c>
      <c r="I185" s="8">
        <f t="shared" ca="1" si="197"/>
        <v>6.6003669906057258E-2</v>
      </c>
      <c r="J185" s="8">
        <f t="shared" ca="1" si="197"/>
        <v>7.2674240149098027E-2</v>
      </c>
      <c r="K185" s="8">
        <f t="shared" ca="1" si="197"/>
        <v>8.1726203262898048E-2</v>
      </c>
      <c r="L185" s="8">
        <f t="shared" ca="1" si="197"/>
        <v>8.7087577333740604E-2</v>
      </c>
      <c r="M185" s="8">
        <f t="shared" ca="1" si="197"/>
        <v>7.6890638580403209E-2</v>
      </c>
      <c r="N185" s="8">
        <f t="shared" ca="1" si="197"/>
        <v>8.2026301586145545E-2</v>
      </c>
      <c r="O185" s="8">
        <f t="shared" ca="1" si="197"/>
        <v>7.8303233333980246E-2</v>
      </c>
    </row>
    <row r="186" spans="2:15">
      <c r="B186" s="3">
        <v>165</v>
      </c>
      <c r="C186" s="8">
        <f t="shared" si="161"/>
        <v>0.05</v>
      </c>
      <c r="D186" s="8">
        <f t="shared" ref="D186:O186" ca="1" si="198">C186+k*(theta-C186)*dt+vol*SQRT(dt)*_xlfn.NORM.S.INV(RAND())</f>
        <v>5.1119398487714469E-2</v>
      </c>
      <c r="E186" s="8">
        <f t="shared" ca="1" si="198"/>
        <v>4.7028917215882843E-2</v>
      </c>
      <c r="F186" s="8">
        <f t="shared" ca="1" si="198"/>
        <v>5.144196058029997E-2</v>
      </c>
      <c r="G186" s="8">
        <f t="shared" ca="1" si="198"/>
        <v>6.1403776006888636E-2</v>
      </c>
      <c r="H186" s="8">
        <f t="shared" ca="1" si="198"/>
        <v>5.5228771334132974E-2</v>
      </c>
      <c r="I186" s="8">
        <f t="shared" ca="1" si="198"/>
        <v>6.5338040003159029E-2</v>
      </c>
      <c r="J186" s="8">
        <f t="shared" ca="1" si="198"/>
        <v>6.0955610015139626E-2</v>
      </c>
      <c r="K186" s="8">
        <f t="shared" ca="1" si="198"/>
        <v>6.3103896653262159E-2</v>
      </c>
      <c r="L186" s="8">
        <f t="shared" ca="1" si="198"/>
        <v>7.2451418058818662E-2</v>
      </c>
      <c r="M186" s="8">
        <f t="shared" ca="1" si="198"/>
        <v>6.1531098311848775E-2</v>
      </c>
      <c r="N186" s="8">
        <f t="shared" ca="1" si="198"/>
        <v>6.5554149258785874E-2</v>
      </c>
      <c r="O186" s="8">
        <f t="shared" ca="1" si="198"/>
        <v>6.2918412717096334E-2</v>
      </c>
    </row>
    <row r="187" spans="2:15">
      <c r="B187" s="3">
        <v>166</v>
      </c>
      <c r="C187" s="8">
        <f t="shared" si="161"/>
        <v>0.05</v>
      </c>
      <c r="D187" s="8">
        <f t="shared" ref="D187:O187" ca="1" si="199">C187+k*(theta-C187)*dt+vol*SQRT(dt)*_xlfn.NORM.S.INV(RAND())</f>
        <v>5.2656659178564422E-2</v>
      </c>
      <c r="E187" s="8">
        <f t="shared" ca="1" si="199"/>
        <v>5.4509287510769708E-2</v>
      </c>
      <c r="F187" s="8">
        <f t="shared" ca="1" si="199"/>
        <v>6.0381096391165713E-2</v>
      </c>
      <c r="G187" s="8">
        <f t="shared" ca="1" si="199"/>
        <v>6.1463417978774415E-2</v>
      </c>
      <c r="H187" s="8">
        <f t="shared" ca="1" si="199"/>
        <v>6.0258329086797062E-2</v>
      </c>
      <c r="I187" s="8">
        <f t="shared" ca="1" si="199"/>
        <v>5.9515067290953863E-2</v>
      </c>
      <c r="J187" s="8">
        <f t="shared" ca="1" si="199"/>
        <v>6.4346562961863155E-2</v>
      </c>
      <c r="K187" s="8">
        <f t="shared" ca="1" si="199"/>
        <v>6.5262686313904791E-2</v>
      </c>
      <c r="L187" s="8">
        <f t="shared" ca="1" si="199"/>
        <v>5.8448577785584745E-2</v>
      </c>
      <c r="M187" s="8">
        <f t="shared" ca="1" si="199"/>
        <v>5.9956754804754257E-2</v>
      </c>
      <c r="N187" s="8">
        <f t="shared" ca="1" si="199"/>
        <v>5.8695146503276188E-2</v>
      </c>
      <c r="O187" s="8">
        <f t="shared" ca="1" si="199"/>
        <v>6.2908818184702897E-2</v>
      </c>
    </row>
    <row r="188" spans="2:15">
      <c r="B188" s="3">
        <v>167</v>
      </c>
      <c r="C188" s="8">
        <f t="shared" si="161"/>
        <v>0.05</v>
      </c>
      <c r="D188" s="8">
        <f t="shared" ref="D188:O188" ca="1" si="200">C188+k*(theta-C188)*dt+vol*SQRT(dt)*_xlfn.NORM.S.INV(RAND())</f>
        <v>4.1404364000029184E-2</v>
      </c>
      <c r="E188" s="8">
        <f t="shared" ca="1" si="200"/>
        <v>4.6241934788953706E-2</v>
      </c>
      <c r="F188" s="8">
        <f t="shared" ca="1" si="200"/>
        <v>5.7161347109500521E-2</v>
      </c>
      <c r="G188" s="8">
        <f t="shared" ca="1" si="200"/>
        <v>5.6012694813292796E-2</v>
      </c>
      <c r="H188" s="8">
        <f t="shared" ca="1" si="200"/>
        <v>6.1147621032314227E-2</v>
      </c>
      <c r="I188" s="8">
        <f t="shared" ca="1" si="200"/>
        <v>7.4397688932222983E-2</v>
      </c>
      <c r="J188" s="8">
        <f t="shared" ca="1" si="200"/>
        <v>7.3930822116203318E-2</v>
      </c>
      <c r="K188" s="8">
        <f t="shared" ca="1" si="200"/>
        <v>7.1297500132756347E-2</v>
      </c>
      <c r="L188" s="8">
        <f t="shared" ca="1" si="200"/>
        <v>5.8881157657508572E-2</v>
      </c>
      <c r="M188" s="8">
        <f t="shared" ca="1" si="200"/>
        <v>5.8482644925816375E-2</v>
      </c>
      <c r="N188" s="8">
        <f t="shared" ca="1" si="200"/>
        <v>4.8887318528584474E-2</v>
      </c>
      <c r="O188" s="8">
        <f t="shared" ca="1" si="200"/>
        <v>4.9426384205003629E-2</v>
      </c>
    </row>
    <row r="189" spans="2:15">
      <c r="B189" s="3">
        <v>168</v>
      </c>
      <c r="C189" s="8">
        <f t="shared" si="161"/>
        <v>0.05</v>
      </c>
      <c r="D189" s="8">
        <f t="shared" ref="D189:O189" ca="1" si="201">C189+k*(theta-C189)*dt+vol*SQRT(dt)*_xlfn.NORM.S.INV(RAND())</f>
        <v>5.6848241420042717E-2</v>
      </c>
      <c r="E189" s="8">
        <f t="shared" ca="1" si="201"/>
        <v>5.1573012932401234E-2</v>
      </c>
      <c r="F189" s="8">
        <f t="shared" ca="1" si="201"/>
        <v>5.7896570552775223E-2</v>
      </c>
      <c r="G189" s="8">
        <f t="shared" ca="1" si="201"/>
        <v>5.0463264036210251E-2</v>
      </c>
      <c r="H189" s="8">
        <f t="shared" ca="1" si="201"/>
        <v>4.835353969437417E-2</v>
      </c>
      <c r="I189" s="8">
        <f t="shared" ca="1" si="201"/>
        <v>5.75092746816111E-2</v>
      </c>
      <c r="J189" s="8">
        <f t="shared" ca="1" si="201"/>
        <v>5.9667388285638764E-2</v>
      </c>
      <c r="K189" s="8">
        <f t="shared" ca="1" si="201"/>
        <v>5.1242443909955797E-2</v>
      </c>
      <c r="L189" s="8">
        <f t="shared" ca="1" si="201"/>
        <v>6.3861936422432014E-2</v>
      </c>
      <c r="M189" s="8">
        <f t="shared" ca="1" si="201"/>
        <v>6.1547075582139572E-2</v>
      </c>
      <c r="N189" s="8">
        <f t="shared" ca="1" si="201"/>
        <v>6.2275800179809174E-2</v>
      </c>
      <c r="O189" s="8">
        <f t="shared" ca="1" si="201"/>
        <v>5.8847473697046633E-2</v>
      </c>
    </row>
    <row r="190" spans="2:15">
      <c r="B190" s="3">
        <v>169</v>
      </c>
      <c r="C190" s="8">
        <f t="shared" si="161"/>
        <v>0.05</v>
      </c>
      <c r="D190" s="8">
        <f t="shared" ref="D190:O190" ca="1" si="202">C190+k*(theta-C190)*dt+vol*SQRT(dt)*_xlfn.NORM.S.INV(RAND())</f>
        <v>4.590375375152024E-2</v>
      </c>
      <c r="E190" s="8">
        <f t="shared" ca="1" si="202"/>
        <v>4.3508583060410534E-2</v>
      </c>
      <c r="F190" s="8">
        <f t="shared" ca="1" si="202"/>
        <v>4.6304622752025591E-2</v>
      </c>
      <c r="G190" s="8">
        <f t="shared" ca="1" si="202"/>
        <v>5.3520488629128275E-2</v>
      </c>
      <c r="H190" s="8">
        <f t="shared" ca="1" si="202"/>
        <v>6.276194127346546E-2</v>
      </c>
      <c r="I190" s="8">
        <f t="shared" ca="1" si="202"/>
        <v>6.6439706612240995E-2</v>
      </c>
      <c r="J190" s="8">
        <f t="shared" ca="1" si="202"/>
        <v>6.5307098130967675E-2</v>
      </c>
      <c r="K190" s="8">
        <f t="shared" ca="1" si="202"/>
        <v>6.5924332239998051E-2</v>
      </c>
      <c r="L190" s="8">
        <f t="shared" ca="1" si="202"/>
        <v>5.8202699685184552E-2</v>
      </c>
      <c r="M190" s="8">
        <f t="shared" ca="1" si="202"/>
        <v>6.2753635863031496E-2</v>
      </c>
      <c r="N190" s="8">
        <f t="shared" ca="1" si="202"/>
        <v>5.6904041197288757E-2</v>
      </c>
      <c r="O190" s="8">
        <f t="shared" ca="1" si="202"/>
        <v>4.9131240547919508E-2</v>
      </c>
    </row>
    <row r="191" spans="2:15">
      <c r="B191" s="3">
        <v>170</v>
      </c>
      <c r="C191" s="8">
        <f t="shared" si="161"/>
        <v>0.05</v>
      </c>
      <c r="D191" s="8">
        <f t="shared" ref="D191:O191" ca="1" si="203">C191+k*(theta-C191)*dt+vol*SQRT(dt)*_xlfn.NORM.S.INV(RAND())</f>
        <v>5.4562662407365924E-2</v>
      </c>
      <c r="E191" s="8">
        <f t="shared" ca="1" si="203"/>
        <v>5.5887784613657003E-2</v>
      </c>
      <c r="F191" s="8">
        <f t="shared" ca="1" si="203"/>
        <v>5.7160126729985508E-2</v>
      </c>
      <c r="G191" s="8">
        <f t="shared" ca="1" si="203"/>
        <v>6.3635569739382683E-2</v>
      </c>
      <c r="H191" s="8">
        <f t="shared" ca="1" si="203"/>
        <v>6.7308304580956241E-2</v>
      </c>
      <c r="I191" s="8">
        <f t="shared" ca="1" si="203"/>
        <v>6.0956361953030391E-2</v>
      </c>
      <c r="J191" s="8">
        <f t="shared" ca="1" si="203"/>
        <v>6.5182739368295273E-2</v>
      </c>
      <c r="K191" s="8">
        <f t="shared" ca="1" si="203"/>
        <v>6.6955490628434033E-2</v>
      </c>
      <c r="L191" s="8">
        <f t="shared" ca="1" si="203"/>
        <v>6.6272966234866518E-2</v>
      </c>
      <c r="M191" s="8">
        <f t="shared" ca="1" si="203"/>
        <v>6.8139789067300685E-2</v>
      </c>
      <c r="N191" s="8">
        <f t="shared" ca="1" si="203"/>
        <v>7.2579124691406066E-2</v>
      </c>
      <c r="O191" s="8">
        <f t="shared" ca="1" si="203"/>
        <v>6.6910679483602367E-2</v>
      </c>
    </row>
    <row r="192" spans="2:15">
      <c r="B192" s="3">
        <v>171</v>
      </c>
      <c r="C192" s="8">
        <f t="shared" si="161"/>
        <v>0.05</v>
      </c>
      <c r="D192" s="8">
        <f t="shared" ref="D192:O192" ca="1" si="204">C192+k*(theta-C192)*dt+vol*SQRT(dt)*_xlfn.NORM.S.INV(RAND())</f>
        <v>5.8569259379996672E-2</v>
      </c>
      <c r="E192" s="8">
        <f t="shared" ca="1" si="204"/>
        <v>5.8564410435475313E-2</v>
      </c>
      <c r="F192" s="8">
        <f t="shared" ca="1" si="204"/>
        <v>5.619178000576406E-2</v>
      </c>
      <c r="G192" s="8">
        <f t="shared" ca="1" si="204"/>
        <v>5.9146436388784626E-2</v>
      </c>
      <c r="H192" s="8">
        <f t="shared" ca="1" si="204"/>
        <v>5.0658726986700389E-2</v>
      </c>
      <c r="I192" s="8">
        <f t="shared" ca="1" si="204"/>
        <v>4.9217901210469192E-2</v>
      </c>
      <c r="J192" s="8">
        <f t="shared" ca="1" si="204"/>
        <v>4.800260355322624E-2</v>
      </c>
      <c r="K192" s="8">
        <f t="shared" ca="1" si="204"/>
        <v>5.2246305666907147E-2</v>
      </c>
      <c r="L192" s="8">
        <f t="shared" ca="1" si="204"/>
        <v>5.7961838024048334E-2</v>
      </c>
      <c r="M192" s="8">
        <f t="shared" ca="1" si="204"/>
        <v>5.0692517731051774E-2</v>
      </c>
      <c r="N192" s="8">
        <f t="shared" ca="1" si="204"/>
        <v>5.5005437943677821E-2</v>
      </c>
      <c r="O192" s="8">
        <f t="shared" ca="1" si="204"/>
        <v>5.4283283057593834E-2</v>
      </c>
    </row>
    <row r="193" spans="2:15">
      <c r="B193" s="3">
        <v>172</v>
      </c>
      <c r="C193" s="8">
        <f t="shared" si="161"/>
        <v>0.05</v>
      </c>
      <c r="D193" s="8">
        <f t="shared" ref="D193:O193" ca="1" si="205">C193+k*(theta-C193)*dt+vol*SQRT(dt)*_xlfn.NORM.S.INV(RAND())</f>
        <v>4.4737992560642488E-2</v>
      </c>
      <c r="E193" s="8">
        <f t="shared" ca="1" si="205"/>
        <v>4.3371061221535993E-2</v>
      </c>
      <c r="F193" s="8">
        <f t="shared" ca="1" si="205"/>
        <v>4.7675796311320864E-2</v>
      </c>
      <c r="G193" s="8">
        <f t="shared" ca="1" si="205"/>
        <v>4.7057577783668064E-2</v>
      </c>
      <c r="H193" s="8">
        <f t="shared" ca="1" si="205"/>
        <v>5.1141575770785548E-2</v>
      </c>
      <c r="I193" s="8">
        <f t="shared" ca="1" si="205"/>
        <v>5.9300675973872403E-2</v>
      </c>
      <c r="J193" s="8">
        <f t="shared" ca="1" si="205"/>
        <v>5.149426289302883E-2</v>
      </c>
      <c r="K193" s="8">
        <f t="shared" ca="1" si="205"/>
        <v>6.0940817074670799E-2</v>
      </c>
      <c r="L193" s="8">
        <f t="shared" ca="1" si="205"/>
        <v>6.2574945147445965E-2</v>
      </c>
      <c r="M193" s="8">
        <f t="shared" ca="1" si="205"/>
        <v>6.4792101755302228E-2</v>
      </c>
      <c r="N193" s="8">
        <f t="shared" ca="1" si="205"/>
        <v>6.3762609005478976E-2</v>
      </c>
      <c r="O193" s="8">
        <f t="shared" ca="1" si="205"/>
        <v>6.4652866241833598E-2</v>
      </c>
    </row>
    <row r="194" spans="2:15">
      <c r="B194" s="3">
        <v>173</v>
      </c>
      <c r="C194" s="8">
        <f t="shared" si="161"/>
        <v>0.05</v>
      </c>
      <c r="D194" s="8">
        <f t="shared" ref="D194:O194" ca="1" si="206">C194+k*(theta-C194)*dt+vol*SQRT(dt)*_xlfn.NORM.S.INV(RAND())</f>
        <v>4.6336245663549061E-2</v>
      </c>
      <c r="E194" s="8">
        <f t="shared" ca="1" si="206"/>
        <v>5.464897349461266E-2</v>
      </c>
      <c r="F194" s="8">
        <f t="shared" ca="1" si="206"/>
        <v>6.2109377321291175E-2</v>
      </c>
      <c r="G194" s="8">
        <f t="shared" ca="1" si="206"/>
        <v>6.3075495327853573E-2</v>
      </c>
      <c r="H194" s="8">
        <f t="shared" ca="1" si="206"/>
        <v>6.6429257453318846E-2</v>
      </c>
      <c r="I194" s="8">
        <f t="shared" ca="1" si="206"/>
        <v>8.1542434333959996E-2</v>
      </c>
      <c r="J194" s="8">
        <f t="shared" ca="1" si="206"/>
        <v>7.8524811294211544E-2</v>
      </c>
      <c r="K194" s="8">
        <f t="shared" ca="1" si="206"/>
        <v>6.6385572711459284E-2</v>
      </c>
      <c r="L194" s="8">
        <f t="shared" ca="1" si="206"/>
        <v>6.3960410011734581E-2</v>
      </c>
      <c r="M194" s="8">
        <f t="shared" ca="1" si="206"/>
        <v>6.4438485073108148E-2</v>
      </c>
      <c r="N194" s="8">
        <f t="shared" ca="1" si="206"/>
        <v>6.8874293954411595E-2</v>
      </c>
      <c r="O194" s="8">
        <f t="shared" ca="1" si="206"/>
        <v>6.4062458245000981E-2</v>
      </c>
    </row>
    <row r="195" spans="2:15">
      <c r="B195" s="3">
        <v>174</v>
      </c>
      <c r="C195" s="8">
        <f t="shared" si="161"/>
        <v>0.05</v>
      </c>
      <c r="D195" s="8">
        <f t="shared" ref="D195:O195" ca="1" si="207">C195+k*(theta-C195)*dt+vol*SQRT(dt)*_xlfn.NORM.S.INV(RAND())</f>
        <v>5.7418836957536828E-2</v>
      </c>
      <c r="E195" s="8">
        <f t="shared" ca="1" si="207"/>
        <v>6.868808557014941E-2</v>
      </c>
      <c r="F195" s="8">
        <f t="shared" ca="1" si="207"/>
        <v>6.2620739101260828E-2</v>
      </c>
      <c r="G195" s="8">
        <f t="shared" ca="1" si="207"/>
        <v>5.6231414736756719E-2</v>
      </c>
      <c r="H195" s="8">
        <f t="shared" ca="1" si="207"/>
        <v>5.2736077421078484E-2</v>
      </c>
      <c r="I195" s="8">
        <f t="shared" ca="1" si="207"/>
        <v>5.0788835087974257E-2</v>
      </c>
      <c r="J195" s="8">
        <f t="shared" ca="1" si="207"/>
        <v>5.4344158407214085E-2</v>
      </c>
      <c r="K195" s="8">
        <f t="shared" ca="1" si="207"/>
        <v>4.7122282345464526E-2</v>
      </c>
      <c r="L195" s="8">
        <f t="shared" ca="1" si="207"/>
        <v>5.3866396233961215E-2</v>
      </c>
      <c r="M195" s="8">
        <f t="shared" ca="1" si="207"/>
        <v>6.1545643369961378E-2</v>
      </c>
      <c r="N195" s="8">
        <f t="shared" ca="1" si="207"/>
        <v>5.7919475926600801E-2</v>
      </c>
      <c r="O195" s="8">
        <f t="shared" ca="1" si="207"/>
        <v>6.5752030319733437E-2</v>
      </c>
    </row>
    <row r="196" spans="2:15">
      <c r="B196" s="3">
        <v>175</v>
      </c>
      <c r="C196" s="8">
        <f t="shared" si="161"/>
        <v>0.05</v>
      </c>
      <c r="D196" s="8">
        <f t="shared" ref="D196:O196" ca="1" si="208">C196+k*(theta-C196)*dt+vol*SQRT(dt)*_xlfn.NORM.S.INV(RAND())</f>
        <v>5.7536886110687552E-2</v>
      </c>
      <c r="E196" s="8">
        <f t="shared" ca="1" si="208"/>
        <v>6.3536114411222339E-2</v>
      </c>
      <c r="F196" s="8">
        <f t="shared" ca="1" si="208"/>
        <v>6.1173730115076E-2</v>
      </c>
      <c r="G196" s="8">
        <f t="shared" ca="1" si="208"/>
        <v>5.9722965256287897E-2</v>
      </c>
      <c r="H196" s="8">
        <f t="shared" ca="1" si="208"/>
        <v>7.1430709894180586E-2</v>
      </c>
      <c r="I196" s="8">
        <f t="shared" ca="1" si="208"/>
        <v>7.7601370508593531E-2</v>
      </c>
      <c r="J196" s="8">
        <f t="shared" ca="1" si="208"/>
        <v>8.1054048707542903E-2</v>
      </c>
      <c r="K196" s="8">
        <f t="shared" ca="1" si="208"/>
        <v>8.3466342575470115E-2</v>
      </c>
      <c r="L196" s="8">
        <f t="shared" ca="1" si="208"/>
        <v>8.2271444330674862E-2</v>
      </c>
      <c r="M196" s="8">
        <f t="shared" ca="1" si="208"/>
        <v>8.1869180503404873E-2</v>
      </c>
      <c r="N196" s="8">
        <f t="shared" ca="1" si="208"/>
        <v>7.8463785283009249E-2</v>
      </c>
      <c r="O196" s="8">
        <f t="shared" ca="1" si="208"/>
        <v>8.08218856089397E-2</v>
      </c>
    </row>
    <row r="197" spans="2:15">
      <c r="B197" s="3">
        <v>176</v>
      </c>
      <c r="C197" s="8">
        <f t="shared" si="161"/>
        <v>0.05</v>
      </c>
      <c r="D197" s="8">
        <f t="shared" ref="D197:O197" ca="1" si="209">C197+k*(theta-C197)*dt+vol*SQRT(dt)*_xlfn.NORM.S.INV(RAND())</f>
        <v>5.3429726708016198E-2</v>
      </c>
      <c r="E197" s="8">
        <f t="shared" ca="1" si="209"/>
        <v>5.7939857417502044E-2</v>
      </c>
      <c r="F197" s="8">
        <f t="shared" ca="1" si="209"/>
        <v>5.1442884020099777E-2</v>
      </c>
      <c r="G197" s="8">
        <f t="shared" ca="1" si="209"/>
        <v>5.6312641561267647E-2</v>
      </c>
      <c r="H197" s="8">
        <f t="shared" ca="1" si="209"/>
        <v>4.924144837907371E-2</v>
      </c>
      <c r="I197" s="8">
        <f t="shared" ca="1" si="209"/>
        <v>5.6036941385883304E-2</v>
      </c>
      <c r="J197" s="8">
        <f t="shared" ca="1" si="209"/>
        <v>5.8245909202829502E-2</v>
      </c>
      <c r="K197" s="8">
        <f t="shared" ca="1" si="209"/>
        <v>5.9447416635601144E-2</v>
      </c>
      <c r="L197" s="8">
        <f t="shared" ca="1" si="209"/>
        <v>5.654680495674097E-2</v>
      </c>
      <c r="M197" s="8">
        <f t="shared" ca="1" si="209"/>
        <v>5.8732371747637832E-2</v>
      </c>
      <c r="N197" s="8">
        <f t="shared" ca="1" si="209"/>
        <v>5.682270912484113E-2</v>
      </c>
      <c r="O197" s="8">
        <f t="shared" ca="1" si="209"/>
        <v>6.1526918727086148E-2</v>
      </c>
    </row>
    <row r="198" spans="2:15">
      <c r="B198" s="3">
        <v>177</v>
      </c>
      <c r="C198" s="8">
        <f t="shared" si="161"/>
        <v>0.05</v>
      </c>
      <c r="D198" s="8">
        <f t="shared" ref="D198:O198" ca="1" si="210">C198+k*(theta-C198)*dt+vol*SQRT(dt)*_xlfn.NORM.S.INV(RAND())</f>
        <v>4.844372043725062E-2</v>
      </c>
      <c r="E198" s="8">
        <f t="shared" ca="1" si="210"/>
        <v>4.1887889010111215E-2</v>
      </c>
      <c r="F198" s="8">
        <f t="shared" ca="1" si="210"/>
        <v>4.0456574397413195E-2</v>
      </c>
      <c r="G198" s="8">
        <f t="shared" ca="1" si="210"/>
        <v>4.4617259183938066E-2</v>
      </c>
      <c r="H198" s="8">
        <f t="shared" ca="1" si="210"/>
        <v>5.8255395316920693E-2</v>
      </c>
      <c r="I198" s="8">
        <f t="shared" ca="1" si="210"/>
        <v>5.5416058053360029E-2</v>
      </c>
      <c r="J198" s="8">
        <f t="shared" ca="1" si="210"/>
        <v>6.0630602091054572E-2</v>
      </c>
      <c r="K198" s="8">
        <f t="shared" ca="1" si="210"/>
        <v>6.8661726368520554E-2</v>
      </c>
      <c r="L198" s="8">
        <f t="shared" ca="1" si="210"/>
        <v>6.1486511473409632E-2</v>
      </c>
      <c r="M198" s="8">
        <f t="shared" ca="1" si="210"/>
        <v>6.9215920149059709E-2</v>
      </c>
      <c r="N198" s="8">
        <f t="shared" ca="1" si="210"/>
        <v>8.163260136934955E-2</v>
      </c>
      <c r="O198" s="8">
        <f t="shared" ca="1" si="210"/>
        <v>8.8829473087566668E-2</v>
      </c>
    </row>
    <row r="199" spans="2:15">
      <c r="B199" s="3">
        <v>178</v>
      </c>
      <c r="C199" s="8">
        <f t="shared" si="161"/>
        <v>0.05</v>
      </c>
      <c r="D199" s="8">
        <f t="shared" ref="D199:O199" ca="1" si="211">C199+k*(theta-C199)*dt+vol*SQRT(dt)*_xlfn.NORM.S.INV(RAND())</f>
        <v>4.9528840303827204E-2</v>
      </c>
      <c r="E199" s="8">
        <f t="shared" ca="1" si="211"/>
        <v>5.7823772979058594E-2</v>
      </c>
      <c r="F199" s="8">
        <f t="shared" ca="1" si="211"/>
        <v>6.0236745775086954E-2</v>
      </c>
      <c r="G199" s="8">
        <f t="shared" ca="1" si="211"/>
        <v>5.6231056706777791E-2</v>
      </c>
      <c r="H199" s="8">
        <f t="shared" ca="1" si="211"/>
        <v>6.3421586676926447E-2</v>
      </c>
      <c r="I199" s="8">
        <f t="shared" ca="1" si="211"/>
        <v>6.670367103570117E-2</v>
      </c>
      <c r="J199" s="8">
        <f t="shared" ca="1" si="211"/>
        <v>7.2094891450259116E-2</v>
      </c>
      <c r="K199" s="8">
        <f t="shared" ca="1" si="211"/>
        <v>7.4423311760120556E-2</v>
      </c>
      <c r="L199" s="8">
        <f t="shared" ca="1" si="211"/>
        <v>7.3363550246954068E-2</v>
      </c>
      <c r="M199" s="8">
        <f t="shared" ca="1" si="211"/>
        <v>8.2277053654346302E-2</v>
      </c>
      <c r="N199" s="8">
        <f t="shared" ca="1" si="211"/>
        <v>9.1483334741580977E-2</v>
      </c>
      <c r="O199" s="8">
        <f t="shared" ca="1" si="211"/>
        <v>9.0725071908996688E-2</v>
      </c>
    </row>
    <row r="200" spans="2:15">
      <c r="B200" s="3">
        <v>179</v>
      </c>
      <c r="C200" s="8">
        <f t="shared" si="161"/>
        <v>0.05</v>
      </c>
      <c r="D200" s="8">
        <f t="shared" ref="D200:O200" ca="1" si="212">C200+k*(theta-C200)*dt+vol*SQRT(dt)*_xlfn.NORM.S.INV(RAND())</f>
        <v>4.797008814168794E-2</v>
      </c>
      <c r="E200" s="8">
        <f t="shared" ca="1" si="212"/>
        <v>4.7699165294850111E-2</v>
      </c>
      <c r="F200" s="8">
        <f t="shared" ca="1" si="212"/>
        <v>5.3078778964768675E-2</v>
      </c>
      <c r="G200" s="8">
        <f t="shared" ca="1" si="212"/>
        <v>5.2377071998929256E-2</v>
      </c>
      <c r="H200" s="8">
        <f t="shared" ca="1" si="212"/>
        <v>5.5365378317568763E-2</v>
      </c>
      <c r="I200" s="8">
        <f t="shared" ca="1" si="212"/>
        <v>5.6524475983110743E-2</v>
      </c>
      <c r="J200" s="8">
        <f t="shared" ca="1" si="212"/>
        <v>5.7155848517469091E-2</v>
      </c>
      <c r="K200" s="8">
        <f t="shared" ca="1" si="212"/>
        <v>6.1616122525928428E-2</v>
      </c>
      <c r="L200" s="8">
        <f t="shared" ca="1" si="212"/>
        <v>7.1682467081517098E-2</v>
      </c>
      <c r="M200" s="8">
        <f t="shared" ca="1" si="212"/>
        <v>7.4178270391446213E-2</v>
      </c>
      <c r="N200" s="8">
        <f t="shared" ca="1" si="212"/>
        <v>7.1073640628722054E-2</v>
      </c>
      <c r="O200" s="8">
        <f t="shared" ca="1" si="212"/>
        <v>7.3426492650232059E-2</v>
      </c>
    </row>
    <row r="201" spans="2:15">
      <c r="B201" s="3">
        <v>180</v>
      </c>
      <c r="C201" s="8">
        <f t="shared" si="161"/>
        <v>0.05</v>
      </c>
      <c r="D201" s="8">
        <f t="shared" ref="D201:O201" ca="1" si="213">C201+k*(theta-C201)*dt+vol*SQRT(dt)*_xlfn.NORM.S.INV(RAND())</f>
        <v>4.2941944548862743E-2</v>
      </c>
      <c r="E201" s="8">
        <f t="shared" ca="1" si="213"/>
        <v>4.3020191477255533E-2</v>
      </c>
      <c r="F201" s="8">
        <f t="shared" ca="1" si="213"/>
        <v>4.1919700079153771E-2</v>
      </c>
      <c r="G201" s="8">
        <f t="shared" ca="1" si="213"/>
        <v>4.2007638407894621E-2</v>
      </c>
      <c r="H201" s="8">
        <f t="shared" ca="1" si="213"/>
        <v>4.6214786533588625E-2</v>
      </c>
      <c r="I201" s="8">
        <f t="shared" ca="1" si="213"/>
        <v>4.7084761041442248E-2</v>
      </c>
      <c r="J201" s="8">
        <f t="shared" ca="1" si="213"/>
        <v>4.2411651127486738E-2</v>
      </c>
      <c r="K201" s="8">
        <f t="shared" ca="1" si="213"/>
        <v>3.7821806597924369E-2</v>
      </c>
      <c r="L201" s="8">
        <f t="shared" ca="1" si="213"/>
        <v>4.2026591561166921E-2</v>
      </c>
      <c r="M201" s="8">
        <f t="shared" ca="1" si="213"/>
        <v>5.2183168337270096E-2</v>
      </c>
      <c r="N201" s="8">
        <f t="shared" ca="1" si="213"/>
        <v>4.9416754125367335E-2</v>
      </c>
      <c r="O201" s="8">
        <f t="shared" ca="1" si="213"/>
        <v>3.6002757387328839E-2</v>
      </c>
    </row>
    <row r="202" spans="2:15">
      <c r="B202" s="3">
        <v>181</v>
      </c>
      <c r="C202" s="8">
        <f t="shared" si="161"/>
        <v>0.05</v>
      </c>
      <c r="D202" s="8">
        <f t="shared" ref="D202:O202" ca="1" si="214">C202+k*(theta-C202)*dt+vol*SQRT(dt)*_xlfn.NORM.S.INV(RAND())</f>
        <v>4.4353165212151657E-2</v>
      </c>
      <c r="E202" s="8">
        <f t="shared" ca="1" si="214"/>
        <v>4.2018130321769979E-2</v>
      </c>
      <c r="F202" s="8">
        <f t="shared" ca="1" si="214"/>
        <v>5.3423208629792475E-2</v>
      </c>
      <c r="G202" s="8">
        <f t="shared" ca="1" si="214"/>
        <v>4.7134621445504864E-2</v>
      </c>
      <c r="H202" s="8">
        <f t="shared" ca="1" si="214"/>
        <v>4.0542738798254763E-2</v>
      </c>
      <c r="I202" s="8">
        <f t="shared" ca="1" si="214"/>
        <v>3.4242159792164675E-2</v>
      </c>
      <c r="J202" s="8">
        <f t="shared" ca="1" si="214"/>
        <v>3.0332981935673676E-2</v>
      </c>
      <c r="K202" s="8">
        <f t="shared" ca="1" si="214"/>
        <v>3.3321024783009419E-2</v>
      </c>
      <c r="L202" s="8">
        <f t="shared" ca="1" si="214"/>
        <v>3.4058012014799702E-2</v>
      </c>
      <c r="M202" s="8">
        <f t="shared" ca="1" si="214"/>
        <v>4.299078513021478E-2</v>
      </c>
      <c r="N202" s="8">
        <f t="shared" ca="1" si="214"/>
        <v>4.6345544075495085E-2</v>
      </c>
      <c r="O202" s="8">
        <f t="shared" ca="1" si="214"/>
        <v>5.7499384508086671E-2</v>
      </c>
    </row>
    <row r="203" spans="2:15">
      <c r="B203" s="3">
        <v>182</v>
      </c>
      <c r="C203" s="8">
        <f t="shared" si="161"/>
        <v>0.05</v>
      </c>
      <c r="D203" s="8">
        <f t="shared" ref="D203:O203" ca="1" si="215">C203+k*(theta-C203)*dt+vol*SQRT(dt)*_xlfn.NORM.S.INV(RAND())</f>
        <v>4.3412026963750933E-2</v>
      </c>
      <c r="E203" s="8">
        <f t="shared" ca="1" si="215"/>
        <v>4.7405342562358517E-2</v>
      </c>
      <c r="F203" s="8">
        <f t="shared" ca="1" si="215"/>
        <v>5.9582732092809773E-2</v>
      </c>
      <c r="G203" s="8">
        <f t="shared" ca="1" si="215"/>
        <v>5.7956974828077538E-2</v>
      </c>
      <c r="H203" s="8">
        <f t="shared" ca="1" si="215"/>
        <v>6.3143836544567802E-2</v>
      </c>
      <c r="I203" s="8">
        <f t="shared" ca="1" si="215"/>
        <v>6.3933570682165708E-2</v>
      </c>
      <c r="J203" s="8">
        <f t="shared" ca="1" si="215"/>
        <v>6.9010584618529866E-2</v>
      </c>
      <c r="K203" s="8">
        <f t="shared" ca="1" si="215"/>
        <v>6.0379861481398144E-2</v>
      </c>
      <c r="L203" s="8">
        <f t="shared" ca="1" si="215"/>
        <v>7.4175019170366424E-2</v>
      </c>
      <c r="M203" s="8">
        <f t="shared" ca="1" si="215"/>
        <v>7.0546034084175993E-2</v>
      </c>
      <c r="N203" s="8">
        <f t="shared" ca="1" si="215"/>
        <v>7.1938675211117117E-2</v>
      </c>
      <c r="O203" s="8">
        <f t="shared" ca="1" si="215"/>
        <v>6.2565693593514618E-2</v>
      </c>
    </row>
    <row r="204" spans="2:15">
      <c r="B204" s="3">
        <v>183</v>
      </c>
      <c r="C204" s="8">
        <f t="shared" si="161"/>
        <v>0.05</v>
      </c>
      <c r="D204" s="8">
        <f t="shared" ref="D204:O204" ca="1" si="216">C204+k*(theta-C204)*dt+vol*SQRT(dt)*_xlfn.NORM.S.INV(RAND())</f>
        <v>4.7236182611063479E-2</v>
      </c>
      <c r="E204" s="8">
        <f t="shared" ca="1" si="216"/>
        <v>5.5954491205817213E-2</v>
      </c>
      <c r="F204" s="8">
        <f t="shared" ca="1" si="216"/>
        <v>5.1600882968898289E-2</v>
      </c>
      <c r="G204" s="8">
        <f t="shared" ca="1" si="216"/>
        <v>5.2244479798940875E-2</v>
      </c>
      <c r="H204" s="8">
        <f t="shared" ca="1" si="216"/>
        <v>5.8376147046932531E-2</v>
      </c>
      <c r="I204" s="8">
        <f t="shared" ca="1" si="216"/>
        <v>5.8120678472593092E-2</v>
      </c>
      <c r="J204" s="8">
        <f t="shared" ca="1" si="216"/>
        <v>5.2214066005344908E-2</v>
      </c>
      <c r="K204" s="8">
        <f t="shared" ca="1" si="216"/>
        <v>6.1072019087010682E-2</v>
      </c>
      <c r="L204" s="8">
        <f t="shared" ca="1" si="216"/>
        <v>5.0910836617008987E-2</v>
      </c>
      <c r="M204" s="8">
        <f t="shared" ca="1" si="216"/>
        <v>5.2600143910237242E-2</v>
      </c>
      <c r="N204" s="8">
        <f t="shared" ca="1" si="216"/>
        <v>4.9129862672482941E-2</v>
      </c>
      <c r="O204" s="8">
        <f t="shared" ca="1" si="216"/>
        <v>4.7900470590493426E-2</v>
      </c>
    </row>
    <row r="205" spans="2:15">
      <c r="B205" s="3">
        <v>184</v>
      </c>
      <c r="C205" s="8">
        <f t="shared" si="161"/>
        <v>0.05</v>
      </c>
      <c r="D205" s="8">
        <f t="shared" ref="D205:O205" ca="1" si="217">C205+k*(theta-C205)*dt+vol*SQRT(dt)*_xlfn.NORM.S.INV(RAND())</f>
        <v>5.0325455818276611E-2</v>
      </c>
      <c r="E205" s="8">
        <f t="shared" ca="1" si="217"/>
        <v>5.2232078231713823E-2</v>
      </c>
      <c r="F205" s="8">
        <f t="shared" ca="1" si="217"/>
        <v>5.515391575985875E-2</v>
      </c>
      <c r="G205" s="8">
        <f t="shared" ca="1" si="217"/>
        <v>5.4899450788178629E-2</v>
      </c>
      <c r="H205" s="8">
        <f t="shared" ca="1" si="217"/>
        <v>5.6045660149994625E-2</v>
      </c>
      <c r="I205" s="8">
        <f t="shared" ca="1" si="217"/>
        <v>6.0304590389894136E-2</v>
      </c>
      <c r="J205" s="8">
        <f t="shared" ca="1" si="217"/>
        <v>5.9634718680684123E-2</v>
      </c>
      <c r="K205" s="8">
        <f t="shared" ca="1" si="217"/>
        <v>6.4007995854494723E-2</v>
      </c>
      <c r="L205" s="8">
        <f t="shared" ca="1" si="217"/>
        <v>6.5211579033850123E-2</v>
      </c>
      <c r="M205" s="8">
        <f t="shared" ca="1" si="217"/>
        <v>7.6912107722056894E-2</v>
      </c>
      <c r="N205" s="8">
        <f t="shared" ca="1" si="217"/>
        <v>7.741200532445458E-2</v>
      </c>
      <c r="O205" s="8">
        <f t="shared" ca="1" si="217"/>
        <v>7.9398279572892805E-2</v>
      </c>
    </row>
    <row r="206" spans="2:15">
      <c r="B206" s="3">
        <v>185</v>
      </c>
      <c r="C206" s="8">
        <f t="shared" si="161"/>
        <v>0.05</v>
      </c>
      <c r="D206" s="8">
        <f t="shared" ref="D206:O206" ca="1" si="218">C206+k*(theta-C206)*dt+vol*SQRT(dt)*_xlfn.NORM.S.INV(RAND())</f>
        <v>4.5075307043477723E-2</v>
      </c>
      <c r="E206" s="8">
        <f t="shared" ca="1" si="218"/>
        <v>3.8036099947083103E-2</v>
      </c>
      <c r="F206" s="8">
        <f t="shared" ca="1" si="218"/>
        <v>3.278385363599496E-2</v>
      </c>
      <c r="G206" s="8">
        <f t="shared" ca="1" si="218"/>
        <v>3.0605208911576191E-2</v>
      </c>
      <c r="H206" s="8">
        <f t="shared" ca="1" si="218"/>
        <v>3.6749555002125678E-2</v>
      </c>
      <c r="I206" s="8">
        <f t="shared" ca="1" si="218"/>
        <v>1.9797772641323291E-2</v>
      </c>
      <c r="J206" s="8">
        <f t="shared" ca="1" si="218"/>
        <v>2.0426026559175706E-2</v>
      </c>
      <c r="K206" s="8">
        <f t="shared" ca="1" si="218"/>
        <v>2.7280764432445617E-2</v>
      </c>
      <c r="L206" s="8">
        <f t="shared" ca="1" si="218"/>
        <v>3.6805439851112114E-2</v>
      </c>
      <c r="M206" s="8">
        <f t="shared" ca="1" si="218"/>
        <v>4.184975594528139E-2</v>
      </c>
      <c r="N206" s="8">
        <f t="shared" ca="1" si="218"/>
        <v>4.5829556502091445E-2</v>
      </c>
      <c r="O206" s="8">
        <f t="shared" ca="1" si="218"/>
        <v>5.2411618474960744E-2</v>
      </c>
    </row>
    <row r="207" spans="2:15">
      <c r="B207" s="3">
        <v>186</v>
      </c>
      <c r="C207" s="8">
        <f t="shared" si="161"/>
        <v>0.05</v>
      </c>
      <c r="D207" s="8">
        <f t="shared" ref="D207:O207" ca="1" si="219">C207+k*(theta-C207)*dt+vol*SQRT(dt)*_xlfn.NORM.S.INV(RAND())</f>
        <v>5.6075436453383698E-2</v>
      </c>
      <c r="E207" s="8">
        <f t="shared" ca="1" si="219"/>
        <v>6.7065951431342141E-2</v>
      </c>
      <c r="F207" s="8">
        <f t="shared" ca="1" si="219"/>
        <v>7.2902175733963528E-2</v>
      </c>
      <c r="G207" s="8">
        <f t="shared" ca="1" si="219"/>
        <v>7.2005749438830521E-2</v>
      </c>
      <c r="H207" s="8">
        <f t="shared" ca="1" si="219"/>
        <v>7.1621391823193076E-2</v>
      </c>
      <c r="I207" s="8">
        <f t="shared" ca="1" si="219"/>
        <v>7.4080588133119685E-2</v>
      </c>
      <c r="J207" s="8">
        <f t="shared" ca="1" si="219"/>
        <v>6.8080918846814428E-2</v>
      </c>
      <c r="K207" s="8">
        <f t="shared" ca="1" si="219"/>
        <v>6.892921883770578E-2</v>
      </c>
      <c r="L207" s="8">
        <f t="shared" ca="1" si="219"/>
        <v>6.2398320726947204E-2</v>
      </c>
      <c r="M207" s="8">
        <f t="shared" ca="1" si="219"/>
        <v>6.6596740350964967E-2</v>
      </c>
      <c r="N207" s="8">
        <f t="shared" ca="1" si="219"/>
        <v>5.6069681264617227E-2</v>
      </c>
      <c r="O207" s="8">
        <f t="shared" ca="1" si="219"/>
        <v>5.645350604671124E-2</v>
      </c>
    </row>
    <row r="208" spans="2:15">
      <c r="B208" s="3">
        <v>187</v>
      </c>
      <c r="C208" s="8">
        <f t="shared" si="161"/>
        <v>0.05</v>
      </c>
      <c r="D208" s="8">
        <f t="shared" ref="D208:O208" ca="1" si="220">C208+k*(theta-C208)*dt+vol*SQRT(dt)*_xlfn.NORM.S.INV(RAND())</f>
        <v>4.8970444799275509E-2</v>
      </c>
      <c r="E208" s="8">
        <f t="shared" ca="1" si="220"/>
        <v>4.3754326786584287E-2</v>
      </c>
      <c r="F208" s="8">
        <f t="shared" ca="1" si="220"/>
        <v>3.570309968165182E-2</v>
      </c>
      <c r="G208" s="8">
        <f t="shared" ca="1" si="220"/>
        <v>4.0753510362072268E-2</v>
      </c>
      <c r="H208" s="8">
        <f t="shared" ca="1" si="220"/>
        <v>3.7653703134224135E-2</v>
      </c>
      <c r="I208" s="8">
        <f t="shared" ca="1" si="220"/>
        <v>3.8961666738321576E-2</v>
      </c>
      <c r="J208" s="8">
        <f t="shared" ca="1" si="220"/>
        <v>4.520753755908432E-2</v>
      </c>
      <c r="K208" s="8">
        <f t="shared" ca="1" si="220"/>
        <v>4.5946203733155236E-2</v>
      </c>
      <c r="L208" s="8">
        <f t="shared" ca="1" si="220"/>
        <v>4.024512623870552E-2</v>
      </c>
      <c r="M208" s="8">
        <f t="shared" ca="1" si="220"/>
        <v>3.5309541601212434E-2</v>
      </c>
      <c r="N208" s="8">
        <f t="shared" ca="1" si="220"/>
        <v>3.9056236863098094E-2</v>
      </c>
      <c r="O208" s="8">
        <f t="shared" ca="1" si="220"/>
        <v>3.4572112606290464E-2</v>
      </c>
    </row>
    <row r="209" spans="2:15">
      <c r="B209" s="3">
        <v>188</v>
      </c>
      <c r="C209" s="8">
        <f t="shared" si="161"/>
        <v>0.05</v>
      </c>
      <c r="D209" s="8">
        <f t="shared" ref="D209:O209" ca="1" si="221">C209+k*(theta-C209)*dt+vol*SQRT(dt)*_xlfn.NORM.S.INV(RAND())</f>
        <v>5.3076367620623691E-2</v>
      </c>
      <c r="E209" s="8">
        <f t="shared" ca="1" si="221"/>
        <v>6.3184134470825548E-2</v>
      </c>
      <c r="F209" s="8">
        <f t="shared" ca="1" si="221"/>
        <v>6.1173574624620794E-2</v>
      </c>
      <c r="G209" s="8">
        <f t="shared" ca="1" si="221"/>
        <v>6.5354830717756274E-2</v>
      </c>
      <c r="H209" s="8">
        <f t="shared" ca="1" si="221"/>
        <v>6.3273349448003349E-2</v>
      </c>
      <c r="I209" s="8">
        <f t="shared" ca="1" si="221"/>
        <v>5.8336288424802554E-2</v>
      </c>
      <c r="J209" s="8">
        <f t="shared" ca="1" si="221"/>
        <v>6.028817560486404E-2</v>
      </c>
      <c r="K209" s="8">
        <f t="shared" ca="1" si="221"/>
        <v>5.7845651744471469E-2</v>
      </c>
      <c r="L209" s="8">
        <f t="shared" ca="1" si="221"/>
        <v>5.7800348822381914E-2</v>
      </c>
      <c r="M209" s="8">
        <f t="shared" ca="1" si="221"/>
        <v>6.3688530813068564E-2</v>
      </c>
      <c r="N209" s="8">
        <f t="shared" ca="1" si="221"/>
        <v>5.5195988509773829E-2</v>
      </c>
      <c r="O209" s="8">
        <f t="shared" ca="1" si="221"/>
        <v>4.1699565313392466E-2</v>
      </c>
    </row>
    <row r="210" spans="2:15">
      <c r="B210" s="3">
        <v>189</v>
      </c>
      <c r="C210" s="8">
        <f t="shared" si="161"/>
        <v>0.05</v>
      </c>
      <c r="D210" s="8">
        <f t="shared" ref="D210:O210" ca="1" si="222">C210+k*(theta-C210)*dt+vol*SQRT(dt)*_xlfn.NORM.S.INV(RAND())</f>
        <v>4.8884598764826287E-2</v>
      </c>
      <c r="E210" s="8">
        <f t="shared" ca="1" si="222"/>
        <v>4.2146389989093064E-2</v>
      </c>
      <c r="F210" s="8">
        <f t="shared" ca="1" si="222"/>
        <v>3.8273801665353956E-2</v>
      </c>
      <c r="G210" s="8">
        <f t="shared" ca="1" si="222"/>
        <v>3.951643486520505E-2</v>
      </c>
      <c r="H210" s="8">
        <f t="shared" ca="1" si="222"/>
        <v>3.8832360962720844E-2</v>
      </c>
      <c r="I210" s="8">
        <f t="shared" ca="1" si="222"/>
        <v>4.0916971486232891E-2</v>
      </c>
      <c r="J210" s="8">
        <f t="shared" ca="1" si="222"/>
        <v>4.2110991133654838E-2</v>
      </c>
      <c r="K210" s="8">
        <f t="shared" ca="1" si="222"/>
        <v>4.519990519817868E-2</v>
      </c>
      <c r="L210" s="8">
        <f t="shared" ca="1" si="222"/>
        <v>3.3747378135486145E-2</v>
      </c>
      <c r="M210" s="8">
        <f t="shared" ca="1" si="222"/>
        <v>4.3267866688538929E-2</v>
      </c>
      <c r="N210" s="8">
        <f t="shared" ca="1" si="222"/>
        <v>3.4005806424330043E-2</v>
      </c>
      <c r="O210" s="8">
        <f t="shared" ca="1" si="222"/>
        <v>2.5757743036561663E-2</v>
      </c>
    </row>
    <row r="211" spans="2:15">
      <c r="B211" s="3">
        <v>190</v>
      </c>
      <c r="C211" s="8">
        <f t="shared" si="161"/>
        <v>0.05</v>
      </c>
      <c r="D211" s="8">
        <f t="shared" ref="D211:O211" ca="1" si="223">C211+k*(theta-C211)*dt+vol*SQRT(dt)*_xlfn.NORM.S.INV(RAND())</f>
        <v>4.6969042613727606E-2</v>
      </c>
      <c r="E211" s="8">
        <f t="shared" ca="1" si="223"/>
        <v>5.4980158059985927E-2</v>
      </c>
      <c r="F211" s="8">
        <f t="shared" ca="1" si="223"/>
        <v>6.3338023360799162E-2</v>
      </c>
      <c r="G211" s="8">
        <f t="shared" ca="1" si="223"/>
        <v>7.183201839217937E-2</v>
      </c>
      <c r="H211" s="8">
        <f t="shared" ca="1" si="223"/>
        <v>6.6327046442429746E-2</v>
      </c>
      <c r="I211" s="8">
        <f t="shared" ca="1" si="223"/>
        <v>6.9493809669948892E-2</v>
      </c>
      <c r="J211" s="8">
        <f t="shared" ca="1" si="223"/>
        <v>7.3351755649388894E-2</v>
      </c>
      <c r="K211" s="8">
        <f t="shared" ca="1" si="223"/>
        <v>7.2424008930394745E-2</v>
      </c>
      <c r="L211" s="8">
        <f t="shared" ca="1" si="223"/>
        <v>5.9573791729418235E-2</v>
      </c>
      <c r="M211" s="8">
        <f t="shared" ca="1" si="223"/>
        <v>6.6691724016615037E-2</v>
      </c>
      <c r="N211" s="8">
        <f t="shared" ca="1" si="223"/>
        <v>6.0473890459669916E-2</v>
      </c>
      <c r="O211" s="8">
        <f t="shared" ca="1" si="223"/>
        <v>6.0844195050836825E-2</v>
      </c>
    </row>
    <row r="212" spans="2:15">
      <c r="B212" s="3">
        <v>191</v>
      </c>
      <c r="C212" s="8">
        <f t="shared" si="161"/>
        <v>0.05</v>
      </c>
      <c r="D212" s="8">
        <f t="shared" ref="D212:O212" ca="1" si="224">C212+k*(theta-C212)*dt+vol*SQRT(dt)*_xlfn.NORM.S.INV(RAND())</f>
        <v>4.0421427688839599E-2</v>
      </c>
      <c r="E212" s="8">
        <f t="shared" ca="1" si="224"/>
        <v>3.1764311208217058E-2</v>
      </c>
      <c r="F212" s="8">
        <f t="shared" ca="1" si="224"/>
        <v>2.7150118959010927E-2</v>
      </c>
      <c r="G212" s="8">
        <f t="shared" ca="1" si="224"/>
        <v>2.8097090509834423E-2</v>
      </c>
      <c r="H212" s="8">
        <f t="shared" ca="1" si="224"/>
        <v>2.5106123535262585E-2</v>
      </c>
      <c r="I212" s="8">
        <f t="shared" ca="1" si="224"/>
        <v>2.1785321351485438E-2</v>
      </c>
      <c r="J212" s="8">
        <f t="shared" ca="1" si="224"/>
        <v>4.0174656767984381E-2</v>
      </c>
      <c r="K212" s="8">
        <f t="shared" ca="1" si="224"/>
        <v>3.7199115049474096E-2</v>
      </c>
      <c r="L212" s="8">
        <f t="shared" ca="1" si="224"/>
        <v>3.5252870441276576E-2</v>
      </c>
      <c r="M212" s="8">
        <f t="shared" ca="1" si="224"/>
        <v>3.8651597032680396E-2</v>
      </c>
      <c r="N212" s="8">
        <f t="shared" ca="1" si="224"/>
        <v>3.8665533756050023E-2</v>
      </c>
      <c r="O212" s="8">
        <f t="shared" ca="1" si="224"/>
        <v>4.6280767351509898E-2</v>
      </c>
    </row>
    <row r="213" spans="2:15">
      <c r="B213" s="3">
        <v>192</v>
      </c>
      <c r="C213" s="8">
        <f t="shared" si="161"/>
        <v>0.05</v>
      </c>
      <c r="D213" s="8">
        <f t="shared" ref="D213:O213" ca="1" si="225">C213+k*(theta-C213)*dt+vol*SQRT(dt)*_xlfn.NORM.S.INV(RAND())</f>
        <v>5.3134055170885222E-2</v>
      </c>
      <c r="E213" s="8">
        <f t="shared" ca="1" si="225"/>
        <v>4.7017959296960635E-2</v>
      </c>
      <c r="F213" s="8">
        <f t="shared" ca="1" si="225"/>
        <v>5.0791382985662395E-2</v>
      </c>
      <c r="G213" s="8">
        <f t="shared" ca="1" si="225"/>
        <v>4.8293476791733375E-2</v>
      </c>
      <c r="H213" s="8">
        <f t="shared" ca="1" si="225"/>
        <v>4.2332994058237594E-2</v>
      </c>
      <c r="I213" s="8">
        <f t="shared" ca="1" si="225"/>
        <v>4.6449324519438659E-2</v>
      </c>
      <c r="J213" s="8">
        <f t="shared" ca="1" si="225"/>
        <v>4.9414954084094305E-2</v>
      </c>
      <c r="K213" s="8">
        <f t="shared" ca="1" si="225"/>
        <v>5.0565726075984252E-2</v>
      </c>
      <c r="L213" s="8">
        <f t="shared" ca="1" si="225"/>
        <v>5.2978551273265138E-2</v>
      </c>
      <c r="M213" s="8">
        <f t="shared" ca="1" si="225"/>
        <v>6.0034446689101781E-2</v>
      </c>
      <c r="N213" s="8">
        <f t="shared" ca="1" si="225"/>
        <v>6.5843861932579087E-2</v>
      </c>
      <c r="O213" s="8">
        <f t="shared" ca="1" si="225"/>
        <v>6.5624206505107766E-2</v>
      </c>
    </row>
    <row r="214" spans="2:15">
      <c r="B214" s="3">
        <v>193</v>
      </c>
      <c r="C214" s="8">
        <f t="shared" ref="C214:C277" si="226">r0</f>
        <v>0.05</v>
      </c>
      <c r="D214" s="8">
        <f t="shared" ref="D214:O214" ca="1" si="227">C214+k*(theta-C214)*dt+vol*SQRT(dt)*_xlfn.NORM.S.INV(RAND())</f>
        <v>4.9544590090544328E-2</v>
      </c>
      <c r="E214" s="8">
        <f t="shared" ca="1" si="227"/>
        <v>5.4197462069174446E-2</v>
      </c>
      <c r="F214" s="8">
        <f t="shared" ca="1" si="227"/>
        <v>5.6096557986051017E-2</v>
      </c>
      <c r="G214" s="8">
        <f t="shared" ca="1" si="227"/>
        <v>5.9947419174128387E-2</v>
      </c>
      <c r="H214" s="8">
        <f t="shared" ca="1" si="227"/>
        <v>6.2607703922748739E-2</v>
      </c>
      <c r="I214" s="8">
        <f t="shared" ca="1" si="227"/>
        <v>6.6428909360640498E-2</v>
      </c>
      <c r="J214" s="8">
        <f t="shared" ca="1" si="227"/>
        <v>7.9258578607895397E-2</v>
      </c>
      <c r="K214" s="8">
        <f t="shared" ca="1" si="227"/>
        <v>7.2852082929288756E-2</v>
      </c>
      <c r="L214" s="8">
        <f t="shared" ca="1" si="227"/>
        <v>7.2384094531262252E-2</v>
      </c>
      <c r="M214" s="8">
        <f t="shared" ca="1" si="227"/>
        <v>8.3271214552248923E-2</v>
      </c>
      <c r="N214" s="8">
        <f t="shared" ca="1" si="227"/>
        <v>8.7487550294072167E-2</v>
      </c>
      <c r="O214" s="8">
        <f t="shared" ca="1" si="227"/>
        <v>8.6091874826798143E-2</v>
      </c>
    </row>
    <row r="215" spans="2:15">
      <c r="B215" s="3">
        <v>194</v>
      </c>
      <c r="C215" s="8">
        <f t="shared" si="226"/>
        <v>0.05</v>
      </c>
      <c r="D215" s="8">
        <f t="shared" ref="D215:O215" ca="1" si="228">C215+k*(theta-C215)*dt+vol*SQRT(dt)*_xlfn.NORM.S.INV(RAND())</f>
        <v>6.0760990532528765E-2</v>
      </c>
      <c r="E215" s="8">
        <f t="shared" ca="1" si="228"/>
        <v>5.5692671529761338E-2</v>
      </c>
      <c r="F215" s="8">
        <f t="shared" ca="1" si="228"/>
        <v>5.9499163231287927E-2</v>
      </c>
      <c r="G215" s="8">
        <f t="shared" ca="1" si="228"/>
        <v>5.5554262483669528E-2</v>
      </c>
      <c r="H215" s="8">
        <f t="shared" ca="1" si="228"/>
        <v>6.4216000970576254E-2</v>
      </c>
      <c r="I215" s="8">
        <f t="shared" ca="1" si="228"/>
        <v>6.8638787193676068E-2</v>
      </c>
      <c r="J215" s="8">
        <f t="shared" ca="1" si="228"/>
        <v>7.4086162831643154E-2</v>
      </c>
      <c r="K215" s="8">
        <f t="shared" ca="1" si="228"/>
        <v>8.0878168165580286E-2</v>
      </c>
      <c r="L215" s="8">
        <f t="shared" ca="1" si="228"/>
        <v>7.7276392668796351E-2</v>
      </c>
      <c r="M215" s="8">
        <f t="shared" ca="1" si="228"/>
        <v>8.0032483431191861E-2</v>
      </c>
      <c r="N215" s="8">
        <f t="shared" ca="1" si="228"/>
        <v>8.1894579363330902E-2</v>
      </c>
      <c r="O215" s="8">
        <f t="shared" ca="1" si="228"/>
        <v>8.8948732020962457E-2</v>
      </c>
    </row>
    <row r="216" spans="2:15">
      <c r="B216" s="3">
        <v>195</v>
      </c>
      <c r="C216" s="8">
        <f t="shared" si="226"/>
        <v>0.05</v>
      </c>
      <c r="D216" s="8">
        <f t="shared" ref="D216:O216" ca="1" si="229">C216+k*(theta-C216)*dt+vol*SQRT(dt)*_xlfn.NORM.S.INV(RAND())</f>
        <v>4.4520281241025604E-2</v>
      </c>
      <c r="E216" s="8">
        <f t="shared" ca="1" si="229"/>
        <v>4.2916820582190311E-2</v>
      </c>
      <c r="F216" s="8">
        <f t="shared" ca="1" si="229"/>
        <v>4.9115500193004688E-2</v>
      </c>
      <c r="G216" s="8">
        <f t="shared" ca="1" si="229"/>
        <v>5.6729256754878478E-2</v>
      </c>
      <c r="H216" s="8">
        <f t="shared" ca="1" si="229"/>
        <v>6.4925352240209774E-2</v>
      </c>
      <c r="I216" s="8">
        <f t="shared" ca="1" si="229"/>
        <v>5.6378985852034394E-2</v>
      </c>
      <c r="J216" s="8">
        <f t="shared" ca="1" si="229"/>
        <v>4.9024793419970764E-2</v>
      </c>
      <c r="K216" s="8">
        <f t="shared" ca="1" si="229"/>
        <v>5.769515335392613E-2</v>
      </c>
      <c r="L216" s="8">
        <f t="shared" ca="1" si="229"/>
        <v>5.1427630300290877E-2</v>
      </c>
      <c r="M216" s="8">
        <f t="shared" ca="1" si="229"/>
        <v>4.6447692465759513E-2</v>
      </c>
      <c r="N216" s="8">
        <f t="shared" ca="1" si="229"/>
        <v>3.7001898063417402E-2</v>
      </c>
      <c r="O216" s="8">
        <f t="shared" ca="1" si="229"/>
        <v>3.2725700849320895E-2</v>
      </c>
    </row>
    <row r="217" spans="2:15">
      <c r="B217" s="3">
        <v>196</v>
      </c>
      <c r="C217" s="8">
        <f t="shared" si="226"/>
        <v>0.05</v>
      </c>
      <c r="D217" s="8">
        <f t="shared" ref="D217:O217" ca="1" si="230">C217+k*(theta-C217)*dt+vol*SQRT(dt)*_xlfn.NORM.S.INV(RAND())</f>
        <v>5.8046640490494676E-2</v>
      </c>
      <c r="E217" s="8">
        <f t="shared" ca="1" si="230"/>
        <v>4.320124224639809E-2</v>
      </c>
      <c r="F217" s="8">
        <f t="shared" ca="1" si="230"/>
        <v>5.265053463262602E-2</v>
      </c>
      <c r="G217" s="8">
        <f t="shared" ca="1" si="230"/>
        <v>5.1205920037508998E-2</v>
      </c>
      <c r="H217" s="8">
        <f t="shared" ca="1" si="230"/>
        <v>4.2172228560573073E-2</v>
      </c>
      <c r="I217" s="8">
        <f t="shared" ca="1" si="230"/>
        <v>4.4039625967052735E-2</v>
      </c>
      <c r="J217" s="8">
        <f t="shared" ca="1" si="230"/>
        <v>5.1441307507919865E-2</v>
      </c>
      <c r="K217" s="8">
        <f t="shared" ca="1" si="230"/>
        <v>5.2657195651786844E-2</v>
      </c>
      <c r="L217" s="8">
        <f t="shared" ca="1" si="230"/>
        <v>4.6122359775295177E-2</v>
      </c>
      <c r="M217" s="8">
        <f t="shared" ca="1" si="230"/>
        <v>5.1234698960979999E-2</v>
      </c>
      <c r="N217" s="8">
        <f t="shared" ca="1" si="230"/>
        <v>5.1932801059199347E-2</v>
      </c>
      <c r="O217" s="8">
        <f t="shared" ca="1" si="230"/>
        <v>5.1197579132343927E-2</v>
      </c>
    </row>
    <row r="218" spans="2:15">
      <c r="B218" s="3">
        <v>197</v>
      </c>
      <c r="C218" s="8">
        <f t="shared" si="226"/>
        <v>0.05</v>
      </c>
      <c r="D218" s="8">
        <f t="shared" ref="D218:O218" ca="1" si="231">C218+k*(theta-C218)*dt+vol*SQRT(dt)*_xlfn.NORM.S.INV(RAND())</f>
        <v>4.5811106830064389E-2</v>
      </c>
      <c r="E218" s="8">
        <f t="shared" ca="1" si="231"/>
        <v>3.9050110117733301E-2</v>
      </c>
      <c r="F218" s="8">
        <f t="shared" ca="1" si="231"/>
        <v>4.8999422682305935E-2</v>
      </c>
      <c r="G218" s="8">
        <f t="shared" ca="1" si="231"/>
        <v>4.5355858039514647E-2</v>
      </c>
      <c r="H218" s="8">
        <f t="shared" ca="1" si="231"/>
        <v>4.7389420979360448E-2</v>
      </c>
      <c r="I218" s="8">
        <f t="shared" ca="1" si="231"/>
        <v>5.5764325415855756E-2</v>
      </c>
      <c r="J218" s="8">
        <f t="shared" ca="1" si="231"/>
        <v>5.7305366323170369E-2</v>
      </c>
      <c r="K218" s="8">
        <f t="shared" ca="1" si="231"/>
        <v>6.0976403603931181E-2</v>
      </c>
      <c r="L218" s="8">
        <f t="shared" ca="1" si="231"/>
        <v>5.452493986071151E-2</v>
      </c>
      <c r="M218" s="8">
        <f t="shared" ca="1" si="231"/>
        <v>5.7761462544724342E-2</v>
      </c>
      <c r="N218" s="8">
        <f t="shared" ca="1" si="231"/>
        <v>7.0835867785664419E-2</v>
      </c>
      <c r="O218" s="8">
        <f t="shared" ca="1" si="231"/>
        <v>6.9809723590134251E-2</v>
      </c>
    </row>
    <row r="219" spans="2:15">
      <c r="B219" s="3">
        <v>198</v>
      </c>
      <c r="C219" s="8">
        <f t="shared" si="226"/>
        <v>0.05</v>
      </c>
      <c r="D219" s="8">
        <f t="shared" ref="D219:O219" ca="1" si="232">C219+k*(theta-C219)*dt+vol*SQRT(dt)*_xlfn.NORM.S.INV(RAND())</f>
        <v>5.4007275901397929E-2</v>
      </c>
      <c r="E219" s="8">
        <f t="shared" ca="1" si="232"/>
        <v>5.3687183726854396E-2</v>
      </c>
      <c r="F219" s="8">
        <f t="shared" ca="1" si="232"/>
        <v>5.7191158564697128E-2</v>
      </c>
      <c r="G219" s="8">
        <f t="shared" ca="1" si="232"/>
        <v>6.314059876039016E-2</v>
      </c>
      <c r="H219" s="8">
        <f t="shared" ca="1" si="232"/>
        <v>7.20235507750039E-2</v>
      </c>
      <c r="I219" s="8">
        <f t="shared" ca="1" si="232"/>
        <v>7.4610238365145382E-2</v>
      </c>
      <c r="J219" s="8">
        <f t="shared" ca="1" si="232"/>
        <v>6.877383308904246E-2</v>
      </c>
      <c r="K219" s="8">
        <f t="shared" ca="1" si="232"/>
        <v>5.9823164941526549E-2</v>
      </c>
      <c r="L219" s="8">
        <f t="shared" ca="1" si="232"/>
        <v>5.508140552173512E-2</v>
      </c>
      <c r="M219" s="8">
        <f t="shared" ca="1" si="232"/>
        <v>5.8376801285913153E-2</v>
      </c>
      <c r="N219" s="8">
        <f t="shared" ca="1" si="232"/>
        <v>6.3293485141929298E-2</v>
      </c>
      <c r="O219" s="8">
        <f t="shared" ca="1" si="232"/>
        <v>6.2007916112012534E-2</v>
      </c>
    </row>
    <row r="220" spans="2:15">
      <c r="B220" s="3">
        <v>199</v>
      </c>
      <c r="C220" s="8">
        <f t="shared" si="226"/>
        <v>0.05</v>
      </c>
      <c r="D220" s="8">
        <f t="shared" ref="D220:O220" ca="1" si="233">C220+k*(theta-C220)*dt+vol*SQRT(dt)*_xlfn.NORM.S.INV(RAND())</f>
        <v>5.2379659027906859E-2</v>
      </c>
      <c r="E220" s="8">
        <f t="shared" ca="1" si="233"/>
        <v>5.9840972863672716E-2</v>
      </c>
      <c r="F220" s="8">
        <f t="shared" ca="1" si="233"/>
        <v>6.3098441022888391E-2</v>
      </c>
      <c r="G220" s="8">
        <f t="shared" ca="1" si="233"/>
        <v>6.3887858187710769E-2</v>
      </c>
      <c r="H220" s="8">
        <f t="shared" ca="1" si="233"/>
        <v>5.6882492982672367E-2</v>
      </c>
      <c r="I220" s="8">
        <f t="shared" ca="1" si="233"/>
        <v>5.9469950679515521E-2</v>
      </c>
      <c r="J220" s="8">
        <f t="shared" ca="1" si="233"/>
        <v>6.4381954164329458E-2</v>
      </c>
      <c r="K220" s="8">
        <f t="shared" ca="1" si="233"/>
        <v>5.6581803686188058E-2</v>
      </c>
      <c r="L220" s="8">
        <f t="shared" ca="1" si="233"/>
        <v>5.2600545129166766E-2</v>
      </c>
      <c r="M220" s="8">
        <f t="shared" ca="1" si="233"/>
        <v>5.3678907660446695E-2</v>
      </c>
      <c r="N220" s="8">
        <f t="shared" ca="1" si="233"/>
        <v>6.0387993708191576E-2</v>
      </c>
      <c r="O220" s="8">
        <f t="shared" ca="1" si="233"/>
        <v>6.0251472801978422E-2</v>
      </c>
    </row>
    <row r="221" spans="2:15">
      <c r="B221" s="3">
        <v>200</v>
      </c>
      <c r="C221" s="8">
        <f t="shared" si="226"/>
        <v>0.05</v>
      </c>
      <c r="D221" s="8">
        <f t="shared" ref="D221:O221" ca="1" si="234">C221+k*(theta-C221)*dt+vol*SQRT(dt)*_xlfn.NORM.S.INV(RAND())</f>
        <v>6.4084882907077936E-2</v>
      </c>
      <c r="E221" s="8">
        <f t="shared" ca="1" si="234"/>
        <v>7.1211717603313782E-2</v>
      </c>
      <c r="F221" s="8">
        <f t="shared" ca="1" si="234"/>
        <v>6.7619521536735436E-2</v>
      </c>
      <c r="G221" s="8">
        <f t="shared" ca="1" si="234"/>
        <v>6.6535350248820568E-2</v>
      </c>
      <c r="H221" s="8">
        <f t="shared" ca="1" si="234"/>
        <v>6.3877234905855576E-2</v>
      </c>
      <c r="I221" s="8">
        <f t="shared" ca="1" si="234"/>
        <v>6.1292000735581879E-2</v>
      </c>
      <c r="J221" s="8">
        <f t="shared" ca="1" si="234"/>
        <v>6.337912760119728E-2</v>
      </c>
      <c r="K221" s="8">
        <f t="shared" ca="1" si="234"/>
        <v>5.3855478206167852E-2</v>
      </c>
      <c r="L221" s="8">
        <f t="shared" ca="1" si="234"/>
        <v>5.5598721639210723E-2</v>
      </c>
      <c r="M221" s="8">
        <f t="shared" ca="1" si="234"/>
        <v>5.7059952736659078E-2</v>
      </c>
      <c r="N221" s="8">
        <f t="shared" ca="1" si="234"/>
        <v>6.2642176232339836E-2</v>
      </c>
      <c r="O221" s="8">
        <f t="shared" ca="1" si="234"/>
        <v>6.1983741906106546E-2</v>
      </c>
    </row>
    <row r="222" spans="2:15">
      <c r="B222" s="3">
        <v>201</v>
      </c>
      <c r="C222" s="8">
        <f t="shared" si="226"/>
        <v>0.05</v>
      </c>
      <c r="D222" s="8">
        <f t="shared" ref="D222:O222" ca="1" si="235">C222+k*(theta-C222)*dt+vol*SQRT(dt)*_xlfn.NORM.S.INV(RAND())</f>
        <v>5.4036870570268604E-2</v>
      </c>
      <c r="E222" s="8">
        <f t="shared" ca="1" si="235"/>
        <v>5.035607648353714E-2</v>
      </c>
      <c r="F222" s="8">
        <f t="shared" ca="1" si="235"/>
        <v>4.7788831009511729E-2</v>
      </c>
      <c r="G222" s="8">
        <f t="shared" ca="1" si="235"/>
        <v>4.9017393928624309E-2</v>
      </c>
      <c r="H222" s="8">
        <f t="shared" ca="1" si="235"/>
        <v>3.2429286367397073E-2</v>
      </c>
      <c r="I222" s="8">
        <f t="shared" ca="1" si="235"/>
        <v>3.2078996243852485E-2</v>
      </c>
      <c r="J222" s="8">
        <f t="shared" ca="1" si="235"/>
        <v>3.3644663818344016E-2</v>
      </c>
      <c r="K222" s="8">
        <f t="shared" ca="1" si="235"/>
        <v>3.8235742063324148E-2</v>
      </c>
      <c r="L222" s="8">
        <f t="shared" ca="1" si="235"/>
        <v>4.1439284123277791E-2</v>
      </c>
      <c r="M222" s="8">
        <f t="shared" ca="1" si="235"/>
        <v>4.4530681461140101E-2</v>
      </c>
      <c r="N222" s="8">
        <f t="shared" ca="1" si="235"/>
        <v>4.7618604704809803E-2</v>
      </c>
      <c r="O222" s="8">
        <f t="shared" ca="1" si="235"/>
        <v>4.677918893589026E-2</v>
      </c>
    </row>
    <row r="223" spans="2:15">
      <c r="B223" s="3">
        <v>202</v>
      </c>
      <c r="C223" s="8">
        <f t="shared" si="226"/>
        <v>0.05</v>
      </c>
      <c r="D223" s="8">
        <f t="shared" ref="D223:O223" ca="1" si="236">C223+k*(theta-C223)*dt+vol*SQRT(dt)*_xlfn.NORM.S.INV(RAND())</f>
        <v>4.5106472063179845E-2</v>
      </c>
      <c r="E223" s="8">
        <f t="shared" ca="1" si="236"/>
        <v>4.4085656613967343E-2</v>
      </c>
      <c r="F223" s="8">
        <f t="shared" ca="1" si="236"/>
        <v>5.8096153569531399E-2</v>
      </c>
      <c r="G223" s="8">
        <f t="shared" ca="1" si="236"/>
        <v>6.1860816233366499E-2</v>
      </c>
      <c r="H223" s="8">
        <f t="shared" ca="1" si="236"/>
        <v>6.7677848503279334E-2</v>
      </c>
      <c r="I223" s="8">
        <f t="shared" ca="1" si="236"/>
        <v>6.7061288663810545E-2</v>
      </c>
      <c r="J223" s="8">
        <f t="shared" ca="1" si="236"/>
        <v>6.5521300454540729E-2</v>
      </c>
      <c r="K223" s="8">
        <f t="shared" ca="1" si="236"/>
        <v>6.8741306908605582E-2</v>
      </c>
      <c r="L223" s="8">
        <f t="shared" ca="1" si="236"/>
        <v>6.5065730884239989E-2</v>
      </c>
      <c r="M223" s="8">
        <f t="shared" ca="1" si="236"/>
        <v>6.7408703206796747E-2</v>
      </c>
      <c r="N223" s="8">
        <f t="shared" ca="1" si="236"/>
        <v>6.3970870817004602E-2</v>
      </c>
      <c r="O223" s="8">
        <f t="shared" ca="1" si="236"/>
        <v>6.5125708077735517E-2</v>
      </c>
    </row>
    <row r="224" spans="2:15">
      <c r="B224" s="3">
        <v>203</v>
      </c>
      <c r="C224" s="8">
        <f t="shared" si="226"/>
        <v>0.05</v>
      </c>
      <c r="D224" s="8">
        <f t="shared" ref="D224:O224" ca="1" si="237">C224+k*(theta-C224)*dt+vol*SQRT(dt)*_xlfn.NORM.S.INV(RAND())</f>
        <v>5.9556927390806993E-2</v>
      </c>
      <c r="E224" s="8">
        <f t="shared" ca="1" si="237"/>
        <v>5.4012985930533663E-2</v>
      </c>
      <c r="F224" s="8">
        <f t="shared" ca="1" si="237"/>
        <v>5.2422612915150948E-2</v>
      </c>
      <c r="G224" s="8">
        <f t="shared" ca="1" si="237"/>
        <v>5.8466406038294692E-2</v>
      </c>
      <c r="H224" s="8">
        <f t="shared" ca="1" si="237"/>
        <v>5.7588845964631208E-2</v>
      </c>
      <c r="I224" s="8">
        <f t="shared" ca="1" si="237"/>
        <v>5.7752302272462239E-2</v>
      </c>
      <c r="J224" s="8">
        <f t="shared" ca="1" si="237"/>
        <v>6.0949678418313086E-2</v>
      </c>
      <c r="K224" s="8">
        <f t="shared" ca="1" si="237"/>
        <v>6.5317563082448488E-2</v>
      </c>
      <c r="L224" s="8">
        <f t="shared" ca="1" si="237"/>
        <v>7.5458399861300415E-2</v>
      </c>
      <c r="M224" s="8">
        <f t="shared" ca="1" si="237"/>
        <v>7.9853890970767796E-2</v>
      </c>
      <c r="N224" s="8">
        <f t="shared" ca="1" si="237"/>
        <v>7.4779128450236571E-2</v>
      </c>
      <c r="O224" s="8">
        <f t="shared" ca="1" si="237"/>
        <v>7.6302460633022054E-2</v>
      </c>
    </row>
    <row r="225" spans="2:15">
      <c r="B225" s="3">
        <v>204</v>
      </c>
      <c r="C225" s="8">
        <f t="shared" si="226"/>
        <v>0.05</v>
      </c>
      <c r="D225" s="8">
        <f t="shared" ref="D225:O225" ca="1" si="238">C225+k*(theta-C225)*dt+vol*SQRT(dt)*_xlfn.NORM.S.INV(RAND())</f>
        <v>4.6355876282569861E-2</v>
      </c>
      <c r="E225" s="8">
        <f t="shared" ca="1" si="238"/>
        <v>5.4687113686211417E-2</v>
      </c>
      <c r="F225" s="8">
        <f t="shared" ca="1" si="238"/>
        <v>5.3784289231706764E-2</v>
      </c>
      <c r="G225" s="8">
        <f t="shared" ca="1" si="238"/>
        <v>5.2815782013554469E-2</v>
      </c>
      <c r="H225" s="8">
        <f t="shared" ca="1" si="238"/>
        <v>5.6118492943403167E-2</v>
      </c>
      <c r="I225" s="8">
        <f t="shared" ca="1" si="238"/>
        <v>5.1384561786579186E-2</v>
      </c>
      <c r="J225" s="8">
        <f t="shared" ca="1" si="238"/>
        <v>5.0656766783525937E-2</v>
      </c>
      <c r="K225" s="8">
        <f t="shared" ca="1" si="238"/>
        <v>4.6892560510815071E-2</v>
      </c>
      <c r="L225" s="8">
        <f t="shared" ca="1" si="238"/>
        <v>4.137085038167216E-2</v>
      </c>
      <c r="M225" s="8">
        <f t="shared" ca="1" si="238"/>
        <v>4.0506166297113365E-2</v>
      </c>
      <c r="N225" s="8">
        <f t="shared" ca="1" si="238"/>
        <v>4.0345343996139246E-2</v>
      </c>
      <c r="O225" s="8">
        <f t="shared" ca="1" si="238"/>
        <v>3.3203907546420067E-2</v>
      </c>
    </row>
    <row r="226" spans="2:15">
      <c r="B226" s="3">
        <v>205</v>
      </c>
      <c r="C226" s="8">
        <f t="shared" si="226"/>
        <v>0.05</v>
      </c>
      <c r="D226" s="8">
        <f t="shared" ref="D226:O226" ca="1" si="239">C226+k*(theta-C226)*dt+vol*SQRT(dt)*_xlfn.NORM.S.INV(RAND())</f>
        <v>4.9401551790306107E-2</v>
      </c>
      <c r="E226" s="8">
        <f t="shared" ca="1" si="239"/>
        <v>4.8575139389999161E-2</v>
      </c>
      <c r="F226" s="8">
        <f t="shared" ca="1" si="239"/>
        <v>5.9869680476830577E-2</v>
      </c>
      <c r="G226" s="8">
        <f t="shared" ca="1" si="239"/>
        <v>6.1141302847663372E-2</v>
      </c>
      <c r="H226" s="8">
        <f t="shared" ca="1" si="239"/>
        <v>6.2589844747797538E-2</v>
      </c>
      <c r="I226" s="8">
        <f t="shared" ca="1" si="239"/>
        <v>6.3713995836998688E-2</v>
      </c>
      <c r="J226" s="8">
        <f t="shared" ca="1" si="239"/>
        <v>7.1917347390664604E-2</v>
      </c>
      <c r="K226" s="8">
        <f t="shared" ca="1" si="239"/>
        <v>6.7229318581479791E-2</v>
      </c>
      <c r="L226" s="8">
        <f t="shared" ca="1" si="239"/>
        <v>5.9426556875719017E-2</v>
      </c>
      <c r="M226" s="8">
        <f t="shared" ca="1" si="239"/>
        <v>6.5087024448397021E-2</v>
      </c>
      <c r="N226" s="8">
        <f t="shared" ca="1" si="239"/>
        <v>6.0161085697391946E-2</v>
      </c>
      <c r="O226" s="8">
        <f t="shared" ca="1" si="239"/>
        <v>6.0153208716387574E-2</v>
      </c>
    </row>
    <row r="227" spans="2:15">
      <c r="B227" s="3">
        <v>206</v>
      </c>
      <c r="C227" s="8">
        <f t="shared" si="226"/>
        <v>0.05</v>
      </c>
      <c r="D227" s="8">
        <f t="shared" ref="D227:O227" ca="1" si="240">C227+k*(theta-C227)*dt+vol*SQRT(dt)*_xlfn.NORM.S.INV(RAND())</f>
        <v>5.60867950872928E-2</v>
      </c>
      <c r="E227" s="8">
        <f t="shared" ca="1" si="240"/>
        <v>5.6388640936842579E-2</v>
      </c>
      <c r="F227" s="8">
        <f t="shared" ca="1" si="240"/>
        <v>4.9863514138557427E-2</v>
      </c>
      <c r="G227" s="8">
        <f t="shared" ca="1" si="240"/>
        <v>5.6460681601895969E-2</v>
      </c>
      <c r="H227" s="8">
        <f t="shared" ca="1" si="240"/>
        <v>6.7477427410376351E-2</v>
      </c>
      <c r="I227" s="8">
        <f t="shared" ca="1" si="240"/>
        <v>6.8819622438712189E-2</v>
      </c>
      <c r="J227" s="8">
        <f t="shared" ca="1" si="240"/>
        <v>7.3415035455850722E-2</v>
      </c>
      <c r="K227" s="8">
        <f t="shared" ca="1" si="240"/>
        <v>7.7093522153582186E-2</v>
      </c>
      <c r="L227" s="8">
        <f t="shared" ca="1" si="240"/>
        <v>7.4404616200432289E-2</v>
      </c>
      <c r="M227" s="8">
        <f t="shared" ca="1" si="240"/>
        <v>6.076906368447399E-2</v>
      </c>
      <c r="N227" s="8">
        <f t="shared" ca="1" si="240"/>
        <v>6.5039220284101792E-2</v>
      </c>
      <c r="O227" s="8">
        <f t="shared" ca="1" si="240"/>
        <v>5.955752887885718E-2</v>
      </c>
    </row>
    <row r="228" spans="2:15">
      <c r="B228" s="3">
        <v>207</v>
      </c>
      <c r="C228" s="8">
        <f t="shared" si="226"/>
        <v>0.05</v>
      </c>
      <c r="D228" s="8">
        <f t="shared" ref="D228:O228" ca="1" si="241">C228+k*(theta-C228)*dt+vol*SQRT(dt)*_xlfn.NORM.S.INV(RAND())</f>
        <v>4.8161635007942155E-2</v>
      </c>
      <c r="E228" s="8">
        <f t="shared" ca="1" si="241"/>
        <v>5.2866495402700615E-2</v>
      </c>
      <c r="F228" s="8">
        <f t="shared" ca="1" si="241"/>
        <v>5.1695298054933496E-2</v>
      </c>
      <c r="G228" s="8">
        <f t="shared" ca="1" si="241"/>
        <v>5.3167595469135027E-2</v>
      </c>
      <c r="H228" s="8">
        <f t="shared" ca="1" si="241"/>
        <v>5.1374325019337641E-2</v>
      </c>
      <c r="I228" s="8">
        <f t="shared" ca="1" si="241"/>
        <v>4.8453094545299141E-2</v>
      </c>
      <c r="J228" s="8">
        <f t="shared" ca="1" si="241"/>
        <v>5.9496481523569657E-2</v>
      </c>
      <c r="K228" s="8">
        <f t="shared" ca="1" si="241"/>
        <v>6.462488030641525E-2</v>
      </c>
      <c r="L228" s="8">
        <f t="shared" ca="1" si="241"/>
        <v>6.2950205335573439E-2</v>
      </c>
      <c r="M228" s="8">
        <f t="shared" ca="1" si="241"/>
        <v>5.819519349826123E-2</v>
      </c>
      <c r="N228" s="8">
        <f t="shared" ca="1" si="241"/>
        <v>5.4963096829684185E-2</v>
      </c>
      <c r="O228" s="8">
        <f t="shared" ca="1" si="241"/>
        <v>5.731302783626447E-2</v>
      </c>
    </row>
    <row r="229" spans="2:15">
      <c r="B229" s="3">
        <v>208</v>
      </c>
      <c r="C229" s="8">
        <f t="shared" si="226"/>
        <v>0.05</v>
      </c>
      <c r="D229" s="8">
        <f t="shared" ref="D229:O229" ca="1" si="242">C229+k*(theta-C229)*dt+vol*SQRT(dt)*_xlfn.NORM.S.INV(RAND())</f>
        <v>5.3912179983573047E-2</v>
      </c>
      <c r="E229" s="8">
        <f t="shared" ca="1" si="242"/>
        <v>5.4385386285662848E-2</v>
      </c>
      <c r="F229" s="8">
        <f t="shared" ca="1" si="242"/>
        <v>4.9686326518289477E-2</v>
      </c>
      <c r="G229" s="8">
        <f t="shared" ca="1" si="242"/>
        <v>6.3224892410335215E-2</v>
      </c>
      <c r="H229" s="8">
        <f t="shared" ca="1" si="242"/>
        <v>7.4973269406123449E-2</v>
      </c>
      <c r="I229" s="8">
        <f t="shared" ca="1" si="242"/>
        <v>8.0220870086386939E-2</v>
      </c>
      <c r="J229" s="8">
        <f t="shared" ca="1" si="242"/>
        <v>8.8347616081109859E-2</v>
      </c>
      <c r="K229" s="8">
        <f t="shared" ca="1" si="242"/>
        <v>9.8940315055817754E-2</v>
      </c>
      <c r="L229" s="8">
        <f t="shared" ca="1" si="242"/>
        <v>0.10115514981796654</v>
      </c>
      <c r="M229" s="8">
        <f t="shared" ca="1" si="242"/>
        <v>0.10168214669596762</v>
      </c>
      <c r="N229" s="8">
        <f t="shared" ca="1" si="242"/>
        <v>0.10654361287082645</v>
      </c>
      <c r="O229" s="8">
        <f t="shared" ca="1" si="242"/>
        <v>0.10814377138957655</v>
      </c>
    </row>
    <row r="230" spans="2:15">
      <c r="B230" s="3">
        <v>209</v>
      </c>
      <c r="C230" s="8">
        <f t="shared" si="226"/>
        <v>0.05</v>
      </c>
      <c r="D230" s="8">
        <f t="shared" ref="D230:O230" ca="1" si="243">C230+k*(theta-C230)*dt+vol*SQRT(dt)*_xlfn.NORM.S.INV(RAND())</f>
        <v>5.422466438103813E-2</v>
      </c>
      <c r="E230" s="8">
        <f t="shared" ca="1" si="243"/>
        <v>6.5140252865271475E-2</v>
      </c>
      <c r="F230" s="8">
        <f t="shared" ca="1" si="243"/>
        <v>6.7603539685740885E-2</v>
      </c>
      <c r="G230" s="8">
        <f t="shared" ca="1" si="243"/>
        <v>6.8815527783079686E-2</v>
      </c>
      <c r="H230" s="8">
        <f t="shared" ca="1" si="243"/>
        <v>6.7772546786261878E-2</v>
      </c>
      <c r="I230" s="8">
        <f t="shared" ca="1" si="243"/>
        <v>6.9930816790278127E-2</v>
      </c>
      <c r="J230" s="8">
        <f t="shared" ca="1" si="243"/>
        <v>8.0106480860634835E-2</v>
      </c>
      <c r="K230" s="8">
        <f t="shared" ca="1" si="243"/>
        <v>7.6589940876982149E-2</v>
      </c>
      <c r="L230" s="8">
        <f t="shared" ca="1" si="243"/>
        <v>7.3174047564834574E-2</v>
      </c>
      <c r="M230" s="8">
        <f t="shared" ca="1" si="243"/>
        <v>7.7381019057846612E-2</v>
      </c>
      <c r="N230" s="8">
        <f t="shared" ca="1" si="243"/>
        <v>6.7307235372308941E-2</v>
      </c>
      <c r="O230" s="8">
        <f t="shared" ca="1" si="243"/>
        <v>6.9539202527761343E-2</v>
      </c>
    </row>
    <row r="231" spans="2:15">
      <c r="B231" s="3">
        <v>210</v>
      </c>
      <c r="C231" s="8">
        <f t="shared" si="226"/>
        <v>0.05</v>
      </c>
      <c r="D231" s="8">
        <f t="shared" ref="D231:O231" ca="1" si="244">C231+k*(theta-C231)*dt+vol*SQRT(dt)*_xlfn.NORM.S.INV(RAND())</f>
        <v>4.8797863472478796E-2</v>
      </c>
      <c r="E231" s="8">
        <f t="shared" ca="1" si="244"/>
        <v>5.5030334273929352E-2</v>
      </c>
      <c r="F231" s="8">
        <f t="shared" ca="1" si="244"/>
        <v>5.6774378684930529E-2</v>
      </c>
      <c r="G231" s="8">
        <f t="shared" ca="1" si="244"/>
        <v>4.709497523964374E-2</v>
      </c>
      <c r="H231" s="8">
        <f t="shared" ca="1" si="244"/>
        <v>4.5985753007459843E-2</v>
      </c>
      <c r="I231" s="8">
        <f t="shared" ca="1" si="244"/>
        <v>4.4763911859234132E-2</v>
      </c>
      <c r="J231" s="8">
        <f t="shared" ca="1" si="244"/>
        <v>4.4525093252841465E-2</v>
      </c>
      <c r="K231" s="8">
        <f t="shared" ca="1" si="244"/>
        <v>5.2158547368650748E-2</v>
      </c>
      <c r="L231" s="8">
        <f t="shared" ca="1" si="244"/>
        <v>5.6000990213474905E-2</v>
      </c>
      <c r="M231" s="8">
        <f t="shared" ca="1" si="244"/>
        <v>6.4303446790231186E-2</v>
      </c>
      <c r="N231" s="8">
        <f t="shared" ca="1" si="244"/>
        <v>7.5291133268443847E-2</v>
      </c>
      <c r="O231" s="8">
        <f t="shared" ca="1" si="244"/>
        <v>7.7094321861272339E-2</v>
      </c>
    </row>
    <row r="232" spans="2:15">
      <c r="B232" s="3">
        <v>211</v>
      </c>
      <c r="C232" s="8">
        <f t="shared" si="226"/>
        <v>0.05</v>
      </c>
      <c r="D232" s="8">
        <f t="shared" ref="D232:O232" ca="1" si="245">C232+k*(theta-C232)*dt+vol*SQRT(dt)*_xlfn.NORM.S.INV(RAND())</f>
        <v>5.3531541600806233E-2</v>
      </c>
      <c r="E232" s="8">
        <f t="shared" ca="1" si="245"/>
        <v>5.3612458536387887E-2</v>
      </c>
      <c r="F232" s="8">
        <f t="shared" ca="1" si="245"/>
        <v>4.7410321584954132E-2</v>
      </c>
      <c r="G232" s="8">
        <f t="shared" ca="1" si="245"/>
        <v>4.1251412438311048E-2</v>
      </c>
      <c r="H232" s="8">
        <f t="shared" ca="1" si="245"/>
        <v>5.4651499573406814E-2</v>
      </c>
      <c r="I232" s="8">
        <f t="shared" ca="1" si="245"/>
        <v>4.0429656821712616E-2</v>
      </c>
      <c r="J232" s="8">
        <f t="shared" ca="1" si="245"/>
        <v>5.3639918345320975E-2</v>
      </c>
      <c r="K232" s="8">
        <f t="shared" ca="1" si="245"/>
        <v>4.6363166849754146E-2</v>
      </c>
      <c r="L232" s="8">
        <f t="shared" ca="1" si="245"/>
        <v>5.4779480976911051E-2</v>
      </c>
      <c r="M232" s="8">
        <f t="shared" ca="1" si="245"/>
        <v>6.0228222297130249E-2</v>
      </c>
      <c r="N232" s="8">
        <f t="shared" ca="1" si="245"/>
        <v>5.2203719905125824E-2</v>
      </c>
      <c r="O232" s="8">
        <f t="shared" ca="1" si="245"/>
        <v>6.1256612800932086E-2</v>
      </c>
    </row>
    <row r="233" spans="2:15">
      <c r="B233" s="3">
        <v>212</v>
      </c>
      <c r="C233" s="8">
        <f t="shared" si="226"/>
        <v>0.05</v>
      </c>
      <c r="D233" s="8">
        <f t="shared" ref="D233:O233" ca="1" si="246">C233+k*(theta-C233)*dt+vol*SQRT(dt)*_xlfn.NORM.S.INV(RAND())</f>
        <v>5.281516975766011E-2</v>
      </c>
      <c r="E233" s="8">
        <f t="shared" ca="1" si="246"/>
        <v>5.0698185846408297E-2</v>
      </c>
      <c r="F233" s="8">
        <f t="shared" ca="1" si="246"/>
        <v>5.2989613029716491E-2</v>
      </c>
      <c r="G233" s="8">
        <f t="shared" ca="1" si="246"/>
        <v>4.601784512530576E-2</v>
      </c>
      <c r="H233" s="8">
        <f t="shared" ca="1" si="246"/>
        <v>5.3573506280190149E-2</v>
      </c>
      <c r="I233" s="8">
        <f t="shared" ca="1" si="246"/>
        <v>5.722819077664365E-2</v>
      </c>
      <c r="J233" s="8">
        <f t="shared" ca="1" si="246"/>
        <v>6.6251622034497998E-2</v>
      </c>
      <c r="K233" s="8">
        <f t="shared" ca="1" si="246"/>
        <v>5.9078797328852899E-2</v>
      </c>
      <c r="L233" s="8">
        <f t="shared" ca="1" si="246"/>
        <v>5.7320239172261624E-2</v>
      </c>
      <c r="M233" s="8">
        <f t="shared" ca="1" si="246"/>
        <v>5.6502182228446621E-2</v>
      </c>
      <c r="N233" s="8">
        <f t="shared" ca="1" si="246"/>
        <v>5.1368874978995206E-2</v>
      </c>
      <c r="O233" s="8">
        <f t="shared" ca="1" si="246"/>
        <v>5.5750937180207093E-2</v>
      </c>
    </row>
    <row r="234" spans="2:15">
      <c r="B234" s="3">
        <v>213</v>
      </c>
      <c r="C234" s="8">
        <f t="shared" si="226"/>
        <v>0.05</v>
      </c>
      <c r="D234" s="8">
        <f t="shared" ref="D234:O234" ca="1" si="247">C234+k*(theta-C234)*dt+vol*SQRT(dt)*_xlfn.NORM.S.INV(RAND())</f>
        <v>6.0745388079128937E-2</v>
      </c>
      <c r="E234" s="8">
        <f t="shared" ca="1" si="247"/>
        <v>5.8386853570347806E-2</v>
      </c>
      <c r="F234" s="8">
        <f t="shared" ca="1" si="247"/>
        <v>5.8445107671165245E-2</v>
      </c>
      <c r="G234" s="8">
        <f t="shared" ca="1" si="247"/>
        <v>6.2943002920199762E-2</v>
      </c>
      <c r="H234" s="8">
        <f t="shared" ca="1" si="247"/>
        <v>6.5974752864011041E-2</v>
      </c>
      <c r="I234" s="8">
        <f t="shared" ca="1" si="247"/>
        <v>6.9370164434607223E-2</v>
      </c>
      <c r="J234" s="8">
        <f t="shared" ca="1" si="247"/>
        <v>7.473132963492736E-2</v>
      </c>
      <c r="K234" s="8">
        <f t="shared" ca="1" si="247"/>
        <v>8.6017830943427936E-2</v>
      </c>
      <c r="L234" s="8">
        <f t="shared" ca="1" si="247"/>
        <v>8.1875157952786631E-2</v>
      </c>
      <c r="M234" s="8">
        <f t="shared" ca="1" si="247"/>
        <v>7.5091979906474648E-2</v>
      </c>
      <c r="N234" s="8">
        <f t="shared" ca="1" si="247"/>
        <v>6.9688740675998284E-2</v>
      </c>
      <c r="O234" s="8">
        <f t="shared" ca="1" si="247"/>
        <v>7.0114434284232988E-2</v>
      </c>
    </row>
    <row r="235" spans="2:15">
      <c r="B235" s="3">
        <v>214</v>
      </c>
      <c r="C235" s="8">
        <f t="shared" si="226"/>
        <v>0.05</v>
      </c>
      <c r="D235" s="8">
        <f t="shared" ref="D235:O235" ca="1" si="248">C235+k*(theta-C235)*dt+vol*SQRT(dt)*_xlfn.NORM.S.INV(RAND())</f>
        <v>5.7809448819577731E-2</v>
      </c>
      <c r="E235" s="8">
        <f t="shared" ca="1" si="248"/>
        <v>5.7984941905279037E-2</v>
      </c>
      <c r="F235" s="8">
        <f t="shared" ca="1" si="248"/>
        <v>6.4345269440446815E-2</v>
      </c>
      <c r="G235" s="8">
        <f t="shared" ca="1" si="248"/>
        <v>5.8786170938289313E-2</v>
      </c>
      <c r="H235" s="8">
        <f t="shared" ca="1" si="248"/>
        <v>4.989391254903356E-2</v>
      </c>
      <c r="I235" s="8">
        <f t="shared" ca="1" si="248"/>
        <v>5.983418044432913E-2</v>
      </c>
      <c r="J235" s="8">
        <f t="shared" ca="1" si="248"/>
        <v>6.4967819180043893E-2</v>
      </c>
      <c r="K235" s="8">
        <f t="shared" ca="1" si="248"/>
        <v>5.8440927208899603E-2</v>
      </c>
      <c r="L235" s="8">
        <f t="shared" ca="1" si="248"/>
        <v>6.005970439418909E-2</v>
      </c>
      <c r="M235" s="8">
        <f t="shared" ca="1" si="248"/>
        <v>6.8595984749303368E-2</v>
      </c>
      <c r="N235" s="8">
        <f t="shared" ca="1" si="248"/>
        <v>6.2694579877144593E-2</v>
      </c>
      <c r="O235" s="8">
        <f t="shared" ca="1" si="248"/>
        <v>6.5629636752108964E-2</v>
      </c>
    </row>
    <row r="236" spans="2:15">
      <c r="B236" s="3">
        <v>215</v>
      </c>
      <c r="C236" s="8">
        <f t="shared" si="226"/>
        <v>0.05</v>
      </c>
      <c r="D236" s="8">
        <f t="shared" ref="D236:O236" ca="1" si="249">C236+k*(theta-C236)*dt+vol*SQRT(dt)*_xlfn.NORM.S.INV(RAND())</f>
        <v>5.1607350282668066E-2</v>
      </c>
      <c r="E236" s="8">
        <f t="shared" ca="1" si="249"/>
        <v>5.7671475006388445E-2</v>
      </c>
      <c r="F236" s="8">
        <f t="shared" ca="1" si="249"/>
        <v>6.3830169328894432E-2</v>
      </c>
      <c r="G236" s="8">
        <f t="shared" ca="1" si="249"/>
        <v>6.2879670123129283E-2</v>
      </c>
      <c r="H236" s="8">
        <f t="shared" ca="1" si="249"/>
        <v>7.0449139871070196E-2</v>
      </c>
      <c r="I236" s="8">
        <f t="shared" ca="1" si="249"/>
        <v>6.7520103874445264E-2</v>
      </c>
      <c r="J236" s="8">
        <f t="shared" ca="1" si="249"/>
        <v>6.9111824413580256E-2</v>
      </c>
      <c r="K236" s="8">
        <f t="shared" ca="1" si="249"/>
        <v>6.0321563319348376E-2</v>
      </c>
      <c r="L236" s="8">
        <f t="shared" ca="1" si="249"/>
        <v>6.1298154311124009E-2</v>
      </c>
      <c r="M236" s="8">
        <f t="shared" ca="1" si="249"/>
        <v>5.8720957226915942E-2</v>
      </c>
      <c r="N236" s="8">
        <f t="shared" ca="1" si="249"/>
        <v>6.6148957059715963E-2</v>
      </c>
      <c r="O236" s="8">
        <f t="shared" ca="1" si="249"/>
        <v>5.8964417533765662E-2</v>
      </c>
    </row>
    <row r="237" spans="2:15">
      <c r="B237" s="3">
        <v>216</v>
      </c>
      <c r="C237" s="8">
        <f t="shared" si="226"/>
        <v>0.05</v>
      </c>
      <c r="D237" s="8">
        <f t="shared" ref="D237:O237" ca="1" si="250">C237+k*(theta-C237)*dt+vol*SQRT(dt)*_xlfn.NORM.S.INV(RAND())</f>
        <v>4.3574663702531637E-2</v>
      </c>
      <c r="E237" s="8">
        <f t="shared" ca="1" si="250"/>
        <v>5.2768504336519959E-2</v>
      </c>
      <c r="F237" s="8">
        <f t="shared" ca="1" si="250"/>
        <v>6.2191938221948392E-2</v>
      </c>
      <c r="G237" s="8">
        <f t="shared" ca="1" si="250"/>
        <v>5.7928369285032109E-2</v>
      </c>
      <c r="H237" s="8">
        <f t="shared" ca="1" si="250"/>
        <v>4.8409604103985412E-2</v>
      </c>
      <c r="I237" s="8">
        <f t="shared" ca="1" si="250"/>
        <v>4.8386371758272151E-2</v>
      </c>
      <c r="J237" s="8">
        <f t="shared" ca="1" si="250"/>
        <v>5.6115035297195547E-2</v>
      </c>
      <c r="K237" s="8">
        <f t="shared" ca="1" si="250"/>
        <v>4.742400580172583E-2</v>
      </c>
      <c r="L237" s="8">
        <f t="shared" ca="1" si="250"/>
        <v>4.9583629014791145E-2</v>
      </c>
      <c r="M237" s="8">
        <f t="shared" ca="1" si="250"/>
        <v>5.2701443060564276E-2</v>
      </c>
      <c r="N237" s="8">
        <f t="shared" ca="1" si="250"/>
        <v>6.2494762583027802E-2</v>
      </c>
      <c r="O237" s="8">
        <f t="shared" ca="1" si="250"/>
        <v>6.8177107971585521E-2</v>
      </c>
    </row>
    <row r="238" spans="2:15">
      <c r="B238" s="3">
        <v>217</v>
      </c>
      <c r="C238" s="8">
        <f t="shared" si="226"/>
        <v>0.05</v>
      </c>
      <c r="D238" s="8">
        <f t="shared" ref="D238:O238" ca="1" si="251">C238+k*(theta-C238)*dt+vol*SQRT(dt)*_xlfn.NORM.S.INV(RAND())</f>
        <v>6.3286628859870644E-2</v>
      </c>
      <c r="E238" s="8">
        <f t="shared" ca="1" si="251"/>
        <v>6.8507611423611808E-2</v>
      </c>
      <c r="F238" s="8">
        <f t="shared" ca="1" si="251"/>
        <v>6.6524755368095101E-2</v>
      </c>
      <c r="G238" s="8">
        <f t="shared" ca="1" si="251"/>
        <v>6.7707628624044031E-2</v>
      </c>
      <c r="H238" s="8">
        <f t="shared" ca="1" si="251"/>
        <v>7.1196838803612966E-2</v>
      </c>
      <c r="I238" s="8">
        <f t="shared" ca="1" si="251"/>
        <v>7.5916432113611723E-2</v>
      </c>
      <c r="J238" s="8">
        <f t="shared" ca="1" si="251"/>
        <v>7.5512462965918709E-2</v>
      </c>
      <c r="K238" s="8">
        <f t="shared" ca="1" si="251"/>
        <v>7.2357965179429787E-2</v>
      </c>
      <c r="L238" s="8">
        <f t="shared" ca="1" si="251"/>
        <v>8.4263154460749501E-2</v>
      </c>
      <c r="M238" s="8">
        <f t="shared" ca="1" si="251"/>
        <v>8.5226673032789149E-2</v>
      </c>
      <c r="N238" s="8">
        <f t="shared" ca="1" si="251"/>
        <v>8.5894853307074207E-2</v>
      </c>
      <c r="O238" s="8">
        <f t="shared" ca="1" si="251"/>
        <v>7.9978357434604255E-2</v>
      </c>
    </row>
    <row r="239" spans="2:15">
      <c r="B239" s="3">
        <v>218</v>
      </c>
      <c r="C239" s="8">
        <f t="shared" si="226"/>
        <v>0.05</v>
      </c>
      <c r="D239" s="8">
        <f t="shared" ref="D239:O239" ca="1" si="252">C239+k*(theta-C239)*dt+vol*SQRT(dt)*_xlfn.NORM.S.INV(RAND())</f>
        <v>4.5258594419360344E-2</v>
      </c>
      <c r="E239" s="8">
        <f t="shared" ca="1" si="252"/>
        <v>4.9855890628890266E-2</v>
      </c>
      <c r="F239" s="8">
        <f t="shared" ca="1" si="252"/>
        <v>5.122147320985769E-2</v>
      </c>
      <c r="G239" s="8">
        <f t="shared" ca="1" si="252"/>
        <v>5.1994311664241524E-2</v>
      </c>
      <c r="H239" s="8">
        <f t="shared" ca="1" si="252"/>
        <v>5.5169785800915777E-2</v>
      </c>
      <c r="I239" s="8">
        <f t="shared" ca="1" si="252"/>
        <v>5.1704994648240056E-2</v>
      </c>
      <c r="J239" s="8">
        <f t="shared" ca="1" si="252"/>
        <v>5.4936429028083565E-2</v>
      </c>
      <c r="K239" s="8">
        <f t="shared" ca="1" si="252"/>
        <v>6.0450400492490799E-2</v>
      </c>
      <c r="L239" s="8">
        <f t="shared" ca="1" si="252"/>
        <v>6.1624026345205009E-2</v>
      </c>
      <c r="M239" s="8">
        <f t="shared" ca="1" si="252"/>
        <v>6.342335063405545E-2</v>
      </c>
      <c r="N239" s="8">
        <f t="shared" ca="1" si="252"/>
        <v>6.3504851013612765E-2</v>
      </c>
      <c r="O239" s="8">
        <f t="shared" ca="1" si="252"/>
        <v>5.4774793172085667E-2</v>
      </c>
    </row>
    <row r="240" spans="2:15">
      <c r="B240" s="3">
        <v>219</v>
      </c>
      <c r="C240" s="8">
        <f t="shared" si="226"/>
        <v>0.05</v>
      </c>
      <c r="D240" s="8">
        <f t="shared" ref="D240:O240" ca="1" si="253">C240+k*(theta-C240)*dt+vol*SQRT(dt)*_xlfn.NORM.S.INV(RAND())</f>
        <v>6.121284689072741E-2</v>
      </c>
      <c r="E240" s="8">
        <f t="shared" ca="1" si="253"/>
        <v>5.8484123130443183E-2</v>
      </c>
      <c r="F240" s="8">
        <f t="shared" ca="1" si="253"/>
        <v>6.9230564443481898E-2</v>
      </c>
      <c r="G240" s="8">
        <f t="shared" ca="1" si="253"/>
        <v>6.6137667869774097E-2</v>
      </c>
      <c r="H240" s="8">
        <f t="shared" ca="1" si="253"/>
        <v>6.2273149293209019E-2</v>
      </c>
      <c r="I240" s="8">
        <f t="shared" ca="1" si="253"/>
        <v>5.6339250795705648E-2</v>
      </c>
      <c r="J240" s="8">
        <f t="shared" ca="1" si="253"/>
        <v>5.3407753789128841E-2</v>
      </c>
      <c r="K240" s="8">
        <f t="shared" ca="1" si="253"/>
        <v>4.5136645249947385E-2</v>
      </c>
      <c r="L240" s="8">
        <f t="shared" ca="1" si="253"/>
        <v>4.0891455755758643E-2</v>
      </c>
      <c r="M240" s="8">
        <f t="shared" ca="1" si="253"/>
        <v>4.5868077283292751E-2</v>
      </c>
      <c r="N240" s="8">
        <f t="shared" ca="1" si="253"/>
        <v>4.3246194076210318E-2</v>
      </c>
      <c r="O240" s="8">
        <f t="shared" ca="1" si="253"/>
        <v>5.3683760427315812E-2</v>
      </c>
    </row>
    <row r="241" spans="2:15">
      <c r="B241" s="3">
        <v>220</v>
      </c>
      <c r="C241" s="8">
        <f t="shared" si="226"/>
        <v>0.05</v>
      </c>
      <c r="D241" s="8">
        <f t="shared" ref="D241:O241" ca="1" si="254">C241+k*(theta-C241)*dt+vol*SQRT(dt)*_xlfn.NORM.S.INV(RAND())</f>
        <v>5.6075985106041511E-2</v>
      </c>
      <c r="E241" s="8">
        <f t="shared" ca="1" si="254"/>
        <v>4.7172666495912598E-2</v>
      </c>
      <c r="F241" s="8">
        <f t="shared" ca="1" si="254"/>
        <v>5.8333397613509801E-2</v>
      </c>
      <c r="G241" s="8">
        <f t="shared" ca="1" si="254"/>
        <v>5.4921562397473873E-2</v>
      </c>
      <c r="H241" s="8">
        <f t="shared" ca="1" si="254"/>
        <v>6.0977898747677999E-2</v>
      </c>
      <c r="I241" s="8">
        <f t="shared" ca="1" si="254"/>
        <v>5.6488665143192181E-2</v>
      </c>
      <c r="J241" s="8">
        <f t="shared" ca="1" si="254"/>
        <v>5.5927990565832086E-2</v>
      </c>
      <c r="K241" s="8">
        <f t="shared" ca="1" si="254"/>
        <v>5.9522050332314599E-2</v>
      </c>
      <c r="L241" s="8">
        <f t="shared" ca="1" si="254"/>
        <v>5.7124151794319455E-2</v>
      </c>
      <c r="M241" s="8">
        <f t="shared" ca="1" si="254"/>
        <v>4.800423867720259E-2</v>
      </c>
      <c r="N241" s="8">
        <f t="shared" ca="1" si="254"/>
        <v>5.2430411881846009E-2</v>
      </c>
      <c r="O241" s="8">
        <f t="shared" ca="1" si="254"/>
        <v>5.5346673343877807E-2</v>
      </c>
    </row>
    <row r="242" spans="2:15">
      <c r="B242" s="3">
        <v>221</v>
      </c>
      <c r="C242" s="8">
        <f t="shared" si="226"/>
        <v>0.05</v>
      </c>
      <c r="D242" s="8">
        <f t="shared" ref="D242:O242" ca="1" si="255">C242+k*(theta-C242)*dt+vol*SQRT(dt)*_xlfn.NORM.S.INV(RAND())</f>
        <v>5.2819567667473935E-2</v>
      </c>
      <c r="E242" s="8">
        <f t="shared" ca="1" si="255"/>
        <v>5.7478671769578611E-2</v>
      </c>
      <c r="F242" s="8">
        <f t="shared" ca="1" si="255"/>
        <v>6.2510184998980658E-2</v>
      </c>
      <c r="G242" s="8">
        <f t="shared" ca="1" si="255"/>
        <v>5.6684118681159031E-2</v>
      </c>
      <c r="H242" s="8">
        <f t="shared" ca="1" si="255"/>
        <v>5.6177894381115687E-2</v>
      </c>
      <c r="I242" s="8">
        <f t="shared" ca="1" si="255"/>
        <v>5.1018305423882304E-2</v>
      </c>
      <c r="J242" s="8">
        <f t="shared" ca="1" si="255"/>
        <v>6.0240313046063122E-2</v>
      </c>
      <c r="K242" s="8">
        <f t="shared" ca="1" si="255"/>
        <v>6.3463072104720852E-2</v>
      </c>
      <c r="L242" s="8">
        <f t="shared" ca="1" si="255"/>
        <v>6.994119257451531E-2</v>
      </c>
      <c r="M242" s="8">
        <f t="shared" ca="1" si="255"/>
        <v>6.2291514037178794E-2</v>
      </c>
      <c r="N242" s="8">
        <f t="shared" ca="1" si="255"/>
        <v>6.4919916964948185E-2</v>
      </c>
      <c r="O242" s="8">
        <f t="shared" ca="1" si="255"/>
        <v>6.2184793824301088E-2</v>
      </c>
    </row>
    <row r="243" spans="2:15">
      <c r="B243" s="3">
        <v>222</v>
      </c>
      <c r="C243" s="8">
        <f t="shared" si="226"/>
        <v>0.05</v>
      </c>
      <c r="D243" s="8">
        <f t="shared" ref="D243:O243" ca="1" si="256">C243+k*(theta-C243)*dt+vol*SQRT(dt)*_xlfn.NORM.S.INV(RAND())</f>
        <v>5.2365503986333807E-2</v>
      </c>
      <c r="E243" s="8">
        <f t="shared" ca="1" si="256"/>
        <v>5.2414817930447749E-2</v>
      </c>
      <c r="F243" s="8">
        <f t="shared" ca="1" si="256"/>
        <v>5.3836426713455954E-2</v>
      </c>
      <c r="G243" s="8">
        <f t="shared" ca="1" si="256"/>
        <v>5.6180839148303977E-2</v>
      </c>
      <c r="H243" s="8">
        <f t="shared" ca="1" si="256"/>
        <v>5.8162146351857277E-2</v>
      </c>
      <c r="I243" s="8">
        <f t="shared" ca="1" si="256"/>
        <v>5.9053492741757599E-2</v>
      </c>
      <c r="J243" s="8">
        <f t="shared" ca="1" si="256"/>
        <v>4.7694242322334365E-2</v>
      </c>
      <c r="K243" s="8">
        <f t="shared" ca="1" si="256"/>
        <v>5.3570930355760528E-2</v>
      </c>
      <c r="L243" s="8">
        <f t="shared" ca="1" si="256"/>
        <v>5.1598158277537186E-2</v>
      </c>
      <c r="M243" s="8">
        <f t="shared" ca="1" si="256"/>
        <v>5.3146936193161812E-2</v>
      </c>
      <c r="N243" s="8">
        <f t="shared" ca="1" si="256"/>
        <v>3.8982874300405979E-2</v>
      </c>
      <c r="O243" s="8">
        <f t="shared" ca="1" si="256"/>
        <v>4.6605889165419662E-2</v>
      </c>
    </row>
    <row r="244" spans="2:15">
      <c r="B244" s="3">
        <v>223</v>
      </c>
      <c r="C244" s="8">
        <f t="shared" si="226"/>
        <v>0.05</v>
      </c>
      <c r="D244" s="8">
        <f t="shared" ref="D244:O244" ca="1" si="257">C244+k*(theta-C244)*dt+vol*SQRT(dt)*_xlfn.NORM.S.INV(RAND())</f>
        <v>5.6274440089829895E-2</v>
      </c>
      <c r="E244" s="8">
        <f t="shared" ca="1" si="257"/>
        <v>5.7517163152098323E-2</v>
      </c>
      <c r="F244" s="8">
        <f t="shared" ca="1" si="257"/>
        <v>4.8142880749997757E-2</v>
      </c>
      <c r="G244" s="8">
        <f t="shared" ca="1" si="257"/>
        <v>4.7934957493077454E-2</v>
      </c>
      <c r="H244" s="8">
        <f t="shared" ca="1" si="257"/>
        <v>5.8711126459630128E-2</v>
      </c>
      <c r="I244" s="8">
        <f t="shared" ca="1" si="257"/>
        <v>4.9115253285342747E-2</v>
      </c>
      <c r="J244" s="8">
        <f t="shared" ca="1" si="257"/>
        <v>5.1441065570357575E-2</v>
      </c>
      <c r="K244" s="8">
        <f t="shared" ca="1" si="257"/>
        <v>5.0867987995358313E-2</v>
      </c>
      <c r="L244" s="8">
        <f t="shared" ca="1" si="257"/>
        <v>5.2361568657096638E-2</v>
      </c>
      <c r="M244" s="8">
        <f t="shared" ca="1" si="257"/>
        <v>4.7165548963835457E-2</v>
      </c>
      <c r="N244" s="8">
        <f t="shared" ca="1" si="257"/>
        <v>4.1649965405931418E-2</v>
      </c>
      <c r="O244" s="8">
        <f t="shared" ca="1" si="257"/>
        <v>4.5508703493508169E-2</v>
      </c>
    </row>
    <row r="245" spans="2:15">
      <c r="B245" s="3">
        <v>224</v>
      </c>
      <c r="C245" s="8">
        <f t="shared" si="226"/>
        <v>0.05</v>
      </c>
      <c r="D245" s="8">
        <f t="shared" ref="D245:O245" ca="1" si="258">C245+k*(theta-C245)*dt+vol*SQRT(dt)*_xlfn.NORM.S.INV(RAND())</f>
        <v>5.5250593587432714E-2</v>
      </c>
      <c r="E245" s="8">
        <f t="shared" ca="1" si="258"/>
        <v>5.9821781664539886E-2</v>
      </c>
      <c r="F245" s="8">
        <f t="shared" ca="1" si="258"/>
        <v>5.29625735886722E-2</v>
      </c>
      <c r="G245" s="8">
        <f t="shared" ca="1" si="258"/>
        <v>5.3221247479888656E-2</v>
      </c>
      <c r="H245" s="8">
        <f t="shared" ca="1" si="258"/>
        <v>6.0366966566878053E-2</v>
      </c>
      <c r="I245" s="8">
        <f t="shared" ca="1" si="258"/>
        <v>6.2852605200673456E-2</v>
      </c>
      <c r="J245" s="8">
        <f t="shared" ca="1" si="258"/>
        <v>4.9197359419272321E-2</v>
      </c>
      <c r="K245" s="8">
        <f t="shared" ca="1" si="258"/>
        <v>5.314700812390917E-2</v>
      </c>
      <c r="L245" s="8">
        <f t="shared" ca="1" si="258"/>
        <v>5.5078240476989331E-2</v>
      </c>
      <c r="M245" s="8">
        <f t="shared" ca="1" si="258"/>
        <v>5.684553181343658E-2</v>
      </c>
      <c r="N245" s="8">
        <f t="shared" ca="1" si="258"/>
        <v>4.90842393713787E-2</v>
      </c>
      <c r="O245" s="8">
        <f t="shared" ca="1" si="258"/>
        <v>4.0773429934285961E-2</v>
      </c>
    </row>
    <row r="246" spans="2:15">
      <c r="B246" s="3">
        <v>225</v>
      </c>
      <c r="C246" s="8">
        <f t="shared" si="226"/>
        <v>0.05</v>
      </c>
      <c r="D246" s="8">
        <f t="shared" ref="D246:O246" ca="1" si="259">C246+k*(theta-C246)*dt+vol*SQRT(dt)*_xlfn.NORM.S.INV(RAND())</f>
        <v>5.3860194144560794E-2</v>
      </c>
      <c r="E246" s="8">
        <f t="shared" ca="1" si="259"/>
        <v>5.0135226115926447E-2</v>
      </c>
      <c r="F246" s="8">
        <f t="shared" ca="1" si="259"/>
        <v>4.9999332418454681E-2</v>
      </c>
      <c r="G246" s="8">
        <f t="shared" ca="1" si="259"/>
        <v>5.7601331922406379E-2</v>
      </c>
      <c r="H246" s="8">
        <f t="shared" ca="1" si="259"/>
        <v>7.0423446815602711E-2</v>
      </c>
      <c r="I246" s="8">
        <f t="shared" ca="1" si="259"/>
        <v>7.0571213233723951E-2</v>
      </c>
      <c r="J246" s="8">
        <f t="shared" ca="1" si="259"/>
        <v>6.7874247363251025E-2</v>
      </c>
      <c r="K246" s="8">
        <f t="shared" ca="1" si="259"/>
        <v>6.5060048324298514E-2</v>
      </c>
      <c r="L246" s="8">
        <f t="shared" ca="1" si="259"/>
        <v>6.843992570110935E-2</v>
      </c>
      <c r="M246" s="8">
        <f t="shared" ca="1" si="259"/>
        <v>7.3310589764518833E-2</v>
      </c>
      <c r="N246" s="8">
        <f t="shared" ca="1" si="259"/>
        <v>7.324496753773832E-2</v>
      </c>
      <c r="O246" s="8">
        <f t="shared" ca="1" si="259"/>
        <v>7.6848627820557056E-2</v>
      </c>
    </row>
    <row r="247" spans="2:15">
      <c r="B247" s="3">
        <v>226</v>
      </c>
      <c r="C247" s="8">
        <f t="shared" si="226"/>
        <v>0.05</v>
      </c>
      <c r="D247" s="8">
        <f t="shared" ref="D247:O247" ca="1" si="260">C247+k*(theta-C247)*dt+vol*SQRT(dt)*_xlfn.NORM.S.INV(RAND())</f>
        <v>5.5046848488491153E-2</v>
      </c>
      <c r="E247" s="8">
        <f t="shared" ca="1" si="260"/>
        <v>6.8733887066776106E-2</v>
      </c>
      <c r="F247" s="8">
        <f t="shared" ca="1" si="260"/>
        <v>7.4525087536592274E-2</v>
      </c>
      <c r="G247" s="8">
        <f t="shared" ca="1" si="260"/>
        <v>8.4205910323405034E-2</v>
      </c>
      <c r="H247" s="8">
        <f t="shared" ca="1" si="260"/>
        <v>8.464854303364816E-2</v>
      </c>
      <c r="I247" s="8">
        <f t="shared" ca="1" si="260"/>
        <v>8.1979924193886403E-2</v>
      </c>
      <c r="J247" s="8">
        <f t="shared" ca="1" si="260"/>
        <v>7.9039744136227441E-2</v>
      </c>
      <c r="K247" s="8">
        <f t="shared" ca="1" si="260"/>
        <v>8.2729471216610867E-2</v>
      </c>
      <c r="L247" s="8">
        <f t="shared" ca="1" si="260"/>
        <v>7.4668130075158753E-2</v>
      </c>
      <c r="M247" s="8">
        <f t="shared" ca="1" si="260"/>
        <v>7.8304174915208538E-2</v>
      </c>
      <c r="N247" s="8">
        <f t="shared" ca="1" si="260"/>
        <v>7.706735696032839E-2</v>
      </c>
      <c r="O247" s="8">
        <f t="shared" ca="1" si="260"/>
        <v>7.5685552340179582E-2</v>
      </c>
    </row>
    <row r="248" spans="2:15">
      <c r="B248" s="3">
        <v>227</v>
      </c>
      <c r="C248" s="8">
        <f t="shared" si="226"/>
        <v>0.05</v>
      </c>
      <c r="D248" s="8">
        <f t="shared" ref="D248:O248" ca="1" si="261">C248+k*(theta-C248)*dt+vol*SQRT(dt)*_xlfn.NORM.S.INV(RAND())</f>
        <v>5.1336445811991753E-2</v>
      </c>
      <c r="E248" s="8">
        <f t="shared" ca="1" si="261"/>
        <v>5.0042810195541E-2</v>
      </c>
      <c r="F248" s="8">
        <f t="shared" ca="1" si="261"/>
        <v>4.5124149261752206E-2</v>
      </c>
      <c r="G248" s="8">
        <f t="shared" ca="1" si="261"/>
        <v>4.8400875732202878E-2</v>
      </c>
      <c r="H248" s="8">
        <f t="shared" ca="1" si="261"/>
        <v>5.1364045554314494E-2</v>
      </c>
      <c r="I248" s="8">
        <f t="shared" ca="1" si="261"/>
        <v>5.7328906111809776E-2</v>
      </c>
      <c r="J248" s="8">
        <f t="shared" ca="1" si="261"/>
        <v>6.0589207276334593E-2</v>
      </c>
      <c r="K248" s="8">
        <f t="shared" ca="1" si="261"/>
        <v>6.0393995420355145E-2</v>
      </c>
      <c r="L248" s="8">
        <f t="shared" ca="1" si="261"/>
        <v>7.0536854879674621E-2</v>
      </c>
      <c r="M248" s="8">
        <f t="shared" ca="1" si="261"/>
        <v>5.9483510645558998E-2</v>
      </c>
      <c r="N248" s="8">
        <f t="shared" ca="1" si="261"/>
        <v>6.2254304872231797E-2</v>
      </c>
      <c r="O248" s="8">
        <f t="shared" ca="1" si="261"/>
        <v>6.72979189673997E-2</v>
      </c>
    </row>
    <row r="249" spans="2:15">
      <c r="B249" s="3">
        <v>228</v>
      </c>
      <c r="C249" s="8">
        <f t="shared" si="226"/>
        <v>0.05</v>
      </c>
      <c r="D249" s="8">
        <f t="shared" ref="D249:O249" ca="1" si="262">C249+k*(theta-C249)*dt+vol*SQRT(dt)*_xlfn.NORM.S.INV(RAND())</f>
        <v>5.1760985746422815E-2</v>
      </c>
      <c r="E249" s="8">
        <f t="shared" ca="1" si="262"/>
        <v>5.7555259440950579E-2</v>
      </c>
      <c r="F249" s="8">
        <f t="shared" ca="1" si="262"/>
        <v>6.0277829881657558E-2</v>
      </c>
      <c r="G249" s="8">
        <f t="shared" ca="1" si="262"/>
        <v>6.1324685152967878E-2</v>
      </c>
      <c r="H249" s="8">
        <f t="shared" ca="1" si="262"/>
        <v>6.4186613613207974E-2</v>
      </c>
      <c r="I249" s="8">
        <f t="shared" ca="1" si="262"/>
        <v>7.0926627719732127E-2</v>
      </c>
      <c r="J249" s="8">
        <f t="shared" ca="1" si="262"/>
        <v>7.1899115448019066E-2</v>
      </c>
      <c r="K249" s="8">
        <f t="shared" ca="1" si="262"/>
        <v>7.4960774747574732E-2</v>
      </c>
      <c r="L249" s="8">
        <f t="shared" ca="1" si="262"/>
        <v>7.8589260554764243E-2</v>
      </c>
      <c r="M249" s="8">
        <f t="shared" ca="1" si="262"/>
        <v>7.4126338756191984E-2</v>
      </c>
      <c r="N249" s="8">
        <f t="shared" ca="1" si="262"/>
        <v>7.2816763515524754E-2</v>
      </c>
      <c r="O249" s="8">
        <f t="shared" ca="1" si="262"/>
        <v>7.2020083504231586E-2</v>
      </c>
    </row>
    <row r="250" spans="2:15">
      <c r="B250" s="3">
        <v>229</v>
      </c>
      <c r="C250" s="8">
        <f t="shared" si="226"/>
        <v>0.05</v>
      </c>
      <c r="D250" s="8">
        <f t="shared" ref="D250:O250" ca="1" si="263">C250+k*(theta-C250)*dt+vol*SQRT(dt)*_xlfn.NORM.S.INV(RAND())</f>
        <v>5.621370426634438E-2</v>
      </c>
      <c r="E250" s="8">
        <f t="shared" ca="1" si="263"/>
        <v>6.5794194160792407E-2</v>
      </c>
      <c r="F250" s="8">
        <f t="shared" ca="1" si="263"/>
        <v>6.6133306623770163E-2</v>
      </c>
      <c r="G250" s="8">
        <f t="shared" ca="1" si="263"/>
        <v>7.1269523931576692E-2</v>
      </c>
      <c r="H250" s="8">
        <f t="shared" ca="1" si="263"/>
        <v>7.7225704806832593E-2</v>
      </c>
      <c r="I250" s="8">
        <f t="shared" ca="1" si="263"/>
        <v>8.0869341064457173E-2</v>
      </c>
      <c r="J250" s="8">
        <f t="shared" ca="1" si="263"/>
        <v>8.8121370391163523E-2</v>
      </c>
      <c r="K250" s="8">
        <f t="shared" ca="1" si="263"/>
        <v>7.8187366818218557E-2</v>
      </c>
      <c r="L250" s="8">
        <f t="shared" ca="1" si="263"/>
        <v>8.6735238103870349E-2</v>
      </c>
      <c r="M250" s="8">
        <f t="shared" ca="1" si="263"/>
        <v>8.8968557037392093E-2</v>
      </c>
      <c r="N250" s="8">
        <f t="shared" ca="1" si="263"/>
        <v>8.2832176315738817E-2</v>
      </c>
      <c r="O250" s="8">
        <f t="shared" ca="1" si="263"/>
        <v>7.8132108988010179E-2</v>
      </c>
    </row>
    <row r="251" spans="2:15">
      <c r="B251" s="3">
        <v>230</v>
      </c>
      <c r="C251" s="8">
        <f t="shared" si="226"/>
        <v>0.05</v>
      </c>
      <c r="D251" s="8">
        <f t="shared" ref="D251:O251" ca="1" si="264">C251+k*(theta-C251)*dt+vol*SQRT(dt)*_xlfn.NORM.S.INV(RAND())</f>
        <v>4.5076402115682195E-2</v>
      </c>
      <c r="E251" s="8">
        <f t="shared" ca="1" si="264"/>
        <v>4.4103756750288201E-2</v>
      </c>
      <c r="F251" s="8">
        <f t="shared" ca="1" si="264"/>
        <v>4.8200912302462678E-2</v>
      </c>
      <c r="G251" s="8">
        <f t="shared" ca="1" si="264"/>
        <v>4.6281595120052206E-2</v>
      </c>
      <c r="H251" s="8">
        <f t="shared" ca="1" si="264"/>
        <v>5.1549954543487597E-2</v>
      </c>
      <c r="I251" s="8">
        <f t="shared" ca="1" si="264"/>
        <v>5.3649401108919297E-2</v>
      </c>
      <c r="J251" s="8">
        <f t="shared" ca="1" si="264"/>
        <v>5.691939729366078E-2</v>
      </c>
      <c r="K251" s="8">
        <f t="shared" ca="1" si="264"/>
        <v>5.5632766189123758E-2</v>
      </c>
      <c r="L251" s="8">
        <f t="shared" ca="1" si="264"/>
        <v>6.5192030064075715E-2</v>
      </c>
      <c r="M251" s="8">
        <f t="shared" ca="1" si="264"/>
        <v>6.3043192921406921E-2</v>
      </c>
      <c r="N251" s="8">
        <f t="shared" ca="1" si="264"/>
        <v>6.8197830154419742E-2</v>
      </c>
      <c r="O251" s="8">
        <f t="shared" ca="1" si="264"/>
        <v>6.2782709812587226E-2</v>
      </c>
    </row>
    <row r="252" spans="2:15">
      <c r="B252" s="3">
        <v>231</v>
      </c>
      <c r="C252" s="8">
        <f t="shared" si="226"/>
        <v>0.05</v>
      </c>
      <c r="D252" s="8">
        <f t="shared" ref="D252:O252" ca="1" si="265">C252+k*(theta-C252)*dt+vol*SQRT(dt)*_xlfn.NORM.S.INV(RAND())</f>
        <v>6.3192417630534584E-2</v>
      </c>
      <c r="E252" s="8">
        <f t="shared" ca="1" si="265"/>
        <v>6.9518068531755212E-2</v>
      </c>
      <c r="F252" s="8">
        <f t="shared" ca="1" si="265"/>
        <v>7.4321394848591044E-2</v>
      </c>
      <c r="G252" s="8">
        <f t="shared" ca="1" si="265"/>
        <v>7.5449131977809586E-2</v>
      </c>
      <c r="H252" s="8">
        <f t="shared" ca="1" si="265"/>
        <v>7.8652357641495571E-2</v>
      </c>
      <c r="I252" s="8">
        <f t="shared" ca="1" si="265"/>
        <v>8.6435845259092134E-2</v>
      </c>
      <c r="J252" s="8">
        <f t="shared" ca="1" si="265"/>
        <v>9.0890119633540795E-2</v>
      </c>
      <c r="K252" s="8">
        <f t="shared" ca="1" si="265"/>
        <v>9.5180358949115945E-2</v>
      </c>
      <c r="L252" s="8">
        <f t="shared" ca="1" si="265"/>
        <v>9.1879847048455018E-2</v>
      </c>
      <c r="M252" s="8">
        <f t="shared" ca="1" si="265"/>
        <v>8.915873313841563E-2</v>
      </c>
      <c r="N252" s="8">
        <f t="shared" ca="1" si="265"/>
        <v>8.4541966356185688E-2</v>
      </c>
      <c r="O252" s="8">
        <f t="shared" ca="1" si="265"/>
        <v>8.1204257046784953E-2</v>
      </c>
    </row>
    <row r="253" spans="2:15">
      <c r="B253" s="3">
        <v>232</v>
      </c>
      <c r="C253" s="8">
        <f t="shared" si="226"/>
        <v>0.05</v>
      </c>
      <c r="D253" s="8">
        <f t="shared" ref="D253:O253" ca="1" si="266">C253+k*(theta-C253)*dt+vol*SQRT(dt)*_xlfn.NORM.S.INV(RAND())</f>
        <v>5.2935757314128279E-2</v>
      </c>
      <c r="E253" s="8">
        <f t="shared" ca="1" si="266"/>
        <v>5.944331403413923E-2</v>
      </c>
      <c r="F253" s="8">
        <f t="shared" ca="1" si="266"/>
        <v>6.0312875960802224E-2</v>
      </c>
      <c r="G253" s="8">
        <f t="shared" ca="1" si="266"/>
        <v>6.0798176349871745E-2</v>
      </c>
      <c r="H253" s="8">
        <f t="shared" ca="1" si="266"/>
        <v>6.3111232967752035E-2</v>
      </c>
      <c r="I253" s="8">
        <f t="shared" ca="1" si="266"/>
        <v>6.6490159078186659E-2</v>
      </c>
      <c r="J253" s="8">
        <f t="shared" ca="1" si="266"/>
        <v>5.7798924678133898E-2</v>
      </c>
      <c r="K253" s="8">
        <f t="shared" ca="1" si="266"/>
        <v>6.2135414174432989E-2</v>
      </c>
      <c r="L253" s="8">
        <f t="shared" ca="1" si="266"/>
        <v>7.46248422689757E-2</v>
      </c>
      <c r="M253" s="8">
        <f t="shared" ca="1" si="266"/>
        <v>7.4842739881155321E-2</v>
      </c>
      <c r="N253" s="8">
        <f t="shared" ca="1" si="266"/>
        <v>7.1522737019146507E-2</v>
      </c>
      <c r="O253" s="8">
        <f t="shared" ca="1" si="266"/>
        <v>7.9701714291720474E-2</v>
      </c>
    </row>
    <row r="254" spans="2:15">
      <c r="B254" s="3">
        <v>233</v>
      </c>
      <c r="C254" s="8">
        <f t="shared" si="226"/>
        <v>0.05</v>
      </c>
      <c r="D254" s="8">
        <f t="shared" ref="D254:O254" ca="1" si="267">C254+k*(theta-C254)*dt+vol*SQRT(dt)*_xlfn.NORM.S.INV(RAND())</f>
        <v>6.3092422694239966E-2</v>
      </c>
      <c r="E254" s="8">
        <f t="shared" ca="1" si="267"/>
        <v>6.3595795348020914E-2</v>
      </c>
      <c r="F254" s="8">
        <f t="shared" ca="1" si="267"/>
        <v>6.0459643068613872E-2</v>
      </c>
      <c r="G254" s="8">
        <f t="shared" ca="1" si="267"/>
        <v>6.6640811595768665E-2</v>
      </c>
      <c r="H254" s="8">
        <f t="shared" ca="1" si="267"/>
        <v>6.5943219589715135E-2</v>
      </c>
      <c r="I254" s="8">
        <f t="shared" ca="1" si="267"/>
        <v>6.8932505998437352E-2</v>
      </c>
      <c r="J254" s="8">
        <f t="shared" ca="1" si="267"/>
        <v>6.9206537582336622E-2</v>
      </c>
      <c r="K254" s="8">
        <f t="shared" ca="1" si="267"/>
        <v>7.216208764687064E-2</v>
      </c>
      <c r="L254" s="8">
        <f t="shared" ca="1" si="267"/>
        <v>7.57757760413659E-2</v>
      </c>
      <c r="M254" s="8">
        <f t="shared" ca="1" si="267"/>
        <v>8.6361347977183811E-2</v>
      </c>
      <c r="N254" s="8">
        <f t="shared" ca="1" si="267"/>
        <v>8.1562311361408082E-2</v>
      </c>
      <c r="O254" s="8">
        <f t="shared" ca="1" si="267"/>
        <v>8.7821866902593609E-2</v>
      </c>
    </row>
    <row r="255" spans="2:15">
      <c r="B255" s="3">
        <v>234</v>
      </c>
      <c r="C255" s="8">
        <f t="shared" si="226"/>
        <v>0.05</v>
      </c>
      <c r="D255" s="8">
        <f t="shared" ref="D255:O255" ca="1" si="268">C255+k*(theta-C255)*dt+vol*SQRT(dt)*_xlfn.NORM.S.INV(RAND())</f>
        <v>4.907552663831917E-2</v>
      </c>
      <c r="E255" s="8">
        <f t="shared" ca="1" si="268"/>
        <v>5.8618797872644089E-2</v>
      </c>
      <c r="F255" s="8">
        <f t="shared" ca="1" si="268"/>
        <v>7.2022321063182529E-2</v>
      </c>
      <c r="G255" s="8">
        <f t="shared" ca="1" si="268"/>
        <v>7.1617791392561372E-2</v>
      </c>
      <c r="H255" s="8">
        <f t="shared" ca="1" si="268"/>
        <v>6.7869091877977919E-2</v>
      </c>
      <c r="I255" s="8">
        <f t="shared" ca="1" si="268"/>
        <v>6.4445076010447563E-2</v>
      </c>
      <c r="J255" s="8">
        <f t="shared" ca="1" si="268"/>
        <v>7.2023442549576003E-2</v>
      </c>
      <c r="K255" s="8">
        <f t="shared" ca="1" si="268"/>
        <v>6.92393811111848E-2</v>
      </c>
      <c r="L255" s="8">
        <f t="shared" ca="1" si="268"/>
        <v>5.4149331467603506E-2</v>
      </c>
      <c r="M255" s="8">
        <f t="shared" ca="1" si="268"/>
        <v>6.1701106301235931E-2</v>
      </c>
      <c r="N255" s="8">
        <f t="shared" ca="1" si="268"/>
        <v>4.7949288492700373E-2</v>
      </c>
      <c r="O255" s="8">
        <f t="shared" ca="1" si="268"/>
        <v>4.9988201426165439E-2</v>
      </c>
    </row>
    <row r="256" spans="2:15">
      <c r="B256" s="3">
        <v>235</v>
      </c>
      <c r="C256" s="8">
        <f t="shared" si="226"/>
        <v>0.05</v>
      </c>
      <c r="D256" s="8">
        <f t="shared" ref="D256:O256" ca="1" si="269">C256+k*(theta-C256)*dt+vol*SQRT(dt)*_xlfn.NORM.S.INV(RAND())</f>
        <v>5.2686287462806021E-2</v>
      </c>
      <c r="E256" s="8">
        <f t="shared" ca="1" si="269"/>
        <v>7.0927985764211415E-2</v>
      </c>
      <c r="F256" s="8">
        <f t="shared" ca="1" si="269"/>
        <v>7.140499752619997E-2</v>
      </c>
      <c r="G256" s="8">
        <f t="shared" ca="1" si="269"/>
        <v>7.7717315954727986E-2</v>
      </c>
      <c r="H256" s="8">
        <f t="shared" ca="1" si="269"/>
        <v>8.277710490903907E-2</v>
      </c>
      <c r="I256" s="8">
        <f t="shared" ca="1" si="269"/>
        <v>8.2239110350472808E-2</v>
      </c>
      <c r="J256" s="8">
        <f t="shared" ca="1" si="269"/>
        <v>7.6419234273324255E-2</v>
      </c>
      <c r="K256" s="8">
        <f t="shared" ca="1" si="269"/>
        <v>8.2783980892494113E-2</v>
      </c>
      <c r="L256" s="8">
        <f t="shared" ca="1" si="269"/>
        <v>8.0720726662028758E-2</v>
      </c>
      <c r="M256" s="8">
        <f t="shared" ca="1" si="269"/>
        <v>8.0022171721657709E-2</v>
      </c>
      <c r="N256" s="8">
        <f t="shared" ca="1" si="269"/>
        <v>6.6034456509068348E-2</v>
      </c>
      <c r="O256" s="8">
        <f t="shared" ca="1" si="269"/>
        <v>6.7088126242477425E-2</v>
      </c>
    </row>
    <row r="257" spans="2:15">
      <c r="B257" s="3">
        <v>236</v>
      </c>
      <c r="C257" s="8">
        <f t="shared" si="226"/>
        <v>0.05</v>
      </c>
      <c r="D257" s="8">
        <f t="shared" ref="D257:O257" ca="1" si="270">C257+k*(theta-C257)*dt+vol*SQRT(dt)*_xlfn.NORM.S.INV(RAND())</f>
        <v>4.8363568111995096E-2</v>
      </c>
      <c r="E257" s="8">
        <f t="shared" ca="1" si="270"/>
        <v>5.7642610265731913E-2</v>
      </c>
      <c r="F257" s="8">
        <f t="shared" ca="1" si="270"/>
        <v>5.4443884733860276E-2</v>
      </c>
      <c r="G257" s="8">
        <f t="shared" ca="1" si="270"/>
        <v>4.3653349758595354E-2</v>
      </c>
      <c r="H257" s="8">
        <f t="shared" ca="1" si="270"/>
        <v>3.8199527221472643E-2</v>
      </c>
      <c r="I257" s="8">
        <f t="shared" ca="1" si="270"/>
        <v>4.53630821919229E-2</v>
      </c>
      <c r="J257" s="8">
        <f t="shared" ca="1" si="270"/>
        <v>4.9139326547835427E-2</v>
      </c>
      <c r="K257" s="8">
        <f t="shared" ca="1" si="270"/>
        <v>4.0682768081969065E-2</v>
      </c>
      <c r="L257" s="8">
        <f t="shared" ca="1" si="270"/>
        <v>4.3459574857953584E-2</v>
      </c>
      <c r="M257" s="8">
        <f t="shared" ca="1" si="270"/>
        <v>3.8561782855482944E-2</v>
      </c>
      <c r="N257" s="8">
        <f t="shared" ca="1" si="270"/>
        <v>3.109796652169939E-2</v>
      </c>
      <c r="O257" s="8">
        <f t="shared" ca="1" si="270"/>
        <v>3.4283391535130409E-2</v>
      </c>
    </row>
    <row r="258" spans="2:15">
      <c r="B258" s="3">
        <v>237</v>
      </c>
      <c r="C258" s="8">
        <f t="shared" si="226"/>
        <v>0.05</v>
      </c>
      <c r="D258" s="8">
        <f t="shared" ref="D258:O258" ca="1" si="271">C258+k*(theta-C258)*dt+vol*SQRT(dt)*_xlfn.NORM.S.INV(RAND())</f>
        <v>4.8764069037883051E-2</v>
      </c>
      <c r="E258" s="8">
        <f t="shared" ca="1" si="271"/>
        <v>5.9878606108381686E-2</v>
      </c>
      <c r="F258" s="8">
        <f t="shared" ca="1" si="271"/>
        <v>6.2173079295950735E-2</v>
      </c>
      <c r="G258" s="8">
        <f t="shared" ca="1" si="271"/>
        <v>6.2664927169439957E-2</v>
      </c>
      <c r="H258" s="8">
        <f t="shared" ca="1" si="271"/>
        <v>7.9263631996170258E-2</v>
      </c>
      <c r="I258" s="8">
        <f t="shared" ca="1" si="271"/>
        <v>7.2135955786956515E-2</v>
      </c>
      <c r="J258" s="8">
        <f t="shared" ca="1" si="271"/>
        <v>6.8081883559790946E-2</v>
      </c>
      <c r="K258" s="8">
        <f t="shared" ca="1" si="271"/>
        <v>6.4454733093069511E-2</v>
      </c>
      <c r="L258" s="8">
        <f t="shared" ca="1" si="271"/>
        <v>5.2250749461128218E-2</v>
      </c>
      <c r="M258" s="8">
        <f t="shared" ca="1" si="271"/>
        <v>5.8635549180794708E-2</v>
      </c>
      <c r="N258" s="8">
        <f t="shared" ca="1" si="271"/>
        <v>6.1626313850716423E-2</v>
      </c>
      <c r="O258" s="8">
        <f t="shared" ca="1" si="271"/>
        <v>6.2060473709061398E-2</v>
      </c>
    </row>
    <row r="259" spans="2:15">
      <c r="B259" s="3">
        <v>238</v>
      </c>
      <c r="C259" s="8">
        <f t="shared" si="226"/>
        <v>0.05</v>
      </c>
      <c r="D259" s="8">
        <f t="shared" ref="D259:O259" ca="1" si="272">C259+k*(theta-C259)*dt+vol*SQRT(dt)*_xlfn.NORM.S.INV(RAND())</f>
        <v>4.9232603465526464E-2</v>
      </c>
      <c r="E259" s="8">
        <f t="shared" ca="1" si="272"/>
        <v>5.1448367395485153E-2</v>
      </c>
      <c r="F259" s="8">
        <f t="shared" ca="1" si="272"/>
        <v>5.0404987147146196E-2</v>
      </c>
      <c r="G259" s="8">
        <f t="shared" ca="1" si="272"/>
        <v>4.9601252186795286E-2</v>
      </c>
      <c r="H259" s="8">
        <f t="shared" ca="1" si="272"/>
        <v>5.0539848453001045E-2</v>
      </c>
      <c r="I259" s="8">
        <f t="shared" ca="1" si="272"/>
        <v>6.1033227259496572E-2</v>
      </c>
      <c r="J259" s="8">
        <f t="shared" ca="1" si="272"/>
        <v>6.7178407400813628E-2</v>
      </c>
      <c r="K259" s="8">
        <f t="shared" ca="1" si="272"/>
        <v>7.1095624198152893E-2</v>
      </c>
      <c r="L259" s="8">
        <f t="shared" ca="1" si="272"/>
        <v>6.9480736807889354E-2</v>
      </c>
      <c r="M259" s="8">
        <f t="shared" ca="1" si="272"/>
        <v>6.0154286689827099E-2</v>
      </c>
      <c r="N259" s="8">
        <f t="shared" ca="1" si="272"/>
        <v>5.9230811682361793E-2</v>
      </c>
      <c r="O259" s="8">
        <f t="shared" ca="1" si="272"/>
        <v>5.7373964535063535E-2</v>
      </c>
    </row>
    <row r="260" spans="2:15">
      <c r="B260" s="3">
        <v>239</v>
      </c>
      <c r="C260" s="8">
        <f t="shared" si="226"/>
        <v>0.05</v>
      </c>
      <c r="D260" s="8">
        <f t="shared" ref="D260:O260" ca="1" si="273">C260+k*(theta-C260)*dt+vol*SQRT(dt)*_xlfn.NORM.S.INV(RAND())</f>
        <v>6.0050545967656438E-2</v>
      </c>
      <c r="E260" s="8">
        <f t="shared" ca="1" si="273"/>
        <v>6.1153357225257457E-2</v>
      </c>
      <c r="F260" s="8">
        <f t="shared" ca="1" si="273"/>
        <v>6.4401780335828593E-2</v>
      </c>
      <c r="G260" s="8">
        <f t="shared" ca="1" si="273"/>
        <v>5.689817887671627E-2</v>
      </c>
      <c r="H260" s="8">
        <f t="shared" ca="1" si="273"/>
        <v>6.37998164685432E-2</v>
      </c>
      <c r="I260" s="8">
        <f t="shared" ca="1" si="273"/>
        <v>6.8577023878661422E-2</v>
      </c>
      <c r="J260" s="8">
        <f t="shared" ca="1" si="273"/>
        <v>6.4231042355489779E-2</v>
      </c>
      <c r="K260" s="8">
        <f t="shared" ca="1" si="273"/>
        <v>6.3729899060444115E-2</v>
      </c>
      <c r="L260" s="8">
        <f t="shared" ca="1" si="273"/>
        <v>5.6362747568276556E-2</v>
      </c>
      <c r="M260" s="8">
        <f t="shared" ca="1" si="273"/>
        <v>5.3936525315999691E-2</v>
      </c>
      <c r="N260" s="8">
        <f t="shared" ca="1" si="273"/>
        <v>5.4495739816558558E-2</v>
      </c>
      <c r="O260" s="8">
        <f t="shared" ca="1" si="273"/>
        <v>5.4797710476818119E-2</v>
      </c>
    </row>
    <row r="261" spans="2:15">
      <c r="B261" s="3">
        <v>240</v>
      </c>
      <c r="C261" s="8">
        <f t="shared" si="226"/>
        <v>0.05</v>
      </c>
      <c r="D261" s="8">
        <f t="shared" ref="D261:O261" ca="1" si="274">C261+k*(theta-C261)*dt+vol*SQRT(dt)*_xlfn.NORM.S.INV(RAND())</f>
        <v>5.6228057099959622E-2</v>
      </c>
      <c r="E261" s="8">
        <f t="shared" ca="1" si="274"/>
        <v>5.3760754274496773E-2</v>
      </c>
      <c r="F261" s="8">
        <f t="shared" ca="1" si="274"/>
        <v>5.4230069732139057E-2</v>
      </c>
      <c r="G261" s="8">
        <f t="shared" ca="1" si="274"/>
        <v>5.4064553874235435E-2</v>
      </c>
      <c r="H261" s="8">
        <f t="shared" ca="1" si="274"/>
        <v>6.2906593335616059E-2</v>
      </c>
      <c r="I261" s="8">
        <f t="shared" ca="1" si="274"/>
        <v>6.6987178485437476E-2</v>
      </c>
      <c r="J261" s="8">
        <f t="shared" ca="1" si="274"/>
        <v>6.6692985685862724E-2</v>
      </c>
      <c r="K261" s="8">
        <f t="shared" ca="1" si="274"/>
        <v>6.8955866070115682E-2</v>
      </c>
      <c r="L261" s="8">
        <f t="shared" ca="1" si="274"/>
        <v>6.3882210596651598E-2</v>
      </c>
      <c r="M261" s="8">
        <f t="shared" ca="1" si="274"/>
        <v>6.8492595660049407E-2</v>
      </c>
      <c r="N261" s="8">
        <f t="shared" ca="1" si="274"/>
        <v>7.9929905254506953E-2</v>
      </c>
      <c r="O261" s="8">
        <f t="shared" ca="1" si="274"/>
        <v>8.6925969864117672E-2</v>
      </c>
    </row>
    <row r="262" spans="2:15">
      <c r="B262" s="3">
        <v>241</v>
      </c>
      <c r="C262" s="8">
        <f t="shared" si="226"/>
        <v>0.05</v>
      </c>
      <c r="D262" s="8">
        <f t="shared" ref="D262:O262" ca="1" si="275">C262+k*(theta-C262)*dt+vol*SQRT(dt)*_xlfn.NORM.S.INV(RAND())</f>
        <v>5.4498601653403707E-2</v>
      </c>
      <c r="E262" s="8">
        <f t="shared" ca="1" si="275"/>
        <v>5.911177619491214E-2</v>
      </c>
      <c r="F262" s="8">
        <f t="shared" ca="1" si="275"/>
        <v>5.6882094241278457E-2</v>
      </c>
      <c r="G262" s="8">
        <f t="shared" ca="1" si="275"/>
        <v>6.3406133013291427E-2</v>
      </c>
      <c r="H262" s="8">
        <f t="shared" ca="1" si="275"/>
        <v>6.398991212346096E-2</v>
      </c>
      <c r="I262" s="8">
        <f t="shared" ca="1" si="275"/>
        <v>5.3185756378613461E-2</v>
      </c>
      <c r="J262" s="8">
        <f t="shared" ca="1" si="275"/>
        <v>6.6203754110430446E-2</v>
      </c>
      <c r="K262" s="8">
        <f t="shared" ca="1" si="275"/>
        <v>6.3912748409638578E-2</v>
      </c>
      <c r="L262" s="8">
        <f t="shared" ca="1" si="275"/>
        <v>6.586563762339645E-2</v>
      </c>
      <c r="M262" s="8">
        <f t="shared" ca="1" si="275"/>
        <v>7.1261921347979928E-2</v>
      </c>
      <c r="N262" s="8">
        <f t="shared" ca="1" si="275"/>
        <v>6.4656452991072241E-2</v>
      </c>
      <c r="O262" s="8">
        <f t="shared" ca="1" si="275"/>
        <v>7.5863982574017871E-2</v>
      </c>
    </row>
    <row r="263" spans="2:15">
      <c r="B263" s="3">
        <v>242</v>
      </c>
      <c r="C263" s="8">
        <f t="shared" si="226"/>
        <v>0.05</v>
      </c>
      <c r="D263" s="8">
        <f t="shared" ref="D263:O263" ca="1" si="276">C263+k*(theta-C263)*dt+vol*SQRT(dt)*_xlfn.NORM.S.INV(RAND())</f>
        <v>5.0113860256289208E-2</v>
      </c>
      <c r="E263" s="8">
        <f t="shared" ca="1" si="276"/>
        <v>5.4656766607978614E-2</v>
      </c>
      <c r="F263" s="8">
        <f t="shared" ca="1" si="276"/>
        <v>5.3883344646256867E-2</v>
      </c>
      <c r="G263" s="8">
        <f t="shared" ca="1" si="276"/>
        <v>6.4355550228508182E-2</v>
      </c>
      <c r="H263" s="8">
        <f t="shared" ca="1" si="276"/>
        <v>5.1012487614229343E-2</v>
      </c>
      <c r="I263" s="8">
        <f t="shared" ca="1" si="276"/>
        <v>5.1720625494337404E-2</v>
      </c>
      <c r="J263" s="8">
        <f t="shared" ca="1" si="276"/>
        <v>5.088672183560515E-2</v>
      </c>
      <c r="K263" s="8">
        <f t="shared" ca="1" si="276"/>
        <v>5.6306644291304511E-2</v>
      </c>
      <c r="L263" s="8">
        <f t="shared" ca="1" si="276"/>
        <v>5.4752946504237808E-2</v>
      </c>
      <c r="M263" s="8">
        <f t="shared" ca="1" si="276"/>
        <v>5.9161840244219277E-2</v>
      </c>
      <c r="N263" s="8">
        <f t="shared" ca="1" si="276"/>
        <v>6.5381193193529599E-2</v>
      </c>
      <c r="O263" s="8">
        <f t="shared" ca="1" si="276"/>
        <v>6.2331217676901633E-2</v>
      </c>
    </row>
    <row r="264" spans="2:15">
      <c r="B264" s="3">
        <v>243</v>
      </c>
      <c r="C264" s="8">
        <f t="shared" si="226"/>
        <v>0.05</v>
      </c>
      <c r="D264" s="8">
        <f t="shared" ref="D264:O264" ca="1" si="277">C264+k*(theta-C264)*dt+vol*SQRT(dt)*_xlfn.NORM.S.INV(RAND())</f>
        <v>4.9306843028135018E-2</v>
      </c>
      <c r="E264" s="8">
        <f t="shared" ca="1" si="277"/>
        <v>5.0122770420969076E-2</v>
      </c>
      <c r="F264" s="8">
        <f t="shared" ca="1" si="277"/>
        <v>5.4728402420084969E-2</v>
      </c>
      <c r="G264" s="8">
        <f t="shared" ca="1" si="277"/>
        <v>5.0220385622207313E-2</v>
      </c>
      <c r="H264" s="8">
        <f t="shared" ca="1" si="277"/>
        <v>5.4166921791968026E-2</v>
      </c>
      <c r="I264" s="8">
        <f t="shared" ca="1" si="277"/>
        <v>5.4840255822864517E-2</v>
      </c>
      <c r="J264" s="8">
        <f t="shared" ca="1" si="277"/>
        <v>6.1197288988034206E-2</v>
      </c>
      <c r="K264" s="8">
        <f t="shared" ca="1" si="277"/>
        <v>6.3268557915519247E-2</v>
      </c>
      <c r="L264" s="8">
        <f t="shared" ca="1" si="277"/>
        <v>6.0711138998374367E-2</v>
      </c>
      <c r="M264" s="8">
        <f t="shared" ca="1" si="277"/>
        <v>5.4762855251119659E-2</v>
      </c>
      <c r="N264" s="8">
        <f t="shared" ca="1" si="277"/>
        <v>5.7542880113782238E-2</v>
      </c>
      <c r="O264" s="8">
        <f t="shared" ca="1" si="277"/>
        <v>5.7275723724898107E-2</v>
      </c>
    </row>
    <row r="265" spans="2:15">
      <c r="B265" s="3">
        <v>244</v>
      </c>
      <c r="C265" s="8">
        <f t="shared" si="226"/>
        <v>0.05</v>
      </c>
      <c r="D265" s="8">
        <f t="shared" ref="D265:O265" ca="1" si="278">C265+k*(theta-C265)*dt+vol*SQRT(dt)*_xlfn.NORM.S.INV(RAND())</f>
        <v>5.6450984034518904E-2</v>
      </c>
      <c r="E265" s="8">
        <f t="shared" ca="1" si="278"/>
        <v>5.6152892334190956E-2</v>
      </c>
      <c r="F265" s="8">
        <f t="shared" ca="1" si="278"/>
        <v>5.5526151549118351E-2</v>
      </c>
      <c r="G265" s="8">
        <f t="shared" ca="1" si="278"/>
        <v>6.5131011934574864E-2</v>
      </c>
      <c r="H265" s="8">
        <f t="shared" ca="1" si="278"/>
        <v>7.0456946898469305E-2</v>
      </c>
      <c r="I265" s="8">
        <f t="shared" ca="1" si="278"/>
        <v>6.9038754710268838E-2</v>
      </c>
      <c r="J265" s="8">
        <f t="shared" ca="1" si="278"/>
        <v>8.6207974402675497E-2</v>
      </c>
      <c r="K265" s="8">
        <f t="shared" ca="1" si="278"/>
        <v>8.445245771371454E-2</v>
      </c>
      <c r="L265" s="8">
        <f t="shared" ca="1" si="278"/>
        <v>7.4660312471021784E-2</v>
      </c>
      <c r="M265" s="8">
        <f t="shared" ca="1" si="278"/>
        <v>8.803559617096457E-2</v>
      </c>
      <c r="N265" s="8">
        <f t="shared" ca="1" si="278"/>
        <v>8.8114909919916024E-2</v>
      </c>
      <c r="O265" s="8">
        <f t="shared" ca="1" si="278"/>
        <v>9.6115241968113913E-2</v>
      </c>
    </row>
    <row r="266" spans="2:15">
      <c r="B266" s="3">
        <v>245</v>
      </c>
      <c r="C266" s="8">
        <f t="shared" si="226"/>
        <v>0.05</v>
      </c>
      <c r="D266" s="8">
        <f t="shared" ref="D266:O266" ca="1" si="279">C266+k*(theta-C266)*dt+vol*SQRT(dt)*_xlfn.NORM.S.INV(RAND())</f>
        <v>4.8615541275873947E-2</v>
      </c>
      <c r="E266" s="8">
        <f t="shared" ca="1" si="279"/>
        <v>5.4542163041313485E-2</v>
      </c>
      <c r="F266" s="8">
        <f t="shared" ca="1" si="279"/>
        <v>4.5397185463957962E-2</v>
      </c>
      <c r="G266" s="8">
        <f t="shared" ca="1" si="279"/>
        <v>5.3397007528640815E-2</v>
      </c>
      <c r="H266" s="8">
        <f t="shared" ca="1" si="279"/>
        <v>5.4386642316158189E-2</v>
      </c>
      <c r="I266" s="8">
        <f t="shared" ca="1" si="279"/>
        <v>4.9748451561908491E-2</v>
      </c>
      <c r="J266" s="8">
        <f t="shared" ca="1" si="279"/>
        <v>5.7777924465115434E-2</v>
      </c>
      <c r="K266" s="8">
        <f t="shared" ca="1" si="279"/>
        <v>4.7727362780995493E-2</v>
      </c>
      <c r="L266" s="8">
        <f t="shared" ca="1" si="279"/>
        <v>5.1269093326072497E-2</v>
      </c>
      <c r="M266" s="8">
        <f t="shared" ca="1" si="279"/>
        <v>5.2423326576672008E-2</v>
      </c>
      <c r="N266" s="8">
        <f t="shared" ca="1" si="279"/>
        <v>4.9587519933676889E-2</v>
      </c>
      <c r="O266" s="8">
        <f t="shared" ca="1" si="279"/>
        <v>5.4042530926128596E-2</v>
      </c>
    </row>
    <row r="267" spans="2:15">
      <c r="B267" s="3">
        <v>246</v>
      </c>
      <c r="C267" s="8">
        <f t="shared" si="226"/>
        <v>0.05</v>
      </c>
      <c r="D267" s="8">
        <f t="shared" ref="D267:O267" ca="1" si="280">C267+k*(theta-C267)*dt+vol*SQRT(dt)*_xlfn.NORM.S.INV(RAND())</f>
        <v>4.8589300322708806E-2</v>
      </c>
      <c r="E267" s="8">
        <f t="shared" ca="1" si="280"/>
        <v>3.9459783696655301E-2</v>
      </c>
      <c r="F267" s="8">
        <f t="shared" ca="1" si="280"/>
        <v>4.2327234997233731E-2</v>
      </c>
      <c r="G267" s="8">
        <f t="shared" ca="1" si="280"/>
        <v>4.7961013494734736E-2</v>
      </c>
      <c r="H267" s="8">
        <f t="shared" ca="1" si="280"/>
        <v>5.0161572645896248E-2</v>
      </c>
      <c r="I267" s="8">
        <f t="shared" ca="1" si="280"/>
        <v>4.7319899828781709E-2</v>
      </c>
      <c r="J267" s="8">
        <f t="shared" ca="1" si="280"/>
        <v>4.8222103957141771E-2</v>
      </c>
      <c r="K267" s="8">
        <f t="shared" ca="1" si="280"/>
        <v>5.8455886248086966E-2</v>
      </c>
      <c r="L267" s="8">
        <f t="shared" ca="1" si="280"/>
        <v>5.975180696692859E-2</v>
      </c>
      <c r="M267" s="8">
        <f t="shared" ca="1" si="280"/>
        <v>6.2673561446721579E-2</v>
      </c>
      <c r="N267" s="8">
        <f t="shared" ca="1" si="280"/>
        <v>5.2729515933728724E-2</v>
      </c>
      <c r="O267" s="8">
        <f t="shared" ca="1" si="280"/>
        <v>6.4519348020724579E-2</v>
      </c>
    </row>
    <row r="268" spans="2:15">
      <c r="B268" s="3">
        <v>247</v>
      </c>
      <c r="C268" s="8">
        <f t="shared" si="226"/>
        <v>0.05</v>
      </c>
      <c r="D268" s="8">
        <f t="shared" ref="D268:O268" ca="1" si="281">C268+k*(theta-C268)*dt+vol*SQRT(dt)*_xlfn.NORM.S.INV(RAND())</f>
        <v>4.0956100841444729E-2</v>
      </c>
      <c r="E268" s="8">
        <f t="shared" ca="1" si="281"/>
        <v>5.1956795807053716E-2</v>
      </c>
      <c r="F268" s="8">
        <f t="shared" ca="1" si="281"/>
        <v>4.5372875429619423E-2</v>
      </c>
      <c r="G268" s="8">
        <f t="shared" ca="1" si="281"/>
        <v>5.1733215648908148E-2</v>
      </c>
      <c r="H268" s="8">
        <f t="shared" ca="1" si="281"/>
        <v>5.2932174072611554E-2</v>
      </c>
      <c r="I268" s="8">
        <f t="shared" ca="1" si="281"/>
        <v>5.0464976396355977E-2</v>
      </c>
      <c r="J268" s="8">
        <f t="shared" ca="1" si="281"/>
        <v>4.2944923319849185E-2</v>
      </c>
      <c r="K268" s="8">
        <f t="shared" ca="1" si="281"/>
        <v>4.6767470666759299E-2</v>
      </c>
      <c r="L268" s="8">
        <f t="shared" ca="1" si="281"/>
        <v>5.5681082340214558E-2</v>
      </c>
      <c r="M268" s="8">
        <f t="shared" ca="1" si="281"/>
        <v>6.4024652173880411E-2</v>
      </c>
      <c r="N268" s="8">
        <f t="shared" ca="1" si="281"/>
        <v>7.2047846956493994E-2</v>
      </c>
      <c r="O268" s="8">
        <f t="shared" ca="1" si="281"/>
        <v>6.6212710510627659E-2</v>
      </c>
    </row>
    <row r="269" spans="2:15">
      <c r="B269" s="3">
        <v>248</v>
      </c>
      <c r="C269" s="8">
        <f t="shared" si="226"/>
        <v>0.05</v>
      </c>
      <c r="D269" s="8">
        <f t="shared" ref="D269:O269" ca="1" si="282">C269+k*(theta-C269)*dt+vol*SQRT(dt)*_xlfn.NORM.S.INV(RAND())</f>
        <v>4.7206186897528236E-2</v>
      </c>
      <c r="E269" s="8">
        <f t="shared" ca="1" si="282"/>
        <v>4.8287459256002689E-2</v>
      </c>
      <c r="F269" s="8">
        <f t="shared" ca="1" si="282"/>
        <v>6.0909958022472135E-2</v>
      </c>
      <c r="G269" s="8">
        <f t="shared" ca="1" si="282"/>
        <v>5.5570890431945866E-2</v>
      </c>
      <c r="H269" s="8">
        <f t="shared" ca="1" si="282"/>
        <v>6.0901251845499688E-2</v>
      </c>
      <c r="I269" s="8">
        <f t="shared" ca="1" si="282"/>
        <v>6.318057390026971E-2</v>
      </c>
      <c r="J269" s="8">
        <f t="shared" ca="1" si="282"/>
        <v>6.6366516407152951E-2</v>
      </c>
      <c r="K269" s="8">
        <f t="shared" ca="1" si="282"/>
        <v>6.4520007503811441E-2</v>
      </c>
      <c r="L269" s="8">
        <f t="shared" ca="1" si="282"/>
        <v>6.0299414279394725E-2</v>
      </c>
      <c r="M269" s="8">
        <f t="shared" ca="1" si="282"/>
        <v>5.660039767161347E-2</v>
      </c>
      <c r="N269" s="8">
        <f t="shared" ca="1" si="282"/>
        <v>5.4659819692998393E-2</v>
      </c>
      <c r="O269" s="8">
        <f t="shared" ca="1" si="282"/>
        <v>5.4979790309424577E-2</v>
      </c>
    </row>
    <row r="270" spans="2:15">
      <c r="B270" s="3">
        <v>249</v>
      </c>
      <c r="C270" s="8">
        <f t="shared" si="226"/>
        <v>0.05</v>
      </c>
      <c r="D270" s="8">
        <f t="shared" ref="D270:O270" ca="1" si="283">C270+k*(theta-C270)*dt+vol*SQRT(dt)*_xlfn.NORM.S.INV(RAND())</f>
        <v>4.0332793641482373E-2</v>
      </c>
      <c r="E270" s="8">
        <f t="shared" ca="1" si="283"/>
        <v>5.198863341673101E-2</v>
      </c>
      <c r="F270" s="8">
        <f t="shared" ca="1" si="283"/>
        <v>5.7878036344169714E-2</v>
      </c>
      <c r="G270" s="8">
        <f t="shared" ca="1" si="283"/>
        <v>5.8256022940954458E-2</v>
      </c>
      <c r="H270" s="8">
        <f t="shared" ca="1" si="283"/>
        <v>5.4593223629643806E-2</v>
      </c>
      <c r="I270" s="8">
        <f t="shared" ca="1" si="283"/>
        <v>5.987300028137274E-2</v>
      </c>
      <c r="J270" s="8">
        <f t="shared" ca="1" si="283"/>
        <v>5.7821651726623097E-2</v>
      </c>
      <c r="K270" s="8">
        <f t="shared" ca="1" si="283"/>
        <v>5.7045507655560448E-2</v>
      </c>
      <c r="L270" s="8">
        <f t="shared" ca="1" si="283"/>
        <v>5.8654730384823293E-2</v>
      </c>
      <c r="M270" s="8">
        <f t="shared" ca="1" si="283"/>
        <v>6.3163937582708746E-2</v>
      </c>
      <c r="N270" s="8">
        <f t="shared" ca="1" si="283"/>
        <v>7.152024195580825E-2</v>
      </c>
      <c r="O270" s="8">
        <f t="shared" ca="1" si="283"/>
        <v>7.1505305960202201E-2</v>
      </c>
    </row>
    <row r="271" spans="2:15">
      <c r="B271" s="3">
        <v>250</v>
      </c>
      <c r="C271" s="8">
        <f t="shared" si="226"/>
        <v>0.05</v>
      </c>
      <c r="D271" s="8">
        <f t="shared" ref="D271:O271" ca="1" si="284">C271+k*(theta-C271)*dt+vol*SQRT(dt)*_xlfn.NORM.S.INV(RAND())</f>
        <v>4.3376071572454981E-2</v>
      </c>
      <c r="E271" s="8">
        <f t="shared" ca="1" si="284"/>
        <v>4.3060834675778779E-2</v>
      </c>
      <c r="F271" s="8">
        <f t="shared" ca="1" si="284"/>
        <v>4.4277859671103779E-2</v>
      </c>
      <c r="G271" s="8">
        <f t="shared" ca="1" si="284"/>
        <v>4.0315032945641538E-2</v>
      </c>
      <c r="H271" s="8">
        <f t="shared" ca="1" si="284"/>
        <v>4.02920737633823E-2</v>
      </c>
      <c r="I271" s="8">
        <f t="shared" ca="1" si="284"/>
        <v>4.9501899837480108E-2</v>
      </c>
      <c r="J271" s="8">
        <f t="shared" ca="1" si="284"/>
        <v>4.1079533813397281E-2</v>
      </c>
      <c r="K271" s="8">
        <f t="shared" ca="1" si="284"/>
        <v>4.0300174089385313E-2</v>
      </c>
      <c r="L271" s="8">
        <f t="shared" ca="1" si="284"/>
        <v>3.6831498264149963E-2</v>
      </c>
      <c r="M271" s="8">
        <f t="shared" ca="1" si="284"/>
        <v>3.6508223510705547E-2</v>
      </c>
      <c r="N271" s="8">
        <f t="shared" ca="1" si="284"/>
        <v>3.8098864433860347E-2</v>
      </c>
      <c r="O271" s="8">
        <f t="shared" ca="1" si="284"/>
        <v>3.7401160620548095E-2</v>
      </c>
    </row>
    <row r="272" spans="2:15">
      <c r="B272" s="3">
        <v>251</v>
      </c>
      <c r="C272" s="8">
        <f t="shared" si="226"/>
        <v>0.05</v>
      </c>
      <c r="D272" s="8">
        <f t="shared" ref="D272:O272" ca="1" si="285">C272+k*(theta-C272)*dt+vol*SQRT(dt)*_xlfn.NORM.S.INV(RAND())</f>
        <v>5.3820795852216871E-2</v>
      </c>
      <c r="E272" s="8">
        <f t="shared" ca="1" si="285"/>
        <v>5.6321011059210564E-2</v>
      </c>
      <c r="F272" s="8">
        <f t="shared" ca="1" si="285"/>
        <v>6.4895265925015197E-2</v>
      </c>
      <c r="G272" s="8">
        <f t="shared" ca="1" si="285"/>
        <v>5.5290948006745992E-2</v>
      </c>
      <c r="H272" s="8">
        <f t="shared" ca="1" si="285"/>
        <v>5.6195171838371596E-2</v>
      </c>
      <c r="I272" s="8">
        <f t="shared" ca="1" si="285"/>
        <v>6.9595495039952063E-2</v>
      </c>
      <c r="J272" s="8">
        <f t="shared" ca="1" si="285"/>
        <v>7.3918816232682455E-2</v>
      </c>
      <c r="K272" s="8">
        <f t="shared" ca="1" si="285"/>
        <v>7.0434915625140218E-2</v>
      </c>
      <c r="L272" s="8">
        <f t="shared" ca="1" si="285"/>
        <v>6.8730640547482791E-2</v>
      </c>
      <c r="M272" s="8">
        <f t="shared" ca="1" si="285"/>
        <v>6.5635612702989191E-2</v>
      </c>
      <c r="N272" s="8">
        <f t="shared" ca="1" si="285"/>
        <v>7.0258657838824165E-2</v>
      </c>
      <c r="O272" s="8">
        <f t="shared" ca="1" si="285"/>
        <v>6.7270488787471439E-2</v>
      </c>
    </row>
    <row r="273" spans="2:15">
      <c r="B273" s="3">
        <v>252</v>
      </c>
      <c r="C273" s="8">
        <f t="shared" si="226"/>
        <v>0.05</v>
      </c>
      <c r="D273" s="8">
        <f t="shared" ref="D273:O273" ca="1" si="286">C273+k*(theta-C273)*dt+vol*SQRT(dt)*_xlfn.NORM.S.INV(RAND())</f>
        <v>5.7814039563963734E-2</v>
      </c>
      <c r="E273" s="8">
        <f t="shared" ca="1" si="286"/>
        <v>5.2000541575170159E-2</v>
      </c>
      <c r="F273" s="8">
        <f t="shared" ca="1" si="286"/>
        <v>6.1373075420626283E-2</v>
      </c>
      <c r="G273" s="8">
        <f t="shared" ca="1" si="286"/>
        <v>7.1417851235660496E-2</v>
      </c>
      <c r="H273" s="8">
        <f t="shared" ca="1" si="286"/>
        <v>6.8453315548653332E-2</v>
      </c>
      <c r="I273" s="8">
        <f t="shared" ca="1" si="286"/>
        <v>5.6988603787455003E-2</v>
      </c>
      <c r="J273" s="8">
        <f t="shared" ca="1" si="286"/>
        <v>5.9447567947106823E-2</v>
      </c>
      <c r="K273" s="8">
        <f t="shared" ca="1" si="286"/>
        <v>6.3446909653091244E-2</v>
      </c>
      <c r="L273" s="8">
        <f t="shared" ca="1" si="286"/>
        <v>5.2985529151799993E-2</v>
      </c>
      <c r="M273" s="8">
        <f t="shared" ca="1" si="286"/>
        <v>5.4145998021633439E-2</v>
      </c>
      <c r="N273" s="8">
        <f t="shared" ca="1" si="286"/>
        <v>7.3419341078327288E-2</v>
      </c>
      <c r="O273" s="8">
        <f t="shared" ca="1" si="286"/>
        <v>7.8546532741804689E-2</v>
      </c>
    </row>
    <row r="274" spans="2:15">
      <c r="B274" s="3">
        <v>253</v>
      </c>
      <c r="C274" s="8">
        <f t="shared" si="226"/>
        <v>0.05</v>
      </c>
      <c r="D274" s="8">
        <f t="shared" ref="D274:O274" ca="1" si="287">C274+k*(theta-C274)*dt+vol*SQRT(dt)*_xlfn.NORM.S.INV(RAND())</f>
        <v>4.8274098337627601E-2</v>
      </c>
      <c r="E274" s="8">
        <f t="shared" ca="1" si="287"/>
        <v>4.215471858269744E-2</v>
      </c>
      <c r="F274" s="8">
        <f t="shared" ca="1" si="287"/>
        <v>4.6332498104007573E-2</v>
      </c>
      <c r="G274" s="8">
        <f t="shared" ca="1" si="287"/>
        <v>4.3390617967131451E-2</v>
      </c>
      <c r="H274" s="8">
        <f t="shared" ca="1" si="287"/>
        <v>4.5609128343918955E-2</v>
      </c>
      <c r="I274" s="8">
        <f t="shared" ca="1" si="287"/>
        <v>4.3161413879181737E-2</v>
      </c>
      <c r="J274" s="8">
        <f t="shared" ca="1" si="287"/>
        <v>3.7834307713122642E-2</v>
      </c>
      <c r="K274" s="8">
        <f t="shared" ca="1" si="287"/>
        <v>4.4255137234733531E-2</v>
      </c>
      <c r="L274" s="8">
        <f t="shared" ca="1" si="287"/>
        <v>4.7958124603348251E-2</v>
      </c>
      <c r="M274" s="8">
        <f t="shared" ca="1" si="287"/>
        <v>4.044368382335E-2</v>
      </c>
      <c r="N274" s="8">
        <f t="shared" ca="1" si="287"/>
        <v>3.9000315657717929E-2</v>
      </c>
      <c r="O274" s="8">
        <f t="shared" ca="1" si="287"/>
        <v>4.3051680608768177E-2</v>
      </c>
    </row>
    <row r="275" spans="2:15">
      <c r="B275" s="3">
        <v>254</v>
      </c>
      <c r="C275" s="8">
        <f t="shared" si="226"/>
        <v>0.05</v>
      </c>
      <c r="D275" s="8">
        <f t="shared" ref="D275:O275" ca="1" si="288">C275+k*(theta-C275)*dt+vol*SQRT(dt)*_xlfn.NORM.S.INV(RAND())</f>
        <v>4.8414250382732692E-2</v>
      </c>
      <c r="E275" s="8">
        <f t="shared" ca="1" si="288"/>
        <v>5.0505294466073873E-2</v>
      </c>
      <c r="F275" s="8">
        <f t="shared" ca="1" si="288"/>
        <v>6.4308414460153882E-2</v>
      </c>
      <c r="G275" s="8">
        <f t="shared" ca="1" si="288"/>
        <v>6.7766592823541777E-2</v>
      </c>
      <c r="H275" s="8">
        <f t="shared" ca="1" si="288"/>
        <v>6.5319932550782736E-2</v>
      </c>
      <c r="I275" s="8">
        <f t="shared" ca="1" si="288"/>
        <v>6.2243531609252861E-2</v>
      </c>
      <c r="J275" s="8">
        <f t="shared" ca="1" si="288"/>
        <v>5.8477847173414817E-2</v>
      </c>
      <c r="K275" s="8">
        <f t="shared" ca="1" si="288"/>
        <v>5.647639950471825E-2</v>
      </c>
      <c r="L275" s="8">
        <f t="shared" ca="1" si="288"/>
        <v>6.0602453224935862E-2</v>
      </c>
      <c r="M275" s="8">
        <f t="shared" ca="1" si="288"/>
        <v>5.4532092681032658E-2</v>
      </c>
      <c r="N275" s="8">
        <f t="shared" ca="1" si="288"/>
        <v>5.5895928637787293E-2</v>
      </c>
      <c r="O275" s="8">
        <f t="shared" ca="1" si="288"/>
        <v>6.0077591297830295E-2</v>
      </c>
    </row>
    <row r="276" spans="2:15">
      <c r="B276" s="3">
        <v>255</v>
      </c>
      <c r="C276" s="8">
        <f t="shared" si="226"/>
        <v>0.05</v>
      </c>
      <c r="D276" s="8">
        <f t="shared" ref="D276:O276" ca="1" si="289">C276+k*(theta-C276)*dt+vol*SQRT(dt)*_xlfn.NORM.S.INV(RAND())</f>
        <v>4.5293235843723342E-2</v>
      </c>
      <c r="E276" s="8">
        <f t="shared" ca="1" si="289"/>
        <v>4.9840727387392127E-2</v>
      </c>
      <c r="F276" s="8">
        <f t="shared" ca="1" si="289"/>
        <v>4.9748638180760821E-2</v>
      </c>
      <c r="G276" s="8">
        <f t="shared" ca="1" si="289"/>
        <v>6.1684416073392305E-2</v>
      </c>
      <c r="H276" s="8">
        <f t="shared" ca="1" si="289"/>
        <v>5.8950621671358054E-2</v>
      </c>
      <c r="I276" s="8">
        <f t="shared" ca="1" si="289"/>
        <v>6.4266210311321514E-2</v>
      </c>
      <c r="J276" s="8">
        <f t="shared" ca="1" si="289"/>
        <v>6.7180735738631217E-2</v>
      </c>
      <c r="K276" s="8">
        <f t="shared" ca="1" si="289"/>
        <v>7.6308106743260384E-2</v>
      </c>
      <c r="L276" s="8">
        <f t="shared" ca="1" si="289"/>
        <v>6.9439676547294563E-2</v>
      </c>
      <c r="M276" s="8">
        <f t="shared" ca="1" si="289"/>
        <v>6.8993827194043483E-2</v>
      </c>
      <c r="N276" s="8">
        <f t="shared" ca="1" si="289"/>
        <v>7.633530053069934E-2</v>
      </c>
      <c r="O276" s="8">
        <f t="shared" ca="1" si="289"/>
        <v>8.2222048812828172E-2</v>
      </c>
    </row>
    <row r="277" spans="2:15">
      <c r="B277" s="3">
        <v>256</v>
      </c>
      <c r="C277" s="8">
        <f t="shared" si="226"/>
        <v>0.05</v>
      </c>
      <c r="D277" s="8">
        <f t="shared" ref="D277:O277" ca="1" si="290">C277+k*(theta-C277)*dt+vol*SQRT(dt)*_xlfn.NORM.S.INV(RAND())</f>
        <v>5.5155318744031984E-2</v>
      </c>
      <c r="E277" s="8">
        <f t="shared" ca="1" si="290"/>
        <v>5.3382409650855445E-2</v>
      </c>
      <c r="F277" s="8">
        <f t="shared" ca="1" si="290"/>
        <v>5.809103980274441E-2</v>
      </c>
      <c r="G277" s="8">
        <f t="shared" ca="1" si="290"/>
        <v>6.0782817845998552E-2</v>
      </c>
      <c r="H277" s="8">
        <f t="shared" ca="1" si="290"/>
        <v>7.0626586701231966E-2</v>
      </c>
      <c r="I277" s="8">
        <f t="shared" ca="1" si="290"/>
        <v>6.394110833438775E-2</v>
      </c>
      <c r="J277" s="8">
        <f t="shared" ca="1" si="290"/>
        <v>6.9345071406184955E-2</v>
      </c>
      <c r="K277" s="8">
        <f t="shared" ca="1" si="290"/>
        <v>6.7023883058610886E-2</v>
      </c>
      <c r="L277" s="8">
        <f t="shared" ca="1" si="290"/>
        <v>4.7450101453200819E-2</v>
      </c>
      <c r="M277" s="8">
        <f t="shared" ca="1" si="290"/>
        <v>5.5018946367709813E-2</v>
      </c>
      <c r="N277" s="8">
        <f t="shared" ca="1" si="290"/>
        <v>5.0857451702237759E-2</v>
      </c>
      <c r="O277" s="8">
        <f t="shared" ca="1" si="290"/>
        <v>6.614858106173678E-2</v>
      </c>
    </row>
    <row r="278" spans="2:15">
      <c r="B278" s="3">
        <v>257</v>
      </c>
      <c r="C278" s="8">
        <f t="shared" ref="C278:C341" si="291">r0</f>
        <v>0.05</v>
      </c>
      <c r="D278" s="8">
        <f t="shared" ref="D278:O278" ca="1" si="292">C278+k*(theta-C278)*dt+vol*SQRT(dt)*_xlfn.NORM.S.INV(RAND())</f>
        <v>5.4316414548107324E-2</v>
      </c>
      <c r="E278" s="8">
        <f t="shared" ca="1" si="292"/>
        <v>5.6163851779531405E-2</v>
      </c>
      <c r="F278" s="8">
        <f t="shared" ca="1" si="292"/>
        <v>6.358183754698632E-2</v>
      </c>
      <c r="G278" s="8">
        <f t="shared" ca="1" si="292"/>
        <v>6.2268549575588569E-2</v>
      </c>
      <c r="H278" s="8">
        <f t="shared" ca="1" si="292"/>
        <v>5.9607305937261962E-2</v>
      </c>
      <c r="I278" s="8">
        <f t="shared" ca="1" si="292"/>
        <v>6.7740619151539727E-2</v>
      </c>
      <c r="J278" s="8">
        <f t="shared" ca="1" si="292"/>
        <v>7.149169680173742E-2</v>
      </c>
      <c r="K278" s="8">
        <f t="shared" ca="1" si="292"/>
        <v>6.3774243327263822E-2</v>
      </c>
      <c r="L278" s="8">
        <f t="shared" ca="1" si="292"/>
        <v>6.2417905517377636E-2</v>
      </c>
      <c r="M278" s="8">
        <f t="shared" ca="1" si="292"/>
        <v>7.0988884630180049E-2</v>
      </c>
      <c r="N278" s="8">
        <f t="shared" ca="1" si="292"/>
        <v>6.1988972260648444E-2</v>
      </c>
      <c r="O278" s="8">
        <f t="shared" ca="1" si="292"/>
        <v>7.4416138361313611E-2</v>
      </c>
    </row>
    <row r="279" spans="2:15">
      <c r="B279" s="3">
        <v>258</v>
      </c>
      <c r="C279" s="8">
        <f t="shared" si="291"/>
        <v>0.05</v>
      </c>
      <c r="D279" s="8">
        <f t="shared" ref="D279:O279" ca="1" si="293">C279+k*(theta-C279)*dt+vol*SQRT(dt)*_xlfn.NORM.S.INV(RAND())</f>
        <v>5.0489000742510774E-2</v>
      </c>
      <c r="E279" s="8">
        <f t="shared" ca="1" si="293"/>
        <v>4.4613266237211992E-2</v>
      </c>
      <c r="F279" s="8">
        <f t="shared" ca="1" si="293"/>
        <v>4.7445019720524478E-2</v>
      </c>
      <c r="G279" s="8">
        <f t="shared" ca="1" si="293"/>
        <v>4.5799391312489633E-2</v>
      </c>
      <c r="H279" s="8">
        <f t="shared" ca="1" si="293"/>
        <v>5.6910196080663042E-2</v>
      </c>
      <c r="I279" s="8">
        <f t="shared" ca="1" si="293"/>
        <v>5.5952759862760562E-2</v>
      </c>
      <c r="J279" s="8">
        <f t="shared" ca="1" si="293"/>
        <v>6.413661098426425E-2</v>
      </c>
      <c r="K279" s="8">
        <f t="shared" ca="1" si="293"/>
        <v>6.9135666904830917E-2</v>
      </c>
      <c r="L279" s="8">
        <f t="shared" ca="1" si="293"/>
        <v>6.9672878387110698E-2</v>
      </c>
      <c r="M279" s="8">
        <f t="shared" ca="1" si="293"/>
        <v>7.2499314863529105E-2</v>
      </c>
      <c r="N279" s="8">
        <f t="shared" ca="1" si="293"/>
        <v>6.1471323467240463E-2</v>
      </c>
      <c r="O279" s="8">
        <f t="shared" ca="1" si="293"/>
        <v>4.2997551914911031E-2</v>
      </c>
    </row>
    <row r="280" spans="2:15">
      <c r="B280" s="3">
        <v>259</v>
      </c>
      <c r="C280" s="8">
        <f t="shared" si="291"/>
        <v>0.05</v>
      </c>
      <c r="D280" s="8">
        <f t="shared" ref="D280:O280" ca="1" si="294">C280+k*(theta-C280)*dt+vol*SQRT(dt)*_xlfn.NORM.S.INV(RAND())</f>
        <v>5.9687893504179981E-2</v>
      </c>
      <c r="E280" s="8">
        <f t="shared" ca="1" si="294"/>
        <v>5.9187791387551418E-2</v>
      </c>
      <c r="F280" s="8">
        <f t="shared" ca="1" si="294"/>
        <v>6.2997647545535593E-2</v>
      </c>
      <c r="G280" s="8">
        <f t="shared" ca="1" si="294"/>
        <v>6.8399368187886334E-2</v>
      </c>
      <c r="H280" s="8">
        <f t="shared" ca="1" si="294"/>
        <v>6.6097618131081476E-2</v>
      </c>
      <c r="I280" s="8">
        <f t="shared" ca="1" si="294"/>
        <v>6.770625171541822E-2</v>
      </c>
      <c r="J280" s="8">
        <f t="shared" ca="1" si="294"/>
        <v>7.4582236298560228E-2</v>
      </c>
      <c r="K280" s="8">
        <f t="shared" ca="1" si="294"/>
        <v>7.6252845344782966E-2</v>
      </c>
      <c r="L280" s="8">
        <f t="shared" ca="1" si="294"/>
        <v>8.2958794193434701E-2</v>
      </c>
      <c r="M280" s="8">
        <f t="shared" ca="1" si="294"/>
        <v>8.2698502215308889E-2</v>
      </c>
      <c r="N280" s="8">
        <f t="shared" ca="1" si="294"/>
        <v>7.2010638145867056E-2</v>
      </c>
      <c r="O280" s="8">
        <f t="shared" ca="1" si="294"/>
        <v>7.6590577902343693E-2</v>
      </c>
    </row>
    <row r="281" spans="2:15">
      <c r="B281" s="3">
        <v>260</v>
      </c>
      <c r="C281" s="8">
        <f t="shared" si="291"/>
        <v>0.05</v>
      </c>
      <c r="D281" s="8">
        <f t="shared" ref="D281:O281" ca="1" si="295">C281+k*(theta-C281)*dt+vol*SQRT(dt)*_xlfn.NORM.S.INV(RAND())</f>
        <v>5.7542448686683956E-2</v>
      </c>
      <c r="E281" s="8">
        <f t="shared" ca="1" si="295"/>
        <v>3.9660798580847478E-2</v>
      </c>
      <c r="F281" s="8">
        <f t="shared" ca="1" si="295"/>
        <v>4.3913971339146381E-2</v>
      </c>
      <c r="G281" s="8">
        <f t="shared" ca="1" si="295"/>
        <v>4.2174605780097831E-2</v>
      </c>
      <c r="H281" s="8">
        <f t="shared" ca="1" si="295"/>
        <v>3.725564219477822E-2</v>
      </c>
      <c r="I281" s="8">
        <f t="shared" ca="1" si="295"/>
        <v>4.1335588305801932E-2</v>
      </c>
      <c r="J281" s="8">
        <f t="shared" ca="1" si="295"/>
        <v>4.7908003990320538E-2</v>
      </c>
      <c r="K281" s="8">
        <f t="shared" ca="1" si="295"/>
        <v>5.0973364481163408E-2</v>
      </c>
      <c r="L281" s="8">
        <f t="shared" ca="1" si="295"/>
        <v>5.052904507216141E-2</v>
      </c>
      <c r="M281" s="8">
        <f t="shared" ca="1" si="295"/>
        <v>4.3995343761345299E-2</v>
      </c>
      <c r="N281" s="8">
        <f t="shared" ca="1" si="295"/>
        <v>5.4304224960923818E-2</v>
      </c>
      <c r="O281" s="8">
        <f t="shared" ca="1" si="295"/>
        <v>5.3028514358004243E-2</v>
      </c>
    </row>
    <row r="282" spans="2:15">
      <c r="B282" s="3">
        <v>261</v>
      </c>
      <c r="C282" s="8">
        <f t="shared" si="291"/>
        <v>0.05</v>
      </c>
      <c r="D282" s="8">
        <f t="shared" ref="D282:O282" ca="1" si="296">C282+k*(theta-C282)*dt+vol*SQRT(dt)*_xlfn.NORM.S.INV(RAND())</f>
        <v>5.9717775185895272E-2</v>
      </c>
      <c r="E282" s="8">
        <f t="shared" ca="1" si="296"/>
        <v>7.0550198091531555E-2</v>
      </c>
      <c r="F282" s="8">
        <f t="shared" ca="1" si="296"/>
        <v>6.1927580126454287E-2</v>
      </c>
      <c r="G282" s="8">
        <f t="shared" ca="1" si="296"/>
        <v>6.4967214452745919E-2</v>
      </c>
      <c r="H282" s="8">
        <f t="shared" ca="1" si="296"/>
        <v>7.1270696774044476E-2</v>
      </c>
      <c r="I282" s="8">
        <f t="shared" ca="1" si="296"/>
        <v>7.7362578728370573E-2</v>
      </c>
      <c r="J282" s="8">
        <f t="shared" ca="1" si="296"/>
        <v>7.7577041248451786E-2</v>
      </c>
      <c r="K282" s="8">
        <f t="shared" ca="1" si="296"/>
        <v>8.0504765147348764E-2</v>
      </c>
      <c r="L282" s="8">
        <f t="shared" ca="1" si="296"/>
        <v>7.8005771896417608E-2</v>
      </c>
      <c r="M282" s="8">
        <f t="shared" ca="1" si="296"/>
        <v>8.1342422237666384E-2</v>
      </c>
      <c r="N282" s="8">
        <f t="shared" ca="1" si="296"/>
        <v>7.9299971687813012E-2</v>
      </c>
      <c r="O282" s="8">
        <f t="shared" ca="1" si="296"/>
        <v>7.2330525606317891E-2</v>
      </c>
    </row>
    <row r="283" spans="2:15">
      <c r="B283" s="3">
        <v>262</v>
      </c>
      <c r="C283" s="8">
        <f t="shared" si="291"/>
        <v>0.05</v>
      </c>
      <c r="D283" s="8">
        <f t="shared" ref="D283:O283" ca="1" si="297">C283+k*(theta-C283)*dt+vol*SQRT(dt)*_xlfn.NORM.S.INV(RAND())</f>
        <v>5.8034885138012672E-2</v>
      </c>
      <c r="E283" s="8">
        <f t="shared" ca="1" si="297"/>
        <v>5.9315962213330575E-2</v>
      </c>
      <c r="F283" s="8">
        <f t="shared" ca="1" si="297"/>
        <v>7.1728176441084437E-2</v>
      </c>
      <c r="G283" s="8">
        <f t="shared" ca="1" si="297"/>
        <v>6.9727221342499174E-2</v>
      </c>
      <c r="H283" s="8">
        <f t="shared" ca="1" si="297"/>
        <v>6.8137803099281455E-2</v>
      </c>
      <c r="I283" s="8">
        <f t="shared" ca="1" si="297"/>
        <v>7.1116836164886663E-2</v>
      </c>
      <c r="J283" s="8">
        <f t="shared" ca="1" si="297"/>
        <v>6.785966179871461E-2</v>
      </c>
      <c r="K283" s="8">
        <f t="shared" ca="1" si="297"/>
        <v>7.4044277649051443E-2</v>
      </c>
      <c r="L283" s="8">
        <f t="shared" ca="1" si="297"/>
        <v>7.9868644499739197E-2</v>
      </c>
      <c r="M283" s="8">
        <f t="shared" ca="1" si="297"/>
        <v>7.4094983919272481E-2</v>
      </c>
      <c r="N283" s="8">
        <f t="shared" ca="1" si="297"/>
        <v>7.3321676348733683E-2</v>
      </c>
      <c r="O283" s="8">
        <f t="shared" ca="1" si="297"/>
        <v>7.4332432751945635E-2</v>
      </c>
    </row>
    <row r="284" spans="2:15">
      <c r="B284" s="3">
        <v>263</v>
      </c>
      <c r="C284" s="8">
        <f t="shared" si="291"/>
        <v>0.05</v>
      </c>
      <c r="D284" s="8">
        <f t="shared" ref="D284:O284" ca="1" si="298">C284+k*(theta-C284)*dt+vol*SQRT(dt)*_xlfn.NORM.S.INV(RAND())</f>
        <v>5.9380252213678153E-2</v>
      </c>
      <c r="E284" s="8">
        <f t="shared" ca="1" si="298"/>
        <v>6.3841364073263518E-2</v>
      </c>
      <c r="F284" s="8">
        <f t="shared" ca="1" si="298"/>
        <v>6.8007273693008116E-2</v>
      </c>
      <c r="G284" s="8">
        <f t="shared" ca="1" si="298"/>
        <v>7.9090104421733434E-2</v>
      </c>
      <c r="H284" s="8">
        <f t="shared" ca="1" si="298"/>
        <v>8.5686692348153001E-2</v>
      </c>
      <c r="I284" s="8">
        <f t="shared" ca="1" si="298"/>
        <v>7.3789118754904667E-2</v>
      </c>
      <c r="J284" s="8">
        <f t="shared" ca="1" si="298"/>
        <v>7.062024464654347E-2</v>
      </c>
      <c r="K284" s="8">
        <f t="shared" ca="1" si="298"/>
        <v>7.453566852331274E-2</v>
      </c>
      <c r="L284" s="8">
        <f t="shared" ca="1" si="298"/>
        <v>8.3234591788467843E-2</v>
      </c>
      <c r="M284" s="8">
        <f t="shared" ca="1" si="298"/>
        <v>8.851534579055953E-2</v>
      </c>
      <c r="N284" s="8">
        <f t="shared" ca="1" si="298"/>
        <v>8.1559023831327987E-2</v>
      </c>
      <c r="O284" s="8">
        <f t="shared" ca="1" si="298"/>
        <v>7.3181572127778774E-2</v>
      </c>
    </row>
    <row r="285" spans="2:15">
      <c r="B285" s="3">
        <v>264</v>
      </c>
      <c r="C285" s="8">
        <f t="shared" si="291"/>
        <v>0.05</v>
      </c>
      <c r="D285" s="8">
        <f t="shared" ref="D285:O285" ca="1" si="299">C285+k*(theta-C285)*dt+vol*SQRT(dt)*_xlfn.NORM.S.INV(RAND())</f>
        <v>4.8597718243690094E-2</v>
      </c>
      <c r="E285" s="8">
        <f t="shared" ca="1" si="299"/>
        <v>4.6817691663548988E-2</v>
      </c>
      <c r="F285" s="8">
        <f t="shared" ca="1" si="299"/>
        <v>5.44817111022384E-2</v>
      </c>
      <c r="G285" s="8">
        <f t="shared" ca="1" si="299"/>
        <v>5.3558993883817858E-2</v>
      </c>
      <c r="H285" s="8">
        <f t="shared" ca="1" si="299"/>
        <v>6.1761095313772323E-2</v>
      </c>
      <c r="I285" s="8">
        <f t="shared" ca="1" si="299"/>
        <v>6.4625386578353664E-2</v>
      </c>
      <c r="J285" s="8">
        <f t="shared" ca="1" si="299"/>
        <v>6.4103337240164537E-2</v>
      </c>
      <c r="K285" s="8">
        <f t="shared" ca="1" si="299"/>
        <v>6.2402069504422446E-2</v>
      </c>
      <c r="L285" s="8">
        <f t="shared" ca="1" si="299"/>
        <v>6.5833717751799137E-2</v>
      </c>
      <c r="M285" s="8">
        <f t="shared" ca="1" si="299"/>
        <v>6.7527945179187365E-2</v>
      </c>
      <c r="N285" s="8">
        <f t="shared" ca="1" si="299"/>
        <v>6.3886625765754296E-2</v>
      </c>
      <c r="O285" s="8">
        <f t="shared" ca="1" si="299"/>
        <v>6.45545323872284E-2</v>
      </c>
    </row>
    <row r="286" spans="2:15">
      <c r="B286" s="3">
        <v>265</v>
      </c>
      <c r="C286" s="8">
        <f t="shared" si="291"/>
        <v>0.05</v>
      </c>
      <c r="D286" s="8">
        <f t="shared" ref="D286:O286" ca="1" si="300">C286+k*(theta-C286)*dt+vol*SQRT(dt)*_xlfn.NORM.S.INV(RAND())</f>
        <v>5.4602012516726958E-2</v>
      </c>
      <c r="E286" s="8">
        <f t="shared" ca="1" si="300"/>
        <v>5.7328454870837646E-2</v>
      </c>
      <c r="F286" s="8">
        <f t="shared" ca="1" si="300"/>
        <v>5.7087566600975657E-2</v>
      </c>
      <c r="G286" s="8">
        <f t="shared" ca="1" si="300"/>
        <v>5.9162795093813184E-2</v>
      </c>
      <c r="H286" s="8">
        <f t="shared" ca="1" si="300"/>
        <v>6.2507137196413237E-2</v>
      </c>
      <c r="I286" s="8">
        <f t="shared" ca="1" si="300"/>
        <v>5.9939745627056597E-2</v>
      </c>
      <c r="J286" s="8">
        <f t="shared" ca="1" si="300"/>
        <v>5.7477153803404263E-2</v>
      </c>
      <c r="K286" s="8">
        <f t="shared" ca="1" si="300"/>
        <v>6.3443587572621599E-2</v>
      </c>
      <c r="L286" s="8">
        <f t="shared" ca="1" si="300"/>
        <v>6.7124197759315926E-2</v>
      </c>
      <c r="M286" s="8">
        <f t="shared" ca="1" si="300"/>
        <v>6.1009555013092277E-2</v>
      </c>
      <c r="N286" s="8">
        <f t="shared" ca="1" si="300"/>
        <v>6.0377290238712161E-2</v>
      </c>
      <c r="O286" s="8">
        <f t="shared" ca="1" si="300"/>
        <v>5.8823648172584134E-2</v>
      </c>
    </row>
    <row r="287" spans="2:15">
      <c r="B287" s="3">
        <v>266</v>
      </c>
      <c r="C287" s="8">
        <f t="shared" si="291"/>
        <v>0.05</v>
      </c>
      <c r="D287" s="8">
        <f t="shared" ref="D287:O287" ca="1" si="301">C287+k*(theta-C287)*dt+vol*SQRT(dt)*_xlfn.NORM.S.INV(RAND())</f>
        <v>6.1684968972436027E-2</v>
      </c>
      <c r="E287" s="8">
        <f t="shared" ca="1" si="301"/>
        <v>6.5238855220925041E-2</v>
      </c>
      <c r="F287" s="8">
        <f t="shared" ca="1" si="301"/>
        <v>5.8748094383454456E-2</v>
      </c>
      <c r="G287" s="8">
        <f t="shared" ca="1" si="301"/>
        <v>6.031137249656323E-2</v>
      </c>
      <c r="H287" s="8">
        <f t="shared" ca="1" si="301"/>
        <v>7.4063287362161223E-2</v>
      </c>
      <c r="I287" s="8">
        <f t="shared" ca="1" si="301"/>
        <v>8.2030508722359702E-2</v>
      </c>
      <c r="J287" s="8">
        <f t="shared" ca="1" si="301"/>
        <v>8.7885715012287369E-2</v>
      </c>
      <c r="K287" s="8">
        <f t="shared" ca="1" si="301"/>
        <v>7.7094694285730139E-2</v>
      </c>
      <c r="L287" s="8">
        <f t="shared" ca="1" si="301"/>
        <v>8.1553953583625868E-2</v>
      </c>
      <c r="M287" s="8">
        <f t="shared" ca="1" si="301"/>
        <v>8.0256641972118528E-2</v>
      </c>
      <c r="N287" s="8">
        <f t="shared" ca="1" si="301"/>
        <v>7.169098498933732E-2</v>
      </c>
      <c r="O287" s="8">
        <f t="shared" ca="1" si="301"/>
        <v>6.1901329579839112E-2</v>
      </c>
    </row>
    <row r="288" spans="2:15">
      <c r="B288" s="3">
        <v>267</v>
      </c>
      <c r="C288" s="8">
        <f t="shared" si="291"/>
        <v>0.05</v>
      </c>
      <c r="D288" s="8">
        <f t="shared" ref="D288:O288" ca="1" si="302">C288+k*(theta-C288)*dt+vol*SQRT(dt)*_xlfn.NORM.S.INV(RAND())</f>
        <v>4.1220537918036079E-2</v>
      </c>
      <c r="E288" s="8">
        <f t="shared" ca="1" si="302"/>
        <v>3.3674712362516256E-2</v>
      </c>
      <c r="F288" s="8">
        <f t="shared" ca="1" si="302"/>
        <v>3.8628828401878659E-2</v>
      </c>
      <c r="G288" s="8">
        <f t="shared" ca="1" si="302"/>
        <v>3.8747115753508463E-2</v>
      </c>
      <c r="H288" s="8">
        <f t="shared" ca="1" si="302"/>
        <v>4.5865391113375432E-2</v>
      </c>
      <c r="I288" s="8">
        <f t="shared" ca="1" si="302"/>
        <v>5.2674008865839166E-2</v>
      </c>
      <c r="J288" s="8">
        <f t="shared" ca="1" si="302"/>
        <v>5.343650119326427E-2</v>
      </c>
      <c r="K288" s="8">
        <f t="shared" ca="1" si="302"/>
        <v>6.2753738814973301E-2</v>
      </c>
      <c r="L288" s="8">
        <f t="shared" ca="1" si="302"/>
        <v>6.6249766491848119E-2</v>
      </c>
      <c r="M288" s="8">
        <f t="shared" ca="1" si="302"/>
        <v>6.8543307011349822E-2</v>
      </c>
      <c r="N288" s="8">
        <f t="shared" ca="1" si="302"/>
        <v>6.9380554921699478E-2</v>
      </c>
      <c r="O288" s="8">
        <f t="shared" ca="1" si="302"/>
        <v>7.4839889166891535E-2</v>
      </c>
    </row>
    <row r="289" spans="2:15">
      <c r="B289" s="3">
        <v>268</v>
      </c>
      <c r="C289" s="8">
        <f t="shared" si="291"/>
        <v>0.05</v>
      </c>
      <c r="D289" s="8">
        <f t="shared" ref="D289:O289" ca="1" si="303">C289+k*(theta-C289)*dt+vol*SQRT(dt)*_xlfn.NORM.S.INV(RAND())</f>
        <v>5.4581281357158229E-2</v>
      </c>
      <c r="E289" s="8">
        <f t="shared" ca="1" si="303"/>
        <v>4.9205965692010634E-2</v>
      </c>
      <c r="F289" s="8">
        <f t="shared" ca="1" si="303"/>
        <v>4.8110939641097833E-2</v>
      </c>
      <c r="G289" s="8">
        <f t="shared" ca="1" si="303"/>
        <v>5.0885436046460453E-2</v>
      </c>
      <c r="H289" s="8">
        <f t="shared" ca="1" si="303"/>
        <v>5.3700982817638167E-2</v>
      </c>
      <c r="I289" s="8">
        <f t="shared" ca="1" si="303"/>
        <v>4.8339028943072966E-2</v>
      </c>
      <c r="J289" s="8">
        <f t="shared" ca="1" si="303"/>
        <v>5.0296072021414492E-2</v>
      </c>
      <c r="K289" s="8">
        <f t="shared" ca="1" si="303"/>
        <v>4.7433370483125278E-2</v>
      </c>
      <c r="L289" s="8">
        <f t="shared" ca="1" si="303"/>
        <v>4.8632583506058806E-2</v>
      </c>
      <c r="M289" s="8">
        <f t="shared" ca="1" si="303"/>
        <v>4.6867934295967931E-2</v>
      </c>
      <c r="N289" s="8">
        <f t="shared" ca="1" si="303"/>
        <v>3.7586687698920533E-2</v>
      </c>
      <c r="O289" s="8">
        <f t="shared" ca="1" si="303"/>
        <v>4.5447907244741403E-2</v>
      </c>
    </row>
    <row r="290" spans="2:15">
      <c r="B290" s="3">
        <v>269</v>
      </c>
      <c r="C290" s="8">
        <f t="shared" si="291"/>
        <v>0.05</v>
      </c>
      <c r="D290" s="8">
        <f t="shared" ref="D290:O290" ca="1" si="304">C290+k*(theta-C290)*dt+vol*SQRT(dt)*_xlfn.NORM.S.INV(RAND())</f>
        <v>5.3002134209114336E-2</v>
      </c>
      <c r="E290" s="8">
        <f t="shared" ca="1" si="304"/>
        <v>5.9075903512876241E-2</v>
      </c>
      <c r="F290" s="8">
        <f t="shared" ca="1" si="304"/>
        <v>5.9789542675924644E-2</v>
      </c>
      <c r="G290" s="8">
        <f t="shared" ca="1" si="304"/>
        <v>6.0984475356300694E-2</v>
      </c>
      <c r="H290" s="8">
        <f t="shared" ca="1" si="304"/>
        <v>6.9609746972070285E-2</v>
      </c>
      <c r="I290" s="8">
        <f t="shared" ca="1" si="304"/>
        <v>7.0714894202541109E-2</v>
      </c>
      <c r="J290" s="8">
        <f t="shared" ca="1" si="304"/>
        <v>7.4842608364890498E-2</v>
      </c>
      <c r="K290" s="8">
        <f t="shared" ca="1" si="304"/>
        <v>8.8131401894702213E-2</v>
      </c>
      <c r="L290" s="8">
        <f t="shared" ca="1" si="304"/>
        <v>7.9311111146236041E-2</v>
      </c>
      <c r="M290" s="8">
        <f t="shared" ca="1" si="304"/>
        <v>7.3246473682958738E-2</v>
      </c>
      <c r="N290" s="8">
        <f t="shared" ca="1" si="304"/>
        <v>8.5798664458422713E-2</v>
      </c>
      <c r="O290" s="8">
        <f t="shared" ca="1" si="304"/>
        <v>8.7106858743555324E-2</v>
      </c>
    </row>
    <row r="291" spans="2:15">
      <c r="B291" s="3">
        <v>270</v>
      </c>
      <c r="C291" s="8">
        <f t="shared" si="291"/>
        <v>0.05</v>
      </c>
      <c r="D291" s="8">
        <f t="shared" ref="D291:O291" ca="1" si="305">C291+k*(theta-C291)*dt+vol*SQRT(dt)*_xlfn.NORM.S.INV(RAND())</f>
        <v>5.4052550822980036E-2</v>
      </c>
      <c r="E291" s="8">
        <f t="shared" ca="1" si="305"/>
        <v>5.3104240998095686E-2</v>
      </c>
      <c r="F291" s="8">
        <f t="shared" ca="1" si="305"/>
        <v>5.5974945641412761E-2</v>
      </c>
      <c r="G291" s="8">
        <f t="shared" ca="1" si="305"/>
        <v>4.9297612441550821E-2</v>
      </c>
      <c r="H291" s="8">
        <f t="shared" ca="1" si="305"/>
        <v>4.8082838131797145E-2</v>
      </c>
      <c r="I291" s="8">
        <f t="shared" ca="1" si="305"/>
        <v>5.3034674392901424E-2</v>
      </c>
      <c r="J291" s="8">
        <f t="shared" ca="1" si="305"/>
        <v>5.2167885308161438E-2</v>
      </c>
      <c r="K291" s="8">
        <f t="shared" ca="1" si="305"/>
        <v>5.0637766713025202E-2</v>
      </c>
      <c r="L291" s="8">
        <f t="shared" ca="1" si="305"/>
        <v>6.2846812421212844E-2</v>
      </c>
      <c r="M291" s="8">
        <f t="shared" ca="1" si="305"/>
        <v>5.7461638852743566E-2</v>
      </c>
      <c r="N291" s="8">
        <f t="shared" ca="1" si="305"/>
        <v>5.7178100949051194E-2</v>
      </c>
      <c r="O291" s="8">
        <f t="shared" ca="1" si="305"/>
        <v>6.1694101864807463E-2</v>
      </c>
    </row>
    <row r="292" spans="2:15">
      <c r="B292" s="3">
        <v>271</v>
      </c>
      <c r="C292" s="8">
        <f t="shared" si="291"/>
        <v>0.05</v>
      </c>
      <c r="D292" s="8">
        <f t="shared" ref="D292:O292" ca="1" si="306">C292+k*(theta-C292)*dt+vol*SQRT(dt)*_xlfn.NORM.S.INV(RAND())</f>
        <v>5.7166846011701161E-2</v>
      </c>
      <c r="E292" s="8">
        <f t="shared" ca="1" si="306"/>
        <v>6.1759285090224665E-2</v>
      </c>
      <c r="F292" s="8">
        <f t="shared" ca="1" si="306"/>
        <v>6.3537933908037289E-2</v>
      </c>
      <c r="G292" s="8">
        <f t="shared" ca="1" si="306"/>
        <v>6.1886250363028687E-2</v>
      </c>
      <c r="H292" s="8">
        <f t="shared" ca="1" si="306"/>
        <v>5.4176147802800043E-2</v>
      </c>
      <c r="I292" s="8">
        <f t="shared" ca="1" si="306"/>
        <v>5.4048761822722155E-2</v>
      </c>
      <c r="J292" s="8">
        <f t="shared" ca="1" si="306"/>
        <v>4.7511065842802951E-2</v>
      </c>
      <c r="K292" s="8">
        <f t="shared" ca="1" si="306"/>
        <v>5.0583839428630692E-2</v>
      </c>
      <c r="L292" s="8">
        <f t="shared" ca="1" si="306"/>
        <v>5.3154698673328282E-2</v>
      </c>
      <c r="M292" s="8">
        <f t="shared" ca="1" si="306"/>
        <v>5.3408090893810198E-2</v>
      </c>
      <c r="N292" s="8">
        <f t="shared" ca="1" si="306"/>
        <v>5.1207889779046507E-2</v>
      </c>
      <c r="O292" s="8">
        <f t="shared" ca="1" si="306"/>
        <v>5.1815858984689267E-2</v>
      </c>
    </row>
    <row r="293" spans="2:15">
      <c r="B293" s="3">
        <v>272</v>
      </c>
      <c r="C293" s="8">
        <f t="shared" si="291"/>
        <v>0.05</v>
      </c>
      <c r="D293" s="8">
        <f t="shared" ref="D293:O293" ca="1" si="307">C293+k*(theta-C293)*dt+vol*SQRT(dt)*_xlfn.NORM.S.INV(RAND())</f>
        <v>5.6819578268454317E-2</v>
      </c>
      <c r="E293" s="8">
        <f t="shared" ca="1" si="307"/>
        <v>4.9823193441150111E-2</v>
      </c>
      <c r="F293" s="8">
        <f t="shared" ca="1" si="307"/>
        <v>5.0633871037961062E-2</v>
      </c>
      <c r="G293" s="8">
        <f t="shared" ca="1" si="307"/>
        <v>5.5445654295204982E-2</v>
      </c>
      <c r="H293" s="8">
        <f t="shared" ca="1" si="307"/>
        <v>5.8304865650418057E-2</v>
      </c>
      <c r="I293" s="8">
        <f t="shared" ca="1" si="307"/>
        <v>6.0722037721608384E-2</v>
      </c>
      <c r="J293" s="8">
        <f t="shared" ca="1" si="307"/>
        <v>7.4897229690960021E-2</v>
      </c>
      <c r="K293" s="8">
        <f t="shared" ca="1" si="307"/>
        <v>6.6825877036969031E-2</v>
      </c>
      <c r="L293" s="8">
        <f t="shared" ca="1" si="307"/>
        <v>6.679126351061937E-2</v>
      </c>
      <c r="M293" s="8">
        <f t="shared" ca="1" si="307"/>
        <v>5.731262530394577E-2</v>
      </c>
      <c r="N293" s="8">
        <f t="shared" ca="1" si="307"/>
        <v>5.8757634216774851E-2</v>
      </c>
      <c r="O293" s="8">
        <f t="shared" ca="1" si="307"/>
        <v>6.081706708371843E-2</v>
      </c>
    </row>
    <row r="294" spans="2:15">
      <c r="B294" s="3">
        <v>273</v>
      </c>
      <c r="C294" s="8">
        <f t="shared" si="291"/>
        <v>0.05</v>
      </c>
      <c r="D294" s="8">
        <f t="shared" ref="D294:O294" ca="1" si="308">C294+k*(theta-C294)*dt+vol*SQRT(dt)*_xlfn.NORM.S.INV(RAND())</f>
        <v>5.4267504255489006E-2</v>
      </c>
      <c r="E294" s="8">
        <f t="shared" ca="1" si="308"/>
        <v>5.6129915170212104E-2</v>
      </c>
      <c r="F294" s="8">
        <f t="shared" ca="1" si="308"/>
        <v>6.0842394411980347E-2</v>
      </c>
      <c r="G294" s="8">
        <f t="shared" ca="1" si="308"/>
        <v>5.6686015393972077E-2</v>
      </c>
      <c r="H294" s="8">
        <f t="shared" ca="1" si="308"/>
        <v>5.9568129801199188E-2</v>
      </c>
      <c r="I294" s="8">
        <f t="shared" ca="1" si="308"/>
        <v>5.6530107674676242E-2</v>
      </c>
      <c r="J294" s="8">
        <f t="shared" ca="1" si="308"/>
        <v>6.1098254094325677E-2</v>
      </c>
      <c r="K294" s="8">
        <f t="shared" ca="1" si="308"/>
        <v>5.749096227876932E-2</v>
      </c>
      <c r="L294" s="8">
        <f t="shared" ca="1" si="308"/>
        <v>5.6676039302071296E-2</v>
      </c>
      <c r="M294" s="8">
        <f t="shared" ca="1" si="308"/>
        <v>6.8516706581441544E-2</v>
      </c>
      <c r="N294" s="8">
        <f t="shared" ca="1" si="308"/>
        <v>6.4379372814046237E-2</v>
      </c>
      <c r="O294" s="8">
        <f t="shared" ca="1" si="308"/>
        <v>6.5543109141598874E-2</v>
      </c>
    </row>
    <row r="295" spans="2:15">
      <c r="B295" s="3">
        <v>274</v>
      </c>
      <c r="C295" s="8">
        <f t="shared" si="291"/>
        <v>0.05</v>
      </c>
      <c r="D295" s="8">
        <f t="shared" ref="D295:O295" ca="1" si="309">C295+k*(theta-C295)*dt+vol*SQRT(dt)*_xlfn.NORM.S.INV(RAND())</f>
        <v>5.5085825519532755E-2</v>
      </c>
      <c r="E295" s="8">
        <f t="shared" ca="1" si="309"/>
        <v>6.2612447439385641E-2</v>
      </c>
      <c r="F295" s="8">
        <f t="shared" ca="1" si="309"/>
        <v>7.8493653256677495E-2</v>
      </c>
      <c r="G295" s="8">
        <f t="shared" ca="1" si="309"/>
        <v>7.6874014561749235E-2</v>
      </c>
      <c r="H295" s="8">
        <f t="shared" ca="1" si="309"/>
        <v>6.7625924439364549E-2</v>
      </c>
      <c r="I295" s="8">
        <f t="shared" ca="1" si="309"/>
        <v>7.5479608447098903E-2</v>
      </c>
      <c r="J295" s="8">
        <f t="shared" ca="1" si="309"/>
        <v>6.5713160392687098E-2</v>
      </c>
      <c r="K295" s="8">
        <f t="shared" ca="1" si="309"/>
        <v>7.2751150034764997E-2</v>
      </c>
      <c r="L295" s="8">
        <f t="shared" ca="1" si="309"/>
        <v>7.4224195147565245E-2</v>
      </c>
      <c r="M295" s="8">
        <f t="shared" ca="1" si="309"/>
        <v>7.7580381659083889E-2</v>
      </c>
      <c r="N295" s="8">
        <f t="shared" ca="1" si="309"/>
        <v>7.7796405035843147E-2</v>
      </c>
      <c r="O295" s="8">
        <f t="shared" ca="1" si="309"/>
        <v>7.4070441147514016E-2</v>
      </c>
    </row>
    <row r="296" spans="2:15">
      <c r="B296" s="3">
        <v>275</v>
      </c>
      <c r="C296" s="8">
        <f t="shared" si="291"/>
        <v>0.05</v>
      </c>
      <c r="D296" s="8">
        <f t="shared" ref="D296:O296" ca="1" si="310">C296+k*(theta-C296)*dt+vol*SQRT(dt)*_xlfn.NORM.S.INV(RAND())</f>
        <v>4.8406056343359212E-2</v>
      </c>
      <c r="E296" s="8">
        <f t="shared" ca="1" si="310"/>
        <v>6.1609784397851641E-2</v>
      </c>
      <c r="F296" s="8">
        <f t="shared" ca="1" si="310"/>
        <v>6.5221688200548161E-2</v>
      </c>
      <c r="G296" s="8">
        <f t="shared" ca="1" si="310"/>
        <v>5.4192453208315082E-2</v>
      </c>
      <c r="H296" s="8">
        <f t="shared" ca="1" si="310"/>
        <v>5.6949633086629377E-2</v>
      </c>
      <c r="I296" s="8">
        <f t="shared" ca="1" si="310"/>
        <v>6.0018527603145237E-2</v>
      </c>
      <c r="J296" s="8">
        <f t="shared" ca="1" si="310"/>
        <v>6.1982613819407568E-2</v>
      </c>
      <c r="K296" s="8">
        <f t="shared" ca="1" si="310"/>
        <v>6.4648727154234364E-2</v>
      </c>
      <c r="L296" s="8">
        <f t="shared" ca="1" si="310"/>
        <v>6.0299435699898561E-2</v>
      </c>
      <c r="M296" s="8">
        <f t="shared" ca="1" si="310"/>
        <v>5.7489400483380845E-2</v>
      </c>
      <c r="N296" s="8">
        <f t="shared" ca="1" si="310"/>
        <v>5.1063795882202972E-2</v>
      </c>
      <c r="O296" s="8">
        <f t="shared" ca="1" si="310"/>
        <v>5.5570060515044518E-2</v>
      </c>
    </row>
    <row r="297" spans="2:15">
      <c r="B297" s="3">
        <v>276</v>
      </c>
      <c r="C297" s="8">
        <f t="shared" si="291"/>
        <v>0.05</v>
      </c>
      <c r="D297" s="8">
        <f t="shared" ref="D297:O297" ca="1" si="311">C297+k*(theta-C297)*dt+vol*SQRT(dt)*_xlfn.NORM.S.INV(RAND())</f>
        <v>5.6072382592304126E-2</v>
      </c>
      <c r="E297" s="8">
        <f t="shared" ca="1" si="311"/>
        <v>5.2793860485795568E-2</v>
      </c>
      <c r="F297" s="8">
        <f t="shared" ca="1" si="311"/>
        <v>5.6175685892913774E-2</v>
      </c>
      <c r="G297" s="8">
        <f t="shared" ca="1" si="311"/>
        <v>5.6492228095007015E-2</v>
      </c>
      <c r="H297" s="8">
        <f t="shared" ca="1" si="311"/>
        <v>5.6752166333104564E-2</v>
      </c>
      <c r="I297" s="8">
        <f t="shared" ca="1" si="311"/>
        <v>5.4689424588977881E-2</v>
      </c>
      <c r="J297" s="8">
        <f t="shared" ca="1" si="311"/>
        <v>4.8023259990573108E-2</v>
      </c>
      <c r="K297" s="8">
        <f t="shared" ca="1" si="311"/>
        <v>5.9005494087167473E-2</v>
      </c>
      <c r="L297" s="8">
        <f t="shared" ca="1" si="311"/>
        <v>5.2480167468315519E-2</v>
      </c>
      <c r="M297" s="8">
        <f t="shared" ca="1" si="311"/>
        <v>5.6671006396808568E-2</v>
      </c>
      <c r="N297" s="8">
        <f t="shared" ca="1" si="311"/>
        <v>5.7740431220270227E-2</v>
      </c>
      <c r="O297" s="8">
        <f t="shared" ca="1" si="311"/>
        <v>4.6420204836564255E-2</v>
      </c>
    </row>
    <row r="298" spans="2:15">
      <c r="B298" s="3">
        <v>277</v>
      </c>
      <c r="C298" s="8">
        <f t="shared" si="291"/>
        <v>0.05</v>
      </c>
      <c r="D298" s="8">
        <f t="shared" ref="D298:O298" ca="1" si="312">C298+k*(theta-C298)*dt+vol*SQRT(dt)*_xlfn.NORM.S.INV(RAND())</f>
        <v>5.1271839737376847E-2</v>
      </c>
      <c r="E298" s="8">
        <f t="shared" ca="1" si="312"/>
        <v>5.6274344854448939E-2</v>
      </c>
      <c r="F298" s="8">
        <f t="shared" ca="1" si="312"/>
        <v>5.7337848535181236E-2</v>
      </c>
      <c r="G298" s="8">
        <f t="shared" ca="1" si="312"/>
        <v>5.971082708785741E-2</v>
      </c>
      <c r="H298" s="8">
        <f t="shared" ca="1" si="312"/>
        <v>6.2251657427895866E-2</v>
      </c>
      <c r="I298" s="8">
        <f t="shared" ca="1" si="312"/>
        <v>7.5526222723135722E-2</v>
      </c>
      <c r="J298" s="8">
        <f t="shared" ca="1" si="312"/>
        <v>7.2106490307730087E-2</v>
      </c>
      <c r="K298" s="8">
        <f t="shared" ca="1" si="312"/>
        <v>6.9664412765983993E-2</v>
      </c>
      <c r="L298" s="8">
        <f t="shared" ca="1" si="312"/>
        <v>6.4764006380782668E-2</v>
      </c>
      <c r="M298" s="8">
        <f t="shared" ca="1" si="312"/>
        <v>6.7733982932953921E-2</v>
      </c>
      <c r="N298" s="8">
        <f t="shared" ca="1" si="312"/>
        <v>6.3158847592655054E-2</v>
      </c>
      <c r="O298" s="8">
        <f t="shared" ca="1" si="312"/>
        <v>7.8500627087911057E-2</v>
      </c>
    </row>
    <row r="299" spans="2:15">
      <c r="B299" s="3">
        <v>278</v>
      </c>
      <c r="C299" s="8">
        <f t="shared" si="291"/>
        <v>0.05</v>
      </c>
      <c r="D299" s="8">
        <f t="shared" ref="D299:O299" ca="1" si="313">C299+k*(theta-C299)*dt+vol*SQRT(dt)*_xlfn.NORM.S.INV(RAND())</f>
        <v>4.9430304072578E-2</v>
      </c>
      <c r="E299" s="8">
        <f t="shared" ca="1" si="313"/>
        <v>4.1847788143088073E-2</v>
      </c>
      <c r="F299" s="8">
        <f t="shared" ca="1" si="313"/>
        <v>4.4558356354818689E-2</v>
      </c>
      <c r="G299" s="8">
        <f t="shared" ca="1" si="313"/>
        <v>5.0529301876299525E-2</v>
      </c>
      <c r="H299" s="8">
        <f t="shared" ca="1" si="313"/>
        <v>4.0370351834592241E-2</v>
      </c>
      <c r="I299" s="8">
        <f t="shared" ca="1" si="313"/>
        <v>3.5652445523897611E-2</v>
      </c>
      <c r="J299" s="8">
        <f t="shared" ca="1" si="313"/>
        <v>3.4931450228520344E-2</v>
      </c>
      <c r="K299" s="8">
        <f t="shared" ca="1" si="313"/>
        <v>4.1275771511846797E-2</v>
      </c>
      <c r="L299" s="8">
        <f t="shared" ca="1" si="313"/>
        <v>4.1774759675810569E-2</v>
      </c>
      <c r="M299" s="8">
        <f t="shared" ca="1" si="313"/>
        <v>4.8532414665399905E-2</v>
      </c>
      <c r="N299" s="8">
        <f t="shared" ca="1" si="313"/>
        <v>4.7898564174888796E-2</v>
      </c>
      <c r="O299" s="8">
        <f t="shared" ca="1" si="313"/>
        <v>4.5290074570687004E-2</v>
      </c>
    </row>
    <row r="300" spans="2:15">
      <c r="B300" s="3">
        <v>279</v>
      </c>
      <c r="C300" s="8">
        <f t="shared" si="291"/>
        <v>0.05</v>
      </c>
      <c r="D300" s="8">
        <f t="shared" ref="D300:O300" ca="1" si="314">C300+k*(theta-C300)*dt+vol*SQRT(dt)*_xlfn.NORM.S.INV(RAND())</f>
        <v>6.1842881054558992E-2</v>
      </c>
      <c r="E300" s="8">
        <f t="shared" ca="1" si="314"/>
        <v>6.0379938368302334E-2</v>
      </c>
      <c r="F300" s="8">
        <f t="shared" ca="1" si="314"/>
        <v>6.6240200632784241E-2</v>
      </c>
      <c r="G300" s="8">
        <f t="shared" ca="1" si="314"/>
        <v>6.3177060674385832E-2</v>
      </c>
      <c r="H300" s="8">
        <f t="shared" ca="1" si="314"/>
        <v>7.0595668653581967E-2</v>
      </c>
      <c r="I300" s="8">
        <f t="shared" ca="1" si="314"/>
        <v>7.4112201820452583E-2</v>
      </c>
      <c r="J300" s="8">
        <f t="shared" ca="1" si="314"/>
        <v>7.2352460898064547E-2</v>
      </c>
      <c r="K300" s="8">
        <f t="shared" ca="1" si="314"/>
        <v>7.5728325381839129E-2</v>
      </c>
      <c r="L300" s="8">
        <f t="shared" ca="1" si="314"/>
        <v>7.5098619298553271E-2</v>
      </c>
      <c r="M300" s="8">
        <f t="shared" ca="1" si="314"/>
        <v>7.3284542351977053E-2</v>
      </c>
      <c r="N300" s="8">
        <f t="shared" ca="1" si="314"/>
        <v>7.2484089555476985E-2</v>
      </c>
      <c r="O300" s="8">
        <f t="shared" ca="1" si="314"/>
        <v>8.3539966507184468E-2</v>
      </c>
    </row>
    <row r="301" spans="2:15">
      <c r="B301" s="3">
        <v>280</v>
      </c>
      <c r="C301" s="8">
        <f t="shared" si="291"/>
        <v>0.05</v>
      </c>
      <c r="D301" s="8">
        <f t="shared" ref="D301:O301" ca="1" si="315">C301+k*(theta-C301)*dt+vol*SQRT(dt)*_xlfn.NORM.S.INV(RAND())</f>
        <v>5.690297151621368E-2</v>
      </c>
      <c r="E301" s="8">
        <f t="shared" ca="1" si="315"/>
        <v>5.7003725679077688E-2</v>
      </c>
      <c r="F301" s="8">
        <f t="shared" ca="1" si="315"/>
        <v>6.2671532459182541E-2</v>
      </c>
      <c r="G301" s="8">
        <f t="shared" ca="1" si="315"/>
        <v>7.5036027668335989E-2</v>
      </c>
      <c r="H301" s="8">
        <f t="shared" ca="1" si="315"/>
        <v>6.9267535193467789E-2</v>
      </c>
      <c r="I301" s="8">
        <f t="shared" ca="1" si="315"/>
        <v>7.0784784465843034E-2</v>
      </c>
      <c r="J301" s="8">
        <f t="shared" ca="1" si="315"/>
        <v>7.910485500400985E-2</v>
      </c>
      <c r="K301" s="8">
        <f t="shared" ca="1" si="315"/>
        <v>7.6795232752964265E-2</v>
      </c>
      <c r="L301" s="8">
        <f t="shared" ca="1" si="315"/>
        <v>7.7760869821851417E-2</v>
      </c>
      <c r="M301" s="8">
        <f t="shared" ca="1" si="315"/>
        <v>7.3384562150993288E-2</v>
      </c>
      <c r="N301" s="8">
        <f t="shared" ca="1" si="315"/>
        <v>7.9301310643767525E-2</v>
      </c>
      <c r="O301" s="8">
        <f t="shared" ca="1" si="315"/>
        <v>6.97773394795944E-2</v>
      </c>
    </row>
    <row r="302" spans="2:15">
      <c r="B302" s="3">
        <v>281</v>
      </c>
      <c r="C302" s="8">
        <f t="shared" si="291"/>
        <v>0.05</v>
      </c>
      <c r="D302" s="8">
        <f t="shared" ref="D302:O302" ca="1" si="316">C302+k*(theta-C302)*dt+vol*SQRT(dt)*_xlfn.NORM.S.INV(RAND())</f>
        <v>5.6775736730461906E-2</v>
      </c>
      <c r="E302" s="8">
        <f t="shared" ca="1" si="316"/>
        <v>5.1533140253147883E-2</v>
      </c>
      <c r="F302" s="8">
        <f t="shared" ca="1" si="316"/>
        <v>4.820418420205945E-2</v>
      </c>
      <c r="G302" s="8">
        <f t="shared" ca="1" si="316"/>
        <v>5.1084711907257344E-2</v>
      </c>
      <c r="H302" s="8">
        <f t="shared" ca="1" si="316"/>
        <v>5.7049044254862021E-2</v>
      </c>
      <c r="I302" s="8">
        <f t="shared" ca="1" si="316"/>
        <v>5.9059633226429854E-2</v>
      </c>
      <c r="J302" s="8">
        <f t="shared" ca="1" si="316"/>
        <v>6.1140592693867124E-2</v>
      </c>
      <c r="K302" s="8">
        <f t="shared" ca="1" si="316"/>
        <v>6.5982619600732623E-2</v>
      </c>
      <c r="L302" s="8">
        <f t="shared" ca="1" si="316"/>
        <v>6.3757814109194566E-2</v>
      </c>
      <c r="M302" s="8">
        <f t="shared" ca="1" si="316"/>
        <v>5.8436095283545222E-2</v>
      </c>
      <c r="N302" s="8">
        <f t="shared" ca="1" si="316"/>
        <v>6.127409341050518E-2</v>
      </c>
      <c r="O302" s="8">
        <f t="shared" ca="1" si="316"/>
        <v>6.3650695456996476E-2</v>
      </c>
    </row>
    <row r="303" spans="2:15">
      <c r="B303" s="3">
        <v>282</v>
      </c>
      <c r="C303" s="8">
        <f t="shared" si="291"/>
        <v>0.05</v>
      </c>
      <c r="D303" s="8">
        <f t="shared" ref="D303:O303" ca="1" si="317">C303+k*(theta-C303)*dt+vol*SQRT(dt)*_xlfn.NORM.S.INV(RAND())</f>
        <v>6.6068543153424808E-2</v>
      </c>
      <c r="E303" s="8">
        <f t="shared" ca="1" si="317"/>
        <v>6.0682812899995518E-2</v>
      </c>
      <c r="F303" s="8">
        <f t="shared" ca="1" si="317"/>
        <v>6.9236468623988481E-2</v>
      </c>
      <c r="G303" s="8">
        <f t="shared" ca="1" si="317"/>
        <v>7.5666252944360066E-2</v>
      </c>
      <c r="H303" s="8">
        <f t="shared" ca="1" si="317"/>
        <v>7.9290056853879062E-2</v>
      </c>
      <c r="I303" s="8">
        <f t="shared" ca="1" si="317"/>
        <v>7.361830566311231E-2</v>
      </c>
      <c r="J303" s="8">
        <f t="shared" ca="1" si="317"/>
        <v>6.8988182048317609E-2</v>
      </c>
      <c r="K303" s="8">
        <f t="shared" ca="1" si="317"/>
        <v>6.8286391986996431E-2</v>
      </c>
      <c r="L303" s="8">
        <f t="shared" ca="1" si="317"/>
        <v>7.2215462618736154E-2</v>
      </c>
      <c r="M303" s="8">
        <f t="shared" ca="1" si="317"/>
        <v>6.6094910212899968E-2</v>
      </c>
      <c r="N303" s="8">
        <f t="shared" ca="1" si="317"/>
        <v>6.071385878815528E-2</v>
      </c>
      <c r="O303" s="8">
        <f t="shared" ca="1" si="317"/>
        <v>5.878424301936451E-2</v>
      </c>
    </row>
    <row r="304" spans="2:15">
      <c r="B304" s="3">
        <v>283</v>
      </c>
      <c r="C304" s="8">
        <f t="shared" si="291"/>
        <v>0.05</v>
      </c>
      <c r="D304" s="8">
        <f t="shared" ref="D304:O304" ca="1" si="318">C304+k*(theta-C304)*dt+vol*SQRT(dt)*_xlfn.NORM.S.INV(RAND())</f>
        <v>4.4760770334847211E-2</v>
      </c>
      <c r="E304" s="8">
        <f t="shared" ca="1" si="318"/>
        <v>4.230391452735191E-2</v>
      </c>
      <c r="F304" s="8">
        <f t="shared" ca="1" si="318"/>
        <v>4.7454893999047322E-2</v>
      </c>
      <c r="G304" s="8">
        <f t="shared" ca="1" si="318"/>
        <v>4.9327149604605811E-2</v>
      </c>
      <c r="H304" s="8">
        <f t="shared" ca="1" si="318"/>
        <v>4.958537650811979E-2</v>
      </c>
      <c r="I304" s="8">
        <f t="shared" ca="1" si="318"/>
        <v>5.3710757527722239E-2</v>
      </c>
      <c r="J304" s="8">
        <f t="shared" ca="1" si="318"/>
        <v>5.2581142972979791E-2</v>
      </c>
      <c r="K304" s="8">
        <f t="shared" ca="1" si="318"/>
        <v>5.4059435358232502E-2</v>
      </c>
      <c r="L304" s="8">
        <f t="shared" ca="1" si="318"/>
        <v>6.6165647655064511E-2</v>
      </c>
      <c r="M304" s="8">
        <f t="shared" ca="1" si="318"/>
        <v>7.1589540086925266E-2</v>
      </c>
      <c r="N304" s="8">
        <f t="shared" ca="1" si="318"/>
        <v>6.3464661604728079E-2</v>
      </c>
      <c r="O304" s="8">
        <f t="shared" ca="1" si="318"/>
        <v>6.3214669446460606E-2</v>
      </c>
    </row>
    <row r="305" spans="2:15">
      <c r="B305" s="3">
        <v>284</v>
      </c>
      <c r="C305" s="8">
        <f t="shared" si="291"/>
        <v>0.05</v>
      </c>
      <c r="D305" s="8">
        <f t="shared" ref="D305:O305" ca="1" si="319">C305+k*(theta-C305)*dt+vol*SQRT(dt)*_xlfn.NORM.S.INV(RAND())</f>
        <v>4.8472785451423896E-2</v>
      </c>
      <c r="E305" s="8">
        <f t="shared" ca="1" si="319"/>
        <v>5.8072695463776143E-2</v>
      </c>
      <c r="F305" s="8">
        <f t="shared" ca="1" si="319"/>
        <v>5.0908668182357786E-2</v>
      </c>
      <c r="G305" s="8">
        <f t="shared" ca="1" si="319"/>
        <v>5.6934556359383021E-2</v>
      </c>
      <c r="H305" s="8">
        <f t="shared" ca="1" si="319"/>
        <v>6.3189333466404374E-2</v>
      </c>
      <c r="I305" s="8">
        <f t="shared" ca="1" si="319"/>
        <v>6.0649765483156273E-2</v>
      </c>
      <c r="J305" s="8">
        <f t="shared" ca="1" si="319"/>
        <v>5.6510304840140788E-2</v>
      </c>
      <c r="K305" s="8">
        <f t="shared" ca="1" si="319"/>
        <v>7.0724584542782631E-2</v>
      </c>
      <c r="L305" s="8">
        <f t="shared" ca="1" si="319"/>
        <v>7.0854432207276372E-2</v>
      </c>
      <c r="M305" s="8">
        <f t="shared" ca="1" si="319"/>
        <v>7.2706934026356584E-2</v>
      </c>
      <c r="N305" s="8">
        <f t="shared" ca="1" si="319"/>
        <v>7.7689459920648116E-2</v>
      </c>
      <c r="O305" s="8">
        <f t="shared" ca="1" si="319"/>
        <v>7.4592427211365747E-2</v>
      </c>
    </row>
    <row r="306" spans="2:15">
      <c r="B306" s="3">
        <v>285</v>
      </c>
      <c r="C306" s="8">
        <f t="shared" si="291"/>
        <v>0.05</v>
      </c>
      <c r="D306" s="8">
        <f t="shared" ref="D306:O306" ca="1" si="320">C306+k*(theta-C306)*dt+vol*SQRT(dt)*_xlfn.NORM.S.INV(RAND())</f>
        <v>4.5177881213022741E-2</v>
      </c>
      <c r="E306" s="8">
        <f t="shared" ca="1" si="320"/>
        <v>3.560444653995859E-2</v>
      </c>
      <c r="F306" s="8">
        <f t="shared" ca="1" si="320"/>
        <v>3.301690182669309E-2</v>
      </c>
      <c r="G306" s="8">
        <f t="shared" ca="1" si="320"/>
        <v>4.4435198521865706E-2</v>
      </c>
      <c r="H306" s="8">
        <f t="shared" ca="1" si="320"/>
        <v>3.8483340970615565E-2</v>
      </c>
      <c r="I306" s="8">
        <f t="shared" ca="1" si="320"/>
        <v>3.671427748137622E-2</v>
      </c>
      <c r="J306" s="8">
        <f t="shared" ca="1" si="320"/>
        <v>4.461906027761469E-2</v>
      </c>
      <c r="K306" s="8">
        <f t="shared" ca="1" si="320"/>
        <v>3.7198764242276548E-2</v>
      </c>
      <c r="L306" s="8">
        <f t="shared" ca="1" si="320"/>
        <v>4.0713147045873449E-2</v>
      </c>
      <c r="M306" s="8">
        <f t="shared" ca="1" si="320"/>
        <v>4.041967353819597E-2</v>
      </c>
      <c r="N306" s="8">
        <f t="shared" ca="1" si="320"/>
        <v>4.1271258860818789E-2</v>
      </c>
      <c r="O306" s="8">
        <f t="shared" ca="1" si="320"/>
        <v>4.0334272049526596E-2</v>
      </c>
    </row>
    <row r="307" spans="2:15">
      <c r="B307" s="3">
        <v>286</v>
      </c>
      <c r="C307" s="8">
        <f t="shared" si="291"/>
        <v>0.05</v>
      </c>
      <c r="D307" s="8">
        <f t="shared" ref="D307:O307" ca="1" si="321">C307+k*(theta-C307)*dt+vol*SQRT(dt)*_xlfn.NORM.S.INV(RAND())</f>
        <v>5.2135861774437985E-2</v>
      </c>
      <c r="E307" s="8">
        <f t="shared" ca="1" si="321"/>
        <v>4.8941691983370735E-2</v>
      </c>
      <c r="F307" s="8">
        <f t="shared" ca="1" si="321"/>
        <v>5.4091988914667773E-2</v>
      </c>
      <c r="G307" s="8">
        <f t="shared" ca="1" si="321"/>
        <v>5.600373681540171E-2</v>
      </c>
      <c r="H307" s="8">
        <f t="shared" ca="1" si="321"/>
        <v>5.7115292845448196E-2</v>
      </c>
      <c r="I307" s="8">
        <f t="shared" ca="1" si="321"/>
        <v>5.6020177852891477E-2</v>
      </c>
      <c r="J307" s="8">
        <f t="shared" ca="1" si="321"/>
        <v>5.1732459707529446E-2</v>
      </c>
      <c r="K307" s="8">
        <f t="shared" ca="1" si="321"/>
        <v>5.9847771388631302E-2</v>
      </c>
      <c r="L307" s="8">
        <f t="shared" ca="1" si="321"/>
        <v>7.2005272689397423E-2</v>
      </c>
      <c r="M307" s="8">
        <f t="shared" ca="1" si="321"/>
        <v>7.645371547466441E-2</v>
      </c>
      <c r="N307" s="8">
        <f t="shared" ca="1" si="321"/>
        <v>7.6635480627325475E-2</v>
      </c>
      <c r="O307" s="8">
        <f t="shared" ca="1" si="321"/>
        <v>7.4731394254362857E-2</v>
      </c>
    </row>
    <row r="308" spans="2:15">
      <c r="B308" s="3">
        <v>287</v>
      </c>
      <c r="C308" s="8">
        <f t="shared" si="291"/>
        <v>0.05</v>
      </c>
      <c r="D308" s="8">
        <f t="shared" ref="D308:O308" ca="1" si="322">C308+k*(theta-C308)*dt+vol*SQRT(dt)*_xlfn.NORM.S.INV(RAND())</f>
        <v>4.6928757700549668E-2</v>
      </c>
      <c r="E308" s="8">
        <f t="shared" ca="1" si="322"/>
        <v>5.0786277118743749E-2</v>
      </c>
      <c r="F308" s="8">
        <f t="shared" ca="1" si="322"/>
        <v>6.2617500986252586E-2</v>
      </c>
      <c r="G308" s="8">
        <f t="shared" ca="1" si="322"/>
        <v>6.7714280279168815E-2</v>
      </c>
      <c r="H308" s="8">
        <f t="shared" ca="1" si="322"/>
        <v>6.3948137963910134E-2</v>
      </c>
      <c r="I308" s="8">
        <f t="shared" ca="1" si="322"/>
        <v>6.2132984401061103E-2</v>
      </c>
      <c r="J308" s="8">
        <f t="shared" ca="1" si="322"/>
        <v>5.7997932392226018E-2</v>
      </c>
      <c r="K308" s="8">
        <f t="shared" ca="1" si="322"/>
        <v>5.5938170851352345E-2</v>
      </c>
      <c r="L308" s="8">
        <f t="shared" ca="1" si="322"/>
        <v>4.3722789133127021E-2</v>
      </c>
      <c r="M308" s="8">
        <f t="shared" ca="1" si="322"/>
        <v>5.6242417160862132E-2</v>
      </c>
      <c r="N308" s="8">
        <f t="shared" ca="1" si="322"/>
        <v>5.6032043571676994E-2</v>
      </c>
      <c r="O308" s="8">
        <f t="shared" ca="1" si="322"/>
        <v>6.0160360267448164E-2</v>
      </c>
    </row>
    <row r="309" spans="2:15">
      <c r="B309" s="3">
        <v>288</v>
      </c>
      <c r="C309" s="8">
        <f t="shared" si="291"/>
        <v>0.05</v>
      </c>
      <c r="D309" s="8">
        <f t="shared" ref="D309:O309" ca="1" si="323">C309+k*(theta-C309)*dt+vol*SQRT(dt)*_xlfn.NORM.S.INV(RAND())</f>
        <v>5.7561361289948459E-2</v>
      </c>
      <c r="E309" s="8">
        <f t="shared" ca="1" si="323"/>
        <v>5.8266235587275762E-2</v>
      </c>
      <c r="F309" s="8">
        <f t="shared" ca="1" si="323"/>
        <v>6.7057147359613462E-2</v>
      </c>
      <c r="G309" s="8">
        <f t="shared" ca="1" si="323"/>
        <v>6.5806447262837686E-2</v>
      </c>
      <c r="H309" s="8">
        <f t="shared" ca="1" si="323"/>
        <v>6.7182981960962188E-2</v>
      </c>
      <c r="I309" s="8">
        <f t="shared" ca="1" si="323"/>
        <v>7.565117922376155E-2</v>
      </c>
      <c r="J309" s="8">
        <f t="shared" ca="1" si="323"/>
        <v>7.1678747164148682E-2</v>
      </c>
      <c r="K309" s="8">
        <f t="shared" ca="1" si="323"/>
        <v>7.0297471285666879E-2</v>
      </c>
      <c r="L309" s="8">
        <f t="shared" ca="1" si="323"/>
        <v>6.26963268695679E-2</v>
      </c>
      <c r="M309" s="8">
        <f t="shared" ca="1" si="323"/>
        <v>6.0044350012919016E-2</v>
      </c>
      <c r="N309" s="8">
        <f t="shared" ca="1" si="323"/>
        <v>5.8965229770898041E-2</v>
      </c>
      <c r="O309" s="8">
        <f t="shared" ca="1" si="323"/>
        <v>6.5802962893406231E-2</v>
      </c>
    </row>
    <row r="310" spans="2:15">
      <c r="B310" s="3">
        <v>289</v>
      </c>
      <c r="C310" s="8">
        <f t="shared" si="291"/>
        <v>0.05</v>
      </c>
      <c r="D310" s="8">
        <f t="shared" ref="D310:O310" ca="1" si="324">C310+k*(theta-C310)*dt+vol*SQRT(dt)*_xlfn.NORM.S.INV(RAND())</f>
        <v>6.2210138035062625E-2</v>
      </c>
      <c r="E310" s="8">
        <f t="shared" ca="1" si="324"/>
        <v>5.812851508993009E-2</v>
      </c>
      <c r="F310" s="8">
        <f t="shared" ca="1" si="324"/>
        <v>5.7282234326969696E-2</v>
      </c>
      <c r="G310" s="8">
        <f t="shared" ca="1" si="324"/>
        <v>5.9420892352736857E-2</v>
      </c>
      <c r="H310" s="8">
        <f t="shared" ca="1" si="324"/>
        <v>5.8145293634080851E-2</v>
      </c>
      <c r="I310" s="8">
        <f t="shared" ca="1" si="324"/>
        <v>6.442213829917541E-2</v>
      </c>
      <c r="J310" s="8">
        <f t="shared" ca="1" si="324"/>
        <v>6.6918074557218182E-2</v>
      </c>
      <c r="K310" s="8">
        <f t="shared" ca="1" si="324"/>
        <v>6.9141574732299926E-2</v>
      </c>
      <c r="L310" s="8">
        <f t="shared" ca="1" si="324"/>
        <v>7.4635087481510001E-2</v>
      </c>
      <c r="M310" s="8">
        <f t="shared" ca="1" si="324"/>
        <v>7.5032662166949982E-2</v>
      </c>
      <c r="N310" s="8">
        <f t="shared" ca="1" si="324"/>
        <v>7.1784899053914261E-2</v>
      </c>
      <c r="O310" s="8">
        <f t="shared" ca="1" si="324"/>
        <v>7.7274386896762332E-2</v>
      </c>
    </row>
    <row r="311" spans="2:15">
      <c r="B311" s="3">
        <v>290</v>
      </c>
      <c r="C311" s="8">
        <f t="shared" si="291"/>
        <v>0.05</v>
      </c>
      <c r="D311" s="8">
        <f t="shared" ref="D311:O311" ca="1" si="325">C311+k*(theta-C311)*dt+vol*SQRT(dt)*_xlfn.NORM.S.INV(RAND())</f>
        <v>4.5682990468767365E-2</v>
      </c>
      <c r="E311" s="8">
        <f t="shared" ca="1" si="325"/>
        <v>4.6867469537544559E-2</v>
      </c>
      <c r="F311" s="8">
        <f t="shared" ca="1" si="325"/>
        <v>4.7432673448848418E-2</v>
      </c>
      <c r="G311" s="8">
        <f t="shared" ca="1" si="325"/>
        <v>4.2175222750088379E-2</v>
      </c>
      <c r="H311" s="8">
        <f t="shared" ca="1" si="325"/>
        <v>4.1723552124074831E-2</v>
      </c>
      <c r="I311" s="8">
        <f t="shared" ca="1" si="325"/>
        <v>2.8942458296657609E-2</v>
      </c>
      <c r="J311" s="8">
        <f t="shared" ca="1" si="325"/>
        <v>2.7550546845120243E-2</v>
      </c>
      <c r="K311" s="8">
        <f t="shared" ca="1" si="325"/>
        <v>2.3551520632730544E-2</v>
      </c>
      <c r="L311" s="8">
        <f t="shared" ca="1" si="325"/>
        <v>2.0932356175695416E-2</v>
      </c>
      <c r="M311" s="8">
        <f t="shared" ca="1" si="325"/>
        <v>1.7431337648814365E-2</v>
      </c>
      <c r="N311" s="8">
        <f t="shared" ca="1" si="325"/>
        <v>2.0359603442582173E-2</v>
      </c>
      <c r="O311" s="8">
        <f t="shared" ca="1" si="325"/>
        <v>3.2167510327990104E-2</v>
      </c>
    </row>
    <row r="312" spans="2:15">
      <c r="B312" s="3">
        <v>291</v>
      </c>
      <c r="C312" s="8">
        <f t="shared" si="291"/>
        <v>0.05</v>
      </c>
      <c r="D312" s="8">
        <f t="shared" ref="D312:O312" ca="1" si="326">C312+k*(theta-C312)*dt+vol*SQRT(dt)*_xlfn.NORM.S.INV(RAND())</f>
        <v>5.2575134155737564E-2</v>
      </c>
      <c r="E312" s="8">
        <f t="shared" ca="1" si="326"/>
        <v>6.0179306765450594E-2</v>
      </c>
      <c r="F312" s="8">
        <f t="shared" ca="1" si="326"/>
        <v>6.0369331246636349E-2</v>
      </c>
      <c r="G312" s="8">
        <f t="shared" ca="1" si="326"/>
        <v>6.8223621925476402E-2</v>
      </c>
      <c r="H312" s="8">
        <f t="shared" ca="1" si="326"/>
        <v>6.3902937369848811E-2</v>
      </c>
      <c r="I312" s="8">
        <f t="shared" ca="1" si="326"/>
        <v>5.4039705938601718E-2</v>
      </c>
      <c r="J312" s="8">
        <f t="shared" ca="1" si="326"/>
        <v>5.6617468896733601E-2</v>
      </c>
      <c r="K312" s="8">
        <f t="shared" ca="1" si="326"/>
        <v>5.5255541777271731E-2</v>
      </c>
      <c r="L312" s="8">
        <f t="shared" ca="1" si="326"/>
        <v>6.4793744025594374E-2</v>
      </c>
      <c r="M312" s="8">
        <f t="shared" ca="1" si="326"/>
        <v>6.0211392173117446E-2</v>
      </c>
      <c r="N312" s="8">
        <f t="shared" ca="1" si="326"/>
        <v>4.889865778330358E-2</v>
      </c>
      <c r="O312" s="8">
        <f t="shared" ca="1" si="326"/>
        <v>4.8321194583345835E-2</v>
      </c>
    </row>
    <row r="313" spans="2:15">
      <c r="B313" s="3">
        <v>292</v>
      </c>
      <c r="C313" s="8">
        <f t="shared" si="291"/>
        <v>0.05</v>
      </c>
      <c r="D313" s="8">
        <f t="shared" ref="D313:O313" ca="1" si="327">C313+k*(theta-C313)*dt+vol*SQRT(dt)*_xlfn.NORM.S.INV(RAND())</f>
        <v>5.1199210001070486E-2</v>
      </c>
      <c r="E313" s="8">
        <f t="shared" ca="1" si="327"/>
        <v>4.7897775783896625E-2</v>
      </c>
      <c r="F313" s="8">
        <f t="shared" ca="1" si="327"/>
        <v>5.6323785095764613E-2</v>
      </c>
      <c r="G313" s="8">
        <f t="shared" ca="1" si="327"/>
        <v>5.0521711947954046E-2</v>
      </c>
      <c r="H313" s="8">
        <f t="shared" ca="1" si="327"/>
        <v>5.657529525710446E-2</v>
      </c>
      <c r="I313" s="8">
        <f t="shared" ca="1" si="327"/>
        <v>6.8686485245875339E-2</v>
      </c>
      <c r="J313" s="8">
        <f t="shared" ca="1" si="327"/>
        <v>5.9550718118107013E-2</v>
      </c>
      <c r="K313" s="8">
        <f t="shared" ca="1" si="327"/>
        <v>6.4011369997402534E-2</v>
      </c>
      <c r="L313" s="8">
        <f t="shared" ca="1" si="327"/>
        <v>5.6403334235139713E-2</v>
      </c>
      <c r="M313" s="8">
        <f t="shared" ca="1" si="327"/>
        <v>5.1266265442258235E-2</v>
      </c>
      <c r="N313" s="8">
        <f t="shared" ca="1" si="327"/>
        <v>6.1632758897007936E-2</v>
      </c>
      <c r="O313" s="8">
        <f t="shared" ca="1" si="327"/>
        <v>6.8239144502384191E-2</v>
      </c>
    </row>
    <row r="314" spans="2:15">
      <c r="B314" s="3">
        <v>293</v>
      </c>
      <c r="C314" s="8">
        <f t="shared" si="291"/>
        <v>0.05</v>
      </c>
      <c r="D314" s="8">
        <f t="shared" ref="D314:O314" ca="1" si="328">C314+k*(theta-C314)*dt+vol*SQRT(dt)*_xlfn.NORM.S.INV(RAND())</f>
        <v>4.4563317425664307E-2</v>
      </c>
      <c r="E314" s="8">
        <f t="shared" ca="1" si="328"/>
        <v>3.8108694302920951E-2</v>
      </c>
      <c r="F314" s="8">
        <f t="shared" ca="1" si="328"/>
        <v>3.961955258903737E-2</v>
      </c>
      <c r="G314" s="8">
        <f t="shared" ca="1" si="328"/>
        <v>3.8943089166674105E-2</v>
      </c>
      <c r="H314" s="8">
        <f t="shared" ca="1" si="328"/>
        <v>5.1830689160777321E-2</v>
      </c>
      <c r="I314" s="8">
        <f t="shared" ca="1" si="328"/>
        <v>4.9737537796412351E-2</v>
      </c>
      <c r="J314" s="8">
        <f t="shared" ca="1" si="328"/>
        <v>5.7123612346128311E-2</v>
      </c>
      <c r="K314" s="8">
        <f t="shared" ca="1" si="328"/>
        <v>5.6148376134816838E-2</v>
      </c>
      <c r="L314" s="8">
        <f t="shared" ca="1" si="328"/>
        <v>6.7879921877303642E-2</v>
      </c>
      <c r="M314" s="8">
        <f t="shared" ca="1" si="328"/>
        <v>7.4588445374669923E-2</v>
      </c>
      <c r="N314" s="8">
        <f t="shared" ca="1" si="328"/>
        <v>7.2790601556275147E-2</v>
      </c>
      <c r="O314" s="8">
        <f t="shared" ca="1" si="328"/>
        <v>7.0797920525312058E-2</v>
      </c>
    </row>
    <row r="315" spans="2:15">
      <c r="B315" s="3">
        <v>294</v>
      </c>
      <c r="C315" s="8">
        <f t="shared" si="291"/>
        <v>0.05</v>
      </c>
      <c r="D315" s="8">
        <f t="shared" ref="D315:O315" ca="1" si="329">C315+k*(theta-C315)*dt+vol*SQRT(dt)*_xlfn.NORM.S.INV(RAND())</f>
        <v>5.7121379454688287E-2</v>
      </c>
      <c r="E315" s="8">
        <f t="shared" ca="1" si="329"/>
        <v>5.842484998708905E-2</v>
      </c>
      <c r="F315" s="8">
        <f t="shared" ca="1" si="329"/>
        <v>6.0514220757895525E-2</v>
      </c>
      <c r="G315" s="8">
        <f t="shared" ca="1" si="329"/>
        <v>6.7595166130456436E-2</v>
      </c>
      <c r="H315" s="8">
        <f t="shared" ca="1" si="329"/>
        <v>7.7424146115285197E-2</v>
      </c>
      <c r="I315" s="8">
        <f t="shared" ca="1" si="329"/>
        <v>8.3018857073313343E-2</v>
      </c>
      <c r="J315" s="8">
        <f t="shared" ca="1" si="329"/>
        <v>8.3285114311810668E-2</v>
      </c>
      <c r="K315" s="8">
        <f t="shared" ca="1" si="329"/>
        <v>8.8714914956824001E-2</v>
      </c>
      <c r="L315" s="8">
        <f t="shared" ca="1" si="329"/>
        <v>8.8292530231769153E-2</v>
      </c>
      <c r="M315" s="8">
        <f t="shared" ca="1" si="329"/>
        <v>8.2387631508015133E-2</v>
      </c>
      <c r="N315" s="8">
        <f t="shared" ca="1" si="329"/>
        <v>7.2674014411559823E-2</v>
      </c>
      <c r="O315" s="8">
        <f t="shared" ca="1" si="329"/>
        <v>7.4466079542347394E-2</v>
      </c>
    </row>
    <row r="316" spans="2:15">
      <c r="B316" s="3">
        <v>295</v>
      </c>
      <c r="C316" s="8">
        <f t="shared" si="291"/>
        <v>0.05</v>
      </c>
      <c r="D316" s="8">
        <f t="shared" ref="D316:O316" ca="1" si="330">C316+k*(theta-C316)*dt+vol*SQRT(dt)*_xlfn.NORM.S.INV(RAND())</f>
        <v>4.3409665770765368E-2</v>
      </c>
      <c r="E316" s="8">
        <f t="shared" ca="1" si="330"/>
        <v>4.1778560720567785E-2</v>
      </c>
      <c r="F316" s="8">
        <f t="shared" ca="1" si="330"/>
        <v>4.0636104737743775E-2</v>
      </c>
      <c r="G316" s="8">
        <f t="shared" ca="1" si="330"/>
        <v>3.4227593546203375E-2</v>
      </c>
      <c r="H316" s="8">
        <f t="shared" ca="1" si="330"/>
        <v>3.6269706230696662E-2</v>
      </c>
      <c r="I316" s="8">
        <f t="shared" ca="1" si="330"/>
        <v>3.8093007861858229E-2</v>
      </c>
      <c r="J316" s="8">
        <f t="shared" ca="1" si="330"/>
        <v>4.2418641576032756E-2</v>
      </c>
      <c r="K316" s="8">
        <f t="shared" ca="1" si="330"/>
        <v>4.2666634149844215E-2</v>
      </c>
      <c r="L316" s="8">
        <f t="shared" ca="1" si="330"/>
        <v>4.8925780978019417E-2</v>
      </c>
      <c r="M316" s="8">
        <f t="shared" ca="1" si="330"/>
        <v>5.7659632653483193E-2</v>
      </c>
      <c r="N316" s="8">
        <f t="shared" ca="1" si="330"/>
        <v>5.8946440030690897E-2</v>
      </c>
      <c r="O316" s="8">
        <f t="shared" ca="1" si="330"/>
        <v>5.9268714797329501E-2</v>
      </c>
    </row>
    <row r="317" spans="2:15">
      <c r="B317" s="3">
        <v>296</v>
      </c>
      <c r="C317" s="8">
        <f t="shared" si="291"/>
        <v>0.05</v>
      </c>
      <c r="D317" s="8">
        <f t="shared" ref="D317:O317" ca="1" si="331">C317+k*(theta-C317)*dt+vol*SQRT(dt)*_xlfn.NORM.S.INV(RAND())</f>
        <v>5.2006618399622159E-2</v>
      </c>
      <c r="E317" s="8">
        <f t="shared" ca="1" si="331"/>
        <v>5.865090710319492E-2</v>
      </c>
      <c r="F317" s="8">
        <f t="shared" ca="1" si="331"/>
        <v>5.7630237744911807E-2</v>
      </c>
      <c r="G317" s="8">
        <f t="shared" ca="1" si="331"/>
        <v>5.1076319571215521E-2</v>
      </c>
      <c r="H317" s="8">
        <f t="shared" ca="1" si="331"/>
        <v>5.136289922071284E-2</v>
      </c>
      <c r="I317" s="8">
        <f t="shared" ca="1" si="331"/>
        <v>4.578881399888985E-2</v>
      </c>
      <c r="J317" s="8">
        <f t="shared" ca="1" si="331"/>
        <v>4.668213718443838E-2</v>
      </c>
      <c r="K317" s="8">
        <f t="shared" ca="1" si="331"/>
        <v>5.1058213721042321E-2</v>
      </c>
      <c r="L317" s="8">
        <f t="shared" ca="1" si="331"/>
        <v>5.1709839984263137E-2</v>
      </c>
      <c r="M317" s="8">
        <f t="shared" ca="1" si="331"/>
        <v>5.387522401903632E-2</v>
      </c>
      <c r="N317" s="8">
        <f t="shared" ca="1" si="331"/>
        <v>5.9894283396469655E-2</v>
      </c>
      <c r="O317" s="8">
        <f t="shared" ca="1" si="331"/>
        <v>6.831856490653454E-2</v>
      </c>
    </row>
    <row r="318" spans="2:15">
      <c r="B318" s="3">
        <v>297</v>
      </c>
      <c r="C318" s="8">
        <f t="shared" si="291"/>
        <v>0.05</v>
      </c>
      <c r="D318" s="8">
        <f t="shared" ref="D318:O318" ca="1" si="332">C318+k*(theta-C318)*dt+vol*SQRT(dt)*_xlfn.NORM.S.INV(RAND())</f>
        <v>5.3161037944203383E-2</v>
      </c>
      <c r="E318" s="8">
        <f t="shared" ca="1" si="332"/>
        <v>4.6198785794850081E-2</v>
      </c>
      <c r="F318" s="8">
        <f t="shared" ca="1" si="332"/>
        <v>4.3582621875784697E-2</v>
      </c>
      <c r="G318" s="8">
        <f t="shared" ca="1" si="332"/>
        <v>4.0980177526130458E-2</v>
      </c>
      <c r="H318" s="8">
        <f t="shared" ca="1" si="332"/>
        <v>6.0027104280485293E-2</v>
      </c>
      <c r="I318" s="8">
        <f t="shared" ca="1" si="332"/>
        <v>5.5985078944333549E-2</v>
      </c>
      <c r="J318" s="8">
        <f t="shared" ca="1" si="332"/>
        <v>5.6108325302549264E-2</v>
      </c>
      <c r="K318" s="8">
        <f t="shared" ca="1" si="332"/>
        <v>5.274167400223341E-2</v>
      </c>
      <c r="L318" s="8">
        <f t="shared" ca="1" si="332"/>
        <v>5.4991418025086634E-2</v>
      </c>
      <c r="M318" s="8">
        <f t="shared" ca="1" si="332"/>
        <v>5.6258891308670726E-2</v>
      </c>
      <c r="N318" s="8">
        <f t="shared" ca="1" si="332"/>
        <v>5.5628330248296935E-2</v>
      </c>
      <c r="O318" s="8">
        <f t="shared" ca="1" si="332"/>
        <v>5.1131897356555496E-2</v>
      </c>
    </row>
    <row r="319" spans="2:15">
      <c r="B319" s="3">
        <v>298</v>
      </c>
      <c r="C319" s="8">
        <f t="shared" si="291"/>
        <v>0.05</v>
      </c>
      <c r="D319" s="8">
        <f t="shared" ref="D319:O319" ca="1" si="333">C319+k*(theta-C319)*dt+vol*SQRT(dt)*_xlfn.NORM.S.INV(RAND())</f>
        <v>4.6729645732957313E-2</v>
      </c>
      <c r="E319" s="8">
        <f t="shared" ca="1" si="333"/>
        <v>4.7417633911163402E-2</v>
      </c>
      <c r="F319" s="8">
        <f t="shared" ca="1" si="333"/>
        <v>3.9156614700060405E-2</v>
      </c>
      <c r="G319" s="8">
        <f t="shared" ca="1" si="333"/>
        <v>3.7395645977955021E-2</v>
      </c>
      <c r="H319" s="8">
        <f t="shared" ca="1" si="333"/>
        <v>4.1228307859190017E-2</v>
      </c>
      <c r="I319" s="8">
        <f t="shared" ca="1" si="333"/>
        <v>3.7734678719339713E-2</v>
      </c>
      <c r="J319" s="8">
        <f t="shared" ca="1" si="333"/>
        <v>3.0882836856192919E-2</v>
      </c>
      <c r="K319" s="8">
        <f t="shared" ca="1" si="333"/>
        <v>3.5524856210537012E-2</v>
      </c>
      <c r="L319" s="8">
        <f t="shared" ca="1" si="333"/>
        <v>3.8228526762208934E-2</v>
      </c>
      <c r="M319" s="8">
        <f t="shared" ca="1" si="333"/>
        <v>3.9822989522536385E-2</v>
      </c>
      <c r="N319" s="8">
        <f t="shared" ca="1" si="333"/>
        <v>4.0138283095118639E-2</v>
      </c>
      <c r="O319" s="8">
        <f t="shared" ca="1" si="333"/>
        <v>4.9403831342554383E-2</v>
      </c>
    </row>
    <row r="320" spans="2:15">
      <c r="B320" s="3">
        <v>299</v>
      </c>
      <c r="C320" s="8">
        <f t="shared" si="291"/>
        <v>0.05</v>
      </c>
      <c r="D320" s="8">
        <f t="shared" ref="D320:O320" ca="1" si="334">C320+k*(theta-C320)*dt+vol*SQRT(dt)*_xlfn.NORM.S.INV(RAND())</f>
        <v>4.8298174597540669E-2</v>
      </c>
      <c r="E320" s="8">
        <f t="shared" ca="1" si="334"/>
        <v>4.5529496646301328E-2</v>
      </c>
      <c r="F320" s="8">
        <f t="shared" ca="1" si="334"/>
        <v>3.9915544438905805E-2</v>
      </c>
      <c r="G320" s="8">
        <f t="shared" ca="1" si="334"/>
        <v>4.2034525751685842E-2</v>
      </c>
      <c r="H320" s="8">
        <f t="shared" ca="1" si="334"/>
        <v>2.7376157014878739E-2</v>
      </c>
      <c r="I320" s="8">
        <f t="shared" ca="1" si="334"/>
        <v>2.9963685167582813E-2</v>
      </c>
      <c r="J320" s="8">
        <f t="shared" ca="1" si="334"/>
        <v>2.5506643882408243E-2</v>
      </c>
      <c r="K320" s="8">
        <f t="shared" ca="1" si="334"/>
        <v>3.2570300702565412E-2</v>
      </c>
      <c r="L320" s="8">
        <f t="shared" ca="1" si="334"/>
        <v>3.6442876526912561E-2</v>
      </c>
      <c r="M320" s="8">
        <f t="shared" ca="1" si="334"/>
        <v>3.8899530106414802E-2</v>
      </c>
      <c r="N320" s="8">
        <f t="shared" ca="1" si="334"/>
        <v>4.1128668504779975E-2</v>
      </c>
      <c r="O320" s="8">
        <f t="shared" ca="1" si="334"/>
        <v>4.1677283973737191E-2</v>
      </c>
    </row>
    <row r="321" spans="2:15">
      <c r="B321" s="3">
        <v>300</v>
      </c>
      <c r="C321" s="8">
        <f t="shared" si="291"/>
        <v>0.05</v>
      </c>
      <c r="D321" s="8">
        <f t="shared" ref="D321:O321" ca="1" si="335">C321+k*(theta-C321)*dt+vol*SQRT(dt)*_xlfn.NORM.S.INV(RAND())</f>
        <v>5.2627581907236279E-2</v>
      </c>
      <c r="E321" s="8">
        <f t="shared" ca="1" si="335"/>
        <v>6.314096420996651E-2</v>
      </c>
      <c r="F321" s="8">
        <f t="shared" ca="1" si="335"/>
        <v>5.8410757658013374E-2</v>
      </c>
      <c r="G321" s="8">
        <f t="shared" ca="1" si="335"/>
        <v>6.2139266531298837E-2</v>
      </c>
      <c r="H321" s="8">
        <f t="shared" ca="1" si="335"/>
        <v>6.1818182196818554E-2</v>
      </c>
      <c r="I321" s="8">
        <f t="shared" ca="1" si="335"/>
        <v>6.3638394263293444E-2</v>
      </c>
      <c r="J321" s="8">
        <f t="shared" ca="1" si="335"/>
        <v>6.7273926735375938E-2</v>
      </c>
      <c r="K321" s="8">
        <f t="shared" ca="1" si="335"/>
        <v>6.1050855693660172E-2</v>
      </c>
      <c r="L321" s="8">
        <f t="shared" ca="1" si="335"/>
        <v>6.2866661688210354E-2</v>
      </c>
      <c r="M321" s="8">
        <f t="shared" ca="1" si="335"/>
        <v>7.5522055478942696E-2</v>
      </c>
      <c r="N321" s="8">
        <f t="shared" ca="1" si="335"/>
        <v>6.7993234271845573E-2</v>
      </c>
      <c r="O321" s="8">
        <f t="shared" ca="1" si="335"/>
        <v>7.4552410004763661E-2</v>
      </c>
    </row>
    <row r="322" spans="2:15">
      <c r="B322" s="3">
        <v>301</v>
      </c>
      <c r="C322" s="8">
        <f t="shared" si="291"/>
        <v>0.05</v>
      </c>
      <c r="D322" s="8">
        <f t="shared" ref="D322:O322" ca="1" si="336">C322+k*(theta-C322)*dt+vol*SQRT(dt)*_xlfn.NORM.S.INV(RAND())</f>
        <v>6.193894412444087E-2</v>
      </c>
      <c r="E322" s="8">
        <f t="shared" ca="1" si="336"/>
        <v>6.483961125478134E-2</v>
      </c>
      <c r="F322" s="8">
        <f t="shared" ca="1" si="336"/>
        <v>6.1850957096903372E-2</v>
      </c>
      <c r="G322" s="8">
        <f t="shared" ca="1" si="336"/>
        <v>5.467870338129191E-2</v>
      </c>
      <c r="H322" s="8">
        <f t="shared" ca="1" si="336"/>
        <v>6.3642437835896348E-2</v>
      </c>
      <c r="I322" s="8">
        <f t="shared" ca="1" si="336"/>
        <v>6.7891413060371442E-2</v>
      </c>
      <c r="J322" s="8">
        <f t="shared" ca="1" si="336"/>
        <v>6.3808607512462256E-2</v>
      </c>
      <c r="K322" s="8">
        <f t="shared" ca="1" si="336"/>
        <v>7.9183599454001677E-2</v>
      </c>
      <c r="L322" s="8">
        <f t="shared" ca="1" si="336"/>
        <v>9.1861277726636562E-2</v>
      </c>
      <c r="M322" s="8">
        <f t="shared" ca="1" si="336"/>
        <v>9.1993332161703786E-2</v>
      </c>
      <c r="N322" s="8">
        <f t="shared" ca="1" si="336"/>
        <v>9.5594893547826215E-2</v>
      </c>
      <c r="O322" s="8">
        <f t="shared" ca="1" si="336"/>
        <v>8.5979769707955789E-2</v>
      </c>
    </row>
    <row r="323" spans="2:15">
      <c r="B323" s="3">
        <v>302</v>
      </c>
      <c r="C323" s="8">
        <f t="shared" si="291"/>
        <v>0.05</v>
      </c>
      <c r="D323" s="8">
        <f t="shared" ref="D323:O323" ca="1" si="337">C323+k*(theta-C323)*dt+vol*SQRT(dt)*_xlfn.NORM.S.INV(RAND())</f>
        <v>4.4811474312913602E-2</v>
      </c>
      <c r="E323" s="8">
        <f t="shared" ca="1" si="337"/>
        <v>4.7621522998245604E-2</v>
      </c>
      <c r="F323" s="8">
        <f t="shared" ca="1" si="337"/>
        <v>4.7047971706615649E-2</v>
      </c>
      <c r="G323" s="8">
        <f t="shared" ca="1" si="337"/>
        <v>4.4582239549490123E-2</v>
      </c>
      <c r="H323" s="8">
        <f t="shared" ca="1" si="337"/>
        <v>3.8403012793156388E-2</v>
      </c>
      <c r="I323" s="8">
        <f t="shared" ca="1" si="337"/>
        <v>4.8314580460455482E-2</v>
      </c>
      <c r="J323" s="8">
        <f t="shared" ca="1" si="337"/>
        <v>5.1975104415913485E-2</v>
      </c>
      <c r="K323" s="8">
        <f t="shared" ca="1" si="337"/>
        <v>5.272018416970288E-2</v>
      </c>
      <c r="L323" s="8">
        <f t="shared" ca="1" si="337"/>
        <v>5.5503226423431549E-2</v>
      </c>
      <c r="M323" s="8">
        <f t="shared" ca="1" si="337"/>
        <v>6.3598632661224674E-2</v>
      </c>
      <c r="N323" s="8">
        <f t="shared" ca="1" si="337"/>
        <v>6.227082739823743E-2</v>
      </c>
      <c r="O323" s="8">
        <f t="shared" ca="1" si="337"/>
        <v>5.9775782430852742E-2</v>
      </c>
    </row>
    <row r="324" spans="2:15">
      <c r="B324" s="3">
        <v>303</v>
      </c>
      <c r="C324" s="8">
        <f t="shared" si="291"/>
        <v>0.05</v>
      </c>
      <c r="D324" s="8">
        <f t="shared" ref="D324:O324" ca="1" si="338">C324+k*(theta-C324)*dt+vol*SQRT(dt)*_xlfn.NORM.S.INV(RAND())</f>
        <v>4.9479858812041901E-2</v>
      </c>
      <c r="E324" s="8">
        <f t="shared" ca="1" si="338"/>
        <v>4.4460568680909605E-2</v>
      </c>
      <c r="F324" s="8">
        <f t="shared" ca="1" si="338"/>
        <v>4.5052940823563439E-2</v>
      </c>
      <c r="G324" s="8">
        <f t="shared" ca="1" si="338"/>
        <v>4.3045974004148106E-2</v>
      </c>
      <c r="H324" s="8">
        <f t="shared" ca="1" si="338"/>
        <v>4.5494825919925104E-2</v>
      </c>
      <c r="I324" s="8">
        <f t="shared" ca="1" si="338"/>
        <v>5.6798124524040844E-2</v>
      </c>
      <c r="J324" s="8">
        <f t="shared" ca="1" si="338"/>
        <v>5.081808743010556E-2</v>
      </c>
      <c r="K324" s="8">
        <f t="shared" ca="1" si="338"/>
        <v>5.3986672334964E-2</v>
      </c>
      <c r="L324" s="8">
        <f t="shared" ca="1" si="338"/>
        <v>6.2427058059453998E-2</v>
      </c>
      <c r="M324" s="8">
        <f t="shared" ca="1" si="338"/>
        <v>6.635005290155109E-2</v>
      </c>
      <c r="N324" s="8">
        <f t="shared" ca="1" si="338"/>
        <v>6.8720255397831748E-2</v>
      </c>
      <c r="O324" s="8">
        <f t="shared" ca="1" si="338"/>
        <v>8.2000518336489553E-2</v>
      </c>
    </row>
    <row r="325" spans="2:15">
      <c r="B325" s="3">
        <v>304</v>
      </c>
      <c r="C325" s="8">
        <f t="shared" si="291"/>
        <v>0.05</v>
      </c>
      <c r="D325" s="8">
        <f t="shared" ref="D325:O325" ca="1" si="339">C325+k*(theta-C325)*dt+vol*SQRT(dt)*_xlfn.NORM.S.INV(RAND())</f>
        <v>5.6578294746040432E-2</v>
      </c>
      <c r="E325" s="8">
        <f t="shared" ca="1" si="339"/>
        <v>5.882343476718712E-2</v>
      </c>
      <c r="F325" s="8">
        <f t="shared" ca="1" si="339"/>
        <v>6.1190357004396137E-2</v>
      </c>
      <c r="G325" s="8">
        <f t="shared" ca="1" si="339"/>
        <v>7.228191859486563E-2</v>
      </c>
      <c r="H325" s="8">
        <f t="shared" ca="1" si="339"/>
        <v>6.7823847171524163E-2</v>
      </c>
      <c r="I325" s="8">
        <f t="shared" ca="1" si="339"/>
        <v>7.5557802161356685E-2</v>
      </c>
      <c r="J325" s="8">
        <f t="shared" ca="1" si="339"/>
        <v>7.1520793314029066E-2</v>
      </c>
      <c r="K325" s="8">
        <f t="shared" ca="1" si="339"/>
        <v>7.2428030708596935E-2</v>
      </c>
      <c r="L325" s="8">
        <f t="shared" ca="1" si="339"/>
        <v>6.5891958362517863E-2</v>
      </c>
      <c r="M325" s="8">
        <f t="shared" ca="1" si="339"/>
        <v>6.5122679943038955E-2</v>
      </c>
      <c r="N325" s="8">
        <f t="shared" ca="1" si="339"/>
        <v>6.2896734430464993E-2</v>
      </c>
      <c r="O325" s="8">
        <f t="shared" ca="1" si="339"/>
        <v>6.2439690512224769E-2</v>
      </c>
    </row>
    <row r="326" spans="2:15">
      <c r="B326" s="3">
        <v>305</v>
      </c>
      <c r="C326" s="8">
        <f t="shared" si="291"/>
        <v>0.05</v>
      </c>
      <c r="D326" s="8">
        <f t="shared" ref="D326:O326" ca="1" si="340">C326+k*(theta-C326)*dt+vol*SQRT(dt)*_xlfn.NORM.S.INV(RAND())</f>
        <v>4.7452781174674372E-2</v>
      </c>
      <c r="E326" s="8">
        <f t="shared" ca="1" si="340"/>
        <v>4.5431746507169753E-2</v>
      </c>
      <c r="F326" s="8">
        <f t="shared" ca="1" si="340"/>
        <v>4.625777149745533E-2</v>
      </c>
      <c r="G326" s="8">
        <f t="shared" ca="1" si="340"/>
        <v>5.4301660810009998E-2</v>
      </c>
      <c r="H326" s="8">
        <f t="shared" ca="1" si="340"/>
        <v>5.781045832228135E-2</v>
      </c>
      <c r="I326" s="8">
        <f t="shared" ca="1" si="340"/>
        <v>5.9056041131309217E-2</v>
      </c>
      <c r="J326" s="8">
        <f t="shared" ca="1" si="340"/>
        <v>4.6250071063960348E-2</v>
      </c>
      <c r="K326" s="8">
        <f t="shared" ca="1" si="340"/>
        <v>4.3180398219085793E-2</v>
      </c>
      <c r="L326" s="8">
        <f t="shared" ca="1" si="340"/>
        <v>4.5469684661786046E-2</v>
      </c>
      <c r="M326" s="8">
        <f t="shared" ca="1" si="340"/>
        <v>4.5076918786796982E-2</v>
      </c>
      <c r="N326" s="8">
        <f t="shared" ca="1" si="340"/>
        <v>5.3933128011389345E-2</v>
      </c>
      <c r="O326" s="8">
        <f t="shared" ca="1" si="340"/>
        <v>4.9530512480360556E-2</v>
      </c>
    </row>
    <row r="327" spans="2:15">
      <c r="B327" s="3">
        <v>306</v>
      </c>
      <c r="C327" s="8">
        <f t="shared" si="291"/>
        <v>0.05</v>
      </c>
      <c r="D327" s="8">
        <f t="shared" ref="D327:O327" ca="1" si="341">C327+k*(theta-C327)*dt+vol*SQRT(dt)*_xlfn.NORM.S.INV(RAND())</f>
        <v>4.0005045838821876E-2</v>
      </c>
      <c r="E327" s="8">
        <f t="shared" ca="1" si="341"/>
        <v>4.5533408711376872E-2</v>
      </c>
      <c r="F327" s="8">
        <f t="shared" ca="1" si="341"/>
        <v>4.1853557791502023E-2</v>
      </c>
      <c r="G327" s="8">
        <f t="shared" ca="1" si="341"/>
        <v>4.3686288373884545E-2</v>
      </c>
      <c r="H327" s="8">
        <f t="shared" ca="1" si="341"/>
        <v>4.3106722062979733E-2</v>
      </c>
      <c r="I327" s="8">
        <f t="shared" ca="1" si="341"/>
        <v>3.4502906344222789E-2</v>
      </c>
      <c r="J327" s="8">
        <f t="shared" ca="1" si="341"/>
        <v>3.1382204343526836E-2</v>
      </c>
      <c r="K327" s="8">
        <f t="shared" ca="1" si="341"/>
        <v>3.465128142070896E-2</v>
      </c>
      <c r="L327" s="8">
        <f t="shared" ca="1" si="341"/>
        <v>3.1828767327370243E-2</v>
      </c>
      <c r="M327" s="8">
        <f t="shared" ca="1" si="341"/>
        <v>4.1114933221041428E-2</v>
      </c>
      <c r="N327" s="8">
        <f t="shared" ca="1" si="341"/>
        <v>3.4944120695252129E-2</v>
      </c>
      <c r="O327" s="8">
        <f t="shared" ca="1" si="341"/>
        <v>3.9455753908252116E-2</v>
      </c>
    </row>
    <row r="328" spans="2:15">
      <c r="B328" s="3">
        <v>307</v>
      </c>
      <c r="C328" s="8">
        <f t="shared" si="291"/>
        <v>0.05</v>
      </c>
      <c r="D328" s="8">
        <f t="shared" ref="D328:O328" ca="1" si="342">C328+k*(theta-C328)*dt+vol*SQRT(dt)*_xlfn.NORM.S.INV(RAND())</f>
        <v>5.3589898171232199E-2</v>
      </c>
      <c r="E328" s="8">
        <f t="shared" ca="1" si="342"/>
        <v>5.4686620324642839E-2</v>
      </c>
      <c r="F328" s="8">
        <f t="shared" ca="1" si="342"/>
        <v>4.5868177136633971E-2</v>
      </c>
      <c r="G328" s="8">
        <f t="shared" ca="1" si="342"/>
        <v>4.7246530502561744E-2</v>
      </c>
      <c r="H328" s="8">
        <f t="shared" ca="1" si="342"/>
        <v>5.5382434501741393E-2</v>
      </c>
      <c r="I328" s="8">
        <f t="shared" ca="1" si="342"/>
        <v>4.6340600720894826E-2</v>
      </c>
      <c r="J328" s="8">
        <f t="shared" ca="1" si="342"/>
        <v>5.2779067027941842E-2</v>
      </c>
      <c r="K328" s="8">
        <f t="shared" ca="1" si="342"/>
        <v>4.8417314797748273E-2</v>
      </c>
      <c r="L328" s="8">
        <f t="shared" ca="1" si="342"/>
        <v>5.2649822672793792E-2</v>
      </c>
      <c r="M328" s="8">
        <f t="shared" ca="1" si="342"/>
        <v>6.231377570544213E-2</v>
      </c>
      <c r="N328" s="8">
        <f t="shared" ca="1" si="342"/>
        <v>6.4107135501889095E-2</v>
      </c>
      <c r="O328" s="8">
        <f t="shared" ca="1" si="342"/>
        <v>7.4445542443377907E-2</v>
      </c>
    </row>
    <row r="329" spans="2:15">
      <c r="B329" s="3">
        <v>308</v>
      </c>
      <c r="C329" s="8">
        <f t="shared" si="291"/>
        <v>0.05</v>
      </c>
      <c r="D329" s="8">
        <f t="shared" ref="D329:O329" ca="1" si="343">C329+k*(theta-C329)*dt+vol*SQRT(dt)*_xlfn.NORM.S.INV(RAND())</f>
        <v>4.9146923951808516E-2</v>
      </c>
      <c r="E329" s="8">
        <f t="shared" ca="1" si="343"/>
        <v>5.1102002162726784E-2</v>
      </c>
      <c r="F329" s="8">
        <f t="shared" ca="1" si="343"/>
        <v>5.473474563646006E-2</v>
      </c>
      <c r="G329" s="8">
        <f t="shared" ca="1" si="343"/>
        <v>5.433434287766413E-2</v>
      </c>
      <c r="H329" s="8">
        <f t="shared" ca="1" si="343"/>
        <v>5.6381496500114411E-2</v>
      </c>
      <c r="I329" s="8">
        <f t="shared" ca="1" si="343"/>
        <v>4.7594464962230798E-2</v>
      </c>
      <c r="J329" s="8">
        <f t="shared" ca="1" si="343"/>
        <v>4.6852655094460433E-2</v>
      </c>
      <c r="K329" s="8">
        <f t="shared" ca="1" si="343"/>
        <v>4.679488386439512E-2</v>
      </c>
      <c r="L329" s="8">
        <f t="shared" ca="1" si="343"/>
        <v>4.9519235621797865E-2</v>
      </c>
      <c r="M329" s="8">
        <f t="shared" ca="1" si="343"/>
        <v>5.1473857378035663E-2</v>
      </c>
      <c r="N329" s="8">
        <f t="shared" ca="1" si="343"/>
        <v>5.6655558791113593E-2</v>
      </c>
      <c r="O329" s="8">
        <f t="shared" ca="1" si="343"/>
        <v>6.7738370263397907E-2</v>
      </c>
    </row>
    <row r="330" spans="2:15">
      <c r="B330" s="3">
        <v>309</v>
      </c>
      <c r="C330" s="8">
        <f t="shared" si="291"/>
        <v>0.05</v>
      </c>
      <c r="D330" s="8">
        <f t="shared" ref="D330:O330" ca="1" si="344">C330+k*(theta-C330)*dt+vol*SQRT(dt)*_xlfn.NORM.S.INV(RAND())</f>
        <v>5.3362665359433022E-2</v>
      </c>
      <c r="E330" s="8">
        <f t="shared" ca="1" si="344"/>
        <v>5.1010098446034907E-2</v>
      </c>
      <c r="F330" s="8">
        <f t="shared" ca="1" si="344"/>
        <v>4.7288847991257467E-2</v>
      </c>
      <c r="G330" s="8">
        <f t="shared" ca="1" si="344"/>
        <v>4.5929682298148727E-2</v>
      </c>
      <c r="H330" s="8">
        <f t="shared" ca="1" si="344"/>
        <v>4.8587360349354076E-2</v>
      </c>
      <c r="I330" s="8">
        <f t="shared" ca="1" si="344"/>
        <v>6.8260809217314672E-2</v>
      </c>
      <c r="J330" s="8">
        <f t="shared" ca="1" si="344"/>
        <v>6.520510572087207E-2</v>
      </c>
      <c r="K330" s="8">
        <f t="shared" ca="1" si="344"/>
        <v>5.5599022141786303E-2</v>
      </c>
      <c r="L330" s="8">
        <f t="shared" ca="1" si="344"/>
        <v>5.503488208922052E-2</v>
      </c>
      <c r="M330" s="8">
        <f t="shared" ca="1" si="344"/>
        <v>5.587013234254324E-2</v>
      </c>
      <c r="N330" s="8">
        <f t="shared" ca="1" si="344"/>
        <v>5.0539032608414483E-2</v>
      </c>
      <c r="O330" s="8">
        <f t="shared" ca="1" si="344"/>
        <v>3.894852204854124E-2</v>
      </c>
    </row>
    <row r="331" spans="2:15">
      <c r="B331" s="3">
        <v>310</v>
      </c>
      <c r="C331" s="8">
        <f t="shared" si="291"/>
        <v>0.05</v>
      </c>
      <c r="D331" s="8">
        <f t="shared" ref="D331:O331" ca="1" si="345">C331+k*(theta-C331)*dt+vol*SQRT(dt)*_xlfn.NORM.S.INV(RAND())</f>
        <v>4.3263378587944858E-2</v>
      </c>
      <c r="E331" s="8">
        <f t="shared" ca="1" si="345"/>
        <v>3.7004238314513091E-2</v>
      </c>
      <c r="F331" s="8">
        <f t="shared" ca="1" si="345"/>
        <v>2.523848284678102E-2</v>
      </c>
      <c r="G331" s="8">
        <f t="shared" ca="1" si="345"/>
        <v>2.3607838549940311E-2</v>
      </c>
      <c r="H331" s="8">
        <f t="shared" ca="1" si="345"/>
        <v>3.0956903538666699E-2</v>
      </c>
      <c r="I331" s="8">
        <f t="shared" ca="1" si="345"/>
        <v>2.3387696797574263E-2</v>
      </c>
      <c r="J331" s="8">
        <f t="shared" ca="1" si="345"/>
        <v>3.4779936083613079E-2</v>
      </c>
      <c r="K331" s="8">
        <f t="shared" ca="1" si="345"/>
        <v>2.911488333412085E-2</v>
      </c>
      <c r="L331" s="8">
        <f t="shared" ca="1" si="345"/>
        <v>3.072811241873066E-2</v>
      </c>
      <c r="M331" s="8">
        <f t="shared" ca="1" si="345"/>
        <v>3.1662934392377703E-2</v>
      </c>
      <c r="N331" s="8">
        <f t="shared" ca="1" si="345"/>
        <v>4.9050603907196025E-2</v>
      </c>
      <c r="O331" s="8">
        <f t="shared" ca="1" si="345"/>
        <v>4.9746198982232648E-2</v>
      </c>
    </row>
    <row r="332" spans="2:15">
      <c r="B332" s="3">
        <v>311</v>
      </c>
      <c r="C332" s="8">
        <f t="shared" si="291"/>
        <v>0.05</v>
      </c>
      <c r="D332" s="8">
        <f t="shared" ref="D332:O332" ca="1" si="346">C332+k*(theta-C332)*dt+vol*SQRT(dt)*_xlfn.NORM.S.INV(RAND())</f>
        <v>4.9955650679045185E-2</v>
      </c>
      <c r="E332" s="8">
        <f t="shared" ca="1" si="346"/>
        <v>5.4183088588948949E-2</v>
      </c>
      <c r="F332" s="8">
        <f t="shared" ca="1" si="346"/>
        <v>5.0162798206179714E-2</v>
      </c>
      <c r="G332" s="8">
        <f t="shared" ca="1" si="346"/>
        <v>5.4107569066923142E-2</v>
      </c>
      <c r="H332" s="8">
        <f t="shared" ca="1" si="346"/>
        <v>4.971784100561679E-2</v>
      </c>
      <c r="I332" s="8">
        <f t="shared" ca="1" si="346"/>
        <v>4.9332378168960848E-2</v>
      </c>
      <c r="J332" s="8">
        <f t="shared" ca="1" si="346"/>
        <v>4.8261889172719445E-2</v>
      </c>
      <c r="K332" s="8">
        <f t="shared" ca="1" si="346"/>
        <v>4.9500336585946707E-2</v>
      </c>
      <c r="L332" s="8">
        <f t="shared" ca="1" si="346"/>
        <v>4.2810018358281604E-2</v>
      </c>
      <c r="M332" s="8">
        <f t="shared" ca="1" si="346"/>
        <v>4.9563344000526477E-2</v>
      </c>
      <c r="N332" s="8">
        <f t="shared" ca="1" si="346"/>
        <v>4.5576072238838222E-2</v>
      </c>
      <c r="O332" s="8">
        <f t="shared" ca="1" si="346"/>
        <v>5.0654794584721913E-2</v>
      </c>
    </row>
    <row r="333" spans="2:15">
      <c r="B333" s="3">
        <v>312</v>
      </c>
      <c r="C333" s="8">
        <f t="shared" si="291"/>
        <v>0.05</v>
      </c>
      <c r="D333" s="8">
        <f t="shared" ref="D333:O333" ca="1" si="347">C333+k*(theta-C333)*dt+vol*SQRT(dt)*_xlfn.NORM.S.INV(RAND())</f>
        <v>5.0176091719780096E-2</v>
      </c>
      <c r="E333" s="8">
        <f t="shared" ca="1" si="347"/>
        <v>4.8954798050921171E-2</v>
      </c>
      <c r="F333" s="8">
        <f t="shared" ca="1" si="347"/>
        <v>5.0728484640030901E-2</v>
      </c>
      <c r="G333" s="8">
        <f t="shared" ca="1" si="347"/>
        <v>5.1158552001292247E-2</v>
      </c>
      <c r="H333" s="8">
        <f t="shared" ca="1" si="347"/>
        <v>5.4213908473970222E-2</v>
      </c>
      <c r="I333" s="8">
        <f t="shared" ca="1" si="347"/>
        <v>5.5152786550794926E-2</v>
      </c>
      <c r="J333" s="8">
        <f t="shared" ca="1" si="347"/>
        <v>6.7884233425284796E-2</v>
      </c>
      <c r="K333" s="8">
        <f t="shared" ca="1" si="347"/>
        <v>7.2336890405108586E-2</v>
      </c>
      <c r="L333" s="8">
        <f t="shared" ca="1" si="347"/>
        <v>6.3716512808261627E-2</v>
      </c>
      <c r="M333" s="8">
        <f t="shared" ca="1" si="347"/>
        <v>6.9956379831080551E-2</v>
      </c>
      <c r="N333" s="8">
        <f t="shared" ca="1" si="347"/>
        <v>6.9433830829107396E-2</v>
      </c>
      <c r="O333" s="8">
        <f t="shared" ca="1" si="347"/>
        <v>7.0649744919574833E-2</v>
      </c>
    </row>
    <row r="334" spans="2:15">
      <c r="B334" s="3">
        <v>313</v>
      </c>
      <c r="C334" s="8">
        <f t="shared" si="291"/>
        <v>0.05</v>
      </c>
      <c r="D334" s="8">
        <f t="shared" ref="D334:O334" ca="1" si="348">C334+k*(theta-C334)*dt+vol*SQRT(dt)*_xlfn.NORM.S.INV(RAND())</f>
        <v>4.9548070929563287E-2</v>
      </c>
      <c r="E334" s="8">
        <f t="shared" ca="1" si="348"/>
        <v>4.3714089555329128E-2</v>
      </c>
      <c r="F334" s="8">
        <f t="shared" ca="1" si="348"/>
        <v>3.3613733158214282E-2</v>
      </c>
      <c r="G334" s="8">
        <f t="shared" ca="1" si="348"/>
        <v>3.639002597652384E-2</v>
      </c>
      <c r="H334" s="8">
        <f t="shared" ca="1" si="348"/>
        <v>3.062531242568043E-2</v>
      </c>
      <c r="I334" s="8">
        <f t="shared" ca="1" si="348"/>
        <v>3.1001161952022196E-2</v>
      </c>
      <c r="J334" s="8">
        <f t="shared" ca="1" si="348"/>
        <v>1.8367046933511915E-2</v>
      </c>
      <c r="K334" s="8">
        <f t="shared" ca="1" si="348"/>
        <v>1.749897898700993E-2</v>
      </c>
      <c r="L334" s="8">
        <f t="shared" ca="1" si="348"/>
        <v>2.0077233362357051E-2</v>
      </c>
      <c r="M334" s="8">
        <f t="shared" ca="1" si="348"/>
        <v>2.1947545204431144E-2</v>
      </c>
      <c r="N334" s="8">
        <f t="shared" ca="1" si="348"/>
        <v>3.0076456637866879E-2</v>
      </c>
      <c r="O334" s="8">
        <f t="shared" ca="1" si="348"/>
        <v>4.2001826122751815E-2</v>
      </c>
    </row>
    <row r="335" spans="2:15">
      <c r="B335" s="3">
        <v>314</v>
      </c>
      <c r="C335" s="8">
        <f t="shared" si="291"/>
        <v>0.05</v>
      </c>
      <c r="D335" s="8">
        <f t="shared" ref="D335:O335" ca="1" si="349">C335+k*(theta-C335)*dt+vol*SQRT(dt)*_xlfn.NORM.S.INV(RAND())</f>
        <v>4.5016514860534901E-2</v>
      </c>
      <c r="E335" s="8">
        <f t="shared" ca="1" si="349"/>
        <v>4.6473594579671283E-2</v>
      </c>
      <c r="F335" s="8">
        <f t="shared" ca="1" si="349"/>
        <v>4.8465783222170995E-2</v>
      </c>
      <c r="G335" s="8">
        <f t="shared" ca="1" si="349"/>
        <v>5.3146710263510165E-2</v>
      </c>
      <c r="H335" s="8">
        <f t="shared" ca="1" si="349"/>
        <v>5.5867206473776312E-2</v>
      </c>
      <c r="I335" s="8">
        <f t="shared" ca="1" si="349"/>
        <v>5.8430550522408094E-2</v>
      </c>
      <c r="J335" s="8">
        <f t="shared" ca="1" si="349"/>
        <v>7.1360808407055498E-2</v>
      </c>
      <c r="K335" s="8">
        <f t="shared" ca="1" si="349"/>
        <v>6.4287293433041404E-2</v>
      </c>
      <c r="L335" s="8">
        <f t="shared" ca="1" si="349"/>
        <v>6.7194307054682878E-2</v>
      </c>
      <c r="M335" s="8">
        <f t="shared" ca="1" si="349"/>
        <v>6.7886986568955726E-2</v>
      </c>
      <c r="N335" s="8">
        <f t="shared" ca="1" si="349"/>
        <v>7.8119539577259076E-2</v>
      </c>
      <c r="O335" s="8">
        <f t="shared" ca="1" si="349"/>
        <v>8.0696908377839507E-2</v>
      </c>
    </row>
    <row r="336" spans="2:15">
      <c r="B336" s="3">
        <v>315</v>
      </c>
      <c r="C336" s="8">
        <f t="shared" si="291"/>
        <v>0.05</v>
      </c>
      <c r="D336" s="8">
        <f t="shared" ref="D336:O336" ca="1" si="350">C336+k*(theta-C336)*dt+vol*SQRT(dt)*_xlfn.NORM.S.INV(RAND())</f>
        <v>6.1297659876214897E-2</v>
      </c>
      <c r="E336" s="8">
        <f t="shared" ca="1" si="350"/>
        <v>6.3692746813190482E-2</v>
      </c>
      <c r="F336" s="8">
        <f t="shared" ca="1" si="350"/>
        <v>6.2114400693009039E-2</v>
      </c>
      <c r="G336" s="8">
        <f t="shared" ca="1" si="350"/>
        <v>7.4944902026711543E-2</v>
      </c>
      <c r="H336" s="8">
        <f t="shared" ca="1" si="350"/>
        <v>7.3559950764693752E-2</v>
      </c>
      <c r="I336" s="8">
        <f t="shared" ca="1" si="350"/>
        <v>7.0402135625946216E-2</v>
      </c>
      <c r="J336" s="8">
        <f t="shared" ca="1" si="350"/>
        <v>7.3648994536872875E-2</v>
      </c>
      <c r="K336" s="8">
        <f t="shared" ca="1" si="350"/>
        <v>7.7955277905481651E-2</v>
      </c>
      <c r="L336" s="8">
        <f t="shared" ca="1" si="350"/>
        <v>6.5763646032239706E-2</v>
      </c>
      <c r="M336" s="8">
        <f t="shared" ca="1" si="350"/>
        <v>5.8788512233143408E-2</v>
      </c>
      <c r="N336" s="8">
        <f t="shared" ca="1" si="350"/>
        <v>5.3518393227276792E-2</v>
      </c>
      <c r="O336" s="8">
        <f t="shared" ca="1" si="350"/>
        <v>5.1216743594379485E-2</v>
      </c>
    </row>
    <row r="337" spans="2:15">
      <c r="B337" s="3">
        <v>316</v>
      </c>
      <c r="C337" s="8">
        <f t="shared" si="291"/>
        <v>0.05</v>
      </c>
      <c r="D337" s="8">
        <f t="shared" ref="D337:O337" ca="1" si="351">C337+k*(theta-C337)*dt+vol*SQRT(dt)*_xlfn.NORM.S.INV(RAND())</f>
        <v>4.9221997221675105E-2</v>
      </c>
      <c r="E337" s="8">
        <f t="shared" ca="1" si="351"/>
        <v>4.8178730762545488E-2</v>
      </c>
      <c r="F337" s="8">
        <f t="shared" ca="1" si="351"/>
        <v>4.888571328349068E-2</v>
      </c>
      <c r="G337" s="8">
        <f t="shared" ca="1" si="351"/>
        <v>4.8569343998205207E-2</v>
      </c>
      <c r="H337" s="8">
        <f t="shared" ca="1" si="351"/>
        <v>5.5313665940244353E-2</v>
      </c>
      <c r="I337" s="8">
        <f t="shared" ca="1" si="351"/>
        <v>5.5185573494203582E-2</v>
      </c>
      <c r="J337" s="8">
        <f t="shared" ca="1" si="351"/>
        <v>4.1472490890074612E-2</v>
      </c>
      <c r="K337" s="8">
        <f t="shared" ca="1" si="351"/>
        <v>5.3640360226584242E-2</v>
      </c>
      <c r="L337" s="8">
        <f t="shared" ca="1" si="351"/>
        <v>5.3131857006912059E-2</v>
      </c>
      <c r="M337" s="8">
        <f t="shared" ca="1" si="351"/>
        <v>4.5035204306412516E-2</v>
      </c>
      <c r="N337" s="8">
        <f t="shared" ca="1" si="351"/>
        <v>4.6667087349850173E-2</v>
      </c>
      <c r="O337" s="8">
        <f t="shared" ca="1" si="351"/>
        <v>4.0877319457371192E-2</v>
      </c>
    </row>
    <row r="338" spans="2:15">
      <c r="B338" s="3">
        <v>317</v>
      </c>
      <c r="C338" s="8">
        <f t="shared" si="291"/>
        <v>0.05</v>
      </c>
      <c r="D338" s="8">
        <f t="shared" ref="D338:O338" ca="1" si="352">C338+k*(theta-C338)*dt+vol*SQRT(dt)*_xlfn.NORM.S.INV(RAND())</f>
        <v>4.4029492178835603E-2</v>
      </c>
      <c r="E338" s="8">
        <f t="shared" ca="1" si="352"/>
        <v>5.4277840195951277E-2</v>
      </c>
      <c r="F338" s="8">
        <f t="shared" ca="1" si="352"/>
        <v>4.7742007180111415E-2</v>
      </c>
      <c r="G338" s="8">
        <f t="shared" ca="1" si="352"/>
        <v>4.9717075784115869E-2</v>
      </c>
      <c r="H338" s="8">
        <f t="shared" ca="1" si="352"/>
        <v>4.8124158871623343E-2</v>
      </c>
      <c r="I338" s="8">
        <f t="shared" ca="1" si="352"/>
        <v>3.8121265996171619E-2</v>
      </c>
      <c r="J338" s="8">
        <f t="shared" ca="1" si="352"/>
        <v>4.1966417169825264E-2</v>
      </c>
      <c r="K338" s="8">
        <f t="shared" ca="1" si="352"/>
        <v>3.6598867327184148E-2</v>
      </c>
      <c r="L338" s="8">
        <f t="shared" ca="1" si="352"/>
        <v>3.7628331469148124E-2</v>
      </c>
      <c r="M338" s="8">
        <f t="shared" ca="1" si="352"/>
        <v>3.6658597412971207E-2</v>
      </c>
      <c r="N338" s="8">
        <f t="shared" ca="1" si="352"/>
        <v>3.9235293448922751E-2</v>
      </c>
      <c r="O338" s="8">
        <f t="shared" ca="1" si="352"/>
        <v>3.4543890665951482E-2</v>
      </c>
    </row>
    <row r="339" spans="2:15">
      <c r="B339" s="3">
        <v>318</v>
      </c>
      <c r="C339" s="8">
        <f t="shared" si="291"/>
        <v>0.05</v>
      </c>
      <c r="D339" s="8">
        <f t="shared" ref="D339:O339" ca="1" si="353">C339+k*(theta-C339)*dt+vol*SQRT(dt)*_xlfn.NORM.S.INV(RAND())</f>
        <v>4.3481952739466645E-2</v>
      </c>
      <c r="E339" s="8">
        <f t="shared" ca="1" si="353"/>
        <v>4.3909111391083062E-2</v>
      </c>
      <c r="F339" s="8">
        <f t="shared" ca="1" si="353"/>
        <v>3.8115532659139528E-2</v>
      </c>
      <c r="G339" s="8">
        <f t="shared" ca="1" si="353"/>
        <v>4.4874103254187038E-2</v>
      </c>
      <c r="H339" s="8">
        <f t="shared" ca="1" si="353"/>
        <v>4.4463583756419657E-2</v>
      </c>
      <c r="I339" s="8">
        <f t="shared" ca="1" si="353"/>
        <v>3.9971152533805759E-2</v>
      </c>
      <c r="J339" s="8">
        <f t="shared" ca="1" si="353"/>
        <v>3.5727540303341764E-2</v>
      </c>
      <c r="K339" s="8">
        <f t="shared" ca="1" si="353"/>
        <v>4.3362644472817062E-2</v>
      </c>
      <c r="L339" s="8">
        <f t="shared" ca="1" si="353"/>
        <v>3.687164341887017E-2</v>
      </c>
      <c r="M339" s="8">
        <f t="shared" ca="1" si="353"/>
        <v>3.8773233456074932E-2</v>
      </c>
      <c r="N339" s="8">
        <f t="shared" ca="1" si="353"/>
        <v>4.2777378593720862E-2</v>
      </c>
      <c r="O339" s="8">
        <f t="shared" ca="1" si="353"/>
        <v>5.187646840375227E-2</v>
      </c>
    </row>
    <row r="340" spans="2:15">
      <c r="B340" s="3">
        <v>319</v>
      </c>
      <c r="C340" s="8">
        <f t="shared" si="291"/>
        <v>0.05</v>
      </c>
      <c r="D340" s="8">
        <f t="shared" ref="D340:O340" ca="1" si="354">C340+k*(theta-C340)*dt+vol*SQRT(dt)*_xlfn.NORM.S.INV(RAND())</f>
        <v>5.0844291497879418E-2</v>
      </c>
      <c r="E340" s="8">
        <f t="shared" ca="1" si="354"/>
        <v>5.0980348528939283E-2</v>
      </c>
      <c r="F340" s="8">
        <f t="shared" ca="1" si="354"/>
        <v>4.7448001837420928E-2</v>
      </c>
      <c r="G340" s="8">
        <f t="shared" ca="1" si="354"/>
        <v>5.0581802345862736E-2</v>
      </c>
      <c r="H340" s="8">
        <f t="shared" ca="1" si="354"/>
        <v>4.9410902994523991E-2</v>
      </c>
      <c r="I340" s="8">
        <f t="shared" ca="1" si="354"/>
        <v>4.8729300707375578E-2</v>
      </c>
      <c r="J340" s="8">
        <f t="shared" ca="1" si="354"/>
        <v>4.9307330980153566E-2</v>
      </c>
      <c r="K340" s="8">
        <f t="shared" ca="1" si="354"/>
        <v>5.5040238403074239E-2</v>
      </c>
      <c r="L340" s="8">
        <f t="shared" ca="1" si="354"/>
        <v>5.7426822902643226E-2</v>
      </c>
      <c r="M340" s="8">
        <f t="shared" ca="1" si="354"/>
        <v>5.6219278522662473E-2</v>
      </c>
      <c r="N340" s="8">
        <f t="shared" ca="1" si="354"/>
        <v>5.4648057113451713E-2</v>
      </c>
      <c r="O340" s="8">
        <f t="shared" ca="1" si="354"/>
        <v>5.3794282752394201E-2</v>
      </c>
    </row>
    <row r="341" spans="2:15">
      <c r="B341" s="3">
        <v>320</v>
      </c>
      <c r="C341" s="8">
        <f t="shared" si="291"/>
        <v>0.05</v>
      </c>
      <c r="D341" s="8">
        <f t="shared" ref="D341:O341" ca="1" si="355">C341+k*(theta-C341)*dt+vol*SQRT(dt)*_xlfn.NORM.S.INV(RAND())</f>
        <v>4.2268645144332893E-2</v>
      </c>
      <c r="E341" s="8">
        <f t="shared" ca="1" si="355"/>
        <v>3.9044416934970454E-2</v>
      </c>
      <c r="F341" s="8">
        <f t="shared" ca="1" si="355"/>
        <v>3.0262986299800294E-2</v>
      </c>
      <c r="G341" s="8">
        <f t="shared" ca="1" si="355"/>
        <v>2.6920959963297006E-2</v>
      </c>
      <c r="H341" s="8">
        <f t="shared" ca="1" si="355"/>
        <v>2.3318192430201598E-2</v>
      </c>
      <c r="I341" s="8">
        <f t="shared" ca="1" si="355"/>
        <v>2.30417940247786E-2</v>
      </c>
      <c r="J341" s="8">
        <f t="shared" ca="1" si="355"/>
        <v>3.1784667256768727E-2</v>
      </c>
      <c r="K341" s="8">
        <f t="shared" ca="1" si="355"/>
        <v>2.5635356778296366E-2</v>
      </c>
      <c r="L341" s="8">
        <f t="shared" ca="1" si="355"/>
        <v>2.7075657863040069E-2</v>
      </c>
      <c r="M341" s="8">
        <f t="shared" ca="1" si="355"/>
        <v>2.2155992435813343E-2</v>
      </c>
      <c r="N341" s="8">
        <f t="shared" ca="1" si="355"/>
        <v>2.2249862177245578E-2</v>
      </c>
      <c r="O341" s="8">
        <f t="shared" ca="1" si="355"/>
        <v>2.0431723111764541E-2</v>
      </c>
    </row>
    <row r="342" spans="2:15">
      <c r="B342" s="3">
        <v>321</v>
      </c>
      <c r="C342" s="8">
        <f t="shared" ref="C342:C405" si="356">r0</f>
        <v>0.05</v>
      </c>
      <c r="D342" s="8">
        <f t="shared" ref="D342:O342" ca="1" si="357">C342+k*(theta-C342)*dt+vol*SQRT(dt)*_xlfn.NORM.S.INV(RAND())</f>
        <v>5.9661746422400214E-2</v>
      </c>
      <c r="E342" s="8">
        <f t="shared" ca="1" si="357"/>
        <v>5.4582166731243567E-2</v>
      </c>
      <c r="F342" s="8">
        <f t="shared" ca="1" si="357"/>
        <v>6.1986408095730541E-2</v>
      </c>
      <c r="G342" s="8">
        <f t="shared" ca="1" si="357"/>
        <v>6.4028307737584528E-2</v>
      </c>
      <c r="H342" s="8">
        <f t="shared" ca="1" si="357"/>
        <v>5.6740895655720949E-2</v>
      </c>
      <c r="I342" s="8">
        <f t="shared" ca="1" si="357"/>
        <v>6.3773707493627332E-2</v>
      </c>
      <c r="J342" s="8">
        <f t="shared" ca="1" si="357"/>
        <v>7.4735236377923953E-2</v>
      </c>
      <c r="K342" s="8">
        <f t="shared" ca="1" si="357"/>
        <v>7.2102060671151352E-2</v>
      </c>
      <c r="L342" s="8">
        <f t="shared" ca="1" si="357"/>
        <v>7.664321906312932E-2</v>
      </c>
      <c r="M342" s="8">
        <f t="shared" ca="1" si="357"/>
        <v>7.6861767630042585E-2</v>
      </c>
      <c r="N342" s="8">
        <f t="shared" ca="1" si="357"/>
        <v>7.5999074709809142E-2</v>
      </c>
      <c r="O342" s="8">
        <f t="shared" ca="1" si="357"/>
        <v>7.4074450126270994E-2</v>
      </c>
    </row>
    <row r="343" spans="2:15">
      <c r="B343" s="3">
        <v>322</v>
      </c>
      <c r="C343" s="8">
        <f t="shared" si="356"/>
        <v>0.05</v>
      </c>
      <c r="D343" s="8">
        <f t="shared" ref="D343:O343" ca="1" si="358">C343+k*(theta-C343)*dt+vol*SQRT(dt)*_xlfn.NORM.S.INV(RAND())</f>
        <v>5.1511121172782004E-2</v>
      </c>
      <c r="E343" s="8">
        <f t="shared" ca="1" si="358"/>
        <v>4.5102147005658441E-2</v>
      </c>
      <c r="F343" s="8">
        <f t="shared" ca="1" si="358"/>
        <v>4.995220355828791E-2</v>
      </c>
      <c r="G343" s="8">
        <f t="shared" ca="1" si="358"/>
        <v>4.4757669309224625E-2</v>
      </c>
      <c r="H343" s="8">
        <f t="shared" ca="1" si="358"/>
        <v>3.82163903146297E-2</v>
      </c>
      <c r="I343" s="8">
        <f t="shared" ca="1" si="358"/>
        <v>3.730130526982612E-2</v>
      </c>
      <c r="J343" s="8">
        <f t="shared" ca="1" si="358"/>
        <v>4.1399900752270194E-2</v>
      </c>
      <c r="K343" s="8">
        <f t="shared" ca="1" si="358"/>
        <v>4.8801321484500816E-2</v>
      </c>
      <c r="L343" s="8">
        <f t="shared" ca="1" si="358"/>
        <v>5.1270357536222604E-2</v>
      </c>
      <c r="M343" s="8">
        <f t="shared" ca="1" si="358"/>
        <v>5.2405478805193972E-2</v>
      </c>
      <c r="N343" s="8">
        <f t="shared" ca="1" si="358"/>
        <v>4.8509217492540752E-2</v>
      </c>
      <c r="O343" s="8">
        <f t="shared" ca="1" si="358"/>
        <v>5.5426644292246217E-2</v>
      </c>
    </row>
    <row r="344" spans="2:15">
      <c r="B344" s="3">
        <v>323</v>
      </c>
      <c r="C344" s="8">
        <f t="shared" si="356"/>
        <v>0.05</v>
      </c>
      <c r="D344" s="8">
        <f t="shared" ref="D344:O344" ca="1" si="359">C344+k*(theta-C344)*dt+vol*SQRT(dt)*_xlfn.NORM.S.INV(RAND())</f>
        <v>4.9277179261308215E-2</v>
      </c>
      <c r="E344" s="8">
        <f t="shared" ca="1" si="359"/>
        <v>4.8902016800512371E-2</v>
      </c>
      <c r="F344" s="8">
        <f t="shared" ca="1" si="359"/>
        <v>5.6001793833165003E-2</v>
      </c>
      <c r="G344" s="8">
        <f t="shared" ca="1" si="359"/>
        <v>4.8190206355925608E-2</v>
      </c>
      <c r="H344" s="8">
        <f t="shared" ca="1" si="359"/>
        <v>4.475974186429247E-2</v>
      </c>
      <c r="I344" s="8">
        <f t="shared" ca="1" si="359"/>
        <v>5.1728290769167115E-2</v>
      </c>
      <c r="J344" s="8">
        <f t="shared" ca="1" si="359"/>
        <v>5.0587295463741751E-2</v>
      </c>
      <c r="K344" s="8">
        <f t="shared" ca="1" si="359"/>
        <v>6.4159772576327115E-2</v>
      </c>
      <c r="L344" s="8">
        <f t="shared" ca="1" si="359"/>
        <v>5.6455139414123223E-2</v>
      </c>
      <c r="M344" s="8">
        <f t="shared" ca="1" si="359"/>
        <v>4.5024586901898471E-2</v>
      </c>
      <c r="N344" s="8">
        <f t="shared" ca="1" si="359"/>
        <v>5.9998601966367304E-2</v>
      </c>
      <c r="O344" s="8">
        <f t="shared" ca="1" si="359"/>
        <v>5.8715245999750261E-2</v>
      </c>
    </row>
    <row r="345" spans="2:15">
      <c r="B345" s="3">
        <v>324</v>
      </c>
      <c r="C345" s="8">
        <f t="shared" si="356"/>
        <v>0.05</v>
      </c>
      <c r="D345" s="8">
        <f t="shared" ref="D345:O345" ca="1" si="360">C345+k*(theta-C345)*dt+vol*SQRT(dt)*_xlfn.NORM.S.INV(RAND())</f>
        <v>5.1738766462702826E-2</v>
      </c>
      <c r="E345" s="8">
        <f t="shared" ca="1" si="360"/>
        <v>5.1542583966144147E-2</v>
      </c>
      <c r="F345" s="8">
        <f t="shared" ca="1" si="360"/>
        <v>5.7830221977039513E-2</v>
      </c>
      <c r="G345" s="8">
        <f t="shared" ca="1" si="360"/>
        <v>5.9619263158964445E-2</v>
      </c>
      <c r="H345" s="8">
        <f t="shared" ca="1" si="360"/>
        <v>6.2422185749473003E-2</v>
      </c>
      <c r="I345" s="8">
        <f t="shared" ca="1" si="360"/>
        <v>5.5091053490382867E-2</v>
      </c>
      <c r="J345" s="8">
        <f t="shared" ca="1" si="360"/>
        <v>5.7438702773555082E-2</v>
      </c>
      <c r="K345" s="8">
        <f t="shared" ca="1" si="360"/>
        <v>5.5726858917047699E-2</v>
      </c>
      <c r="L345" s="8">
        <f t="shared" ca="1" si="360"/>
        <v>6.6297242533618489E-2</v>
      </c>
      <c r="M345" s="8">
        <f t="shared" ca="1" si="360"/>
        <v>6.470902399628152E-2</v>
      </c>
      <c r="N345" s="8">
        <f t="shared" ca="1" si="360"/>
        <v>6.1282116398946235E-2</v>
      </c>
      <c r="O345" s="8">
        <f t="shared" ca="1" si="360"/>
        <v>5.6087157689061896E-2</v>
      </c>
    </row>
    <row r="346" spans="2:15">
      <c r="B346" s="3">
        <v>325</v>
      </c>
      <c r="C346" s="8">
        <f t="shared" si="356"/>
        <v>0.05</v>
      </c>
      <c r="D346" s="8">
        <f t="shared" ref="D346:O346" ca="1" si="361">C346+k*(theta-C346)*dt+vol*SQRT(dt)*_xlfn.NORM.S.INV(RAND())</f>
        <v>4.311385975110469E-2</v>
      </c>
      <c r="E346" s="8">
        <f t="shared" ca="1" si="361"/>
        <v>5.4222085538705792E-2</v>
      </c>
      <c r="F346" s="8">
        <f t="shared" ca="1" si="361"/>
        <v>5.121361625645654E-2</v>
      </c>
      <c r="G346" s="8">
        <f t="shared" ca="1" si="361"/>
        <v>4.7387212803493971E-2</v>
      </c>
      <c r="H346" s="8">
        <f t="shared" ca="1" si="361"/>
        <v>4.5030922609843066E-2</v>
      </c>
      <c r="I346" s="8">
        <f t="shared" ca="1" si="361"/>
        <v>4.530036115774138E-2</v>
      </c>
      <c r="J346" s="8">
        <f t="shared" ca="1" si="361"/>
        <v>4.514064676521809E-2</v>
      </c>
      <c r="K346" s="8">
        <f t="shared" ca="1" si="361"/>
        <v>5.7320181247120704E-2</v>
      </c>
      <c r="L346" s="8">
        <f t="shared" ca="1" si="361"/>
        <v>6.484747486554969E-2</v>
      </c>
      <c r="M346" s="8">
        <f t="shared" ca="1" si="361"/>
        <v>6.8157667484672849E-2</v>
      </c>
      <c r="N346" s="8">
        <f t="shared" ca="1" si="361"/>
        <v>8.0744717436364938E-2</v>
      </c>
      <c r="O346" s="8">
        <f t="shared" ca="1" si="361"/>
        <v>7.7582669069003837E-2</v>
      </c>
    </row>
    <row r="347" spans="2:15">
      <c r="B347" s="3">
        <v>326</v>
      </c>
      <c r="C347" s="8">
        <f t="shared" si="356"/>
        <v>0.05</v>
      </c>
      <c r="D347" s="8">
        <f t="shared" ref="D347:O347" ca="1" si="362">C347+k*(theta-C347)*dt+vol*SQRT(dt)*_xlfn.NORM.S.INV(RAND())</f>
        <v>4.9751193373700209E-2</v>
      </c>
      <c r="E347" s="8">
        <f t="shared" ca="1" si="362"/>
        <v>4.6141541508747802E-2</v>
      </c>
      <c r="F347" s="8">
        <f t="shared" ca="1" si="362"/>
        <v>4.3240239556978304E-2</v>
      </c>
      <c r="G347" s="8">
        <f t="shared" ca="1" si="362"/>
        <v>4.5546211113904146E-2</v>
      </c>
      <c r="H347" s="8">
        <f t="shared" ca="1" si="362"/>
        <v>4.9435062614126363E-2</v>
      </c>
      <c r="I347" s="8">
        <f t="shared" ca="1" si="362"/>
        <v>5.7603917471441737E-2</v>
      </c>
      <c r="J347" s="8">
        <f t="shared" ca="1" si="362"/>
        <v>6.125872010221358E-2</v>
      </c>
      <c r="K347" s="8">
        <f t="shared" ca="1" si="362"/>
        <v>6.1182992591210454E-2</v>
      </c>
      <c r="L347" s="8">
        <f t="shared" ca="1" si="362"/>
        <v>5.7917159664513114E-2</v>
      </c>
      <c r="M347" s="8">
        <f t="shared" ca="1" si="362"/>
        <v>6.2564111510513373E-2</v>
      </c>
      <c r="N347" s="8">
        <f t="shared" ca="1" si="362"/>
        <v>5.8883497394816901E-2</v>
      </c>
      <c r="O347" s="8">
        <f t="shared" ca="1" si="362"/>
        <v>5.6592456647979454E-2</v>
      </c>
    </row>
    <row r="348" spans="2:15">
      <c r="B348" s="3">
        <v>327</v>
      </c>
      <c r="C348" s="8">
        <f t="shared" si="356"/>
        <v>0.05</v>
      </c>
      <c r="D348" s="8">
        <f t="shared" ref="D348:O348" ca="1" si="363">C348+k*(theta-C348)*dt+vol*SQRT(dt)*_xlfn.NORM.S.INV(RAND())</f>
        <v>4.7064711815304874E-2</v>
      </c>
      <c r="E348" s="8">
        <f t="shared" ca="1" si="363"/>
        <v>4.8821960521813278E-2</v>
      </c>
      <c r="F348" s="8">
        <f t="shared" ca="1" si="363"/>
        <v>4.5309627556175118E-2</v>
      </c>
      <c r="G348" s="8">
        <f t="shared" ca="1" si="363"/>
        <v>4.6955578873364025E-2</v>
      </c>
      <c r="H348" s="8">
        <f t="shared" ca="1" si="363"/>
        <v>4.9683853039658367E-2</v>
      </c>
      <c r="I348" s="8">
        <f t="shared" ca="1" si="363"/>
        <v>4.8623639696732147E-2</v>
      </c>
      <c r="J348" s="8">
        <f t="shared" ca="1" si="363"/>
        <v>3.9835221050662666E-2</v>
      </c>
      <c r="K348" s="8">
        <f t="shared" ca="1" si="363"/>
        <v>3.2735005519741726E-2</v>
      </c>
      <c r="L348" s="8">
        <f t="shared" ca="1" si="363"/>
        <v>3.6497229603466234E-2</v>
      </c>
      <c r="M348" s="8">
        <f t="shared" ca="1" si="363"/>
        <v>4.4072166155860543E-2</v>
      </c>
      <c r="N348" s="8">
        <f t="shared" ca="1" si="363"/>
        <v>4.9292259668792138E-2</v>
      </c>
      <c r="O348" s="8">
        <f t="shared" ca="1" si="363"/>
        <v>4.7611190193000433E-2</v>
      </c>
    </row>
    <row r="349" spans="2:15">
      <c r="B349" s="3">
        <v>328</v>
      </c>
      <c r="C349" s="8">
        <f t="shared" si="356"/>
        <v>0.05</v>
      </c>
      <c r="D349" s="8">
        <f t="shared" ref="D349:O349" ca="1" si="364">C349+k*(theta-C349)*dt+vol*SQRT(dt)*_xlfn.NORM.S.INV(RAND())</f>
        <v>6.4014798423580765E-2</v>
      </c>
      <c r="E349" s="8">
        <f t="shared" ca="1" si="364"/>
        <v>6.8096139676400852E-2</v>
      </c>
      <c r="F349" s="8">
        <f t="shared" ca="1" si="364"/>
        <v>6.5559580504538903E-2</v>
      </c>
      <c r="G349" s="8">
        <f t="shared" ca="1" si="364"/>
        <v>7.2027095031026889E-2</v>
      </c>
      <c r="H349" s="8">
        <f t="shared" ca="1" si="364"/>
        <v>7.7428603226479639E-2</v>
      </c>
      <c r="I349" s="8">
        <f t="shared" ca="1" si="364"/>
        <v>8.0243785070405887E-2</v>
      </c>
      <c r="J349" s="8">
        <f t="shared" ca="1" si="364"/>
        <v>7.6208602046876378E-2</v>
      </c>
      <c r="K349" s="8">
        <f t="shared" ca="1" si="364"/>
        <v>8.6283674471352573E-2</v>
      </c>
      <c r="L349" s="8">
        <f t="shared" ca="1" si="364"/>
        <v>8.4605177390616612E-2</v>
      </c>
      <c r="M349" s="8">
        <f t="shared" ca="1" si="364"/>
        <v>7.4454760566175046E-2</v>
      </c>
      <c r="N349" s="8">
        <f t="shared" ca="1" si="364"/>
        <v>7.9999642813851995E-2</v>
      </c>
      <c r="O349" s="8">
        <f t="shared" ca="1" si="364"/>
        <v>8.5807293531019319E-2</v>
      </c>
    </row>
    <row r="350" spans="2:15">
      <c r="B350" s="3">
        <v>329</v>
      </c>
      <c r="C350" s="8">
        <f t="shared" si="356"/>
        <v>0.05</v>
      </c>
      <c r="D350" s="8">
        <f t="shared" ref="D350:O350" ca="1" si="365">C350+k*(theta-C350)*dt+vol*SQRT(dt)*_xlfn.NORM.S.INV(RAND())</f>
        <v>5.0950357975236699E-2</v>
      </c>
      <c r="E350" s="8">
        <f t="shared" ca="1" si="365"/>
        <v>5.2505801944986101E-2</v>
      </c>
      <c r="F350" s="8">
        <f t="shared" ca="1" si="365"/>
        <v>6.1069813811975522E-2</v>
      </c>
      <c r="G350" s="8">
        <f t="shared" ca="1" si="365"/>
        <v>6.2431190378012161E-2</v>
      </c>
      <c r="H350" s="8">
        <f t="shared" ca="1" si="365"/>
        <v>6.8824461446516078E-2</v>
      </c>
      <c r="I350" s="8">
        <f t="shared" ca="1" si="365"/>
        <v>6.2983386079437625E-2</v>
      </c>
      <c r="J350" s="8">
        <f t="shared" ca="1" si="365"/>
        <v>5.4214885485186964E-2</v>
      </c>
      <c r="K350" s="8">
        <f t="shared" ca="1" si="365"/>
        <v>5.3937238777051477E-2</v>
      </c>
      <c r="L350" s="8">
        <f t="shared" ca="1" si="365"/>
        <v>6.145777537230375E-2</v>
      </c>
      <c r="M350" s="8">
        <f t="shared" ca="1" si="365"/>
        <v>6.6862503636715337E-2</v>
      </c>
      <c r="N350" s="8">
        <f t="shared" ca="1" si="365"/>
        <v>6.5281492772992833E-2</v>
      </c>
      <c r="O350" s="8">
        <f t="shared" ca="1" si="365"/>
        <v>7.1955906202921097E-2</v>
      </c>
    </row>
    <row r="351" spans="2:15">
      <c r="B351" s="3">
        <v>330</v>
      </c>
      <c r="C351" s="8">
        <f t="shared" si="356"/>
        <v>0.05</v>
      </c>
      <c r="D351" s="8">
        <f t="shared" ref="D351:O351" ca="1" si="366">C351+k*(theta-C351)*dt+vol*SQRT(dt)*_xlfn.NORM.S.INV(RAND())</f>
        <v>6.603421573487811E-2</v>
      </c>
      <c r="E351" s="8">
        <f t="shared" ca="1" si="366"/>
        <v>6.8355860499483515E-2</v>
      </c>
      <c r="F351" s="8">
        <f t="shared" ca="1" si="366"/>
        <v>7.1604664794530273E-2</v>
      </c>
      <c r="G351" s="8">
        <f t="shared" ca="1" si="366"/>
        <v>7.6678725135670478E-2</v>
      </c>
      <c r="H351" s="8">
        <f t="shared" ca="1" si="366"/>
        <v>7.7982944620437297E-2</v>
      </c>
      <c r="I351" s="8">
        <f t="shared" ca="1" si="366"/>
        <v>7.8393911951406076E-2</v>
      </c>
      <c r="J351" s="8">
        <f t="shared" ca="1" si="366"/>
        <v>7.576371911390653E-2</v>
      </c>
      <c r="K351" s="8">
        <f t="shared" ca="1" si="366"/>
        <v>7.8236326745348916E-2</v>
      </c>
      <c r="L351" s="8">
        <f t="shared" ca="1" si="366"/>
        <v>8.2050811930944323E-2</v>
      </c>
      <c r="M351" s="8">
        <f t="shared" ca="1" si="366"/>
        <v>7.3894328143609314E-2</v>
      </c>
      <c r="N351" s="8">
        <f t="shared" ca="1" si="366"/>
        <v>7.3443299878807586E-2</v>
      </c>
      <c r="O351" s="8">
        <f t="shared" ca="1" si="366"/>
        <v>7.3703575210930614E-2</v>
      </c>
    </row>
    <row r="352" spans="2:15">
      <c r="B352" s="3">
        <v>331</v>
      </c>
      <c r="C352" s="8">
        <f t="shared" si="356"/>
        <v>0.05</v>
      </c>
      <c r="D352" s="8">
        <f t="shared" ref="D352:O352" ca="1" si="367">C352+k*(theta-C352)*dt+vol*SQRT(dt)*_xlfn.NORM.S.INV(RAND())</f>
        <v>5.5931061372818426E-2</v>
      </c>
      <c r="E352" s="8">
        <f t="shared" ca="1" si="367"/>
        <v>5.3811491162577031E-2</v>
      </c>
      <c r="F352" s="8">
        <f t="shared" ca="1" si="367"/>
        <v>5.7335790684658813E-2</v>
      </c>
      <c r="G352" s="8">
        <f t="shared" ca="1" si="367"/>
        <v>5.4265008810216356E-2</v>
      </c>
      <c r="H352" s="8">
        <f t="shared" ca="1" si="367"/>
        <v>5.2046054539407263E-2</v>
      </c>
      <c r="I352" s="8">
        <f t="shared" ca="1" si="367"/>
        <v>4.8896924618042979E-2</v>
      </c>
      <c r="J352" s="8">
        <f t="shared" ca="1" si="367"/>
        <v>5.3953051443229691E-2</v>
      </c>
      <c r="K352" s="8">
        <f t="shared" ca="1" si="367"/>
        <v>6.0046239177203829E-2</v>
      </c>
      <c r="L352" s="8">
        <f t="shared" ca="1" si="367"/>
        <v>6.64634836740087E-2</v>
      </c>
      <c r="M352" s="8">
        <f t="shared" ca="1" si="367"/>
        <v>6.1292051685069959E-2</v>
      </c>
      <c r="N352" s="8">
        <f t="shared" ca="1" si="367"/>
        <v>7.1456616103291695E-2</v>
      </c>
      <c r="O352" s="8">
        <f t="shared" ca="1" si="367"/>
        <v>7.474806997207864E-2</v>
      </c>
    </row>
    <row r="353" spans="2:15">
      <c r="B353" s="3">
        <v>332</v>
      </c>
      <c r="C353" s="8">
        <f t="shared" si="356"/>
        <v>0.05</v>
      </c>
      <c r="D353" s="8">
        <f t="shared" ref="D353:O353" ca="1" si="368">C353+k*(theta-C353)*dt+vol*SQRT(dt)*_xlfn.NORM.S.INV(RAND())</f>
        <v>4.2584351016463601E-2</v>
      </c>
      <c r="E353" s="8">
        <f t="shared" ca="1" si="368"/>
        <v>5.2726792214700523E-2</v>
      </c>
      <c r="F353" s="8">
        <f t="shared" ca="1" si="368"/>
        <v>6.6265851675396378E-2</v>
      </c>
      <c r="G353" s="8">
        <f t="shared" ca="1" si="368"/>
        <v>6.5745231049654448E-2</v>
      </c>
      <c r="H353" s="8">
        <f t="shared" ca="1" si="368"/>
        <v>7.4029635688749068E-2</v>
      </c>
      <c r="I353" s="8">
        <f t="shared" ca="1" si="368"/>
        <v>6.5880276310419136E-2</v>
      </c>
      <c r="J353" s="8">
        <f t="shared" ca="1" si="368"/>
        <v>6.9280230304287815E-2</v>
      </c>
      <c r="K353" s="8">
        <f t="shared" ca="1" si="368"/>
        <v>7.2636700620567138E-2</v>
      </c>
      <c r="L353" s="8">
        <f t="shared" ca="1" si="368"/>
        <v>7.26677005892995E-2</v>
      </c>
      <c r="M353" s="8">
        <f t="shared" ca="1" si="368"/>
        <v>7.672381377851617E-2</v>
      </c>
      <c r="N353" s="8">
        <f t="shared" ca="1" si="368"/>
        <v>7.4970963537160165E-2</v>
      </c>
      <c r="O353" s="8">
        <f t="shared" ca="1" si="368"/>
        <v>6.7944519430447881E-2</v>
      </c>
    </row>
    <row r="354" spans="2:15">
      <c r="B354" s="3">
        <v>333</v>
      </c>
      <c r="C354" s="8">
        <f t="shared" si="356"/>
        <v>0.05</v>
      </c>
      <c r="D354" s="8">
        <f t="shared" ref="D354:O354" ca="1" si="369">C354+k*(theta-C354)*dt+vol*SQRT(dt)*_xlfn.NORM.S.INV(RAND())</f>
        <v>4.9662690698344461E-2</v>
      </c>
      <c r="E354" s="8">
        <f t="shared" ca="1" si="369"/>
        <v>4.6460207746759657E-2</v>
      </c>
      <c r="F354" s="8">
        <f t="shared" ca="1" si="369"/>
        <v>5.0701301985228375E-2</v>
      </c>
      <c r="G354" s="8">
        <f t="shared" ca="1" si="369"/>
        <v>6.1424188095466882E-2</v>
      </c>
      <c r="H354" s="8">
        <f t="shared" ca="1" si="369"/>
        <v>5.9164021740769394E-2</v>
      </c>
      <c r="I354" s="8">
        <f t="shared" ca="1" si="369"/>
        <v>5.8243523613736414E-2</v>
      </c>
      <c r="J354" s="8">
        <f t="shared" ca="1" si="369"/>
        <v>6.536790706589346E-2</v>
      </c>
      <c r="K354" s="8">
        <f t="shared" ca="1" si="369"/>
        <v>5.9131720509711216E-2</v>
      </c>
      <c r="L354" s="8">
        <f t="shared" ca="1" si="369"/>
        <v>6.4500076060106853E-2</v>
      </c>
      <c r="M354" s="8">
        <f t="shared" ca="1" si="369"/>
        <v>6.4299455897534316E-2</v>
      </c>
      <c r="N354" s="8">
        <f t="shared" ca="1" si="369"/>
        <v>6.4159498745644292E-2</v>
      </c>
      <c r="O354" s="8">
        <f t="shared" ca="1" si="369"/>
        <v>6.9589481583294588E-2</v>
      </c>
    </row>
    <row r="355" spans="2:15">
      <c r="B355" s="3">
        <v>334</v>
      </c>
      <c r="C355" s="8">
        <f t="shared" si="356"/>
        <v>0.05</v>
      </c>
      <c r="D355" s="8">
        <f t="shared" ref="D355:O355" ca="1" si="370">C355+k*(theta-C355)*dt+vol*SQRT(dt)*_xlfn.NORM.S.INV(RAND())</f>
        <v>4.3798014944310147E-2</v>
      </c>
      <c r="E355" s="8">
        <f t="shared" ca="1" si="370"/>
        <v>4.6979209227636029E-2</v>
      </c>
      <c r="F355" s="8">
        <f t="shared" ca="1" si="370"/>
        <v>4.2174762952491431E-2</v>
      </c>
      <c r="G355" s="8">
        <f t="shared" ca="1" si="370"/>
        <v>4.4257329466403601E-2</v>
      </c>
      <c r="H355" s="8">
        <f t="shared" ca="1" si="370"/>
        <v>4.7915715797851567E-2</v>
      </c>
      <c r="I355" s="8">
        <f t="shared" ca="1" si="370"/>
        <v>5.4265954282897627E-2</v>
      </c>
      <c r="J355" s="8">
        <f t="shared" ca="1" si="370"/>
        <v>5.4018125295000857E-2</v>
      </c>
      <c r="K355" s="8">
        <f t="shared" ca="1" si="370"/>
        <v>5.1500937344495117E-2</v>
      </c>
      <c r="L355" s="8">
        <f t="shared" ca="1" si="370"/>
        <v>4.4771172236173613E-2</v>
      </c>
      <c r="M355" s="8">
        <f t="shared" ca="1" si="370"/>
        <v>4.8538483215128325E-2</v>
      </c>
      <c r="N355" s="8">
        <f t="shared" ca="1" si="370"/>
        <v>5.1725829139168567E-2</v>
      </c>
      <c r="O355" s="8">
        <f t="shared" ca="1" si="370"/>
        <v>5.7323176454743288E-2</v>
      </c>
    </row>
    <row r="356" spans="2:15">
      <c r="B356" s="3">
        <v>335</v>
      </c>
      <c r="C356" s="8">
        <f t="shared" si="356"/>
        <v>0.05</v>
      </c>
      <c r="D356" s="8">
        <f t="shared" ref="D356:O356" ca="1" si="371">C356+k*(theta-C356)*dt+vol*SQRT(dt)*_xlfn.NORM.S.INV(RAND())</f>
        <v>5.1659556074879147E-2</v>
      </c>
      <c r="E356" s="8">
        <f t="shared" ca="1" si="371"/>
        <v>5.9344274504314301E-2</v>
      </c>
      <c r="F356" s="8">
        <f t="shared" ca="1" si="371"/>
        <v>5.5828293979627207E-2</v>
      </c>
      <c r="G356" s="8">
        <f t="shared" ca="1" si="371"/>
        <v>5.8721913953366754E-2</v>
      </c>
      <c r="H356" s="8">
        <f t="shared" ca="1" si="371"/>
        <v>5.8224278076902933E-2</v>
      </c>
      <c r="I356" s="8">
        <f t="shared" ca="1" si="371"/>
        <v>5.5017981268510846E-2</v>
      </c>
      <c r="J356" s="8">
        <f t="shared" ca="1" si="371"/>
        <v>4.9421724445212478E-2</v>
      </c>
      <c r="K356" s="8">
        <f t="shared" ca="1" si="371"/>
        <v>5.9452691486976579E-2</v>
      </c>
      <c r="L356" s="8">
        <f t="shared" ca="1" si="371"/>
        <v>6.4046039115711273E-2</v>
      </c>
      <c r="M356" s="8">
        <f t="shared" ca="1" si="371"/>
        <v>6.9836964090927031E-2</v>
      </c>
      <c r="N356" s="8">
        <f t="shared" ca="1" si="371"/>
        <v>7.0206809714664128E-2</v>
      </c>
      <c r="O356" s="8">
        <f t="shared" ca="1" si="371"/>
        <v>6.2471287884807374E-2</v>
      </c>
    </row>
    <row r="357" spans="2:15">
      <c r="B357" s="3">
        <v>336</v>
      </c>
      <c r="C357" s="8">
        <f t="shared" si="356"/>
        <v>0.05</v>
      </c>
      <c r="D357" s="8">
        <f t="shared" ref="D357:O357" ca="1" si="372">C357+k*(theta-C357)*dt+vol*SQRT(dt)*_xlfn.NORM.S.INV(RAND())</f>
        <v>5.3102109751261332E-2</v>
      </c>
      <c r="E357" s="8">
        <f t="shared" ca="1" si="372"/>
        <v>4.9522392387120029E-2</v>
      </c>
      <c r="F357" s="8">
        <f t="shared" ca="1" si="372"/>
        <v>5.9334605237582327E-2</v>
      </c>
      <c r="G357" s="8">
        <f t="shared" ca="1" si="372"/>
        <v>5.7207722087740984E-2</v>
      </c>
      <c r="H357" s="8">
        <f t="shared" ca="1" si="372"/>
        <v>4.8254488097586201E-2</v>
      </c>
      <c r="I357" s="8">
        <f t="shared" ca="1" si="372"/>
        <v>5.9046330383117483E-2</v>
      </c>
      <c r="J357" s="8">
        <f t="shared" ca="1" si="372"/>
        <v>6.3033434731759541E-2</v>
      </c>
      <c r="K357" s="8">
        <f t="shared" ca="1" si="372"/>
        <v>6.9059631371839111E-2</v>
      </c>
      <c r="L357" s="8">
        <f t="shared" ca="1" si="372"/>
        <v>7.4780097615917723E-2</v>
      </c>
      <c r="M357" s="8">
        <f t="shared" ca="1" si="372"/>
        <v>7.6398533437759528E-2</v>
      </c>
      <c r="N357" s="8">
        <f t="shared" ca="1" si="372"/>
        <v>7.6815296403994426E-2</v>
      </c>
      <c r="O357" s="8">
        <f t="shared" ca="1" si="372"/>
        <v>7.641193932489139E-2</v>
      </c>
    </row>
    <row r="358" spans="2:15">
      <c r="B358" s="3">
        <v>337</v>
      </c>
      <c r="C358" s="8">
        <f t="shared" si="356"/>
        <v>0.05</v>
      </c>
      <c r="D358" s="8">
        <f t="shared" ref="D358:O358" ca="1" si="373">C358+k*(theta-C358)*dt+vol*SQRT(dt)*_xlfn.NORM.S.INV(RAND())</f>
        <v>5.468289239720462E-2</v>
      </c>
      <c r="E358" s="8">
        <f t="shared" ca="1" si="373"/>
        <v>5.1676439701549386E-2</v>
      </c>
      <c r="F358" s="8">
        <f t="shared" ca="1" si="373"/>
        <v>6.1833962746449631E-2</v>
      </c>
      <c r="G358" s="8">
        <f t="shared" ca="1" si="373"/>
        <v>6.3378395562414411E-2</v>
      </c>
      <c r="H358" s="8">
        <f t="shared" ca="1" si="373"/>
        <v>5.7828282165118719E-2</v>
      </c>
      <c r="I358" s="8">
        <f t="shared" ca="1" si="373"/>
        <v>5.8963186935333443E-2</v>
      </c>
      <c r="J358" s="8">
        <f t="shared" ca="1" si="373"/>
        <v>6.0952695903294579E-2</v>
      </c>
      <c r="K358" s="8">
        <f t="shared" ca="1" si="373"/>
        <v>5.1989242094153391E-2</v>
      </c>
      <c r="L358" s="8">
        <f t="shared" ca="1" si="373"/>
        <v>6.2215030356028718E-2</v>
      </c>
      <c r="M358" s="8">
        <f t="shared" ca="1" si="373"/>
        <v>6.533559316299839E-2</v>
      </c>
      <c r="N358" s="8">
        <f t="shared" ca="1" si="373"/>
        <v>7.053231378586515E-2</v>
      </c>
      <c r="O358" s="8">
        <f t="shared" ca="1" si="373"/>
        <v>7.017598358528146E-2</v>
      </c>
    </row>
    <row r="359" spans="2:15">
      <c r="B359" s="3">
        <v>338</v>
      </c>
      <c r="C359" s="8">
        <f t="shared" si="356"/>
        <v>0.05</v>
      </c>
      <c r="D359" s="8">
        <f t="shared" ref="D359:O359" ca="1" si="374">C359+k*(theta-C359)*dt+vol*SQRT(dt)*_xlfn.NORM.S.INV(RAND())</f>
        <v>5.5390770664805015E-2</v>
      </c>
      <c r="E359" s="8">
        <f t="shared" ca="1" si="374"/>
        <v>5.9358452579999985E-2</v>
      </c>
      <c r="F359" s="8">
        <f t="shared" ca="1" si="374"/>
        <v>6.9912647771988579E-2</v>
      </c>
      <c r="G359" s="8">
        <f t="shared" ca="1" si="374"/>
        <v>7.8743771528987289E-2</v>
      </c>
      <c r="H359" s="8">
        <f t="shared" ca="1" si="374"/>
        <v>7.7631798307991176E-2</v>
      </c>
      <c r="I359" s="8">
        <f t="shared" ca="1" si="374"/>
        <v>8.3088272048668421E-2</v>
      </c>
      <c r="J359" s="8">
        <f t="shared" ca="1" si="374"/>
        <v>7.8600765777319254E-2</v>
      </c>
      <c r="K359" s="8">
        <f t="shared" ca="1" si="374"/>
        <v>8.7238382810302884E-2</v>
      </c>
      <c r="L359" s="8">
        <f t="shared" ca="1" si="374"/>
        <v>8.5768133628090118E-2</v>
      </c>
      <c r="M359" s="8">
        <f t="shared" ca="1" si="374"/>
        <v>8.9722722291545542E-2</v>
      </c>
      <c r="N359" s="8">
        <f t="shared" ca="1" si="374"/>
        <v>9.6211344898405618E-2</v>
      </c>
      <c r="O359" s="8">
        <f t="shared" ca="1" si="374"/>
        <v>9.1614028860316055E-2</v>
      </c>
    </row>
    <row r="360" spans="2:15">
      <c r="B360" s="3">
        <v>339</v>
      </c>
      <c r="C360" s="8">
        <f t="shared" si="356"/>
        <v>0.05</v>
      </c>
      <c r="D360" s="8">
        <f t="shared" ref="D360:O360" ca="1" si="375">C360+k*(theta-C360)*dt+vol*SQRT(dt)*_xlfn.NORM.S.INV(RAND())</f>
        <v>5.3623339987364571E-2</v>
      </c>
      <c r="E360" s="8">
        <f t="shared" ca="1" si="375"/>
        <v>5.640059348108175E-2</v>
      </c>
      <c r="F360" s="8">
        <f t="shared" ca="1" si="375"/>
        <v>5.5460107730130631E-2</v>
      </c>
      <c r="G360" s="8">
        <f t="shared" ca="1" si="375"/>
        <v>5.4651439656992915E-2</v>
      </c>
      <c r="H360" s="8">
        <f t="shared" ca="1" si="375"/>
        <v>5.4029227247623726E-2</v>
      </c>
      <c r="I360" s="8">
        <f t="shared" ca="1" si="375"/>
        <v>6.1933323140059234E-2</v>
      </c>
      <c r="J360" s="8">
        <f t="shared" ca="1" si="375"/>
        <v>6.6814406911273078E-2</v>
      </c>
      <c r="K360" s="8">
        <f t="shared" ca="1" si="375"/>
        <v>7.8102301236177896E-2</v>
      </c>
      <c r="L360" s="8">
        <f t="shared" ca="1" si="375"/>
        <v>7.3960532555570405E-2</v>
      </c>
      <c r="M360" s="8">
        <f t="shared" ca="1" si="375"/>
        <v>8.2271990835522973E-2</v>
      </c>
      <c r="N360" s="8">
        <f t="shared" ca="1" si="375"/>
        <v>7.9419211167148826E-2</v>
      </c>
      <c r="O360" s="8">
        <f t="shared" ca="1" si="375"/>
        <v>8.3456281523359224E-2</v>
      </c>
    </row>
    <row r="361" spans="2:15">
      <c r="B361" s="3">
        <v>340</v>
      </c>
      <c r="C361" s="8">
        <f t="shared" si="356"/>
        <v>0.05</v>
      </c>
      <c r="D361" s="8">
        <f t="shared" ref="D361:O361" ca="1" si="376">C361+k*(theta-C361)*dt+vol*SQRT(dt)*_xlfn.NORM.S.INV(RAND())</f>
        <v>3.3101770532442808E-2</v>
      </c>
      <c r="E361" s="8">
        <f t="shared" ca="1" si="376"/>
        <v>3.2203494073058017E-2</v>
      </c>
      <c r="F361" s="8">
        <f t="shared" ca="1" si="376"/>
        <v>4.3428851956850784E-2</v>
      </c>
      <c r="G361" s="8">
        <f t="shared" ca="1" si="376"/>
        <v>4.5010001182562487E-2</v>
      </c>
      <c r="H361" s="8">
        <f t="shared" ca="1" si="376"/>
        <v>4.2165768204393619E-2</v>
      </c>
      <c r="I361" s="8">
        <f t="shared" ca="1" si="376"/>
        <v>2.5115134683071604E-2</v>
      </c>
      <c r="J361" s="8">
        <f t="shared" ca="1" si="376"/>
        <v>2.4504340395544506E-2</v>
      </c>
      <c r="K361" s="8">
        <f t="shared" ca="1" si="376"/>
        <v>2.5402941313325312E-2</v>
      </c>
      <c r="L361" s="8">
        <f t="shared" ca="1" si="376"/>
        <v>3.2684740701795459E-2</v>
      </c>
      <c r="M361" s="8">
        <f t="shared" ca="1" si="376"/>
        <v>3.1758332446973556E-2</v>
      </c>
      <c r="N361" s="8">
        <f t="shared" ca="1" si="376"/>
        <v>3.8429682108689113E-2</v>
      </c>
      <c r="O361" s="8">
        <f t="shared" ca="1" si="376"/>
        <v>3.8266969520941142E-2</v>
      </c>
    </row>
    <row r="362" spans="2:15">
      <c r="B362" s="3">
        <v>341</v>
      </c>
      <c r="C362" s="8">
        <f t="shared" si="356"/>
        <v>0.05</v>
      </c>
      <c r="D362" s="8">
        <f t="shared" ref="D362:O362" ca="1" si="377">C362+k*(theta-C362)*dt+vol*SQRT(dt)*_xlfn.NORM.S.INV(RAND())</f>
        <v>4.9373276671283065E-2</v>
      </c>
      <c r="E362" s="8">
        <f t="shared" ca="1" si="377"/>
        <v>4.4317656832956395E-2</v>
      </c>
      <c r="F362" s="8">
        <f t="shared" ca="1" si="377"/>
        <v>5.106007321347774E-2</v>
      </c>
      <c r="G362" s="8">
        <f t="shared" ca="1" si="377"/>
        <v>5.0405834876517452E-2</v>
      </c>
      <c r="H362" s="8">
        <f t="shared" ca="1" si="377"/>
        <v>6.2605119965481404E-2</v>
      </c>
      <c r="I362" s="8">
        <f t="shared" ca="1" si="377"/>
        <v>6.3668627505417311E-2</v>
      </c>
      <c r="J362" s="8">
        <f t="shared" ca="1" si="377"/>
        <v>6.3734546519252783E-2</v>
      </c>
      <c r="K362" s="8">
        <f t="shared" ca="1" si="377"/>
        <v>6.008777237795946E-2</v>
      </c>
      <c r="L362" s="8">
        <f t="shared" ca="1" si="377"/>
        <v>5.9370278749118099E-2</v>
      </c>
      <c r="M362" s="8">
        <f t="shared" ca="1" si="377"/>
        <v>5.7921533780784192E-2</v>
      </c>
      <c r="N362" s="8">
        <f t="shared" ca="1" si="377"/>
        <v>4.7705758608847543E-2</v>
      </c>
      <c r="O362" s="8">
        <f t="shared" ca="1" si="377"/>
        <v>5.155023082688287E-2</v>
      </c>
    </row>
    <row r="363" spans="2:15">
      <c r="B363" s="3">
        <v>342</v>
      </c>
      <c r="C363" s="8">
        <f t="shared" si="356"/>
        <v>0.05</v>
      </c>
      <c r="D363" s="8">
        <f t="shared" ref="D363:O363" ca="1" si="378">C363+k*(theta-C363)*dt+vol*SQRT(dt)*_xlfn.NORM.S.INV(RAND())</f>
        <v>5.3136560513423893E-2</v>
      </c>
      <c r="E363" s="8">
        <f t="shared" ca="1" si="378"/>
        <v>6.0697350782159508E-2</v>
      </c>
      <c r="F363" s="8">
        <f t="shared" ca="1" si="378"/>
        <v>7.1177910916283199E-2</v>
      </c>
      <c r="G363" s="8">
        <f t="shared" ca="1" si="378"/>
        <v>8.039647676968828E-2</v>
      </c>
      <c r="H363" s="8">
        <f t="shared" ca="1" si="378"/>
        <v>8.4074466299414383E-2</v>
      </c>
      <c r="I363" s="8">
        <f t="shared" ca="1" si="378"/>
        <v>8.6273145932373632E-2</v>
      </c>
      <c r="J363" s="8">
        <f t="shared" ca="1" si="378"/>
        <v>8.7239491305070679E-2</v>
      </c>
      <c r="K363" s="8">
        <f t="shared" ca="1" si="378"/>
        <v>8.2529812981958203E-2</v>
      </c>
      <c r="L363" s="8">
        <f t="shared" ca="1" si="378"/>
        <v>7.7736377589551958E-2</v>
      </c>
      <c r="M363" s="8">
        <f t="shared" ca="1" si="378"/>
        <v>6.3270585538540092E-2</v>
      </c>
      <c r="N363" s="8">
        <f t="shared" ca="1" si="378"/>
        <v>6.3607916896630118E-2</v>
      </c>
      <c r="O363" s="8">
        <f t="shared" ca="1" si="378"/>
        <v>6.4418384890973249E-2</v>
      </c>
    </row>
    <row r="364" spans="2:15">
      <c r="B364" s="3">
        <v>343</v>
      </c>
      <c r="C364" s="8">
        <f t="shared" si="356"/>
        <v>0.05</v>
      </c>
      <c r="D364" s="8">
        <f t="shared" ref="D364:O364" ca="1" si="379">C364+k*(theta-C364)*dt+vol*SQRT(dt)*_xlfn.NORM.S.INV(RAND())</f>
        <v>5.6294283933337103E-2</v>
      </c>
      <c r="E364" s="8">
        <f t="shared" ca="1" si="379"/>
        <v>4.2054997728325216E-2</v>
      </c>
      <c r="F364" s="8">
        <f t="shared" ca="1" si="379"/>
        <v>5.4099749766369026E-2</v>
      </c>
      <c r="G364" s="8">
        <f t="shared" ca="1" si="379"/>
        <v>4.8364442803741012E-2</v>
      </c>
      <c r="H364" s="8">
        <f t="shared" ca="1" si="379"/>
        <v>3.6725663423400612E-2</v>
      </c>
      <c r="I364" s="8">
        <f t="shared" ca="1" si="379"/>
        <v>3.2222208891325425E-2</v>
      </c>
      <c r="J364" s="8">
        <f t="shared" ca="1" si="379"/>
        <v>3.2527702970297251E-2</v>
      </c>
      <c r="K364" s="8">
        <f t="shared" ca="1" si="379"/>
        <v>2.3510215261407542E-2</v>
      </c>
      <c r="L364" s="8">
        <f t="shared" ca="1" si="379"/>
        <v>3.6048567099517495E-2</v>
      </c>
      <c r="M364" s="8">
        <f t="shared" ca="1" si="379"/>
        <v>3.2952116372787089E-2</v>
      </c>
      <c r="N364" s="8">
        <f t="shared" ca="1" si="379"/>
        <v>4.0336368545027618E-2</v>
      </c>
      <c r="O364" s="8">
        <f t="shared" ca="1" si="379"/>
        <v>4.1203286989207701E-2</v>
      </c>
    </row>
    <row r="365" spans="2:15">
      <c r="B365" s="3">
        <v>344</v>
      </c>
      <c r="C365" s="8">
        <f t="shared" si="356"/>
        <v>0.05</v>
      </c>
      <c r="D365" s="8">
        <f t="shared" ref="D365:O365" ca="1" si="380">C365+k*(theta-C365)*dt+vol*SQRT(dt)*_xlfn.NORM.S.INV(RAND())</f>
        <v>5.1644658669402634E-2</v>
      </c>
      <c r="E365" s="8">
        <f t="shared" ca="1" si="380"/>
        <v>5.1540426300816101E-2</v>
      </c>
      <c r="F365" s="8">
        <f t="shared" ca="1" si="380"/>
        <v>4.8696691275311413E-2</v>
      </c>
      <c r="G365" s="8">
        <f t="shared" ca="1" si="380"/>
        <v>5.0441572947394264E-2</v>
      </c>
      <c r="H365" s="8">
        <f t="shared" ca="1" si="380"/>
        <v>5.1012790663426726E-2</v>
      </c>
      <c r="I365" s="8">
        <f t="shared" ca="1" si="380"/>
        <v>4.9838647936767282E-2</v>
      </c>
      <c r="J365" s="8">
        <f t="shared" ca="1" si="380"/>
        <v>5.8536649822316524E-2</v>
      </c>
      <c r="K365" s="8">
        <f t="shared" ca="1" si="380"/>
        <v>5.0338590531316521E-2</v>
      </c>
      <c r="L365" s="8">
        <f t="shared" ca="1" si="380"/>
        <v>5.503103741033942E-2</v>
      </c>
      <c r="M365" s="8">
        <f t="shared" ca="1" si="380"/>
        <v>5.3584214654088642E-2</v>
      </c>
      <c r="N365" s="8">
        <f t="shared" ca="1" si="380"/>
        <v>5.4985417111921175E-2</v>
      </c>
      <c r="O365" s="8">
        <f t="shared" ca="1" si="380"/>
        <v>6.2295611823344504E-2</v>
      </c>
    </row>
    <row r="366" spans="2:15">
      <c r="B366" s="3">
        <v>345</v>
      </c>
      <c r="C366" s="8">
        <f t="shared" si="356"/>
        <v>0.05</v>
      </c>
      <c r="D366" s="8">
        <f t="shared" ref="D366:O366" ca="1" si="381">C366+k*(theta-C366)*dt+vol*SQRT(dt)*_xlfn.NORM.S.INV(RAND())</f>
        <v>5.6602352713635375E-2</v>
      </c>
      <c r="E366" s="8">
        <f t="shared" ca="1" si="381"/>
        <v>5.5646841252488879E-2</v>
      </c>
      <c r="F366" s="8">
        <f t="shared" ca="1" si="381"/>
        <v>5.8582083221549917E-2</v>
      </c>
      <c r="G366" s="8">
        <f t="shared" ca="1" si="381"/>
        <v>5.3599813524874217E-2</v>
      </c>
      <c r="H366" s="8">
        <f t="shared" ca="1" si="381"/>
        <v>6.1818206474507573E-2</v>
      </c>
      <c r="I366" s="8">
        <f t="shared" ca="1" si="381"/>
        <v>6.1312457086878873E-2</v>
      </c>
      <c r="J366" s="8">
        <f t="shared" ca="1" si="381"/>
        <v>7.217395635941995E-2</v>
      </c>
      <c r="K366" s="8">
        <f t="shared" ca="1" si="381"/>
        <v>8.1188735660088676E-2</v>
      </c>
      <c r="L366" s="8">
        <f t="shared" ca="1" si="381"/>
        <v>8.5661117050515087E-2</v>
      </c>
      <c r="M366" s="8">
        <f t="shared" ca="1" si="381"/>
        <v>9.296632805166008E-2</v>
      </c>
      <c r="N366" s="8">
        <f t="shared" ca="1" si="381"/>
        <v>8.857121661789287E-2</v>
      </c>
      <c r="O366" s="8">
        <f t="shared" ca="1" si="381"/>
        <v>8.9779401318630922E-2</v>
      </c>
    </row>
    <row r="367" spans="2:15">
      <c r="B367" s="3">
        <v>346</v>
      </c>
      <c r="C367" s="8">
        <f t="shared" si="356"/>
        <v>0.05</v>
      </c>
      <c r="D367" s="8">
        <f t="shared" ref="D367:O367" ca="1" si="382">C367+k*(theta-C367)*dt+vol*SQRT(dt)*_xlfn.NORM.S.INV(RAND())</f>
        <v>4.3885743938875593E-2</v>
      </c>
      <c r="E367" s="8">
        <f t="shared" ca="1" si="382"/>
        <v>5.0231207075794357E-2</v>
      </c>
      <c r="F367" s="8">
        <f t="shared" ca="1" si="382"/>
        <v>5.354222878287751E-2</v>
      </c>
      <c r="G367" s="8">
        <f t="shared" ca="1" si="382"/>
        <v>5.0924572018167184E-2</v>
      </c>
      <c r="H367" s="8">
        <f t="shared" ca="1" si="382"/>
        <v>4.2555330412438939E-2</v>
      </c>
      <c r="I367" s="8">
        <f t="shared" ca="1" si="382"/>
        <v>5.4608412176433509E-2</v>
      </c>
      <c r="J367" s="8">
        <f t="shared" ca="1" si="382"/>
        <v>5.5012821525107586E-2</v>
      </c>
      <c r="K367" s="8">
        <f t="shared" ca="1" si="382"/>
        <v>5.7350599469832661E-2</v>
      </c>
      <c r="L367" s="8">
        <f t="shared" ca="1" si="382"/>
        <v>5.8742584354547718E-2</v>
      </c>
      <c r="M367" s="8">
        <f t="shared" ca="1" si="382"/>
        <v>6.7786730586191529E-2</v>
      </c>
      <c r="N367" s="8">
        <f t="shared" ca="1" si="382"/>
        <v>6.4939748002012243E-2</v>
      </c>
      <c r="O367" s="8">
        <f t="shared" ca="1" si="382"/>
        <v>6.4211455653048546E-2</v>
      </c>
    </row>
    <row r="368" spans="2:15">
      <c r="B368" s="3">
        <v>347</v>
      </c>
      <c r="C368" s="8">
        <f t="shared" si="356"/>
        <v>0.05</v>
      </c>
      <c r="D368" s="8">
        <f t="shared" ref="D368:O368" ca="1" si="383">C368+k*(theta-C368)*dt+vol*SQRT(dt)*_xlfn.NORM.S.INV(RAND())</f>
        <v>6.3440761137475862E-2</v>
      </c>
      <c r="E368" s="8">
        <f t="shared" ca="1" si="383"/>
        <v>6.5690811219442022E-2</v>
      </c>
      <c r="F368" s="8">
        <f t="shared" ca="1" si="383"/>
        <v>6.9904375390713286E-2</v>
      </c>
      <c r="G368" s="8">
        <f t="shared" ca="1" si="383"/>
        <v>6.7042588098625067E-2</v>
      </c>
      <c r="H368" s="8">
        <f t="shared" ca="1" si="383"/>
        <v>7.0191409957071169E-2</v>
      </c>
      <c r="I368" s="8">
        <f t="shared" ca="1" si="383"/>
        <v>7.7001571428880575E-2</v>
      </c>
      <c r="J368" s="8">
        <f t="shared" ca="1" si="383"/>
        <v>7.4374260596856409E-2</v>
      </c>
      <c r="K368" s="8">
        <f t="shared" ca="1" si="383"/>
        <v>7.7349979585538728E-2</v>
      </c>
      <c r="L368" s="8">
        <f t="shared" ca="1" si="383"/>
        <v>7.3666890181853073E-2</v>
      </c>
      <c r="M368" s="8">
        <f t="shared" ca="1" si="383"/>
        <v>7.4156405842549789E-2</v>
      </c>
      <c r="N368" s="8">
        <f t="shared" ca="1" si="383"/>
        <v>7.0502024747097478E-2</v>
      </c>
      <c r="O368" s="8">
        <f t="shared" ca="1" si="383"/>
        <v>7.4081922971209177E-2</v>
      </c>
    </row>
    <row r="369" spans="2:15">
      <c r="B369" s="3">
        <v>348</v>
      </c>
      <c r="C369" s="8">
        <f t="shared" si="356"/>
        <v>0.05</v>
      </c>
      <c r="D369" s="8">
        <f t="shared" ref="D369:O369" ca="1" si="384">C369+k*(theta-C369)*dt+vol*SQRT(dt)*_xlfn.NORM.S.INV(RAND())</f>
        <v>5.0131131737482321E-2</v>
      </c>
      <c r="E369" s="8">
        <f t="shared" ca="1" si="384"/>
        <v>4.8078896771043315E-2</v>
      </c>
      <c r="F369" s="8">
        <f t="shared" ca="1" si="384"/>
        <v>5.7205183500503527E-2</v>
      </c>
      <c r="G369" s="8">
        <f t="shared" ca="1" si="384"/>
        <v>5.6601070335912038E-2</v>
      </c>
      <c r="H369" s="8">
        <f t="shared" ca="1" si="384"/>
        <v>6.1708846406577637E-2</v>
      </c>
      <c r="I369" s="8">
        <f t="shared" ca="1" si="384"/>
        <v>6.4468379556590044E-2</v>
      </c>
      <c r="J369" s="8">
        <f t="shared" ca="1" si="384"/>
        <v>6.8927433637783933E-2</v>
      </c>
      <c r="K369" s="8">
        <f t="shared" ca="1" si="384"/>
        <v>6.8196536731756588E-2</v>
      </c>
      <c r="L369" s="8">
        <f t="shared" ca="1" si="384"/>
        <v>6.8983621177868951E-2</v>
      </c>
      <c r="M369" s="8">
        <f t="shared" ca="1" si="384"/>
        <v>7.1082723155807229E-2</v>
      </c>
      <c r="N369" s="8">
        <f t="shared" ca="1" si="384"/>
        <v>6.4950998824833878E-2</v>
      </c>
      <c r="O369" s="8">
        <f t="shared" ca="1" si="384"/>
        <v>6.6078296067352826E-2</v>
      </c>
    </row>
    <row r="370" spans="2:15">
      <c r="B370" s="3">
        <v>349</v>
      </c>
      <c r="C370" s="8">
        <f t="shared" si="356"/>
        <v>0.05</v>
      </c>
      <c r="D370" s="8">
        <f t="shared" ref="D370:O370" ca="1" si="385">C370+k*(theta-C370)*dt+vol*SQRT(dt)*_xlfn.NORM.S.INV(RAND())</f>
        <v>5.5999137539657115E-2</v>
      </c>
      <c r="E370" s="8">
        <f t="shared" ca="1" si="385"/>
        <v>5.8379859868975918E-2</v>
      </c>
      <c r="F370" s="8">
        <f t="shared" ca="1" si="385"/>
        <v>5.8282972569617092E-2</v>
      </c>
      <c r="G370" s="8">
        <f t="shared" ca="1" si="385"/>
        <v>6.1810773132722228E-2</v>
      </c>
      <c r="H370" s="8">
        <f t="shared" ca="1" si="385"/>
        <v>7.0316495938297294E-2</v>
      </c>
      <c r="I370" s="8">
        <f t="shared" ca="1" si="385"/>
        <v>7.9229183321666841E-2</v>
      </c>
      <c r="J370" s="8">
        <f t="shared" ca="1" si="385"/>
        <v>7.2127320847803239E-2</v>
      </c>
      <c r="K370" s="8">
        <f t="shared" ca="1" si="385"/>
        <v>6.9089908025865926E-2</v>
      </c>
      <c r="L370" s="8">
        <f t="shared" ca="1" si="385"/>
        <v>7.8277947174372212E-2</v>
      </c>
      <c r="M370" s="8">
        <f t="shared" ca="1" si="385"/>
        <v>7.9552638945936935E-2</v>
      </c>
      <c r="N370" s="8">
        <f t="shared" ca="1" si="385"/>
        <v>7.1452593839977943E-2</v>
      </c>
      <c r="O370" s="8">
        <f t="shared" ca="1" si="385"/>
        <v>6.4892049437980631E-2</v>
      </c>
    </row>
    <row r="371" spans="2:15">
      <c r="B371" s="3">
        <v>350</v>
      </c>
      <c r="C371" s="8">
        <f t="shared" si="356"/>
        <v>0.05</v>
      </c>
      <c r="D371" s="8">
        <f t="shared" ref="D371:O371" ca="1" si="386">C371+k*(theta-C371)*dt+vol*SQRT(dt)*_xlfn.NORM.S.INV(RAND())</f>
        <v>5.182302633198433E-2</v>
      </c>
      <c r="E371" s="8">
        <f t="shared" ca="1" si="386"/>
        <v>5.088683827216383E-2</v>
      </c>
      <c r="F371" s="8">
        <f t="shared" ca="1" si="386"/>
        <v>4.39359685133862E-2</v>
      </c>
      <c r="G371" s="8">
        <f t="shared" ca="1" si="386"/>
        <v>4.5527854729691744E-2</v>
      </c>
      <c r="H371" s="8">
        <f t="shared" ca="1" si="386"/>
        <v>4.8784877105990693E-2</v>
      </c>
      <c r="I371" s="8">
        <f t="shared" ca="1" si="386"/>
        <v>5.5831002346078226E-2</v>
      </c>
      <c r="J371" s="8">
        <f t="shared" ca="1" si="386"/>
        <v>6.6480653564741921E-2</v>
      </c>
      <c r="K371" s="8">
        <f t="shared" ca="1" si="386"/>
        <v>6.6051257020741674E-2</v>
      </c>
      <c r="L371" s="8">
        <f t="shared" ca="1" si="386"/>
        <v>6.8387039772701649E-2</v>
      </c>
      <c r="M371" s="8">
        <f t="shared" ca="1" si="386"/>
        <v>7.2043153770420476E-2</v>
      </c>
      <c r="N371" s="8">
        <f t="shared" ca="1" si="386"/>
        <v>8.8378379018238404E-2</v>
      </c>
      <c r="O371" s="8">
        <f t="shared" ca="1" si="386"/>
        <v>9.7363012195059606E-2</v>
      </c>
    </row>
    <row r="372" spans="2:15">
      <c r="B372" s="3">
        <v>351</v>
      </c>
      <c r="C372" s="8">
        <f t="shared" si="356"/>
        <v>0.05</v>
      </c>
      <c r="D372" s="8">
        <f t="shared" ref="D372:O372" ca="1" si="387">C372+k*(theta-C372)*dt+vol*SQRT(dt)*_xlfn.NORM.S.INV(RAND())</f>
        <v>4.5346400759724868E-2</v>
      </c>
      <c r="E372" s="8">
        <f t="shared" ca="1" si="387"/>
        <v>4.4291035020663568E-2</v>
      </c>
      <c r="F372" s="8">
        <f t="shared" ca="1" si="387"/>
        <v>4.28785942709283E-2</v>
      </c>
      <c r="G372" s="8">
        <f t="shared" ca="1" si="387"/>
        <v>4.3786811791192551E-2</v>
      </c>
      <c r="H372" s="8">
        <f t="shared" ca="1" si="387"/>
        <v>5.2396920280377839E-2</v>
      </c>
      <c r="I372" s="8">
        <f t="shared" ca="1" si="387"/>
        <v>4.9836229289806383E-2</v>
      </c>
      <c r="J372" s="8">
        <f t="shared" ca="1" si="387"/>
        <v>4.9576468617332559E-2</v>
      </c>
      <c r="K372" s="8">
        <f t="shared" ca="1" si="387"/>
        <v>5.6229362889001086E-2</v>
      </c>
      <c r="L372" s="8">
        <f t="shared" ca="1" si="387"/>
        <v>4.8484465776871419E-2</v>
      </c>
      <c r="M372" s="8">
        <f t="shared" ca="1" si="387"/>
        <v>4.675850434646725E-2</v>
      </c>
      <c r="N372" s="8">
        <f t="shared" ca="1" si="387"/>
        <v>5.6938284767462329E-2</v>
      </c>
      <c r="O372" s="8">
        <f t="shared" ca="1" si="387"/>
        <v>6.084880049249889E-2</v>
      </c>
    </row>
    <row r="373" spans="2:15">
      <c r="B373" s="3">
        <v>352</v>
      </c>
      <c r="C373" s="8">
        <f t="shared" si="356"/>
        <v>0.05</v>
      </c>
      <c r="D373" s="8">
        <f t="shared" ref="D373:O373" ca="1" si="388">C373+k*(theta-C373)*dt+vol*SQRT(dt)*_xlfn.NORM.S.INV(RAND())</f>
        <v>5.4578647351007196E-2</v>
      </c>
      <c r="E373" s="8">
        <f t="shared" ca="1" si="388"/>
        <v>6.5448741519787537E-2</v>
      </c>
      <c r="F373" s="8">
        <f t="shared" ca="1" si="388"/>
        <v>6.8713228009609092E-2</v>
      </c>
      <c r="G373" s="8">
        <f t="shared" ca="1" si="388"/>
        <v>6.6290125263451849E-2</v>
      </c>
      <c r="H373" s="8">
        <f t="shared" ca="1" si="388"/>
        <v>7.1553310554886299E-2</v>
      </c>
      <c r="I373" s="8">
        <f t="shared" ca="1" si="388"/>
        <v>7.9732546151873182E-2</v>
      </c>
      <c r="J373" s="8">
        <f t="shared" ca="1" si="388"/>
        <v>6.828662663621099E-2</v>
      </c>
      <c r="K373" s="8">
        <f t="shared" ca="1" si="388"/>
        <v>6.6846873339705376E-2</v>
      </c>
      <c r="L373" s="8">
        <f t="shared" ca="1" si="388"/>
        <v>5.9657663746722843E-2</v>
      </c>
      <c r="M373" s="8">
        <f t="shared" ca="1" si="388"/>
        <v>6.1306470971311249E-2</v>
      </c>
      <c r="N373" s="8">
        <f t="shared" ca="1" si="388"/>
        <v>7.5382324817110422E-2</v>
      </c>
      <c r="O373" s="8">
        <f t="shared" ca="1" si="388"/>
        <v>6.9105445874880822E-2</v>
      </c>
    </row>
    <row r="374" spans="2:15">
      <c r="B374" s="3">
        <v>353</v>
      </c>
      <c r="C374" s="8">
        <f t="shared" si="356"/>
        <v>0.05</v>
      </c>
      <c r="D374" s="8">
        <f t="shared" ref="D374:O374" ca="1" si="389">C374+k*(theta-C374)*dt+vol*SQRT(dt)*_xlfn.NORM.S.INV(RAND())</f>
        <v>5.6639671534207944E-2</v>
      </c>
      <c r="E374" s="8">
        <f t="shared" ca="1" si="389"/>
        <v>5.627572195746261E-2</v>
      </c>
      <c r="F374" s="8">
        <f t="shared" ca="1" si="389"/>
        <v>5.7707471267734754E-2</v>
      </c>
      <c r="G374" s="8">
        <f t="shared" ca="1" si="389"/>
        <v>5.0401520411083228E-2</v>
      </c>
      <c r="H374" s="8">
        <f t="shared" ca="1" si="389"/>
        <v>5.2408001972315384E-2</v>
      </c>
      <c r="I374" s="8">
        <f t="shared" ca="1" si="389"/>
        <v>6.1658069791856326E-2</v>
      </c>
      <c r="J374" s="8">
        <f t="shared" ca="1" si="389"/>
        <v>6.605292840499695E-2</v>
      </c>
      <c r="K374" s="8">
        <f t="shared" ca="1" si="389"/>
        <v>6.5700798827396323E-2</v>
      </c>
      <c r="L374" s="8">
        <f t="shared" ca="1" si="389"/>
        <v>6.4959808777246747E-2</v>
      </c>
      <c r="M374" s="8">
        <f t="shared" ca="1" si="389"/>
        <v>6.2707399806764264E-2</v>
      </c>
      <c r="N374" s="8">
        <f t="shared" ca="1" si="389"/>
        <v>6.687334436094583E-2</v>
      </c>
      <c r="O374" s="8">
        <f t="shared" ca="1" si="389"/>
        <v>7.2632551189036235E-2</v>
      </c>
    </row>
    <row r="375" spans="2:15">
      <c r="B375" s="3">
        <v>354</v>
      </c>
      <c r="C375" s="8">
        <f t="shared" si="356"/>
        <v>0.05</v>
      </c>
      <c r="D375" s="8">
        <f t="shared" ref="D375:O375" ca="1" si="390">C375+k*(theta-C375)*dt+vol*SQRT(dt)*_xlfn.NORM.S.INV(RAND())</f>
        <v>4.9749993518878037E-2</v>
      </c>
      <c r="E375" s="8">
        <f t="shared" ca="1" si="390"/>
        <v>4.5403771084033727E-2</v>
      </c>
      <c r="F375" s="8">
        <f t="shared" ca="1" si="390"/>
        <v>4.2515545686292774E-2</v>
      </c>
      <c r="G375" s="8">
        <f t="shared" ca="1" si="390"/>
        <v>5.2258270205631195E-2</v>
      </c>
      <c r="H375" s="8">
        <f t="shared" ca="1" si="390"/>
        <v>4.6201193799978411E-2</v>
      </c>
      <c r="I375" s="8">
        <f t="shared" ca="1" si="390"/>
        <v>4.5979658717862248E-2</v>
      </c>
      <c r="J375" s="8">
        <f t="shared" ca="1" si="390"/>
        <v>4.6857667756944957E-2</v>
      </c>
      <c r="K375" s="8">
        <f t="shared" ca="1" si="390"/>
        <v>4.8913040845872904E-2</v>
      </c>
      <c r="L375" s="8">
        <f t="shared" ca="1" si="390"/>
        <v>4.3249935618424232E-2</v>
      </c>
      <c r="M375" s="8">
        <f t="shared" ca="1" si="390"/>
        <v>4.5807804856265455E-2</v>
      </c>
      <c r="N375" s="8">
        <f t="shared" ca="1" si="390"/>
        <v>5.0973665383673372E-2</v>
      </c>
      <c r="O375" s="8">
        <f t="shared" ca="1" si="390"/>
        <v>4.2497425723265099E-2</v>
      </c>
    </row>
    <row r="376" spans="2:15">
      <c r="B376" s="3">
        <v>355</v>
      </c>
      <c r="C376" s="8">
        <f t="shared" si="356"/>
        <v>0.05</v>
      </c>
      <c r="D376" s="8">
        <f t="shared" ref="D376:O376" ca="1" si="391">C376+k*(theta-C376)*dt+vol*SQRT(dt)*_xlfn.NORM.S.INV(RAND())</f>
        <v>4.6623200157876458E-2</v>
      </c>
      <c r="E376" s="8">
        <f t="shared" ca="1" si="391"/>
        <v>5.3050929638380914E-2</v>
      </c>
      <c r="F376" s="8">
        <f t="shared" ca="1" si="391"/>
        <v>5.6076679299405824E-2</v>
      </c>
      <c r="G376" s="8">
        <f t="shared" ca="1" si="391"/>
        <v>6.4519395172367613E-2</v>
      </c>
      <c r="H376" s="8">
        <f t="shared" ca="1" si="391"/>
        <v>7.0087851713567115E-2</v>
      </c>
      <c r="I376" s="8">
        <f t="shared" ca="1" si="391"/>
        <v>6.9765433106342173E-2</v>
      </c>
      <c r="J376" s="8">
        <f t="shared" ca="1" si="391"/>
        <v>6.0823398273855994E-2</v>
      </c>
      <c r="K376" s="8">
        <f t="shared" ca="1" si="391"/>
        <v>6.1804811422364464E-2</v>
      </c>
      <c r="L376" s="8">
        <f t="shared" ca="1" si="391"/>
        <v>6.5362811431268958E-2</v>
      </c>
      <c r="M376" s="8">
        <f t="shared" ca="1" si="391"/>
        <v>6.9418853945969902E-2</v>
      </c>
      <c r="N376" s="8">
        <f t="shared" ca="1" si="391"/>
        <v>6.8577832197556421E-2</v>
      </c>
      <c r="O376" s="8">
        <f t="shared" ca="1" si="391"/>
        <v>6.1398112201138159E-2</v>
      </c>
    </row>
    <row r="377" spans="2:15">
      <c r="B377" s="3">
        <v>356</v>
      </c>
      <c r="C377" s="8">
        <f t="shared" si="356"/>
        <v>0.05</v>
      </c>
      <c r="D377" s="8">
        <f t="shared" ref="D377:O377" ca="1" si="392">C377+k*(theta-C377)*dt+vol*SQRT(dt)*_xlfn.NORM.S.INV(RAND())</f>
        <v>5.1249447291630203E-2</v>
      </c>
      <c r="E377" s="8">
        <f t="shared" ca="1" si="392"/>
        <v>6.0499143153139243E-2</v>
      </c>
      <c r="F377" s="8">
        <f t="shared" ca="1" si="392"/>
        <v>4.5221634501683997E-2</v>
      </c>
      <c r="G377" s="8">
        <f t="shared" ca="1" si="392"/>
        <v>4.9572130042642562E-2</v>
      </c>
      <c r="H377" s="8">
        <f t="shared" ca="1" si="392"/>
        <v>5.8413440367538746E-2</v>
      </c>
      <c r="I377" s="8">
        <f t="shared" ca="1" si="392"/>
        <v>5.7068186800557932E-2</v>
      </c>
      <c r="J377" s="8">
        <f t="shared" ca="1" si="392"/>
        <v>5.1970830281101534E-2</v>
      </c>
      <c r="K377" s="8">
        <f t="shared" ca="1" si="392"/>
        <v>5.7848557826276542E-2</v>
      </c>
      <c r="L377" s="8">
        <f t="shared" ca="1" si="392"/>
        <v>5.9470323065793598E-2</v>
      </c>
      <c r="M377" s="8">
        <f t="shared" ca="1" si="392"/>
        <v>5.7592125712629623E-2</v>
      </c>
      <c r="N377" s="8">
        <f t="shared" ca="1" si="392"/>
        <v>5.9906724280230875E-2</v>
      </c>
      <c r="O377" s="8">
        <f t="shared" ca="1" si="392"/>
        <v>6.0744824562231001E-2</v>
      </c>
    </row>
    <row r="378" spans="2:15">
      <c r="B378" s="3">
        <v>357</v>
      </c>
      <c r="C378" s="8">
        <f t="shared" si="356"/>
        <v>0.05</v>
      </c>
      <c r="D378" s="8">
        <f t="shared" ref="D378:O378" ca="1" si="393">C378+k*(theta-C378)*dt+vol*SQRT(dt)*_xlfn.NORM.S.INV(RAND())</f>
        <v>5.2549648794149258E-2</v>
      </c>
      <c r="E378" s="8">
        <f t="shared" ca="1" si="393"/>
        <v>4.9744949411339952E-2</v>
      </c>
      <c r="F378" s="8">
        <f t="shared" ca="1" si="393"/>
        <v>5.5173666508790686E-2</v>
      </c>
      <c r="G378" s="8">
        <f t="shared" ca="1" si="393"/>
        <v>6.2409921683694525E-2</v>
      </c>
      <c r="H378" s="8">
        <f t="shared" ca="1" si="393"/>
        <v>5.8094990527397299E-2</v>
      </c>
      <c r="I378" s="8">
        <f t="shared" ca="1" si="393"/>
        <v>5.6799181936530801E-2</v>
      </c>
      <c r="J378" s="8">
        <f t="shared" ca="1" si="393"/>
        <v>5.7691288574452076E-2</v>
      </c>
      <c r="K378" s="8">
        <f t="shared" ca="1" si="393"/>
        <v>6.0354589893874412E-2</v>
      </c>
      <c r="L378" s="8">
        <f t="shared" ca="1" si="393"/>
        <v>6.413770878545666E-2</v>
      </c>
      <c r="M378" s="8">
        <f t="shared" ca="1" si="393"/>
        <v>6.6274888521460379E-2</v>
      </c>
      <c r="N378" s="8">
        <f t="shared" ca="1" si="393"/>
        <v>6.3774814203304581E-2</v>
      </c>
      <c r="O378" s="8">
        <f t="shared" ca="1" si="393"/>
        <v>6.3368393646622528E-2</v>
      </c>
    </row>
    <row r="379" spans="2:15">
      <c r="B379" s="3">
        <v>358</v>
      </c>
      <c r="C379" s="8">
        <f t="shared" si="356"/>
        <v>0.05</v>
      </c>
      <c r="D379" s="8">
        <f t="shared" ref="D379:O379" ca="1" si="394">C379+k*(theta-C379)*dt+vol*SQRT(dt)*_xlfn.NORM.S.INV(RAND())</f>
        <v>6.5863852147941396E-2</v>
      </c>
      <c r="E379" s="8">
        <f t="shared" ca="1" si="394"/>
        <v>6.1999351365595104E-2</v>
      </c>
      <c r="F379" s="8">
        <f t="shared" ca="1" si="394"/>
        <v>5.7338854200600857E-2</v>
      </c>
      <c r="G379" s="8">
        <f t="shared" ca="1" si="394"/>
        <v>6.369773545785265E-2</v>
      </c>
      <c r="H379" s="8">
        <f t="shared" ca="1" si="394"/>
        <v>5.2900935451693117E-2</v>
      </c>
      <c r="I379" s="8">
        <f t="shared" ca="1" si="394"/>
        <v>5.3954458471215064E-2</v>
      </c>
      <c r="J379" s="8">
        <f t="shared" ca="1" si="394"/>
        <v>5.2090146224554032E-2</v>
      </c>
      <c r="K379" s="8">
        <f t="shared" ca="1" si="394"/>
        <v>5.1125553923338798E-2</v>
      </c>
      <c r="L379" s="8">
        <f t="shared" ca="1" si="394"/>
        <v>6.0491091987023515E-2</v>
      </c>
      <c r="M379" s="8">
        <f t="shared" ca="1" si="394"/>
        <v>5.0397693419032802E-2</v>
      </c>
      <c r="N379" s="8">
        <f t="shared" ca="1" si="394"/>
        <v>5.1150775868436457E-2</v>
      </c>
      <c r="O379" s="8">
        <f t="shared" ca="1" si="394"/>
        <v>5.1977852971470007E-2</v>
      </c>
    </row>
    <row r="380" spans="2:15">
      <c r="B380" s="3">
        <v>359</v>
      </c>
      <c r="C380" s="8">
        <f t="shared" si="356"/>
        <v>0.05</v>
      </c>
      <c r="D380" s="8">
        <f t="shared" ref="D380:O380" ca="1" si="395">C380+k*(theta-C380)*dt+vol*SQRT(dt)*_xlfn.NORM.S.INV(RAND())</f>
        <v>4.6389942273250669E-2</v>
      </c>
      <c r="E380" s="8">
        <f t="shared" ca="1" si="395"/>
        <v>4.1973243190830449E-2</v>
      </c>
      <c r="F380" s="8">
        <f t="shared" ca="1" si="395"/>
        <v>4.9643106019007573E-2</v>
      </c>
      <c r="G380" s="8">
        <f t="shared" ca="1" si="395"/>
        <v>6.1994632766765104E-2</v>
      </c>
      <c r="H380" s="8">
        <f t="shared" ca="1" si="395"/>
        <v>7.4697366904117241E-2</v>
      </c>
      <c r="I380" s="8">
        <f t="shared" ca="1" si="395"/>
        <v>6.8787661934771288E-2</v>
      </c>
      <c r="J380" s="8">
        <f t="shared" ca="1" si="395"/>
        <v>7.607940150139815E-2</v>
      </c>
      <c r="K380" s="8">
        <f t="shared" ca="1" si="395"/>
        <v>7.152505680751868E-2</v>
      </c>
      <c r="L380" s="8">
        <f t="shared" ca="1" si="395"/>
        <v>7.6203445602054942E-2</v>
      </c>
      <c r="M380" s="8">
        <f t="shared" ca="1" si="395"/>
        <v>7.1047851666982992E-2</v>
      </c>
      <c r="N380" s="8">
        <f t="shared" ca="1" si="395"/>
        <v>7.1739301349358311E-2</v>
      </c>
      <c r="O380" s="8">
        <f t="shared" ca="1" si="395"/>
        <v>7.2848894267147482E-2</v>
      </c>
    </row>
    <row r="381" spans="2:15">
      <c r="B381" s="3">
        <v>360</v>
      </c>
      <c r="C381" s="8">
        <f t="shared" si="356"/>
        <v>0.05</v>
      </c>
      <c r="D381" s="8">
        <f t="shared" ref="D381:O381" ca="1" si="396">C381+k*(theta-C381)*dt+vol*SQRT(dt)*_xlfn.NORM.S.INV(RAND())</f>
        <v>5.4057026872913846E-2</v>
      </c>
      <c r="E381" s="8">
        <f t="shared" ca="1" si="396"/>
        <v>5.3944872538495135E-2</v>
      </c>
      <c r="F381" s="8">
        <f t="shared" ca="1" si="396"/>
        <v>5.5900390348393017E-2</v>
      </c>
      <c r="G381" s="8">
        <f t="shared" ca="1" si="396"/>
        <v>6.4115689635233217E-2</v>
      </c>
      <c r="H381" s="8">
        <f t="shared" ca="1" si="396"/>
        <v>5.5402420873989222E-2</v>
      </c>
      <c r="I381" s="8">
        <f t="shared" ca="1" si="396"/>
        <v>6.5507435832374838E-2</v>
      </c>
      <c r="J381" s="8">
        <f t="shared" ca="1" si="396"/>
        <v>7.2243455201771833E-2</v>
      </c>
      <c r="K381" s="8">
        <f t="shared" ca="1" si="396"/>
        <v>8.3500519319786137E-2</v>
      </c>
      <c r="L381" s="8">
        <f t="shared" ca="1" si="396"/>
        <v>8.183586186105489E-2</v>
      </c>
      <c r="M381" s="8">
        <f t="shared" ca="1" si="396"/>
        <v>8.15452720146458E-2</v>
      </c>
      <c r="N381" s="8">
        <f t="shared" ca="1" si="396"/>
        <v>9.2579346721204242E-2</v>
      </c>
      <c r="O381" s="8">
        <f t="shared" ca="1" si="396"/>
        <v>8.9871412516922045E-2</v>
      </c>
    </row>
    <row r="382" spans="2:15">
      <c r="B382" s="3">
        <v>361</v>
      </c>
      <c r="C382" s="8">
        <f t="shared" si="356"/>
        <v>0.05</v>
      </c>
      <c r="D382" s="8">
        <f t="shared" ref="D382:O382" ca="1" si="397">C382+k*(theta-C382)*dt+vol*SQRT(dt)*_xlfn.NORM.S.INV(RAND())</f>
        <v>5.6244975509322427E-2</v>
      </c>
      <c r="E382" s="8">
        <f t="shared" ca="1" si="397"/>
        <v>5.3189171016498345E-2</v>
      </c>
      <c r="F382" s="8">
        <f t="shared" ca="1" si="397"/>
        <v>4.53040376246754E-2</v>
      </c>
      <c r="G382" s="8">
        <f t="shared" ca="1" si="397"/>
        <v>3.8575185609119246E-2</v>
      </c>
      <c r="H382" s="8">
        <f t="shared" ca="1" si="397"/>
        <v>3.8889540605590321E-2</v>
      </c>
      <c r="I382" s="8">
        <f t="shared" ca="1" si="397"/>
        <v>4.8349012074352951E-2</v>
      </c>
      <c r="J382" s="8">
        <f t="shared" ca="1" si="397"/>
        <v>4.1111244598696105E-2</v>
      </c>
      <c r="K382" s="8">
        <f t="shared" ca="1" si="397"/>
        <v>3.9251396296011286E-2</v>
      </c>
      <c r="L382" s="8">
        <f t="shared" ca="1" si="397"/>
        <v>3.4974013155427683E-2</v>
      </c>
      <c r="M382" s="8">
        <f t="shared" ca="1" si="397"/>
        <v>4.423858535937851E-2</v>
      </c>
      <c r="N382" s="8">
        <f t="shared" ca="1" si="397"/>
        <v>5.0065467208423378E-2</v>
      </c>
      <c r="O382" s="8">
        <f t="shared" ca="1" si="397"/>
        <v>5.6719904121113086E-2</v>
      </c>
    </row>
    <row r="383" spans="2:15">
      <c r="B383" s="3">
        <v>362</v>
      </c>
      <c r="C383" s="8">
        <f t="shared" si="356"/>
        <v>0.05</v>
      </c>
      <c r="D383" s="8">
        <f t="shared" ref="D383:O383" ca="1" si="398">C383+k*(theta-C383)*dt+vol*SQRT(dt)*_xlfn.NORM.S.INV(RAND())</f>
        <v>5.1552585543895135E-2</v>
      </c>
      <c r="E383" s="8">
        <f t="shared" ca="1" si="398"/>
        <v>5.7951139577143623E-2</v>
      </c>
      <c r="F383" s="8">
        <f t="shared" ca="1" si="398"/>
        <v>6.2587504108311709E-2</v>
      </c>
      <c r="G383" s="8">
        <f t="shared" ca="1" si="398"/>
        <v>7.1187317454411883E-2</v>
      </c>
      <c r="H383" s="8">
        <f t="shared" ca="1" si="398"/>
        <v>7.1168151727533213E-2</v>
      </c>
      <c r="I383" s="8">
        <f t="shared" ca="1" si="398"/>
        <v>7.484084844491129E-2</v>
      </c>
      <c r="J383" s="8">
        <f t="shared" ca="1" si="398"/>
        <v>7.5127477413606647E-2</v>
      </c>
      <c r="K383" s="8">
        <f t="shared" ca="1" si="398"/>
        <v>7.5678303785120637E-2</v>
      </c>
      <c r="L383" s="8">
        <f t="shared" ca="1" si="398"/>
        <v>8.5903021049741832E-2</v>
      </c>
      <c r="M383" s="8">
        <f t="shared" ca="1" si="398"/>
        <v>9.7709855673995344E-2</v>
      </c>
      <c r="N383" s="8">
        <f t="shared" ca="1" si="398"/>
        <v>0.10213117199195174</v>
      </c>
      <c r="O383" s="8">
        <f t="shared" ca="1" si="398"/>
        <v>0.10300144271472876</v>
      </c>
    </row>
    <row r="384" spans="2:15">
      <c r="B384" s="3">
        <v>363</v>
      </c>
      <c r="C384" s="8">
        <f t="shared" si="356"/>
        <v>0.05</v>
      </c>
      <c r="D384" s="8">
        <f t="shared" ref="D384:O384" ca="1" si="399">C384+k*(theta-C384)*dt+vol*SQRT(dt)*_xlfn.NORM.S.INV(RAND())</f>
        <v>5.2841281591177722E-2</v>
      </c>
      <c r="E384" s="8">
        <f t="shared" ca="1" si="399"/>
        <v>4.3587998131115455E-2</v>
      </c>
      <c r="F384" s="8">
        <f t="shared" ca="1" si="399"/>
        <v>3.8896869379012933E-2</v>
      </c>
      <c r="G384" s="8">
        <f t="shared" ca="1" si="399"/>
        <v>3.8033406172475318E-2</v>
      </c>
      <c r="H384" s="8">
        <f t="shared" ca="1" si="399"/>
        <v>4.2469251880325354E-2</v>
      </c>
      <c r="I384" s="8">
        <f t="shared" ca="1" si="399"/>
        <v>4.6113877457406742E-2</v>
      </c>
      <c r="J384" s="8">
        <f t="shared" ca="1" si="399"/>
        <v>5.142706011233672E-2</v>
      </c>
      <c r="K384" s="8">
        <f t="shared" ca="1" si="399"/>
        <v>5.8721477315435269E-2</v>
      </c>
      <c r="L384" s="8">
        <f t="shared" ca="1" si="399"/>
        <v>6.4390935136246566E-2</v>
      </c>
      <c r="M384" s="8">
        <f t="shared" ca="1" si="399"/>
        <v>7.5463204052872129E-2</v>
      </c>
      <c r="N384" s="8">
        <f t="shared" ca="1" si="399"/>
        <v>8.1612020755553016E-2</v>
      </c>
      <c r="O384" s="8">
        <f t="shared" ca="1" si="399"/>
        <v>7.3618561683645695E-2</v>
      </c>
    </row>
    <row r="385" spans="2:15">
      <c r="B385" s="3">
        <v>364</v>
      </c>
      <c r="C385" s="8">
        <f t="shared" si="356"/>
        <v>0.05</v>
      </c>
      <c r="D385" s="8">
        <f t="shared" ref="D385:O385" ca="1" si="400">C385+k*(theta-C385)*dt+vol*SQRT(dt)*_xlfn.NORM.S.INV(RAND())</f>
        <v>4.2790405872407275E-2</v>
      </c>
      <c r="E385" s="8">
        <f t="shared" ca="1" si="400"/>
        <v>4.455547374824282E-2</v>
      </c>
      <c r="F385" s="8">
        <f t="shared" ca="1" si="400"/>
        <v>4.9569089370263296E-2</v>
      </c>
      <c r="G385" s="8">
        <f t="shared" ca="1" si="400"/>
        <v>4.3832928258578929E-2</v>
      </c>
      <c r="H385" s="8">
        <f t="shared" ca="1" si="400"/>
        <v>4.2884774769436348E-2</v>
      </c>
      <c r="I385" s="8">
        <f t="shared" ca="1" si="400"/>
        <v>4.8843417410192443E-2</v>
      </c>
      <c r="J385" s="8">
        <f t="shared" ca="1" si="400"/>
        <v>4.8414379119736055E-2</v>
      </c>
      <c r="K385" s="8">
        <f t="shared" ca="1" si="400"/>
        <v>4.3535539864195484E-2</v>
      </c>
      <c r="L385" s="8">
        <f t="shared" ca="1" si="400"/>
        <v>3.9803545633860418E-2</v>
      </c>
      <c r="M385" s="8">
        <f t="shared" ca="1" si="400"/>
        <v>3.9796139492894005E-2</v>
      </c>
      <c r="N385" s="8">
        <f t="shared" ca="1" si="400"/>
        <v>4.7947670413860027E-2</v>
      </c>
      <c r="O385" s="8">
        <f t="shared" ca="1" si="400"/>
        <v>4.6640010800187814E-2</v>
      </c>
    </row>
    <row r="386" spans="2:15">
      <c r="B386" s="3">
        <v>365</v>
      </c>
      <c r="C386" s="8">
        <f t="shared" si="356"/>
        <v>0.05</v>
      </c>
      <c r="D386" s="8">
        <f t="shared" ref="D386:O386" ca="1" si="401">C386+k*(theta-C386)*dt+vol*SQRT(dt)*_xlfn.NORM.S.INV(RAND())</f>
        <v>5.4870242408859161E-2</v>
      </c>
      <c r="E386" s="8">
        <f t="shared" ca="1" si="401"/>
        <v>4.8009034448781289E-2</v>
      </c>
      <c r="F386" s="8">
        <f t="shared" ca="1" si="401"/>
        <v>4.7156047663575368E-2</v>
      </c>
      <c r="G386" s="8">
        <f t="shared" ca="1" si="401"/>
        <v>5.0666546643664212E-2</v>
      </c>
      <c r="H386" s="8">
        <f t="shared" ca="1" si="401"/>
        <v>5.9153160931753775E-2</v>
      </c>
      <c r="I386" s="8">
        <f t="shared" ca="1" si="401"/>
        <v>5.7540811533539182E-2</v>
      </c>
      <c r="J386" s="8">
        <f t="shared" ca="1" si="401"/>
        <v>5.7132789826828241E-2</v>
      </c>
      <c r="K386" s="8">
        <f t="shared" ca="1" si="401"/>
        <v>6.1335461085721965E-2</v>
      </c>
      <c r="L386" s="8">
        <f t="shared" ca="1" si="401"/>
        <v>6.5375888891202841E-2</v>
      </c>
      <c r="M386" s="8">
        <f t="shared" ca="1" si="401"/>
        <v>5.9256407610161717E-2</v>
      </c>
      <c r="N386" s="8">
        <f t="shared" ca="1" si="401"/>
        <v>6.1070163118810541E-2</v>
      </c>
      <c r="O386" s="8">
        <f t="shared" ca="1" si="401"/>
        <v>6.2778145452029546E-2</v>
      </c>
    </row>
    <row r="387" spans="2:15">
      <c r="B387" s="3">
        <v>366</v>
      </c>
      <c r="C387" s="8">
        <f t="shared" si="356"/>
        <v>0.05</v>
      </c>
      <c r="D387" s="8">
        <f t="shared" ref="D387:O387" ca="1" si="402">C387+k*(theta-C387)*dt+vol*SQRT(dt)*_xlfn.NORM.S.INV(RAND())</f>
        <v>5.1972650433876472E-2</v>
      </c>
      <c r="E387" s="8">
        <f t="shared" ca="1" si="402"/>
        <v>6.1475050985440094E-2</v>
      </c>
      <c r="F387" s="8">
        <f t="shared" ca="1" si="402"/>
        <v>7.0208259277179177E-2</v>
      </c>
      <c r="G387" s="8">
        <f t="shared" ca="1" si="402"/>
        <v>6.9888326751773006E-2</v>
      </c>
      <c r="H387" s="8">
        <f t="shared" ca="1" si="402"/>
        <v>7.1819972355548295E-2</v>
      </c>
      <c r="I387" s="8">
        <f t="shared" ca="1" si="402"/>
        <v>6.5950001555759696E-2</v>
      </c>
      <c r="J387" s="8">
        <f t="shared" ca="1" si="402"/>
        <v>6.9463641098944387E-2</v>
      </c>
      <c r="K387" s="8">
        <f t="shared" ca="1" si="402"/>
        <v>8.1601940412524401E-2</v>
      </c>
      <c r="L387" s="8">
        <f t="shared" ca="1" si="402"/>
        <v>9.5072009942295949E-2</v>
      </c>
      <c r="M387" s="8">
        <f t="shared" ca="1" si="402"/>
        <v>9.3944060894804213E-2</v>
      </c>
      <c r="N387" s="8">
        <f t="shared" ca="1" si="402"/>
        <v>9.9086072513521681E-2</v>
      </c>
      <c r="O387" s="8">
        <f t="shared" ca="1" si="402"/>
        <v>9.461209484298061E-2</v>
      </c>
    </row>
    <row r="388" spans="2:15">
      <c r="B388" s="3">
        <v>367</v>
      </c>
      <c r="C388" s="8">
        <f t="shared" si="356"/>
        <v>0.05</v>
      </c>
      <c r="D388" s="8">
        <f t="shared" ref="D388:O388" ca="1" si="403">C388+k*(theta-C388)*dt+vol*SQRT(dt)*_xlfn.NORM.S.INV(RAND())</f>
        <v>5.5469696446184755E-2</v>
      </c>
      <c r="E388" s="8">
        <f t="shared" ca="1" si="403"/>
        <v>5.4266799420031986E-2</v>
      </c>
      <c r="F388" s="8">
        <f t="shared" ca="1" si="403"/>
        <v>5.614013668720931E-2</v>
      </c>
      <c r="G388" s="8">
        <f t="shared" ca="1" si="403"/>
        <v>6.1010761851610334E-2</v>
      </c>
      <c r="H388" s="8">
        <f t="shared" ca="1" si="403"/>
        <v>6.1508192361389262E-2</v>
      </c>
      <c r="I388" s="8">
        <f t="shared" ca="1" si="403"/>
        <v>6.0628673116889915E-2</v>
      </c>
      <c r="J388" s="8">
        <f t="shared" ca="1" si="403"/>
        <v>5.548440298077869E-2</v>
      </c>
      <c r="K388" s="8">
        <f t="shared" ca="1" si="403"/>
        <v>6.9394781299666156E-2</v>
      </c>
      <c r="L388" s="8">
        <f t="shared" ca="1" si="403"/>
        <v>6.173950829829946E-2</v>
      </c>
      <c r="M388" s="8">
        <f t="shared" ca="1" si="403"/>
        <v>6.0549435674787162E-2</v>
      </c>
      <c r="N388" s="8">
        <f t="shared" ca="1" si="403"/>
        <v>5.8292933496734423E-2</v>
      </c>
      <c r="O388" s="8">
        <f t="shared" ca="1" si="403"/>
        <v>5.6666227418497556E-2</v>
      </c>
    </row>
    <row r="389" spans="2:15">
      <c r="B389" s="3">
        <v>368</v>
      </c>
      <c r="C389" s="8">
        <f t="shared" si="356"/>
        <v>0.05</v>
      </c>
      <c r="D389" s="8">
        <f t="shared" ref="D389:O389" ca="1" si="404">C389+k*(theta-C389)*dt+vol*SQRT(dt)*_xlfn.NORM.S.INV(RAND())</f>
        <v>5.1896124327303769E-2</v>
      </c>
      <c r="E389" s="8">
        <f t="shared" ca="1" si="404"/>
        <v>4.5884200383119002E-2</v>
      </c>
      <c r="F389" s="8">
        <f t="shared" ca="1" si="404"/>
        <v>4.7300705484211995E-2</v>
      </c>
      <c r="G389" s="8">
        <f t="shared" ca="1" si="404"/>
        <v>4.4111526299111012E-2</v>
      </c>
      <c r="H389" s="8">
        <f t="shared" ca="1" si="404"/>
        <v>4.226174167912785E-2</v>
      </c>
      <c r="I389" s="8">
        <f t="shared" ca="1" si="404"/>
        <v>5.4425880115137687E-2</v>
      </c>
      <c r="J389" s="8">
        <f t="shared" ca="1" si="404"/>
        <v>5.6515472302861525E-2</v>
      </c>
      <c r="K389" s="8">
        <f t="shared" ca="1" si="404"/>
        <v>5.7909045152908643E-2</v>
      </c>
      <c r="L389" s="8">
        <f t="shared" ca="1" si="404"/>
        <v>6.0600744237960066E-2</v>
      </c>
      <c r="M389" s="8">
        <f t="shared" ca="1" si="404"/>
        <v>6.1473060805363917E-2</v>
      </c>
      <c r="N389" s="8">
        <f t="shared" ca="1" si="404"/>
        <v>6.3282813374292118E-2</v>
      </c>
      <c r="O389" s="8">
        <f t="shared" ca="1" si="404"/>
        <v>5.9887281359063967E-2</v>
      </c>
    </row>
    <row r="390" spans="2:15">
      <c r="B390" s="3">
        <v>369</v>
      </c>
      <c r="C390" s="8">
        <f t="shared" si="356"/>
        <v>0.05</v>
      </c>
      <c r="D390" s="8">
        <f t="shared" ref="D390:O390" ca="1" si="405">C390+k*(theta-C390)*dt+vol*SQRT(dt)*_xlfn.NORM.S.INV(RAND())</f>
        <v>4.5404499107910473E-2</v>
      </c>
      <c r="E390" s="8">
        <f t="shared" ca="1" si="405"/>
        <v>5.3830234830088919E-2</v>
      </c>
      <c r="F390" s="8">
        <f t="shared" ca="1" si="405"/>
        <v>5.1478917697040702E-2</v>
      </c>
      <c r="G390" s="8">
        <f t="shared" ca="1" si="405"/>
        <v>6.1019031852648391E-2</v>
      </c>
      <c r="H390" s="8">
        <f t="shared" ca="1" si="405"/>
        <v>6.6636036911754459E-2</v>
      </c>
      <c r="I390" s="8">
        <f t="shared" ca="1" si="405"/>
        <v>6.0769440328166363E-2</v>
      </c>
      <c r="J390" s="8">
        <f t="shared" ca="1" si="405"/>
        <v>6.2065303763437309E-2</v>
      </c>
      <c r="K390" s="8">
        <f t="shared" ca="1" si="405"/>
        <v>6.033273650261764E-2</v>
      </c>
      <c r="L390" s="8">
        <f t="shared" ca="1" si="405"/>
        <v>5.8268426568839224E-2</v>
      </c>
      <c r="M390" s="8">
        <f t="shared" ca="1" si="405"/>
        <v>5.8873973995265116E-2</v>
      </c>
      <c r="N390" s="8">
        <f t="shared" ca="1" si="405"/>
        <v>5.866883846812615E-2</v>
      </c>
      <c r="O390" s="8">
        <f t="shared" ca="1" si="405"/>
        <v>5.6333890364157729E-2</v>
      </c>
    </row>
    <row r="391" spans="2:15">
      <c r="B391" s="3">
        <v>370</v>
      </c>
      <c r="C391" s="8">
        <f t="shared" si="356"/>
        <v>0.05</v>
      </c>
      <c r="D391" s="8">
        <f t="shared" ref="D391:O391" ca="1" si="406">C391+k*(theta-C391)*dt+vol*SQRT(dt)*_xlfn.NORM.S.INV(RAND())</f>
        <v>5.0301112923007991E-2</v>
      </c>
      <c r="E391" s="8">
        <f t="shared" ca="1" si="406"/>
        <v>4.0067821319295704E-2</v>
      </c>
      <c r="F391" s="8">
        <f t="shared" ca="1" si="406"/>
        <v>4.0226181821607497E-2</v>
      </c>
      <c r="G391" s="8">
        <f t="shared" ca="1" si="406"/>
        <v>3.1976509917444045E-2</v>
      </c>
      <c r="H391" s="8">
        <f t="shared" ca="1" si="406"/>
        <v>2.6461201336590728E-2</v>
      </c>
      <c r="I391" s="8">
        <f t="shared" ca="1" si="406"/>
        <v>2.9222388404738842E-2</v>
      </c>
      <c r="J391" s="8">
        <f t="shared" ca="1" si="406"/>
        <v>4.0101876017424321E-2</v>
      </c>
      <c r="K391" s="8">
        <f t="shared" ca="1" si="406"/>
        <v>3.9853893609579596E-2</v>
      </c>
      <c r="L391" s="8">
        <f t="shared" ca="1" si="406"/>
        <v>3.6835515697084896E-2</v>
      </c>
      <c r="M391" s="8">
        <f t="shared" ca="1" si="406"/>
        <v>3.6055081502934176E-2</v>
      </c>
      <c r="N391" s="8">
        <f t="shared" ca="1" si="406"/>
        <v>3.8701928945624471E-2</v>
      </c>
      <c r="O391" s="8">
        <f t="shared" ca="1" si="406"/>
        <v>4.9829766352484664E-2</v>
      </c>
    </row>
    <row r="392" spans="2:15">
      <c r="B392" s="3">
        <v>371</v>
      </c>
      <c r="C392" s="8">
        <f t="shared" si="356"/>
        <v>0.05</v>
      </c>
      <c r="D392" s="8">
        <f t="shared" ref="D392:O392" ca="1" si="407">C392+k*(theta-C392)*dt+vol*SQRT(dt)*_xlfn.NORM.S.INV(RAND())</f>
        <v>4.9700457762183445E-2</v>
      </c>
      <c r="E392" s="8">
        <f t="shared" ca="1" si="407"/>
        <v>5.6141279483916895E-2</v>
      </c>
      <c r="F392" s="8">
        <f t="shared" ca="1" si="407"/>
        <v>5.6825126016268435E-2</v>
      </c>
      <c r="G392" s="8">
        <f t="shared" ca="1" si="407"/>
        <v>5.2494121430419038E-2</v>
      </c>
      <c r="H392" s="8">
        <f t="shared" ca="1" si="407"/>
        <v>4.6754795137900665E-2</v>
      </c>
      <c r="I392" s="8">
        <f t="shared" ca="1" si="407"/>
        <v>4.8751694311090422E-2</v>
      </c>
      <c r="J392" s="8">
        <f t="shared" ca="1" si="407"/>
        <v>5.0285819422163716E-2</v>
      </c>
      <c r="K392" s="8">
        <f t="shared" ca="1" si="407"/>
        <v>4.9099649316223536E-2</v>
      </c>
      <c r="L392" s="8">
        <f t="shared" ca="1" si="407"/>
        <v>5.1673182721931422E-2</v>
      </c>
      <c r="M392" s="8">
        <f t="shared" ca="1" si="407"/>
        <v>5.4063913747975235E-2</v>
      </c>
      <c r="N392" s="8">
        <f t="shared" ca="1" si="407"/>
        <v>4.8215834599057594E-2</v>
      </c>
      <c r="O392" s="8">
        <f t="shared" ca="1" si="407"/>
        <v>5.9471668653430933E-2</v>
      </c>
    </row>
    <row r="393" spans="2:15">
      <c r="B393" s="3">
        <v>372</v>
      </c>
      <c r="C393" s="8">
        <f t="shared" si="356"/>
        <v>0.05</v>
      </c>
      <c r="D393" s="8">
        <f t="shared" ref="D393:O393" ca="1" si="408">C393+k*(theta-C393)*dt+vol*SQRT(dt)*_xlfn.NORM.S.INV(RAND())</f>
        <v>5.2565165104294882E-2</v>
      </c>
      <c r="E393" s="8">
        <f t="shared" ca="1" si="408"/>
        <v>5.3023420131408039E-2</v>
      </c>
      <c r="F393" s="8">
        <f t="shared" ca="1" si="408"/>
        <v>5.5424823967922823E-2</v>
      </c>
      <c r="G393" s="8">
        <f t="shared" ca="1" si="408"/>
        <v>5.9131833509157287E-2</v>
      </c>
      <c r="H393" s="8">
        <f t="shared" ca="1" si="408"/>
        <v>7.1518275836512074E-2</v>
      </c>
      <c r="I393" s="8">
        <f t="shared" ca="1" si="408"/>
        <v>7.2417251902913246E-2</v>
      </c>
      <c r="J393" s="8">
        <f t="shared" ca="1" si="408"/>
        <v>6.5277600101476388E-2</v>
      </c>
      <c r="K393" s="8">
        <f t="shared" ca="1" si="408"/>
        <v>6.4467111635357649E-2</v>
      </c>
      <c r="L393" s="8">
        <f t="shared" ca="1" si="408"/>
        <v>6.4720602595700547E-2</v>
      </c>
      <c r="M393" s="8">
        <f t="shared" ca="1" si="408"/>
        <v>6.7745468213948765E-2</v>
      </c>
      <c r="N393" s="8">
        <f t="shared" ca="1" si="408"/>
        <v>6.1700650277786921E-2</v>
      </c>
      <c r="O393" s="8">
        <f t="shared" ca="1" si="408"/>
        <v>6.1578443277459607E-2</v>
      </c>
    </row>
    <row r="394" spans="2:15">
      <c r="B394" s="3">
        <v>373</v>
      </c>
      <c r="C394" s="8">
        <f t="shared" si="356"/>
        <v>0.05</v>
      </c>
      <c r="D394" s="8">
        <f t="shared" ref="D394:O394" ca="1" si="409">C394+k*(theta-C394)*dt+vol*SQRT(dt)*_xlfn.NORM.S.INV(RAND())</f>
        <v>5.2856035240240531E-2</v>
      </c>
      <c r="E394" s="8">
        <f t="shared" ca="1" si="409"/>
        <v>4.6301709728353631E-2</v>
      </c>
      <c r="F394" s="8">
        <f t="shared" ca="1" si="409"/>
        <v>4.6513186158401117E-2</v>
      </c>
      <c r="G394" s="8">
        <f t="shared" ca="1" si="409"/>
        <v>4.8486988485870797E-2</v>
      </c>
      <c r="H394" s="8">
        <f t="shared" ca="1" si="409"/>
        <v>5.7588653433308379E-2</v>
      </c>
      <c r="I394" s="8">
        <f t="shared" ca="1" si="409"/>
        <v>6.0250685297806063E-2</v>
      </c>
      <c r="J394" s="8">
        <f t="shared" ca="1" si="409"/>
        <v>5.4831854486071696E-2</v>
      </c>
      <c r="K394" s="8">
        <f t="shared" ca="1" si="409"/>
        <v>5.8690589023089164E-2</v>
      </c>
      <c r="L394" s="8">
        <f t="shared" ca="1" si="409"/>
        <v>6.52892856816773E-2</v>
      </c>
      <c r="M394" s="8">
        <f t="shared" ca="1" si="409"/>
        <v>5.7516104414148644E-2</v>
      </c>
      <c r="N394" s="8">
        <f t="shared" ca="1" si="409"/>
        <v>5.4070996715699413E-2</v>
      </c>
      <c r="O394" s="8">
        <f t="shared" ca="1" si="409"/>
        <v>4.7202859460633441E-2</v>
      </c>
    </row>
    <row r="395" spans="2:15">
      <c r="B395" s="3">
        <v>374</v>
      </c>
      <c r="C395" s="8">
        <f t="shared" si="356"/>
        <v>0.05</v>
      </c>
      <c r="D395" s="8">
        <f t="shared" ref="D395:O395" ca="1" si="410">C395+k*(theta-C395)*dt+vol*SQRT(dt)*_xlfn.NORM.S.INV(RAND())</f>
        <v>5.1643600904535306E-2</v>
      </c>
      <c r="E395" s="8">
        <f t="shared" ca="1" si="410"/>
        <v>3.1746441593801369E-2</v>
      </c>
      <c r="F395" s="8">
        <f t="shared" ca="1" si="410"/>
        <v>4.4618830599715067E-2</v>
      </c>
      <c r="G395" s="8">
        <f t="shared" ca="1" si="410"/>
        <v>3.718991313635997E-2</v>
      </c>
      <c r="H395" s="8">
        <f t="shared" ca="1" si="410"/>
        <v>4.6159133193842475E-2</v>
      </c>
      <c r="I395" s="8">
        <f t="shared" ca="1" si="410"/>
        <v>4.5583520281419723E-2</v>
      </c>
      <c r="J395" s="8">
        <f t="shared" ca="1" si="410"/>
        <v>3.5918264370975755E-2</v>
      </c>
      <c r="K395" s="8">
        <f t="shared" ca="1" si="410"/>
        <v>3.4991697382131301E-2</v>
      </c>
      <c r="L395" s="8">
        <f t="shared" ca="1" si="410"/>
        <v>4.3909697327471825E-2</v>
      </c>
      <c r="M395" s="8">
        <f t="shared" ca="1" si="410"/>
        <v>5.2896599528370253E-2</v>
      </c>
      <c r="N395" s="8">
        <f t="shared" ca="1" si="410"/>
        <v>5.2244866317009198E-2</v>
      </c>
      <c r="O395" s="8">
        <f t="shared" ca="1" si="410"/>
        <v>4.743901911489843E-2</v>
      </c>
    </row>
    <row r="396" spans="2:15">
      <c r="B396" s="3">
        <v>375</v>
      </c>
      <c r="C396" s="8">
        <f t="shared" si="356"/>
        <v>0.05</v>
      </c>
      <c r="D396" s="8">
        <f t="shared" ref="D396:O396" ca="1" si="411">C396+k*(theta-C396)*dt+vol*SQRT(dt)*_xlfn.NORM.S.INV(RAND())</f>
        <v>6.368718246723816E-2</v>
      </c>
      <c r="E396" s="8">
        <f t="shared" ca="1" si="411"/>
        <v>6.7765719064549493E-2</v>
      </c>
      <c r="F396" s="8">
        <f t="shared" ca="1" si="411"/>
        <v>6.780231457844349E-2</v>
      </c>
      <c r="G396" s="8">
        <f t="shared" ca="1" si="411"/>
        <v>7.915059603801107E-2</v>
      </c>
      <c r="H396" s="8">
        <f t="shared" ca="1" si="411"/>
        <v>8.0844557527576008E-2</v>
      </c>
      <c r="I396" s="8">
        <f t="shared" ca="1" si="411"/>
        <v>8.5178011430299974E-2</v>
      </c>
      <c r="J396" s="8">
        <f t="shared" ca="1" si="411"/>
        <v>8.8428180870709805E-2</v>
      </c>
      <c r="K396" s="8">
        <f t="shared" ca="1" si="411"/>
        <v>9.0987261009834869E-2</v>
      </c>
      <c r="L396" s="8">
        <f t="shared" ca="1" si="411"/>
        <v>8.9370605148221649E-2</v>
      </c>
      <c r="M396" s="8">
        <f t="shared" ca="1" si="411"/>
        <v>8.2313830757153456E-2</v>
      </c>
      <c r="N396" s="8">
        <f t="shared" ca="1" si="411"/>
        <v>7.609550406849433E-2</v>
      </c>
      <c r="O396" s="8">
        <f t="shared" ca="1" si="411"/>
        <v>8.5142105544171134E-2</v>
      </c>
    </row>
    <row r="397" spans="2:15">
      <c r="B397" s="3">
        <v>376</v>
      </c>
      <c r="C397" s="8">
        <f t="shared" si="356"/>
        <v>0.05</v>
      </c>
      <c r="D397" s="8">
        <f t="shared" ref="D397:O397" ca="1" si="412">C397+k*(theta-C397)*dt+vol*SQRT(dt)*_xlfn.NORM.S.INV(RAND())</f>
        <v>5.8126868606704046E-2</v>
      </c>
      <c r="E397" s="8">
        <f t="shared" ca="1" si="412"/>
        <v>6.0429949354251132E-2</v>
      </c>
      <c r="F397" s="8">
        <f t="shared" ca="1" si="412"/>
        <v>5.6390004945295891E-2</v>
      </c>
      <c r="G397" s="8">
        <f t="shared" ca="1" si="412"/>
        <v>5.971509810088297E-2</v>
      </c>
      <c r="H397" s="8">
        <f t="shared" ca="1" si="412"/>
        <v>6.1555395374082167E-2</v>
      </c>
      <c r="I397" s="8">
        <f t="shared" ca="1" si="412"/>
        <v>5.4490312301396497E-2</v>
      </c>
      <c r="J397" s="8">
        <f t="shared" ca="1" si="412"/>
        <v>5.9042584189029801E-2</v>
      </c>
      <c r="K397" s="8">
        <f t="shared" ca="1" si="412"/>
        <v>6.1333462074052748E-2</v>
      </c>
      <c r="L397" s="8">
        <f t="shared" ca="1" si="412"/>
        <v>6.3456162284958012E-2</v>
      </c>
      <c r="M397" s="8">
        <f t="shared" ca="1" si="412"/>
        <v>6.9826525137080098E-2</v>
      </c>
      <c r="N397" s="8">
        <f t="shared" ca="1" si="412"/>
        <v>7.449556776452898E-2</v>
      </c>
      <c r="O397" s="8">
        <f t="shared" ca="1" si="412"/>
        <v>7.4084454819904874E-2</v>
      </c>
    </row>
    <row r="398" spans="2:15">
      <c r="B398" s="3">
        <v>377</v>
      </c>
      <c r="C398" s="8">
        <f t="shared" si="356"/>
        <v>0.05</v>
      </c>
      <c r="D398" s="8">
        <f t="shared" ref="D398:O398" ca="1" si="413">C398+k*(theta-C398)*dt+vol*SQRT(dt)*_xlfn.NORM.S.INV(RAND())</f>
        <v>5.1701885993586105E-2</v>
      </c>
      <c r="E398" s="8">
        <f t="shared" ca="1" si="413"/>
        <v>4.352002798045268E-2</v>
      </c>
      <c r="F398" s="8">
        <f t="shared" ca="1" si="413"/>
        <v>4.4425736055578625E-2</v>
      </c>
      <c r="G398" s="8">
        <f t="shared" ca="1" si="413"/>
        <v>4.1027828272922805E-2</v>
      </c>
      <c r="H398" s="8">
        <f t="shared" ca="1" si="413"/>
        <v>4.6493998857208091E-2</v>
      </c>
      <c r="I398" s="8">
        <f t="shared" ca="1" si="413"/>
        <v>5.135161629615044E-2</v>
      </c>
      <c r="J398" s="8">
        <f t="shared" ca="1" si="413"/>
        <v>5.5272895852988939E-2</v>
      </c>
      <c r="K398" s="8">
        <f t="shared" ca="1" si="413"/>
        <v>5.1176595311379525E-2</v>
      </c>
      <c r="L398" s="8">
        <f t="shared" ca="1" si="413"/>
        <v>5.91848686964025E-2</v>
      </c>
      <c r="M398" s="8">
        <f t="shared" ca="1" si="413"/>
        <v>6.3138593488913097E-2</v>
      </c>
      <c r="N398" s="8">
        <f t="shared" ca="1" si="413"/>
        <v>6.4200018482772112E-2</v>
      </c>
      <c r="O398" s="8">
        <f t="shared" ca="1" si="413"/>
        <v>6.3020658562960186E-2</v>
      </c>
    </row>
    <row r="399" spans="2:15">
      <c r="B399" s="3">
        <v>378</v>
      </c>
      <c r="C399" s="8">
        <f t="shared" si="356"/>
        <v>0.05</v>
      </c>
      <c r="D399" s="8">
        <f t="shared" ref="D399:O399" ca="1" si="414">C399+k*(theta-C399)*dt+vol*SQRT(dt)*_xlfn.NORM.S.INV(RAND())</f>
        <v>4.7297269480851126E-2</v>
      </c>
      <c r="E399" s="8">
        <f t="shared" ca="1" si="414"/>
        <v>4.3065374973641699E-2</v>
      </c>
      <c r="F399" s="8">
        <f t="shared" ca="1" si="414"/>
        <v>3.9596330391595866E-2</v>
      </c>
      <c r="G399" s="8">
        <f t="shared" ca="1" si="414"/>
        <v>4.5378233077390744E-2</v>
      </c>
      <c r="H399" s="8">
        <f t="shared" ca="1" si="414"/>
        <v>5.3468813570091089E-2</v>
      </c>
      <c r="I399" s="8">
        <f t="shared" ca="1" si="414"/>
        <v>5.4907885571736745E-2</v>
      </c>
      <c r="J399" s="8">
        <f t="shared" ca="1" si="414"/>
        <v>5.7328594567335932E-2</v>
      </c>
      <c r="K399" s="8">
        <f t="shared" ca="1" si="414"/>
        <v>4.67171635212131E-2</v>
      </c>
      <c r="L399" s="8">
        <f t="shared" ca="1" si="414"/>
        <v>4.8680635666701416E-2</v>
      </c>
      <c r="M399" s="8">
        <f t="shared" ca="1" si="414"/>
        <v>5.9244870094890927E-2</v>
      </c>
      <c r="N399" s="8">
        <f t="shared" ca="1" si="414"/>
        <v>6.1279016178911384E-2</v>
      </c>
      <c r="O399" s="8">
        <f t="shared" ca="1" si="414"/>
        <v>6.1421480345009286E-2</v>
      </c>
    </row>
    <row r="400" spans="2:15">
      <c r="B400" s="3">
        <v>379</v>
      </c>
      <c r="C400" s="8">
        <f t="shared" si="356"/>
        <v>0.05</v>
      </c>
      <c r="D400" s="8">
        <f t="shared" ref="D400:O400" ca="1" si="415">C400+k*(theta-C400)*dt+vol*SQRT(dt)*_xlfn.NORM.S.INV(RAND())</f>
        <v>3.7528876873966395E-2</v>
      </c>
      <c r="E400" s="8">
        <f t="shared" ca="1" si="415"/>
        <v>3.2940704583125618E-2</v>
      </c>
      <c r="F400" s="8">
        <f t="shared" ca="1" si="415"/>
        <v>3.1748311994321272E-2</v>
      </c>
      <c r="G400" s="8">
        <f t="shared" ca="1" si="415"/>
        <v>3.6026265872874025E-2</v>
      </c>
      <c r="H400" s="8">
        <f t="shared" ca="1" si="415"/>
        <v>3.5943350632170877E-2</v>
      </c>
      <c r="I400" s="8">
        <f t="shared" ca="1" si="415"/>
        <v>3.0421925533064484E-2</v>
      </c>
      <c r="J400" s="8">
        <f t="shared" ca="1" si="415"/>
        <v>2.3757313092058391E-2</v>
      </c>
      <c r="K400" s="8">
        <f t="shared" ca="1" si="415"/>
        <v>1.8341871105453846E-2</v>
      </c>
      <c r="L400" s="8">
        <f t="shared" ca="1" si="415"/>
        <v>1.6887542593272447E-2</v>
      </c>
      <c r="M400" s="8">
        <f t="shared" ca="1" si="415"/>
        <v>1.9933646622793733E-2</v>
      </c>
      <c r="N400" s="8">
        <f t="shared" ca="1" si="415"/>
        <v>3.1517234966630558E-2</v>
      </c>
      <c r="O400" s="8">
        <f t="shared" ca="1" si="415"/>
        <v>3.7244763050842636E-2</v>
      </c>
    </row>
    <row r="401" spans="2:15">
      <c r="B401" s="3">
        <v>380</v>
      </c>
      <c r="C401" s="8">
        <f t="shared" si="356"/>
        <v>0.05</v>
      </c>
      <c r="D401" s="8">
        <f t="shared" ref="D401:O401" ca="1" si="416">C401+k*(theta-C401)*dt+vol*SQRT(dt)*_xlfn.NORM.S.INV(RAND())</f>
        <v>5.2451747348056584E-2</v>
      </c>
      <c r="E401" s="8">
        <f t="shared" ca="1" si="416"/>
        <v>5.2967346382647149E-2</v>
      </c>
      <c r="F401" s="8">
        <f t="shared" ca="1" si="416"/>
        <v>6.0401752014802898E-2</v>
      </c>
      <c r="G401" s="8">
        <f t="shared" ca="1" si="416"/>
        <v>5.1722031050283571E-2</v>
      </c>
      <c r="H401" s="8">
        <f t="shared" ca="1" si="416"/>
        <v>6.3897852837737135E-2</v>
      </c>
      <c r="I401" s="8">
        <f t="shared" ca="1" si="416"/>
        <v>6.6576656918426791E-2</v>
      </c>
      <c r="J401" s="8">
        <f t="shared" ca="1" si="416"/>
        <v>6.6149528508853805E-2</v>
      </c>
      <c r="K401" s="8">
        <f t="shared" ca="1" si="416"/>
        <v>6.8752189301144961E-2</v>
      </c>
      <c r="L401" s="8">
        <f t="shared" ca="1" si="416"/>
        <v>5.9015490245307507E-2</v>
      </c>
      <c r="M401" s="8">
        <f t="shared" ca="1" si="416"/>
        <v>5.1115333011059839E-2</v>
      </c>
      <c r="N401" s="8">
        <f t="shared" ca="1" si="416"/>
        <v>5.0781804810890008E-2</v>
      </c>
      <c r="O401" s="8">
        <f t="shared" ca="1" si="416"/>
        <v>4.3563185523639268E-2</v>
      </c>
    </row>
    <row r="402" spans="2:15">
      <c r="B402" s="3">
        <v>381</v>
      </c>
      <c r="C402" s="8">
        <f t="shared" si="356"/>
        <v>0.05</v>
      </c>
      <c r="D402" s="8">
        <f t="shared" ref="D402:O402" ca="1" si="417">C402+k*(theta-C402)*dt+vol*SQRT(dt)*_xlfn.NORM.S.INV(RAND())</f>
        <v>4.6850347526852042E-2</v>
      </c>
      <c r="E402" s="8">
        <f t="shared" ca="1" si="417"/>
        <v>4.9553338438472615E-2</v>
      </c>
      <c r="F402" s="8">
        <f t="shared" ca="1" si="417"/>
        <v>4.8408078639094167E-2</v>
      </c>
      <c r="G402" s="8">
        <f t="shared" ca="1" si="417"/>
        <v>5.4803082965616895E-2</v>
      </c>
      <c r="H402" s="8">
        <f t="shared" ca="1" si="417"/>
        <v>5.1593992830156421E-2</v>
      </c>
      <c r="I402" s="8">
        <f t="shared" ca="1" si="417"/>
        <v>4.9027372676578522E-2</v>
      </c>
      <c r="J402" s="8">
        <f t="shared" ca="1" si="417"/>
        <v>5.0760209311849873E-2</v>
      </c>
      <c r="K402" s="8">
        <f t="shared" ca="1" si="417"/>
        <v>5.5996446967878061E-2</v>
      </c>
      <c r="L402" s="8">
        <f t="shared" ca="1" si="417"/>
        <v>5.7248442076097771E-2</v>
      </c>
      <c r="M402" s="8">
        <f t="shared" ca="1" si="417"/>
        <v>6.3530937367823503E-2</v>
      </c>
      <c r="N402" s="8">
        <f t="shared" ca="1" si="417"/>
        <v>7.2318986271642641E-2</v>
      </c>
      <c r="O402" s="8">
        <f t="shared" ca="1" si="417"/>
        <v>5.9455764806719873E-2</v>
      </c>
    </row>
    <row r="403" spans="2:15">
      <c r="B403" s="3">
        <v>382</v>
      </c>
      <c r="C403" s="8">
        <f t="shared" si="356"/>
        <v>0.05</v>
      </c>
      <c r="D403" s="8">
        <f t="shared" ref="D403:O403" ca="1" si="418">C403+k*(theta-C403)*dt+vol*SQRT(dt)*_xlfn.NORM.S.INV(RAND())</f>
        <v>5.0137762087367886E-2</v>
      </c>
      <c r="E403" s="8">
        <f t="shared" ca="1" si="418"/>
        <v>5.155222736538155E-2</v>
      </c>
      <c r="F403" s="8">
        <f t="shared" ca="1" si="418"/>
        <v>5.6623152181279328E-2</v>
      </c>
      <c r="G403" s="8">
        <f t="shared" ca="1" si="418"/>
        <v>5.3911857564376942E-2</v>
      </c>
      <c r="H403" s="8">
        <f t="shared" ca="1" si="418"/>
        <v>5.5953487162784976E-2</v>
      </c>
      <c r="I403" s="8">
        <f t="shared" ca="1" si="418"/>
        <v>5.3722895170045158E-2</v>
      </c>
      <c r="J403" s="8">
        <f t="shared" ca="1" si="418"/>
        <v>5.5084471488565677E-2</v>
      </c>
      <c r="K403" s="8">
        <f t="shared" ca="1" si="418"/>
        <v>5.8638803623784562E-2</v>
      </c>
      <c r="L403" s="8">
        <f t="shared" ca="1" si="418"/>
        <v>5.1618023081262024E-2</v>
      </c>
      <c r="M403" s="8">
        <f t="shared" ca="1" si="418"/>
        <v>4.4288986103865863E-2</v>
      </c>
      <c r="N403" s="8">
        <f t="shared" ca="1" si="418"/>
        <v>5.2315267669516718E-2</v>
      </c>
      <c r="O403" s="8">
        <f t="shared" ca="1" si="418"/>
        <v>5.2762701021211535E-2</v>
      </c>
    </row>
    <row r="404" spans="2:15">
      <c r="B404" s="3">
        <v>383</v>
      </c>
      <c r="C404" s="8">
        <f t="shared" si="356"/>
        <v>0.05</v>
      </c>
      <c r="D404" s="8">
        <f t="shared" ref="D404:O404" ca="1" si="419">C404+k*(theta-C404)*dt+vol*SQRT(dt)*_xlfn.NORM.S.INV(RAND())</f>
        <v>5.0025792420789923E-2</v>
      </c>
      <c r="E404" s="8">
        <f t="shared" ca="1" si="419"/>
        <v>4.639997955510311E-2</v>
      </c>
      <c r="F404" s="8">
        <f t="shared" ca="1" si="419"/>
        <v>3.9604857647514147E-2</v>
      </c>
      <c r="G404" s="8">
        <f t="shared" ca="1" si="419"/>
        <v>4.6132534360848042E-2</v>
      </c>
      <c r="H404" s="8">
        <f t="shared" ca="1" si="419"/>
        <v>4.2211366300351411E-2</v>
      </c>
      <c r="I404" s="8">
        <f t="shared" ca="1" si="419"/>
        <v>5.10197190880455E-2</v>
      </c>
      <c r="J404" s="8">
        <f t="shared" ca="1" si="419"/>
        <v>4.3517249093938934E-2</v>
      </c>
      <c r="K404" s="8">
        <f t="shared" ca="1" si="419"/>
        <v>4.5182621316912717E-2</v>
      </c>
      <c r="L404" s="8">
        <f t="shared" ca="1" si="419"/>
        <v>4.4519308632285516E-2</v>
      </c>
      <c r="M404" s="8">
        <f t="shared" ca="1" si="419"/>
        <v>4.5230392235190167E-2</v>
      </c>
      <c r="N404" s="8">
        <f t="shared" ca="1" si="419"/>
        <v>5.1540198139386692E-2</v>
      </c>
      <c r="O404" s="8">
        <f t="shared" ca="1" si="419"/>
        <v>5.5598489159822108E-2</v>
      </c>
    </row>
    <row r="405" spans="2:15">
      <c r="B405" s="3">
        <v>384</v>
      </c>
      <c r="C405" s="8">
        <f t="shared" si="356"/>
        <v>0.05</v>
      </c>
      <c r="D405" s="8">
        <f t="shared" ref="D405:O405" ca="1" si="420">C405+k*(theta-C405)*dt+vol*SQRT(dt)*_xlfn.NORM.S.INV(RAND())</f>
        <v>5.1606862989286566E-2</v>
      </c>
      <c r="E405" s="8">
        <f t="shared" ca="1" si="420"/>
        <v>4.8148924255566175E-2</v>
      </c>
      <c r="F405" s="8">
        <f t="shared" ca="1" si="420"/>
        <v>4.5327427310206996E-2</v>
      </c>
      <c r="G405" s="8">
        <f t="shared" ca="1" si="420"/>
        <v>3.8600484682525936E-2</v>
      </c>
      <c r="H405" s="8">
        <f t="shared" ca="1" si="420"/>
        <v>4.0163530080517464E-2</v>
      </c>
      <c r="I405" s="8">
        <f t="shared" ca="1" si="420"/>
        <v>3.7608395224310587E-2</v>
      </c>
      <c r="J405" s="8">
        <f t="shared" ca="1" si="420"/>
        <v>2.7199598987428006E-2</v>
      </c>
      <c r="K405" s="8">
        <f t="shared" ca="1" si="420"/>
        <v>2.6155102701233304E-2</v>
      </c>
      <c r="L405" s="8">
        <f t="shared" ca="1" si="420"/>
        <v>2.715637674052742E-2</v>
      </c>
      <c r="M405" s="8">
        <f t="shared" ca="1" si="420"/>
        <v>3.4500362397149868E-2</v>
      </c>
      <c r="N405" s="8">
        <f t="shared" ca="1" si="420"/>
        <v>3.0872969137512682E-2</v>
      </c>
      <c r="O405" s="8">
        <f t="shared" ca="1" si="420"/>
        <v>4.0131105929365349E-2</v>
      </c>
    </row>
    <row r="406" spans="2:15">
      <c r="B406" s="3">
        <v>385</v>
      </c>
      <c r="C406" s="8">
        <f t="shared" ref="C406:C469" si="421">r0</f>
        <v>0.05</v>
      </c>
      <c r="D406" s="8">
        <f t="shared" ref="D406:O406" ca="1" si="422">C406+k*(theta-C406)*dt+vol*SQRT(dt)*_xlfn.NORM.S.INV(RAND())</f>
        <v>6.1104125607223538E-2</v>
      </c>
      <c r="E406" s="8">
        <f t="shared" ca="1" si="422"/>
        <v>6.2658172932304051E-2</v>
      </c>
      <c r="F406" s="8">
        <f t="shared" ca="1" si="422"/>
        <v>5.9519170115266612E-2</v>
      </c>
      <c r="G406" s="8">
        <f t="shared" ca="1" si="422"/>
        <v>6.4222722679264918E-2</v>
      </c>
      <c r="H406" s="8">
        <f t="shared" ca="1" si="422"/>
        <v>5.7186210868383214E-2</v>
      </c>
      <c r="I406" s="8">
        <f t="shared" ca="1" si="422"/>
        <v>5.5968443096082988E-2</v>
      </c>
      <c r="J406" s="8">
        <f t="shared" ca="1" si="422"/>
        <v>6.0275879844700841E-2</v>
      </c>
      <c r="K406" s="8">
        <f t="shared" ca="1" si="422"/>
        <v>6.1255142623554838E-2</v>
      </c>
      <c r="L406" s="8">
        <f t="shared" ca="1" si="422"/>
        <v>5.418398823163887E-2</v>
      </c>
      <c r="M406" s="8">
        <f t="shared" ca="1" si="422"/>
        <v>5.828214662240995E-2</v>
      </c>
      <c r="N406" s="8">
        <f t="shared" ca="1" si="422"/>
        <v>5.9420183350481118E-2</v>
      </c>
      <c r="O406" s="8">
        <f t="shared" ca="1" si="422"/>
        <v>4.9606045285331933E-2</v>
      </c>
    </row>
    <row r="407" spans="2:15">
      <c r="B407" s="3">
        <v>386</v>
      </c>
      <c r="C407" s="8">
        <f t="shared" si="421"/>
        <v>0.05</v>
      </c>
      <c r="D407" s="8">
        <f t="shared" ref="D407:O407" ca="1" si="423">C407+k*(theta-C407)*dt+vol*SQRT(dt)*_xlfn.NORM.S.INV(RAND())</f>
        <v>5.7591927759052142E-2</v>
      </c>
      <c r="E407" s="8">
        <f t="shared" ca="1" si="423"/>
        <v>5.9305671688326615E-2</v>
      </c>
      <c r="F407" s="8">
        <f t="shared" ca="1" si="423"/>
        <v>6.4125426612901631E-2</v>
      </c>
      <c r="G407" s="8">
        <f t="shared" ca="1" si="423"/>
        <v>6.501155608850534E-2</v>
      </c>
      <c r="H407" s="8">
        <f t="shared" ca="1" si="423"/>
        <v>5.7218495267724524E-2</v>
      </c>
      <c r="I407" s="8">
        <f t="shared" ca="1" si="423"/>
        <v>4.5989559986189858E-2</v>
      </c>
      <c r="J407" s="8">
        <f t="shared" ca="1" si="423"/>
        <v>5.1097425798905458E-2</v>
      </c>
      <c r="K407" s="8">
        <f t="shared" ca="1" si="423"/>
        <v>5.2447072938717108E-2</v>
      </c>
      <c r="L407" s="8">
        <f t="shared" ca="1" si="423"/>
        <v>4.8508926361209855E-2</v>
      </c>
      <c r="M407" s="8">
        <f t="shared" ca="1" si="423"/>
        <v>3.9630558194248669E-2</v>
      </c>
      <c r="N407" s="8">
        <f t="shared" ca="1" si="423"/>
        <v>4.0404272209873533E-2</v>
      </c>
      <c r="O407" s="8">
        <f t="shared" ca="1" si="423"/>
        <v>4.4783079276659823E-2</v>
      </c>
    </row>
    <row r="408" spans="2:15">
      <c r="B408" s="3">
        <v>387</v>
      </c>
      <c r="C408" s="8">
        <f t="shared" si="421"/>
        <v>0.05</v>
      </c>
      <c r="D408" s="8">
        <f t="shared" ref="D408:O408" ca="1" si="424">C408+k*(theta-C408)*dt+vol*SQRT(dt)*_xlfn.NORM.S.INV(RAND())</f>
        <v>5.5064740389745681E-2</v>
      </c>
      <c r="E408" s="8">
        <f t="shared" ca="1" si="424"/>
        <v>5.7223476457428743E-2</v>
      </c>
      <c r="F408" s="8">
        <f t="shared" ca="1" si="424"/>
        <v>6.5300081519411454E-2</v>
      </c>
      <c r="G408" s="8">
        <f t="shared" ca="1" si="424"/>
        <v>6.2747303169568308E-2</v>
      </c>
      <c r="H408" s="8">
        <f t="shared" ca="1" si="424"/>
        <v>7.0529859297174924E-2</v>
      </c>
      <c r="I408" s="8">
        <f t="shared" ca="1" si="424"/>
        <v>7.9888566627457996E-2</v>
      </c>
      <c r="J408" s="8">
        <f t="shared" ca="1" si="424"/>
        <v>7.5110120460429558E-2</v>
      </c>
      <c r="K408" s="8">
        <f t="shared" ca="1" si="424"/>
        <v>7.6554608608501856E-2</v>
      </c>
      <c r="L408" s="8">
        <f t="shared" ca="1" si="424"/>
        <v>7.699370166310493E-2</v>
      </c>
      <c r="M408" s="8">
        <f t="shared" ca="1" si="424"/>
        <v>6.0634806169944599E-2</v>
      </c>
      <c r="N408" s="8">
        <f t="shared" ca="1" si="424"/>
        <v>5.5048455553050393E-2</v>
      </c>
      <c r="O408" s="8">
        <f t="shared" ca="1" si="424"/>
        <v>6.6076445684534343E-2</v>
      </c>
    </row>
    <row r="409" spans="2:15">
      <c r="B409" s="3">
        <v>388</v>
      </c>
      <c r="C409" s="8">
        <f t="shared" si="421"/>
        <v>0.05</v>
      </c>
      <c r="D409" s="8">
        <f t="shared" ref="D409:O409" ca="1" si="425">C409+k*(theta-C409)*dt+vol*SQRT(dt)*_xlfn.NORM.S.INV(RAND())</f>
        <v>5.2927073179265122E-2</v>
      </c>
      <c r="E409" s="8">
        <f t="shared" ca="1" si="425"/>
        <v>5.8226119873782081E-2</v>
      </c>
      <c r="F409" s="8">
        <f t="shared" ca="1" si="425"/>
        <v>5.2687620869858079E-2</v>
      </c>
      <c r="G409" s="8">
        <f t="shared" ca="1" si="425"/>
        <v>5.5945201452921867E-2</v>
      </c>
      <c r="H409" s="8">
        <f t="shared" ca="1" si="425"/>
        <v>5.2139015104553543E-2</v>
      </c>
      <c r="I409" s="8">
        <f t="shared" ca="1" si="425"/>
        <v>4.430772067378258E-2</v>
      </c>
      <c r="J409" s="8">
        <f t="shared" ca="1" si="425"/>
        <v>4.4784182910639299E-2</v>
      </c>
      <c r="K409" s="8">
        <f t="shared" ca="1" si="425"/>
        <v>4.6271252488135226E-2</v>
      </c>
      <c r="L409" s="8">
        <f t="shared" ca="1" si="425"/>
        <v>5.3510858201901046E-2</v>
      </c>
      <c r="M409" s="8">
        <f t="shared" ca="1" si="425"/>
        <v>4.7534981680313129E-2</v>
      </c>
      <c r="N409" s="8">
        <f t="shared" ca="1" si="425"/>
        <v>4.4747739006517254E-2</v>
      </c>
      <c r="O409" s="8">
        <f t="shared" ca="1" si="425"/>
        <v>3.9369388919433181E-2</v>
      </c>
    </row>
    <row r="410" spans="2:15">
      <c r="B410" s="3">
        <v>389</v>
      </c>
      <c r="C410" s="8">
        <f t="shared" si="421"/>
        <v>0.05</v>
      </c>
      <c r="D410" s="8">
        <f t="shared" ref="D410:O410" ca="1" si="426">C410+k*(theta-C410)*dt+vol*SQRT(dt)*_xlfn.NORM.S.INV(RAND())</f>
        <v>5.6710585010058184E-2</v>
      </c>
      <c r="E410" s="8">
        <f t="shared" ca="1" si="426"/>
        <v>5.9610119844244039E-2</v>
      </c>
      <c r="F410" s="8">
        <f t="shared" ca="1" si="426"/>
        <v>6.2365978130089345E-2</v>
      </c>
      <c r="G410" s="8">
        <f t="shared" ca="1" si="426"/>
        <v>7.1669693020292927E-2</v>
      </c>
      <c r="H410" s="8">
        <f t="shared" ca="1" si="426"/>
        <v>6.9901588025925512E-2</v>
      </c>
      <c r="I410" s="8">
        <f t="shared" ca="1" si="426"/>
        <v>6.5474427011108283E-2</v>
      </c>
      <c r="J410" s="8">
        <f t="shared" ca="1" si="426"/>
        <v>6.2251973132008358E-2</v>
      </c>
      <c r="K410" s="8">
        <f t="shared" ca="1" si="426"/>
        <v>6.218747354993602E-2</v>
      </c>
      <c r="L410" s="8">
        <f t="shared" ca="1" si="426"/>
        <v>6.2197386638718488E-2</v>
      </c>
      <c r="M410" s="8">
        <f t="shared" ca="1" si="426"/>
        <v>6.1268115149390526E-2</v>
      </c>
      <c r="N410" s="8">
        <f t="shared" ca="1" si="426"/>
        <v>6.0272754570702948E-2</v>
      </c>
      <c r="O410" s="8">
        <f t="shared" ca="1" si="426"/>
        <v>6.8302994005608797E-2</v>
      </c>
    </row>
    <row r="411" spans="2:15">
      <c r="B411" s="3">
        <v>390</v>
      </c>
      <c r="C411" s="8">
        <f t="shared" si="421"/>
        <v>0.05</v>
      </c>
      <c r="D411" s="8">
        <f t="shared" ref="D411:O411" ca="1" si="427">C411+k*(theta-C411)*dt+vol*SQRT(dt)*_xlfn.NORM.S.INV(RAND())</f>
        <v>5.7857044317798215E-2</v>
      </c>
      <c r="E411" s="8">
        <f t="shared" ca="1" si="427"/>
        <v>6.1285048616924735E-2</v>
      </c>
      <c r="F411" s="8">
        <f t="shared" ca="1" si="427"/>
        <v>5.3113901229985654E-2</v>
      </c>
      <c r="G411" s="8">
        <f t="shared" ca="1" si="427"/>
        <v>5.5050685710161175E-2</v>
      </c>
      <c r="H411" s="8">
        <f t="shared" ca="1" si="427"/>
        <v>6.5268042577077801E-2</v>
      </c>
      <c r="I411" s="8">
        <f t="shared" ca="1" si="427"/>
        <v>5.7161608487278873E-2</v>
      </c>
      <c r="J411" s="8">
        <f t="shared" ca="1" si="427"/>
        <v>5.4727735877459903E-2</v>
      </c>
      <c r="K411" s="8">
        <f t="shared" ca="1" si="427"/>
        <v>5.1123864934076599E-2</v>
      </c>
      <c r="L411" s="8">
        <f t="shared" ca="1" si="427"/>
        <v>4.7867468076518878E-2</v>
      </c>
      <c r="M411" s="8">
        <f t="shared" ca="1" si="427"/>
        <v>5.2313603191348243E-2</v>
      </c>
      <c r="N411" s="8">
        <f t="shared" ca="1" si="427"/>
        <v>4.6751732106199012E-2</v>
      </c>
      <c r="O411" s="8">
        <f t="shared" ca="1" si="427"/>
        <v>4.1846363249953167E-2</v>
      </c>
    </row>
    <row r="412" spans="2:15">
      <c r="B412" s="3">
        <v>391</v>
      </c>
      <c r="C412" s="8">
        <f t="shared" si="421"/>
        <v>0.05</v>
      </c>
      <c r="D412" s="8">
        <f t="shared" ref="D412:O412" ca="1" si="428">C412+k*(theta-C412)*dt+vol*SQRT(dt)*_xlfn.NORM.S.INV(RAND())</f>
        <v>5.2604315828338577E-2</v>
      </c>
      <c r="E412" s="8">
        <f t="shared" ca="1" si="428"/>
        <v>4.5950270226094804E-2</v>
      </c>
      <c r="F412" s="8">
        <f t="shared" ca="1" si="428"/>
        <v>5.1656895202443112E-2</v>
      </c>
      <c r="G412" s="8">
        <f t="shared" ca="1" si="428"/>
        <v>5.5580198138877296E-2</v>
      </c>
      <c r="H412" s="8">
        <f t="shared" ca="1" si="428"/>
        <v>5.9173262982431724E-2</v>
      </c>
      <c r="I412" s="8">
        <f t="shared" ca="1" si="428"/>
        <v>6.539400310598735E-2</v>
      </c>
      <c r="J412" s="8">
        <f t="shared" ca="1" si="428"/>
        <v>5.975250363606642E-2</v>
      </c>
      <c r="K412" s="8">
        <f t="shared" ca="1" si="428"/>
        <v>5.3338676782024849E-2</v>
      </c>
      <c r="L412" s="8">
        <f t="shared" ca="1" si="428"/>
        <v>6.2285137973044497E-2</v>
      </c>
      <c r="M412" s="8">
        <f t="shared" ca="1" si="428"/>
        <v>6.4144798706356615E-2</v>
      </c>
      <c r="N412" s="8">
        <f t="shared" ca="1" si="428"/>
        <v>5.5308295074294994E-2</v>
      </c>
      <c r="O412" s="8">
        <f t="shared" ca="1" si="428"/>
        <v>5.8081113965164792E-2</v>
      </c>
    </row>
    <row r="413" spans="2:15">
      <c r="B413" s="3">
        <v>392</v>
      </c>
      <c r="C413" s="8">
        <f t="shared" si="421"/>
        <v>0.05</v>
      </c>
      <c r="D413" s="8">
        <f t="shared" ref="D413:O413" ca="1" si="429">C413+k*(theta-C413)*dt+vol*SQRT(dt)*_xlfn.NORM.S.INV(RAND())</f>
        <v>4.3762175335874828E-2</v>
      </c>
      <c r="E413" s="8">
        <f t="shared" ca="1" si="429"/>
        <v>4.1265781426139278E-2</v>
      </c>
      <c r="F413" s="8">
        <f t="shared" ca="1" si="429"/>
        <v>2.9694711060738864E-2</v>
      </c>
      <c r="G413" s="8">
        <f t="shared" ca="1" si="429"/>
        <v>4.2153037906251925E-2</v>
      </c>
      <c r="H413" s="8">
        <f t="shared" ca="1" si="429"/>
        <v>4.4446890981423223E-2</v>
      </c>
      <c r="I413" s="8">
        <f t="shared" ca="1" si="429"/>
        <v>3.6208348485127044E-2</v>
      </c>
      <c r="J413" s="8">
        <f t="shared" ca="1" si="429"/>
        <v>3.4025385758090797E-2</v>
      </c>
      <c r="K413" s="8">
        <f t="shared" ca="1" si="429"/>
        <v>3.6750718585138911E-2</v>
      </c>
      <c r="L413" s="8">
        <f t="shared" ca="1" si="429"/>
        <v>4.4766781277904295E-2</v>
      </c>
      <c r="M413" s="8">
        <f t="shared" ca="1" si="429"/>
        <v>4.9942285391855273E-2</v>
      </c>
      <c r="N413" s="8">
        <f t="shared" ca="1" si="429"/>
        <v>4.6493430345297196E-2</v>
      </c>
      <c r="O413" s="8">
        <f t="shared" ca="1" si="429"/>
        <v>4.9814143831215935E-2</v>
      </c>
    </row>
    <row r="414" spans="2:15">
      <c r="B414" s="3">
        <v>393</v>
      </c>
      <c r="C414" s="8">
        <f t="shared" si="421"/>
        <v>0.05</v>
      </c>
      <c r="D414" s="8">
        <f t="shared" ref="D414:O414" ca="1" si="430">C414+k*(theta-C414)*dt+vol*SQRT(dt)*_xlfn.NORM.S.INV(RAND())</f>
        <v>4.66135267765787E-2</v>
      </c>
      <c r="E414" s="8">
        <f t="shared" ca="1" si="430"/>
        <v>5.5008491068281221E-2</v>
      </c>
      <c r="F414" s="8">
        <f t="shared" ca="1" si="430"/>
        <v>4.9745986583482879E-2</v>
      </c>
      <c r="G414" s="8">
        <f t="shared" ca="1" si="430"/>
        <v>5.1282342043777171E-2</v>
      </c>
      <c r="H414" s="8">
        <f t="shared" ca="1" si="430"/>
        <v>5.6228305076102152E-2</v>
      </c>
      <c r="I414" s="8">
        <f t="shared" ca="1" si="430"/>
        <v>5.5054614623231191E-2</v>
      </c>
      <c r="J414" s="8">
        <f t="shared" ca="1" si="430"/>
        <v>5.0204166940901615E-2</v>
      </c>
      <c r="K414" s="8">
        <f t="shared" ca="1" si="430"/>
        <v>5.2363880271374064E-2</v>
      </c>
      <c r="L414" s="8">
        <f t="shared" ca="1" si="430"/>
        <v>4.5921206851527133E-2</v>
      </c>
      <c r="M414" s="8">
        <f t="shared" ca="1" si="430"/>
        <v>4.6179379831399407E-2</v>
      </c>
      <c r="N414" s="8">
        <f t="shared" ca="1" si="430"/>
        <v>4.738740729972659E-2</v>
      </c>
      <c r="O414" s="8">
        <f t="shared" ca="1" si="430"/>
        <v>4.6619242711169108E-2</v>
      </c>
    </row>
    <row r="415" spans="2:15">
      <c r="B415" s="3">
        <v>394</v>
      </c>
      <c r="C415" s="8">
        <f t="shared" si="421"/>
        <v>0.05</v>
      </c>
      <c r="D415" s="8">
        <f t="shared" ref="D415:O415" ca="1" si="431">C415+k*(theta-C415)*dt+vol*SQRT(dt)*_xlfn.NORM.S.INV(RAND())</f>
        <v>4.0105186600487751E-2</v>
      </c>
      <c r="E415" s="8">
        <f t="shared" ca="1" si="431"/>
        <v>4.0237004501280878E-2</v>
      </c>
      <c r="F415" s="8">
        <f t="shared" ca="1" si="431"/>
        <v>3.6240103069144845E-2</v>
      </c>
      <c r="G415" s="8">
        <f t="shared" ca="1" si="431"/>
        <v>3.6323883618126322E-2</v>
      </c>
      <c r="H415" s="8">
        <f t="shared" ca="1" si="431"/>
        <v>3.5738720471840499E-2</v>
      </c>
      <c r="I415" s="8">
        <f t="shared" ca="1" si="431"/>
        <v>3.7248600746081176E-2</v>
      </c>
      <c r="J415" s="8">
        <f t="shared" ca="1" si="431"/>
        <v>4.0330481525875483E-2</v>
      </c>
      <c r="K415" s="8">
        <f t="shared" ca="1" si="431"/>
        <v>3.7042942244118165E-2</v>
      </c>
      <c r="L415" s="8">
        <f t="shared" ca="1" si="431"/>
        <v>4.0447014340848034E-2</v>
      </c>
      <c r="M415" s="8">
        <f t="shared" ca="1" si="431"/>
        <v>3.9186032331744475E-2</v>
      </c>
      <c r="N415" s="8">
        <f t="shared" ca="1" si="431"/>
        <v>3.1936459304013842E-2</v>
      </c>
      <c r="O415" s="8">
        <f t="shared" ca="1" si="431"/>
        <v>3.6300973810081849E-2</v>
      </c>
    </row>
    <row r="416" spans="2:15">
      <c r="B416" s="3">
        <v>395</v>
      </c>
      <c r="C416" s="8">
        <f t="shared" si="421"/>
        <v>0.05</v>
      </c>
      <c r="D416" s="8">
        <f t="shared" ref="D416:O416" ca="1" si="432">C416+k*(theta-C416)*dt+vol*SQRT(dt)*_xlfn.NORM.S.INV(RAND())</f>
        <v>4.9445914801773475E-2</v>
      </c>
      <c r="E416" s="8">
        <f t="shared" ca="1" si="432"/>
        <v>5.697420540346599E-2</v>
      </c>
      <c r="F416" s="8">
        <f t="shared" ca="1" si="432"/>
        <v>5.1325040771119282E-2</v>
      </c>
      <c r="G416" s="8">
        <f t="shared" ca="1" si="432"/>
        <v>5.7838911363297045E-2</v>
      </c>
      <c r="H416" s="8">
        <f t="shared" ca="1" si="432"/>
        <v>5.3545204980151334E-2</v>
      </c>
      <c r="I416" s="8">
        <f t="shared" ca="1" si="432"/>
        <v>4.9402486287236612E-2</v>
      </c>
      <c r="J416" s="8">
        <f t="shared" ca="1" si="432"/>
        <v>4.2095271106100139E-2</v>
      </c>
      <c r="K416" s="8">
        <f t="shared" ca="1" si="432"/>
        <v>5.2010438014208508E-2</v>
      </c>
      <c r="L416" s="8">
        <f t="shared" ca="1" si="432"/>
        <v>5.5055915966774664E-2</v>
      </c>
      <c r="M416" s="8">
        <f t="shared" ca="1" si="432"/>
        <v>5.9361100081136382E-2</v>
      </c>
      <c r="N416" s="8">
        <f t="shared" ca="1" si="432"/>
        <v>5.5829408680893394E-2</v>
      </c>
      <c r="O416" s="8">
        <f t="shared" ca="1" si="432"/>
        <v>4.9028479455725575E-2</v>
      </c>
    </row>
    <row r="417" spans="2:15">
      <c r="B417" s="3">
        <v>396</v>
      </c>
      <c r="C417" s="8">
        <f t="shared" si="421"/>
        <v>0.05</v>
      </c>
      <c r="D417" s="8">
        <f t="shared" ref="D417:O417" ca="1" si="433">C417+k*(theta-C417)*dt+vol*SQRT(dt)*_xlfn.NORM.S.INV(RAND())</f>
        <v>5.1629378906610041E-2</v>
      </c>
      <c r="E417" s="8">
        <f t="shared" ca="1" si="433"/>
        <v>5.1713976165811144E-2</v>
      </c>
      <c r="F417" s="8">
        <f t="shared" ca="1" si="433"/>
        <v>5.2800705892981678E-2</v>
      </c>
      <c r="G417" s="8">
        <f t="shared" ca="1" si="433"/>
        <v>5.139630488324394E-2</v>
      </c>
      <c r="H417" s="8">
        <f t="shared" ca="1" si="433"/>
        <v>5.9083236223423791E-2</v>
      </c>
      <c r="I417" s="8">
        <f t="shared" ca="1" si="433"/>
        <v>5.4863073015029899E-2</v>
      </c>
      <c r="J417" s="8">
        <f t="shared" ca="1" si="433"/>
        <v>5.2933042021527647E-2</v>
      </c>
      <c r="K417" s="8">
        <f t="shared" ca="1" si="433"/>
        <v>6.1282081204727189E-2</v>
      </c>
      <c r="L417" s="8">
        <f t="shared" ca="1" si="433"/>
        <v>5.4671206132592166E-2</v>
      </c>
      <c r="M417" s="8">
        <f t="shared" ca="1" si="433"/>
        <v>5.3793087766855298E-2</v>
      </c>
      <c r="N417" s="8">
        <f t="shared" ca="1" si="433"/>
        <v>5.5532478671739653E-2</v>
      </c>
      <c r="O417" s="8">
        <f t="shared" ca="1" si="433"/>
        <v>5.3148416681098667E-2</v>
      </c>
    </row>
    <row r="418" spans="2:15">
      <c r="B418" s="3">
        <v>397</v>
      </c>
      <c r="C418" s="8">
        <f t="shared" si="421"/>
        <v>0.05</v>
      </c>
      <c r="D418" s="8">
        <f t="shared" ref="D418:O418" ca="1" si="434">C418+k*(theta-C418)*dt+vol*SQRT(dt)*_xlfn.NORM.S.INV(RAND())</f>
        <v>5.2724817531168998E-2</v>
      </c>
      <c r="E418" s="8">
        <f t="shared" ca="1" si="434"/>
        <v>4.6543755821773627E-2</v>
      </c>
      <c r="F418" s="8">
        <f t="shared" ca="1" si="434"/>
        <v>5.3323041450661995E-2</v>
      </c>
      <c r="G418" s="8">
        <f t="shared" ca="1" si="434"/>
        <v>5.3306305196675507E-2</v>
      </c>
      <c r="H418" s="8">
        <f t="shared" ca="1" si="434"/>
        <v>6.2619060051886236E-2</v>
      </c>
      <c r="I418" s="8">
        <f t="shared" ca="1" si="434"/>
        <v>6.8545950057353852E-2</v>
      </c>
      <c r="J418" s="8">
        <f t="shared" ca="1" si="434"/>
        <v>7.2686068507170992E-2</v>
      </c>
      <c r="K418" s="8">
        <f t="shared" ca="1" si="434"/>
        <v>7.362562214015074E-2</v>
      </c>
      <c r="L418" s="8">
        <f t="shared" ca="1" si="434"/>
        <v>8.5094564487648322E-2</v>
      </c>
      <c r="M418" s="8">
        <f t="shared" ca="1" si="434"/>
        <v>9.1797596962723202E-2</v>
      </c>
      <c r="N418" s="8">
        <f t="shared" ca="1" si="434"/>
        <v>8.7698822047374017E-2</v>
      </c>
      <c r="O418" s="8">
        <f t="shared" ca="1" si="434"/>
        <v>9.2456222286984371E-2</v>
      </c>
    </row>
    <row r="419" spans="2:15">
      <c r="B419" s="3">
        <v>398</v>
      </c>
      <c r="C419" s="8">
        <f t="shared" si="421"/>
        <v>0.05</v>
      </c>
      <c r="D419" s="8">
        <f t="shared" ref="D419:O419" ca="1" si="435">C419+k*(theta-C419)*dt+vol*SQRT(dt)*_xlfn.NORM.S.INV(RAND())</f>
        <v>5.4130495967659287E-2</v>
      </c>
      <c r="E419" s="8">
        <f t="shared" ca="1" si="435"/>
        <v>5.2362267672023614E-2</v>
      </c>
      <c r="F419" s="8">
        <f t="shared" ca="1" si="435"/>
        <v>5.7116110192056542E-2</v>
      </c>
      <c r="G419" s="8">
        <f t="shared" ca="1" si="435"/>
        <v>5.7203375300926049E-2</v>
      </c>
      <c r="H419" s="8">
        <f t="shared" ca="1" si="435"/>
        <v>6.3811862811908523E-2</v>
      </c>
      <c r="I419" s="8">
        <f t="shared" ca="1" si="435"/>
        <v>7.2181941967345967E-2</v>
      </c>
      <c r="J419" s="8">
        <f t="shared" ca="1" si="435"/>
        <v>7.7098414009449501E-2</v>
      </c>
      <c r="K419" s="8">
        <f t="shared" ca="1" si="435"/>
        <v>7.7638700083319787E-2</v>
      </c>
      <c r="L419" s="8">
        <f t="shared" ca="1" si="435"/>
        <v>7.9105169602549832E-2</v>
      </c>
      <c r="M419" s="8">
        <f t="shared" ca="1" si="435"/>
        <v>8.0509627888436186E-2</v>
      </c>
      <c r="N419" s="8">
        <f t="shared" ca="1" si="435"/>
        <v>8.0906887242275669E-2</v>
      </c>
      <c r="O419" s="8">
        <f t="shared" ca="1" si="435"/>
        <v>7.7042048722928747E-2</v>
      </c>
    </row>
    <row r="420" spans="2:15">
      <c r="B420" s="3">
        <v>399</v>
      </c>
      <c r="C420" s="8">
        <f t="shared" si="421"/>
        <v>0.05</v>
      </c>
      <c r="D420" s="8">
        <f t="shared" ref="D420:O420" ca="1" si="436">C420+k*(theta-C420)*dt+vol*SQRT(dt)*_xlfn.NORM.S.INV(RAND())</f>
        <v>5.2716486472217335E-2</v>
      </c>
      <c r="E420" s="8">
        <f t="shared" ca="1" si="436"/>
        <v>5.4733140319738853E-2</v>
      </c>
      <c r="F420" s="8">
        <f t="shared" ca="1" si="436"/>
        <v>5.8299290647950121E-2</v>
      </c>
      <c r="G420" s="8">
        <f t="shared" ca="1" si="436"/>
        <v>6.0746445148120692E-2</v>
      </c>
      <c r="H420" s="8">
        <f t="shared" ca="1" si="436"/>
        <v>6.7103741961839089E-2</v>
      </c>
      <c r="I420" s="8">
        <f t="shared" ca="1" si="436"/>
        <v>6.5513072340021794E-2</v>
      </c>
      <c r="J420" s="8">
        <f t="shared" ca="1" si="436"/>
        <v>7.609654855869627E-2</v>
      </c>
      <c r="K420" s="8">
        <f t="shared" ca="1" si="436"/>
        <v>6.7189423894394973E-2</v>
      </c>
      <c r="L420" s="8">
        <f t="shared" ca="1" si="436"/>
        <v>7.4208022336475846E-2</v>
      </c>
      <c r="M420" s="8">
        <f t="shared" ca="1" si="436"/>
        <v>8.1022908046706657E-2</v>
      </c>
      <c r="N420" s="8">
        <f t="shared" ca="1" si="436"/>
        <v>9.1277013554863368E-2</v>
      </c>
      <c r="O420" s="8">
        <f t="shared" ca="1" si="436"/>
        <v>9.0120801550383545E-2</v>
      </c>
    </row>
    <row r="421" spans="2:15">
      <c r="B421" s="3">
        <v>400</v>
      </c>
      <c r="C421" s="8">
        <f t="shared" si="421"/>
        <v>0.05</v>
      </c>
      <c r="D421" s="8">
        <f t="shared" ref="D421:O421" ca="1" si="437">C421+k*(theta-C421)*dt+vol*SQRT(dt)*_xlfn.NORM.S.INV(RAND())</f>
        <v>4.6819469873400008E-2</v>
      </c>
      <c r="E421" s="8">
        <f t="shared" ca="1" si="437"/>
        <v>4.6016568843235073E-2</v>
      </c>
      <c r="F421" s="8">
        <f t="shared" ca="1" si="437"/>
        <v>4.7793938630084062E-2</v>
      </c>
      <c r="G421" s="8">
        <f t="shared" ca="1" si="437"/>
        <v>5.8481629782774408E-2</v>
      </c>
      <c r="H421" s="8">
        <f t="shared" ca="1" si="437"/>
        <v>6.7008587705607192E-2</v>
      </c>
      <c r="I421" s="8">
        <f t="shared" ca="1" si="437"/>
        <v>7.2951899576945603E-2</v>
      </c>
      <c r="J421" s="8">
        <f t="shared" ca="1" si="437"/>
        <v>7.0332888371157032E-2</v>
      </c>
      <c r="K421" s="8">
        <f t="shared" ca="1" si="437"/>
        <v>6.5201445640483108E-2</v>
      </c>
      <c r="L421" s="8">
        <f t="shared" ca="1" si="437"/>
        <v>6.4033746014262372E-2</v>
      </c>
      <c r="M421" s="8">
        <f t="shared" ca="1" si="437"/>
        <v>6.3730848132985116E-2</v>
      </c>
      <c r="N421" s="8">
        <f t="shared" ca="1" si="437"/>
        <v>6.4275228593624514E-2</v>
      </c>
      <c r="O421" s="8">
        <f t="shared" ca="1" si="437"/>
        <v>5.5388186160139484E-2</v>
      </c>
    </row>
    <row r="422" spans="2:15">
      <c r="B422" s="3">
        <v>401</v>
      </c>
      <c r="C422" s="8">
        <f t="shared" si="421"/>
        <v>0.05</v>
      </c>
      <c r="D422" s="8">
        <f t="shared" ref="D422:O422" ca="1" si="438">C422+k*(theta-C422)*dt+vol*SQRT(dt)*_xlfn.NORM.S.INV(RAND())</f>
        <v>6.0247584411118799E-2</v>
      </c>
      <c r="E422" s="8">
        <f t="shared" ca="1" si="438"/>
        <v>6.0474944052641852E-2</v>
      </c>
      <c r="F422" s="8">
        <f t="shared" ca="1" si="438"/>
        <v>5.9429058179187831E-2</v>
      </c>
      <c r="G422" s="8">
        <f t="shared" ca="1" si="438"/>
        <v>5.9398458602992331E-2</v>
      </c>
      <c r="H422" s="8">
        <f t="shared" ca="1" si="438"/>
        <v>6.222583447087756E-2</v>
      </c>
      <c r="I422" s="8">
        <f t="shared" ca="1" si="438"/>
        <v>6.6524933610653772E-2</v>
      </c>
      <c r="J422" s="8">
        <f t="shared" ca="1" si="438"/>
        <v>7.315480661751364E-2</v>
      </c>
      <c r="K422" s="8">
        <f t="shared" ca="1" si="438"/>
        <v>7.1436803540542188E-2</v>
      </c>
      <c r="L422" s="8">
        <f t="shared" ca="1" si="438"/>
        <v>6.1170279182689566E-2</v>
      </c>
      <c r="M422" s="8">
        <f t="shared" ca="1" si="438"/>
        <v>5.8825911771938924E-2</v>
      </c>
      <c r="N422" s="8">
        <f t="shared" ca="1" si="438"/>
        <v>6.242555201468291E-2</v>
      </c>
      <c r="O422" s="8">
        <f t="shared" ca="1" si="438"/>
        <v>6.1829107091286431E-2</v>
      </c>
    </row>
    <row r="423" spans="2:15">
      <c r="B423" s="3">
        <v>402</v>
      </c>
      <c r="C423" s="8">
        <f t="shared" si="421"/>
        <v>0.05</v>
      </c>
      <c r="D423" s="8">
        <f t="shared" ref="D423:O423" ca="1" si="439">C423+k*(theta-C423)*dt+vol*SQRT(dt)*_xlfn.NORM.S.INV(RAND())</f>
        <v>5.3064814509949453E-2</v>
      </c>
      <c r="E423" s="8">
        <f t="shared" ca="1" si="439"/>
        <v>5.5878310851411671E-2</v>
      </c>
      <c r="F423" s="8">
        <f t="shared" ca="1" si="439"/>
        <v>4.372347773164597E-2</v>
      </c>
      <c r="G423" s="8">
        <f t="shared" ca="1" si="439"/>
        <v>4.3527013542416802E-2</v>
      </c>
      <c r="H423" s="8">
        <f t="shared" ca="1" si="439"/>
        <v>5.4253442374522426E-2</v>
      </c>
      <c r="I423" s="8">
        <f t="shared" ca="1" si="439"/>
        <v>5.6705721480216714E-2</v>
      </c>
      <c r="J423" s="8">
        <f t="shared" ca="1" si="439"/>
        <v>6.5922561090694304E-2</v>
      </c>
      <c r="K423" s="8">
        <f t="shared" ca="1" si="439"/>
        <v>6.2657772541024156E-2</v>
      </c>
      <c r="L423" s="8">
        <f t="shared" ca="1" si="439"/>
        <v>6.4550316527501442E-2</v>
      </c>
      <c r="M423" s="8">
        <f t="shared" ca="1" si="439"/>
        <v>8.0184475816599404E-2</v>
      </c>
      <c r="N423" s="8">
        <f t="shared" ca="1" si="439"/>
        <v>6.9940731338884524E-2</v>
      </c>
      <c r="O423" s="8">
        <f t="shared" ca="1" si="439"/>
        <v>6.757003061610535E-2</v>
      </c>
    </row>
    <row r="424" spans="2:15">
      <c r="B424" s="3">
        <v>403</v>
      </c>
      <c r="C424" s="8">
        <f t="shared" si="421"/>
        <v>0.05</v>
      </c>
      <c r="D424" s="8">
        <f t="shared" ref="D424:O424" ca="1" si="440">C424+k*(theta-C424)*dt+vol*SQRT(dt)*_xlfn.NORM.S.INV(RAND())</f>
        <v>5.5652064724950497E-2</v>
      </c>
      <c r="E424" s="8">
        <f t="shared" ca="1" si="440"/>
        <v>5.3998108733594043E-2</v>
      </c>
      <c r="F424" s="8">
        <f t="shared" ca="1" si="440"/>
        <v>6.4087947977020471E-2</v>
      </c>
      <c r="G424" s="8">
        <f t="shared" ca="1" si="440"/>
        <v>6.6382278997446309E-2</v>
      </c>
      <c r="H424" s="8">
        <f t="shared" ca="1" si="440"/>
        <v>7.326381383899111E-2</v>
      </c>
      <c r="I424" s="8">
        <f t="shared" ca="1" si="440"/>
        <v>7.5458108569322738E-2</v>
      </c>
      <c r="J424" s="8">
        <f t="shared" ca="1" si="440"/>
        <v>7.4879551180131426E-2</v>
      </c>
      <c r="K424" s="8">
        <f t="shared" ca="1" si="440"/>
        <v>7.8501940690180239E-2</v>
      </c>
      <c r="L424" s="8">
        <f t="shared" ca="1" si="440"/>
        <v>8.2382802947475853E-2</v>
      </c>
      <c r="M424" s="8">
        <f t="shared" ca="1" si="440"/>
        <v>8.5785615441415622E-2</v>
      </c>
      <c r="N424" s="8">
        <f t="shared" ca="1" si="440"/>
        <v>8.8912598732688308E-2</v>
      </c>
      <c r="O424" s="8">
        <f t="shared" ca="1" si="440"/>
        <v>8.5248707504131813E-2</v>
      </c>
    </row>
    <row r="425" spans="2:15">
      <c r="B425" s="3">
        <v>404</v>
      </c>
      <c r="C425" s="8">
        <f t="shared" si="421"/>
        <v>0.05</v>
      </c>
      <c r="D425" s="8">
        <f t="shared" ref="D425:O425" ca="1" si="441">C425+k*(theta-C425)*dt+vol*SQRT(dt)*_xlfn.NORM.S.INV(RAND())</f>
        <v>6.3289978624342047E-2</v>
      </c>
      <c r="E425" s="8">
        <f t="shared" ca="1" si="441"/>
        <v>7.2243467080972346E-2</v>
      </c>
      <c r="F425" s="8">
        <f t="shared" ca="1" si="441"/>
        <v>6.6601504584606772E-2</v>
      </c>
      <c r="G425" s="8">
        <f t="shared" ca="1" si="441"/>
        <v>6.636719932216284E-2</v>
      </c>
      <c r="H425" s="8">
        <f t="shared" ca="1" si="441"/>
        <v>7.9087123698653214E-2</v>
      </c>
      <c r="I425" s="8">
        <f t="shared" ca="1" si="441"/>
        <v>7.5874127203029607E-2</v>
      </c>
      <c r="J425" s="8">
        <f t="shared" ca="1" si="441"/>
        <v>7.0468975458547245E-2</v>
      </c>
      <c r="K425" s="8">
        <f t="shared" ca="1" si="441"/>
        <v>6.7851983896660042E-2</v>
      </c>
      <c r="L425" s="8">
        <f t="shared" ca="1" si="441"/>
        <v>7.2862899691918517E-2</v>
      </c>
      <c r="M425" s="8">
        <f t="shared" ca="1" si="441"/>
        <v>7.2128166008359446E-2</v>
      </c>
      <c r="N425" s="8">
        <f t="shared" ca="1" si="441"/>
        <v>7.2086400570597189E-2</v>
      </c>
      <c r="O425" s="8">
        <f t="shared" ca="1" si="441"/>
        <v>8.2888685844448362E-2</v>
      </c>
    </row>
    <row r="426" spans="2:15">
      <c r="B426" s="3">
        <v>405</v>
      </c>
      <c r="C426" s="8">
        <f t="shared" si="421"/>
        <v>0.05</v>
      </c>
      <c r="D426" s="8">
        <f t="shared" ref="D426:O426" ca="1" si="442">C426+k*(theta-C426)*dt+vol*SQRT(dt)*_xlfn.NORM.S.INV(RAND())</f>
        <v>4.8844630128853699E-2</v>
      </c>
      <c r="E426" s="8">
        <f t="shared" ca="1" si="442"/>
        <v>4.8252856893407498E-2</v>
      </c>
      <c r="F426" s="8">
        <f t="shared" ca="1" si="442"/>
        <v>4.0657197079995301E-2</v>
      </c>
      <c r="G426" s="8">
        <f t="shared" ca="1" si="442"/>
        <v>5.6693099347396456E-2</v>
      </c>
      <c r="H426" s="8">
        <f t="shared" ca="1" si="442"/>
        <v>6.8371756765136724E-2</v>
      </c>
      <c r="I426" s="8">
        <f t="shared" ca="1" si="442"/>
        <v>7.6843125143873758E-2</v>
      </c>
      <c r="J426" s="8">
        <f t="shared" ca="1" si="442"/>
        <v>8.6873087504784618E-2</v>
      </c>
      <c r="K426" s="8">
        <f t="shared" ca="1" si="442"/>
        <v>8.7997106610496964E-2</v>
      </c>
      <c r="L426" s="8">
        <f t="shared" ca="1" si="442"/>
        <v>8.5238090104806985E-2</v>
      </c>
      <c r="M426" s="8">
        <f t="shared" ca="1" si="442"/>
        <v>8.3871770574850263E-2</v>
      </c>
      <c r="N426" s="8">
        <f t="shared" ca="1" si="442"/>
        <v>8.3427503037549214E-2</v>
      </c>
      <c r="O426" s="8">
        <f t="shared" ca="1" si="442"/>
        <v>9.1466950968791219E-2</v>
      </c>
    </row>
    <row r="427" spans="2:15">
      <c r="B427" s="3">
        <v>406</v>
      </c>
      <c r="C427" s="8">
        <f t="shared" si="421"/>
        <v>0.05</v>
      </c>
      <c r="D427" s="8">
        <f t="shared" ref="D427:O427" ca="1" si="443">C427+k*(theta-C427)*dt+vol*SQRT(dt)*_xlfn.NORM.S.INV(RAND())</f>
        <v>5.4686289993304105E-2</v>
      </c>
      <c r="E427" s="8">
        <f t="shared" ca="1" si="443"/>
        <v>4.9933799033546611E-2</v>
      </c>
      <c r="F427" s="8">
        <f t="shared" ca="1" si="443"/>
        <v>4.6328953884559237E-2</v>
      </c>
      <c r="G427" s="8">
        <f t="shared" ca="1" si="443"/>
        <v>4.9068893623574188E-2</v>
      </c>
      <c r="H427" s="8">
        <f t="shared" ca="1" si="443"/>
        <v>4.6337265277728745E-2</v>
      </c>
      <c r="I427" s="8">
        <f t="shared" ca="1" si="443"/>
        <v>5.2006277016818973E-2</v>
      </c>
      <c r="J427" s="8">
        <f t="shared" ca="1" si="443"/>
        <v>4.5587310320963734E-2</v>
      </c>
      <c r="K427" s="8">
        <f t="shared" ca="1" si="443"/>
        <v>4.266683953224034E-2</v>
      </c>
      <c r="L427" s="8">
        <f t="shared" ca="1" si="443"/>
        <v>4.576928320550766E-2</v>
      </c>
      <c r="M427" s="8">
        <f t="shared" ca="1" si="443"/>
        <v>5.0543136279635151E-2</v>
      </c>
      <c r="N427" s="8">
        <f t="shared" ca="1" si="443"/>
        <v>4.7882554042593416E-2</v>
      </c>
      <c r="O427" s="8">
        <f t="shared" ca="1" si="443"/>
        <v>5.3428735998167304E-2</v>
      </c>
    </row>
    <row r="428" spans="2:15">
      <c r="B428" s="3">
        <v>407</v>
      </c>
      <c r="C428" s="8">
        <f t="shared" si="421"/>
        <v>0.05</v>
      </c>
      <c r="D428" s="8">
        <f t="shared" ref="D428:O428" ca="1" si="444">C428+k*(theta-C428)*dt+vol*SQRT(dt)*_xlfn.NORM.S.INV(RAND())</f>
        <v>4.5506692719416625E-2</v>
      </c>
      <c r="E428" s="8">
        <f t="shared" ca="1" si="444"/>
        <v>4.6676175060150316E-2</v>
      </c>
      <c r="F428" s="8">
        <f t="shared" ca="1" si="444"/>
        <v>4.8619460544687597E-2</v>
      </c>
      <c r="G428" s="8">
        <f t="shared" ca="1" si="444"/>
        <v>4.9143532681345845E-2</v>
      </c>
      <c r="H428" s="8">
        <f t="shared" ca="1" si="444"/>
        <v>5.3805895212782617E-2</v>
      </c>
      <c r="I428" s="8">
        <f t="shared" ca="1" si="444"/>
        <v>5.833786027357199E-2</v>
      </c>
      <c r="J428" s="8">
        <f t="shared" ca="1" si="444"/>
        <v>5.6346918793499817E-2</v>
      </c>
      <c r="K428" s="8">
        <f t="shared" ca="1" si="444"/>
        <v>5.3860423754605702E-2</v>
      </c>
      <c r="L428" s="8">
        <f t="shared" ca="1" si="444"/>
        <v>5.592225411369086E-2</v>
      </c>
      <c r="M428" s="8">
        <f t="shared" ca="1" si="444"/>
        <v>5.8093398625752267E-2</v>
      </c>
      <c r="N428" s="8">
        <f t="shared" ca="1" si="444"/>
        <v>7.0223687703982102E-2</v>
      </c>
      <c r="O428" s="8">
        <f t="shared" ca="1" si="444"/>
        <v>7.4770059606738562E-2</v>
      </c>
    </row>
    <row r="429" spans="2:15">
      <c r="B429" s="3">
        <v>408</v>
      </c>
      <c r="C429" s="8">
        <f t="shared" si="421"/>
        <v>0.05</v>
      </c>
      <c r="D429" s="8">
        <f t="shared" ref="D429:O429" ca="1" si="445">C429+k*(theta-C429)*dt+vol*SQRT(dt)*_xlfn.NORM.S.INV(RAND())</f>
        <v>4.670575691735545E-2</v>
      </c>
      <c r="E429" s="8">
        <f t="shared" ca="1" si="445"/>
        <v>5.5217365786989013E-2</v>
      </c>
      <c r="F429" s="8">
        <f t="shared" ca="1" si="445"/>
        <v>6.3057752280523419E-2</v>
      </c>
      <c r="G429" s="8">
        <f t="shared" ca="1" si="445"/>
        <v>6.3901120751948759E-2</v>
      </c>
      <c r="H429" s="8">
        <f t="shared" ca="1" si="445"/>
        <v>6.918323768832102E-2</v>
      </c>
      <c r="I429" s="8">
        <f t="shared" ca="1" si="445"/>
        <v>7.176990216328101E-2</v>
      </c>
      <c r="J429" s="8">
        <f t="shared" ca="1" si="445"/>
        <v>7.2071935148717195E-2</v>
      </c>
      <c r="K429" s="8">
        <f t="shared" ca="1" si="445"/>
        <v>7.5692185501714304E-2</v>
      </c>
      <c r="L429" s="8">
        <f t="shared" ca="1" si="445"/>
        <v>7.2434617811928628E-2</v>
      </c>
      <c r="M429" s="8">
        <f t="shared" ca="1" si="445"/>
        <v>6.8957947708080031E-2</v>
      </c>
      <c r="N429" s="8">
        <f t="shared" ca="1" si="445"/>
        <v>6.9285962814405064E-2</v>
      </c>
      <c r="O429" s="8">
        <f t="shared" ca="1" si="445"/>
        <v>6.7800908563207071E-2</v>
      </c>
    </row>
    <row r="430" spans="2:15">
      <c r="B430" s="3">
        <v>409</v>
      </c>
      <c r="C430" s="8">
        <f t="shared" si="421"/>
        <v>0.05</v>
      </c>
      <c r="D430" s="8">
        <f t="shared" ref="D430:O430" ca="1" si="446">C430+k*(theta-C430)*dt+vol*SQRT(dt)*_xlfn.NORM.S.INV(RAND())</f>
        <v>5.5846827723598232E-2</v>
      </c>
      <c r="E430" s="8">
        <f t="shared" ca="1" si="446"/>
        <v>6.0724667404100527E-2</v>
      </c>
      <c r="F430" s="8">
        <f t="shared" ca="1" si="446"/>
        <v>6.3540868679859266E-2</v>
      </c>
      <c r="G430" s="8">
        <f t="shared" ca="1" si="446"/>
        <v>6.8470892368880862E-2</v>
      </c>
      <c r="H430" s="8">
        <f t="shared" ca="1" si="446"/>
        <v>6.5923383791373649E-2</v>
      </c>
      <c r="I430" s="8">
        <f t="shared" ca="1" si="446"/>
        <v>7.2307528431734228E-2</v>
      </c>
      <c r="J430" s="8">
        <f t="shared" ca="1" si="446"/>
        <v>6.5225211030652042E-2</v>
      </c>
      <c r="K430" s="8">
        <f t="shared" ca="1" si="446"/>
        <v>6.1220382490769373E-2</v>
      </c>
      <c r="L430" s="8">
        <f t="shared" ca="1" si="446"/>
        <v>6.219944993131378E-2</v>
      </c>
      <c r="M430" s="8">
        <f t="shared" ca="1" si="446"/>
        <v>5.9374160313243149E-2</v>
      </c>
      <c r="N430" s="8">
        <f t="shared" ca="1" si="446"/>
        <v>5.7278549297803322E-2</v>
      </c>
      <c r="O430" s="8">
        <f t="shared" ca="1" si="446"/>
        <v>6.1602081352913181E-2</v>
      </c>
    </row>
    <row r="431" spans="2:15">
      <c r="B431" s="3">
        <v>410</v>
      </c>
      <c r="C431" s="8">
        <f t="shared" si="421"/>
        <v>0.05</v>
      </c>
      <c r="D431" s="8">
        <f t="shared" ref="D431:O431" ca="1" si="447">C431+k*(theta-C431)*dt+vol*SQRT(dt)*_xlfn.NORM.S.INV(RAND())</f>
        <v>5.019150759714984E-2</v>
      </c>
      <c r="E431" s="8">
        <f t="shared" ca="1" si="447"/>
        <v>5.1234042378106859E-2</v>
      </c>
      <c r="F431" s="8">
        <f t="shared" ca="1" si="447"/>
        <v>4.3486452216245003E-2</v>
      </c>
      <c r="G431" s="8">
        <f t="shared" ca="1" si="447"/>
        <v>4.0109499406229827E-2</v>
      </c>
      <c r="H431" s="8">
        <f t="shared" ca="1" si="447"/>
        <v>4.0542956918360518E-2</v>
      </c>
      <c r="I431" s="8">
        <f t="shared" ca="1" si="447"/>
        <v>3.3646865676742285E-2</v>
      </c>
      <c r="J431" s="8">
        <f t="shared" ca="1" si="447"/>
        <v>4.1439258500956144E-2</v>
      </c>
      <c r="K431" s="8">
        <f t="shared" ca="1" si="447"/>
        <v>4.6074508086173256E-2</v>
      </c>
      <c r="L431" s="8">
        <f t="shared" ca="1" si="447"/>
        <v>4.2465288097187415E-2</v>
      </c>
      <c r="M431" s="8">
        <f t="shared" ca="1" si="447"/>
        <v>2.7647588908411048E-2</v>
      </c>
      <c r="N431" s="8">
        <f t="shared" ca="1" si="447"/>
        <v>2.8867694139875697E-2</v>
      </c>
      <c r="O431" s="8">
        <f t="shared" ca="1" si="447"/>
        <v>3.7121540088441624E-2</v>
      </c>
    </row>
    <row r="432" spans="2:15">
      <c r="B432" s="3">
        <v>411</v>
      </c>
      <c r="C432" s="8">
        <f t="shared" si="421"/>
        <v>0.05</v>
      </c>
      <c r="D432" s="8">
        <f t="shared" ref="D432:O432" ca="1" si="448">C432+k*(theta-C432)*dt+vol*SQRT(dt)*_xlfn.NORM.S.INV(RAND())</f>
        <v>4.7783197800984417E-2</v>
      </c>
      <c r="E432" s="8">
        <f t="shared" ca="1" si="448"/>
        <v>4.6534182001104818E-2</v>
      </c>
      <c r="F432" s="8">
        <f t="shared" ca="1" si="448"/>
        <v>4.8714417872377146E-2</v>
      </c>
      <c r="G432" s="8">
        <f t="shared" ca="1" si="448"/>
        <v>5.281523175153989E-2</v>
      </c>
      <c r="H432" s="8">
        <f t="shared" ca="1" si="448"/>
        <v>5.8476226610770045E-2</v>
      </c>
      <c r="I432" s="8">
        <f t="shared" ca="1" si="448"/>
        <v>6.0581450490729091E-2</v>
      </c>
      <c r="J432" s="8">
        <f t="shared" ca="1" si="448"/>
        <v>6.9322224722958126E-2</v>
      </c>
      <c r="K432" s="8">
        <f t="shared" ca="1" si="448"/>
        <v>7.3038056193821088E-2</v>
      </c>
      <c r="L432" s="8">
        <f t="shared" ca="1" si="448"/>
        <v>7.2639612441314894E-2</v>
      </c>
      <c r="M432" s="8">
        <f t="shared" ca="1" si="448"/>
        <v>6.629149064696542E-2</v>
      </c>
      <c r="N432" s="8">
        <f t="shared" ca="1" si="448"/>
        <v>6.7366725046362694E-2</v>
      </c>
      <c r="O432" s="8">
        <f t="shared" ca="1" si="448"/>
        <v>6.3873604017160732E-2</v>
      </c>
    </row>
    <row r="433" spans="2:15">
      <c r="B433" s="3">
        <v>412</v>
      </c>
      <c r="C433" s="8">
        <f t="shared" si="421"/>
        <v>0.05</v>
      </c>
      <c r="D433" s="8">
        <f t="shared" ref="D433:O433" ca="1" si="449">C433+k*(theta-C433)*dt+vol*SQRT(dt)*_xlfn.NORM.S.INV(RAND())</f>
        <v>5.6177767255336186E-2</v>
      </c>
      <c r="E433" s="8">
        <f t="shared" ca="1" si="449"/>
        <v>5.7361936190665368E-2</v>
      </c>
      <c r="F433" s="8">
        <f t="shared" ca="1" si="449"/>
        <v>5.2370313747328735E-2</v>
      </c>
      <c r="G433" s="8">
        <f t="shared" ca="1" si="449"/>
        <v>5.3987877609943273E-2</v>
      </c>
      <c r="H433" s="8">
        <f t="shared" ca="1" si="449"/>
        <v>6.0138731757599984E-2</v>
      </c>
      <c r="I433" s="8">
        <f t="shared" ca="1" si="449"/>
        <v>6.8690408903205769E-2</v>
      </c>
      <c r="J433" s="8">
        <f t="shared" ca="1" si="449"/>
        <v>6.4162218725084555E-2</v>
      </c>
      <c r="K433" s="8">
        <f t="shared" ca="1" si="449"/>
        <v>6.3792799591730509E-2</v>
      </c>
      <c r="L433" s="8">
        <f t="shared" ca="1" si="449"/>
        <v>7.8423946208199508E-2</v>
      </c>
      <c r="M433" s="8">
        <f t="shared" ca="1" si="449"/>
        <v>8.1549553680983794E-2</v>
      </c>
      <c r="N433" s="8">
        <f t="shared" ca="1" si="449"/>
        <v>7.7083321230450613E-2</v>
      </c>
      <c r="O433" s="8">
        <f t="shared" ca="1" si="449"/>
        <v>8.3487245176302238E-2</v>
      </c>
    </row>
    <row r="434" spans="2:15">
      <c r="B434" s="3">
        <v>413</v>
      </c>
      <c r="C434" s="8">
        <f t="shared" si="421"/>
        <v>0.05</v>
      </c>
      <c r="D434" s="8">
        <f t="shared" ref="D434:O434" ca="1" si="450">C434+k*(theta-C434)*dt+vol*SQRT(dt)*_xlfn.NORM.S.INV(RAND())</f>
        <v>5.3340798065214454E-2</v>
      </c>
      <c r="E434" s="8">
        <f t="shared" ca="1" si="450"/>
        <v>6.0260227658837755E-2</v>
      </c>
      <c r="F434" s="8">
        <f t="shared" ca="1" si="450"/>
        <v>5.9165990244733735E-2</v>
      </c>
      <c r="G434" s="8">
        <f t="shared" ca="1" si="450"/>
        <v>5.2962133239596809E-2</v>
      </c>
      <c r="H434" s="8">
        <f t="shared" ca="1" si="450"/>
        <v>6.3376882438750351E-2</v>
      </c>
      <c r="I434" s="8">
        <f t="shared" ca="1" si="450"/>
        <v>5.9421332035072494E-2</v>
      </c>
      <c r="J434" s="8">
        <f t="shared" ca="1" si="450"/>
        <v>6.034148874780277E-2</v>
      </c>
      <c r="K434" s="8">
        <f t="shared" ca="1" si="450"/>
        <v>6.157158989334878E-2</v>
      </c>
      <c r="L434" s="8">
        <f t="shared" ca="1" si="450"/>
        <v>5.7989608573701383E-2</v>
      </c>
      <c r="M434" s="8">
        <f t="shared" ca="1" si="450"/>
        <v>4.9829357205343677E-2</v>
      </c>
      <c r="N434" s="8">
        <f t="shared" ca="1" si="450"/>
        <v>5.8737150853862462E-2</v>
      </c>
      <c r="O434" s="8">
        <f t="shared" ca="1" si="450"/>
        <v>5.728683433265435E-2</v>
      </c>
    </row>
    <row r="435" spans="2:15">
      <c r="B435" s="3">
        <v>414</v>
      </c>
      <c r="C435" s="8">
        <f t="shared" si="421"/>
        <v>0.05</v>
      </c>
      <c r="D435" s="8">
        <f t="shared" ref="D435:O435" ca="1" si="451">C435+k*(theta-C435)*dt+vol*SQRT(dt)*_xlfn.NORM.S.INV(RAND())</f>
        <v>5.9738442410871354E-2</v>
      </c>
      <c r="E435" s="8">
        <f t="shared" ca="1" si="451"/>
        <v>6.0683115798366175E-2</v>
      </c>
      <c r="F435" s="8">
        <f t="shared" ca="1" si="451"/>
        <v>6.0095120561093958E-2</v>
      </c>
      <c r="G435" s="8">
        <f t="shared" ca="1" si="451"/>
        <v>6.3980688597181742E-2</v>
      </c>
      <c r="H435" s="8">
        <f t="shared" ca="1" si="451"/>
        <v>6.0911877549453861E-2</v>
      </c>
      <c r="I435" s="8">
        <f t="shared" ca="1" si="451"/>
        <v>4.6742325859843704E-2</v>
      </c>
      <c r="J435" s="8">
        <f t="shared" ca="1" si="451"/>
        <v>5.3617678935668669E-2</v>
      </c>
      <c r="K435" s="8">
        <f t="shared" ca="1" si="451"/>
        <v>5.0750156263941457E-2</v>
      </c>
      <c r="L435" s="8">
        <f t="shared" ca="1" si="451"/>
        <v>5.5694237449280239E-2</v>
      </c>
      <c r="M435" s="8">
        <f t="shared" ca="1" si="451"/>
        <v>5.3249353146445674E-2</v>
      </c>
      <c r="N435" s="8">
        <f t="shared" ca="1" si="451"/>
        <v>4.6208953600619725E-2</v>
      </c>
      <c r="O435" s="8">
        <f t="shared" ca="1" si="451"/>
        <v>5.0641579122935237E-2</v>
      </c>
    </row>
    <row r="436" spans="2:15">
      <c r="B436" s="3">
        <v>415</v>
      </c>
      <c r="C436" s="8">
        <f t="shared" si="421"/>
        <v>0.05</v>
      </c>
      <c r="D436" s="8">
        <f t="shared" ref="D436:O436" ca="1" si="452">C436+k*(theta-C436)*dt+vol*SQRT(dt)*_xlfn.NORM.S.INV(RAND())</f>
        <v>5.2594034198238021E-2</v>
      </c>
      <c r="E436" s="8">
        <f t="shared" ca="1" si="452"/>
        <v>3.6578942478554019E-2</v>
      </c>
      <c r="F436" s="8">
        <f t="shared" ca="1" si="452"/>
        <v>4.0235293106669068E-2</v>
      </c>
      <c r="G436" s="8">
        <f t="shared" ca="1" si="452"/>
        <v>4.0516375642141132E-2</v>
      </c>
      <c r="H436" s="8">
        <f t="shared" ca="1" si="452"/>
        <v>4.5180294577644491E-2</v>
      </c>
      <c r="I436" s="8">
        <f t="shared" ca="1" si="452"/>
        <v>4.858767530985237E-2</v>
      </c>
      <c r="J436" s="8">
        <f t="shared" ca="1" si="452"/>
        <v>5.17767053786247E-2</v>
      </c>
      <c r="K436" s="8">
        <f t="shared" ca="1" si="452"/>
        <v>5.3214705724554869E-2</v>
      </c>
      <c r="L436" s="8">
        <f t="shared" ca="1" si="452"/>
        <v>4.8856377925352482E-2</v>
      </c>
      <c r="M436" s="8">
        <f t="shared" ca="1" si="452"/>
        <v>5.5299105278542496E-2</v>
      </c>
      <c r="N436" s="8">
        <f t="shared" ca="1" si="452"/>
        <v>5.6423746033498152E-2</v>
      </c>
      <c r="O436" s="8">
        <f t="shared" ca="1" si="452"/>
        <v>5.2253138776954818E-2</v>
      </c>
    </row>
    <row r="437" spans="2:15">
      <c r="B437" s="3">
        <v>416</v>
      </c>
      <c r="C437" s="8">
        <f t="shared" si="421"/>
        <v>0.05</v>
      </c>
      <c r="D437" s="8">
        <f t="shared" ref="D437:O437" ca="1" si="453">C437+k*(theta-C437)*dt+vol*SQRT(dt)*_xlfn.NORM.S.INV(RAND())</f>
        <v>5.2212686973884703E-2</v>
      </c>
      <c r="E437" s="8">
        <f t="shared" ca="1" si="453"/>
        <v>5.6664716494904101E-2</v>
      </c>
      <c r="F437" s="8">
        <f t="shared" ca="1" si="453"/>
        <v>6.2704103349740761E-2</v>
      </c>
      <c r="G437" s="8">
        <f t="shared" ca="1" si="453"/>
        <v>6.2388784376646071E-2</v>
      </c>
      <c r="H437" s="8">
        <f t="shared" ca="1" si="453"/>
        <v>6.4337187882908431E-2</v>
      </c>
      <c r="I437" s="8">
        <f t="shared" ca="1" si="453"/>
        <v>7.2327317679055689E-2</v>
      </c>
      <c r="J437" s="8">
        <f t="shared" ca="1" si="453"/>
        <v>7.2431711942100893E-2</v>
      </c>
      <c r="K437" s="8">
        <f t="shared" ca="1" si="453"/>
        <v>7.2334140853909143E-2</v>
      </c>
      <c r="L437" s="8">
        <f t="shared" ca="1" si="453"/>
        <v>6.862486979192628E-2</v>
      </c>
      <c r="M437" s="8">
        <f t="shared" ca="1" si="453"/>
        <v>7.2710020428311581E-2</v>
      </c>
      <c r="N437" s="8">
        <f t="shared" ca="1" si="453"/>
        <v>7.1038675734521814E-2</v>
      </c>
      <c r="O437" s="8">
        <f t="shared" ca="1" si="453"/>
        <v>6.0906967528507244E-2</v>
      </c>
    </row>
    <row r="438" spans="2:15">
      <c r="B438" s="3">
        <v>417</v>
      </c>
      <c r="C438" s="8">
        <f t="shared" si="421"/>
        <v>0.05</v>
      </c>
      <c r="D438" s="8">
        <f t="shared" ref="D438:O438" ca="1" si="454">C438+k*(theta-C438)*dt+vol*SQRT(dt)*_xlfn.NORM.S.INV(RAND())</f>
        <v>5.1078667608976509E-2</v>
      </c>
      <c r="E438" s="8">
        <f t="shared" ca="1" si="454"/>
        <v>5.952755470416761E-2</v>
      </c>
      <c r="F438" s="8">
        <f t="shared" ca="1" si="454"/>
        <v>6.129070423932239E-2</v>
      </c>
      <c r="G438" s="8">
        <f t="shared" ca="1" si="454"/>
        <v>6.6195447042741842E-2</v>
      </c>
      <c r="H438" s="8">
        <f t="shared" ca="1" si="454"/>
        <v>6.894365080077168E-2</v>
      </c>
      <c r="I438" s="8">
        <f t="shared" ca="1" si="454"/>
        <v>7.0421619837663249E-2</v>
      </c>
      <c r="J438" s="8">
        <f t="shared" ca="1" si="454"/>
        <v>6.8021974506009594E-2</v>
      </c>
      <c r="K438" s="8">
        <f t="shared" ca="1" si="454"/>
        <v>7.2778206663441758E-2</v>
      </c>
      <c r="L438" s="8">
        <f t="shared" ca="1" si="454"/>
        <v>7.7440304258979756E-2</v>
      </c>
      <c r="M438" s="8">
        <f t="shared" ca="1" si="454"/>
        <v>9.0281057581842378E-2</v>
      </c>
      <c r="N438" s="8">
        <f t="shared" ca="1" si="454"/>
        <v>8.964419299610174E-2</v>
      </c>
      <c r="O438" s="8">
        <f t="shared" ca="1" si="454"/>
        <v>8.946369853178214E-2</v>
      </c>
    </row>
    <row r="439" spans="2:15">
      <c r="B439" s="3">
        <v>418</v>
      </c>
      <c r="C439" s="8">
        <f t="shared" si="421"/>
        <v>0.05</v>
      </c>
      <c r="D439" s="8">
        <f t="shared" ref="D439:O439" ca="1" si="455">C439+k*(theta-C439)*dt+vol*SQRT(dt)*_xlfn.NORM.S.INV(RAND())</f>
        <v>4.1290495296355381E-2</v>
      </c>
      <c r="E439" s="8">
        <f t="shared" ca="1" si="455"/>
        <v>3.6893883600802611E-2</v>
      </c>
      <c r="F439" s="8">
        <f t="shared" ca="1" si="455"/>
        <v>4.067222229672221E-2</v>
      </c>
      <c r="G439" s="8">
        <f t="shared" ca="1" si="455"/>
        <v>4.0231195708444314E-2</v>
      </c>
      <c r="H439" s="8">
        <f t="shared" ca="1" si="455"/>
        <v>4.3743375911216124E-2</v>
      </c>
      <c r="I439" s="8">
        <f t="shared" ca="1" si="455"/>
        <v>4.2038130613426677E-2</v>
      </c>
      <c r="J439" s="8">
        <f t="shared" ca="1" si="455"/>
        <v>4.3606872272133508E-2</v>
      </c>
      <c r="K439" s="8">
        <f t="shared" ca="1" si="455"/>
        <v>4.6195334917972904E-2</v>
      </c>
      <c r="L439" s="8">
        <f t="shared" ca="1" si="455"/>
        <v>4.9076893069557218E-2</v>
      </c>
      <c r="M439" s="8">
        <f t="shared" ca="1" si="455"/>
        <v>5.2077741226823134E-2</v>
      </c>
      <c r="N439" s="8">
        <f t="shared" ca="1" si="455"/>
        <v>5.094776144827011E-2</v>
      </c>
      <c r="O439" s="8">
        <f t="shared" ca="1" si="455"/>
        <v>5.281527645524741E-2</v>
      </c>
    </row>
    <row r="440" spans="2:15">
      <c r="B440" s="3">
        <v>419</v>
      </c>
      <c r="C440" s="8">
        <f t="shared" si="421"/>
        <v>0.05</v>
      </c>
      <c r="D440" s="8">
        <f t="shared" ref="D440:O440" ca="1" si="456">C440+k*(theta-C440)*dt+vol*SQRT(dt)*_xlfn.NORM.S.INV(RAND())</f>
        <v>4.6580472935390312E-2</v>
      </c>
      <c r="E440" s="8">
        <f t="shared" ca="1" si="456"/>
        <v>5.2122669987706878E-2</v>
      </c>
      <c r="F440" s="8">
        <f t="shared" ca="1" si="456"/>
        <v>5.6478566407246439E-2</v>
      </c>
      <c r="G440" s="8">
        <f t="shared" ca="1" si="456"/>
        <v>6.6541245874098223E-2</v>
      </c>
      <c r="H440" s="8">
        <f t="shared" ca="1" si="456"/>
        <v>5.7575510630509905E-2</v>
      </c>
      <c r="I440" s="8">
        <f t="shared" ca="1" si="456"/>
        <v>5.8063691542868438E-2</v>
      </c>
      <c r="J440" s="8">
        <f t="shared" ca="1" si="456"/>
        <v>6.1980797497612178E-2</v>
      </c>
      <c r="K440" s="8">
        <f t="shared" ca="1" si="456"/>
        <v>6.8956692924254548E-2</v>
      </c>
      <c r="L440" s="8">
        <f t="shared" ca="1" si="456"/>
        <v>6.218315996166681E-2</v>
      </c>
      <c r="M440" s="8">
        <f t="shared" ca="1" si="456"/>
        <v>6.4535885664970302E-2</v>
      </c>
      <c r="N440" s="8">
        <f t="shared" ca="1" si="456"/>
        <v>6.2459601102702107E-2</v>
      </c>
      <c r="O440" s="8">
        <f t="shared" ca="1" si="456"/>
        <v>6.1419664420440355E-2</v>
      </c>
    </row>
    <row r="441" spans="2:15">
      <c r="B441" s="3">
        <v>420</v>
      </c>
      <c r="C441" s="8">
        <f t="shared" si="421"/>
        <v>0.05</v>
      </c>
      <c r="D441" s="8">
        <f t="shared" ref="D441:O441" ca="1" si="457">C441+k*(theta-C441)*dt+vol*SQRT(dt)*_xlfn.NORM.S.INV(RAND())</f>
        <v>3.8587137501299815E-2</v>
      </c>
      <c r="E441" s="8">
        <f t="shared" ca="1" si="457"/>
        <v>3.2149924145290332E-2</v>
      </c>
      <c r="F441" s="8">
        <f t="shared" ca="1" si="457"/>
        <v>2.9350670538692832E-2</v>
      </c>
      <c r="G441" s="8">
        <f t="shared" ca="1" si="457"/>
        <v>3.7728004733539391E-2</v>
      </c>
      <c r="H441" s="8">
        <f t="shared" ca="1" si="457"/>
        <v>5.3034614731535944E-2</v>
      </c>
      <c r="I441" s="8">
        <f t="shared" ca="1" si="457"/>
        <v>5.7611521572305112E-2</v>
      </c>
      <c r="J441" s="8">
        <f t="shared" ca="1" si="457"/>
        <v>6.1620724146079102E-2</v>
      </c>
      <c r="K441" s="8">
        <f t="shared" ca="1" si="457"/>
        <v>6.554494047954576E-2</v>
      </c>
      <c r="L441" s="8">
        <f t="shared" ca="1" si="457"/>
        <v>6.3187610782332995E-2</v>
      </c>
      <c r="M441" s="8">
        <f t="shared" ca="1" si="457"/>
        <v>6.2489941509404623E-2</v>
      </c>
      <c r="N441" s="8">
        <f t="shared" ca="1" si="457"/>
        <v>6.9572326835960582E-2</v>
      </c>
      <c r="O441" s="8">
        <f t="shared" ca="1" si="457"/>
        <v>6.6590332370781019E-2</v>
      </c>
    </row>
    <row r="442" spans="2:15">
      <c r="B442" s="3">
        <v>421</v>
      </c>
      <c r="C442" s="8">
        <f t="shared" si="421"/>
        <v>0.05</v>
      </c>
      <c r="D442" s="8">
        <f t="shared" ref="D442:O442" ca="1" si="458">C442+k*(theta-C442)*dt+vol*SQRT(dt)*_xlfn.NORM.S.INV(RAND())</f>
        <v>4.7539275290506396E-2</v>
      </c>
      <c r="E442" s="8">
        <f t="shared" ca="1" si="458"/>
        <v>5.1239325161496936E-2</v>
      </c>
      <c r="F442" s="8">
        <f t="shared" ca="1" si="458"/>
        <v>4.7414438685738566E-2</v>
      </c>
      <c r="G442" s="8">
        <f t="shared" ca="1" si="458"/>
        <v>5.0728158700386092E-2</v>
      </c>
      <c r="H442" s="8">
        <f t="shared" ca="1" si="458"/>
        <v>5.7030512813096443E-2</v>
      </c>
      <c r="I442" s="8">
        <f t="shared" ca="1" si="458"/>
        <v>4.452129390561306E-2</v>
      </c>
      <c r="J442" s="8">
        <f t="shared" ca="1" si="458"/>
        <v>4.7343125280432642E-2</v>
      </c>
      <c r="K442" s="8">
        <f t="shared" ca="1" si="458"/>
        <v>5.0581535585317312E-2</v>
      </c>
      <c r="L442" s="8">
        <f t="shared" ca="1" si="458"/>
        <v>5.5131952259843388E-2</v>
      </c>
      <c r="M442" s="8">
        <f t="shared" ca="1" si="458"/>
        <v>5.2815351901794032E-2</v>
      </c>
      <c r="N442" s="8">
        <f t="shared" ca="1" si="458"/>
        <v>5.2760736414495003E-2</v>
      </c>
      <c r="O442" s="8">
        <f t="shared" ca="1" si="458"/>
        <v>5.5977993484634038E-2</v>
      </c>
    </row>
    <row r="443" spans="2:15">
      <c r="B443" s="3">
        <v>422</v>
      </c>
      <c r="C443" s="8">
        <f t="shared" si="421"/>
        <v>0.05</v>
      </c>
      <c r="D443" s="8">
        <f t="shared" ref="D443:O443" ca="1" si="459">C443+k*(theta-C443)*dt+vol*SQRT(dt)*_xlfn.NORM.S.INV(RAND())</f>
        <v>4.7920608571206107E-2</v>
      </c>
      <c r="E443" s="8">
        <f t="shared" ca="1" si="459"/>
        <v>5.2365654857410349E-2</v>
      </c>
      <c r="F443" s="8">
        <f t="shared" ca="1" si="459"/>
        <v>5.4499338994977602E-2</v>
      </c>
      <c r="G443" s="8">
        <f t="shared" ca="1" si="459"/>
        <v>5.4656009353619112E-2</v>
      </c>
      <c r="H443" s="8">
        <f t="shared" ca="1" si="459"/>
        <v>5.0930104871876644E-2</v>
      </c>
      <c r="I443" s="8">
        <f t="shared" ca="1" si="459"/>
        <v>3.565419957999412E-2</v>
      </c>
      <c r="J443" s="8">
        <f t="shared" ca="1" si="459"/>
        <v>2.7834448338143337E-2</v>
      </c>
      <c r="K443" s="8">
        <f t="shared" ca="1" si="459"/>
        <v>3.2394498711439082E-2</v>
      </c>
      <c r="L443" s="8">
        <f t="shared" ca="1" si="459"/>
        <v>3.3722909978747093E-2</v>
      </c>
      <c r="M443" s="8">
        <f t="shared" ca="1" si="459"/>
        <v>3.3775050988486932E-2</v>
      </c>
      <c r="N443" s="8">
        <f t="shared" ca="1" si="459"/>
        <v>3.7126775766757783E-2</v>
      </c>
      <c r="O443" s="8">
        <f t="shared" ca="1" si="459"/>
        <v>5.1134691033942081E-2</v>
      </c>
    </row>
    <row r="444" spans="2:15">
      <c r="B444" s="3">
        <v>423</v>
      </c>
      <c r="C444" s="8">
        <f t="shared" si="421"/>
        <v>0.05</v>
      </c>
      <c r="D444" s="8">
        <f t="shared" ref="D444:O444" ca="1" si="460">C444+k*(theta-C444)*dt+vol*SQRT(dt)*_xlfn.NORM.S.INV(RAND())</f>
        <v>4.8467876440987927E-2</v>
      </c>
      <c r="E444" s="8">
        <f t="shared" ca="1" si="460"/>
        <v>4.6926847107983935E-2</v>
      </c>
      <c r="F444" s="8">
        <f t="shared" ca="1" si="460"/>
        <v>5.0065700956865779E-2</v>
      </c>
      <c r="G444" s="8">
        <f t="shared" ca="1" si="460"/>
        <v>5.2779455620455301E-2</v>
      </c>
      <c r="H444" s="8">
        <f t="shared" ca="1" si="460"/>
        <v>6.1640484646898822E-2</v>
      </c>
      <c r="I444" s="8">
        <f t="shared" ca="1" si="460"/>
        <v>5.8605708091539664E-2</v>
      </c>
      <c r="J444" s="8">
        <f t="shared" ca="1" si="460"/>
        <v>5.8155014957975718E-2</v>
      </c>
      <c r="K444" s="8">
        <f t="shared" ca="1" si="460"/>
        <v>5.4405605589471898E-2</v>
      </c>
      <c r="L444" s="8">
        <f t="shared" ca="1" si="460"/>
        <v>5.0471161550143952E-2</v>
      </c>
      <c r="M444" s="8">
        <f t="shared" ca="1" si="460"/>
        <v>3.6935406567538603E-2</v>
      </c>
      <c r="N444" s="8">
        <f t="shared" ca="1" si="460"/>
        <v>3.6534568204242335E-2</v>
      </c>
      <c r="O444" s="8">
        <f t="shared" ca="1" si="460"/>
        <v>4.2886483907032535E-2</v>
      </c>
    </row>
    <row r="445" spans="2:15">
      <c r="B445" s="3">
        <v>424</v>
      </c>
      <c r="C445" s="8">
        <f t="shared" si="421"/>
        <v>0.05</v>
      </c>
      <c r="D445" s="8">
        <f t="shared" ref="D445:O445" ca="1" si="461">C445+k*(theta-C445)*dt+vol*SQRT(dt)*_xlfn.NORM.S.INV(RAND())</f>
        <v>4.677390968239583E-2</v>
      </c>
      <c r="E445" s="8">
        <f t="shared" ca="1" si="461"/>
        <v>4.8162054177543413E-2</v>
      </c>
      <c r="F445" s="8">
        <f t="shared" ca="1" si="461"/>
        <v>5.9539475841962182E-2</v>
      </c>
      <c r="G445" s="8">
        <f t="shared" ca="1" si="461"/>
        <v>5.532140200829605E-2</v>
      </c>
      <c r="H445" s="8">
        <f t="shared" ca="1" si="461"/>
        <v>4.9729381007761267E-2</v>
      </c>
      <c r="I445" s="8">
        <f t="shared" ca="1" si="461"/>
        <v>4.0980281226595715E-2</v>
      </c>
      <c r="J445" s="8">
        <f t="shared" ca="1" si="461"/>
        <v>4.2441653993982482E-2</v>
      </c>
      <c r="K445" s="8">
        <f t="shared" ca="1" si="461"/>
        <v>4.8538758334870424E-2</v>
      </c>
      <c r="L445" s="8">
        <f t="shared" ca="1" si="461"/>
        <v>4.5757212586363921E-2</v>
      </c>
      <c r="M445" s="8">
        <f t="shared" ca="1" si="461"/>
        <v>4.9161113106654913E-2</v>
      </c>
      <c r="N445" s="8">
        <f t="shared" ca="1" si="461"/>
        <v>4.8124580299858756E-2</v>
      </c>
      <c r="O445" s="8">
        <f t="shared" ca="1" si="461"/>
        <v>4.4729558234883698E-2</v>
      </c>
    </row>
    <row r="446" spans="2:15">
      <c r="B446" s="3">
        <v>425</v>
      </c>
      <c r="C446" s="8">
        <f t="shared" si="421"/>
        <v>0.05</v>
      </c>
      <c r="D446" s="8">
        <f t="shared" ref="D446:O446" ca="1" si="462">C446+k*(theta-C446)*dt+vol*SQRT(dt)*_xlfn.NORM.S.INV(RAND())</f>
        <v>4.7653601934262879E-2</v>
      </c>
      <c r="E446" s="8">
        <f t="shared" ca="1" si="462"/>
        <v>4.534219509673474E-2</v>
      </c>
      <c r="F446" s="8">
        <f t="shared" ca="1" si="462"/>
        <v>3.5310396988849906E-2</v>
      </c>
      <c r="G446" s="8">
        <f t="shared" ca="1" si="462"/>
        <v>3.157787171496379E-2</v>
      </c>
      <c r="H446" s="8">
        <f t="shared" ca="1" si="462"/>
        <v>4.4892862824997909E-2</v>
      </c>
      <c r="I446" s="8">
        <f t="shared" ca="1" si="462"/>
        <v>4.2544410266360702E-2</v>
      </c>
      <c r="J446" s="8">
        <f t="shared" ca="1" si="462"/>
        <v>4.4873855840556476E-2</v>
      </c>
      <c r="K446" s="8">
        <f t="shared" ca="1" si="462"/>
        <v>3.2688938399341359E-2</v>
      </c>
      <c r="L446" s="8">
        <f t="shared" ca="1" si="462"/>
        <v>3.4980630200182876E-2</v>
      </c>
      <c r="M446" s="8">
        <f t="shared" ca="1" si="462"/>
        <v>3.9614345458043043E-2</v>
      </c>
      <c r="N446" s="8">
        <f t="shared" ca="1" si="462"/>
        <v>4.7116414835858322E-2</v>
      </c>
      <c r="O446" s="8">
        <f t="shared" ca="1" si="462"/>
        <v>4.5074609334821443E-2</v>
      </c>
    </row>
    <row r="447" spans="2:15">
      <c r="B447" s="3">
        <v>426</v>
      </c>
      <c r="C447" s="8">
        <f t="shared" si="421"/>
        <v>0.05</v>
      </c>
      <c r="D447" s="8">
        <f t="shared" ref="D447:O447" ca="1" si="463">C447+k*(theta-C447)*dt+vol*SQRT(dt)*_xlfn.NORM.S.INV(RAND())</f>
        <v>4.1925306920184563E-2</v>
      </c>
      <c r="E447" s="8">
        <f t="shared" ca="1" si="463"/>
        <v>4.1770352979617821E-2</v>
      </c>
      <c r="F447" s="8">
        <f t="shared" ca="1" si="463"/>
        <v>4.3635835684487652E-2</v>
      </c>
      <c r="G447" s="8">
        <f t="shared" ca="1" si="463"/>
        <v>4.9960270886372983E-2</v>
      </c>
      <c r="H447" s="8">
        <f t="shared" ca="1" si="463"/>
        <v>3.7826648515569161E-2</v>
      </c>
      <c r="I447" s="8">
        <f t="shared" ca="1" si="463"/>
        <v>4.2089720124474574E-2</v>
      </c>
      <c r="J447" s="8">
        <f t="shared" ca="1" si="463"/>
        <v>4.4777336388986164E-2</v>
      </c>
      <c r="K447" s="8">
        <f t="shared" ca="1" si="463"/>
        <v>5.0878815535043295E-2</v>
      </c>
      <c r="L447" s="8">
        <f t="shared" ca="1" si="463"/>
        <v>5.0554519873499112E-2</v>
      </c>
      <c r="M447" s="8">
        <f t="shared" ca="1" si="463"/>
        <v>5.8509991015181124E-2</v>
      </c>
      <c r="N447" s="8">
        <f t="shared" ca="1" si="463"/>
        <v>5.0942830269563748E-2</v>
      </c>
      <c r="O447" s="8">
        <f t="shared" ca="1" si="463"/>
        <v>5.2302256872163687E-2</v>
      </c>
    </row>
    <row r="448" spans="2:15">
      <c r="B448" s="3">
        <v>427</v>
      </c>
      <c r="C448" s="8">
        <f t="shared" si="421"/>
        <v>0.05</v>
      </c>
      <c r="D448" s="8">
        <f t="shared" ref="D448:O448" ca="1" si="464">C448+k*(theta-C448)*dt+vol*SQRT(dt)*_xlfn.NORM.S.INV(RAND())</f>
        <v>4.0709818526103968E-2</v>
      </c>
      <c r="E448" s="8">
        <f t="shared" ca="1" si="464"/>
        <v>4.5799615179929885E-2</v>
      </c>
      <c r="F448" s="8">
        <f t="shared" ca="1" si="464"/>
        <v>4.3152412884551072E-2</v>
      </c>
      <c r="G448" s="8">
        <f t="shared" ca="1" si="464"/>
        <v>4.3650684918922808E-2</v>
      </c>
      <c r="H448" s="8">
        <f t="shared" ca="1" si="464"/>
        <v>4.0408423945484141E-2</v>
      </c>
      <c r="I448" s="8">
        <f t="shared" ca="1" si="464"/>
        <v>3.8008286987599456E-2</v>
      </c>
      <c r="J448" s="8">
        <f t="shared" ca="1" si="464"/>
        <v>4.348018223751051E-2</v>
      </c>
      <c r="K448" s="8">
        <f t="shared" ca="1" si="464"/>
        <v>4.496790760702242E-2</v>
      </c>
      <c r="L448" s="8">
        <f t="shared" ca="1" si="464"/>
        <v>4.2383468114394654E-2</v>
      </c>
      <c r="M448" s="8">
        <f t="shared" ca="1" si="464"/>
        <v>4.5045536897820843E-2</v>
      </c>
      <c r="N448" s="8">
        <f t="shared" ca="1" si="464"/>
        <v>5.5570293484431613E-2</v>
      </c>
      <c r="O448" s="8">
        <f t="shared" ca="1" si="464"/>
        <v>5.7209463489369485E-2</v>
      </c>
    </row>
    <row r="449" spans="2:15">
      <c r="B449" s="3">
        <v>428</v>
      </c>
      <c r="C449" s="8">
        <f t="shared" si="421"/>
        <v>0.05</v>
      </c>
      <c r="D449" s="8">
        <f t="shared" ref="D449:O449" ca="1" si="465">C449+k*(theta-C449)*dt+vol*SQRT(dt)*_xlfn.NORM.S.INV(RAND())</f>
        <v>4.4949021411780046E-2</v>
      </c>
      <c r="E449" s="8">
        <f t="shared" ca="1" si="465"/>
        <v>5.1155622708770498E-2</v>
      </c>
      <c r="F449" s="8">
        <f t="shared" ca="1" si="465"/>
        <v>5.9269008962208519E-2</v>
      </c>
      <c r="G449" s="8">
        <f t="shared" ca="1" si="465"/>
        <v>7.0480217904827891E-2</v>
      </c>
      <c r="H449" s="8">
        <f t="shared" ca="1" si="465"/>
        <v>6.3102669759957181E-2</v>
      </c>
      <c r="I449" s="8">
        <f t="shared" ca="1" si="465"/>
        <v>6.9610791019209015E-2</v>
      </c>
      <c r="J449" s="8">
        <f t="shared" ca="1" si="465"/>
        <v>6.49039228525395E-2</v>
      </c>
      <c r="K449" s="8">
        <f t="shared" ca="1" si="465"/>
        <v>6.3284322857221256E-2</v>
      </c>
      <c r="L449" s="8">
        <f t="shared" ca="1" si="465"/>
        <v>6.1670942967275634E-2</v>
      </c>
      <c r="M449" s="8">
        <f t="shared" ca="1" si="465"/>
        <v>5.6052283538738069E-2</v>
      </c>
      <c r="N449" s="8">
        <f t="shared" ca="1" si="465"/>
        <v>4.8144668416190986E-2</v>
      </c>
      <c r="O449" s="8">
        <f t="shared" ca="1" si="465"/>
        <v>6.2560368562042001E-2</v>
      </c>
    </row>
    <row r="450" spans="2:15">
      <c r="B450" s="3">
        <v>429</v>
      </c>
      <c r="C450" s="8">
        <f t="shared" si="421"/>
        <v>0.05</v>
      </c>
      <c r="D450" s="8">
        <f t="shared" ref="D450:O450" ca="1" si="466">C450+k*(theta-C450)*dt+vol*SQRT(dt)*_xlfn.NORM.S.INV(RAND())</f>
        <v>5.7112414871428159E-2</v>
      </c>
      <c r="E450" s="8">
        <f t="shared" ca="1" si="466"/>
        <v>5.7538413993797291E-2</v>
      </c>
      <c r="F450" s="8">
        <f t="shared" ca="1" si="466"/>
        <v>6.7194881720882269E-2</v>
      </c>
      <c r="G450" s="8">
        <f t="shared" ca="1" si="466"/>
        <v>6.8864038608756784E-2</v>
      </c>
      <c r="H450" s="8">
        <f t="shared" ca="1" si="466"/>
        <v>6.3444176095936416E-2</v>
      </c>
      <c r="I450" s="8">
        <f t="shared" ca="1" si="466"/>
        <v>6.0285800929945468E-2</v>
      </c>
      <c r="J450" s="8">
        <f t="shared" ca="1" si="466"/>
        <v>5.5227461285667377E-2</v>
      </c>
      <c r="K450" s="8">
        <f t="shared" ca="1" si="466"/>
        <v>5.341957659539074E-2</v>
      </c>
      <c r="L450" s="8">
        <f t="shared" ca="1" si="466"/>
        <v>6.0748656551773104E-2</v>
      </c>
      <c r="M450" s="8">
        <f t="shared" ca="1" si="466"/>
        <v>5.9996194982367558E-2</v>
      </c>
      <c r="N450" s="8">
        <f t="shared" ca="1" si="466"/>
        <v>5.9736365092219336E-2</v>
      </c>
      <c r="O450" s="8">
        <f t="shared" ca="1" si="466"/>
        <v>5.7757639049072572E-2</v>
      </c>
    </row>
    <row r="451" spans="2:15">
      <c r="B451" s="3">
        <v>430</v>
      </c>
      <c r="C451" s="8">
        <f t="shared" si="421"/>
        <v>0.05</v>
      </c>
      <c r="D451" s="8">
        <f t="shared" ref="D451:O451" ca="1" si="467">C451+k*(theta-C451)*dt+vol*SQRT(dt)*_xlfn.NORM.S.INV(RAND())</f>
        <v>5.3244544267217156E-2</v>
      </c>
      <c r="E451" s="8">
        <f t="shared" ca="1" si="467"/>
        <v>5.0266490552936249E-2</v>
      </c>
      <c r="F451" s="8">
        <f t="shared" ca="1" si="467"/>
        <v>5.143254802953541E-2</v>
      </c>
      <c r="G451" s="8">
        <f t="shared" ca="1" si="467"/>
        <v>6.0252900200760601E-2</v>
      </c>
      <c r="H451" s="8">
        <f t="shared" ca="1" si="467"/>
        <v>5.5250584986450517E-2</v>
      </c>
      <c r="I451" s="8">
        <f t="shared" ca="1" si="467"/>
        <v>6.3469477886527903E-2</v>
      </c>
      <c r="J451" s="8">
        <f t="shared" ca="1" si="467"/>
        <v>6.9670944875433516E-2</v>
      </c>
      <c r="K451" s="8">
        <f t="shared" ca="1" si="467"/>
        <v>5.67130318933355E-2</v>
      </c>
      <c r="L451" s="8">
        <f t="shared" ca="1" si="467"/>
        <v>6.0950774024356003E-2</v>
      </c>
      <c r="M451" s="8">
        <f t="shared" ca="1" si="467"/>
        <v>6.167820361727995E-2</v>
      </c>
      <c r="N451" s="8">
        <f t="shared" ca="1" si="467"/>
        <v>6.0079909687484105E-2</v>
      </c>
      <c r="O451" s="8">
        <f t="shared" ca="1" si="467"/>
        <v>6.0845949319741618E-2</v>
      </c>
    </row>
    <row r="452" spans="2:15">
      <c r="B452" s="3">
        <v>431</v>
      </c>
      <c r="C452" s="8">
        <f t="shared" si="421"/>
        <v>0.05</v>
      </c>
      <c r="D452" s="8">
        <f t="shared" ref="D452:O452" ca="1" si="468">C452+k*(theta-C452)*dt+vol*SQRT(dt)*_xlfn.NORM.S.INV(RAND())</f>
        <v>5.1575835510033162E-2</v>
      </c>
      <c r="E452" s="8">
        <f t="shared" ca="1" si="468"/>
        <v>6.1585621225881633E-2</v>
      </c>
      <c r="F452" s="8">
        <f t="shared" ca="1" si="468"/>
        <v>5.5566576559891397E-2</v>
      </c>
      <c r="G452" s="8">
        <f t="shared" ca="1" si="468"/>
        <v>4.9922741404336543E-2</v>
      </c>
      <c r="H452" s="8">
        <f t="shared" ca="1" si="468"/>
        <v>5.4189436200665811E-2</v>
      </c>
      <c r="I452" s="8">
        <f t="shared" ca="1" si="468"/>
        <v>5.1824159143096765E-2</v>
      </c>
      <c r="J452" s="8">
        <f t="shared" ca="1" si="468"/>
        <v>4.8899438623502142E-2</v>
      </c>
      <c r="K452" s="8">
        <f t="shared" ca="1" si="468"/>
        <v>6.3147145505524638E-2</v>
      </c>
      <c r="L452" s="8">
        <f t="shared" ca="1" si="468"/>
        <v>7.2344608559592002E-2</v>
      </c>
      <c r="M452" s="8">
        <f t="shared" ca="1" si="468"/>
        <v>8.1486323382984491E-2</v>
      </c>
      <c r="N452" s="8">
        <f t="shared" ca="1" si="468"/>
        <v>7.8906051541393851E-2</v>
      </c>
      <c r="O452" s="8">
        <f t="shared" ca="1" si="468"/>
        <v>7.4016444036195048E-2</v>
      </c>
    </row>
    <row r="453" spans="2:15">
      <c r="B453" s="3">
        <v>432</v>
      </c>
      <c r="C453" s="8">
        <f t="shared" si="421"/>
        <v>0.05</v>
      </c>
      <c r="D453" s="8">
        <f t="shared" ref="D453:O453" ca="1" si="469">C453+k*(theta-C453)*dt+vol*SQRT(dt)*_xlfn.NORM.S.INV(RAND())</f>
        <v>4.2661906165013877E-2</v>
      </c>
      <c r="E453" s="8">
        <f t="shared" ca="1" si="469"/>
        <v>5.1261973379706519E-2</v>
      </c>
      <c r="F453" s="8">
        <f t="shared" ca="1" si="469"/>
        <v>5.1476356484761593E-2</v>
      </c>
      <c r="G453" s="8">
        <f t="shared" ca="1" si="469"/>
        <v>4.0931511300100747E-2</v>
      </c>
      <c r="H453" s="8">
        <f t="shared" ca="1" si="469"/>
        <v>3.8557560285354557E-2</v>
      </c>
      <c r="I453" s="8">
        <f t="shared" ca="1" si="469"/>
        <v>3.3675405272359113E-2</v>
      </c>
      <c r="J453" s="8">
        <f t="shared" ca="1" si="469"/>
        <v>2.806128411812735E-2</v>
      </c>
      <c r="K453" s="8">
        <f t="shared" ca="1" si="469"/>
        <v>3.1649651714931643E-2</v>
      </c>
      <c r="L453" s="8">
        <f t="shared" ca="1" si="469"/>
        <v>3.1506944401135495E-2</v>
      </c>
      <c r="M453" s="8">
        <f t="shared" ca="1" si="469"/>
        <v>3.535246009713356E-2</v>
      </c>
      <c r="N453" s="8">
        <f t="shared" ca="1" si="469"/>
        <v>3.1591221264670719E-2</v>
      </c>
      <c r="O453" s="8">
        <f t="shared" ca="1" si="469"/>
        <v>3.1347383006173242E-2</v>
      </c>
    </row>
    <row r="454" spans="2:15">
      <c r="B454" s="3">
        <v>433</v>
      </c>
      <c r="C454" s="8">
        <f t="shared" si="421"/>
        <v>0.05</v>
      </c>
      <c r="D454" s="8">
        <f t="shared" ref="D454:O454" ca="1" si="470">C454+k*(theta-C454)*dt+vol*SQRT(dt)*_xlfn.NORM.S.INV(RAND())</f>
        <v>5.4429539144589936E-2</v>
      </c>
      <c r="E454" s="8">
        <f t="shared" ca="1" si="470"/>
        <v>5.7354526517786941E-2</v>
      </c>
      <c r="F454" s="8">
        <f t="shared" ca="1" si="470"/>
        <v>5.5899980237144792E-2</v>
      </c>
      <c r="G454" s="8">
        <f t="shared" ca="1" si="470"/>
        <v>6.5403130161338752E-2</v>
      </c>
      <c r="H454" s="8">
        <f t="shared" ca="1" si="470"/>
        <v>6.7850286062120416E-2</v>
      </c>
      <c r="I454" s="8">
        <f t="shared" ca="1" si="470"/>
        <v>7.6528614141349982E-2</v>
      </c>
      <c r="J454" s="8">
        <f t="shared" ca="1" si="470"/>
        <v>7.2956840048305466E-2</v>
      </c>
      <c r="K454" s="8">
        <f t="shared" ca="1" si="470"/>
        <v>7.9884562156497807E-2</v>
      </c>
      <c r="L454" s="8">
        <f t="shared" ca="1" si="470"/>
        <v>7.58716742736842E-2</v>
      </c>
      <c r="M454" s="8">
        <f t="shared" ca="1" si="470"/>
        <v>7.9833626702133925E-2</v>
      </c>
      <c r="N454" s="8">
        <f t="shared" ca="1" si="470"/>
        <v>8.0257700841041724E-2</v>
      </c>
      <c r="O454" s="8">
        <f t="shared" ca="1" si="470"/>
        <v>7.1570513638642294E-2</v>
      </c>
    </row>
    <row r="455" spans="2:15">
      <c r="B455" s="3">
        <v>434</v>
      </c>
      <c r="C455" s="8">
        <f t="shared" si="421"/>
        <v>0.05</v>
      </c>
      <c r="D455" s="8">
        <f t="shared" ref="D455:O455" ca="1" si="471">C455+k*(theta-C455)*dt+vol*SQRT(dt)*_xlfn.NORM.S.INV(RAND())</f>
        <v>6.1255806312419545E-2</v>
      </c>
      <c r="E455" s="8">
        <f t="shared" ca="1" si="471"/>
        <v>6.6882897313058076E-2</v>
      </c>
      <c r="F455" s="8">
        <f t="shared" ca="1" si="471"/>
        <v>6.2128341875526773E-2</v>
      </c>
      <c r="G455" s="8">
        <f t="shared" ca="1" si="471"/>
        <v>6.1242053989433408E-2</v>
      </c>
      <c r="H455" s="8">
        <f t="shared" ca="1" si="471"/>
        <v>6.2490902617950081E-2</v>
      </c>
      <c r="I455" s="8">
        <f t="shared" ca="1" si="471"/>
        <v>7.3823171366581244E-2</v>
      </c>
      <c r="J455" s="8">
        <f t="shared" ca="1" si="471"/>
        <v>6.5057115330634324E-2</v>
      </c>
      <c r="K455" s="8">
        <f t="shared" ca="1" si="471"/>
        <v>7.2724563713710069E-2</v>
      </c>
      <c r="L455" s="8">
        <f t="shared" ca="1" si="471"/>
        <v>7.2219104567927905E-2</v>
      </c>
      <c r="M455" s="8">
        <f t="shared" ca="1" si="471"/>
        <v>6.6275998729389385E-2</v>
      </c>
      <c r="N455" s="8">
        <f t="shared" ca="1" si="471"/>
        <v>5.2253871795366252E-2</v>
      </c>
      <c r="O455" s="8">
        <f t="shared" ca="1" si="471"/>
        <v>5.7998303356409486E-2</v>
      </c>
    </row>
    <row r="456" spans="2:15">
      <c r="B456" s="3">
        <v>435</v>
      </c>
      <c r="C456" s="8">
        <f t="shared" si="421"/>
        <v>0.05</v>
      </c>
      <c r="D456" s="8">
        <f t="shared" ref="D456:O456" ca="1" si="472">C456+k*(theta-C456)*dt+vol*SQRT(dt)*_xlfn.NORM.S.INV(RAND())</f>
        <v>4.7623217354516259E-2</v>
      </c>
      <c r="E456" s="8">
        <f t="shared" ca="1" si="472"/>
        <v>4.3803829431000037E-2</v>
      </c>
      <c r="F456" s="8">
        <f t="shared" ca="1" si="472"/>
        <v>4.1457610962129167E-2</v>
      </c>
      <c r="G456" s="8">
        <f t="shared" ca="1" si="472"/>
        <v>3.7196905688976704E-2</v>
      </c>
      <c r="H456" s="8">
        <f t="shared" ca="1" si="472"/>
        <v>5.1751372546719132E-2</v>
      </c>
      <c r="I456" s="8">
        <f t="shared" ca="1" si="472"/>
        <v>5.5628805833928298E-2</v>
      </c>
      <c r="J456" s="8">
        <f t="shared" ca="1" si="472"/>
        <v>4.5302199401684243E-2</v>
      </c>
      <c r="K456" s="8">
        <f t="shared" ca="1" si="472"/>
        <v>4.1989737170944189E-2</v>
      </c>
      <c r="L456" s="8">
        <f t="shared" ca="1" si="472"/>
        <v>4.4154706615386403E-2</v>
      </c>
      <c r="M456" s="8">
        <f t="shared" ca="1" si="472"/>
        <v>4.7628421329803779E-2</v>
      </c>
      <c r="N456" s="8">
        <f t="shared" ca="1" si="472"/>
        <v>5.324255185899774E-2</v>
      </c>
      <c r="O456" s="8">
        <f t="shared" ca="1" si="472"/>
        <v>4.5946524536462835E-2</v>
      </c>
    </row>
    <row r="457" spans="2:15">
      <c r="B457" s="3">
        <v>436</v>
      </c>
      <c r="C457" s="8">
        <f t="shared" si="421"/>
        <v>0.05</v>
      </c>
      <c r="D457" s="8">
        <f t="shared" ref="D457:O457" ca="1" si="473">C457+k*(theta-C457)*dt+vol*SQRT(dt)*_xlfn.NORM.S.INV(RAND())</f>
        <v>4.3659622262690455E-2</v>
      </c>
      <c r="E457" s="8">
        <f t="shared" ca="1" si="473"/>
        <v>5.733674031242407E-2</v>
      </c>
      <c r="F457" s="8">
        <f t="shared" ca="1" si="473"/>
        <v>5.6935261479991103E-2</v>
      </c>
      <c r="G457" s="8">
        <f t="shared" ca="1" si="473"/>
        <v>6.0324925509690513E-2</v>
      </c>
      <c r="H457" s="8">
        <f t="shared" ca="1" si="473"/>
        <v>5.8757953389694854E-2</v>
      </c>
      <c r="I457" s="8">
        <f t="shared" ca="1" si="473"/>
        <v>5.0397988528753199E-2</v>
      </c>
      <c r="J457" s="8">
        <f t="shared" ca="1" si="473"/>
        <v>5.6108390363725641E-2</v>
      </c>
      <c r="K457" s="8">
        <f t="shared" ca="1" si="473"/>
        <v>5.6279864744248162E-2</v>
      </c>
      <c r="L457" s="8">
        <f t="shared" ca="1" si="473"/>
        <v>6.2307517618394273E-2</v>
      </c>
      <c r="M457" s="8">
        <f t="shared" ca="1" si="473"/>
        <v>5.859491790139354E-2</v>
      </c>
      <c r="N457" s="8">
        <f t="shared" ca="1" si="473"/>
        <v>5.3260887180954751E-2</v>
      </c>
      <c r="O457" s="8">
        <f t="shared" ca="1" si="473"/>
        <v>5.1782327801635254E-2</v>
      </c>
    </row>
    <row r="458" spans="2:15">
      <c r="B458" s="3">
        <v>437</v>
      </c>
      <c r="C458" s="8">
        <f t="shared" si="421"/>
        <v>0.05</v>
      </c>
      <c r="D458" s="8">
        <f t="shared" ref="D458:O458" ca="1" si="474">C458+k*(theta-C458)*dt+vol*SQRT(dt)*_xlfn.NORM.S.INV(RAND())</f>
        <v>5.4354124927133166E-2</v>
      </c>
      <c r="E458" s="8">
        <f t="shared" ca="1" si="474"/>
        <v>4.681764338530145E-2</v>
      </c>
      <c r="F458" s="8">
        <f t="shared" ca="1" si="474"/>
        <v>3.6414094735264302E-2</v>
      </c>
      <c r="G458" s="8">
        <f t="shared" ca="1" si="474"/>
        <v>3.8817924660439408E-2</v>
      </c>
      <c r="H458" s="8">
        <f t="shared" ca="1" si="474"/>
        <v>4.5209258805249009E-2</v>
      </c>
      <c r="I458" s="8">
        <f t="shared" ca="1" si="474"/>
        <v>5.492693882511572E-2</v>
      </c>
      <c r="J458" s="8">
        <f t="shared" ca="1" si="474"/>
        <v>5.887113362351986E-2</v>
      </c>
      <c r="K458" s="8">
        <f t="shared" ca="1" si="474"/>
        <v>6.8119120098347613E-2</v>
      </c>
      <c r="L458" s="8">
        <f t="shared" ca="1" si="474"/>
        <v>6.9391839498807617E-2</v>
      </c>
      <c r="M458" s="8">
        <f t="shared" ca="1" si="474"/>
        <v>6.8471309932453553E-2</v>
      </c>
      <c r="N458" s="8">
        <f t="shared" ca="1" si="474"/>
        <v>7.1202368111575251E-2</v>
      </c>
      <c r="O458" s="8">
        <f t="shared" ca="1" si="474"/>
        <v>6.1879293900827435E-2</v>
      </c>
    </row>
    <row r="459" spans="2:15">
      <c r="B459" s="3">
        <v>438</v>
      </c>
      <c r="C459" s="8">
        <f t="shared" si="421"/>
        <v>0.05</v>
      </c>
      <c r="D459" s="8">
        <f t="shared" ref="D459:O459" ca="1" si="475">C459+k*(theta-C459)*dt+vol*SQRT(dt)*_xlfn.NORM.S.INV(RAND())</f>
        <v>4.3644414513829367E-2</v>
      </c>
      <c r="E459" s="8">
        <f t="shared" ca="1" si="475"/>
        <v>4.8230476498398379E-2</v>
      </c>
      <c r="F459" s="8">
        <f t="shared" ca="1" si="475"/>
        <v>5.1643708961785856E-2</v>
      </c>
      <c r="G459" s="8">
        <f t="shared" ca="1" si="475"/>
        <v>5.837043494592415E-2</v>
      </c>
      <c r="H459" s="8">
        <f t="shared" ca="1" si="475"/>
        <v>6.470169017986882E-2</v>
      </c>
      <c r="I459" s="8">
        <f t="shared" ca="1" si="475"/>
        <v>6.8894196340255884E-2</v>
      </c>
      <c r="J459" s="8">
        <f t="shared" ca="1" si="475"/>
        <v>6.8746493971736447E-2</v>
      </c>
      <c r="K459" s="8">
        <f t="shared" ca="1" si="475"/>
        <v>5.7213498161586829E-2</v>
      </c>
      <c r="L459" s="8">
        <f t="shared" ca="1" si="475"/>
        <v>5.620195834647479E-2</v>
      </c>
      <c r="M459" s="8">
        <f t="shared" ca="1" si="475"/>
        <v>5.7007820169862049E-2</v>
      </c>
      <c r="N459" s="8">
        <f t="shared" ca="1" si="475"/>
        <v>6.3762741220442801E-2</v>
      </c>
      <c r="O459" s="8">
        <f t="shared" ca="1" si="475"/>
        <v>5.8226657904485148E-2</v>
      </c>
    </row>
    <row r="460" spans="2:15">
      <c r="B460" s="3">
        <v>439</v>
      </c>
      <c r="C460" s="8">
        <f t="shared" si="421"/>
        <v>0.05</v>
      </c>
      <c r="D460" s="8">
        <f t="shared" ref="D460:O460" ca="1" si="476">C460+k*(theta-C460)*dt+vol*SQRT(dt)*_xlfn.NORM.S.INV(RAND())</f>
        <v>5.8708098769716513E-2</v>
      </c>
      <c r="E460" s="8">
        <f t="shared" ca="1" si="476"/>
        <v>6.5546561944491696E-2</v>
      </c>
      <c r="F460" s="8">
        <f t="shared" ca="1" si="476"/>
        <v>5.99478718974394E-2</v>
      </c>
      <c r="G460" s="8">
        <f t="shared" ca="1" si="476"/>
        <v>6.5232094465015364E-2</v>
      </c>
      <c r="H460" s="8">
        <f t="shared" ca="1" si="476"/>
        <v>7.1357763835037225E-2</v>
      </c>
      <c r="I460" s="8">
        <f t="shared" ca="1" si="476"/>
        <v>5.9719758294702004E-2</v>
      </c>
      <c r="J460" s="8">
        <f t="shared" ca="1" si="476"/>
        <v>6.1726630110573125E-2</v>
      </c>
      <c r="K460" s="8">
        <f t="shared" ca="1" si="476"/>
        <v>5.2570912655848782E-2</v>
      </c>
      <c r="L460" s="8">
        <f t="shared" ca="1" si="476"/>
        <v>5.1226622816274617E-2</v>
      </c>
      <c r="M460" s="8">
        <f t="shared" ca="1" si="476"/>
        <v>4.6478236888774192E-2</v>
      </c>
      <c r="N460" s="8">
        <f t="shared" ca="1" si="476"/>
        <v>3.6722512203789595E-2</v>
      </c>
      <c r="O460" s="8">
        <f t="shared" ca="1" si="476"/>
        <v>4.0140805123979148E-2</v>
      </c>
    </row>
    <row r="461" spans="2:15">
      <c r="B461" s="3">
        <v>440</v>
      </c>
      <c r="C461" s="8">
        <f t="shared" si="421"/>
        <v>0.05</v>
      </c>
      <c r="D461" s="8">
        <f t="shared" ref="D461:O461" ca="1" si="477">C461+k*(theta-C461)*dt+vol*SQRT(dt)*_xlfn.NORM.S.INV(RAND())</f>
        <v>4.4949930698302235E-2</v>
      </c>
      <c r="E461" s="8">
        <f t="shared" ca="1" si="477"/>
        <v>4.3426017965409403E-2</v>
      </c>
      <c r="F461" s="8">
        <f t="shared" ca="1" si="477"/>
        <v>3.7891874276280824E-2</v>
      </c>
      <c r="G461" s="8">
        <f t="shared" ca="1" si="477"/>
        <v>3.881800112635312E-2</v>
      </c>
      <c r="H461" s="8">
        <f t="shared" ca="1" si="477"/>
        <v>4.9841979517513818E-2</v>
      </c>
      <c r="I461" s="8">
        <f t="shared" ca="1" si="477"/>
        <v>4.0652141161724671E-2</v>
      </c>
      <c r="J461" s="8">
        <f t="shared" ca="1" si="477"/>
        <v>3.1860040099088834E-2</v>
      </c>
      <c r="K461" s="8">
        <f t="shared" ca="1" si="477"/>
        <v>3.4815208733835451E-2</v>
      </c>
      <c r="L461" s="8">
        <f t="shared" ca="1" si="477"/>
        <v>4.9889237466851352E-2</v>
      </c>
      <c r="M461" s="8">
        <f t="shared" ca="1" si="477"/>
        <v>4.9997692507832397E-2</v>
      </c>
      <c r="N461" s="8">
        <f t="shared" ca="1" si="477"/>
        <v>4.6101815789669168E-2</v>
      </c>
      <c r="O461" s="8">
        <f t="shared" ca="1" si="477"/>
        <v>5.5798776719095611E-2</v>
      </c>
    </row>
    <row r="462" spans="2:15">
      <c r="B462" s="3">
        <v>441</v>
      </c>
      <c r="C462" s="8">
        <f t="shared" si="421"/>
        <v>0.05</v>
      </c>
      <c r="D462" s="8">
        <f t="shared" ref="D462:O462" ca="1" si="478">C462+k*(theta-C462)*dt+vol*SQRT(dt)*_xlfn.NORM.S.INV(RAND())</f>
        <v>4.9275529213942841E-2</v>
      </c>
      <c r="E462" s="8">
        <f t="shared" ca="1" si="478"/>
        <v>4.9112827940790998E-2</v>
      </c>
      <c r="F462" s="8">
        <f t="shared" ca="1" si="478"/>
        <v>5.170529075582847E-2</v>
      </c>
      <c r="G462" s="8">
        <f t="shared" ca="1" si="478"/>
        <v>6.1892010477792872E-2</v>
      </c>
      <c r="H462" s="8">
        <f t="shared" ca="1" si="478"/>
        <v>6.0413801207450095E-2</v>
      </c>
      <c r="I462" s="8">
        <f t="shared" ca="1" si="478"/>
        <v>5.865874212349554E-2</v>
      </c>
      <c r="J462" s="8">
        <f t="shared" ca="1" si="478"/>
        <v>5.7794727049143534E-2</v>
      </c>
      <c r="K462" s="8">
        <f t="shared" ca="1" si="478"/>
        <v>4.8379125210044546E-2</v>
      </c>
      <c r="L462" s="8">
        <f t="shared" ca="1" si="478"/>
        <v>5.3618709247488683E-2</v>
      </c>
      <c r="M462" s="8">
        <f t="shared" ca="1" si="478"/>
        <v>5.9152813885807239E-2</v>
      </c>
      <c r="N462" s="8">
        <f t="shared" ca="1" si="478"/>
        <v>6.5218887691380817E-2</v>
      </c>
      <c r="O462" s="8">
        <f t="shared" ca="1" si="478"/>
        <v>6.9278784113694591E-2</v>
      </c>
    </row>
    <row r="463" spans="2:15">
      <c r="B463" s="3">
        <v>442</v>
      </c>
      <c r="C463" s="8">
        <f t="shared" si="421"/>
        <v>0.05</v>
      </c>
      <c r="D463" s="8">
        <f t="shared" ref="D463:O463" ca="1" si="479">C463+k*(theta-C463)*dt+vol*SQRT(dt)*_xlfn.NORM.S.INV(RAND())</f>
        <v>6.2462499837425883E-2</v>
      </c>
      <c r="E463" s="8">
        <f t="shared" ca="1" si="479"/>
        <v>6.041157936197207E-2</v>
      </c>
      <c r="F463" s="8">
        <f t="shared" ca="1" si="479"/>
        <v>6.370705116049892E-2</v>
      </c>
      <c r="G463" s="8">
        <f t="shared" ca="1" si="479"/>
        <v>6.6297673492234102E-2</v>
      </c>
      <c r="H463" s="8">
        <f t="shared" ca="1" si="479"/>
        <v>5.660489428867839E-2</v>
      </c>
      <c r="I463" s="8">
        <f t="shared" ca="1" si="479"/>
        <v>6.3305913597818467E-2</v>
      </c>
      <c r="J463" s="8">
        <f t="shared" ca="1" si="479"/>
        <v>7.3261993819161902E-2</v>
      </c>
      <c r="K463" s="8">
        <f t="shared" ca="1" si="479"/>
        <v>7.7210685127609924E-2</v>
      </c>
      <c r="L463" s="8">
        <f t="shared" ca="1" si="479"/>
        <v>7.4696290462114998E-2</v>
      </c>
      <c r="M463" s="8">
        <f t="shared" ca="1" si="479"/>
        <v>6.625899072383952E-2</v>
      </c>
      <c r="N463" s="8">
        <f t="shared" ca="1" si="479"/>
        <v>6.7988473914022199E-2</v>
      </c>
      <c r="O463" s="8">
        <f t="shared" ca="1" si="479"/>
        <v>6.716254192231598E-2</v>
      </c>
    </row>
    <row r="464" spans="2:15">
      <c r="B464" s="3">
        <v>443</v>
      </c>
      <c r="C464" s="8">
        <f t="shared" si="421"/>
        <v>0.05</v>
      </c>
      <c r="D464" s="8">
        <f t="shared" ref="D464:O464" ca="1" si="480">C464+k*(theta-C464)*dt+vol*SQRT(dt)*_xlfn.NORM.S.INV(RAND())</f>
        <v>4.7916864226714304E-2</v>
      </c>
      <c r="E464" s="8">
        <f t="shared" ca="1" si="480"/>
        <v>5.4794575728353466E-2</v>
      </c>
      <c r="F464" s="8">
        <f t="shared" ca="1" si="480"/>
        <v>5.2840455276169644E-2</v>
      </c>
      <c r="G464" s="8">
        <f t="shared" ca="1" si="480"/>
        <v>5.135366034370964E-2</v>
      </c>
      <c r="H464" s="8">
        <f t="shared" ca="1" si="480"/>
        <v>6.3005128711440483E-2</v>
      </c>
      <c r="I464" s="8">
        <f t="shared" ca="1" si="480"/>
        <v>6.0157623712534788E-2</v>
      </c>
      <c r="J464" s="8">
        <f t="shared" ca="1" si="480"/>
        <v>5.2202415485982069E-2</v>
      </c>
      <c r="K464" s="8">
        <f t="shared" ca="1" si="480"/>
        <v>4.752999469229531E-2</v>
      </c>
      <c r="L464" s="8">
        <f t="shared" ca="1" si="480"/>
        <v>5.3791000373794286E-2</v>
      </c>
      <c r="M464" s="8">
        <f t="shared" ca="1" si="480"/>
        <v>5.5615688266430721E-2</v>
      </c>
      <c r="N464" s="8">
        <f t="shared" ca="1" si="480"/>
        <v>4.7819788837398979E-2</v>
      </c>
      <c r="O464" s="8">
        <f t="shared" ca="1" si="480"/>
        <v>5.1954549797574558E-2</v>
      </c>
    </row>
    <row r="465" spans="2:15">
      <c r="B465" s="3">
        <v>444</v>
      </c>
      <c r="C465" s="8">
        <f t="shared" si="421"/>
        <v>0.05</v>
      </c>
      <c r="D465" s="8">
        <f t="shared" ref="D465:O465" ca="1" si="481">C465+k*(theta-C465)*dt+vol*SQRT(dt)*_xlfn.NORM.S.INV(RAND())</f>
        <v>5.3382919284588104E-2</v>
      </c>
      <c r="E465" s="8">
        <f t="shared" ca="1" si="481"/>
        <v>5.5152582070005923E-2</v>
      </c>
      <c r="F465" s="8">
        <f t="shared" ca="1" si="481"/>
        <v>6.1901651165422879E-2</v>
      </c>
      <c r="G465" s="8">
        <f t="shared" ca="1" si="481"/>
        <v>6.4236806020317519E-2</v>
      </c>
      <c r="H465" s="8">
        <f t="shared" ca="1" si="481"/>
        <v>5.8346869318382247E-2</v>
      </c>
      <c r="I465" s="8">
        <f t="shared" ca="1" si="481"/>
        <v>6.2651773739115429E-2</v>
      </c>
      <c r="J465" s="8">
        <f t="shared" ca="1" si="481"/>
        <v>5.7209092287874713E-2</v>
      </c>
      <c r="K465" s="8">
        <f t="shared" ca="1" si="481"/>
        <v>6.3673911080021392E-2</v>
      </c>
      <c r="L465" s="8">
        <f t="shared" ca="1" si="481"/>
        <v>6.1172729751076051E-2</v>
      </c>
      <c r="M465" s="8">
        <f t="shared" ca="1" si="481"/>
        <v>6.1583952542359377E-2</v>
      </c>
      <c r="N465" s="8">
        <f t="shared" ca="1" si="481"/>
        <v>6.3173756825652835E-2</v>
      </c>
      <c r="O465" s="8">
        <f t="shared" ca="1" si="481"/>
        <v>7.1900900342979357E-2</v>
      </c>
    </row>
    <row r="466" spans="2:15">
      <c r="B466" s="3">
        <v>445</v>
      </c>
      <c r="C466" s="8">
        <f t="shared" si="421"/>
        <v>0.05</v>
      </c>
      <c r="D466" s="8">
        <f t="shared" ref="D466:O466" ca="1" si="482">C466+k*(theta-C466)*dt+vol*SQRT(dt)*_xlfn.NORM.S.INV(RAND())</f>
        <v>5.6324519869266086E-2</v>
      </c>
      <c r="E466" s="8">
        <f t="shared" ca="1" si="482"/>
        <v>5.7575861091054739E-2</v>
      </c>
      <c r="F466" s="8">
        <f t="shared" ca="1" si="482"/>
        <v>6.6172694493462983E-2</v>
      </c>
      <c r="G466" s="8">
        <f t="shared" ca="1" si="482"/>
        <v>6.9404616536353159E-2</v>
      </c>
      <c r="H466" s="8">
        <f t="shared" ca="1" si="482"/>
        <v>6.6740957144652738E-2</v>
      </c>
      <c r="I466" s="8">
        <f t="shared" ca="1" si="482"/>
        <v>7.40734944730288E-2</v>
      </c>
      <c r="J466" s="8">
        <f t="shared" ca="1" si="482"/>
        <v>6.9125684757930392E-2</v>
      </c>
      <c r="K466" s="8">
        <f t="shared" ca="1" si="482"/>
        <v>7.4780194364908084E-2</v>
      </c>
      <c r="L466" s="8">
        <f t="shared" ca="1" si="482"/>
        <v>7.7833431450357551E-2</v>
      </c>
      <c r="M466" s="8">
        <f t="shared" ca="1" si="482"/>
        <v>8.3547748749211989E-2</v>
      </c>
      <c r="N466" s="8">
        <f t="shared" ca="1" si="482"/>
        <v>8.0167994902918066E-2</v>
      </c>
      <c r="O466" s="8">
        <f t="shared" ca="1" si="482"/>
        <v>8.1757880199160887E-2</v>
      </c>
    </row>
    <row r="467" spans="2:15">
      <c r="B467" s="3">
        <v>446</v>
      </c>
      <c r="C467" s="8">
        <f t="shared" si="421"/>
        <v>0.05</v>
      </c>
      <c r="D467" s="8">
        <f t="shared" ref="D467:O467" ca="1" si="483">C467+k*(theta-C467)*dt+vol*SQRT(dt)*_xlfn.NORM.S.INV(RAND())</f>
        <v>5.4080663073608634E-2</v>
      </c>
      <c r="E467" s="8">
        <f t="shared" ca="1" si="483"/>
        <v>4.9071469337553221E-2</v>
      </c>
      <c r="F467" s="8">
        <f t="shared" ca="1" si="483"/>
        <v>4.8200087112037299E-2</v>
      </c>
      <c r="G467" s="8">
        <f t="shared" ca="1" si="483"/>
        <v>5.130827806639366E-2</v>
      </c>
      <c r="H467" s="8">
        <f t="shared" ca="1" si="483"/>
        <v>4.6880778775658896E-2</v>
      </c>
      <c r="I467" s="8">
        <f t="shared" ca="1" si="483"/>
        <v>5.5692830531962362E-2</v>
      </c>
      <c r="J467" s="8">
        <f t="shared" ca="1" si="483"/>
        <v>5.560678383852552E-2</v>
      </c>
      <c r="K467" s="8">
        <f t="shared" ca="1" si="483"/>
        <v>6.1885864153512216E-2</v>
      </c>
      <c r="L467" s="8">
        <f t="shared" ca="1" si="483"/>
        <v>6.8061796516946521E-2</v>
      </c>
      <c r="M467" s="8">
        <f t="shared" ca="1" si="483"/>
        <v>6.7025571708771867E-2</v>
      </c>
      <c r="N467" s="8">
        <f t="shared" ca="1" si="483"/>
        <v>6.7268000150466481E-2</v>
      </c>
      <c r="O467" s="8">
        <f t="shared" ca="1" si="483"/>
        <v>6.3414872235712474E-2</v>
      </c>
    </row>
    <row r="468" spans="2:15">
      <c r="B468" s="3">
        <v>447</v>
      </c>
      <c r="C468" s="8">
        <f t="shared" si="421"/>
        <v>0.05</v>
      </c>
      <c r="D468" s="8">
        <f t="shared" ref="D468:O468" ca="1" si="484">C468+k*(theta-C468)*dt+vol*SQRT(dt)*_xlfn.NORM.S.INV(RAND())</f>
        <v>3.886549121111571E-2</v>
      </c>
      <c r="E468" s="8">
        <f t="shared" ca="1" si="484"/>
        <v>3.0386219589964337E-2</v>
      </c>
      <c r="F468" s="8">
        <f t="shared" ca="1" si="484"/>
        <v>3.4771587678533139E-2</v>
      </c>
      <c r="G468" s="8">
        <f t="shared" ca="1" si="484"/>
        <v>3.3985323740507951E-2</v>
      </c>
      <c r="H468" s="8">
        <f t="shared" ca="1" si="484"/>
        <v>2.5320351151261175E-2</v>
      </c>
      <c r="I468" s="8">
        <f t="shared" ca="1" si="484"/>
        <v>3.2549154670920219E-2</v>
      </c>
      <c r="J468" s="8">
        <f t="shared" ca="1" si="484"/>
        <v>3.7390307646254763E-2</v>
      </c>
      <c r="K468" s="8">
        <f t="shared" ca="1" si="484"/>
        <v>3.9291463869352693E-2</v>
      </c>
      <c r="L468" s="8">
        <f t="shared" ca="1" si="484"/>
        <v>3.6542384120268306E-2</v>
      </c>
      <c r="M468" s="8">
        <f t="shared" ca="1" si="484"/>
        <v>4.4516102677182451E-2</v>
      </c>
      <c r="N468" s="8">
        <f t="shared" ca="1" si="484"/>
        <v>3.5691762959640522E-2</v>
      </c>
      <c r="O468" s="8">
        <f t="shared" ca="1" si="484"/>
        <v>3.2026199374635252E-2</v>
      </c>
    </row>
    <row r="469" spans="2:15">
      <c r="B469" s="3">
        <v>448</v>
      </c>
      <c r="C469" s="8">
        <f t="shared" si="421"/>
        <v>0.05</v>
      </c>
      <c r="D469" s="8">
        <f t="shared" ref="D469:O469" ca="1" si="485">C469+k*(theta-C469)*dt+vol*SQRT(dt)*_xlfn.NORM.S.INV(RAND())</f>
        <v>5.8342096538432073E-2</v>
      </c>
      <c r="E469" s="8">
        <f t="shared" ca="1" si="485"/>
        <v>5.6287207823678645E-2</v>
      </c>
      <c r="F469" s="8">
        <f t="shared" ca="1" si="485"/>
        <v>5.7976072657764034E-2</v>
      </c>
      <c r="G469" s="8">
        <f t="shared" ca="1" si="485"/>
        <v>6.19564049217559E-2</v>
      </c>
      <c r="H469" s="8">
        <f t="shared" ca="1" si="485"/>
        <v>6.4247627335856122E-2</v>
      </c>
      <c r="I469" s="8">
        <f t="shared" ca="1" si="485"/>
        <v>5.1319648397527E-2</v>
      </c>
      <c r="J469" s="8">
        <f t="shared" ca="1" si="485"/>
        <v>4.2897251336353012E-2</v>
      </c>
      <c r="K469" s="8">
        <f t="shared" ca="1" si="485"/>
        <v>4.7791788950368314E-2</v>
      </c>
      <c r="L469" s="8">
        <f t="shared" ca="1" si="485"/>
        <v>4.7648370345137997E-2</v>
      </c>
      <c r="M469" s="8">
        <f t="shared" ca="1" si="485"/>
        <v>3.8555783704885944E-2</v>
      </c>
      <c r="N469" s="8">
        <f t="shared" ca="1" si="485"/>
        <v>4.8138772106762054E-2</v>
      </c>
      <c r="O469" s="8">
        <f t="shared" ca="1" si="485"/>
        <v>4.9354166083530625E-2</v>
      </c>
    </row>
    <row r="470" spans="2:15">
      <c r="B470" s="3">
        <v>449</v>
      </c>
      <c r="C470" s="8">
        <f t="shared" ref="C470:C521" si="486">r0</f>
        <v>0.05</v>
      </c>
      <c r="D470" s="8">
        <f t="shared" ref="D470:O470" ca="1" si="487">C470+k*(theta-C470)*dt+vol*SQRT(dt)*_xlfn.NORM.S.INV(RAND())</f>
        <v>6.4805058626094231E-2</v>
      </c>
      <c r="E470" s="8">
        <f t="shared" ca="1" si="487"/>
        <v>6.0490482102271509E-2</v>
      </c>
      <c r="F470" s="8">
        <f t="shared" ca="1" si="487"/>
        <v>4.9957523716260645E-2</v>
      </c>
      <c r="G470" s="8">
        <f t="shared" ca="1" si="487"/>
        <v>5.7075480521100487E-2</v>
      </c>
      <c r="H470" s="8">
        <f t="shared" ca="1" si="487"/>
        <v>4.1990210665780743E-2</v>
      </c>
      <c r="I470" s="8">
        <f t="shared" ca="1" si="487"/>
        <v>4.291864551964384E-2</v>
      </c>
      <c r="J470" s="8">
        <f t="shared" ca="1" si="487"/>
        <v>3.7923913529124109E-2</v>
      </c>
      <c r="K470" s="8">
        <f t="shared" ca="1" si="487"/>
        <v>4.5495880485183507E-2</v>
      </c>
      <c r="L470" s="8">
        <f t="shared" ca="1" si="487"/>
        <v>3.069010104300382E-2</v>
      </c>
      <c r="M470" s="8">
        <f t="shared" ca="1" si="487"/>
        <v>3.4518928623412118E-2</v>
      </c>
      <c r="N470" s="8">
        <f t="shared" ca="1" si="487"/>
        <v>4.0687947318948529E-2</v>
      </c>
      <c r="O470" s="8">
        <f t="shared" ca="1" si="487"/>
        <v>4.2878086058900824E-2</v>
      </c>
    </row>
    <row r="471" spans="2:15">
      <c r="B471" s="3">
        <v>450</v>
      </c>
      <c r="C471" s="8">
        <f t="shared" si="486"/>
        <v>0.05</v>
      </c>
      <c r="D471" s="8">
        <f t="shared" ref="D471:O471" ca="1" si="488">C471+k*(theta-C471)*dt+vol*SQRT(dt)*_xlfn.NORM.S.INV(RAND())</f>
        <v>6.061314522685609E-2</v>
      </c>
      <c r="E471" s="8">
        <f t="shared" ca="1" si="488"/>
        <v>5.5462235294829271E-2</v>
      </c>
      <c r="F471" s="8">
        <f t="shared" ca="1" si="488"/>
        <v>4.8972629635586226E-2</v>
      </c>
      <c r="G471" s="8">
        <f t="shared" ca="1" si="488"/>
        <v>4.646268022671577E-2</v>
      </c>
      <c r="H471" s="8">
        <f t="shared" ca="1" si="488"/>
        <v>4.59978604185802E-2</v>
      </c>
      <c r="I471" s="8">
        <f t="shared" ca="1" si="488"/>
        <v>5.2970361146063585E-2</v>
      </c>
      <c r="J471" s="8">
        <f t="shared" ca="1" si="488"/>
        <v>5.6611797164613412E-2</v>
      </c>
      <c r="K471" s="8">
        <f t="shared" ca="1" si="488"/>
        <v>5.7235134529199511E-2</v>
      </c>
      <c r="L471" s="8">
        <f t="shared" ca="1" si="488"/>
        <v>6.3995517537420499E-2</v>
      </c>
      <c r="M471" s="8">
        <f t="shared" ca="1" si="488"/>
        <v>6.4785199483398184E-2</v>
      </c>
      <c r="N471" s="8">
        <f t="shared" ca="1" si="488"/>
        <v>6.9296408878849816E-2</v>
      </c>
      <c r="O471" s="8">
        <f t="shared" ca="1" si="488"/>
        <v>6.9162417764035145E-2</v>
      </c>
    </row>
    <row r="472" spans="2:15">
      <c r="B472" s="3">
        <v>451</v>
      </c>
      <c r="C472" s="8">
        <f t="shared" si="486"/>
        <v>0.05</v>
      </c>
      <c r="D472" s="8">
        <f t="shared" ref="D472:O472" ca="1" si="489">C472+k*(theta-C472)*dt+vol*SQRT(dt)*_xlfn.NORM.S.INV(RAND())</f>
        <v>5.3535444813148723E-2</v>
      </c>
      <c r="E472" s="8">
        <f t="shared" ca="1" si="489"/>
        <v>5.8128521649272701E-2</v>
      </c>
      <c r="F472" s="8">
        <f t="shared" ca="1" si="489"/>
        <v>5.724408168034377E-2</v>
      </c>
      <c r="G472" s="8">
        <f t="shared" ca="1" si="489"/>
        <v>6.8870140228143459E-2</v>
      </c>
      <c r="H472" s="8">
        <f t="shared" ca="1" si="489"/>
        <v>6.6931413074653834E-2</v>
      </c>
      <c r="I472" s="8">
        <f t="shared" ca="1" si="489"/>
        <v>7.0875442852367576E-2</v>
      </c>
      <c r="J472" s="8">
        <f t="shared" ca="1" si="489"/>
        <v>7.5795520694454832E-2</v>
      </c>
      <c r="K472" s="8">
        <f t="shared" ca="1" si="489"/>
        <v>7.9581080397793116E-2</v>
      </c>
      <c r="L472" s="8">
        <f t="shared" ca="1" si="489"/>
        <v>8.3389638504914806E-2</v>
      </c>
      <c r="M472" s="8">
        <f t="shared" ca="1" si="489"/>
        <v>8.3263185271596429E-2</v>
      </c>
      <c r="N472" s="8">
        <f t="shared" ca="1" si="489"/>
        <v>8.854945458193049E-2</v>
      </c>
      <c r="O472" s="8">
        <f t="shared" ca="1" si="489"/>
        <v>7.7338504846282977E-2</v>
      </c>
    </row>
    <row r="473" spans="2:15">
      <c r="B473" s="3">
        <v>452</v>
      </c>
      <c r="C473" s="8">
        <f t="shared" si="486"/>
        <v>0.05</v>
      </c>
      <c r="D473" s="8">
        <f t="shared" ref="D473:O473" ca="1" si="490">C473+k*(theta-C473)*dt+vol*SQRT(dt)*_xlfn.NORM.S.INV(RAND())</f>
        <v>4.9338536099399921E-2</v>
      </c>
      <c r="E473" s="8">
        <f t="shared" ca="1" si="490"/>
        <v>4.0199707791836556E-2</v>
      </c>
      <c r="F473" s="8">
        <f t="shared" ca="1" si="490"/>
        <v>4.3168921977491052E-2</v>
      </c>
      <c r="G473" s="8">
        <f t="shared" ca="1" si="490"/>
        <v>4.913830850087017E-2</v>
      </c>
      <c r="H473" s="8">
        <f t="shared" ca="1" si="490"/>
        <v>5.6170908959327547E-2</v>
      </c>
      <c r="I473" s="8">
        <f t="shared" ca="1" si="490"/>
        <v>5.6524792264851527E-2</v>
      </c>
      <c r="J473" s="8">
        <f t="shared" ca="1" si="490"/>
        <v>5.7852042307882212E-2</v>
      </c>
      <c r="K473" s="8">
        <f t="shared" ca="1" si="490"/>
        <v>5.5950941043439763E-2</v>
      </c>
      <c r="L473" s="8">
        <f t="shared" ca="1" si="490"/>
        <v>5.1551531958073486E-2</v>
      </c>
      <c r="M473" s="8">
        <f t="shared" ca="1" si="490"/>
        <v>5.0695865964212175E-2</v>
      </c>
      <c r="N473" s="8">
        <f t="shared" ca="1" si="490"/>
        <v>5.5735019657586336E-2</v>
      </c>
      <c r="O473" s="8">
        <f t="shared" ca="1" si="490"/>
        <v>5.8047260735907845E-2</v>
      </c>
    </row>
    <row r="474" spans="2:15">
      <c r="B474" s="3">
        <v>453</v>
      </c>
      <c r="C474" s="8">
        <f t="shared" si="486"/>
        <v>0.05</v>
      </c>
      <c r="D474" s="8">
        <f t="shared" ref="D474:O474" ca="1" si="491">C474+k*(theta-C474)*dt+vol*SQRT(dt)*_xlfn.NORM.S.INV(RAND())</f>
        <v>5.6892530764013537E-2</v>
      </c>
      <c r="E474" s="8">
        <f t="shared" ca="1" si="491"/>
        <v>5.2855353663541396E-2</v>
      </c>
      <c r="F474" s="8">
        <f t="shared" ca="1" si="491"/>
        <v>5.0930033795789476E-2</v>
      </c>
      <c r="G474" s="8">
        <f t="shared" ca="1" si="491"/>
        <v>4.6256018900482157E-2</v>
      </c>
      <c r="H474" s="8">
        <f t="shared" ca="1" si="491"/>
        <v>4.9230304078543119E-2</v>
      </c>
      <c r="I474" s="8">
        <f t="shared" ca="1" si="491"/>
        <v>4.481298602040578E-2</v>
      </c>
      <c r="J474" s="8">
        <f t="shared" ca="1" si="491"/>
        <v>4.5925740118465543E-2</v>
      </c>
      <c r="K474" s="8">
        <f t="shared" ca="1" si="491"/>
        <v>5.2740035775140082E-2</v>
      </c>
      <c r="L474" s="8">
        <f t="shared" ca="1" si="491"/>
        <v>6.4684201906902244E-2</v>
      </c>
      <c r="M474" s="8">
        <f t="shared" ca="1" si="491"/>
        <v>6.7307504834752729E-2</v>
      </c>
      <c r="N474" s="8">
        <f t="shared" ca="1" si="491"/>
        <v>5.9150576483890438E-2</v>
      </c>
      <c r="O474" s="8">
        <f t="shared" ca="1" si="491"/>
        <v>6.4304236198320819E-2</v>
      </c>
    </row>
    <row r="475" spans="2:15">
      <c r="B475" s="3">
        <v>454</v>
      </c>
      <c r="C475" s="8">
        <f t="shared" si="486"/>
        <v>0.05</v>
      </c>
      <c r="D475" s="8">
        <f t="shared" ref="D475:O475" ca="1" si="492">C475+k*(theta-C475)*dt+vol*SQRT(dt)*_xlfn.NORM.S.INV(RAND())</f>
        <v>3.9055637678919494E-2</v>
      </c>
      <c r="E475" s="8">
        <f t="shared" ca="1" si="492"/>
        <v>4.8272857341584999E-2</v>
      </c>
      <c r="F475" s="8">
        <f t="shared" ca="1" si="492"/>
        <v>4.4628581745892001E-2</v>
      </c>
      <c r="G475" s="8">
        <f t="shared" ca="1" si="492"/>
        <v>4.5585176597326547E-2</v>
      </c>
      <c r="H475" s="8">
        <f t="shared" ca="1" si="492"/>
        <v>4.3521398099204772E-2</v>
      </c>
      <c r="I475" s="8">
        <f t="shared" ca="1" si="492"/>
        <v>5.1625029292661745E-2</v>
      </c>
      <c r="J475" s="8">
        <f t="shared" ca="1" si="492"/>
        <v>6.1894552912645041E-2</v>
      </c>
      <c r="K475" s="8">
        <f t="shared" ca="1" si="492"/>
        <v>7.1319437065518798E-2</v>
      </c>
      <c r="L475" s="8">
        <f t="shared" ca="1" si="492"/>
        <v>6.8965116920056635E-2</v>
      </c>
      <c r="M475" s="8">
        <f t="shared" ca="1" si="492"/>
        <v>6.5553913344552253E-2</v>
      </c>
      <c r="N475" s="8">
        <f t="shared" ca="1" si="492"/>
        <v>6.8644198800869999E-2</v>
      </c>
      <c r="O475" s="8">
        <f t="shared" ca="1" si="492"/>
        <v>6.4173181624934669E-2</v>
      </c>
    </row>
    <row r="476" spans="2:15">
      <c r="B476" s="3">
        <v>455</v>
      </c>
      <c r="C476" s="8">
        <f t="shared" si="486"/>
        <v>0.05</v>
      </c>
      <c r="D476" s="8">
        <f t="shared" ref="D476:O476" ca="1" si="493">C476+k*(theta-C476)*dt+vol*SQRT(dt)*_xlfn.NORM.S.INV(RAND())</f>
        <v>4.6996881118997691E-2</v>
      </c>
      <c r="E476" s="8">
        <f t="shared" ca="1" si="493"/>
        <v>4.4457344155905534E-2</v>
      </c>
      <c r="F476" s="8">
        <f t="shared" ca="1" si="493"/>
        <v>4.5487579161409691E-2</v>
      </c>
      <c r="G476" s="8">
        <f t="shared" ca="1" si="493"/>
        <v>4.6920680242821131E-2</v>
      </c>
      <c r="H476" s="8">
        <f t="shared" ca="1" si="493"/>
        <v>4.8257343650506476E-2</v>
      </c>
      <c r="I476" s="8">
        <f t="shared" ca="1" si="493"/>
        <v>4.840683749821089E-2</v>
      </c>
      <c r="J476" s="8">
        <f t="shared" ca="1" si="493"/>
        <v>4.5104248322817217E-2</v>
      </c>
      <c r="K476" s="8">
        <f t="shared" ca="1" si="493"/>
        <v>4.6491027379256665E-2</v>
      </c>
      <c r="L476" s="8">
        <f t="shared" ca="1" si="493"/>
        <v>3.4568039666870685E-2</v>
      </c>
      <c r="M476" s="8">
        <f t="shared" ca="1" si="493"/>
        <v>3.4457218882964033E-2</v>
      </c>
      <c r="N476" s="8">
        <f t="shared" ca="1" si="493"/>
        <v>3.9893253475123736E-2</v>
      </c>
      <c r="O476" s="8">
        <f t="shared" ca="1" si="493"/>
        <v>2.9992711457909119E-2</v>
      </c>
    </row>
    <row r="477" spans="2:15">
      <c r="B477" s="3">
        <v>456</v>
      </c>
      <c r="C477" s="8">
        <f t="shared" si="486"/>
        <v>0.05</v>
      </c>
      <c r="D477" s="8">
        <f t="shared" ref="D477:O477" ca="1" si="494">C477+k*(theta-C477)*dt+vol*SQRT(dt)*_xlfn.NORM.S.INV(RAND())</f>
        <v>5.3698571681051847E-2</v>
      </c>
      <c r="E477" s="8">
        <f t="shared" ca="1" si="494"/>
        <v>6.0967947988414158E-2</v>
      </c>
      <c r="F477" s="8">
        <f t="shared" ca="1" si="494"/>
        <v>6.7346364785460841E-2</v>
      </c>
      <c r="G477" s="8">
        <f t="shared" ca="1" si="494"/>
        <v>7.8088104620003235E-2</v>
      </c>
      <c r="H477" s="8">
        <f t="shared" ca="1" si="494"/>
        <v>7.9268209172646986E-2</v>
      </c>
      <c r="I477" s="8">
        <f t="shared" ca="1" si="494"/>
        <v>8.1557589243042641E-2</v>
      </c>
      <c r="J477" s="8">
        <f t="shared" ca="1" si="494"/>
        <v>8.1495653028544765E-2</v>
      </c>
      <c r="K477" s="8">
        <f t="shared" ca="1" si="494"/>
        <v>8.5238324331711662E-2</v>
      </c>
      <c r="L477" s="8">
        <f t="shared" ca="1" si="494"/>
        <v>8.4728695787763472E-2</v>
      </c>
      <c r="M477" s="8">
        <f t="shared" ca="1" si="494"/>
        <v>7.5653081566629365E-2</v>
      </c>
      <c r="N477" s="8">
        <f t="shared" ca="1" si="494"/>
        <v>6.947841943090767E-2</v>
      </c>
      <c r="O477" s="8">
        <f t="shared" ca="1" si="494"/>
        <v>7.4920749767005454E-2</v>
      </c>
    </row>
    <row r="478" spans="2:15">
      <c r="B478" s="3">
        <v>457</v>
      </c>
      <c r="C478" s="8">
        <f t="shared" si="486"/>
        <v>0.05</v>
      </c>
      <c r="D478" s="8">
        <f t="shared" ref="D478:O478" ca="1" si="495">C478+k*(theta-C478)*dt+vol*SQRT(dt)*_xlfn.NORM.S.INV(RAND())</f>
        <v>4.5766739288874134E-2</v>
      </c>
      <c r="E478" s="8">
        <f t="shared" ca="1" si="495"/>
        <v>2.9167163325171414E-2</v>
      </c>
      <c r="F478" s="8">
        <f t="shared" ca="1" si="495"/>
        <v>2.9412596787568364E-2</v>
      </c>
      <c r="G478" s="8">
        <f t="shared" ca="1" si="495"/>
        <v>2.9902669958285204E-2</v>
      </c>
      <c r="H478" s="8">
        <f t="shared" ca="1" si="495"/>
        <v>2.6353529488531861E-2</v>
      </c>
      <c r="I478" s="8">
        <f t="shared" ca="1" si="495"/>
        <v>2.8977238340464499E-2</v>
      </c>
      <c r="J478" s="8">
        <f t="shared" ca="1" si="495"/>
        <v>2.9684116967567155E-2</v>
      </c>
      <c r="K478" s="8">
        <f t="shared" ca="1" si="495"/>
        <v>3.4684726387525788E-2</v>
      </c>
      <c r="L478" s="8">
        <f t="shared" ca="1" si="495"/>
        <v>3.7693886480481553E-2</v>
      </c>
      <c r="M478" s="8">
        <f t="shared" ca="1" si="495"/>
        <v>5.2003684020244717E-2</v>
      </c>
      <c r="N478" s="8">
        <f t="shared" ca="1" si="495"/>
        <v>4.6927290611525285E-2</v>
      </c>
      <c r="O478" s="8">
        <f t="shared" ca="1" si="495"/>
        <v>5.7377513746011528E-2</v>
      </c>
    </row>
    <row r="479" spans="2:15">
      <c r="B479" s="3">
        <v>458</v>
      </c>
      <c r="C479" s="8">
        <f t="shared" si="486"/>
        <v>0.05</v>
      </c>
      <c r="D479" s="8">
        <f t="shared" ref="D479:O479" ca="1" si="496">C479+k*(theta-C479)*dt+vol*SQRT(dt)*_xlfn.NORM.S.INV(RAND())</f>
        <v>3.6684333337972441E-2</v>
      </c>
      <c r="E479" s="8">
        <f t="shared" ca="1" si="496"/>
        <v>4.8099042140221274E-2</v>
      </c>
      <c r="F479" s="8">
        <f t="shared" ca="1" si="496"/>
        <v>4.6518147233878891E-2</v>
      </c>
      <c r="G479" s="8">
        <f t="shared" ca="1" si="496"/>
        <v>4.7779536810105661E-2</v>
      </c>
      <c r="H479" s="8">
        <f t="shared" ca="1" si="496"/>
        <v>5.4459875312579446E-2</v>
      </c>
      <c r="I479" s="8">
        <f t="shared" ca="1" si="496"/>
        <v>5.2010555929283331E-2</v>
      </c>
      <c r="J479" s="8">
        <f t="shared" ca="1" si="496"/>
        <v>5.1598547428698086E-2</v>
      </c>
      <c r="K479" s="8">
        <f t="shared" ca="1" si="496"/>
        <v>5.028617023753551E-2</v>
      </c>
      <c r="L479" s="8">
        <f t="shared" ca="1" si="496"/>
        <v>4.5548142028462579E-2</v>
      </c>
      <c r="M479" s="8">
        <f t="shared" ca="1" si="496"/>
        <v>4.5584274997284527E-2</v>
      </c>
      <c r="N479" s="8">
        <f t="shared" ca="1" si="496"/>
        <v>5.1069646346285323E-2</v>
      </c>
      <c r="O479" s="8">
        <f t="shared" ca="1" si="496"/>
        <v>5.7676709511214445E-2</v>
      </c>
    </row>
    <row r="480" spans="2:15">
      <c r="B480" s="3">
        <v>459</v>
      </c>
      <c r="C480" s="8">
        <f t="shared" si="486"/>
        <v>0.05</v>
      </c>
      <c r="D480" s="8">
        <f t="shared" ref="D480:O480" ca="1" si="497">C480+k*(theta-C480)*dt+vol*SQRT(dt)*_xlfn.NORM.S.INV(RAND())</f>
        <v>4.6600484512333493E-2</v>
      </c>
      <c r="E480" s="8">
        <f t="shared" ca="1" si="497"/>
        <v>4.5462725813515972E-2</v>
      </c>
      <c r="F480" s="8">
        <f t="shared" ca="1" si="497"/>
        <v>5.4876157830484246E-2</v>
      </c>
      <c r="G480" s="8">
        <f t="shared" ca="1" si="497"/>
        <v>6.9252275107295619E-2</v>
      </c>
      <c r="H480" s="8">
        <f t="shared" ca="1" si="497"/>
        <v>7.3610677248899511E-2</v>
      </c>
      <c r="I480" s="8">
        <f t="shared" ca="1" si="497"/>
        <v>7.3202152291256983E-2</v>
      </c>
      <c r="J480" s="8">
        <f t="shared" ca="1" si="497"/>
        <v>7.7070025180173529E-2</v>
      </c>
      <c r="K480" s="8">
        <f t="shared" ca="1" si="497"/>
        <v>7.9919364328416384E-2</v>
      </c>
      <c r="L480" s="8">
        <f t="shared" ca="1" si="497"/>
        <v>8.3784872731916329E-2</v>
      </c>
      <c r="M480" s="8">
        <f t="shared" ca="1" si="497"/>
        <v>8.0823797657909632E-2</v>
      </c>
      <c r="N480" s="8">
        <f t="shared" ca="1" si="497"/>
        <v>7.6872515182202936E-2</v>
      </c>
      <c r="O480" s="8">
        <f t="shared" ca="1" si="497"/>
        <v>7.7198932831608433E-2</v>
      </c>
    </row>
    <row r="481" spans="2:15">
      <c r="B481" s="3">
        <v>460</v>
      </c>
      <c r="C481" s="8">
        <f t="shared" si="486"/>
        <v>0.05</v>
      </c>
      <c r="D481" s="8">
        <f t="shared" ref="D481:O481" ca="1" si="498">C481+k*(theta-C481)*dt+vol*SQRT(dt)*_xlfn.NORM.S.INV(RAND())</f>
        <v>5.0575309066327193E-2</v>
      </c>
      <c r="E481" s="8">
        <f t="shared" ca="1" si="498"/>
        <v>4.9326653559211876E-2</v>
      </c>
      <c r="F481" s="8">
        <f t="shared" ca="1" si="498"/>
        <v>4.7529338948384604E-2</v>
      </c>
      <c r="G481" s="8">
        <f t="shared" ca="1" si="498"/>
        <v>4.2608465504107747E-2</v>
      </c>
      <c r="H481" s="8">
        <f t="shared" ca="1" si="498"/>
        <v>4.0425898144805961E-2</v>
      </c>
      <c r="I481" s="8">
        <f t="shared" ca="1" si="498"/>
        <v>3.5954438692142716E-2</v>
      </c>
      <c r="J481" s="8">
        <f t="shared" ca="1" si="498"/>
        <v>4.2038190006464846E-2</v>
      </c>
      <c r="K481" s="8">
        <f t="shared" ca="1" si="498"/>
        <v>5.3775407740842794E-2</v>
      </c>
      <c r="L481" s="8">
        <f t="shared" ca="1" si="498"/>
        <v>5.949455090239656E-2</v>
      </c>
      <c r="M481" s="8">
        <f t="shared" ca="1" si="498"/>
        <v>6.1468430944603955E-2</v>
      </c>
      <c r="N481" s="8">
        <f t="shared" ca="1" si="498"/>
        <v>6.5962055668828595E-2</v>
      </c>
      <c r="O481" s="8">
        <f t="shared" ca="1" si="498"/>
        <v>7.0957597046054227E-2</v>
      </c>
    </row>
    <row r="482" spans="2:15">
      <c r="B482" s="3">
        <v>461</v>
      </c>
      <c r="C482" s="8">
        <f t="shared" si="486"/>
        <v>0.05</v>
      </c>
      <c r="D482" s="8">
        <f t="shared" ref="D482:O482" ca="1" si="499">C482+k*(theta-C482)*dt+vol*SQRT(dt)*_xlfn.NORM.S.INV(RAND())</f>
        <v>5.31321343435254E-2</v>
      </c>
      <c r="E482" s="8">
        <f t="shared" ca="1" si="499"/>
        <v>5.5650011758000675E-2</v>
      </c>
      <c r="F482" s="8">
        <f t="shared" ca="1" si="499"/>
        <v>5.3178971128524252E-2</v>
      </c>
      <c r="G482" s="8">
        <f t="shared" ca="1" si="499"/>
        <v>5.2903361936062182E-2</v>
      </c>
      <c r="H482" s="8">
        <f t="shared" ca="1" si="499"/>
        <v>5.245507183353651E-2</v>
      </c>
      <c r="I482" s="8">
        <f t="shared" ca="1" si="499"/>
        <v>4.9586267211019094E-2</v>
      </c>
      <c r="J482" s="8">
        <f t="shared" ca="1" si="499"/>
        <v>5.1198386694429228E-2</v>
      </c>
      <c r="K482" s="8">
        <f t="shared" ca="1" si="499"/>
        <v>5.4694249379238197E-2</v>
      </c>
      <c r="L482" s="8">
        <f t="shared" ca="1" si="499"/>
        <v>5.7404881984600704E-2</v>
      </c>
      <c r="M482" s="8">
        <f t="shared" ca="1" si="499"/>
        <v>5.4362165917021782E-2</v>
      </c>
      <c r="N482" s="8">
        <f t="shared" ca="1" si="499"/>
        <v>5.8892706161844603E-2</v>
      </c>
      <c r="O482" s="8">
        <f t="shared" ca="1" si="499"/>
        <v>6.1093974643757334E-2</v>
      </c>
    </row>
    <row r="483" spans="2:15">
      <c r="B483" s="3">
        <v>462</v>
      </c>
      <c r="C483" s="8">
        <f t="shared" si="486"/>
        <v>0.05</v>
      </c>
      <c r="D483" s="8">
        <f t="shared" ref="D483:O483" ca="1" si="500">C483+k*(theta-C483)*dt+vol*SQRT(dt)*_xlfn.NORM.S.INV(RAND())</f>
        <v>5.5379920575448376E-2</v>
      </c>
      <c r="E483" s="8">
        <f t="shared" ca="1" si="500"/>
        <v>6.0351038731475772E-2</v>
      </c>
      <c r="F483" s="8">
        <f t="shared" ca="1" si="500"/>
        <v>5.8884639920109005E-2</v>
      </c>
      <c r="G483" s="8">
        <f t="shared" ca="1" si="500"/>
        <v>4.9524995537470473E-2</v>
      </c>
      <c r="H483" s="8">
        <f t="shared" ca="1" si="500"/>
        <v>5.2161549591865489E-2</v>
      </c>
      <c r="I483" s="8">
        <f t="shared" ca="1" si="500"/>
        <v>5.3615875945670827E-2</v>
      </c>
      <c r="J483" s="8">
        <f t="shared" ca="1" si="500"/>
        <v>5.175050159380773E-2</v>
      </c>
      <c r="K483" s="8">
        <f t="shared" ca="1" si="500"/>
        <v>5.384641573241556E-2</v>
      </c>
      <c r="L483" s="8">
        <f t="shared" ca="1" si="500"/>
        <v>4.8468196110261673E-2</v>
      </c>
      <c r="M483" s="8">
        <f t="shared" ca="1" si="500"/>
        <v>4.03545189912424E-2</v>
      </c>
      <c r="N483" s="8">
        <f t="shared" ca="1" si="500"/>
        <v>3.1652147726417973E-2</v>
      </c>
      <c r="O483" s="8">
        <f t="shared" ca="1" si="500"/>
        <v>3.3229535099872663E-2</v>
      </c>
    </row>
    <row r="484" spans="2:15">
      <c r="B484" s="3">
        <v>463</v>
      </c>
      <c r="C484" s="8">
        <f t="shared" si="486"/>
        <v>0.05</v>
      </c>
      <c r="D484" s="8">
        <f t="shared" ref="D484:O484" ca="1" si="501">C484+k*(theta-C484)*dt+vol*SQRT(dt)*_xlfn.NORM.S.INV(RAND())</f>
        <v>5.6623897199353714E-2</v>
      </c>
      <c r="E484" s="8">
        <f t="shared" ca="1" si="501"/>
        <v>5.6187546159231334E-2</v>
      </c>
      <c r="F484" s="8">
        <f t="shared" ca="1" si="501"/>
        <v>4.9436569783103165E-2</v>
      </c>
      <c r="G484" s="8">
        <f t="shared" ca="1" si="501"/>
        <v>5.1469812024286084E-2</v>
      </c>
      <c r="H484" s="8">
        <f t="shared" ca="1" si="501"/>
        <v>5.1716380435760809E-2</v>
      </c>
      <c r="I484" s="8">
        <f t="shared" ca="1" si="501"/>
        <v>5.7132307457343698E-2</v>
      </c>
      <c r="J484" s="8">
        <f t="shared" ca="1" si="501"/>
        <v>6.0028329523730828E-2</v>
      </c>
      <c r="K484" s="8">
        <f t="shared" ca="1" si="501"/>
        <v>6.4759704657598144E-2</v>
      </c>
      <c r="L484" s="8">
        <f t="shared" ca="1" si="501"/>
        <v>5.2608022915319616E-2</v>
      </c>
      <c r="M484" s="8">
        <f t="shared" ca="1" si="501"/>
        <v>5.2381018576496026E-2</v>
      </c>
      <c r="N484" s="8">
        <f t="shared" ca="1" si="501"/>
        <v>5.0526069965346559E-2</v>
      </c>
      <c r="O484" s="8">
        <f t="shared" ca="1" si="501"/>
        <v>5.7398577333614705E-2</v>
      </c>
    </row>
    <row r="485" spans="2:15">
      <c r="B485" s="3">
        <v>464</v>
      </c>
      <c r="C485" s="8">
        <f t="shared" si="486"/>
        <v>0.05</v>
      </c>
      <c r="D485" s="8">
        <f t="shared" ref="D485:O485" ca="1" si="502">C485+k*(theta-C485)*dt+vol*SQRT(dt)*_xlfn.NORM.S.INV(RAND())</f>
        <v>5.0368466871135387E-2</v>
      </c>
      <c r="E485" s="8">
        <f t="shared" ca="1" si="502"/>
        <v>4.6422235259111384E-2</v>
      </c>
      <c r="F485" s="8">
        <f t="shared" ca="1" si="502"/>
        <v>4.5049686128640909E-2</v>
      </c>
      <c r="G485" s="8">
        <f t="shared" ca="1" si="502"/>
        <v>4.7638575543148945E-2</v>
      </c>
      <c r="H485" s="8">
        <f t="shared" ca="1" si="502"/>
        <v>4.8883160144681977E-2</v>
      </c>
      <c r="I485" s="8">
        <f t="shared" ca="1" si="502"/>
        <v>5.0835904093178279E-2</v>
      </c>
      <c r="J485" s="8">
        <f t="shared" ca="1" si="502"/>
        <v>5.3957704199131581E-2</v>
      </c>
      <c r="K485" s="8">
        <f t="shared" ca="1" si="502"/>
        <v>5.5881326110468692E-2</v>
      </c>
      <c r="L485" s="8">
        <f t="shared" ca="1" si="502"/>
        <v>5.2673665889861658E-2</v>
      </c>
      <c r="M485" s="8">
        <f t="shared" ca="1" si="502"/>
        <v>4.876911440922603E-2</v>
      </c>
      <c r="N485" s="8">
        <f t="shared" ca="1" si="502"/>
        <v>4.6375172765723428E-2</v>
      </c>
      <c r="O485" s="8">
        <f t="shared" ca="1" si="502"/>
        <v>5.0114897293032576E-2</v>
      </c>
    </row>
    <row r="486" spans="2:15">
      <c r="B486" s="3">
        <v>465</v>
      </c>
      <c r="C486" s="8">
        <f t="shared" si="486"/>
        <v>0.05</v>
      </c>
      <c r="D486" s="8">
        <f t="shared" ref="D486:O486" ca="1" si="503">C486+k*(theta-C486)*dt+vol*SQRT(dt)*_xlfn.NORM.S.INV(RAND())</f>
        <v>5.5309746857045913E-2</v>
      </c>
      <c r="E486" s="8">
        <f t="shared" ca="1" si="503"/>
        <v>5.4126497944349074E-2</v>
      </c>
      <c r="F486" s="8">
        <f t="shared" ca="1" si="503"/>
        <v>5.4307002500789174E-2</v>
      </c>
      <c r="G486" s="8">
        <f t="shared" ca="1" si="503"/>
        <v>6.2197382899832426E-2</v>
      </c>
      <c r="H486" s="8">
        <f t="shared" ca="1" si="503"/>
        <v>6.3158104151623179E-2</v>
      </c>
      <c r="I486" s="8">
        <f t="shared" ca="1" si="503"/>
        <v>5.8374621721571471E-2</v>
      </c>
      <c r="J486" s="8">
        <f t="shared" ca="1" si="503"/>
        <v>5.0446203755420006E-2</v>
      </c>
      <c r="K486" s="8">
        <f t="shared" ca="1" si="503"/>
        <v>5.5617491210933165E-2</v>
      </c>
      <c r="L486" s="8">
        <f t="shared" ca="1" si="503"/>
        <v>6.1020628987244641E-2</v>
      </c>
      <c r="M486" s="8">
        <f t="shared" ca="1" si="503"/>
        <v>6.0533860963992193E-2</v>
      </c>
      <c r="N486" s="8">
        <f t="shared" ca="1" si="503"/>
        <v>6.5613263614066095E-2</v>
      </c>
      <c r="O486" s="8">
        <f t="shared" ca="1" si="503"/>
        <v>6.3946900545534646E-2</v>
      </c>
    </row>
    <row r="487" spans="2:15">
      <c r="B487" s="3">
        <v>466</v>
      </c>
      <c r="C487" s="8">
        <f t="shared" si="486"/>
        <v>0.05</v>
      </c>
      <c r="D487" s="8">
        <f t="shared" ref="D487:O487" ca="1" si="504">C487+k*(theta-C487)*dt+vol*SQRT(dt)*_xlfn.NORM.S.INV(RAND())</f>
        <v>5.6058470396010612E-2</v>
      </c>
      <c r="E487" s="8">
        <f t="shared" ca="1" si="504"/>
        <v>5.438548425564619E-2</v>
      </c>
      <c r="F487" s="8">
        <f t="shared" ca="1" si="504"/>
        <v>5.130738986067216E-2</v>
      </c>
      <c r="G487" s="8">
        <f t="shared" ca="1" si="504"/>
        <v>5.3259268368409891E-2</v>
      </c>
      <c r="H487" s="8">
        <f t="shared" ca="1" si="504"/>
        <v>4.7129009570492229E-2</v>
      </c>
      <c r="I487" s="8">
        <f t="shared" ca="1" si="504"/>
        <v>5.607942199823323E-2</v>
      </c>
      <c r="J487" s="8">
        <f t="shared" ca="1" si="504"/>
        <v>6.4815412093058272E-2</v>
      </c>
      <c r="K487" s="8">
        <f t="shared" ca="1" si="504"/>
        <v>7.3830988175426909E-2</v>
      </c>
      <c r="L487" s="8">
        <f t="shared" ca="1" si="504"/>
        <v>6.5778528911416945E-2</v>
      </c>
      <c r="M487" s="8">
        <f t="shared" ca="1" si="504"/>
        <v>5.5436291780501731E-2</v>
      </c>
      <c r="N487" s="8">
        <f t="shared" ca="1" si="504"/>
        <v>5.9006654128473723E-2</v>
      </c>
      <c r="O487" s="8">
        <f t="shared" ca="1" si="504"/>
        <v>6.1582018767498428E-2</v>
      </c>
    </row>
    <row r="488" spans="2:15">
      <c r="B488" s="3">
        <v>467</v>
      </c>
      <c r="C488" s="8">
        <f t="shared" si="486"/>
        <v>0.05</v>
      </c>
      <c r="D488" s="8">
        <f t="shared" ref="D488:O488" ca="1" si="505">C488+k*(theta-C488)*dt+vol*SQRT(dt)*_xlfn.NORM.S.INV(RAND())</f>
        <v>5.2086249670008411E-2</v>
      </c>
      <c r="E488" s="8">
        <f t="shared" ca="1" si="505"/>
        <v>4.9442606226116841E-2</v>
      </c>
      <c r="F488" s="8">
        <f t="shared" ca="1" si="505"/>
        <v>5.4762854667782281E-2</v>
      </c>
      <c r="G488" s="8">
        <f t="shared" ca="1" si="505"/>
        <v>5.3308255096701118E-2</v>
      </c>
      <c r="H488" s="8">
        <f t="shared" ca="1" si="505"/>
        <v>5.7449000286508518E-2</v>
      </c>
      <c r="I488" s="8">
        <f t="shared" ca="1" si="505"/>
        <v>5.5478848311127517E-2</v>
      </c>
      <c r="J488" s="8">
        <f t="shared" ca="1" si="505"/>
        <v>5.2625899885366652E-2</v>
      </c>
      <c r="K488" s="8">
        <f t="shared" ca="1" si="505"/>
        <v>5.2405664390060391E-2</v>
      </c>
      <c r="L488" s="8">
        <f t="shared" ca="1" si="505"/>
        <v>4.5063762564011206E-2</v>
      </c>
      <c r="M488" s="8">
        <f t="shared" ca="1" si="505"/>
        <v>5.9686618912146043E-2</v>
      </c>
      <c r="N488" s="8">
        <f t="shared" ca="1" si="505"/>
        <v>6.3593232170532352E-2</v>
      </c>
      <c r="O488" s="8">
        <f t="shared" ca="1" si="505"/>
        <v>7.143382712533751E-2</v>
      </c>
    </row>
    <row r="489" spans="2:15">
      <c r="B489" s="3">
        <v>468</v>
      </c>
      <c r="C489" s="8">
        <f t="shared" si="486"/>
        <v>0.05</v>
      </c>
      <c r="D489" s="8">
        <f t="shared" ref="D489:O489" ca="1" si="506">C489+k*(theta-C489)*dt+vol*SQRT(dt)*_xlfn.NORM.S.INV(RAND())</f>
        <v>3.7388226637831506E-2</v>
      </c>
      <c r="E489" s="8">
        <f t="shared" ca="1" si="506"/>
        <v>4.9721908283494209E-2</v>
      </c>
      <c r="F489" s="8">
        <f t="shared" ca="1" si="506"/>
        <v>4.80726098239007E-2</v>
      </c>
      <c r="G489" s="8">
        <f t="shared" ca="1" si="506"/>
        <v>4.8819475117047817E-2</v>
      </c>
      <c r="H489" s="8">
        <f t="shared" ca="1" si="506"/>
        <v>4.4008579054086297E-2</v>
      </c>
      <c r="I489" s="8">
        <f t="shared" ca="1" si="506"/>
        <v>5.3517851289021534E-2</v>
      </c>
      <c r="J489" s="8">
        <f t="shared" ca="1" si="506"/>
        <v>4.7953886032676141E-2</v>
      </c>
      <c r="K489" s="8">
        <f t="shared" ca="1" si="506"/>
        <v>4.7384410108147638E-2</v>
      </c>
      <c r="L489" s="8">
        <f t="shared" ca="1" si="506"/>
        <v>4.9402296299978422E-2</v>
      </c>
      <c r="M489" s="8">
        <f t="shared" ca="1" si="506"/>
        <v>4.8686236661587216E-2</v>
      </c>
      <c r="N489" s="8">
        <f t="shared" ca="1" si="506"/>
        <v>5.1061701046111047E-2</v>
      </c>
      <c r="O489" s="8">
        <f t="shared" ca="1" si="506"/>
        <v>5.6530367540940943E-2</v>
      </c>
    </row>
    <row r="490" spans="2:15">
      <c r="B490" s="3">
        <v>469</v>
      </c>
      <c r="C490" s="8">
        <f t="shared" si="486"/>
        <v>0.05</v>
      </c>
      <c r="D490" s="8">
        <f t="shared" ref="D490:O490" ca="1" si="507">C490+k*(theta-C490)*dt+vol*SQRT(dt)*_xlfn.NORM.S.INV(RAND())</f>
        <v>5.1446035685184077E-2</v>
      </c>
      <c r="E490" s="8">
        <f t="shared" ca="1" si="507"/>
        <v>4.567735041137496E-2</v>
      </c>
      <c r="F490" s="8">
        <f t="shared" ca="1" si="507"/>
        <v>5.3391961466207644E-2</v>
      </c>
      <c r="G490" s="8">
        <f t="shared" ca="1" si="507"/>
        <v>6.0851547631099914E-2</v>
      </c>
      <c r="H490" s="8">
        <f t="shared" ca="1" si="507"/>
        <v>6.2000839533187871E-2</v>
      </c>
      <c r="I490" s="8">
        <f t="shared" ca="1" si="507"/>
        <v>6.2443305748977863E-2</v>
      </c>
      <c r="J490" s="8">
        <f t="shared" ca="1" si="507"/>
        <v>5.7212618892682143E-2</v>
      </c>
      <c r="K490" s="8">
        <f t="shared" ca="1" si="507"/>
        <v>5.9883202988134321E-2</v>
      </c>
      <c r="L490" s="8">
        <f t="shared" ca="1" si="507"/>
        <v>6.392454675142073E-2</v>
      </c>
      <c r="M490" s="8">
        <f t="shared" ca="1" si="507"/>
        <v>6.8368880767691334E-2</v>
      </c>
      <c r="N490" s="8">
        <f t="shared" ca="1" si="507"/>
        <v>6.8095315250949667E-2</v>
      </c>
      <c r="O490" s="8">
        <f t="shared" ca="1" si="507"/>
        <v>5.999997761254483E-2</v>
      </c>
    </row>
    <row r="491" spans="2:15">
      <c r="B491" s="3">
        <v>470</v>
      </c>
      <c r="C491" s="8">
        <f t="shared" si="486"/>
        <v>0.05</v>
      </c>
      <c r="D491" s="8">
        <f t="shared" ref="D491:O491" ca="1" si="508">C491+k*(theta-C491)*dt+vol*SQRT(dt)*_xlfn.NORM.S.INV(RAND())</f>
        <v>5.3401787763006227E-2</v>
      </c>
      <c r="E491" s="8">
        <f t="shared" ca="1" si="508"/>
        <v>4.6811955006789877E-2</v>
      </c>
      <c r="F491" s="8">
        <f t="shared" ca="1" si="508"/>
        <v>5.3278643494160192E-2</v>
      </c>
      <c r="G491" s="8">
        <f t="shared" ca="1" si="508"/>
        <v>5.6718868449534478E-2</v>
      </c>
      <c r="H491" s="8">
        <f t="shared" ca="1" si="508"/>
        <v>7.3411883837669931E-2</v>
      </c>
      <c r="I491" s="8">
        <f t="shared" ca="1" si="508"/>
        <v>7.3390130998220018E-2</v>
      </c>
      <c r="J491" s="8">
        <f t="shared" ca="1" si="508"/>
        <v>8.0322814169194137E-2</v>
      </c>
      <c r="K491" s="8">
        <f t="shared" ca="1" si="508"/>
        <v>8.3944093537749398E-2</v>
      </c>
      <c r="L491" s="8">
        <f t="shared" ca="1" si="508"/>
        <v>8.960206741304029E-2</v>
      </c>
      <c r="M491" s="8">
        <f t="shared" ca="1" si="508"/>
        <v>9.1397235527382312E-2</v>
      </c>
      <c r="N491" s="8">
        <f t="shared" ca="1" si="508"/>
        <v>9.4447807421685959E-2</v>
      </c>
      <c r="O491" s="8">
        <f t="shared" ca="1" si="508"/>
        <v>8.774442174732211E-2</v>
      </c>
    </row>
    <row r="492" spans="2:15">
      <c r="B492" s="3">
        <v>471</v>
      </c>
      <c r="C492" s="8">
        <f t="shared" si="486"/>
        <v>0.05</v>
      </c>
      <c r="D492" s="8">
        <f t="shared" ref="D492:O492" ca="1" si="509">C492+k*(theta-C492)*dt+vol*SQRT(dt)*_xlfn.NORM.S.INV(RAND())</f>
        <v>5.0695212268159248E-2</v>
      </c>
      <c r="E492" s="8">
        <f t="shared" ca="1" si="509"/>
        <v>5.0627478925871543E-2</v>
      </c>
      <c r="F492" s="8">
        <f t="shared" ca="1" si="509"/>
        <v>4.3165173648752664E-2</v>
      </c>
      <c r="G492" s="8">
        <f t="shared" ca="1" si="509"/>
        <v>4.3938988581170006E-2</v>
      </c>
      <c r="H492" s="8">
        <f t="shared" ca="1" si="509"/>
        <v>5.0858427783399121E-2</v>
      </c>
      <c r="I492" s="8">
        <f t="shared" ca="1" si="509"/>
        <v>5.3074555147706551E-2</v>
      </c>
      <c r="J492" s="8">
        <f t="shared" ca="1" si="509"/>
        <v>5.8496543798861329E-2</v>
      </c>
      <c r="K492" s="8">
        <f t="shared" ca="1" si="509"/>
        <v>5.8657134295187818E-2</v>
      </c>
      <c r="L492" s="8">
        <f t="shared" ca="1" si="509"/>
        <v>6.9375692432761815E-2</v>
      </c>
      <c r="M492" s="8">
        <f t="shared" ca="1" si="509"/>
        <v>6.9613109162995193E-2</v>
      </c>
      <c r="N492" s="8">
        <f t="shared" ca="1" si="509"/>
        <v>7.0238287565304064E-2</v>
      </c>
      <c r="O492" s="8">
        <f t="shared" ca="1" si="509"/>
        <v>7.6990845837035068E-2</v>
      </c>
    </row>
    <row r="493" spans="2:15">
      <c r="B493" s="3">
        <v>472</v>
      </c>
      <c r="C493" s="8">
        <f t="shared" si="486"/>
        <v>0.05</v>
      </c>
      <c r="D493" s="8">
        <f t="shared" ref="D493:O493" ca="1" si="510">C493+k*(theta-C493)*dt+vol*SQRT(dt)*_xlfn.NORM.S.INV(RAND())</f>
        <v>4.4745194131681772E-2</v>
      </c>
      <c r="E493" s="8">
        <f t="shared" ca="1" si="510"/>
        <v>3.7652889467666872E-2</v>
      </c>
      <c r="F493" s="8">
        <f t="shared" ca="1" si="510"/>
        <v>4.1558011800919614E-2</v>
      </c>
      <c r="G493" s="8">
        <f t="shared" ca="1" si="510"/>
        <v>4.6048445596606848E-2</v>
      </c>
      <c r="H493" s="8">
        <f t="shared" ca="1" si="510"/>
        <v>4.7255298419186263E-2</v>
      </c>
      <c r="I493" s="8">
        <f t="shared" ca="1" si="510"/>
        <v>4.612140548398852E-2</v>
      </c>
      <c r="J493" s="8">
        <f t="shared" ca="1" si="510"/>
        <v>4.1857123848754674E-2</v>
      </c>
      <c r="K493" s="8">
        <f t="shared" ca="1" si="510"/>
        <v>4.284001046663697E-2</v>
      </c>
      <c r="L493" s="8">
        <f t="shared" ca="1" si="510"/>
        <v>4.6872548344099346E-2</v>
      </c>
      <c r="M493" s="8">
        <f t="shared" ca="1" si="510"/>
        <v>3.9094603238388544E-2</v>
      </c>
      <c r="N493" s="8">
        <f t="shared" ca="1" si="510"/>
        <v>4.2249296039769547E-2</v>
      </c>
      <c r="O493" s="8">
        <f t="shared" ca="1" si="510"/>
        <v>4.5451504514760793E-2</v>
      </c>
    </row>
    <row r="494" spans="2:15">
      <c r="B494" s="3">
        <v>473</v>
      </c>
      <c r="C494" s="8">
        <f t="shared" si="486"/>
        <v>0.05</v>
      </c>
      <c r="D494" s="8">
        <f t="shared" ref="D494:O494" ca="1" si="511">C494+k*(theta-C494)*dt+vol*SQRT(dt)*_xlfn.NORM.S.INV(RAND())</f>
        <v>4.9618908610546832E-2</v>
      </c>
      <c r="E494" s="8">
        <f t="shared" ca="1" si="511"/>
        <v>3.7990529608976392E-2</v>
      </c>
      <c r="F494" s="8">
        <f t="shared" ca="1" si="511"/>
        <v>4.2585814545348738E-2</v>
      </c>
      <c r="G494" s="8">
        <f t="shared" ca="1" si="511"/>
        <v>5.2626097604644331E-2</v>
      </c>
      <c r="H494" s="8">
        <f t="shared" ca="1" si="511"/>
        <v>5.5599704402740403E-2</v>
      </c>
      <c r="I494" s="8">
        <f t="shared" ca="1" si="511"/>
        <v>6.0625489995843489E-2</v>
      </c>
      <c r="J494" s="8">
        <f t="shared" ca="1" si="511"/>
        <v>5.3065221413325411E-2</v>
      </c>
      <c r="K494" s="8">
        <f t="shared" ca="1" si="511"/>
        <v>5.1156454805481595E-2</v>
      </c>
      <c r="L494" s="8">
        <f t="shared" ca="1" si="511"/>
        <v>5.4952585301351803E-2</v>
      </c>
      <c r="M494" s="8">
        <f t="shared" ca="1" si="511"/>
        <v>4.536312017480218E-2</v>
      </c>
      <c r="N494" s="8">
        <f t="shared" ca="1" si="511"/>
        <v>4.83382002830956E-2</v>
      </c>
      <c r="O494" s="8">
        <f t="shared" ca="1" si="511"/>
        <v>4.9393816933929489E-2</v>
      </c>
    </row>
    <row r="495" spans="2:15">
      <c r="B495" s="3">
        <v>474</v>
      </c>
      <c r="C495" s="8">
        <f t="shared" si="486"/>
        <v>0.05</v>
      </c>
      <c r="D495" s="8">
        <f t="shared" ref="D495:O495" ca="1" si="512">C495+k*(theta-C495)*dt+vol*SQRT(dt)*_xlfn.NORM.S.INV(RAND())</f>
        <v>5.2525424780770061E-2</v>
      </c>
      <c r="E495" s="8">
        <f t="shared" ca="1" si="512"/>
        <v>5.261363601392114E-2</v>
      </c>
      <c r="F495" s="8">
        <f t="shared" ca="1" si="512"/>
        <v>5.9838760701360426E-2</v>
      </c>
      <c r="G495" s="8">
        <f t="shared" ca="1" si="512"/>
        <v>6.6308696279293325E-2</v>
      </c>
      <c r="H495" s="8">
        <f t="shared" ca="1" si="512"/>
        <v>6.3329039097667558E-2</v>
      </c>
      <c r="I495" s="8">
        <f t="shared" ca="1" si="512"/>
        <v>6.1818419865994956E-2</v>
      </c>
      <c r="J495" s="8">
        <f t="shared" ca="1" si="512"/>
        <v>6.0056374182810894E-2</v>
      </c>
      <c r="K495" s="8">
        <f t="shared" ca="1" si="512"/>
        <v>5.618878157830335E-2</v>
      </c>
      <c r="L495" s="8">
        <f t="shared" ca="1" si="512"/>
        <v>5.2511038530767822E-2</v>
      </c>
      <c r="M495" s="8">
        <f t="shared" ca="1" si="512"/>
        <v>5.945631750691454E-2</v>
      </c>
      <c r="N495" s="8">
        <f t="shared" ca="1" si="512"/>
        <v>4.3658749867407573E-2</v>
      </c>
      <c r="O495" s="8">
        <f t="shared" ca="1" si="512"/>
        <v>4.711791863666015E-2</v>
      </c>
    </row>
    <row r="496" spans="2:15">
      <c r="B496" s="3">
        <v>475</v>
      </c>
      <c r="C496" s="8">
        <f t="shared" si="486"/>
        <v>0.05</v>
      </c>
      <c r="D496" s="8">
        <f t="shared" ref="D496:O496" ca="1" si="513">C496+k*(theta-C496)*dt+vol*SQRT(dt)*_xlfn.NORM.S.INV(RAND())</f>
        <v>5.108416533275642E-2</v>
      </c>
      <c r="E496" s="8">
        <f t="shared" ca="1" si="513"/>
        <v>5.8496388169604195E-2</v>
      </c>
      <c r="F496" s="8">
        <f t="shared" ca="1" si="513"/>
        <v>5.3299363077308447E-2</v>
      </c>
      <c r="G496" s="8">
        <f t="shared" ca="1" si="513"/>
        <v>5.2657161534125946E-2</v>
      </c>
      <c r="H496" s="8">
        <f t="shared" ca="1" si="513"/>
        <v>5.8683922565955692E-2</v>
      </c>
      <c r="I496" s="8">
        <f t="shared" ca="1" si="513"/>
        <v>6.6602777786363351E-2</v>
      </c>
      <c r="J496" s="8">
        <f t="shared" ca="1" si="513"/>
        <v>6.1813082389001101E-2</v>
      </c>
      <c r="K496" s="8">
        <f t="shared" ca="1" si="513"/>
        <v>6.3446449232113192E-2</v>
      </c>
      <c r="L496" s="8">
        <f t="shared" ca="1" si="513"/>
        <v>6.0254470578609345E-2</v>
      </c>
      <c r="M496" s="8">
        <f t="shared" ca="1" si="513"/>
        <v>6.4871312362356881E-2</v>
      </c>
      <c r="N496" s="8">
        <f t="shared" ca="1" si="513"/>
        <v>6.0937694590997779E-2</v>
      </c>
      <c r="O496" s="8">
        <f t="shared" ca="1" si="513"/>
        <v>5.9632173511050664E-2</v>
      </c>
    </row>
    <row r="497" spans="2:15">
      <c r="B497" s="3">
        <v>476</v>
      </c>
      <c r="C497" s="8">
        <f t="shared" si="486"/>
        <v>0.05</v>
      </c>
      <c r="D497" s="8">
        <f t="shared" ref="D497:O497" ca="1" si="514">C497+k*(theta-C497)*dt+vol*SQRT(dt)*_xlfn.NORM.S.INV(RAND())</f>
        <v>4.7242171794747372E-2</v>
      </c>
      <c r="E497" s="8">
        <f t="shared" ca="1" si="514"/>
        <v>4.9922518500484049E-2</v>
      </c>
      <c r="F497" s="8">
        <f t="shared" ca="1" si="514"/>
        <v>4.1070353005371374E-2</v>
      </c>
      <c r="G497" s="8">
        <f t="shared" ca="1" si="514"/>
        <v>3.9389752698211135E-2</v>
      </c>
      <c r="H497" s="8">
        <f t="shared" ca="1" si="514"/>
        <v>3.1067900708026466E-2</v>
      </c>
      <c r="I497" s="8">
        <f t="shared" ca="1" si="514"/>
        <v>4.0489909126244325E-2</v>
      </c>
      <c r="J497" s="8">
        <f t="shared" ca="1" si="514"/>
        <v>2.3434935637596715E-2</v>
      </c>
      <c r="K497" s="8">
        <f t="shared" ca="1" si="514"/>
        <v>3.6545571106020226E-2</v>
      </c>
      <c r="L497" s="8">
        <f t="shared" ca="1" si="514"/>
        <v>4.5080589580943353E-2</v>
      </c>
      <c r="M497" s="8">
        <f t="shared" ca="1" si="514"/>
        <v>4.3395084960298251E-2</v>
      </c>
      <c r="N497" s="8">
        <f t="shared" ca="1" si="514"/>
        <v>3.7770589231833983E-2</v>
      </c>
      <c r="O497" s="8">
        <f t="shared" ca="1" si="514"/>
        <v>4.0204443962101932E-2</v>
      </c>
    </row>
    <row r="498" spans="2:15">
      <c r="B498" s="3">
        <v>477</v>
      </c>
      <c r="C498" s="8">
        <f t="shared" si="486"/>
        <v>0.05</v>
      </c>
      <c r="D498" s="8">
        <f t="shared" ref="D498:O498" ca="1" si="515">C498+k*(theta-C498)*dt+vol*SQRT(dt)*_xlfn.NORM.S.INV(RAND())</f>
        <v>5.9769086873059679E-2</v>
      </c>
      <c r="E498" s="8">
        <f t="shared" ca="1" si="515"/>
        <v>6.6060817000404531E-2</v>
      </c>
      <c r="F498" s="8">
        <f t="shared" ca="1" si="515"/>
        <v>6.6857455702226704E-2</v>
      </c>
      <c r="G498" s="8">
        <f t="shared" ca="1" si="515"/>
        <v>6.8749799908630116E-2</v>
      </c>
      <c r="H498" s="8">
        <f t="shared" ca="1" si="515"/>
        <v>7.2845471079088425E-2</v>
      </c>
      <c r="I498" s="8">
        <f t="shared" ca="1" si="515"/>
        <v>6.9795963844163478E-2</v>
      </c>
      <c r="J498" s="8">
        <f t="shared" ca="1" si="515"/>
        <v>8.2177546479283228E-2</v>
      </c>
      <c r="K498" s="8">
        <f t="shared" ca="1" si="515"/>
        <v>8.2361834703946993E-2</v>
      </c>
      <c r="L498" s="8">
        <f t="shared" ca="1" si="515"/>
        <v>7.8988938384527904E-2</v>
      </c>
      <c r="M498" s="8">
        <f t="shared" ca="1" si="515"/>
        <v>8.062141936089004E-2</v>
      </c>
      <c r="N498" s="8">
        <f t="shared" ca="1" si="515"/>
        <v>8.309402105834239E-2</v>
      </c>
      <c r="O498" s="8">
        <f t="shared" ca="1" si="515"/>
        <v>8.2351264504348889E-2</v>
      </c>
    </row>
    <row r="499" spans="2:15">
      <c r="B499" s="3">
        <v>478</v>
      </c>
      <c r="C499" s="8">
        <f t="shared" si="486"/>
        <v>0.05</v>
      </c>
      <c r="D499" s="8">
        <f t="shared" ref="D499:O499" ca="1" si="516">C499+k*(theta-C499)*dt+vol*SQRT(dt)*_xlfn.NORM.S.INV(RAND())</f>
        <v>3.8425424134515565E-2</v>
      </c>
      <c r="E499" s="8">
        <f t="shared" ca="1" si="516"/>
        <v>3.6570577668513786E-2</v>
      </c>
      <c r="F499" s="8">
        <f t="shared" ca="1" si="516"/>
        <v>4.5355864435402835E-2</v>
      </c>
      <c r="G499" s="8">
        <f t="shared" ca="1" si="516"/>
        <v>4.8665556329808429E-2</v>
      </c>
      <c r="H499" s="8">
        <f t="shared" ca="1" si="516"/>
        <v>4.6356083939260703E-2</v>
      </c>
      <c r="I499" s="8">
        <f t="shared" ca="1" si="516"/>
        <v>4.8494037423927085E-2</v>
      </c>
      <c r="J499" s="8">
        <f t="shared" ca="1" si="516"/>
        <v>4.8030640954138733E-2</v>
      </c>
      <c r="K499" s="8">
        <f t="shared" ca="1" si="516"/>
        <v>4.9817613401405156E-2</v>
      </c>
      <c r="L499" s="8">
        <f t="shared" ca="1" si="516"/>
        <v>3.9268994478999092E-2</v>
      </c>
      <c r="M499" s="8">
        <f t="shared" ca="1" si="516"/>
        <v>3.2658006760397575E-2</v>
      </c>
      <c r="N499" s="8">
        <f t="shared" ca="1" si="516"/>
        <v>2.7714158778763882E-2</v>
      </c>
      <c r="O499" s="8">
        <f t="shared" ca="1" si="516"/>
        <v>2.4039359059825707E-2</v>
      </c>
    </row>
    <row r="500" spans="2:15">
      <c r="B500" s="3">
        <v>479</v>
      </c>
      <c r="C500" s="8">
        <f t="shared" si="486"/>
        <v>0.05</v>
      </c>
      <c r="D500" s="8">
        <f t="shared" ref="D500:O500" ca="1" si="517">C500+k*(theta-C500)*dt+vol*SQRT(dt)*_xlfn.NORM.S.INV(RAND())</f>
        <v>5.1641036556363568E-2</v>
      </c>
      <c r="E500" s="8">
        <f t="shared" ca="1" si="517"/>
        <v>4.7963844274468329E-2</v>
      </c>
      <c r="F500" s="8">
        <f t="shared" ca="1" si="517"/>
        <v>5.2216579142798619E-2</v>
      </c>
      <c r="G500" s="8">
        <f t="shared" ca="1" si="517"/>
        <v>4.7674915480977791E-2</v>
      </c>
      <c r="H500" s="8">
        <f t="shared" ca="1" si="517"/>
        <v>5.1573442724772885E-2</v>
      </c>
      <c r="I500" s="8">
        <f t="shared" ca="1" si="517"/>
        <v>4.5875166120898321E-2</v>
      </c>
      <c r="J500" s="8">
        <f t="shared" ca="1" si="517"/>
        <v>5.1491405440724516E-2</v>
      </c>
      <c r="K500" s="8">
        <f t="shared" ca="1" si="517"/>
        <v>5.2044550309962828E-2</v>
      </c>
      <c r="L500" s="8">
        <f t="shared" ca="1" si="517"/>
        <v>4.3825787524796843E-2</v>
      </c>
      <c r="M500" s="8">
        <f t="shared" ca="1" si="517"/>
        <v>5.1933195043090165E-2</v>
      </c>
      <c r="N500" s="8">
        <f t="shared" ca="1" si="517"/>
        <v>4.7009402614165571E-2</v>
      </c>
      <c r="O500" s="8">
        <f t="shared" ca="1" si="517"/>
        <v>5.5296828711864539E-2</v>
      </c>
    </row>
    <row r="501" spans="2:15">
      <c r="B501" s="3">
        <v>480</v>
      </c>
      <c r="C501" s="8">
        <f t="shared" si="486"/>
        <v>0.05</v>
      </c>
      <c r="D501" s="8">
        <f t="shared" ref="D501:O501" ca="1" si="518">C501+k*(theta-C501)*dt+vol*SQRT(dt)*_xlfn.NORM.S.INV(RAND())</f>
        <v>4.8081544976419144E-2</v>
      </c>
      <c r="E501" s="8">
        <f t="shared" ca="1" si="518"/>
        <v>5.421212758992533E-2</v>
      </c>
      <c r="F501" s="8">
        <f t="shared" ca="1" si="518"/>
        <v>6.1317041519716342E-2</v>
      </c>
      <c r="G501" s="8">
        <f t="shared" ca="1" si="518"/>
        <v>5.8905794148479594E-2</v>
      </c>
      <c r="H501" s="8">
        <f t="shared" ca="1" si="518"/>
        <v>5.0221943219228717E-2</v>
      </c>
      <c r="I501" s="8">
        <f t="shared" ca="1" si="518"/>
        <v>4.9023326110176138E-2</v>
      </c>
      <c r="J501" s="8">
        <f t="shared" ca="1" si="518"/>
        <v>5.5961331679168565E-2</v>
      </c>
      <c r="K501" s="8">
        <f t="shared" ca="1" si="518"/>
        <v>5.8215203142187047E-2</v>
      </c>
      <c r="L501" s="8">
        <f t="shared" ca="1" si="518"/>
        <v>5.7649243566890031E-2</v>
      </c>
      <c r="M501" s="8">
        <f t="shared" ca="1" si="518"/>
        <v>6.5430718233169496E-2</v>
      </c>
      <c r="N501" s="8">
        <f t="shared" ca="1" si="518"/>
        <v>6.207330253579714E-2</v>
      </c>
      <c r="O501" s="8">
        <f t="shared" ca="1" si="518"/>
        <v>5.5874155454297046E-2</v>
      </c>
    </row>
    <row r="502" spans="2:15">
      <c r="B502" s="3">
        <v>481</v>
      </c>
      <c r="C502" s="8">
        <f t="shared" si="486"/>
        <v>0.05</v>
      </c>
      <c r="D502" s="8">
        <f t="shared" ref="D502:O502" ca="1" si="519">C502+k*(theta-C502)*dt+vol*SQRT(dt)*_xlfn.NORM.S.INV(RAND())</f>
        <v>5.1553956065936345E-2</v>
      </c>
      <c r="E502" s="8">
        <f t="shared" ca="1" si="519"/>
        <v>5.8059425869753198E-2</v>
      </c>
      <c r="F502" s="8">
        <f t="shared" ca="1" si="519"/>
        <v>6.6342168861824313E-2</v>
      </c>
      <c r="G502" s="8">
        <f t="shared" ca="1" si="519"/>
        <v>6.2327228828047976E-2</v>
      </c>
      <c r="H502" s="8">
        <f t="shared" ca="1" si="519"/>
        <v>5.6706807849282947E-2</v>
      </c>
      <c r="I502" s="8">
        <f t="shared" ca="1" si="519"/>
        <v>5.9323152440230099E-2</v>
      </c>
      <c r="J502" s="8">
        <f t="shared" ca="1" si="519"/>
        <v>5.8025627140161573E-2</v>
      </c>
      <c r="K502" s="8">
        <f t="shared" ca="1" si="519"/>
        <v>4.6748844005113602E-2</v>
      </c>
      <c r="L502" s="8">
        <f t="shared" ca="1" si="519"/>
        <v>4.4267767634523419E-2</v>
      </c>
      <c r="M502" s="8">
        <f t="shared" ca="1" si="519"/>
        <v>3.4565880305432076E-2</v>
      </c>
      <c r="N502" s="8">
        <f t="shared" ca="1" si="519"/>
        <v>3.8772587314180297E-2</v>
      </c>
      <c r="O502" s="8">
        <f t="shared" ca="1" si="519"/>
        <v>3.90811217595744E-2</v>
      </c>
    </row>
    <row r="503" spans="2:15">
      <c r="B503" s="3">
        <v>482</v>
      </c>
      <c r="C503" s="8">
        <f t="shared" si="486"/>
        <v>0.05</v>
      </c>
      <c r="D503" s="8">
        <f t="shared" ref="D503:O503" ca="1" si="520">C503+k*(theta-C503)*dt+vol*SQRT(dt)*_xlfn.NORM.S.INV(RAND())</f>
        <v>4.8032139317765656E-2</v>
      </c>
      <c r="E503" s="8">
        <f t="shared" ca="1" si="520"/>
        <v>5.4689796726711398E-2</v>
      </c>
      <c r="F503" s="8">
        <f t="shared" ca="1" si="520"/>
        <v>5.6101183598821082E-2</v>
      </c>
      <c r="G503" s="8">
        <f t="shared" ca="1" si="520"/>
        <v>5.1545725100772183E-2</v>
      </c>
      <c r="H503" s="8">
        <f t="shared" ca="1" si="520"/>
        <v>4.4070849984320648E-2</v>
      </c>
      <c r="I503" s="8">
        <f t="shared" ca="1" si="520"/>
        <v>4.6832283616065479E-2</v>
      </c>
      <c r="J503" s="8">
        <f t="shared" ca="1" si="520"/>
        <v>5.0089757751396465E-2</v>
      </c>
      <c r="K503" s="8">
        <f t="shared" ca="1" si="520"/>
        <v>5.6745393744946408E-2</v>
      </c>
      <c r="L503" s="8">
        <f t="shared" ca="1" si="520"/>
        <v>5.7973845254392545E-2</v>
      </c>
      <c r="M503" s="8">
        <f t="shared" ca="1" si="520"/>
        <v>6.2767630239431868E-2</v>
      </c>
      <c r="N503" s="8">
        <f t="shared" ca="1" si="520"/>
        <v>6.8295373020492572E-2</v>
      </c>
      <c r="O503" s="8">
        <f t="shared" ca="1" si="520"/>
        <v>7.2056453953923849E-2</v>
      </c>
    </row>
    <row r="504" spans="2:15">
      <c r="B504" s="3">
        <v>483</v>
      </c>
      <c r="C504" s="8">
        <f t="shared" si="486"/>
        <v>0.05</v>
      </c>
      <c r="D504" s="8">
        <f t="shared" ref="D504:O504" ca="1" si="521">C504+k*(theta-C504)*dt+vol*SQRT(dt)*_xlfn.NORM.S.INV(RAND())</f>
        <v>3.7152091451277826E-2</v>
      </c>
      <c r="E504" s="8">
        <f t="shared" ca="1" si="521"/>
        <v>5.1154184162430553E-2</v>
      </c>
      <c r="F504" s="8">
        <f t="shared" ca="1" si="521"/>
        <v>4.7020491764374818E-2</v>
      </c>
      <c r="G504" s="8">
        <f t="shared" ca="1" si="521"/>
        <v>5.3724852631864571E-2</v>
      </c>
      <c r="H504" s="8">
        <f t="shared" ca="1" si="521"/>
        <v>5.4920232834415536E-2</v>
      </c>
      <c r="I504" s="8">
        <f t="shared" ca="1" si="521"/>
        <v>5.1946359440223418E-2</v>
      </c>
      <c r="J504" s="8">
        <f t="shared" ca="1" si="521"/>
        <v>5.5160917282517034E-2</v>
      </c>
      <c r="K504" s="8">
        <f t="shared" ca="1" si="521"/>
        <v>4.8342402184630484E-2</v>
      </c>
      <c r="L504" s="8">
        <f t="shared" ca="1" si="521"/>
        <v>3.6714527235931382E-2</v>
      </c>
      <c r="M504" s="8">
        <f t="shared" ca="1" si="521"/>
        <v>2.7412132312056643E-2</v>
      </c>
      <c r="N504" s="8">
        <f t="shared" ca="1" si="521"/>
        <v>3.5176046676196178E-2</v>
      </c>
      <c r="O504" s="8">
        <f t="shared" ca="1" si="521"/>
        <v>3.4195616620862908E-2</v>
      </c>
    </row>
    <row r="505" spans="2:15">
      <c r="B505" s="3">
        <v>484</v>
      </c>
      <c r="C505" s="8">
        <f t="shared" si="486"/>
        <v>0.05</v>
      </c>
      <c r="D505" s="8">
        <f t="shared" ref="D505:O505" ca="1" si="522">C505+k*(theta-C505)*dt+vol*SQRT(dt)*_xlfn.NORM.S.INV(RAND())</f>
        <v>5.1645591675635184E-2</v>
      </c>
      <c r="E505" s="8">
        <f t="shared" ca="1" si="522"/>
        <v>6.1353121704949547E-2</v>
      </c>
      <c r="F505" s="8">
        <f t="shared" ca="1" si="522"/>
        <v>5.5217641665630278E-2</v>
      </c>
      <c r="G505" s="8">
        <f t="shared" ca="1" si="522"/>
        <v>5.9002350554120384E-2</v>
      </c>
      <c r="H505" s="8">
        <f t="shared" ca="1" si="522"/>
        <v>7.1401711869221701E-2</v>
      </c>
      <c r="I505" s="8">
        <f t="shared" ca="1" si="522"/>
        <v>6.578112213583899E-2</v>
      </c>
      <c r="J505" s="8">
        <f t="shared" ca="1" si="522"/>
        <v>7.3376775013792139E-2</v>
      </c>
      <c r="K505" s="8">
        <f t="shared" ca="1" si="522"/>
        <v>6.4050592921224919E-2</v>
      </c>
      <c r="L505" s="8">
        <f t="shared" ca="1" si="522"/>
        <v>7.1460640008379955E-2</v>
      </c>
      <c r="M505" s="8">
        <f t="shared" ca="1" si="522"/>
        <v>6.4937111597067942E-2</v>
      </c>
      <c r="N505" s="8">
        <f t="shared" ca="1" si="522"/>
        <v>6.6831158851670069E-2</v>
      </c>
      <c r="O505" s="8">
        <f t="shared" ca="1" si="522"/>
        <v>7.0976225099115359E-2</v>
      </c>
    </row>
    <row r="506" spans="2:15">
      <c r="B506" s="3">
        <v>485</v>
      </c>
      <c r="C506" s="8">
        <f t="shared" si="486"/>
        <v>0.05</v>
      </c>
      <c r="D506" s="8">
        <f t="shared" ref="D506:O506" ca="1" si="523">C506+k*(theta-C506)*dt+vol*SQRT(dt)*_xlfn.NORM.S.INV(RAND())</f>
        <v>5.5496693050823435E-2</v>
      </c>
      <c r="E506" s="8">
        <f t="shared" ca="1" si="523"/>
        <v>5.8418028532631096E-2</v>
      </c>
      <c r="F506" s="8">
        <f t="shared" ca="1" si="523"/>
        <v>5.2669735634177511E-2</v>
      </c>
      <c r="G506" s="8">
        <f t="shared" ca="1" si="523"/>
        <v>5.1776407520842782E-2</v>
      </c>
      <c r="H506" s="8">
        <f t="shared" ca="1" si="523"/>
        <v>5.6510966447862458E-2</v>
      </c>
      <c r="I506" s="8">
        <f t="shared" ca="1" si="523"/>
        <v>5.5521638296455754E-2</v>
      </c>
      <c r="J506" s="8">
        <f t="shared" ca="1" si="523"/>
        <v>5.9054224836362225E-2</v>
      </c>
      <c r="K506" s="8">
        <f t="shared" ca="1" si="523"/>
        <v>5.8561776084925826E-2</v>
      </c>
      <c r="L506" s="8">
        <f t="shared" ca="1" si="523"/>
        <v>6.4556331864618871E-2</v>
      </c>
      <c r="M506" s="8">
        <f t="shared" ca="1" si="523"/>
        <v>6.3512356536332318E-2</v>
      </c>
      <c r="N506" s="8">
        <f t="shared" ca="1" si="523"/>
        <v>6.1780057091560606E-2</v>
      </c>
      <c r="O506" s="8">
        <f t="shared" ca="1" si="523"/>
        <v>5.9978431154368773E-2</v>
      </c>
    </row>
    <row r="507" spans="2:15">
      <c r="B507" s="3">
        <v>486</v>
      </c>
      <c r="C507" s="8">
        <f t="shared" si="486"/>
        <v>0.05</v>
      </c>
      <c r="D507" s="8">
        <f t="shared" ref="D507:O507" ca="1" si="524">C507+k*(theta-C507)*dt+vol*SQRT(dt)*_xlfn.NORM.S.INV(RAND())</f>
        <v>5.8230785803653873E-2</v>
      </c>
      <c r="E507" s="8">
        <f t="shared" ca="1" si="524"/>
        <v>6.3068136636773964E-2</v>
      </c>
      <c r="F507" s="8">
        <f t="shared" ca="1" si="524"/>
        <v>6.2033853778031334E-2</v>
      </c>
      <c r="G507" s="8">
        <f t="shared" ca="1" si="524"/>
        <v>6.1372267426291011E-2</v>
      </c>
      <c r="H507" s="8">
        <f t="shared" ca="1" si="524"/>
        <v>5.610627456169591E-2</v>
      </c>
      <c r="I507" s="8">
        <f t="shared" ca="1" si="524"/>
        <v>6.0350396243864388E-2</v>
      </c>
      <c r="J507" s="8">
        <f t="shared" ca="1" si="524"/>
        <v>5.5127485592055443E-2</v>
      </c>
      <c r="K507" s="8">
        <f t="shared" ca="1" si="524"/>
        <v>5.6433409985548924E-2</v>
      </c>
      <c r="L507" s="8">
        <f t="shared" ca="1" si="524"/>
        <v>6.3926001722746179E-2</v>
      </c>
      <c r="M507" s="8">
        <f t="shared" ca="1" si="524"/>
        <v>5.7906977422175508E-2</v>
      </c>
      <c r="N507" s="8">
        <f t="shared" ca="1" si="524"/>
        <v>4.9071187660864109E-2</v>
      </c>
      <c r="O507" s="8">
        <f t="shared" ca="1" si="524"/>
        <v>4.8115585207443981E-2</v>
      </c>
    </row>
    <row r="508" spans="2:15">
      <c r="B508" s="3">
        <v>487</v>
      </c>
      <c r="C508" s="8">
        <f t="shared" si="486"/>
        <v>0.05</v>
      </c>
      <c r="D508" s="8">
        <f t="shared" ref="D508:O508" ca="1" si="525">C508+k*(theta-C508)*dt+vol*SQRT(dt)*_xlfn.NORM.S.INV(RAND())</f>
        <v>4.8061039674557611E-2</v>
      </c>
      <c r="E508" s="8">
        <f t="shared" ca="1" si="525"/>
        <v>5.1408721118702004E-2</v>
      </c>
      <c r="F508" s="8">
        <f t="shared" ca="1" si="525"/>
        <v>6.7453404203700121E-2</v>
      </c>
      <c r="G508" s="8">
        <f t="shared" ca="1" si="525"/>
        <v>6.638500367480854E-2</v>
      </c>
      <c r="H508" s="8">
        <f t="shared" ca="1" si="525"/>
        <v>7.8844622458144192E-2</v>
      </c>
      <c r="I508" s="8">
        <f t="shared" ca="1" si="525"/>
        <v>7.6156539157432313E-2</v>
      </c>
      <c r="J508" s="8">
        <f t="shared" ca="1" si="525"/>
        <v>6.8946655801987444E-2</v>
      </c>
      <c r="K508" s="8">
        <f t="shared" ca="1" si="525"/>
        <v>8.3151346120140246E-2</v>
      </c>
      <c r="L508" s="8">
        <f t="shared" ca="1" si="525"/>
        <v>7.9171630035027002E-2</v>
      </c>
      <c r="M508" s="8">
        <f t="shared" ca="1" si="525"/>
        <v>7.4880394180068074E-2</v>
      </c>
      <c r="N508" s="8">
        <f t="shared" ca="1" si="525"/>
        <v>7.4895329885179815E-2</v>
      </c>
      <c r="O508" s="8">
        <f t="shared" ca="1" si="525"/>
        <v>7.6911721717461856E-2</v>
      </c>
    </row>
    <row r="509" spans="2:15">
      <c r="B509" s="3">
        <v>488</v>
      </c>
      <c r="C509" s="8">
        <f t="shared" si="486"/>
        <v>0.05</v>
      </c>
      <c r="D509" s="8">
        <f t="shared" ref="D509:O509" ca="1" si="526">C509+k*(theta-C509)*dt+vol*SQRT(dt)*_xlfn.NORM.S.INV(RAND())</f>
        <v>5.4552464232650061E-2</v>
      </c>
      <c r="E509" s="8">
        <f t="shared" ca="1" si="526"/>
        <v>6.0908188327789728E-2</v>
      </c>
      <c r="F509" s="8">
        <f t="shared" ca="1" si="526"/>
        <v>6.6972972307328349E-2</v>
      </c>
      <c r="G509" s="8">
        <f t="shared" ca="1" si="526"/>
        <v>6.7131123344478599E-2</v>
      </c>
      <c r="H509" s="8">
        <f t="shared" ca="1" si="526"/>
        <v>6.8323400182905988E-2</v>
      </c>
      <c r="I509" s="8">
        <f t="shared" ca="1" si="526"/>
        <v>6.795202476262345E-2</v>
      </c>
      <c r="J509" s="8">
        <f t="shared" ca="1" si="526"/>
        <v>5.8684986445576133E-2</v>
      </c>
      <c r="K509" s="8">
        <f t="shared" ca="1" si="526"/>
        <v>5.7389167842021985E-2</v>
      </c>
      <c r="L509" s="8">
        <f t="shared" ca="1" si="526"/>
        <v>6.1374196572443647E-2</v>
      </c>
      <c r="M509" s="8">
        <f t="shared" ca="1" si="526"/>
        <v>6.5965443175568975E-2</v>
      </c>
      <c r="N509" s="8">
        <f t="shared" ca="1" si="526"/>
        <v>6.4322931447236997E-2</v>
      </c>
      <c r="O509" s="8">
        <f t="shared" ca="1" si="526"/>
        <v>6.0741898873511745E-2</v>
      </c>
    </row>
    <row r="510" spans="2:15">
      <c r="B510" s="3">
        <v>489</v>
      </c>
      <c r="C510" s="8">
        <f t="shared" si="486"/>
        <v>0.05</v>
      </c>
      <c r="D510" s="8">
        <f t="shared" ref="D510:O510" ca="1" si="527">C510+k*(theta-C510)*dt+vol*SQRT(dt)*_xlfn.NORM.S.INV(RAND())</f>
        <v>4.6175730390839005E-2</v>
      </c>
      <c r="E510" s="8">
        <f t="shared" ca="1" si="527"/>
        <v>4.4785238222032883E-2</v>
      </c>
      <c r="F510" s="8">
        <f t="shared" ca="1" si="527"/>
        <v>4.6291128049909619E-2</v>
      </c>
      <c r="G510" s="8">
        <f t="shared" ca="1" si="527"/>
        <v>5.577446821207506E-2</v>
      </c>
      <c r="H510" s="8">
        <f t="shared" ca="1" si="527"/>
        <v>5.7823878373215308E-2</v>
      </c>
      <c r="I510" s="8">
        <f t="shared" ca="1" si="527"/>
        <v>5.9368184276543105E-2</v>
      </c>
      <c r="J510" s="8">
        <f t="shared" ca="1" si="527"/>
        <v>5.6126133789851665E-2</v>
      </c>
      <c r="K510" s="8">
        <f t="shared" ca="1" si="527"/>
        <v>5.0365419742369265E-2</v>
      </c>
      <c r="L510" s="8">
        <f t="shared" ca="1" si="527"/>
        <v>5.2431705419087447E-2</v>
      </c>
      <c r="M510" s="8">
        <f t="shared" ca="1" si="527"/>
        <v>6.2572949880875278E-2</v>
      </c>
      <c r="N510" s="8">
        <f t="shared" ca="1" si="527"/>
        <v>6.7138318885903062E-2</v>
      </c>
      <c r="O510" s="8">
        <f t="shared" ca="1" si="527"/>
        <v>7.7152886361397915E-2</v>
      </c>
    </row>
    <row r="511" spans="2:15">
      <c r="B511" s="3">
        <v>490</v>
      </c>
      <c r="C511" s="8">
        <f t="shared" si="486"/>
        <v>0.05</v>
      </c>
      <c r="D511" s="8">
        <f t="shared" ref="D511:O511" ca="1" si="528">C511+k*(theta-C511)*dt+vol*SQRT(dt)*_xlfn.NORM.S.INV(RAND())</f>
        <v>5.2918602454532941E-2</v>
      </c>
      <c r="E511" s="8">
        <f t="shared" ca="1" si="528"/>
        <v>5.4415005826446615E-2</v>
      </c>
      <c r="F511" s="8">
        <f t="shared" ca="1" si="528"/>
        <v>4.3787731314625628E-2</v>
      </c>
      <c r="G511" s="8">
        <f t="shared" ca="1" si="528"/>
        <v>5.728413920221985E-2</v>
      </c>
      <c r="H511" s="8">
        <f t="shared" ca="1" si="528"/>
        <v>5.7968284207377714E-2</v>
      </c>
      <c r="I511" s="8">
        <f t="shared" ca="1" si="528"/>
        <v>6.2793006079226554E-2</v>
      </c>
      <c r="J511" s="8">
        <f t="shared" ca="1" si="528"/>
        <v>6.7023745283933928E-2</v>
      </c>
      <c r="K511" s="8">
        <f t="shared" ca="1" si="528"/>
        <v>5.5163362274189401E-2</v>
      </c>
      <c r="L511" s="8">
        <f t="shared" ca="1" si="528"/>
        <v>4.7838805021515982E-2</v>
      </c>
      <c r="M511" s="8">
        <f t="shared" ca="1" si="528"/>
        <v>4.2730930013100132E-2</v>
      </c>
      <c r="N511" s="8">
        <f t="shared" ca="1" si="528"/>
        <v>5.5766105337866995E-2</v>
      </c>
      <c r="O511" s="8">
        <f t="shared" ca="1" si="528"/>
        <v>5.9874329692931556E-2</v>
      </c>
    </row>
    <row r="512" spans="2:15">
      <c r="B512" s="3">
        <v>491</v>
      </c>
      <c r="C512" s="8">
        <f t="shared" si="486"/>
        <v>0.05</v>
      </c>
      <c r="D512" s="8">
        <f t="shared" ref="D512:O512" ca="1" si="529">C512+k*(theta-C512)*dt+vol*SQRT(dt)*_xlfn.NORM.S.INV(RAND())</f>
        <v>5.3978512796441523E-2</v>
      </c>
      <c r="E512" s="8">
        <f t="shared" ca="1" si="529"/>
        <v>6.5513587627048717E-2</v>
      </c>
      <c r="F512" s="8">
        <f t="shared" ca="1" si="529"/>
        <v>6.5506221908708209E-2</v>
      </c>
      <c r="G512" s="8">
        <f t="shared" ca="1" si="529"/>
        <v>6.0649795584523235E-2</v>
      </c>
      <c r="H512" s="8">
        <f t="shared" ca="1" si="529"/>
        <v>7.1542716473687498E-2</v>
      </c>
      <c r="I512" s="8">
        <f t="shared" ca="1" si="529"/>
        <v>7.0172406579995947E-2</v>
      </c>
      <c r="J512" s="8">
        <f t="shared" ca="1" si="529"/>
        <v>6.7859307083508916E-2</v>
      </c>
      <c r="K512" s="8">
        <f t="shared" ca="1" si="529"/>
        <v>6.7463570242669316E-2</v>
      </c>
      <c r="L512" s="8">
        <f t="shared" ca="1" si="529"/>
        <v>6.7350178833718743E-2</v>
      </c>
      <c r="M512" s="8">
        <f t="shared" ca="1" si="529"/>
        <v>6.1144677578707417E-2</v>
      </c>
      <c r="N512" s="8">
        <f t="shared" ca="1" si="529"/>
        <v>6.7670070913691219E-2</v>
      </c>
      <c r="O512" s="8">
        <f t="shared" ca="1" si="529"/>
        <v>6.2002213140334897E-2</v>
      </c>
    </row>
    <row r="513" spans="2:15">
      <c r="B513" s="3">
        <v>492</v>
      </c>
      <c r="C513" s="8">
        <f t="shared" si="486"/>
        <v>0.05</v>
      </c>
      <c r="D513" s="8">
        <f t="shared" ref="D513:O513" ca="1" si="530">C513+k*(theta-C513)*dt+vol*SQRT(dt)*_xlfn.NORM.S.INV(RAND())</f>
        <v>5.4501766412563185E-2</v>
      </c>
      <c r="E513" s="8">
        <f t="shared" ca="1" si="530"/>
        <v>5.362673710270608E-2</v>
      </c>
      <c r="F513" s="8">
        <f t="shared" ca="1" si="530"/>
        <v>5.6494594503612869E-2</v>
      </c>
      <c r="G513" s="8">
        <f t="shared" ca="1" si="530"/>
        <v>5.8347168009366505E-2</v>
      </c>
      <c r="H513" s="8">
        <f t="shared" ca="1" si="530"/>
        <v>5.0693421960444206E-2</v>
      </c>
      <c r="I513" s="8">
        <f t="shared" ca="1" si="530"/>
        <v>5.4725705601449993E-2</v>
      </c>
      <c r="J513" s="8">
        <f t="shared" ca="1" si="530"/>
        <v>5.7047075458425849E-2</v>
      </c>
      <c r="K513" s="8">
        <f t="shared" ca="1" si="530"/>
        <v>5.7067063910657918E-2</v>
      </c>
      <c r="L513" s="8">
        <f t="shared" ca="1" si="530"/>
        <v>4.8426687755975931E-2</v>
      </c>
      <c r="M513" s="8">
        <f t="shared" ca="1" si="530"/>
        <v>4.0644469988055543E-2</v>
      </c>
      <c r="N513" s="8">
        <f t="shared" ca="1" si="530"/>
        <v>4.2826455515466821E-2</v>
      </c>
      <c r="O513" s="8">
        <f t="shared" ca="1" si="530"/>
        <v>4.8000022117058463E-2</v>
      </c>
    </row>
    <row r="514" spans="2:15">
      <c r="B514" s="3">
        <v>493</v>
      </c>
      <c r="C514" s="8">
        <f t="shared" si="486"/>
        <v>0.05</v>
      </c>
      <c r="D514" s="8">
        <f t="shared" ref="D514:O514" ca="1" si="531">C514+k*(theta-C514)*dt+vol*SQRT(dt)*_xlfn.NORM.S.INV(RAND())</f>
        <v>5.6112634597288942E-2</v>
      </c>
      <c r="E514" s="8">
        <f t="shared" ca="1" si="531"/>
        <v>5.8364708707553566E-2</v>
      </c>
      <c r="F514" s="8">
        <f t="shared" ca="1" si="531"/>
        <v>5.8585894418463652E-2</v>
      </c>
      <c r="G514" s="8">
        <f t="shared" ca="1" si="531"/>
        <v>5.5466030490927173E-2</v>
      </c>
      <c r="H514" s="8">
        <f t="shared" ca="1" si="531"/>
        <v>6.3807393908259652E-2</v>
      </c>
      <c r="I514" s="8">
        <f t="shared" ca="1" si="531"/>
        <v>5.8641824548665587E-2</v>
      </c>
      <c r="J514" s="8">
        <f t="shared" ca="1" si="531"/>
        <v>5.9142005122369702E-2</v>
      </c>
      <c r="K514" s="8">
        <f t="shared" ca="1" si="531"/>
        <v>6.3033074552292845E-2</v>
      </c>
      <c r="L514" s="8">
        <f t="shared" ca="1" si="531"/>
        <v>5.0368151938276498E-2</v>
      </c>
      <c r="M514" s="8">
        <f t="shared" ca="1" si="531"/>
        <v>3.9943224072530509E-2</v>
      </c>
      <c r="N514" s="8">
        <f t="shared" ca="1" si="531"/>
        <v>4.2925890347398854E-2</v>
      </c>
      <c r="O514" s="8">
        <f t="shared" ca="1" si="531"/>
        <v>5.0842711954865415E-2</v>
      </c>
    </row>
    <row r="515" spans="2:15">
      <c r="B515" s="3">
        <v>494</v>
      </c>
      <c r="C515" s="8">
        <f t="shared" si="486"/>
        <v>0.05</v>
      </c>
      <c r="D515" s="8">
        <f t="shared" ref="D515:O515" ca="1" si="532">C515+k*(theta-C515)*dt+vol*SQRT(dt)*_xlfn.NORM.S.INV(RAND())</f>
        <v>6.2177755725603995E-2</v>
      </c>
      <c r="E515" s="8">
        <f t="shared" ca="1" si="532"/>
        <v>6.7897846590013813E-2</v>
      </c>
      <c r="F515" s="8">
        <f t="shared" ca="1" si="532"/>
        <v>6.1972681642200218E-2</v>
      </c>
      <c r="G515" s="8">
        <f t="shared" ca="1" si="532"/>
        <v>6.8039801920466922E-2</v>
      </c>
      <c r="H515" s="8">
        <f t="shared" ca="1" si="532"/>
        <v>7.3880763196723889E-2</v>
      </c>
      <c r="I515" s="8">
        <f t="shared" ca="1" si="532"/>
        <v>6.802723365324187E-2</v>
      </c>
      <c r="J515" s="8">
        <f t="shared" ca="1" si="532"/>
        <v>7.3652214697088894E-2</v>
      </c>
      <c r="K515" s="8">
        <f t="shared" ca="1" si="532"/>
        <v>6.452593452580202E-2</v>
      </c>
      <c r="L515" s="8">
        <f t="shared" ca="1" si="532"/>
        <v>6.4711888156657502E-2</v>
      </c>
      <c r="M515" s="8">
        <f t="shared" ca="1" si="532"/>
        <v>5.7731160264506289E-2</v>
      </c>
      <c r="N515" s="8">
        <f t="shared" ca="1" si="532"/>
        <v>6.380730267340419E-2</v>
      </c>
      <c r="O515" s="8">
        <f t="shared" ca="1" si="532"/>
        <v>6.0112421098508603E-2</v>
      </c>
    </row>
    <row r="516" spans="2:15">
      <c r="B516" s="3">
        <v>495</v>
      </c>
      <c r="C516" s="8">
        <f t="shared" si="486"/>
        <v>0.05</v>
      </c>
      <c r="D516" s="8">
        <f t="shared" ref="D516:O516" ca="1" si="533">C516+k*(theta-C516)*dt+vol*SQRT(dt)*_xlfn.NORM.S.INV(RAND())</f>
        <v>4.9232514839682273E-2</v>
      </c>
      <c r="E516" s="8">
        <f t="shared" ca="1" si="533"/>
        <v>4.0007344806648609E-2</v>
      </c>
      <c r="F516" s="8">
        <f t="shared" ca="1" si="533"/>
        <v>4.8793963291331927E-2</v>
      </c>
      <c r="G516" s="8">
        <f t="shared" ca="1" si="533"/>
        <v>4.2742774536993267E-2</v>
      </c>
      <c r="H516" s="8">
        <f t="shared" ca="1" si="533"/>
        <v>3.4750725200636948E-2</v>
      </c>
      <c r="I516" s="8">
        <f t="shared" ca="1" si="533"/>
        <v>2.8974437244949986E-2</v>
      </c>
      <c r="J516" s="8">
        <f t="shared" ca="1" si="533"/>
        <v>3.1977904699029239E-2</v>
      </c>
      <c r="K516" s="8">
        <f t="shared" ca="1" si="533"/>
        <v>3.0805442981504855E-2</v>
      </c>
      <c r="L516" s="8">
        <f t="shared" ca="1" si="533"/>
        <v>4.2001212434168538E-2</v>
      </c>
      <c r="M516" s="8">
        <f t="shared" ca="1" si="533"/>
        <v>5.1671920683468736E-2</v>
      </c>
      <c r="N516" s="8">
        <f t="shared" ca="1" si="533"/>
        <v>5.1683032567318953E-2</v>
      </c>
      <c r="O516" s="8">
        <f t="shared" ca="1" si="533"/>
        <v>5.0289930650067496E-2</v>
      </c>
    </row>
    <row r="517" spans="2:15">
      <c r="B517" s="3">
        <v>496</v>
      </c>
      <c r="C517" s="8">
        <f t="shared" si="486"/>
        <v>0.05</v>
      </c>
      <c r="D517" s="8">
        <f t="shared" ref="D517:O517" ca="1" si="534">C517+k*(theta-C517)*dt+vol*SQRT(dt)*_xlfn.NORM.S.INV(RAND())</f>
        <v>3.8056790567908998E-2</v>
      </c>
      <c r="E517" s="8">
        <f t="shared" ca="1" si="534"/>
        <v>3.5562631878538656E-2</v>
      </c>
      <c r="F517" s="8">
        <f t="shared" ca="1" si="534"/>
        <v>3.3856988021008734E-2</v>
      </c>
      <c r="G517" s="8">
        <f t="shared" ca="1" si="534"/>
        <v>3.0245578139725483E-2</v>
      </c>
      <c r="H517" s="8">
        <f t="shared" ca="1" si="534"/>
        <v>3.3239449346895142E-2</v>
      </c>
      <c r="I517" s="8">
        <f t="shared" ca="1" si="534"/>
        <v>2.9990620794913388E-2</v>
      </c>
      <c r="J517" s="8">
        <f t="shared" ca="1" si="534"/>
        <v>1.3398508545487537E-2</v>
      </c>
      <c r="K517" s="8">
        <f t="shared" ca="1" si="534"/>
        <v>7.1484686264907237E-3</v>
      </c>
      <c r="L517" s="8">
        <f t="shared" ca="1" si="534"/>
        <v>9.5407482648915496E-3</v>
      </c>
      <c r="M517" s="8">
        <f t="shared" ca="1" si="534"/>
        <v>4.661909473764346E-3</v>
      </c>
      <c r="N517" s="8">
        <f t="shared" ca="1" si="534"/>
        <v>1.3282583673123788E-2</v>
      </c>
      <c r="O517" s="8">
        <f t="shared" ca="1" si="534"/>
        <v>1.4919449603451769E-2</v>
      </c>
    </row>
    <row r="518" spans="2:15">
      <c r="B518" s="3">
        <v>497</v>
      </c>
      <c r="C518" s="8">
        <f t="shared" si="486"/>
        <v>0.05</v>
      </c>
      <c r="D518" s="8">
        <f t="shared" ref="D518:O518" ca="1" si="535">C518+k*(theta-C518)*dt+vol*SQRT(dt)*_xlfn.NORM.S.INV(RAND())</f>
        <v>5.0319377371988792E-2</v>
      </c>
      <c r="E518" s="8">
        <f t="shared" ca="1" si="535"/>
        <v>5.1962509693929224E-2</v>
      </c>
      <c r="F518" s="8">
        <f t="shared" ca="1" si="535"/>
        <v>5.8984265275409904E-2</v>
      </c>
      <c r="G518" s="8">
        <f t="shared" ca="1" si="535"/>
        <v>6.0034968649024328E-2</v>
      </c>
      <c r="H518" s="8">
        <f t="shared" ca="1" si="535"/>
        <v>5.8723994256683149E-2</v>
      </c>
      <c r="I518" s="8">
        <f t="shared" ca="1" si="535"/>
        <v>5.377166140343756E-2</v>
      </c>
      <c r="J518" s="8">
        <f t="shared" ca="1" si="535"/>
        <v>3.8616693917282147E-2</v>
      </c>
      <c r="K518" s="8">
        <f t="shared" ca="1" si="535"/>
        <v>3.9580106214337982E-2</v>
      </c>
      <c r="L518" s="8">
        <f t="shared" ca="1" si="535"/>
        <v>5.0786594724477191E-2</v>
      </c>
      <c r="M518" s="8">
        <f t="shared" ca="1" si="535"/>
        <v>4.9331729481757118E-2</v>
      </c>
      <c r="N518" s="8">
        <f t="shared" ca="1" si="535"/>
        <v>5.8307279914189734E-2</v>
      </c>
      <c r="O518" s="8">
        <f t="shared" ca="1" si="535"/>
        <v>6.2793553300575969E-2</v>
      </c>
    </row>
    <row r="519" spans="2:15">
      <c r="B519" s="3">
        <v>498</v>
      </c>
      <c r="C519" s="8">
        <f t="shared" si="486"/>
        <v>0.05</v>
      </c>
      <c r="D519" s="8">
        <f t="shared" ref="D519:O519" ca="1" si="536">C519+k*(theta-C519)*dt+vol*SQRT(dt)*_xlfn.NORM.S.INV(RAND())</f>
        <v>4.9055634883794469E-2</v>
      </c>
      <c r="E519" s="8">
        <f t="shared" ca="1" si="536"/>
        <v>7.1562994620487722E-2</v>
      </c>
      <c r="F519" s="8">
        <f t="shared" ca="1" si="536"/>
        <v>6.6151090012498068E-2</v>
      </c>
      <c r="G519" s="8">
        <f t="shared" ca="1" si="536"/>
        <v>6.1048100538976573E-2</v>
      </c>
      <c r="H519" s="8">
        <f t="shared" ca="1" si="536"/>
        <v>6.2952854011853965E-2</v>
      </c>
      <c r="I519" s="8">
        <f t="shared" ca="1" si="536"/>
        <v>5.7536526663231752E-2</v>
      </c>
      <c r="J519" s="8">
        <f t="shared" ca="1" si="536"/>
        <v>6.9903048250043384E-2</v>
      </c>
      <c r="K519" s="8">
        <f t="shared" ca="1" si="536"/>
        <v>6.4741677832952649E-2</v>
      </c>
      <c r="L519" s="8">
        <f t="shared" ca="1" si="536"/>
        <v>6.843409246191999E-2</v>
      </c>
      <c r="M519" s="8">
        <f t="shared" ca="1" si="536"/>
        <v>7.3145052637610911E-2</v>
      </c>
      <c r="N519" s="8">
        <f t="shared" ca="1" si="536"/>
        <v>7.7704491016769545E-2</v>
      </c>
      <c r="O519" s="8">
        <f t="shared" ca="1" si="536"/>
        <v>7.4150988408415414E-2</v>
      </c>
    </row>
    <row r="520" spans="2:15">
      <c r="B520" s="3">
        <v>499</v>
      </c>
      <c r="C520" s="8">
        <f t="shared" si="486"/>
        <v>0.05</v>
      </c>
      <c r="D520" s="8">
        <f t="shared" ref="D520:O520" ca="1" si="537">C520+k*(theta-C520)*dt+vol*SQRT(dt)*_xlfn.NORM.S.INV(RAND())</f>
        <v>5.5151594610020144E-2</v>
      </c>
      <c r="E520" s="8">
        <f t="shared" ca="1" si="537"/>
        <v>5.6829577950124499E-2</v>
      </c>
      <c r="F520" s="8">
        <f t="shared" ca="1" si="537"/>
        <v>5.3536559235336068E-2</v>
      </c>
      <c r="G520" s="8">
        <f t="shared" ca="1" si="537"/>
        <v>5.527493077791789E-2</v>
      </c>
      <c r="H520" s="8">
        <f t="shared" ca="1" si="537"/>
        <v>6.03258483342375E-2</v>
      </c>
      <c r="I520" s="8">
        <f t="shared" ca="1" si="537"/>
        <v>5.9464339796658036E-2</v>
      </c>
      <c r="J520" s="8">
        <f t="shared" ca="1" si="537"/>
        <v>6.2889793895588783E-2</v>
      </c>
      <c r="K520" s="8">
        <f t="shared" ca="1" si="537"/>
        <v>6.2578572137876792E-2</v>
      </c>
      <c r="L520" s="8">
        <f t="shared" ca="1" si="537"/>
        <v>5.3023054357489607E-2</v>
      </c>
      <c r="M520" s="8">
        <f t="shared" ca="1" si="537"/>
        <v>5.0678801933368184E-2</v>
      </c>
      <c r="N520" s="8">
        <f t="shared" ca="1" si="537"/>
        <v>5.6777186812124389E-2</v>
      </c>
      <c r="O520" s="8">
        <f t="shared" ca="1" si="537"/>
        <v>6.6518699676342372E-2</v>
      </c>
    </row>
    <row r="521" spans="2:15">
      <c r="B521" s="3">
        <v>500</v>
      </c>
      <c r="C521" s="8">
        <f t="shared" si="486"/>
        <v>0.05</v>
      </c>
      <c r="D521" s="8">
        <f t="shared" ref="D521:O521" ca="1" si="538">C521+k*(theta-C521)*dt+vol*SQRT(dt)*_xlfn.NORM.S.INV(RAND())</f>
        <v>5.4113683035590991E-2</v>
      </c>
      <c r="E521" s="8">
        <f t="shared" ca="1" si="538"/>
        <v>6.0815584128570029E-2</v>
      </c>
      <c r="F521" s="8">
        <f t="shared" ca="1" si="538"/>
        <v>5.4128028744297424E-2</v>
      </c>
      <c r="G521" s="8">
        <f t="shared" ca="1" si="538"/>
        <v>4.6040481836766678E-2</v>
      </c>
      <c r="H521" s="8">
        <f t="shared" ca="1" si="538"/>
        <v>5.1241529366055479E-2</v>
      </c>
      <c r="I521" s="8">
        <f t="shared" ca="1" si="538"/>
        <v>3.6249780201307424E-2</v>
      </c>
      <c r="J521" s="8">
        <f t="shared" ca="1" si="538"/>
        <v>3.5164731483216929E-2</v>
      </c>
      <c r="K521" s="8">
        <f t="shared" ca="1" si="538"/>
        <v>4.3106543744868386E-2</v>
      </c>
      <c r="L521" s="8">
        <f t="shared" ca="1" si="538"/>
        <v>3.7090279927305077E-2</v>
      </c>
      <c r="M521" s="8">
        <f t="shared" ca="1" si="538"/>
        <v>4.3767470113437595E-2</v>
      </c>
      <c r="N521" s="8">
        <f t="shared" ca="1" si="538"/>
        <v>4.557072134828357E-2</v>
      </c>
      <c r="O521" s="8">
        <f t="shared" ca="1" si="538"/>
        <v>5.2158502086995351E-2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79E26-EFCE-4D86-80FA-2498AB0F74BD}">
  <sheetPr codeName="Sheet2"/>
  <dimension ref="PT2502"/>
  <sheetViews>
    <sheetView workbookViewId="0"/>
  </sheetViews>
  <sheetFormatPr defaultRowHeight="14.5"/>
  <sheetData>
    <row r="2502" spans="436:436">
      <c r="PT2502" s="16">
        <v>45212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DA5AD1-FED9-44C4-9168-17B0E22AE1A1}">
  <sheetPr codeName="Sheet3"/>
  <dimension ref="A1"/>
  <sheetViews>
    <sheetView tabSelected="1" workbookViewId="0"/>
  </sheetViews>
  <sheetFormatPr defaultRowHeight="14.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6" baseType="lpstr">
      <vt:lpstr>Warning</vt:lpstr>
      <vt:lpstr>dt</vt:lpstr>
      <vt:lpstr>k</vt:lpstr>
      <vt:lpstr>r0</vt:lpstr>
      <vt:lpstr>theta</vt:lpstr>
      <vt:lpstr>vol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Satyapriya Ojha</dc:creator>
  <cp:lastModifiedBy>Bhavya Gupta</cp:lastModifiedBy>
  <dcterms:created xsi:type="dcterms:W3CDTF">2022-11-24T13:15:54Z</dcterms:created>
  <dcterms:modified xsi:type="dcterms:W3CDTF">2023-10-13T17:47:12Z</dcterms:modified>
</cp:coreProperties>
</file>