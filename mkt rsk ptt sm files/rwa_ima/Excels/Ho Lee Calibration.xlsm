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printerSettings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0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AVYA\Desktop\P2\"/>
    </mc:Choice>
  </mc:AlternateContent>
  <xr:revisionPtr revIDLastSave="0" documentId="13_ncr:1_{38F7D36F-BC93-446D-AF8F-5983B99684D4}" xr6:coauthVersionLast="47" xr6:coauthVersionMax="47" xr10:uidLastSave="{00000000-0000-0000-0000-000000000000}"/>
  <bookViews>
    <workbookView xWindow="-110" yWindow="-110" windowWidth="19420" windowHeight="10300" firstSheet="4" activeTab="4" xr2:uid="{00000000-000D-0000-FFFF-FFFF00000000}"/>
  </bookViews>
  <sheets>
    <sheet name="Copyright" sheetId="6" state="veryHidden" r:id="rId1"/>
    <sheet name="1" sheetId="2" state="veryHidden" r:id="rId2"/>
    <sheet name="2" sheetId="3" state="veryHidden" r:id="rId3"/>
    <sheet name="P2T_Input" sheetId="4" state="veryHidden" r:id="rId4"/>
    <sheet name="Warning" sheetId="5" r:id="rId5"/>
  </sheets>
  <externalReferences>
    <externalReference r:id="rId6"/>
  </externalReferences>
  <definedNames>
    <definedName name="dt">'1'!$C$14</definedName>
    <definedName name="r0">'1'!$C$13</definedName>
    <definedName name="solver_adj" localSheetId="1" hidden="1">'1'!$K$15:$L$15</definedName>
    <definedName name="solver_adj" localSheetId="2" hidden="1">'2'!$C$16:$C$16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1</definedName>
    <definedName name="solver_eng" localSheetId="2" hidden="1">1</definedName>
    <definedName name="solver_est" localSheetId="1" hidden="1">1</definedName>
    <definedName name="solver_est" localSheetId="2" hidden="1">1</definedName>
    <definedName name="solver_itr" localSheetId="1" hidden="1">2147483647</definedName>
    <definedName name="solver_itr" localSheetId="2" hidden="1">2147483647</definedName>
    <definedName name="solver_lhs1" localSheetId="1" hidden="1">'1'!#REF!</definedName>
    <definedName name="solver_lhs1" localSheetId="2" hidden="1">'2'!#REF!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2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0</definedName>
    <definedName name="solver_num" localSheetId="2" hidden="1">1</definedName>
    <definedName name="solver_nwt" localSheetId="1" hidden="1">1</definedName>
    <definedName name="solver_nwt" localSheetId="2" hidden="1">1</definedName>
    <definedName name="solver_opt" localSheetId="1" hidden="1">'1'!$K$28</definedName>
    <definedName name="solver_opt" localSheetId="2" hidden="1">'2'!#REF!</definedName>
    <definedName name="solver_pre" localSheetId="1" hidden="1">0.000001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1" localSheetId="1" hidden="1">1</definedName>
    <definedName name="solver_rel1" localSheetId="2" hidden="1">1</definedName>
    <definedName name="solver_rhs1" localSheetId="1" hidden="1">1</definedName>
    <definedName name="solver_rhs1" localSheetId="2" hidden="1">1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2</definedName>
    <definedName name="solver_typ" localSheetId="2" hidden="1">1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  <definedName name="vol">'1'!$C$12</definedName>
    <definedName name="x_1">OFFSET('[1]3.1'!$J$53,0,'[1]3.1'!$J$56,1,25-'[1]3.1'!$J$56)</definedName>
    <definedName name="y_1">OFFSET('[1]3.1'!$J$54,0,'[1]3.1'!$J$56,1,25-'[1]3.1'!$J$56)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4" i="3" l="1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23" i="3"/>
  <c r="K13" i="2" l="1"/>
  <c r="E72" i="3"/>
  <c r="D72" i="3"/>
  <c r="E71" i="3"/>
  <c r="D71" i="3"/>
  <c r="E70" i="3"/>
  <c r="D70" i="3"/>
  <c r="E69" i="3"/>
  <c r="D69" i="3"/>
  <c r="E68" i="3"/>
  <c r="D68" i="3"/>
  <c r="E67" i="3"/>
  <c r="D67" i="3"/>
  <c r="E66" i="3"/>
  <c r="D66" i="3"/>
  <c r="E65" i="3"/>
  <c r="D65" i="3"/>
  <c r="E64" i="3"/>
  <c r="D64" i="3"/>
  <c r="E63" i="3"/>
  <c r="D63" i="3"/>
  <c r="E62" i="3"/>
  <c r="D62" i="3"/>
  <c r="E61" i="3"/>
  <c r="D61" i="3"/>
  <c r="E60" i="3"/>
  <c r="D60" i="3"/>
  <c r="E59" i="3"/>
  <c r="D59" i="3"/>
  <c r="E58" i="3"/>
  <c r="D58" i="3"/>
  <c r="E57" i="3"/>
  <c r="D57" i="3"/>
  <c r="E56" i="3"/>
  <c r="D56" i="3"/>
  <c r="E55" i="3"/>
  <c r="D55" i="3"/>
  <c r="E54" i="3"/>
  <c r="D54" i="3"/>
  <c r="E53" i="3"/>
  <c r="D53" i="3"/>
  <c r="E52" i="3"/>
  <c r="D52" i="3"/>
  <c r="E51" i="3"/>
  <c r="D51" i="3"/>
  <c r="E50" i="3"/>
  <c r="D50" i="3"/>
  <c r="E49" i="3"/>
  <c r="D49" i="3"/>
  <c r="E48" i="3"/>
  <c r="D48" i="3"/>
  <c r="E47" i="3"/>
  <c r="D47" i="3"/>
  <c r="E46" i="3"/>
  <c r="D46" i="3"/>
  <c r="E45" i="3"/>
  <c r="D45" i="3"/>
  <c r="E44" i="3"/>
  <c r="D44" i="3"/>
  <c r="E43" i="3"/>
  <c r="D43" i="3"/>
  <c r="E42" i="3"/>
  <c r="D42" i="3"/>
  <c r="E41" i="3"/>
  <c r="D41" i="3"/>
  <c r="E40" i="3"/>
  <c r="D40" i="3"/>
  <c r="E39" i="3"/>
  <c r="D39" i="3"/>
  <c r="E38" i="3"/>
  <c r="D38" i="3"/>
  <c r="E37" i="3"/>
  <c r="D37" i="3"/>
  <c r="E36" i="3"/>
  <c r="D36" i="3"/>
  <c r="E35" i="3"/>
  <c r="D35" i="3"/>
  <c r="E34" i="3"/>
  <c r="D34" i="3"/>
  <c r="E33" i="3"/>
  <c r="D33" i="3"/>
  <c r="E32" i="3"/>
  <c r="D32" i="3"/>
  <c r="E31" i="3"/>
  <c r="D31" i="3"/>
  <c r="E30" i="3"/>
  <c r="D30" i="3"/>
  <c r="E29" i="3"/>
  <c r="D29" i="3"/>
  <c r="E28" i="3"/>
  <c r="D28" i="3"/>
  <c r="E27" i="3"/>
  <c r="D27" i="3"/>
  <c r="E26" i="3"/>
  <c r="D26" i="3"/>
  <c r="E25" i="3"/>
  <c r="D25" i="3"/>
  <c r="E24" i="3"/>
  <c r="D24" i="3"/>
  <c r="E23" i="3"/>
  <c r="D23" i="3"/>
  <c r="C18" i="3"/>
  <c r="C17" i="3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C14" i="2"/>
  <c r="C13" i="2"/>
  <c r="C16" i="3"/>
  <c r="G24" i="3" l="1"/>
  <c r="G23" i="3"/>
  <c r="F23" i="3"/>
  <c r="G25" i="3" s="1"/>
  <c r="L12" i="2"/>
  <c r="L13" i="2"/>
  <c r="M13" i="2" s="1"/>
  <c r="M25" i="2" s="1"/>
  <c r="F24" i="3"/>
  <c r="F36" i="3"/>
  <c r="F48" i="3"/>
  <c r="F60" i="3"/>
  <c r="F72" i="3"/>
  <c r="F42" i="3"/>
  <c r="F66" i="3"/>
  <c r="F68" i="3"/>
  <c r="F44" i="3"/>
  <c r="F32" i="3"/>
  <c r="F39" i="3"/>
  <c r="F62" i="3"/>
  <c r="F28" i="3"/>
  <c r="F40" i="3"/>
  <c r="F64" i="3"/>
  <c r="F71" i="3"/>
  <c r="F67" i="3"/>
  <c r="F63" i="3"/>
  <c r="F59" i="3"/>
  <c r="F55" i="3"/>
  <c r="F51" i="3"/>
  <c r="F47" i="3"/>
  <c r="F43" i="3"/>
  <c r="F69" i="3"/>
  <c r="F65" i="3"/>
  <c r="F61" i="3"/>
  <c r="F57" i="3"/>
  <c r="F53" i="3"/>
  <c r="F49" i="3"/>
  <c r="F45" i="3"/>
  <c r="F41" i="3"/>
  <c r="F37" i="3"/>
  <c r="F33" i="3"/>
  <c r="F29" i="3"/>
  <c r="F25" i="3"/>
  <c r="F54" i="3"/>
  <c r="F27" i="3"/>
  <c r="F50" i="3"/>
  <c r="F52" i="3"/>
  <c r="F31" i="3"/>
  <c r="F56" i="3"/>
  <c r="F34" i="3"/>
  <c r="F46" i="3"/>
  <c r="F58" i="3"/>
  <c r="F70" i="3"/>
  <c r="F35" i="3"/>
  <c r="F26" i="3"/>
  <c r="F30" i="3"/>
  <c r="F38" i="3"/>
  <c r="M11" i="2" l="1"/>
  <c r="M23" i="2" s="1"/>
  <c r="L19" i="2"/>
  <c r="M12" i="2"/>
  <c r="M24" i="2" s="1"/>
  <c r="L25" i="2" s="1"/>
  <c r="L20" i="2"/>
  <c r="K20" i="2" l="1"/>
  <c r="E19" i="2" s="1"/>
  <c r="L24" i="2"/>
  <c r="K25" i="2" s="1"/>
  <c r="E20" i="2" s="1"/>
  <c r="K28" i="2" l="1"/>
</calcChain>
</file>

<file path=xl/sharedStrings.xml><?xml version="1.0" encoding="utf-8"?>
<sst xmlns="http://schemas.openxmlformats.org/spreadsheetml/2006/main" count="31" uniqueCount="24">
  <si>
    <t>Ho &amp; Lee Model (discrete)</t>
  </si>
  <si>
    <t xml:space="preserve">Risk Neutral Calibration </t>
  </si>
  <si>
    <t>σ</t>
  </si>
  <si>
    <t>r(0)</t>
  </si>
  <si>
    <t>dt</t>
  </si>
  <si>
    <t>T</t>
  </si>
  <si>
    <t>spot rate</t>
  </si>
  <si>
    <t>θ</t>
  </si>
  <si>
    <t>Ho &amp; Lee Model (Continuous)</t>
  </si>
  <si>
    <t>f(0, T)</t>
  </si>
  <si>
    <t>With the above time dependence of drift , Ho Lee bond price will match traded prices</t>
  </si>
  <si>
    <t>Now this drift function can be used to price interest rate derivatives</t>
  </si>
  <si>
    <r>
      <t>P (0,T)</t>
    </r>
    <r>
      <rPr>
        <b/>
        <vertAlign val="superscript"/>
        <sz val="11"/>
        <color theme="1"/>
        <rFont val="CMU Sans Serif"/>
      </rPr>
      <t>obs</t>
    </r>
  </si>
  <si>
    <t>Today</t>
  </si>
  <si>
    <t>( estimated )</t>
  </si>
  <si>
    <r>
      <t xml:space="preserve">t </t>
    </r>
    <r>
      <rPr>
        <sz val="11"/>
        <color theme="1"/>
        <rFont val="Calibri"/>
        <family val="2"/>
      </rPr>
      <t>→</t>
    </r>
  </si>
  <si>
    <t>r(t)</t>
  </si>
  <si>
    <r>
      <t xml:space="preserve">θ </t>
    </r>
    <r>
      <rPr>
        <sz val="11"/>
        <color theme="1"/>
        <rFont val="Calibri"/>
        <family val="2"/>
      </rPr>
      <t>→</t>
    </r>
  </si>
  <si>
    <t>SSE</t>
  </si>
  <si>
    <t>Price error</t>
  </si>
  <si>
    <t>period</t>
  </si>
  <si>
    <t>P(0,T)</t>
  </si>
  <si>
    <t>P(0, 1)</t>
  </si>
  <si>
    <t>P(0, 1.5)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</si>
</sst>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%"/>
    <numFmt numFmtId="165" formatCode="0.000%"/>
    <numFmt numFmtId="166" formatCode="0.000000000"/>
    <numFmt numFmtId="167" formatCode="dd\ mmm\ yy"/>
    <numFmt numFmtId="168" formatCode="0.00000%"/>
    <numFmt numFmtId="169" formatCode="0.0000000"/>
    <numFmt numFmtId="170" formatCode="0.000000"/>
    <numFmt numFmtId="171" formatCode="0.00000"/>
    <numFmt numFmtId="172" formatCode="0.00000000"/>
    <numFmt numFmtId="173" formatCode="0.00000000000000000%"/>
    <numFmt numFmtId="174" formatCode="0.0000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4"/>
      <color rgb="FF0070C0"/>
      <name val="CMU Sans Serif"/>
    </font>
    <font>
      <sz val="11"/>
      <color theme="1"/>
      <name val="CMU Sans Serif"/>
    </font>
    <font>
      <sz val="11"/>
      <color rgb="FFFF0000"/>
      <name val="CMU Sans Serif"/>
    </font>
    <font>
      <b/>
      <sz val="11"/>
      <color rgb="FF0070C0"/>
      <name val="CMU Sans Serif"/>
    </font>
    <font>
      <b/>
      <sz val="11"/>
      <color theme="1"/>
      <name val="CMU Sans Serif"/>
    </font>
    <font>
      <b/>
      <sz val="10"/>
      <name val="CMU Sans Serif"/>
    </font>
    <font>
      <b/>
      <vertAlign val="superscript"/>
      <sz val="11"/>
      <color theme="1"/>
      <name val="CMU Sans Serif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3" fillId="0" borderId="1" xfId="0" applyFont="1" applyBorder="1"/>
    <xf numFmtId="0" fontId="4" fillId="0" borderId="1" xfId="0" applyFont="1" applyBorder="1"/>
    <xf numFmtId="0" fontId="4" fillId="0" borderId="0" xfId="0" applyFont="1"/>
    <xf numFmtId="0" fontId="5" fillId="0" borderId="0" xfId="0" applyFont="1"/>
    <xf numFmtId="0" fontId="6" fillId="0" borderId="0" xfId="0" applyFont="1"/>
    <xf numFmtId="164" fontId="4" fillId="2" borderId="0" xfId="0" applyNumberFormat="1" applyFont="1" applyFill="1"/>
    <xf numFmtId="165" fontId="4" fillId="0" borderId="0" xfId="0" applyNumberFormat="1" applyFont="1"/>
    <xf numFmtId="166" fontId="7" fillId="0" borderId="0" xfId="0" applyNumberFormat="1" applyFont="1"/>
    <xf numFmtId="0" fontId="4" fillId="0" borderId="0" xfId="0" applyFont="1" applyAlignment="1">
      <alignment horizontal="center"/>
    </xf>
    <xf numFmtId="9" fontId="4" fillId="0" borderId="0" xfId="0" applyNumberFormat="1" applyFont="1"/>
    <xf numFmtId="168" fontId="4" fillId="0" borderId="0" xfId="1" applyNumberFormat="1" applyFont="1" applyAlignment="1">
      <alignment horizontal="center"/>
    </xf>
    <xf numFmtId="169" fontId="4" fillId="0" borderId="0" xfId="0" applyNumberFormat="1" applyFont="1"/>
    <xf numFmtId="170" fontId="7" fillId="0" borderId="0" xfId="0" applyNumberFormat="1" applyFont="1"/>
    <xf numFmtId="168" fontId="7" fillId="0" borderId="1" xfId="1" applyNumberFormat="1" applyFont="1" applyBorder="1" applyAlignment="1">
      <alignment horizontal="center"/>
    </xf>
    <xf numFmtId="14" fontId="7" fillId="0" borderId="1" xfId="0" applyNumberFormat="1" applyFont="1" applyBorder="1"/>
    <xf numFmtId="0" fontId="4" fillId="0" borderId="1" xfId="0" applyFont="1" applyBorder="1" applyAlignment="1">
      <alignment horizontal="center"/>
    </xf>
    <xf numFmtId="165" fontId="7" fillId="0" borderId="0" xfId="0" applyNumberFormat="1" applyFont="1"/>
    <xf numFmtId="165" fontId="4" fillId="0" borderId="0" xfId="1" applyNumberFormat="1" applyFont="1" applyAlignment="1">
      <alignment horizontal="center"/>
    </xf>
    <xf numFmtId="171" fontId="4" fillId="0" borderId="0" xfId="1" applyNumberFormat="1" applyFont="1" applyAlignment="1">
      <alignment horizontal="center"/>
    </xf>
    <xf numFmtId="172" fontId="4" fillId="0" borderId="0" xfId="0" applyNumberFormat="1" applyFont="1"/>
    <xf numFmtId="2" fontId="4" fillId="0" borderId="0" xfId="0" applyNumberFormat="1" applyFont="1" applyAlignment="1">
      <alignment horizontal="center"/>
    </xf>
    <xf numFmtId="168" fontId="4" fillId="0" borderId="0" xfId="0" applyNumberFormat="1" applyFont="1"/>
    <xf numFmtId="14" fontId="4" fillId="0" borderId="0" xfId="0" applyNumberFormat="1" applyFont="1"/>
    <xf numFmtId="14" fontId="4" fillId="0" borderId="0" xfId="0" applyNumberFormat="1" applyFont="1" applyAlignment="1">
      <alignment horizontal="center"/>
    </xf>
    <xf numFmtId="164" fontId="4" fillId="0" borderId="0" xfId="1" applyNumberFormat="1" applyFont="1" applyAlignment="1">
      <alignment horizontal="center"/>
    </xf>
    <xf numFmtId="171" fontId="4" fillId="0" borderId="0" xfId="0" applyNumberFormat="1" applyFont="1"/>
    <xf numFmtId="173" fontId="4" fillId="0" borderId="0" xfId="0" applyNumberFormat="1" applyFont="1"/>
    <xf numFmtId="165" fontId="4" fillId="0" borderId="0" xfId="1" applyNumberFormat="1" applyFont="1" applyBorder="1" applyAlignment="1">
      <alignment horizontal="center"/>
    </xf>
    <xf numFmtId="0" fontId="7" fillId="0" borderId="1" xfId="0" applyFont="1" applyBorder="1"/>
    <xf numFmtId="165" fontId="4" fillId="2" borderId="0" xfId="0" applyNumberFormat="1" applyFont="1" applyFill="1"/>
    <xf numFmtId="165" fontId="4" fillId="0" borderId="0" xfId="1" applyNumberFormat="1" applyFont="1"/>
    <xf numFmtId="0" fontId="4" fillId="3" borderId="0" xfId="0" applyFont="1" applyFill="1" applyAlignment="1">
      <alignment horizontal="center"/>
    </xf>
    <xf numFmtId="2" fontId="7" fillId="0" borderId="0" xfId="0" applyNumberFormat="1" applyFont="1" applyAlignment="1">
      <alignment horizontal="center"/>
    </xf>
    <xf numFmtId="174" fontId="4" fillId="0" borderId="0" xfId="1" applyNumberFormat="1" applyFont="1" applyAlignment="1">
      <alignment horizontal="center"/>
    </xf>
    <xf numFmtId="164" fontId="4" fillId="4" borderId="0" xfId="0" applyNumberFormat="1" applyFont="1" applyFill="1"/>
    <xf numFmtId="2" fontId="4" fillId="0" borderId="1" xfId="0" applyNumberFormat="1" applyFont="1" applyBorder="1" applyAlignment="1">
      <alignment horizontal="center"/>
    </xf>
    <xf numFmtId="11" fontId="4" fillId="0" borderId="0" xfId="0" applyNumberFormat="1" applyFont="1"/>
    <xf numFmtId="170" fontId="4" fillId="0" borderId="0" xfId="0" applyNumberFormat="1" applyFont="1" applyAlignment="1">
      <alignment horizontal="center"/>
    </xf>
    <xf numFmtId="167" fontId="8" fillId="0" borderId="1" xfId="0" applyNumberFormat="1" applyFont="1" applyBorder="1" applyAlignment="1">
      <alignment horizontal="center"/>
    </xf>
    <xf numFmtId="1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printerSettings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
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 Lee Drift today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'2'!$B$75:$B$135</c:f>
              <c:numCache>
                <c:formatCode>General</c:formatCode>
                <c:ptCount val="61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1</c:v>
                </c:pt>
                <c:pt idx="4">
                  <c:v>1</c:v>
                </c:pt>
                <c:pt idx="5">
                  <c:v>1.5</c:v>
                </c:pt>
                <c:pt idx="6">
                  <c:v>1.5</c:v>
                </c:pt>
                <c:pt idx="7">
                  <c:v>2</c:v>
                </c:pt>
                <c:pt idx="8">
                  <c:v>2</c:v>
                </c:pt>
                <c:pt idx="9">
                  <c:v>2.5</c:v>
                </c:pt>
                <c:pt idx="10">
                  <c:v>2.5</c:v>
                </c:pt>
                <c:pt idx="11">
                  <c:v>3</c:v>
                </c:pt>
                <c:pt idx="12">
                  <c:v>3</c:v>
                </c:pt>
                <c:pt idx="13">
                  <c:v>3.5</c:v>
                </c:pt>
                <c:pt idx="14">
                  <c:v>3.5</c:v>
                </c:pt>
                <c:pt idx="15">
                  <c:v>4</c:v>
                </c:pt>
                <c:pt idx="16">
                  <c:v>4</c:v>
                </c:pt>
                <c:pt idx="17">
                  <c:v>4.5</c:v>
                </c:pt>
                <c:pt idx="18">
                  <c:v>4.5</c:v>
                </c:pt>
                <c:pt idx="19">
                  <c:v>5</c:v>
                </c:pt>
                <c:pt idx="20">
                  <c:v>5</c:v>
                </c:pt>
                <c:pt idx="21">
                  <c:v>5.5</c:v>
                </c:pt>
                <c:pt idx="22">
                  <c:v>5.5</c:v>
                </c:pt>
                <c:pt idx="23">
                  <c:v>6</c:v>
                </c:pt>
                <c:pt idx="24">
                  <c:v>6</c:v>
                </c:pt>
                <c:pt idx="25">
                  <c:v>6.5</c:v>
                </c:pt>
                <c:pt idx="26">
                  <c:v>6.5</c:v>
                </c:pt>
                <c:pt idx="27">
                  <c:v>7</c:v>
                </c:pt>
                <c:pt idx="28">
                  <c:v>7</c:v>
                </c:pt>
                <c:pt idx="29">
                  <c:v>7.5</c:v>
                </c:pt>
                <c:pt idx="30">
                  <c:v>7.5</c:v>
                </c:pt>
                <c:pt idx="31">
                  <c:v>8</c:v>
                </c:pt>
                <c:pt idx="32">
                  <c:v>8</c:v>
                </c:pt>
                <c:pt idx="33">
                  <c:v>8.5</c:v>
                </c:pt>
                <c:pt idx="34">
                  <c:v>8.5</c:v>
                </c:pt>
                <c:pt idx="35">
                  <c:v>9</c:v>
                </c:pt>
                <c:pt idx="36">
                  <c:v>9</c:v>
                </c:pt>
                <c:pt idx="37">
                  <c:v>9.5</c:v>
                </c:pt>
                <c:pt idx="38">
                  <c:v>9.5</c:v>
                </c:pt>
                <c:pt idx="39">
                  <c:v>10</c:v>
                </c:pt>
                <c:pt idx="40">
                  <c:v>10</c:v>
                </c:pt>
                <c:pt idx="41">
                  <c:v>10.5</c:v>
                </c:pt>
                <c:pt idx="42">
                  <c:v>10.5</c:v>
                </c:pt>
                <c:pt idx="43">
                  <c:v>11</c:v>
                </c:pt>
                <c:pt idx="44">
                  <c:v>11</c:v>
                </c:pt>
                <c:pt idx="45">
                  <c:v>11.5</c:v>
                </c:pt>
                <c:pt idx="46">
                  <c:v>11.5</c:v>
                </c:pt>
                <c:pt idx="47">
                  <c:v>12</c:v>
                </c:pt>
                <c:pt idx="48">
                  <c:v>12</c:v>
                </c:pt>
                <c:pt idx="49">
                  <c:v>12.5</c:v>
                </c:pt>
                <c:pt idx="50">
                  <c:v>12.5</c:v>
                </c:pt>
                <c:pt idx="51">
                  <c:v>13</c:v>
                </c:pt>
                <c:pt idx="52">
                  <c:v>13</c:v>
                </c:pt>
                <c:pt idx="53">
                  <c:v>13.5</c:v>
                </c:pt>
                <c:pt idx="54">
                  <c:v>13.5</c:v>
                </c:pt>
                <c:pt idx="55">
                  <c:v>14</c:v>
                </c:pt>
                <c:pt idx="56">
                  <c:v>14</c:v>
                </c:pt>
                <c:pt idx="57">
                  <c:v>14.5</c:v>
                </c:pt>
                <c:pt idx="58">
                  <c:v>14.5</c:v>
                </c:pt>
                <c:pt idx="59">
                  <c:v>15</c:v>
                </c:pt>
                <c:pt idx="60">
                  <c:v>15</c:v>
                </c:pt>
              </c:numCache>
            </c:numRef>
          </c:xVal>
          <c:yVal>
            <c:numRef>
              <c:f>'2'!$C$75:$C$135</c:f>
              <c:numCache>
                <c:formatCode>0.000%</c:formatCode>
                <c:ptCount val="61"/>
                <c:pt idx="0">
                  <c:v>-8.6135810090700357E-4</c:v>
                </c:pt>
                <c:pt idx="1">
                  <c:v>-8.6135810090700357E-4</c:v>
                </c:pt>
                <c:pt idx="2">
                  <c:v>2.4871182931022976E-3</c:v>
                </c:pt>
                <c:pt idx="3">
                  <c:v>2.4871182931022976E-3</c:v>
                </c:pt>
                <c:pt idx="4">
                  <c:v>5.62788848817813E-3</c:v>
                </c:pt>
                <c:pt idx="5">
                  <c:v>5.62788848817813E-3</c:v>
                </c:pt>
                <c:pt idx="6">
                  <c:v>6.0160269983987151E-3</c:v>
                </c:pt>
                <c:pt idx="7">
                  <c:v>6.0160269983987151E-3</c:v>
                </c:pt>
                <c:pt idx="8">
                  <c:v>5.4073015144884039E-3</c:v>
                </c:pt>
                <c:pt idx="9">
                  <c:v>5.4073015144884039E-3</c:v>
                </c:pt>
                <c:pt idx="10">
                  <c:v>4.6751045257571924E-3</c:v>
                </c:pt>
                <c:pt idx="11">
                  <c:v>4.6751045257571924E-3</c:v>
                </c:pt>
                <c:pt idx="12">
                  <c:v>4.0247110895478624E-3</c:v>
                </c:pt>
                <c:pt idx="13">
                  <c:v>4.0247110895478624E-3</c:v>
                </c:pt>
                <c:pt idx="14">
                  <c:v>3.4751615949916094E-3</c:v>
                </c:pt>
                <c:pt idx="15">
                  <c:v>3.4751615949916094E-3</c:v>
                </c:pt>
                <c:pt idx="16">
                  <c:v>3.021711910561367E-3</c:v>
                </c:pt>
                <c:pt idx="17">
                  <c:v>3.021711910561367E-3</c:v>
                </c:pt>
                <c:pt idx="18">
                  <c:v>2.6592694178100653E-3</c:v>
                </c:pt>
                <c:pt idx="19">
                  <c:v>2.6592694178100653E-3</c:v>
                </c:pt>
                <c:pt idx="20">
                  <c:v>2.3815731401393529E-3</c:v>
                </c:pt>
                <c:pt idx="21">
                  <c:v>2.3815731401393529E-3</c:v>
                </c:pt>
                <c:pt idx="22">
                  <c:v>2.1776261968427081E-3</c:v>
                </c:pt>
                <c:pt idx="23">
                  <c:v>2.1776261968427081E-3</c:v>
                </c:pt>
                <c:pt idx="24">
                  <c:v>2.0293807276363773E-3</c:v>
                </c:pt>
                <c:pt idx="25">
                  <c:v>2.0293807276363773E-3</c:v>
                </c:pt>
                <c:pt idx="26">
                  <c:v>1.9248104971583821E-3</c:v>
                </c:pt>
                <c:pt idx="27">
                  <c:v>1.9248104971583821E-3</c:v>
                </c:pt>
                <c:pt idx="28">
                  <c:v>1.8576904389125543E-3</c:v>
                </c:pt>
                <c:pt idx="29">
                  <c:v>1.8576904389125543E-3</c:v>
                </c:pt>
                <c:pt idx="30">
                  <c:v>1.8252756408486817E-3</c:v>
                </c:pt>
                <c:pt idx="31">
                  <c:v>1.8252756408486817E-3</c:v>
                </c:pt>
                <c:pt idx="32">
                  <c:v>1.8205491253846121E-3</c:v>
                </c:pt>
                <c:pt idx="33">
                  <c:v>1.8205491253846121E-3</c:v>
                </c:pt>
                <c:pt idx="34">
                  <c:v>1.8398506208862242E-3</c:v>
                </c:pt>
                <c:pt idx="35">
                  <c:v>1.8398506208862242E-3</c:v>
                </c:pt>
                <c:pt idx="36">
                  <c:v>1.8828930921204923E-3</c:v>
                </c:pt>
                <c:pt idx="37">
                  <c:v>1.8828930921204923E-3</c:v>
                </c:pt>
                <c:pt idx="38">
                  <c:v>1.9315752708663112E-3</c:v>
                </c:pt>
                <c:pt idx="39">
                  <c:v>1.9315752708663112E-3</c:v>
                </c:pt>
                <c:pt idx="40">
                  <c:v>1.9738349083148949E-3</c:v>
                </c:pt>
                <c:pt idx="41">
                  <c:v>1.9738349083148949E-3</c:v>
                </c:pt>
                <c:pt idx="42">
                  <c:v>2.009146916422309E-3</c:v>
                </c:pt>
                <c:pt idx="43">
                  <c:v>2.009146916422309E-3</c:v>
                </c:pt>
                <c:pt idx="44">
                  <c:v>2.0375112951875542E-3</c:v>
                </c:pt>
                <c:pt idx="45">
                  <c:v>2.0375112951875542E-3</c:v>
                </c:pt>
                <c:pt idx="46">
                  <c:v>1.9783703920689096E-3</c:v>
                </c:pt>
                <c:pt idx="47">
                  <c:v>1.9783703920689096E-3</c:v>
                </c:pt>
                <c:pt idx="48">
                  <c:v>1.8989911512812523E-3</c:v>
                </c:pt>
                <c:pt idx="49">
                  <c:v>1.8989911512812523E-3</c:v>
                </c:pt>
                <c:pt idx="50">
                  <c:v>1.7997667564126621E-3</c:v>
                </c:pt>
                <c:pt idx="51">
                  <c:v>1.7997667564126621E-3</c:v>
                </c:pt>
                <c:pt idx="52">
                  <c:v>1.6808706827201869E-3</c:v>
                </c:pt>
                <c:pt idx="53">
                  <c:v>1.6808706827201869E-3</c:v>
                </c:pt>
                <c:pt idx="54">
                  <c:v>1.5471662403348805E-3</c:v>
                </c:pt>
                <c:pt idx="55">
                  <c:v>1.5471662403348805E-3</c:v>
                </c:pt>
                <c:pt idx="56">
                  <c:v>1.4078309527166008E-3</c:v>
                </c:pt>
                <c:pt idx="57">
                  <c:v>1.4078309527166008E-3</c:v>
                </c:pt>
                <c:pt idx="58">
                  <c:v>1.2648130082726112E-3</c:v>
                </c:pt>
                <c:pt idx="59">
                  <c:v>1.2648130082726112E-3</c:v>
                </c:pt>
                <c:pt idx="60">
                  <c:v>1.1214046653934867E-3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1B-4C75-AEFD-CF45EA56F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270447"/>
        <c:axId val="1448271695"/>
      </c:scatterChart>
      <c:valAx>
        <c:axId val="1448270447"/>
        <c:scaling>
          <c:orientation val="minMax"/>
          <c:max val="1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8271695"/>
        <c:crosses val="autoZero"/>
        <c:crossBetween val="midCat"/>
        <c:majorUnit val="0.5"/>
      </c:valAx>
      <c:valAx>
        <c:axId val="1448271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82704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Bond Prices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'2'!$B$23:$B$72</c:f>
              <c:numCache>
                <c:formatCode>General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xVal>
          <c:yVal>
            <c:numRef>
              <c:f>'2'!$D$23:$D$72</c:f>
              <c:numCache>
                <c:formatCode>0.00000</c:formatCode>
                <c:ptCount val="50"/>
                <c:pt idx="0">
                  <c:v>0.99774139732311018</c:v>
                </c:pt>
                <c:pt idx="1">
                  <c:v>0.99570993418934839</c:v>
                </c:pt>
                <c:pt idx="2">
                  <c:v>0.99308020185118939</c:v>
                </c:pt>
                <c:pt idx="3">
                  <c:v>0.98908763780425291</c:v>
                </c:pt>
                <c:pt idx="4">
                  <c:v>0.9836608438646155</c:v>
                </c:pt>
                <c:pt idx="5">
                  <c:v>0.97697979310272831</c:v>
                </c:pt>
                <c:pt idx="6">
                  <c:v>0.96925533145354792</c:v>
                </c:pt>
                <c:pt idx="7">
                  <c:v>0.9606765435260286</c:v>
                </c:pt>
                <c:pt idx="8">
                  <c:v>0.95140526006962012</c:v>
                </c:pt>
                <c:pt idx="9">
                  <c:v>0.94157702038156299</c:v>
                </c:pt>
                <c:pt idx="10">
                  <c:v>0.93130252807035008</c:v>
                </c:pt>
                <c:pt idx="11">
                  <c:v>0.92066965117538369</c:v>
                </c:pt>
                <c:pt idx="12">
                  <c:v>0.90974665210028072</c:v>
                </c:pt>
                <c:pt idx="13">
                  <c:v>0.89858699513703277</c:v>
                </c:pt>
                <c:pt idx="14">
                  <c:v>0.88723262905052858</c:v>
                </c:pt>
                <c:pt idx="15">
                  <c:v>0.87571586472436835</c:v>
                </c:pt>
                <c:pt idx="16">
                  <c:v>0.8640604385025813</c:v>
                </c:pt>
                <c:pt idx="17">
                  <c:v>0.85228346836383062</c:v>
                </c:pt>
                <c:pt idx="18">
                  <c:v>0.8403966017992518</c:v>
                </c:pt>
                <c:pt idx="19">
                  <c:v>0.82840641363081602</c:v>
                </c:pt>
                <c:pt idx="20">
                  <c:v>0.81631844443683854</c:v>
                </c:pt>
                <c:pt idx="21">
                  <c:v>0.8041397028365499</c:v>
                </c:pt>
                <c:pt idx="22">
                  <c:v>0.79187866341730995</c:v>
                </c:pt>
                <c:pt idx="23">
                  <c:v>0.77954515034645999</c:v>
                </c:pt>
                <c:pt idx="24">
                  <c:v>0.76715028248976569</c:v>
                </c:pt>
                <c:pt idx="25">
                  <c:v>0.75470802940587234</c:v>
                </c:pt>
                <c:pt idx="26">
                  <c:v>0.74223792263216137</c:v>
                </c:pt>
                <c:pt idx="27">
                  <c:v>0.72976422350261094</c:v>
                </c:pt>
                <c:pt idx="28">
                  <c:v>0.71731384053113678</c:v>
                </c:pt>
                <c:pt idx="29">
                  <c:v>0.70491568644175473</c:v>
                </c:pt>
                <c:pt idx="30">
                  <c:v>0.69260034898234435</c:v>
                </c:pt>
                <c:pt idx="31">
                  <c:v>0.68039898331662785</c:v>
                </c:pt>
                <c:pt idx="32">
                  <c:v>0.66834159149785655</c:v>
                </c:pt>
                <c:pt idx="33">
                  <c:v>0.65645667247683226</c:v>
                </c:pt>
                <c:pt idx="34">
                  <c:v>0.64477070535041758</c:v>
                </c:pt>
                <c:pt idx="35">
                  <c:v>0.63330725973526369</c:v>
                </c:pt>
                <c:pt idx="36">
                  <c:v>0.62208698118007821</c:v>
                </c:pt>
                <c:pt idx="37">
                  <c:v>0.61112778005600377</c:v>
                </c:pt>
                <c:pt idx="38">
                  <c:v>0.60044492007194694</c:v>
                </c:pt>
                <c:pt idx="39">
                  <c:v>0.59005061172288131</c:v>
                </c:pt>
                <c:pt idx="40">
                  <c:v>0.57995388246987389</c:v>
                </c:pt>
                <c:pt idx="41">
                  <c:v>0.57016083669053619</c:v>
                </c:pt>
                <c:pt idx="42">
                  <c:v>0.56067499688749434</c:v>
                </c:pt>
                <c:pt idx="43">
                  <c:v>0.55149758320217246</c:v>
                </c:pt>
                <c:pt idx="44">
                  <c:v>0.54262771549833444</c:v>
                </c:pt>
                <c:pt idx="45">
                  <c:v>0.53406259652194477</c:v>
                </c:pt>
                <c:pt idx="46">
                  <c:v>0.52579768197145871</c:v>
                </c:pt>
                <c:pt idx="47">
                  <c:v>0.51782691196704345</c:v>
                </c:pt>
                <c:pt idx="48">
                  <c:v>0.51014299577652911</c:v>
                </c:pt>
                <c:pt idx="49">
                  <c:v>0.50273758004844504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D4-45B6-BFAF-63FF39A32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1348560"/>
        <c:axId val="1371347312"/>
      </c:scatterChart>
      <c:valAx>
        <c:axId val="137134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347312"/>
        <c:crosses val="autoZero"/>
        <c:crossBetween val="midCat"/>
      </c:valAx>
      <c:valAx>
        <c:axId val="13713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348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D:\From%20PC\All\CRM_Protected\logi.jpg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348722</xdr:colOff>
      <xdr:row>12</xdr:row>
      <xdr:rowOff>134350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560686-D04B-44E7-AC12-C6377FA3F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600" y="184150"/>
          <a:ext cx="7054322" cy="21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582931</xdr:colOff>
      <xdr:row>3</xdr:row>
      <xdr:rowOff>140970</xdr:rowOff>
    </xdr:from>
    <xdr:to>
      <xdr:col>3</xdr:col>
      <xdr:colOff>59056</xdr:colOff>
      <xdr:row>5</xdr:row>
      <xdr:rowOff>32293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EFA2D4C-C6DF-45F9-8D5D-FE585ADF7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2931" y="788670"/>
          <a:ext cx="1600200" cy="29137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544831</xdr:colOff>
      <xdr:row>3</xdr:row>
      <xdr:rowOff>7620</xdr:rowOff>
    </xdr:from>
    <xdr:to>
      <xdr:col>3</xdr:col>
      <xdr:colOff>30481</xdr:colOff>
      <xdr:row>4</xdr:row>
      <xdr:rowOff>98968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C0D2172-E328-4CEA-873C-528C2556A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4831" y="655320"/>
          <a:ext cx="1600200" cy="291373"/>
        </a:xfrm>
        <a:prstGeom prst="rect">
          <a:avLst/>
        </a:prstGeom>
      </xdr:spPr>
    </xdr:pic>
    <xdr:clientData/>
  </xdr:twoCellAnchor>
  <xdr:twoCellAnchor editAs="oneCell">
    <xdr:from>
      <xdr:col>0</xdr:col>
      <xdr:colOff>529590</xdr:colOff>
      <xdr:row>4</xdr:row>
      <xdr:rowOff>83821</xdr:rowOff>
    </xdr:from>
    <xdr:to>
      <xdr:col>4</xdr:col>
      <xdr:colOff>379095</xdr:colOff>
      <xdr:row>6</xdr:row>
      <xdr:rowOff>160907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4044DA4-349B-4631-8047-3230F1331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590" y="931546"/>
          <a:ext cx="2802255" cy="477136"/>
        </a:xfrm>
        <a:prstGeom prst="rect">
          <a:avLst/>
        </a:prstGeom>
      </xdr:spPr>
    </xdr:pic>
    <xdr:clientData/>
  </xdr:twoCellAnchor>
  <xdr:twoCellAnchor editAs="oneCell">
    <xdr:from>
      <xdr:col>0</xdr:col>
      <xdr:colOff>569595</xdr:colOff>
      <xdr:row>7</xdr:row>
      <xdr:rowOff>15240</xdr:rowOff>
    </xdr:from>
    <xdr:to>
      <xdr:col>3</xdr:col>
      <xdr:colOff>377190</xdr:colOff>
      <xdr:row>9</xdr:row>
      <xdr:rowOff>76835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5DAE0CA-9C23-4727-8821-5F083121C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9595" y="1463040"/>
          <a:ext cx="1922145" cy="461645"/>
        </a:xfrm>
        <a:prstGeom prst="rect">
          <a:avLst/>
        </a:prstGeom>
      </xdr:spPr>
    </xdr:pic>
    <xdr:clientData/>
  </xdr:twoCellAnchor>
  <xdr:twoCellAnchor>
    <xdr:from>
      <xdr:col>9</xdr:col>
      <xdr:colOff>106680</xdr:colOff>
      <xdr:row>4</xdr:row>
      <xdr:rowOff>175260</xdr:rowOff>
    </xdr:from>
    <xdr:to>
      <xdr:col>21</xdr:col>
      <xdr:colOff>22860</xdr:colOff>
      <xdr:row>25</xdr:row>
      <xdr:rowOff>7620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8212B59-9584-4850-8194-A2AEB14F7F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53340</xdr:colOff>
      <xdr:row>4</xdr:row>
      <xdr:rowOff>175260</xdr:rowOff>
    </xdr:from>
    <xdr:to>
      <xdr:col>33</xdr:col>
      <xdr:colOff>60960</xdr:colOff>
      <xdr:row>25</xdr:row>
      <xdr:rowOff>15240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938CD00-BCF8-43D9-BB9D-B9BA44EA33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561975</xdr:colOff>
      <xdr:row>10</xdr:row>
      <xdr:rowOff>38100</xdr:rowOff>
    </xdr:from>
    <xdr:to>
      <xdr:col>1</xdr:col>
      <xdr:colOff>653476</xdr:colOff>
      <xdr:row>11</xdr:row>
      <xdr:rowOff>165763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2FA45A-B7F7-9FA9-6D38-6B5E15658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61975" y="2085975"/>
          <a:ext cx="701101" cy="327688"/>
        </a:xfrm>
        <a:prstGeom prst="rect">
          <a:avLst/>
        </a:prstGeom>
      </xdr:spPr>
    </xdr:pic>
    <xdr:clientData/>
  </xdr:twoCellAnchor>
  <xdr:twoCellAnchor editAs="oneCell">
    <xdr:from>
      <xdr:col>1</xdr:col>
      <xdr:colOff>685799</xdr:colOff>
      <xdr:row>9</xdr:row>
      <xdr:rowOff>142874</xdr:rowOff>
    </xdr:from>
    <xdr:to>
      <xdr:col>6</xdr:col>
      <xdr:colOff>666151</xdr:colOff>
      <xdr:row>11</xdr:row>
      <xdr:rowOff>190499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8B741EC-9808-4DA2-342D-12AB6C20D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95399" y="1990724"/>
          <a:ext cx="3609377" cy="4476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Excels/Class%2052%20-%20Volatility%20Estimation%20and%20VaR/Class%2054-%20Historical%20Metho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.1"/>
      <sheetName val="1.2"/>
      <sheetName val="1.3"/>
      <sheetName val="1.4"/>
      <sheetName val="2"/>
      <sheetName val="2.1"/>
      <sheetName val="2.2"/>
      <sheetName val="2.3"/>
      <sheetName val="3"/>
      <sheetName val="3.1"/>
      <sheetName val="3.2"/>
      <sheetName val="3.3"/>
      <sheetName val="3.4"/>
      <sheetName val="4"/>
      <sheetName val="4.1"/>
      <sheetName val="4.2"/>
      <sheetName val="4.3"/>
      <sheetName val="4.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53">
          <cell r="J53">
            <v>0</v>
          </cell>
        </row>
        <row r="54">
          <cell r="J54">
            <v>-3</v>
          </cell>
        </row>
        <row r="56">
          <cell r="J56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604F3-1B76-44FB-9BAB-98534A80C00A}">
  <sheetPr codeName="Sheet3"/>
  <dimension ref="A1"/>
  <sheetViews>
    <sheetView showGridLines="0" workbookViewId="0"/>
  </sheetViews>
  <sheetFormatPr defaultRowHeight="14.5"/>
  <sheetData/>
  <sheetProtection algorithmName="SHA-512" hashValue="4NYp5LX1P3RSq4Tq8XbZMli8ML71NZTBTBlpxKtya+tAHn1nJsAlB/7sVK21Dqu0REr1NP9uyiz9ORCCfJzutw==" saltValue="xRGvsylTeADJyvrAz0ESzw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F8FB1-FCAE-4D19-A2DF-78519F38CA80}">
  <sheetPr codeName="Sheet7"/>
  <dimension ref="B2:BD1281"/>
  <sheetViews>
    <sheetView showGridLines="0" zoomScale="80" zoomScaleNormal="80" workbookViewId="0">
      <selection activeCell="P17" sqref="P17"/>
    </sheetView>
  </sheetViews>
  <sheetFormatPr defaultColWidth="8.90625" defaultRowHeight="14"/>
  <cols>
    <col min="1" max="1" width="8.90625" style="3"/>
    <col min="2" max="2" width="9.90625" style="3" bestFit="1" customWidth="1"/>
    <col min="3" max="3" width="12.1796875" style="3" customWidth="1"/>
    <col min="4" max="4" width="13.81640625" style="3" customWidth="1"/>
    <col min="5" max="5" width="11.453125" style="3" customWidth="1"/>
    <col min="6" max="6" width="9.90625" style="3" bestFit="1" customWidth="1"/>
    <col min="7" max="7" width="10.81640625" style="3" customWidth="1"/>
    <col min="8" max="9" width="8.90625" style="3"/>
    <col min="10" max="10" width="11.1796875" style="3" customWidth="1"/>
    <col min="11" max="11" width="8.90625" style="3" customWidth="1"/>
    <col min="12" max="12" width="9.81640625" style="3" customWidth="1"/>
    <col min="13" max="13" width="9.36328125" style="3" customWidth="1"/>
    <col min="14" max="16384" width="8.90625" style="3"/>
  </cols>
  <sheetData>
    <row r="2" spans="2:56" ht="17.5">
      <c r="B2" s="1" t="s">
        <v>0</v>
      </c>
      <c r="C2" s="2"/>
      <c r="D2" s="2"/>
      <c r="E2" s="2"/>
      <c r="F2" s="2"/>
      <c r="G2" s="2"/>
      <c r="H2" s="2"/>
      <c r="I2" s="2"/>
    </row>
    <row r="4" spans="2:56">
      <c r="F4" s="4"/>
    </row>
    <row r="6" spans="2:56">
      <c r="B6" s="5"/>
      <c r="F6" s="4"/>
    </row>
    <row r="7" spans="2:56">
      <c r="F7" s="4"/>
      <c r="J7" s="9" t="s">
        <v>20</v>
      </c>
      <c r="K7" s="9">
        <v>0</v>
      </c>
      <c r="L7" s="9">
        <v>1</v>
      </c>
      <c r="M7" s="9">
        <v>2</v>
      </c>
    </row>
    <row r="8" spans="2:56" ht="14.5">
      <c r="J8" s="9" t="s">
        <v>15</v>
      </c>
      <c r="K8" s="32">
        <v>0</v>
      </c>
      <c r="L8" s="32">
        <v>0.5</v>
      </c>
      <c r="M8" s="32">
        <v>1</v>
      </c>
    </row>
    <row r="9" spans="2:56">
      <c r="G9" s="8"/>
    </row>
    <row r="10" spans="2:56">
      <c r="M10" s="31"/>
      <c r="O10" s="7"/>
      <c r="P10" s="7"/>
      <c r="Q10" s="7"/>
      <c r="R10" s="7"/>
    </row>
    <row r="11" spans="2:56">
      <c r="M11" s="31">
        <f>L12+L15*dt+vol*SQRT(dt)</f>
        <v>1.6405145812842671E-2</v>
      </c>
      <c r="O11" s="7"/>
      <c r="P11" s="7"/>
      <c r="Q11" s="7"/>
      <c r="R11" s="7"/>
    </row>
    <row r="12" spans="2:56">
      <c r="B12" s="3" t="s">
        <v>2</v>
      </c>
      <c r="C12" s="35">
        <v>7.8385007726242701E-3</v>
      </c>
      <c r="D12" s="3" t="s">
        <v>14</v>
      </c>
      <c r="L12" s="31">
        <f>K13+K15*dt+vol*SQRT(dt)</f>
        <v>9.6266132294993648E-3</v>
      </c>
      <c r="M12" s="31">
        <f>L13+L15*dt+vol*SQRT(dt)</f>
        <v>5.3198317115254433E-3</v>
      </c>
      <c r="O12" s="7"/>
      <c r="P12" s="7"/>
      <c r="Q12" s="7"/>
      <c r="R12" s="7"/>
    </row>
    <row r="13" spans="2:56">
      <c r="B13" s="3" t="s">
        <v>3</v>
      </c>
      <c r="C13" s="7">
        <f>C18</f>
        <v>4.5223143340523131E-3</v>
      </c>
      <c r="J13" s="9" t="s">
        <v>16</v>
      </c>
      <c r="K13" s="7">
        <f>C18</f>
        <v>4.5223143340523131E-3</v>
      </c>
      <c r="L13" s="31">
        <f>K13+K15*dt-vol*SQRT(dt)</f>
        <v>-1.458700871817863E-3</v>
      </c>
      <c r="M13" s="31">
        <f>L13+L15*dt-vol*SQRT(dt)</f>
        <v>-5.7654823897917845E-3</v>
      </c>
      <c r="O13" s="7"/>
      <c r="P13" s="7"/>
      <c r="Q13" s="7"/>
      <c r="R13" s="7"/>
    </row>
    <row r="14" spans="2:56">
      <c r="B14" s="3" t="s">
        <v>4</v>
      </c>
      <c r="C14" s="3">
        <f>1/2</f>
        <v>0.5</v>
      </c>
      <c r="E14" s="9"/>
      <c r="F14" s="9"/>
      <c r="G14" s="9"/>
      <c r="H14" s="9"/>
      <c r="I14" s="9"/>
      <c r="N14" s="9"/>
      <c r="O14" s="7"/>
      <c r="P14" s="7"/>
      <c r="Q14" s="7"/>
      <c r="R14" s="7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</row>
    <row r="15" spans="2:56" ht="14.5">
      <c r="C15" s="9"/>
      <c r="D15" s="10"/>
      <c r="E15" s="7"/>
      <c r="F15" s="7"/>
      <c r="G15" s="7"/>
      <c r="H15" s="7"/>
      <c r="I15" s="7"/>
      <c r="J15" s="9" t="s">
        <v>17</v>
      </c>
      <c r="K15" s="30">
        <v>-8.7671631042312399E-4</v>
      </c>
      <c r="L15" s="30">
        <v>2.4717510653693851E-3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</row>
    <row r="16" spans="2:56">
      <c r="B16" s="39" t="s">
        <v>13</v>
      </c>
      <c r="C16" s="39"/>
      <c r="D16" s="11"/>
      <c r="J16" s="12"/>
      <c r="K16" s="7"/>
      <c r="L16" s="7"/>
      <c r="M16" s="13"/>
      <c r="N16" s="7"/>
      <c r="O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</row>
    <row r="17" spans="2:56" ht="16">
      <c r="B17" s="14" t="s">
        <v>5</v>
      </c>
      <c r="C17" s="15" t="s">
        <v>6</v>
      </c>
      <c r="D17" s="14" t="s">
        <v>12</v>
      </c>
      <c r="E17" s="36" t="s">
        <v>19</v>
      </c>
      <c r="J17" s="12"/>
      <c r="K17" s="21"/>
      <c r="L17" s="21"/>
      <c r="M17" s="33"/>
      <c r="N17" s="21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</row>
    <row r="18" spans="2:56">
      <c r="B18" s="9">
        <v>0.5</v>
      </c>
      <c r="C18" s="18">
        <v>4.5223143340523131E-3</v>
      </c>
      <c r="D18" s="19">
        <f>EXP(-C18*B18)</f>
        <v>0.99774139732311018</v>
      </c>
      <c r="E18" s="21"/>
      <c r="F18" s="20"/>
      <c r="G18" s="21"/>
      <c r="I18" s="7"/>
      <c r="K18" s="21"/>
      <c r="L18" s="21"/>
      <c r="M18" s="34">
        <v>1</v>
      </c>
      <c r="N18" s="21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</row>
    <row r="19" spans="2:56">
      <c r="B19" s="9">
        <v>1</v>
      </c>
      <c r="C19" s="18">
        <v>4.2992945470302583E-3</v>
      </c>
      <c r="D19" s="19">
        <f t="shared" ref="D19:D67" si="0">EXP(-C19*B19)</f>
        <v>0.99570993418934839</v>
      </c>
      <c r="E19" s="21">
        <f>(K20-D19)^2</f>
        <v>3.374810498852109E-19</v>
      </c>
      <c r="F19" s="20"/>
      <c r="G19" s="21"/>
      <c r="H19" s="7"/>
      <c r="I19" s="7"/>
      <c r="K19" s="21"/>
      <c r="L19" s="34">
        <f>0.5*(M18*EXP(-L12*dt)+M19*EXP(-L12*dt))</f>
        <v>0.99519825878215973</v>
      </c>
      <c r="M19" s="34">
        <v>1</v>
      </c>
      <c r="N19" s="21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</row>
    <row r="20" spans="2:56">
      <c r="B20" s="9">
        <v>1.5</v>
      </c>
      <c r="C20" s="18">
        <v>4.6292339844795508E-3</v>
      </c>
      <c r="D20" s="19">
        <f t="shared" si="0"/>
        <v>0.99308020185118939</v>
      </c>
      <c r="E20" s="21">
        <f>(D20-K25)^2</f>
        <v>1.8698848688240571E-19</v>
      </c>
      <c r="F20" s="20"/>
      <c r="G20" s="21"/>
      <c r="H20" s="7"/>
      <c r="I20" s="7"/>
      <c r="J20" s="9" t="s">
        <v>22</v>
      </c>
      <c r="K20" s="34">
        <f>0.5*(L19*EXP(-K13*dt)+L20*EXP(-K13*dt))</f>
        <v>0.9957099336084172</v>
      </c>
      <c r="L20" s="34">
        <f>0.5*(M19*EXP(-L13*dt)+M20*EXP(-L13*dt))</f>
        <v>1.0007296164766131</v>
      </c>
      <c r="M20" s="34">
        <v>1</v>
      </c>
      <c r="N20" s="21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</row>
    <row r="21" spans="2:56">
      <c r="B21" s="9">
        <v>2</v>
      </c>
      <c r="C21" s="18">
        <v>5.4861693715335079E-3</v>
      </c>
      <c r="D21" s="19">
        <f t="shared" si="0"/>
        <v>0.98908763780425291</v>
      </c>
      <c r="E21" s="7"/>
      <c r="F21" s="20"/>
      <c r="G21" s="21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</row>
    <row r="22" spans="2:56">
      <c r="B22" s="9">
        <v>2.5</v>
      </c>
      <c r="C22" s="18">
        <v>6.5896448847332671E-3</v>
      </c>
      <c r="D22" s="19">
        <f t="shared" si="0"/>
        <v>0.9836608438646155</v>
      </c>
      <c r="E22" s="7"/>
      <c r="F22" s="20"/>
      <c r="G22" s="21"/>
      <c r="H22" s="7"/>
      <c r="I22" s="7"/>
      <c r="J22" s="12"/>
      <c r="K22" s="21"/>
      <c r="L22" s="21"/>
      <c r="M22" s="33"/>
      <c r="N22" s="21">
        <v>1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</row>
    <row r="23" spans="2:56">
      <c r="B23" s="9">
        <v>3</v>
      </c>
      <c r="C23" s="18">
        <v>7.7631032500816346E-3</v>
      </c>
      <c r="D23" s="19">
        <f t="shared" si="0"/>
        <v>0.97697979310272831</v>
      </c>
      <c r="E23" s="7"/>
      <c r="F23" s="20"/>
      <c r="G23" s="21"/>
      <c r="H23" s="7"/>
      <c r="I23" s="7"/>
      <c r="K23" s="21"/>
      <c r="L23" s="21"/>
      <c r="M23" s="34">
        <f>0.5*(N22*EXP(-M11*dt)+N23*EXP(-M11*dt))</f>
        <v>0.99183097640183793</v>
      </c>
      <c r="N23" s="21">
        <v>1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</row>
    <row r="24" spans="2:56">
      <c r="B24" s="9">
        <v>3.5</v>
      </c>
      <c r="C24" s="18">
        <v>8.9220576712354602E-3</v>
      </c>
      <c r="D24" s="19">
        <f t="shared" si="0"/>
        <v>0.96925533145354792</v>
      </c>
      <c r="E24" s="7"/>
      <c r="F24" s="20"/>
      <c r="G24" s="21"/>
      <c r="H24" s="7"/>
      <c r="I24" s="7"/>
      <c r="K24" s="21"/>
      <c r="L24" s="34">
        <f>0.5*(M23*EXP(-L12*dt)+M24*EXP(-L12*dt))</f>
        <v>0.98981154667277726</v>
      </c>
      <c r="M24" s="34">
        <f>0.5*(N23*EXP(-M12*dt)+N24*EXP(-M12*dt))</f>
        <v>0.99734361858595011</v>
      </c>
      <c r="N24" s="21">
        <v>1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</row>
    <row r="25" spans="2:56">
      <c r="B25" s="9">
        <v>4</v>
      </c>
      <c r="C25" s="18">
        <v>1.0029377472055789E-2</v>
      </c>
      <c r="D25" s="19">
        <f t="shared" si="0"/>
        <v>0.9606765435260286</v>
      </c>
      <c r="E25" s="7"/>
      <c r="F25" s="20"/>
      <c r="G25" s="21"/>
      <c r="H25" s="7"/>
      <c r="I25" s="7"/>
      <c r="J25" s="9" t="s">
        <v>23</v>
      </c>
      <c r="K25" s="34">
        <f>0.5*(L24*EXP(-K13*dt)+L25*EXP(-K13*dt))</f>
        <v>0.99308020228361105</v>
      </c>
      <c r="L25" s="34">
        <f>0.5*(M24*EXP(-L13*dt)+M25*EXP(-L13*dt))</f>
        <v>1.0008449600092049</v>
      </c>
      <c r="M25" s="34">
        <f>0.5*(N24*EXP(-M13*dt)+N25*EXP(-M13*dt))</f>
        <v>1.0028869002888645</v>
      </c>
      <c r="N25" s="21">
        <v>1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</row>
    <row r="26" spans="2:56">
      <c r="B26" s="9">
        <v>4.5</v>
      </c>
      <c r="C26" s="18">
        <v>1.1070036940335039E-2</v>
      </c>
      <c r="D26" s="19">
        <f t="shared" si="0"/>
        <v>0.95140526006962012</v>
      </c>
      <c r="E26" s="7"/>
      <c r="F26" s="20"/>
      <c r="G26" s="21"/>
      <c r="H26" s="7"/>
      <c r="I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</row>
    <row r="27" spans="2:56">
      <c r="B27" s="9">
        <v>5</v>
      </c>
      <c r="C27" s="18">
        <v>1.203982563925496E-2</v>
      </c>
      <c r="D27" s="19">
        <f t="shared" si="0"/>
        <v>0.94157702038156299</v>
      </c>
      <c r="E27" s="7"/>
      <c r="F27" s="20"/>
      <c r="G27" s="21"/>
      <c r="H27" s="7"/>
      <c r="I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</row>
    <row r="28" spans="2:56">
      <c r="B28" s="9">
        <v>5.5</v>
      </c>
      <c r="C28" s="18">
        <v>1.2940200890462073E-2</v>
      </c>
      <c r="D28" s="19">
        <f t="shared" si="0"/>
        <v>0.93130252807035008</v>
      </c>
      <c r="E28" s="7"/>
      <c r="F28" s="20"/>
      <c r="G28" s="21"/>
      <c r="H28" s="7"/>
      <c r="I28" s="7"/>
      <c r="J28" s="3" t="s">
        <v>18</v>
      </c>
      <c r="K28" s="37">
        <f>1000000*SUM(E19:E20)</f>
        <v>5.2446953676761661E-13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</row>
    <row r="29" spans="2:56">
      <c r="B29" s="9">
        <v>6</v>
      </c>
      <c r="C29" s="18">
        <v>1.377566533401575E-2</v>
      </c>
      <c r="D29" s="19">
        <f t="shared" si="0"/>
        <v>0.92066965117538369</v>
      </c>
      <c r="E29" s="7"/>
      <c r="F29" s="20"/>
      <c r="G29" s="21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</row>
    <row r="30" spans="2:56">
      <c r="B30" s="9">
        <v>6.5</v>
      </c>
      <c r="C30" s="18">
        <v>1.4552172695125327E-2</v>
      </c>
      <c r="D30" s="19">
        <f t="shared" si="0"/>
        <v>0.90974665210028072</v>
      </c>
      <c r="E30" s="7"/>
      <c r="F30" s="20"/>
      <c r="G30" s="21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</row>
    <row r="31" spans="2:56">
      <c r="B31" s="9">
        <v>7</v>
      </c>
      <c r="C31" s="18">
        <v>1.5275964973014986E-2</v>
      </c>
      <c r="D31" s="19">
        <f t="shared" si="0"/>
        <v>0.89858699513703277</v>
      </c>
      <c r="E31" s="7"/>
      <c r="F31" s="20"/>
      <c r="G31" s="21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</row>
    <row r="32" spans="2:56">
      <c r="B32" s="9">
        <v>7.5</v>
      </c>
      <c r="C32" s="18">
        <v>1.5953075475073401E-2</v>
      </c>
      <c r="D32" s="19">
        <f t="shared" si="0"/>
        <v>0.88723262905052858</v>
      </c>
      <c r="E32" s="7"/>
      <c r="F32" s="20"/>
      <c r="G32" s="21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</row>
    <row r="33" spans="2:56">
      <c r="B33" s="9">
        <v>8</v>
      </c>
      <c r="C33" s="18">
        <v>1.6589199499724337E-2</v>
      </c>
      <c r="D33" s="19">
        <f t="shared" si="0"/>
        <v>0.87571586472436835</v>
      </c>
      <c r="E33" s="7"/>
      <c r="F33" s="20"/>
      <c r="G33" s="21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</row>
    <row r="34" spans="2:56">
      <c r="B34" s="9">
        <v>8.5</v>
      </c>
      <c r="C34" s="18">
        <v>1.7189713018120729E-2</v>
      </c>
      <c r="D34" s="19">
        <f t="shared" si="0"/>
        <v>0.8640604385025813</v>
      </c>
      <c r="E34" s="7"/>
      <c r="F34" s="20"/>
      <c r="G34" s="21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</row>
    <row r="35" spans="2:56">
      <c r="B35" s="9">
        <v>9</v>
      </c>
      <c r="C35" s="18">
        <v>1.7759566460120408E-2</v>
      </c>
      <c r="D35" s="19">
        <f t="shared" si="0"/>
        <v>0.85228346836383062</v>
      </c>
      <c r="E35" s="7"/>
      <c r="F35" s="20"/>
      <c r="G35" s="21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</row>
    <row r="36" spans="2:56">
      <c r="B36" s="9">
        <v>9.5</v>
      </c>
      <c r="C36" s="18">
        <v>1.8303300375899712E-2</v>
      </c>
      <c r="D36" s="19">
        <f t="shared" si="0"/>
        <v>0.8403966017992518</v>
      </c>
      <c r="E36" s="7"/>
      <c r="F36" s="20"/>
      <c r="G36" s="21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</row>
    <row r="37" spans="2:56">
      <c r="B37" s="9">
        <v>10</v>
      </c>
      <c r="C37" s="18">
        <v>1.8825140729993018E-2</v>
      </c>
      <c r="D37" s="19">
        <f t="shared" si="0"/>
        <v>0.82840641363081602</v>
      </c>
      <c r="E37" s="7"/>
      <c r="F37" s="20"/>
      <c r="G37" s="21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</row>
    <row r="38" spans="2:56">
      <c r="B38" s="9">
        <v>10.5</v>
      </c>
      <c r="C38" s="18">
        <v>1.9328642820059388E-2</v>
      </c>
      <c r="D38" s="19">
        <f t="shared" si="0"/>
        <v>0.81631844443683854</v>
      </c>
      <c r="E38" s="7"/>
      <c r="F38" s="20"/>
      <c r="G38" s="21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</row>
    <row r="39" spans="2:56">
      <c r="B39" s="9">
        <v>11</v>
      </c>
      <c r="C39" s="18">
        <v>1.9816569559154031E-2</v>
      </c>
      <c r="D39" s="19">
        <f t="shared" si="0"/>
        <v>0.8041397028365499</v>
      </c>
      <c r="E39" s="7"/>
      <c r="F39" s="20"/>
      <c r="G39" s="21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</row>
    <row r="40" spans="2:56">
      <c r="B40" s="9">
        <v>11.5</v>
      </c>
      <c r="C40" s="18">
        <v>2.0291052318293392E-2</v>
      </c>
      <c r="D40" s="19">
        <f t="shared" si="0"/>
        <v>0.79187866341730995</v>
      </c>
      <c r="E40" s="7"/>
      <c r="F40" s="20"/>
      <c r="G40" s="21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</row>
    <row r="41" spans="2:56">
      <c r="B41" s="9">
        <v>12</v>
      </c>
      <c r="C41" s="18">
        <v>2.0753722497713213E-2</v>
      </c>
      <c r="D41" s="19">
        <f t="shared" si="0"/>
        <v>0.77954515034645999</v>
      </c>
      <c r="E41" s="7"/>
      <c r="F41" s="20"/>
      <c r="G41" s="21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</row>
    <row r="42" spans="2:56">
      <c r="B42" s="9">
        <v>12.5</v>
      </c>
      <c r="C42" s="18">
        <v>2.1205804908658008E-2</v>
      </c>
      <c r="D42" s="19">
        <f t="shared" si="0"/>
        <v>0.76715028248976569</v>
      </c>
      <c r="E42" s="7"/>
      <c r="F42" s="20"/>
      <c r="G42" s="21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</row>
    <row r="43" spans="2:56">
      <c r="B43" s="9">
        <v>13</v>
      </c>
      <c r="C43" s="18">
        <v>2.1648024657365185E-2</v>
      </c>
      <c r="D43" s="19">
        <f t="shared" si="0"/>
        <v>0.75470802940587234</v>
      </c>
      <c r="E43" s="7"/>
      <c r="F43" s="20"/>
      <c r="G43" s="21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</row>
    <row r="44" spans="2:56">
      <c r="B44" s="9">
        <v>13.5</v>
      </c>
      <c r="C44" s="18">
        <v>2.2080402723293906E-2</v>
      </c>
      <c r="D44" s="19">
        <f t="shared" si="0"/>
        <v>0.74223792263216137</v>
      </c>
      <c r="E44" s="7"/>
      <c r="F44" s="20"/>
      <c r="G44" s="21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</row>
    <row r="45" spans="2:56">
      <c r="B45" s="9">
        <v>14</v>
      </c>
      <c r="C45" s="18">
        <v>2.2502412750909438E-2</v>
      </c>
      <c r="D45" s="19">
        <f t="shared" si="0"/>
        <v>0.72976422350261094</v>
      </c>
      <c r="E45" s="7"/>
      <c r="F45" s="20"/>
      <c r="G45" s="21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</row>
    <row r="46" spans="2:56">
      <c r="B46" s="9">
        <v>14.5</v>
      </c>
      <c r="C46" s="18">
        <v>2.2913229015072298E-2</v>
      </c>
      <c r="D46" s="19">
        <f t="shared" si="0"/>
        <v>0.71731384053113678</v>
      </c>
      <c r="E46" s="7"/>
      <c r="F46" s="20"/>
      <c r="G46" s="21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</row>
    <row r="47" spans="2:56">
      <c r="B47" s="9">
        <v>15</v>
      </c>
      <c r="C47" s="18">
        <v>2.3311805134760256E-2</v>
      </c>
      <c r="D47" s="19">
        <f t="shared" si="0"/>
        <v>0.70491568644175473</v>
      </c>
      <c r="E47" s="7"/>
      <c r="F47" s="20"/>
      <c r="G47" s="21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</row>
    <row r="48" spans="2:56">
      <c r="B48" s="9">
        <v>15.5</v>
      </c>
      <c r="C48" s="18">
        <v>2.3696912460714856E-2</v>
      </c>
      <c r="D48" s="19">
        <f t="shared" si="0"/>
        <v>0.69260034898234435</v>
      </c>
      <c r="E48" s="7"/>
      <c r="F48" s="20"/>
      <c r="G48" s="21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</row>
    <row r="49" spans="2:56">
      <c r="B49" s="9">
        <v>16</v>
      </c>
      <c r="C49" s="18">
        <v>2.4067244544074128E-2</v>
      </c>
      <c r="D49" s="19">
        <f t="shared" si="0"/>
        <v>0.68039898331662785</v>
      </c>
      <c r="E49" s="7"/>
      <c r="F49" s="20"/>
      <c r="G49" s="21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</row>
    <row r="50" spans="2:56">
      <c r="B50" s="9">
        <v>16.5</v>
      </c>
      <c r="C50" s="18">
        <v>2.4421567977577045E-2</v>
      </c>
      <c r="D50" s="19">
        <f t="shared" si="0"/>
        <v>0.66834159149785655</v>
      </c>
      <c r="E50" s="7"/>
      <c r="F50" s="20"/>
      <c r="G50" s="21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</row>
    <row r="51" spans="2:56">
      <c r="B51" s="9">
        <v>17</v>
      </c>
      <c r="C51" s="18">
        <v>2.4758740303981147E-2</v>
      </c>
      <c r="D51" s="19">
        <f t="shared" si="0"/>
        <v>0.65645667247683226</v>
      </c>
      <c r="E51" s="7"/>
      <c r="F51" s="20"/>
      <c r="G51" s="21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</row>
    <row r="52" spans="2:56">
      <c r="B52" s="9">
        <v>17.5</v>
      </c>
      <c r="C52" s="18">
        <v>2.5077744055465478E-2</v>
      </c>
      <c r="D52" s="19">
        <f t="shared" si="0"/>
        <v>0.64477070535041758</v>
      </c>
      <c r="E52" s="7"/>
      <c r="F52" s="20"/>
      <c r="G52" s="21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</row>
    <row r="53" spans="2:56">
      <c r="B53" s="9">
        <v>18</v>
      </c>
      <c r="C53" s="18">
        <v>2.5377754010124008E-2</v>
      </c>
      <c r="D53" s="19">
        <f t="shared" si="0"/>
        <v>0.63330725973526369</v>
      </c>
      <c r="E53" s="7"/>
      <c r="F53" s="20"/>
      <c r="G53" s="21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</row>
    <row r="54" spans="2:56">
      <c r="B54" s="9">
        <v>18.5</v>
      </c>
      <c r="C54" s="18">
        <v>2.565812729158317E-2</v>
      </c>
      <c r="D54" s="19">
        <f t="shared" si="0"/>
        <v>0.62208698118007821</v>
      </c>
      <c r="E54" s="7"/>
      <c r="F54" s="20"/>
      <c r="G54" s="21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</row>
    <row r="55" spans="2:56">
      <c r="B55" s="9">
        <v>19</v>
      </c>
      <c r="C55" s="18">
        <v>2.5918379421816372E-2</v>
      </c>
      <c r="D55" s="19">
        <f t="shared" si="0"/>
        <v>0.61112778005600377</v>
      </c>
      <c r="E55" s="7"/>
      <c r="F55" s="20"/>
      <c r="G55" s="21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</row>
    <row r="56" spans="2:56">
      <c r="B56" s="9">
        <v>19.5</v>
      </c>
      <c r="C56" s="18">
        <v>2.6158172569889046E-2</v>
      </c>
      <c r="D56" s="19">
        <f t="shared" si="0"/>
        <v>0.60044492007194694</v>
      </c>
      <c r="E56" s="7"/>
      <c r="F56" s="20"/>
      <c r="G56" s="21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</row>
    <row r="57" spans="2:56">
      <c r="B57" s="9">
        <v>20</v>
      </c>
      <c r="C57" s="18">
        <v>2.6377348159016618E-2</v>
      </c>
      <c r="D57" s="19">
        <f t="shared" si="0"/>
        <v>0.59005061172288131</v>
      </c>
      <c r="E57" s="7"/>
      <c r="F57" s="20"/>
      <c r="G57" s="21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</row>
    <row r="58" spans="2:56">
      <c r="B58" s="9">
        <v>20.5</v>
      </c>
      <c r="C58" s="18">
        <v>2.6575936174925503E-2</v>
      </c>
      <c r="D58" s="19">
        <f t="shared" si="0"/>
        <v>0.57995388246987389</v>
      </c>
      <c r="E58" s="7"/>
      <c r="F58" s="20"/>
      <c r="G58" s="21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</row>
    <row r="59" spans="2:56">
      <c r="B59" s="9">
        <v>21</v>
      </c>
      <c r="C59" s="18">
        <v>2.6754132777304054E-2</v>
      </c>
      <c r="D59" s="19">
        <f t="shared" si="0"/>
        <v>0.57016083669053619</v>
      </c>
      <c r="E59" s="7"/>
      <c r="F59" s="20"/>
      <c r="G59" s="21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</row>
    <row r="60" spans="2:56">
      <c r="B60" s="9">
        <v>21.5</v>
      </c>
      <c r="C60" s="18">
        <v>2.6912273000983204E-2</v>
      </c>
      <c r="D60" s="19">
        <f t="shared" si="0"/>
        <v>0.56067499688749434</v>
      </c>
      <c r="E60" s="7"/>
      <c r="F60" s="20"/>
      <c r="G60" s="21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</row>
    <row r="61" spans="2:56">
      <c r="B61" s="9">
        <v>22</v>
      </c>
      <c r="C61" s="18">
        <v>2.7050810114751082E-2</v>
      </c>
      <c r="D61" s="19">
        <f t="shared" si="0"/>
        <v>0.55149758320217246</v>
      </c>
      <c r="E61" s="7"/>
      <c r="F61" s="20"/>
      <c r="G61" s="21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</row>
    <row r="62" spans="2:56">
      <c r="B62" s="9">
        <v>22.5</v>
      </c>
      <c r="C62" s="18">
        <v>2.7170302266715511E-2</v>
      </c>
      <c r="D62" s="19">
        <f t="shared" si="0"/>
        <v>0.54262771549833444</v>
      </c>
      <c r="E62" s="7"/>
      <c r="F62" s="20"/>
      <c r="G62" s="21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</row>
    <row r="63" spans="2:56">
      <c r="B63" s="9">
        <v>23</v>
      </c>
      <c r="C63" s="18">
        <v>2.7271401084377866E-2</v>
      </c>
      <c r="D63" s="19">
        <f t="shared" si="0"/>
        <v>0.53406259652194477</v>
      </c>
      <c r="E63" s="7"/>
      <c r="F63" s="20"/>
      <c r="G63" s="21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</row>
    <row r="64" spans="2:56">
      <c r="B64" s="9">
        <v>23.5</v>
      </c>
      <c r="C64" s="18">
        <v>2.7354841500881091E-2</v>
      </c>
      <c r="D64" s="19">
        <f t="shared" si="0"/>
        <v>0.52579768197145871</v>
      </c>
      <c r="E64" s="7"/>
      <c r="F64" s="20"/>
      <c r="G64" s="21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</row>
    <row r="65" spans="2:56">
      <c r="B65" s="9">
        <v>24</v>
      </c>
      <c r="C65" s="18">
        <v>2.7421426639329116E-2</v>
      </c>
      <c r="D65" s="19">
        <f t="shared" si="0"/>
        <v>0.51782691196704345</v>
      </c>
      <c r="E65" s="7"/>
      <c r="F65" s="20"/>
      <c r="G65" s="21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</row>
    <row r="66" spans="2:56">
      <c r="B66" s="9">
        <v>24.5</v>
      </c>
      <c r="C66" s="18">
        <v>2.7472008517895156E-2</v>
      </c>
      <c r="D66" s="19">
        <f t="shared" si="0"/>
        <v>0.51014299577652911</v>
      </c>
      <c r="E66" s="7"/>
      <c r="F66" s="20"/>
      <c r="G66" s="21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</row>
    <row r="67" spans="2:56">
      <c r="B67" s="9">
        <v>25</v>
      </c>
      <c r="C67" s="18">
        <v>2.7507478186618597E-2</v>
      </c>
      <c r="D67" s="19">
        <f t="shared" si="0"/>
        <v>0.50273758004844504</v>
      </c>
      <c r="E67" s="7"/>
      <c r="F67" s="20"/>
      <c r="G67" s="21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</row>
    <row r="68" spans="2:56">
      <c r="B68" s="9"/>
      <c r="C68" s="23"/>
      <c r="D68" s="11"/>
      <c r="E68" s="7"/>
      <c r="F68" s="20"/>
      <c r="G68" s="21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</row>
    <row r="69" spans="2:56">
      <c r="B69" s="9"/>
      <c r="C69" s="23"/>
      <c r="D69" s="11"/>
      <c r="E69" s="7"/>
      <c r="F69" s="20"/>
      <c r="G69" s="21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</row>
    <row r="70" spans="2:56">
      <c r="B70" s="9"/>
      <c r="C70" s="23"/>
      <c r="D70" s="11"/>
      <c r="E70" s="7"/>
      <c r="F70" s="20"/>
      <c r="G70" s="21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</row>
    <row r="71" spans="2:56">
      <c r="B71" s="9"/>
      <c r="C71" s="23"/>
      <c r="D71" s="11"/>
      <c r="E71" s="7"/>
      <c r="F71" s="20"/>
      <c r="G71" s="21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</row>
    <row r="72" spans="2:56">
      <c r="B72" s="9"/>
      <c r="C72" s="23"/>
      <c r="D72" s="11"/>
      <c r="E72" s="7"/>
      <c r="F72" s="20"/>
      <c r="G72" s="21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</row>
    <row r="73" spans="2:56">
      <c r="B73" s="9"/>
      <c r="C73" s="23"/>
      <c r="D73" s="11"/>
      <c r="E73" s="7"/>
      <c r="F73" s="20"/>
      <c r="G73" s="21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</row>
    <row r="74" spans="2:56">
      <c r="B74" s="9"/>
      <c r="C74" s="23"/>
      <c r="D74" s="11"/>
      <c r="E74" s="7"/>
      <c r="F74" s="20"/>
      <c r="G74" s="21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</row>
    <row r="75" spans="2:56">
      <c r="B75" s="9"/>
      <c r="C75" s="23"/>
      <c r="D75" s="11"/>
      <c r="E75" s="7"/>
      <c r="F75" s="20"/>
      <c r="G75" s="21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</row>
    <row r="76" spans="2:56">
      <c r="B76" s="9"/>
      <c r="C76" s="23"/>
      <c r="D76" s="11"/>
      <c r="E76" s="7"/>
      <c r="F76" s="20"/>
      <c r="G76" s="21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</row>
    <row r="77" spans="2:56">
      <c r="B77" s="9"/>
      <c r="C77" s="23"/>
      <c r="D77" s="11"/>
      <c r="E77" s="7"/>
      <c r="F77" s="20"/>
      <c r="G77" s="21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</row>
    <row r="78" spans="2:56">
      <c r="B78" s="9"/>
      <c r="C78" s="23"/>
      <c r="D78" s="11"/>
      <c r="E78" s="7"/>
      <c r="F78" s="20"/>
      <c r="G78" s="21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</row>
    <row r="79" spans="2:56">
      <c r="B79" s="9"/>
      <c r="C79" s="23"/>
      <c r="D79" s="11"/>
      <c r="E79" s="7"/>
      <c r="F79" s="20"/>
      <c r="G79" s="21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</row>
    <row r="80" spans="2:56">
      <c r="B80" s="9"/>
      <c r="C80" s="23"/>
      <c r="D80" s="11"/>
      <c r="E80" s="7"/>
      <c r="F80" s="20"/>
      <c r="G80" s="21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</row>
    <row r="81" spans="2:56">
      <c r="B81" s="9"/>
      <c r="C81" s="23"/>
      <c r="D81" s="11"/>
      <c r="E81" s="7"/>
      <c r="F81" s="20"/>
      <c r="G81" s="21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</row>
    <row r="82" spans="2:56">
      <c r="B82" s="9"/>
      <c r="C82" s="23"/>
      <c r="D82" s="11"/>
      <c r="E82" s="7"/>
      <c r="F82" s="20"/>
      <c r="G82" s="21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</row>
    <row r="83" spans="2:56">
      <c r="B83" s="9"/>
      <c r="C83" s="23"/>
      <c r="D83" s="11"/>
      <c r="E83" s="7"/>
      <c r="F83" s="20"/>
      <c r="G83" s="21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</row>
    <row r="84" spans="2:56">
      <c r="B84" s="9"/>
      <c r="C84" s="23"/>
      <c r="D84" s="11"/>
      <c r="E84" s="7"/>
      <c r="F84" s="20"/>
      <c r="G84" s="21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</row>
    <row r="85" spans="2:56">
      <c r="B85" s="9"/>
      <c r="C85" s="23"/>
      <c r="D85" s="11"/>
      <c r="E85" s="7"/>
      <c r="F85" s="20"/>
      <c r="G85" s="21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</row>
    <row r="86" spans="2:56">
      <c r="B86" s="9"/>
      <c r="C86" s="23"/>
      <c r="D86" s="11"/>
      <c r="E86" s="7"/>
      <c r="F86" s="20"/>
      <c r="G86" s="21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</row>
    <row r="87" spans="2:56">
      <c r="B87" s="9"/>
      <c r="C87" s="23"/>
      <c r="D87" s="11"/>
      <c r="E87" s="7"/>
      <c r="F87" s="20"/>
      <c r="G87" s="21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</row>
    <row r="88" spans="2:56">
      <c r="B88" s="9"/>
      <c r="C88" s="23"/>
      <c r="D88" s="11"/>
      <c r="E88" s="7"/>
      <c r="F88" s="20"/>
      <c r="G88" s="21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</row>
    <row r="89" spans="2:56">
      <c r="B89" s="9"/>
      <c r="C89" s="23"/>
      <c r="D89" s="11"/>
      <c r="E89" s="7"/>
      <c r="F89" s="20"/>
      <c r="G89" s="21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</row>
    <row r="90" spans="2:56">
      <c r="B90" s="9"/>
      <c r="C90" s="23"/>
      <c r="D90" s="11"/>
      <c r="E90" s="7"/>
      <c r="F90" s="20"/>
      <c r="G90" s="21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</row>
    <row r="91" spans="2:56">
      <c r="B91" s="9"/>
      <c r="C91" s="23"/>
      <c r="D91" s="11"/>
      <c r="E91" s="7"/>
      <c r="F91" s="20"/>
      <c r="G91" s="21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</row>
    <row r="92" spans="2:56">
      <c r="B92" s="9"/>
      <c r="C92" s="23"/>
      <c r="D92" s="11"/>
      <c r="E92" s="7"/>
      <c r="F92" s="20"/>
      <c r="G92" s="21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</row>
    <row r="93" spans="2:56">
      <c r="B93" s="9"/>
      <c r="C93" s="23"/>
      <c r="D93" s="11"/>
      <c r="E93" s="7"/>
      <c r="F93" s="20"/>
      <c r="G93" s="21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</row>
    <row r="94" spans="2:56">
      <c r="B94" s="9"/>
      <c r="C94" s="23"/>
      <c r="D94" s="11"/>
      <c r="E94" s="7"/>
      <c r="F94" s="20"/>
      <c r="G94" s="21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</row>
    <row r="95" spans="2:56">
      <c r="B95" s="9"/>
      <c r="C95" s="23"/>
      <c r="D95" s="11"/>
      <c r="E95" s="7"/>
      <c r="F95" s="20"/>
      <c r="G95" s="21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</row>
    <row r="96" spans="2:56">
      <c r="B96" s="9"/>
      <c r="C96" s="23"/>
      <c r="D96" s="11"/>
      <c r="E96" s="7"/>
      <c r="F96" s="20"/>
      <c r="G96" s="21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</row>
    <row r="97" spans="2:56">
      <c r="B97" s="9"/>
      <c r="C97" s="23"/>
      <c r="D97" s="11"/>
      <c r="E97" s="7"/>
      <c r="F97" s="20"/>
      <c r="G97" s="21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</row>
    <row r="98" spans="2:56">
      <c r="B98" s="9"/>
      <c r="C98" s="23"/>
      <c r="D98" s="11"/>
      <c r="E98" s="7"/>
      <c r="F98" s="20"/>
      <c r="G98" s="21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</row>
    <row r="99" spans="2:56">
      <c r="B99" s="9"/>
      <c r="C99" s="23"/>
      <c r="D99" s="11"/>
      <c r="E99" s="7"/>
      <c r="F99" s="20"/>
      <c r="G99" s="21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</row>
    <row r="100" spans="2:56">
      <c r="B100" s="9"/>
      <c r="C100" s="23"/>
      <c r="D100" s="11"/>
      <c r="E100" s="7"/>
      <c r="F100" s="20"/>
      <c r="G100" s="21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</row>
    <row r="101" spans="2:56">
      <c r="B101" s="9"/>
      <c r="C101" s="23"/>
      <c r="D101" s="11"/>
      <c r="E101" s="7"/>
      <c r="F101" s="20"/>
      <c r="G101" s="21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</row>
    <row r="102" spans="2:56">
      <c r="B102" s="9"/>
      <c r="C102" s="23"/>
      <c r="D102" s="11"/>
      <c r="E102" s="7"/>
      <c r="F102" s="20"/>
      <c r="G102" s="21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</row>
    <row r="103" spans="2:56">
      <c r="B103" s="9"/>
      <c r="C103" s="23"/>
      <c r="D103" s="11"/>
      <c r="E103" s="7"/>
      <c r="F103" s="20"/>
      <c r="G103" s="21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</row>
    <row r="104" spans="2:56">
      <c r="B104" s="9"/>
      <c r="C104" s="23"/>
      <c r="D104" s="11"/>
      <c r="E104" s="7"/>
      <c r="F104" s="20"/>
      <c r="G104" s="21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</row>
    <row r="105" spans="2:56">
      <c r="B105" s="9"/>
      <c r="C105" s="23"/>
      <c r="D105" s="11"/>
      <c r="E105" s="7"/>
      <c r="F105" s="20"/>
      <c r="G105" s="21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</row>
    <row r="106" spans="2:56">
      <c r="B106" s="9"/>
      <c r="C106" s="23"/>
      <c r="D106" s="11"/>
      <c r="E106" s="7"/>
      <c r="F106" s="20"/>
      <c r="G106" s="21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</row>
    <row r="107" spans="2:56">
      <c r="B107" s="9"/>
      <c r="C107" s="23"/>
      <c r="D107" s="11"/>
      <c r="E107" s="7"/>
      <c r="F107" s="20"/>
      <c r="G107" s="21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</row>
    <row r="108" spans="2:56">
      <c r="B108" s="9"/>
      <c r="C108" s="23"/>
      <c r="D108" s="11"/>
      <c r="E108" s="7"/>
      <c r="F108" s="20"/>
      <c r="G108" s="21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</row>
    <row r="109" spans="2:56">
      <c r="B109" s="9"/>
      <c r="C109" s="23"/>
      <c r="D109" s="11"/>
      <c r="E109" s="7"/>
      <c r="F109" s="20"/>
      <c r="G109" s="21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</row>
    <row r="110" spans="2:56">
      <c r="B110" s="9"/>
      <c r="C110" s="23"/>
      <c r="D110" s="11"/>
      <c r="E110" s="7"/>
      <c r="F110" s="20"/>
      <c r="G110" s="21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</row>
    <row r="111" spans="2:56">
      <c r="B111" s="9"/>
      <c r="C111" s="23"/>
      <c r="D111" s="11"/>
      <c r="E111" s="7"/>
      <c r="F111" s="20"/>
      <c r="G111" s="21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</row>
    <row r="112" spans="2:56">
      <c r="B112" s="9"/>
      <c r="C112" s="23"/>
      <c r="D112" s="11"/>
      <c r="E112" s="7"/>
      <c r="F112" s="20"/>
      <c r="G112" s="21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</row>
    <row r="113" spans="2:56">
      <c r="B113" s="9"/>
      <c r="C113" s="23"/>
      <c r="D113" s="11"/>
      <c r="E113" s="7"/>
      <c r="F113" s="20"/>
      <c r="G113" s="21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</row>
    <row r="114" spans="2:56">
      <c r="B114" s="9"/>
      <c r="C114" s="23"/>
      <c r="D114" s="11"/>
      <c r="E114" s="7"/>
      <c r="F114" s="20"/>
      <c r="G114" s="21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</row>
    <row r="115" spans="2:56">
      <c r="B115" s="9"/>
      <c r="C115" s="23"/>
      <c r="D115" s="11"/>
      <c r="E115" s="7"/>
      <c r="F115" s="20"/>
      <c r="G115" s="21"/>
      <c r="H115" s="7"/>
    </row>
    <row r="116" spans="2:56">
      <c r="B116" s="9"/>
      <c r="C116" s="23"/>
      <c r="D116" s="11"/>
      <c r="E116" s="7"/>
      <c r="F116" s="20"/>
      <c r="G116" s="21"/>
      <c r="H116" s="7"/>
    </row>
    <row r="117" spans="2:56">
      <c r="B117" s="9"/>
      <c r="C117" s="23"/>
      <c r="D117" s="11"/>
      <c r="E117" s="7"/>
      <c r="F117" s="20"/>
      <c r="G117" s="21"/>
      <c r="H117" s="7"/>
    </row>
    <row r="118" spans="2:56">
      <c r="B118" s="9"/>
      <c r="C118" s="23"/>
      <c r="D118" s="11"/>
      <c r="E118" s="7"/>
      <c r="F118" s="20"/>
      <c r="G118" s="21"/>
      <c r="H118" s="7"/>
    </row>
    <row r="119" spans="2:56">
      <c r="B119" s="9"/>
      <c r="C119" s="23"/>
      <c r="D119" s="11"/>
      <c r="E119" s="7"/>
      <c r="F119" s="20"/>
      <c r="G119" s="21"/>
      <c r="H119" s="7"/>
    </row>
    <row r="120" spans="2:56">
      <c r="B120" s="9"/>
      <c r="C120" s="23"/>
      <c r="D120" s="11"/>
      <c r="E120" s="7"/>
      <c r="F120" s="20"/>
      <c r="G120" s="21"/>
      <c r="H120" s="7"/>
    </row>
    <row r="121" spans="2:56">
      <c r="B121" s="9"/>
      <c r="C121" s="23"/>
      <c r="D121" s="11"/>
      <c r="E121" s="7"/>
      <c r="F121" s="20"/>
      <c r="G121" s="21"/>
      <c r="H121" s="7"/>
    </row>
    <row r="122" spans="2:56">
      <c r="B122" s="9"/>
      <c r="C122" s="23"/>
      <c r="D122" s="11"/>
      <c r="E122" s="7"/>
      <c r="F122" s="20"/>
      <c r="G122" s="21"/>
      <c r="H122" s="7"/>
    </row>
    <row r="123" spans="2:56">
      <c r="B123" s="9"/>
      <c r="C123" s="23"/>
      <c r="D123" s="11"/>
      <c r="E123" s="7"/>
      <c r="F123" s="20"/>
      <c r="G123" s="21"/>
      <c r="H123" s="7"/>
    </row>
    <row r="124" spans="2:56">
      <c r="B124" s="9"/>
      <c r="C124" s="23"/>
      <c r="D124" s="11"/>
      <c r="E124" s="7"/>
      <c r="F124" s="20"/>
      <c r="G124" s="21"/>
      <c r="H124" s="7"/>
    </row>
    <row r="125" spans="2:56">
      <c r="B125" s="9"/>
      <c r="C125" s="23"/>
      <c r="D125" s="11"/>
      <c r="E125" s="7"/>
      <c r="F125" s="20"/>
      <c r="G125" s="21"/>
      <c r="H125" s="7"/>
    </row>
    <row r="126" spans="2:56">
      <c r="B126" s="9"/>
      <c r="C126" s="23"/>
      <c r="D126" s="11"/>
      <c r="E126" s="7"/>
      <c r="F126" s="20"/>
      <c r="G126" s="21"/>
      <c r="H126" s="7"/>
    </row>
    <row r="127" spans="2:56">
      <c r="B127" s="9"/>
      <c r="C127" s="23"/>
      <c r="D127" s="11"/>
      <c r="E127" s="7"/>
      <c r="F127" s="20"/>
      <c r="G127" s="21"/>
      <c r="H127" s="7"/>
    </row>
    <row r="128" spans="2:56">
      <c r="B128" s="9"/>
      <c r="C128" s="23"/>
      <c r="D128" s="11"/>
      <c r="E128" s="7"/>
      <c r="F128" s="20"/>
      <c r="G128" s="21"/>
      <c r="H128" s="7"/>
    </row>
    <row r="129" spans="2:8">
      <c r="B129" s="9"/>
      <c r="C129" s="23"/>
      <c r="D129" s="11"/>
      <c r="E129" s="7"/>
      <c r="F129" s="20"/>
      <c r="G129" s="21"/>
      <c r="H129" s="7"/>
    </row>
    <row r="130" spans="2:8">
      <c r="B130" s="9"/>
      <c r="C130" s="23"/>
      <c r="D130" s="11"/>
      <c r="E130" s="7"/>
      <c r="F130" s="20"/>
      <c r="G130" s="21"/>
      <c r="H130" s="7"/>
    </row>
    <row r="131" spans="2:8">
      <c r="B131" s="9"/>
      <c r="C131" s="23"/>
      <c r="D131" s="11"/>
      <c r="E131" s="7"/>
      <c r="F131" s="20"/>
      <c r="G131" s="21"/>
      <c r="H131" s="7"/>
    </row>
    <row r="132" spans="2:8">
      <c r="B132" s="9"/>
      <c r="C132" s="23"/>
      <c r="D132" s="11"/>
      <c r="E132" s="7"/>
      <c r="F132" s="20"/>
      <c r="G132" s="21"/>
      <c r="H132" s="7"/>
    </row>
    <row r="133" spans="2:8">
      <c r="B133" s="9"/>
      <c r="C133" s="23"/>
      <c r="D133" s="11"/>
      <c r="E133" s="7"/>
      <c r="F133" s="20"/>
      <c r="G133" s="21"/>
      <c r="H133" s="7"/>
    </row>
    <row r="134" spans="2:8">
      <c r="B134" s="9"/>
      <c r="C134" s="23"/>
      <c r="D134" s="11"/>
      <c r="E134" s="7"/>
      <c r="F134" s="20"/>
      <c r="G134" s="21"/>
      <c r="H134" s="7"/>
    </row>
    <row r="135" spans="2:8">
      <c r="B135" s="9"/>
      <c r="C135" s="23"/>
      <c r="D135" s="11"/>
      <c r="E135" s="7"/>
      <c r="F135" s="20"/>
      <c r="G135" s="21"/>
      <c r="H135" s="7"/>
    </row>
    <row r="136" spans="2:8">
      <c r="B136" s="9"/>
      <c r="C136" s="23"/>
      <c r="D136" s="11"/>
      <c r="E136" s="7"/>
      <c r="F136" s="20"/>
      <c r="G136" s="21"/>
      <c r="H136" s="7"/>
    </row>
    <row r="137" spans="2:8">
      <c r="B137" s="9"/>
      <c r="C137" s="24"/>
      <c r="D137" s="25"/>
      <c r="E137" s="7"/>
      <c r="F137" s="26"/>
      <c r="G137" s="7"/>
      <c r="H137" s="7"/>
    </row>
    <row r="138" spans="2:8">
      <c r="B138" s="9"/>
      <c r="C138" s="24"/>
      <c r="D138" s="25"/>
      <c r="E138" s="7"/>
      <c r="F138" s="26"/>
      <c r="G138" s="7"/>
      <c r="H138" s="7"/>
    </row>
    <row r="139" spans="2:8">
      <c r="B139" s="9"/>
      <c r="C139" s="24"/>
      <c r="D139" s="25"/>
      <c r="E139" s="7"/>
      <c r="F139" s="26"/>
      <c r="G139" s="7"/>
      <c r="H139" s="7"/>
    </row>
    <row r="140" spans="2:8">
      <c r="B140" s="9"/>
      <c r="C140" s="24"/>
      <c r="D140" s="25"/>
      <c r="E140" s="7"/>
      <c r="F140" s="26"/>
      <c r="G140" s="7"/>
      <c r="H140" s="7"/>
    </row>
    <row r="141" spans="2:8">
      <c r="B141" s="9"/>
      <c r="C141" s="24"/>
      <c r="D141" s="25"/>
      <c r="E141" s="7"/>
      <c r="F141" s="26"/>
      <c r="G141" s="7"/>
      <c r="H141" s="7"/>
    </row>
    <row r="142" spans="2:8">
      <c r="B142" s="9"/>
      <c r="C142" s="24"/>
      <c r="D142" s="25"/>
      <c r="E142" s="7"/>
      <c r="F142" s="26"/>
      <c r="G142" s="7"/>
      <c r="H142" s="7"/>
    </row>
    <row r="143" spans="2:8">
      <c r="B143" s="9"/>
      <c r="C143" s="24"/>
      <c r="D143" s="25"/>
      <c r="E143" s="7"/>
      <c r="F143" s="26"/>
      <c r="G143" s="7"/>
      <c r="H143" s="7"/>
    </row>
    <row r="144" spans="2:8">
      <c r="B144" s="9"/>
      <c r="C144" s="24"/>
      <c r="D144" s="25"/>
      <c r="E144" s="7"/>
      <c r="F144" s="26"/>
      <c r="G144" s="7"/>
      <c r="H144" s="7"/>
    </row>
    <row r="145" spans="2:8">
      <c r="B145" s="9"/>
      <c r="C145" s="24"/>
      <c r="D145" s="25"/>
      <c r="E145" s="7"/>
      <c r="F145" s="26"/>
      <c r="G145" s="7"/>
      <c r="H145" s="7"/>
    </row>
    <row r="146" spans="2:8">
      <c r="B146" s="9"/>
      <c r="C146" s="24"/>
      <c r="D146" s="25"/>
      <c r="E146" s="7"/>
      <c r="F146" s="26"/>
      <c r="G146" s="7"/>
      <c r="H146" s="7"/>
    </row>
    <row r="147" spans="2:8">
      <c r="B147" s="9"/>
      <c r="C147" s="24"/>
      <c r="D147" s="25"/>
      <c r="E147" s="7"/>
      <c r="F147" s="26"/>
      <c r="G147" s="7"/>
      <c r="H147" s="7"/>
    </row>
    <row r="148" spans="2:8">
      <c r="B148" s="9"/>
      <c r="C148" s="24"/>
      <c r="D148" s="25"/>
      <c r="E148" s="7"/>
      <c r="F148" s="26"/>
      <c r="G148" s="7"/>
      <c r="H148" s="7"/>
    </row>
    <row r="149" spans="2:8">
      <c r="B149" s="9"/>
      <c r="C149" s="24"/>
      <c r="D149" s="25"/>
      <c r="E149" s="7"/>
      <c r="F149" s="26"/>
      <c r="G149" s="7"/>
      <c r="H149" s="7"/>
    </row>
    <row r="150" spans="2:8">
      <c r="B150" s="9"/>
      <c r="C150" s="24"/>
      <c r="D150" s="25"/>
      <c r="E150" s="7"/>
      <c r="F150" s="26"/>
      <c r="G150" s="7"/>
      <c r="H150" s="7"/>
    </row>
    <row r="151" spans="2:8">
      <c r="B151" s="9"/>
      <c r="C151" s="24"/>
      <c r="D151" s="25"/>
      <c r="E151" s="7"/>
      <c r="F151" s="26"/>
      <c r="G151" s="7"/>
      <c r="H151" s="7"/>
    </row>
    <row r="152" spans="2:8">
      <c r="B152" s="9"/>
      <c r="C152" s="24"/>
      <c r="D152" s="25"/>
      <c r="E152" s="7"/>
      <c r="F152" s="26"/>
      <c r="G152" s="7"/>
      <c r="H152" s="7"/>
    </row>
    <row r="153" spans="2:8">
      <c r="B153" s="9"/>
      <c r="C153" s="24"/>
      <c r="D153" s="25"/>
      <c r="E153" s="7"/>
      <c r="F153" s="26"/>
      <c r="G153" s="7"/>
      <c r="H153" s="7"/>
    </row>
    <row r="154" spans="2:8">
      <c r="B154" s="9"/>
      <c r="C154" s="24"/>
      <c r="D154" s="25"/>
      <c r="E154" s="7"/>
      <c r="F154" s="26"/>
      <c r="G154" s="7"/>
      <c r="H154" s="7"/>
    </row>
    <row r="155" spans="2:8">
      <c r="B155" s="9"/>
      <c r="C155" s="24"/>
      <c r="D155" s="25"/>
      <c r="E155" s="7"/>
      <c r="F155" s="26"/>
      <c r="G155" s="7"/>
      <c r="H155" s="7"/>
    </row>
    <row r="156" spans="2:8">
      <c r="B156" s="9"/>
      <c r="C156" s="24"/>
      <c r="D156" s="25"/>
      <c r="E156" s="7"/>
      <c r="F156" s="26"/>
      <c r="G156" s="7"/>
      <c r="H156" s="7"/>
    </row>
    <row r="157" spans="2:8">
      <c r="B157" s="9"/>
      <c r="C157" s="24"/>
      <c r="D157" s="25"/>
      <c r="E157" s="7"/>
      <c r="F157" s="26"/>
      <c r="G157" s="7"/>
      <c r="H157" s="7"/>
    </row>
    <row r="158" spans="2:8">
      <c r="B158" s="9"/>
      <c r="C158" s="24"/>
      <c r="D158" s="25"/>
      <c r="E158" s="7"/>
      <c r="F158" s="26"/>
      <c r="G158" s="7"/>
      <c r="H158" s="7"/>
    </row>
    <row r="159" spans="2:8">
      <c r="B159" s="9"/>
      <c r="C159" s="24"/>
      <c r="D159" s="25"/>
      <c r="E159" s="7"/>
      <c r="F159" s="26"/>
      <c r="G159" s="7"/>
      <c r="H159" s="7"/>
    </row>
    <row r="160" spans="2:8">
      <c r="B160" s="9"/>
      <c r="C160" s="24"/>
      <c r="D160" s="25"/>
      <c r="E160" s="7"/>
      <c r="F160" s="26"/>
      <c r="G160" s="7"/>
      <c r="H160" s="7"/>
    </row>
    <row r="161" spans="2:8">
      <c r="B161" s="9"/>
      <c r="C161" s="24"/>
      <c r="D161" s="25"/>
      <c r="E161" s="7"/>
      <c r="F161" s="26"/>
      <c r="G161" s="7"/>
      <c r="H161" s="7"/>
    </row>
    <row r="162" spans="2:8">
      <c r="B162" s="9"/>
      <c r="C162" s="24"/>
      <c r="D162" s="25"/>
      <c r="E162" s="7"/>
      <c r="F162" s="26"/>
      <c r="G162" s="7"/>
      <c r="H162" s="7"/>
    </row>
    <row r="163" spans="2:8">
      <c r="B163" s="9"/>
      <c r="C163" s="24"/>
      <c r="D163" s="25"/>
      <c r="E163" s="7"/>
      <c r="F163" s="26"/>
      <c r="G163" s="7"/>
      <c r="H163" s="7"/>
    </row>
    <row r="164" spans="2:8">
      <c r="B164" s="9"/>
      <c r="C164" s="24"/>
      <c r="D164" s="25"/>
      <c r="E164" s="7"/>
      <c r="F164" s="26"/>
      <c r="G164" s="7"/>
      <c r="H164" s="7"/>
    </row>
    <row r="165" spans="2:8">
      <c r="B165" s="9"/>
      <c r="C165" s="24"/>
      <c r="D165" s="25"/>
      <c r="E165" s="7"/>
      <c r="F165" s="26"/>
      <c r="G165" s="7"/>
      <c r="H165" s="7"/>
    </row>
    <row r="166" spans="2:8">
      <c r="B166" s="9"/>
      <c r="C166" s="24"/>
      <c r="D166" s="25"/>
      <c r="E166" s="7"/>
      <c r="F166" s="26"/>
      <c r="G166" s="7"/>
      <c r="H166" s="7"/>
    </row>
    <row r="167" spans="2:8">
      <c r="B167" s="9"/>
      <c r="C167" s="24"/>
      <c r="D167" s="25"/>
      <c r="E167" s="7"/>
      <c r="F167" s="26"/>
      <c r="G167" s="7"/>
      <c r="H167" s="7"/>
    </row>
    <row r="168" spans="2:8">
      <c r="B168" s="9"/>
      <c r="C168" s="24"/>
      <c r="D168" s="25"/>
      <c r="E168" s="7"/>
      <c r="F168" s="26"/>
      <c r="G168" s="7"/>
      <c r="H168" s="7"/>
    </row>
    <row r="169" spans="2:8">
      <c r="B169" s="9"/>
      <c r="C169" s="24"/>
      <c r="D169" s="25"/>
      <c r="E169" s="7"/>
      <c r="F169" s="26"/>
      <c r="G169" s="7"/>
      <c r="H169" s="7"/>
    </row>
    <row r="170" spans="2:8">
      <c r="B170" s="9"/>
      <c r="C170" s="24"/>
      <c r="D170" s="25"/>
      <c r="E170" s="7"/>
      <c r="F170" s="26"/>
      <c r="G170" s="7"/>
      <c r="H170" s="7"/>
    </row>
    <row r="171" spans="2:8">
      <c r="B171" s="9"/>
      <c r="C171" s="24"/>
      <c r="D171" s="25"/>
      <c r="E171" s="7"/>
      <c r="F171" s="26"/>
      <c r="G171" s="7"/>
      <c r="H171" s="7"/>
    </row>
    <row r="172" spans="2:8">
      <c r="B172" s="9"/>
      <c r="C172" s="24"/>
      <c r="D172" s="25"/>
      <c r="E172" s="7"/>
      <c r="F172" s="26"/>
      <c r="G172" s="7"/>
      <c r="H172" s="7"/>
    </row>
    <row r="173" spans="2:8">
      <c r="B173" s="9"/>
      <c r="C173" s="24"/>
      <c r="D173" s="25"/>
      <c r="E173" s="7"/>
      <c r="F173" s="26"/>
      <c r="G173" s="7"/>
      <c r="H173" s="7"/>
    </row>
    <row r="174" spans="2:8">
      <c r="B174" s="9"/>
      <c r="C174" s="24"/>
      <c r="D174" s="25"/>
      <c r="E174" s="7"/>
      <c r="F174" s="26"/>
      <c r="G174" s="7"/>
      <c r="H174" s="7"/>
    </row>
    <row r="175" spans="2:8">
      <c r="B175" s="9"/>
      <c r="C175" s="24"/>
      <c r="D175" s="25"/>
      <c r="E175" s="7"/>
      <c r="F175" s="26"/>
      <c r="G175" s="7"/>
      <c r="H175" s="7"/>
    </row>
    <row r="176" spans="2:8">
      <c r="B176" s="9"/>
      <c r="C176" s="24"/>
      <c r="D176" s="25"/>
      <c r="E176" s="7"/>
      <c r="F176" s="26"/>
      <c r="G176" s="7"/>
      <c r="H176" s="7"/>
    </row>
    <row r="177" spans="2:8">
      <c r="B177" s="9"/>
      <c r="C177" s="24"/>
      <c r="D177" s="25"/>
      <c r="E177" s="7"/>
      <c r="F177" s="26"/>
      <c r="G177" s="7"/>
      <c r="H177" s="7"/>
    </row>
    <row r="178" spans="2:8">
      <c r="B178" s="9"/>
      <c r="C178" s="24"/>
      <c r="D178" s="25"/>
      <c r="E178" s="7"/>
      <c r="F178" s="26"/>
      <c r="G178" s="7"/>
      <c r="H178" s="7"/>
    </row>
    <row r="179" spans="2:8">
      <c r="B179" s="9"/>
      <c r="C179" s="24"/>
      <c r="D179" s="25"/>
      <c r="E179" s="7"/>
      <c r="F179" s="26"/>
      <c r="G179" s="7"/>
      <c r="H179" s="7"/>
    </row>
    <row r="180" spans="2:8">
      <c r="B180" s="9"/>
      <c r="C180" s="24"/>
      <c r="D180" s="25"/>
      <c r="E180" s="7"/>
      <c r="F180" s="26"/>
      <c r="G180" s="7"/>
      <c r="H180" s="7"/>
    </row>
    <row r="181" spans="2:8">
      <c r="B181" s="9"/>
      <c r="C181" s="24"/>
      <c r="D181" s="25"/>
      <c r="E181" s="7"/>
      <c r="F181" s="26"/>
      <c r="G181" s="7"/>
      <c r="H181" s="7"/>
    </row>
    <row r="182" spans="2:8">
      <c r="B182" s="9"/>
      <c r="C182" s="24"/>
      <c r="D182" s="25"/>
      <c r="E182" s="7"/>
      <c r="F182" s="26"/>
      <c r="G182" s="7"/>
      <c r="H182" s="7"/>
    </row>
    <row r="183" spans="2:8">
      <c r="B183" s="9"/>
      <c r="C183" s="24"/>
      <c r="D183" s="25"/>
      <c r="E183" s="7"/>
      <c r="F183" s="26"/>
      <c r="G183" s="7"/>
      <c r="H183" s="7"/>
    </row>
    <row r="184" spans="2:8">
      <c r="B184" s="9"/>
      <c r="C184" s="24"/>
      <c r="D184" s="25"/>
      <c r="E184" s="7"/>
      <c r="F184" s="26"/>
      <c r="G184" s="7"/>
      <c r="H184" s="7"/>
    </row>
    <row r="185" spans="2:8">
      <c r="B185" s="9"/>
      <c r="C185" s="24"/>
      <c r="D185" s="25"/>
      <c r="E185" s="7"/>
      <c r="F185" s="26"/>
      <c r="G185" s="7"/>
      <c r="H185" s="7"/>
    </row>
    <row r="186" spans="2:8">
      <c r="B186" s="9"/>
      <c r="C186" s="24"/>
      <c r="D186" s="25"/>
      <c r="E186" s="7"/>
      <c r="F186" s="26"/>
      <c r="G186" s="7"/>
      <c r="H186" s="7"/>
    </row>
    <row r="187" spans="2:8">
      <c r="B187" s="9"/>
      <c r="C187" s="24"/>
      <c r="D187" s="25"/>
      <c r="E187" s="7"/>
      <c r="F187" s="26"/>
      <c r="G187" s="7"/>
      <c r="H187" s="7"/>
    </row>
    <row r="188" spans="2:8">
      <c r="B188" s="9"/>
      <c r="C188" s="24"/>
      <c r="D188" s="25"/>
      <c r="E188" s="7"/>
      <c r="F188" s="26"/>
      <c r="G188" s="7"/>
      <c r="H188" s="7"/>
    </row>
    <row r="189" spans="2:8">
      <c r="B189" s="9"/>
      <c r="C189" s="24"/>
      <c r="D189" s="25"/>
      <c r="E189" s="7"/>
      <c r="F189" s="26"/>
      <c r="G189" s="7"/>
      <c r="H189" s="7"/>
    </row>
    <row r="190" spans="2:8">
      <c r="B190" s="9"/>
      <c r="C190" s="24"/>
      <c r="D190" s="25"/>
      <c r="E190" s="7"/>
      <c r="F190" s="26"/>
      <c r="G190" s="7"/>
      <c r="H190" s="7"/>
    </row>
    <row r="191" spans="2:8">
      <c r="B191" s="9"/>
      <c r="C191" s="24"/>
      <c r="D191" s="25"/>
      <c r="E191" s="7"/>
      <c r="F191" s="26"/>
      <c r="G191" s="7"/>
      <c r="H191" s="7"/>
    </row>
    <row r="192" spans="2:8">
      <c r="B192" s="9"/>
      <c r="C192" s="24"/>
      <c r="D192" s="25"/>
      <c r="E192" s="7"/>
      <c r="F192" s="26"/>
      <c r="G192" s="7"/>
      <c r="H192" s="7"/>
    </row>
    <row r="193" spans="2:8">
      <c r="B193" s="9"/>
      <c r="C193" s="24"/>
      <c r="D193" s="25"/>
      <c r="E193" s="7"/>
      <c r="F193" s="26"/>
      <c r="G193" s="7"/>
      <c r="H193" s="7"/>
    </row>
    <row r="194" spans="2:8">
      <c r="B194" s="9"/>
      <c r="C194" s="24"/>
      <c r="D194" s="25"/>
      <c r="E194" s="7"/>
      <c r="F194" s="26"/>
      <c r="G194" s="7"/>
      <c r="H194" s="7"/>
    </row>
    <row r="195" spans="2:8">
      <c r="B195" s="9"/>
      <c r="C195" s="24"/>
      <c r="D195" s="25"/>
      <c r="E195" s="7"/>
      <c r="F195" s="26"/>
      <c r="G195" s="7"/>
      <c r="H195" s="7"/>
    </row>
    <row r="196" spans="2:8">
      <c r="B196" s="9"/>
      <c r="C196" s="24"/>
      <c r="D196" s="25"/>
      <c r="E196" s="7"/>
      <c r="F196" s="26"/>
      <c r="G196" s="7"/>
      <c r="H196" s="7"/>
    </row>
    <row r="197" spans="2:8">
      <c r="B197" s="9"/>
      <c r="C197" s="24"/>
      <c r="D197" s="25"/>
      <c r="E197" s="7"/>
      <c r="F197" s="26"/>
      <c r="G197" s="7"/>
      <c r="H197" s="7"/>
    </row>
    <row r="198" spans="2:8">
      <c r="B198" s="9"/>
      <c r="C198" s="24"/>
      <c r="D198" s="25"/>
      <c r="E198" s="7"/>
      <c r="F198" s="26"/>
      <c r="G198" s="7"/>
      <c r="H198" s="7"/>
    </row>
    <row r="199" spans="2:8">
      <c r="B199" s="9"/>
      <c r="C199" s="24"/>
      <c r="D199" s="25"/>
      <c r="E199" s="7"/>
      <c r="F199" s="26"/>
      <c r="G199" s="7"/>
      <c r="H199" s="7"/>
    </row>
    <row r="200" spans="2:8">
      <c r="B200" s="9"/>
      <c r="C200" s="24"/>
      <c r="D200" s="25"/>
      <c r="E200" s="7"/>
      <c r="F200" s="26"/>
      <c r="G200" s="7"/>
      <c r="H200" s="7"/>
    </row>
    <row r="201" spans="2:8">
      <c r="B201" s="9"/>
      <c r="C201" s="24"/>
      <c r="D201" s="25"/>
      <c r="E201" s="7"/>
      <c r="F201" s="26"/>
      <c r="G201" s="7"/>
      <c r="H201" s="7"/>
    </row>
    <row r="202" spans="2:8">
      <c r="B202" s="9"/>
      <c r="C202" s="24"/>
      <c r="D202" s="25"/>
      <c r="E202" s="7"/>
      <c r="F202" s="26"/>
      <c r="G202" s="7"/>
      <c r="H202" s="7"/>
    </row>
    <row r="203" spans="2:8">
      <c r="B203" s="9"/>
      <c r="C203" s="24"/>
      <c r="D203" s="25"/>
      <c r="E203" s="7"/>
      <c r="F203" s="26"/>
      <c r="G203" s="7"/>
      <c r="H203" s="7"/>
    </row>
    <row r="204" spans="2:8">
      <c r="B204" s="9"/>
      <c r="C204" s="24"/>
      <c r="D204" s="25"/>
      <c r="E204" s="7"/>
      <c r="F204" s="26"/>
      <c r="G204" s="7"/>
      <c r="H204" s="7"/>
    </row>
    <row r="205" spans="2:8">
      <c r="B205" s="9"/>
      <c r="C205" s="24"/>
      <c r="D205" s="25"/>
      <c r="E205" s="7"/>
      <c r="F205" s="26"/>
      <c r="G205" s="7"/>
      <c r="H205" s="7"/>
    </row>
    <row r="206" spans="2:8">
      <c r="B206" s="9"/>
      <c r="C206" s="24"/>
      <c r="D206" s="25"/>
      <c r="E206" s="7"/>
      <c r="F206" s="26"/>
      <c r="G206" s="7"/>
      <c r="H206" s="7"/>
    </row>
    <row r="207" spans="2:8">
      <c r="B207" s="9"/>
      <c r="C207" s="24"/>
      <c r="D207" s="25"/>
      <c r="E207" s="7"/>
      <c r="F207" s="26"/>
      <c r="G207" s="7"/>
      <c r="H207" s="7"/>
    </row>
    <row r="208" spans="2:8">
      <c r="B208" s="9"/>
      <c r="C208" s="24"/>
      <c r="D208" s="25"/>
      <c r="E208" s="7"/>
      <c r="F208" s="26"/>
      <c r="G208" s="7"/>
      <c r="H208" s="7"/>
    </row>
    <row r="209" spans="2:8">
      <c r="B209" s="9"/>
      <c r="C209" s="24"/>
      <c r="D209" s="25"/>
      <c r="E209" s="7"/>
      <c r="F209" s="26"/>
      <c r="G209" s="7"/>
      <c r="H209" s="7"/>
    </row>
    <row r="210" spans="2:8">
      <c r="B210" s="9"/>
      <c r="C210" s="24"/>
      <c r="D210" s="25"/>
      <c r="E210" s="7"/>
      <c r="F210" s="26"/>
      <c r="G210" s="7"/>
      <c r="H210" s="7"/>
    </row>
    <row r="211" spans="2:8">
      <c r="B211" s="9"/>
      <c r="C211" s="24"/>
      <c r="D211" s="25"/>
      <c r="E211" s="7"/>
      <c r="F211" s="26"/>
      <c r="G211" s="7"/>
      <c r="H211" s="7"/>
    </row>
    <row r="212" spans="2:8">
      <c r="B212" s="9"/>
      <c r="C212" s="24"/>
      <c r="D212" s="25"/>
      <c r="E212" s="7"/>
      <c r="F212" s="26"/>
      <c r="G212" s="7"/>
      <c r="H212" s="7"/>
    </row>
    <row r="213" spans="2:8">
      <c r="B213" s="9"/>
      <c r="C213" s="24"/>
      <c r="D213" s="25"/>
      <c r="E213" s="7"/>
      <c r="F213" s="26"/>
      <c r="G213" s="7"/>
      <c r="H213" s="7"/>
    </row>
    <row r="214" spans="2:8">
      <c r="B214" s="9"/>
      <c r="C214" s="24"/>
      <c r="D214" s="25"/>
      <c r="E214" s="7"/>
      <c r="F214" s="26"/>
      <c r="G214" s="7"/>
      <c r="H214" s="7"/>
    </row>
    <row r="215" spans="2:8">
      <c r="B215" s="9"/>
      <c r="C215" s="24"/>
      <c r="D215" s="25"/>
      <c r="E215" s="7"/>
      <c r="F215" s="26"/>
      <c r="G215" s="7"/>
      <c r="H215" s="7"/>
    </row>
    <row r="216" spans="2:8">
      <c r="B216" s="9"/>
      <c r="C216" s="24"/>
      <c r="D216" s="25"/>
      <c r="E216" s="7"/>
      <c r="F216" s="26"/>
      <c r="G216" s="7"/>
      <c r="H216" s="7"/>
    </row>
    <row r="217" spans="2:8">
      <c r="B217" s="9"/>
      <c r="C217" s="24"/>
      <c r="D217" s="25"/>
      <c r="E217" s="7"/>
      <c r="F217" s="26"/>
      <c r="G217" s="7"/>
      <c r="H217" s="7"/>
    </row>
    <row r="218" spans="2:8">
      <c r="B218" s="9"/>
      <c r="C218" s="24"/>
      <c r="D218" s="25"/>
      <c r="E218" s="7"/>
      <c r="F218" s="26"/>
      <c r="G218" s="7"/>
      <c r="H218" s="7"/>
    </row>
    <row r="219" spans="2:8">
      <c r="B219" s="9"/>
      <c r="C219" s="24"/>
      <c r="D219" s="25"/>
      <c r="E219" s="7"/>
      <c r="F219" s="26"/>
      <c r="G219" s="7"/>
      <c r="H219" s="7"/>
    </row>
    <row r="220" spans="2:8">
      <c r="B220" s="9"/>
      <c r="C220" s="24"/>
      <c r="D220" s="25"/>
      <c r="E220" s="7"/>
      <c r="F220" s="26"/>
      <c r="G220" s="7"/>
      <c r="H220" s="7"/>
    </row>
    <row r="221" spans="2:8">
      <c r="B221" s="9"/>
      <c r="C221" s="24"/>
      <c r="D221" s="25"/>
      <c r="E221" s="7"/>
      <c r="F221" s="26"/>
      <c r="G221" s="7"/>
      <c r="H221" s="7"/>
    </row>
    <row r="222" spans="2:8">
      <c r="B222" s="9"/>
      <c r="C222" s="24"/>
      <c r="D222" s="25"/>
      <c r="E222" s="7"/>
      <c r="F222" s="26"/>
      <c r="G222" s="7"/>
      <c r="H222" s="7"/>
    </row>
    <row r="223" spans="2:8">
      <c r="B223" s="9"/>
      <c r="C223" s="24"/>
      <c r="D223" s="25"/>
      <c r="E223" s="7"/>
      <c r="F223" s="26"/>
      <c r="G223" s="7"/>
      <c r="H223" s="7"/>
    </row>
    <row r="224" spans="2:8">
      <c r="B224" s="9"/>
      <c r="C224" s="24"/>
      <c r="D224" s="25"/>
      <c r="E224" s="7"/>
      <c r="F224" s="26"/>
      <c r="G224" s="7"/>
      <c r="H224" s="7"/>
    </row>
    <row r="225" spans="2:8">
      <c r="B225" s="9"/>
      <c r="C225" s="24"/>
      <c r="D225" s="25"/>
      <c r="E225" s="7"/>
      <c r="F225" s="26"/>
      <c r="G225" s="7"/>
      <c r="H225" s="7"/>
    </row>
    <row r="226" spans="2:8">
      <c r="B226" s="9"/>
      <c r="C226" s="24"/>
      <c r="D226" s="25"/>
      <c r="E226" s="7"/>
      <c r="F226" s="26"/>
      <c r="G226" s="7"/>
      <c r="H226" s="7"/>
    </row>
    <row r="227" spans="2:8">
      <c r="B227" s="9"/>
      <c r="C227" s="24"/>
      <c r="D227" s="25"/>
      <c r="E227" s="7"/>
      <c r="F227" s="26"/>
      <c r="G227" s="7"/>
      <c r="H227" s="7"/>
    </row>
    <row r="228" spans="2:8">
      <c r="B228" s="9"/>
      <c r="C228" s="24"/>
      <c r="D228" s="25"/>
      <c r="E228" s="7"/>
      <c r="F228" s="26"/>
      <c r="G228" s="7"/>
      <c r="H228" s="7"/>
    </row>
    <row r="229" spans="2:8">
      <c r="B229" s="9"/>
      <c r="C229" s="24"/>
      <c r="D229" s="25"/>
      <c r="E229" s="7"/>
      <c r="F229" s="26"/>
      <c r="G229" s="7"/>
      <c r="H229" s="7"/>
    </row>
    <row r="230" spans="2:8">
      <c r="B230" s="9"/>
      <c r="C230" s="24"/>
      <c r="D230" s="25"/>
      <c r="E230" s="7"/>
      <c r="F230" s="26"/>
      <c r="G230" s="7"/>
      <c r="H230" s="7"/>
    </row>
    <row r="231" spans="2:8">
      <c r="B231" s="9"/>
      <c r="C231" s="24"/>
      <c r="D231" s="25"/>
      <c r="E231" s="7"/>
      <c r="F231" s="26"/>
      <c r="G231" s="7"/>
      <c r="H231" s="7"/>
    </row>
    <row r="232" spans="2:8">
      <c r="B232" s="9"/>
      <c r="C232" s="24"/>
      <c r="D232" s="25"/>
      <c r="E232" s="7"/>
      <c r="F232" s="26"/>
      <c r="G232" s="7"/>
      <c r="H232" s="7"/>
    </row>
    <row r="233" spans="2:8">
      <c r="B233" s="9"/>
      <c r="C233" s="24"/>
      <c r="D233" s="25"/>
      <c r="E233" s="7"/>
      <c r="F233" s="26"/>
      <c r="G233" s="7"/>
      <c r="H233" s="7"/>
    </row>
    <row r="234" spans="2:8">
      <c r="B234" s="9"/>
      <c r="C234" s="24"/>
      <c r="D234" s="25"/>
      <c r="E234" s="7"/>
      <c r="F234" s="26"/>
      <c r="G234" s="7"/>
      <c r="H234" s="7"/>
    </row>
    <row r="235" spans="2:8">
      <c r="B235" s="9"/>
      <c r="C235" s="24"/>
      <c r="D235" s="25"/>
      <c r="E235" s="7"/>
      <c r="F235" s="26"/>
      <c r="G235" s="7"/>
      <c r="H235" s="7"/>
    </row>
    <row r="236" spans="2:8">
      <c r="B236" s="9"/>
      <c r="C236" s="24"/>
      <c r="D236" s="25"/>
      <c r="E236" s="7"/>
      <c r="F236" s="26"/>
      <c r="G236" s="7"/>
      <c r="H236" s="7"/>
    </row>
    <row r="237" spans="2:8">
      <c r="B237" s="9"/>
      <c r="C237" s="24"/>
      <c r="D237" s="25"/>
      <c r="E237" s="7"/>
      <c r="F237" s="26"/>
      <c r="G237" s="7"/>
      <c r="H237" s="7"/>
    </row>
    <row r="238" spans="2:8">
      <c r="B238" s="9"/>
      <c r="C238" s="24"/>
      <c r="D238" s="25"/>
      <c r="E238" s="7"/>
      <c r="F238" s="26"/>
      <c r="G238" s="7"/>
      <c r="H238" s="7"/>
    </row>
    <row r="239" spans="2:8">
      <c r="B239" s="9"/>
      <c r="C239" s="24"/>
      <c r="D239" s="25"/>
      <c r="E239" s="7"/>
      <c r="F239" s="26"/>
      <c r="G239" s="7"/>
      <c r="H239" s="7"/>
    </row>
    <row r="240" spans="2:8">
      <c r="B240" s="9"/>
      <c r="C240" s="24"/>
      <c r="D240" s="25"/>
      <c r="E240" s="7"/>
      <c r="F240" s="26"/>
      <c r="G240" s="7"/>
      <c r="H240" s="7"/>
    </row>
    <row r="241" spans="2:8">
      <c r="B241" s="9"/>
      <c r="C241" s="24"/>
      <c r="D241" s="25"/>
      <c r="E241" s="7"/>
      <c r="F241" s="26"/>
      <c r="G241" s="7"/>
      <c r="H241" s="7"/>
    </row>
    <row r="242" spans="2:8">
      <c r="B242" s="9"/>
      <c r="C242" s="24"/>
      <c r="D242" s="25"/>
      <c r="E242" s="7"/>
      <c r="F242" s="26"/>
      <c r="G242" s="7"/>
      <c r="H242" s="7"/>
    </row>
    <row r="243" spans="2:8">
      <c r="B243" s="9"/>
      <c r="C243" s="24"/>
      <c r="D243" s="25"/>
      <c r="E243" s="7"/>
      <c r="F243" s="26"/>
      <c r="G243" s="7"/>
      <c r="H243" s="7"/>
    </row>
    <row r="244" spans="2:8">
      <c r="B244" s="9"/>
      <c r="C244" s="24"/>
      <c r="D244" s="25"/>
      <c r="E244" s="7"/>
      <c r="F244" s="26"/>
      <c r="G244" s="7"/>
      <c r="H244" s="7"/>
    </row>
    <row r="245" spans="2:8">
      <c r="B245" s="9"/>
      <c r="C245" s="24"/>
      <c r="D245" s="25"/>
      <c r="E245" s="7"/>
      <c r="F245" s="26"/>
      <c r="G245" s="7"/>
      <c r="H245" s="7"/>
    </row>
    <row r="246" spans="2:8">
      <c r="B246" s="9"/>
      <c r="C246" s="24"/>
      <c r="D246" s="25"/>
      <c r="E246" s="7"/>
      <c r="F246" s="26"/>
      <c r="G246" s="7"/>
      <c r="H246" s="7"/>
    </row>
    <row r="247" spans="2:8">
      <c r="B247" s="9"/>
      <c r="C247" s="24"/>
      <c r="D247" s="25"/>
      <c r="E247" s="7"/>
      <c r="F247" s="26"/>
      <c r="G247" s="7"/>
      <c r="H247" s="7"/>
    </row>
    <row r="248" spans="2:8">
      <c r="B248" s="9"/>
      <c r="C248" s="24"/>
      <c r="D248" s="25"/>
      <c r="E248" s="7"/>
      <c r="F248" s="26"/>
      <c r="G248" s="7"/>
      <c r="H248" s="7"/>
    </row>
    <row r="249" spans="2:8">
      <c r="B249" s="9"/>
      <c r="C249" s="24"/>
      <c r="D249" s="25"/>
      <c r="E249" s="7"/>
      <c r="F249" s="26"/>
      <c r="G249" s="7"/>
      <c r="H249" s="7"/>
    </row>
    <row r="250" spans="2:8">
      <c r="B250" s="9"/>
      <c r="C250" s="24"/>
      <c r="D250" s="25"/>
      <c r="E250" s="7"/>
      <c r="F250" s="26"/>
      <c r="G250" s="7"/>
      <c r="H250" s="7"/>
    </row>
    <row r="251" spans="2:8">
      <c r="B251" s="9"/>
      <c r="C251" s="24"/>
      <c r="D251" s="25"/>
      <c r="E251" s="7"/>
      <c r="F251" s="26"/>
      <c r="G251" s="7"/>
      <c r="H251" s="7"/>
    </row>
    <row r="252" spans="2:8">
      <c r="B252" s="9"/>
      <c r="C252" s="24"/>
      <c r="D252" s="25"/>
      <c r="E252" s="7"/>
      <c r="F252" s="26"/>
      <c r="G252" s="7"/>
      <c r="H252" s="7"/>
    </row>
    <row r="253" spans="2:8">
      <c r="B253" s="9"/>
      <c r="C253" s="24"/>
      <c r="D253" s="25"/>
      <c r="E253" s="7"/>
      <c r="F253" s="26"/>
      <c r="G253" s="7"/>
      <c r="H253" s="7"/>
    </row>
    <row r="254" spans="2:8">
      <c r="B254" s="9"/>
      <c r="C254" s="24"/>
      <c r="D254" s="25"/>
      <c r="E254" s="7"/>
      <c r="F254" s="26"/>
      <c r="G254" s="7"/>
      <c r="H254" s="7"/>
    </row>
    <row r="255" spans="2:8">
      <c r="B255" s="9"/>
      <c r="C255" s="24"/>
      <c r="D255" s="25"/>
      <c r="E255" s="7"/>
      <c r="F255" s="26"/>
      <c r="G255" s="7"/>
      <c r="H255" s="7"/>
    </row>
    <row r="256" spans="2:8">
      <c r="B256" s="9"/>
      <c r="C256" s="24"/>
      <c r="D256" s="25"/>
      <c r="E256" s="7"/>
      <c r="F256" s="26"/>
      <c r="G256" s="7"/>
      <c r="H256" s="7"/>
    </row>
    <row r="257" spans="2:8">
      <c r="B257" s="9"/>
      <c r="C257" s="24"/>
      <c r="D257" s="25"/>
      <c r="E257" s="7"/>
      <c r="F257" s="26"/>
      <c r="G257" s="7"/>
      <c r="H257" s="7"/>
    </row>
    <row r="258" spans="2:8">
      <c r="B258" s="9"/>
      <c r="C258" s="24"/>
      <c r="D258" s="25"/>
      <c r="E258" s="7"/>
      <c r="F258" s="26"/>
      <c r="G258" s="7"/>
      <c r="H258" s="7"/>
    </row>
    <row r="259" spans="2:8">
      <c r="B259" s="9"/>
      <c r="C259" s="24"/>
      <c r="D259" s="25"/>
      <c r="E259" s="7"/>
      <c r="F259" s="26"/>
      <c r="G259" s="7"/>
      <c r="H259" s="7"/>
    </row>
    <row r="260" spans="2:8">
      <c r="B260" s="9"/>
      <c r="C260" s="24"/>
      <c r="D260" s="25"/>
      <c r="E260" s="7"/>
      <c r="F260" s="26"/>
      <c r="G260" s="7"/>
      <c r="H260" s="7"/>
    </row>
    <row r="261" spans="2:8">
      <c r="B261" s="9"/>
      <c r="C261" s="24"/>
      <c r="D261" s="25"/>
      <c r="E261" s="7"/>
      <c r="F261" s="26"/>
      <c r="G261" s="7"/>
      <c r="H261" s="7"/>
    </row>
    <row r="262" spans="2:8">
      <c r="B262" s="9"/>
      <c r="C262" s="24"/>
      <c r="D262" s="25"/>
      <c r="E262" s="7"/>
      <c r="F262" s="26"/>
      <c r="G262" s="7"/>
      <c r="H262" s="7"/>
    </row>
    <row r="263" spans="2:8">
      <c r="B263" s="9"/>
      <c r="C263" s="24"/>
      <c r="D263" s="25"/>
      <c r="E263" s="7"/>
      <c r="F263" s="26"/>
      <c r="G263" s="7"/>
      <c r="H263" s="7"/>
    </row>
    <row r="264" spans="2:8">
      <c r="B264" s="9"/>
      <c r="C264" s="24"/>
      <c r="D264" s="25"/>
      <c r="E264" s="7"/>
      <c r="F264" s="26"/>
      <c r="G264" s="7"/>
      <c r="H264" s="7"/>
    </row>
    <row r="265" spans="2:8">
      <c r="B265" s="9"/>
      <c r="C265" s="24"/>
      <c r="D265" s="25"/>
      <c r="E265" s="7"/>
      <c r="F265" s="26"/>
      <c r="G265" s="7"/>
      <c r="H265" s="7"/>
    </row>
    <row r="266" spans="2:8">
      <c r="B266" s="9"/>
      <c r="C266" s="24"/>
      <c r="D266" s="25"/>
      <c r="E266" s="7"/>
      <c r="F266" s="26"/>
      <c r="G266" s="7"/>
      <c r="H266" s="7"/>
    </row>
    <row r="267" spans="2:8">
      <c r="B267" s="9"/>
      <c r="C267" s="24"/>
      <c r="D267" s="25"/>
      <c r="E267" s="7"/>
      <c r="F267" s="26"/>
      <c r="G267" s="7"/>
      <c r="H267" s="7"/>
    </row>
    <row r="268" spans="2:8">
      <c r="B268" s="9"/>
      <c r="C268" s="24"/>
      <c r="D268" s="25"/>
      <c r="E268" s="7"/>
      <c r="F268" s="26"/>
      <c r="G268" s="7"/>
      <c r="H268" s="7"/>
    </row>
    <row r="269" spans="2:8">
      <c r="B269" s="9"/>
      <c r="C269" s="24"/>
      <c r="D269" s="25"/>
      <c r="E269" s="7"/>
      <c r="F269" s="26"/>
      <c r="G269" s="7"/>
      <c r="H269" s="7"/>
    </row>
    <row r="270" spans="2:8">
      <c r="B270" s="9"/>
      <c r="C270" s="24"/>
      <c r="D270" s="25"/>
      <c r="E270" s="7"/>
      <c r="F270" s="26"/>
      <c r="G270" s="7"/>
      <c r="H270" s="7"/>
    </row>
    <row r="271" spans="2:8">
      <c r="B271" s="9"/>
      <c r="C271" s="24"/>
      <c r="D271" s="25"/>
      <c r="E271" s="7"/>
      <c r="F271" s="26"/>
      <c r="G271" s="7"/>
      <c r="H271" s="7"/>
    </row>
    <row r="272" spans="2:8">
      <c r="B272" s="9"/>
      <c r="C272" s="24"/>
      <c r="D272" s="25"/>
      <c r="E272" s="7"/>
      <c r="F272" s="26"/>
      <c r="G272" s="7"/>
      <c r="H272" s="7"/>
    </row>
    <row r="273" spans="2:8">
      <c r="B273" s="9"/>
      <c r="C273" s="24"/>
      <c r="D273" s="25"/>
      <c r="E273" s="7"/>
      <c r="F273" s="26"/>
      <c r="G273" s="7"/>
      <c r="H273" s="7"/>
    </row>
    <row r="274" spans="2:8">
      <c r="B274" s="9"/>
      <c r="C274" s="24"/>
      <c r="D274" s="25"/>
      <c r="E274" s="7"/>
      <c r="F274" s="26"/>
      <c r="G274" s="7"/>
      <c r="H274" s="7"/>
    </row>
    <row r="275" spans="2:8">
      <c r="B275" s="9"/>
      <c r="C275" s="24"/>
      <c r="D275" s="25"/>
      <c r="E275" s="7"/>
      <c r="F275" s="26"/>
      <c r="G275" s="7"/>
      <c r="H275" s="7"/>
    </row>
    <row r="276" spans="2:8">
      <c r="B276" s="9"/>
      <c r="C276" s="24"/>
      <c r="D276" s="25"/>
      <c r="E276" s="7"/>
      <c r="F276" s="26"/>
      <c r="G276" s="7"/>
      <c r="H276" s="7"/>
    </row>
    <row r="277" spans="2:8">
      <c r="B277" s="9"/>
      <c r="C277" s="24"/>
      <c r="D277" s="25"/>
      <c r="E277" s="7"/>
      <c r="F277" s="26"/>
      <c r="G277" s="7"/>
      <c r="H277" s="7"/>
    </row>
    <row r="278" spans="2:8">
      <c r="B278" s="9"/>
      <c r="C278" s="24"/>
      <c r="D278" s="25"/>
      <c r="E278" s="7"/>
      <c r="F278" s="26"/>
      <c r="G278" s="7"/>
      <c r="H278" s="7"/>
    </row>
    <row r="279" spans="2:8">
      <c r="B279" s="9"/>
      <c r="C279" s="24"/>
      <c r="D279" s="25"/>
      <c r="E279" s="7"/>
      <c r="F279" s="26"/>
      <c r="G279" s="7"/>
      <c r="H279" s="7"/>
    </row>
    <row r="280" spans="2:8">
      <c r="B280" s="9"/>
      <c r="C280" s="24"/>
      <c r="D280" s="25"/>
      <c r="E280" s="7"/>
      <c r="F280" s="26"/>
      <c r="G280" s="7"/>
      <c r="H280" s="7"/>
    </row>
    <row r="281" spans="2:8">
      <c r="B281" s="9"/>
      <c r="C281" s="24"/>
      <c r="D281" s="25"/>
      <c r="E281" s="7"/>
      <c r="F281" s="26"/>
      <c r="G281" s="7"/>
      <c r="H281" s="7"/>
    </row>
    <row r="282" spans="2:8">
      <c r="B282" s="9"/>
      <c r="C282" s="24"/>
      <c r="D282" s="25"/>
      <c r="E282" s="7"/>
      <c r="F282" s="26"/>
      <c r="G282" s="7"/>
      <c r="H282" s="7"/>
    </row>
    <row r="283" spans="2:8">
      <c r="B283" s="9"/>
      <c r="C283" s="24"/>
      <c r="D283" s="25"/>
      <c r="E283" s="7"/>
      <c r="F283" s="26"/>
      <c r="G283" s="7"/>
      <c r="H283" s="7"/>
    </row>
    <row r="284" spans="2:8">
      <c r="B284" s="9"/>
      <c r="C284" s="24"/>
      <c r="D284" s="25"/>
      <c r="E284" s="7"/>
      <c r="F284" s="26"/>
      <c r="G284" s="7"/>
      <c r="H284" s="7"/>
    </row>
    <row r="285" spans="2:8">
      <c r="B285" s="9"/>
      <c r="C285" s="24"/>
      <c r="D285" s="25"/>
      <c r="E285" s="7"/>
      <c r="F285" s="26"/>
      <c r="G285" s="7"/>
      <c r="H285" s="7"/>
    </row>
    <row r="286" spans="2:8">
      <c r="B286" s="9"/>
      <c r="C286" s="24"/>
      <c r="D286" s="25"/>
      <c r="E286" s="7"/>
      <c r="F286" s="26"/>
      <c r="G286" s="7"/>
      <c r="H286" s="7"/>
    </row>
    <row r="287" spans="2:8">
      <c r="B287" s="9"/>
      <c r="C287" s="24"/>
      <c r="D287" s="25"/>
      <c r="E287" s="7"/>
      <c r="F287" s="26"/>
      <c r="G287" s="7"/>
      <c r="H287" s="7"/>
    </row>
    <row r="288" spans="2:8">
      <c r="B288" s="9"/>
      <c r="C288" s="24"/>
      <c r="D288" s="25"/>
      <c r="E288" s="7"/>
      <c r="F288" s="26"/>
      <c r="G288" s="7"/>
      <c r="H288" s="7"/>
    </row>
    <row r="289" spans="2:8">
      <c r="B289" s="9"/>
      <c r="C289" s="24"/>
      <c r="D289" s="25"/>
      <c r="E289" s="7"/>
      <c r="F289" s="26"/>
      <c r="G289" s="7"/>
      <c r="H289" s="7"/>
    </row>
    <row r="290" spans="2:8">
      <c r="B290" s="9"/>
      <c r="C290" s="24"/>
      <c r="D290" s="25"/>
      <c r="E290" s="7"/>
      <c r="F290" s="26"/>
      <c r="G290" s="7"/>
      <c r="H290" s="7"/>
    </row>
    <row r="291" spans="2:8">
      <c r="B291" s="9"/>
      <c r="C291" s="24"/>
      <c r="D291" s="25"/>
      <c r="E291" s="7"/>
      <c r="F291" s="26"/>
      <c r="G291" s="7"/>
      <c r="H291" s="7"/>
    </row>
    <row r="292" spans="2:8">
      <c r="B292" s="9"/>
      <c r="C292" s="24"/>
      <c r="D292" s="25"/>
      <c r="E292" s="7"/>
      <c r="F292" s="26"/>
      <c r="G292" s="7"/>
      <c r="H292" s="7"/>
    </row>
    <row r="293" spans="2:8">
      <c r="B293" s="9"/>
      <c r="C293" s="24"/>
      <c r="D293" s="25"/>
      <c r="E293" s="7"/>
      <c r="F293" s="26"/>
      <c r="G293" s="7"/>
      <c r="H293" s="7"/>
    </row>
    <row r="294" spans="2:8">
      <c r="B294" s="9"/>
      <c r="C294" s="24"/>
      <c r="D294" s="25"/>
      <c r="E294" s="7"/>
      <c r="F294" s="26"/>
      <c r="G294" s="7"/>
      <c r="H294" s="7"/>
    </row>
    <row r="295" spans="2:8">
      <c r="B295" s="9"/>
      <c r="C295" s="24"/>
      <c r="D295" s="25"/>
      <c r="E295" s="7"/>
      <c r="F295" s="26"/>
      <c r="G295" s="7"/>
      <c r="H295" s="7"/>
    </row>
    <row r="296" spans="2:8">
      <c r="B296" s="9"/>
      <c r="C296" s="24"/>
      <c r="D296" s="25"/>
      <c r="E296" s="7"/>
      <c r="F296" s="26"/>
      <c r="G296" s="7"/>
      <c r="H296" s="7"/>
    </row>
    <row r="297" spans="2:8">
      <c r="B297" s="9"/>
      <c r="C297" s="24"/>
      <c r="D297" s="25"/>
      <c r="E297" s="7"/>
      <c r="F297" s="26"/>
      <c r="G297" s="7"/>
      <c r="H297" s="7"/>
    </row>
    <row r="298" spans="2:8">
      <c r="B298" s="9"/>
      <c r="C298" s="24"/>
      <c r="D298" s="25"/>
      <c r="E298" s="7"/>
      <c r="F298" s="26"/>
      <c r="G298" s="7"/>
      <c r="H298" s="7"/>
    </row>
    <row r="299" spans="2:8">
      <c r="B299" s="9"/>
      <c r="C299" s="24"/>
      <c r="D299" s="25"/>
      <c r="E299" s="7"/>
      <c r="F299" s="26"/>
      <c r="G299" s="7"/>
      <c r="H299" s="7"/>
    </row>
    <row r="300" spans="2:8">
      <c r="B300" s="9"/>
      <c r="C300" s="24"/>
      <c r="D300" s="25"/>
      <c r="E300" s="7"/>
      <c r="F300" s="26"/>
      <c r="G300" s="7"/>
      <c r="H300" s="7"/>
    </row>
    <row r="301" spans="2:8">
      <c r="B301" s="9"/>
      <c r="C301" s="24"/>
      <c r="D301" s="25"/>
      <c r="E301" s="7"/>
      <c r="F301" s="26"/>
      <c r="G301" s="7"/>
      <c r="H301" s="7"/>
    </row>
    <row r="302" spans="2:8">
      <c r="B302" s="9"/>
      <c r="C302" s="24"/>
      <c r="D302" s="25"/>
      <c r="E302" s="7"/>
      <c r="F302" s="26"/>
      <c r="G302" s="7"/>
      <c r="H302" s="7"/>
    </row>
    <row r="303" spans="2:8">
      <c r="B303" s="9"/>
      <c r="C303" s="24"/>
      <c r="D303" s="25"/>
      <c r="E303" s="7"/>
      <c r="F303" s="26"/>
      <c r="G303" s="7"/>
      <c r="H303" s="7"/>
    </row>
    <row r="304" spans="2:8">
      <c r="B304" s="9"/>
      <c r="C304" s="24"/>
      <c r="D304" s="25"/>
      <c r="E304" s="7"/>
      <c r="F304" s="26"/>
      <c r="G304" s="7"/>
      <c r="H304" s="7"/>
    </row>
    <row r="305" spans="2:8">
      <c r="B305" s="9"/>
      <c r="C305" s="24"/>
      <c r="D305" s="25"/>
      <c r="E305" s="7"/>
      <c r="F305" s="26"/>
      <c r="G305" s="7"/>
      <c r="H305" s="7"/>
    </row>
    <row r="306" spans="2:8">
      <c r="B306" s="9"/>
      <c r="C306" s="24"/>
      <c r="D306" s="25"/>
      <c r="E306" s="7"/>
      <c r="F306" s="26"/>
      <c r="G306" s="7"/>
      <c r="H306" s="7"/>
    </row>
    <row r="307" spans="2:8">
      <c r="B307" s="9"/>
      <c r="C307" s="24"/>
      <c r="D307" s="25"/>
      <c r="E307" s="7"/>
      <c r="F307" s="26"/>
      <c r="G307" s="7"/>
      <c r="H307" s="7"/>
    </row>
    <row r="308" spans="2:8">
      <c r="B308" s="9"/>
      <c r="C308" s="24"/>
      <c r="D308" s="25"/>
      <c r="E308" s="7"/>
      <c r="F308" s="26"/>
      <c r="G308" s="7"/>
      <c r="H308" s="7"/>
    </row>
    <row r="309" spans="2:8">
      <c r="B309" s="9"/>
      <c r="C309" s="24"/>
      <c r="D309" s="25"/>
      <c r="E309" s="7"/>
      <c r="F309" s="26"/>
      <c r="G309" s="7"/>
      <c r="H309" s="7"/>
    </row>
    <row r="310" spans="2:8">
      <c r="B310" s="9"/>
      <c r="C310" s="24"/>
      <c r="D310" s="25"/>
      <c r="E310" s="7"/>
      <c r="F310" s="26"/>
      <c r="G310" s="7"/>
      <c r="H310" s="7"/>
    </row>
    <row r="311" spans="2:8">
      <c r="B311" s="9"/>
      <c r="C311" s="24"/>
      <c r="D311" s="25"/>
      <c r="E311" s="7"/>
      <c r="F311" s="26"/>
      <c r="G311" s="7"/>
      <c r="H311" s="7"/>
    </row>
    <row r="312" spans="2:8">
      <c r="B312" s="9"/>
      <c r="C312" s="24"/>
      <c r="D312" s="25"/>
      <c r="E312" s="7"/>
      <c r="F312" s="26"/>
      <c r="G312" s="7"/>
      <c r="H312" s="7"/>
    </row>
    <row r="313" spans="2:8">
      <c r="B313" s="9"/>
      <c r="C313" s="24"/>
      <c r="D313" s="25"/>
      <c r="E313" s="7"/>
      <c r="F313" s="26"/>
      <c r="G313" s="7"/>
      <c r="H313" s="7"/>
    </row>
    <row r="314" spans="2:8">
      <c r="B314" s="9"/>
      <c r="C314" s="24"/>
      <c r="D314" s="25"/>
      <c r="E314" s="7"/>
      <c r="F314" s="26"/>
      <c r="G314" s="7"/>
      <c r="H314" s="7"/>
    </row>
    <row r="315" spans="2:8">
      <c r="B315" s="9"/>
      <c r="C315" s="24"/>
      <c r="D315" s="25"/>
      <c r="E315" s="7"/>
      <c r="F315" s="26"/>
      <c r="G315" s="7"/>
      <c r="H315" s="7"/>
    </row>
    <row r="316" spans="2:8">
      <c r="B316" s="9"/>
      <c r="C316" s="24"/>
      <c r="D316" s="25"/>
      <c r="E316" s="7"/>
      <c r="F316" s="26"/>
      <c r="G316" s="7"/>
      <c r="H316" s="7"/>
    </row>
    <row r="317" spans="2:8">
      <c r="B317" s="9"/>
      <c r="C317" s="24"/>
      <c r="D317" s="25"/>
      <c r="E317" s="7"/>
      <c r="F317" s="26"/>
      <c r="G317" s="7"/>
      <c r="H317" s="7"/>
    </row>
    <row r="318" spans="2:8">
      <c r="B318" s="9"/>
      <c r="C318" s="24"/>
      <c r="D318" s="25"/>
      <c r="E318" s="7"/>
      <c r="F318" s="26"/>
      <c r="G318" s="7"/>
      <c r="H318" s="7"/>
    </row>
    <row r="319" spans="2:8">
      <c r="B319" s="9"/>
      <c r="C319" s="24"/>
      <c r="D319" s="25"/>
      <c r="E319" s="7"/>
      <c r="F319" s="26"/>
      <c r="G319" s="7"/>
      <c r="H319" s="7"/>
    </row>
    <row r="320" spans="2:8">
      <c r="B320" s="9"/>
      <c r="C320" s="24"/>
      <c r="D320" s="25"/>
      <c r="E320" s="7"/>
      <c r="F320" s="26"/>
      <c r="G320" s="7"/>
      <c r="H320" s="7"/>
    </row>
    <row r="321" spans="2:8">
      <c r="B321" s="9"/>
      <c r="C321" s="24"/>
      <c r="D321" s="25"/>
      <c r="E321" s="7"/>
      <c r="F321" s="26"/>
      <c r="G321" s="7"/>
      <c r="H321" s="7"/>
    </row>
    <row r="322" spans="2:8">
      <c r="B322" s="9"/>
      <c r="C322" s="24"/>
      <c r="D322" s="25"/>
      <c r="E322" s="7"/>
      <c r="F322" s="26"/>
      <c r="G322" s="7"/>
      <c r="H322" s="7"/>
    </row>
    <row r="323" spans="2:8">
      <c r="B323" s="9"/>
      <c r="C323" s="24"/>
      <c r="D323" s="25"/>
      <c r="E323" s="7"/>
      <c r="F323" s="26"/>
      <c r="G323" s="7"/>
      <c r="H323" s="7"/>
    </row>
    <row r="324" spans="2:8">
      <c r="B324" s="9"/>
      <c r="C324" s="24"/>
      <c r="D324" s="25"/>
      <c r="E324" s="7"/>
      <c r="F324" s="26"/>
      <c r="G324" s="7"/>
      <c r="H324" s="7"/>
    </row>
    <row r="325" spans="2:8">
      <c r="B325" s="9"/>
      <c r="C325" s="24"/>
      <c r="D325" s="25"/>
      <c r="E325" s="7"/>
      <c r="F325" s="26"/>
      <c r="G325" s="7"/>
      <c r="H325" s="7"/>
    </row>
    <row r="326" spans="2:8">
      <c r="B326" s="9"/>
      <c r="C326" s="24"/>
      <c r="D326" s="25"/>
      <c r="E326" s="7"/>
      <c r="F326" s="26"/>
      <c r="G326" s="7"/>
      <c r="H326" s="7"/>
    </row>
    <row r="327" spans="2:8">
      <c r="B327" s="9"/>
      <c r="C327" s="24"/>
      <c r="D327" s="25"/>
      <c r="E327" s="7"/>
      <c r="F327" s="26"/>
      <c r="G327" s="7"/>
      <c r="H327" s="7"/>
    </row>
    <row r="328" spans="2:8">
      <c r="B328" s="9"/>
      <c r="C328" s="24"/>
      <c r="D328" s="25"/>
      <c r="E328" s="7"/>
      <c r="F328" s="26"/>
      <c r="G328" s="7"/>
      <c r="H328" s="7"/>
    </row>
    <row r="329" spans="2:8">
      <c r="B329" s="9"/>
      <c r="C329" s="24"/>
      <c r="D329" s="25"/>
      <c r="E329" s="7"/>
      <c r="F329" s="26"/>
      <c r="G329" s="7"/>
      <c r="H329" s="7"/>
    </row>
    <row r="330" spans="2:8">
      <c r="B330" s="9"/>
      <c r="C330" s="24"/>
      <c r="D330" s="25"/>
      <c r="E330" s="7"/>
      <c r="F330" s="26"/>
      <c r="G330" s="7"/>
      <c r="H330" s="7"/>
    </row>
    <row r="331" spans="2:8">
      <c r="B331" s="9"/>
      <c r="C331" s="24"/>
      <c r="D331" s="25"/>
      <c r="E331" s="7"/>
      <c r="F331" s="26"/>
      <c r="G331" s="7"/>
      <c r="H331" s="7"/>
    </row>
    <row r="332" spans="2:8">
      <c r="B332" s="9"/>
      <c r="C332" s="24"/>
      <c r="D332" s="25"/>
      <c r="E332" s="7"/>
      <c r="F332" s="26"/>
      <c r="G332" s="7"/>
      <c r="H332" s="7"/>
    </row>
    <row r="333" spans="2:8">
      <c r="B333" s="9"/>
      <c r="C333" s="24"/>
      <c r="D333" s="25"/>
      <c r="E333" s="7"/>
      <c r="F333" s="26"/>
      <c r="G333" s="7"/>
      <c r="H333" s="7"/>
    </row>
    <row r="334" spans="2:8">
      <c r="B334" s="9"/>
      <c r="C334" s="24"/>
      <c r="D334" s="25"/>
      <c r="E334" s="7"/>
      <c r="F334" s="26"/>
      <c r="G334" s="7"/>
      <c r="H334" s="7"/>
    </row>
    <row r="335" spans="2:8">
      <c r="B335" s="9"/>
      <c r="C335" s="24"/>
      <c r="D335" s="25"/>
      <c r="E335" s="7"/>
      <c r="F335" s="26"/>
      <c r="G335" s="7"/>
      <c r="H335" s="7"/>
    </row>
    <row r="336" spans="2:8">
      <c r="B336" s="9"/>
      <c r="C336" s="24"/>
      <c r="D336" s="25"/>
      <c r="E336" s="7"/>
      <c r="F336" s="26"/>
      <c r="G336" s="7"/>
      <c r="H336" s="7"/>
    </row>
    <row r="337" spans="2:8">
      <c r="B337" s="9"/>
      <c r="C337" s="24"/>
      <c r="D337" s="25"/>
      <c r="E337" s="7"/>
      <c r="F337" s="26"/>
      <c r="G337" s="7"/>
      <c r="H337" s="7"/>
    </row>
    <row r="338" spans="2:8">
      <c r="B338" s="9"/>
      <c r="C338" s="24"/>
      <c r="D338" s="25"/>
      <c r="E338" s="7"/>
      <c r="F338" s="26"/>
      <c r="G338" s="7"/>
      <c r="H338" s="7"/>
    </row>
    <row r="339" spans="2:8">
      <c r="B339" s="9"/>
      <c r="C339" s="24"/>
      <c r="D339" s="25"/>
      <c r="E339" s="7"/>
      <c r="F339" s="26"/>
      <c r="G339" s="7"/>
      <c r="H339" s="7"/>
    </row>
    <row r="340" spans="2:8">
      <c r="B340" s="9"/>
      <c r="C340" s="24"/>
      <c r="D340" s="25"/>
      <c r="E340" s="7"/>
      <c r="F340" s="26"/>
      <c r="G340" s="7"/>
      <c r="H340" s="7"/>
    </row>
    <row r="341" spans="2:8">
      <c r="B341" s="9"/>
      <c r="C341" s="24"/>
      <c r="D341" s="25"/>
      <c r="E341" s="7"/>
      <c r="F341" s="26"/>
      <c r="G341" s="7"/>
      <c r="H341" s="7"/>
    </row>
    <row r="342" spans="2:8">
      <c r="B342" s="9"/>
      <c r="C342" s="24"/>
      <c r="D342" s="25"/>
      <c r="E342" s="7"/>
      <c r="F342" s="26"/>
      <c r="G342" s="7"/>
      <c r="H342" s="7"/>
    </row>
    <row r="343" spans="2:8">
      <c r="B343" s="9"/>
      <c r="C343" s="24"/>
      <c r="D343" s="25"/>
      <c r="E343" s="7"/>
      <c r="F343" s="26"/>
      <c r="G343" s="7"/>
      <c r="H343" s="7"/>
    </row>
    <row r="344" spans="2:8">
      <c r="B344" s="9"/>
      <c r="C344" s="24"/>
      <c r="D344" s="25"/>
      <c r="E344" s="7"/>
      <c r="F344" s="26"/>
      <c r="G344" s="7"/>
      <c r="H344" s="7"/>
    </row>
    <row r="345" spans="2:8">
      <c r="B345" s="9"/>
      <c r="C345" s="24"/>
      <c r="D345" s="25"/>
      <c r="E345" s="7"/>
      <c r="F345" s="26"/>
      <c r="G345" s="7"/>
      <c r="H345" s="7"/>
    </row>
    <row r="346" spans="2:8">
      <c r="B346" s="9"/>
      <c r="C346" s="24"/>
      <c r="D346" s="25"/>
      <c r="E346" s="7"/>
      <c r="F346" s="26"/>
      <c r="G346" s="7"/>
      <c r="H346" s="7"/>
    </row>
    <row r="347" spans="2:8">
      <c r="B347" s="9"/>
      <c r="C347" s="24"/>
      <c r="D347" s="25"/>
      <c r="E347" s="7"/>
      <c r="F347" s="26"/>
      <c r="G347" s="7"/>
      <c r="H347" s="7"/>
    </row>
    <row r="348" spans="2:8">
      <c r="B348" s="9"/>
      <c r="C348" s="24"/>
      <c r="D348" s="25"/>
      <c r="E348" s="7"/>
      <c r="F348" s="26"/>
      <c r="G348" s="7"/>
      <c r="H348" s="7"/>
    </row>
    <row r="349" spans="2:8">
      <c r="B349" s="9"/>
      <c r="C349" s="24"/>
      <c r="D349" s="25"/>
      <c r="E349" s="7"/>
      <c r="F349" s="26"/>
      <c r="G349" s="7"/>
      <c r="H349" s="7"/>
    </row>
    <row r="350" spans="2:8">
      <c r="B350" s="9"/>
      <c r="C350" s="24"/>
      <c r="D350" s="25"/>
      <c r="E350" s="7"/>
      <c r="F350" s="26"/>
      <c r="G350" s="7"/>
      <c r="H350" s="7"/>
    </row>
    <row r="351" spans="2:8">
      <c r="B351" s="9"/>
      <c r="C351" s="24"/>
      <c r="D351" s="25"/>
      <c r="E351" s="7"/>
      <c r="F351" s="26"/>
      <c r="G351" s="7"/>
      <c r="H351" s="7"/>
    </row>
    <row r="352" spans="2:8">
      <c r="B352" s="9"/>
      <c r="C352" s="24"/>
      <c r="D352" s="25"/>
      <c r="E352" s="7"/>
      <c r="F352" s="26"/>
      <c r="G352" s="7"/>
      <c r="H352" s="7"/>
    </row>
    <row r="353" spans="2:8">
      <c r="B353" s="9"/>
      <c r="C353" s="24"/>
      <c r="D353" s="25"/>
      <c r="E353" s="7"/>
      <c r="F353" s="26"/>
      <c r="G353" s="7"/>
      <c r="H353" s="7"/>
    </row>
    <row r="354" spans="2:8">
      <c r="B354" s="9"/>
      <c r="C354" s="24"/>
      <c r="D354" s="25"/>
      <c r="E354" s="7"/>
      <c r="F354" s="26"/>
      <c r="G354" s="7"/>
      <c r="H354" s="7"/>
    </row>
    <row r="355" spans="2:8">
      <c r="B355" s="9"/>
      <c r="C355" s="24"/>
      <c r="D355" s="25"/>
      <c r="E355" s="7"/>
      <c r="F355" s="26"/>
      <c r="G355" s="7"/>
      <c r="H355" s="7"/>
    </row>
    <row r="356" spans="2:8">
      <c r="B356" s="9"/>
      <c r="C356" s="24"/>
      <c r="D356" s="25"/>
      <c r="E356" s="7"/>
      <c r="F356" s="26"/>
      <c r="G356" s="7"/>
      <c r="H356" s="7"/>
    </row>
    <row r="357" spans="2:8">
      <c r="B357" s="9"/>
      <c r="C357" s="24"/>
      <c r="D357" s="25"/>
      <c r="E357" s="7"/>
      <c r="F357" s="26"/>
      <c r="G357" s="7"/>
      <c r="H357" s="7"/>
    </row>
    <row r="358" spans="2:8">
      <c r="B358" s="9"/>
      <c r="C358" s="24"/>
      <c r="D358" s="25"/>
      <c r="E358" s="7"/>
      <c r="F358" s="26"/>
      <c r="G358" s="7"/>
      <c r="H358" s="7"/>
    </row>
    <row r="359" spans="2:8">
      <c r="B359" s="9"/>
      <c r="C359" s="24"/>
      <c r="D359" s="25"/>
      <c r="E359" s="7"/>
      <c r="F359" s="26"/>
      <c r="G359" s="7"/>
      <c r="H359" s="7"/>
    </row>
    <row r="360" spans="2:8">
      <c r="B360" s="9"/>
      <c r="C360" s="24"/>
      <c r="D360" s="25"/>
      <c r="E360" s="7"/>
      <c r="F360" s="26"/>
      <c r="G360" s="7"/>
      <c r="H360" s="7"/>
    </row>
    <row r="361" spans="2:8">
      <c r="B361" s="9"/>
      <c r="C361" s="24"/>
      <c r="D361" s="25"/>
      <c r="E361" s="7"/>
      <c r="F361" s="26"/>
      <c r="G361" s="7"/>
      <c r="H361" s="7"/>
    </row>
    <row r="362" spans="2:8">
      <c r="B362" s="9"/>
      <c r="C362" s="24"/>
      <c r="D362" s="25"/>
      <c r="E362" s="7"/>
      <c r="F362" s="26"/>
      <c r="G362" s="7"/>
      <c r="H362" s="7"/>
    </row>
    <row r="363" spans="2:8">
      <c r="B363" s="9"/>
      <c r="C363" s="24"/>
      <c r="D363" s="25"/>
      <c r="E363" s="7"/>
      <c r="F363" s="26"/>
      <c r="G363" s="7"/>
      <c r="H363" s="7"/>
    </row>
    <row r="364" spans="2:8">
      <c r="B364" s="9"/>
      <c r="C364" s="24"/>
      <c r="D364" s="25"/>
      <c r="E364" s="7"/>
      <c r="F364" s="26"/>
      <c r="G364" s="7"/>
      <c r="H364" s="7"/>
    </row>
    <row r="365" spans="2:8">
      <c r="B365" s="9"/>
      <c r="C365" s="24"/>
      <c r="D365" s="25"/>
      <c r="E365" s="7"/>
      <c r="F365" s="26"/>
      <c r="G365" s="7"/>
      <c r="H365" s="7"/>
    </row>
    <row r="366" spans="2:8">
      <c r="B366" s="9"/>
      <c r="C366" s="24"/>
      <c r="D366" s="25"/>
      <c r="E366" s="7"/>
      <c r="F366" s="26"/>
      <c r="G366" s="7"/>
      <c r="H366" s="7"/>
    </row>
    <row r="367" spans="2:8">
      <c r="B367" s="9"/>
      <c r="C367" s="24"/>
      <c r="D367" s="25"/>
      <c r="E367" s="7"/>
      <c r="F367" s="26"/>
      <c r="G367" s="7"/>
      <c r="H367" s="7"/>
    </row>
    <row r="368" spans="2:8">
      <c r="B368" s="9"/>
      <c r="C368" s="24"/>
      <c r="D368" s="25"/>
      <c r="E368" s="7"/>
      <c r="F368" s="26"/>
      <c r="G368" s="7"/>
      <c r="H368" s="7"/>
    </row>
    <row r="369" spans="2:8">
      <c r="B369" s="9"/>
      <c r="C369" s="24"/>
      <c r="D369" s="25"/>
      <c r="E369" s="7"/>
      <c r="F369" s="26"/>
      <c r="G369" s="7"/>
      <c r="H369" s="7"/>
    </row>
    <row r="370" spans="2:8">
      <c r="B370" s="9"/>
      <c r="C370" s="24"/>
      <c r="D370" s="25"/>
      <c r="E370" s="7"/>
      <c r="F370" s="26"/>
      <c r="G370" s="7"/>
      <c r="H370" s="7"/>
    </row>
    <row r="371" spans="2:8">
      <c r="B371" s="9"/>
      <c r="C371" s="24"/>
      <c r="D371" s="25"/>
      <c r="E371" s="7"/>
      <c r="F371" s="26"/>
      <c r="G371" s="7"/>
      <c r="H371" s="7"/>
    </row>
    <row r="372" spans="2:8">
      <c r="B372" s="9"/>
      <c r="C372" s="24"/>
      <c r="D372" s="25"/>
      <c r="E372" s="7"/>
      <c r="F372" s="26"/>
      <c r="G372" s="7"/>
      <c r="H372" s="7"/>
    </row>
    <row r="373" spans="2:8">
      <c r="B373" s="9"/>
      <c r="C373" s="24"/>
      <c r="D373" s="25"/>
      <c r="E373" s="7"/>
      <c r="F373" s="26"/>
      <c r="G373" s="7"/>
      <c r="H373" s="7"/>
    </row>
    <row r="374" spans="2:8">
      <c r="B374" s="9"/>
      <c r="C374" s="24"/>
      <c r="D374" s="25"/>
      <c r="E374" s="7"/>
      <c r="F374" s="26"/>
      <c r="G374" s="7"/>
      <c r="H374" s="7"/>
    </row>
    <row r="375" spans="2:8">
      <c r="B375" s="9"/>
      <c r="C375" s="24"/>
      <c r="D375" s="25"/>
      <c r="E375" s="7"/>
      <c r="F375" s="26"/>
      <c r="G375" s="7"/>
      <c r="H375" s="7"/>
    </row>
    <row r="376" spans="2:8">
      <c r="B376" s="9"/>
      <c r="C376" s="24"/>
      <c r="D376" s="25"/>
      <c r="E376" s="7"/>
      <c r="F376" s="26"/>
      <c r="G376" s="7"/>
      <c r="H376" s="7"/>
    </row>
    <row r="377" spans="2:8">
      <c r="B377" s="9"/>
      <c r="C377" s="24"/>
      <c r="D377" s="25"/>
      <c r="E377" s="7"/>
      <c r="F377" s="26"/>
      <c r="G377" s="7"/>
      <c r="H377" s="7"/>
    </row>
    <row r="378" spans="2:8">
      <c r="B378" s="9"/>
      <c r="C378" s="24"/>
      <c r="D378" s="25"/>
      <c r="E378" s="7"/>
      <c r="F378" s="26"/>
      <c r="G378" s="7"/>
      <c r="H378" s="7"/>
    </row>
    <row r="379" spans="2:8">
      <c r="B379" s="9"/>
      <c r="C379" s="24"/>
      <c r="D379" s="25"/>
      <c r="E379" s="7"/>
      <c r="F379" s="26"/>
      <c r="G379" s="7"/>
      <c r="H379" s="7"/>
    </row>
    <row r="380" spans="2:8">
      <c r="B380" s="9"/>
      <c r="C380" s="24"/>
      <c r="D380" s="25"/>
      <c r="E380" s="7"/>
      <c r="F380" s="26"/>
      <c r="G380" s="7"/>
      <c r="H380" s="7"/>
    </row>
    <row r="381" spans="2:8">
      <c r="B381" s="9"/>
      <c r="C381" s="24"/>
      <c r="D381" s="25"/>
      <c r="E381" s="7"/>
      <c r="F381" s="26"/>
      <c r="G381" s="7"/>
      <c r="H381" s="7"/>
    </row>
    <row r="382" spans="2:8">
      <c r="B382" s="9"/>
      <c r="C382" s="24"/>
      <c r="D382" s="25"/>
      <c r="E382" s="7"/>
      <c r="F382" s="26"/>
      <c r="G382" s="7"/>
      <c r="H382" s="7"/>
    </row>
    <row r="383" spans="2:8">
      <c r="B383" s="9"/>
      <c r="C383" s="24"/>
      <c r="D383" s="25"/>
      <c r="E383" s="7"/>
      <c r="F383" s="26"/>
      <c r="G383" s="7"/>
      <c r="H383" s="7"/>
    </row>
    <row r="384" spans="2:8">
      <c r="B384" s="9"/>
      <c r="C384" s="24"/>
      <c r="D384" s="25"/>
      <c r="E384" s="7"/>
      <c r="F384" s="26"/>
      <c r="G384" s="7"/>
      <c r="H384" s="7"/>
    </row>
    <row r="385" spans="2:8">
      <c r="B385" s="9"/>
      <c r="C385" s="24"/>
      <c r="D385" s="25"/>
      <c r="E385" s="7"/>
      <c r="F385" s="26"/>
      <c r="G385" s="7"/>
      <c r="H385" s="7"/>
    </row>
    <row r="386" spans="2:8">
      <c r="B386" s="9"/>
      <c r="C386" s="24"/>
      <c r="D386" s="25"/>
      <c r="E386" s="7"/>
      <c r="F386" s="26"/>
      <c r="G386" s="7"/>
      <c r="H386" s="7"/>
    </row>
    <row r="387" spans="2:8">
      <c r="B387" s="9"/>
      <c r="C387" s="24"/>
      <c r="D387" s="25"/>
      <c r="E387" s="7"/>
      <c r="F387" s="26"/>
      <c r="G387" s="7"/>
      <c r="H387" s="7"/>
    </row>
    <row r="388" spans="2:8">
      <c r="B388" s="9"/>
      <c r="C388" s="24"/>
      <c r="D388" s="25"/>
      <c r="E388" s="7"/>
      <c r="F388" s="26"/>
      <c r="G388" s="7"/>
      <c r="H388" s="7"/>
    </row>
    <row r="389" spans="2:8">
      <c r="B389" s="9"/>
      <c r="C389" s="24"/>
      <c r="D389" s="25"/>
      <c r="E389" s="7"/>
      <c r="F389" s="26"/>
      <c r="G389" s="7"/>
      <c r="H389" s="7"/>
    </row>
    <row r="390" spans="2:8">
      <c r="B390" s="9"/>
      <c r="C390" s="24"/>
      <c r="D390" s="25"/>
      <c r="E390" s="7"/>
      <c r="F390" s="26"/>
      <c r="G390" s="7"/>
      <c r="H390" s="7"/>
    </row>
    <row r="391" spans="2:8">
      <c r="B391" s="9"/>
      <c r="C391" s="24"/>
      <c r="D391" s="25"/>
      <c r="E391" s="7"/>
      <c r="F391" s="26"/>
      <c r="G391" s="7"/>
      <c r="H391" s="7"/>
    </row>
    <row r="392" spans="2:8">
      <c r="B392" s="9"/>
      <c r="C392" s="24"/>
      <c r="D392" s="25"/>
      <c r="E392" s="7"/>
      <c r="F392" s="26"/>
      <c r="G392" s="7"/>
      <c r="H392" s="7"/>
    </row>
    <row r="393" spans="2:8">
      <c r="B393" s="9"/>
      <c r="C393" s="24"/>
      <c r="D393" s="25"/>
      <c r="E393" s="7"/>
      <c r="F393" s="26"/>
      <c r="G393" s="7"/>
      <c r="H393" s="7"/>
    </row>
    <row r="394" spans="2:8">
      <c r="B394" s="9"/>
      <c r="C394" s="24"/>
      <c r="D394" s="25"/>
      <c r="E394" s="7"/>
      <c r="F394" s="26"/>
      <c r="G394" s="7"/>
      <c r="H394" s="7"/>
    </row>
    <row r="395" spans="2:8">
      <c r="B395" s="9"/>
      <c r="C395" s="24"/>
      <c r="D395" s="25"/>
      <c r="E395" s="7"/>
      <c r="F395" s="26"/>
      <c r="G395" s="7"/>
      <c r="H395" s="7"/>
    </row>
    <row r="396" spans="2:8">
      <c r="B396" s="9"/>
      <c r="C396" s="24"/>
      <c r="D396" s="25"/>
      <c r="E396" s="7"/>
      <c r="F396" s="26"/>
      <c r="G396" s="7"/>
      <c r="H396" s="7"/>
    </row>
    <row r="397" spans="2:8">
      <c r="B397" s="9"/>
      <c r="C397" s="24"/>
      <c r="D397" s="25"/>
      <c r="E397" s="7"/>
      <c r="F397" s="26"/>
      <c r="G397" s="7"/>
      <c r="H397" s="7"/>
    </row>
    <row r="398" spans="2:8">
      <c r="B398" s="9"/>
      <c r="C398" s="24"/>
      <c r="D398" s="25"/>
      <c r="E398" s="7"/>
      <c r="F398" s="26"/>
      <c r="G398" s="7"/>
      <c r="H398" s="7"/>
    </row>
    <row r="399" spans="2:8">
      <c r="B399" s="9"/>
      <c r="C399" s="24"/>
      <c r="D399" s="25"/>
      <c r="E399" s="7"/>
      <c r="F399" s="26"/>
      <c r="G399" s="7"/>
      <c r="H399" s="7"/>
    </row>
    <row r="400" spans="2:8">
      <c r="B400" s="9"/>
      <c r="C400" s="24"/>
      <c r="D400" s="25"/>
      <c r="E400" s="7"/>
      <c r="F400" s="26"/>
      <c r="G400" s="7"/>
      <c r="H400" s="7"/>
    </row>
    <row r="401" spans="2:8">
      <c r="B401" s="9"/>
      <c r="C401" s="24"/>
      <c r="D401" s="25"/>
      <c r="E401" s="7"/>
      <c r="F401" s="26"/>
      <c r="G401" s="7"/>
      <c r="H401" s="7"/>
    </row>
    <row r="402" spans="2:8">
      <c r="B402" s="9"/>
      <c r="C402" s="24"/>
      <c r="D402" s="25"/>
      <c r="E402" s="7"/>
      <c r="F402" s="26"/>
      <c r="G402" s="7"/>
      <c r="H402" s="7"/>
    </row>
    <row r="403" spans="2:8">
      <c r="B403" s="9"/>
      <c r="C403" s="24"/>
      <c r="D403" s="25"/>
      <c r="E403" s="7"/>
      <c r="F403" s="26"/>
      <c r="G403" s="7"/>
      <c r="H403" s="7"/>
    </row>
    <row r="404" spans="2:8">
      <c r="B404" s="9"/>
      <c r="C404" s="24"/>
      <c r="D404" s="25"/>
      <c r="E404" s="7"/>
      <c r="F404" s="26"/>
      <c r="G404" s="7"/>
      <c r="H404" s="7"/>
    </row>
    <row r="405" spans="2:8">
      <c r="B405" s="9"/>
      <c r="C405" s="24"/>
      <c r="D405" s="25"/>
      <c r="E405" s="7"/>
      <c r="F405" s="26"/>
      <c r="G405" s="7"/>
      <c r="H405" s="7"/>
    </row>
    <row r="406" spans="2:8">
      <c r="B406" s="9"/>
      <c r="C406" s="24"/>
      <c r="D406" s="25"/>
      <c r="E406" s="7"/>
      <c r="F406" s="26"/>
      <c r="G406" s="7"/>
      <c r="H406" s="7"/>
    </row>
    <row r="407" spans="2:8">
      <c r="B407" s="9"/>
      <c r="C407" s="24"/>
      <c r="D407" s="25"/>
      <c r="E407" s="7"/>
      <c r="F407" s="26"/>
      <c r="G407" s="7"/>
      <c r="H407" s="7"/>
    </row>
    <row r="408" spans="2:8">
      <c r="B408" s="9"/>
      <c r="C408" s="24"/>
      <c r="D408" s="25"/>
      <c r="E408" s="7"/>
      <c r="F408" s="26"/>
      <c r="G408" s="7"/>
      <c r="H408" s="7"/>
    </row>
    <row r="409" spans="2:8">
      <c r="B409" s="9"/>
      <c r="C409" s="24"/>
      <c r="D409" s="25"/>
      <c r="E409" s="7"/>
      <c r="F409" s="26"/>
      <c r="G409" s="7"/>
      <c r="H409" s="7"/>
    </row>
    <row r="410" spans="2:8">
      <c r="B410" s="9"/>
      <c r="C410" s="24"/>
      <c r="D410" s="25"/>
      <c r="E410" s="7"/>
      <c r="F410" s="26"/>
      <c r="G410" s="7"/>
      <c r="H410" s="7"/>
    </row>
    <row r="411" spans="2:8">
      <c r="B411" s="9"/>
      <c r="C411" s="24"/>
      <c r="D411" s="25"/>
      <c r="E411" s="7"/>
      <c r="F411" s="26"/>
      <c r="G411" s="7"/>
      <c r="H411" s="7"/>
    </row>
    <row r="412" spans="2:8">
      <c r="B412" s="9"/>
      <c r="C412" s="24"/>
      <c r="D412" s="25"/>
      <c r="E412" s="7"/>
      <c r="F412" s="26"/>
      <c r="G412" s="7"/>
      <c r="H412" s="7"/>
    </row>
    <row r="413" spans="2:8">
      <c r="B413" s="9"/>
      <c r="C413" s="24"/>
      <c r="D413" s="25"/>
      <c r="E413" s="7"/>
      <c r="F413" s="26"/>
      <c r="G413" s="7"/>
      <c r="H413" s="7"/>
    </row>
    <row r="414" spans="2:8">
      <c r="B414" s="9"/>
      <c r="C414" s="24"/>
      <c r="D414" s="25"/>
      <c r="E414" s="7"/>
      <c r="F414" s="26"/>
      <c r="G414" s="7"/>
      <c r="H414" s="7"/>
    </row>
    <row r="415" spans="2:8">
      <c r="B415" s="9"/>
      <c r="C415" s="24"/>
      <c r="D415" s="25"/>
      <c r="E415" s="7"/>
      <c r="F415" s="26"/>
      <c r="G415" s="7"/>
      <c r="H415" s="7"/>
    </row>
    <row r="416" spans="2:8">
      <c r="B416" s="9"/>
      <c r="C416" s="24"/>
      <c r="D416" s="25"/>
      <c r="E416" s="7"/>
      <c r="F416" s="26"/>
      <c r="G416" s="7"/>
      <c r="H416" s="7"/>
    </row>
    <row r="417" spans="2:8">
      <c r="B417" s="9"/>
      <c r="C417" s="24"/>
      <c r="D417" s="25"/>
      <c r="E417" s="7"/>
      <c r="F417" s="26"/>
      <c r="G417" s="7"/>
      <c r="H417" s="7"/>
    </row>
    <row r="418" spans="2:8">
      <c r="B418" s="9"/>
      <c r="C418" s="24"/>
      <c r="D418" s="25"/>
      <c r="E418" s="7"/>
      <c r="F418" s="26"/>
      <c r="G418" s="7"/>
      <c r="H418" s="7"/>
    </row>
    <row r="419" spans="2:8">
      <c r="B419" s="9"/>
      <c r="C419" s="24"/>
      <c r="D419" s="25"/>
      <c r="E419" s="7"/>
      <c r="F419" s="26"/>
      <c r="G419" s="7"/>
      <c r="H419" s="7"/>
    </row>
    <row r="420" spans="2:8">
      <c r="B420" s="9"/>
      <c r="C420" s="24"/>
      <c r="D420" s="25"/>
      <c r="E420" s="7"/>
      <c r="F420" s="26"/>
      <c r="G420" s="7"/>
      <c r="H420" s="7"/>
    </row>
    <row r="421" spans="2:8">
      <c r="B421" s="9"/>
      <c r="C421" s="24"/>
      <c r="D421" s="25"/>
      <c r="E421" s="7"/>
      <c r="F421" s="26"/>
      <c r="G421" s="7"/>
      <c r="H421" s="7"/>
    </row>
    <row r="422" spans="2:8">
      <c r="B422" s="9"/>
      <c r="C422" s="24"/>
      <c r="D422" s="25"/>
      <c r="E422" s="7"/>
      <c r="F422" s="26"/>
      <c r="G422" s="7"/>
      <c r="H422" s="7"/>
    </row>
    <row r="423" spans="2:8">
      <c r="B423" s="9"/>
      <c r="C423" s="24"/>
      <c r="D423" s="25"/>
      <c r="E423" s="7"/>
      <c r="F423" s="26"/>
      <c r="G423" s="7"/>
      <c r="H423" s="7"/>
    </row>
    <row r="424" spans="2:8">
      <c r="B424" s="9"/>
      <c r="C424" s="24"/>
      <c r="D424" s="25"/>
      <c r="E424" s="7"/>
      <c r="F424" s="26"/>
      <c r="G424" s="7"/>
      <c r="H424" s="7"/>
    </row>
    <row r="425" spans="2:8">
      <c r="B425" s="9"/>
      <c r="C425" s="24"/>
      <c r="D425" s="25"/>
      <c r="E425" s="7"/>
      <c r="F425" s="26"/>
      <c r="G425" s="7"/>
      <c r="H425" s="7"/>
    </row>
    <row r="426" spans="2:8">
      <c r="B426" s="9"/>
      <c r="C426" s="24"/>
      <c r="D426" s="25"/>
      <c r="E426" s="7"/>
      <c r="F426" s="26"/>
      <c r="G426" s="7"/>
      <c r="H426" s="7"/>
    </row>
    <row r="427" spans="2:8">
      <c r="B427" s="9"/>
      <c r="C427" s="24"/>
      <c r="D427" s="25"/>
      <c r="E427" s="7"/>
      <c r="F427" s="26"/>
      <c r="G427" s="7"/>
      <c r="H427" s="7"/>
    </row>
    <row r="428" spans="2:8">
      <c r="B428" s="9"/>
      <c r="C428" s="24"/>
      <c r="D428" s="25"/>
      <c r="E428" s="7"/>
      <c r="F428" s="26"/>
      <c r="G428" s="7"/>
      <c r="H428" s="7"/>
    </row>
    <row r="429" spans="2:8">
      <c r="B429" s="9"/>
      <c r="C429" s="24"/>
      <c r="D429" s="25"/>
      <c r="E429" s="7"/>
      <c r="F429" s="26"/>
      <c r="G429" s="7"/>
      <c r="H429" s="7"/>
    </row>
    <row r="430" spans="2:8">
      <c r="B430" s="9"/>
      <c r="C430" s="24"/>
      <c r="D430" s="25"/>
      <c r="E430" s="7"/>
      <c r="F430" s="26"/>
      <c r="G430" s="7"/>
      <c r="H430" s="7"/>
    </row>
    <row r="431" spans="2:8">
      <c r="B431" s="9"/>
      <c r="C431" s="24"/>
      <c r="D431" s="25"/>
      <c r="E431" s="7"/>
      <c r="F431" s="26"/>
      <c r="G431" s="7"/>
      <c r="H431" s="7"/>
    </row>
    <row r="432" spans="2:8">
      <c r="B432" s="9"/>
      <c r="C432" s="24"/>
      <c r="D432" s="25"/>
      <c r="E432" s="7"/>
      <c r="F432" s="26"/>
      <c r="G432" s="7"/>
      <c r="H432" s="7"/>
    </row>
    <row r="433" spans="2:8">
      <c r="B433" s="9"/>
      <c r="C433" s="24"/>
      <c r="D433" s="25"/>
      <c r="E433" s="7"/>
      <c r="F433" s="26"/>
      <c r="G433" s="7"/>
      <c r="H433" s="7"/>
    </row>
    <row r="434" spans="2:8">
      <c r="B434" s="9"/>
      <c r="C434" s="24"/>
      <c r="D434" s="25"/>
      <c r="E434" s="7"/>
      <c r="F434" s="26"/>
      <c r="G434" s="7"/>
      <c r="H434" s="7"/>
    </row>
    <row r="435" spans="2:8">
      <c r="B435" s="9"/>
      <c r="C435" s="24"/>
      <c r="D435" s="25"/>
      <c r="E435" s="7"/>
      <c r="F435" s="26"/>
      <c r="G435" s="7"/>
      <c r="H435" s="7"/>
    </row>
    <row r="436" spans="2:8">
      <c r="B436" s="9"/>
      <c r="C436" s="24"/>
      <c r="D436" s="25"/>
      <c r="E436" s="7"/>
      <c r="F436" s="26"/>
      <c r="G436" s="7"/>
      <c r="H436" s="7"/>
    </row>
    <row r="437" spans="2:8">
      <c r="B437" s="9"/>
      <c r="C437" s="24"/>
      <c r="D437" s="25"/>
      <c r="E437" s="7"/>
      <c r="F437" s="26"/>
      <c r="G437" s="7"/>
      <c r="H437" s="7"/>
    </row>
    <row r="438" spans="2:8">
      <c r="B438" s="9"/>
      <c r="C438" s="24"/>
      <c r="D438" s="25"/>
      <c r="E438" s="7"/>
      <c r="F438" s="26"/>
      <c r="G438" s="7"/>
      <c r="H438" s="7"/>
    </row>
    <row r="439" spans="2:8">
      <c r="B439" s="9"/>
      <c r="C439" s="24"/>
      <c r="D439" s="25"/>
      <c r="E439" s="7"/>
      <c r="F439" s="26"/>
      <c r="G439" s="7"/>
      <c r="H439" s="7"/>
    </row>
    <row r="440" spans="2:8">
      <c r="B440" s="9"/>
      <c r="C440" s="24"/>
      <c r="D440" s="25"/>
      <c r="E440" s="7"/>
      <c r="F440" s="26"/>
      <c r="G440" s="7"/>
      <c r="H440" s="7"/>
    </row>
    <row r="441" spans="2:8">
      <c r="B441" s="9"/>
      <c r="C441" s="24"/>
      <c r="D441" s="25"/>
      <c r="E441" s="7"/>
      <c r="F441" s="26"/>
      <c r="G441" s="7"/>
      <c r="H441" s="7"/>
    </row>
    <row r="442" spans="2:8">
      <c r="B442" s="9"/>
      <c r="C442" s="24"/>
      <c r="D442" s="25"/>
      <c r="E442" s="7"/>
      <c r="F442" s="26"/>
      <c r="G442" s="7"/>
      <c r="H442" s="7"/>
    </row>
    <row r="443" spans="2:8">
      <c r="B443" s="9"/>
      <c r="C443" s="24"/>
      <c r="D443" s="25"/>
      <c r="E443" s="7"/>
      <c r="F443" s="26"/>
      <c r="G443" s="7"/>
      <c r="H443" s="7"/>
    </row>
    <row r="444" spans="2:8">
      <c r="B444" s="9"/>
      <c r="C444" s="24"/>
      <c r="D444" s="25"/>
      <c r="E444" s="7"/>
      <c r="F444" s="26"/>
      <c r="G444" s="7"/>
      <c r="H444" s="7"/>
    </row>
    <row r="445" spans="2:8">
      <c r="B445" s="9"/>
      <c r="C445" s="24"/>
      <c r="D445" s="25"/>
      <c r="E445" s="7"/>
      <c r="F445" s="26"/>
      <c r="G445" s="7"/>
      <c r="H445" s="7"/>
    </row>
    <row r="446" spans="2:8">
      <c r="B446" s="9"/>
      <c r="C446" s="24"/>
      <c r="D446" s="25"/>
      <c r="E446" s="7"/>
      <c r="F446" s="26"/>
      <c r="G446" s="7"/>
      <c r="H446" s="7"/>
    </row>
    <row r="447" spans="2:8">
      <c r="B447" s="9"/>
      <c r="C447" s="24"/>
      <c r="D447" s="25"/>
      <c r="E447" s="7"/>
      <c r="F447" s="26"/>
      <c r="G447" s="7"/>
      <c r="H447" s="7"/>
    </row>
    <row r="448" spans="2:8">
      <c r="B448" s="9"/>
      <c r="C448" s="24"/>
      <c r="D448" s="25"/>
      <c r="E448" s="7"/>
      <c r="F448" s="26"/>
      <c r="G448" s="7"/>
      <c r="H448" s="7"/>
    </row>
    <row r="449" spans="2:8">
      <c r="B449" s="9"/>
      <c r="C449" s="24"/>
      <c r="D449" s="25"/>
      <c r="E449" s="7"/>
      <c r="F449" s="26"/>
      <c r="G449" s="7"/>
      <c r="H449" s="7"/>
    </row>
    <row r="450" spans="2:8">
      <c r="B450" s="9"/>
      <c r="C450" s="24"/>
      <c r="D450" s="25"/>
      <c r="E450" s="7"/>
      <c r="F450" s="26"/>
      <c r="G450" s="7"/>
      <c r="H450" s="7"/>
    </row>
    <row r="451" spans="2:8">
      <c r="B451" s="9"/>
      <c r="C451" s="24"/>
      <c r="D451" s="25"/>
      <c r="E451" s="7"/>
      <c r="F451" s="26"/>
      <c r="G451" s="7"/>
      <c r="H451" s="7"/>
    </row>
    <row r="452" spans="2:8">
      <c r="B452" s="9"/>
      <c r="C452" s="24"/>
      <c r="D452" s="25"/>
      <c r="E452" s="7"/>
      <c r="F452" s="26"/>
      <c r="G452" s="7"/>
      <c r="H452" s="7"/>
    </row>
    <row r="453" spans="2:8">
      <c r="B453" s="9"/>
      <c r="C453" s="24"/>
      <c r="D453" s="25"/>
      <c r="E453" s="7"/>
      <c r="F453" s="26"/>
      <c r="G453" s="7"/>
      <c r="H453" s="7"/>
    </row>
    <row r="454" spans="2:8">
      <c r="B454" s="9"/>
      <c r="C454" s="24"/>
      <c r="D454" s="25"/>
      <c r="E454" s="7"/>
      <c r="F454" s="26"/>
      <c r="G454" s="7"/>
      <c r="H454" s="7"/>
    </row>
    <row r="455" spans="2:8">
      <c r="B455" s="9"/>
      <c r="C455" s="24"/>
      <c r="D455" s="25"/>
      <c r="E455" s="7"/>
      <c r="F455" s="26"/>
      <c r="G455" s="7"/>
      <c r="H455" s="7"/>
    </row>
    <row r="456" spans="2:8">
      <c r="B456" s="9"/>
      <c r="C456" s="24"/>
      <c r="D456" s="25"/>
      <c r="E456" s="7"/>
      <c r="F456" s="26"/>
      <c r="G456" s="7"/>
      <c r="H456" s="7"/>
    </row>
    <row r="457" spans="2:8">
      <c r="B457" s="9"/>
      <c r="C457" s="24"/>
      <c r="D457" s="25"/>
      <c r="E457" s="7"/>
      <c r="F457" s="26"/>
      <c r="G457" s="7"/>
      <c r="H457" s="7"/>
    </row>
    <row r="458" spans="2:8">
      <c r="B458" s="9"/>
      <c r="C458" s="24"/>
      <c r="D458" s="25"/>
      <c r="E458" s="7"/>
      <c r="F458" s="26"/>
      <c r="G458" s="7"/>
      <c r="H458" s="7"/>
    </row>
    <row r="459" spans="2:8">
      <c r="B459" s="9"/>
      <c r="C459" s="24"/>
      <c r="D459" s="25"/>
      <c r="E459" s="7"/>
      <c r="F459" s="26"/>
      <c r="G459" s="7"/>
      <c r="H459" s="7"/>
    </row>
    <row r="460" spans="2:8">
      <c r="B460" s="9"/>
      <c r="C460" s="24"/>
      <c r="D460" s="25"/>
      <c r="E460" s="7"/>
      <c r="F460" s="26"/>
      <c r="G460" s="7"/>
      <c r="H460" s="7"/>
    </row>
    <row r="461" spans="2:8">
      <c r="B461" s="9"/>
      <c r="C461" s="24"/>
      <c r="D461" s="25"/>
      <c r="E461" s="7"/>
      <c r="F461" s="26"/>
      <c r="G461" s="7"/>
      <c r="H461" s="7"/>
    </row>
    <row r="462" spans="2:8">
      <c r="B462" s="9"/>
      <c r="C462" s="24"/>
      <c r="D462" s="25"/>
      <c r="E462" s="7"/>
      <c r="F462" s="26"/>
      <c r="G462" s="7"/>
      <c r="H462" s="7"/>
    </row>
    <row r="463" spans="2:8">
      <c r="B463" s="9"/>
      <c r="C463" s="24"/>
      <c r="D463" s="25"/>
      <c r="E463" s="7"/>
      <c r="F463" s="26"/>
      <c r="G463" s="7"/>
      <c r="H463" s="7"/>
    </row>
    <row r="464" spans="2:8">
      <c r="B464" s="9"/>
      <c r="C464" s="24"/>
      <c r="D464" s="25"/>
      <c r="E464" s="7"/>
      <c r="F464" s="26"/>
      <c r="G464" s="7"/>
      <c r="H464" s="7"/>
    </row>
    <row r="465" spans="2:8">
      <c r="B465" s="9"/>
      <c r="C465" s="24"/>
      <c r="D465" s="25"/>
      <c r="E465" s="7"/>
      <c r="F465" s="26"/>
      <c r="G465" s="7"/>
      <c r="H465" s="7"/>
    </row>
    <row r="466" spans="2:8">
      <c r="B466" s="9"/>
      <c r="C466" s="24"/>
      <c r="D466" s="25"/>
      <c r="E466" s="7"/>
      <c r="F466" s="26"/>
      <c r="G466" s="7"/>
      <c r="H466" s="7"/>
    </row>
    <row r="467" spans="2:8">
      <c r="B467" s="9"/>
      <c r="C467" s="24"/>
      <c r="D467" s="25"/>
      <c r="E467" s="7"/>
      <c r="F467" s="26"/>
      <c r="G467" s="7"/>
      <c r="H467" s="7"/>
    </row>
    <row r="468" spans="2:8">
      <c r="B468" s="9"/>
      <c r="C468" s="24"/>
      <c r="D468" s="25"/>
      <c r="E468" s="7"/>
      <c r="F468" s="26"/>
      <c r="G468" s="7"/>
      <c r="H468" s="7"/>
    </row>
    <row r="469" spans="2:8">
      <c r="B469" s="9"/>
      <c r="C469" s="24"/>
      <c r="D469" s="25"/>
      <c r="E469" s="7"/>
      <c r="F469" s="26"/>
      <c r="G469" s="7"/>
      <c r="H469" s="7"/>
    </row>
    <row r="470" spans="2:8">
      <c r="B470" s="9"/>
      <c r="C470" s="24"/>
      <c r="D470" s="25"/>
      <c r="E470" s="7"/>
      <c r="F470" s="26"/>
      <c r="G470" s="7"/>
      <c r="H470" s="7"/>
    </row>
    <row r="471" spans="2:8">
      <c r="B471" s="9"/>
      <c r="C471" s="24"/>
      <c r="D471" s="25"/>
      <c r="E471" s="7"/>
      <c r="F471" s="26"/>
      <c r="G471" s="7"/>
      <c r="H471" s="7"/>
    </row>
    <row r="472" spans="2:8">
      <c r="B472" s="9"/>
      <c r="C472" s="24"/>
      <c r="D472" s="25"/>
      <c r="E472" s="7"/>
      <c r="F472" s="26"/>
      <c r="G472" s="7"/>
      <c r="H472" s="7"/>
    </row>
    <row r="473" spans="2:8">
      <c r="B473" s="9"/>
      <c r="C473" s="24"/>
      <c r="D473" s="25"/>
      <c r="E473" s="7"/>
      <c r="F473" s="26"/>
      <c r="G473" s="7"/>
      <c r="H473" s="7"/>
    </row>
    <row r="474" spans="2:8">
      <c r="B474" s="9"/>
      <c r="C474" s="24"/>
      <c r="D474" s="25"/>
      <c r="E474" s="7"/>
      <c r="F474" s="26"/>
      <c r="G474" s="7"/>
      <c r="H474" s="7"/>
    </row>
    <row r="475" spans="2:8">
      <c r="B475" s="9"/>
      <c r="C475" s="24"/>
      <c r="D475" s="25"/>
      <c r="E475" s="7"/>
      <c r="F475" s="26"/>
      <c r="G475" s="7"/>
      <c r="H475" s="7"/>
    </row>
    <row r="476" spans="2:8">
      <c r="B476" s="9"/>
      <c r="C476" s="24"/>
      <c r="D476" s="25"/>
      <c r="E476" s="7"/>
      <c r="F476" s="26"/>
      <c r="G476" s="7"/>
      <c r="H476" s="7"/>
    </row>
    <row r="477" spans="2:8">
      <c r="B477" s="9"/>
      <c r="C477" s="24"/>
      <c r="D477" s="25"/>
      <c r="E477" s="7"/>
      <c r="F477" s="26"/>
      <c r="G477" s="7"/>
      <c r="H477" s="7"/>
    </row>
    <row r="478" spans="2:8">
      <c r="B478" s="9"/>
      <c r="C478" s="24"/>
      <c r="D478" s="25"/>
      <c r="E478" s="7"/>
      <c r="F478" s="26"/>
      <c r="G478" s="7"/>
      <c r="H478" s="7"/>
    </row>
    <row r="479" spans="2:8">
      <c r="B479" s="9"/>
      <c r="C479" s="24"/>
      <c r="D479" s="25"/>
      <c r="E479" s="7"/>
      <c r="F479" s="26"/>
      <c r="G479" s="7"/>
      <c r="H479" s="7"/>
    </row>
    <row r="480" spans="2:8">
      <c r="B480" s="9"/>
      <c r="C480" s="24"/>
      <c r="D480" s="25"/>
      <c r="E480" s="7"/>
      <c r="F480" s="26"/>
      <c r="G480" s="7"/>
      <c r="H480" s="7"/>
    </row>
    <row r="481" spans="2:8">
      <c r="B481" s="9"/>
      <c r="C481" s="24"/>
      <c r="D481" s="25"/>
      <c r="E481" s="7"/>
      <c r="F481" s="26"/>
      <c r="G481" s="7"/>
      <c r="H481" s="7"/>
    </row>
    <row r="482" spans="2:8">
      <c r="B482" s="9"/>
      <c r="C482" s="24"/>
      <c r="D482" s="25"/>
      <c r="E482" s="7"/>
      <c r="F482" s="26"/>
      <c r="G482" s="7"/>
      <c r="H482" s="7"/>
    </row>
    <row r="483" spans="2:8">
      <c r="B483" s="9"/>
      <c r="C483" s="24"/>
      <c r="D483" s="25"/>
      <c r="E483" s="7"/>
      <c r="F483" s="26"/>
      <c r="G483" s="7"/>
      <c r="H483" s="7"/>
    </row>
    <row r="484" spans="2:8">
      <c r="B484" s="9"/>
      <c r="C484" s="24"/>
      <c r="D484" s="25"/>
      <c r="E484" s="7"/>
      <c r="F484" s="26"/>
      <c r="G484" s="7"/>
      <c r="H484" s="7"/>
    </row>
    <row r="485" spans="2:8">
      <c r="B485" s="9"/>
      <c r="C485" s="24"/>
      <c r="D485" s="25"/>
      <c r="E485" s="7"/>
      <c r="F485" s="26"/>
      <c r="G485" s="7"/>
      <c r="H485" s="7"/>
    </row>
    <row r="486" spans="2:8">
      <c r="B486" s="9"/>
      <c r="C486" s="24"/>
      <c r="D486" s="25"/>
      <c r="E486" s="7"/>
      <c r="F486" s="26"/>
      <c r="G486" s="7"/>
      <c r="H486" s="7"/>
    </row>
    <row r="487" spans="2:8">
      <c r="B487" s="9"/>
      <c r="C487" s="24"/>
      <c r="D487" s="25"/>
      <c r="E487" s="7"/>
      <c r="F487" s="26"/>
      <c r="G487" s="7"/>
      <c r="H487" s="7"/>
    </row>
    <row r="488" spans="2:8">
      <c r="B488" s="9"/>
      <c r="C488" s="24"/>
      <c r="D488" s="25"/>
      <c r="E488" s="7"/>
      <c r="F488" s="26"/>
      <c r="G488" s="7"/>
      <c r="H488" s="7"/>
    </row>
    <row r="489" spans="2:8">
      <c r="B489" s="9"/>
      <c r="C489" s="24"/>
      <c r="D489" s="25"/>
      <c r="E489" s="7"/>
      <c r="F489" s="26"/>
      <c r="G489" s="7"/>
      <c r="H489" s="7"/>
    </row>
    <row r="490" spans="2:8">
      <c r="B490" s="9"/>
      <c r="C490" s="24"/>
      <c r="D490" s="25"/>
      <c r="E490" s="7"/>
      <c r="F490" s="26"/>
      <c r="G490" s="7"/>
      <c r="H490" s="7"/>
    </row>
    <row r="491" spans="2:8">
      <c r="B491" s="9"/>
      <c r="C491" s="24"/>
      <c r="D491" s="25"/>
      <c r="E491" s="7"/>
      <c r="F491" s="26"/>
      <c r="G491" s="7"/>
      <c r="H491" s="7"/>
    </row>
    <row r="492" spans="2:8">
      <c r="B492" s="9"/>
      <c r="C492" s="24"/>
      <c r="D492" s="25"/>
      <c r="E492" s="7"/>
      <c r="F492" s="26"/>
      <c r="G492" s="7"/>
      <c r="H492" s="7"/>
    </row>
    <row r="493" spans="2:8">
      <c r="B493" s="9"/>
      <c r="C493" s="24"/>
      <c r="D493" s="25"/>
      <c r="E493" s="7"/>
      <c r="F493" s="26"/>
      <c r="G493" s="7"/>
      <c r="H493" s="7"/>
    </row>
    <row r="494" spans="2:8">
      <c r="B494" s="9"/>
      <c r="C494" s="24"/>
      <c r="D494" s="25"/>
      <c r="E494" s="7"/>
      <c r="F494" s="26"/>
      <c r="G494" s="7"/>
      <c r="H494" s="7"/>
    </row>
    <row r="495" spans="2:8">
      <c r="B495" s="9"/>
      <c r="C495" s="24"/>
      <c r="D495" s="25"/>
      <c r="E495" s="7"/>
      <c r="F495" s="26"/>
      <c r="G495" s="7"/>
      <c r="H495" s="7"/>
    </row>
    <row r="496" spans="2:8">
      <c r="B496" s="9"/>
      <c r="C496" s="24"/>
      <c r="D496" s="25"/>
      <c r="E496" s="7"/>
      <c r="F496" s="26"/>
      <c r="G496" s="7"/>
      <c r="H496" s="7"/>
    </row>
    <row r="497" spans="2:8">
      <c r="B497" s="9"/>
      <c r="C497" s="24"/>
      <c r="D497" s="25"/>
      <c r="E497" s="7"/>
      <c r="F497" s="26"/>
      <c r="G497" s="7"/>
      <c r="H497" s="7"/>
    </row>
    <row r="498" spans="2:8">
      <c r="B498" s="9"/>
      <c r="C498" s="24"/>
      <c r="D498" s="25"/>
      <c r="E498" s="7"/>
      <c r="F498" s="26"/>
      <c r="G498" s="7"/>
      <c r="H498" s="7"/>
    </row>
    <row r="499" spans="2:8">
      <c r="B499" s="9"/>
      <c r="C499" s="24"/>
      <c r="D499" s="25"/>
      <c r="E499" s="7"/>
      <c r="F499" s="26"/>
      <c r="G499" s="7"/>
      <c r="H499" s="7"/>
    </row>
    <row r="500" spans="2:8">
      <c r="B500" s="9"/>
      <c r="C500" s="24"/>
      <c r="D500" s="25"/>
      <c r="E500" s="7"/>
      <c r="F500" s="26"/>
      <c r="G500" s="7"/>
      <c r="H500" s="7"/>
    </row>
    <row r="501" spans="2:8">
      <c r="B501" s="9"/>
      <c r="C501" s="24"/>
      <c r="D501" s="25"/>
      <c r="E501" s="7"/>
      <c r="F501" s="26"/>
      <c r="G501" s="7"/>
      <c r="H501" s="7"/>
    </row>
    <row r="502" spans="2:8">
      <c r="B502" s="9"/>
      <c r="C502" s="24"/>
      <c r="D502" s="25"/>
      <c r="E502" s="7"/>
      <c r="F502" s="26"/>
      <c r="G502" s="7"/>
      <c r="H502" s="7"/>
    </row>
    <row r="503" spans="2:8">
      <c r="B503" s="9"/>
      <c r="C503" s="24"/>
      <c r="D503" s="25"/>
      <c r="E503" s="7"/>
      <c r="F503" s="26"/>
      <c r="G503" s="7"/>
      <c r="H503" s="7"/>
    </row>
    <row r="504" spans="2:8">
      <c r="B504" s="9"/>
      <c r="C504" s="24"/>
      <c r="D504" s="25"/>
      <c r="E504" s="7"/>
      <c r="F504" s="26"/>
      <c r="G504" s="7"/>
      <c r="H504" s="7"/>
    </row>
    <row r="505" spans="2:8">
      <c r="B505" s="9"/>
      <c r="C505" s="24"/>
      <c r="D505" s="25"/>
      <c r="E505" s="7"/>
      <c r="F505" s="26"/>
      <c r="G505" s="7"/>
      <c r="H505" s="7"/>
    </row>
    <row r="506" spans="2:8">
      <c r="B506" s="9"/>
      <c r="C506" s="24"/>
      <c r="D506" s="25"/>
      <c r="E506" s="7"/>
      <c r="F506" s="26"/>
      <c r="G506" s="7"/>
      <c r="H506" s="7"/>
    </row>
    <row r="507" spans="2:8">
      <c r="B507" s="9"/>
      <c r="C507" s="24"/>
      <c r="D507" s="25"/>
      <c r="E507" s="7"/>
      <c r="F507" s="26"/>
      <c r="G507" s="7"/>
      <c r="H507" s="7"/>
    </row>
    <row r="508" spans="2:8">
      <c r="B508" s="9"/>
      <c r="C508" s="24"/>
      <c r="D508" s="25"/>
      <c r="E508" s="7"/>
      <c r="F508" s="26"/>
      <c r="G508" s="7"/>
      <c r="H508" s="7"/>
    </row>
    <row r="509" spans="2:8">
      <c r="B509" s="9"/>
      <c r="C509" s="24"/>
      <c r="D509" s="25"/>
      <c r="E509" s="7"/>
      <c r="F509" s="26"/>
      <c r="G509" s="7"/>
      <c r="H509" s="7"/>
    </row>
    <row r="510" spans="2:8">
      <c r="B510" s="9"/>
      <c r="C510" s="24"/>
      <c r="D510" s="25"/>
      <c r="E510" s="7"/>
      <c r="F510" s="26"/>
      <c r="G510" s="7"/>
      <c r="H510" s="7"/>
    </row>
    <row r="511" spans="2:8">
      <c r="B511" s="9"/>
      <c r="C511" s="24"/>
      <c r="D511" s="25"/>
      <c r="E511" s="7"/>
      <c r="F511" s="26"/>
      <c r="G511" s="7"/>
      <c r="H511" s="7"/>
    </row>
    <row r="512" spans="2:8">
      <c r="B512" s="9"/>
      <c r="C512" s="24"/>
      <c r="D512" s="25"/>
      <c r="E512" s="7"/>
      <c r="F512" s="26"/>
      <c r="G512" s="7"/>
      <c r="H512" s="7"/>
    </row>
    <row r="513" spans="2:8">
      <c r="B513" s="9"/>
      <c r="C513" s="24"/>
      <c r="D513" s="25"/>
      <c r="E513" s="7"/>
      <c r="F513" s="26"/>
      <c r="G513" s="7"/>
      <c r="H513" s="7"/>
    </row>
    <row r="514" spans="2:8">
      <c r="B514" s="9"/>
      <c r="C514" s="24"/>
      <c r="D514" s="25"/>
      <c r="E514" s="7"/>
      <c r="F514" s="26"/>
      <c r="G514" s="7"/>
      <c r="H514" s="7"/>
    </row>
    <row r="515" spans="2:8">
      <c r="B515" s="9"/>
      <c r="C515" s="24"/>
      <c r="D515" s="25"/>
      <c r="E515" s="7"/>
      <c r="F515" s="26"/>
      <c r="G515" s="7"/>
      <c r="H515" s="7"/>
    </row>
    <row r="516" spans="2:8">
      <c r="B516" s="9"/>
      <c r="C516" s="24"/>
      <c r="D516" s="25"/>
      <c r="E516" s="7"/>
      <c r="F516" s="26"/>
      <c r="G516" s="7"/>
      <c r="H516" s="7"/>
    </row>
    <row r="517" spans="2:8">
      <c r="B517" s="9"/>
      <c r="C517" s="24"/>
      <c r="D517" s="25"/>
      <c r="E517" s="7"/>
      <c r="F517" s="26"/>
      <c r="G517" s="7"/>
      <c r="H517" s="7"/>
    </row>
    <row r="518" spans="2:8">
      <c r="B518" s="9"/>
      <c r="C518" s="24"/>
      <c r="D518" s="25"/>
      <c r="E518" s="7"/>
      <c r="F518" s="26"/>
      <c r="G518" s="7"/>
      <c r="H518" s="7"/>
    </row>
    <row r="519" spans="2:8">
      <c r="B519" s="9"/>
      <c r="C519" s="24"/>
      <c r="D519" s="25"/>
      <c r="E519" s="7"/>
      <c r="F519" s="26"/>
      <c r="G519" s="7"/>
      <c r="H519" s="7"/>
    </row>
    <row r="520" spans="2:8">
      <c r="B520" s="9"/>
      <c r="C520" s="24"/>
      <c r="D520" s="25"/>
      <c r="E520" s="7"/>
      <c r="F520" s="26"/>
      <c r="G520" s="7"/>
      <c r="H520" s="7"/>
    </row>
    <row r="521" spans="2:8">
      <c r="B521" s="9"/>
      <c r="C521" s="24"/>
      <c r="D521" s="25"/>
      <c r="E521" s="7"/>
      <c r="F521" s="26"/>
      <c r="G521" s="7"/>
      <c r="H521" s="7"/>
    </row>
    <row r="522" spans="2:8">
      <c r="B522" s="9"/>
      <c r="C522" s="24"/>
      <c r="D522" s="25"/>
      <c r="E522" s="7"/>
      <c r="F522" s="26"/>
      <c r="G522" s="7"/>
      <c r="H522" s="7"/>
    </row>
    <row r="523" spans="2:8">
      <c r="B523" s="9"/>
      <c r="C523" s="24"/>
      <c r="D523" s="25"/>
      <c r="E523" s="7"/>
      <c r="F523" s="26"/>
      <c r="G523" s="7"/>
      <c r="H523" s="7"/>
    </row>
    <row r="524" spans="2:8">
      <c r="B524" s="9"/>
      <c r="C524" s="24"/>
      <c r="D524" s="25"/>
      <c r="E524" s="7"/>
      <c r="F524" s="26"/>
      <c r="G524" s="7"/>
      <c r="H524" s="7"/>
    </row>
    <row r="525" spans="2:8">
      <c r="B525" s="9"/>
      <c r="C525" s="24"/>
      <c r="D525" s="25"/>
      <c r="E525" s="7"/>
      <c r="F525" s="26"/>
      <c r="G525" s="7"/>
      <c r="H525" s="7"/>
    </row>
    <row r="526" spans="2:8">
      <c r="B526" s="9"/>
      <c r="C526" s="24"/>
      <c r="D526" s="25"/>
      <c r="E526" s="7"/>
      <c r="F526" s="26"/>
      <c r="G526" s="7"/>
      <c r="H526" s="7"/>
    </row>
    <row r="527" spans="2:8">
      <c r="B527" s="9"/>
      <c r="C527" s="24"/>
      <c r="D527" s="25"/>
      <c r="E527" s="7"/>
      <c r="F527" s="26"/>
      <c r="G527" s="7"/>
      <c r="H527" s="7"/>
    </row>
    <row r="528" spans="2:8">
      <c r="B528" s="9"/>
      <c r="C528" s="24"/>
      <c r="D528" s="25"/>
      <c r="E528" s="7"/>
      <c r="F528" s="26"/>
      <c r="G528" s="7"/>
      <c r="H528" s="7"/>
    </row>
    <row r="529" spans="2:8">
      <c r="B529" s="9"/>
      <c r="C529" s="24"/>
      <c r="D529" s="25"/>
      <c r="E529" s="7"/>
      <c r="F529" s="26"/>
      <c r="G529" s="7"/>
      <c r="H529" s="7"/>
    </row>
    <row r="530" spans="2:8">
      <c r="B530" s="9"/>
      <c r="C530" s="24"/>
      <c r="D530" s="25"/>
      <c r="E530" s="7"/>
      <c r="F530" s="26"/>
      <c r="G530" s="7"/>
      <c r="H530" s="7"/>
    </row>
    <row r="531" spans="2:8">
      <c r="B531" s="9"/>
      <c r="C531" s="24"/>
      <c r="D531" s="25"/>
      <c r="E531" s="7"/>
      <c r="F531" s="26"/>
      <c r="G531" s="7"/>
      <c r="H531" s="7"/>
    </row>
    <row r="532" spans="2:8">
      <c r="B532" s="9"/>
      <c r="C532" s="24"/>
      <c r="D532" s="25"/>
      <c r="E532" s="7"/>
      <c r="F532" s="26"/>
      <c r="G532" s="7"/>
      <c r="H532" s="7"/>
    </row>
    <row r="533" spans="2:8">
      <c r="B533" s="9"/>
      <c r="C533" s="24"/>
      <c r="D533" s="25"/>
      <c r="E533" s="7"/>
      <c r="F533" s="26"/>
      <c r="G533" s="7"/>
      <c r="H533" s="7"/>
    </row>
    <row r="534" spans="2:8">
      <c r="B534" s="9"/>
      <c r="C534" s="24"/>
      <c r="D534" s="25"/>
      <c r="E534" s="7"/>
      <c r="F534" s="26"/>
      <c r="G534" s="7"/>
      <c r="H534" s="7"/>
    </row>
    <row r="535" spans="2:8">
      <c r="B535" s="9"/>
      <c r="C535" s="24"/>
      <c r="D535" s="25"/>
      <c r="E535" s="7"/>
      <c r="F535" s="26"/>
      <c r="G535" s="7"/>
      <c r="H535" s="7"/>
    </row>
    <row r="536" spans="2:8">
      <c r="B536" s="9"/>
      <c r="C536" s="24"/>
      <c r="D536" s="25"/>
      <c r="E536" s="7"/>
      <c r="F536" s="26"/>
      <c r="G536" s="7"/>
      <c r="H536" s="7"/>
    </row>
    <row r="537" spans="2:8">
      <c r="B537" s="9"/>
      <c r="C537" s="24"/>
      <c r="D537" s="25"/>
      <c r="E537" s="7"/>
      <c r="F537" s="26"/>
      <c r="G537" s="7"/>
      <c r="H537" s="7"/>
    </row>
    <row r="538" spans="2:8">
      <c r="B538" s="9"/>
      <c r="C538" s="24"/>
      <c r="D538" s="25"/>
      <c r="E538" s="7"/>
      <c r="F538" s="26"/>
      <c r="G538" s="7"/>
      <c r="H538" s="7"/>
    </row>
    <row r="539" spans="2:8">
      <c r="B539" s="9"/>
      <c r="C539" s="24"/>
      <c r="D539" s="25"/>
      <c r="E539" s="7"/>
      <c r="F539" s="26"/>
      <c r="G539" s="7"/>
      <c r="H539" s="7"/>
    </row>
    <row r="540" spans="2:8">
      <c r="B540" s="9"/>
      <c r="C540" s="24"/>
      <c r="D540" s="25"/>
      <c r="E540" s="7"/>
      <c r="F540" s="26"/>
      <c r="G540" s="7"/>
      <c r="H540" s="7"/>
    </row>
    <row r="541" spans="2:8">
      <c r="B541" s="9"/>
      <c r="C541" s="24"/>
      <c r="D541" s="25"/>
      <c r="E541" s="7"/>
      <c r="F541" s="26"/>
      <c r="G541" s="7"/>
      <c r="H541" s="7"/>
    </row>
    <row r="542" spans="2:8">
      <c r="B542" s="9"/>
      <c r="C542" s="24"/>
      <c r="D542" s="25"/>
      <c r="E542" s="7"/>
      <c r="F542" s="26"/>
      <c r="G542" s="7"/>
      <c r="H542" s="7"/>
    </row>
    <row r="543" spans="2:8">
      <c r="B543" s="9"/>
      <c r="C543" s="24"/>
      <c r="D543" s="25"/>
      <c r="E543" s="7"/>
      <c r="F543" s="26"/>
      <c r="G543" s="7"/>
      <c r="H543" s="7"/>
    </row>
    <row r="544" spans="2:8">
      <c r="B544" s="9"/>
      <c r="C544" s="24"/>
      <c r="D544" s="25"/>
      <c r="E544" s="7"/>
      <c r="F544" s="26"/>
      <c r="G544" s="7"/>
      <c r="H544" s="7"/>
    </row>
    <row r="545" spans="2:8">
      <c r="B545" s="9"/>
      <c r="C545" s="24"/>
      <c r="D545" s="25"/>
      <c r="E545" s="7"/>
      <c r="F545" s="26"/>
      <c r="G545" s="7"/>
      <c r="H545" s="7"/>
    </row>
    <row r="546" spans="2:8">
      <c r="B546" s="9"/>
      <c r="C546" s="24"/>
      <c r="D546" s="25"/>
      <c r="E546" s="7"/>
      <c r="F546" s="26"/>
      <c r="G546" s="7"/>
      <c r="H546" s="7"/>
    </row>
    <row r="547" spans="2:8">
      <c r="B547" s="9"/>
      <c r="C547" s="24"/>
      <c r="D547" s="25"/>
      <c r="E547" s="7"/>
      <c r="F547" s="26"/>
      <c r="G547" s="7"/>
      <c r="H547" s="7"/>
    </row>
    <row r="548" spans="2:8">
      <c r="B548" s="9"/>
      <c r="C548" s="24"/>
      <c r="D548" s="25"/>
      <c r="E548" s="7"/>
      <c r="F548" s="26"/>
      <c r="G548" s="7"/>
      <c r="H548" s="7"/>
    </row>
    <row r="549" spans="2:8">
      <c r="B549" s="9"/>
      <c r="C549" s="24"/>
      <c r="D549" s="25"/>
      <c r="E549" s="7"/>
      <c r="F549" s="26"/>
      <c r="G549" s="7"/>
      <c r="H549" s="7"/>
    </row>
    <row r="550" spans="2:8">
      <c r="B550" s="9"/>
      <c r="C550" s="24"/>
      <c r="D550" s="25"/>
      <c r="E550" s="7"/>
      <c r="F550" s="26"/>
      <c r="G550" s="7"/>
      <c r="H550" s="7"/>
    </row>
    <row r="551" spans="2:8">
      <c r="B551" s="9"/>
      <c r="C551" s="24"/>
      <c r="D551" s="25"/>
      <c r="E551" s="7"/>
      <c r="F551" s="26"/>
      <c r="G551" s="7"/>
      <c r="H551" s="7"/>
    </row>
    <row r="552" spans="2:8">
      <c r="B552" s="9"/>
      <c r="C552" s="24"/>
      <c r="D552" s="25"/>
      <c r="E552" s="7"/>
      <c r="F552" s="26"/>
      <c r="G552" s="7"/>
      <c r="H552" s="7"/>
    </row>
    <row r="553" spans="2:8">
      <c r="B553" s="9"/>
      <c r="C553" s="24"/>
      <c r="D553" s="25"/>
      <c r="E553" s="7"/>
      <c r="F553" s="26"/>
      <c r="G553" s="7"/>
      <c r="H553" s="7"/>
    </row>
    <row r="554" spans="2:8">
      <c r="B554" s="9"/>
      <c r="C554" s="24"/>
      <c r="D554" s="25"/>
      <c r="E554" s="7"/>
      <c r="F554" s="26"/>
      <c r="G554" s="7"/>
      <c r="H554" s="7"/>
    </row>
    <row r="555" spans="2:8">
      <c r="B555" s="9"/>
      <c r="C555" s="24"/>
      <c r="D555" s="25"/>
      <c r="E555" s="7"/>
      <c r="F555" s="26"/>
      <c r="G555" s="7"/>
      <c r="H555" s="7"/>
    </row>
    <row r="556" spans="2:8">
      <c r="B556" s="9"/>
      <c r="C556" s="24"/>
      <c r="D556" s="25"/>
      <c r="E556" s="7"/>
      <c r="F556" s="26"/>
      <c r="G556" s="7"/>
      <c r="H556" s="7"/>
    </row>
    <row r="557" spans="2:8">
      <c r="B557" s="9"/>
      <c r="C557" s="24"/>
      <c r="D557" s="25"/>
      <c r="E557" s="7"/>
      <c r="F557" s="26"/>
      <c r="G557" s="7"/>
      <c r="H557" s="7"/>
    </row>
    <row r="558" spans="2:8">
      <c r="B558" s="9"/>
      <c r="C558" s="24"/>
      <c r="D558" s="25"/>
      <c r="E558" s="7"/>
      <c r="F558" s="26"/>
      <c r="G558" s="7"/>
      <c r="H558" s="7"/>
    </row>
    <row r="559" spans="2:8">
      <c r="B559" s="9"/>
      <c r="C559" s="24"/>
      <c r="D559" s="25"/>
      <c r="E559" s="7"/>
      <c r="F559" s="26"/>
      <c r="G559" s="7"/>
      <c r="H559" s="7"/>
    </row>
    <row r="560" spans="2:8">
      <c r="B560" s="9"/>
      <c r="C560" s="24"/>
      <c r="D560" s="25"/>
      <c r="E560" s="7"/>
      <c r="F560" s="26"/>
      <c r="G560" s="7"/>
      <c r="H560" s="7"/>
    </row>
    <row r="561" spans="2:8">
      <c r="B561" s="9"/>
      <c r="C561" s="24"/>
      <c r="D561" s="25"/>
      <c r="E561" s="7"/>
      <c r="F561" s="26"/>
      <c r="G561" s="7"/>
      <c r="H561" s="7"/>
    </row>
    <row r="562" spans="2:8">
      <c r="B562" s="9"/>
      <c r="C562" s="24"/>
      <c r="D562" s="25"/>
      <c r="E562" s="7"/>
      <c r="F562" s="26"/>
      <c r="G562" s="7"/>
      <c r="H562" s="7"/>
    </row>
    <row r="563" spans="2:8">
      <c r="B563" s="9"/>
      <c r="C563" s="24"/>
      <c r="D563" s="25"/>
      <c r="E563" s="7"/>
      <c r="F563" s="26"/>
      <c r="G563" s="7"/>
      <c r="H563" s="7"/>
    </row>
    <row r="564" spans="2:8">
      <c r="B564" s="9"/>
      <c r="C564" s="24"/>
      <c r="D564" s="25"/>
      <c r="E564" s="7"/>
      <c r="F564" s="26"/>
      <c r="G564" s="7"/>
      <c r="H564" s="7"/>
    </row>
    <row r="565" spans="2:8">
      <c r="B565" s="9"/>
      <c r="C565" s="24"/>
      <c r="D565" s="25"/>
      <c r="E565" s="7"/>
      <c r="F565" s="26"/>
      <c r="G565" s="7"/>
      <c r="H565" s="7"/>
    </row>
    <row r="566" spans="2:8">
      <c r="B566" s="9"/>
      <c r="C566" s="24"/>
      <c r="D566" s="25"/>
      <c r="E566" s="7"/>
      <c r="F566" s="26"/>
      <c r="G566" s="7"/>
      <c r="H566" s="7"/>
    </row>
    <row r="567" spans="2:8">
      <c r="B567" s="9"/>
      <c r="C567" s="24"/>
      <c r="D567" s="25"/>
      <c r="E567" s="7"/>
      <c r="F567" s="26"/>
      <c r="G567" s="7"/>
      <c r="H567" s="7"/>
    </row>
    <row r="568" spans="2:8">
      <c r="B568" s="9"/>
      <c r="C568" s="24"/>
      <c r="D568" s="25"/>
      <c r="E568" s="7"/>
      <c r="F568" s="26"/>
      <c r="G568" s="7"/>
      <c r="H568" s="7"/>
    </row>
    <row r="569" spans="2:8">
      <c r="B569" s="9"/>
      <c r="C569" s="24"/>
      <c r="D569" s="25"/>
      <c r="E569" s="7"/>
      <c r="F569" s="26"/>
      <c r="G569" s="7"/>
      <c r="H569" s="7"/>
    </row>
    <row r="570" spans="2:8">
      <c r="B570" s="9"/>
      <c r="C570" s="24"/>
      <c r="D570" s="25"/>
      <c r="E570" s="7"/>
      <c r="F570" s="26"/>
      <c r="G570" s="7"/>
      <c r="H570" s="7"/>
    </row>
    <row r="571" spans="2:8">
      <c r="B571" s="9"/>
      <c r="C571" s="24"/>
      <c r="D571" s="25"/>
      <c r="E571" s="7"/>
      <c r="F571" s="26"/>
      <c r="G571" s="7"/>
      <c r="H571" s="7"/>
    </row>
    <row r="572" spans="2:8">
      <c r="B572" s="9"/>
      <c r="C572" s="24"/>
      <c r="D572" s="25"/>
      <c r="E572" s="7"/>
      <c r="F572" s="26"/>
      <c r="G572" s="7"/>
      <c r="H572" s="7"/>
    </row>
    <row r="573" spans="2:8">
      <c r="B573" s="9"/>
      <c r="C573" s="24"/>
      <c r="D573" s="25"/>
      <c r="E573" s="7"/>
      <c r="F573" s="26"/>
      <c r="G573" s="7"/>
      <c r="H573" s="7"/>
    </row>
    <row r="574" spans="2:8">
      <c r="B574" s="9"/>
      <c r="C574" s="24"/>
      <c r="D574" s="25"/>
      <c r="E574" s="7"/>
      <c r="F574" s="26"/>
      <c r="G574" s="7"/>
      <c r="H574" s="7"/>
    </row>
    <row r="575" spans="2:8">
      <c r="B575" s="9"/>
      <c r="C575" s="24"/>
      <c r="D575" s="25"/>
      <c r="E575" s="7"/>
      <c r="F575" s="26"/>
      <c r="G575" s="7"/>
      <c r="H575" s="7"/>
    </row>
    <row r="576" spans="2:8">
      <c r="B576" s="9"/>
      <c r="C576" s="24"/>
      <c r="D576" s="25"/>
      <c r="E576" s="7"/>
      <c r="F576" s="26"/>
      <c r="G576" s="7"/>
      <c r="H576" s="7"/>
    </row>
    <row r="577" spans="2:8">
      <c r="B577" s="9"/>
      <c r="C577" s="24"/>
      <c r="D577" s="25"/>
      <c r="E577" s="7"/>
      <c r="F577" s="26"/>
      <c r="G577" s="7"/>
      <c r="H577" s="7"/>
    </row>
    <row r="578" spans="2:8">
      <c r="B578" s="9"/>
      <c r="C578" s="24"/>
      <c r="D578" s="25"/>
      <c r="E578" s="7"/>
      <c r="F578" s="26"/>
      <c r="G578" s="7"/>
      <c r="H578" s="7"/>
    </row>
    <row r="579" spans="2:8">
      <c r="B579" s="9"/>
      <c r="C579" s="24"/>
      <c r="D579" s="25"/>
      <c r="E579" s="7"/>
      <c r="F579" s="26"/>
      <c r="G579" s="7"/>
      <c r="H579" s="7"/>
    </row>
    <row r="580" spans="2:8">
      <c r="B580" s="9"/>
      <c r="C580" s="24"/>
      <c r="D580" s="25"/>
      <c r="E580" s="7"/>
      <c r="F580" s="26"/>
      <c r="G580" s="7"/>
      <c r="H580" s="7"/>
    </row>
    <row r="581" spans="2:8">
      <c r="B581" s="9"/>
      <c r="C581" s="24"/>
      <c r="D581" s="25"/>
      <c r="E581" s="7"/>
      <c r="F581" s="26"/>
      <c r="G581" s="7"/>
      <c r="H581" s="7"/>
    </row>
    <row r="582" spans="2:8">
      <c r="B582" s="9"/>
      <c r="C582" s="24"/>
      <c r="D582" s="25"/>
      <c r="E582" s="7"/>
      <c r="F582" s="26"/>
      <c r="G582" s="7"/>
      <c r="H582" s="7"/>
    </row>
    <row r="583" spans="2:8">
      <c r="B583" s="9"/>
      <c r="C583" s="24"/>
      <c r="D583" s="25"/>
      <c r="E583" s="7"/>
      <c r="F583" s="26"/>
      <c r="G583" s="7"/>
      <c r="H583" s="7"/>
    </row>
    <row r="584" spans="2:8">
      <c r="B584" s="9"/>
      <c r="C584" s="24"/>
      <c r="D584" s="25"/>
      <c r="E584" s="7"/>
      <c r="F584" s="26"/>
      <c r="G584" s="7"/>
      <c r="H584" s="7"/>
    </row>
    <row r="585" spans="2:8">
      <c r="B585" s="9"/>
      <c r="C585" s="24"/>
      <c r="D585" s="25"/>
      <c r="E585" s="7"/>
      <c r="F585" s="26"/>
      <c r="G585" s="7"/>
      <c r="H585" s="7"/>
    </row>
    <row r="586" spans="2:8">
      <c r="B586" s="9"/>
      <c r="C586" s="24"/>
      <c r="D586" s="25"/>
      <c r="E586" s="7"/>
      <c r="F586" s="26"/>
      <c r="G586" s="7"/>
      <c r="H586" s="7"/>
    </row>
    <row r="587" spans="2:8">
      <c r="B587" s="9"/>
      <c r="C587" s="24"/>
      <c r="D587" s="25"/>
      <c r="E587" s="7"/>
      <c r="F587" s="26"/>
      <c r="G587" s="7"/>
      <c r="H587" s="7"/>
    </row>
    <row r="588" spans="2:8">
      <c r="B588" s="9"/>
      <c r="C588" s="24"/>
      <c r="D588" s="25"/>
      <c r="E588" s="7"/>
      <c r="F588" s="26"/>
      <c r="G588" s="7"/>
      <c r="H588" s="7"/>
    </row>
    <row r="589" spans="2:8">
      <c r="B589" s="9"/>
      <c r="C589" s="24"/>
      <c r="D589" s="25"/>
      <c r="E589" s="7"/>
      <c r="F589" s="26"/>
      <c r="G589" s="7"/>
      <c r="H589" s="7"/>
    </row>
    <row r="590" spans="2:8">
      <c r="B590" s="9"/>
      <c r="C590" s="24"/>
      <c r="D590" s="25"/>
      <c r="E590" s="7"/>
      <c r="F590" s="26"/>
      <c r="G590" s="7"/>
      <c r="H590" s="7"/>
    </row>
    <row r="591" spans="2:8">
      <c r="B591" s="9"/>
      <c r="C591" s="24"/>
      <c r="D591" s="25"/>
      <c r="E591" s="7"/>
      <c r="F591" s="26"/>
      <c r="G591" s="7"/>
      <c r="H591" s="7"/>
    </row>
    <row r="592" spans="2:8">
      <c r="B592" s="9"/>
      <c r="C592" s="24"/>
      <c r="D592" s="25"/>
      <c r="E592" s="7"/>
      <c r="F592" s="26"/>
      <c r="G592" s="7"/>
      <c r="H592" s="7"/>
    </row>
    <row r="593" spans="2:8">
      <c r="B593" s="9"/>
      <c r="C593" s="24"/>
      <c r="D593" s="25"/>
      <c r="E593" s="7"/>
      <c r="F593" s="26"/>
      <c r="G593" s="7"/>
      <c r="H593" s="7"/>
    </row>
    <row r="594" spans="2:8">
      <c r="B594" s="9"/>
      <c r="C594" s="24"/>
      <c r="D594" s="25"/>
      <c r="E594" s="7"/>
      <c r="F594" s="26"/>
      <c r="G594" s="7"/>
      <c r="H594" s="7"/>
    </row>
    <row r="595" spans="2:8">
      <c r="B595" s="9"/>
      <c r="C595" s="24"/>
      <c r="D595" s="25"/>
      <c r="E595" s="7"/>
      <c r="F595" s="26"/>
      <c r="G595" s="7"/>
      <c r="H595" s="7"/>
    </row>
    <row r="596" spans="2:8">
      <c r="B596" s="9"/>
      <c r="C596" s="24"/>
      <c r="D596" s="25"/>
      <c r="E596" s="7"/>
      <c r="F596" s="26"/>
      <c r="G596" s="7"/>
      <c r="H596" s="7"/>
    </row>
    <row r="597" spans="2:8">
      <c r="B597" s="9"/>
      <c r="C597" s="24"/>
      <c r="D597" s="25"/>
      <c r="E597" s="7"/>
      <c r="F597" s="26"/>
      <c r="G597" s="7"/>
      <c r="H597" s="7"/>
    </row>
    <row r="598" spans="2:8">
      <c r="B598" s="9"/>
      <c r="C598" s="24"/>
      <c r="D598" s="25"/>
      <c r="E598" s="7"/>
      <c r="F598" s="26"/>
      <c r="G598" s="7"/>
      <c r="H598" s="7"/>
    </row>
    <row r="599" spans="2:8">
      <c r="B599" s="9"/>
      <c r="C599" s="24"/>
      <c r="D599" s="25"/>
      <c r="E599" s="7"/>
      <c r="F599" s="26"/>
      <c r="G599" s="7"/>
      <c r="H599" s="7"/>
    </row>
    <row r="600" spans="2:8">
      <c r="B600" s="9"/>
      <c r="C600" s="24"/>
      <c r="D600" s="25"/>
      <c r="E600" s="7"/>
      <c r="F600" s="26"/>
      <c r="G600" s="7"/>
      <c r="H600" s="7"/>
    </row>
    <row r="601" spans="2:8">
      <c r="B601" s="9"/>
      <c r="C601" s="24"/>
      <c r="D601" s="25"/>
      <c r="E601" s="7"/>
      <c r="F601" s="26"/>
      <c r="G601" s="7"/>
      <c r="H601" s="7"/>
    </row>
    <row r="602" spans="2:8">
      <c r="B602" s="9"/>
      <c r="C602" s="24"/>
      <c r="D602" s="25"/>
      <c r="E602" s="7"/>
      <c r="F602" s="26"/>
      <c r="G602" s="7"/>
      <c r="H602" s="7"/>
    </row>
    <row r="603" spans="2:8">
      <c r="B603" s="9"/>
      <c r="C603" s="24"/>
      <c r="D603" s="25"/>
      <c r="E603" s="7"/>
      <c r="F603" s="26"/>
      <c r="G603" s="7"/>
      <c r="H603" s="7"/>
    </row>
    <row r="604" spans="2:8">
      <c r="B604" s="9"/>
      <c r="C604" s="24"/>
      <c r="D604" s="25"/>
      <c r="E604" s="7"/>
      <c r="F604" s="26"/>
      <c r="G604" s="7"/>
      <c r="H604" s="7"/>
    </row>
    <row r="605" spans="2:8">
      <c r="B605" s="9"/>
      <c r="C605" s="24"/>
      <c r="D605" s="25"/>
      <c r="E605" s="7"/>
      <c r="F605" s="26"/>
      <c r="G605" s="7"/>
      <c r="H605" s="7"/>
    </row>
    <row r="606" spans="2:8">
      <c r="B606" s="9"/>
      <c r="C606" s="24"/>
      <c r="D606" s="25"/>
      <c r="E606" s="7"/>
      <c r="F606" s="26"/>
      <c r="G606" s="7"/>
      <c r="H606" s="7"/>
    </row>
    <row r="607" spans="2:8">
      <c r="B607" s="9"/>
      <c r="C607" s="24"/>
      <c r="D607" s="25"/>
      <c r="E607" s="7"/>
      <c r="F607" s="26"/>
      <c r="G607" s="7"/>
      <c r="H607" s="7"/>
    </row>
    <row r="608" spans="2:8">
      <c r="B608" s="9"/>
      <c r="C608" s="24"/>
      <c r="D608" s="25"/>
      <c r="E608" s="7"/>
      <c r="F608" s="26"/>
      <c r="G608" s="7"/>
      <c r="H608" s="7"/>
    </row>
    <row r="609" spans="2:8">
      <c r="B609" s="9"/>
      <c r="C609" s="24"/>
      <c r="D609" s="25"/>
      <c r="E609" s="7"/>
      <c r="F609" s="26"/>
      <c r="G609" s="7"/>
      <c r="H609" s="7"/>
    </row>
    <row r="610" spans="2:8">
      <c r="B610" s="9"/>
      <c r="C610" s="24"/>
      <c r="D610" s="25"/>
      <c r="E610" s="7"/>
      <c r="F610" s="26"/>
      <c r="G610" s="7"/>
      <c r="H610" s="7"/>
    </row>
    <row r="611" spans="2:8">
      <c r="B611" s="9"/>
      <c r="C611" s="24"/>
      <c r="D611" s="25"/>
      <c r="E611" s="7"/>
      <c r="F611" s="26"/>
      <c r="G611" s="7"/>
      <c r="H611" s="7"/>
    </row>
    <row r="612" spans="2:8">
      <c r="B612" s="9"/>
      <c r="C612" s="24"/>
      <c r="D612" s="25"/>
      <c r="E612" s="7"/>
      <c r="F612" s="26"/>
      <c r="G612" s="7"/>
      <c r="H612" s="7"/>
    </row>
    <row r="613" spans="2:8">
      <c r="B613" s="9"/>
      <c r="C613" s="24"/>
      <c r="D613" s="25"/>
      <c r="E613" s="7"/>
      <c r="F613" s="26"/>
      <c r="G613" s="7"/>
      <c r="H613" s="7"/>
    </row>
    <row r="614" spans="2:8">
      <c r="B614" s="9"/>
      <c r="C614" s="24"/>
      <c r="D614" s="25"/>
      <c r="E614" s="7"/>
      <c r="F614" s="26"/>
      <c r="G614" s="7"/>
      <c r="H614" s="7"/>
    </row>
    <row r="615" spans="2:8">
      <c r="B615" s="9"/>
      <c r="C615" s="24"/>
      <c r="D615" s="25"/>
      <c r="E615" s="7"/>
      <c r="F615" s="26"/>
      <c r="G615" s="7"/>
      <c r="H615" s="7"/>
    </row>
    <row r="616" spans="2:8">
      <c r="B616" s="9"/>
      <c r="C616" s="24"/>
      <c r="D616" s="25"/>
      <c r="E616" s="7"/>
      <c r="F616" s="26"/>
      <c r="G616" s="7"/>
      <c r="H616" s="7"/>
    </row>
    <row r="617" spans="2:8">
      <c r="B617" s="9"/>
      <c r="C617" s="24"/>
      <c r="D617" s="25"/>
      <c r="E617" s="7"/>
      <c r="F617" s="26"/>
      <c r="G617" s="7"/>
      <c r="H617" s="7"/>
    </row>
    <row r="618" spans="2:8">
      <c r="B618" s="9"/>
      <c r="C618" s="24"/>
      <c r="D618" s="25"/>
      <c r="E618" s="7"/>
      <c r="F618" s="26"/>
      <c r="G618" s="7"/>
      <c r="H618" s="7"/>
    </row>
    <row r="619" spans="2:8">
      <c r="B619" s="9"/>
      <c r="C619" s="24"/>
      <c r="D619" s="25"/>
      <c r="E619" s="7"/>
      <c r="F619" s="26"/>
      <c r="G619" s="7"/>
      <c r="H619" s="7"/>
    </row>
    <row r="620" spans="2:8">
      <c r="B620" s="9"/>
      <c r="C620" s="24"/>
      <c r="D620" s="25"/>
      <c r="E620" s="7"/>
      <c r="F620" s="26"/>
      <c r="G620" s="7"/>
      <c r="H620" s="7"/>
    </row>
    <row r="621" spans="2:8">
      <c r="B621" s="9"/>
      <c r="C621" s="24"/>
      <c r="D621" s="25"/>
      <c r="E621" s="7"/>
      <c r="F621" s="26"/>
      <c r="G621" s="7"/>
      <c r="H621" s="7"/>
    </row>
    <row r="622" spans="2:8">
      <c r="B622" s="9"/>
      <c r="C622" s="24"/>
      <c r="D622" s="25"/>
      <c r="E622" s="7"/>
      <c r="F622" s="26"/>
      <c r="G622" s="7"/>
      <c r="H622" s="7"/>
    </row>
    <row r="623" spans="2:8">
      <c r="B623" s="9"/>
      <c r="C623" s="24"/>
      <c r="D623" s="25"/>
      <c r="E623" s="7"/>
      <c r="F623" s="26"/>
      <c r="G623" s="7"/>
      <c r="H623" s="7"/>
    </row>
    <row r="624" spans="2:8">
      <c r="B624" s="9"/>
      <c r="C624" s="24"/>
      <c r="D624" s="25"/>
      <c r="E624" s="7"/>
      <c r="F624" s="26"/>
      <c r="G624" s="7"/>
      <c r="H624" s="7"/>
    </row>
    <row r="625" spans="2:8">
      <c r="B625" s="9"/>
      <c r="C625" s="24"/>
      <c r="D625" s="25"/>
      <c r="E625" s="7"/>
      <c r="F625" s="26"/>
      <c r="G625" s="7"/>
      <c r="H625" s="7"/>
    </row>
    <row r="626" spans="2:8">
      <c r="B626" s="9"/>
      <c r="C626" s="24"/>
      <c r="D626" s="25"/>
      <c r="E626" s="7"/>
      <c r="F626" s="26"/>
      <c r="G626" s="7"/>
      <c r="H626" s="7"/>
    </row>
    <row r="627" spans="2:8">
      <c r="B627" s="9"/>
      <c r="C627" s="24"/>
      <c r="D627" s="25"/>
      <c r="E627" s="7"/>
      <c r="F627" s="26"/>
      <c r="G627" s="7"/>
      <c r="H627" s="7"/>
    </row>
    <row r="628" spans="2:8">
      <c r="B628" s="9"/>
      <c r="C628" s="24"/>
      <c r="D628" s="25"/>
      <c r="E628" s="7"/>
      <c r="F628" s="26"/>
      <c r="G628" s="7"/>
      <c r="H628" s="7"/>
    </row>
    <row r="629" spans="2:8">
      <c r="B629" s="9"/>
      <c r="C629" s="24"/>
      <c r="D629" s="25"/>
      <c r="E629" s="7"/>
      <c r="F629" s="26"/>
      <c r="G629" s="7"/>
      <c r="H629" s="7"/>
    </row>
    <row r="630" spans="2:8">
      <c r="B630" s="9"/>
      <c r="C630" s="24"/>
      <c r="D630" s="25"/>
      <c r="E630" s="7"/>
      <c r="F630" s="26"/>
      <c r="G630" s="7"/>
      <c r="H630" s="7"/>
    </row>
    <row r="631" spans="2:8">
      <c r="B631" s="9"/>
      <c r="C631" s="24"/>
      <c r="D631" s="25"/>
      <c r="E631" s="7"/>
      <c r="F631" s="26"/>
      <c r="G631" s="7"/>
      <c r="H631" s="7"/>
    </row>
    <row r="632" spans="2:8">
      <c r="B632" s="9"/>
      <c r="C632" s="24"/>
      <c r="D632" s="25"/>
      <c r="E632" s="7"/>
      <c r="F632" s="26"/>
      <c r="G632" s="7"/>
      <c r="H632" s="7"/>
    </row>
    <row r="633" spans="2:8">
      <c r="B633" s="9"/>
      <c r="C633" s="24"/>
      <c r="D633" s="25"/>
      <c r="E633" s="7"/>
      <c r="F633" s="26"/>
      <c r="G633" s="7"/>
      <c r="H633" s="7"/>
    </row>
    <row r="634" spans="2:8">
      <c r="B634" s="9"/>
      <c r="C634" s="24"/>
      <c r="D634" s="25"/>
      <c r="E634" s="7"/>
      <c r="F634" s="26"/>
      <c r="G634" s="7"/>
      <c r="H634" s="7"/>
    </row>
    <row r="635" spans="2:8">
      <c r="B635" s="9"/>
      <c r="C635" s="24"/>
      <c r="D635" s="25"/>
      <c r="E635" s="7"/>
      <c r="F635" s="26"/>
      <c r="G635" s="7"/>
      <c r="H635" s="7"/>
    </row>
    <row r="636" spans="2:8">
      <c r="B636" s="9"/>
      <c r="C636" s="24"/>
      <c r="D636" s="25"/>
      <c r="E636" s="7"/>
      <c r="F636" s="26"/>
      <c r="G636" s="7"/>
      <c r="H636" s="7"/>
    </row>
    <row r="637" spans="2:8">
      <c r="B637" s="9"/>
      <c r="C637" s="24"/>
      <c r="D637" s="25"/>
      <c r="E637" s="7"/>
      <c r="F637" s="26"/>
      <c r="G637" s="7"/>
      <c r="H637" s="7"/>
    </row>
    <row r="638" spans="2:8">
      <c r="B638" s="9"/>
      <c r="C638" s="24"/>
      <c r="D638" s="25"/>
      <c r="E638" s="7"/>
      <c r="F638" s="26"/>
      <c r="G638" s="7"/>
      <c r="H638" s="7"/>
    </row>
    <row r="639" spans="2:8">
      <c r="B639" s="9"/>
      <c r="C639" s="24"/>
      <c r="D639" s="25"/>
      <c r="E639" s="7"/>
      <c r="F639" s="26"/>
      <c r="G639" s="7"/>
      <c r="H639" s="7"/>
    </row>
    <row r="640" spans="2:8">
      <c r="B640" s="9"/>
      <c r="C640" s="24"/>
      <c r="D640" s="25"/>
      <c r="E640" s="7"/>
      <c r="F640" s="26"/>
      <c r="G640" s="7"/>
      <c r="H640" s="7"/>
    </row>
    <row r="641" spans="2:8">
      <c r="B641" s="9"/>
      <c r="C641" s="24"/>
      <c r="D641" s="25"/>
      <c r="E641" s="7"/>
      <c r="F641" s="26"/>
      <c r="G641" s="7"/>
      <c r="H641" s="7"/>
    </row>
    <row r="642" spans="2:8">
      <c r="B642" s="9"/>
      <c r="C642" s="24"/>
      <c r="D642" s="25"/>
      <c r="E642" s="7"/>
      <c r="F642" s="26"/>
      <c r="G642" s="7"/>
      <c r="H642" s="7"/>
    </row>
    <row r="643" spans="2:8">
      <c r="B643" s="9"/>
      <c r="C643" s="24"/>
      <c r="D643" s="25"/>
      <c r="E643" s="7"/>
      <c r="F643" s="26"/>
      <c r="G643" s="7"/>
      <c r="H643" s="7"/>
    </row>
    <row r="644" spans="2:8">
      <c r="B644" s="9"/>
      <c r="C644" s="24"/>
      <c r="D644" s="25"/>
      <c r="E644" s="7"/>
      <c r="F644" s="26"/>
      <c r="G644" s="7"/>
      <c r="H644" s="7"/>
    </row>
    <row r="645" spans="2:8">
      <c r="B645" s="9"/>
      <c r="C645" s="24"/>
      <c r="D645" s="25"/>
      <c r="E645" s="7"/>
      <c r="F645" s="26"/>
      <c r="G645" s="7"/>
      <c r="H645" s="7"/>
    </row>
    <row r="646" spans="2:8">
      <c r="B646" s="9"/>
      <c r="C646" s="24"/>
      <c r="D646" s="25"/>
      <c r="E646" s="7"/>
      <c r="F646" s="26"/>
      <c r="G646" s="7"/>
      <c r="H646" s="7"/>
    </row>
    <row r="647" spans="2:8">
      <c r="B647" s="9"/>
      <c r="C647" s="24"/>
      <c r="D647" s="25"/>
      <c r="E647" s="7"/>
      <c r="F647" s="26"/>
      <c r="G647" s="7"/>
      <c r="H647" s="7"/>
    </row>
    <row r="648" spans="2:8">
      <c r="B648" s="9"/>
      <c r="C648" s="24"/>
      <c r="D648" s="25"/>
      <c r="E648" s="7"/>
      <c r="F648" s="26"/>
      <c r="G648" s="7"/>
      <c r="H648" s="7"/>
    </row>
    <row r="649" spans="2:8">
      <c r="B649" s="9"/>
      <c r="C649" s="24"/>
      <c r="D649" s="25"/>
      <c r="E649" s="7"/>
      <c r="F649" s="26"/>
      <c r="G649" s="7"/>
      <c r="H649" s="7"/>
    </row>
    <row r="650" spans="2:8">
      <c r="B650" s="9"/>
      <c r="C650" s="24"/>
      <c r="D650" s="25"/>
      <c r="E650" s="7"/>
      <c r="F650" s="26"/>
      <c r="G650" s="7"/>
      <c r="H650" s="7"/>
    </row>
    <row r="651" spans="2:8">
      <c r="B651" s="9"/>
      <c r="C651" s="24"/>
      <c r="D651" s="25"/>
      <c r="E651" s="7"/>
      <c r="F651" s="26"/>
      <c r="G651" s="7"/>
      <c r="H651" s="7"/>
    </row>
    <row r="652" spans="2:8">
      <c r="B652" s="9"/>
      <c r="C652" s="24"/>
      <c r="D652" s="25"/>
      <c r="E652" s="7"/>
      <c r="F652" s="26"/>
      <c r="G652" s="7"/>
      <c r="H652" s="7"/>
    </row>
    <row r="653" spans="2:8">
      <c r="B653" s="9"/>
      <c r="C653" s="24"/>
      <c r="D653" s="25"/>
      <c r="E653" s="7"/>
      <c r="F653" s="26"/>
      <c r="G653" s="7"/>
      <c r="H653" s="7"/>
    </row>
    <row r="654" spans="2:8">
      <c r="B654" s="9"/>
      <c r="C654" s="24"/>
      <c r="D654" s="25"/>
      <c r="E654" s="7"/>
      <c r="F654" s="26"/>
      <c r="G654" s="7"/>
      <c r="H654" s="7"/>
    </row>
    <row r="655" spans="2:8">
      <c r="B655" s="9"/>
      <c r="C655" s="24"/>
      <c r="D655" s="25"/>
      <c r="E655" s="7"/>
      <c r="F655" s="26"/>
      <c r="G655" s="7"/>
      <c r="H655" s="7"/>
    </row>
    <row r="656" spans="2:8">
      <c r="B656" s="9"/>
      <c r="C656" s="24"/>
      <c r="D656" s="25"/>
      <c r="E656" s="7"/>
      <c r="F656" s="26"/>
      <c r="G656" s="7"/>
      <c r="H656" s="7"/>
    </row>
    <row r="657" spans="2:8">
      <c r="B657" s="9"/>
      <c r="C657" s="24"/>
      <c r="D657" s="25"/>
      <c r="E657" s="7"/>
      <c r="F657" s="26"/>
      <c r="G657" s="7"/>
      <c r="H657" s="7"/>
    </row>
    <row r="658" spans="2:8">
      <c r="B658" s="9"/>
      <c r="C658" s="24"/>
      <c r="D658" s="25"/>
      <c r="E658" s="7"/>
      <c r="F658" s="26"/>
      <c r="G658" s="7"/>
      <c r="H658" s="7"/>
    </row>
    <row r="659" spans="2:8">
      <c r="B659" s="9"/>
      <c r="C659" s="24"/>
      <c r="D659" s="25"/>
      <c r="E659" s="7"/>
      <c r="F659" s="26"/>
      <c r="G659" s="7"/>
      <c r="H659" s="7"/>
    </row>
    <row r="660" spans="2:8">
      <c r="B660" s="9"/>
      <c r="C660" s="24"/>
      <c r="D660" s="25"/>
      <c r="E660" s="7"/>
      <c r="F660" s="26"/>
      <c r="G660" s="7"/>
      <c r="H660" s="7"/>
    </row>
    <row r="661" spans="2:8">
      <c r="B661" s="9"/>
      <c r="C661" s="24"/>
      <c r="D661" s="25"/>
      <c r="E661" s="7"/>
      <c r="F661" s="26"/>
      <c r="G661" s="7"/>
      <c r="H661" s="7"/>
    </row>
    <row r="662" spans="2:8">
      <c r="B662" s="9"/>
      <c r="C662" s="24"/>
      <c r="D662" s="25"/>
      <c r="E662" s="7"/>
      <c r="F662" s="26"/>
      <c r="G662" s="7"/>
      <c r="H662" s="7"/>
    </row>
    <row r="663" spans="2:8">
      <c r="B663" s="9"/>
      <c r="C663" s="24"/>
      <c r="D663" s="25"/>
      <c r="E663" s="7"/>
      <c r="F663" s="26"/>
      <c r="G663" s="7"/>
      <c r="H663" s="7"/>
    </row>
    <row r="664" spans="2:8">
      <c r="B664" s="9"/>
      <c r="C664" s="24"/>
      <c r="D664" s="25"/>
      <c r="E664" s="7"/>
      <c r="F664" s="26"/>
      <c r="G664" s="7"/>
      <c r="H664" s="7"/>
    </row>
    <row r="665" spans="2:8">
      <c r="B665" s="9"/>
      <c r="C665" s="24"/>
      <c r="D665" s="25"/>
      <c r="E665" s="7"/>
      <c r="F665" s="26"/>
      <c r="G665" s="7"/>
      <c r="H665" s="7"/>
    </row>
    <row r="666" spans="2:8">
      <c r="B666" s="9"/>
      <c r="C666" s="24"/>
      <c r="D666" s="25"/>
      <c r="E666" s="7"/>
      <c r="F666" s="26"/>
      <c r="G666" s="7"/>
      <c r="H666" s="7"/>
    </row>
    <row r="667" spans="2:8">
      <c r="B667" s="9"/>
      <c r="C667" s="24"/>
      <c r="D667" s="25"/>
      <c r="E667" s="7"/>
      <c r="F667" s="26"/>
      <c r="G667" s="7"/>
      <c r="H667" s="7"/>
    </row>
    <row r="668" spans="2:8">
      <c r="B668" s="9"/>
      <c r="C668" s="24"/>
      <c r="D668" s="25"/>
      <c r="E668" s="7"/>
      <c r="F668" s="26"/>
      <c r="G668" s="7"/>
      <c r="H668" s="7"/>
    </row>
    <row r="669" spans="2:8">
      <c r="B669" s="9"/>
      <c r="C669" s="24"/>
      <c r="D669" s="25"/>
      <c r="E669" s="7"/>
      <c r="F669" s="26"/>
      <c r="G669" s="7"/>
      <c r="H669" s="7"/>
    </row>
    <row r="670" spans="2:8">
      <c r="B670" s="9"/>
      <c r="C670" s="24"/>
      <c r="D670" s="25"/>
      <c r="E670" s="7"/>
      <c r="F670" s="26"/>
      <c r="G670" s="7"/>
      <c r="H670" s="7"/>
    </row>
    <row r="671" spans="2:8">
      <c r="B671" s="9"/>
      <c r="C671" s="24"/>
      <c r="D671" s="25"/>
      <c r="E671" s="7"/>
      <c r="F671" s="26"/>
      <c r="G671" s="7"/>
      <c r="H671" s="7"/>
    </row>
    <row r="672" spans="2:8">
      <c r="B672" s="9"/>
      <c r="C672" s="24"/>
      <c r="D672" s="25"/>
      <c r="E672" s="7"/>
      <c r="F672" s="26"/>
      <c r="G672" s="7"/>
      <c r="H672" s="7"/>
    </row>
    <row r="673" spans="2:8">
      <c r="B673" s="9"/>
      <c r="C673" s="24"/>
      <c r="D673" s="25"/>
      <c r="E673" s="7"/>
      <c r="F673" s="26"/>
      <c r="G673" s="7"/>
      <c r="H673" s="7"/>
    </row>
    <row r="674" spans="2:8">
      <c r="B674" s="9"/>
      <c r="C674" s="24"/>
      <c r="D674" s="25"/>
      <c r="E674" s="7"/>
      <c r="F674" s="26"/>
      <c r="G674" s="7"/>
      <c r="H674" s="7"/>
    </row>
    <row r="675" spans="2:8">
      <c r="B675" s="9"/>
      <c r="C675" s="24"/>
      <c r="D675" s="25"/>
      <c r="E675" s="7"/>
      <c r="F675" s="26"/>
      <c r="G675" s="7"/>
      <c r="H675" s="7"/>
    </row>
    <row r="676" spans="2:8">
      <c r="B676" s="9"/>
      <c r="C676" s="24"/>
      <c r="D676" s="25"/>
      <c r="E676" s="7"/>
      <c r="F676" s="26"/>
      <c r="G676" s="7"/>
      <c r="H676" s="7"/>
    </row>
    <row r="677" spans="2:8">
      <c r="B677" s="9"/>
      <c r="C677" s="24"/>
      <c r="D677" s="25"/>
      <c r="E677" s="7"/>
      <c r="F677" s="26"/>
      <c r="G677" s="7"/>
      <c r="H677" s="7"/>
    </row>
    <row r="678" spans="2:8">
      <c r="B678" s="9"/>
      <c r="C678" s="24"/>
      <c r="D678" s="25"/>
      <c r="E678" s="7"/>
      <c r="F678" s="26"/>
      <c r="G678" s="7"/>
      <c r="H678" s="7"/>
    </row>
    <row r="679" spans="2:8">
      <c r="B679" s="9"/>
      <c r="C679" s="24"/>
      <c r="D679" s="25"/>
      <c r="E679" s="7"/>
      <c r="F679" s="26"/>
      <c r="G679" s="7"/>
      <c r="H679" s="7"/>
    </row>
    <row r="680" spans="2:8">
      <c r="B680" s="9"/>
      <c r="C680" s="24"/>
      <c r="D680" s="25"/>
      <c r="E680" s="7"/>
      <c r="F680" s="26"/>
      <c r="G680" s="7"/>
      <c r="H680" s="7"/>
    </row>
    <row r="681" spans="2:8">
      <c r="B681" s="9"/>
      <c r="C681" s="24"/>
      <c r="D681" s="25"/>
      <c r="E681" s="7"/>
      <c r="F681" s="26"/>
      <c r="G681" s="7"/>
      <c r="H681" s="7"/>
    </row>
    <row r="682" spans="2:8">
      <c r="B682" s="9"/>
      <c r="C682" s="24"/>
      <c r="D682" s="25"/>
      <c r="E682" s="7"/>
      <c r="F682" s="26"/>
      <c r="G682" s="7"/>
      <c r="H682" s="7"/>
    </row>
    <row r="683" spans="2:8">
      <c r="B683" s="9"/>
      <c r="C683" s="24"/>
      <c r="D683" s="25"/>
      <c r="E683" s="7"/>
      <c r="F683" s="26"/>
      <c r="G683" s="7"/>
      <c r="H683" s="7"/>
    </row>
    <row r="684" spans="2:8">
      <c r="B684" s="9"/>
      <c r="C684" s="24"/>
      <c r="D684" s="25"/>
      <c r="E684" s="7"/>
      <c r="F684" s="26"/>
      <c r="G684" s="7"/>
      <c r="H684" s="7"/>
    </row>
    <row r="685" spans="2:8">
      <c r="B685" s="9"/>
      <c r="C685" s="24"/>
      <c r="D685" s="25"/>
      <c r="E685" s="7"/>
      <c r="F685" s="26"/>
      <c r="G685" s="7"/>
      <c r="H685" s="7"/>
    </row>
    <row r="686" spans="2:8">
      <c r="B686" s="9"/>
      <c r="C686" s="24"/>
      <c r="D686" s="25"/>
      <c r="E686" s="7"/>
      <c r="F686" s="26"/>
      <c r="G686" s="7"/>
      <c r="H686" s="7"/>
    </row>
    <row r="687" spans="2:8">
      <c r="B687" s="9"/>
      <c r="C687" s="24"/>
      <c r="D687" s="25"/>
      <c r="E687" s="7"/>
      <c r="F687" s="26"/>
      <c r="G687" s="7"/>
      <c r="H687" s="7"/>
    </row>
    <row r="688" spans="2:8">
      <c r="B688" s="9"/>
      <c r="C688" s="24"/>
      <c r="D688" s="25"/>
      <c r="E688" s="7"/>
      <c r="F688" s="26"/>
      <c r="G688" s="7"/>
      <c r="H688" s="7"/>
    </row>
    <row r="689" spans="2:8">
      <c r="B689" s="9"/>
      <c r="C689" s="24"/>
      <c r="D689" s="25"/>
      <c r="E689" s="7"/>
      <c r="F689" s="26"/>
      <c r="G689" s="7"/>
      <c r="H689" s="7"/>
    </row>
    <row r="690" spans="2:8">
      <c r="B690" s="9"/>
      <c r="C690" s="24"/>
      <c r="D690" s="25"/>
      <c r="E690" s="7"/>
      <c r="F690" s="26"/>
      <c r="G690" s="7"/>
      <c r="H690" s="7"/>
    </row>
    <row r="691" spans="2:8">
      <c r="B691" s="9"/>
      <c r="C691" s="24"/>
      <c r="D691" s="25"/>
      <c r="E691" s="7"/>
      <c r="F691" s="26"/>
      <c r="G691" s="7"/>
      <c r="H691" s="7"/>
    </row>
    <row r="692" spans="2:8">
      <c r="B692" s="9"/>
      <c r="C692" s="24"/>
      <c r="D692" s="25"/>
      <c r="E692" s="7"/>
      <c r="F692" s="26"/>
      <c r="G692" s="7"/>
      <c r="H692" s="7"/>
    </row>
    <row r="693" spans="2:8">
      <c r="B693" s="9"/>
      <c r="C693" s="24"/>
      <c r="D693" s="25"/>
      <c r="E693" s="7"/>
      <c r="F693" s="26"/>
      <c r="G693" s="7"/>
      <c r="H693" s="7"/>
    </row>
    <row r="694" spans="2:8">
      <c r="B694" s="9"/>
      <c r="C694" s="24"/>
      <c r="D694" s="25"/>
      <c r="E694" s="7"/>
      <c r="F694" s="26"/>
      <c r="G694" s="7"/>
      <c r="H694" s="7"/>
    </row>
    <row r="695" spans="2:8">
      <c r="B695" s="9"/>
      <c r="C695" s="24"/>
      <c r="D695" s="25"/>
      <c r="E695" s="7"/>
      <c r="F695" s="26"/>
      <c r="G695" s="7"/>
      <c r="H695" s="7"/>
    </row>
    <row r="696" spans="2:8">
      <c r="B696" s="9"/>
      <c r="C696" s="24"/>
      <c r="D696" s="25"/>
      <c r="E696" s="7"/>
      <c r="F696" s="26"/>
      <c r="G696" s="7"/>
      <c r="H696" s="7"/>
    </row>
    <row r="697" spans="2:8">
      <c r="B697" s="9"/>
      <c r="C697" s="24"/>
      <c r="D697" s="25"/>
      <c r="E697" s="7"/>
      <c r="F697" s="26"/>
      <c r="G697" s="7"/>
      <c r="H697" s="7"/>
    </row>
    <row r="698" spans="2:8">
      <c r="B698" s="9"/>
      <c r="C698" s="24"/>
      <c r="D698" s="25"/>
      <c r="E698" s="7"/>
      <c r="F698" s="26"/>
      <c r="G698" s="7"/>
      <c r="H698" s="7"/>
    </row>
    <row r="699" spans="2:8">
      <c r="B699" s="9"/>
      <c r="C699" s="24"/>
      <c r="D699" s="25"/>
      <c r="E699" s="7"/>
      <c r="F699" s="26"/>
      <c r="G699" s="7"/>
      <c r="H699" s="7"/>
    </row>
    <row r="700" spans="2:8">
      <c r="B700" s="9"/>
      <c r="C700" s="24"/>
      <c r="D700" s="25"/>
      <c r="E700" s="7"/>
      <c r="F700" s="26"/>
      <c r="G700" s="7"/>
      <c r="H700" s="7"/>
    </row>
    <row r="701" spans="2:8">
      <c r="B701" s="9"/>
      <c r="C701" s="24"/>
      <c r="D701" s="25"/>
      <c r="E701" s="7"/>
      <c r="F701" s="26"/>
      <c r="G701" s="7"/>
      <c r="H701" s="7"/>
    </row>
    <row r="702" spans="2:8">
      <c r="B702" s="9"/>
      <c r="C702" s="24"/>
      <c r="D702" s="25"/>
      <c r="E702" s="7"/>
      <c r="F702" s="26"/>
      <c r="G702" s="7"/>
      <c r="H702" s="7"/>
    </row>
    <row r="703" spans="2:8">
      <c r="B703" s="9"/>
      <c r="C703" s="24"/>
      <c r="D703" s="25"/>
      <c r="E703" s="7"/>
      <c r="F703" s="26"/>
      <c r="G703" s="7"/>
      <c r="H703" s="7"/>
    </row>
    <row r="704" spans="2:8">
      <c r="B704" s="9"/>
      <c r="C704" s="24"/>
      <c r="D704" s="25"/>
      <c r="E704" s="7"/>
      <c r="F704" s="26"/>
      <c r="G704" s="7"/>
      <c r="H704" s="7"/>
    </row>
    <row r="705" spans="2:8">
      <c r="B705" s="9"/>
      <c r="C705" s="24"/>
      <c r="D705" s="25"/>
      <c r="E705" s="7"/>
      <c r="F705" s="26"/>
      <c r="G705" s="7"/>
      <c r="H705" s="7"/>
    </row>
    <row r="706" spans="2:8">
      <c r="B706" s="9"/>
      <c r="C706" s="24"/>
      <c r="D706" s="25"/>
      <c r="E706" s="7"/>
      <c r="F706" s="26"/>
      <c r="G706" s="7"/>
      <c r="H706" s="7"/>
    </row>
    <row r="707" spans="2:8">
      <c r="B707" s="9"/>
      <c r="C707" s="24"/>
      <c r="D707" s="25"/>
      <c r="E707" s="7"/>
      <c r="F707" s="26"/>
      <c r="G707" s="7"/>
      <c r="H707" s="7"/>
    </row>
    <row r="708" spans="2:8">
      <c r="B708" s="9"/>
      <c r="C708" s="24"/>
      <c r="D708" s="25"/>
      <c r="E708" s="7"/>
      <c r="F708" s="26"/>
      <c r="G708" s="7"/>
      <c r="H708" s="7"/>
    </row>
    <row r="709" spans="2:8">
      <c r="B709" s="9"/>
      <c r="C709" s="24"/>
      <c r="D709" s="25"/>
      <c r="E709" s="7"/>
      <c r="F709" s="26"/>
      <c r="G709" s="7"/>
      <c r="H709" s="7"/>
    </row>
    <row r="710" spans="2:8">
      <c r="B710" s="9"/>
      <c r="C710" s="24"/>
      <c r="D710" s="25"/>
      <c r="E710" s="7"/>
      <c r="F710" s="26"/>
      <c r="G710" s="7"/>
      <c r="H710" s="7"/>
    </row>
    <row r="711" spans="2:8">
      <c r="B711" s="9"/>
      <c r="C711" s="24"/>
      <c r="D711" s="25"/>
      <c r="E711" s="7"/>
      <c r="F711" s="26"/>
      <c r="G711" s="7"/>
      <c r="H711" s="7"/>
    </row>
    <row r="712" spans="2:8">
      <c r="B712" s="9"/>
      <c r="C712" s="24"/>
      <c r="D712" s="25"/>
      <c r="E712" s="7"/>
      <c r="F712" s="26"/>
      <c r="G712" s="7"/>
      <c r="H712" s="7"/>
    </row>
    <row r="713" spans="2:8">
      <c r="B713" s="9"/>
      <c r="C713" s="24"/>
      <c r="D713" s="25"/>
      <c r="E713" s="7"/>
      <c r="F713" s="26"/>
      <c r="G713" s="7"/>
      <c r="H713" s="7"/>
    </row>
    <row r="714" spans="2:8">
      <c r="B714" s="9"/>
      <c r="C714" s="24"/>
      <c r="D714" s="25"/>
      <c r="E714" s="7"/>
      <c r="F714" s="26"/>
      <c r="G714" s="7"/>
      <c r="H714" s="7"/>
    </row>
    <row r="715" spans="2:8">
      <c r="B715" s="9"/>
      <c r="C715" s="24"/>
      <c r="D715" s="25"/>
      <c r="E715" s="7"/>
      <c r="F715" s="26"/>
      <c r="G715" s="7"/>
      <c r="H715" s="7"/>
    </row>
    <row r="716" spans="2:8">
      <c r="B716" s="9"/>
      <c r="C716" s="24"/>
      <c r="D716" s="25"/>
      <c r="E716" s="7"/>
      <c r="F716" s="26"/>
      <c r="G716" s="7"/>
      <c r="H716" s="7"/>
    </row>
    <row r="717" spans="2:8">
      <c r="B717" s="9"/>
      <c r="C717" s="24"/>
      <c r="D717" s="25"/>
      <c r="E717" s="7"/>
      <c r="F717" s="26"/>
      <c r="G717" s="7"/>
      <c r="H717" s="7"/>
    </row>
    <row r="718" spans="2:8">
      <c r="B718" s="9"/>
      <c r="C718" s="24"/>
      <c r="D718" s="25"/>
      <c r="E718" s="7"/>
      <c r="F718" s="26"/>
      <c r="G718" s="7"/>
      <c r="H718" s="7"/>
    </row>
    <row r="719" spans="2:8">
      <c r="B719" s="9"/>
      <c r="C719" s="24"/>
      <c r="D719" s="25"/>
      <c r="E719" s="7"/>
      <c r="F719" s="26"/>
      <c r="G719" s="7"/>
      <c r="H719" s="7"/>
    </row>
    <row r="720" spans="2:8">
      <c r="B720" s="9"/>
      <c r="C720" s="24"/>
      <c r="D720" s="25"/>
      <c r="E720" s="7"/>
      <c r="F720" s="26"/>
      <c r="G720" s="7"/>
      <c r="H720" s="7"/>
    </row>
    <row r="721" spans="2:8">
      <c r="B721" s="9"/>
      <c r="C721" s="24"/>
      <c r="D721" s="25"/>
      <c r="E721" s="7"/>
      <c r="F721" s="26"/>
      <c r="G721" s="7"/>
      <c r="H721" s="7"/>
    </row>
    <row r="722" spans="2:8">
      <c r="B722" s="9"/>
      <c r="C722" s="24"/>
      <c r="D722" s="25"/>
      <c r="E722" s="7"/>
      <c r="F722" s="26"/>
      <c r="G722" s="7"/>
      <c r="H722" s="7"/>
    </row>
    <row r="723" spans="2:8">
      <c r="B723" s="9"/>
      <c r="C723" s="24"/>
      <c r="D723" s="25"/>
      <c r="E723" s="7"/>
      <c r="F723" s="26"/>
      <c r="G723" s="7"/>
      <c r="H723" s="7"/>
    </row>
    <row r="724" spans="2:8">
      <c r="B724" s="9"/>
      <c r="C724" s="24"/>
      <c r="D724" s="25"/>
      <c r="E724" s="7"/>
      <c r="F724" s="26"/>
      <c r="G724" s="7"/>
      <c r="H724" s="7"/>
    </row>
    <row r="725" spans="2:8">
      <c r="B725" s="9"/>
      <c r="C725" s="24"/>
      <c r="D725" s="25"/>
      <c r="E725" s="7"/>
      <c r="F725" s="26"/>
      <c r="G725" s="7"/>
      <c r="H725" s="7"/>
    </row>
    <row r="726" spans="2:8">
      <c r="B726" s="9"/>
      <c r="C726" s="24"/>
      <c r="D726" s="25"/>
      <c r="E726" s="7"/>
      <c r="F726" s="26"/>
      <c r="G726" s="7"/>
      <c r="H726" s="7"/>
    </row>
    <row r="727" spans="2:8">
      <c r="B727" s="9"/>
      <c r="C727" s="24"/>
      <c r="D727" s="25"/>
      <c r="E727" s="7"/>
      <c r="F727" s="26"/>
      <c r="G727" s="7"/>
      <c r="H727" s="7"/>
    </row>
    <row r="728" spans="2:8">
      <c r="B728" s="9"/>
      <c r="C728" s="24"/>
      <c r="D728" s="25"/>
      <c r="E728" s="7"/>
      <c r="F728" s="26"/>
      <c r="G728" s="7"/>
      <c r="H728" s="7"/>
    </row>
    <row r="729" spans="2:8">
      <c r="B729" s="9"/>
      <c r="C729" s="24"/>
      <c r="D729" s="25"/>
      <c r="E729" s="7"/>
      <c r="F729" s="26"/>
      <c r="G729" s="7"/>
      <c r="H729" s="7"/>
    </row>
    <row r="730" spans="2:8">
      <c r="B730" s="9"/>
      <c r="C730" s="24"/>
      <c r="D730" s="25"/>
      <c r="E730" s="7"/>
      <c r="F730" s="26"/>
      <c r="G730" s="7"/>
      <c r="H730" s="7"/>
    </row>
    <row r="731" spans="2:8">
      <c r="B731" s="9"/>
      <c r="C731" s="24"/>
      <c r="D731" s="25"/>
      <c r="E731" s="7"/>
      <c r="F731" s="26"/>
      <c r="G731" s="7"/>
      <c r="H731" s="7"/>
    </row>
    <row r="732" spans="2:8">
      <c r="B732" s="9"/>
      <c r="C732" s="24"/>
      <c r="D732" s="25"/>
      <c r="E732" s="7"/>
      <c r="F732" s="26"/>
      <c r="G732" s="7"/>
      <c r="H732" s="7"/>
    </row>
    <row r="733" spans="2:8">
      <c r="B733" s="9"/>
      <c r="C733" s="24"/>
      <c r="D733" s="25"/>
      <c r="E733" s="7"/>
      <c r="F733" s="26"/>
      <c r="G733" s="7"/>
      <c r="H733" s="7"/>
    </row>
    <row r="734" spans="2:8">
      <c r="B734" s="9"/>
      <c r="C734" s="24"/>
      <c r="D734" s="25"/>
      <c r="E734" s="7"/>
      <c r="F734" s="26"/>
      <c r="G734" s="7"/>
      <c r="H734" s="7"/>
    </row>
    <row r="735" spans="2:8">
      <c r="B735" s="9"/>
      <c r="C735" s="24"/>
      <c r="D735" s="25"/>
      <c r="E735" s="7"/>
      <c r="F735" s="26"/>
      <c r="G735" s="7"/>
      <c r="H735" s="7"/>
    </row>
    <row r="736" spans="2:8">
      <c r="B736" s="9"/>
      <c r="C736" s="24"/>
      <c r="D736" s="25"/>
      <c r="E736" s="7"/>
      <c r="F736" s="26"/>
      <c r="G736" s="7"/>
      <c r="H736" s="7"/>
    </row>
    <row r="737" spans="2:8">
      <c r="B737" s="9"/>
      <c r="C737" s="24"/>
      <c r="D737" s="25"/>
      <c r="E737" s="7"/>
      <c r="F737" s="26"/>
      <c r="G737" s="7"/>
      <c r="H737" s="7"/>
    </row>
    <row r="738" spans="2:8">
      <c r="B738" s="9"/>
      <c r="C738" s="24"/>
      <c r="D738" s="25"/>
      <c r="E738" s="7"/>
      <c r="F738" s="26"/>
      <c r="G738" s="7"/>
      <c r="H738" s="7"/>
    </row>
    <row r="739" spans="2:8">
      <c r="B739" s="9"/>
      <c r="C739" s="24"/>
      <c r="D739" s="25"/>
      <c r="E739" s="7"/>
      <c r="F739" s="26"/>
      <c r="G739" s="7"/>
      <c r="H739" s="7"/>
    </row>
    <row r="740" spans="2:8">
      <c r="B740" s="9"/>
      <c r="C740" s="24"/>
      <c r="D740" s="25"/>
      <c r="E740" s="7"/>
      <c r="F740" s="26"/>
      <c r="G740" s="7"/>
      <c r="H740" s="7"/>
    </row>
    <row r="741" spans="2:8">
      <c r="B741" s="9"/>
      <c r="C741" s="24"/>
      <c r="D741" s="25"/>
      <c r="E741" s="7"/>
      <c r="F741" s="26"/>
      <c r="G741" s="7"/>
      <c r="H741" s="7"/>
    </row>
    <row r="742" spans="2:8">
      <c r="B742" s="9"/>
      <c r="C742" s="24"/>
      <c r="D742" s="25"/>
      <c r="E742" s="7"/>
      <c r="F742" s="26"/>
      <c r="G742" s="7"/>
      <c r="H742" s="7"/>
    </row>
    <row r="743" spans="2:8">
      <c r="B743" s="9"/>
      <c r="C743" s="24"/>
      <c r="D743" s="25"/>
      <c r="E743" s="7"/>
      <c r="F743" s="26"/>
      <c r="G743" s="7"/>
      <c r="H743" s="7"/>
    </row>
    <row r="744" spans="2:8">
      <c r="B744" s="9"/>
      <c r="C744" s="24"/>
      <c r="D744" s="25"/>
      <c r="E744" s="7"/>
      <c r="F744" s="26"/>
      <c r="G744" s="7"/>
      <c r="H744" s="7"/>
    </row>
    <row r="745" spans="2:8">
      <c r="B745" s="9"/>
      <c r="C745" s="24"/>
      <c r="D745" s="25"/>
      <c r="E745" s="7"/>
      <c r="F745" s="26"/>
      <c r="G745" s="7"/>
      <c r="H745" s="7"/>
    </row>
    <row r="746" spans="2:8">
      <c r="B746" s="9"/>
      <c r="C746" s="24"/>
      <c r="D746" s="25"/>
      <c r="E746" s="7"/>
      <c r="F746" s="26"/>
      <c r="G746" s="7"/>
      <c r="H746" s="7"/>
    </row>
    <row r="747" spans="2:8">
      <c r="B747" s="9"/>
      <c r="C747" s="24"/>
      <c r="D747" s="25"/>
      <c r="E747" s="7"/>
      <c r="F747" s="26"/>
      <c r="G747" s="7"/>
      <c r="H747" s="7"/>
    </row>
    <row r="748" spans="2:8">
      <c r="B748" s="9"/>
      <c r="C748" s="24"/>
      <c r="D748" s="25"/>
      <c r="E748" s="7"/>
      <c r="F748" s="26"/>
      <c r="G748" s="7"/>
      <c r="H748" s="7"/>
    </row>
    <row r="749" spans="2:8">
      <c r="B749" s="9"/>
      <c r="C749" s="24"/>
      <c r="D749" s="25"/>
      <c r="E749" s="7"/>
      <c r="F749" s="26"/>
      <c r="G749" s="7"/>
      <c r="H749" s="7"/>
    </row>
    <row r="750" spans="2:8">
      <c r="B750" s="9"/>
      <c r="C750" s="24"/>
      <c r="D750" s="25"/>
      <c r="E750" s="7"/>
      <c r="F750" s="26"/>
      <c r="G750" s="7"/>
      <c r="H750" s="7"/>
    </row>
    <row r="751" spans="2:8">
      <c r="B751" s="9"/>
      <c r="C751" s="24"/>
      <c r="D751" s="25"/>
      <c r="E751" s="7"/>
      <c r="F751" s="26"/>
      <c r="G751" s="7"/>
      <c r="H751" s="7"/>
    </row>
    <row r="752" spans="2:8">
      <c r="B752" s="9"/>
      <c r="C752" s="24"/>
      <c r="D752" s="25"/>
      <c r="E752" s="7"/>
      <c r="F752" s="26"/>
      <c r="G752" s="7"/>
      <c r="H752" s="7"/>
    </row>
    <row r="753" spans="2:8">
      <c r="B753" s="9"/>
      <c r="C753" s="24"/>
      <c r="D753" s="25"/>
      <c r="E753" s="7"/>
      <c r="F753" s="26"/>
      <c r="G753" s="7"/>
      <c r="H753" s="7"/>
    </row>
    <row r="754" spans="2:8">
      <c r="B754" s="9"/>
      <c r="C754" s="24"/>
      <c r="D754" s="25"/>
      <c r="E754" s="7"/>
      <c r="F754" s="26"/>
      <c r="G754" s="7"/>
      <c r="H754" s="7"/>
    </row>
    <row r="755" spans="2:8">
      <c r="B755" s="9"/>
      <c r="C755" s="24"/>
      <c r="D755" s="25"/>
      <c r="E755" s="7"/>
      <c r="F755" s="26"/>
      <c r="G755" s="7"/>
      <c r="H755" s="7"/>
    </row>
    <row r="756" spans="2:8">
      <c r="B756" s="9"/>
      <c r="C756" s="24"/>
      <c r="D756" s="25"/>
      <c r="E756" s="7"/>
      <c r="F756" s="26"/>
      <c r="G756" s="7"/>
      <c r="H756" s="7"/>
    </row>
    <row r="757" spans="2:8">
      <c r="B757" s="9"/>
      <c r="C757" s="24"/>
      <c r="D757" s="25"/>
      <c r="E757" s="7"/>
      <c r="F757" s="26"/>
      <c r="G757" s="7"/>
      <c r="H757" s="7"/>
    </row>
    <row r="758" spans="2:8">
      <c r="B758" s="9"/>
      <c r="C758" s="24"/>
      <c r="D758" s="25"/>
      <c r="E758" s="7"/>
      <c r="F758" s="26"/>
      <c r="G758" s="7"/>
      <c r="H758" s="7"/>
    </row>
    <row r="759" spans="2:8">
      <c r="B759" s="9"/>
      <c r="C759" s="24"/>
      <c r="D759" s="25"/>
      <c r="E759" s="7"/>
      <c r="F759" s="26"/>
      <c r="G759" s="7"/>
      <c r="H759" s="7"/>
    </row>
    <row r="760" spans="2:8">
      <c r="B760" s="9"/>
      <c r="C760" s="24"/>
      <c r="D760" s="25"/>
      <c r="E760" s="7"/>
      <c r="F760" s="26"/>
      <c r="G760" s="7"/>
      <c r="H760" s="7"/>
    </row>
    <row r="761" spans="2:8">
      <c r="B761" s="9"/>
      <c r="C761" s="24"/>
      <c r="D761" s="25"/>
      <c r="E761" s="7"/>
      <c r="F761" s="26"/>
      <c r="G761" s="7"/>
      <c r="H761" s="7"/>
    </row>
    <row r="762" spans="2:8">
      <c r="B762" s="9"/>
      <c r="C762" s="24"/>
      <c r="D762" s="25"/>
      <c r="E762" s="7"/>
      <c r="F762" s="26"/>
      <c r="G762" s="7"/>
      <c r="H762" s="7"/>
    </row>
    <row r="763" spans="2:8">
      <c r="B763" s="9"/>
      <c r="C763" s="24"/>
      <c r="D763" s="25"/>
      <c r="E763" s="7"/>
      <c r="F763" s="26"/>
      <c r="G763" s="7"/>
      <c r="H763" s="7"/>
    </row>
    <row r="764" spans="2:8">
      <c r="B764" s="9"/>
      <c r="C764" s="24"/>
      <c r="D764" s="25"/>
      <c r="E764" s="7"/>
      <c r="F764" s="26"/>
      <c r="G764" s="7"/>
      <c r="H764" s="7"/>
    </row>
    <row r="765" spans="2:8">
      <c r="B765" s="9"/>
      <c r="C765" s="24"/>
      <c r="D765" s="25"/>
      <c r="E765" s="7"/>
      <c r="F765" s="26"/>
      <c r="G765" s="7"/>
      <c r="H765" s="7"/>
    </row>
    <row r="766" spans="2:8">
      <c r="B766" s="9"/>
      <c r="C766" s="24"/>
      <c r="D766" s="25"/>
      <c r="E766" s="7"/>
      <c r="F766" s="26"/>
      <c r="G766" s="7"/>
      <c r="H766" s="7"/>
    </row>
    <row r="767" spans="2:8">
      <c r="B767" s="9"/>
      <c r="C767" s="24"/>
      <c r="D767" s="25"/>
      <c r="E767" s="7"/>
      <c r="F767" s="26"/>
      <c r="G767" s="7"/>
      <c r="H767" s="7"/>
    </row>
    <row r="768" spans="2:8">
      <c r="B768" s="9"/>
      <c r="C768" s="24"/>
      <c r="D768" s="25"/>
      <c r="E768" s="7"/>
      <c r="F768" s="26"/>
      <c r="G768" s="7"/>
      <c r="H768" s="7"/>
    </row>
    <row r="769" spans="2:8">
      <c r="B769" s="9"/>
      <c r="C769" s="24"/>
      <c r="D769" s="25"/>
      <c r="E769" s="7"/>
      <c r="F769" s="26"/>
      <c r="G769" s="7"/>
      <c r="H769" s="7"/>
    </row>
    <row r="770" spans="2:8">
      <c r="B770" s="9"/>
      <c r="C770" s="24"/>
      <c r="D770" s="25"/>
      <c r="E770" s="7"/>
      <c r="F770" s="26"/>
      <c r="G770" s="7"/>
      <c r="H770" s="7"/>
    </row>
    <row r="771" spans="2:8">
      <c r="B771" s="9"/>
      <c r="C771" s="24"/>
      <c r="D771" s="25"/>
      <c r="E771" s="7"/>
      <c r="F771" s="26"/>
      <c r="G771" s="7"/>
      <c r="H771" s="7"/>
    </row>
    <row r="772" spans="2:8">
      <c r="B772" s="9"/>
      <c r="C772" s="24"/>
      <c r="D772" s="25"/>
      <c r="E772" s="7"/>
      <c r="F772" s="26"/>
      <c r="G772" s="7"/>
      <c r="H772" s="7"/>
    </row>
    <row r="773" spans="2:8">
      <c r="B773" s="9"/>
      <c r="C773" s="24"/>
      <c r="D773" s="25"/>
      <c r="E773" s="7"/>
      <c r="F773" s="26"/>
      <c r="G773" s="7"/>
      <c r="H773" s="7"/>
    </row>
    <row r="774" spans="2:8">
      <c r="B774" s="9"/>
      <c r="C774" s="24"/>
      <c r="D774" s="25"/>
      <c r="E774" s="7"/>
      <c r="F774" s="26"/>
      <c r="G774" s="7"/>
      <c r="H774" s="7"/>
    </row>
    <row r="775" spans="2:8">
      <c r="B775" s="9"/>
      <c r="C775" s="24"/>
      <c r="D775" s="25"/>
      <c r="E775" s="7"/>
      <c r="F775" s="26"/>
      <c r="G775" s="7"/>
      <c r="H775" s="7"/>
    </row>
    <row r="776" spans="2:8">
      <c r="B776" s="9"/>
      <c r="C776" s="24"/>
      <c r="D776" s="25"/>
      <c r="E776" s="7"/>
      <c r="F776" s="26"/>
      <c r="G776" s="7"/>
      <c r="H776" s="7"/>
    </row>
    <row r="777" spans="2:8">
      <c r="B777" s="9"/>
      <c r="C777" s="24"/>
      <c r="D777" s="25"/>
      <c r="E777" s="7"/>
      <c r="F777" s="26"/>
      <c r="G777" s="7"/>
      <c r="H777" s="7"/>
    </row>
    <row r="778" spans="2:8">
      <c r="B778" s="9"/>
      <c r="C778" s="24"/>
      <c r="D778" s="25"/>
      <c r="E778" s="7"/>
      <c r="F778" s="26"/>
      <c r="G778" s="7"/>
      <c r="H778" s="7"/>
    </row>
    <row r="779" spans="2:8">
      <c r="B779" s="9"/>
      <c r="C779" s="24"/>
      <c r="D779" s="25"/>
      <c r="E779" s="7"/>
      <c r="F779" s="26"/>
      <c r="G779" s="7"/>
      <c r="H779" s="7"/>
    </row>
    <row r="780" spans="2:8">
      <c r="B780" s="9"/>
      <c r="C780" s="24"/>
      <c r="D780" s="25"/>
      <c r="E780" s="7"/>
      <c r="F780" s="26"/>
      <c r="G780" s="7"/>
      <c r="H780" s="7"/>
    </row>
    <row r="781" spans="2:8">
      <c r="B781" s="9"/>
      <c r="C781" s="24"/>
      <c r="D781" s="25"/>
      <c r="E781" s="7"/>
      <c r="F781" s="26"/>
      <c r="G781" s="7"/>
      <c r="H781" s="7"/>
    </row>
    <row r="782" spans="2:8">
      <c r="B782" s="9"/>
      <c r="C782" s="24"/>
      <c r="D782" s="25"/>
      <c r="E782" s="7"/>
      <c r="F782" s="26"/>
      <c r="G782" s="7"/>
      <c r="H782" s="7"/>
    </row>
    <row r="783" spans="2:8">
      <c r="B783" s="9"/>
      <c r="C783" s="24"/>
      <c r="D783" s="25"/>
      <c r="E783" s="7"/>
      <c r="F783" s="26"/>
      <c r="G783" s="7"/>
      <c r="H783" s="7"/>
    </row>
    <row r="784" spans="2:8">
      <c r="B784" s="9"/>
      <c r="C784" s="24"/>
      <c r="D784" s="25"/>
      <c r="E784" s="7"/>
      <c r="F784" s="26"/>
      <c r="G784" s="7"/>
      <c r="H784" s="7"/>
    </row>
    <row r="785" spans="2:8">
      <c r="B785" s="9"/>
      <c r="C785" s="24"/>
      <c r="D785" s="25"/>
      <c r="E785" s="7"/>
      <c r="F785" s="26"/>
      <c r="G785" s="7"/>
      <c r="H785" s="7"/>
    </row>
    <row r="786" spans="2:8">
      <c r="B786" s="9"/>
      <c r="C786" s="24"/>
      <c r="D786" s="25"/>
      <c r="E786" s="7"/>
      <c r="F786" s="26"/>
      <c r="G786" s="7"/>
      <c r="H786" s="7"/>
    </row>
    <row r="787" spans="2:8">
      <c r="B787" s="9"/>
      <c r="C787" s="24"/>
      <c r="D787" s="25"/>
      <c r="E787" s="7"/>
      <c r="F787" s="26"/>
      <c r="G787" s="7"/>
      <c r="H787" s="7"/>
    </row>
    <row r="788" spans="2:8">
      <c r="B788" s="9"/>
      <c r="C788" s="24"/>
      <c r="D788" s="25"/>
      <c r="E788" s="7"/>
      <c r="F788" s="26"/>
      <c r="G788" s="7"/>
      <c r="H788" s="7"/>
    </row>
    <row r="789" spans="2:8">
      <c r="B789" s="9"/>
      <c r="C789" s="24"/>
      <c r="D789" s="25"/>
      <c r="E789" s="7"/>
      <c r="F789" s="26"/>
      <c r="G789" s="7"/>
      <c r="H789" s="7"/>
    </row>
    <row r="790" spans="2:8">
      <c r="B790" s="9"/>
      <c r="C790" s="24"/>
      <c r="D790" s="25"/>
      <c r="E790" s="7"/>
      <c r="F790" s="26"/>
      <c r="G790" s="7"/>
      <c r="H790" s="7"/>
    </row>
    <row r="791" spans="2:8">
      <c r="B791" s="9"/>
      <c r="C791" s="24"/>
      <c r="D791" s="25"/>
      <c r="E791" s="7"/>
      <c r="F791" s="26"/>
      <c r="G791" s="7"/>
      <c r="H791" s="7"/>
    </row>
    <row r="792" spans="2:8">
      <c r="B792" s="9"/>
      <c r="C792" s="24"/>
      <c r="D792" s="25"/>
      <c r="E792" s="7"/>
      <c r="F792" s="26"/>
      <c r="G792" s="7"/>
      <c r="H792" s="7"/>
    </row>
    <row r="793" spans="2:8">
      <c r="B793" s="9"/>
      <c r="C793" s="24"/>
      <c r="D793" s="25"/>
      <c r="E793" s="7"/>
      <c r="F793" s="26"/>
      <c r="G793" s="7"/>
      <c r="H793" s="7"/>
    </row>
    <row r="794" spans="2:8">
      <c r="B794" s="9"/>
      <c r="C794" s="24"/>
      <c r="D794" s="25"/>
      <c r="E794" s="7"/>
      <c r="F794" s="26"/>
      <c r="G794" s="7"/>
      <c r="H794" s="7"/>
    </row>
    <row r="795" spans="2:8">
      <c r="B795" s="9"/>
      <c r="C795" s="24"/>
      <c r="D795" s="25"/>
      <c r="E795" s="7"/>
      <c r="F795" s="26"/>
      <c r="G795" s="7"/>
      <c r="H795" s="7"/>
    </row>
    <row r="796" spans="2:8">
      <c r="B796" s="9"/>
      <c r="C796" s="24"/>
      <c r="D796" s="25"/>
      <c r="E796" s="7"/>
      <c r="F796" s="26"/>
      <c r="G796" s="7"/>
      <c r="H796" s="7"/>
    </row>
    <row r="797" spans="2:8">
      <c r="B797" s="9"/>
      <c r="C797" s="24"/>
      <c r="D797" s="25"/>
      <c r="E797" s="7"/>
      <c r="F797" s="26"/>
      <c r="G797" s="7"/>
      <c r="H797" s="7"/>
    </row>
    <row r="798" spans="2:8">
      <c r="B798" s="9"/>
      <c r="C798" s="24"/>
      <c r="D798" s="25"/>
      <c r="E798" s="7"/>
      <c r="F798" s="26"/>
      <c r="G798" s="7"/>
      <c r="H798" s="7"/>
    </row>
    <row r="799" spans="2:8">
      <c r="B799" s="9"/>
      <c r="C799" s="24"/>
      <c r="D799" s="25"/>
      <c r="E799" s="7"/>
      <c r="F799" s="26"/>
      <c r="G799" s="7"/>
      <c r="H799" s="7"/>
    </row>
    <row r="800" spans="2:8">
      <c r="B800" s="9"/>
      <c r="C800" s="24"/>
      <c r="D800" s="25"/>
      <c r="E800" s="7"/>
      <c r="F800" s="26"/>
      <c r="G800" s="7"/>
      <c r="H800" s="7"/>
    </row>
    <row r="801" spans="2:8">
      <c r="B801" s="9"/>
      <c r="C801" s="24"/>
      <c r="D801" s="25"/>
      <c r="E801" s="7"/>
      <c r="F801" s="26"/>
      <c r="G801" s="7"/>
      <c r="H801" s="7"/>
    </row>
    <row r="802" spans="2:8">
      <c r="B802" s="9"/>
      <c r="C802" s="24"/>
      <c r="D802" s="25"/>
      <c r="E802" s="7"/>
      <c r="F802" s="26"/>
      <c r="G802" s="7"/>
      <c r="H802" s="7"/>
    </row>
    <row r="803" spans="2:8">
      <c r="B803" s="9"/>
      <c r="C803" s="24"/>
      <c r="D803" s="25"/>
      <c r="E803" s="7"/>
      <c r="F803" s="26"/>
      <c r="G803" s="7"/>
      <c r="H803" s="7"/>
    </row>
    <row r="804" spans="2:8">
      <c r="B804" s="9"/>
      <c r="C804" s="24"/>
      <c r="D804" s="25"/>
      <c r="E804" s="7"/>
      <c r="F804" s="26"/>
      <c r="G804" s="7"/>
      <c r="H804" s="7"/>
    </row>
    <row r="805" spans="2:8">
      <c r="B805" s="9"/>
      <c r="C805" s="24"/>
      <c r="D805" s="25"/>
      <c r="E805" s="7"/>
      <c r="F805" s="26"/>
      <c r="G805" s="7"/>
      <c r="H805" s="7"/>
    </row>
    <row r="806" spans="2:8">
      <c r="B806" s="9"/>
      <c r="C806" s="24"/>
      <c r="D806" s="25"/>
      <c r="E806" s="7"/>
      <c r="F806" s="26"/>
      <c r="G806" s="7"/>
      <c r="H806" s="7"/>
    </row>
    <row r="807" spans="2:8">
      <c r="B807" s="9"/>
      <c r="C807" s="24"/>
      <c r="D807" s="25"/>
      <c r="E807" s="7"/>
      <c r="F807" s="26"/>
      <c r="G807" s="7"/>
      <c r="H807" s="7"/>
    </row>
    <row r="808" spans="2:8">
      <c r="B808" s="9"/>
      <c r="C808" s="24"/>
      <c r="D808" s="25"/>
      <c r="E808" s="7"/>
      <c r="F808" s="26"/>
      <c r="G808" s="7"/>
      <c r="H808" s="7"/>
    </row>
    <row r="809" spans="2:8">
      <c r="B809" s="9"/>
      <c r="C809" s="24"/>
      <c r="D809" s="25"/>
      <c r="E809" s="7"/>
      <c r="F809" s="26"/>
      <c r="G809" s="7"/>
      <c r="H809" s="7"/>
    </row>
    <row r="810" spans="2:8">
      <c r="B810" s="9"/>
      <c r="C810" s="24"/>
      <c r="D810" s="25"/>
      <c r="E810" s="7"/>
      <c r="F810" s="26"/>
      <c r="G810" s="7"/>
      <c r="H810" s="7"/>
    </row>
    <row r="811" spans="2:8">
      <c r="B811" s="9"/>
      <c r="C811" s="24"/>
      <c r="D811" s="25"/>
      <c r="E811" s="7"/>
      <c r="F811" s="26"/>
      <c r="G811" s="7"/>
      <c r="H811" s="7"/>
    </row>
    <row r="812" spans="2:8">
      <c r="B812" s="9"/>
      <c r="C812" s="24"/>
      <c r="D812" s="25"/>
      <c r="E812" s="7"/>
      <c r="F812" s="26"/>
      <c r="G812" s="7"/>
      <c r="H812" s="7"/>
    </row>
    <row r="813" spans="2:8">
      <c r="B813" s="9"/>
      <c r="C813" s="24"/>
      <c r="D813" s="25"/>
      <c r="E813" s="7"/>
      <c r="F813" s="26"/>
      <c r="G813" s="7"/>
      <c r="H813" s="7"/>
    </row>
    <row r="814" spans="2:8">
      <c r="B814" s="9"/>
      <c r="C814" s="24"/>
      <c r="D814" s="25"/>
      <c r="E814" s="7"/>
      <c r="F814" s="26"/>
      <c r="G814" s="7"/>
      <c r="H814" s="7"/>
    </row>
    <row r="815" spans="2:8">
      <c r="B815" s="9"/>
      <c r="C815" s="24"/>
      <c r="D815" s="25"/>
      <c r="E815" s="7"/>
      <c r="F815" s="26"/>
      <c r="G815" s="7"/>
      <c r="H815" s="7"/>
    </row>
    <row r="816" spans="2:8">
      <c r="B816" s="9"/>
      <c r="C816" s="24"/>
      <c r="D816" s="25"/>
      <c r="E816" s="7"/>
      <c r="F816" s="26"/>
      <c r="G816" s="7"/>
      <c r="H816" s="7"/>
    </row>
    <row r="817" spans="2:8">
      <c r="B817" s="9"/>
      <c r="C817" s="24"/>
      <c r="D817" s="25"/>
      <c r="E817" s="7"/>
      <c r="F817" s="26"/>
      <c r="G817" s="7"/>
      <c r="H817" s="7"/>
    </row>
    <row r="818" spans="2:8">
      <c r="B818" s="9"/>
      <c r="C818" s="24"/>
      <c r="D818" s="25"/>
      <c r="E818" s="7"/>
      <c r="F818" s="26"/>
      <c r="G818" s="7"/>
      <c r="H818" s="7"/>
    </row>
    <row r="819" spans="2:8">
      <c r="B819" s="9"/>
      <c r="C819" s="24"/>
      <c r="D819" s="25"/>
      <c r="E819" s="7"/>
      <c r="F819" s="26"/>
      <c r="G819" s="7"/>
      <c r="H819" s="7"/>
    </row>
    <row r="820" spans="2:8">
      <c r="B820" s="9"/>
      <c r="C820" s="24"/>
      <c r="D820" s="25"/>
      <c r="E820" s="7"/>
      <c r="F820" s="26"/>
      <c r="G820" s="7"/>
      <c r="H820" s="7"/>
    </row>
    <row r="821" spans="2:8">
      <c r="B821" s="9"/>
      <c r="C821" s="24"/>
      <c r="D821" s="25"/>
      <c r="E821" s="7"/>
      <c r="F821" s="26"/>
      <c r="G821" s="7"/>
      <c r="H821" s="7"/>
    </row>
    <row r="822" spans="2:8">
      <c r="B822" s="9"/>
      <c r="C822" s="24"/>
      <c r="D822" s="25"/>
      <c r="E822" s="7"/>
      <c r="F822" s="26"/>
      <c r="G822" s="7"/>
      <c r="H822" s="7"/>
    </row>
    <row r="823" spans="2:8">
      <c r="B823" s="9"/>
      <c r="C823" s="24"/>
      <c r="D823" s="25"/>
      <c r="E823" s="7"/>
      <c r="F823" s="26"/>
      <c r="G823" s="7"/>
      <c r="H823" s="7"/>
    </row>
    <row r="824" spans="2:8">
      <c r="B824" s="9"/>
      <c r="C824" s="24"/>
      <c r="D824" s="25"/>
      <c r="E824" s="7"/>
      <c r="F824" s="26"/>
      <c r="G824" s="7"/>
      <c r="H824" s="7"/>
    </row>
    <row r="825" spans="2:8">
      <c r="B825" s="9"/>
      <c r="C825" s="24"/>
      <c r="D825" s="25"/>
      <c r="E825" s="7"/>
      <c r="F825" s="26"/>
      <c r="G825" s="7"/>
      <c r="H825" s="7"/>
    </row>
    <row r="826" spans="2:8">
      <c r="B826" s="9"/>
      <c r="C826" s="24"/>
      <c r="D826" s="25"/>
      <c r="E826" s="7"/>
      <c r="F826" s="26"/>
      <c r="G826" s="7"/>
      <c r="H826" s="7"/>
    </row>
    <row r="827" spans="2:8">
      <c r="B827" s="9"/>
      <c r="C827" s="24"/>
      <c r="D827" s="25"/>
      <c r="E827" s="7"/>
      <c r="F827" s="26"/>
      <c r="G827" s="7"/>
      <c r="H827" s="7"/>
    </row>
    <row r="828" spans="2:8">
      <c r="B828" s="9"/>
      <c r="C828" s="24"/>
      <c r="D828" s="25"/>
      <c r="E828" s="7"/>
      <c r="F828" s="26"/>
      <c r="G828" s="7"/>
      <c r="H828" s="7"/>
    </row>
    <row r="829" spans="2:8">
      <c r="B829" s="9"/>
      <c r="C829" s="24"/>
      <c r="D829" s="25"/>
      <c r="E829" s="7"/>
      <c r="F829" s="26"/>
      <c r="G829" s="7"/>
      <c r="H829" s="7"/>
    </row>
    <row r="830" spans="2:8">
      <c r="B830" s="9"/>
      <c r="C830" s="24"/>
      <c r="D830" s="25"/>
      <c r="E830" s="7"/>
      <c r="F830" s="26"/>
      <c r="G830" s="7"/>
      <c r="H830" s="7"/>
    </row>
    <row r="831" spans="2:8">
      <c r="B831" s="9"/>
      <c r="C831" s="24"/>
      <c r="D831" s="25"/>
      <c r="E831" s="7"/>
      <c r="F831" s="26"/>
      <c r="G831" s="7"/>
      <c r="H831" s="7"/>
    </row>
    <row r="832" spans="2:8">
      <c r="B832" s="9"/>
      <c r="C832" s="24"/>
      <c r="D832" s="25"/>
      <c r="E832" s="7"/>
      <c r="F832" s="26"/>
      <c r="G832" s="7"/>
      <c r="H832" s="7"/>
    </row>
    <row r="833" spans="2:8">
      <c r="B833" s="9"/>
      <c r="C833" s="24"/>
      <c r="D833" s="25"/>
      <c r="E833" s="7"/>
      <c r="F833" s="26"/>
      <c r="G833" s="7"/>
      <c r="H833" s="7"/>
    </row>
    <row r="834" spans="2:8">
      <c r="B834" s="9"/>
      <c r="C834" s="24"/>
      <c r="D834" s="25"/>
      <c r="E834" s="7"/>
      <c r="F834" s="26"/>
      <c r="G834" s="7"/>
      <c r="H834" s="7"/>
    </row>
    <row r="835" spans="2:8">
      <c r="B835" s="9"/>
      <c r="C835" s="24"/>
      <c r="D835" s="25"/>
      <c r="E835" s="7"/>
      <c r="F835" s="26"/>
      <c r="G835" s="7"/>
      <c r="H835" s="7"/>
    </row>
    <row r="836" spans="2:8">
      <c r="B836" s="9"/>
      <c r="C836" s="24"/>
      <c r="D836" s="25"/>
      <c r="E836" s="7"/>
      <c r="F836" s="26"/>
      <c r="G836" s="7"/>
      <c r="H836" s="7"/>
    </row>
    <row r="837" spans="2:8">
      <c r="B837" s="9"/>
      <c r="C837" s="24"/>
      <c r="D837" s="25"/>
      <c r="E837" s="7"/>
      <c r="F837" s="26"/>
      <c r="G837" s="7"/>
      <c r="H837" s="7"/>
    </row>
    <row r="838" spans="2:8">
      <c r="B838" s="9"/>
      <c r="C838" s="24"/>
      <c r="D838" s="25"/>
      <c r="E838" s="7"/>
      <c r="F838" s="26"/>
      <c r="G838" s="7"/>
      <c r="H838" s="7"/>
    </row>
    <row r="839" spans="2:8">
      <c r="B839" s="9"/>
      <c r="C839" s="24"/>
      <c r="D839" s="25"/>
      <c r="E839" s="7"/>
      <c r="F839" s="26"/>
      <c r="G839" s="7"/>
      <c r="H839" s="7"/>
    </row>
    <row r="840" spans="2:8">
      <c r="B840" s="9"/>
      <c r="C840" s="24"/>
      <c r="D840" s="25"/>
      <c r="E840" s="7"/>
      <c r="F840" s="26"/>
      <c r="G840" s="7"/>
      <c r="H840" s="7"/>
    </row>
    <row r="841" spans="2:8">
      <c r="B841" s="9"/>
      <c r="C841" s="24"/>
      <c r="D841" s="25"/>
      <c r="E841" s="7"/>
      <c r="F841" s="26"/>
      <c r="G841" s="7"/>
      <c r="H841" s="7"/>
    </row>
    <row r="842" spans="2:8">
      <c r="B842" s="9"/>
      <c r="C842" s="24"/>
      <c r="D842" s="25"/>
      <c r="E842" s="7"/>
      <c r="F842" s="26"/>
      <c r="G842" s="7"/>
      <c r="H842" s="7"/>
    </row>
    <row r="843" spans="2:8">
      <c r="B843" s="9"/>
      <c r="C843" s="24"/>
      <c r="D843" s="25"/>
      <c r="E843" s="7"/>
      <c r="F843" s="26"/>
      <c r="G843" s="7"/>
      <c r="H843" s="7"/>
    </row>
    <row r="844" spans="2:8">
      <c r="B844" s="9"/>
      <c r="C844" s="24"/>
      <c r="D844" s="25"/>
      <c r="E844" s="7"/>
      <c r="F844" s="26"/>
      <c r="G844" s="7"/>
      <c r="H844" s="7"/>
    </row>
    <row r="845" spans="2:8">
      <c r="B845" s="9"/>
      <c r="C845" s="24"/>
      <c r="D845" s="25"/>
      <c r="E845" s="7"/>
      <c r="F845" s="26"/>
      <c r="G845" s="7"/>
      <c r="H845" s="7"/>
    </row>
    <row r="846" spans="2:8">
      <c r="B846" s="9"/>
      <c r="C846" s="24"/>
      <c r="D846" s="25"/>
      <c r="E846" s="7"/>
      <c r="F846" s="26"/>
      <c r="G846" s="7"/>
      <c r="H846" s="7"/>
    </row>
    <row r="847" spans="2:8">
      <c r="B847" s="9"/>
      <c r="C847" s="24"/>
      <c r="D847" s="25"/>
      <c r="E847" s="7"/>
      <c r="F847" s="26"/>
      <c r="G847" s="7"/>
      <c r="H847" s="7"/>
    </row>
    <row r="848" spans="2:8">
      <c r="B848" s="9"/>
      <c r="C848" s="24"/>
      <c r="D848" s="25"/>
      <c r="E848" s="7"/>
      <c r="F848" s="26"/>
      <c r="G848" s="7"/>
      <c r="H848" s="7"/>
    </row>
    <row r="849" spans="2:8">
      <c r="B849" s="9"/>
      <c r="C849" s="24"/>
      <c r="D849" s="25"/>
      <c r="E849" s="7"/>
      <c r="F849" s="26"/>
      <c r="G849" s="7"/>
      <c r="H849" s="7"/>
    </row>
    <row r="850" spans="2:8">
      <c r="B850" s="9"/>
      <c r="C850" s="24"/>
      <c r="D850" s="25"/>
      <c r="E850" s="7"/>
      <c r="F850" s="26"/>
      <c r="G850" s="7"/>
      <c r="H850" s="7"/>
    </row>
    <row r="851" spans="2:8">
      <c r="B851" s="9"/>
      <c r="C851" s="24"/>
      <c r="D851" s="25"/>
      <c r="E851" s="7"/>
      <c r="F851" s="26"/>
      <c r="G851" s="7"/>
      <c r="H851" s="7"/>
    </row>
    <row r="852" spans="2:8">
      <c r="B852" s="9"/>
      <c r="C852" s="24"/>
      <c r="D852" s="25"/>
      <c r="E852" s="7"/>
      <c r="F852" s="26"/>
      <c r="G852" s="7"/>
      <c r="H852" s="7"/>
    </row>
    <row r="853" spans="2:8">
      <c r="B853" s="9"/>
      <c r="C853" s="24"/>
      <c r="D853" s="25"/>
      <c r="E853" s="7"/>
      <c r="F853" s="26"/>
      <c r="G853" s="7"/>
      <c r="H853" s="7"/>
    </row>
    <row r="854" spans="2:8">
      <c r="B854" s="9"/>
      <c r="C854" s="24"/>
      <c r="D854" s="25"/>
      <c r="E854" s="7"/>
      <c r="F854" s="26"/>
      <c r="G854" s="7"/>
      <c r="H854" s="7"/>
    </row>
    <row r="855" spans="2:8">
      <c r="B855" s="9"/>
      <c r="C855" s="24"/>
      <c r="D855" s="25"/>
      <c r="E855" s="7"/>
      <c r="F855" s="26"/>
      <c r="G855" s="7"/>
      <c r="H855" s="7"/>
    </row>
    <row r="856" spans="2:8">
      <c r="B856" s="9"/>
      <c r="C856" s="24"/>
      <c r="D856" s="25"/>
      <c r="E856" s="7"/>
      <c r="F856" s="26"/>
      <c r="G856" s="7"/>
      <c r="H856" s="7"/>
    </row>
    <row r="857" spans="2:8">
      <c r="B857" s="9"/>
      <c r="C857" s="24"/>
      <c r="D857" s="25"/>
      <c r="E857" s="7"/>
      <c r="F857" s="26"/>
      <c r="G857" s="7"/>
      <c r="H857" s="7"/>
    </row>
    <row r="858" spans="2:8">
      <c r="B858" s="9"/>
      <c r="C858" s="24"/>
      <c r="D858" s="25"/>
      <c r="E858" s="7"/>
      <c r="F858" s="26"/>
      <c r="G858" s="7"/>
      <c r="H858" s="7"/>
    </row>
    <row r="859" spans="2:8">
      <c r="B859" s="9"/>
      <c r="C859" s="24"/>
      <c r="D859" s="25"/>
      <c r="E859" s="7"/>
      <c r="F859" s="26"/>
      <c r="G859" s="7"/>
      <c r="H859" s="7"/>
    </row>
    <row r="860" spans="2:8">
      <c r="B860" s="9"/>
      <c r="C860" s="24"/>
      <c r="D860" s="25"/>
      <c r="E860" s="7"/>
      <c r="F860" s="26"/>
      <c r="G860" s="7"/>
      <c r="H860" s="7"/>
    </row>
    <row r="861" spans="2:8">
      <c r="B861" s="9"/>
      <c r="C861" s="24"/>
      <c r="D861" s="25"/>
      <c r="E861" s="7"/>
      <c r="F861" s="26"/>
      <c r="G861" s="7"/>
      <c r="H861" s="7"/>
    </row>
    <row r="862" spans="2:8">
      <c r="B862" s="9"/>
      <c r="C862" s="24"/>
      <c r="D862" s="25"/>
      <c r="E862" s="7"/>
      <c r="F862" s="26"/>
      <c r="G862" s="7"/>
      <c r="H862" s="7"/>
    </row>
    <row r="863" spans="2:8">
      <c r="B863" s="9"/>
      <c r="C863" s="24"/>
      <c r="D863" s="25"/>
      <c r="E863" s="7"/>
      <c r="F863" s="26"/>
      <c r="G863" s="7"/>
      <c r="H863" s="7"/>
    </row>
    <row r="864" spans="2:8">
      <c r="B864" s="9"/>
      <c r="C864" s="24"/>
      <c r="D864" s="25"/>
      <c r="E864" s="7"/>
      <c r="F864" s="26"/>
      <c r="G864" s="7"/>
      <c r="H864" s="7"/>
    </row>
    <row r="865" spans="2:8">
      <c r="B865" s="9"/>
      <c r="C865" s="24"/>
      <c r="D865" s="25"/>
      <c r="E865" s="7"/>
      <c r="F865" s="26"/>
      <c r="G865" s="7"/>
      <c r="H865" s="7"/>
    </row>
    <row r="866" spans="2:8">
      <c r="B866" s="9"/>
      <c r="C866" s="24"/>
      <c r="D866" s="25"/>
      <c r="E866" s="7"/>
      <c r="F866" s="26"/>
      <c r="G866" s="7"/>
      <c r="H866" s="7"/>
    </row>
    <row r="867" spans="2:8">
      <c r="B867" s="9"/>
      <c r="C867" s="24"/>
      <c r="D867" s="25"/>
      <c r="E867" s="7"/>
      <c r="F867" s="26"/>
      <c r="G867" s="7"/>
      <c r="H867" s="7"/>
    </row>
    <row r="868" spans="2:8">
      <c r="B868" s="9"/>
      <c r="C868" s="24"/>
      <c r="D868" s="25"/>
      <c r="E868" s="7"/>
      <c r="F868" s="26"/>
      <c r="G868" s="7"/>
      <c r="H868" s="7"/>
    </row>
    <row r="869" spans="2:8">
      <c r="B869" s="9"/>
      <c r="C869" s="24"/>
      <c r="D869" s="25"/>
      <c r="E869" s="7"/>
      <c r="F869" s="26"/>
      <c r="G869" s="7"/>
      <c r="H869" s="7"/>
    </row>
    <row r="870" spans="2:8">
      <c r="B870" s="9"/>
      <c r="C870" s="24"/>
      <c r="D870" s="25"/>
      <c r="E870" s="7"/>
      <c r="F870" s="26"/>
      <c r="G870" s="7"/>
      <c r="H870" s="7"/>
    </row>
    <row r="871" spans="2:8">
      <c r="B871" s="9"/>
      <c r="C871" s="24"/>
      <c r="D871" s="25"/>
      <c r="E871" s="7"/>
      <c r="F871" s="26"/>
      <c r="G871" s="7"/>
      <c r="H871" s="7"/>
    </row>
    <row r="872" spans="2:8">
      <c r="B872" s="9"/>
      <c r="C872" s="24"/>
      <c r="D872" s="25"/>
      <c r="E872" s="7"/>
      <c r="F872" s="26"/>
      <c r="G872" s="7"/>
      <c r="H872" s="7"/>
    </row>
    <row r="873" spans="2:8">
      <c r="B873" s="9"/>
      <c r="C873" s="24"/>
      <c r="D873" s="25"/>
      <c r="E873" s="7"/>
      <c r="F873" s="26"/>
      <c r="G873" s="7"/>
      <c r="H873" s="7"/>
    </row>
    <row r="874" spans="2:8">
      <c r="B874" s="9"/>
      <c r="C874" s="24"/>
      <c r="D874" s="25"/>
      <c r="E874" s="7"/>
      <c r="F874" s="26"/>
      <c r="G874" s="7"/>
      <c r="H874" s="7"/>
    </row>
    <row r="875" spans="2:8">
      <c r="B875" s="9"/>
      <c r="C875" s="24"/>
      <c r="D875" s="25"/>
      <c r="E875" s="7"/>
      <c r="F875" s="26"/>
      <c r="G875" s="7"/>
      <c r="H875" s="7"/>
    </row>
    <row r="876" spans="2:8">
      <c r="B876" s="9"/>
      <c r="C876" s="24"/>
      <c r="D876" s="25"/>
      <c r="E876" s="7"/>
      <c r="F876" s="26"/>
      <c r="G876" s="7"/>
      <c r="H876" s="7"/>
    </row>
    <row r="877" spans="2:8">
      <c r="B877" s="9"/>
      <c r="C877" s="24"/>
      <c r="D877" s="25"/>
      <c r="E877" s="7"/>
      <c r="F877" s="26"/>
      <c r="G877" s="7"/>
      <c r="H877" s="7"/>
    </row>
    <row r="878" spans="2:8">
      <c r="B878" s="9"/>
      <c r="C878" s="24"/>
      <c r="D878" s="25"/>
      <c r="E878" s="7"/>
      <c r="F878" s="26"/>
      <c r="G878" s="7"/>
      <c r="H878" s="7"/>
    </row>
    <row r="879" spans="2:8">
      <c r="B879" s="9"/>
      <c r="C879" s="24"/>
      <c r="D879" s="25"/>
      <c r="E879" s="7"/>
      <c r="F879" s="26"/>
      <c r="G879" s="7"/>
      <c r="H879" s="7"/>
    </row>
    <row r="880" spans="2:8">
      <c r="B880" s="9"/>
      <c r="C880" s="24"/>
      <c r="D880" s="25"/>
      <c r="E880" s="7"/>
      <c r="F880" s="26"/>
      <c r="G880" s="7"/>
      <c r="H880" s="7"/>
    </row>
    <row r="881" spans="2:8">
      <c r="B881" s="9"/>
      <c r="C881" s="24"/>
      <c r="D881" s="25"/>
      <c r="E881" s="7"/>
      <c r="F881" s="26"/>
      <c r="G881" s="7"/>
      <c r="H881" s="7"/>
    </row>
    <row r="882" spans="2:8">
      <c r="B882" s="9"/>
      <c r="C882" s="24"/>
      <c r="D882" s="25"/>
      <c r="E882" s="7"/>
      <c r="F882" s="26"/>
      <c r="G882" s="7"/>
      <c r="H882" s="7"/>
    </row>
    <row r="883" spans="2:8">
      <c r="B883" s="9"/>
      <c r="C883" s="24"/>
      <c r="D883" s="25"/>
      <c r="E883" s="7"/>
      <c r="F883" s="26"/>
      <c r="G883" s="7"/>
      <c r="H883" s="7"/>
    </row>
    <row r="884" spans="2:8">
      <c r="B884" s="9"/>
      <c r="C884" s="24"/>
      <c r="D884" s="25"/>
      <c r="E884" s="7"/>
      <c r="F884" s="26"/>
      <c r="G884" s="7"/>
      <c r="H884" s="7"/>
    </row>
    <row r="885" spans="2:8">
      <c r="B885" s="9"/>
      <c r="C885" s="24"/>
      <c r="D885" s="25"/>
      <c r="E885" s="7"/>
      <c r="F885" s="26"/>
      <c r="G885" s="7"/>
      <c r="H885" s="7"/>
    </row>
    <row r="886" spans="2:8">
      <c r="B886" s="9"/>
      <c r="C886" s="24"/>
      <c r="D886" s="25"/>
      <c r="E886" s="7"/>
      <c r="F886" s="26"/>
      <c r="G886" s="7"/>
      <c r="H886" s="7"/>
    </row>
    <row r="887" spans="2:8">
      <c r="B887" s="9"/>
      <c r="C887" s="24"/>
      <c r="D887" s="25"/>
      <c r="E887" s="7"/>
      <c r="F887" s="26"/>
      <c r="G887" s="7"/>
      <c r="H887" s="7"/>
    </row>
    <row r="888" spans="2:8">
      <c r="B888" s="9"/>
      <c r="C888" s="24"/>
      <c r="D888" s="25"/>
      <c r="E888" s="7"/>
      <c r="F888" s="26"/>
      <c r="G888" s="7"/>
      <c r="H888" s="7"/>
    </row>
    <row r="889" spans="2:8">
      <c r="B889" s="9"/>
      <c r="C889" s="24"/>
      <c r="D889" s="25"/>
      <c r="E889" s="7"/>
      <c r="F889" s="26"/>
      <c r="G889" s="7"/>
      <c r="H889" s="7"/>
    </row>
    <row r="890" spans="2:8">
      <c r="B890" s="9"/>
      <c r="C890" s="24"/>
      <c r="D890" s="25"/>
      <c r="E890" s="7"/>
      <c r="F890" s="26"/>
      <c r="G890" s="7"/>
      <c r="H890" s="7"/>
    </row>
    <row r="891" spans="2:8">
      <c r="B891" s="9"/>
      <c r="C891" s="24"/>
      <c r="D891" s="25"/>
      <c r="E891" s="7"/>
      <c r="F891" s="26"/>
      <c r="G891" s="7"/>
      <c r="H891" s="7"/>
    </row>
    <row r="892" spans="2:8">
      <c r="B892" s="9"/>
      <c r="C892" s="24"/>
      <c r="D892" s="25"/>
      <c r="E892" s="7"/>
      <c r="F892" s="26"/>
      <c r="G892" s="7"/>
      <c r="H892" s="7"/>
    </row>
    <row r="893" spans="2:8">
      <c r="B893" s="9"/>
      <c r="C893" s="24"/>
      <c r="D893" s="25"/>
      <c r="E893" s="7"/>
      <c r="F893" s="26"/>
      <c r="G893" s="7"/>
      <c r="H893" s="7"/>
    </row>
    <row r="894" spans="2:8">
      <c r="B894" s="9"/>
      <c r="C894" s="24"/>
      <c r="D894" s="25"/>
      <c r="E894" s="7"/>
      <c r="F894" s="26"/>
      <c r="G894" s="7"/>
      <c r="H894" s="7"/>
    </row>
    <row r="895" spans="2:8">
      <c r="B895" s="9"/>
      <c r="C895" s="24"/>
      <c r="D895" s="25"/>
      <c r="E895" s="7"/>
      <c r="F895" s="26"/>
      <c r="G895" s="7"/>
      <c r="H895" s="7"/>
    </row>
    <row r="896" spans="2:8">
      <c r="B896" s="9"/>
      <c r="C896" s="24"/>
      <c r="D896" s="25"/>
      <c r="E896" s="7"/>
      <c r="F896" s="26"/>
      <c r="G896" s="7"/>
      <c r="H896" s="7"/>
    </row>
    <row r="897" spans="2:8">
      <c r="B897" s="9"/>
      <c r="C897" s="24"/>
      <c r="D897" s="25"/>
      <c r="E897" s="7"/>
      <c r="F897" s="26"/>
      <c r="G897" s="7"/>
      <c r="H897" s="7"/>
    </row>
    <row r="898" spans="2:8">
      <c r="B898" s="9"/>
      <c r="C898" s="24"/>
      <c r="D898" s="25"/>
      <c r="E898" s="7"/>
      <c r="F898" s="26"/>
      <c r="G898" s="7"/>
      <c r="H898" s="7"/>
    </row>
    <row r="899" spans="2:8">
      <c r="B899" s="9"/>
      <c r="C899" s="24"/>
      <c r="D899" s="25"/>
      <c r="E899" s="7"/>
      <c r="F899" s="26"/>
      <c r="G899" s="7"/>
      <c r="H899" s="7"/>
    </row>
    <row r="900" spans="2:8">
      <c r="B900" s="9"/>
      <c r="C900" s="24"/>
      <c r="D900" s="25"/>
      <c r="E900" s="7"/>
      <c r="F900" s="26"/>
      <c r="G900" s="7"/>
      <c r="H900" s="7"/>
    </row>
    <row r="901" spans="2:8">
      <c r="B901" s="9"/>
      <c r="C901" s="24"/>
      <c r="D901" s="25"/>
      <c r="E901" s="7"/>
      <c r="F901" s="26"/>
      <c r="G901" s="7"/>
      <c r="H901" s="7"/>
    </row>
    <row r="902" spans="2:8">
      <c r="B902" s="9"/>
      <c r="C902" s="24"/>
      <c r="D902" s="25"/>
      <c r="E902" s="7"/>
      <c r="F902" s="26"/>
      <c r="G902" s="7"/>
      <c r="H902" s="7"/>
    </row>
    <row r="903" spans="2:8">
      <c r="B903" s="9"/>
      <c r="C903" s="24"/>
      <c r="D903" s="25"/>
      <c r="E903" s="7"/>
      <c r="F903" s="26"/>
      <c r="G903" s="7"/>
      <c r="H903" s="7"/>
    </row>
    <row r="904" spans="2:8">
      <c r="B904" s="9"/>
      <c r="C904" s="24"/>
      <c r="D904" s="25"/>
      <c r="E904" s="7"/>
      <c r="F904" s="26"/>
      <c r="G904" s="7"/>
      <c r="H904" s="7"/>
    </row>
    <row r="905" spans="2:8">
      <c r="B905" s="9"/>
      <c r="C905" s="24"/>
      <c r="D905" s="25"/>
      <c r="E905" s="7"/>
      <c r="F905" s="26"/>
      <c r="G905" s="7"/>
      <c r="H905" s="7"/>
    </row>
    <row r="906" spans="2:8">
      <c r="B906" s="9"/>
      <c r="C906" s="24"/>
      <c r="D906" s="25"/>
      <c r="E906" s="7"/>
      <c r="F906" s="26"/>
      <c r="G906" s="7"/>
      <c r="H906" s="7"/>
    </row>
    <row r="907" spans="2:8">
      <c r="B907" s="9"/>
      <c r="C907" s="24"/>
      <c r="D907" s="25"/>
      <c r="E907" s="7"/>
      <c r="F907" s="26"/>
      <c r="G907" s="7"/>
      <c r="H907" s="7"/>
    </row>
    <row r="908" spans="2:8">
      <c r="B908" s="9"/>
      <c r="C908" s="24"/>
      <c r="D908" s="25"/>
      <c r="E908" s="7"/>
      <c r="F908" s="26"/>
      <c r="G908" s="7"/>
      <c r="H908" s="7"/>
    </row>
    <row r="909" spans="2:8">
      <c r="B909" s="9"/>
      <c r="C909" s="24"/>
      <c r="D909" s="25"/>
      <c r="E909" s="7"/>
      <c r="F909" s="26"/>
      <c r="G909" s="7"/>
      <c r="H909" s="7"/>
    </row>
    <row r="910" spans="2:8">
      <c r="B910" s="9"/>
      <c r="C910" s="24"/>
      <c r="D910" s="25"/>
      <c r="E910" s="7"/>
      <c r="F910" s="26"/>
      <c r="G910" s="7"/>
      <c r="H910" s="7"/>
    </row>
    <row r="911" spans="2:8">
      <c r="B911" s="9"/>
      <c r="C911" s="24"/>
      <c r="D911" s="25"/>
      <c r="E911" s="7"/>
      <c r="F911" s="26"/>
      <c r="G911" s="7"/>
      <c r="H911" s="7"/>
    </row>
    <row r="912" spans="2:8">
      <c r="B912" s="9"/>
      <c r="C912" s="24"/>
      <c r="D912" s="25"/>
      <c r="E912" s="7"/>
      <c r="F912" s="26"/>
      <c r="G912" s="7"/>
      <c r="H912" s="7"/>
    </row>
    <row r="913" spans="2:8">
      <c r="B913" s="9"/>
      <c r="C913" s="24"/>
      <c r="D913" s="25"/>
      <c r="E913" s="7"/>
      <c r="F913" s="26"/>
      <c r="G913" s="7"/>
      <c r="H913" s="7"/>
    </row>
    <row r="914" spans="2:8">
      <c r="B914" s="9"/>
      <c r="C914" s="24"/>
      <c r="D914" s="25"/>
      <c r="E914" s="7"/>
      <c r="F914" s="26"/>
      <c r="G914" s="7"/>
      <c r="H914" s="7"/>
    </row>
    <row r="915" spans="2:8">
      <c r="B915" s="9"/>
      <c r="C915" s="24"/>
      <c r="D915" s="25"/>
      <c r="E915" s="7"/>
      <c r="F915" s="26"/>
      <c r="G915" s="7"/>
      <c r="H915" s="7"/>
    </row>
    <row r="916" spans="2:8">
      <c r="B916" s="9"/>
      <c r="C916" s="24"/>
      <c r="D916" s="25"/>
      <c r="E916" s="7"/>
      <c r="F916" s="26"/>
      <c r="G916" s="7"/>
      <c r="H916" s="7"/>
    </row>
    <row r="917" spans="2:8">
      <c r="B917" s="9"/>
      <c r="C917" s="24"/>
      <c r="D917" s="25"/>
      <c r="E917" s="7"/>
      <c r="F917" s="26"/>
      <c r="G917" s="7"/>
      <c r="H917" s="7"/>
    </row>
    <row r="918" spans="2:8">
      <c r="B918" s="9"/>
      <c r="C918" s="24"/>
      <c r="D918" s="25"/>
      <c r="E918" s="7"/>
      <c r="F918" s="26"/>
      <c r="G918" s="7"/>
      <c r="H918" s="7"/>
    </row>
    <row r="919" spans="2:8">
      <c r="B919" s="9"/>
      <c r="C919" s="24"/>
      <c r="D919" s="25"/>
      <c r="E919" s="7"/>
      <c r="F919" s="26"/>
      <c r="G919" s="7"/>
      <c r="H919" s="7"/>
    </row>
    <row r="920" spans="2:8">
      <c r="B920" s="9"/>
      <c r="C920" s="24"/>
      <c r="D920" s="25"/>
      <c r="E920" s="7"/>
      <c r="F920" s="26"/>
      <c r="G920" s="7"/>
      <c r="H920" s="7"/>
    </row>
    <row r="921" spans="2:8">
      <c r="B921" s="9"/>
      <c r="C921" s="24"/>
      <c r="D921" s="25"/>
      <c r="E921" s="7"/>
      <c r="F921" s="26"/>
      <c r="G921" s="7"/>
      <c r="H921" s="7"/>
    </row>
    <row r="922" spans="2:8">
      <c r="B922" s="9"/>
      <c r="C922" s="24"/>
      <c r="D922" s="25"/>
      <c r="E922" s="7"/>
      <c r="F922" s="26"/>
      <c r="G922" s="7"/>
      <c r="H922" s="7"/>
    </row>
    <row r="923" spans="2:8">
      <c r="B923" s="9"/>
      <c r="C923" s="24"/>
      <c r="D923" s="25"/>
      <c r="E923" s="7"/>
      <c r="F923" s="26"/>
      <c r="G923" s="7"/>
      <c r="H923" s="7"/>
    </row>
    <row r="924" spans="2:8">
      <c r="B924" s="9"/>
      <c r="C924" s="24"/>
      <c r="D924" s="25"/>
      <c r="E924" s="7"/>
      <c r="F924" s="26"/>
      <c r="G924" s="7"/>
      <c r="H924" s="7"/>
    </row>
    <row r="925" spans="2:8">
      <c r="B925" s="9"/>
      <c r="C925" s="24"/>
      <c r="D925" s="25"/>
      <c r="E925" s="7"/>
      <c r="F925" s="26"/>
      <c r="G925" s="7"/>
      <c r="H925" s="7"/>
    </row>
    <row r="926" spans="2:8">
      <c r="B926" s="9"/>
      <c r="C926" s="24"/>
      <c r="D926" s="25"/>
      <c r="E926" s="7"/>
      <c r="F926" s="26"/>
      <c r="G926" s="7"/>
      <c r="H926" s="7"/>
    </row>
    <row r="927" spans="2:8">
      <c r="B927" s="9"/>
      <c r="C927" s="24"/>
      <c r="D927" s="25"/>
      <c r="E927" s="7"/>
      <c r="F927" s="26"/>
      <c r="G927" s="7"/>
      <c r="H927" s="7"/>
    </row>
    <row r="928" spans="2:8">
      <c r="B928" s="9"/>
      <c r="C928" s="24"/>
      <c r="D928" s="25"/>
      <c r="E928" s="7"/>
      <c r="F928" s="26"/>
      <c r="G928" s="7"/>
      <c r="H928" s="7"/>
    </row>
    <row r="929" spans="2:8">
      <c r="B929" s="9"/>
      <c r="C929" s="24"/>
      <c r="D929" s="25"/>
      <c r="E929" s="7"/>
      <c r="F929" s="26"/>
      <c r="G929" s="7"/>
      <c r="H929" s="7"/>
    </row>
    <row r="930" spans="2:8">
      <c r="B930" s="9"/>
      <c r="C930" s="24"/>
      <c r="D930" s="25"/>
      <c r="E930" s="7"/>
      <c r="F930" s="26"/>
      <c r="G930" s="7"/>
      <c r="H930" s="7"/>
    </row>
    <row r="931" spans="2:8">
      <c r="B931" s="9"/>
      <c r="C931" s="24"/>
      <c r="D931" s="25"/>
      <c r="E931" s="7"/>
      <c r="F931" s="26"/>
      <c r="G931" s="7"/>
      <c r="H931" s="7"/>
    </row>
    <row r="932" spans="2:8">
      <c r="B932" s="9"/>
      <c r="C932" s="24"/>
      <c r="D932" s="25"/>
      <c r="E932" s="7"/>
      <c r="F932" s="26"/>
      <c r="G932" s="7"/>
      <c r="H932" s="7"/>
    </row>
    <row r="933" spans="2:8">
      <c r="B933" s="9"/>
      <c r="C933" s="24"/>
      <c r="D933" s="25"/>
      <c r="E933" s="7"/>
      <c r="F933" s="26"/>
      <c r="G933" s="7"/>
      <c r="H933" s="7"/>
    </row>
    <row r="934" spans="2:8">
      <c r="B934" s="9"/>
      <c r="C934" s="24"/>
      <c r="D934" s="25"/>
      <c r="E934" s="7"/>
      <c r="F934" s="26"/>
      <c r="G934" s="7"/>
      <c r="H934" s="7"/>
    </row>
    <row r="935" spans="2:8">
      <c r="B935" s="9"/>
      <c r="C935" s="24"/>
      <c r="D935" s="25"/>
      <c r="E935" s="7"/>
      <c r="F935" s="26"/>
      <c r="G935" s="7"/>
      <c r="H935" s="7"/>
    </row>
    <row r="936" spans="2:8">
      <c r="B936" s="9"/>
      <c r="C936" s="24"/>
      <c r="D936" s="25"/>
      <c r="E936" s="7"/>
      <c r="F936" s="26"/>
      <c r="G936" s="7"/>
      <c r="H936" s="7"/>
    </row>
    <row r="937" spans="2:8">
      <c r="B937" s="9"/>
      <c r="C937" s="24"/>
      <c r="D937" s="25"/>
      <c r="E937" s="7"/>
      <c r="F937" s="26"/>
      <c r="G937" s="7"/>
      <c r="H937" s="7"/>
    </row>
    <row r="938" spans="2:8">
      <c r="B938" s="9"/>
      <c r="C938" s="24"/>
      <c r="D938" s="25"/>
      <c r="E938" s="7"/>
      <c r="F938" s="26"/>
      <c r="G938" s="7"/>
      <c r="H938" s="7"/>
    </row>
    <row r="939" spans="2:8">
      <c r="B939" s="9"/>
      <c r="C939" s="24"/>
      <c r="D939" s="25"/>
      <c r="E939" s="7"/>
      <c r="F939" s="26"/>
      <c r="G939" s="7"/>
      <c r="H939" s="7"/>
    </row>
    <row r="940" spans="2:8">
      <c r="B940" s="9"/>
      <c r="C940" s="24"/>
      <c r="D940" s="25"/>
      <c r="E940" s="7"/>
      <c r="F940" s="26"/>
      <c r="G940" s="7"/>
      <c r="H940" s="7"/>
    </row>
    <row r="941" spans="2:8">
      <c r="B941" s="9"/>
      <c r="C941" s="24"/>
      <c r="D941" s="25"/>
      <c r="E941" s="7"/>
      <c r="F941" s="26"/>
      <c r="G941" s="7"/>
      <c r="H941" s="7"/>
    </row>
    <row r="942" spans="2:8">
      <c r="B942" s="9"/>
      <c r="C942" s="24"/>
      <c r="D942" s="25"/>
      <c r="E942" s="7"/>
      <c r="F942" s="26"/>
      <c r="G942" s="7"/>
      <c r="H942" s="7"/>
    </row>
    <row r="943" spans="2:8">
      <c r="B943" s="9"/>
      <c r="C943" s="24"/>
      <c r="D943" s="25"/>
      <c r="E943" s="7"/>
      <c r="F943" s="26"/>
      <c r="G943" s="7"/>
      <c r="H943" s="7"/>
    </row>
    <row r="944" spans="2:8">
      <c r="B944" s="9"/>
      <c r="C944" s="24"/>
      <c r="D944" s="25"/>
      <c r="E944" s="7"/>
      <c r="F944" s="26"/>
      <c r="G944" s="7"/>
      <c r="H944" s="7"/>
    </row>
    <row r="945" spans="2:8">
      <c r="B945" s="9"/>
      <c r="C945" s="24"/>
      <c r="D945" s="25"/>
      <c r="E945" s="7"/>
      <c r="F945" s="26"/>
      <c r="G945" s="7"/>
      <c r="H945" s="7"/>
    </row>
    <row r="946" spans="2:8">
      <c r="B946" s="9"/>
      <c r="C946" s="24"/>
      <c r="D946" s="25"/>
      <c r="E946" s="7"/>
      <c r="F946" s="26"/>
      <c r="G946" s="7"/>
      <c r="H946" s="7"/>
    </row>
    <row r="947" spans="2:8">
      <c r="B947" s="9"/>
      <c r="C947" s="24"/>
      <c r="D947" s="25"/>
      <c r="E947" s="7"/>
      <c r="F947" s="26"/>
      <c r="G947" s="7"/>
      <c r="H947" s="7"/>
    </row>
    <row r="948" spans="2:8">
      <c r="B948" s="9"/>
      <c r="C948" s="24"/>
      <c r="D948" s="25"/>
      <c r="E948" s="7"/>
      <c r="F948" s="26"/>
      <c r="G948" s="7"/>
      <c r="H948" s="7"/>
    </row>
    <row r="949" spans="2:8">
      <c r="B949" s="9"/>
      <c r="C949" s="24"/>
      <c r="D949" s="25"/>
      <c r="E949" s="7"/>
      <c r="F949" s="26"/>
      <c r="G949" s="7"/>
      <c r="H949" s="7"/>
    </row>
    <row r="950" spans="2:8">
      <c r="B950" s="9"/>
      <c r="C950" s="24"/>
      <c r="D950" s="25"/>
      <c r="E950" s="7"/>
      <c r="F950" s="26"/>
      <c r="G950" s="7"/>
      <c r="H950" s="7"/>
    </row>
    <row r="951" spans="2:8">
      <c r="B951" s="9"/>
      <c r="C951" s="24"/>
      <c r="D951" s="25"/>
      <c r="E951" s="7"/>
      <c r="F951" s="26"/>
      <c r="G951" s="7"/>
      <c r="H951" s="7"/>
    </row>
    <row r="952" spans="2:8">
      <c r="B952" s="9"/>
      <c r="C952" s="24"/>
      <c r="D952" s="25"/>
      <c r="E952" s="7"/>
      <c r="F952" s="26"/>
      <c r="G952" s="7"/>
      <c r="H952" s="7"/>
    </row>
    <row r="953" spans="2:8">
      <c r="B953" s="9"/>
      <c r="C953" s="24"/>
      <c r="D953" s="25"/>
      <c r="E953" s="7"/>
      <c r="F953" s="26"/>
      <c r="G953" s="7"/>
      <c r="H953" s="7"/>
    </row>
    <row r="954" spans="2:8">
      <c r="B954" s="9"/>
      <c r="C954" s="24"/>
      <c r="D954" s="25"/>
      <c r="E954" s="7"/>
      <c r="F954" s="26"/>
      <c r="G954" s="7"/>
      <c r="H954" s="7"/>
    </row>
    <row r="955" spans="2:8">
      <c r="B955" s="9"/>
      <c r="C955" s="24"/>
      <c r="D955" s="25"/>
      <c r="E955" s="7"/>
      <c r="F955" s="26"/>
      <c r="G955" s="7"/>
      <c r="H955" s="7"/>
    </row>
    <row r="956" spans="2:8">
      <c r="B956" s="9"/>
      <c r="C956" s="24"/>
      <c r="D956" s="25"/>
      <c r="E956" s="7"/>
      <c r="F956" s="26"/>
      <c r="G956" s="7"/>
      <c r="H956" s="7"/>
    </row>
    <row r="957" spans="2:8">
      <c r="B957" s="9"/>
      <c r="C957" s="24"/>
      <c r="D957" s="25"/>
      <c r="E957" s="7"/>
      <c r="F957" s="26"/>
      <c r="G957" s="7"/>
      <c r="H957" s="7"/>
    </row>
    <row r="958" spans="2:8">
      <c r="B958" s="9"/>
      <c r="C958" s="24"/>
      <c r="D958" s="25"/>
      <c r="E958" s="7"/>
      <c r="F958" s="26"/>
      <c r="G958" s="7"/>
      <c r="H958" s="7"/>
    </row>
    <row r="959" spans="2:8">
      <c r="B959" s="9"/>
      <c r="C959" s="24"/>
      <c r="D959" s="25"/>
      <c r="E959" s="7"/>
      <c r="F959" s="26"/>
      <c r="G959" s="7"/>
      <c r="H959" s="7"/>
    </row>
    <row r="960" spans="2:8">
      <c r="B960" s="9"/>
      <c r="C960" s="24"/>
      <c r="D960" s="25"/>
      <c r="E960" s="7"/>
      <c r="F960" s="26"/>
      <c r="G960" s="7"/>
      <c r="H960" s="7"/>
    </row>
    <row r="961" spans="2:8">
      <c r="B961" s="9"/>
      <c r="C961" s="24"/>
      <c r="D961" s="25"/>
      <c r="E961" s="7"/>
      <c r="F961" s="26"/>
      <c r="G961" s="7"/>
      <c r="H961" s="7"/>
    </row>
    <row r="962" spans="2:8">
      <c r="B962" s="9"/>
      <c r="C962" s="24"/>
      <c r="D962" s="25"/>
      <c r="E962" s="7"/>
      <c r="F962" s="26"/>
      <c r="G962" s="7"/>
      <c r="H962" s="7"/>
    </row>
    <row r="963" spans="2:8">
      <c r="B963" s="9"/>
      <c r="C963" s="24"/>
      <c r="D963" s="25"/>
      <c r="E963" s="7"/>
      <c r="F963" s="26"/>
      <c r="G963" s="7"/>
      <c r="H963" s="7"/>
    </row>
    <row r="964" spans="2:8">
      <c r="B964" s="9"/>
      <c r="C964" s="24"/>
      <c r="D964" s="25"/>
      <c r="E964" s="7"/>
      <c r="F964" s="26"/>
      <c r="G964" s="7"/>
      <c r="H964" s="7"/>
    </row>
    <row r="965" spans="2:8">
      <c r="B965" s="9"/>
      <c r="C965" s="24"/>
      <c r="D965" s="25"/>
      <c r="E965" s="7"/>
      <c r="F965" s="26"/>
      <c r="G965" s="7"/>
      <c r="H965" s="7"/>
    </row>
    <row r="966" spans="2:8">
      <c r="B966" s="9"/>
      <c r="C966" s="24"/>
      <c r="D966" s="25"/>
      <c r="E966" s="7"/>
      <c r="F966" s="26"/>
      <c r="G966" s="7"/>
      <c r="H966" s="7"/>
    </row>
    <row r="967" spans="2:8">
      <c r="B967" s="9"/>
      <c r="C967" s="24"/>
      <c r="D967" s="25"/>
      <c r="E967" s="7"/>
      <c r="F967" s="26"/>
      <c r="G967" s="7"/>
      <c r="H967" s="7"/>
    </row>
    <row r="968" spans="2:8">
      <c r="B968" s="9"/>
      <c r="C968" s="24"/>
      <c r="D968" s="25"/>
      <c r="E968" s="7"/>
      <c r="F968" s="26"/>
      <c r="G968" s="7"/>
      <c r="H968" s="7"/>
    </row>
    <row r="969" spans="2:8">
      <c r="B969" s="9"/>
      <c r="C969" s="24"/>
      <c r="D969" s="25"/>
      <c r="E969" s="7"/>
      <c r="F969" s="26"/>
      <c r="G969" s="7"/>
      <c r="H969" s="7"/>
    </row>
    <row r="970" spans="2:8">
      <c r="B970" s="9"/>
      <c r="C970" s="24"/>
      <c r="D970" s="25"/>
      <c r="E970" s="7"/>
      <c r="F970" s="26"/>
      <c r="G970" s="7"/>
      <c r="H970" s="7"/>
    </row>
    <row r="971" spans="2:8">
      <c r="B971" s="9"/>
      <c r="C971" s="24"/>
      <c r="D971" s="25"/>
      <c r="E971" s="7"/>
      <c r="F971" s="26"/>
      <c r="G971" s="7"/>
      <c r="H971" s="7"/>
    </row>
    <row r="972" spans="2:8">
      <c r="B972" s="9"/>
      <c r="C972" s="24"/>
      <c r="D972" s="25"/>
      <c r="E972" s="7"/>
      <c r="F972" s="26"/>
      <c r="G972" s="7"/>
      <c r="H972" s="7"/>
    </row>
    <row r="973" spans="2:8">
      <c r="B973" s="9"/>
      <c r="C973" s="24"/>
      <c r="D973" s="25"/>
      <c r="E973" s="7"/>
      <c r="F973" s="26"/>
      <c r="G973" s="7"/>
      <c r="H973" s="7"/>
    </row>
    <row r="974" spans="2:8">
      <c r="B974" s="9"/>
      <c r="C974" s="24"/>
      <c r="D974" s="25"/>
      <c r="E974" s="7"/>
      <c r="F974" s="26"/>
      <c r="G974" s="7"/>
      <c r="H974" s="7"/>
    </row>
    <row r="975" spans="2:8">
      <c r="B975" s="9"/>
      <c r="C975" s="24"/>
      <c r="D975" s="25"/>
      <c r="E975" s="7"/>
      <c r="F975" s="26"/>
      <c r="G975" s="7"/>
      <c r="H975" s="7"/>
    </row>
    <row r="976" spans="2:8">
      <c r="B976" s="9"/>
      <c r="C976" s="24"/>
      <c r="D976" s="25"/>
      <c r="E976" s="7"/>
      <c r="F976" s="26"/>
      <c r="G976" s="7"/>
      <c r="H976" s="7"/>
    </row>
    <row r="977" spans="2:8">
      <c r="B977" s="9"/>
      <c r="C977" s="24"/>
      <c r="D977" s="25"/>
      <c r="E977" s="7"/>
      <c r="F977" s="26"/>
      <c r="G977" s="7"/>
      <c r="H977" s="7"/>
    </row>
    <row r="978" spans="2:8">
      <c r="B978" s="9"/>
      <c r="C978" s="24"/>
      <c r="D978" s="25"/>
      <c r="E978" s="7"/>
      <c r="F978" s="26"/>
      <c r="G978" s="7"/>
      <c r="H978" s="7"/>
    </row>
    <row r="979" spans="2:8">
      <c r="B979" s="9"/>
      <c r="C979" s="24"/>
      <c r="D979" s="25"/>
      <c r="E979" s="7"/>
      <c r="F979" s="26"/>
      <c r="G979" s="7"/>
      <c r="H979" s="7"/>
    </row>
    <row r="980" spans="2:8">
      <c r="B980" s="9"/>
      <c r="C980" s="24"/>
      <c r="D980" s="25"/>
      <c r="E980" s="7"/>
      <c r="F980" s="26"/>
      <c r="G980" s="7"/>
      <c r="H980" s="7"/>
    </row>
    <row r="981" spans="2:8">
      <c r="B981" s="9"/>
      <c r="C981" s="24"/>
      <c r="D981" s="25"/>
      <c r="E981" s="7"/>
      <c r="F981" s="26"/>
      <c r="G981" s="7"/>
      <c r="H981" s="7"/>
    </row>
    <row r="982" spans="2:8">
      <c r="B982" s="9"/>
      <c r="C982" s="24"/>
      <c r="D982" s="25"/>
      <c r="E982" s="7"/>
      <c r="F982" s="26"/>
      <c r="G982" s="7"/>
      <c r="H982" s="7"/>
    </row>
    <row r="983" spans="2:8">
      <c r="B983" s="9"/>
      <c r="C983" s="24"/>
      <c r="D983" s="25"/>
      <c r="E983" s="7"/>
      <c r="F983" s="26"/>
      <c r="G983" s="7"/>
      <c r="H983" s="7"/>
    </row>
    <row r="984" spans="2:8">
      <c r="B984" s="9"/>
      <c r="C984" s="24"/>
      <c r="D984" s="25"/>
      <c r="E984" s="7"/>
      <c r="F984" s="26"/>
      <c r="G984" s="7"/>
      <c r="H984" s="7"/>
    </row>
    <row r="985" spans="2:8">
      <c r="B985" s="9"/>
      <c r="C985" s="24"/>
      <c r="D985" s="25"/>
      <c r="E985" s="7"/>
      <c r="F985" s="26"/>
      <c r="G985" s="7"/>
      <c r="H985" s="7"/>
    </row>
    <row r="986" spans="2:8">
      <c r="B986" s="9"/>
      <c r="C986" s="24"/>
      <c r="D986" s="25"/>
      <c r="E986" s="7"/>
      <c r="F986" s="26"/>
      <c r="G986" s="7"/>
      <c r="H986" s="7"/>
    </row>
    <row r="987" spans="2:8">
      <c r="B987" s="9"/>
      <c r="C987" s="24"/>
      <c r="D987" s="25"/>
      <c r="E987" s="7"/>
      <c r="F987" s="26"/>
      <c r="G987" s="7"/>
      <c r="H987" s="7"/>
    </row>
    <row r="988" spans="2:8">
      <c r="B988" s="9"/>
      <c r="C988" s="24"/>
      <c r="D988" s="25"/>
      <c r="E988" s="7"/>
      <c r="F988" s="26"/>
      <c r="G988" s="7"/>
      <c r="H988" s="7"/>
    </row>
    <row r="989" spans="2:8">
      <c r="B989" s="9"/>
      <c r="C989" s="24"/>
      <c r="D989" s="25"/>
      <c r="E989" s="7"/>
      <c r="F989" s="26"/>
      <c r="G989" s="7"/>
      <c r="H989" s="7"/>
    </row>
    <row r="990" spans="2:8">
      <c r="B990" s="9"/>
      <c r="C990" s="24"/>
      <c r="D990" s="25"/>
      <c r="E990" s="7"/>
      <c r="F990" s="26"/>
      <c r="G990" s="7"/>
      <c r="H990" s="7"/>
    </row>
    <row r="991" spans="2:8">
      <c r="B991" s="9"/>
      <c r="C991" s="24"/>
      <c r="D991" s="25"/>
      <c r="E991" s="7"/>
      <c r="F991" s="26"/>
      <c r="G991" s="7"/>
      <c r="H991" s="7"/>
    </row>
    <row r="992" spans="2:8">
      <c r="B992" s="9"/>
      <c r="C992" s="24"/>
      <c r="D992" s="25"/>
      <c r="E992" s="7"/>
      <c r="F992" s="26"/>
      <c r="G992" s="7"/>
      <c r="H992" s="7"/>
    </row>
    <row r="993" spans="2:8">
      <c r="B993" s="9"/>
      <c r="C993" s="24"/>
      <c r="D993" s="25"/>
      <c r="E993" s="7"/>
      <c r="F993" s="26"/>
      <c r="G993" s="7"/>
      <c r="H993" s="7"/>
    </row>
    <row r="994" spans="2:8">
      <c r="B994" s="9"/>
      <c r="C994" s="24"/>
      <c r="D994" s="25"/>
      <c r="E994" s="7"/>
      <c r="F994" s="26"/>
      <c r="G994" s="7"/>
      <c r="H994" s="7"/>
    </row>
    <row r="995" spans="2:8">
      <c r="B995" s="9"/>
      <c r="C995" s="24"/>
      <c r="D995" s="25"/>
      <c r="E995" s="7"/>
      <c r="F995" s="26"/>
      <c r="G995" s="7"/>
      <c r="H995" s="7"/>
    </row>
    <row r="996" spans="2:8">
      <c r="B996" s="9"/>
      <c r="C996" s="24"/>
      <c r="D996" s="25"/>
      <c r="E996" s="7"/>
      <c r="F996" s="26"/>
      <c r="G996" s="7"/>
      <c r="H996" s="7"/>
    </row>
    <row r="997" spans="2:8">
      <c r="B997" s="9"/>
      <c r="C997" s="24"/>
      <c r="D997" s="25"/>
      <c r="E997" s="7"/>
      <c r="F997" s="26"/>
      <c r="G997" s="7"/>
      <c r="H997" s="7"/>
    </row>
    <row r="998" spans="2:8">
      <c r="B998" s="9"/>
      <c r="C998" s="24"/>
      <c r="D998" s="25"/>
      <c r="E998" s="7"/>
      <c r="F998" s="26"/>
      <c r="G998" s="7"/>
      <c r="H998" s="7"/>
    </row>
    <row r="999" spans="2:8">
      <c r="B999" s="9"/>
      <c r="C999" s="24"/>
      <c r="D999" s="25"/>
      <c r="E999" s="7"/>
      <c r="F999" s="26"/>
      <c r="G999" s="7"/>
      <c r="H999" s="7"/>
    </row>
    <row r="1000" spans="2:8">
      <c r="B1000" s="9"/>
      <c r="C1000" s="24"/>
      <c r="D1000" s="25"/>
      <c r="E1000" s="7"/>
      <c r="F1000" s="26"/>
      <c r="G1000" s="7"/>
      <c r="H1000" s="7"/>
    </row>
    <row r="1001" spans="2:8">
      <c r="B1001" s="9"/>
      <c r="C1001" s="24"/>
      <c r="D1001" s="25"/>
      <c r="E1001" s="7"/>
      <c r="F1001" s="26"/>
      <c r="G1001" s="7"/>
      <c r="H1001" s="7"/>
    </row>
    <row r="1002" spans="2:8">
      <c r="B1002" s="9"/>
      <c r="C1002" s="24"/>
      <c r="D1002" s="25"/>
      <c r="E1002" s="7"/>
      <c r="F1002" s="26"/>
      <c r="G1002" s="7"/>
      <c r="H1002" s="7"/>
    </row>
    <row r="1003" spans="2:8">
      <c r="B1003" s="9"/>
      <c r="C1003" s="24"/>
      <c r="D1003" s="25"/>
      <c r="E1003" s="7"/>
      <c r="F1003" s="26"/>
      <c r="G1003" s="7"/>
      <c r="H1003" s="7"/>
    </row>
    <row r="1004" spans="2:8">
      <c r="B1004" s="9"/>
      <c r="C1004" s="24"/>
      <c r="D1004" s="25"/>
      <c r="E1004" s="7"/>
      <c r="F1004" s="26"/>
      <c r="G1004" s="7"/>
      <c r="H1004" s="7"/>
    </row>
    <row r="1005" spans="2:8">
      <c r="B1005" s="9"/>
      <c r="C1005" s="24"/>
      <c r="D1005" s="25"/>
      <c r="E1005" s="7"/>
      <c r="F1005" s="26"/>
      <c r="G1005" s="7"/>
      <c r="H1005" s="7"/>
    </row>
    <row r="1006" spans="2:8">
      <c r="B1006" s="9"/>
      <c r="C1006" s="24"/>
      <c r="D1006" s="25"/>
      <c r="E1006" s="7"/>
      <c r="F1006" s="26"/>
      <c r="G1006" s="7"/>
      <c r="H1006" s="7"/>
    </row>
    <row r="1007" spans="2:8">
      <c r="B1007" s="9"/>
      <c r="C1007" s="24"/>
      <c r="D1007" s="25"/>
      <c r="E1007" s="7"/>
      <c r="F1007" s="26"/>
      <c r="G1007" s="7"/>
      <c r="H1007" s="7"/>
    </row>
    <row r="1008" spans="2:8">
      <c r="B1008" s="9"/>
      <c r="C1008" s="24"/>
      <c r="D1008" s="25"/>
      <c r="E1008" s="7"/>
      <c r="F1008" s="26"/>
      <c r="G1008" s="7"/>
      <c r="H1008" s="7"/>
    </row>
    <row r="1009" spans="2:8">
      <c r="B1009" s="9"/>
      <c r="C1009" s="24"/>
      <c r="D1009" s="25"/>
      <c r="E1009" s="7"/>
      <c r="F1009" s="26"/>
      <c r="G1009" s="7"/>
      <c r="H1009" s="7"/>
    </row>
    <row r="1010" spans="2:8">
      <c r="B1010" s="9"/>
      <c r="C1010" s="24"/>
      <c r="D1010" s="25"/>
      <c r="E1010" s="7"/>
      <c r="F1010" s="26"/>
      <c r="G1010" s="7"/>
      <c r="H1010" s="7"/>
    </row>
    <row r="1011" spans="2:8">
      <c r="B1011" s="9"/>
      <c r="C1011" s="24"/>
      <c r="D1011" s="25"/>
      <c r="E1011" s="7"/>
      <c r="F1011" s="26"/>
      <c r="G1011" s="7"/>
      <c r="H1011" s="7"/>
    </row>
    <row r="1012" spans="2:8">
      <c r="B1012" s="9"/>
      <c r="C1012" s="24"/>
      <c r="D1012" s="25"/>
      <c r="E1012" s="7"/>
      <c r="F1012" s="26"/>
      <c r="G1012" s="7"/>
      <c r="H1012" s="7"/>
    </row>
    <row r="1013" spans="2:8">
      <c r="B1013" s="9"/>
      <c r="C1013" s="24"/>
      <c r="D1013" s="25"/>
      <c r="E1013" s="7"/>
      <c r="F1013" s="26"/>
      <c r="G1013" s="7"/>
      <c r="H1013" s="7"/>
    </row>
    <row r="1014" spans="2:8">
      <c r="B1014" s="9"/>
      <c r="C1014" s="24"/>
      <c r="D1014" s="25"/>
      <c r="E1014" s="7"/>
      <c r="F1014" s="26"/>
      <c r="G1014" s="7"/>
      <c r="H1014" s="7"/>
    </row>
    <row r="1015" spans="2:8">
      <c r="B1015" s="9"/>
      <c r="C1015" s="24"/>
      <c r="D1015" s="25"/>
      <c r="E1015" s="7"/>
      <c r="F1015" s="26"/>
      <c r="G1015" s="7"/>
      <c r="H1015" s="7"/>
    </row>
    <row r="1016" spans="2:8">
      <c r="B1016" s="9"/>
      <c r="C1016" s="24"/>
      <c r="D1016" s="25"/>
      <c r="E1016" s="7"/>
      <c r="F1016" s="26"/>
      <c r="G1016" s="7"/>
      <c r="H1016" s="7"/>
    </row>
    <row r="1017" spans="2:8">
      <c r="B1017" s="9"/>
      <c r="C1017" s="24"/>
      <c r="D1017" s="25"/>
      <c r="E1017" s="7"/>
      <c r="F1017" s="26"/>
      <c r="G1017" s="7"/>
      <c r="H1017" s="7"/>
    </row>
    <row r="1018" spans="2:8">
      <c r="B1018" s="9"/>
      <c r="C1018" s="24"/>
      <c r="D1018" s="25"/>
      <c r="E1018" s="7"/>
      <c r="F1018" s="26"/>
      <c r="G1018" s="7"/>
      <c r="H1018" s="7"/>
    </row>
    <row r="1019" spans="2:8">
      <c r="B1019" s="9"/>
      <c r="C1019" s="24"/>
      <c r="D1019" s="25"/>
      <c r="E1019" s="7"/>
      <c r="F1019" s="26"/>
      <c r="G1019" s="7"/>
      <c r="H1019" s="7"/>
    </row>
    <row r="1020" spans="2:8">
      <c r="B1020" s="9"/>
      <c r="C1020" s="24"/>
      <c r="D1020" s="25"/>
      <c r="E1020" s="7"/>
      <c r="F1020" s="26"/>
      <c r="G1020" s="7"/>
      <c r="H1020" s="7"/>
    </row>
    <row r="1021" spans="2:8">
      <c r="B1021" s="9"/>
      <c r="C1021" s="24"/>
      <c r="D1021" s="25"/>
      <c r="E1021" s="7"/>
      <c r="F1021" s="26"/>
      <c r="G1021" s="7"/>
      <c r="H1021" s="7"/>
    </row>
    <row r="1022" spans="2:8">
      <c r="B1022" s="9"/>
      <c r="C1022" s="24"/>
      <c r="D1022" s="25"/>
      <c r="E1022" s="7"/>
      <c r="F1022" s="26"/>
      <c r="G1022" s="7"/>
      <c r="H1022" s="7"/>
    </row>
    <row r="1023" spans="2:8">
      <c r="B1023" s="9"/>
      <c r="C1023" s="24"/>
      <c r="D1023" s="25"/>
      <c r="E1023" s="7"/>
      <c r="F1023" s="26"/>
      <c r="G1023" s="7"/>
      <c r="H1023" s="7"/>
    </row>
    <row r="1024" spans="2:8">
      <c r="B1024" s="9"/>
      <c r="C1024" s="24"/>
      <c r="D1024" s="25"/>
      <c r="E1024" s="7"/>
      <c r="F1024" s="26"/>
      <c r="G1024" s="7"/>
      <c r="H1024" s="7"/>
    </row>
    <row r="1025" spans="2:8">
      <c r="B1025" s="9"/>
      <c r="C1025" s="24"/>
      <c r="D1025" s="25"/>
      <c r="E1025" s="7"/>
      <c r="F1025" s="26"/>
      <c r="G1025" s="7"/>
      <c r="H1025" s="7"/>
    </row>
    <row r="1026" spans="2:8">
      <c r="B1026" s="9"/>
      <c r="C1026" s="24"/>
      <c r="D1026" s="25"/>
      <c r="E1026" s="7"/>
      <c r="F1026" s="26"/>
      <c r="G1026" s="7"/>
      <c r="H1026" s="7"/>
    </row>
    <row r="1027" spans="2:8">
      <c r="B1027" s="9"/>
      <c r="C1027" s="24"/>
      <c r="D1027" s="25"/>
      <c r="E1027" s="7"/>
      <c r="F1027" s="26"/>
      <c r="G1027" s="7"/>
      <c r="H1027" s="7"/>
    </row>
    <row r="1028" spans="2:8">
      <c r="B1028" s="9"/>
      <c r="C1028" s="24"/>
      <c r="D1028" s="25"/>
      <c r="E1028" s="7"/>
      <c r="F1028" s="26"/>
      <c r="G1028" s="7"/>
      <c r="H1028" s="7"/>
    </row>
    <row r="1029" spans="2:8">
      <c r="B1029" s="9"/>
      <c r="C1029" s="24"/>
      <c r="D1029" s="25"/>
      <c r="E1029" s="7"/>
      <c r="F1029" s="26"/>
      <c r="G1029" s="7"/>
      <c r="H1029" s="7"/>
    </row>
    <row r="1030" spans="2:8">
      <c r="B1030" s="9"/>
      <c r="C1030" s="24"/>
      <c r="D1030" s="25"/>
      <c r="E1030" s="7"/>
      <c r="F1030" s="26"/>
      <c r="G1030" s="7"/>
      <c r="H1030" s="7"/>
    </row>
    <row r="1031" spans="2:8">
      <c r="B1031" s="9"/>
      <c r="C1031" s="24"/>
      <c r="D1031" s="25"/>
      <c r="E1031" s="7"/>
      <c r="F1031" s="26"/>
      <c r="G1031" s="7"/>
      <c r="H1031" s="7"/>
    </row>
    <row r="1032" spans="2:8">
      <c r="B1032" s="9"/>
      <c r="C1032" s="24"/>
      <c r="D1032" s="25"/>
      <c r="E1032" s="7"/>
      <c r="F1032" s="26"/>
      <c r="G1032" s="7"/>
      <c r="H1032" s="7"/>
    </row>
    <row r="1033" spans="2:8">
      <c r="B1033" s="9"/>
      <c r="C1033" s="24"/>
      <c r="D1033" s="25"/>
      <c r="E1033" s="7"/>
      <c r="F1033" s="26"/>
      <c r="G1033" s="7"/>
      <c r="H1033" s="7"/>
    </row>
    <row r="1034" spans="2:8">
      <c r="B1034" s="9"/>
      <c r="C1034" s="24"/>
      <c r="D1034" s="25"/>
      <c r="E1034" s="7"/>
      <c r="F1034" s="26"/>
      <c r="G1034" s="7"/>
      <c r="H1034" s="7"/>
    </row>
    <row r="1035" spans="2:8">
      <c r="B1035" s="9"/>
      <c r="C1035" s="24"/>
      <c r="D1035" s="25"/>
      <c r="E1035" s="7"/>
      <c r="F1035" s="26"/>
      <c r="G1035" s="7"/>
      <c r="H1035" s="7"/>
    </row>
    <row r="1036" spans="2:8">
      <c r="B1036" s="9"/>
      <c r="C1036" s="24"/>
      <c r="D1036" s="25"/>
      <c r="E1036" s="7"/>
      <c r="F1036" s="26"/>
      <c r="G1036" s="7"/>
      <c r="H1036" s="7"/>
    </row>
    <row r="1037" spans="2:8">
      <c r="B1037" s="9"/>
      <c r="C1037" s="24"/>
      <c r="D1037" s="25"/>
      <c r="E1037" s="7"/>
      <c r="F1037" s="26"/>
      <c r="G1037" s="7"/>
      <c r="H1037" s="7"/>
    </row>
    <row r="1038" spans="2:8">
      <c r="B1038" s="9"/>
      <c r="C1038" s="24"/>
      <c r="D1038" s="25"/>
      <c r="E1038" s="7"/>
      <c r="F1038" s="26"/>
      <c r="G1038" s="7"/>
      <c r="H1038" s="7"/>
    </row>
    <row r="1039" spans="2:8">
      <c r="B1039" s="9"/>
      <c r="C1039" s="24"/>
      <c r="D1039" s="25"/>
      <c r="E1039" s="7"/>
      <c r="F1039" s="26"/>
      <c r="G1039" s="7"/>
      <c r="H1039" s="7"/>
    </row>
    <row r="1040" spans="2:8">
      <c r="B1040" s="9"/>
      <c r="C1040" s="24"/>
      <c r="D1040" s="25"/>
      <c r="E1040" s="7"/>
      <c r="F1040" s="26"/>
      <c r="G1040" s="7"/>
      <c r="H1040" s="7"/>
    </row>
    <row r="1041" spans="2:8">
      <c r="B1041" s="9"/>
      <c r="C1041" s="24"/>
      <c r="D1041" s="25"/>
      <c r="E1041" s="7"/>
      <c r="F1041" s="26"/>
      <c r="G1041" s="7"/>
      <c r="H1041" s="7"/>
    </row>
    <row r="1042" spans="2:8">
      <c r="B1042" s="9"/>
      <c r="C1042" s="24"/>
      <c r="D1042" s="25"/>
      <c r="E1042" s="7"/>
      <c r="F1042" s="26"/>
      <c r="G1042" s="7"/>
      <c r="H1042" s="7"/>
    </row>
    <row r="1043" spans="2:8">
      <c r="B1043" s="9"/>
      <c r="C1043" s="24"/>
      <c r="D1043" s="25"/>
      <c r="E1043" s="7"/>
      <c r="F1043" s="26"/>
      <c r="G1043" s="7"/>
      <c r="H1043" s="7"/>
    </row>
    <row r="1044" spans="2:8">
      <c r="B1044" s="9"/>
      <c r="C1044" s="24"/>
      <c r="D1044" s="25"/>
      <c r="E1044" s="7"/>
      <c r="F1044" s="26"/>
      <c r="G1044" s="7"/>
      <c r="H1044" s="7"/>
    </row>
    <row r="1045" spans="2:8">
      <c r="B1045" s="9"/>
      <c r="C1045" s="24"/>
      <c r="D1045" s="25"/>
      <c r="E1045" s="7"/>
      <c r="F1045" s="26"/>
      <c r="G1045" s="7"/>
      <c r="H1045" s="7"/>
    </row>
    <row r="1046" spans="2:8">
      <c r="B1046" s="9"/>
      <c r="C1046" s="24"/>
      <c r="D1046" s="25"/>
      <c r="E1046" s="7"/>
      <c r="F1046" s="26"/>
      <c r="G1046" s="7"/>
      <c r="H1046" s="7"/>
    </row>
    <row r="1047" spans="2:8">
      <c r="B1047" s="9"/>
      <c r="C1047" s="24"/>
      <c r="D1047" s="25"/>
      <c r="E1047" s="7"/>
      <c r="F1047" s="26"/>
      <c r="G1047" s="7"/>
      <c r="H1047" s="7"/>
    </row>
    <row r="1048" spans="2:8">
      <c r="B1048" s="9"/>
      <c r="C1048" s="24"/>
      <c r="D1048" s="25"/>
      <c r="E1048" s="7"/>
      <c r="F1048" s="26"/>
      <c r="G1048" s="7"/>
      <c r="H1048" s="7"/>
    </row>
    <row r="1049" spans="2:8">
      <c r="B1049" s="9"/>
      <c r="C1049" s="24"/>
      <c r="D1049" s="25"/>
      <c r="E1049" s="7"/>
      <c r="F1049" s="26"/>
      <c r="G1049" s="7"/>
      <c r="H1049" s="7"/>
    </row>
    <row r="1050" spans="2:8">
      <c r="B1050" s="9"/>
      <c r="C1050" s="24"/>
      <c r="D1050" s="25"/>
      <c r="E1050" s="7"/>
      <c r="F1050" s="26"/>
      <c r="G1050" s="7"/>
      <c r="H1050" s="7"/>
    </row>
    <row r="1051" spans="2:8">
      <c r="B1051" s="9"/>
      <c r="C1051" s="24"/>
      <c r="D1051" s="25"/>
      <c r="E1051" s="7"/>
      <c r="F1051" s="26"/>
      <c r="G1051" s="7"/>
      <c r="H1051" s="7"/>
    </row>
    <row r="1052" spans="2:8">
      <c r="B1052" s="9"/>
      <c r="C1052" s="24"/>
      <c r="D1052" s="25"/>
      <c r="E1052" s="7"/>
      <c r="F1052" s="26"/>
      <c r="G1052" s="7"/>
      <c r="H1052" s="7"/>
    </row>
    <row r="1053" spans="2:8">
      <c r="B1053" s="9"/>
      <c r="C1053" s="24"/>
      <c r="D1053" s="25"/>
      <c r="E1053" s="7"/>
      <c r="F1053" s="26"/>
      <c r="G1053" s="7"/>
      <c r="H1053" s="7"/>
    </row>
    <row r="1054" spans="2:8">
      <c r="B1054" s="9"/>
      <c r="C1054" s="24"/>
      <c r="D1054" s="25"/>
      <c r="E1054" s="7"/>
      <c r="F1054" s="26"/>
      <c r="G1054" s="7"/>
      <c r="H1054" s="7"/>
    </row>
    <row r="1055" spans="2:8">
      <c r="B1055" s="9"/>
      <c r="C1055" s="24"/>
      <c r="D1055" s="25"/>
      <c r="E1055" s="7"/>
      <c r="F1055" s="26"/>
      <c r="G1055" s="7"/>
      <c r="H1055" s="7"/>
    </row>
    <row r="1056" spans="2:8">
      <c r="B1056" s="9"/>
      <c r="C1056" s="24"/>
      <c r="D1056" s="25"/>
      <c r="E1056" s="7"/>
      <c r="F1056" s="26"/>
      <c r="G1056" s="7"/>
      <c r="H1056" s="7"/>
    </row>
    <row r="1057" spans="2:8">
      <c r="B1057" s="9"/>
      <c r="C1057" s="24"/>
      <c r="D1057" s="25"/>
      <c r="E1057" s="7"/>
      <c r="F1057" s="26"/>
      <c r="G1057" s="7"/>
      <c r="H1057" s="7"/>
    </row>
    <row r="1058" spans="2:8">
      <c r="B1058" s="9"/>
      <c r="C1058" s="24"/>
      <c r="D1058" s="25"/>
      <c r="E1058" s="7"/>
      <c r="F1058" s="26"/>
      <c r="G1058" s="7"/>
      <c r="H1058" s="7"/>
    </row>
    <row r="1059" spans="2:8">
      <c r="B1059" s="9"/>
      <c r="C1059" s="24"/>
      <c r="D1059" s="25"/>
      <c r="E1059" s="7"/>
      <c r="F1059" s="26"/>
      <c r="G1059" s="7"/>
      <c r="H1059" s="7"/>
    </row>
    <row r="1060" spans="2:8">
      <c r="B1060" s="9"/>
      <c r="C1060" s="24"/>
      <c r="D1060" s="25"/>
      <c r="E1060" s="7"/>
      <c r="F1060" s="26"/>
      <c r="G1060" s="7"/>
      <c r="H1060" s="7"/>
    </row>
    <row r="1061" spans="2:8">
      <c r="B1061" s="9"/>
      <c r="C1061" s="24"/>
      <c r="D1061" s="25"/>
      <c r="E1061" s="7"/>
      <c r="F1061" s="26"/>
      <c r="G1061" s="7"/>
      <c r="H1061" s="7"/>
    </row>
    <row r="1062" spans="2:8">
      <c r="B1062" s="9"/>
      <c r="C1062" s="24"/>
      <c r="D1062" s="25"/>
      <c r="E1062" s="7"/>
      <c r="F1062" s="26"/>
      <c r="G1062" s="7"/>
      <c r="H1062" s="7"/>
    </row>
    <row r="1063" spans="2:8">
      <c r="B1063" s="9"/>
      <c r="C1063" s="24"/>
      <c r="D1063" s="25"/>
      <c r="E1063" s="7"/>
      <c r="F1063" s="26"/>
      <c r="G1063" s="7"/>
      <c r="H1063" s="7"/>
    </row>
    <row r="1064" spans="2:8">
      <c r="B1064" s="9"/>
      <c r="C1064" s="24"/>
      <c r="D1064" s="25"/>
      <c r="E1064" s="7"/>
      <c r="F1064" s="26"/>
      <c r="G1064" s="7"/>
      <c r="H1064" s="7"/>
    </row>
    <row r="1065" spans="2:8">
      <c r="B1065" s="9"/>
      <c r="C1065" s="24"/>
      <c r="D1065" s="25"/>
      <c r="E1065" s="7"/>
      <c r="F1065" s="26"/>
      <c r="G1065" s="7"/>
      <c r="H1065" s="7"/>
    </row>
    <row r="1066" spans="2:8">
      <c r="B1066" s="9"/>
      <c r="C1066" s="24"/>
      <c r="D1066" s="25"/>
      <c r="E1066" s="7"/>
      <c r="F1066" s="26"/>
      <c r="G1066" s="7"/>
      <c r="H1066" s="7"/>
    </row>
    <row r="1067" spans="2:8">
      <c r="B1067" s="9"/>
      <c r="C1067" s="24"/>
      <c r="D1067" s="25"/>
      <c r="E1067" s="7"/>
      <c r="F1067" s="26"/>
      <c r="G1067" s="7"/>
      <c r="H1067" s="7"/>
    </row>
    <row r="1068" spans="2:8">
      <c r="B1068" s="9"/>
      <c r="C1068" s="24"/>
      <c r="D1068" s="25"/>
      <c r="E1068" s="7"/>
      <c r="F1068" s="26"/>
      <c r="G1068" s="7"/>
      <c r="H1068" s="7"/>
    </row>
    <row r="1069" spans="2:8">
      <c r="B1069" s="9"/>
      <c r="C1069" s="24"/>
      <c r="D1069" s="25"/>
      <c r="E1069" s="7"/>
      <c r="F1069" s="26"/>
      <c r="G1069" s="7"/>
      <c r="H1069" s="7"/>
    </row>
    <row r="1070" spans="2:8">
      <c r="B1070" s="9"/>
      <c r="C1070" s="24"/>
      <c r="D1070" s="25"/>
      <c r="E1070" s="7"/>
      <c r="F1070" s="26"/>
      <c r="G1070" s="7"/>
      <c r="H1070" s="7"/>
    </row>
    <row r="1071" spans="2:8">
      <c r="B1071" s="9"/>
      <c r="C1071" s="24"/>
      <c r="D1071" s="25"/>
      <c r="E1071" s="7"/>
      <c r="F1071" s="26"/>
      <c r="G1071" s="7"/>
      <c r="H1071" s="7"/>
    </row>
    <row r="1072" spans="2:8">
      <c r="B1072" s="9"/>
      <c r="C1072" s="24"/>
      <c r="D1072" s="25"/>
      <c r="E1072" s="7"/>
      <c r="F1072" s="26"/>
      <c r="G1072" s="7"/>
      <c r="H1072" s="7"/>
    </row>
    <row r="1073" spans="2:8">
      <c r="B1073" s="9"/>
      <c r="C1073" s="24"/>
      <c r="D1073" s="25"/>
      <c r="E1073" s="7"/>
      <c r="F1073" s="26"/>
      <c r="G1073" s="7"/>
      <c r="H1073" s="7"/>
    </row>
    <row r="1074" spans="2:8">
      <c r="B1074" s="9"/>
      <c r="C1074" s="24"/>
      <c r="D1074" s="25"/>
      <c r="E1074" s="7"/>
      <c r="F1074" s="26"/>
      <c r="G1074" s="7"/>
      <c r="H1074" s="7"/>
    </row>
    <row r="1075" spans="2:8">
      <c r="B1075" s="9"/>
      <c r="C1075" s="24"/>
      <c r="D1075" s="25"/>
      <c r="E1075" s="7"/>
      <c r="F1075" s="26"/>
      <c r="G1075" s="7"/>
      <c r="H1075" s="7"/>
    </row>
    <row r="1076" spans="2:8">
      <c r="B1076" s="9"/>
      <c r="C1076" s="24"/>
      <c r="D1076" s="25"/>
      <c r="E1076" s="7"/>
      <c r="F1076" s="26"/>
      <c r="G1076" s="7"/>
      <c r="H1076" s="7"/>
    </row>
    <row r="1077" spans="2:8">
      <c r="B1077" s="9"/>
      <c r="C1077" s="24"/>
      <c r="D1077" s="25"/>
      <c r="E1077" s="7"/>
      <c r="F1077" s="26"/>
      <c r="G1077" s="7"/>
      <c r="H1077" s="7"/>
    </row>
    <row r="1078" spans="2:8">
      <c r="B1078" s="9"/>
      <c r="C1078" s="24"/>
      <c r="D1078" s="25"/>
      <c r="E1078" s="7"/>
      <c r="F1078" s="26"/>
      <c r="G1078" s="7"/>
      <c r="H1078" s="7"/>
    </row>
    <row r="1079" spans="2:8">
      <c r="B1079" s="9"/>
      <c r="C1079" s="24"/>
      <c r="D1079" s="25"/>
      <c r="E1079" s="7"/>
      <c r="F1079" s="26"/>
      <c r="G1079" s="7"/>
      <c r="H1079" s="7"/>
    </row>
    <row r="1080" spans="2:8">
      <c r="B1080" s="9"/>
      <c r="C1080" s="24"/>
      <c r="D1080" s="25"/>
      <c r="E1080" s="7"/>
      <c r="F1080" s="26"/>
      <c r="G1080" s="7"/>
      <c r="H1080" s="7"/>
    </row>
    <row r="1081" spans="2:8">
      <c r="B1081" s="9"/>
      <c r="C1081" s="24"/>
      <c r="D1081" s="25"/>
      <c r="E1081" s="7"/>
      <c r="F1081" s="26"/>
      <c r="G1081" s="7"/>
      <c r="H1081" s="7"/>
    </row>
    <row r="1082" spans="2:8">
      <c r="B1082" s="9"/>
      <c r="C1082" s="24"/>
      <c r="D1082" s="25"/>
      <c r="E1082" s="7"/>
      <c r="F1082" s="26"/>
      <c r="G1082" s="7"/>
      <c r="H1082" s="7"/>
    </row>
    <row r="1083" spans="2:8">
      <c r="B1083" s="9"/>
      <c r="C1083" s="24"/>
      <c r="D1083" s="25"/>
      <c r="E1083" s="7"/>
      <c r="F1083" s="26"/>
      <c r="G1083" s="7"/>
      <c r="H1083" s="7"/>
    </row>
    <row r="1084" spans="2:8">
      <c r="B1084" s="9"/>
      <c r="C1084" s="24"/>
      <c r="D1084" s="25"/>
      <c r="E1084" s="7"/>
      <c r="F1084" s="26"/>
      <c r="G1084" s="7"/>
      <c r="H1084" s="7"/>
    </row>
    <row r="1085" spans="2:8">
      <c r="B1085" s="9"/>
      <c r="C1085" s="24"/>
      <c r="D1085" s="25"/>
      <c r="E1085" s="7"/>
      <c r="F1085" s="26"/>
      <c r="G1085" s="7"/>
      <c r="H1085" s="7"/>
    </row>
    <row r="1086" spans="2:8">
      <c r="B1086" s="9"/>
      <c r="C1086" s="24"/>
      <c r="D1086" s="25"/>
      <c r="E1086" s="7"/>
      <c r="F1086" s="26"/>
      <c r="G1086" s="7"/>
      <c r="H1086" s="7"/>
    </row>
    <row r="1087" spans="2:8">
      <c r="B1087" s="9"/>
      <c r="C1087" s="24"/>
      <c r="D1087" s="25"/>
      <c r="E1087" s="7"/>
      <c r="F1087" s="26"/>
      <c r="G1087" s="7"/>
      <c r="H1087" s="7"/>
    </row>
    <row r="1088" spans="2:8">
      <c r="B1088" s="9"/>
      <c r="C1088" s="24"/>
      <c r="D1088" s="25"/>
      <c r="E1088" s="7"/>
      <c r="F1088" s="26"/>
      <c r="G1088" s="7"/>
      <c r="H1088" s="7"/>
    </row>
    <row r="1089" spans="2:8">
      <c r="B1089" s="9"/>
      <c r="C1089" s="24"/>
      <c r="D1089" s="25"/>
      <c r="E1089" s="7"/>
      <c r="F1089" s="26"/>
      <c r="G1089" s="7"/>
      <c r="H1089" s="7"/>
    </row>
    <row r="1090" spans="2:8">
      <c r="B1090" s="9"/>
      <c r="C1090" s="24"/>
      <c r="D1090" s="25"/>
      <c r="E1090" s="7"/>
      <c r="F1090" s="26"/>
      <c r="G1090" s="7"/>
      <c r="H1090" s="7"/>
    </row>
    <row r="1091" spans="2:8">
      <c r="B1091" s="9"/>
      <c r="C1091" s="24"/>
      <c r="D1091" s="25"/>
      <c r="E1091" s="7"/>
      <c r="F1091" s="26"/>
      <c r="G1091" s="7"/>
      <c r="H1091" s="7"/>
    </row>
    <row r="1092" spans="2:8">
      <c r="B1092" s="9"/>
      <c r="C1092" s="24"/>
      <c r="D1092" s="25"/>
      <c r="E1092" s="7"/>
      <c r="F1092" s="26"/>
      <c r="G1092" s="7"/>
      <c r="H1092" s="7"/>
    </row>
    <row r="1093" spans="2:8">
      <c r="B1093" s="9"/>
      <c r="C1093" s="24"/>
      <c r="D1093" s="25"/>
      <c r="E1093" s="7"/>
      <c r="F1093" s="26"/>
      <c r="G1093" s="7"/>
      <c r="H1093" s="7"/>
    </row>
    <row r="1094" spans="2:8">
      <c r="B1094" s="9"/>
      <c r="C1094" s="24"/>
      <c r="D1094" s="25"/>
      <c r="E1094" s="7"/>
      <c r="F1094" s="26"/>
      <c r="G1094" s="7"/>
      <c r="H1094" s="7"/>
    </row>
    <row r="1095" spans="2:8">
      <c r="B1095" s="9"/>
      <c r="C1095" s="24"/>
      <c r="D1095" s="25"/>
      <c r="E1095" s="7"/>
      <c r="F1095" s="26"/>
      <c r="G1095" s="7"/>
      <c r="H1095" s="7"/>
    </row>
    <row r="1096" spans="2:8">
      <c r="B1096" s="9"/>
      <c r="C1096" s="24"/>
      <c r="D1096" s="25"/>
      <c r="E1096" s="7"/>
      <c r="F1096" s="26"/>
      <c r="G1096" s="7"/>
      <c r="H1096" s="7"/>
    </row>
    <row r="1097" spans="2:8">
      <c r="B1097" s="9"/>
      <c r="C1097" s="24"/>
      <c r="D1097" s="25"/>
      <c r="E1097" s="7"/>
      <c r="F1097" s="26"/>
      <c r="G1097" s="7"/>
      <c r="H1097" s="7"/>
    </row>
    <row r="1098" spans="2:8">
      <c r="B1098" s="9"/>
      <c r="C1098" s="24"/>
      <c r="D1098" s="25"/>
      <c r="E1098" s="7"/>
      <c r="F1098" s="26"/>
      <c r="G1098" s="7"/>
      <c r="H1098" s="7"/>
    </row>
    <row r="1099" spans="2:8">
      <c r="B1099" s="9"/>
      <c r="C1099" s="24"/>
      <c r="D1099" s="25"/>
      <c r="E1099" s="7"/>
      <c r="F1099" s="26"/>
      <c r="G1099" s="7"/>
      <c r="H1099" s="7"/>
    </row>
    <row r="1100" spans="2:8">
      <c r="B1100" s="9"/>
      <c r="C1100" s="24"/>
      <c r="D1100" s="25"/>
      <c r="E1100" s="7"/>
      <c r="F1100" s="26"/>
      <c r="G1100" s="7"/>
      <c r="H1100" s="7"/>
    </row>
    <row r="1101" spans="2:8">
      <c r="B1101" s="9"/>
      <c r="C1101" s="24"/>
      <c r="D1101" s="25"/>
      <c r="E1101" s="7"/>
      <c r="F1101" s="26"/>
      <c r="G1101" s="7"/>
      <c r="H1101" s="7"/>
    </row>
    <row r="1102" spans="2:8">
      <c r="B1102" s="9"/>
      <c r="C1102" s="24"/>
      <c r="D1102" s="25"/>
      <c r="E1102" s="7"/>
      <c r="F1102" s="26"/>
      <c r="G1102" s="7"/>
      <c r="H1102" s="7"/>
    </row>
    <row r="1103" spans="2:8">
      <c r="B1103" s="9"/>
      <c r="C1103" s="24"/>
      <c r="D1103" s="25"/>
      <c r="E1103" s="7"/>
      <c r="F1103" s="26"/>
      <c r="G1103" s="7"/>
      <c r="H1103" s="7"/>
    </row>
    <row r="1104" spans="2:8">
      <c r="B1104" s="9"/>
      <c r="C1104" s="24"/>
      <c r="D1104" s="25"/>
      <c r="E1104" s="7"/>
      <c r="F1104" s="26"/>
      <c r="G1104" s="7"/>
      <c r="H1104" s="7"/>
    </row>
    <row r="1105" spans="2:8">
      <c r="B1105" s="9"/>
      <c r="C1105" s="24"/>
      <c r="D1105" s="25"/>
      <c r="E1105" s="7"/>
      <c r="F1105" s="26"/>
      <c r="G1105" s="7"/>
      <c r="H1105" s="7"/>
    </row>
    <row r="1106" spans="2:8">
      <c r="B1106" s="9"/>
      <c r="C1106" s="24"/>
      <c r="D1106" s="25"/>
      <c r="E1106" s="7"/>
      <c r="F1106" s="26"/>
      <c r="G1106" s="7"/>
      <c r="H1106" s="7"/>
    </row>
    <row r="1107" spans="2:8">
      <c r="B1107" s="9"/>
      <c r="C1107" s="24"/>
      <c r="D1107" s="25"/>
      <c r="E1107" s="7"/>
      <c r="F1107" s="26"/>
      <c r="G1107" s="7"/>
      <c r="H1107" s="7"/>
    </row>
    <row r="1108" spans="2:8">
      <c r="B1108" s="9"/>
      <c r="C1108" s="24"/>
      <c r="D1108" s="25"/>
      <c r="E1108" s="7"/>
      <c r="F1108" s="26"/>
      <c r="G1108" s="7"/>
      <c r="H1108" s="7"/>
    </row>
    <row r="1109" spans="2:8">
      <c r="B1109" s="9"/>
      <c r="C1109" s="24"/>
      <c r="D1109" s="25"/>
      <c r="E1109" s="7"/>
      <c r="F1109" s="26"/>
      <c r="G1109" s="7"/>
      <c r="H1109" s="7"/>
    </row>
    <row r="1110" spans="2:8">
      <c r="B1110" s="9"/>
      <c r="C1110" s="24"/>
      <c r="D1110" s="25"/>
      <c r="E1110" s="7"/>
      <c r="F1110" s="26"/>
      <c r="G1110" s="7"/>
      <c r="H1110" s="7"/>
    </row>
    <row r="1111" spans="2:8">
      <c r="B1111" s="9"/>
      <c r="C1111" s="24"/>
      <c r="D1111" s="25"/>
      <c r="E1111" s="7"/>
      <c r="F1111" s="26"/>
      <c r="G1111" s="7"/>
      <c r="H1111" s="7"/>
    </row>
    <row r="1112" spans="2:8">
      <c r="B1112" s="9"/>
      <c r="C1112" s="24"/>
      <c r="D1112" s="25"/>
      <c r="E1112" s="7"/>
      <c r="F1112" s="26"/>
      <c r="G1112" s="7"/>
      <c r="H1112" s="7"/>
    </row>
    <row r="1113" spans="2:8">
      <c r="B1113" s="9"/>
      <c r="C1113" s="24"/>
      <c r="D1113" s="25"/>
      <c r="E1113" s="7"/>
      <c r="F1113" s="26"/>
      <c r="G1113" s="7"/>
      <c r="H1113" s="7"/>
    </row>
    <row r="1114" spans="2:8">
      <c r="B1114" s="9"/>
      <c r="C1114" s="24"/>
      <c r="D1114" s="25"/>
      <c r="E1114" s="7"/>
      <c r="F1114" s="26"/>
      <c r="G1114" s="7"/>
      <c r="H1114" s="7"/>
    </row>
    <row r="1115" spans="2:8">
      <c r="B1115" s="9"/>
      <c r="C1115" s="24"/>
      <c r="D1115" s="25"/>
      <c r="E1115" s="7"/>
      <c r="F1115" s="26"/>
      <c r="G1115" s="7"/>
      <c r="H1115" s="7"/>
    </row>
    <row r="1116" spans="2:8">
      <c r="B1116" s="9"/>
      <c r="C1116" s="24"/>
      <c r="D1116" s="25"/>
      <c r="E1116" s="7"/>
      <c r="F1116" s="26"/>
      <c r="G1116" s="7"/>
      <c r="H1116" s="7"/>
    </row>
    <row r="1117" spans="2:8">
      <c r="B1117" s="9"/>
      <c r="C1117" s="24"/>
      <c r="D1117" s="25"/>
      <c r="E1117" s="7"/>
      <c r="F1117" s="26"/>
      <c r="G1117" s="7"/>
      <c r="H1117" s="7"/>
    </row>
    <row r="1118" spans="2:8">
      <c r="B1118" s="9"/>
      <c r="C1118" s="24"/>
      <c r="D1118" s="25"/>
      <c r="E1118" s="7"/>
      <c r="F1118" s="26"/>
      <c r="G1118" s="7"/>
      <c r="H1118" s="7"/>
    </row>
    <row r="1119" spans="2:8">
      <c r="B1119" s="9"/>
      <c r="C1119" s="24"/>
      <c r="D1119" s="25"/>
      <c r="E1119" s="7"/>
      <c r="F1119" s="26"/>
      <c r="G1119" s="7"/>
      <c r="H1119" s="7"/>
    </row>
    <row r="1120" spans="2:8">
      <c r="B1120" s="9"/>
      <c r="C1120" s="24"/>
      <c r="D1120" s="25"/>
      <c r="E1120" s="7"/>
      <c r="F1120" s="26"/>
      <c r="G1120" s="7"/>
      <c r="H1120" s="7"/>
    </row>
    <row r="1121" spans="2:8">
      <c r="B1121" s="9"/>
      <c r="C1121" s="24"/>
      <c r="D1121" s="25"/>
      <c r="E1121" s="7"/>
      <c r="F1121" s="26"/>
      <c r="G1121" s="7"/>
      <c r="H1121" s="7"/>
    </row>
    <row r="1122" spans="2:8">
      <c r="B1122" s="9"/>
      <c r="C1122" s="24"/>
      <c r="D1122" s="25"/>
      <c r="E1122" s="7"/>
      <c r="F1122" s="26"/>
      <c r="G1122" s="7"/>
      <c r="H1122" s="7"/>
    </row>
    <row r="1123" spans="2:8">
      <c r="B1123" s="9"/>
      <c r="C1123" s="24"/>
      <c r="D1123" s="25"/>
      <c r="E1123" s="7"/>
      <c r="F1123" s="26"/>
      <c r="G1123" s="7"/>
      <c r="H1123" s="7"/>
    </row>
    <row r="1124" spans="2:8">
      <c r="B1124" s="9"/>
      <c r="C1124" s="24"/>
      <c r="D1124" s="25"/>
      <c r="E1124" s="7"/>
      <c r="F1124" s="26"/>
      <c r="G1124" s="7"/>
      <c r="H1124" s="7"/>
    </row>
    <row r="1125" spans="2:8">
      <c r="B1125" s="9"/>
      <c r="C1125" s="24"/>
      <c r="D1125" s="25"/>
      <c r="E1125" s="7"/>
      <c r="F1125" s="26"/>
      <c r="G1125" s="7"/>
      <c r="H1125" s="7"/>
    </row>
    <row r="1126" spans="2:8">
      <c r="B1126" s="9"/>
      <c r="C1126" s="24"/>
      <c r="D1126" s="25"/>
      <c r="E1126" s="7"/>
      <c r="F1126" s="26"/>
      <c r="G1126" s="7"/>
      <c r="H1126" s="7"/>
    </row>
    <row r="1127" spans="2:8">
      <c r="B1127" s="9"/>
      <c r="C1127" s="24"/>
      <c r="D1127" s="25"/>
      <c r="E1127" s="7"/>
      <c r="F1127" s="26"/>
      <c r="G1127" s="7"/>
      <c r="H1127" s="7"/>
    </row>
    <row r="1128" spans="2:8">
      <c r="B1128" s="9"/>
      <c r="C1128" s="24"/>
      <c r="D1128" s="25"/>
      <c r="E1128" s="7"/>
      <c r="F1128" s="26"/>
      <c r="G1128" s="7"/>
      <c r="H1128" s="7"/>
    </row>
    <row r="1129" spans="2:8">
      <c r="B1129" s="9"/>
      <c r="C1129" s="24"/>
      <c r="D1129" s="25"/>
      <c r="E1129" s="7"/>
      <c r="F1129" s="26"/>
      <c r="G1129" s="7"/>
      <c r="H1129" s="7"/>
    </row>
    <row r="1130" spans="2:8">
      <c r="B1130" s="9"/>
      <c r="C1130" s="24"/>
      <c r="D1130" s="25"/>
      <c r="E1130" s="7"/>
      <c r="F1130" s="26"/>
      <c r="G1130" s="7"/>
      <c r="H1130" s="7"/>
    </row>
    <row r="1131" spans="2:8">
      <c r="B1131" s="9"/>
      <c r="C1131" s="24"/>
      <c r="D1131" s="25"/>
      <c r="E1131" s="7"/>
      <c r="F1131" s="26"/>
      <c r="G1131" s="7"/>
      <c r="H1131" s="7"/>
    </row>
    <row r="1132" spans="2:8">
      <c r="B1132" s="9"/>
      <c r="C1132" s="24"/>
      <c r="D1132" s="25"/>
      <c r="E1132" s="7"/>
      <c r="F1132" s="26"/>
      <c r="G1132" s="7"/>
      <c r="H1132" s="7"/>
    </row>
    <row r="1133" spans="2:8">
      <c r="B1133" s="9"/>
      <c r="C1133" s="24"/>
      <c r="D1133" s="25"/>
      <c r="E1133" s="7"/>
      <c r="F1133" s="26"/>
      <c r="G1133" s="7"/>
      <c r="H1133" s="7"/>
    </row>
    <row r="1134" spans="2:8">
      <c r="B1134" s="9"/>
      <c r="C1134" s="24"/>
      <c r="D1134" s="25"/>
      <c r="E1134" s="7"/>
      <c r="F1134" s="26"/>
      <c r="G1134" s="7"/>
      <c r="H1134" s="7"/>
    </row>
    <row r="1135" spans="2:8">
      <c r="B1135" s="9"/>
      <c r="C1135" s="24"/>
      <c r="D1135" s="25"/>
      <c r="E1135" s="7"/>
      <c r="F1135" s="26"/>
      <c r="G1135" s="7"/>
      <c r="H1135" s="7"/>
    </row>
    <row r="1136" spans="2:8">
      <c r="B1136" s="9"/>
      <c r="C1136" s="24"/>
      <c r="D1136" s="25"/>
      <c r="E1136" s="7"/>
      <c r="F1136" s="26"/>
      <c r="G1136" s="7"/>
      <c r="H1136" s="7"/>
    </row>
    <row r="1137" spans="2:8">
      <c r="B1137" s="9"/>
      <c r="C1137" s="24"/>
      <c r="D1137" s="25"/>
      <c r="E1137" s="7"/>
      <c r="F1137" s="26"/>
      <c r="G1137" s="7"/>
      <c r="H1137" s="7"/>
    </row>
    <row r="1138" spans="2:8">
      <c r="B1138" s="9"/>
      <c r="C1138" s="24"/>
      <c r="D1138" s="25"/>
      <c r="E1138" s="7"/>
      <c r="F1138" s="26"/>
      <c r="G1138" s="7"/>
      <c r="H1138" s="7"/>
    </row>
    <row r="1139" spans="2:8">
      <c r="B1139" s="9"/>
      <c r="C1139" s="24"/>
      <c r="D1139" s="25"/>
      <c r="E1139" s="7"/>
      <c r="F1139" s="26"/>
      <c r="G1139" s="7"/>
      <c r="H1139" s="7"/>
    </row>
    <row r="1140" spans="2:8">
      <c r="B1140" s="9"/>
      <c r="C1140" s="24"/>
      <c r="D1140" s="25"/>
      <c r="E1140" s="7"/>
      <c r="F1140" s="26"/>
      <c r="G1140" s="7"/>
      <c r="H1140" s="7"/>
    </row>
    <row r="1141" spans="2:8">
      <c r="B1141" s="9"/>
      <c r="C1141" s="24"/>
      <c r="D1141" s="25"/>
      <c r="E1141" s="7"/>
      <c r="F1141" s="26"/>
      <c r="G1141" s="7"/>
      <c r="H1141" s="7"/>
    </row>
    <row r="1142" spans="2:8">
      <c r="B1142" s="9"/>
      <c r="C1142" s="24"/>
      <c r="D1142" s="25"/>
      <c r="E1142" s="7"/>
      <c r="F1142" s="26"/>
      <c r="G1142" s="7"/>
      <c r="H1142" s="7"/>
    </row>
    <row r="1143" spans="2:8">
      <c r="B1143" s="9"/>
      <c r="C1143" s="24"/>
      <c r="D1143" s="25"/>
      <c r="E1143" s="7"/>
      <c r="F1143" s="26"/>
      <c r="G1143" s="7"/>
      <c r="H1143" s="7"/>
    </row>
    <row r="1144" spans="2:8">
      <c r="B1144" s="9"/>
      <c r="C1144" s="24"/>
      <c r="D1144" s="25"/>
      <c r="E1144" s="7"/>
      <c r="F1144" s="26"/>
      <c r="G1144" s="7"/>
      <c r="H1144" s="7"/>
    </row>
    <row r="1145" spans="2:8">
      <c r="B1145" s="9"/>
      <c r="C1145" s="24"/>
      <c r="D1145" s="25"/>
      <c r="E1145" s="7"/>
      <c r="F1145" s="26"/>
      <c r="G1145" s="7"/>
      <c r="H1145" s="7"/>
    </row>
    <row r="1146" spans="2:8">
      <c r="B1146" s="9"/>
      <c r="C1146" s="24"/>
      <c r="D1146" s="25"/>
      <c r="E1146" s="7"/>
      <c r="F1146" s="26"/>
      <c r="G1146" s="7"/>
      <c r="H1146" s="7"/>
    </row>
    <row r="1147" spans="2:8">
      <c r="B1147" s="9"/>
      <c r="C1147" s="24"/>
      <c r="D1147" s="25"/>
      <c r="E1147" s="7"/>
      <c r="F1147" s="26"/>
      <c r="G1147" s="7"/>
      <c r="H1147" s="7"/>
    </row>
    <row r="1148" spans="2:8">
      <c r="B1148" s="9"/>
      <c r="C1148" s="24"/>
      <c r="D1148" s="25"/>
      <c r="E1148" s="7"/>
      <c r="F1148" s="26"/>
      <c r="G1148" s="7"/>
      <c r="H1148" s="7"/>
    </row>
    <row r="1149" spans="2:8">
      <c r="B1149" s="9"/>
      <c r="C1149" s="24"/>
      <c r="D1149" s="25"/>
      <c r="E1149" s="7"/>
      <c r="F1149" s="26"/>
      <c r="G1149" s="7"/>
      <c r="H1149" s="7"/>
    </row>
    <row r="1150" spans="2:8">
      <c r="B1150" s="9"/>
      <c r="C1150" s="24"/>
      <c r="D1150" s="25"/>
      <c r="E1150" s="7"/>
      <c r="F1150" s="26"/>
      <c r="G1150" s="7"/>
      <c r="H1150" s="7"/>
    </row>
    <row r="1151" spans="2:8">
      <c r="B1151" s="9"/>
      <c r="C1151" s="24"/>
      <c r="D1151" s="25"/>
      <c r="E1151" s="7"/>
      <c r="F1151" s="26"/>
      <c r="G1151" s="7"/>
      <c r="H1151" s="7"/>
    </row>
    <row r="1152" spans="2:8">
      <c r="B1152" s="9"/>
      <c r="C1152" s="24"/>
      <c r="D1152" s="25"/>
      <c r="E1152" s="7"/>
      <c r="F1152" s="26"/>
      <c r="G1152" s="7"/>
      <c r="H1152" s="7"/>
    </row>
    <row r="1153" spans="2:8">
      <c r="B1153" s="9"/>
      <c r="C1153" s="24"/>
      <c r="D1153" s="25"/>
      <c r="E1153" s="7"/>
      <c r="F1153" s="26"/>
      <c r="G1153" s="7"/>
      <c r="H1153" s="7"/>
    </row>
    <row r="1154" spans="2:8">
      <c r="B1154" s="9"/>
      <c r="C1154" s="24"/>
      <c r="D1154" s="25"/>
      <c r="E1154" s="7"/>
      <c r="F1154" s="26"/>
      <c r="G1154" s="7"/>
      <c r="H1154" s="7"/>
    </row>
    <row r="1155" spans="2:8">
      <c r="B1155" s="9"/>
      <c r="C1155" s="24"/>
      <c r="D1155" s="25"/>
      <c r="E1155" s="7"/>
      <c r="F1155" s="26"/>
      <c r="G1155" s="7"/>
      <c r="H1155" s="7"/>
    </row>
    <row r="1156" spans="2:8">
      <c r="B1156" s="9"/>
      <c r="C1156" s="24"/>
      <c r="D1156" s="25"/>
      <c r="E1156" s="7"/>
      <c r="F1156" s="26"/>
      <c r="G1156" s="7"/>
      <c r="H1156" s="7"/>
    </row>
    <row r="1157" spans="2:8">
      <c r="B1157" s="9"/>
      <c r="C1157" s="24"/>
      <c r="D1157" s="25"/>
      <c r="E1157" s="7"/>
      <c r="F1157" s="26"/>
      <c r="G1157" s="7"/>
      <c r="H1157" s="7"/>
    </row>
    <row r="1158" spans="2:8">
      <c r="B1158" s="9"/>
      <c r="C1158" s="24"/>
      <c r="D1158" s="25"/>
      <c r="E1158" s="7"/>
      <c r="F1158" s="26"/>
      <c r="G1158" s="7"/>
      <c r="H1158" s="7"/>
    </row>
    <row r="1159" spans="2:8">
      <c r="B1159" s="9"/>
      <c r="C1159" s="24"/>
      <c r="D1159" s="25"/>
      <c r="E1159" s="7"/>
      <c r="F1159" s="26"/>
      <c r="G1159" s="7"/>
      <c r="H1159" s="7"/>
    </row>
    <row r="1160" spans="2:8">
      <c r="B1160" s="9"/>
      <c r="C1160" s="24"/>
      <c r="D1160" s="25"/>
      <c r="E1160" s="7"/>
      <c r="F1160" s="26"/>
      <c r="G1160" s="7"/>
      <c r="H1160" s="7"/>
    </row>
    <row r="1161" spans="2:8">
      <c r="B1161" s="9"/>
      <c r="C1161" s="24"/>
      <c r="D1161" s="25"/>
      <c r="E1161" s="7"/>
      <c r="F1161" s="26"/>
      <c r="G1161" s="7"/>
      <c r="H1161" s="7"/>
    </row>
    <row r="1162" spans="2:8">
      <c r="B1162" s="9"/>
      <c r="C1162" s="24"/>
      <c r="D1162" s="25"/>
      <c r="E1162" s="7"/>
      <c r="F1162" s="26"/>
      <c r="G1162" s="7"/>
      <c r="H1162" s="7"/>
    </row>
    <row r="1163" spans="2:8">
      <c r="B1163" s="9"/>
      <c r="C1163" s="24"/>
      <c r="D1163" s="25"/>
      <c r="E1163" s="7"/>
      <c r="F1163" s="26"/>
      <c r="G1163" s="7"/>
      <c r="H1163" s="7"/>
    </row>
    <row r="1164" spans="2:8">
      <c r="B1164" s="9"/>
      <c r="C1164" s="24"/>
      <c r="D1164" s="25"/>
      <c r="E1164" s="7"/>
      <c r="F1164" s="26"/>
      <c r="G1164" s="7"/>
      <c r="H1164" s="7"/>
    </row>
    <row r="1165" spans="2:8">
      <c r="B1165" s="9"/>
      <c r="C1165" s="24"/>
      <c r="D1165" s="25"/>
      <c r="E1165" s="7"/>
      <c r="F1165" s="26"/>
      <c r="G1165" s="7"/>
      <c r="H1165" s="7"/>
    </row>
    <row r="1166" spans="2:8">
      <c r="B1166" s="9"/>
      <c r="C1166" s="24"/>
      <c r="D1166" s="25"/>
      <c r="E1166" s="7"/>
      <c r="F1166" s="26"/>
      <c r="G1166" s="7"/>
      <c r="H1166" s="7"/>
    </row>
    <row r="1167" spans="2:8">
      <c r="B1167" s="9"/>
      <c r="C1167" s="24"/>
      <c r="D1167" s="25"/>
      <c r="E1167" s="7"/>
      <c r="F1167" s="26"/>
      <c r="G1167" s="7"/>
      <c r="H1167" s="7"/>
    </row>
    <row r="1168" spans="2:8">
      <c r="B1168" s="9"/>
      <c r="C1168" s="24"/>
      <c r="D1168" s="25"/>
      <c r="E1168" s="7"/>
      <c r="F1168" s="26"/>
      <c r="G1168" s="7"/>
      <c r="H1168" s="7"/>
    </row>
    <row r="1169" spans="2:8">
      <c r="B1169" s="9"/>
      <c r="C1169" s="24"/>
      <c r="D1169" s="25"/>
      <c r="E1169" s="7"/>
      <c r="F1169" s="26"/>
      <c r="G1169" s="7"/>
      <c r="H1169" s="7"/>
    </row>
    <row r="1170" spans="2:8">
      <c r="B1170" s="9"/>
      <c r="C1170" s="24"/>
      <c r="D1170" s="25"/>
      <c r="E1170" s="7"/>
      <c r="F1170" s="26"/>
      <c r="G1170" s="7"/>
      <c r="H1170" s="7"/>
    </row>
    <row r="1171" spans="2:8">
      <c r="B1171" s="9"/>
      <c r="C1171" s="24"/>
      <c r="D1171" s="25"/>
      <c r="E1171" s="7"/>
      <c r="F1171" s="26"/>
      <c r="G1171" s="7"/>
      <c r="H1171" s="7"/>
    </row>
    <row r="1172" spans="2:8">
      <c r="B1172" s="9"/>
      <c r="C1172" s="24"/>
      <c r="D1172" s="25"/>
      <c r="E1172" s="7"/>
      <c r="F1172" s="26"/>
      <c r="G1172" s="7"/>
      <c r="H1172" s="7"/>
    </row>
    <row r="1173" spans="2:8">
      <c r="B1173" s="9"/>
      <c r="C1173" s="24"/>
      <c r="D1173" s="25"/>
      <c r="E1173" s="7"/>
      <c r="F1173" s="26"/>
      <c r="G1173" s="7"/>
      <c r="H1173" s="7"/>
    </row>
    <row r="1174" spans="2:8">
      <c r="B1174" s="9"/>
      <c r="C1174" s="24"/>
      <c r="D1174" s="25"/>
      <c r="E1174" s="7"/>
      <c r="F1174" s="26"/>
      <c r="G1174" s="7"/>
      <c r="H1174" s="7"/>
    </row>
    <row r="1175" spans="2:8">
      <c r="B1175" s="9"/>
      <c r="C1175" s="24"/>
      <c r="D1175" s="25"/>
      <c r="E1175" s="7"/>
      <c r="F1175" s="26"/>
      <c r="G1175" s="7"/>
      <c r="H1175" s="7"/>
    </row>
    <row r="1176" spans="2:8">
      <c r="B1176" s="9"/>
      <c r="C1176" s="24"/>
      <c r="D1176" s="25"/>
      <c r="E1176" s="7"/>
      <c r="F1176" s="26"/>
      <c r="G1176" s="7"/>
      <c r="H1176" s="7"/>
    </row>
    <row r="1177" spans="2:8">
      <c r="B1177" s="9"/>
      <c r="C1177" s="24"/>
      <c r="D1177" s="25"/>
      <c r="E1177" s="7"/>
      <c r="F1177" s="26"/>
      <c r="G1177" s="7"/>
      <c r="H1177" s="7"/>
    </row>
    <row r="1178" spans="2:8">
      <c r="B1178" s="9"/>
      <c r="C1178" s="24"/>
      <c r="D1178" s="25"/>
      <c r="E1178" s="7"/>
      <c r="F1178" s="26"/>
      <c r="G1178" s="7"/>
      <c r="H1178" s="7"/>
    </row>
    <row r="1179" spans="2:8">
      <c r="B1179" s="9"/>
      <c r="C1179" s="24"/>
      <c r="D1179" s="25"/>
      <c r="E1179" s="7"/>
      <c r="F1179" s="26"/>
      <c r="G1179" s="7"/>
      <c r="H1179" s="7"/>
    </row>
    <row r="1180" spans="2:8">
      <c r="B1180" s="9"/>
      <c r="C1180" s="24"/>
      <c r="D1180" s="25"/>
      <c r="E1180" s="7"/>
      <c r="F1180" s="26"/>
      <c r="G1180" s="7"/>
      <c r="H1180" s="7"/>
    </row>
    <row r="1181" spans="2:8">
      <c r="B1181" s="9"/>
      <c r="C1181" s="24"/>
      <c r="D1181" s="25"/>
      <c r="E1181" s="7"/>
      <c r="F1181" s="26"/>
      <c r="G1181" s="7"/>
      <c r="H1181" s="7"/>
    </row>
    <row r="1182" spans="2:8">
      <c r="B1182" s="9"/>
      <c r="C1182" s="24"/>
      <c r="D1182" s="25"/>
      <c r="E1182" s="7"/>
      <c r="F1182" s="26"/>
      <c r="G1182" s="7"/>
      <c r="H1182" s="7"/>
    </row>
    <row r="1183" spans="2:8">
      <c r="B1183" s="9"/>
      <c r="C1183" s="24"/>
      <c r="D1183" s="25"/>
      <c r="E1183" s="7"/>
      <c r="F1183" s="26"/>
      <c r="G1183" s="7"/>
      <c r="H1183" s="7"/>
    </row>
    <row r="1184" spans="2:8">
      <c r="B1184" s="9"/>
      <c r="C1184" s="24"/>
      <c r="D1184" s="25"/>
      <c r="E1184" s="7"/>
      <c r="F1184" s="26"/>
      <c r="G1184" s="7"/>
      <c r="H1184" s="7"/>
    </row>
    <row r="1185" spans="2:8">
      <c r="B1185" s="9"/>
      <c r="C1185" s="24"/>
      <c r="D1185" s="25"/>
      <c r="E1185" s="7"/>
      <c r="F1185" s="26"/>
      <c r="G1185" s="7"/>
      <c r="H1185" s="7"/>
    </row>
    <row r="1186" spans="2:8">
      <c r="B1186" s="9"/>
      <c r="C1186" s="24"/>
      <c r="D1186" s="25"/>
      <c r="E1186" s="7"/>
      <c r="F1186" s="26"/>
      <c r="G1186" s="7"/>
      <c r="H1186" s="7"/>
    </row>
    <row r="1187" spans="2:8">
      <c r="B1187" s="9"/>
      <c r="C1187" s="24"/>
      <c r="D1187" s="25"/>
      <c r="E1187" s="7"/>
      <c r="F1187" s="26"/>
      <c r="G1187" s="7"/>
      <c r="H1187" s="7"/>
    </row>
    <row r="1188" spans="2:8">
      <c r="B1188" s="9"/>
      <c r="C1188" s="24"/>
      <c r="D1188" s="25"/>
      <c r="E1188" s="7"/>
      <c r="F1188" s="26"/>
      <c r="G1188" s="7"/>
      <c r="H1188" s="7"/>
    </row>
    <row r="1189" spans="2:8">
      <c r="B1189" s="9"/>
      <c r="C1189" s="24"/>
      <c r="D1189" s="25"/>
      <c r="E1189" s="7"/>
      <c r="F1189" s="26"/>
      <c r="G1189" s="7"/>
      <c r="H1189" s="7"/>
    </row>
    <row r="1190" spans="2:8">
      <c r="B1190" s="9"/>
      <c r="C1190" s="24"/>
      <c r="D1190" s="25"/>
      <c r="E1190" s="7"/>
      <c r="F1190" s="26"/>
      <c r="G1190" s="7"/>
      <c r="H1190" s="7"/>
    </row>
    <row r="1191" spans="2:8">
      <c r="B1191" s="9"/>
      <c r="C1191" s="24"/>
      <c r="D1191" s="25"/>
      <c r="E1191" s="7"/>
      <c r="F1191" s="26"/>
      <c r="G1191" s="7"/>
      <c r="H1191" s="7"/>
    </row>
    <row r="1192" spans="2:8">
      <c r="B1192" s="9"/>
      <c r="C1192" s="24"/>
      <c r="D1192" s="25"/>
      <c r="E1192" s="7"/>
      <c r="F1192" s="26"/>
      <c r="G1192" s="7"/>
      <c r="H1192" s="7"/>
    </row>
    <row r="1193" spans="2:8">
      <c r="B1193" s="9"/>
      <c r="C1193" s="24"/>
      <c r="D1193" s="25"/>
      <c r="E1193" s="7"/>
      <c r="F1193" s="26"/>
      <c r="G1193" s="7"/>
      <c r="H1193" s="7"/>
    </row>
    <row r="1194" spans="2:8">
      <c r="B1194" s="9"/>
      <c r="C1194" s="24"/>
      <c r="D1194" s="25"/>
      <c r="E1194" s="7"/>
      <c r="F1194" s="26"/>
      <c r="G1194" s="7"/>
      <c r="H1194" s="7"/>
    </row>
    <row r="1195" spans="2:8">
      <c r="B1195" s="9"/>
      <c r="C1195" s="24"/>
      <c r="D1195" s="25"/>
      <c r="E1195" s="7"/>
      <c r="F1195" s="26"/>
      <c r="G1195" s="7"/>
      <c r="H1195" s="7"/>
    </row>
    <row r="1196" spans="2:8">
      <c r="B1196" s="9"/>
      <c r="C1196" s="24"/>
      <c r="D1196" s="25"/>
      <c r="E1196" s="7"/>
      <c r="F1196" s="26"/>
      <c r="G1196" s="7"/>
      <c r="H1196" s="7"/>
    </row>
    <row r="1197" spans="2:8">
      <c r="B1197" s="9"/>
      <c r="C1197" s="24"/>
      <c r="D1197" s="25"/>
      <c r="E1197" s="7"/>
      <c r="F1197" s="26"/>
      <c r="G1197" s="7"/>
      <c r="H1197" s="7"/>
    </row>
    <row r="1198" spans="2:8">
      <c r="B1198" s="9"/>
      <c r="C1198" s="24"/>
      <c r="D1198" s="25"/>
      <c r="E1198" s="7"/>
      <c r="F1198" s="26"/>
      <c r="G1198" s="7"/>
      <c r="H1198" s="7"/>
    </row>
    <row r="1199" spans="2:8">
      <c r="B1199" s="9"/>
      <c r="C1199" s="24"/>
      <c r="D1199" s="25"/>
      <c r="E1199" s="7"/>
      <c r="F1199" s="26"/>
      <c r="G1199" s="7"/>
      <c r="H1199" s="7"/>
    </row>
    <row r="1200" spans="2:8">
      <c r="B1200" s="9"/>
      <c r="C1200" s="24"/>
      <c r="D1200" s="25"/>
      <c r="E1200" s="7"/>
      <c r="F1200" s="26"/>
      <c r="G1200" s="7"/>
      <c r="H1200" s="7"/>
    </row>
    <row r="1201" spans="2:8">
      <c r="B1201" s="9"/>
      <c r="C1201" s="24"/>
      <c r="D1201" s="25"/>
      <c r="E1201" s="7"/>
      <c r="F1201" s="26"/>
      <c r="G1201" s="7"/>
      <c r="H1201" s="7"/>
    </row>
    <row r="1202" spans="2:8">
      <c r="B1202" s="9"/>
      <c r="C1202" s="24"/>
      <c r="D1202" s="25"/>
      <c r="E1202" s="7"/>
      <c r="F1202" s="26"/>
      <c r="G1202" s="7"/>
      <c r="H1202" s="7"/>
    </row>
    <row r="1203" spans="2:8">
      <c r="B1203" s="9"/>
      <c r="C1203" s="24"/>
      <c r="D1203" s="25"/>
      <c r="E1203" s="7"/>
      <c r="F1203" s="26"/>
      <c r="G1203" s="7"/>
      <c r="H1203" s="7"/>
    </row>
    <row r="1204" spans="2:8">
      <c r="B1204" s="9"/>
      <c r="C1204" s="24"/>
      <c r="D1204" s="25"/>
      <c r="E1204" s="7"/>
      <c r="F1204" s="26"/>
      <c r="G1204" s="7"/>
      <c r="H1204" s="7"/>
    </row>
    <row r="1205" spans="2:8">
      <c r="B1205" s="9"/>
      <c r="C1205" s="24"/>
      <c r="D1205" s="25"/>
      <c r="E1205" s="7"/>
      <c r="F1205" s="26"/>
      <c r="G1205" s="7"/>
      <c r="H1205" s="7"/>
    </row>
    <row r="1206" spans="2:8">
      <c r="B1206" s="9"/>
      <c r="C1206" s="24"/>
      <c r="D1206" s="25"/>
      <c r="E1206" s="7"/>
      <c r="F1206" s="26"/>
      <c r="G1206" s="7"/>
      <c r="H1206" s="7"/>
    </row>
    <row r="1207" spans="2:8">
      <c r="B1207" s="9"/>
      <c r="C1207" s="24"/>
      <c r="D1207" s="25"/>
      <c r="E1207" s="7"/>
      <c r="F1207" s="26"/>
      <c r="G1207" s="7"/>
      <c r="H1207" s="7"/>
    </row>
    <row r="1208" spans="2:8">
      <c r="B1208" s="9"/>
      <c r="C1208" s="24"/>
      <c r="D1208" s="25"/>
      <c r="E1208" s="7"/>
      <c r="F1208" s="26"/>
      <c r="G1208" s="7"/>
      <c r="H1208" s="7"/>
    </row>
    <row r="1209" spans="2:8">
      <c r="B1209" s="9"/>
      <c r="C1209" s="24"/>
      <c r="D1209" s="25"/>
      <c r="E1209" s="7"/>
      <c r="F1209" s="26"/>
      <c r="G1209" s="7"/>
      <c r="H1209" s="7"/>
    </row>
    <row r="1210" spans="2:8">
      <c r="B1210" s="9"/>
      <c r="C1210" s="24"/>
      <c r="D1210" s="25"/>
      <c r="E1210" s="7"/>
      <c r="F1210" s="26"/>
      <c r="G1210" s="7"/>
      <c r="H1210" s="7"/>
    </row>
    <row r="1211" spans="2:8">
      <c r="B1211" s="9"/>
      <c r="C1211" s="24"/>
      <c r="D1211" s="25"/>
      <c r="E1211" s="7"/>
      <c r="F1211" s="26"/>
      <c r="G1211" s="7"/>
      <c r="H1211" s="7"/>
    </row>
    <row r="1212" spans="2:8">
      <c r="B1212" s="9"/>
      <c r="C1212" s="24"/>
      <c r="D1212" s="25"/>
      <c r="E1212" s="7"/>
      <c r="F1212" s="26"/>
      <c r="G1212" s="7"/>
      <c r="H1212" s="7"/>
    </row>
    <row r="1213" spans="2:8">
      <c r="B1213" s="9"/>
      <c r="C1213" s="24"/>
      <c r="D1213" s="25"/>
      <c r="E1213" s="7"/>
      <c r="F1213" s="26"/>
      <c r="G1213" s="7"/>
      <c r="H1213" s="7"/>
    </row>
    <row r="1214" spans="2:8">
      <c r="B1214" s="9"/>
      <c r="C1214" s="24"/>
      <c r="D1214" s="25"/>
      <c r="E1214" s="7"/>
      <c r="F1214" s="26"/>
      <c r="G1214" s="7"/>
      <c r="H1214" s="7"/>
    </row>
    <row r="1215" spans="2:8">
      <c r="B1215" s="9"/>
      <c r="C1215" s="24"/>
      <c r="D1215" s="25"/>
      <c r="E1215" s="7"/>
      <c r="F1215" s="26"/>
      <c r="G1215" s="7"/>
      <c r="H1215" s="7"/>
    </row>
    <row r="1216" spans="2:8">
      <c r="B1216" s="9"/>
      <c r="C1216" s="24"/>
      <c r="D1216" s="25"/>
      <c r="E1216" s="7"/>
      <c r="F1216" s="26"/>
      <c r="G1216" s="7"/>
      <c r="H1216" s="7"/>
    </row>
    <row r="1217" spans="2:8">
      <c r="B1217" s="9"/>
      <c r="C1217" s="24"/>
      <c r="D1217" s="25"/>
      <c r="E1217" s="7"/>
      <c r="F1217" s="26"/>
      <c r="G1217" s="7"/>
      <c r="H1217" s="7"/>
    </row>
    <row r="1218" spans="2:8">
      <c r="B1218" s="9"/>
      <c r="C1218" s="24"/>
      <c r="D1218" s="25"/>
      <c r="E1218" s="7"/>
      <c r="F1218" s="26"/>
      <c r="G1218" s="7"/>
      <c r="H1218" s="7"/>
    </row>
    <row r="1219" spans="2:8">
      <c r="B1219" s="9"/>
      <c r="C1219" s="24"/>
      <c r="D1219" s="25"/>
      <c r="E1219" s="7"/>
      <c r="F1219" s="26"/>
      <c r="G1219" s="7"/>
      <c r="H1219" s="7"/>
    </row>
    <row r="1220" spans="2:8">
      <c r="B1220" s="9"/>
      <c r="C1220" s="24"/>
      <c r="D1220" s="25"/>
      <c r="E1220" s="7"/>
      <c r="F1220" s="26"/>
      <c r="G1220" s="7"/>
      <c r="H1220" s="7"/>
    </row>
    <row r="1221" spans="2:8">
      <c r="B1221" s="9"/>
      <c r="C1221" s="24"/>
      <c r="D1221" s="25"/>
      <c r="E1221" s="7"/>
      <c r="F1221" s="26"/>
      <c r="G1221" s="7"/>
      <c r="H1221" s="7"/>
    </row>
    <row r="1222" spans="2:8">
      <c r="B1222" s="9"/>
      <c r="C1222" s="24"/>
      <c r="D1222" s="25"/>
      <c r="E1222" s="7"/>
      <c r="F1222" s="26"/>
      <c r="G1222" s="7"/>
      <c r="H1222" s="7"/>
    </row>
    <row r="1223" spans="2:8">
      <c r="B1223" s="9"/>
      <c r="C1223" s="24"/>
      <c r="D1223" s="25"/>
      <c r="E1223" s="7"/>
      <c r="F1223" s="26"/>
      <c r="G1223" s="7"/>
      <c r="H1223" s="7"/>
    </row>
    <row r="1224" spans="2:8">
      <c r="B1224" s="9"/>
      <c r="C1224" s="24"/>
      <c r="D1224" s="25"/>
      <c r="E1224" s="7"/>
      <c r="F1224" s="26"/>
      <c r="G1224" s="7"/>
      <c r="H1224" s="7"/>
    </row>
    <row r="1225" spans="2:8">
      <c r="B1225" s="9"/>
      <c r="C1225" s="24"/>
      <c r="D1225" s="25"/>
      <c r="E1225" s="7"/>
      <c r="F1225" s="26"/>
      <c r="G1225" s="7"/>
      <c r="H1225" s="7"/>
    </row>
    <row r="1226" spans="2:8">
      <c r="B1226" s="9"/>
      <c r="C1226" s="24"/>
      <c r="D1226" s="25"/>
      <c r="E1226" s="7"/>
      <c r="F1226" s="26"/>
      <c r="G1226" s="7"/>
      <c r="H1226" s="7"/>
    </row>
    <row r="1227" spans="2:8">
      <c r="B1227" s="9"/>
      <c r="C1227" s="24"/>
      <c r="D1227" s="25"/>
      <c r="E1227" s="7"/>
      <c r="F1227" s="26"/>
      <c r="G1227" s="7"/>
      <c r="H1227" s="7"/>
    </row>
    <row r="1228" spans="2:8">
      <c r="B1228" s="9"/>
      <c r="C1228" s="24"/>
      <c r="D1228" s="25"/>
      <c r="E1228" s="7"/>
      <c r="F1228" s="26"/>
      <c r="G1228" s="7"/>
      <c r="H1228" s="7"/>
    </row>
    <row r="1229" spans="2:8">
      <c r="B1229" s="9"/>
      <c r="C1229" s="24"/>
      <c r="D1229" s="25"/>
      <c r="E1229" s="7"/>
      <c r="F1229" s="26"/>
      <c r="G1229" s="7"/>
      <c r="H1229" s="7"/>
    </row>
    <row r="1230" spans="2:8">
      <c r="B1230" s="9"/>
      <c r="C1230" s="24"/>
      <c r="D1230" s="25"/>
      <c r="E1230" s="7"/>
      <c r="F1230" s="26"/>
      <c r="G1230" s="7"/>
      <c r="H1230" s="7"/>
    </row>
    <row r="1231" spans="2:8">
      <c r="B1231" s="9"/>
      <c r="C1231" s="24"/>
      <c r="D1231" s="25"/>
      <c r="E1231" s="7"/>
      <c r="F1231" s="26"/>
      <c r="G1231" s="7"/>
      <c r="H1231" s="7"/>
    </row>
    <row r="1232" spans="2:8">
      <c r="B1232" s="9"/>
      <c r="C1232" s="24"/>
      <c r="D1232" s="25"/>
      <c r="E1232" s="7"/>
      <c r="F1232" s="26"/>
      <c r="G1232" s="7"/>
      <c r="H1232" s="7"/>
    </row>
    <row r="1233" spans="2:8">
      <c r="B1233" s="9"/>
      <c r="C1233" s="24"/>
      <c r="D1233" s="25"/>
      <c r="E1233" s="7"/>
      <c r="F1233" s="26"/>
      <c r="G1233" s="7"/>
      <c r="H1233" s="7"/>
    </row>
    <row r="1234" spans="2:8">
      <c r="B1234" s="9"/>
      <c r="C1234" s="24"/>
      <c r="D1234" s="25"/>
      <c r="E1234" s="7"/>
      <c r="F1234" s="26"/>
      <c r="G1234" s="7"/>
      <c r="H1234" s="7"/>
    </row>
    <row r="1235" spans="2:8">
      <c r="B1235" s="9"/>
      <c r="C1235" s="24"/>
      <c r="D1235" s="25"/>
      <c r="E1235" s="7"/>
      <c r="F1235" s="26"/>
      <c r="G1235" s="7"/>
      <c r="H1235" s="7"/>
    </row>
    <row r="1236" spans="2:8">
      <c r="B1236" s="9"/>
      <c r="C1236" s="24"/>
      <c r="D1236" s="25"/>
      <c r="E1236" s="7"/>
      <c r="F1236" s="26"/>
      <c r="G1236" s="7"/>
      <c r="H1236" s="7"/>
    </row>
    <row r="1237" spans="2:8">
      <c r="B1237" s="9"/>
      <c r="C1237" s="24"/>
      <c r="D1237" s="25"/>
      <c r="E1237" s="7"/>
      <c r="F1237" s="26"/>
      <c r="G1237" s="7"/>
      <c r="H1237" s="7"/>
    </row>
    <row r="1238" spans="2:8">
      <c r="B1238" s="9"/>
      <c r="C1238" s="24"/>
      <c r="D1238" s="25"/>
      <c r="E1238" s="7"/>
      <c r="F1238" s="26"/>
      <c r="G1238" s="7"/>
      <c r="H1238" s="7"/>
    </row>
    <row r="1239" spans="2:8">
      <c r="B1239" s="9"/>
      <c r="C1239" s="24"/>
      <c r="D1239" s="25"/>
      <c r="E1239" s="7"/>
      <c r="F1239" s="26"/>
      <c r="G1239" s="7"/>
      <c r="H1239" s="7"/>
    </row>
    <row r="1240" spans="2:8">
      <c r="B1240" s="9"/>
      <c r="C1240" s="24"/>
      <c r="D1240" s="25"/>
      <c r="E1240" s="7"/>
      <c r="F1240" s="26"/>
      <c r="G1240" s="7"/>
      <c r="H1240" s="7"/>
    </row>
    <row r="1241" spans="2:8">
      <c r="B1241" s="9"/>
      <c r="C1241" s="24"/>
      <c r="D1241" s="25"/>
      <c r="E1241" s="7"/>
      <c r="F1241" s="26"/>
      <c r="G1241" s="7"/>
      <c r="H1241" s="7"/>
    </row>
    <row r="1242" spans="2:8">
      <c r="B1242" s="9"/>
      <c r="C1242" s="24"/>
      <c r="D1242" s="25"/>
      <c r="E1242" s="7"/>
      <c r="F1242" s="26"/>
      <c r="G1242" s="7"/>
      <c r="H1242" s="7"/>
    </row>
    <row r="1243" spans="2:8">
      <c r="B1243" s="9"/>
      <c r="C1243" s="24"/>
      <c r="D1243" s="25"/>
      <c r="E1243" s="7"/>
      <c r="F1243" s="26"/>
      <c r="G1243" s="7"/>
      <c r="H1243" s="7"/>
    </row>
    <row r="1244" spans="2:8">
      <c r="B1244" s="9"/>
      <c r="C1244" s="24"/>
      <c r="D1244" s="25"/>
      <c r="E1244" s="7"/>
      <c r="F1244" s="26"/>
      <c r="G1244" s="7"/>
      <c r="H1244" s="7"/>
    </row>
    <row r="1245" spans="2:8">
      <c r="B1245" s="9"/>
      <c r="C1245" s="24"/>
      <c r="D1245" s="25"/>
      <c r="E1245" s="7"/>
      <c r="F1245" s="26"/>
      <c r="G1245" s="7"/>
      <c r="H1245" s="7"/>
    </row>
    <row r="1246" spans="2:8">
      <c r="B1246" s="9"/>
      <c r="C1246" s="24"/>
      <c r="D1246" s="25"/>
      <c r="E1246" s="7"/>
      <c r="F1246" s="26"/>
      <c r="G1246" s="7"/>
      <c r="H1246" s="7"/>
    </row>
    <row r="1247" spans="2:8">
      <c r="B1247" s="9"/>
      <c r="C1247" s="24"/>
      <c r="D1247" s="25"/>
      <c r="E1247" s="7"/>
      <c r="F1247" s="26"/>
      <c r="G1247" s="7"/>
      <c r="H1247" s="7"/>
    </row>
    <row r="1248" spans="2:8">
      <c r="B1248" s="9"/>
      <c r="C1248" s="24"/>
      <c r="D1248" s="25"/>
      <c r="E1248" s="7"/>
      <c r="F1248" s="26"/>
      <c r="G1248" s="7"/>
      <c r="H1248" s="7"/>
    </row>
    <row r="1249" spans="2:8">
      <c r="B1249" s="9"/>
      <c r="C1249" s="24"/>
      <c r="D1249" s="25"/>
      <c r="E1249" s="7"/>
      <c r="F1249" s="26"/>
      <c r="G1249" s="7"/>
      <c r="H1249" s="7"/>
    </row>
    <row r="1250" spans="2:8">
      <c r="B1250" s="9"/>
      <c r="C1250" s="24"/>
      <c r="D1250" s="25"/>
      <c r="E1250" s="7"/>
      <c r="F1250" s="26"/>
      <c r="G1250" s="7"/>
      <c r="H1250" s="7"/>
    </row>
    <row r="1251" spans="2:8">
      <c r="B1251" s="9"/>
      <c r="C1251" s="24"/>
      <c r="D1251" s="25"/>
      <c r="E1251" s="7"/>
      <c r="F1251" s="26"/>
      <c r="G1251" s="7"/>
      <c r="H1251" s="7"/>
    </row>
    <row r="1252" spans="2:8">
      <c r="B1252" s="9"/>
      <c r="C1252" s="24"/>
      <c r="D1252" s="25"/>
      <c r="E1252" s="7"/>
      <c r="F1252" s="26"/>
      <c r="G1252" s="7"/>
      <c r="H1252" s="7"/>
    </row>
    <row r="1253" spans="2:8">
      <c r="B1253" s="9"/>
      <c r="C1253" s="24"/>
      <c r="D1253" s="25"/>
      <c r="E1253" s="7"/>
      <c r="F1253" s="26"/>
      <c r="G1253" s="7"/>
      <c r="H1253" s="7"/>
    </row>
    <row r="1254" spans="2:8">
      <c r="B1254" s="9"/>
      <c r="C1254" s="24"/>
      <c r="D1254" s="25"/>
      <c r="E1254" s="7"/>
      <c r="F1254" s="26"/>
      <c r="G1254" s="7"/>
      <c r="H1254" s="7"/>
    </row>
    <row r="1255" spans="2:8">
      <c r="B1255" s="9"/>
      <c r="C1255" s="24"/>
      <c r="D1255" s="25"/>
      <c r="E1255" s="7"/>
      <c r="F1255" s="26"/>
      <c r="G1255" s="7"/>
      <c r="H1255" s="7"/>
    </row>
    <row r="1256" spans="2:8">
      <c r="B1256" s="9"/>
      <c r="C1256" s="24"/>
      <c r="D1256" s="25"/>
      <c r="E1256" s="7"/>
      <c r="F1256" s="26"/>
      <c r="G1256" s="7"/>
      <c r="H1256" s="7"/>
    </row>
    <row r="1257" spans="2:8">
      <c r="B1257" s="9"/>
      <c r="C1257" s="24"/>
      <c r="D1257" s="25"/>
      <c r="E1257" s="7"/>
      <c r="F1257" s="26"/>
      <c r="G1257" s="7"/>
      <c r="H1257" s="7"/>
    </row>
    <row r="1258" spans="2:8">
      <c r="B1258" s="9"/>
      <c r="C1258" s="24"/>
      <c r="D1258" s="25"/>
      <c r="E1258" s="7"/>
      <c r="F1258" s="26"/>
      <c r="G1258" s="7"/>
      <c r="H1258" s="7"/>
    </row>
    <row r="1259" spans="2:8">
      <c r="B1259" s="9"/>
      <c r="C1259" s="24"/>
      <c r="D1259" s="25"/>
      <c r="E1259" s="7"/>
      <c r="F1259" s="26"/>
      <c r="G1259" s="7"/>
      <c r="H1259" s="7"/>
    </row>
    <row r="1260" spans="2:8">
      <c r="B1260" s="9"/>
      <c r="C1260" s="24"/>
      <c r="D1260" s="25"/>
      <c r="E1260" s="7"/>
      <c r="F1260" s="26"/>
      <c r="G1260" s="7"/>
      <c r="H1260" s="7"/>
    </row>
    <row r="1261" spans="2:8">
      <c r="B1261" s="9"/>
      <c r="C1261" s="24"/>
      <c r="D1261" s="25"/>
      <c r="E1261" s="7"/>
      <c r="F1261" s="26"/>
      <c r="G1261" s="7"/>
      <c r="H1261" s="7"/>
    </row>
    <row r="1262" spans="2:8">
      <c r="B1262" s="9"/>
      <c r="C1262" s="24"/>
      <c r="D1262" s="25"/>
      <c r="E1262" s="7"/>
      <c r="F1262" s="26"/>
      <c r="G1262" s="7"/>
      <c r="H1262" s="7"/>
    </row>
    <row r="1263" spans="2:8">
      <c r="B1263" s="9"/>
      <c r="C1263" s="24"/>
      <c r="D1263" s="25"/>
      <c r="E1263" s="7"/>
      <c r="F1263" s="26"/>
      <c r="G1263" s="7"/>
      <c r="H1263" s="7"/>
    </row>
    <row r="1264" spans="2:8">
      <c r="B1264" s="9"/>
      <c r="C1264" s="24"/>
      <c r="D1264" s="25"/>
      <c r="E1264" s="7"/>
      <c r="F1264" s="26"/>
      <c r="G1264" s="7"/>
      <c r="H1264" s="7"/>
    </row>
    <row r="1265" spans="2:8">
      <c r="B1265" s="9"/>
      <c r="C1265" s="24"/>
      <c r="D1265" s="25"/>
      <c r="E1265" s="7"/>
      <c r="F1265" s="26"/>
      <c r="G1265" s="7"/>
      <c r="H1265" s="7"/>
    </row>
    <row r="1266" spans="2:8">
      <c r="B1266" s="9"/>
      <c r="C1266" s="24"/>
      <c r="D1266" s="25"/>
      <c r="E1266" s="7"/>
      <c r="F1266" s="26"/>
      <c r="G1266" s="7"/>
      <c r="H1266" s="7"/>
    </row>
    <row r="1267" spans="2:8">
      <c r="B1267" s="9"/>
      <c r="C1267" s="24"/>
      <c r="D1267" s="25"/>
      <c r="E1267" s="7"/>
      <c r="F1267" s="26"/>
      <c r="G1267" s="7"/>
      <c r="H1267" s="7"/>
    </row>
    <row r="1268" spans="2:8">
      <c r="B1268" s="9"/>
      <c r="C1268" s="24"/>
      <c r="D1268" s="25"/>
      <c r="E1268" s="7"/>
      <c r="F1268" s="26"/>
      <c r="G1268" s="7"/>
      <c r="H1268" s="7"/>
    </row>
    <row r="1269" spans="2:8">
      <c r="B1269" s="9"/>
      <c r="C1269" s="24"/>
      <c r="D1269" s="25"/>
      <c r="E1269" s="7"/>
      <c r="F1269" s="26"/>
      <c r="G1269" s="7"/>
      <c r="H1269" s="7"/>
    </row>
    <row r="1270" spans="2:8">
      <c r="B1270" s="9"/>
      <c r="C1270" s="24"/>
      <c r="D1270" s="25"/>
      <c r="E1270" s="7"/>
      <c r="F1270" s="26"/>
      <c r="G1270" s="7"/>
      <c r="H1270" s="7"/>
    </row>
    <row r="1271" spans="2:8">
      <c r="B1271" s="9"/>
      <c r="C1271" s="24"/>
      <c r="D1271" s="25"/>
      <c r="E1271" s="7"/>
      <c r="F1271" s="26"/>
      <c r="G1271" s="7"/>
      <c r="H1271" s="7"/>
    </row>
    <row r="1272" spans="2:8">
      <c r="B1272" s="9"/>
      <c r="C1272" s="24"/>
      <c r="D1272" s="25"/>
      <c r="E1272" s="7"/>
      <c r="F1272" s="26"/>
      <c r="G1272" s="7"/>
      <c r="H1272" s="7"/>
    </row>
    <row r="1273" spans="2:8">
      <c r="B1273" s="9"/>
      <c r="C1273" s="24"/>
      <c r="D1273" s="25"/>
      <c r="E1273" s="7"/>
      <c r="F1273" s="26"/>
      <c r="G1273" s="7"/>
      <c r="H1273" s="7"/>
    </row>
    <row r="1274" spans="2:8">
      <c r="B1274" s="9"/>
      <c r="C1274" s="24"/>
      <c r="D1274" s="25"/>
      <c r="E1274" s="7"/>
      <c r="F1274" s="26"/>
      <c r="G1274" s="7"/>
      <c r="H1274" s="7"/>
    </row>
    <row r="1275" spans="2:8">
      <c r="B1275" s="9"/>
      <c r="C1275" s="24"/>
      <c r="D1275" s="25"/>
      <c r="E1275" s="7"/>
      <c r="F1275" s="26"/>
      <c r="G1275" s="7"/>
      <c r="H1275" s="7"/>
    </row>
    <row r="1276" spans="2:8">
      <c r="B1276" s="9"/>
      <c r="C1276" s="24"/>
      <c r="D1276" s="25"/>
      <c r="E1276" s="7"/>
      <c r="F1276" s="26"/>
      <c r="G1276" s="7"/>
      <c r="H1276" s="7"/>
    </row>
    <row r="1277" spans="2:8">
      <c r="B1277" s="9"/>
      <c r="C1277" s="24"/>
      <c r="D1277" s="25"/>
      <c r="E1277" s="7"/>
      <c r="F1277" s="26"/>
      <c r="G1277" s="7"/>
      <c r="H1277" s="7"/>
    </row>
    <row r="1278" spans="2:8">
      <c r="B1278" s="9"/>
      <c r="C1278" s="24"/>
      <c r="D1278" s="25"/>
      <c r="E1278" s="7"/>
      <c r="F1278" s="26"/>
      <c r="G1278" s="7"/>
      <c r="H1278" s="7"/>
    </row>
    <row r="1279" spans="2:8">
      <c r="B1279" s="9"/>
      <c r="C1279" s="24"/>
      <c r="D1279" s="25"/>
      <c r="E1279" s="7"/>
      <c r="F1279" s="26"/>
      <c r="G1279" s="7"/>
      <c r="H1279" s="7"/>
    </row>
    <row r="1280" spans="2:8">
      <c r="B1280" s="9"/>
      <c r="C1280" s="24"/>
      <c r="D1280" s="25"/>
      <c r="E1280" s="7"/>
      <c r="F1280" s="26"/>
      <c r="G1280" s="7"/>
      <c r="H1280" s="7"/>
    </row>
    <row r="1281" spans="2:8">
      <c r="B1281" s="9"/>
      <c r="C1281" s="24"/>
      <c r="D1281" s="25"/>
      <c r="E1281" s="7"/>
      <c r="F1281" s="26"/>
      <c r="G1281" s="7"/>
      <c r="H1281" s="7"/>
    </row>
  </sheetData>
  <mergeCells count="1">
    <mergeCell ref="B16:C16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55A16-AD3E-40B5-941F-F450F7AEC57F}">
  <sheetPr codeName="Sheet8"/>
  <dimension ref="A2:BD1286"/>
  <sheetViews>
    <sheetView showGridLines="0" zoomScale="80" zoomScaleNormal="80" workbookViewId="0">
      <selection activeCell="H31" sqref="H31"/>
    </sheetView>
  </sheetViews>
  <sheetFormatPr defaultColWidth="8.90625" defaultRowHeight="14"/>
  <cols>
    <col min="1" max="1" width="8.90625" style="3"/>
    <col min="2" max="2" width="10.453125" style="3" customWidth="1"/>
    <col min="3" max="3" width="11.54296875" style="3" customWidth="1"/>
    <col min="4" max="4" width="12.1796875" style="3" customWidth="1"/>
    <col min="5" max="5" width="8.90625" style="3"/>
    <col min="6" max="6" width="9.90625" style="3" bestFit="1" customWidth="1"/>
    <col min="7" max="7" width="12.54296875" style="3" customWidth="1"/>
    <col min="8" max="16384" width="8.90625" style="3"/>
  </cols>
  <sheetData>
    <row r="2" spans="2:9" ht="17.5">
      <c r="B2" s="1" t="s">
        <v>8</v>
      </c>
      <c r="C2" s="2"/>
      <c r="D2" s="2"/>
      <c r="E2" s="2"/>
      <c r="F2" s="2"/>
      <c r="G2" s="2"/>
      <c r="H2" s="2"/>
      <c r="I2" s="2"/>
    </row>
    <row r="9" spans="2:9">
      <c r="F9" s="4"/>
    </row>
    <row r="11" spans="2:9">
      <c r="F11" s="4"/>
    </row>
    <row r="12" spans="2:9">
      <c r="F12" s="4"/>
    </row>
    <row r="14" spans="2:9">
      <c r="B14" s="5" t="s">
        <v>1</v>
      </c>
    </row>
    <row r="15" spans="2:9" ht="18" customHeight="1"/>
    <row r="16" spans="2:9">
      <c r="B16" s="3" t="s">
        <v>2</v>
      </c>
      <c r="C16" s="6">
        <f>'1'!C12</f>
        <v>7.8385007726242701E-3</v>
      </c>
    </row>
    <row r="17" spans="1:56">
      <c r="B17" s="3" t="s">
        <v>3</v>
      </c>
      <c r="C17" s="7">
        <f>C23</f>
        <v>4.5223143340523131E-3</v>
      </c>
      <c r="G17" s="27"/>
    </row>
    <row r="18" spans="1:56">
      <c r="B18" s="3" t="s">
        <v>4</v>
      </c>
      <c r="C18" s="3">
        <f>1/2</f>
        <v>0.5</v>
      </c>
    </row>
    <row r="19" spans="1:56"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</row>
    <row r="20" spans="1:56">
      <c r="C20" s="9"/>
      <c r="D20" s="10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</row>
    <row r="21" spans="1:56">
      <c r="B21" s="39" t="s">
        <v>13</v>
      </c>
      <c r="C21" s="39"/>
      <c r="D21" s="11"/>
      <c r="J21" s="12"/>
      <c r="K21" s="7"/>
      <c r="L21" s="7"/>
      <c r="M21" s="13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</row>
    <row r="22" spans="1:56" ht="16">
      <c r="B22" s="14" t="s">
        <v>5</v>
      </c>
      <c r="C22" s="15" t="s">
        <v>6</v>
      </c>
      <c r="D22" s="14" t="s">
        <v>12</v>
      </c>
      <c r="E22" s="16" t="s">
        <v>9</v>
      </c>
      <c r="F22" s="16" t="s">
        <v>7</v>
      </c>
      <c r="G22" s="29" t="s">
        <v>21</v>
      </c>
      <c r="J22" s="12"/>
      <c r="K22" s="7"/>
      <c r="M22" s="1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</row>
    <row r="23" spans="1:56">
      <c r="A23" s="9">
        <f>B23/0.5</f>
        <v>1</v>
      </c>
      <c r="B23" s="9">
        <v>0.5</v>
      </c>
      <c r="C23" s="18">
        <v>4.5223143340523131E-3</v>
      </c>
      <c r="D23" s="19">
        <f>EXP(-C23*B23)</f>
        <v>0.99774139732311018</v>
      </c>
      <c r="E23" s="7">
        <f>C23</f>
        <v>4.5223143340523131E-3</v>
      </c>
      <c r="F23" s="28">
        <f>(E24-E23)/0.5+B23*$C$16^2</f>
        <v>-8.6135810090700357E-4</v>
      </c>
      <c r="G23" s="38">
        <f>EXP(-$C$23*B23+($C$16^2)*(B23^3)/6)</f>
        <v>0.99774267447645015</v>
      </c>
      <c r="H23" s="7"/>
      <c r="I23" s="7"/>
      <c r="J23" s="22"/>
      <c r="K23" s="7"/>
      <c r="M23" s="1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</row>
    <row r="24" spans="1:56">
      <c r="A24" s="9">
        <f t="shared" ref="A24:A72" si="0">B24/0.5</f>
        <v>2</v>
      </c>
      <c r="B24" s="9">
        <v>1</v>
      </c>
      <c r="C24" s="18">
        <v>4.2992945470302583E-3</v>
      </c>
      <c r="D24" s="19">
        <f t="shared" ref="D24:D72" si="1">EXP(-C24*B24)</f>
        <v>0.99570993418934839</v>
      </c>
      <c r="E24" s="7">
        <f>(C24*B24-C23*B23)/(B24-B23)</f>
        <v>4.0762747600082035E-3</v>
      </c>
      <c r="F24" s="28">
        <f t="shared" ref="F24:F72" si="2">(E25-E24)/0.5+B24*$C$16^2</f>
        <v>2.4871182931022976E-3</v>
      </c>
      <c r="G24" s="38">
        <f>EXP(-$C$23*B24+($C$16^2)*(B24^3)/6-(F23)*$C$18^2)</f>
        <v>0.99571248329693363</v>
      </c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</row>
    <row r="25" spans="1:56">
      <c r="A25" s="9">
        <f t="shared" si="0"/>
        <v>3</v>
      </c>
      <c r="B25" s="9">
        <v>1.5</v>
      </c>
      <c r="C25" s="18">
        <v>4.6292339844795508E-3</v>
      </c>
      <c r="D25" s="19">
        <f t="shared" si="1"/>
        <v>0.99308020185118939</v>
      </c>
      <c r="E25" s="7">
        <f t="shared" ref="E25:E72" si="3">(C25*B25-C24*B24)/(B25-B24)</f>
        <v>5.2891128593781367E-3</v>
      </c>
      <c r="F25" s="28">
        <f t="shared" si="2"/>
        <v>5.62788848817813E-3</v>
      </c>
      <c r="G25" s="38">
        <f>EXP(-$C$23*B25+($C$16^2)*(B25^3)/6-(2*F23+F24)*$C$18^2)</f>
        <v>0.99308401541647862</v>
      </c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</row>
    <row r="26" spans="1:56">
      <c r="A26" s="9">
        <f t="shared" si="0"/>
        <v>4</v>
      </c>
      <c r="B26" s="9">
        <v>2</v>
      </c>
      <c r="C26" s="18">
        <v>5.4861693715335079E-3</v>
      </c>
      <c r="D26" s="19">
        <f t="shared" si="1"/>
        <v>0.98908763780425291</v>
      </c>
      <c r="E26" s="7">
        <f t="shared" si="3"/>
        <v>8.0569755326953783E-3</v>
      </c>
      <c r="F26" s="28">
        <f t="shared" si="2"/>
        <v>6.0160269983987151E-3</v>
      </c>
      <c r="G26" s="21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</row>
    <row r="27" spans="1:56">
      <c r="A27" s="9">
        <f t="shared" si="0"/>
        <v>5</v>
      </c>
      <c r="B27" s="9">
        <v>2.5</v>
      </c>
      <c r="C27" s="18">
        <v>6.5896448847332671E-3</v>
      </c>
      <c r="D27" s="19">
        <f t="shared" si="1"/>
        <v>0.9836608438646155</v>
      </c>
      <c r="E27" s="7">
        <f t="shared" si="3"/>
        <v>1.1003546937532305E-2</v>
      </c>
      <c r="F27" s="28">
        <f t="shared" si="2"/>
        <v>5.4073015144884039E-3</v>
      </c>
      <c r="G27" s="21"/>
      <c r="H27" s="7"/>
      <c r="I27" s="7"/>
      <c r="J27" s="7" t="s">
        <v>10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</row>
    <row r="28" spans="1:56">
      <c r="A28" s="9">
        <f t="shared" si="0"/>
        <v>6</v>
      </c>
      <c r="B28" s="9">
        <v>3</v>
      </c>
      <c r="C28" s="18">
        <v>7.7631032500816346E-3</v>
      </c>
      <c r="D28" s="19">
        <f t="shared" si="1"/>
        <v>0.97697979310272831</v>
      </c>
      <c r="E28" s="7">
        <f t="shared" si="3"/>
        <v>1.3630395076823468E-2</v>
      </c>
      <c r="F28" s="28">
        <f t="shared" si="2"/>
        <v>4.6751045257571924E-3</v>
      </c>
      <c r="G28" s="21"/>
      <c r="H28" s="7"/>
      <c r="I28" s="7"/>
      <c r="J28" s="7" t="s">
        <v>11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</row>
    <row r="29" spans="1:56">
      <c r="A29" s="9">
        <f t="shared" si="0"/>
        <v>7</v>
      </c>
      <c r="B29" s="9">
        <v>3.5</v>
      </c>
      <c r="C29" s="18">
        <v>8.9220576712354602E-3</v>
      </c>
      <c r="D29" s="19">
        <f t="shared" si="1"/>
        <v>0.96925533145354792</v>
      </c>
      <c r="E29" s="7">
        <f t="shared" si="3"/>
        <v>1.5875784198158417E-2</v>
      </c>
      <c r="F29" s="28">
        <f t="shared" si="2"/>
        <v>4.0247110895478624E-3</v>
      </c>
      <c r="G29" s="21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</row>
    <row r="30" spans="1:56">
      <c r="A30" s="9">
        <f t="shared" si="0"/>
        <v>8</v>
      </c>
      <c r="B30" s="9">
        <v>4</v>
      </c>
      <c r="C30" s="18">
        <v>1.0029377472055789E-2</v>
      </c>
      <c r="D30" s="19">
        <f t="shared" si="1"/>
        <v>0.9606765435260286</v>
      </c>
      <c r="E30" s="7">
        <f t="shared" si="3"/>
        <v>1.7780616077798093E-2</v>
      </c>
      <c r="F30" s="28">
        <f t="shared" si="2"/>
        <v>3.4751615949916094E-3</v>
      </c>
      <c r="G30" s="21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</row>
    <row r="31" spans="1:56">
      <c r="A31" s="9">
        <f t="shared" si="0"/>
        <v>9</v>
      </c>
      <c r="B31" s="9">
        <v>4.5</v>
      </c>
      <c r="C31" s="18">
        <v>1.1070036940335039E-2</v>
      </c>
      <c r="D31" s="19">
        <f t="shared" si="1"/>
        <v>0.95140526006962012</v>
      </c>
      <c r="E31" s="7">
        <f t="shared" si="3"/>
        <v>1.9395312686569036E-2</v>
      </c>
      <c r="F31" s="28">
        <f t="shared" si="2"/>
        <v>3.021711910561367E-3</v>
      </c>
      <c r="G31" s="21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</row>
    <row r="32" spans="1:56">
      <c r="A32" s="9">
        <f t="shared" si="0"/>
        <v>10</v>
      </c>
      <c r="B32" s="9">
        <v>5</v>
      </c>
      <c r="C32" s="18">
        <v>1.203982563925496E-2</v>
      </c>
      <c r="D32" s="19">
        <f t="shared" si="1"/>
        <v>0.94157702038156299</v>
      </c>
      <c r="E32" s="7">
        <f t="shared" si="3"/>
        <v>2.0767923929534249E-2</v>
      </c>
      <c r="F32" s="28">
        <f t="shared" si="2"/>
        <v>2.6592694178100653E-3</v>
      </c>
      <c r="G32" s="21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</row>
    <row r="33" spans="1:56">
      <c r="A33" s="9">
        <f t="shared" si="0"/>
        <v>11</v>
      </c>
      <c r="B33" s="9">
        <v>5.5</v>
      </c>
      <c r="C33" s="18">
        <v>1.2940200890462073E-2</v>
      </c>
      <c r="D33" s="19">
        <f t="shared" si="1"/>
        <v>0.93130252807035008</v>
      </c>
      <c r="E33" s="7">
        <f t="shared" si="3"/>
        <v>2.1943953402533203E-2</v>
      </c>
      <c r="F33" s="28">
        <f t="shared" si="2"/>
        <v>2.3815731401393529E-3</v>
      </c>
      <c r="G33" s="21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</row>
    <row r="34" spans="1:56">
      <c r="A34" s="9">
        <f t="shared" si="0"/>
        <v>12</v>
      </c>
      <c r="B34" s="9">
        <v>6</v>
      </c>
      <c r="C34" s="18">
        <v>1.377566533401575E-2</v>
      </c>
      <c r="D34" s="19">
        <f t="shared" si="1"/>
        <v>0.92066965117538369</v>
      </c>
      <c r="E34" s="7">
        <f t="shared" si="3"/>
        <v>2.2965774213106194E-2</v>
      </c>
      <c r="F34" s="28">
        <f t="shared" si="2"/>
        <v>2.1776261968427081E-3</v>
      </c>
      <c r="G34" s="21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</row>
    <row r="35" spans="1:56">
      <c r="A35" s="9">
        <f t="shared" si="0"/>
        <v>13</v>
      </c>
      <c r="B35" s="9">
        <v>6.5</v>
      </c>
      <c r="C35" s="18">
        <v>1.4552172695125327E-2</v>
      </c>
      <c r="D35" s="19">
        <f t="shared" si="1"/>
        <v>0.90974665210028072</v>
      </c>
      <c r="E35" s="7">
        <f t="shared" si="3"/>
        <v>2.3870261028440254E-2</v>
      </c>
      <c r="F35" s="28">
        <f t="shared" si="2"/>
        <v>2.0293807276363773E-3</v>
      </c>
      <c r="G35" s="21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</row>
    <row r="36" spans="1:56">
      <c r="A36" s="9">
        <f t="shared" si="0"/>
        <v>14</v>
      </c>
      <c r="B36" s="9">
        <v>7</v>
      </c>
      <c r="C36" s="18">
        <v>1.5275964973014986E-2</v>
      </c>
      <c r="D36" s="19">
        <f t="shared" si="1"/>
        <v>0.89858699513703277</v>
      </c>
      <c r="E36" s="7">
        <f t="shared" si="3"/>
        <v>2.4685264585580541E-2</v>
      </c>
      <c r="F36" s="28">
        <f t="shared" si="2"/>
        <v>1.9248104971583821E-3</v>
      </c>
      <c r="G36" s="21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</row>
    <row r="37" spans="1:56">
      <c r="A37" s="9">
        <f t="shared" si="0"/>
        <v>15</v>
      </c>
      <c r="B37" s="9">
        <v>7.5</v>
      </c>
      <c r="C37" s="18">
        <v>1.5953075475073401E-2</v>
      </c>
      <c r="D37" s="19">
        <f t="shared" si="1"/>
        <v>0.88723262905052858</v>
      </c>
      <c r="E37" s="7">
        <f t="shared" si="3"/>
        <v>2.5432622503891222E-2</v>
      </c>
      <c r="F37" s="28">
        <f t="shared" si="2"/>
        <v>1.8576904389125543E-3</v>
      </c>
      <c r="G37" s="21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</row>
    <row r="38" spans="1:56">
      <c r="A38" s="9">
        <f t="shared" si="0"/>
        <v>16</v>
      </c>
      <c r="B38" s="9">
        <v>8</v>
      </c>
      <c r="C38" s="18">
        <v>1.6589199499724337E-2</v>
      </c>
      <c r="D38" s="19">
        <f t="shared" si="1"/>
        <v>0.87571586472436835</v>
      </c>
      <c r="E38" s="7">
        <f t="shared" si="3"/>
        <v>2.6131059869488382E-2</v>
      </c>
      <c r="F38" s="28">
        <f t="shared" si="2"/>
        <v>1.8252756408486817E-3</v>
      </c>
      <c r="G38" s="21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</row>
    <row r="39" spans="1:56">
      <c r="A39" s="9">
        <f t="shared" si="0"/>
        <v>17</v>
      </c>
      <c r="B39" s="9">
        <v>8.5</v>
      </c>
      <c r="C39" s="18">
        <v>1.7189713018120729E-2</v>
      </c>
      <c r="D39" s="19">
        <f t="shared" si="1"/>
        <v>0.8640604385025813</v>
      </c>
      <c r="E39" s="7">
        <f t="shared" si="3"/>
        <v>2.6797929312462998E-2</v>
      </c>
      <c r="F39" s="28">
        <f t="shared" si="2"/>
        <v>1.8205491253846121E-3</v>
      </c>
      <c r="G39" s="21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</row>
    <row r="40" spans="1:56">
      <c r="A40" s="9">
        <f t="shared" si="0"/>
        <v>18</v>
      </c>
      <c r="B40" s="9">
        <v>9</v>
      </c>
      <c r="C40" s="18">
        <v>1.7759566460120408E-2</v>
      </c>
      <c r="D40" s="19">
        <f t="shared" si="1"/>
        <v>0.85228346836383062</v>
      </c>
      <c r="E40" s="7">
        <f t="shared" si="3"/>
        <v>2.7447074974114971E-2</v>
      </c>
      <c r="F40" s="28">
        <f t="shared" si="2"/>
        <v>1.8398506208862242E-3</v>
      </c>
      <c r="G40" s="21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</row>
    <row r="41" spans="1:56">
      <c r="A41" s="9">
        <f t="shared" si="0"/>
        <v>19</v>
      </c>
      <c r="B41" s="9">
        <v>9.5</v>
      </c>
      <c r="C41" s="18">
        <v>1.8303300375899712E-2</v>
      </c>
      <c r="D41" s="19">
        <f t="shared" si="1"/>
        <v>0.8403966017992518</v>
      </c>
      <c r="E41" s="7">
        <f t="shared" si="3"/>
        <v>2.8090510859927142E-2</v>
      </c>
      <c r="F41" s="28">
        <f t="shared" si="2"/>
        <v>1.8828930921204923E-3</v>
      </c>
      <c r="G41" s="21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</row>
    <row r="42" spans="1:56">
      <c r="A42" s="9">
        <f t="shared" si="0"/>
        <v>20</v>
      </c>
      <c r="B42" s="9">
        <v>10</v>
      </c>
      <c r="C42" s="18">
        <v>1.8825140729993018E-2</v>
      </c>
      <c r="D42" s="19">
        <f t="shared" si="1"/>
        <v>0.82840641363081602</v>
      </c>
      <c r="E42" s="7">
        <f t="shared" si="3"/>
        <v>2.874010745776584E-2</v>
      </c>
      <c r="F42" s="28">
        <f t="shared" si="2"/>
        <v>1.9315752708663112E-3</v>
      </c>
      <c r="G42" s="21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</row>
    <row r="43" spans="1:56">
      <c r="A43" s="9">
        <f t="shared" si="0"/>
        <v>21</v>
      </c>
      <c r="B43" s="9">
        <v>10.5</v>
      </c>
      <c r="C43" s="18">
        <v>1.9328642820059388E-2</v>
      </c>
      <c r="D43" s="19">
        <f t="shared" si="1"/>
        <v>0.81631844443683854</v>
      </c>
      <c r="E43" s="7">
        <f t="shared" si="3"/>
        <v>2.9398684621386839E-2</v>
      </c>
      <c r="F43" s="28">
        <f t="shared" si="2"/>
        <v>1.9738349083148949E-3</v>
      </c>
      <c r="G43" s="21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</row>
    <row r="44" spans="1:56">
      <c r="A44" s="9">
        <f t="shared" si="0"/>
        <v>22</v>
      </c>
      <c r="B44" s="9">
        <v>11</v>
      </c>
      <c r="C44" s="18">
        <v>1.9816569559154031E-2</v>
      </c>
      <c r="D44" s="19">
        <f t="shared" si="1"/>
        <v>0.8041397028365499</v>
      </c>
      <c r="E44" s="7">
        <f t="shared" si="3"/>
        <v>3.0063031080141522E-2</v>
      </c>
      <c r="F44" s="28">
        <f t="shared" si="2"/>
        <v>2.009146916422309E-3</v>
      </c>
      <c r="G44" s="21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</row>
    <row r="45" spans="1:56">
      <c r="A45" s="9">
        <f t="shared" si="0"/>
        <v>23</v>
      </c>
      <c r="B45" s="9">
        <v>11.5</v>
      </c>
      <c r="C45" s="18">
        <v>2.0291052318293392E-2</v>
      </c>
      <c r="D45" s="19">
        <f t="shared" si="1"/>
        <v>0.79187866341730995</v>
      </c>
      <c r="E45" s="7">
        <f t="shared" si="3"/>
        <v>3.0729673019359305E-2</v>
      </c>
      <c r="F45" s="28">
        <f t="shared" si="2"/>
        <v>2.0375112951875542E-3</v>
      </c>
      <c r="G45" s="21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</row>
    <row r="46" spans="1:56">
      <c r="A46" s="9">
        <f t="shared" si="0"/>
        <v>24</v>
      </c>
      <c r="B46" s="9">
        <v>12</v>
      </c>
      <c r="C46" s="18">
        <v>2.0753722497713213E-2</v>
      </c>
      <c r="D46" s="19">
        <f t="shared" si="1"/>
        <v>0.77954515034645999</v>
      </c>
      <c r="E46" s="7">
        <f t="shared" si="3"/>
        <v>3.1395136624369102E-2</v>
      </c>
      <c r="F46" s="28">
        <f t="shared" si="2"/>
        <v>2.0585974262771426E-3</v>
      </c>
      <c r="G46" s="21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</row>
    <row r="47" spans="1:56">
      <c r="A47" s="9">
        <f t="shared" si="0"/>
        <v>25</v>
      </c>
      <c r="B47" s="9">
        <v>12.5</v>
      </c>
      <c r="C47" s="18">
        <v>2.1205804908658008E-2</v>
      </c>
      <c r="D47" s="19">
        <f t="shared" si="1"/>
        <v>0.76715028248976569</v>
      </c>
      <c r="E47" s="7">
        <f t="shared" si="3"/>
        <v>3.2055782771333086E-2</v>
      </c>
      <c r="F47" s="28">
        <f t="shared" si="2"/>
        <v>2.0634973869534069E-3</v>
      </c>
      <c r="G47" s="21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</row>
    <row r="48" spans="1:56">
      <c r="A48" s="9">
        <f t="shared" si="0"/>
        <v>26</v>
      </c>
      <c r="B48" s="9">
        <v>13</v>
      </c>
      <c r="C48" s="18">
        <v>2.1648024657365185E-2</v>
      </c>
      <c r="D48" s="19">
        <f t="shared" si="1"/>
        <v>0.75470802940587234</v>
      </c>
      <c r="E48" s="7">
        <f t="shared" si="3"/>
        <v>3.2703518375044593E-2</v>
      </c>
      <c r="F48" s="28">
        <f t="shared" si="2"/>
        <v>2.0361753515038238E-3</v>
      </c>
      <c r="G48" s="21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</row>
    <row r="49" spans="1:56">
      <c r="A49" s="9">
        <f t="shared" si="0"/>
        <v>27</v>
      </c>
      <c r="B49" s="9">
        <v>13.5</v>
      </c>
      <c r="C49" s="18">
        <v>2.2080402723293906E-2</v>
      </c>
      <c r="D49" s="19">
        <f t="shared" si="1"/>
        <v>0.74223792263216137</v>
      </c>
      <c r="E49" s="7">
        <f t="shared" si="3"/>
        <v>3.3322232437440702E-2</v>
      </c>
      <c r="F49" s="28">
        <f t="shared" si="2"/>
        <v>1.9783703920689096E-3</v>
      </c>
      <c r="G49" s="21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</row>
    <row r="50" spans="1:56">
      <c r="A50" s="9">
        <f t="shared" si="0"/>
        <v>28</v>
      </c>
      <c r="B50" s="9">
        <v>14</v>
      </c>
      <c r="C50" s="18">
        <v>2.2502412750909438E-2</v>
      </c>
      <c r="D50" s="19">
        <f t="shared" si="1"/>
        <v>0.72976422350261094</v>
      </c>
      <c r="E50" s="7">
        <f t="shared" si="3"/>
        <v>3.3896683496528746E-2</v>
      </c>
      <c r="F50" s="28">
        <f t="shared" si="2"/>
        <v>1.8989911512812523E-3</v>
      </c>
      <c r="G50" s="21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</row>
    <row r="51" spans="1:56">
      <c r="A51" s="9">
        <f t="shared" si="0"/>
        <v>29</v>
      </c>
      <c r="B51" s="9">
        <v>14.5</v>
      </c>
      <c r="C51" s="18">
        <v>2.2913229015072298E-2</v>
      </c>
      <c r="D51" s="19">
        <f t="shared" si="1"/>
        <v>0.71731384053113678</v>
      </c>
      <c r="E51" s="7">
        <f t="shared" si="3"/>
        <v>3.4416084411632353E-2</v>
      </c>
      <c r="F51" s="28">
        <f t="shared" si="2"/>
        <v>1.7997667564126621E-3</v>
      </c>
      <c r="G51" s="21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</row>
    <row r="52" spans="1:56">
      <c r="A52" s="9">
        <f t="shared" si="0"/>
        <v>30</v>
      </c>
      <c r="B52" s="9">
        <v>15</v>
      </c>
      <c r="C52" s="18">
        <v>2.3311805134760256E-2</v>
      </c>
      <c r="D52" s="19">
        <f t="shared" si="1"/>
        <v>0.70491568644175473</v>
      </c>
      <c r="E52" s="7">
        <f t="shared" si="3"/>
        <v>3.4870512605711057E-2</v>
      </c>
      <c r="F52" s="28">
        <f t="shared" si="2"/>
        <v>1.6808706827201869E-3</v>
      </c>
      <c r="G52" s="21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</row>
    <row r="53" spans="1:56">
      <c r="A53" s="9">
        <f t="shared" si="0"/>
        <v>31</v>
      </c>
      <c r="B53" s="9">
        <v>15.5</v>
      </c>
      <c r="C53" s="18">
        <v>2.3696912460714856E-2</v>
      </c>
      <c r="D53" s="19">
        <f t="shared" si="1"/>
        <v>0.69260034898234435</v>
      </c>
      <c r="E53" s="7">
        <f t="shared" si="3"/>
        <v>3.5250132239352916E-2</v>
      </c>
      <c r="F53" s="28">
        <f t="shared" si="2"/>
        <v>1.5471662403348805E-3</v>
      </c>
      <c r="G53" s="21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</row>
    <row r="54" spans="1:56">
      <c r="A54" s="9">
        <f t="shared" si="0"/>
        <v>32</v>
      </c>
      <c r="B54" s="9">
        <v>16</v>
      </c>
      <c r="C54" s="18">
        <v>2.4067244544074128E-2</v>
      </c>
      <c r="D54" s="19">
        <f t="shared" si="1"/>
        <v>0.68039898331662785</v>
      </c>
      <c r="E54" s="7">
        <f t="shared" si="3"/>
        <v>3.5547539128211514E-2</v>
      </c>
      <c r="F54" s="28">
        <f t="shared" si="2"/>
        <v>1.4078309527166008E-3</v>
      </c>
      <c r="G54" s="21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</row>
    <row r="55" spans="1:56">
      <c r="A55" s="9">
        <f t="shared" si="0"/>
        <v>33</v>
      </c>
      <c r="B55" s="9">
        <v>16.5</v>
      </c>
      <c r="C55" s="18">
        <v>2.4421567977577045E-2</v>
      </c>
      <c r="D55" s="19">
        <f t="shared" si="1"/>
        <v>0.66834159149785655</v>
      </c>
      <c r="E55" s="7">
        <f t="shared" si="3"/>
        <v>3.5759917849670364E-2</v>
      </c>
      <c r="F55" s="28">
        <f t="shared" si="2"/>
        <v>1.2648130082726112E-3</v>
      </c>
      <c r="G55" s="21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</row>
    <row r="56" spans="1:56">
      <c r="A56" s="9">
        <f t="shared" si="0"/>
        <v>34</v>
      </c>
      <c r="B56" s="9">
        <v>17</v>
      </c>
      <c r="C56" s="18">
        <v>2.4758740303981147E-2</v>
      </c>
      <c r="D56" s="19">
        <f t="shared" si="1"/>
        <v>0.65645667247683226</v>
      </c>
      <c r="E56" s="7">
        <f t="shared" si="3"/>
        <v>3.5885427075316612E-2</v>
      </c>
      <c r="F56" s="28">
        <f t="shared" si="2"/>
        <v>1.1214046653934867E-3</v>
      </c>
      <c r="G56" s="21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</row>
    <row r="57" spans="1:56">
      <c r="A57" s="9">
        <f t="shared" si="0"/>
        <v>35</v>
      </c>
      <c r="B57" s="9">
        <v>17.5</v>
      </c>
      <c r="C57" s="18">
        <v>2.5077744055465478E-2</v>
      </c>
      <c r="D57" s="19">
        <f t="shared" si="1"/>
        <v>0.64477070535041758</v>
      </c>
      <c r="E57" s="7">
        <f t="shared" si="3"/>
        <v>3.5923871605932689E-2</v>
      </c>
      <c r="F57" s="28">
        <f t="shared" si="2"/>
        <v>9.836982858223201E-4</v>
      </c>
      <c r="G57" s="21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</row>
    <row r="58" spans="1:56">
      <c r="A58" s="9">
        <f t="shared" si="0"/>
        <v>36</v>
      </c>
      <c r="B58" s="9">
        <v>18</v>
      </c>
      <c r="C58" s="18">
        <v>2.5377754010124008E-2</v>
      </c>
      <c r="D58" s="19">
        <f t="shared" si="1"/>
        <v>0.63330725973526369</v>
      </c>
      <c r="E58" s="7">
        <f t="shared" si="3"/>
        <v>3.5878102423172575E-2</v>
      </c>
      <c r="F58" s="28">
        <f t="shared" si="2"/>
        <v>8.5288370040451653E-4</v>
      </c>
      <c r="G58" s="21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</row>
    <row r="59" spans="1:56">
      <c r="A59" s="9">
        <f t="shared" si="0"/>
        <v>37</v>
      </c>
      <c r="B59" s="9">
        <v>18.5</v>
      </c>
      <c r="C59" s="18">
        <v>2.565812729158317E-2</v>
      </c>
      <c r="D59" s="19">
        <f t="shared" si="1"/>
        <v>0.62208698118007821</v>
      </c>
      <c r="E59" s="7">
        <f t="shared" si="3"/>
        <v>3.5751565424112952E-2</v>
      </c>
      <c r="F59" s="28">
        <f t="shared" si="2"/>
        <v>7.2896437836875811E-4</v>
      </c>
      <c r="G59" s="21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</row>
    <row r="60" spans="1:56">
      <c r="A60" s="9">
        <f t="shared" si="0"/>
        <v>38</v>
      </c>
      <c r="B60" s="9">
        <v>19</v>
      </c>
      <c r="C60" s="18">
        <v>2.5918379421816372E-2</v>
      </c>
      <c r="D60" s="19">
        <f t="shared" si="1"/>
        <v>0.61112778005600377</v>
      </c>
      <c r="E60" s="7">
        <f t="shared" si="3"/>
        <v>3.5547708240444842E-2</v>
      </c>
      <c r="F60" s="28">
        <f t="shared" si="2"/>
        <v>6.1260770529784274E-4</v>
      </c>
      <c r="G60" s="21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</row>
    <row r="61" spans="1:56">
      <c r="A61" s="9">
        <f t="shared" si="0"/>
        <v>39</v>
      </c>
      <c r="B61" s="9">
        <v>19.5</v>
      </c>
      <c r="C61" s="18">
        <v>2.6158172569889046E-2</v>
      </c>
      <c r="D61" s="19">
        <f t="shared" si="1"/>
        <v>0.60044492007194694</v>
      </c>
      <c r="E61" s="7">
        <f t="shared" si="3"/>
        <v>3.5270312196650666E-2</v>
      </c>
      <c r="F61" s="28">
        <f t="shared" si="2"/>
        <v>5.0788871674987426E-4</v>
      </c>
      <c r="G61" s="21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</row>
    <row r="62" spans="1:56">
      <c r="A62" s="9">
        <f t="shared" si="0"/>
        <v>40</v>
      </c>
      <c r="B62" s="9">
        <v>20</v>
      </c>
      <c r="C62" s="18">
        <v>2.6377348159016618E-2</v>
      </c>
      <c r="D62" s="19">
        <f t="shared" si="1"/>
        <v>0.59005061172288131</v>
      </c>
      <c r="E62" s="7">
        <f t="shared" si="3"/>
        <v>3.4925196134991898E-2</v>
      </c>
      <c r="F62" s="28">
        <f t="shared" si="2"/>
        <v>4.1736323982681056E-4</v>
      </c>
      <c r="G62" s="21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</row>
    <row r="63" spans="1:56">
      <c r="A63" s="9">
        <f t="shared" si="0"/>
        <v>41</v>
      </c>
      <c r="B63" s="9">
        <v>20.5</v>
      </c>
      <c r="C63" s="18">
        <v>2.6575936174925503E-2</v>
      </c>
      <c r="D63" s="19">
        <f t="shared" si="1"/>
        <v>0.57995388246987389</v>
      </c>
      <c r="E63" s="7">
        <f t="shared" si="3"/>
        <v>3.4519456811280991E-2</v>
      </c>
      <c r="F63" s="28">
        <f t="shared" si="2"/>
        <v>3.4103626151702968E-4</v>
      </c>
      <c r="G63" s="21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</row>
    <row r="64" spans="1:56">
      <c r="A64" s="9">
        <f t="shared" si="0"/>
        <v>42</v>
      </c>
      <c r="B64" s="9">
        <v>21</v>
      </c>
      <c r="C64" s="18">
        <v>2.6754132777304054E-2</v>
      </c>
      <c r="D64" s="19">
        <f t="shared" si="1"/>
        <v>0.57016083669053619</v>
      </c>
      <c r="E64" s="7">
        <f t="shared" si="3"/>
        <v>3.4060193474824585E-2</v>
      </c>
      <c r="F64" s="28">
        <f t="shared" si="2"/>
        <v>2.7822182297702631E-4</v>
      </c>
      <c r="G64" s="21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</row>
    <row r="65" spans="1:56">
      <c r="A65" s="9">
        <f t="shared" si="0"/>
        <v>43</v>
      </c>
      <c r="B65" s="9">
        <v>21.5</v>
      </c>
      <c r="C65" s="18">
        <v>2.6912273000983204E-2</v>
      </c>
      <c r="D65" s="19">
        <f t="shared" si="1"/>
        <v>0.56067499688749434</v>
      </c>
      <c r="E65" s="7">
        <f t="shared" si="3"/>
        <v>3.355416239550757E-2</v>
      </c>
      <c r="F65" s="28">
        <f t="shared" si="2"/>
        <v>2.2849225131680966E-4</v>
      </c>
      <c r="G65" s="21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</row>
    <row r="66" spans="1:56">
      <c r="A66" s="9">
        <f t="shared" si="0"/>
        <v>44</v>
      </c>
      <c r="B66" s="9">
        <v>22</v>
      </c>
      <c r="C66" s="18">
        <v>2.7050810114751082E-2</v>
      </c>
      <c r="D66" s="19">
        <f t="shared" si="1"/>
        <v>0.55149758320217246</v>
      </c>
      <c r="E66" s="7">
        <f t="shared" si="3"/>
        <v>3.3007906006769838E-2</v>
      </c>
      <c r="F66" s="28">
        <f t="shared" si="2"/>
        <v>1.9182796873433352E-4</v>
      </c>
      <c r="G66" s="21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</row>
    <row r="67" spans="1:56">
      <c r="A67" s="9">
        <f t="shared" si="0"/>
        <v>45</v>
      </c>
      <c r="B67" s="9">
        <v>22.5</v>
      </c>
      <c r="C67" s="18">
        <v>2.7170302266715511E-2</v>
      </c>
      <c r="D67" s="19">
        <f t="shared" si="1"/>
        <v>0.54262771549833444</v>
      </c>
      <c r="E67" s="7">
        <f t="shared" si="3"/>
        <v>3.2427956953150261E-2</v>
      </c>
      <c r="F67" s="28">
        <f t="shared" si="2"/>
        <v>1.682289752220486E-4</v>
      </c>
      <c r="G67" s="21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</row>
    <row r="68" spans="1:56">
      <c r="A68" s="9">
        <f t="shared" si="0"/>
        <v>46</v>
      </c>
      <c r="B68" s="9">
        <v>23</v>
      </c>
      <c r="C68" s="18">
        <v>2.7271401084377866E-2</v>
      </c>
      <c r="D68" s="19">
        <f t="shared" si="1"/>
        <v>0.53406259652194477</v>
      </c>
      <c r="E68" s="7">
        <f t="shared" si="3"/>
        <v>3.1820847879183933E-2</v>
      </c>
      <c r="F68" s="28">
        <f t="shared" si="2"/>
        <v>1.5767373202695109E-4</v>
      </c>
      <c r="G68" s="21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</row>
    <row r="69" spans="1:56">
      <c r="A69" s="9">
        <f t="shared" si="0"/>
        <v>47</v>
      </c>
      <c r="B69" s="9">
        <v>23.5</v>
      </c>
      <c r="C69" s="18">
        <v>2.7354841500881091E-2</v>
      </c>
      <c r="D69" s="19">
        <f t="shared" si="1"/>
        <v>0.52579768197145871</v>
      </c>
      <c r="E69" s="7">
        <f t="shared" si="3"/>
        <v>3.1193100660029449E-2</v>
      </c>
      <c r="F69" s="28">
        <f t="shared" si="2"/>
        <v>1.595441902307751E-4</v>
      </c>
      <c r="G69" s="21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</row>
    <row r="70" spans="1:56">
      <c r="A70" s="9">
        <f t="shared" si="0"/>
        <v>48</v>
      </c>
      <c r="B70" s="9">
        <v>24</v>
      </c>
      <c r="C70" s="18">
        <v>2.7421426639329116E-2</v>
      </c>
      <c r="D70" s="19">
        <f t="shared" si="1"/>
        <v>0.51782691196704345</v>
      </c>
      <c r="E70" s="7">
        <f t="shared" si="3"/>
        <v>3.0550928146386269E-2</v>
      </c>
      <c r="F70" s="28">
        <f t="shared" si="2"/>
        <v>1.7263135005589651E-4</v>
      </c>
      <c r="G70" s="21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</row>
    <row r="71" spans="1:56">
      <c r="A71" s="9">
        <f t="shared" si="0"/>
        <v>49</v>
      </c>
      <c r="B71" s="9">
        <v>24.5</v>
      </c>
      <c r="C71" s="18">
        <v>2.7472008517895156E-2</v>
      </c>
      <c r="D71" s="19">
        <f t="shared" si="1"/>
        <v>0.51014299577652911</v>
      </c>
      <c r="E71" s="7">
        <f t="shared" si="3"/>
        <v>2.9899938689065042E-2</v>
      </c>
      <c r="F71" s="28">
        <f t="shared" si="2"/>
        <v>1.9643784188393522E-4</v>
      </c>
      <c r="G71" s="21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</row>
    <row r="72" spans="1:56">
      <c r="A72" s="9">
        <f t="shared" si="0"/>
        <v>50</v>
      </c>
      <c r="B72" s="9">
        <v>25</v>
      </c>
      <c r="C72" s="18">
        <v>2.7507478186618597E-2</v>
      </c>
      <c r="D72" s="19">
        <f t="shared" si="1"/>
        <v>0.50273758004844504</v>
      </c>
      <c r="E72" s="7">
        <f t="shared" si="3"/>
        <v>2.9245491954067226E-2</v>
      </c>
      <c r="F72" s="28">
        <f t="shared" si="2"/>
        <v>-5.6954931549073669E-2</v>
      </c>
      <c r="G72" s="21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</row>
    <row r="73" spans="1:56">
      <c r="B73" s="9"/>
      <c r="C73" s="23"/>
      <c r="D73" s="11"/>
      <c r="E73" s="7"/>
      <c r="F73" s="20"/>
      <c r="G73" s="21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</row>
    <row r="74" spans="1:56">
      <c r="B74" s="9"/>
      <c r="C74" s="23"/>
      <c r="D74" s="11"/>
      <c r="E74" s="7"/>
      <c r="F74" s="20"/>
      <c r="G74" s="21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</row>
    <row r="75" spans="1:56">
      <c r="B75" s="9">
        <v>0</v>
      </c>
      <c r="C75" s="7">
        <v>-8.6135810090700357E-4</v>
      </c>
      <c r="D75" s="11"/>
      <c r="E75" s="7">
        <v>-8.6135810090700357E-4</v>
      </c>
      <c r="F75" s="20"/>
      <c r="G75" s="21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</row>
    <row r="76" spans="1:56">
      <c r="B76" s="9">
        <v>0.5</v>
      </c>
      <c r="C76" s="7">
        <v>-8.6135810090700357E-4</v>
      </c>
      <c r="D76" s="11"/>
      <c r="E76" s="7">
        <v>2.4871182931022976E-3</v>
      </c>
      <c r="F76" s="20"/>
      <c r="G76" s="21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</row>
    <row r="77" spans="1:56">
      <c r="B77" s="9">
        <v>0.5</v>
      </c>
      <c r="C77" s="7">
        <v>2.4871182931022976E-3</v>
      </c>
      <c r="D77" s="11"/>
      <c r="E77" s="7">
        <v>5.62788848817813E-3</v>
      </c>
      <c r="F77" s="20"/>
      <c r="G77" s="21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</row>
    <row r="78" spans="1:56">
      <c r="B78" s="9">
        <v>1</v>
      </c>
      <c r="C78" s="7">
        <v>2.4871182931022976E-3</v>
      </c>
      <c r="D78" s="11"/>
      <c r="E78" s="7">
        <v>6.0160269983987151E-3</v>
      </c>
      <c r="F78" s="20"/>
      <c r="G78" s="21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</row>
    <row r="79" spans="1:56">
      <c r="B79" s="9">
        <v>1</v>
      </c>
      <c r="C79" s="7">
        <v>5.62788848817813E-3</v>
      </c>
      <c r="D79" s="11"/>
      <c r="E79" s="7">
        <v>5.4073015144884039E-3</v>
      </c>
      <c r="F79" s="20"/>
      <c r="G79" s="21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</row>
    <row r="80" spans="1:56">
      <c r="B80" s="9">
        <v>1.5</v>
      </c>
      <c r="C80" s="7">
        <v>5.62788848817813E-3</v>
      </c>
      <c r="D80" s="11"/>
      <c r="E80" s="7">
        <v>4.6751045257571924E-3</v>
      </c>
      <c r="F80" s="20"/>
      <c r="G80" s="21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</row>
    <row r="81" spans="2:56">
      <c r="B81" s="9">
        <v>1.5</v>
      </c>
      <c r="C81" s="7">
        <v>6.0160269983987151E-3</v>
      </c>
      <c r="D81" s="11"/>
      <c r="E81" s="7">
        <v>4.0247110895478624E-3</v>
      </c>
      <c r="F81" s="20"/>
      <c r="G81" s="21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</row>
    <row r="82" spans="2:56">
      <c r="B82" s="9">
        <v>2</v>
      </c>
      <c r="C82" s="7">
        <v>6.0160269983987151E-3</v>
      </c>
      <c r="D82" s="11"/>
      <c r="E82" s="7">
        <v>3.4751615949916094E-3</v>
      </c>
      <c r="F82" s="20"/>
      <c r="G82" s="21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</row>
    <row r="83" spans="2:56">
      <c r="B83" s="9">
        <v>2</v>
      </c>
      <c r="C83" s="7">
        <v>5.4073015144884039E-3</v>
      </c>
      <c r="D83" s="11"/>
      <c r="E83" s="7">
        <v>3.021711910561367E-3</v>
      </c>
      <c r="F83" s="20"/>
      <c r="G83" s="21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</row>
    <row r="84" spans="2:56">
      <c r="B84" s="9">
        <v>2.5</v>
      </c>
      <c r="C84" s="7">
        <v>5.4073015144884039E-3</v>
      </c>
      <c r="D84" s="11"/>
      <c r="E84" s="7">
        <v>2.6592694178100653E-3</v>
      </c>
      <c r="F84" s="20"/>
      <c r="G84" s="21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</row>
    <row r="85" spans="2:56">
      <c r="B85" s="9">
        <v>2.5</v>
      </c>
      <c r="C85" s="7">
        <v>4.6751045257571924E-3</v>
      </c>
      <c r="D85" s="11"/>
      <c r="E85" s="7">
        <v>2.3815731401393529E-3</v>
      </c>
      <c r="F85" s="20"/>
      <c r="G85" s="21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</row>
    <row r="86" spans="2:56">
      <c r="B86" s="9">
        <v>3</v>
      </c>
      <c r="C86" s="7">
        <v>4.6751045257571924E-3</v>
      </c>
      <c r="D86" s="11"/>
      <c r="E86" s="7">
        <v>2.1776261968427081E-3</v>
      </c>
      <c r="F86" s="20"/>
      <c r="G86" s="21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</row>
    <row r="87" spans="2:56">
      <c r="B87" s="9">
        <v>3</v>
      </c>
      <c r="C87" s="7">
        <v>4.0247110895478624E-3</v>
      </c>
      <c r="D87" s="11"/>
      <c r="E87" s="7">
        <v>2.0293807276363773E-3</v>
      </c>
      <c r="F87" s="20"/>
      <c r="G87" s="21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</row>
    <row r="88" spans="2:56">
      <c r="B88" s="9">
        <v>3.5</v>
      </c>
      <c r="C88" s="7">
        <v>4.0247110895478624E-3</v>
      </c>
      <c r="D88" s="11"/>
      <c r="E88" s="7">
        <v>1.9248104971583821E-3</v>
      </c>
      <c r="F88" s="20"/>
      <c r="G88" s="21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</row>
    <row r="89" spans="2:56">
      <c r="B89" s="9">
        <v>3.5</v>
      </c>
      <c r="C89" s="7">
        <v>3.4751615949916094E-3</v>
      </c>
      <c r="D89" s="11"/>
      <c r="E89" s="7">
        <v>1.8576904389125543E-3</v>
      </c>
      <c r="F89" s="20"/>
      <c r="G89" s="21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</row>
    <row r="90" spans="2:56">
      <c r="B90" s="9">
        <v>4</v>
      </c>
      <c r="C90" s="7">
        <v>3.4751615949916094E-3</v>
      </c>
      <c r="D90" s="11"/>
      <c r="E90" s="7">
        <v>1.8252756408486817E-3</v>
      </c>
      <c r="F90" s="20"/>
      <c r="G90" s="21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</row>
    <row r="91" spans="2:56">
      <c r="B91" s="9">
        <v>4</v>
      </c>
      <c r="C91" s="7">
        <v>3.021711910561367E-3</v>
      </c>
      <c r="D91" s="11"/>
      <c r="E91" s="7">
        <v>1.8205491253846121E-3</v>
      </c>
      <c r="F91" s="20"/>
      <c r="G91" s="21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</row>
    <row r="92" spans="2:56">
      <c r="B92" s="9">
        <v>4.5</v>
      </c>
      <c r="C92" s="7">
        <v>3.021711910561367E-3</v>
      </c>
      <c r="D92" s="11"/>
      <c r="E92" s="7">
        <v>1.8398506208862242E-3</v>
      </c>
      <c r="F92" s="20"/>
      <c r="G92" s="21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</row>
    <row r="93" spans="2:56">
      <c r="B93" s="9">
        <v>4.5</v>
      </c>
      <c r="C93" s="7">
        <v>2.6592694178100653E-3</v>
      </c>
      <c r="D93" s="11"/>
      <c r="E93" s="7">
        <v>1.8828930921204923E-3</v>
      </c>
      <c r="F93" s="20"/>
      <c r="G93" s="21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</row>
    <row r="94" spans="2:56">
      <c r="B94" s="9">
        <v>5</v>
      </c>
      <c r="C94" s="7">
        <v>2.6592694178100653E-3</v>
      </c>
      <c r="D94" s="11"/>
      <c r="E94" s="7">
        <v>1.9315752708663112E-3</v>
      </c>
      <c r="F94" s="20"/>
      <c r="G94" s="21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</row>
    <row r="95" spans="2:56">
      <c r="B95" s="9">
        <v>5</v>
      </c>
      <c r="C95" s="7">
        <v>2.3815731401393529E-3</v>
      </c>
      <c r="D95" s="11"/>
      <c r="E95" s="7">
        <v>1.9738349083148949E-3</v>
      </c>
      <c r="F95" s="20"/>
      <c r="G95" s="21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</row>
    <row r="96" spans="2:56">
      <c r="B96" s="9">
        <v>5.5</v>
      </c>
      <c r="C96" s="7">
        <v>2.3815731401393529E-3</v>
      </c>
      <c r="D96" s="11"/>
      <c r="E96" s="7">
        <v>2.009146916422309E-3</v>
      </c>
      <c r="F96" s="20"/>
      <c r="G96" s="21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</row>
    <row r="97" spans="2:56">
      <c r="B97" s="9">
        <v>5.5</v>
      </c>
      <c r="C97" s="7">
        <v>2.1776261968427081E-3</v>
      </c>
      <c r="D97" s="11"/>
      <c r="E97" s="7">
        <v>2.0375112951875542E-3</v>
      </c>
      <c r="F97" s="20"/>
      <c r="G97" s="21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</row>
    <row r="98" spans="2:56">
      <c r="B98" s="9">
        <v>6</v>
      </c>
      <c r="C98" s="7">
        <v>2.1776261968427081E-3</v>
      </c>
      <c r="D98" s="11"/>
      <c r="E98" s="7">
        <v>2.0585974262771426E-3</v>
      </c>
      <c r="F98" s="20"/>
      <c r="G98" s="21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</row>
    <row r="99" spans="2:56">
      <c r="B99" s="9">
        <v>6</v>
      </c>
      <c r="C99" s="7">
        <v>2.0293807276363773E-3</v>
      </c>
      <c r="D99" s="11"/>
      <c r="E99" s="7">
        <v>2.0634973869534069E-3</v>
      </c>
      <c r="F99" s="20"/>
      <c r="G99" s="21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</row>
    <row r="100" spans="2:56">
      <c r="B100" s="9">
        <v>6.5</v>
      </c>
      <c r="C100" s="7">
        <v>2.0293807276363773E-3</v>
      </c>
      <c r="D100" s="11"/>
      <c r="E100" s="7">
        <v>2.0361753515038238E-3</v>
      </c>
      <c r="F100" s="20"/>
      <c r="G100" s="21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</row>
    <row r="101" spans="2:56">
      <c r="B101" s="9">
        <v>6.5</v>
      </c>
      <c r="C101" s="7">
        <v>1.9248104971583821E-3</v>
      </c>
      <c r="D101" s="11"/>
      <c r="E101" s="7">
        <v>1.9783703920689096E-3</v>
      </c>
      <c r="F101" s="20"/>
      <c r="G101" s="21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</row>
    <row r="102" spans="2:56">
      <c r="B102" s="9">
        <v>7</v>
      </c>
      <c r="C102" s="7">
        <v>1.9248104971583821E-3</v>
      </c>
      <c r="D102" s="11"/>
      <c r="E102" s="7">
        <v>1.8989911512812523E-3</v>
      </c>
      <c r="F102" s="20"/>
      <c r="G102" s="21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</row>
    <row r="103" spans="2:56">
      <c r="B103" s="9">
        <v>7</v>
      </c>
      <c r="C103" s="7">
        <v>1.8576904389125543E-3</v>
      </c>
      <c r="D103" s="11"/>
      <c r="E103" s="7">
        <v>1.7997667564126621E-3</v>
      </c>
      <c r="F103" s="20"/>
      <c r="G103" s="21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</row>
    <row r="104" spans="2:56">
      <c r="B104" s="9">
        <v>7.5</v>
      </c>
      <c r="C104" s="7">
        <v>1.8576904389125543E-3</v>
      </c>
      <c r="D104" s="11"/>
      <c r="E104" s="7">
        <v>1.6808706827201869E-3</v>
      </c>
      <c r="F104" s="20"/>
      <c r="G104" s="21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</row>
    <row r="105" spans="2:56">
      <c r="B105" s="9">
        <v>7.5</v>
      </c>
      <c r="C105" s="7">
        <v>1.8252756408486817E-3</v>
      </c>
      <c r="D105" s="11"/>
      <c r="E105" s="7">
        <v>1.5471662403348805E-3</v>
      </c>
      <c r="F105" s="20"/>
      <c r="G105" s="21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</row>
    <row r="106" spans="2:56">
      <c r="B106" s="9">
        <v>8</v>
      </c>
      <c r="C106" s="7">
        <v>1.8252756408486817E-3</v>
      </c>
      <c r="D106" s="11"/>
      <c r="E106" s="7">
        <v>1.4078309527166008E-3</v>
      </c>
      <c r="F106" s="20"/>
      <c r="G106" s="21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</row>
    <row r="107" spans="2:56">
      <c r="B107" s="9">
        <v>8</v>
      </c>
      <c r="C107" s="7">
        <v>1.8205491253846121E-3</v>
      </c>
      <c r="D107" s="11"/>
      <c r="E107" s="7">
        <v>1.2648130082726112E-3</v>
      </c>
      <c r="F107" s="20"/>
      <c r="G107" s="21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</row>
    <row r="108" spans="2:56">
      <c r="B108" s="9">
        <v>8.5</v>
      </c>
      <c r="C108" s="7">
        <v>1.8205491253846121E-3</v>
      </c>
      <c r="D108" s="11"/>
      <c r="E108" s="7">
        <v>1.1214046653934867E-3</v>
      </c>
      <c r="F108" s="20"/>
      <c r="G108" s="21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</row>
    <row r="109" spans="2:56">
      <c r="B109" s="9">
        <v>8.5</v>
      </c>
      <c r="C109" s="7">
        <v>1.8398506208862242E-3</v>
      </c>
      <c r="D109" s="11"/>
      <c r="E109" s="7">
        <v>9.836982858223201E-4</v>
      </c>
      <c r="F109" s="20"/>
      <c r="G109" s="21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</row>
    <row r="110" spans="2:56">
      <c r="B110" s="9">
        <v>9</v>
      </c>
      <c r="C110" s="7">
        <v>1.8398506208862242E-3</v>
      </c>
      <c r="D110" s="11"/>
      <c r="E110" s="7">
        <v>8.5288370040451653E-4</v>
      </c>
      <c r="F110" s="20"/>
      <c r="G110" s="21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</row>
    <row r="111" spans="2:56">
      <c r="B111" s="9">
        <v>9</v>
      </c>
      <c r="C111" s="7">
        <v>1.8828930921204923E-3</v>
      </c>
      <c r="D111" s="11"/>
      <c r="E111" s="7">
        <v>7.2896437836875811E-4</v>
      </c>
      <c r="F111" s="20"/>
      <c r="G111" s="21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</row>
    <row r="112" spans="2:56">
      <c r="B112" s="9">
        <v>9.5</v>
      </c>
      <c r="C112" s="7">
        <v>1.8828930921204923E-3</v>
      </c>
      <c r="D112" s="11"/>
      <c r="E112" s="7">
        <v>6.1260770529784274E-4</v>
      </c>
      <c r="F112" s="20"/>
      <c r="G112" s="21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</row>
    <row r="113" spans="2:56">
      <c r="B113" s="9">
        <v>9.5</v>
      </c>
      <c r="C113" s="7">
        <v>1.9315752708663112E-3</v>
      </c>
      <c r="D113" s="11"/>
      <c r="E113" s="7">
        <v>5.0788871674987426E-4</v>
      </c>
      <c r="F113" s="20"/>
      <c r="G113" s="21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</row>
    <row r="114" spans="2:56">
      <c r="B114" s="9">
        <v>10</v>
      </c>
      <c r="C114" s="7">
        <v>1.9315752708663112E-3</v>
      </c>
      <c r="D114" s="11"/>
      <c r="E114" s="7">
        <v>4.1736323982681056E-4</v>
      </c>
      <c r="F114" s="20"/>
      <c r="G114" s="21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</row>
    <row r="115" spans="2:56">
      <c r="B115" s="9">
        <v>10</v>
      </c>
      <c r="C115" s="7">
        <v>1.9738349083148949E-3</v>
      </c>
      <c r="D115" s="11"/>
      <c r="E115" s="7">
        <v>3.4103626151702968E-4</v>
      </c>
      <c r="F115" s="20"/>
      <c r="G115" s="21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</row>
    <row r="116" spans="2:56">
      <c r="B116" s="9">
        <v>10.5</v>
      </c>
      <c r="C116" s="7">
        <v>1.9738349083148949E-3</v>
      </c>
      <c r="D116" s="11"/>
      <c r="E116" s="7">
        <v>2.7822182297702631E-4</v>
      </c>
      <c r="F116" s="20"/>
      <c r="G116" s="21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</row>
    <row r="117" spans="2:56">
      <c r="B117" s="9">
        <v>10.5</v>
      </c>
      <c r="C117" s="7">
        <v>2.009146916422309E-3</v>
      </c>
      <c r="D117" s="11"/>
      <c r="E117" s="7">
        <v>2.2849225131680966E-4</v>
      </c>
      <c r="F117" s="20"/>
      <c r="G117" s="21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</row>
    <row r="118" spans="2:56">
      <c r="B118" s="9">
        <v>11</v>
      </c>
      <c r="C118" s="7">
        <v>2.009146916422309E-3</v>
      </c>
      <c r="D118" s="11"/>
      <c r="E118" s="7">
        <v>1.9182796873433352E-4</v>
      </c>
      <c r="F118" s="20"/>
      <c r="G118" s="21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</row>
    <row r="119" spans="2:56">
      <c r="B119" s="9">
        <v>11</v>
      </c>
      <c r="C119" s="7">
        <v>2.0375112951875542E-3</v>
      </c>
      <c r="D119" s="11"/>
      <c r="E119" s="7">
        <v>1.682289752220486E-4</v>
      </c>
      <c r="F119" s="20"/>
      <c r="G119" s="21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</row>
    <row r="120" spans="2:56">
      <c r="B120" s="9">
        <v>11.5</v>
      </c>
      <c r="C120" s="7">
        <v>2.0375112951875542E-3</v>
      </c>
      <c r="D120" s="11"/>
      <c r="E120" s="7">
        <v>1.5767373202695109E-4</v>
      </c>
      <c r="F120" s="20"/>
      <c r="G120" s="21"/>
      <c r="H120" s="7"/>
    </row>
    <row r="121" spans="2:56">
      <c r="B121" s="9">
        <v>11.5</v>
      </c>
      <c r="C121" s="7">
        <v>1.9783703920689096E-3</v>
      </c>
      <c r="D121" s="11"/>
      <c r="E121" s="7">
        <v>1.595441902307751E-4</v>
      </c>
      <c r="F121" s="20"/>
      <c r="G121" s="21"/>
      <c r="H121" s="7"/>
    </row>
    <row r="122" spans="2:56">
      <c r="B122" s="9">
        <v>12</v>
      </c>
      <c r="C122" s="7">
        <v>1.9783703920689096E-3</v>
      </c>
      <c r="D122" s="11"/>
      <c r="E122" s="7">
        <v>1.7263135005589651E-4</v>
      </c>
      <c r="F122" s="20"/>
      <c r="G122" s="21"/>
      <c r="H122" s="7"/>
    </row>
    <row r="123" spans="2:56">
      <c r="B123" s="9">
        <v>12</v>
      </c>
      <c r="C123" s="7">
        <v>1.8989911512812523E-3</v>
      </c>
      <c r="D123" s="11"/>
      <c r="E123" s="7">
        <v>1.9643784188393522E-4</v>
      </c>
      <c r="F123" s="20"/>
      <c r="G123" s="21"/>
      <c r="H123" s="7"/>
    </row>
    <row r="124" spans="2:56">
      <c r="B124" s="9">
        <v>12.5</v>
      </c>
      <c r="C124" s="7">
        <v>1.8989911512812523E-3</v>
      </c>
      <c r="D124" s="11"/>
      <c r="E124" s="7">
        <v>-5.6954931549073669E-2</v>
      </c>
      <c r="F124" s="20"/>
      <c r="G124" s="21"/>
      <c r="H124" s="7"/>
    </row>
    <row r="125" spans="2:56">
      <c r="B125" s="9">
        <v>12.5</v>
      </c>
      <c r="C125" s="7">
        <v>1.7997667564126621E-3</v>
      </c>
      <c r="D125" s="11"/>
      <c r="E125" s="7"/>
      <c r="F125" s="20"/>
      <c r="G125" s="21"/>
      <c r="H125" s="7"/>
    </row>
    <row r="126" spans="2:56">
      <c r="B126" s="9">
        <v>13</v>
      </c>
      <c r="C126" s="7">
        <v>1.7997667564126621E-3</v>
      </c>
      <c r="D126" s="11"/>
      <c r="E126" s="7"/>
      <c r="F126" s="20"/>
      <c r="G126" s="21"/>
      <c r="H126" s="7"/>
    </row>
    <row r="127" spans="2:56">
      <c r="B127" s="9">
        <v>13</v>
      </c>
      <c r="C127" s="7">
        <v>1.6808706827201869E-3</v>
      </c>
      <c r="D127" s="11"/>
      <c r="E127" s="7"/>
      <c r="F127" s="20"/>
      <c r="G127" s="21"/>
      <c r="H127" s="7"/>
    </row>
    <row r="128" spans="2:56">
      <c r="B128" s="9">
        <v>13.5</v>
      </c>
      <c r="C128" s="7">
        <v>1.6808706827201869E-3</v>
      </c>
      <c r="D128" s="11"/>
      <c r="E128" s="7"/>
      <c r="F128" s="20"/>
      <c r="G128" s="21"/>
      <c r="H128" s="7"/>
    </row>
    <row r="129" spans="2:8">
      <c r="B129" s="9">
        <v>13.5</v>
      </c>
      <c r="C129" s="7">
        <v>1.5471662403348805E-3</v>
      </c>
      <c r="D129" s="11"/>
      <c r="E129" s="7"/>
      <c r="F129" s="20"/>
      <c r="G129" s="21"/>
      <c r="H129" s="7"/>
    </row>
    <row r="130" spans="2:8">
      <c r="B130" s="9">
        <v>14</v>
      </c>
      <c r="C130" s="7">
        <v>1.5471662403348805E-3</v>
      </c>
      <c r="D130" s="11"/>
      <c r="E130" s="7"/>
      <c r="F130" s="20"/>
      <c r="G130" s="21"/>
      <c r="H130" s="7"/>
    </row>
    <row r="131" spans="2:8">
      <c r="B131" s="9">
        <v>14</v>
      </c>
      <c r="C131" s="7">
        <v>1.4078309527166008E-3</v>
      </c>
      <c r="D131" s="11"/>
      <c r="E131" s="7"/>
      <c r="F131" s="20"/>
      <c r="G131" s="21"/>
      <c r="H131" s="7"/>
    </row>
    <row r="132" spans="2:8">
      <c r="B132" s="9">
        <v>14.5</v>
      </c>
      <c r="C132" s="7">
        <v>1.4078309527166008E-3</v>
      </c>
      <c r="D132" s="11"/>
      <c r="E132" s="7"/>
      <c r="F132" s="20"/>
      <c r="G132" s="21"/>
      <c r="H132" s="7"/>
    </row>
    <row r="133" spans="2:8">
      <c r="B133" s="9">
        <v>14.5</v>
      </c>
      <c r="C133" s="7">
        <v>1.2648130082726112E-3</v>
      </c>
      <c r="D133" s="11"/>
      <c r="E133" s="7"/>
      <c r="F133" s="20"/>
      <c r="G133" s="21"/>
      <c r="H133" s="7"/>
    </row>
    <row r="134" spans="2:8">
      <c r="B134" s="9">
        <v>15</v>
      </c>
      <c r="C134" s="7">
        <v>1.2648130082726112E-3</v>
      </c>
      <c r="D134" s="11"/>
      <c r="E134" s="7"/>
      <c r="F134" s="20"/>
      <c r="G134" s="21"/>
      <c r="H134" s="7"/>
    </row>
    <row r="135" spans="2:8">
      <c r="B135" s="9">
        <v>15</v>
      </c>
      <c r="C135" s="7">
        <v>1.1214046653934867E-3</v>
      </c>
      <c r="D135" s="11"/>
      <c r="E135" s="7"/>
      <c r="F135" s="20"/>
      <c r="G135" s="21"/>
      <c r="H135" s="7"/>
    </row>
    <row r="136" spans="2:8">
      <c r="B136" s="9"/>
      <c r="C136" s="23"/>
      <c r="D136" s="11"/>
      <c r="E136" s="7"/>
      <c r="F136" s="20"/>
      <c r="G136" s="21"/>
      <c r="H136" s="7"/>
    </row>
    <row r="137" spans="2:8">
      <c r="B137" s="9"/>
      <c r="C137" s="23"/>
      <c r="D137" s="11"/>
      <c r="E137" s="7"/>
      <c r="F137" s="20"/>
      <c r="G137" s="21"/>
      <c r="H137" s="7"/>
    </row>
    <row r="138" spans="2:8">
      <c r="B138" s="9"/>
      <c r="C138" s="23"/>
      <c r="D138" s="11"/>
      <c r="E138" s="7"/>
      <c r="F138" s="20"/>
      <c r="G138" s="21"/>
      <c r="H138" s="7"/>
    </row>
    <row r="139" spans="2:8">
      <c r="B139" s="9"/>
      <c r="C139" s="23"/>
      <c r="D139" s="11"/>
      <c r="E139" s="7"/>
      <c r="F139" s="20"/>
      <c r="G139" s="21"/>
      <c r="H139" s="7"/>
    </row>
    <row r="140" spans="2:8">
      <c r="B140" s="9"/>
      <c r="C140" s="23"/>
      <c r="D140" s="11"/>
      <c r="E140" s="7"/>
      <c r="F140" s="20"/>
      <c r="G140" s="21"/>
      <c r="H140" s="7"/>
    </row>
    <row r="141" spans="2:8">
      <c r="B141" s="9"/>
      <c r="C141" s="23"/>
      <c r="D141" s="11"/>
      <c r="E141" s="7"/>
      <c r="F141" s="20"/>
      <c r="G141" s="21"/>
      <c r="H141" s="7"/>
    </row>
    <row r="142" spans="2:8">
      <c r="B142" s="9"/>
      <c r="C142" s="24"/>
      <c r="D142" s="25"/>
      <c r="E142" s="7"/>
      <c r="F142" s="26"/>
      <c r="G142" s="7"/>
      <c r="H142" s="7"/>
    </row>
    <row r="143" spans="2:8">
      <c r="B143" s="9"/>
      <c r="C143" s="24"/>
      <c r="D143" s="25"/>
      <c r="E143" s="7"/>
      <c r="F143" s="26"/>
      <c r="G143" s="7"/>
      <c r="H143" s="7"/>
    </row>
    <row r="144" spans="2:8">
      <c r="B144" s="9"/>
      <c r="C144" s="24"/>
      <c r="D144" s="25"/>
      <c r="E144" s="7"/>
      <c r="F144" s="26"/>
      <c r="G144" s="7"/>
      <c r="H144" s="7"/>
    </row>
    <row r="145" spans="2:8">
      <c r="B145" s="9"/>
      <c r="C145" s="24"/>
      <c r="D145" s="25"/>
      <c r="E145" s="7"/>
      <c r="F145" s="26"/>
      <c r="G145" s="7"/>
      <c r="H145" s="7"/>
    </row>
    <row r="146" spans="2:8">
      <c r="B146" s="9"/>
      <c r="C146" s="24"/>
      <c r="D146" s="25"/>
      <c r="E146" s="7"/>
      <c r="F146" s="26"/>
      <c r="G146" s="7"/>
      <c r="H146" s="7"/>
    </row>
    <row r="147" spans="2:8">
      <c r="B147" s="9"/>
      <c r="C147" s="24"/>
      <c r="D147" s="25"/>
      <c r="E147" s="7"/>
      <c r="F147" s="26"/>
      <c r="G147" s="7"/>
      <c r="H147" s="7"/>
    </row>
    <row r="148" spans="2:8">
      <c r="B148" s="9"/>
      <c r="C148" s="24"/>
      <c r="D148" s="25"/>
      <c r="E148" s="7"/>
      <c r="F148" s="26"/>
      <c r="G148" s="7"/>
      <c r="H148" s="7"/>
    </row>
    <row r="149" spans="2:8">
      <c r="B149" s="9"/>
      <c r="C149" s="24"/>
      <c r="D149" s="25"/>
      <c r="E149" s="7"/>
      <c r="F149" s="26"/>
      <c r="G149" s="7"/>
      <c r="H149" s="7"/>
    </row>
    <row r="150" spans="2:8">
      <c r="B150" s="9"/>
      <c r="C150" s="24"/>
      <c r="D150" s="25"/>
      <c r="E150" s="7"/>
      <c r="F150" s="26"/>
      <c r="G150" s="7"/>
      <c r="H150" s="7"/>
    </row>
    <row r="151" spans="2:8">
      <c r="B151" s="9"/>
      <c r="C151" s="24"/>
      <c r="D151" s="25"/>
      <c r="E151" s="7"/>
      <c r="F151" s="26"/>
      <c r="G151" s="7"/>
      <c r="H151" s="7"/>
    </row>
    <row r="152" spans="2:8">
      <c r="B152" s="9"/>
      <c r="C152" s="24"/>
      <c r="D152" s="25"/>
      <c r="E152" s="7"/>
      <c r="F152" s="26"/>
      <c r="G152" s="7"/>
      <c r="H152" s="7"/>
    </row>
    <row r="153" spans="2:8">
      <c r="B153" s="9"/>
      <c r="C153" s="24"/>
      <c r="D153" s="25"/>
      <c r="E153" s="7"/>
      <c r="F153" s="26"/>
      <c r="G153" s="7"/>
      <c r="H153" s="7"/>
    </row>
    <row r="154" spans="2:8">
      <c r="B154" s="9"/>
      <c r="C154" s="24"/>
      <c r="D154" s="25"/>
      <c r="E154" s="7"/>
      <c r="F154" s="26"/>
      <c r="G154" s="7"/>
      <c r="H154" s="7"/>
    </row>
    <row r="155" spans="2:8">
      <c r="B155" s="9"/>
      <c r="C155" s="24"/>
      <c r="D155" s="25"/>
      <c r="E155" s="7"/>
      <c r="F155" s="26"/>
      <c r="G155" s="7"/>
      <c r="H155" s="7"/>
    </row>
    <row r="156" spans="2:8">
      <c r="B156" s="9"/>
      <c r="C156" s="24"/>
      <c r="D156" s="25"/>
      <c r="E156" s="7"/>
      <c r="F156" s="26"/>
      <c r="G156" s="7"/>
      <c r="H156" s="7"/>
    </row>
    <row r="157" spans="2:8">
      <c r="B157" s="9"/>
      <c r="C157" s="24"/>
      <c r="D157" s="25"/>
      <c r="E157" s="7"/>
      <c r="F157" s="26"/>
      <c r="G157" s="7"/>
      <c r="H157" s="7"/>
    </row>
    <row r="158" spans="2:8">
      <c r="B158" s="9"/>
      <c r="C158" s="24"/>
      <c r="D158" s="25"/>
      <c r="E158" s="7"/>
      <c r="F158" s="26"/>
      <c r="G158" s="7"/>
      <c r="H158" s="7"/>
    </row>
    <row r="159" spans="2:8">
      <c r="B159" s="9"/>
      <c r="C159" s="24"/>
      <c r="D159" s="25"/>
      <c r="E159" s="7"/>
      <c r="F159" s="26"/>
      <c r="G159" s="7"/>
      <c r="H159" s="7"/>
    </row>
    <row r="160" spans="2:8">
      <c r="B160" s="9"/>
      <c r="C160" s="24"/>
      <c r="D160" s="25"/>
      <c r="E160" s="7"/>
      <c r="F160" s="26"/>
      <c r="G160" s="7"/>
      <c r="H160" s="7"/>
    </row>
    <row r="161" spans="2:8">
      <c r="B161" s="9"/>
      <c r="C161" s="24"/>
      <c r="D161" s="25"/>
      <c r="E161" s="7"/>
      <c r="F161" s="26"/>
      <c r="G161" s="7"/>
      <c r="H161" s="7"/>
    </row>
    <row r="162" spans="2:8">
      <c r="B162" s="9"/>
      <c r="C162" s="24"/>
      <c r="D162" s="25"/>
      <c r="E162" s="7"/>
      <c r="F162" s="26"/>
      <c r="G162" s="7"/>
      <c r="H162" s="7"/>
    </row>
    <row r="163" spans="2:8">
      <c r="B163" s="9"/>
      <c r="C163" s="24"/>
      <c r="D163" s="25"/>
      <c r="E163" s="7"/>
      <c r="F163" s="26"/>
      <c r="G163" s="7"/>
      <c r="H163" s="7"/>
    </row>
    <row r="164" spans="2:8">
      <c r="B164" s="9"/>
      <c r="C164" s="24"/>
      <c r="D164" s="25"/>
      <c r="E164" s="7"/>
      <c r="F164" s="26"/>
      <c r="G164" s="7"/>
      <c r="H164" s="7"/>
    </row>
    <row r="165" spans="2:8">
      <c r="B165" s="9"/>
      <c r="C165" s="24"/>
      <c r="D165" s="25"/>
      <c r="E165" s="7"/>
      <c r="F165" s="26"/>
      <c r="G165" s="7"/>
      <c r="H165" s="7"/>
    </row>
    <row r="166" spans="2:8">
      <c r="B166" s="9"/>
      <c r="C166" s="24"/>
      <c r="D166" s="25"/>
      <c r="E166" s="7"/>
      <c r="F166" s="26"/>
      <c r="G166" s="7"/>
      <c r="H166" s="7"/>
    </row>
    <row r="167" spans="2:8">
      <c r="B167" s="9"/>
      <c r="C167" s="24"/>
      <c r="D167" s="25"/>
      <c r="E167" s="7"/>
      <c r="F167" s="26"/>
      <c r="G167" s="7"/>
      <c r="H167" s="7"/>
    </row>
    <row r="168" spans="2:8">
      <c r="B168" s="9"/>
      <c r="C168" s="24"/>
      <c r="D168" s="25"/>
      <c r="E168" s="7"/>
      <c r="F168" s="26"/>
      <c r="G168" s="7"/>
      <c r="H168" s="7"/>
    </row>
    <row r="169" spans="2:8">
      <c r="B169" s="9"/>
      <c r="C169" s="24"/>
      <c r="D169" s="25"/>
      <c r="E169" s="7"/>
      <c r="F169" s="26"/>
      <c r="G169" s="7"/>
      <c r="H169" s="7"/>
    </row>
    <row r="170" spans="2:8">
      <c r="B170" s="9"/>
      <c r="C170" s="24"/>
      <c r="D170" s="25"/>
      <c r="E170" s="7"/>
      <c r="F170" s="26"/>
      <c r="G170" s="7"/>
      <c r="H170" s="7"/>
    </row>
    <row r="171" spans="2:8">
      <c r="B171" s="9"/>
      <c r="C171" s="24"/>
      <c r="D171" s="25"/>
      <c r="E171" s="7"/>
      <c r="F171" s="26"/>
      <c r="G171" s="7"/>
      <c r="H171" s="7"/>
    </row>
    <row r="172" spans="2:8">
      <c r="B172" s="9"/>
      <c r="C172" s="24"/>
      <c r="D172" s="25"/>
      <c r="E172" s="7"/>
      <c r="F172" s="26"/>
      <c r="G172" s="7"/>
      <c r="H172" s="7"/>
    </row>
    <row r="173" spans="2:8">
      <c r="B173" s="9"/>
      <c r="C173" s="24"/>
      <c r="D173" s="25"/>
      <c r="E173" s="7"/>
      <c r="F173" s="26"/>
      <c r="G173" s="7"/>
      <c r="H173" s="7"/>
    </row>
    <row r="174" spans="2:8">
      <c r="B174" s="9"/>
      <c r="C174" s="24"/>
      <c r="D174" s="25"/>
      <c r="E174" s="7"/>
      <c r="F174" s="26"/>
      <c r="G174" s="7"/>
      <c r="H174" s="7"/>
    </row>
    <row r="175" spans="2:8">
      <c r="B175" s="9"/>
      <c r="C175" s="24"/>
      <c r="D175" s="25"/>
      <c r="E175" s="7"/>
      <c r="F175" s="26"/>
      <c r="G175" s="7"/>
      <c r="H175" s="7"/>
    </row>
    <row r="176" spans="2:8">
      <c r="B176" s="9"/>
      <c r="C176" s="24"/>
      <c r="D176" s="25"/>
      <c r="E176" s="7"/>
      <c r="F176" s="26"/>
      <c r="G176" s="7"/>
      <c r="H176" s="7"/>
    </row>
    <row r="177" spans="2:8">
      <c r="B177" s="9"/>
      <c r="C177" s="24"/>
      <c r="D177" s="25"/>
      <c r="E177" s="7"/>
      <c r="F177" s="26"/>
      <c r="G177" s="7"/>
      <c r="H177" s="7"/>
    </row>
    <row r="178" spans="2:8">
      <c r="B178" s="9"/>
      <c r="C178" s="24"/>
      <c r="D178" s="25"/>
      <c r="E178" s="7"/>
      <c r="F178" s="26"/>
      <c r="G178" s="7"/>
      <c r="H178" s="7"/>
    </row>
    <row r="179" spans="2:8">
      <c r="B179" s="9"/>
      <c r="C179" s="24"/>
      <c r="D179" s="25"/>
      <c r="E179" s="7"/>
      <c r="F179" s="26"/>
      <c r="G179" s="7"/>
      <c r="H179" s="7"/>
    </row>
    <row r="180" spans="2:8">
      <c r="B180" s="9"/>
      <c r="C180" s="24"/>
      <c r="D180" s="25"/>
      <c r="E180" s="7"/>
      <c r="F180" s="26"/>
      <c r="G180" s="7"/>
      <c r="H180" s="7"/>
    </row>
    <row r="181" spans="2:8">
      <c r="B181" s="9"/>
      <c r="C181" s="24"/>
      <c r="D181" s="25"/>
      <c r="E181" s="7"/>
      <c r="F181" s="26"/>
      <c r="G181" s="7"/>
      <c r="H181" s="7"/>
    </row>
    <row r="182" spans="2:8">
      <c r="B182" s="9"/>
      <c r="C182" s="24"/>
      <c r="D182" s="25"/>
      <c r="E182" s="7"/>
      <c r="F182" s="26"/>
      <c r="G182" s="7"/>
      <c r="H182" s="7"/>
    </row>
    <row r="183" spans="2:8">
      <c r="B183" s="9"/>
      <c r="C183" s="24"/>
      <c r="D183" s="25"/>
      <c r="E183" s="7"/>
      <c r="F183" s="26"/>
      <c r="G183" s="7"/>
      <c r="H183" s="7"/>
    </row>
    <row r="184" spans="2:8">
      <c r="B184" s="9"/>
      <c r="C184" s="24"/>
      <c r="D184" s="25"/>
      <c r="E184" s="7"/>
      <c r="F184" s="26"/>
      <c r="G184" s="7"/>
      <c r="H184" s="7"/>
    </row>
    <row r="185" spans="2:8">
      <c r="B185" s="9"/>
      <c r="C185" s="24"/>
      <c r="D185" s="25"/>
      <c r="E185" s="7"/>
      <c r="F185" s="26"/>
      <c r="G185" s="7"/>
      <c r="H185" s="7"/>
    </row>
    <row r="186" spans="2:8">
      <c r="B186" s="9"/>
      <c r="C186" s="24"/>
      <c r="D186" s="25"/>
      <c r="E186" s="7"/>
      <c r="F186" s="26"/>
      <c r="G186" s="7"/>
      <c r="H186" s="7"/>
    </row>
    <row r="187" spans="2:8">
      <c r="B187" s="9"/>
      <c r="C187" s="24"/>
      <c r="D187" s="25"/>
      <c r="E187" s="7"/>
      <c r="F187" s="26"/>
      <c r="G187" s="7"/>
      <c r="H187" s="7"/>
    </row>
    <row r="188" spans="2:8">
      <c r="B188" s="9"/>
      <c r="C188" s="24"/>
      <c r="D188" s="25"/>
      <c r="E188" s="7"/>
      <c r="F188" s="26"/>
      <c r="G188" s="7"/>
      <c r="H188" s="7"/>
    </row>
    <row r="189" spans="2:8">
      <c r="B189" s="9"/>
      <c r="C189" s="24"/>
      <c r="D189" s="25"/>
      <c r="E189" s="7"/>
      <c r="F189" s="26"/>
      <c r="G189" s="7"/>
      <c r="H189" s="7"/>
    </row>
    <row r="190" spans="2:8">
      <c r="B190" s="9"/>
      <c r="C190" s="24"/>
      <c r="D190" s="25"/>
      <c r="E190" s="7"/>
      <c r="F190" s="26"/>
      <c r="G190" s="7"/>
      <c r="H190" s="7"/>
    </row>
    <row r="191" spans="2:8">
      <c r="B191" s="9"/>
      <c r="C191" s="24"/>
      <c r="D191" s="25"/>
      <c r="E191" s="7"/>
      <c r="F191" s="26"/>
      <c r="G191" s="7"/>
      <c r="H191" s="7"/>
    </row>
    <row r="192" spans="2:8">
      <c r="B192" s="9"/>
      <c r="C192" s="24"/>
      <c r="D192" s="25"/>
      <c r="E192" s="7"/>
      <c r="F192" s="26"/>
      <c r="G192" s="7"/>
      <c r="H192" s="7"/>
    </row>
    <row r="193" spans="2:8">
      <c r="B193" s="9"/>
      <c r="C193" s="24"/>
      <c r="D193" s="25"/>
      <c r="E193" s="7"/>
      <c r="F193" s="26"/>
      <c r="G193" s="7"/>
      <c r="H193" s="7"/>
    </row>
    <row r="194" spans="2:8">
      <c r="B194" s="9"/>
      <c r="C194" s="24"/>
      <c r="D194" s="25"/>
      <c r="E194" s="7"/>
      <c r="F194" s="26"/>
      <c r="G194" s="7"/>
      <c r="H194" s="7"/>
    </row>
    <row r="195" spans="2:8">
      <c r="B195" s="9"/>
      <c r="C195" s="24"/>
      <c r="D195" s="25"/>
      <c r="E195" s="7"/>
      <c r="F195" s="26"/>
      <c r="G195" s="7"/>
      <c r="H195" s="7"/>
    </row>
    <row r="196" spans="2:8">
      <c r="B196" s="9"/>
      <c r="C196" s="24"/>
      <c r="D196" s="25"/>
      <c r="E196" s="7"/>
      <c r="F196" s="26"/>
      <c r="G196" s="7"/>
      <c r="H196" s="7"/>
    </row>
    <row r="197" spans="2:8">
      <c r="B197" s="9"/>
      <c r="C197" s="24"/>
      <c r="D197" s="25"/>
      <c r="E197" s="7"/>
      <c r="F197" s="26"/>
      <c r="G197" s="7"/>
      <c r="H197" s="7"/>
    </row>
    <row r="198" spans="2:8">
      <c r="B198" s="9"/>
      <c r="C198" s="24"/>
      <c r="D198" s="25"/>
      <c r="E198" s="7"/>
      <c r="F198" s="26"/>
      <c r="G198" s="7"/>
      <c r="H198" s="7"/>
    </row>
    <row r="199" spans="2:8">
      <c r="B199" s="9"/>
      <c r="C199" s="24"/>
      <c r="D199" s="25"/>
      <c r="E199" s="7"/>
      <c r="F199" s="26"/>
      <c r="G199" s="7"/>
      <c r="H199" s="7"/>
    </row>
    <row r="200" spans="2:8">
      <c r="B200" s="9"/>
      <c r="C200" s="24"/>
      <c r="D200" s="25"/>
      <c r="E200" s="7"/>
      <c r="F200" s="26"/>
      <c r="G200" s="7"/>
      <c r="H200" s="7"/>
    </row>
    <row r="201" spans="2:8">
      <c r="B201" s="9"/>
      <c r="C201" s="24"/>
      <c r="D201" s="25"/>
      <c r="E201" s="7"/>
      <c r="F201" s="26"/>
      <c r="G201" s="7"/>
      <c r="H201" s="7"/>
    </row>
    <row r="202" spans="2:8">
      <c r="B202" s="9"/>
      <c r="C202" s="24"/>
      <c r="D202" s="25"/>
      <c r="E202" s="7"/>
      <c r="F202" s="26"/>
      <c r="G202" s="7"/>
      <c r="H202" s="7"/>
    </row>
    <row r="203" spans="2:8">
      <c r="B203" s="9"/>
      <c r="C203" s="24"/>
      <c r="D203" s="25"/>
      <c r="E203" s="7"/>
      <c r="F203" s="26"/>
      <c r="G203" s="7"/>
      <c r="H203" s="7"/>
    </row>
    <row r="204" spans="2:8">
      <c r="B204" s="9"/>
      <c r="C204" s="24"/>
      <c r="D204" s="25"/>
      <c r="E204" s="7"/>
      <c r="F204" s="26"/>
      <c r="G204" s="7"/>
      <c r="H204" s="7"/>
    </row>
    <row r="205" spans="2:8">
      <c r="B205" s="9"/>
      <c r="C205" s="24"/>
      <c r="D205" s="25"/>
      <c r="E205" s="7"/>
      <c r="F205" s="26"/>
      <c r="G205" s="7"/>
      <c r="H205" s="7"/>
    </row>
    <row r="206" spans="2:8">
      <c r="B206" s="9"/>
      <c r="C206" s="24"/>
      <c r="D206" s="25"/>
      <c r="E206" s="7"/>
      <c r="F206" s="26"/>
      <c r="G206" s="7"/>
      <c r="H206" s="7"/>
    </row>
    <row r="207" spans="2:8">
      <c r="B207" s="9"/>
      <c r="C207" s="24"/>
      <c r="D207" s="25"/>
      <c r="E207" s="7"/>
      <c r="F207" s="26"/>
      <c r="G207" s="7"/>
      <c r="H207" s="7"/>
    </row>
    <row r="208" spans="2:8">
      <c r="B208" s="9"/>
      <c r="C208" s="24"/>
      <c r="D208" s="25"/>
      <c r="E208" s="7"/>
      <c r="F208" s="26"/>
      <c r="G208" s="7"/>
      <c r="H208" s="7"/>
    </row>
    <row r="209" spans="2:8">
      <c r="B209" s="9"/>
      <c r="C209" s="24"/>
      <c r="D209" s="25"/>
      <c r="E209" s="7"/>
      <c r="F209" s="26"/>
      <c r="G209" s="7"/>
      <c r="H209" s="7"/>
    </row>
    <row r="210" spans="2:8">
      <c r="B210" s="9"/>
      <c r="C210" s="24"/>
      <c r="D210" s="25"/>
      <c r="E210" s="7"/>
      <c r="F210" s="26"/>
      <c r="G210" s="7"/>
      <c r="H210" s="7"/>
    </row>
    <row r="211" spans="2:8">
      <c r="B211" s="9"/>
      <c r="C211" s="24"/>
      <c r="D211" s="25"/>
      <c r="E211" s="7"/>
      <c r="F211" s="26"/>
      <c r="G211" s="7"/>
      <c r="H211" s="7"/>
    </row>
    <row r="212" spans="2:8">
      <c r="B212" s="9"/>
      <c r="C212" s="24"/>
      <c r="D212" s="25"/>
      <c r="E212" s="7"/>
      <c r="F212" s="26"/>
      <c r="G212" s="7"/>
      <c r="H212" s="7"/>
    </row>
    <row r="213" spans="2:8">
      <c r="B213" s="9"/>
      <c r="C213" s="24"/>
      <c r="D213" s="25"/>
      <c r="E213" s="7"/>
      <c r="F213" s="26"/>
      <c r="G213" s="7"/>
      <c r="H213" s="7"/>
    </row>
    <row r="214" spans="2:8">
      <c r="B214" s="9"/>
      <c r="C214" s="24"/>
      <c r="D214" s="25"/>
      <c r="E214" s="7"/>
      <c r="F214" s="26"/>
      <c r="G214" s="7"/>
      <c r="H214" s="7"/>
    </row>
    <row r="215" spans="2:8">
      <c r="B215" s="9"/>
      <c r="C215" s="24"/>
      <c r="D215" s="25"/>
      <c r="E215" s="7"/>
      <c r="F215" s="26"/>
      <c r="G215" s="7"/>
      <c r="H215" s="7"/>
    </row>
    <row r="216" spans="2:8">
      <c r="B216" s="9"/>
      <c r="C216" s="24"/>
      <c r="D216" s="25"/>
      <c r="E216" s="7"/>
      <c r="F216" s="26"/>
      <c r="G216" s="7"/>
      <c r="H216" s="7"/>
    </row>
    <row r="217" spans="2:8">
      <c r="B217" s="9"/>
      <c r="C217" s="24"/>
      <c r="D217" s="25"/>
      <c r="E217" s="7"/>
      <c r="F217" s="26"/>
      <c r="G217" s="7"/>
      <c r="H217" s="7"/>
    </row>
    <row r="218" spans="2:8">
      <c r="B218" s="9"/>
      <c r="C218" s="24"/>
      <c r="D218" s="25"/>
      <c r="E218" s="7"/>
      <c r="F218" s="26"/>
      <c r="G218" s="7"/>
      <c r="H218" s="7"/>
    </row>
    <row r="219" spans="2:8">
      <c r="B219" s="9"/>
      <c r="C219" s="24"/>
      <c r="D219" s="25"/>
      <c r="E219" s="7"/>
      <c r="F219" s="26"/>
      <c r="G219" s="7"/>
      <c r="H219" s="7"/>
    </row>
    <row r="220" spans="2:8">
      <c r="B220" s="9"/>
      <c r="C220" s="24"/>
      <c r="D220" s="25"/>
      <c r="E220" s="7"/>
      <c r="F220" s="26"/>
      <c r="G220" s="7"/>
      <c r="H220" s="7"/>
    </row>
    <row r="221" spans="2:8">
      <c r="B221" s="9"/>
      <c r="C221" s="24"/>
      <c r="D221" s="25"/>
      <c r="E221" s="7"/>
      <c r="F221" s="26"/>
      <c r="G221" s="7"/>
      <c r="H221" s="7"/>
    </row>
    <row r="222" spans="2:8">
      <c r="B222" s="9"/>
      <c r="C222" s="24"/>
      <c r="D222" s="25"/>
      <c r="E222" s="7"/>
      <c r="F222" s="26"/>
      <c r="G222" s="7"/>
      <c r="H222" s="7"/>
    </row>
    <row r="223" spans="2:8">
      <c r="B223" s="9"/>
      <c r="C223" s="24"/>
      <c r="D223" s="25"/>
      <c r="E223" s="7"/>
      <c r="F223" s="26"/>
      <c r="G223" s="7"/>
      <c r="H223" s="7"/>
    </row>
    <row r="224" spans="2:8">
      <c r="B224" s="9"/>
      <c r="C224" s="24"/>
      <c r="D224" s="25"/>
      <c r="E224" s="7"/>
      <c r="F224" s="26"/>
      <c r="G224" s="7"/>
      <c r="H224" s="7"/>
    </row>
    <row r="225" spans="2:8">
      <c r="B225" s="9"/>
      <c r="C225" s="24"/>
      <c r="D225" s="25"/>
      <c r="E225" s="7"/>
      <c r="F225" s="26"/>
      <c r="G225" s="7"/>
      <c r="H225" s="7"/>
    </row>
    <row r="226" spans="2:8">
      <c r="B226" s="9"/>
      <c r="C226" s="24"/>
      <c r="D226" s="25"/>
      <c r="E226" s="7"/>
      <c r="F226" s="26"/>
      <c r="G226" s="7"/>
      <c r="H226" s="7"/>
    </row>
    <row r="227" spans="2:8">
      <c r="B227" s="9"/>
      <c r="C227" s="24"/>
      <c r="D227" s="25"/>
      <c r="E227" s="7"/>
      <c r="F227" s="26"/>
      <c r="G227" s="7"/>
      <c r="H227" s="7"/>
    </row>
    <row r="228" spans="2:8">
      <c r="B228" s="9"/>
      <c r="C228" s="24"/>
      <c r="D228" s="25"/>
      <c r="E228" s="7"/>
      <c r="F228" s="26"/>
      <c r="G228" s="7"/>
      <c r="H228" s="7"/>
    </row>
    <row r="229" spans="2:8">
      <c r="B229" s="9"/>
      <c r="C229" s="24"/>
      <c r="D229" s="25"/>
      <c r="E229" s="7"/>
      <c r="F229" s="26"/>
      <c r="G229" s="7"/>
      <c r="H229" s="7"/>
    </row>
    <row r="230" spans="2:8">
      <c r="B230" s="9"/>
      <c r="C230" s="24"/>
      <c r="D230" s="25"/>
      <c r="E230" s="7"/>
      <c r="F230" s="26"/>
      <c r="G230" s="7"/>
      <c r="H230" s="7"/>
    </row>
    <row r="231" spans="2:8">
      <c r="B231" s="9"/>
      <c r="C231" s="24"/>
      <c r="D231" s="25"/>
      <c r="E231" s="7"/>
      <c r="F231" s="26"/>
      <c r="G231" s="7"/>
      <c r="H231" s="7"/>
    </row>
    <row r="232" spans="2:8">
      <c r="B232" s="9"/>
      <c r="C232" s="24"/>
      <c r="D232" s="25"/>
      <c r="E232" s="7"/>
      <c r="F232" s="26"/>
      <c r="G232" s="7"/>
      <c r="H232" s="7"/>
    </row>
    <row r="233" spans="2:8">
      <c r="B233" s="9"/>
      <c r="C233" s="24"/>
      <c r="D233" s="25"/>
      <c r="E233" s="7"/>
      <c r="F233" s="26"/>
      <c r="G233" s="7"/>
      <c r="H233" s="7"/>
    </row>
    <row r="234" spans="2:8">
      <c r="B234" s="9"/>
      <c r="C234" s="24"/>
      <c r="D234" s="25"/>
      <c r="E234" s="7"/>
      <c r="F234" s="26"/>
      <c r="G234" s="7"/>
      <c r="H234" s="7"/>
    </row>
    <row r="235" spans="2:8">
      <c r="B235" s="9"/>
      <c r="C235" s="24"/>
      <c r="D235" s="25"/>
      <c r="E235" s="7"/>
      <c r="F235" s="26"/>
      <c r="G235" s="7"/>
      <c r="H235" s="7"/>
    </row>
    <row r="236" spans="2:8">
      <c r="B236" s="9"/>
      <c r="C236" s="24"/>
      <c r="D236" s="25"/>
      <c r="E236" s="7"/>
      <c r="F236" s="26"/>
      <c r="G236" s="7"/>
      <c r="H236" s="7"/>
    </row>
    <row r="237" spans="2:8">
      <c r="B237" s="9"/>
      <c r="C237" s="24"/>
      <c r="D237" s="25"/>
      <c r="E237" s="7"/>
      <c r="F237" s="26"/>
      <c r="G237" s="7"/>
      <c r="H237" s="7"/>
    </row>
    <row r="238" spans="2:8">
      <c r="B238" s="9"/>
      <c r="C238" s="24"/>
      <c r="D238" s="25"/>
      <c r="E238" s="7"/>
      <c r="F238" s="26"/>
      <c r="G238" s="7"/>
      <c r="H238" s="7"/>
    </row>
    <row r="239" spans="2:8">
      <c r="B239" s="9"/>
      <c r="C239" s="24"/>
      <c r="D239" s="25"/>
      <c r="E239" s="7"/>
      <c r="F239" s="26"/>
      <c r="G239" s="7"/>
      <c r="H239" s="7"/>
    </row>
    <row r="240" spans="2:8">
      <c r="B240" s="9"/>
      <c r="C240" s="24"/>
      <c r="D240" s="25"/>
      <c r="E240" s="7"/>
      <c r="F240" s="26"/>
      <c r="G240" s="7"/>
      <c r="H240" s="7"/>
    </row>
    <row r="241" spans="2:8">
      <c r="B241" s="9"/>
      <c r="C241" s="24"/>
      <c r="D241" s="25"/>
      <c r="E241" s="7"/>
      <c r="F241" s="26"/>
      <c r="G241" s="7"/>
      <c r="H241" s="7"/>
    </row>
    <row r="242" spans="2:8">
      <c r="B242" s="9"/>
      <c r="C242" s="24"/>
      <c r="D242" s="25"/>
      <c r="E242" s="7"/>
      <c r="F242" s="26"/>
      <c r="G242" s="7"/>
      <c r="H242" s="7"/>
    </row>
    <row r="243" spans="2:8">
      <c r="B243" s="9"/>
      <c r="C243" s="24"/>
      <c r="D243" s="25"/>
      <c r="E243" s="7"/>
      <c r="F243" s="26"/>
      <c r="G243" s="7"/>
      <c r="H243" s="7"/>
    </row>
    <row r="244" spans="2:8">
      <c r="B244" s="9"/>
      <c r="C244" s="24"/>
      <c r="D244" s="25"/>
      <c r="E244" s="7"/>
      <c r="F244" s="26"/>
      <c r="G244" s="7"/>
      <c r="H244" s="7"/>
    </row>
    <row r="245" spans="2:8">
      <c r="B245" s="9"/>
      <c r="C245" s="24"/>
      <c r="D245" s="25"/>
      <c r="E245" s="7"/>
      <c r="F245" s="26"/>
      <c r="G245" s="7"/>
      <c r="H245" s="7"/>
    </row>
    <row r="246" spans="2:8">
      <c r="B246" s="9"/>
      <c r="C246" s="24"/>
      <c r="D246" s="25"/>
      <c r="E246" s="7"/>
      <c r="F246" s="26"/>
      <c r="G246" s="7"/>
      <c r="H246" s="7"/>
    </row>
    <row r="247" spans="2:8">
      <c r="B247" s="9"/>
      <c r="C247" s="24"/>
      <c r="D247" s="25"/>
      <c r="E247" s="7"/>
      <c r="F247" s="26"/>
      <c r="G247" s="7"/>
      <c r="H247" s="7"/>
    </row>
    <row r="248" spans="2:8">
      <c r="B248" s="9"/>
      <c r="C248" s="24"/>
      <c r="D248" s="25"/>
      <c r="E248" s="7"/>
      <c r="F248" s="26"/>
      <c r="G248" s="7"/>
      <c r="H248" s="7"/>
    </row>
    <row r="249" spans="2:8">
      <c r="B249" s="9"/>
      <c r="C249" s="24"/>
      <c r="D249" s="25"/>
      <c r="E249" s="7"/>
      <c r="F249" s="26"/>
      <c r="G249" s="7"/>
      <c r="H249" s="7"/>
    </row>
    <row r="250" spans="2:8">
      <c r="B250" s="9"/>
      <c r="C250" s="24"/>
      <c r="D250" s="25"/>
      <c r="E250" s="7"/>
      <c r="F250" s="26"/>
      <c r="G250" s="7"/>
      <c r="H250" s="7"/>
    </row>
    <row r="251" spans="2:8">
      <c r="B251" s="9"/>
      <c r="C251" s="24"/>
      <c r="D251" s="25"/>
      <c r="E251" s="7"/>
      <c r="F251" s="26"/>
      <c r="G251" s="7"/>
      <c r="H251" s="7"/>
    </row>
    <row r="252" spans="2:8">
      <c r="B252" s="9"/>
      <c r="C252" s="24"/>
      <c r="D252" s="25"/>
      <c r="E252" s="7"/>
      <c r="F252" s="26"/>
      <c r="G252" s="7"/>
      <c r="H252" s="7"/>
    </row>
    <row r="253" spans="2:8">
      <c r="B253" s="9"/>
      <c r="C253" s="24"/>
      <c r="D253" s="25"/>
      <c r="E253" s="7"/>
      <c r="F253" s="26"/>
      <c r="G253" s="7"/>
      <c r="H253" s="7"/>
    </row>
    <row r="254" spans="2:8">
      <c r="B254" s="9"/>
      <c r="C254" s="24"/>
      <c r="D254" s="25"/>
      <c r="E254" s="7"/>
      <c r="F254" s="26"/>
      <c r="G254" s="7"/>
      <c r="H254" s="7"/>
    </row>
    <row r="255" spans="2:8">
      <c r="B255" s="9"/>
      <c r="C255" s="24"/>
      <c r="D255" s="25"/>
      <c r="E255" s="7"/>
      <c r="F255" s="26"/>
      <c r="G255" s="7"/>
      <c r="H255" s="7"/>
    </row>
    <row r="256" spans="2:8">
      <c r="B256" s="9"/>
      <c r="C256" s="24"/>
      <c r="D256" s="25"/>
      <c r="E256" s="7"/>
      <c r="F256" s="26"/>
      <c r="G256" s="7"/>
      <c r="H256" s="7"/>
    </row>
    <row r="257" spans="2:8">
      <c r="B257" s="9"/>
      <c r="C257" s="24"/>
      <c r="D257" s="25"/>
      <c r="E257" s="7"/>
      <c r="F257" s="26"/>
      <c r="G257" s="7"/>
      <c r="H257" s="7"/>
    </row>
    <row r="258" spans="2:8">
      <c r="B258" s="9"/>
      <c r="C258" s="24"/>
      <c r="D258" s="25"/>
      <c r="E258" s="7"/>
      <c r="F258" s="26"/>
      <c r="G258" s="7"/>
      <c r="H258" s="7"/>
    </row>
    <row r="259" spans="2:8">
      <c r="B259" s="9"/>
      <c r="C259" s="24"/>
      <c r="D259" s="25"/>
      <c r="E259" s="7"/>
      <c r="F259" s="26"/>
      <c r="G259" s="7"/>
      <c r="H259" s="7"/>
    </row>
    <row r="260" spans="2:8">
      <c r="B260" s="9"/>
      <c r="C260" s="24"/>
      <c r="D260" s="25"/>
      <c r="E260" s="7"/>
      <c r="F260" s="26"/>
      <c r="G260" s="7"/>
      <c r="H260" s="7"/>
    </row>
    <row r="261" spans="2:8">
      <c r="B261" s="9"/>
      <c r="C261" s="24"/>
      <c r="D261" s="25"/>
      <c r="E261" s="7"/>
      <c r="F261" s="26"/>
      <c r="G261" s="7"/>
      <c r="H261" s="7"/>
    </row>
    <row r="262" spans="2:8">
      <c r="B262" s="9"/>
      <c r="C262" s="24"/>
      <c r="D262" s="25"/>
      <c r="E262" s="7"/>
      <c r="F262" s="26"/>
      <c r="G262" s="7"/>
      <c r="H262" s="7"/>
    </row>
    <row r="263" spans="2:8">
      <c r="B263" s="9"/>
      <c r="C263" s="24"/>
      <c r="D263" s="25"/>
      <c r="E263" s="7"/>
      <c r="F263" s="26"/>
      <c r="G263" s="7"/>
      <c r="H263" s="7"/>
    </row>
    <row r="264" spans="2:8">
      <c r="B264" s="9"/>
      <c r="C264" s="24"/>
      <c r="D264" s="25"/>
      <c r="E264" s="7"/>
      <c r="F264" s="26"/>
      <c r="G264" s="7"/>
      <c r="H264" s="7"/>
    </row>
    <row r="265" spans="2:8">
      <c r="B265" s="9"/>
      <c r="C265" s="24"/>
      <c r="D265" s="25"/>
      <c r="E265" s="7"/>
      <c r="F265" s="26"/>
      <c r="G265" s="7"/>
      <c r="H265" s="7"/>
    </row>
    <row r="266" spans="2:8">
      <c r="B266" s="9"/>
      <c r="C266" s="24"/>
      <c r="D266" s="25"/>
      <c r="E266" s="7"/>
      <c r="F266" s="26"/>
      <c r="G266" s="7"/>
      <c r="H266" s="7"/>
    </row>
    <row r="267" spans="2:8">
      <c r="B267" s="9"/>
      <c r="C267" s="24"/>
      <c r="D267" s="25"/>
      <c r="E267" s="7"/>
      <c r="F267" s="26"/>
      <c r="G267" s="7"/>
      <c r="H267" s="7"/>
    </row>
    <row r="268" spans="2:8">
      <c r="B268" s="9"/>
      <c r="C268" s="24"/>
      <c r="D268" s="25"/>
      <c r="E268" s="7"/>
      <c r="F268" s="26"/>
      <c r="G268" s="7"/>
      <c r="H268" s="7"/>
    </row>
    <row r="269" spans="2:8">
      <c r="B269" s="9"/>
      <c r="C269" s="24"/>
      <c r="D269" s="25"/>
      <c r="E269" s="7"/>
      <c r="F269" s="26"/>
      <c r="G269" s="7"/>
      <c r="H269" s="7"/>
    </row>
    <row r="270" spans="2:8">
      <c r="B270" s="9"/>
      <c r="C270" s="24"/>
      <c r="D270" s="25"/>
      <c r="E270" s="7"/>
      <c r="F270" s="26"/>
      <c r="G270" s="7"/>
      <c r="H270" s="7"/>
    </row>
    <row r="271" spans="2:8">
      <c r="B271" s="9"/>
      <c r="C271" s="24"/>
      <c r="D271" s="25"/>
      <c r="E271" s="7"/>
      <c r="F271" s="26"/>
      <c r="G271" s="7"/>
      <c r="H271" s="7"/>
    </row>
    <row r="272" spans="2:8">
      <c r="B272" s="9"/>
      <c r="C272" s="24"/>
      <c r="D272" s="25"/>
      <c r="E272" s="7"/>
      <c r="F272" s="26"/>
      <c r="G272" s="7"/>
      <c r="H272" s="7"/>
    </row>
    <row r="273" spans="2:8">
      <c r="B273" s="9"/>
      <c r="C273" s="24"/>
      <c r="D273" s="25"/>
      <c r="E273" s="7"/>
      <c r="F273" s="26"/>
      <c r="G273" s="7"/>
      <c r="H273" s="7"/>
    </row>
    <row r="274" spans="2:8">
      <c r="B274" s="9"/>
      <c r="C274" s="24"/>
      <c r="D274" s="25"/>
      <c r="E274" s="7"/>
      <c r="F274" s="26"/>
      <c r="G274" s="7"/>
      <c r="H274" s="7"/>
    </row>
    <row r="275" spans="2:8">
      <c r="B275" s="9"/>
      <c r="C275" s="24"/>
      <c r="D275" s="25"/>
      <c r="E275" s="7"/>
      <c r="F275" s="26"/>
      <c r="G275" s="7"/>
      <c r="H275" s="7"/>
    </row>
    <row r="276" spans="2:8">
      <c r="B276" s="9"/>
      <c r="C276" s="24"/>
      <c r="D276" s="25"/>
      <c r="E276" s="7"/>
      <c r="F276" s="26"/>
      <c r="G276" s="7"/>
      <c r="H276" s="7"/>
    </row>
    <row r="277" spans="2:8">
      <c r="B277" s="9"/>
      <c r="C277" s="24"/>
      <c r="D277" s="25"/>
      <c r="E277" s="7"/>
      <c r="F277" s="26"/>
      <c r="G277" s="7"/>
      <c r="H277" s="7"/>
    </row>
    <row r="278" spans="2:8">
      <c r="B278" s="9"/>
      <c r="C278" s="24"/>
      <c r="D278" s="25"/>
      <c r="E278" s="7"/>
      <c r="F278" s="26"/>
      <c r="G278" s="7"/>
      <c r="H278" s="7"/>
    </row>
    <row r="279" spans="2:8">
      <c r="B279" s="9"/>
      <c r="C279" s="24"/>
      <c r="D279" s="25"/>
      <c r="E279" s="7"/>
      <c r="F279" s="26"/>
      <c r="G279" s="7"/>
      <c r="H279" s="7"/>
    </row>
    <row r="280" spans="2:8">
      <c r="B280" s="9"/>
      <c r="C280" s="24"/>
      <c r="D280" s="25"/>
      <c r="E280" s="7"/>
      <c r="F280" s="26"/>
      <c r="G280" s="7"/>
      <c r="H280" s="7"/>
    </row>
    <row r="281" spans="2:8">
      <c r="B281" s="9"/>
      <c r="C281" s="24"/>
      <c r="D281" s="25"/>
      <c r="E281" s="7"/>
      <c r="F281" s="26"/>
      <c r="G281" s="7"/>
      <c r="H281" s="7"/>
    </row>
    <row r="282" spans="2:8">
      <c r="B282" s="9"/>
      <c r="C282" s="24"/>
      <c r="D282" s="25"/>
      <c r="E282" s="7"/>
      <c r="F282" s="26"/>
      <c r="G282" s="7"/>
      <c r="H282" s="7"/>
    </row>
    <row r="283" spans="2:8">
      <c r="B283" s="9"/>
      <c r="C283" s="24"/>
      <c r="D283" s="25"/>
      <c r="E283" s="7"/>
      <c r="F283" s="26"/>
      <c r="G283" s="7"/>
      <c r="H283" s="7"/>
    </row>
    <row r="284" spans="2:8">
      <c r="B284" s="9"/>
      <c r="C284" s="24"/>
      <c r="D284" s="25"/>
      <c r="E284" s="7"/>
      <c r="F284" s="26"/>
      <c r="G284" s="7"/>
      <c r="H284" s="7"/>
    </row>
    <row r="285" spans="2:8">
      <c r="B285" s="9"/>
      <c r="C285" s="24"/>
      <c r="D285" s="25"/>
      <c r="E285" s="7"/>
      <c r="F285" s="26"/>
      <c r="G285" s="7"/>
      <c r="H285" s="7"/>
    </row>
    <row r="286" spans="2:8">
      <c r="B286" s="9"/>
      <c r="C286" s="24"/>
      <c r="D286" s="25"/>
      <c r="E286" s="7"/>
      <c r="F286" s="26"/>
      <c r="G286" s="7"/>
      <c r="H286" s="7"/>
    </row>
    <row r="287" spans="2:8">
      <c r="B287" s="9"/>
      <c r="C287" s="24"/>
      <c r="D287" s="25"/>
      <c r="E287" s="7"/>
      <c r="F287" s="26"/>
      <c r="G287" s="7"/>
      <c r="H287" s="7"/>
    </row>
    <row r="288" spans="2:8">
      <c r="B288" s="9"/>
      <c r="C288" s="24"/>
      <c r="D288" s="25"/>
      <c r="E288" s="7"/>
      <c r="F288" s="26"/>
      <c r="G288" s="7"/>
      <c r="H288" s="7"/>
    </row>
    <row r="289" spans="2:8">
      <c r="B289" s="9"/>
      <c r="C289" s="24"/>
      <c r="D289" s="25"/>
      <c r="E289" s="7"/>
      <c r="F289" s="26"/>
      <c r="G289" s="7"/>
      <c r="H289" s="7"/>
    </row>
    <row r="290" spans="2:8">
      <c r="B290" s="9"/>
      <c r="C290" s="24"/>
      <c r="D290" s="25"/>
      <c r="E290" s="7"/>
      <c r="F290" s="26"/>
      <c r="G290" s="7"/>
      <c r="H290" s="7"/>
    </row>
    <row r="291" spans="2:8">
      <c r="B291" s="9"/>
      <c r="C291" s="24"/>
      <c r="D291" s="25"/>
      <c r="E291" s="7"/>
      <c r="F291" s="26"/>
      <c r="G291" s="7"/>
      <c r="H291" s="7"/>
    </row>
    <row r="292" spans="2:8">
      <c r="B292" s="9"/>
      <c r="C292" s="24"/>
      <c r="D292" s="25"/>
      <c r="E292" s="7"/>
      <c r="F292" s="26"/>
      <c r="G292" s="7"/>
      <c r="H292" s="7"/>
    </row>
    <row r="293" spans="2:8">
      <c r="B293" s="9"/>
      <c r="C293" s="24"/>
      <c r="D293" s="25"/>
      <c r="E293" s="7"/>
      <c r="F293" s="26"/>
      <c r="G293" s="7"/>
      <c r="H293" s="7"/>
    </row>
    <row r="294" spans="2:8">
      <c r="B294" s="9"/>
      <c r="C294" s="24"/>
      <c r="D294" s="25"/>
      <c r="E294" s="7"/>
      <c r="F294" s="26"/>
      <c r="G294" s="7"/>
      <c r="H294" s="7"/>
    </row>
    <row r="295" spans="2:8">
      <c r="B295" s="9"/>
      <c r="C295" s="24"/>
      <c r="D295" s="25"/>
      <c r="E295" s="7"/>
      <c r="F295" s="26"/>
      <c r="G295" s="7"/>
      <c r="H295" s="7"/>
    </row>
    <row r="296" spans="2:8">
      <c r="B296" s="9"/>
      <c r="C296" s="24"/>
      <c r="D296" s="25"/>
      <c r="E296" s="7"/>
      <c r="F296" s="26"/>
      <c r="G296" s="7"/>
      <c r="H296" s="7"/>
    </row>
    <row r="297" spans="2:8">
      <c r="B297" s="9"/>
      <c r="C297" s="24"/>
      <c r="D297" s="25"/>
      <c r="E297" s="7"/>
      <c r="F297" s="26"/>
      <c r="G297" s="7"/>
      <c r="H297" s="7"/>
    </row>
    <row r="298" spans="2:8">
      <c r="B298" s="9"/>
      <c r="C298" s="24"/>
      <c r="D298" s="25"/>
      <c r="E298" s="7"/>
      <c r="F298" s="26"/>
      <c r="G298" s="7"/>
      <c r="H298" s="7"/>
    </row>
    <row r="299" spans="2:8">
      <c r="B299" s="9"/>
      <c r="C299" s="24"/>
      <c r="D299" s="25"/>
      <c r="E299" s="7"/>
      <c r="F299" s="26"/>
      <c r="G299" s="7"/>
      <c r="H299" s="7"/>
    </row>
    <row r="300" spans="2:8">
      <c r="B300" s="9"/>
      <c r="C300" s="24"/>
      <c r="D300" s="25"/>
      <c r="E300" s="7"/>
      <c r="F300" s="26"/>
      <c r="G300" s="7"/>
      <c r="H300" s="7"/>
    </row>
    <row r="301" spans="2:8">
      <c r="B301" s="9"/>
      <c r="C301" s="24"/>
      <c r="D301" s="25"/>
      <c r="E301" s="7"/>
      <c r="F301" s="26"/>
      <c r="G301" s="7"/>
      <c r="H301" s="7"/>
    </row>
    <row r="302" spans="2:8">
      <c r="B302" s="9"/>
      <c r="C302" s="24"/>
      <c r="D302" s="25"/>
      <c r="E302" s="7"/>
      <c r="F302" s="26"/>
      <c r="G302" s="7"/>
      <c r="H302" s="7"/>
    </row>
    <row r="303" spans="2:8">
      <c r="B303" s="9"/>
      <c r="C303" s="24"/>
      <c r="D303" s="25"/>
      <c r="E303" s="7"/>
      <c r="F303" s="26"/>
      <c r="G303" s="7"/>
      <c r="H303" s="7"/>
    </row>
    <row r="304" spans="2:8">
      <c r="B304" s="9"/>
      <c r="C304" s="24"/>
      <c r="D304" s="25"/>
      <c r="E304" s="7"/>
      <c r="F304" s="26"/>
      <c r="G304" s="7"/>
      <c r="H304" s="7"/>
    </row>
    <row r="305" spans="2:8">
      <c r="B305" s="9"/>
      <c r="C305" s="24"/>
      <c r="D305" s="25"/>
      <c r="E305" s="7"/>
      <c r="F305" s="26"/>
      <c r="G305" s="7"/>
      <c r="H305" s="7"/>
    </row>
    <row r="306" spans="2:8">
      <c r="B306" s="9"/>
      <c r="C306" s="24"/>
      <c r="D306" s="25"/>
      <c r="E306" s="7"/>
      <c r="F306" s="26"/>
      <c r="G306" s="7"/>
      <c r="H306" s="7"/>
    </row>
    <row r="307" spans="2:8">
      <c r="B307" s="9"/>
      <c r="C307" s="24"/>
      <c r="D307" s="25"/>
      <c r="E307" s="7"/>
      <c r="F307" s="26"/>
      <c r="G307" s="7"/>
      <c r="H307" s="7"/>
    </row>
    <row r="308" spans="2:8">
      <c r="B308" s="9"/>
      <c r="C308" s="24"/>
      <c r="D308" s="25"/>
      <c r="E308" s="7"/>
      <c r="F308" s="26"/>
      <c r="G308" s="7"/>
      <c r="H308" s="7"/>
    </row>
    <row r="309" spans="2:8">
      <c r="B309" s="9"/>
      <c r="C309" s="24"/>
      <c r="D309" s="25"/>
      <c r="E309" s="7"/>
      <c r="F309" s="26"/>
      <c r="G309" s="7"/>
      <c r="H309" s="7"/>
    </row>
    <row r="310" spans="2:8">
      <c r="B310" s="9"/>
      <c r="C310" s="24"/>
      <c r="D310" s="25"/>
      <c r="E310" s="7"/>
      <c r="F310" s="26"/>
      <c r="G310" s="7"/>
      <c r="H310" s="7"/>
    </row>
    <row r="311" spans="2:8">
      <c r="B311" s="9"/>
      <c r="C311" s="24"/>
      <c r="D311" s="25"/>
      <c r="E311" s="7"/>
      <c r="F311" s="26"/>
      <c r="G311" s="7"/>
      <c r="H311" s="7"/>
    </row>
    <row r="312" spans="2:8">
      <c r="B312" s="9"/>
      <c r="C312" s="24"/>
      <c r="D312" s="25"/>
      <c r="E312" s="7"/>
      <c r="F312" s="26"/>
      <c r="G312" s="7"/>
      <c r="H312" s="7"/>
    </row>
    <row r="313" spans="2:8">
      <c r="B313" s="9"/>
      <c r="C313" s="24"/>
      <c r="D313" s="25"/>
      <c r="E313" s="7"/>
      <c r="F313" s="26"/>
      <c r="G313" s="7"/>
      <c r="H313" s="7"/>
    </row>
    <row r="314" spans="2:8">
      <c r="B314" s="9"/>
      <c r="C314" s="24"/>
      <c r="D314" s="25"/>
      <c r="E314" s="7"/>
      <c r="F314" s="26"/>
      <c r="G314" s="7"/>
      <c r="H314" s="7"/>
    </row>
    <row r="315" spans="2:8">
      <c r="B315" s="9"/>
      <c r="C315" s="24"/>
      <c r="D315" s="25"/>
      <c r="E315" s="7"/>
      <c r="F315" s="26"/>
      <c r="G315" s="7"/>
      <c r="H315" s="7"/>
    </row>
    <row r="316" spans="2:8">
      <c r="B316" s="9"/>
      <c r="C316" s="24"/>
      <c r="D316" s="25"/>
      <c r="E316" s="7"/>
      <c r="F316" s="26"/>
      <c r="G316" s="7"/>
      <c r="H316" s="7"/>
    </row>
    <row r="317" spans="2:8">
      <c r="B317" s="9"/>
      <c r="C317" s="24"/>
      <c r="D317" s="25"/>
      <c r="E317" s="7"/>
      <c r="F317" s="26"/>
      <c r="G317" s="7"/>
      <c r="H317" s="7"/>
    </row>
    <row r="318" spans="2:8">
      <c r="B318" s="9"/>
      <c r="C318" s="24"/>
      <c r="D318" s="25"/>
      <c r="E318" s="7"/>
      <c r="F318" s="26"/>
      <c r="G318" s="7"/>
      <c r="H318" s="7"/>
    </row>
    <row r="319" spans="2:8">
      <c r="B319" s="9"/>
      <c r="C319" s="24"/>
      <c r="D319" s="25"/>
      <c r="E319" s="7"/>
      <c r="F319" s="26"/>
      <c r="G319" s="7"/>
      <c r="H319" s="7"/>
    </row>
    <row r="320" spans="2:8">
      <c r="B320" s="9"/>
      <c r="C320" s="24"/>
      <c r="D320" s="25"/>
      <c r="E320" s="7"/>
      <c r="F320" s="26"/>
      <c r="G320" s="7"/>
      <c r="H320" s="7"/>
    </row>
    <row r="321" spans="2:8">
      <c r="B321" s="9"/>
      <c r="C321" s="24"/>
      <c r="D321" s="25"/>
      <c r="E321" s="7"/>
      <c r="F321" s="26"/>
      <c r="G321" s="7"/>
      <c r="H321" s="7"/>
    </row>
    <row r="322" spans="2:8">
      <c r="B322" s="9"/>
      <c r="C322" s="24"/>
      <c r="D322" s="25"/>
      <c r="E322" s="7"/>
      <c r="F322" s="26"/>
      <c r="G322" s="7"/>
      <c r="H322" s="7"/>
    </row>
    <row r="323" spans="2:8">
      <c r="B323" s="9"/>
      <c r="C323" s="24"/>
      <c r="D323" s="25"/>
      <c r="E323" s="7"/>
      <c r="F323" s="26"/>
      <c r="G323" s="7"/>
      <c r="H323" s="7"/>
    </row>
    <row r="324" spans="2:8">
      <c r="B324" s="9"/>
      <c r="C324" s="24"/>
      <c r="D324" s="25"/>
      <c r="E324" s="7"/>
      <c r="F324" s="26"/>
      <c r="G324" s="7"/>
      <c r="H324" s="7"/>
    </row>
    <row r="325" spans="2:8">
      <c r="B325" s="9"/>
      <c r="C325" s="24"/>
      <c r="D325" s="25"/>
      <c r="E325" s="7"/>
      <c r="F325" s="26"/>
      <c r="G325" s="7"/>
      <c r="H325" s="7"/>
    </row>
    <row r="326" spans="2:8">
      <c r="B326" s="9"/>
      <c r="C326" s="24"/>
      <c r="D326" s="25"/>
      <c r="E326" s="7"/>
      <c r="F326" s="26"/>
      <c r="G326" s="7"/>
      <c r="H326" s="7"/>
    </row>
    <row r="327" spans="2:8">
      <c r="B327" s="9"/>
      <c r="C327" s="24"/>
      <c r="D327" s="25"/>
      <c r="E327" s="7"/>
      <c r="F327" s="26"/>
      <c r="G327" s="7"/>
      <c r="H327" s="7"/>
    </row>
    <row r="328" spans="2:8">
      <c r="B328" s="9"/>
      <c r="C328" s="24"/>
      <c r="D328" s="25"/>
      <c r="E328" s="7"/>
      <c r="F328" s="26"/>
      <c r="G328" s="7"/>
      <c r="H328" s="7"/>
    </row>
    <row r="329" spans="2:8">
      <c r="B329" s="9"/>
      <c r="C329" s="24"/>
      <c r="D329" s="25"/>
      <c r="E329" s="7"/>
      <c r="F329" s="26"/>
      <c r="G329" s="7"/>
      <c r="H329" s="7"/>
    </row>
    <row r="330" spans="2:8">
      <c r="B330" s="9"/>
      <c r="C330" s="24"/>
      <c r="D330" s="25"/>
      <c r="E330" s="7"/>
      <c r="F330" s="26"/>
      <c r="G330" s="7"/>
      <c r="H330" s="7"/>
    </row>
    <row r="331" spans="2:8">
      <c r="B331" s="9"/>
      <c r="C331" s="24"/>
      <c r="D331" s="25"/>
      <c r="E331" s="7"/>
      <c r="F331" s="26"/>
      <c r="G331" s="7"/>
      <c r="H331" s="7"/>
    </row>
    <row r="332" spans="2:8">
      <c r="B332" s="9"/>
      <c r="C332" s="24"/>
      <c r="D332" s="25"/>
      <c r="E332" s="7"/>
      <c r="F332" s="26"/>
      <c r="G332" s="7"/>
      <c r="H332" s="7"/>
    </row>
    <row r="333" spans="2:8">
      <c r="B333" s="9"/>
      <c r="C333" s="24"/>
      <c r="D333" s="25"/>
      <c r="E333" s="7"/>
      <c r="F333" s="26"/>
      <c r="G333" s="7"/>
      <c r="H333" s="7"/>
    </row>
    <row r="334" spans="2:8">
      <c r="B334" s="9"/>
      <c r="C334" s="24"/>
      <c r="D334" s="25"/>
      <c r="E334" s="7"/>
      <c r="F334" s="26"/>
      <c r="G334" s="7"/>
      <c r="H334" s="7"/>
    </row>
    <row r="335" spans="2:8">
      <c r="B335" s="9"/>
      <c r="C335" s="24"/>
      <c r="D335" s="25"/>
      <c r="E335" s="7"/>
      <c r="F335" s="26"/>
      <c r="G335" s="7"/>
      <c r="H335" s="7"/>
    </row>
    <row r="336" spans="2:8">
      <c r="B336" s="9"/>
      <c r="C336" s="24"/>
      <c r="D336" s="25"/>
      <c r="E336" s="7"/>
      <c r="F336" s="26"/>
      <c r="G336" s="7"/>
      <c r="H336" s="7"/>
    </row>
    <row r="337" spans="2:8">
      <c r="B337" s="9"/>
      <c r="C337" s="24"/>
      <c r="D337" s="25"/>
      <c r="E337" s="7"/>
      <c r="F337" s="26"/>
      <c r="G337" s="7"/>
      <c r="H337" s="7"/>
    </row>
    <row r="338" spans="2:8">
      <c r="B338" s="9"/>
      <c r="C338" s="24"/>
      <c r="D338" s="25"/>
      <c r="E338" s="7"/>
      <c r="F338" s="26"/>
      <c r="G338" s="7"/>
      <c r="H338" s="7"/>
    </row>
    <row r="339" spans="2:8">
      <c r="B339" s="9"/>
      <c r="C339" s="24"/>
      <c r="D339" s="25"/>
      <c r="E339" s="7"/>
      <c r="F339" s="26"/>
      <c r="G339" s="7"/>
      <c r="H339" s="7"/>
    </row>
    <row r="340" spans="2:8">
      <c r="B340" s="9"/>
      <c r="C340" s="24"/>
      <c r="D340" s="25"/>
      <c r="E340" s="7"/>
      <c r="F340" s="26"/>
      <c r="G340" s="7"/>
      <c r="H340" s="7"/>
    </row>
    <row r="341" spans="2:8">
      <c r="B341" s="9"/>
      <c r="C341" s="24"/>
      <c r="D341" s="25"/>
      <c r="E341" s="7"/>
      <c r="F341" s="26"/>
      <c r="G341" s="7"/>
      <c r="H341" s="7"/>
    </row>
    <row r="342" spans="2:8">
      <c r="B342" s="9"/>
      <c r="C342" s="24"/>
      <c r="D342" s="25"/>
      <c r="E342" s="7"/>
      <c r="F342" s="26"/>
      <c r="G342" s="7"/>
      <c r="H342" s="7"/>
    </row>
    <row r="343" spans="2:8">
      <c r="B343" s="9"/>
      <c r="C343" s="24"/>
      <c r="D343" s="25"/>
      <c r="E343" s="7"/>
      <c r="F343" s="26"/>
      <c r="G343" s="7"/>
      <c r="H343" s="7"/>
    </row>
    <row r="344" spans="2:8">
      <c r="B344" s="9"/>
      <c r="C344" s="24"/>
      <c r="D344" s="25"/>
      <c r="E344" s="7"/>
      <c r="F344" s="26"/>
      <c r="G344" s="7"/>
      <c r="H344" s="7"/>
    </row>
    <row r="345" spans="2:8">
      <c r="B345" s="9"/>
      <c r="C345" s="24"/>
      <c r="D345" s="25"/>
      <c r="E345" s="7"/>
      <c r="F345" s="26"/>
      <c r="G345" s="7"/>
      <c r="H345" s="7"/>
    </row>
    <row r="346" spans="2:8">
      <c r="B346" s="9"/>
      <c r="C346" s="24"/>
      <c r="D346" s="25"/>
      <c r="E346" s="7"/>
      <c r="F346" s="26"/>
      <c r="G346" s="7"/>
      <c r="H346" s="7"/>
    </row>
    <row r="347" spans="2:8">
      <c r="B347" s="9"/>
      <c r="C347" s="24"/>
      <c r="D347" s="25"/>
      <c r="E347" s="7"/>
      <c r="F347" s="26"/>
      <c r="G347" s="7"/>
      <c r="H347" s="7"/>
    </row>
    <row r="348" spans="2:8">
      <c r="B348" s="9"/>
      <c r="C348" s="24"/>
      <c r="D348" s="25"/>
      <c r="E348" s="7"/>
      <c r="F348" s="26"/>
      <c r="G348" s="7"/>
      <c r="H348" s="7"/>
    </row>
    <row r="349" spans="2:8">
      <c r="B349" s="9"/>
      <c r="C349" s="24"/>
      <c r="D349" s="25"/>
      <c r="E349" s="7"/>
      <c r="F349" s="26"/>
      <c r="G349" s="7"/>
      <c r="H349" s="7"/>
    </row>
    <row r="350" spans="2:8">
      <c r="B350" s="9"/>
      <c r="C350" s="24"/>
      <c r="D350" s="25"/>
      <c r="E350" s="7"/>
      <c r="F350" s="26"/>
      <c r="G350" s="7"/>
      <c r="H350" s="7"/>
    </row>
    <row r="351" spans="2:8">
      <c r="B351" s="9"/>
      <c r="C351" s="24"/>
      <c r="D351" s="25"/>
      <c r="E351" s="7"/>
      <c r="F351" s="26"/>
      <c r="G351" s="7"/>
      <c r="H351" s="7"/>
    </row>
    <row r="352" spans="2:8">
      <c r="B352" s="9"/>
      <c r="C352" s="24"/>
      <c r="D352" s="25"/>
      <c r="E352" s="7"/>
      <c r="F352" s="26"/>
      <c r="G352" s="7"/>
      <c r="H352" s="7"/>
    </row>
    <row r="353" spans="2:8">
      <c r="B353" s="9"/>
      <c r="C353" s="24"/>
      <c r="D353" s="25"/>
      <c r="E353" s="7"/>
      <c r="F353" s="26"/>
      <c r="G353" s="7"/>
      <c r="H353" s="7"/>
    </row>
    <row r="354" spans="2:8">
      <c r="B354" s="9"/>
      <c r="C354" s="24"/>
      <c r="D354" s="25"/>
      <c r="E354" s="7"/>
      <c r="F354" s="26"/>
      <c r="G354" s="7"/>
      <c r="H354" s="7"/>
    </row>
    <row r="355" spans="2:8">
      <c r="B355" s="9"/>
      <c r="C355" s="24"/>
      <c r="D355" s="25"/>
      <c r="E355" s="7"/>
      <c r="F355" s="26"/>
      <c r="G355" s="7"/>
      <c r="H355" s="7"/>
    </row>
    <row r="356" spans="2:8">
      <c r="B356" s="9"/>
      <c r="C356" s="24"/>
      <c r="D356" s="25"/>
      <c r="E356" s="7"/>
      <c r="F356" s="26"/>
      <c r="G356" s="7"/>
      <c r="H356" s="7"/>
    </row>
    <row r="357" spans="2:8">
      <c r="B357" s="9"/>
      <c r="C357" s="24"/>
      <c r="D357" s="25"/>
      <c r="E357" s="7"/>
      <c r="F357" s="26"/>
      <c r="G357" s="7"/>
      <c r="H357" s="7"/>
    </row>
    <row r="358" spans="2:8">
      <c r="B358" s="9"/>
      <c r="C358" s="24"/>
      <c r="D358" s="25"/>
      <c r="E358" s="7"/>
      <c r="F358" s="26"/>
      <c r="G358" s="7"/>
      <c r="H358" s="7"/>
    </row>
    <row r="359" spans="2:8">
      <c r="B359" s="9"/>
      <c r="C359" s="24"/>
      <c r="D359" s="25"/>
      <c r="E359" s="7"/>
      <c r="F359" s="26"/>
      <c r="G359" s="7"/>
      <c r="H359" s="7"/>
    </row>
    <row r="360" spans="2:8">
      <c r="B360" s="9"/>
      <c r="C360" s="24"/>
      <c r="D360" s="25"/>
      <c r="E360" s="7"/>
      <c r="F360" s="26"/>
      <c r="G360" s="7"/>
      <c r="H360" s="7"/>
    </row>
    <row r="361" spans="2:8">
      <c r="B361" s="9"/>
      <c r="C361" s="24"/>
      <c r="D361" s="25"/>
      <c r="E361" s="7"/>
      <c r="F361" s="26"/>
      <c r="G361" s="7"/>
      <c r="H361" s="7"/>
    </row>
    <row r="362" spans="2:8">
      <c r="B362" s="9"/>
      <c r="C362" s="24"/>
      <c r="D362" s="25"/>
      <c r="E362" s="7"/>
      <c r="F362" s="26"/>
      <c r="G362" s="7"/>
      <c r="H362" s="7"/>
    </row>
    <row r="363" spans="2:8">
      <c r="B363" s="9"/>
      <c r="C363" s="24"/>
      <c r="D363" s="25"/>
      <c r="E363" s="7"/>
      <c r="F363" s="26"/>
      <c r="G363" s="7"/>
      <c r="H363" s="7"/>
    </row>
    <row r="364" spans="2:8">
      <c r="B364" s="9"/>
      <c r="C364" s="24"/>
      <c r="D364" s="25"/>
      <c r="E364" s="7"/>
      <c r="F364" s="26"/>
      <c r="G364" s="7"/>
      <c r="H364" s="7"/>
    </row>
    <row r="365" spans="2:8">
      <c r="B365" s="9"/>
      <c r="C365" s="24"/>
      <c r="D365" s="25"/>
      <c r="E365" s="7"/>
      <c r="F365" s="26"/>
      <c r="G365" s="7"/>
      <c r="H365" s="7"/>
    </row>
    <row r="366" spans="2:8">
      <c r="B366" s="9"/>
      <c r="C366" s="24"/>
      <c r="D366" s="25"/>
      <c r="E366" s="7"/>
      <c r="F366" s="26"/>
      <c r="G366" s="7"/>
      <c r="H366" s="7"/>
    </row>
    <row r="367" spans="2:8">
      <c r="B367" s="9"/>
      <c r="C367" s="24"/>
      <c r="D367" s="25"/>
      <c r="E367" s="7"/>
      <c r="F367" s="26"/>
      <c r="G367" s="7"/>
      <c r="H367" s="7"/>
    </row>
    <row r="368" spans="2:8">
      <c r="B368" s="9"/>
      <c r="C368" s="24"/>
      <c r="D368" s="25"/>
      <c r="E368" s="7"/>
      <c r="F368" s="26"/>
      <c r="G368" s="7"/>
      <c r="H368" s="7"/>
    </row>
    <row r="369" spans="2:8">
      <c r="B369" s="9"/>
      <c r="C369" s="24"/>
      <c r="D369" s="25"/>
      <c r="E369" s="7"/>
      <c r="F369" s="26"/>
      <c r="G369" s="7"/>
      <c r="H369" s="7"/>
    </row>
    <row r="370" spans="2:8">
      <c r="B370" s="9"/>
      <c r="C370" s="24"/>
      <c r="D370" s="25"/>
      <c r="E370" s="7"/>
      <c r="F370" s="26"/>
      <c r="G370" s="7"/>
      <c r="H370" s="7"/>
    </row>
    <row r="371" spans="2:8">
      <c r="B371" s="9"/>
      <c r="C371" s="24"/>
      <c r="D371" s="25"/>
      <c r="E371" s="7"/>
      <c r="F371" s="26"/>
      <c r="G371" s="7"/>
      <c r="H371" s="7"/>
    </row>
    <row r="372" spans="2:8">
      <c r="B372" s="9"/>
      <c r="C372" s="24"/>
      <c r="D372" s="25"/>
      <c r="E372" s="7"/>
      <c r="F372" s="26"/>
      <c r="G372" s="7"/>
      <c r="H372" s="7"/>
    </row>
    <row r="373" spans="2:8">
      <c r="B373" s="9"/>
      <c r="C373" s="24"/>
      <c r="D373" s="25"/>
      <c r="E373" s="7"/>
      <c r="F373" s="26"/>
      <c r="G373" s="7"/>
      <c r="H373" s="7"/>
    </row>
    <row r="374" spans="2:8">
      <c r="B374" s="9"/>
      <c r="C374" s="24"/>
      <c r="D374" s="25"/>
      <c r="E374" s="7"/>
      <c r="F374" s="26"/>
      <c r="G374" s="7"/>
      <c r="H374" s="7"/>
    </row>
    <row r="375" spans="2:8">
      <c r="B375" s="9"/>
      <c r="C375" s="24"/>
      <c r="D375" s="25"/>
      <c r="E375" s="7"/>
      <c r="F375" s="26"/>
      <c r="G375" s="7"/>
      <c r="H375" s="7"/>
    </row>
    <row r="376" spans="2:8">
      <c r="B376" s="9"/>
      <c r="C376" s="24"/>
      <c r="D376" s="25"/>
      <c r="E376" s="7"/>
      <c r="F376" s="26"/>
      <c r="G376" s="7"/>
      <c r="H376" s="7"/>
    </row>
    <row r="377" spans="2:8">
      <c r="B377" s="9"/>
      <c r="C377" s="24"/>
      <c r="D377" s="25"/>
      <c r="E377" s="7"/>
      <c r="F377" s="26"/>
      <c r="G377" s="7"/>
      <c r="H377" s="7"/>
    </row>
    <row r="378" spans="2:8">
      <c r="B378" s="9"/>
      <c r="C378" s="24"/>
      <c r="D378" s="25"/>
      <c r="E378" s="7"/>
      <c r="F378" s="26"/>
      <c r="G378" s="7"/>
      <c r="H378" s="7"/>
    </row>
    <row r="379" spans="2:8">
      <c r="B379" s="9"/>
      <c r="C379" s="24"/>
      <c r="D379" s="25"/>
      <c r="E379" s="7"/>
      <c r="F379" s="26"/>
      <c r="G379" s="7"/>
      <c r="H379" s="7"/>
    </row>
    <row r="380" spans="2:8">
      <c r="B380" s="9"/>
      <c r="C380" s="24"/>
      <c r="D380" s="25"/>
      <c r="E380" s="7"/>
      <c r="F380" s="26"/>
      <c r="G380" s="7"/>
      <c r="H380" s="7"/>
    </row>
    <row r="381" spans="2:8">
      <c r="B381" s="9"/>
      <c r="C381" s="24"/>
      <c r="D381" s="25"/>
      <c r="E381" s="7"/>
      <c r="F381" s="26"/>
      <c r="G381" s="7"/>
      <c r="H381" s="7"/>
    </row>
    <row r="382" spans="2:8">
      <c r="B382" s="9"/>
      <c r="C382" s="24"/>
      <c r="D382" s="25"/>
      <c r="E382" s="7"/>
      <c r="F382" s="26"/>
      <c r="G382" s="7"/>
      <c r="H382" s="7"/>
    </row>
    <row r="383" spans="2:8">
      <c r="B383" s="9"/>
      <c r="C383" s="24"/>
      <c r="D383" s="25"/>
      <c r="E383" s="7"/>
      <c r="F383" s="26"/>
      <c r="G383" s="7"/>
      <c r="H383" s="7"/>
    </row>
    <row r="384" spans="2:8">
      <c r="B384" s="9"/>
      <c r="C384" s="24"/>
      <c r="D384" s="25"/>
      <c r="E384" s="7"/>
      <c r="F384" s="26"/>
      <c r="G384" s="7"/>
      <c r="H384" s="7"/>
    </row>
    <row r="385" spans="2:8">
      <c r="B385" s="9"/>
      <c r="C385" s="24"/>
      <c r="D385" s="25"/>
      <c r="E385" s="7"/>
      <c r="F385" s="26"/>
      <c r="G385" s="7"/>
      <c r="H385" s="7"/>
    </row>
    <row r="386" spans="2:8">
      <c r="B386" s="9"/>
      <c r="C386" s="24"/>
      <c r="D386" s="25"/>
      <c r="E386" s="7"/>
      <c r="F386" s="26"/>
      <c r="G386" s="7"/>
      <c r="H386" s="7"/>
    </row>
    <row r="387" spans="2:8">
      <c r="B387" s="9"/>
      <c r="C387" s="24"/>
      <c r="D387" s="25"/>
      <c r="E387" s="7"/>
      <c r="F387" s="26"/>
      <c r="G387" s="7"/>
      <c r="H387" s="7"/>
    </row>
    <row r="388" spans="2:8">
      <c r="B388" s="9"/>
      <c r="C388" s="24"/>
      <c r="D388" s="25"/>
      <c r="E388" s="7"/>
      <c r="F388" s="26"/>
      <c r="G388" s="7"/>
      <c r="H388" s="7"/>
    </row>
    <row r="389" spans="2:8">
      <c r="B389" s="9"/>
      <c r="C389" s="24"/>
      <c r="D389" s="25"/>
      <c r="E389" s="7"/>
      <c r="F389" s="26"/>
      <c r="G389" s="7"/>
      <c r="H389" s="7"/>
    </row>
    <row r="390" spans="2:8">
      <c r="B390" s="9"/>
      <c r="C390" s="24"/>
      <c r="D390" s="25"/>
      <c r="E390" s="7"/>
      <c r="F390" s="26"/>
      <c r="G390" s="7"/>
      <c r="H390" s="7"/>
    </row>
    <row r="391" spans="2:8">
      <c r="B391" s="9"/>
      <c r="C391" s="24"/>
      <c r="D391" s="25"/>
      <c r="E391" s="7"/>
      <c r="F391" s="26"/>
      <c r="G391" s="7"/>
      <c r="H391" s="7"/>
    </row>
    <row r="392" spans="2:8">
      <c r="B392" s="9"/>
      <c r="C392" s="24"/>
      <c r="D392" s="25"/>
      <c r="E392" s="7"/>
      <c r="F392" s="26"/>
      <c r="G392" s="7"/>
      <c r="H392" s="7"/>
    </row>
    <row r="393" spans="2:8">
      <c r="B393" s="9"/>
      <c r="C393" s="24"/>
      <c r="D393" s="25"/>
      <c r="E393" s="7"/>
      <c r="F393" s="26"/>
      <c r="G393" s="7"/>
      <c r="H393" s="7"/>
    </row>
    <row r="394" spans="2:8">
      <c r="B394" s="9"/>
      <c r="C394" s="24"/>
      <c r="D394" s="25"/>
      <c r="E394" s="7"/>
      <c r="F394" s="26"/>
      <c r="G394" s="7"/>
      <c r="H394" s="7"/>
    </row>
    <row r="395" spans="2:8">
      <c r="B395" s="9"/>
      <c r="C395" s="24"/>
      <c r="D395" s="25"/>
      <c r="E395" s="7"/>
      <c r="F395" s="26"/>
      <c r="G395" s="7"/>
      <c r="H395" s="7"/>
    </row>
    <row r="396" spans="2:8">
      <c r="B396" s="9"/>
      <c r="C396" s="24"/>
      <c r="D396" s="25"/>
      <c r="E396" s="7"/>
      <c r="F396" s="26"/>
      <c r="G396" s="7"/>
      <c r="H396" s="7"/>
    </row>
    <row r="397" spans="2:8">
      <c r="B397" s="9"/>
      <c r="C397" s="24"/>
      <c r="D397" s="25"/>
      <c r="E397" s="7"/>
      <c r="F397" s="26"/>
      <c r="G397" s="7"/>
      <c r="H397" s="7"/>
    </row>
    <row r="398" spans="2:8">
      <c r="B398" s="9"/>
      <c r="C398" s="24"/>
      <c r="D398" s="25"/>
      <c r="E398" s="7"/>
      <c r="F398" s="26"/>
      <c r="G398" s="7"/>
      <c r="H398" s="7"/>
    </row>
    <row r="399" spans="2:8">
      <c r="B399" s="9"/>
      <c r="C399" s="24"/>
      <c r="D399" s="25"/>
      <c r="E399" s="7"/>
      <c r="F399" s="26"/>
      <c r="G399" s="7"/>
      <c r="H399" s="7"/>
    </row>
    <row r="400" spans="2:8">
      <c r="B400" s="9"/>
      <c r="C400" s="24"/>
      <c r="D400" s="25"/>
      <c r="E400" s="7"/>
      <c r="F400" s="26"/>
      <c r="G400" s="7"/>
      <c r="H400" s="7"/>
    </row>
    <row r="401" spans="2:8">
      <c r="B401" s="9"/>
      <c r="C401" s="24"/>
      <c r="D401" s="25"/>
      <c r="E401" s="7"/>
      <c r="F401" s="26"/>
      <c r="G401" s="7"/>
      <c r="H401" s="7"/>
    </row>
    <row r="402" spans="2:8">
      <c r="B402" s="9"/>
      <c r="C402" s="24"/>
      <c r="D402" s="25"/>
      <c r="E402" s="7"/>
      <c r="F402" s="26"/>
      <c r="G402" s="7"/>
      <c r="H402" s="7"/>
    </row>
    <row r="403" spans="2:8">
      <c r="B403" s="9"/>
      <c r="C403" s="24"/>
      <c r="D403" s="25"/>
      <c r="E403" s="7"/>
      <c r="F403" s="26"/>
      <c r="G403" s="7"/>
      <c r="H403" s="7"/>
    </row>
    <row r="404" spans="2:8">
      <c r="B404" s="9"/>
      <c r="C404" s="24"/>
      <c r="D404" s="25"/>
      <c r="E404" s="7"/>
      <c r="F404" s="26"/>
      <c r="G404" s="7"/>
      <c r="H404" s="7"/>
    </row>
    <row r="405" spans="2:8">
      <c r="B405" s="9"/>
      <c r="C405" s="24"/>
      <c r="D405" s="25"/>
      <c r="E405" s="7"/>
      <c r="F405" s="26"/>
      <c r="G405" s="7"/>
      <c r="H405" s="7"/>
    </row>
    <row r="406" spans="2:8">
      <c r="B406" s="9"/>
      <c r="C406" s="24"/>
      <c r="D406" s="25"/>
      <c r="E406" s="7"/>
      <c r="F406" s="26"/>
      <c r="G406" s="7"/>
      <c r="H406" s="7"/>
    </row>
    <row r="407" spans="2:8">
      <c r="B407" s="9"/>
      <c r="C407" s="24"/>
      <c r="D407" s="25"/>
      <c r="E407" s="7"/>
      <c r="F407" s="26"/>
      <c r="G407" s="7"/>
      <c r="H407" s="7"/>
    </row>
    <row r="408" spans="2:8">
      <c r="B408" s="9"/>
      <c r="C408" s="24"/>
      <c r="D408" s="25"/>
      <c r="E408" s="7"/>
      <c r="F408" s="26"/>
      <c r="G408" s="7"/>
      <c r="H408" s="7"/>
    </row>
    <row r="409" spans="2:8">
      <c r="B409" s="9"/>
      <c r="C409" s="24"/>
      <c r="D409" s="25"/>
      <c r="E409" s="7"/>
      <c r="F409" s="26"/>
      <c r="G409" s="7"/>
      <c r="H409" s="7"/>
    </row>
    <row r="410" spans="2:8">
      <c r="B410" s="9"/>
      <c r="C410" s="24"/>
      <c r="D410" s="25"/>
      <c r="E410" s="7"/>
      <c r="F410" s="26"/>
      <c r="G410" s="7"/>
      <c r="H410" s="7"/>
    </row>
    <row r="411" spans="2:8">
      <c r="B411" s="9"/>
      <c r="C411" s="24"/>
      <c r="D411" s="25"/>
      <c r="E411" s="7"/>
      <c r="F411" s="26"/>
      <c r="G411" s="7"/>
      <c r="H411" s="7"/>
    </row>
    <row r="412" spans="2:8">
      <c r="B412" s="9"/>
      <c r="C412" s="24"/>
      <c r="D412" s="25"/>
      <c r="E412" s="7"/>
      <c r="F412" s="26"/>
      <c r="G412" s="7"/>
      <c r="H412" s="7"/>
    </row>
    <row r="413" spans="2:8">
      <c r="B413" s="9"/>
      <c r="C413" s="24"/>
      <c r="D413" s="25"/>
      <c r="E413" s="7"/>
      <c r="F413" s="26"/>
      <c r="G413" s="7"/>
      <c r="H413" s="7"/>
    </row>
    <row r="414" spans="2:8">
      <c r="B414" s="9"/>
      <c r="C414" s="24"/>
      <c r="D414" s="25"/>
      <c r="E414" s="7"/>
      <c r="F414" s="26"/>
      <c r="G414" s="7"/>
      <c r="H414" s="7"/>
    </row>
    <row r="415" spans="2:8">
      <c r="B415" s="9"/>
      <c r="C415" s="24"/>
      <c r="D415" s="25"/>
      <c r="E415" s="7"/>
      <c r="F415" s="26"/>
      <c r="G415" s="7"/>
      <c r="H415" s="7"/>
    </row>
    <row r="416" spans="2:8">
      <c r="B416" s="9"/>
      <c r="C416" s="24"/>
      <c r="D416" s="25"/>
      <c r="E416" s="7"/>
      <c r="F416" s="26"/>
      <c r="G416" s="7"/>
      <c r="H416" s="7"/>
    </row>
    <row r="417" spans="2:8">
      <c r="B417" s="9"/>
      <c r="C417" s="24"/>
      <c r="D417" s="25"/>
      <c r="E417" s="7"/>
      <c r="F417" s="26"/>
      <c r="G417" s="7"/>
      <c r="H417" s="7"/>
    </row>
    <row r="418" spans="2:8">
      <c r="B418" s="9"/>
      <c r="C418" s="24"/>
      <c r="D418" s="25"/>
      <c r="E418" s="7"/>
      <c r="F418" s="26"/>
      <c r="G418" s="7"/>
      <c r="H418" s="7"/>
    </row>
    <row r="419" spans="2:8">
      <c r="B419" s="9"/>
      <c r="C419" s="24"/>
      <c r="D419" s="25"/>
      <c r="E419" s="7"/>
      <c r="F419" s="26"/>
      <c r="G419" s="7"/>
      <c r="H419" s="7"/>
    </row>
    <row r="420" spans="2:8">
      <c r="B420" s="9"/>
      <c r="C420" s="24"/>
      <c r="D420" s="25"/>
      <c r="E420" s="7"/>
      <c r="F420" s="26"/>
      <c r="G420" s="7"/>
      <c r="H420" s="7"/>
    </row>
    <row r="421" spans="2:8">
      <c r="B421" s="9"/>
      <c r="C421" s="24"/>
      <c r="D421" s="25"/>
      <c r="E421" s="7"/>
      <c r="F421" s="26"/>
      <c r="G421" s="7"/>
      <c r="H421" s="7"/>
    </row>
    <row r="422" spans="2:8">
      <c r="B422" s="9"/>
      <c r="C422" s="24"/>
      <c r="D422" s="25"/>
      <c r="E422" s="7"/>
      <c r="F422" s="26"/>
      <c r="G422" s="7"/>
      <c r="H422" s="7"/>
    </row>
    <row r="423" spans="2:8">
      <c r="B423" s="9"/>
      <c r="C423" s="24"/>
      <c r="D423" s="25"/>
      <c r="E423" s="7"/>
      <c r="F423" s="26"/>
      <c r="G423" s="7"/>
      <c r="H423" s="7"/>
    </row>
    <row r="424" spans="2:8">
      <c r="B424" s="9"/>
      <c r="C424" s="24"/>
      <c r="D424" s="25"/>
      <c r="E424" s="7"/>
      <c r="F424" s="26"/>
      <c r="G424" s="7"/>
      <c r="H424" s="7"/>
    </row>
    <row r="425" spans="2:8">
      <c r="B425" s="9"/>
      <c r="C425" s="24"/>
      <c r="D425" s="25"/>
      <c r="E425" s="7"/>
      <c r="F425" s="26"/>
      <c r="G425" s="7"/>
      <c r="H425" s="7"/>
    </row>
    <row r="426" spans="2:8">
      <c r="B426" s="9"/>
      <c r="C426" s="24"/>
      <c r="D426" s="25"/>
      <c r="E426" s="7"/>
      <c r="F426" s="26"/>
      <c r="G426" s="7"/>
      <c r="H426" s="7"/>
    </row>
    <row r="427" spans="2:8">
      <c r="B427" s="9"/>
      <c r="C427" s="24"/>
      <c r="D427" s="25"/>
      <c r="E427" s="7"/>
      <c r="F427" s="26"/>
      <c r="G427" s="7"/>
      <c r="H427" s="7"/>
    </row>
    <row r="428" spans="2:8">
      <c r="B428" s="9"/>
      <c r="C428" s="24"/>
      <c r="D428" s="25"/>
      <c r="E428" s="7"/>
      <c r="F428" s="26"/>
      <c r="G428" s="7"/>
      <c r="H428" s="7"/>
    </row>
    <row r="429" spans="2:8">
      <c r="B429" s="9"/>
      <c r="C429" s="24"/>
      <c r="D429" s="25"/>
      <c r="E429" s="7"/>
      <c r="F429" s="26"/>
      <c r="G429" s="7"/>
      <c r="H429" s="7"/>
    </row>
    <row r="430" spans="2:8">
      <c r="B430" s="9"/>
      <c r="C430" s="24"/>
      <c r="D430" s="25"/>
      <c r="E430" s="7"/>
      <c r="F430" s="26"/>
      <c r="G430" s="7"/>
      <c r="H430" s="7"/>
    </row>
    <row r="431" spans="2:8">
      <c r="B431" s="9"/>
      <c r="C431" s="24"/>
      <c r="D431" s="25"/>
      <c r="E431" s="7"/>
      <c r="F431" s="26"/>
      <c r="G431" s="7"/>
      <c r="H431" s="7"/>
    </row>
    <row r="432" spans="2:8">
      <c r="B432" s="9"/>
      <c r="C432" s="24"/>
      <c r="D432" s="25"/>
      <c r="E432" s="7"/>
      <c r="F432" s="26"/>
      <c r="G432" s="7"/>
      <c r="H432" s="7"/>
    </row>
    <row r="433" spans="2:8">
      <c r="B433" s="9"/>
      <c r="C433" s="24"/>
      <c r="D433" s="25"/>
      <c r="E433" s="7"/>
      <c r="F433" s="26"/>
      <c r="G433" s="7"/>
      <c r="H433" s="7"/>
    </row>
    <row r="434" spans="2:8">
      <c r="B434" s="9"/>
      <c r="C434" s="24"/>
      <c r="D434" s="25"/>
      <c r="E434" s="7"/>
      <c r="F434" s="26"/>
      <c r="G434" s="7"/>
      <c r="H434" s="7"/>
    </row>
    <row r="435" spans="2:8">
      <c r="B435" s="9"/>
      <c r="C435" s="24"/>
      <c r="D435" s="25"/>
      <c r="E435" s="7"/>
      <c r="F435" s="26"/>
      <c r="G435" s="7"/>
      <c r="H435" s="7"/>
    </row>
    <row r="436" spans="2:8">
      <c r="B436" s="9"/>
      <c r="C436" s="24"/>
      <c r="D436" s="25"/>
      <c r="E436" s="7"/>
      <c r="F436" s="26"/>
      <c r="G436" s="7"/>
      <c r="H436" s="7"/>
    </row>
    <row r="437" spans="2:8">
      <c r="B437" s="9"/>
      <c r="C437" s="24"/>
      <c r="D437" s="25"/>
      <c r="E437" s="7"/>
      <c r="F437" s="26"/>
      <c r="G437" s="7"/>
      <c r="H437" s="7"/>
    </row>
    <row r="438" spans="2:8">
      <c r="B438" s="9"/>
      <c r="C438" s="24"/>
      <c r="D438" s="25"/>
      <c r="E438" s="7"/>
      <c r="F438" s="26"/>
      <c r="G438" s="7"/>
      <c r="H438" s="7"/>
    </row>
    <row r="439" spans="2:8">
      <c r="B439" s="9"/>
      <c r="C439" s="24"/>
      <c r="D439" s="25"/>
      <c r="E439" s="7"/>
      <c r="F439" s="26"/>
      <c r="G439" s="7"/>
      <c r="H439" s="7"/>
    </row>
    <row r="440" spans="2:8">
      <c r="B440" s="9"/>
      <c r="C440" s="24"/>
      <c r="D440" s="25"/>
      <c r="E440" s="7"/>
      <c r="F440" s="26"/>
      <c r="G440" s="7"/>
      <c r="H440" s="7"/>
    </row>
    <row r="441" spans="2:8">
      <c r="B441" s="9"/>
      <c r="C441" s="24"/>
      <c r="D441" s="25"/>
      <c r="E441" s="7"/>
      <c r="F441" s="26"/>
      <c r="G441" s="7"/>
      <c r="H441" s="7"/>
    </row>
    <row r="442" spans="2:8">
      <c r="B442" s="9"/>
      <c r="C442" s="24"/>
      <c r="D442" s="25"/>
      <c r="E442" s="7"/>
      <c r="F442" s="26"/>
      <c r="G442" s="7"/>
      <c r="H442" s="7"/>
    </row>
    <row r="443" spans="2:8">
      <c r="B443" s="9"/>
      <c r="C443" s="24"/>
      <c r="D443" s="25"/>
      <c r="E443" s="7"/>
      <c r="F443" s="26"/>
      <c r="G443" s="7"/>
      <c r="H443" s="7"/>
    </row>
    <row r="444" spans="2:8">
      <c r="B444" s="9"/>
      <c r="C444" s="24"/>
      <c r="D444" s="25"/>
      <c r="E444" s="7"/>
      <c r="F444" s="26"/>
      <c r="G444" s="7"/>
      <c r="H444" s="7"/>
    </row>
    <row r="445" spans="2:8">
      <c r="B445" s="9"/>
      <c r="C445" s="24"/>
      <c r="D445" s="25"/>
      <c r="E445" s="7"/>
      <c r="F445" s="26"/>
      <c r="G445" s="7"/>
      <c r="H445" s="7"/>
    </row>
    <row r="446" spans="2:8">
      <c r="B446" s="9"/>
      <c r="C446" s="24"/>
      <c r="D446" s="25"/>
      <c r="E446" s="7"/>
      <c r="F446" s="26"/>
      <c r="G446" s="7"/>
      <c r="H446" s="7"/>
    </row>
    <row r="447" spans="2:8">
      <c r="B447" s="9"/>
      <c r="C447" s="24"/>
      <c r="D447" s="25"/>
      <c r="E447" s="7"/>
      <c r="F447" s="26"/>
      <c r="G447" s="7"/>
      <c r="H447" s="7"/>
    </row>
    <row r="448" spans="2:8">
      <c r="B448" s="9"/>
      <c r="C448" s="24"/>
      <c r="D448" s="25"/>
      <c r="E448" s="7"/>
      <c r="F448" s="26"/>
      <c r="G448" s="7"/>
      <c r="H448" s="7"/>
    </row>
    <row r="449" spans="2:8">
      <c r="B449" s="9"/>
      <c r="C449" s="24"/>
      <c r="D449" s="25"/>
      <c r="E449" s="7"/>
      <c r="F449" s="26"/>
      <c r="G449" s="7"/>
      <c r="H449" s="7"/>
    </row>
    <row r="450" spans="2:8">
      <c r="B450" s="9"/>
      <c r="C450" s="24"/>
      <c r="D450" s="25"/>
      <c r="E450" s="7"/>
      <c r="F450" s="26"/>
      <c r="G450" s="7"/>
      <c r="H450" s="7"/>
    </row>
    <row r="451" spans="2:8">
      <c r="B451" s="9"/>
      <c r="C451" s="24"/>
      <c r="D451" s="25"/>
      <c r="E451" s="7"/>
      <c r="F451" s="26"/>
      <c r="G451" s="7"/>
      <c r="H451" s="7"/>
    </row>
    <row r="452" spans="2:8">
      <c r="B452" s="9"/>
      <c r="C452" s="24"/>
      <c r="D452" s="25"/>
      <c r="E452" s="7"/>
      <c r="F452" s="26"/>
      <c r="G452" s="7"/>
      <c r="H452" s="7"/>
    </row>
    <row r="453" spans="2:8">
      <c r="B453" s="9"/>
      <c r="C453" s="24"/>
      <c r="D453" s="25"/>
      <c r="E453" s="7"/>
      <c r="F453" s="26"/>
      <c r="G453" s="7"/>
      <c r="H453" s="7"/>
    </row>
    <row r="454" spans="2:8">
      <c r="B454" s="9"/>
      <c r="C454" s="24"/>
      <c r="D454" s="25"/>
      <c r="E454" s="7"/>
      <c r="F454" s="26"/>
      <c r="G454" s="7"/>
      <c r="H454" s="7"/>
    </row>
    <row r="455" spans="2:8">
      <c r="B455" s="9"/>
      <c r="C455" s="24"/>
      <c r="D455" s="25"/>
      <c r="E455" s="7"/>
      <c r="F455" s="26"/>
      <c r="G455" s="7"/>
      <c r="H455" s="7"/>
    </row>
    <row r="456" spans="2:8">
      <c r="B456" s="9"/>
      <c r="C456" s="24"/>
      <c r="D456" s="25"/>
      <c r="E456" s="7"/>
      <c r="F456" s="26"/>
      <c r="G456" s="7"/>
      <c r="H456" s="7"/>
    </row>
    <row r="457" spans="2:8">
      <c r="B457" s="9"/>
      <c r="C457" s="24"/>
      <c r="D457" s="25"/>
      <c r="E457" s="7"/>
      <c r="F457" s="26"/>
      <c r="G457" s="7"/>
      <c r="H457" s="7"/>
    </row>
    <row r="458" spans="2:8">
      <c r="B458" s="9"/>
      <c r="C458" s="24"/>
      <c r="D458" s="25"/>
      <c r="E458" s="7"/>
      <c r="F458" s="26"/>
      <c r="G458" s="7"/>
      <c r="H458" s="7"/>
    </row>
    <row r="459" spans="2:8">
      <c r="B459" s="9"/>
      <c r="C459" s="24"/>
      <c r="D459" s="25"/>
      <c r="E459" s="7"/>
      <c r="F459" s="26"/>
      <c r="G459" s="7"/>
      <c r="H459" s="7"/>
    </row>
    <row r="460" spans="2:8">
      <c r="B460" s="9"/>
      <c r="C460" s="24"/>
      <c r="D460" s="25"/>
      <c r="E460" s="7"/>
      <c r="F460" s="26"/>
      <c r="G460" s="7"/>
      <c r="H460" s="7"/>
    </row>
    <row r="461" spans="2:8">
      <c r="B461" s="9"/>
      <c r="C461" s="24"/>
      <c r="D461" s="25"/>
      <c r="E461" s="7"/>
      <c r="F461" s="26"/>
      <c r="G461" s="7"/>
      <c r="H461" s="7"/>
    </row>
    <row r="462" spans="2:8">
      <c r="B462" s="9"/>
      <c r="C462" s="24"/>
      <c r="D462" s="25"/>
      <c r="E462" s="7"/>
      <c r="F462" s="26"/>
      <c r="G462" s="7"/>
      <c r="H462" s="7"/>
    </row>
    <row r="463" spans="2:8">
      <c r="B463" s="9"/>
      <c r="C463" s="24"/>
      <c r="D463" s="25"/>
      <c r="E463" s="7"/>
      <c r="F463" s="26"/>
      <c r="G463" s="7"/>
      <c r="H463" s="7"/>
    </row>
    <row r="464" spans="2:8">
      <c r="B464" s="9"/>
      <c r="C464" s="24"/>
      <c r="D464" s="25"/>
      <c r="E464" s="7"/>
      <c r="F464" s="26"/>
      <c r="G464" s="7"/>
      <c r="H464" s="7"/>
    </row>
    <row r="465" spans="2:8">
      <c r="B465" s="9"/>
      <c r="C465" s="24"/>
      <c r="D465" s="25"/>
      <c r="E465" s="7"/>
      <c r="F465" s="26"/>
      <c r="G465" s="7"/>
      <c r="H465" s="7"/>
    </row>
    <row r="466" spans="2:8">
      <c r="B466" s="9"/>
      <c r="C466" s="24"/>
      <c r="D466" s="25"/>
      <c r="E466" s="7"/>
      <c r="F466" s="26"/>
      <c r="G466" s="7"/>
      <c r="H466" s="7"/>
    </row>
    <row r="467" spans="2:8">
      <c r="B467" s="9"/>
      <c r="C467" s="24"/>
      <c r="D467" s="25"/>
      <c r="E467" s="7"/>
      <c r="F467" s="26"/>
      <c r="G467" s="7"/>
      <c r="H467" s="7"/>
    </row>
    <row r="468" spans="2:8">
      <c r="B468" s="9"/>
      <c r="C468" s="24"/>
      <c r="D468" s="25"/>
      <c r="E468" s="7"/>
      <c r="F468" s="26"/>
      <c r="G468" s="7"/>
      <c r="H468" s="7"/>
    </row>
    <row r="469" spans="2:8">
      <c r="B469" s="9"/>
      <c r="C469" s="24"/>
      <c r="D469" s="25"/>
      <c r="E469" s="7"/>
      <c r="F469" s="26"/>
      <c r="G469" s="7"/>
      <c r="H469" s="7"/>
    </row>
    <row r="470" spans="2:8">
      <c r="B470" s="9"/>
      <c r="C470" s="24"/>
      <c r="D470" s="25"/>
      <c r="E470" s="7"/>
      <c r="F470" s="26"/>
      <c r="G470" s="7"/>
      <c r="H470" s="7"/>
    </row>
    <row r="471" spans="2:8">
      <c r="B471" s="9"/>
      <c r="C471" s="24"/>
      <c r="D471" s="25"/>
      <c r="E471" s="7"/>
      <c r="F471" s="26"/>
      <c r="G471" s="7"/>
      <c r="H471" s="7"/>
    </row>
    <row r="472" spans="2:8">
      <c r="B472" s="9"/>
      <c r="C472" s="24"/>
      <c r="D472" s="25"/>
      <c r="E472" s="7"/>
      <c r="F472" s="26"/>
      <c r="G472" s="7"/>
      <c r="H472" s="7"/>
    </row>
    <row r="473" spans="2:8">
      <c r="B473" s="9"/>
      <c r="C473" s="24"/>
      <c r="D473" s="25"/>
      <c r="E473" s="7"/>
      <c r="F473" s="26"/>
      <c r="G473" s="7"/>
      <c r="H473" s="7"/>
    </row>
    <row r="474" spans="2:8">
      <c r="B474" s="9"/>
      <c r="C474" s="24"/>
      <c r="D474" s="25"/>
      <c r="E474" s="7"/>
      <c r="F474" s="26"/>
      <c r="G474" s="7"/>
      <c r="H474" s="7"/>
    </row>
    <row r="475" spans="2:8">
      <c r="B475" s="9"/>
      <c r="C475" s="24"/>
      <c r="D475" s="25"/>
      <c r="E475" s="7"/>
      <c r="F475" s="26"/>
      <c r="G475" s="7"/>
      <c r="H475" s="7"/>
    </row>
    <row r="476" spans="2:8">
      <c r="B476" s="9"/>
      <c r="C476" s="24"/>
      <c r="D476" s="25"/>
      <c r="E476" s="7"/>
      <c r="F476" s="26"/>
      <c r="G476" s="7"/>
      <c r="H476" s="7"/>
    </row>
    <row r="477" spans="2:8">
      <c r="B477" s="9"/>
      <c r="C477" s="24"/>
      <c r="D477" s="25"/>
      <c r="E477" s="7"/>
      <c r="F477" s="26"/>
      <c r="G477" s="7"/>
      <c r="H477" s="7"/>
    </row>
    <row r="478" spans="2:8">
      <c r="B478" s="9"/>
      <c r="C478" s="24"/>
      <c r="D478" s="25"/>
      <c r="E478" s="7"/>
      <c r="F478" s="26"/>
      <c r="G478" s="7"/>
      <c r="H478" s="7"/>
    </row>
    <row r="479" spans="2:8">
      <c r="B479" s="9"/>
      <c r="C479" s="24"/>
      <c r="D479" s="25"/>
      <c r="E479" s="7"/>
      <c r="F479" s="26"/>
      <c r="G479" s="7"/>
      <c r="H479" s="7"/>
    </row>
    <row r="480" spans="2:8">
      <c r="B480" s="9"/>
      <c r="C480" s="24"/>
      <c r="D480" s="25"/>
      <c r="E480" s="7"/>
      <c r="F480" s="26"/>
      <c r="G480" s="7"/>
      <c r="H480" s="7"/>
    </row>
    <row r="481" spans="2:8">
      <c r="B481" s="9"/>
      <c r="C481" s="24"/>
      <c r="D481" s="25"/>
      <c r="E481" s="7"/>
      <c r="F481" s="26"/>
      <c r="G481" s="7"/>
      <c r="H481" s="7"/>
    </row>
    <row r="482" spans="2:8">
      <c r="B482" s="9"/>
      <c r="C482" s="24"/>
      <c r="D482" s="25"/>
      <c r="E482" s="7"/>
      <c r="F482" s="26"/>
      <c r="G482" s="7"/>
      <c r="H482" s="7"/>
    </row>
    <row r="483" spans="2:8">
      <c r="B483" s="9"/>
      <c r="C483" s="24"/>
      <c r="D483" s="25"/>
      <c r="E483" s="7"/>
      <c r="F483" s="26"/>
      <c r="G483" s="7"/>
      <c r="H483" s="7"/>
    </row>
    <row r="484" spans="2:8">
      <c r="B484" s="9"/>
      <c r="C484" s="24"/>
      <c r="D484" s="25"/>
      <c r="E484" s="7"/>
      <c r="F484" s="26"/>
      <c r="G484" s="7"/>
      <c r="H484" s="7"/>
    </row>
    <row r="485" spans="2:8">
      <c r="B485" s="9"/>
      <c r="C485" s="24"/>
      <c r="D485" s="25"/>
      <c r="E485" s="7"/>
      <c r="F485" s="26"/>
      <c r="G485" s="7"/>
      <c r="H485" s="7"/>
    </row>
    <row r="486" spans="2:8">
      <c r="B486" s="9"/>
      <c r="C486" s="24"/>
      <c r="D486" s="25"/>
      <c r="E486" s="7"/>
      <c r="F486" s="26"/>
      <c r="G486" s="7"/>
      <c r="H486" s="7"/>
    </row>
    <row r="487" spans="2:8">
      <c r="B487" s="9"/>
      <c r="C487" s="24"/>
      <c r="D487" s="25"/>
      <c r="E487" s="7"/>
      <c r="F487" s="26"/>
      <c r="G487" s="7"/>
      <c r="H487" s="7"/>
    </row>
    <row r="488" spans="2:8">
      <c r="B488" s="9"/>
      <c r="C488" s="24"/>
      <c r="D488" s="25"/>
      <c r="E488" s="7"/>
      <c r="F488" s="26"/>
      <c r="G488" s="7"/>
      <c r="H488" s="7"/>
    </row>
    <row r="489" spans="2:8">
      <c r="B489" s="9"/>
      <c r="C489" s="24"/>
      <c r="D489" s="25"/>
      <c r="E489" s="7"/>
      <c r="F489" s="26"/>
      <c r="G489" s="7"/>
      <c r="H489" s="7"/>
    </row>
    <row r="490" spans="2:8">
      <c r="B490" s="9"/>
      <c r="C490" s="24"/>
      <c r="D490" s="25"/>
      <c r="E490" s="7"/>
      <c r="F490" s="26"/>
      <c r="G490" s="7"/>
      <c r="H490" s="7"/>
    </row>
    <row r="491" spans="2:8">
      <c r="B491" s="9"/>
      <c r="C491" s="24"/>
      <c r="D491" s="25"/>
      <c r="E491" s="7"/>
      <c r="F491" s="26"/>
      <c r="G491" s="7"/>
      <c r="H491" s="7"/>
    </row>
    <row r="492" spans="2:8">
      <c r="B492" s="9"/>
      <c r="C492" s="24"/>
      <c r="D492" s="25"/>
      <c r="E492" s="7"/>
      <c r="F492" s="26"/>
      <c r="G492" s="7"/>
      <c r="H492" s="7"/>
    </row>
    <row r="493" spans="2:8">
      <c r="B493" s="9"/>
      <c r="C493" s="24"/>
      <c r="D493" s="25"/>
      <c r="E493" s="7"/>
      <c r="F493" s="26"/>
      <c r="G493" s="7"/>
      <c r="H493" s="7"/>
    </row>
    <row r="494" spans="2:8">
      <c r="B494" s="9"/>
      <c r="C494" s="24"/>
      <c r="D494" s="25"/>
      <c r="E494" s="7"/>
      <c r="F494" s="26"/>
      <c r="G494" s="7"/>
      <c r="H494" s="7"/>
    </row>
    <row r="495" spans="2:8">
      <c r="B495" s="9"/>
      <c r="C495" s="24"/>
      <c r="D495" s="25"/>
      <c r="E495" s="7"/>
      <c r="F495" s="26"/>
      <c r="G495" s="7"/>
      <c r="H495" s="7"/>
    </row>
    <row r="496" spans="2:8">
      <c r="B496" s="9"/>
      <c r="C496" s="24"/>
      <c r="D496" s="25"/>
      <c r="E496" s="7"/>
      <c r="F496" s="26"/>
      <c r="G496" s="7"/>
      <c r="H496" s="7"/>
    </row>
    <row r="497" spans="2:8">
      <c r="B497" s="9"/>
      <c r="C497" s="24"/>
      <c r="D497" s="25"/>
      <c r="E497" s="7"/>
      <c r="F497" s="26"/>
      <c r="G497" s="7"/>
      <c r="H497" s="7"/>
    </row>
    <row r="498" spans="2:8">
      <c r="B498" s="9"/>
      <c r="C498" s="24"/>
      <c r="D498" s="25"/>
      <c r="E498" s="7"/>
      <c r="F498" s="26"/>
      <c r="G498" s="7"/>
      <c r="H498" s="7"/>
    </row>
    <row r="499" spans="2:8">
      <c r="B499" s="9"/>
      <c r="C499" s="24"/>
      <c r="D499" s="25"/>
      <c r="E499" s="7"/>
      <c r="F499" s="26"/>
      <c r="G499" s="7"/>
      <c r="H499" s="7"/>
    </row>
    <row r="500" spans="2:8">
      <c r="B500" s="9"/>
      <c r="C500" s="24"/>
      <c r="D500" s="25"/>
      <c r="E500" s="7"/>
      <c r="F500" s="26"/>
      <c r="G500" s="7"/>
      <c r="H500" s="7"/>
    </row>
    <row r="501" spans="2:8">
      <c r="B501" s="9"/>
      <c r="C501" s="24"/>
      <c r="D501" s="25"/>
      <c r="E501" s="7"/>
      <c r="F501" s="26"/>
      <c r="G501" s="7"/>
      <c r="H501" s="7"/>
    </row>
    <row r="502" spans="2:8">
      <c r="B502" s="9"/>
      <c r="C502" s="24"/>
      <c r="D502" s="25"/>
      <c r="E502" s="7"/>
      <c r="F502" s="26"/>
      <c r="G502" s="7"/>
      <c r="H502" s="7"/>
    </row>
    <row r="503" spans="2:8">
      <c r="B503" s="9"/>
      <c r="C503" s="24"/>
      <c r="D503" s="25"/>
      <c r="E503" s="7"/>
      <c r="F503" s="26"/>
      <c r="G503" s="7"/>
      <c r="H503" s="7"/>
    </row>
    <row r="504" spans="2:8">
      <c r="B504" s="9"/>
      <c r="C504" s="24"/>
      <c r="D504" s="25"/>
      <c r="E504" s="7"/>
      <c r="F504" s="26"/>
      <c r="G504" s="7"/>
      <c r="H504" s="7"/>
    </row>
    <row r="505" spans="2:8">
      <c r="B505" s="9"/>
      <c r="C505" s="24"/>
      <c r="D505" s="25"/>
      <c r="E505" s="7"/>
      <c r="F505" s="26"/>
      <c r="G505" s="7"/>
      <c r="H505" s="7"/>
    </row>
    <row r="506" spans="2:8">
      <c r="B506" s="9"/>
      <c r="C506" s="24"/>
      <c r="D506" s="25"/>
      <c r="E506" s="7"/>
      <c r="F506" s="26"/>
      <c r="G506" s="7"/>
      <c r="H506" s="7"/>
    </row>
    <row r="507" spans="2:8">
      <c r="B507" s="9"/>
      <c r="C507" s="24"/>
      <c r="D507" s="25"/>
      <c r="E507" s="7"/>
      <c r="F507" s="26"/>
      <c r="G507" s="7"/>
      <c r="H507" s="7"/>
    </row>
    <row r="508" spans="2:8">
      <c r="B508" s="9"/>
      <c r="C508" s="24"/>
      <c r="D508" s="25"/>
      <c r="E508" s="7"/>
      <c r="F508" s="26"/>
      <c r="G508" s="7"/>
      <c r="H508" s="7"/>
    </row>
    <row r="509" spans="2:8">
      <c r="B509" s="9"/>
      <c r="C509" s="24"/>
      <c r="D509" s="25"/>
      <c r="E509" s="7"/>
      <c r="F509" s="26"/>
      <c r="G509" s="7"/>
      <c r="H509" s="7"/>
    </row>
    <row r="510" spans="2:8">
      <c r="B510" s="9"/>
      <c r="C510" s="24"/>
      <c r="D510" s="25"/>
      <c r="E510" s="7"/>
      <c r="F510" s="26"/>
      <c r="G510" s="7"/>
      <c r="H510" s="7"/>
    </row>
    <row r="511" spans="2:8">
      <c r="B511" s="9"/>
      <c r="C511" s="24"/>
      <c r="D511" s="25"/>
      <c r="E511" s="7"/>
      <c r="F511" s="26"/>
      <c r="G511" s="7"/>
      <c r="H511" s="7"/>
    </row>
    <row r="512" spans="2:8">
      <c r="B512" s="9"/>
      <c r="C512" s="24"/>
      <c r="D512" s="25"/>
      <c r="E512" s="7"/>
      <c r="F512" s="26"/>
      <c r="G512" s="7"/>
      <c r="H512" s="7"/>
    </row>
    <row r="513" spans="2:8">
      <c r="B513" s="9"/>
      <c r="C513" s="24"/>
      <c r="D513" s="25"/>
      <c r="E513" s="7"/>
      <c r="F513" s="26"/>
      <c r="G513" s="7"/>
      <c r="H513" s="7"/>
    </row>
    <row r="514" spans="2:8">
      <c r="B514" s="9"/>
      <c r="C514" s="24"/>
      <c r="D514" s="25"/>
      <c r="E514" s="7"/>
      <c r="F514" s="26"/>
      <c r="G514" s="7"/>
      <c r="H514" s="7"/>
    </row>
    <row r="515" spans="2:8">
      <c r="B515" s="9"/>
      <c r="C515" s="24"/>
      <c r="D515" s="25"/>
      <c r="E515" s="7"/>
      <c r="F515" s="26"/>
      <c r="G515" s="7"/>
      <c r="H515" s="7"/>
    </row>
    <row r="516" spans="2:8">
      <c r="B516" s="9"/>
      <c r="C516" s="24"/>
      <c r="D516" s="25"/>
      <c r="E516" s="7"/>
      <c r="F516" s="26"/>
      <c r="G516" s="7"/>
      <c r="H516" s="7"/>
    </row>
    <row r="517" spans="2:8">
      <c r="B517" s="9"/>
      <c r="C517" s="24"/>
      <c r="D517" s="25"/>
      <c r="E517" s="7"/>
      <c r="F517" s="26"/>
      <c r="G517" s="7"/>
      <c r="H517" s="7"/>
    </row>
    <row r="518" spans="2:8">
      <c r="B518" s="9"/>
      <c r="C518" s="24"/>
      <c r="D518" s="25"/>
      <c r="E518" s="7"/>
      <c r="F518" s="26"/>
      <c r="G518" s="7"/>
      <c r="H518" s="7"/>
    </row>
    <row r="519" spans="2:8">
      <c r="B519" s="9"/>
      <c r="C519" s="24"/>
      <c r="D519" s="25"/>
      <c r="E519" s="7"/>
      <c r="F519" s="26"/>
      <c r="G519" s="7"/>
      <c r="H519" s="7"/>
    </row>
    <row r="520" spans="2:8">
      <c r="B520" s="9"/>
      <c r="C520" s="24"/>
      <c r="D520" s="25"/>
      <c r="E520" s="7"/>
      <c r="F520" s="26"/>
      <c r="G520" s="7"/>
      <c r="H520" s="7"/>
    </row>
    <row r="521" spans="2:8">
      <c r="B521" s="9"/>
      <c r="C521" s="24"/>
      <c r="D521" s="25"/>
      <c r="E521" s="7"/>
      <c r="F521" s="26"/>
      <c r="G521" s="7"/>
      <c r="H521" s="7"/>
    </row>
    <row r="522" spans="2:8">
      <c r="B522" s="9"/>
      <c r="C522" s="24"/>
      <c r="D522" s="25"/>
      <c r="E522" s="7"/>
      <c r="F522" s="26"/>
      <c r="G522" s="7"/>
      <c r="H522" s="7"/>
    </row>
    <row r="523" spans="2:8">
      <c r="B523" s="9"/>
      <c r="C523" s="24"/>
      <c r="D523" s="25"/>
      <c r="E523" s="7"/>
      <c r="F523" s="26"/>
      <c r="G523" s="7"/>
      <c r="H523" s="7"/>
    </row>
    <row r="524" spans="2:8">
      <c r="B524" s="9"/>
      <c r="C524" s="24"/>
      <c r="D524" s="25"/>
      <c r="E524" s="7"/>
      <c r="F524" s="26"/>
      <c r="G524" s="7"/>
      <c r="H524" s="7"/>
    </row>
    <row r="525" spans="2:8">
      <c r="B525" s="9"/>
      <c r="C525" s="24"/>
      <c r="D525" s="25"/>
      <c r="E525" s="7"/>
      <c r="F525" s="26"/>
      <c r="G525" s="7"/>
      <c r="H525" s="7"/>
    </row>
    <row r="526" spans="2:8">
      <c r="B526" s="9"/>
      <c r="C526" s="24"/>
      <c r="D526" s="25"/>
      <c r="E526" s="7"/>
      <c r="F526" s="26"/>
      <c r="G526" s="7"/>
      <c r="H526" s="7"/>
    </row>
    <row r="527" spans="2:8">
      <c r="B527" s="9"/>
      <c r="C527" s="24"/>
      <c r="D527" s="25"/>
      <c r="E527" s="7"/>
      <c r="F527" s="26"/>
      <c r="G527" s="7"/>
      <c r="H527" s="7"/>
    </row>
    <row r="528" spans="2:8">
      <c r="B528" s="9"/>
      <c r="C528" s="24"/>
      <c r="D528" s="25"/>
      <c r="E528" s="7"/>
      <c r="F528" s="26"/>
      <c r="G528" s="7"/>
      <c r="H528" s="7"/>
    </row>
    <row r="529" spans="2:8">
      <c r="B529" s="9"/>
      <c r="C529" s="24"/>
      <c r="D529" s="25"/>
      <c r="E529" s="7"/>
      <c r="F529" s="26"/>
      <c r="G529" s="7"/>
      <c r="H529" s="7"/>
    </row>
    <row r="530" spans="2:8">
      <c r="B530" s="9"/>
      <c r="C530" s="24"/>
      <c r="D530" s="25"/>
      <c r="E530" s="7"/>
      <c r="F530" s="26"/>
      <c r="G530" s="7"/>
      <c r="H530" s="7"/>
    </row>
    <row r="531" spans="2:8">
      <c r="B531" s="9"/>
      <c r="C531" s="24"/>
      <c r="D531" s="25"/>
      <c r="E531" s="7"/>
      <c r="F531" s="26"/>
      <c r="G531" s="7"/>
      <c r="H531" s="7"/>
    </row>
    <row r="532" spans="2:8">
      <c r="B532" s="9"/>
      <c r="C532" s="24"/>
      <c r="D532" s="25"/>
      <c r="E532" s="7"/>
      <c r="F532" s="26"/>
      <c r="G532" s="7"/>
      <c r="H532" s="7"/>
    </row>
    <row r="533" spans="2:8">
      <c r="B533" s="9"/>
      <c r="C533" s="24"/>
      <c r="D533" s="25"/>
      <c r="E533" s="7"/>
      <c r="F533" s="26"/>
      <c r="G533" s="7"/>
      <c r="H533" s="7"/>
    </row>
    <row r="534" spans="2:8">
      <c r="B534" s="9"/>
      <c r="C534" s="24"/>
      <c r="D534" s="25"/>
      <c r="E534" s="7"/>
      <c r="F534" s="26"/>
      <c r="G534" s="7"/>
      <c r="H534" s="7"/>
    </row>
    <row r="535" spans="2:8">
      <c r="B535" s="9"/>
      <c r="C535" s="24"/>
      <c r="D535" s="25"/>
      <c r="E535" s="7"/>
      <c r="F535" s="26"/>
      <c r="G535" s="7"/>
      <c r="H535" s="7"/>
    </row>
    <row r="536" spans="2:8">
      <c r="B536" s="9"/>
      <c r="C536" s="24"/>
      <c r="D536" s="25"/>
      <c r="E536" s="7"/>
      <c r="F536" s="26"/>
      <c r="G536" s="7"/>
      <c r="H536" s="7"/>
    </row>
    <row r="537" spans="2:8">
      <c r="B537" s="9"/>
      <c r="C537" s="24"/>
      <c r="D537" s="25"/>
      <c r="E537" s="7"/>
      <c r="F537" s="26"/>
      <c r="G537" s="7"/>
      <c r="H537" s="7"/>
    </row>
    <row r="538" spans="2:8">
      <c r="B538" s="9"/>
      <c r="C538" s="24"/>
      <c r="D538" s="25"/>
      <c r="E538" s="7"/>
      <c r="F538" s="26"/>
      <c r="G538" s="7"/>
      <c r="H538" s="7"/>
    </row>
    <row r="539" spans="2:8">
      <c r="B539" s="9"/>
      <c r="C539" s="24"/>
      <c r="D539" s="25"/>
      <c r="E539" s="7"/>
      <c r="F539" s="26"/>
      <c r="G539" s="7"/>
      <c r="H539" s="7"/>
    </row>
    <row r="540" spans="2:8">
      <c r="B540" s="9"/>
      <c r="C540" s="24"/>
      <c r="D540" s="25"/>
      <c r="E540" s="7"/>
      <c r="F540" s="26"/>
      <c r="G540" s="7"/>
      <c r="H540" s="7"/>
    </row>
    <row r="541" spans="2:8">
      <c r="B541" s="9"/>
      <c r="C541" s="24"/>
      <c r="D541" s="25"/>
      <c r="E541" s="7"/>
      <c r="F541" s="26"/>
      <c r="G541" s="7"/>
      <c r="H541" s="7"/>
    </row>
    <row r="542" spans="2:8">
      <c r="B542" s="9"/>
      <c r="C542" s="24"/>
      <c r="D542" s="25"/>
      <c r="E542" s="7"/>
      <c r="F542" s="26"/>
      <c r="G542" s="7"/>
      <c r="H542" s="7"/>
    </row>
    <row r="543" spans="2:8">
      <c r="B543" s="9"/>
      <c r="C543" s="24"/>
      <c r="D543" s="25"/>
      <c r="E543" s="7"/>
      <c r="F543" s="26"/>
      <c r="G543" s="7"/>
      <c r="H543" s="7"/>
    </row>
    <row r="544" spans="2:8">
      <c r="B544" s="9"/>
      <c r="C544" s="24"/>
      <c r="D544" s="25"/>
      <c r="E544" s="7"/>
      <c r="F544" s="26"/>
      <c r="G544" s="7"/>
      <c r="H544" s="7"/>
    </row>
    <row r="545" spans="2:8">
      <c r="B545" s="9"/>
      <c r="C545" s="24"/>
      <c r="D545" s="25"/>
      <c r="E545" s="7"/>
      <c r="F545" s="26"/>
      <c r="G545" s="7"/>
      <c r="H545" s="7"/>
    </row>
    <row r="546" spans="2:8">
      <c r="B546" s="9"/>
      <c r="C546" s="24"/>
      <c r="D546" s="25"/>
      <c r="E546" s="7"/>
      <c r="F546" s="26"/>
      <c r="G546" s="7"/>
      <c r="H546" s="7"/>
    </row>
    <row r="547" spans="2:8">
      <c r="B547" s="9"/>
      <c r="C547" s="24"/>
      <c r="D547" s="25"/>
      <c r="E547" s="7"/>
      <c r="F547" s="26"/>
      <c r="G547" s="7"/>
      <c r="H547" s="7"/>
    </row>
    <row r="548" spans="2:8">
      <c r="B548" s="9"/>
      <c r="C548" s="24"/>
      <c r="D548" s="25"/>
      <c r="E548" s="7"/>
      <c r="F548" s="26"/>
      <c r="G548" s="7"/>
      <c r="H548" s="7"/>
    </row>
    <row r="549" spans="2:8">
      <c r="B549" s="9"/>
      <c r="C549" s="24"/>
      <c r="D549" s="25"/>
      <c r="E549" s="7"/>
      <c r="F549" s="26"/>
      <c r="G549" s="7"/>
      <c r="H549" s="7"/>
    </row>
    <row r="550" spans="2:8">
      <c r="B550" s="9"/>
      <c r="C550" s="24"/>
      <c r="D550" s="25"/>
      <c r="E550" s="7"/>
      <c r="F550" s="26"/>
      <c r="G550" s="7"/>
      <c r="H550" s="7"/>
    </row>
    <row r="551" spans="2:8">
      <c r="B551" s="9"/>
      <c r="C551" s="24"/>
      <c r="D551" s="25"/>
      <c r="E551" s="7"/>
      <c r="F551" s="26"/>
      <c r="G551" s="7"/>
      <c r="H551" s="7"/>
    </row>
    <row r="552" spans="2:8">
      <c r="B552" s="9"/>
      <c r="C552" s="24"/>
      <c r="D552" s="25"/>
      <c r="E552" s="7"/>
      <c r="F552" s="26"/>
      <c r="G552" s="7"/>
      <c r="H552" s="7"/>
    </row>
    <row r="553" spans="2:8">
      <c r="B553" s="9"/>
      <c r="C553" s="24"/>
      <c r="D553" s="25"/>
      <c r="E553" s="7"/>
      <c r="F553" s="26"/>
      <c r="G553" s="7"/>
      <c r="H553" s="7"/>
    </row>
    <row r="554" spans="2:8">
      <c r="B554" s="9"/>
      <c r="C554" s="24"/>
      <c r="D554" s="25"/>
      <c r="E554" s="7"/>
      <c r="F554" s="26"/>
      <c r="G554" s="7"/>
      <c r="H554" s="7"/>
    </row>
    <row r="555" spans="2:8">
      <c r="B555" s="9"/>
      <c r="C555" s="24"/>
      <c r="D555" s="25"/>
      <c r="E555" s="7"/>
      <c r="F555" s="26"/>
      <c r="G555" s="7"/>
      <c r="H555" s="7"/>
    </row>
    <row r="556" spans="2:8">
      <c r="B556" s="9"/>
      <c r="C556" s="24"/>
      <c r="D556" s="25"/>
      <c r="E556" s="7"/>
      <c r="F556" s="26"/>
      <c r="G556" s="7"/>
      <c r="H556" s="7"/>
    </row>
    <row r="557" spans="2:8">
      <c r="B557" s="9"/>
      <c r="C557" s="24"/>
      <c r="D557" s="25"/>
      <c r="E557" s="7"/>
      <c r="F557" s="26"/>
      <c r="G557" s="7"/>
      <c r="H557" s="7"/>
    </row>
    <row r="558" spans="2:8">
      <c r="B558" s="9"/>
      <c r="C558" s="24"/>
      <c r="D558" s="25"/>
      <c r="E558" s="7"/>
      <c r="F558" s="26"/>
      <c r="G558" s="7"/>
      <c r="H558" s="7"/>
    </row>
    <row r="559" spans="2:8">
      <c r="B559" s="9"/>
      <c r="C559" s="24"/>
      <c r="D559" s="25"/>
      <c r="E559" s="7"/>
      <c r="F559" s="26"/>
      <c r="G559" s="7"/>
      <c r="H559" s="7"/>
    </row>
    <row r="560" spans="2:8">
      <c r="B560" s="9"/>
      <c r="C560" s="24"/>
      <c r="D560" s="25"/>
      <c r="E560" s="7"/>
      <c r="F560" s="26"/>
      <c r="G560" s="7"/>
      <c r="H560" s="7"/>
    </row>
    <row r="561" spans="2:8">
      <c r="B561" s="9"/>
      <c r="C561" s="24"/>
      <c r="D561" s="25"/>
      <c r="E561" s="7"/>
      <c r="F561" s="26"/>
      <c r="G561" s="7"/>
      <c r="H561" s="7"/>
    </row>
    <row r="562" spans="2:8">
      <c r="B562" s="9"/>
      <c r="C562" s="24"/>
      <c r="D562" s="25"/>
      <c r="E562" s="7"/>
      <c r="F562" s="26"/>
      <c r="G562" s="7"/>
      <c r="H562" s="7"/>
    </row>
    <row r="563" spans="2:8">
      <c r="B563" s="9"/>
      <c r="C563" s="24"/>
      <c r="D563" s="25"/>
      <c r="E563" s="7"/>
      <c r="F563" s="26"/>
      <c r="G563" s="7"/>
      <c r="H563" s="7"/>
    </row>
    <row r="564" spans="2:8">
      <c r="B564" s="9"/>
      <c r="C564" s="24"/>
      <c r="D564" s="25"/>
      <c r="E564" s="7"/>
      <c r="F564" s="26"/>
      <c r="G564" s="7"/>
      <c r="H564" s="7"/>
    </row>
    <row r="565" spans="2:8">
      <c r="B565" s="9"/>
      <c r="C565" s="24"/>
      <c r="D565" s="25"/>
      <c r="E565" s="7"/>
      <c r="F565" s="26"/>
      <c r="G565" s="7"/>
      <c r="H565" s="7"/>
    </row>
    <row r="566" spans="2:8">
      <c r="B566" s="9"/>
      <c r="C566" s="24"/>
      <c r="D566" s="25"/>
      <c r="E566" s="7"/>
      <c r="F566" s="26"/>
      <c r="G566" s="7"/>
      <c r="H566" s="7"/>
    </row>
    <row r="567" spans="2:8">
      <c r="B567" s="9"/>
      <c r="C567" s="24"/>
      <c r="D567" s="25"/>
      <c r="E567" s="7"/>
      <c r="F567" s="26"/>
      <c r="G567" s="7"/>
      <c r="H567" s="7"/>
    </row>
    <row r="568" spans="2:8">
      <c r="B568" s="9"/>
      <c r="C568" s="24"/>
      <c r="D568" s="25"/>
      <c r="E568" s="7"/>
      <c r="F568" s="26"/>
      <c r="G568" s="7"/>
      <c r="H568" s="7"/>
    </row>
    <row r="569" spans="2:8">
      <c r="B569" s="9"/>
      <c r="C569" s="24"/>
      <c r="D569" s="25"/>
      <c r="E569" s="7"/>
      <c r="F569" s="26"/>
      <c r="G569" s="7"/>
      <c r="H569" s="7"/>
    </row>
    <row r="570" spans="2:8">
      <c r="B570" s="9"/>
      <c r="C570" s="24"/>
      <c r="D570" s="25"/>
      <c r="E570" s="7"/>
      <c r="F570" s="26"/>
      <c r="G570" s="7"/>
      <c r="H570" s="7"/>
    </row>
    <row r="571" spans="2:8">
      <c r="B571" s="9"/>
      <c r="C571" s="24"/>
      <c r="D571" s="25"/>
      <c r="E571" s="7"/>
      <c r="F571" s="26"/>
      <c r="G571" s="7"/>
      <c r="H571" s="7"/>
    </row>
    <row r="572" spans="2:8">
      <c r="B572" s="9"/>
      <c r="C572" s="24"/>
      <c r="D572" s="25"/>
      <c r="E572" s="7"/>
      <c r="F572" s="26"/>
      <c r="G572" s="7"/>
      <c r="H572" s="7"/>
    </row>
    <row r="573" spans="2:8">
      <c r="B573" s="9"/>
      <c r="C573" s="24"/>
      <c r="D573" s="25"/>
      <c r="E573" s="7"/>
      <c r="F573" s="26"/>
      <c r="G573" s="7"/>
      <c r="H573" s="7"/>
    </row>
    <row r="574" spans="2:8">
      <c r="B574" s="9"/>
      <c r="C574" s="24"/>
      <c r="D574" s="25"/>
      <c r="E574" s="7"/>
      <c r="F574" s="26"/>
      <c r="G574" s="7"/>
      <c r="H574" s="7"/>
    </row>
    <row r="575" spans="2:8">
      <c r="B575" s="9"/>
      <c r="C575" s="24"/>
      <c r="D575" s="25"/>
      <c r="E575" s="7"/>
      <c r="F575" s="26"/>
      <c r="G575" s="7"/>
      <c r="H575" s="7"/>
    </row>
    <row r="576" spans="2:8">
      <c r="B576" s="9"/>
      <c r="C576" s="24"/>
      <c r="D576" s="25"/>
      <c r="E576" s="7"/>
      <c r="F576" s="26"/>
      <c r="G576" s="7"/>
      <c r="H576" s="7"/>
    </row>
    <row r="577" spans="2:8">
      <c r="B577" s="9"/>
      <c r="C577" s="24"/>
      <c r="D577" s="25"/>
      <c r="E577" s="7"/>
      <c r="F577" s="26"/>
      <c r="G577" s="7"/>
      <c r="H577" s="7"/>
    </row>
    <row r="578" spans="2:8">
      <c r="B578" s="9"/>
      <c r="C578" s="24"/>
      <c r="D578" s="25"/>
      <c r="E578" s="7"/>
      <c r="F578" s="26"/>
      <c r="G578" s="7"/>
      <c r="H578" s="7"/>
    </row>
    <row r="579" spans="2:8">
      <c r="B579" s="9"/>
      <c r="C579" s="24"/>
      <c r="D579" s="25"/>
      <c r="E579" s="7"/>
      <c r="F579" s="26"/>
      <c r="G579" s="7"/>
      <c r="H579" s="7"/>
    </row>
    <row r="580" spans="2:8">
      <c r="B580" s="9"/>
      <c r="C580" s="24"/>
      <c r="D580" s="25"/>
      <c r="E580" s="7"/>
      <c r="F580" s="26"/>
      <c r="G580" s="7"/>
      <c r="H580" s="7"/>
    </row>
    <row r="581" spans="2:8">
      <c r="B581" s="9"/>
      <c r="C581" s="24"/>
      <c r="D581" s="25"/>
      <c r="E581" s="7"/>
      <c r="F581" s="26"/>
      <c r="G581" s="7"/>
      <c r="H581" s="7"/>
    </row>
    <row r="582" spans="2:8">
      <c r="B582" s="9"/>
      <c r="C582" s="24"/>
      <c r="D582" s="25"/>
      <c r="E582" s="7"/>
      <c r="F582" s="26"/>
      <c r="G582" s="7"/>
      <c r="H582" s="7"/>
    </row>
    <row r="583" spans="2:8">
      <c r="B583" s="9"/>
      <c r="C583" s="24"/>
      <c r="D583" s="25"/>
      <c r="E583" s="7"/>
      <c r="F583" s="26"/>
      <c r="G583" s="7"/>
      <c r="H583" s="7"/>
    </row>
    <row r="584" spans="2:8">
      <c r="B584" s="9"/>
      <c r="C584" s="24"/>
      <c r="D584" s="25"/>
      <c r="E584" s="7"/>
      <c r="F584" s="26"/>
      <c r="G584" s="7"/>
      <c r="H584" s="7"/>
    </row>
    <row r="585" spans="2:8">
      <c r="B585" s="9"/>
      <c r="C585" s="24"/>
      <c r="D585" s="25"/>
      <c r="E585" s="7"/>
      <c r="F585" s="26"/>
      <c r="G585" s="7"/>
      <c r="H585" s="7"/>
    </row>
    <row r="586" spans="2:8">
      <c r="B586" s="9"/>
      <c r="C586" s="24"/>
      <c r="D586" s="25"/>
      <c r="E586" s="7"/>
      <c r="F586" s="26"/>
      <c r="G586" s="7"/>
      <c r="H586" s="7"/>
    </row>
    <row r="587" spans="2:8">
      <c r="B587" s="9"/>
      <c r="C587" s="24"/>
      <c r="D587" s="25"/>
      <c r="E587" s="7"/>
      <c r="F587" s="26"/>
      <c r="G587" s="7"/>
      <c r="H587" s="7"/>
    </row>
    <row r="588" spans="2:8">
      <c r="B588" s="9"/>
      <c r="C588" s="24"/>
      <c r="D588" s="25"/>
      <c r="E588" s="7"/>
      <c r="F588" s="26"/>
      <c r="G588" s="7"/>
      <c r="H588" s="7"/>
    </row>
    <row r="589" spans="2:8">
      <c r="B589" s="9"/>
      <c r="C589" s="24"/>
      <c r="D589" s="25"/>
      <c r="E589" s="7"/>
      <c r="F589" s="26"/>
      <c r="G589" s="7"/>
      <c r="H589" s="7"/>
    </row>
    <row r="590" spans="2:8">
      <c r="B590" s="9"/>
      <c r="C590" s="24"/>
      <c r="D590" s="25"/>
      <c r="E590" s="7"/>
      <c r="F590" s="26"/>
      <c r="G590" s="7"/>
      <c r="H590" s="7"/>
    </row>
    <row r="591" spans="2:8">
      <c r="B591" s="9"/>
      <c r="C591" s="24"/>
      <c r="D591" s="25"/>
      <c r="E591" s="7"/>
      <c r="F591" s="26"/>
      <c r="G591" s="7"/>
      <c r="H591" s="7"/>
    </row>
    <row r="592" spans="2:8">
      <c r="B592" s="9"/>
      <c r="C592" s="24"/>
      <c r="D592" s="25"/>
      <c r="E592" s="7"/>
      <c r="F592" s="26"/>
      <c r="G592" s="7"/>
      <c r="H592" s="7"/>
    </row>
    <row r="593" spans="2:8">
      <c r="B593" s="9"/>
      <c r="C593" s="24"/>
      <c r="D593" s="25"/>
      <c r="E593" s="7"/>
      <c r="F593" s="26"/>
      <c r="G593" s="7"/>
      <c r="H593" s="7"/>
    </row>
    <row r="594" spans="2:8">
      <c r="B594" s="9"/>
      <c r="C594" s="24"/>
      <c r="D594" s="25"/>
      <c r="E594" s="7"/>
      <c r="F594" s="26"/>
      <c r="G594" s="7"/>
      <c r="H594" s="7"/>
    </row>
    <row r="595" spans="2:8">
      <c r="B595" s="9"/>
      <c r="C595" s="24"/>
      <c r="D595" s="25"/>
      <c r="E595" s="7"/>
      <c r="F595" s="26"/>
      <c r="G595" s="7"/>
      <c r="H595" s="7"/>
    </row>
    <row r="596" spans="2:8">
      <c r="B596" s="9"/>
      <c r="C596" s="24"/>
      <c r="D596" s="25"/>
      <c r="E596" s="7"/>
      <c r="F596" s="26"/>
      <c r="G596" s="7"/>
      <c r="H596" s="7"/>
    </row>
    <row r="597" spans="2:8">
      <c r="B597" s="9"/>
      <c r="C597" s="24"/>
      <c r="D597" s="25"/>
      <c r="E597" s="7"/>
      <c r="F597" s="26"/>
      <c r="G597" s="7"/>
      <c r="H597" s="7"/>
    </row>
    <row r="598" spans="2:8">
      <c r="B598" s="9"/>
      <c r="C598" s="24"/>
      <c r="D598" s="25"/>
      <c r="E598" s="7"/>
      <c r="F598" s="26"/>
      <c r="G598" s="7"/>
      <c r="H598" s="7"/>
    </row>
    <row r="599" spans="2:8">
      <c r="B599" s="9"/>
      <c r="C599" s="24"/>
      <c r="D599" s="25"/>
      <c r="E599" s="7"/>
      <c r="F599" s="26"/>
      <c r="G599" s="7"/>
      <c r="H599" s="7"/>
    </row>
    <row r="600" spans="2:8">
      <c r="B600" s="9"/>
      <c r="C600" s="24"/>
      <c r="D600" s="25"/>
      <c r="E600" s="7"/>
      <c r="F600" s="26"/>
      <c r="G600" s="7"/>
      <c r="H600" s="7"/>
    </row>
    <row r="601" spans="2:8">
      <c r="B601" s="9"/>
      <c r="C601" s="24"/>
      <c r="D601" s="25"/>
      <c r="E601" s="7"/>
      <c r="F601" s="26"/>
      <c r="G601" s="7"/>
      <c r="H601" s="7"/>
    </row>
    <row r="602" spans="2:8">
      <c r="B602" s="9"/>
      <c r="C602" s="24"/>
      <c r="D602" s="25"/>
      <c r="E602" s="7"/>
      <c r="F602" s="26"/>
      <c r="G602" s="7"/>
      <c r="H602" s="7"/>
    </row>
    <row r="603" spans="2:8">
      <c r="B603" s="9"/>
      <c r="C603" s="24"/>
      <c r="D603" s="25"/>
      <c r="E603" s="7"/>
      <c r="F603" s="26"/>
      <c r="G603" s="7"/>
      <c r="H603" s="7"/>
    </row>
    <row r="604" spans="2:8">
      <c r="B604" s="9"/>
      <c r="C604" s="24"/>
      <c r="D604" s="25"/>
      <c r="E604" s="7"/>
      <c r="F604" s="26"/>
      <c r="G604" s="7"/>
      <c r="H604" s="7"/>
    </row>
    <row r="605" spans="2:8">
      <c r="B605" s="9"/>
      <c r="C605" s="24"/>
      <c r="D605" s="25"/>
      <c r="E605" s="7"/>
      <c r="F605" s="26"/>
      <c r="G605" s="7"/>
      <c r="H605" s="7"/>
    </row>
    <row r="606" spans="2:8">
      <c r="B606" s="9"/>
      <c r="C606" s="24"/>
      <c r="D606" s="25"/>
      <c r="E606" s="7"/>
      <c r="F606" s="26"/>
      <c r="G606" s="7"/>
      <c r="H606" s="7"/>
    </row>
    <row r="607" spans="2:8">
      <c r="B607" s="9"/>
      <c r="C607" s="24"/>
      <c r="D607" s="25"/>
      <c r="E607" s="7"/>
      <c r="F607" s="26"/>
      <c r="G607" s="7"/>
      <c r="H607" s="7"/>
    </row>
    <row r="608" spans="2:8">
      <c r="B608" s="9"/>
      <c r="C608" s="24"/>
      <c r="D608" s="25"/>
      <c r="E608" s="7"/>
      <c r="F608" s="26"/>
      <c r="G608" s="7"/>
      <c r="H608" s="7"/>
    </row>
    <row r="609" spans="2:8">
      <c r="B609" s="9"/>
      <c r="C609" s="24"/>
      <c r="D609" s="25"/>
      <c r="E609" s="7"/>
      <c r="F609" s="26"/>
      <c r="G609" s="7"/>
      <c r="H609" s="7"/>
    </row>
    <row r="610" spans="2:8">
      <c r="B610" s="9"/>
      <c r="C610" s="24"/>
      <c r="D610" s="25"/>
      <c r="E610" s="7"/>
      <c r="F610" s="26"/>
      <c r="G610" s="7"/>
      <c r="H610" s="7"/>
    </row>
    <row r="611" spans="2:8">
      <c r="B611" s="9"/>
      <c r="C611" s="24"/>
      <c r="D611" s="25"/>
      <c r="E611" s="7"/>
      <c r="F611" s="26"/>
      <c r="G611" s="7"/>
      <c r="H611" s="7"/>
    </row>
    <row r="612" spans="2:8">
      <c r="B612" s="9"/>
      <c r="C612" s="24"/>
      <c r="D612" s="25"/>
      <c r="E612" s="7"/>
      <c r="F612" s="26"/>
      <c r="G612" s="7"/>
      <c r="H612" s="7"/>
    </row>
    <row r="613" spans="2:8">
      <c r="B613" s="9"/>
      <c r="C613" s="24"/>
      <c r="D613" s="25"/>
      <c r="E613" s="7"/>
      <c r="F613" s="26"/>
      <c r="G613" s="7"/>
      <c r="H613" s="7"/>
    </row>
    <row r="614" spans="2:8">
      <c r="B614" s="9"/>
      <c r="C614" s="24"/>
      <c r="D614" s="25"/>
      <c r="E614" s="7"/>
      <c r="F614" s="26"/>
      <c r="G614" s="7"/>
      <c r="H614" s="7"/>
    </row>
    <row r="615" spans="2:8">
      <c r="B615" s="9"/>
      <c r="C615" s="24"/>
      <c r="D615" s="25"/>
      <c r="E615" s="7"/>
      <c r="F615" s="26"/>
      <c r="G615" s="7"/>
      <c r="H615" s="7"/>
    </row>
    <row r="616" spans="2:8">
      <c r="B616" s="9"/>
      <c r="C616" s="24"/>
      <c r="D616" s="25"/>
      <c r="E616" s="7"/>
      <c r="F616" s="26"/>
      <c r="G616" s="7"/>
      <c r="H616" s="7"/>
    </row>
    <row r="617" spans="2:8">
      <c r="B617" s="9"/>
      <c r="C617" s="24"/>
      <c r="D617" s="25"/>
      <c r="E617" s="7"/>
      <c r="F617" s="26"/>
      <c r="G617" s="7"/>
      <c r="H617" s="7"/>
    </row>
    <row r="618" spans="2:8">
      <c r="B618" s="9"/>
      <c r="C618" s="24"/>
      <c r="D618" s="25"/>
      <c r="E618" s="7"/>
      <c r="F618" s="26"/>
      <c r="G618" s="7"/>
      <c r="H618" s="7"/>
    </row>
    <row r="619" spans="2:8">
      <c r="B619" s="9"/>
      <c r="C619" s="24"/>
      <c r="D619" s="25"/>
      <c r="E619" s="7"/>
      <c r="F619" s="26"/>
      <c r="G619" s="7"/>
      <c r="H619" s="7"/>
    </row>
    <row r="620" spans="2:8">
      <c r="B620" s="9"/>
      <c r="C620" s="24"/>
      <c r="D620" s="25"/>
      <c r="E620" s="7"/>
      <c r="F620" s="26"/>
      <c r="G620" s="7"/>
      <c r="H620" s="7"/>
    </row>
    <row r="621" spans="2:8">
      <c r="B621" s="9"/>
      <c r="C621" s="24"/>
      <c r="D621" s="25"/>
      <c r="E621" s="7"/>
      <c r="F621" s="26"/>
      <c r="G621" s="7"/>
      <c r="H621" s="7"/>
    </row>
    <row r="622" spans="2:8">
      <c r="B622" s="9"/>
      <c r="C622" s="24"/>
      <c r="D622" s="25"/>
      <c r="E622" s="7"/>
      <c r="F622" s="26"/>
      <c r="G622" s="7"/>
      <c r="H622" s="7"/>
    </row>
    <row r="623" spans="2:8">
      <c r="B623" s="9"/>
      <c r="C623" s="24"/>
      <c r="D623" s="25"/>
      <c r="E623" s="7"/>
      <c r="F623" s="26"/>
      <c r="G623" s="7"/>
      <c r="H623" s="7"/>
    </row>
    <row r="624" spans="2:8">
      <c r="B624" s="9"/>
      <c r="C624" s="24"/>
      <c r="D624" s="25"/>
      <c r="E624" s="7"/>
      <c r="F624" s="26"/>
      <c r="G624" s="7"/>
      <c r="H624" s="7"/>
    </row>
    <row r="625" spans="2:8">
      <c r="B625" s="9"/>
      <c r="C625" s="24"/>
      <c r="D625" s="25"/>
      <c r="E625" s="7"/>
      <c r="F625" s="26"/>
      <c r="G625" s="7"/>
      <c r="H625" s="7"/>
    </row>
    <row r="626" spans="2:8">
      <c r="B626" s="9"/>
      <c r="C626" s="24"/>
      <c r="D626" s="25"/>
      <c r="E626" s="7"/>
      <c r="F626" s="26"/>
      <c r="G626" s="7"/>
      <c r="H626" s="7"/>
    </row>
    <row r="627" spans="2:8">
      <c r="B627" s="9"/>
      <c r="C627" s="24"/>
      <c r="D627" s="25"/>
      <c r="E627" s="7"/>
      <c r="F627" s="26"/>
      <c r="G627" s="7"/>
      <c r="H627" s="7"/>
    </row>
    <row r="628" spans="2:8">
      <c r="B628" s="9"/>
      <c r="C628" s="24"/>
      <c r="D628" s="25"/>
      <c r="E628" s="7"/>
      <c r="F628" s="26"/>
      <c r="G628" s="7"/>
      <c r="H628" s="7"/>
    </row>
    <row r="629" spans="2:8">
      <c r="B629" s="9"/>
      <c r="C629" s="24"/>
      <c r="D629" s="25"/>
      <c r="E629" s="7"/>
      <c r="F629" s="26"/>
      <c r="G629" s="7"/>
      <c r="H629" s="7"/>
    </row>
    <row r="630" spans="2:8">
      <c r="B630" s="9"/>
      <c r="C630" s="24"/>
      <c r="D630" s="25"/>
      <c r="E630" s="7"/>
      <c r="F630" s="26"/>
      <c r="G630" s="7"/>
      <c r="H630" s="7"/>
    </row>
    <row r="631" spans="2:8">
      <c r="B631" s="9"/>
      <c r="C631" s="24"/>
      <c r="D631" s="25"/>
      <c r="E631" s="7"/>
      <c r="F631" s="26"/>
      <c r="G631" s="7"/>
      <c r="H631" s="7"/>
    </row>
    <row r="632" spans="2:8">
      <c r="B632" s="9"/>
      <c r="C632" s="24"/>
      <c r="D632" s="25"/>
      <c r="E632" s="7"/>
      <c r="F632" s="26"/>
      <c r="G632" s="7"/>
      <c r="H632" s="7"/>
    </row>
    <row r="633" spans="2:8">
      <c r="B633" s="9"/>
      <c r="C633" s="24"/>
      <c r="D633" s="25"/>
      <c r="E633" s="7"/>
      <c r="F633" s="26"/>
      <c r="G633" s="7"/>
      <c r="H633" s="7"/>
    </row>
    <row r="634" spans="2:8">
      <c r="B634" s="9"/>
      <c r="C634" s="24"/>
      <c r="D634" s="25"/>
      <c r="E634" s="7"/>
      <c r="F634" s="26"/>
      <c r="G634" s="7"/>
      <c r="H634" s="7"/>
    </row>
    <row r="635" spans="2:8">
      <c r="B635" s="9"/>
      <c r="C635" s="24"/>
      <c r="D635" s="25"/>
      <c r="E635" s="7"/>
      <c r="F635" s="26"/>
      <c r="G635" s="7"/>
      <c r="H635" s="7"/>
    </row>
    <row r="636" spans="2:8">
      <c r="B636" s="9"/>
      <c r="C636" s="24"/>
      <c r="D636" s="25"/>
      <c r="E636" s="7"/>
      <c r="F636" s="26"/>
      <c r="G636" s="7"/>
      <c r="H636" s="7"/>
    </row>
    <row r="637" spans="2:8">
      <c r="B637" s="9"/>
      <c r="C637" s="24"/>
      <c r="D637" s="25"/>
      <c r="E637" s="7"/>
      <c r="F637" s="26"/>
      <c r="G637" s="7"/>
      <c r="H637" s="7"/>
    </row>
    <row r="638" spans="2:8">
      <c r="B638" s="9"/>
      <c r="C638" s="24"/>
      <c r="D638" s="25"/>
      <c r="E638" s="7"/>
      <c r="F638" s="26"/>
      <c r="G638" s="7"/>
      <c r="H638" s="7"/>
    </row>
    <row r="639" spans="2:8">
      <c r="B639" s="9"/>
      <c r="C639" s="24"/>
      <c r="D639" s="25"/>
      <c r="E639" s="7"/>
      <c r="F639" s="26"/>
      <c r="G639" s="7"/>
      <c r="H639" s="7"/>
    </row>
    <row r="640" spans="2:8">
      <c r="B640" s="9"/>
      <c r="C640" s="24"/>
      <c r="D640" s="25"/>
      <c r="E640" s="7"/>
      <c r="F640" s="26"/>
      <c r="G640" s="7"/>
      <c r="H640" s="7"/>
    </row>
    <row r="641" spans="2:8">
      <c r="B641" s="9"/>
      <c r="C641" s="24"/>
      <c r="D641" s="25"/>
      <c r="E641" s="7"/>
      <c r="F641" s="26"/>
      <c r="G641" s="7"/>
      <c r="H641" s="7"/>
    </row>
    <row r="642" spans="2:8">
      <c r="B642" s="9"/>
      <c r="C642" s="24"/>
      <c r="D642" s="25"/>
      <c r="E642" s="7"/>
      <c r="F642" s="26"/>
      <c r="G642" s="7"/>
      <c r="H642" s="7"/>
    </row>
    <row r="643" spans="2:8">
      <c r="B643" s="9"/>
      <c r="C643" s="24"/>
      <c r="D643" s="25"/>
      <c r="E643" s="7"/>
      <c r="F643" s="26"/>
      <c r="G643" s="7"/>
      <c r="H643" s="7"/>
    </row>
    <row r="644" spans="2:8">
      <c r="B644" s="9"/>
      <c r="C644" s="24"/>
      <c r="D644" s="25"/>
      <c r="E644" s="7"/>
      <c r="F644" s="26"/>
      <c r="G644" s="7"/>
      <c r="H644" s="7"/>
    </row>
    <row r="645" spans="2:8">
      <c r="B645" s="9"/>
      <c r="C645" s="24"/>
      <c r="D645" s="25"/>
      <c r="E645" s="7"/>
      <c r="F645" s="26"/>
      <c r="G645" s="7"/>
      <c r="H645" s="7"/>
    </row>
    <row r="646" spans="2:8">
      <c r="B646" s="9"/>
      <c r="C646" s="24"/>
      <c r="D646" s="25"/>
      <c r="E646" s="7"/>
      <c r="F646" s="26"/>
      <c r="G646" s="7"/>
      <c r="H646" s="7"/>
    </row>
    <row r="647" spans="2:8">
      <c r="B647" s="9"/>
      <c r="C647" s="24"/>
      <c r="D647" s="25"/>
      <c r="E647" s="7"/>
      <c r="F647" s="26"/>
      <c r="G647" s="7"/>
      <c r="H647" s="7"/>
    </row>
    <row r="648" spans="2:8">
      <c r="B648" s="9"/>
      <c r="C648" s="24"/>
      <c r="D648" s="25"/>
      <c r="E648" s="7"/>
      <c r="F648" s="26"/>
      <c r="G648" s="7"/>
      <c r="H648" s="7"/>
    </row>
    <row r="649" spans="2:8">
      <c r="B649" s="9"/>
      <c r="C649" s="24"/>
      <c r="D649" s="25"/>
      <c r="E649" s="7"/>
      <c r="F649" s="26"/>
      <c r="G649" s="7"/>
      <c r="H649" s="7"/>
    </row>
    <row r="650" spans="2:8">
      <c r="B650" s="9"/>
      <c r="C650" s="24"/>
      <c r="D650" s="25"/>
      <c r="E650" s="7"/>
      <c r="F650" s="26"/>
      <c r="G650" s="7"/>
      <c r="H650" s="7"/>
    </row>
    <row r="651" spans="2:8">
      <c r="B651" s="9"/>
      <c r="C651" s="24"/>
      <c r="D651" s="25"/>
      <c r="E651" s="7"/>
      <c r="F651" s="26"/>
      <c r="G651" s="7"/>
      <c r="H651" s="7"/>
    </row>
    <row r="652" spans="2:8">
      <c r="B652" s="9"/>
      <c r="C652" s="24"/>
      <c r="D652" s="25"/>
      <c r="E652" s="7"/>
      <c r="F652" s="26"/>
      <c r="G652" s="7"/>
      <c r="H652" s="7"/>
    </row>
    <row r="653" spans="2:8">
      <c r="B653" s="9"/>
      <c r="C653" s="24"/>
      <c r="D653" s="25"/>
      <c r="E653" s="7"/>
      <c r="F653" s="26"/>
      <c r="G653" s="7"/>
      <c r="H653" s="7"/>
    </row>
    <row r="654" spans="2:8">
      <c r="B654" s="9"/>
      <c r="C654" s="24"/>
      <c r="D654" s="25"/>
      <c r="E654" s="7"/>
      <c r="F654" s="26"/>
      <c r="G654" s="7"/>
      <c r="H654" s="7"/>
    </row>
    <row r="655" spans="2:8">
      <c r="B655" s="9"/>
      <c r="C655" s="24"/>
      <c r="D655" s="25"/>
      <c r="E655" s="7"/>
      <c r="F655" s="26"/>
      <c r="G655" s="7"/>
      <c r="H655" s="7"/>
    </row>
    <row r="656" spans="2:8">
      <c r="B656" s="9"/>
      <c r="C656" s="24"/>
      <c r="D656" s="25"/>
      <c r="E656" s="7"/>
      <c r="F656" s="26"/>
      <c r="G656" s="7"/>
      <c r="H656" s="7"/>
    </row>
    <row r="657" spans="2:8">
      <c r="B657" s="9"/>
      <c r="C657" s="24"/>
      <c r="D657" s="25"/>
      <c r="E657" s="7"/>
      <c r="F657" s="26"/>
      <c r="G657" s="7"/>
      <c r="H657" s="7"/>
    </row>
    <row r="658" spans="2:8">
      <c r="B658" s="9"/>
      <c r="C658" s="24"/>
      <c r="D658" s="25"/>
      <c r="E658" s="7"/>
      <c r="F658" s="26"/>
      <c r="G658" s="7"/>
      <c r="H658" s="7"/>
    </row>
    <row r="659" spans="2:8">
      <c r="B659" s="9"/>
      <c r="C659" s="24"/>
      <c r="D659" s="25"/>
      <c r="E659" s="7"/>
      <c r="F659" s="26"/>
      <c r="G659" s="7"/>
      <c r="H659" s="7"/>
    </row>
    <row r="660" spans="2:8">
      <c r="B660" s="9"/>
      <c r="C660" s="24"/>
      <c r="D660" s="25"/>
      <c r="E660" s="7"/>
      <c r="F660" s="26"/>
      <c r="G660" s="7"/>
      <c r="H660" s="7"/>
    </row>
    <row r="661" spans="2:8">
      <c r="B661" s="9"/>
      <c r="C661" s="24"/>
      <c r="D661" s="25"/>
      <c r="E661" s="7"/>
      <c r="F661" s="26"/>
      <c r="G661" s="7"/>
      <c r="H661" s="7"/>
    </row>
    <row r="662" spans="2:8">
      <c r="B662" s="9"/>
      <c r="C662" s="24"/>
      <c r="D662" s="25"/>
      <c r="E662" s="7"/>
      <c r="F662" s="26"/>
      <c r="G662" s="7"/>
      <c r="H662" s="7"/>
    </row>
    <row r="663" spans="2:8">
      <c r="B663" s="9"/>
      <c r="C663" s="24"/>
      <c r="D663" s="25"/>
      <c r="E663" s="7"/>
      <c r="F663" s="26"/>
      <c r="G663" s="7"/>
      <c r="H663" s="7"/>
    </row>
    <row r="664" spans="2:8">
      <c r="B664" s="9"/>
      <c r="C664" s="24"/>
      <c r="D664" s="25"/>
      <c r="E664" s="7"/>
      <c r="F664" s="26"/>
      <c r="G664" s="7"/>
      <c r="H664" s="7"/>
    </row>
    <row r="665" spans="2:8">
      <c r="B665" s="9"/>
      <c r="C665" s="24"/>
      <c r="D665" s="25"/>
      <c r="E665" s="7"/>
      <c r="F665" s="26"/>
      <c r="G665" s="7"/>
      <c r="H665" s="7"/>
    </row>
    <row r="666" spans="2:8">
      <c r="B666" s="9"/>
      <c r="C666" s="24"/>
      <c r="D666" s="25"/>
      <c r="E666" s="7"/>
      <c r="F666" s="26"/>
      <c r="G666" s="7"/>
      <c r="H666" s="7"/>
    </row>
    <row r="667" spans="2:8">
      <c r="B667" s="9"/>
      <c r="C667" s="24"/>
      <c r="D667" s="25"/>
      <c r="E667" s="7"/>
      <c r="F667" s="26"/>
      <c r="G667" s="7"/>
      <c r="H667" s="7"/>
    </row>
    <row r="668" spans="2:8">
      <c r="B668" s="9"/>
      <c r="C668" s="24"/>
      <c r="D668" s="25"/>
      <c r="E668" s="7"/>
      <c r="F668" s="26"/>
      <c r="G668" s="7"/>
      <c r="H668" s="7"/>
    </row>
    <row r="669" spans="2:8">
      <c r="B669" s="9"/>
      <c r="C669" s="24"/>
      <c r="D669" s="25"/>
      <c r="E669" s="7"/>
      <c r="F669" s="26"/>
      <c r="G669" s="7"/>
      <c r="H669" s="7"/>
    </row>
    <row r="670" spans="2:8">
      <c r="B670" s="9"/>
      <c r="C670" s="24"/>
      <c r="D670" s="25"/>
      <c r="E670" s="7"/>
      <c r="F670" s="26"/>
      <c r="G670" s="7"/>
      <c r="H670" s="7"/>
    </row>
    <row r="671" spans="2:8">
      <c r="B671" s="9"/>
      <c r="C671" s="24"/>
      <c r="D671" s="25"/>
      <c r="E671" s="7"/>
      <c r="F671" s="26"/>
      <c r="G671" s="7"/>
      <c r="H671" s="7"/>
    </row>
    <row r="672" spans="2:8">
      <c r="B672" s="9"/>
      <c r="C672" s="24"/>
      <c r="D672" s="25"/>
      <c r="E672" s="7"/>
      <c r="F672" s="26"/>
      <c r="G672" s="7"/>
      <c r="H672" s="7"/>
    </row>
    <row r="673" spans="2:8">
      <c r="B673" s="9"/>
      <c r="C673" s="24"/>
      <c r="D673" s="25"/>
      <c r="E673" s="7"/>
      <c r="F673" s="26"/>
      <c r="G673" s="7"/>
      <c r="H673" s="7"/>
    </row>
    <row r="674" spans="2:8">
      <c r="B674" s="9"/>
      <c r="C674" s="24"/>
      <c r="D674" s="25"/>
      <c r="E674" s="7"/>
      <c r="F674" s="26"/>
      <c r="G674" s="7"/>
      <c r="H674" s="7"/>
    </row>
    <row r="675" spans="2:8">
      <c r="B675" s="9"/>
      <c r="C675" s="24"/>
      <c r="D675" s="25"/>
      <c r="E675" s="7"/>
      <c r="F675" s="26"/>
      <c r="G675" s="7"/>
      <c r="H675" s="7"/>
    </row>
    <row r="676" spans="2:8">
      <c r="B676" s="9"/>
      <c r="C676" s="24"/>
      <c r="D676" s="25"/>
      <c r="E676" s="7"/>
      <c r="F676" s="26"/>
      <c r="G676" s="7"/>
      <c r="H676" s="7"/>
    </row>
    <row r="677" spans="2:8">
      <c r="B677" s="9"/>
      <c r="C677" s="24"/>
      <c r="D677" s="25"/>
      <c r="E677" s="7"/>
      <c r="F677" s="26"/>
      <c r="G677" s="7"/>
      <c r="H677" s="7"/>
    </row>
    <row r="678" spans="2:8">
      <c r="B678" s="9"/>
      <c r="C678" s="24"/>
      <c r="D678" s="25"/>
      <c r="E678" s="7"/>
      <c r="F678" s="26"/>
      <c r="G678" s="7"/>
      <c r="H678" s="7"/>
    </row>
    <row r="679" spans="2:8">
      <c r="B679" s="9"/>
      <c r="C679" s="24"/>
      <c r="D679" s="25"/>
      <c r="E679" s="7"/>
      <c r="F679" s="26"/>
      <c r="G679" s="7"/>
      <c r="H679" s="7"/>
    </row>
    <row r="680" spans="2:8">
      <c r="B680" s="9"/>
      <c r="C680" s="24"/>
      <c r="D680" s="25"/>
      <c r="E680" s="7"/>
      <c r="F680" s="26"/>
      <c r="G680" s="7"/>
      <c r="H680" s="7"/>
    </row>
    <row r="681" spans="2:8">
      <c r="B681" s="9"/>
      <c r="C681" s="24"/>
      <c r="D681" s="25"/>
      <c r="E681" s="7"/>
      <c r="F681" s="26"/>
      <c r="G681" s="7"/>
      <c r="H681" s="7"/>
    </row>
    <row r="682" spans="2:8">
      <c r="B682" s="9"/>
      <c r="C682" s="24"/>
      <c r="D682" s="25"/>
      <c r="E682" s="7"/>
      <c r="F682" s="26"/>
      <c r="G682" s="7"/>
      <c r="H682" s="7"/>
    </row>
    <row r="683" spans="2:8">
      <c r="B683" s="9"/>
      <c r="C683" s="24"/>
      <c r="D683" s="25"/>
      <c r="E683" s="7"/>
      <c r="F683" s="26"/>
      <c r="G683" s="7"/>
      <c r="H683" s="7"/>
    </row>
    <row r="684" spans="2:8">
      <c r="B684" s="9"/>
      <c r="C684" s="24"/>
      <c r="D684" s="25"/>
      <c r="E684" s="7"/>
      <c r="F684" s="26"/>
      <c r="G684" s="7"/>
      <c r="H684" s="7"/>
    </row>
    <row r="685" spans="2:8">
      <c r="B685" s="9"/>
      <c r="C685" s="24"/>
      <c r="D685" s="25"/>
      <c r="E685" s="7"/>
      <c r="F685" s="26"/>
      <c r="G685" s="7"/>
      <c r="H685" s="7"/>
    </row>
    <row r="686" spans="2:8">
      <c r="B686" s="9"/>
      <c r="C686" s="24"/>
      <c r="D686" s="25"/>
      <c r="E686" s="7"/>
      <c r="F686" s="26"/>
      <c r="G686" s="7"/>
      <c r="H686" s="7"/>
    </row>
    <row r="687" spans="2:8">
      <c r="B687" s="9"/>
      <c r="C687" s="24"/>
      <c r="D687" s="25"/>
      <c r="E687" s="7"/>
      <c r="F687" s="26"/>
      <c r="G687" s="7"/>
      <c r="H687" s="7"/>
    </row>
    <row r="688" spans="2:8">
      <c r="B688" s="9"/>
      <c r="C688" s="24"/>
      <c r="D688" s="25"/>
      <c r="E688" s="7"/>
      <c r="F688" s="26"/>
      <c r="G688" s="7"/>
      <c r="H688" s="7"/>
    </row>
    <row r="689" spans="2:8">
      <c r="B689" s="9"/>
      <c r="C689" s="24"/>
      <c r="D689" s="25"/>
      <c r="E689" s="7"/>
      <c r="F689" s="26"/>
      <c r="G689" s="7"/>
      <c r="H689" s="7"/>
    </row>
    <row r="690" spans="2:8">
      <c r="B690" s="9"/>
      <c r="C690" s="24"/>
      <c r="D690" s="25"/>
      <c r="E690" s="7"/>
      <c r="F690" s="26"/>
      <c r="G690" s="7"/>
      <c r="H690" s="7"/>
    </row>
    <row r="691" spans="2:8">
      <c r="B691" s="9"/>
      <c r="C691" s="24"/>
      <c r="D691" s="25"/>
      <c r="E691" s="7"/>
      <c r="F691" s="26"/>
      <c r="G691" s="7"/>
      <c r="H691" s="7"/>
    </row>
    <row r="692" spans="2:8">
      <c r="B692" s="9"/>
      <c r="C692" s="24"/>
      <c r="D692" s="25"/>
      <c r="E692" s="7"/>
      <c r="F692" s="26"/>
      <c r="G692" s="7"/>
      <c r="H692" s="7"/>
    </row>
    <row r="693" spans="2:8">
      <c r="B693" s="9"/>
      <c r="C693" s="24"/>
      <c r="D693" s="25"/>
      <c r="E693" s="7"/>
      <c r="F693" s="26"/>
      <c r="G693" s="7"/>
      <c r="H693" s="7"/>
    </row>
    <row r="694" spans="2:8">
      <c r="B694" s="9"/>
      <c r="C694" s="24"/>
      <c r="D694" s="25"/>
      <c r="E694" s="7"/>
      <c r="F694" s="26"/>
      <c r="G694" s="7"/>
      <c r="H694" s="7"/>
    </row>
    <row r="695" spans="2:8">
      <c r="B695" s="9"/>
      <c r="C695" s="24"/>
      <c r="D695" s="25"/>
      <c r="E695" s="7"/>
      <c r="F695" s="26"/>
      <c r="G695" s="7"/>
      <c r="H695" s="7"/>
    </row>
    <row r="696" spans="2:8">
      <c r="B696" s="9"/>
      <c r="C696" s="24"/>
      <c r="D696" s="25"/>
      <c r="E696" s="7"/>
      <c r="F696" s="26"/>
      <c r="G696" s="7"/>
      <c r="H696" s="7"/>
    </row>
    <row r="697" spans="2:8">
      <c r="B697" s="9"/>
      <c r="C697" s="24"/>
      <c r="D697" s="25"/>
      <c r="E697" s="7"/>
      <c r="F697" s="26"/>
      <c r="G697" s="7"/>
      <c r="H697" s="7"/>
    </row>
    <row r="698" spans="2:8">
      <c r="B698" s="9"/>
      <c r="C698" s="24"/>
      <c r="D698" s="25"/>
      <c r="E698" s="7"/>
      <c r="F698" s="26"/>
      <c r="G698" s="7"/>
      <c r="H698" s="7"/>
    </row>
    <row r="699" spans="2:8">
      <c r="B699" s="9"/>
      <c r="C699" s="24"/>
      <c r="D699" s="25"/>
      <c r="E699" s="7"/>
      <c r="F699" s="26"/>
      <c r="G699" s="7"/>
      <c r="H699" s="7"/>
    </row>
    <row r="700" spans="2:8">
      <c r="B700" s="9"/>
      <c r="C700" s="24"/>
      <c r="D700" s="25"/>
      <c r="E700" s="7"/>
      <c r="F700" s="26"/>
      <c r="G700" s="7"/>
      <c r="H700" s="7"/>
    </row>
    <row r="701" spans="2:8">
      <c r="B701" s="9"/>
      <c r="C701" s="24"/>
      <c r="D701" s="25"/>
      <c r="E701" s="7"/>
      <c r="F701" s="26"/>
      <c r="G701" s="7"/>
      <c r="H701" s="7"/>
    </row>
    <row r="702" spans="2:8">
      <c r="B702" s="9"/>
      <c r="C702" s="24"/>
      <c r="D702" s="25"/>
      <c r="E702" s="7"/>
      <c r="F702" s="26"/>
      <c r="G702" s="7"/>
      <c r="H702" s="7"/>
    </row>
    <row r="703" spans="2:8">
      <c r="B703" s="9"/>
      <c r="C703" s="24"/>
      <c r="D703" s="25"/>
      <c r="E703" s="7"/>
      <c r="F703" s="26"/>
      <c r="G703" s="7"/>
      <c r="H703" s="7"/>
    </row>
    <row r="704" spans="2:8">
      <c r="B704" s="9"/>
      <c r="C704" s="24"/>
      <c r="D704" s="25"/>
      <c r="E704" s="7"/>
      <c r="F704" s="26"/>
      <c r="G704" s="7"/>
      <c r="H704" s="7"/>
    </row>
    <row r="705" spans="2:8">
      <c r="B705" s="9"/>
      <c r="C705" s="24"/>
      <c r="D705" s="25"/>
      <c r="E705" s="7"/>
      <c r="F705" s="26"/>
      <c r="G705" s="7"/>
      <c r="H705" s="7"/>
    </row>
    <row r="706" spans="2:8">
      <c r="B706" s="9"/>
      <c r="C706" s="24"/>
      <c r="D706" s="25"/>
      <c r="E706" s="7"/>
      <c r="F706" s="26"/>
      <c r="G706" s="7"/>
      <c r="H706" s="7"/>
    </row>
    <row r="707" spans="2:8">
      <c r="B707" s="9"/>
      <c r="C707" s="24"/>
      <c r="D707" s="25"/>
      <c r="E707" s="7"/>
      <c r="F707" s="26"/>
      <c r="G707" s="7"/>
      <c r="H707" s="7"/>
    </row>
    <row r="708" spans="2:8">
      <c r="B708" s="9"/>
      <c r="C708" s="24"/>
      <c r="D708" s="25"/>
      <c r="E708" s="7"/>
      <c r="F708" s="26"/>
      <c r="G708" s="7"/>
      <c r="H708" s="7"/>
    </row>
    <row r="709" spans="2:8">
      <c r="B709" s="9"/>
      <c r="C709" s="24"/>
      <c r="D709" s="25"/>
      <c r="E709" s="7"/>
      <c r="F709" s="26"/>
      <c r="G709" s="7"/>
      <c r="H709" s="7"/>
    </row>
    <row r="710" spans="2:8">
      <c r="B710" s="9"/>
      <c r="C710" s="24"/>
      <c r="D710" s="25"/>
      <c r="E710" s="7"/>
      <c r="F710" s="26"/>
      <c r="G710" s="7"/>
      <c r="H710" s="7"/>
    </row>
    <row r="711" spans="2:8">
      <c r="B711" s="9"/>
      <c r="C711" s="24"/>
      <c r="D711" s="25"/>
      <c r="E711" s="7"/>
      <c r="F711" s="26"/>
      <c r="G711" s="7"/>
      <c r="H711" s="7"/>
    </row>
    <row r="712" spans="2:8">
      <c r="B712" s="9"/>
      <c r="C712" s="24"/>
      <c r="D712" s="25"/>
      <c r="E712" s="7"/>
      <c r="F712" s="26"/>
      <c r="G712" s="7"/>
      <c r="H712" s="7"/>
    </row>
    <row r="713" spans="2:8">
      <c r="B713" s="9"/>
      <c r="C713" s="24"/>
      <c r="D713" s="25"/>
      <c r="E713" s="7"/>
      <c r="F713" s="26"/>
      <c r="G713" s="7"/>
      <c r="H713" s="7"/>
    </row>
    <row r="714" spans="2:8">
      <c r="B714" s="9"/>
      <c r="C714" s="24"/>
      <c r="D714" s="25"/>
      <c r="E714" s="7"/>
      <c r="F714" s="26"/>
      <c r="G714" s="7"/>
      <c r="H714" s="7"/>
    </row>
    <row r="715" spans="2:8">
      <c r="B715" s="9"/>
      <c r="C715" s="24"/>
      <c r="D715" s="25"/>
      <c r="E715" s="7"/>
      <c r="F715" s="26"/>
      <c r="G715" s="7"/>
      <c r="H715" s="7"/>
    </row>
    <row r="716" spans="2:8">
      <c r="B716" s="9"/>
      <c r="C716" s="24"/>
      <c r="D716" s="25"/>
      <c r="E716" s="7"/>
      <c r="F716" s="26"/>
      <c r="G716" s="7"/>
      <c r="H716" s="7"/>
    </row>
    <row r="717" spans="2:8">
      <c r="B717" s="9"/>
      <c r="C717" s="24"/>
      <c r="D717" s="25"/>
      <c r="E717" s="7"/>
      <c r="F717" s="26"/>
      <c r="G717" s="7"/>
      <c r="H717" s="7"/>
    </row>
    <row r="718" spans="2:8">
      <c r="B718" s="9"/>
      <c r="C718" s="24"/>
      <c r="D718" s="25"/>
      <c r="E718" s="7"/>
      <c r="F718" s="26"/>
      <c r="G718" s="7"/>
      <c r="H718" s="7"/>
    </row>
    <row r="719" spans="2:8">
      <c r="B719" s="9"/>
      <c r="C719" s="24"/>
      <c r="D719" s="25"/>
      <c r="E719" s="7"/>
      <c r="F719" s="26"/>
      <c r="G719" s="7"/>
      <c r="H719" s="7"/>
    </row>
    <row r="720" spans="2:8">
      <c r="B720" s="9"/>
      <c r="C720" s="24"/>
      <c r="D720" s="25"/>
      <c r="E720" s="7"/>
      <c r="F720" s="26"/>
      <c r="G720" s="7"/>
      <c r="H720" s="7"/>
    </row>
    <row r="721" spans="2:8">
      <c r="B721" s="9"/>
      <c r="C721" s="24"/>
      <c r="D721" s="25"/>
      <c r="E721" s="7"/>
      <c r="F721" s="26"/>
      <c r="G721" s="7"/>
      <c r="H721" s="7"/>
    </row>
    <row r="722" spans="2:8">
      <c r="B722" s="9"/>
      <c r="C722" s="24"/>
      <c r="D722" s="25"/>
      <c r="E722" s="7"/>
      <c r="F722" s="26"/>
      <c r="G722" s="7"/>
      <c r="H722" s="7"/>
    </row>
    <row r="723" spans="2:8">
      <c r="B723" s="9"/>
      <c r="C723" s="24"/>
      <c r="D723" s="25"/>
      <c r="E723" s="7"/>
      <c r="F723" s="26"/>
      <c r="G723" s="7"/>
      <c r="H723" s="7"/>
    </row>
    <row r="724" spans="2:8">
      <c r="B724" s="9"/>
      <c r="C724" s="24"/>
      <c r="D724" s="25"/>
      <c r="E724" s="7"/>
      <c r="F724" s="26"/>
      <c r="G724" s="7"/>
      <c r="H724" s="7"/>
    </row>
    <row r="725" spans="2:8">
      <c r="B725" s="9"/>
      <c r="C725" s="24"/>
      <c r="D725" s="25"/>
      <c r="E725" s="7"/>
      <c r="F725" s="26"/>
      <c r="G725" s="7"/>
      <c r="H725" s="7"/>
    </row>
    <row r="726" spans="2:8">
      <c r="B726" s="9"/>
      <c r="C726" s="24"/>
      <c r="D726" s="25"/>
      <c r="E726" s="7"/>
      <c r="F726" s="26"/>
      <c r="G726" s="7"/>
      <c r="H726" s="7"/>
    </row>
    <row r="727" spans="2:8">
      <c r="B727" s="9"/>
      <c r="C727" s="24"/>
      <c r="D727" s="25"/>
      <c r="E727" s="7"/>
      <c r="F727" s="26"/>
      <c r="G727" s="7"/>
      <c r="H727" s="7"/>
    </row>
    <row r="728" spans="2:8">
      <c r="B728" s="9"/>
      <c r="C728" s="24"/>
      <c r="D728" s="25"/>
      <c r="E728" s="7"/>
      <c r="F728" s="26"/>
      <c r="G728" s="7"/>
      <c r="H728" s="7"/>
    </row>
    <row r="729" spans="2:8">
      <c r="B729" s="9"/>
      <c r="C729" s="24"/>
      <c r="D729" s="25"/>
      <c r="E729" s="7"/>
      <c r="F729" s="26"/>
      <c r="G729" s="7"/>
      <c r="H729" s="7"/>
    </row>
    <row r="730" spans="2:8">
      <c r="B730" s="9"/>
      <c r="C730" s="24"/>
      <c r="D730" s="25"/>
      <c r="E730" s="7"/>
      <c r="F730" s="26"/>
      <c r="G730" s="7"/>
      <c r="H730" s="7"/>
    </row>
    <row r="731" spans="2:8">
      <c r="B731" s="9"/>
      <c r="C731" s="24"/>
      <c r="D731" s="25"/>
      <c r="E731" s="7"/>
      <c r="F731" s="26"/>
      <c r="G731" s="7"/>
      <c r="H731" s="7"/>
    </row>
    <row r="732" spans="2:8">
      <c r="B732" s="9"/>
      <c r="C732" s="24"/>
      <c r="D732" s="25"/>
      <c r="E732" s="7"/>
      <c r="F732" s="26"/>
      <c r="G732" s="7"/>
      <c r="H732" s="7"/>
    </row>
    <row r="733" spans="2:8">
      <c r="B733" s="9"/>
      <c r="C733" s="24"/>
      <c r="D733" s="25"/>
      <c r="E733" s="7"/>
      <c r="F733" s="26"/>
      <c r="G733" s="7"/>
      <c r="H733" s="7"/>
    </row>
    <row r="734" spans="2:8">
      <c r="B734" s="9"/>
      <c r="C734" s="24"/>
      <c r="D734" s="25"/>
      <c r="E734" s="7"/>
      <c r="F734" s="26"/>
      <c r="G734" s="7"/>
      <c r="H734" s="7"/>
    </row>
    <row r="735" spans="2:8">
      <c r="B735" s="9"/>
      <c r="C735" s="24"/>
      <c r="D735" s="25"/>
      <c r="E735" s="7"/>
      <c r="F735" s="26"/>
      <c r="G735" s="7"/>
      <c r="H735" s="7"/>
    </row>
    <row r="736" spans="2:8">
      <c r="B736" s="9"/>
      <c r="C736" s="24"/>
      <c r="D736" s="25"/>
      <c r="E736" s="7"/>
      <c r="F736" s="26"/>
      <c r="G736" s="7"/>
      <c r="H736" s="7"/>
    </row>
    <row r="737" spans="2:8">
      <c r="B737" s="9"/>
      <c r="C737" s="24"/>
      <c r="D737" s="25"/>
      <c r="E737" s="7"/>
      <c r="F737" s="26"/>
      <c r="G737" s="7"/>
      <c r="H737" s="7"/>
    </row>
    <row r="738" spans="2:8">
      <c r="B738" s="9"/>
      <c r="C738" s="24"/>
      <c r="D738" s="25"/>
      <c r="E738" s="7"/>
      <c r="F738" s="26"/>
      <c r="G738" s="7"/>
      <c r="H738" s="7"/>
    </row>
    <row r="739" spans="2:8">
      <c r="B739" s="9"/>
      <c r="C739" s="24"/>
      <c r="D739" s="25"/>
      <c r="E739" s="7"/>
      <c r="F739" s="26"/>
      <c r="G739" s="7"/>
      <c r="H739" s="7"/>
    </row>
    <row r="740" spans="2:8">
      <c r="B740" s="9"/>
      <c r="C740" s="24"/>
      <c r="D740" s="25"/>
      <c r="E740" s="7"/>
      <c r="F740" s="26"/>
      <c r="G740" s="7"/>
      <c r="H740" s="7"/>
    </row>
    <row r="741" spans="2:8">
      <c r="B741" s="9"/>
      <c r="C741" s="24"/>
      <c r="D741" s="25"/>
      <c r="E741" s="7"/>
      <c r="F741" s="26"/>
      <c r="G741" s="7"/>
      <c r="H741" s="7"/>
    </row>
    <row r="742" spans="2:8">
      <c r="B742" s="9"/>
      <c r="C742" s="24"/>
      <c r="D742" s="25"/>
      <c r="E742" s="7"/>
      <c r="F742" s="26"/>
      <c r="G742" s="7"/>
      <c r="H742" s="7"/>
    </row>
    <row r="743" spans="2:8">
      <c r="B743" s="9"/>
      <c r="C743" s="24"/>
      <c r="D743" s="25"/>
      <c r="E743" s="7"/>
      <c r="F743" s="26"/>
      <c r="G743" s="7"/>
      <c r="H743" s="7"/>
    </row>
    <row r="744" spans="2:8">
      <c r="B744" s="9"/>
      <c r="C744" s="24"/>
      <c r="D744" s="25"/>
      <c r="E744" s="7"/>
      <c r="F744" s="26"/>
      <c r="G744" s="7"/>
      <c r="H744" s="7"/>
    </row>
    <row r="745" spans="2:8">
      <c r="B745" s="9"/>
      <c r="C745" s="24"/>
      <c r="D745" s="25"/>
      <c r="E745" s="7"/>
      <c r="F745" s="26"/>
      <c r="G745" s="7"/>
      <c r="H745" s="7"/>
    </row>
    <row r="746" spans="2:8">
      <c r="B746" s="9"/>
      <c r="C746" s="24"/>
      <c r="D746" s="25"/>
      <c r="E746" s="7"/>
      <c r="F746" s="26"/>
      <c r="G746" s="7"/>
      <c r="H746" s="7"/>
    </row>
    <row r="747" spans="2:8">
      <c r="B747" s="9"/>
      <c r="C747" s="24"/>
      <c r="D747" s="25"/>
      <c r="E747" s="7"/>
      <c r="F747" s="26"/>
      <c r="G747" s="7"/>
      <c r="H747" s="7"/>
    </row>
    <row r="748" spans="2:8">
      <c r="B748" s="9"/>
      <c r="C748" s="24"/>
      <c r="D748" s="25"/>
      <c r="E748" s="7"/>
      <c r="F748" s="26"/>
      <c r="G748" s="7"/>
      <c r="H748" s="7"/>
    </row>
    <row r="749" spans="2:8">
      <c r="B749" s="9"/>
      <c r="C749" s="24"/>
      <c r="D749" s="25"/>
      <c r="E749" s="7"/>
      <c r="F749" s="26"/>
      <c r="G749" s="7"/>
      <c r="H749" s="7"/>
    </row>
    <row r="750" spans="2:8">
      <c r="B750" s="9"/>
      <c r="C750" s="24"/>
      <c r="D750" s="25"/>
      <c r="E750" s="7"/>
      <c r="F750" s="26"/>
      <c r="G750" s="7"/>
      <c r="H750" s="7"/>
    </row>
    <row r="751" spans="2:8">
      <c r="B751" s="9"/>
      <c r="C751" s="24"/>
      <c r="D751" s="25"/>
      <c r="E751" s="7"/>
      <c r="F751" s="26"/>
      <c r="G751" s="7"/>
      <c r="H751" s="7"/>
    </row>
    <row r="752" spans="2:8">
      <c r="B752" s="9"/>
      <c r="C752" s="24"/>
      <c r="D752" s="25"/>
      <c r="E752" s="7"/>
      <c r="F752" s="26"/>
      <c r="G752" s="7"/>
      <c r="H752" s="7"/>
    </row>
    <row r="753" spans="2:8">
      <c r="B753" s="9"/>
      <c r="C753" s="24"/>
      <c r="D753" s="25"/>
      <c r="E753" s="7"/>
      <c r="F753" s="26"/>
      <c r="G753" s="7"/>
      <c r="H753" s="7"/>
    </row>
    <row r="754" spans="2:8">
      <c r="B754" s="9"/>
      <c r="C754" s="24"/>
      <c r="D754" s="25"/>
      <c r="E754" s="7"/>
      <c r="F754" s="26"/>
      <c r="G754" s="7"/>
      <c r="H754" s="7"/>
    </row>
    <row r="755" spans="2:8">
      <c r="B755" s="9"/>
      <c r="C755" s="24"/>
      <c r="D755" s="25"/>
      <c r="E755" s="7"/>
      <c r="F755" s="26"/>
      <c r="G755" s="7"/>
      <c r="H755" s="7"/>
    </row>
    <row r="756" spans="2:8">
      <c r="B756" s="9"/>
      <c r="C756" s="24"/>
      <c r="D756" s="25"/>
      <c r="E756" s="7"/>
      <c r="F756" s="26"/>
      <c r="G756" s="7"/>
      <c r="H756" s="7"/>
    </row>
    <row r="757" spans="2:8">
      <c r="B757" s="9"/>
      <c r="C757" s="24"/>
      <c r="D757" s="25"/>
      <c r="E757" s="7"/>
      <c r="F757" s="26"/>
      <c r="G757" s="7"/>
      <c r="H757" s="7"/>
    </row>
    <row r="758" spans="2:8">
      <c r="B758" s="9"/>
      <c r="C758" s="24"/>
      <c r="D758" s="25"/>
      <c r="E758" s="7"/>
      <c r="F758" s="26"/>
      <c r="G758" s="7"/>
      <c r="H758" s="7"/>
    </row>
    <row r="759" spans="2:8">
      <c r="B759" s="9"/>
      <c r="C759" s="24"/>
      <c r="D759" s="25"/>
      <c r="E759" s="7"/>
      <c r="F759" s="26"/>
      <c r="G759" s="7"/>
      <c r="H759" s="7"/>
    </row>
    <row r="760" spans="2:8">
      <c r="B760" s="9"/>
      <c r="C760" s="24"/>
      <c r="D760" s="25"/>
      <c r="E760" s="7"/>
      <c r="F760" s="26"/>
      <c r="G760" s="7"/>
      <c r="H760" s="7"/>
    </row>
    <row r="761" spans="2:8">
      <c r="B761" s="9"/>
      <c r="C761" s="24"/>
      <c r="D761" s="25"/>
      <c r="E761" s="7"/>
      <c r="F761" s="26"/>
      <c r="G761" s="7"/>
      <c r="H761" s="7"/>
    </row>
    <row r="762" spans="2:8">
      <c r="B762" s="9"/>
      <c r="C762" s="24"/>
      <c r="D762" s="25"/>
      <c r="E762" s="7"/>
      <c r="F762" s="26"/>
      <c r="G762" s="7"/>
      <c r="H762" s="7"/>
    </row>
    <row r="763" spans="2:8">
      <c r="B763" s="9"/>
      <c r="C763" s="24"/>
      <c r="D763" s="25"/>
      <c r="E763" s="7"/>
      <c r="F763" s="26"/>
      <c r="G763" s="7"/>
      <c r="H763" s="7"/>
    </row>
    <row r="764" spans="2:8">
      <c r="B764" s="9"/>
      <c r="C764" s="24"/>
      <c r="D764" s="25"/>
      <c r="E764" s="7"/>
      <c r="F764" s="26"/>
      <c r="G764" s="7"/>
      <c r="H764" s="7"/>
    </row>
    <row r="765" spans="2:8">
      <c r="B765" s="9"/>
      <c r="C765" s="24"/>
      <c r="D765" s="25"/>
      <c r="E765" s="7"/>
      <c r="F765" s="26"/>
      <c r="G765" s="7"/>
      <c r="H765" s="7"/>
    </row>
    <row r="766" spans="2:8">
      <c r="B766" s="9"/>
      <c r="C766" s="24"/>
      <c r="D766" s="25"/>
      <c r="E766" s="7"/>
      <c r="F766" s="26"/>
      <c r="G766" s="7"/>
      <c r="H766" s="7"/>
    </row>
    <row r="767" spans="2:8">
      <c r="B767" s="9"/>
      <c r="C767" s="24"/>
      <c r="D767" s="25"/>
      <c r="E767" s="7"/>
      <c r="F767" s="26"/>
      <c r="G767" s="7"/>
      <c r="H767" s="7"/>
    </row>
    <row r="768" spans="2:8">
      <c r="B768" s="9"/>
      <c r="C768" s="24"/>
      <c r="D768" s="25"/>
      <c r="E768" s="7"/>
      <c r="F768" s="26"/>
      <c r="G768" s="7"/>
      <c r="H768" s="7"/>
    </row>
    <row r="769" spans="2:8">
      <c r="B769" s="9"/>
      <c r="C769" s="24"/>
      <c r="D769" s="25"/>
      <c r="E769" s="7"/>
      <c r="F769" s="26"/>
      <c r="G769" s="7"/>
      <c r="H769" s="7"/>
    </row>
    <row r="770" spans="2:8">
      <c r="B770" s="9"/>
      <c r="C770" s="24"/>
      <c r="D770" s="25"/>
      <c r="E770" s="7"/>
      <c r="F770" s="26"/>
      <c r="G770" s="7"/>
      <c r="H770" s="7"/>
    </row>
    <row r="771" spans="2:8">
      <c r="B771" s="9"/>
      <c r="C771" s="24"/>
      <c r="D771" s="25"/>
      <c r="E771" s="7"/>
      <c r="F771" s="26"/>
      <c r="G771" s="7"/>
      <c r="H771" s="7"/>
    </row>
    <row r="772" spans="2:8">
      <c r="B772" s="9"/>
      <c r="C772" s="24"/>
      <c r="D772" s="25"/>
      <c r="E772" s="7"/>
      <c r="F772" s="26"/>
      <c r="G772" s="7"/>
      <c r="H772" s="7"/>
    </row>
    <row r="773" spans="2:8">
      <c r="B773" s="9"/>
      <c r="C773" s="24"/>
      <c r="D773" s="25"/>
      <c r="E773" s="7"/>
      <c r="F773" s="26"/>
      <c r="G773" s="7"/>
      <c r="H773" s="7"/>
    </row>
    <row r="774" spans="2:8">
      <c r="B774" s="9"/>
      <c r="C774" s="24"/>
      <c r="D774" s="25"/>
      <c r="E774" s="7"/>
      <c r="F774" s="26"/>
      <c r="G774" s="7"/>
      <c r="H774" s="7"/>
    </row>
    <row r="775" spans="2:8">
      <c r="B775" s="9"/>
      <c r="C775" s="24"/>
      <c r="D775" s="25"/>
      <c r="E775" s="7"/>
      <c r="F775" s="26"/>
      <c r="G775" s="7"/>
      <c r="H775" s="7"/>
    </row>
    <row r="776" spans="2:8">
      <c r="B776" s="9"/>
      <c r="C776" s="24"/>
      <c r="D776" s="25"/>
      <c r="E776" s="7"/>
      <c r="F776" s="26"/>
      <c r="G776" s="7"/>
      <c r="H776" s="7"/>
    </row>
    <row r="777" spans="2:8">
      <c r="B777" s="9"/>
      <c r="C777" s="24"/>
      <c r="D777" s="25"/>
      <c r="E777" s="7"/>
      <c r="F777" s="26"/>
      <c r="G777" s="7"/>
      <c r="H777" s="7"/>
    </row>
    <row r="778" spans="2:8">
      <c r="B778" s="9"/>
      <c r="C778" s="24"/>
      <c r="D778" s="25"/>
      <c r="E778" s="7"/>
      <c r="F778" s="26"/>
      <c r="G778" s="7"/>
      <c r="H778" s="7"/>
    </row>
    <row r="779" spans="2:8">
      <c r="B779" s="9"/>
      <c r="C779" s="24"/>
      <c r="D779" s="25"/>
      <c r="E779" s="7"/>
      <c r="F779" s="26"/>
      <c r="G779" s="7"/>
      <c r="H779" s="7"/>
    </row>
    <row r="780" spans="2:8">
      <c r="B780" s="9"/>
      <c r="C780" s="24"/>
      <c r="D780" s="25"/>
      <c r="E780" s="7"/>
      <c r="F780" s="26"/>
      <c r="G780" s="7"/>
      <c r="H780" s="7"/>
    </row>
    <row r="781" spans="2:8">
      <c r="B781" s="9"/>
      <c r="C781" s="24"/>
      <c r="D781" s="25"/>
      <c r="E781" s="7"/>
      <c r="F781" s="26"/>
      <c r="G781" s="7"/>
      <c r="H781" s="7"/>
    </row>
    <row r="782" spans="2:8">
      <c r="B782" s="9"/>
      <c r="C782" s="24"/>
      <c r="D782" s="25"/>
      <c r="E782" s="7"/>
      <c r="F782" s="26"/>
      <c r="G782" s="7"/>
      <c r="H782" s="7"/>
    </row>
    <row r="783" spans="2:8">
      <c r="B783" s="9"/>
      <c r="C783" s="24"/>
      <c r="D783" s="25"/>
      <c r="E783" s="7"/>
      <c r="F783" s="26"/>
      <c r="G783" s="7"/>
      <c r="H783" s="7"/>
    </row>
    <row r="784" spans="2:8">
      <c r="B784" s="9"/>
      <c r="C784" s="24"/>
      <c r="D784" s="25"/>
      <c r="E784" s="7"/>
      <c r="F784" s="26"/>
      <c r="G784" s="7"/>
      <c r="H784" s="7"/>
    </row>
    <row r="785" spans="2:8">
      <c r="B785" s="9"/>
      <c r="C785" s="24"/>
      <c r="D785" s="25"/>
      <c r="E785" s="7"/>
      <c r="F785" s="26"/>
      <c r="G785" s="7"/>
      <c r="H785" s="7"/>
    </row>
    <row r="786" spans="2:8">
      <c r="B786" s="9"/>
      <c r="C786" s="24"/>
      <c r="D786" s="25"/>
      <c r="E786" s="7"/>
      <c r="F786" s="26"/>
      <c r="G786" s="7"/>
      <c r="H786" s="7"/>
    </row>
    <row r="787" spans="2:8">
      <c r="B787" s="9"/>
      <c r="C787" s="24"/>
      <c r="D787" s="25"/>
      <c r="E787" s="7"/>
      <c r="F787" s="26"/>
      <c r="G787" s="7"/>
      <c r="H787" s="7"/>
    </row>
    <row r="788" spans="2:8">
      <c r="B788" s="9"/>
      <c r="C788" s="24"/>
      <c r="D788" s="25"/>
      <c r="E788" s="7"/>
      <c r="F788" s="26"/>
      <c r="G788" s="7"/>
      <c r="H788" s="7"/>
    </row>
    <row r="789" spans="2:8">
      <c r="B789" s="9"/>
      <c r="C789" s="24"/>
      <c r="D789" s="25"/>
      <c r="E789" s="7"/>
      <c r="F789" s="26"/>
      <c r="G789" s="7"/>
      <c r="H789" s="7"/>
    </row>
    <row r="790" spans="2:8">
      <c r="B790" s="9"/>
      <c r="C790" s="24"/>
      <c r="D790" s="25"/>
      <c r="E790" s="7"/>
      <c r="F790" s="26"/>
      <c r="G790" s="7"/>
      <c r="H790" s="7"/>
    </row>
    <row r="791" spans="2:8">
      <c r="B791" s="9"/>
      <c r="C791" s="24"/>
      <c r="D791" s="25"/>
      <c r="E791" s="7"/>
      <c r="F791" s="26"/>
      <c r="G791" s="7"/>
      <c r="H791" s="7"/>
    </row>
    <row r="792" spans="2:8">
      <c r="B792" s="9"/>
      <c r="C792" s="24"/>
      <c r="D792" s="25"/>
      <c r="E792" s="7"/>
      <c r="F792" s="26"/>
      <c r="G792" s="7"/>
      <c r="H792" s="7"/>
    </row>
    <row r="793" spans="2:8">
      <c r="B793" s="9"/>
      <c r="C793" s="24"/>
      <c r="D793" s="25"/>
      <c r="E793" s="7"/>
      <c r="F793" s="26"/>
      <c r="G793" s="7"/>
      <c r="H793" s="7"/>
    </row>
    <row r="794" spans="2:8">
      <c r="B794" s="9"/>
      <c r="C794" s="24"/>
      <c r="D794" s="25"/>
      <c r="E794" s="7"/>
      <c r="F794" s="26"/>
      <c r="G794" s="7"/>
      <c r="H794" s="7"/>
    </row>
    <row r="795" spans="2:8">
      <c r="B795" s="9"/>
      <c r="C795" s="24"/>
      <c r="D795" s="25"/>
      <c r="E795" s="7"/>
      <c r="F795" s="26"/>
      <c r="G795" s="7"/>
      <c r="H795" s="7"/>
    </row>
    <row r="796" spans="2:8">
      <c r="B796" s="9"/>
      <c r="C796" s="24"/>
      <c r="D796" s="25"/>
      <c r="E796" s="7"/>
      <c r="F796" s="26"/>
      <c r="G796" s="7"/>
      <c r="H796" s="7"/>
    </row>
    <row r="797" spans="2:8">
      <c r="B797" s="9"/>
      <c r="C797" s="24"/>
      <c r="D797" s="25"/>
      <c r="E797" s="7"/>
      <c r="F797" s="26"/>
      <c r="G797" s="7"/>
      <c r="H797" s="7"/>
    </row>
    <row r="798" spans="2:8">
      <c r="B798" s="9"/>
      <c r="C798" s="24"/>
      <c r="D798" s="25"/>
      <c r="E798" s="7"/>
      <c r="F798" s="26"/>
      <c r="G798" s="7"/>
      <c r="H798" s="7"/>
    </row>
    <row r="799" spans="2:8">
      <c r="B799" s="9"/>
      <c r="C799" s="24"/>
      <c r="D799" s="25"/>
      <c r="E799" s="7"/>
      <c r="F799" s="26"/>
      <c r="G799" s="7"/>
      <c r="H799" s="7"/>
    </row>
    <row r="800" spans="2:8">
      <c r="B800" s="9"/>
      <c r="C800" s="24"/>
      <c r="D800" s="25"/>
      <c r="E800" s="7"/>
      <c r="F800" s="26"/>
      <c r="G800" s="7"/>
      <c r="H800" s="7"/>
    </row>
    <row r="801" spans="2:8">
      <c r="B801" s="9"/>
      <c r="C801" s="24"/>
      <c r="D801" s="25"/>
      <c r="E801" s="7"/>
      <c r="F801" s="26"/>
      <c r="G801" s="7"/>
      <c r="H801" s="7"/>
    </row>
    <row r="802" spans="2:8">
      <c r="B802" s="9"/>
      <c r="C802" s="24"/>
      <c r="D802" s="25"/>
      <c r="E802" s="7"/>
      <c r="F802" s="26"/>
      <c r="G802" s="7"/>
      <c r="H802" s="7"/>
    </row>
    <row r="803" spans="2:8">
      <c r="B803" s="9"/>
      <c r="C803" s="24"/>
      <c r="D803" s="25"/>
      <c r="E803" s="7"/>
      <c r="F803" s="26"/>
      <c r="G803" s="7"/>
      <c r="H803" s="7"/>
    </row>
    <row r="804" spans="2:8">
      <c r="B804" s="9"/>
      <c r="C804" s="24"/>
      <c r="D804" s="25"/>
      <c r="E804" s="7"/>
      <c r="F804" s="26"/>
      <c r="G804" s="7"/>
      <c r="H804" s="7"/>
    </row>
    <row r="805" spans="2:8">
      <c r="B805" s="9"/>
      <c r="C805" s="24"/>
      <c r="D805" s="25"/>
      <c r="E805" s="7"/>
      <c r="F805" s="26"/>
      <c r="G805" s="7"/>
      <c r="H805" s="7"/>
    </row>
    <row r="806" spans="2:8">
      <c r="B806" s="9"/>
      <c r="C806" s="24"/>
      <c r="D806" s="25"/>
      <c r="E806" s="7"/>
      <c r="F806" s="26"/>
      <c r="G806" s="7"/>
      <c r="H806" s="7"/>
    </row>
    <row r="807" spans="2:8">
      <c r="B807" s="9"/>
      <c r="C807" s="24"/>
      <c r="D807" s="25"/>
      <c r="E807" s="7"/>
      <c r="F807" s="26"/>
      <c r="G807" s="7"/>
      <c r="H807" s="7"/>
    </row>
    <row r="808" spans="2:8">
      <c r="B808" s="9"/>
      <c r="C808" s="24"/>
      <c r="D808" s="25"/>
      <c r="E808" s="7"/>
      <c r="F808" s="26"/>
      <c r="G808" s="7"/>
      <c r="H808" s="7"/>
    </row>
    <row r="809" spans="2:8">
      <c r="B809" s="9"/>
      <c r="C809" s="24"/>
      <c r="D809" s="25"/>
      <c r="E809" s="7"/>
      <c r="F809" s="26"/>
      <c r="G809" s="7"/>
      <c r="H809" s="7"/>
    </row>
    <row r="810" spans="2:8">
      <c r="B810" s="9"/>
      <c r="C810" s="24"/>
      <c r="D810" s="25"/>
      <c r="E810" s="7"/>
      <c r="F810" s="26"/>
      <c r="G810" s="7"/>
      <c r="H810" s="7"/>
    </row>
    <row r="811" spans="2:8">
      <c r="B811" s="9"/>
      <c r="C811" s="24"/>
      <c r="D811" s="25"/>
      <c r="E811" s="7"/>
      <c r="F811" s="26"/>
      <c r="G811" s="7"/>
      <c r="H811" s="7"/>
    </row>
    <row r="812" spans="2:8">
      <c r="B812" s="9"/>
      <c r="C812" s="24"/>
      <c r="D812" s="25"/>
      <c r="E812" s="7"/>
      <c r="F812" s="26"/>
      <c r="G812" s="7"/>
      <c r="H812" s="7"/>
    </row>
    <row r="813" spans="2:8">
      <c r="B813" s="9"/>
      <c r="C813" s="24"/>
      <c r="D813" s="25"/>
      <c r="E813" s="7"/>
      <c r="F813" s="26"/>
      <c r="G813" s="7"/>
      <c r="H813" s="7"/>
    </row>
    <row r="814" spans="2:8">
      <c r="B814" s="9"/>
      <c r="C814" s="24"/>
      <c r="D814" s="25"/>
      <c r="E814" s="7"/>
      <c r="F814" s="26"/>
      <c r="G814" s="7"/>
      <c r="H814" s="7"/>
    </row>
    <row r="815" spans="2:8">
      <c r="B815" s="9"/>
      <c r="C815" s="24"/>
      <c r="D815" s="25"/>
      <c r="E815" s="7"/>
      <c r="F815" s="26"/>
      <c r="G815" s="7"/>
      <c r="H815" s="7"/>
    </row>
    <row r="816" spans="2:8">
      <c r="B816" s="9"/>
      <c r="C816" s="24"/>
      <c r="D816" s="25"/>
      <c r="E816" s="7"/>
      <c r="F816" s="26"/>
      <c r="G816" s="7"/>
      <c r="H816" s="7"/>
    </row>
    <row r="817" spans="2:8">
      <c r="B817" s="9"/>
      <c r="C817" s="24"/>
      <c r="D817" s="25"/>
      <c r="E817" s="7"/>
      <c r="F817" s="26"/>
      <c r="G817" s="7"/>
      <c r="H817" s="7"/>
    </row>
    <row r="818" spans="2:8">
      <c r="B818" s="9"/>
      <c r="C818" s="24"/>
      <c r="D818" s="25"/>
      <c r="E818" s="7"/>
      <c r="F818" s="26"/>
      <c r="G818" s="7"/>
      <c r="H818" s="7"/>
    </row>
    <row r="819" spans="2:8">
      <c r="B819" s="9"/>
      <c r="C819" s="24"/>
      <c r="D819" s="25"/>
      <c r="E819" s="7"/>
      <c r="F819" s="26"/>
      <c r="G819" s="7"/>
      <c r="H819" s="7"/>
    </row>
    <row r="820" spans="2:8">
      <c r="B820" s="9"/>
      <c r="C820" s="24"/>
      <c r="D820" s="25"/>
      <c r="E820" s="7"/>
      <c r="F820" s="26"/>
      <c r="G820" s="7"/>
      <c r="H820" s="7"/>
    </row>
    <row r="821" spans="2:8">
      <c r="B821" s="9"/>
      <c r="C821" s="24"/>
      <c r="D821" s="25"/>
      <c r="E821" s="7"/>
      <c r="F821" s="26"/>
      <c r="G821" s="7"/>
      <c r="H821" s="7"/>
    </row>
    <row r="822" spans="2:8">
      <c r="B822" s="9"/>
      <c r="C822" s="24"/>
      <c r="D822" s="25"/>
      <c r="E822" s="7"/>
      <c r="F822" s="26"/>
      <c r="G822" s="7"/>
      <c r="H822" s="7"/>
    </row>
    <row r="823" spans="2:8">
      <c r="B823" s="9"/>
      <c r="C823" s="24"/>
      <c r="D823" s="25"/>
      <c r="E823" s="7"/>
      <c r="F823" s="26"/>
      <c r="G823" s="7"/>
      <c r="H823" s="7"/>
    </row>
    <row r="824" spans="2:8">
      <c r="B824" s="9"/>
      <c r="C824" s="24"/>
      <c r="D824" s="25"/>
      <c r="E824" s="7"/>
      <c r="F824" s="26"/>
      <c r="G824" s="7"/>
      <c r="H824" s="7"/>
    </row>
    <row r="825" spans="2:8">
      <c r="B825" s="9"/>
      <c r="C825" s="24"/>
      <c r="D825" s="25"/>
      <c r="E825" s="7"/>
      <c r="F825" s="26"/>
      <c r="G825" s="7"/>
      <c r="H825" s="7"/>
    </row>
    <row r="826" spans="2:8">
      <c r="B826" s="9"/>
      <c r="C826" s="24"/>
      <c r="D826" s="25"/>
      <c r="E826" s="7"/>
      <c r="F826" s="26"/>
      <c r="G826" s="7"/>
      <c r="H826" s="7"/>
    </row>
    <row r="827" spans="2:8">
      <c r="B827" s="9"/>
      <c r="C827" s="24"/>
      <c r="D827" s="25"/>
      <c r="E827" s="7"/>
      <c r="F827" s="26"/>
      <c r="G827" s="7"/>
      <c r="H827" s="7"/>
    </row>
    <row r="828" spans="2:8">
      <c r="B828" s="9"/>
      <c r="C828" s="24"/>
      <c r="D828" s="25"/>
      <c r="E828" s="7"/>
      <c r="F828" s="26"/>
      <c r="G828" s="7"/>
      <c r="H828" s="7"/>
    </row>
    <row r="829" spans="2:8">
      <c r="B829" s="9"/>
      <c r="C829" s="24"/>
      <c r="D829" s="25"/>
      <c r="E829" s="7"/>
      <c r="F829" s="26"/>
      <c r="G829" s="7"/>
      <c r="H829" s="7"/>
    </row>
    <row r="830" spans="2:8">
      <c r="B830" s="9"/>
      <c r="C830" s="24"/>
      <c r="D830" s="25"/>
      <c r="E830" s="7"/>
      <c r="F830" s="26"/>
      <c r="G830" s="7"/>
      <c r="H830" s="7"/>
    </row>
    <row r="831" spans="2:8">
      <c r="B831" s="9"/>
      <c r="C831" s="24"/>
      <c r="D831" s="25"/>
      <c r="E831" s="7"/>
      <c r="F831" s="26"/>
      <c r="G831" s="7"/>
      <c r="H831" s="7"/>
    </row>
    <row r="832" spans="2:8">
      <c r="B832" s="9"/>
      <c r="C832" s="24"/>
      <c r="D832" s="25"/>
      <c r="E832" s="7"/>
      <c r="F832" s="26"/>
      <c r="G832" s="7"/>
      <c r="H832" s="7"/>
    </row>
    <row r="833" spans="2:8">
      <c r="B833" s="9"/>
      <c r="C833" s="24"/>
      <c r="D833" s="25"/>
      <c r="E833" s="7"/>
      <c r="F833" s="26"/>
      <c r="G833" s="7"/>
      <c r="H833" s="7"/>
    </row>
    <row r="834" spans="2:8">
      <c r="B834" s="9"/>
      <c r="C834" s="24"/>
      <c r="D834" s="25"/>
      <c r="E834" s="7"/>
      <c r="F834" s="26"/>
      <c r="G834" s="7"/>
      <c r="H834" s="7"/>
    </row>
    <row r="835" spans="2:8">
      <c r="B835" s="9"/>
      <c r="C835" s="24"/>
      <c r="D835" s="25"/>
      <c r="E835" s="7"/>
      <c r="F835" s="26"/>
      <c r="G835" s="7"/>
      <c r="H835" s="7"/>
    </row>
    <row r="836" spans="2:8">
      <c r="B836" s="9"/>
      <c r="C836" s="24"/>
      <c r="D836" s="25"/>
      <c r="E836" s="7"/>
      <c r="F836" s="26"/>
      <c r="G836" s="7"/>
      <c r="H836" s="7"/>
    </row>
    <row r="837" spans="2:8">
      <c r="B837" s="9"/>
      <c r="C837" s="24"/>
      <c r="D837" s="25"/>
      <c r="E837" s="7"/>
      <c r="F837" s="26"/>
      <c r="G837" s="7"/>
      <c r="H837" s="7"/>
    </row>
    <row r="838" spans="2:8">
      <c r="B838" s="9"/>
      <c r="C838" s="24"/>
      <c r="D838" s="25"/>
      <c r="E838" s="7"/>
      <c r="F838" s="26"/>
      <c r="G838" s="7"/>
      <c r="H838" s="7"/>
    </row>
    <row r="839" spans="2:8">
      <c r="B839" s="9"/>
      <c r="C839" s="24"/>
      <c r="D839" s="25"/>
      <c r="E839" s="7"/>
      <c r="F839" s="26"/>
      <c r="G839" s="7"/>
      <c r="H839" s="7"/>
    </row>
    <row r="840" spans="2:8">
      <c r="B840" s="9"/>
      <c r="C840" s="24"/>
      <c r="D840" s="25"/>
      <c r="E840" s="7"/>
      <c r="F840" s="26"/>
      <c r="G840" s="7"/>
      <c r="H840" s="7"/>
    </row>
    <row r="841" spans="2:8">
      <c r="B841" s="9"/>
      <c r="C841" s="24"/>
      <c r="D841" s="25"/>
      <c r="E841" s="7"/>
      <c r="F841" s="26"/>
      <c r="G841" s="7"/>
      <c r="H841" s="7"/>
    </row>
    <row r="842" spans="2:8">
      <c r="B842" s="9"/>
      <c r="C842" s="24"/>
      <c r="D842" s="25"/>
      <c r="E842" s="7"/>
      <c r="F842" s="26"/>
      <c r="G842" s="7"/>
      <c r="H842" s="7"/>
    </row>
    <row r="843" spans="2:8">
      <c r="B843" s="9"/>
      <c r="C843" s="24"/>
      <c r="D843" s="25"/>
      <c r="E843" s="7"/>
      <c r="F843" s="26"/>
      <c r="G843" s="7"/>
      <c r="H843" s="7"/>
    </row>
    <row r="844" spans="2:8">
      <c r="B844" s="9"/>
      <c r="C844" s="24"/>
      <c r="D844" s="25"/>
      <c r="E844" s="7"/>
      <c r="F844" s="26"/>
      <c r="G844" s="7"/>
      <c r="H844" s="7"/>
    </row>
    <row r="845" spans="2:8">
      <c r="B845" s="9"/>
      <c r="C845" s="24"/>
      <c r="D845" s="25"/>
      <c r="E845" s="7"/>
      <c r="F845" s="26"/>
      <c r="G845" s="7"/>
      <c r="H845" s="7"/>
    </row>
    <row r="846" spans="2:8">
      <c r="B846" s="9"/>
      <c r="C846" s="24"/>
      <c r="D846" s="25"/>
      <c r="E846" s="7"/>
      <c r="F846" s="26"/>
      <c r="G846" s="7"/>
      <c r="H846" s="7"/>
    </row>
    <row r="847" spans="2:8">
      <c r="B847" s="9"/>
      <c r="C847" s="24"/>
      <c r="D847" s="25"/>
      <c r="E847" s="7"/>
      <c r="F847" s="26"/>
      <c r="G847" s="7"/>
      <c r="H847" s="7"/>
    </row>
    <row r="848" spans="2:8">
      <c r="B848" s="9"/>
      <c r="C848" s="24"/>
      <c r="D848" s="25"/>
      <c r="E848" s="7"/>
      <c r="F848" s="26"/>
      <c r="G848" s="7"/>
      <c r="H848" s="7"/>
    </row>
    <row r="849" spans="2:8">
      <c r="B849" s="9"/>
      <c r="C849" s="24"/>
      <c r="D849" s="25"/>
      <c r="E849" s="7"/>
      <c r="F849" s="26"/>
      <c r="G849" s="7"/>
      <c r="H849" s="7"/>
    </row>
    <row r="850" spans="2:8">
      <c r="B850" s="9"/>
      <c r="C850" s="24"/>
      <c r="D850" s="25"/>
      <c r="E850" s="7"/>
      <c r="F850" s="26"/>
      <c r="G850" s="7"/>
      <c r="H850" s="7"/>
    </row>
    <row r="851" spans="2:8">
      <c r="B851" s="9"/>
      <c r="C851" s="24"/>
      <c r="D851" s="25"/>
      <c r="E851" s="7"/>
      <c r="F851" s="26"/>
      <c r="G851" s="7"/>
      <c r="H851" s="7"/>
    </row>
    <row r="852" spans="2:8">
      <c r="B852" s="9"/>
      <c r="C852" s="24"/>
      <c r="D852" s="25"/>
      <c r="E852" s="7"/>
      <c r="F852" s="26"/>
      <c r="G852" s="7"/>
      <c r="H852" s="7"/>
    </row>
    <row r="853" spans="2:8">
      <c r="B853" s="9"/>
      <c r="C853" s="24"/>
      <c r="D853" s="25"/>
      <c r="E853" s="7"/>
      <c r="F853" s="26"/>
      <c r="G853" s="7"/>
      <c r="H853" s="7"/>
    </row>
    <row r="854" spans="2:8">
      <c r="B854" s="9"/>
      <c r="C854" s="24"/>
      <c r="D854" s="25"/>
      <c r="E854" s="7"/>
      <c r="F854" s="26"/>
      <c r="G854" s="7"/>
      <c r="H854" s="7"/>
    </row>
    <row r="855" spans="2:8">
      <c r="B855" s="9"/>
      <c r="C855" s="24"/>
      <c r="D855" s="25"/>
      <c r="E855" s="7"/>
      <c r="F855" s="26"/>
      <c r="G855" s="7"/>
      <c r="H855" s="7"/>
    </row>
    <row r="856" spans="2:8">
      <c r="B856" s="9"/>
      <c r="C856" s="24"/>
      <c r="D856" s="25"/>
      <c r="E856" s="7"/>
      <c r="F856" s="26"/>
      <c r="G856" s="7"/>
      <c r="H856" s="7"/>
    </row>
    <row r="857" spans="2:8">
      <c r="B857" s="9"/>
      <c r="C857" s="24"/>
      <c r="D857" s="25"/>
      <c r="E857" s="7"/>
      <c r="F857" s="26"/>
      <c r="G857" s="7"/>
      <c r="H857" s="7"/>
    </row>
    <row r="858" spans="2:8">
      <c r="B858" s="9"/>
      <c r="C858" s="24"/>
      <c r="D858" s="25"/>
      <c r="E858" s="7"/>
      <c r="F858" s="26"/>
      <c r="G858" s="7"/>
      <c r="H858" s="7"/>
    </row>
    <row r="859" spans="2:8">
      <c r="B859" s="9"/>
      <c r="C859" s="24"/>
      <c r="D859" s="25"/>
      <c r="E859" s="7"/>
      <c r="F859" s="26"/>
      <c r="G859" s="7"/>
      <c r="H859" s="7"/>
    </row>
    <row r="860" spans="2:8">
      <c r="B860" s="9"/>
      <c r="C860" s="24"/>
      <c r="D860" s="25"/>
      <c r="E860" s="7"/>
      <c r="F860" s="26"/>
      <c r="G860" s="7"/>
      <c r="H860" s="7"/>
    </row>
    <row r="861" spans="2:8">
      <c r="B861" s="9"/>
      <c r="C861" s="24"/>
      <c r="D861" s="25"/>
      <c r="E861" s="7"/>
      <c r="F861" s="26"/>
      <c r="G861" s="7"/>
      <c r="H861" s="7"/>
    </row>
    <row r="862" spans="2:8">
      <c r="B862" s="9"/>
      <c r="C862" s="24"/>
      <c r="D862" s="25"/>
      <c r="E862" s="7"/>
      <c r="F862" s="26"/>
      <c r="G862" s="7"/>
      <c r="H862" s="7"/>
    </row>
    <row r="863" spans="2:8">
      <c r="B863" s="9"/>
      <c r="C863" s="24"/>
      <c r="D863" s="25"/>
      <c r="E863" s="7"/>
      <c r="F863" s="26"/>
      <c r="G863" s="7"/>
      <c r="H863" s="7"/>
    </row>
    <row r="864" spans="2:8">
      <c r="B864" s="9"/>
      <c r="C864" s="24"/>
      <c r="D864" s="25"/>
      <c r="E864" s="7"/>
      <c r="F864" s="26"/>
      <c r="G864" s="7"/>
      <c r="H864" s="7"/>
    </row>
    <row r="865" spans="2:8">
      <c r="B865" s="9"/>
      <c r="C865" s="24"/>
      <c r="D865" s="25"/>
      <c r="E865" s="7"/>
      <c r="F865" s="26"/>
      <c r="G865" s="7"/>
      <c r="H865" s="7"/>
    </row>
    <row r="866" spans="2:8">
      <c r="B866" s="9"/>
      <c r="C866" s="24"/>
      <c r="D866" s="25"/>
      <c r="E866" s="7"/>
      <c r="F866" s="26"/>
      <c r="G866" s="7"/>
      <c r="H866" s="7"/>
    </row>
    <row r="867" spans="2:8">
      <c r="B867" s="9"/>
      <c r="C867" s="24"/>
      <c r="D867" s="25"/>
      <c r="E867" s="7"/>
      <c r="F867" s="26"/>
      <c r="G867" s="7"/>
      <c r="H867" s="7"/>
    </row>
    <row r="868" spans="2:8">
      <c r="B868" s="9"/>
      <c r="C868" s="24"/>
      <c r="D868" s="25"/>
      <c r="E868" s="7"/>
      <c r="F868" s="26"/>
      <c r="G868" s="7"/>
      <c r="H868" s="7"/>
    </row>
    <row r="869" spans="2:8">
      <c r="B869" s="9"/>
      <c r="C869" s="24"/>
      <c r="D869" s="25"/>
      <c r="E869" s="7"/>
      <c r="F869" s="26"/>
      <c r="G869" s="7"/>
      <c r="H869" s="7"/>
    </row>
    <row r="870" spans="2:8">
      <c r="B870" s="9"/>
      <c r="C870" s="24"/>
      <c r="D870" s="25"/>
      <c r="E870" s="7"/>
      <c r="F870" s="26"/>
      <c r="G870" s="7"/>
      <c r="H870" s="7"/>
    </row>
    <row r="871" spans="2:8">
      <c r="B871" s="9"/>
      <c r="C871" s="24"/>
      <c r="D871" s="25"/>
      <c r="E871" s="7"/>
      <c r="F871" s="26"/>
      <c r="G871" s="7"/>
      <c r="H871" s="7"/>
    </row>
    <row r="872" spans="2:8">
      <c r="B872" s="9"/>
      <c r="C872" s="24"/>
      <c r="D872" s="25"/>
      <c r="E872" s="7"/>
      <c r="F872" s="26"/>
      <c r="G872" s="7"/>
      <c r="H872" s="7"/>
    </row>
    <row r="873" spans="2:8">
      <c r="B873" s="9"/>
      <c r="C873" s="24"/>
      <c r="D873" s="25"/>
      <c r="E873" s="7"/>
      <c r="F873" s="26"/>
      <c r="G873" s="7"/>
      <c r="H873" s="7"/>
    </row>
    <row r="874" spans="2:8">
      <c r="B874" s="9"/>
      <c r="C874" s="24"/>
      <c r="D874" s="25"/>
      <c r="E874" s="7"/>
      <c r="F874" s="26"/>
      <c r="G874" s="7"/>
      <c r="H874" s="7"/>
    </row>
    <row r="875" spans="2:8">
      <c r="B875" s="9"/>
      <c r="C875" s="24"/>
      <c r="D875" s="25"/>
      <c r="E875" s="7"/>
      <c r="F875" s="26"/>
      <c r="G875" s="7"/>
      <c r="H875" s="7"/>
    </row>
    <row r="876" spans="2:8">
      <c r="B876" s="9"/>
      <c r="C876" s="24"/>
      <c r="D876" s="25"/>
      <c r="E876" s="7"/>
      <c r="F876" s="26"/>
      <c r="G876" s="7"/>
      <c r="H876" s="7"/>
    </row>
    <row r="877" spans="2:8">
      <c r="B877" s="9"/>
      <c r="C877" s="24"/>
      <c r="D877" s="25"/>
      <c r="E877" s="7"/>
      <c r="F877" s="26"/>
      <c r="G877" s="7"/>
      <c r="H877" s="7"/>
    </row>
    <row r="878" spans="2:8">
      <c r="B878" s="9"/>
      <c r="C878" s="24"/>
      <c r="D878" s="25"/>
      <c r="E878" s="7"/>
      <c r="F878" s="26"/>
      <c r="G878" s="7"/>
      <c r="H878" s="7"/>
    </row>
    <row r="879" spans="2:8">
      <c r="B879" s="9"/>
      <c r="C879" s="24"/>
      <c r="D879" s="25"/>
      <c r="E879" s="7"/>
      <c r="F879" s="26"/>
      <c r="G879" s="7"/>
      <c r="H879" s="7"/>
    </row>
    <row r="880" spans="2:8">
      <c r="B880" s="9"/>
      <c r="C880" s="24"/>
      <c r="D880" s="25"/>
      <c r="E880" s="7"/>
      <c r="F880" s="26"/>
      <c r="G880" s="7"/>
      <c r="H880" s="7"/>
    </row>
    <row r="881" spans="2:8">
      <c r="B881" s="9"/>
      <c r="C881" s="24"/>
      <c r="D881" s="25"/>
      <c r="E881" s="7"/>
      <c r="F881" s="26"/>
      <c r="G881" s="7"/>
      <c r="H881" s="7"/>
    </row>
    <row r="882" spans="2:8">
      <c r="B882" s="9"/>
      <c r="C882" s="24"/>
      <c r="D882" s="25"/>
      <c r="E882" s="7"/>
      <c r="F882" s="26"/>
      <c r="G882" s="7"/>
      <c r="H882" s="7"/>
    </row>
    <row r="883" spans="2:8">
      <c r="B883" s="9"/>
      <c r="C883" s="24"/>
      <c r="D883" s="25"/>
      <c r="E883" s="7"/>
      <c r="F883" s="26"/>
      <c r="G883" s="7"/>
      <c r="H883" s="7"/>
    </row>
    <row r="884" spans="2:8">
      <c r="B884" s="9"/>
      <c r="C884" s="24"/>
      <c r="D884" s="25"/>
      <c r="E884" s="7"/>
      <c r="F884" s="26"/>
      <c r="G884" s="7"/>
      <c r="H884" s="7"/>
    </row>
    <row r="885" spans="2:8">
      <c r="B885" s="9"/>
      <c r="C885" s="24"/>
      <c r="D885" s="25"/>
      <c r="E885" s="7"/>
      <c r="F885" s="26"/>
      <c r="G885" s="7"/>
      <c r="H885" s="7"/>
    </row>
    <row r="886" spans="2:8">
      <c r="B886" s="9"/>
      <c r="C886" s="24"/>
      <c r="D886" s="25"/>
      <c r="E886" s="7"/>
      <c r="F886" s="26"/>
      <c r="G886" s="7"/>
      <c r="H886" s="7"/>
    </row>
    <row r="887" spans="2:8">
      <c r="B887" s="9"/>
      <c r="C887" s="24"/>
      <c r="D887" s="25"/>
      <c r="E887" s="7"/>
      <c r="F887" s="26"/>
      <c r="G887" s="7"/>
      <c r="H887" s="7"/>
    </row>
    <row r="888" spans="2:8">
      <c r="B888" s="9"/>
      <c r="C888" s="24"/>
      <c r="D888" s="25"/>
      <c r="E888" s="7"/>
      <c r="F888" s="26"/>
      <c r="G888" s="7"/>
      <c r="H888" s="7"/>
    </row>
    <row r="889" spans="2:8">
      <c r="B889" s="9"/>
      <c r="C889" s="24"/>
      <c r="D889" s="25"/>
      <c r="E889" s="7"/>
      <c r="F889" s="26"/>
      <c r="G889" s="7"/>
      <c r="H889" s="7"/>
    </row>
    <row r="890" spans="2:8">
      <c r="B890" s="9"/>
      <c r="C890" s="24"/>
      <c r="D890" s="25"/>
      <c r="E890" s="7"/>
      <c r="F890" s="26"/>
      <c r="G890" s="7"/>
      <c r="H890" s="7"/>
    </row>
    <row r="891" spans="2:8">
      <c r="B891" s="9"/>
      <c r="C891" s="24"/>
      <c r="D891" s="25"/>
      <c r="E891" s="7"/>
      <c r="F891" s="26"/>
      <c r="G891" s="7"/>
      <c r="H891" s="7"/>
    </row>
    <row r="892" spans="2:8">
      <c r="B892" s="9"/>
      <c r="C892" s="24"/>
      <c r="D892" s="25"/>
      <c r="E892" s="7"/>
      <c r="F892" s="26"/>
      <c r="G892" s="7"/>
      <c r="H892" s="7"/>
    </row>
    <row r="893" spans="2:8">
      <c r="B893" s="9"/>
      <c r="C893" s="24"/>
      <c r="D893" s="25"/>
      <c r="E893" s="7"/>
      <c r="F893" s="26"/>
      <c r="G893" s="7"/>
      <c r="H893" s="7"/>
    </row>
    <row r="894" spans="2:8">
      <c r="B894" s="9"/>
      <c r="C894" s="24"/>
      <c r="D894" s="25"/>
      <c r="E894" s="7"/>
      <c r="F894" s="26"/>
      <c r="G894" s="7"/>
      <c r="H894" s="7"/>
    </row>
    <row r="895" spans="2:8">
      <c r="B895" s="9"/>
      <c r="C895" s="24"/>
      <c r="D895" s="25"/>
      <c r="E895" s="7"/>
      <c r="F895" s="26"/>
      <c r="G895" s="7"/>
      <c r="H895" s="7"/>
    </row>
    <row r="896" spans="2:8">
      <c r="B896" s="9"/>
      <c r="C896" s="24"/>
      <c r="D896" s="25"/>
      <c r="E896" s="7"/>
      <c r="F896" s="26"/>
      <c r="G896" s="7"/>
      <c r="H896" s="7"/>
    </row>
    <row r="897" spans="2:8">
      <c r="B897" s="9"/>
      <c r="C897" s="24"/>
      <c r="D897" s="25"/>
      <c r="E897" s="7"/>
      <c r="F897" s="26"/>
      <c r="G897" s="7"/>
      <c r="H897" s="7"/>
    </row>
    <row r="898" spans="2:8">
      <c r="B898" s="9"/>
      <c r="C898" s="24"/>
      <c r="D898" s="25"/>
      <c r="E898" s="7"/>
      <c r="F898" s="26"/>
      <c r="G898" s="7"/>
      <c r="H898" s="7"/>
    </row>
    <row r="899" spans="2:8">
      <c r="B899" s="9"/>
      <c r="C899" s="24"/>
      <c r="D899" s="25"/>
      <c r="E899" s="7"/>
      <c r="F899" s="26"/>
      <c r="G899" s="7"/>
      <c r="H899" s="7"/>
    </row>
    <row r="900" spans="2:8">
      <c r="B900" s="9"/>
      <c r="C900" s="24"/>
      <c r="D900" s="25"/>
      <c r="E900" s="7"/>
      <c r="F900" s="26"/>
      <c r="G900" s="7"/>
      <c r="H900" s="7"/>
    </row>
    <row r="901" spans="2:8">
      <c r="B901" s="9"/>
      <c r="C901" s="24"/>
      <c r="D901" s="25"/>
      <c r="E901" s="7"/>
      <c r="F901" s="26"/>
      <c r="G901" s="7"/>
      <c r="H901" s="7"/>
    </row>
    <row r="902" spans="2:8">
      <c r="B902" s="9"/>
      <c r="C902" s="24"/>
      <c r="D902" s="25"/>
      <c r="E902" s="7"/>
      <c r="F902" s="26"/>
      <c r="G902" s="7"/>
      <c r="H902" s="7"/>
    </row>
    <row r="903" spans="2:8">
      <c r="B903" s="9"/>
      <c r="C903" s="24"/>
      <c r="D903" s="25"/>
      <c r="E903" s="7"/>
      <c r="F903" s="26"/>
      <c r="G903" s="7"/>
      <c r="H903" s="7"/>
    </row>
    <row r="904" spans="2:8">
      <c r="B904" s="9"/>
      <c r="C904" s="24"/>
      <c r="D904" s="25"/>
      <c r="E904" s="7"/>
      <c r="F904" s="26"/>
      <c r="G904" s="7"/>
      <c r="H904" s="7"/>
    </row>
    <row r="905" spans="2:8">
      <c r="B905" s="9"/>
      <c r="C905" s="24"/>
      <c r="D905" s="25"/>
      <c r="E905" s="7"/>
      <c r="F905" s="26"/>
      <c r="G905" s="7"/>
      <c r="H905" s="7"/>
    </row>
    <row r="906" spans="2:8">
      <c r="B906" s="9"/>
      <c r="C906" s="24"/>
      <c r="D906" s="25"/>
      <c r="E906" s="7"/>
      <c r="F906" s="26"/>
      <c r="G906" s="7"/>
      <c r="H906" s="7"/>
    </row>
    <row r="907" spans="2:8">
      <c r="B907" s="9"/>
      <c r="C907" s="24"/>
      <c r="D907" s="25"/>
      <c r="E907" s="7"/>
      <c r="F907" s="26"/>
      <c r="G907" s="7"/>
      <c r="H907" s="7"/>
    </row>
    <row r="908" spans="2:8">
      <c r="B908" s="9"/>
      <c r="C908" s="24"/>
      <c r="D908" s="25"/>
      <c r="E908" s="7"/>
      <c r="F908" s="26"/>
      <c r="G908" s="7"/>
      <c r="H908" s="7"/>
    </row>
    <row r="909" spans="2:8">
      <c r="B909" s="9"/>
      <c r="C909" s="24"/>
      <c r="D909" s="25"/>
      <c r="E909" s="7"/>
      <c r="F909" s="26"/>
      <c r="G909" s="7"/>
      <c r="H909" s="7"/>
    </row>
    <row r="910" spans="2:8">
      <c r="B910" s="9"/>
      <c r="C910" s="24"/>
      <c r="D910" s="25"/>
      <c r="E910" s="7"/>
      <c r="F910" s="26"/>
      <c r="G910" s="7"/>
      <c r="H910" s="7"/>
    </row>
    <row r="911" spans="2:8">
      <c r="B911" s="9"/>
      <c r="C911" s="24"/>
      <c r="D911" s="25"/>
      <c r="E911" s="7"/>
      <c r="F911" s="26"/>
      <c r="G911" s="7"/>
      <c r="H911" s="7"/>
    </row>
    <row r="912" spans="2:8">
      <c r="B912" s="9"/>
      <c r="C912" s="24"/>
      <c r="D912" s="25"/>
      <c r="E912" s="7"/>
      <c r="F912" s="26"/>
      <c r="G912" s="7"/>
      <c r="H912" s="7"/>
    </row>
    <row r="913" spans="2:8">
      <c r="B913" s="9"/>
      <c r="C913" s="24"/>
      <c r="D913" s="25"/>
      <c r="E913" s="7"/>
      <c r="F913" s="26"/>
      <c r="G913" s="7"/>
      <c r="H913" s="7"/>
    </row>
    <row r="914" spans="2:8">
      <c r="B914" s="9"/>
      <c r="C914" s="24"/>
      <c r="D914" s="25"/>
      <c r="E914" s="7"/>
      <c r="F914" s="26"/>
      <c r="G914" s="7"/>
      <c r="H914" s="7"/>
    </row>
    <row r="915" spans="2:8">
      <c r="B915" s="9"/>
      <c r="C915" s="24"/>
      <c r="D915" s="25"/>
      <c r="E915" s="7"/>
      <c r="F915" s="26"/>
      <c r="G915" s="7"/>
      <c r="H915" s="7"/>
    </row>
    <row r="916" spans="2:8">
      <c r="B916" s="9"/>
      <c r="C916" s="24"/>
      <c r="D916" s="25"/>
      <c r="E916" s="7"/>
      <c r="F916" s="26"/>
      <c r="G916" s="7"/>
      <c r="H916" s="7"/>
    </row>
    <row r="917" spans="2:8">
      <c r="B917" s="9"/>
      <c r="C917" s="24"/>
      <c r="D917" s="25"/>
      <c r="E917" s="7"/>
      <c r="F917" s="26"/>
      <c r="G917" s="7"/>
      <c r="H917" s="7"/>
    </row>
    <row r="918" spans="2:8">
      <c r="B918" s="9"/>
      <c r="C918" s="24"/>
      <c r="D918" s="25"/>
      <c r="E918" s="7"/>
      <c r="F918" s="26"/>
      <c r="G918" s="7"/>
      <c r="H918" s="7"/>
    </row>
    <row r="919" spans="2:8">
      <c r="B919" s="9"/>
      <c r="C919" s="24"/>
      <c r="D919" s="25"/>
      <c r="E919" s="7"/>
      <c r="F919" s="26"/>
      <c r="G919" s="7"/>
      <c r="H919" s="7"/>
    </row>
    <row r="920" spans="2:8">
      <c r="B920" s="9"/>
      <c r="C920" s="24"/>
      <c r="D920" s="25"/>
      <c r="E920" s="7"/>
      <c r="F920" s="26"/>
      <c r="G920" s="7"/>
      <c r="H920" s="7"/>
    </row>
    <row r="921" spans="2:8">
      <c r="B921" s="9"/>
      <c r="C921" s="24"/>
      <c r="D921" s="25"/>
      <c r="E921" s="7"/>
      <c r="F921" s="26"/>
      <c r="G921" s="7"/>
      <c r="H921" s="7"/>
    </row>
    <row r="922" spans="2:8">
      <c r="B922" s="9"/>
      <c r="C922" s="24"/>
      <c r="D922" s="25"/>
      <c r="E922" s="7"/>
      <c r="F922" s="26"/>
      <c r="G922" s="7"/>
      <c r="H922" s="7"/>
    </row>
    <row r="923" spans="2:8">
      <c r="B923" s="9"/>
      <c r="C923" s="24"/>
      <c r="D923" s="25"/>
      <c r="E923" s="7"/>
      <c r="F923" s="26"/>
      <c r="G923" s="7"/>
      <c r="H923" s="7"/>
    </row>
    <row r="924" spans="2:8">
      <c r="B924" s="9"/>
      <c r="C924" s="24"/>
      <c r="D924" s="25"/>
      <c r="E924" s="7"/>
      <c r="F924" s="26"/>
      <c r="G924" s="7"/>
      <c r="H924" s="7"/>
    </row>
    <row r="925" spans="2:8">
      <c r="B925" s="9"/>
      <c r="C925" s="24"/>
      <c r="D925" s="25"/>
      <c r="E925" s="7"/>
      <c r="F925" s="26"/>
      <c r="G925" s="7"/>
      <c r="H925" s="7"/>
    </row>
    <row r="926" spans="2:8">
      <c r="B926" s="9"/>
      <c r="C926" s="24"/>
      <c r="D926" s="25"/>
      <c r="E926" s="7"/>
      <c r="F926" s="26"/>
      <c r="G926" s="7"/>
      <c r="H926" s="7"/>
    </row>
    <row r="927" spans="2:8">
      <c r="B927" s="9"/>
      <c r="C927" s="24"/>
      <c r="D927" s="25"/>
      <c r="E927" s="7"/>
      <c r="F927" s="26"/>
      <c r="G927" s="7"/>
      <c r="H927" s="7"/>
    </row>
    <row r="928" spans="2:8">
      <c r="B928" s="9"/>
      <c r="C928" s="24"/>
      <c r="D928" s="25"/>
      <c r="E928" s="7"/>
      <c r="F928" s="26"/>
      <c r="G928" s="7"/>
      <c r="H928" s="7"/>
    </row>
    <row r="929" spans="2:8">
      <c r="B929" s="9"/>
      <c r="C929" s="24"/>
      <c r="D929" s="25"/>
      <c r="E929" s="7"/>
      <c r="F929" s="26"/>
      <c r="G929" s="7"/>
      <c r="H929" s="7"/>
    </row>
    <row r="930" spans="2:8">
      <c r="B930" s="9"/>
      <c r="C930" s="24"/>
      <c r="D930" s="25"/>
      <c r="E930" s="7"/>
      <c r="F930" s="26"/>
      <c r="G930" s="7"/>
      <c r="H930" s="7"/>
    </row>
    <row r="931" spans="2:8">
      <c r="B931" s="9"/>
      <c r="C931" s="24"/>
      <c r="D931" s="25"/>
      <c r="E931" s="7"/>
      <c r="F931" s="26"/>
      <c r="G931" s="7"/>
      <c r="H931" s="7"/>
    </row>
    <row r="932" spans="2:8">
      <c r="B932" s="9"/>
      <c r="C932" s="24"/>
      <c r="D932" s="25"/>
      <c r="E932" s="7"/>
      <c r="F932" s="26"/>
      <c r="G932" s="7"/>
      <c r="H932" s="7"/>
    </row>
    <row r="933" spans="2:8">
      <c r="B933" s="9"/>
      <c r="C933" s="24"/>
      <c r="D933" s="25"/>
      <c r="E933" s="7"/>
      <c r="F933" s="26"/>
      <c r="G933" s="7"/>
      <c r="H933" s="7"/>
    </row>
    <row r="934" spans="2:8">
      <c r="B934" s="9"/>
      <c r="C934" s="24"/>
      <c r="D934" s="25"/>
      <c r="E934" s="7"/>
      <c r="F934" s="26"/>
      <c r="G934" s="7"/>
      <c r="H934" s="7"/>
    </row>
    <row r="935" spans="2:8">
      <c r="B935" s="9"/>
      <c r="C935" s="24"/>
      <c r="D935" s="25"/>
      <c r="E935" s="7"/>
      <c r="F935" s="26"/>
      <c r="G935" s="7"/>
      <c r="H935" s="7"/>
    </row>
    <row r="936" spans="2:8">
      <c r="B936" s="9"/>
      <c r="C936" s="24"/>
      <c r="D936" s="25"/>
      <c r="E936" s="7"/>
      <c r="F936" s="26"/>
      <c r="G936" s="7"/>
      <c r="H936" s="7"/>
    </row>
    <row r="937" spans="2:8">
      <c r="B937" s="9"/>
      <c r="C937" s="24"/>
      <c r="D937" s="25"/>
      <c r="E937" s="7"/>
      <c r="F937" s="26"/>
      <c r="G937" s="7"/>
      <c r="H937" s="7"/>
    </row>
    <row r="938" spans="2:8">
      <c r="B938" s="9"/>
      <c r="C938" s="24"/>
      <c r="D938" s="25"/>
      <c r="E938" s="7"/>
      <c r="F938" s="26"/>
      <c r="G938" s="7"/>
      <c r="H938" s="7"/>
    </row>
    <row r="939" spans="2:8">
      <c r="B939" s="9"/>
      <c r="C939" s="24"/>
      <c r="D939" s="25"/>
      <c r="E939" s="7"/>
      <c r="F939" s="26"/>
      <c r="G939" s="7"/>
      <c r="H939" s="7"/>
    </row>
    <row r="940" spans="2:8">
      <c r="B940" s="9"/>
      <c r="C940" s="24"/>
      <c r="D940" s="25"/>
      <c r="E940" s="7"/>
      <c r="F940" s="26"/>
      <c r="G940" s="7"/>
      <c r="H940" s="7"/>
    </row>
    <row r="941" spans="2:8">
      <c r="B941" s="9"/>
      <c r="C941" s="24"/>
      <c r="D941" s="25"/>
      <c r="E941" s="7"/>
      <c r="F941" s="26"/>
      <c r="G941" s="7"/>
      <c r="H941" s="7"/>
    </row>
    <row r="942" spans="2:8">
      <c r="B942" s="9"/>
      <c r="C942" s="24"/>
      <c r="D942" s="25"/>
      <c r="E942" s="7"/>
      <c r="F942" s="26"/>
      <c r="G942" s="7"/>
      <c r="H942" s="7"/>
    </row>
    <row r="943" spans="2:8">
      <c r="B943" s="9"/>
      <c r="C943" s="24"/>
      <c r="D943" s="25"/>
      <c r="E943" s="7"/>
      <c r="F943" s="26"/>
      <c r="G943" s="7"/>
      <c r="H943" s="7"/>
    </row>
    <row r="944" spans="2:8">
      <c r="B944" s="9"/>
      <c r="C944" s="24"/>
      <c r="D944" s="25"/>
      <c r="E944" s="7"/>
      <c r="F944" s="26"/>
      <c r="G944" s="7"/>
      <c r="H944" s="7"/>
    </row>
    <row r="945" spans="2:8">
      <c r="B945" s="9"/>
      <c r="C945" s="24"/>
      <c r="D945" s="25"/>
      <c r="E945" s="7"/>
      <c r="F945" s="26"/>
      <c r="G945" s="7"/>
      <c r="H945" s="7"/>
    </row>
    <row r="946" spans="2:8">
      <c r="B946" s="9"/>
      <c r="C946" s="24"/>
      <c r="D946" s="25"/>
      <c r="E946" s="7"/>
      <c r="F946" s="26"/>
      <c r="G946" s="7"/>
      <c r="H946" s="7"/>
    </row>
    <row r="947" spans="2:8">
      <c r="B947" s="9"/>
      <c r="C947" s="24"/>
      <c r="D947" s="25"/>
      <c r="E947" s="7"/>
      <c r="F947" s="26"/>
      <c r="G947" s="7"/>
      <c r="H947" s="7"/>
    </row>
    <row r="948" spans="2:8">
      <c r="B948" s="9"/>
      <c r="C948" s="24"/>
      <c r="D948" s="25"/>
      <c r="E948" s="7"/>
      <c r="F948" s="26"/>
      <c r="G948" s="7"/>
      <c r="H948" s="7"/>
    </row>
    <row r="949" spans="2:8">
      <c r="B949" s="9"/>
      <c r="C949" s="24"/>
      <c r="D949" s="25"/>
      <c r="E949" s="7"/>
      <c r="F949" s="26"/>
      <c r="G949" s="7"/>
      <c r="H949" s="7"/>
    </row>
    <row r="950" spans="2:8">
      <c r="B950" s="9"/>
      <c r="C950" s="24"/>
      <c r="D950" s="25"/>
      <c r="E950" s="7"/>
      <c r="F950" s="26"/>
      <c r="G950" s="7"/>
      <c r="H950" s="7"/>
    </row>
    <row r="951" spans="2:8">
      <c r="B951" s="9"/>
      <c r="C951" s="24"/>
      <c r="D951" s="25"/>
      <c r="E951" s="7"/>
      <c r="F951" s="26"/>
      <c r="G951" s="7"/>
      <c r="H951" s="7"/>
    </row>
    <row r="952" spans="2:8">
      <c r="B952" s="9"/>
      <c r="C952" s="24"/>
      <c r="D952" s="25"/>
      <c r="E952" s="7"/>
      <c r="F952" s="26"/>
      <c r="G952" s="7"/>
      <c r="H952" s="7"/>
    </row>
    <row r="953" spans="2:8">
      <c r="B953" s="9"/>
      <c r="C953" s="24"/>
      <c r="D953" s="25"/>
      <c r="E953" s="7"/>
      <c r="F953" s="26"/>
      <c r="G953" s="7"/>
      <c r="H953" s="7"/>
    </row>
    <row r="954" spans="2:8">
      <c r="B954" s="9"/>
      <c r="C954" s="24"/>
      <c r="D954" s="25"/>
      <c r="E954" s="7"/>
      <c r="F954" s="26"/>
      <c r="G954" s="7"/>
      <c r="H954" s="7"/>
    </row>
    <row r="955" spans="2:8">
      <c r="B955" s="9"/>
      <c r="C955" s="24"/>
      <c r="D955" s="25"/>
      <c r="E955" s="7"/>
      <c r="F955" s="26"/>
      <c r="G955" s="7"/>
      <c r="H955" s="7"/>
    </row>
    <row r="956" spans="2:8">
      <c r="B956" s="9"/>
      <c r="C956" s="24"/>
      <c r="D956" s="25"/>
      <c r="E956" s="7"/>
      <c r="F956" s="26"/>
      <c r="G956" s="7"/>
      <c r="H956" s="7"/>
    </row>
    <row r="957" spans="2:8">
      <c r="B957" s="9"/>
      <c r="C957" s="24"/>
      <c r="D957" s="25"/>
      <c r="E957" s="7"/>
      <c r="F957" s="26"/>
      <c r="G957" s="7"/>
      <c r="H957" s="7"/>
    </row>
    <row r="958" spans="2:8">
      <c r="B958" s="9"/>
      <c r="C958" s="24"/>
      <c r="D958" s="25"/>
      <c r="E958" s="7"/>
      <c r="F958" s="26"/>
      <c r="G958" s="7"/>
      <c r="H958" s="7"/>
    </row>
    <row r="959" spans="2:8">
      <c r="B959" s="9"/>
      <c r="C959" s="24"/>
      <c r="D959" s="25"/>
      <c r="E959" s="7"/>
      <c r="F959" s="26"/>
      <c r="G959" s="7"/>
      <c r="H959" s="7"/>
    </row>
    <row r="960" spans="2:8">
      <c r="B960" s="9"/>
      <c r="C960" s="24"/>
      <c r="D960" s="25"/>
      <c r="E960" s="7"/>
      <c r="F960" s="26"/>
      <c r="G960" s="7"/>
      <c r="H960" s="7"/>
    </row>
    <row r="961" spans="2:8">
      <c r="B961" s="9"/>
      <c r="C961" s="24"/>
      <c r="D961" s="25"/>
      <c r="E961" s="7"/>
      <c r="F961" s="26"/>
      <c r="G961" s="7"/>
      <c r="H961" s="7"/>
    </row>
    <row r="962" spans="2:8">
      <c r="B962" s="9"/>
      <c r="C962" s="24"/>
      <c r="D962" s="25"/>
      <c r="E962" s="7"/>
      <c r="F962" s="26"/>
      <c r="G962" s="7"/>
      <c r="H962" s="7"/>
    </row>
    <row r="963" spans="2:8">
      <c r="B963" s="9"/>
      <c r="C963" s="24"/>
      <c r="D963" s="25"/>
      <c r="E963" s="7"/>
      <c r="F963" s="26"/>
      <c r="G963" s="7"/>
      <c r="H963" s="7"/>
    </row>
    <row r="964" spans="2:8">
      <c r="B964" s="9"/>
      <c r="C964" s="24"/>
      <c r="D964" s="25"/>
      <c r="E964" s="7"/>
      <c r="F964" s="26"/>
      <c r="G964" s="7"/>
      <c r="H964" s="7"/>
    </row>
    <row r="965" spans="2:8">
      <c r="B965" s="9"/>
      <c r="C965" s="24"/>
      <c r="D965" s="25"/>
      <c r="E965" s="7"/>
      <c r="F965" s="26"/>
      <c r="G965" s="7"/>
      <c r="H965" s="7"/>
    </row>
    <row r="966" spans="2:8">
      <c r="B966" s="9"/>
      <c r="C966" s="24"/>
      <c r="D966" s="25"/>
      <c r="E966" s="7"/>
      <c r="F966" s="26"/>
      <c r="G966" s="7"/>
      <c r="H966" s="7"/>
    </row>
    <row r="967" spans="2:8">
      <c r="B967" s="9"/>
      <c r="C967" s="24"/>
      <c r="D967" s="25"/>
      <c r="E967" s="7"/>
      <c r="F967" s="26"/>
      <c r="G967" s="7"/>
      <c r="H967" s="7"/>
    </row>
    <row r="968" spans="2:8">
      <c r="B968" s="9"/>
      <c r="C968" s="24"/>
      <c r="D968" s="25"/>
      <c r="E968" s="7"/>
      <c r="F968" s="26"/>
      <c r="G968" s="7"/>
      <c r="H968" s="7"/>
    </row>
    <row r="969" spans="2:8">
      <c r="B969" s="9"/>
      <c r="C969" s="24"/>
      <c r="D969" s="25"/>
      <c r="E969" s="7"/>
      <c r="F969" s="26"/>
      <c r="G969" s="7"/>
      <c r="H969" s="7"/>
    </row>
    <row r="970" spans="2:8">
      <c r="B970" s="9"/>
      <c r="C970" s="24"/>
      <c r="D970" s="25"/>
      <c r="E970" s="7"/>
      <c r="F970" s="26"/>
      <c r="G970" s="7"/>
      <c r="H970" s="7"/>
    </row>
    <row r="971" spans="2:8">
      <c r="B971" s="9"/>
      <c r="C971" s="24"/>
      <c r="D971" s="25"/>
      <c r="E971" s="7"/>
      <c r="F971" s="26"/>
      <c r="G971" s="7"/>
      <c r="H971" s="7"/>
    </row>
    <row r="972" spans="2:8">
      <c r="B972" s="9"/>
      <c r="C972" s="24"/>
      <c r="D972" s="25"/>
      <c r="E972" s="7"/>
      <c r="F972" s="26"/>
      <c r="G972" s="7"/>
      <c r="H972" s="7"/>
    </row>
    <row r="973" spans="2:8">
      <c r="B973" s="9"/>
      <c r="C973" s="24"/>
      <c r="D973" s="25"/>
      <c r="E973" s="7"/>
      <c r="F973" s="26"/>
      <c r="G973" s="7"/>
      <c r="H973" s="7"/>
    </row>
    <row r="974" spans="2:8">
      <c r="B974" s="9"/>
      <c r="C974" s="24"/>
      <c r="D974" s="25"/>
      <c r="E974" s="7"/>
      <c r="F974" s="26"/>
      <c r="G974" s="7"/>
      <c r="H974" s="7"/>
    </row>
    <row r="975" spans="2:8">
      <c r="B975" s="9"/>
      <c r="C975" s="24"/>
      <c r="D975" s="25"/>
      <c r="E975" s="7"/>
      <c r="F975" s="26"/>
      <c r="G975" s="7"/>
      <c r="H975" s="7"/>
    </row>
    <row r="976" spans="2:8">
      <c r="B976" s="9"/>
      <c r="C976" s="24"/>
      <c r="D976" s="25"/>
      <c r="E976" s="7"/>
      <c r="F976" s="26"/>
      <c r="G976" s="7"/>
      <c r="H976" s="7"/>
    </row>
    <row r="977" spans="2:8">
      <c r="B977" s="9"/>
      <c r="C977" s="24"/>
      <c r="D977" s="25"/>
      <c r="E977" s="7"/>
      <c r="F977" s="26"/>
      <c r="G977" s="7"/>
      <c r="H977" s="7"/>
    </row>
    <row r="978" spans="2:8">
      <c r="B978" s="9"/>
      <c r="C978" s="24"/>
      <c r="D978" s="25"/>
      <c r="E978" s="7"/>
      <c r="F978" s="26"/>
      <c r="G978" s="7"/>
      <c r="H978" s="7"/>
    </row>
    <row r="979" spans="2:8">
      <c r="B979" s="9"/>
      <c r="C979" s="24"/>
      <c r="D979" s="25"/>
      <c r="E979" s="7"/>
      <c r="F979" s="26"/>
      <c r="G979" s="7"/>
      <c r="H979" s="7"/>
    </row>
    <row r="980" spans="2:8">
      <c r="B980" s="9"/>
      <c r="C980" s="24"/>
      <c r="D980" s="25"/>
      <c r="E980" s="7"/>
      <c r="F980" s="26"/>
      <c r="G980" s="7"/>
      <c r="H980" s="7"/>
    </row>
    <row r="981" spans="2:8">
      <c r="B981" s="9"/>
      <c r="C981" s="24"/>
      <c r="D981" s="25"/>
      <c r="E981" s="7"/>
      <c r="F981" s="26"/>
      <c r="G981" s="7"/>
      <c r="H981" s="7"/>
    </row>
    <row r="982" spans="2:8">
      <c r="B982" s="9"/>
      <c r="C982" s="24"/>
      <c r="D982" s="25"/>
      <c r="E982" s="7"/>
      <c r="F982" s="26"/>
      <c r="G982" s="7"/>
      <c r="H982" s="7"/>
    </row>
    <row r="983" spans="2:8">
      <c r="B983" s="9"/>
      <c r="C983" s="24"/>
      <c r="D983" s="25"/>
      <c r="E983" s="7"/>
      <c r="F983" s="26"/>
      <c r="G983" s="7"/>
      <c r="H983" s="7"/>
    </row>
    <row r="984" spans="2:8">
      <c r="B984" s="9"/>
      <c r="C984" s="24"/>
      <c r="D984" s="25"/>
      <c r="E984" s="7"/>
      <c r="F984" s="26"/>
      <c r="G984" s="7"/>
      <c r="H984" s="7"/>
    </row>
    <row r="985" spans="2:8">
      <c r="B985" s="9"/>
      <c r="C985" s="24"/>
      <c r="D985" s="25"/>
      <c r="E985" s="7"/>
      <c r="F985" s="26"/>
      <c r="G985" s="7"/>
      <c r="H985" s="7"/>
    </row>
    <row r="986" spans="2:8">
      <c r="B986" s="9"/>
      <c r="C986" s="24"/>
      <c r="D986" s="25"/>
      <c r="E986" s="7"/>
      <c r="F986" s="26"/>
      <c r="G986" s="7"/>
      <c r="H986" s="7"/>
    </row>
    <row r="987" spans="2:8">
      <c r="B987" s="9"/>
      <c r="C987" s="24"/>
      <c r="D987" s="25"/>
      <c r="E987" s="7"/>
      <c r="F987" s="26"/>
      <c r="G987" s="7"/>
      <c r="H987" s="7"/>
    </row>
    <row r="988" spans="2:8">
      <c r="B988" s="9"/>
      <c r="C988" s="24"/>
      <c r="D988" s="25"/>
      <c r="E988" s="7"/>
      <c r="F988" s="26"/>
      <c r="G988" s="7"/>
      <c r="H988" s="7"/>
    </row>
    <row r="989" spans="2:8">
      <c r="B989" s="9"/>
      <c r="C989" s="24"/>
      <c r="D989" s="25"/>
      <c r="E989" s="7"/>
      <c r="F989" s="26"/>
      <c r="G989" s="7"/>
      <c r="H989" s="7"/>
    </row>
    <row r="990" spans="2:8">
      <c r="B990" s="9"/>
      <c r="C990" s="24"/>
      <c r="D990" s="25"/>
      <c r="E990" s="7"/>
      <c r="F990" s="26"/>
      <c r="G990" s="7"/>
      <c r="H990" s="7"/>
    </row>
    <row r="991" spans="2:8">
      <c r="B991" s="9"/>
      <c r="C991" s="24"/>
      <c r="D991" s="25"/>
      <c r="E991" s="7"/>
      <c r="F991" s="26"/>
      <c r="G991" s="7"/>
      <c r="H991" s="7"/>
    </row>
    <row r="992" spans="2:8">
      <c r="B992" s="9"/>
      <c r="C992" s="24"/>
      <c r="D992" s="25"/>
      <c r="E992" s="7"/>
      <c r="F992" s="26"/>
      <c r="G992" s="7"/>
      <c r="H992" s="7"/>
    </row>
    <row r="993" spans="2:8">
      <c r="B993" s="9"/>
      <c r="C993" s="24"/>
      <c r="D993" s="25"/>
      <c r="E993" s="7"/>
      <c r="F993" s="26"/>
      <c r="G993" s="7"/>
      <c r="H993" s="7"/>
    </row>
    <row r="994" spans="2:8">
      <c r="B994" s="9"/>
      <c r="C994" s="24"/>
      <c r="D994" s="25"/>
      <c r="E994" s="7"/>
      <c r="F994" s="26"/>
      <c r="G994" s="7"/>
      <c r="H994" s="7"/>
    </row>
    <row r="995" spans="2:8">
      <c r="B995" s="9"/>
      <c r="C995" s="24"/>
      <c r="D995" s="25"/>
      <c r="E995" s="7"/>
      <c r="F995" s="26"/>
      <c r="G995" s="7"/>
      <c r="H995" s="7"/>
    </row>
    <row r="996" spans="2:8">
      <c r="B996" s="9"/>
      <c r="C996" s="24"/>
      <c r="D996" s="25"/>
      <c r="E996" s="7"/>
      <c r="F996" s="26"/>
      <c r="G996" s="7"/>
      <c r="H996" s="7"/>
    </row>
    <row r="997" spans="2:8">
      <c r="B997" s="9"/>
      <c r="C997" s="24"/>
      <c r="D997" s="25"/>
      <c r="E997" s="7"/>
      <c r="F997" s="26"/>
      <c r="G997" s="7"/>
      <c r="H997" s="7"/>
    </row>
    <row r="998" spans="2:8">
      <c r="B998" s="9"/>
      <c r="C998" s="24"/>
      <c r="D998" s="25"/>
      <c r="E998" s="7"/>
      <c r="F998" s="26"/>
      <c r="G998" s="7"/>
      <c r="H998" s="7"/>
    </row>
    <row r="999" spans="2:8">
      <c r="B999" s="9"/>
      <c r="C999" s="24"/>
      <c r="D999" s="25"/>
      <c r="E999" s="7"/>
      <c r="F999" s="26"/>
      <c r="G999" s="7"/>
      <c r="H999" s="7"/>
    </row>
    <row r="1000" spans="2:8">
      <c r="B1000" s="9"/>
      <c r="C1000" s="24"/>
      <c r="D1000" s="25"/>
      <c r="E1000" s="7"/>
      <c r="F1000" s="26"/>
      <c r="G1000" s="7"/>
      <c r="H1000" s="7"/>
    </row>
    <row r="1001" spans="2:8">
      <c r="B1001" s="9"/>
      <c r="C1001" s="24"/>
      <c r="D1001" s="25"/>
      <c r="E1001" s="7"/>
      <c r="F1001" s="26"/>
      <c r="G1001" s="7"/>
      <c r="H1001" s="7"/>
    </row>
    <row r="1002" spans="2:8">
      <c r="B1002" s="9"/>
      <c r="C1002" s="24"/>
      <c r="D1002" s="25"/>
      <c r="E1002" s="7"/>
      <c r="F1002" s="26"/>
      <c r="G1002" s="7"/>
      <c r="H1002" s="7"/>
    </row>
    <row r="1003" spans="2:8">
      <c r="B1003" s="9"/>
      <c r="C1003" s="24"/>
      <c r="D1003" s="25"/>
      <c r="E1003" s="7"/>
      <c r="F1003" s="26"/>
      <c r="G1003" s="7"/>
      <c r="H1003" s="7"/>
    </row>
    <row r="1004" spans="2:8">
      <c r="B1004" s="9"/>
      <c r="C1004" s="24"/>
      <c r="D1004" s="25"/>
      <c r="E1004" s="7"/>
      <c r="F1004" s="26"/>
      <c r="G1004" s="7"/>
      <c r="H1004" s="7"/>
    </row>
    <row r="1005" spans="2:8">
      <c r="B1005" s="9"/>
      <c r="C1005" s="24"/>
      <c r="D1005" s="25"/>
      <c r="E1005" s="7"/>
      <c r="F1005" s="26"/>
      <c r="G1005" s="7"/>
      <c r="H1005" s="7"/>
    </row>
    <row r="1006" spans="2:8">
      <c r="B1006" s="9"/>
      <c r="C1006" s="24"/>
      <c r="D1006" s="25"/>
      <c r="E1006" s="7"/>
      <c r="F1006" s="26"/>
      <c r="G1006" s="7"/>
      <c r="H1006" s="7"/>
    </row>
    <row r="1007" spans="2:8">
      <c r="B1007" s="9"/>
      <c r="C1007" s="24"/>
      <c r="D1007" s="25"/>
      <c r="E1007" s="7"/>
      <c r="F1007" s="26"/>
      <c r="G1007" s="7"/>
      <c r="H1007" s="7"/>
    </row>
    <row r="1008" spans="2:8">
      <c r="B1008" s="9"/>
      <c r="C1008" s="24"/>
      <c r="D1008" s="25"/>
      <c r="E1008" s="7"/>
      <c r="F1008" s="26"/>
      <c r="G1008" s="7"/>
      <c r="H1008" s="7"/>
    </row>
    <row r="1009" spans="2:8">
      <c r="B1009" s="9"/>
      <c r="C1009" s="24"/>
      <c r="D1009" s="25"/>
      <c r="E1009" s="7"/>
      <c r="F1009" s="26"/>
      <c r="G1009" s="7"/>
      <c r="H1009" s="7"/>
    </row>
    <row r="1010" spans="2:8">
      <c r="B1010" s="9"/>
      <c r="C1010" s="24"/>
      <c r="D1010" s="25"/>
      <c r="E1010" s="7"/>
      <c r="F1010" s="26"/>
      <c r="G1010" s="7"/>
      <c r="H1010" s="7"/>
    </row>
    <row r="1011" spans="2:8">
      <c r="B1011" s="9"/>
      <c r="C1011" s="24"/>
      <c r="D1011" s="25"/>
      <c r="E1011" s="7"/>
      <c r="F1011" s="26"/>
      <c r="G1011" s="7"/>
      <c r="H1011" s="7"/>
    </row>
    <row r="1012" spans="2:8">
      <c r="B1012" s="9"/>
      <c r="C1012" s="24"/>
      <c r="D1012" s="25"/>
      <c r="E1012" s="7"/>
      <c r="F1012" s="26"/>
      <c r="G1012" s="7"/>
      <c r="H1012" s="7"/>
    </row>
    <row r="1013" spans="2:8">
      <c r="B1013" s="9"/>
      <c r="C1013" s="24"/>
      <c r="D1013" s="25"/>
      <c r="E1013" s="7"/>
      <c r="F1013" s="26"/>
      <c r="G1013" s="7"/>
      <c r="H1013" s="7"/>
    </row>
    <row r="1014" spans="2:8">
      <c r="B1014" s="9"/>
      <c r="C1014" s="24"/>
      <c r="D1014" s="25"/>
      <c r="E1014" s="7"/>
      <c r="F1014" s="26"/>
      <c r="G1014" s="7"/>
      <c r="H1014" s="7"/>
    </row>
    <row r="1015" spans="2:8">
      <c r="B1015" s="9"/>
      <c r="C1015" s="24"/>
      <c r="D1015" s="25"/>
      <c r="E1015" s="7"/>
      <c r="F1015" s="26"/>
      <c r="G1015" s="7"/>
      <c r="H1015" s="7"/>
    </row>
    <row r="1016" spans="2:8">
      <c r="B1016" s="9"/>
      <c r="C1016" s="24"/>
      <c r="D1016" s="25"/>
      <c r="E1016" s="7"/>
      <c r="F1016" s="26"/>
      <c r="G1016" s="7"/>
      <c r="H1016" s="7"/>
    </row>
    <row r="1017" spans="2:8">
      <c r="B1017" s="9"/>
      <c r="C1017" s="24"/>
      <c r="D1017" s="25"/>
      <c r="E1017" s="7"/>
      <c r="F1017" s="26"/>
      <c r="G1017" s="7"/>
      <c r="H1017" s="7"/>
    </row>
    <row r="1018" spans="2:8">
      <c r="B1018" s="9"/>
      <c r="C1018" s="24"/>
      <c r="D1018" s="25"/>
      <c r="E1018" s="7"/>
      <c r="F1018" s="26"/>
      <c r="G1018" s="7"/>
      <c r="H1018" s="7"/>
    </row>
    <row r="1019" spans="2:8">
      <c r="B1019" s="9"/>
      <c r="C1019" s="24"/>
      <c r="D1019" s="25"/>
      <c r="E1019" s="7"/>
      <c r="F1019" s="26"/>
      <c r="G1019" s="7"/>
      <c r="H1019" s="7"/>
    </row>
    <row r="1020" spans="2:8">
      <c r="B1020" s="9"/>
      <c r="C1020" s="24"/>
      <c r="D1020" s="25"/>
      <c r="E1020" s="7"/>
      <c r="F1020" s="26"/>
      <c r="G1020" s="7"/>
      <c r="H1020" s="7"/>
    </row>
    <row r="1021" spans="2:8">
      <c r="B1021" s="9"/>
      <c r="C1021" s="24"/>
      <c r="D1021" s="25"/>
      <c r="E1021" s="7"/>
      <c r="F1021" s="26"/>
      <c r="G1021" s="7"/>
      <c r="H1021" s="7"/>
    </row>
    <row r="1022" spans="2:8">
      <c r="B1022" s="9"/>
      <c r="C1022" s="24"/>
      <c r="D1022" s="25"/>
      <c r="E1022" s="7"/>
      <c r="F1022" s="26"/>
      <c r="G1022" s="7"/>
      <c r="H1022" s="7"/>
    </row>
    <row r="1023" spans="2:8">
      <c r="B1023" s="9"/>
      <c r="C1023" s="24"/>
      <c r="D1023" s="25"/>
      <c r="E1023" s="7"/>
      <c r="F1023" s="26"/>
      <c r="G1023" s="7"/>
      <c r="H1023" s="7"/>
    </row>
    <row r="1024" spans="2:8">
      <c r="B1024" s="9"/>
      <c r="C1024" s="24"/>
      <c r="D1024" s="25"/>
      <c r="E1024" s="7"/>
      <c r="F1024" s="26"/>
      <c r="G1024" s="7"/>
      <c r="H1024" s="7"/>
    </row>
    <row r="1025" spans="2:8">
      <c r="B1025" s="9"/>
      <c r="C1025" s="24"/>
      <c r="D1025" s="25"/>
      <c r="E1025" s="7"/>
      <c r="F1025" s="26"/>
      <c r="G1025" s="7"/>
      <c r="H1025" s="7"/>
    </row>
    <row r="1026" spans="2:8">
      <c r="B1026" s="9"/>
      <c r="C1026" s="24"/>
      <c r="D1026" s="25"/>
      <c r="E1026" s="7"/>
      <c r="F1026" s="26"/>
      <c r="G1026" s="7"/>
      <c r="H1026" s="7"/>
    </row>
    <row r="1027" spans="2:8">
      <c r="B1027" s="9"/>
      <c r="C1027" s="24"/>
      <c r="D1027" s="25"/>
      <c r="E1027" s="7"/>
      <c r="F1027" s="26"/>
      <c r="G1027" s="7"/>
      <c r="H1027" s="7"/>
    </row>
    <row r="1028" spans="2:8">
      <c r="B1028" s="9"/>
      <c r="C1028" s="24"/>
      <c r="D1028" s="25"/>
      <c r="E1028" s="7"/>
      <c r="F1028" s="26"/>
      <c r="G1028" s="7"/>
      <c r="H1028" s="7"/>
    </row>
    <row r="1029" spans="2:8">
      <c r="B1029" s="9"/>
      <c r="C1029" s="24"/>
      <c r="D1029" s="25"/>
      <c r="E1029" s="7"/>
      <c r="F1029" s="26"/>
      <c r="G1029" s="7"/>
      <c r="H1029" s="7"/>
    </row>
    <row r="1030" spans="2:8">
      <c r="B1030" s="9"/>
      <c r="C1030" s="24"/>
      <c r="D1030" s="25"/>
      <c r="E1030" s="7"/>
      <c r="F1030" s="26"/>
      <c r="G1030" s="7"/>
      <c r="H1030" s="7"/>
    </row>
    <row r="1031" spans="2:8">
      <c r="B1031" s="9"/>
      <c r="C1031" s="24"/>
      <c r="D1031" s="25"/>
      <c r="E1031" s="7"/>
      <c r="F1031" s="26"/>
      <c r="G1031" s="7"/>
      <c r="H1031" s="7"/>
    </row>
    <row r="1032" spans="2:8">
      <c r="B1032" s="9"/>
      <c r="C1032" s="24"/>
      <c r="D1032" s="25"/>
      <c r="E1032" s="7"/>
      <c r="F1032" s="26"/>
      <c r="G1032" s="7"/>
      <c r="H1032" s="7"/>
    </row>
    <row r="1033" spans="2:8">
      <c r="B1033" s="9"/>
      <c r="C1033" s="24"/>
      <c r="D1033" s="25"/>
      <c r="E1033" s="7"/>
      <c r="F1033" s="26"/>
      <c r="G1033" s="7"/>
      <c r="H1033" s="7"/>
    </row>
    <row r="1034" spans="2:8">
      <c r="B1034" s="9"/>
      <c r="C1034" s="24"/>
      <c r="D1034" s="25"/>
      <c r="E1034" s="7"/>
      <c r="F1034" s="26"/>
      <c r="G1034" s="7"/>
      <c r="H1034" s="7"/>
    </row>
    <row r="1035" spans="2:8">
      <c r="B1035" s="9"/>
      <c r="C1035" s="24"/>
      <c r="D1035" s="25"/>
      <c r="E1035" s="7"/>
      <c r="F1035" s="26"/>
      <c r="G1035" s="7"/>
      <c r="H1035" s="7"/>
    </row>
    <row r="1036" spans="2:8">
      <c r="B1036" s="9"/>
      <c r="C1036" s="24"/>
      <c r="D1036" s="25"/>
      <c r="E1036" s="7"/>
      <c r="F1036" s="26"/>
      <c r="G1036" s="7"/>
      <c r="H1036" s="7"/>
    </row>
    <row r="1037" spans="2:8">
      <c r="B1037" s="9"/>
      <c r="C1037" s="24"/>
      <c r="D1037" s="25"/>
      <c r="E1037" s="7"/>
      <c r="F1037" s="26"/>
      <c r="G1037" s="7"/>
      <c r="H1037" s="7"/>
    </row>
    <row r="1038" spans="2:8">
      <c r="B1038" s="9"/>
      <c r="C1038" s="24"/>
      <c r="D1038" s="25"/>
      <c r="E1038" s="7"/>
      <c r="F1038" s="26"/>
      <c r="G1038" s="7"/>
      <c r="H1038" s="7"/>
    </row>
    <row r="1039" spans="2:8">
      <c r="B1039" s="9"/>
      <c r="C1039" s="24"/>
      <c r="D1039" s="25"/>
      <c r="E1039" s="7"/>
      <c r="F1039" s="26"/>
      <c r="G1039" s="7"/>
      <c r="H1039" s="7"/>
    </row>
    <row r="1040" spans="2:8">
      <c r="B1040" s="9"/>
      <c r="C1040" s="24"/>
      <c r="D1040" s="25"/>
      <c r="E1040" s="7"/>
      <c r="F1040" s="26"/>
      <c r="G1040" s="7"/>
      <c r="H1040" s="7"/>
    </row>
    <row r="1041" spans="2:8">
      <c r="B1041" s="9"/>
      <c r="C1041" s="24"/>
      <c r="D1041" s="25"/>
      <c r="E1041" s="7"/>
      <c r="F1041" s="26"/>
      <c r="G1041" s="7"/>
      <c r="H1041" s="7"/>
    </row>
    <row r="1042" spans="2:8">
      <c r="B1042" s="9"/>
      <c r="C1042" s="24"/>
      <c r="D1042" s="25"/>
      <c r="E1042" s="7"/>
      <c r="F1042" s="26"/>
      <c r="G1042" s="7"/>
      <c r="H1042" s="7"/>
    </row>
    <row r="1043" spans="2:8">
      <c r="B1043" s="9"/>
      <c r="C1043" s="24"/>
      <c r="D1043" s="25"/>
      <c r="E1043" s="7"/>
      <c r="F1043" s="26"/>
      <c r="G1043" s="7"/>
      <c r="H1043" s="7"/>
    </row>
    <row r="1044" spans="2:8">
      <c r="B1044" s="9"/>
      <c r="C1044" s="24"/>
      <c r="D1044" s="25"/>
      <c r="E1044" s="7"/>
      <c r="F1044" s="26"/>
      <c r="G1044" s="7"/>
      <c r="H1044" s="7"/>
    </row>
    <row r="1045" spans="2:8">
      <c r="B1045" s="9"/>
      <c r="C1045" s="24"/>
      <c r="D1045" s="25"/>
      <c r="E1045" s="7"/>
      <c r="F1045" s="26"/>
      <c r="G1045" s="7"/>
      <c r="H1045" s="7"/>
    </row>
    <row r="1046" spans="2:8">
      <c r="B1046" s="9"/>
      <c r="C1046" s="24"/>
      <c r="D1046" s="25"/>
      <c r="E1046" s="7"/>
      <c r="F1046" s="26"/>
      <c r="G1046" s="7"/>
      <c r="H1046" s="7"/>
    </row>
    <row r="1047" spans="2:8">
      <c r="B1047" s="9"/>
      <c r="C1047" s="24"/>
      <c r="D1047" s="25"/>
      <c r="E1047" s="7"/>
      <c r="F1047" s="26"/>
      <c r="G1047" s="7"/>
      <c r="H1047" s="7"/>
    </row>
    <row r="1048" spans="2:8">
      <c r="B1048" s="9"/>
      <c r="C1048" s="24"/>
      <c r="D1048" s="25"/>
      <c r="E1048" s="7"/>
      <c r="F1048" s="26"/>
      <c r="G1048" s="7"/>
      <c r="H1048" s="7"/>
    </row>
    <row r="1049" spans="2:8">
      <c r="B1049" s="9"/>
      <c r="C1049" s="24"/>
      <c r="D1049" s="25"/>
      <c r="E1049" s="7"/>
      <c r="F1049" s="26"/>
      <c r="G1049" s="7"/>
      <c r="H1049" s="7"/>
    </row>
    <row r="1050" spans="2:8">
      <c r="B1050" s="9"/>
      <c r="C1050" s="24"/>
      <c r="D1050" s="25"/>
      <c r="E1050" s="7"/>
      <c r="F1050" s="26"/>
      <c r="G1050" s="7"/>
      <c r="H1050" s="7"/>
    </row>
    <row r="1051" spans="2:8">
      <c r="B1051" s="9"/>
      <c r="C1051" s="24"/>
      <c r="D1051" s="25"/>
      <c r="E1051" s="7"/>
      <c r="F1051" s="26"/>
      <c r="G1051" s="7"/>
      <c r="H1051" s="7"/>
    </row>
    <row r="1052" spans="2:8">
      <c r="B1052" s="9"/>
      <c r="C1052" s="24"/>
      <c r="D1052" s="25"/>
      <c r="E1052" s="7"/>
      <c r="F1052" s="26"/>
      <c r="G1052" s="7"/>
      <c r="H1052" s="7"/>
    </row>
    <row r="1053" spans="2:8">
      <c r="B1053" s="9"/>
      <c r="C1053" s="24"/>
      <c r="D1053" s="25"/>
      <c r="E1053" s="7"/>
      <c r="F1053" s="26"/>
      <c r="G1053" s="7"/>
      <c r="H1053" s="7"/>
    </row>
    <row r="1054" spans="2:8">
      <c r="B1054" s="9"/>
      <c r="C1054" s="24"/>
      <c r="D1054" s="25"/>
      <c r="E1054" s="7"/>
      <c r="F1054" s="26"/>
      <c r="G1054" s="7"/>
      <c r="H1054" s="7"/>
    </row>
    <row r="1055" spans="2:8">
      <c r="B1055" s="9"/>
      <c r="C1055" s="24"/>
      <c r="D1055" s="25"/>
      <c r="E1055" s="7"/>
      <c r="F1055" s="26"/>
      <c r="G1055" s="7"/>
      <c r="H1055" s="7"/>
    </row>
    <row r="1056" spans="2:8">
      <c r="B1056" s="9"/>
      <c r="C1056" s="24"/>
      <c r="D1056" s="25"/>
      <c r="E1056" s="7"/>
      <c r="F1056" s="26"/>
      <c r="G1056" s="7"/>
      <c r="H1056" s="7"/>
    </row>
    <row r="1057" spans="2:8">
      <c r="B1057" s="9"/>
      <c r="C1057" s="24"/>
      <c r="D1057" s="25"/>
      <c r="E1057" s="7"/>
      <c r="F1057" s="26"/>
      <c r="G1057" s="7"/>
      <c r="H1057" s="7"/>
    </row>
    <row r="1058" spans="2:8">
      <c r="B1058" s="9"/>
      <c r="C1058" s="24"/>
      <c r="D1058" s="25"/>
      <c r="E1058" s="7"/>
      <c r="F1058" s="26"/>
      <c r="G1058" s="7"/>
      <c r="H1058" s="7"/>
    </row>
    <row r="1059" spans="2:8">
      <c r="B1059" s="9"/>
      <c r="C1059" s="24"/>
      <c r="D1059" s="25"/>
      <c r="E1059" s="7"/>
      <c r="F1059" s="26"/>
      <c r="G1059" s="7"/>
      <c r="H1059" s="7"/>
    </row>
    <row r="1060" spans="2:8">
      <c r="B1060" s="9"/>
      <c r="C1060" s="24"/>
      <c r="D1060" s="25"/>
      <c r="E1060" s="7"/>
      <c r="F1060" s="26"/>
      <c r="G1060" s="7"/>
      <c r="H1060" s="7"/>
    </row>
    <row r="1061" spans="2:8">
      <c r="B1061" s="9"/>
      <c r="C1061" s="24"/>
      <c r="D1061" s="25"/>
      <c r="E1061" s="7"/>
      <c r="F1061" s="26"/>
      <c r="G1061" s="7"/>
      <c r="H1061" s="7"/>
    </row>
    <row r="1062" spans="2:8">
      <c r="B1062" s="9"/>
      <c r="C1062" s="24"/>
      <c r="D1062" s="25"/>
      <c r="E1062" s="7"/>
      <c r="F1062" s="26"/>
      <c r="G1062" s="7"/>
      <c r="H1062" s="7"/>
    </row>
    <row r="1063" spans="2:8">
      <c r="B1063" s="9"/>
      <c r="C1063" s="24"/>
      <c r="D1063" s="25"/>
      <c r="E1063" s="7"/>
      <c r="F1063" s="26"/>
      <c r="G1063" s="7"/>
      <c r="H1063" s="7"/>
    </row>
    <row r="1064" spans="2:8">
      <c r="B1064" s="9"/>
      <c r="C1064" s="24"/>
      <c r="D1064" s="25"/>
      <c r="E1064" s="7"/>
      <c r="F1064" s="26"/>
      <c r="G1064" s="7"/>
      <c r="H1064" s="7"/>
    </row>
    <row r="1065" spans="2:8">
      <c r="B1065" s="9"/>
      <c r="C1065" s="24"/>
      <c r="D1065" s="25"/>
      <c r="E1065" s="7"/>
      <c r="F1065" s="26"/>
      <c r="G1065" s="7"/>
      <c r="H1065" s="7"/>
    </row>
    <row r="1066" spans="2:8">
      <c r="B1066" s="9"/>
      <c r="C1066" s="24"/>
      <c r="D1066" s="25"/>
      <c r="E1066" s="7"/>
      <c r="F1066" s="26"/>
      <c r="G1066" s="7"/>
      <c r="H1066" s="7"/>
    </row>
    <row r="1067" spans="2:8">
      <c r="B1067" s="9"/>
      <c r="C1067" s="24"/>
      <c r="D1067" s="25"/>
      <c r="E1067" s="7"/>
      <c r="F1067" s="26"/>
      <c r="G1067" s="7"/>
      <c r="H1067" s="7"/>
    </row>
    <row r="1068" spans="2:8">
      <c r="B1068" s="9"/>
      <c r="C1068" s="24"/>
      <c r="D1068" s="25"/>
      <c r="E1068" s="7"/>
      <c r="F1068" s="26"/>
      <c r="G1068" s="7"/>
      <c r="H1068" s="7"/>
    </row>
    <row r="1069" spans="2:8">
      <c r="B1069" s="9"/>
      <c r="C1069" s="24"/>
      <c r="D1069" s="25"/>
      <c r="E1069" s="7"/>
      <c r="F1069" s="26"/>
      <c r="G1069" s="7"/>
      <c r="H1069" s="7"/>
    </row>
    <row r="1070" spans="2:8">
      <c r="B1070" s="9"/>
      <c r="C1070" s="24"/>
      <c r="D1070" s="25"/>
      <c r="E1070" s="7"/>
      <c r="F1070" s="26"/>
      <c r="G1070" s="7"/>
      <c r="H1070" s="7"/>
    </row>
    <row r="1071" spans="2:8">
      <c r="B1071" s="9"/>
      <c r="C1071" s="24"/>
      <c r="D1071" s="25"/>
      <c r="E1071" s="7"/>
      <c r="F1071" s="26"/>
      <c r="G1071" s="7"/>
      <c r="H1071" s="7"/>
    </row>
    <row r="1072" spans="2:8">
      <c r="B1072" s="9"/>
      <c r="C1072" s="24"/>
      <c r="D1072" s="25"/>
      <c r="E1072" s="7"/>
      <c r="F1072" s="26"/>
      <c r="G1072" s="7"/>
      <c r="H1072" s="7"/>
    </row>
    <row r="1073" spans="2:8">
      <c r="B1073" s="9"/>
      <c r="C1073" s="24"/>
      <c r="D1073" s="25"/>
      <c r="E1073" s="7"/>
      <c r="F1073" s="26"/>
      <c r="G1073" s="7"/>
      <c r="H1073" s="7"/>
    </row>
    <row r="1074" spans="2:8">
      <c r="B1074" s="9"/>
      <c r="C1074" s="24"/>
      <c r="D1074" s="25"/>
      <c r="E1074" s="7"/>
      <c r="F1074" s="26"/>
      <c r="G1074" s="7"/>
      <c r="H1074" s="7"/>
    </row>
    <row r="1075" spans="2:8">
      <c r="B1075" s="9"/>
      <c r="C1075" s="24"/>
      <c r="D1075" s="25"/>
      <c r="E1075" s="7"/>
      <c r="F1075" s="26"/>
      <c r="G1075" s="7"/>
      <c r="H1075" s="7"/>
    </row>
    <row r="1076" spans="2:8">
      <c r="B1076" s="9"/>
      <c r="C1076" s="24"/>
      <c r="D1076" s="25"/>
      <c r="E1076" s="7"/>
      <c r="F1076" s="26"/>
      <c r="G1076" s="7"/>
      <c r="H1076" s="7"/>
    </row>
    <row r="1077" spans="2:8">
      <c r="B1077" s="9"/>
      <c r="C1077" s="24"/>
      <c r="D1077" s="25"/>
      <c r="E1077" s="7"/>
      <c r="F1077" s="26"/>
      <c r="G1077" s="7"/>
      <c r="H1077" s="7"/>
    </row>
    <row r="1078" spans="2:8">
      <c r="B1078" s="9"/>
      <c r="C1078" s="24"/>
      <c r="D1078" s="25"/>
      <c r="E1078" s="7"/>
      <c r="F1078" s="26"/>
      <c r="G1078" s="7"/>
      <c r="H1078" s="7"/>
    </row>
    <row r="1079" spans="2:8">
      <c r="B1079" s="9"/>
      <c r="C1079" s="24"/>
      <c r="D1079" s="25"/>
      <c r="E1079" s="7"/>
      <c r="F1079" s="26"/>
      <c r="G1079" s="7"/>
      <c r="H1079" s="7"/>
    </row>
    <row r="1080" spans="2:8">
      <c r="B1080" s="9"/>
      <c r="C1080" s="24"/>
      <c r="D1080" s="25"/>
      <c r="E1080" s="7"/>
      <c r="F1080" s="26"/>
      <c r="G1080" s="7"/>
      <c r="H1080" s="7"/>
    </row>
    <row r="1081" spans="2:8">
      <c r="B1081" s="9"/>
      <c r="C1081" s="24"/>
      <c r="D1081" s="25"/>
      <c r="E1081" s="7"/>
      <c r="F1081" s="26"/>
      <c r="G1081" s="7"/>
      <c r="H1081" s="7"/>
    </row>
    <row r="1082" spans="2:8">
      <c r="B1082" s="9"/>
      <c r="C1082" s="24"/>
      <c r="D1082" s="25"/>
      <c r="E1082" s="7"/>
      <c r="F1082" s="26"/>
      <c r="G1082" s="7"/>
      <c r="H1082" s="7"/>
    </row>
    <row r="1083" spans="2:8">
      <c r="B1083" s="9"/>
      <c r="C1083" s="24"/>
      <c r="D1083" s="25"/>
      <c r="E1083" s="7"/>
      <c r="F1083" s="26"/>
      <c r="G1083" s="7"/>
      <c r="H1083" s="7"/>
    </row>
    <row r="1084" spans="2:8">
      <c r="B1084" s="9"/>
      <c r="C1084" s="24"/>
      <c r="D1084" s="25"/>
      <c r="E1084" s="7"/>
      <c r="F1084" s="26"/>
      <c r="G1084" s="7"/>
      <c r="H1084" s="7"/>
    </row>
    <row r="1085" spans="2:8">
      <c r="B1085" s="9"/>
      <c r="C1085" s="24"/>
      <c r="D1085" s="25"/>
      <c r="E1085" s="7"/>
      <c r="F1085" s="26"/>
      <c r="G1085" s="7"/>
      <c r="H1085" s="7"/>
    </row>
    <row r="1086" spans="2:8">
      <c r="B1086" s="9"/>
      <c r="C1086" s="24"/>
      <c r="D1086" s="25"/>
      <c r="E1086" s="7"/>
      <c r="F1086" s="26"/>
      <c r="G1086" s="7"/>
      <c r="H1086" s="7"/>
    </row>
    <row r="1087" spans="2:8">
      <c r="B1087" s="9"/>
      <c r="C1087" s="24"/>
      <c r="D1087" s="25"/>
      <c r="E1087" s="7"/>
      <c r="F1087" s="26"/>
      <c r="G1087" s="7"/>
      <c r="H1087" s="7"/>
    </row>
    <row r="1088" spans="2:8">
      <c r="B1088" s="9"/>
      <c r="C1088" s="24"/>
      <c r="D1088" s="25"/>
      <c r="E1088" s="7"/>
      <c r="F1088" s="26"/>
      <c r="G1088" s="7"/>
      <c r="H1088" s="7"/>
    </row>
    <row r="1089" spans="2:8">
      <c r="B1089" s="9"/>
      <c r="C1089" s="24"/>
      <c r="D1089" s="25"/>
      <c r="E1089" s="7"/>
      <c r="F1089" s="26"/>
      <c r="G1089" s="7"/>
      <c r="H1089" s="7"/>
    </row>
    <row r="1090" spans="2:8">
      <c r="B1090" s="9"/>
      <c r="C1090" s="24"/>
      <c r="D1090" s="25"/>
      <c r="E1090" s="7"/>
      <c r="F1090" s="26"/>
      <c r="G1090" s="7"/>
      <c r="H1090" s="7"/>
    </row>
    <row r="1091" spans="2:8">
      <c r="B1091" s="9"/>
      <c r="C1091" s="24"/>
      <c r="D1091" s="25"/>
      <c r="E1091" s="7"/>
      <c r="F1091" s="26"/>
      <c r="G1091" s="7"/>
      <c r="H1091" s="7"/>
    </row>
    <row r="1092" spans="2:8">
      <c r="B1092" s="9"/>
      <c r="C1092" s="24"/>
      <c r="D1092" s="25"/>
      <c r="E1092" s="7"/>
      <c r="F1092" s="26"/>
      <c r="G1092" s="7"/>
      <c r="H1092" s="7"/>
    </row>
    <row r="1093" spans="2:8">
      <c r="B1093" s="9"/>
      <c r="C1093" s="24"/>
      <c r="D1093" s="25"/>
      <c r="E1093" s="7"/>
      <c r="F1093" s="26"/>
      <c r="G1093" s="7"/>
      <c r="H1093" s="7"/>
    </row>
    <row r="1094" spans="2:8">
      <c r="B1094" s="9"/>
      <c r="C1094" s="24"/>
      <c r="D1094" s="25"/>
      <c r="E1094" s="7"/>
      <c r="F1094" s="26"/>
      <c r="G1094" s="7"/>
      <c r="H1094" s="7"/>
    </row>
    <row r="1095" spans="2:8">
      <c r="B1095" s="9"/>
      <c r="C1095" s="24"/>
      <c r="D1095" s="25"/>
      <c r="E1095" s="7"/>
      <c r="F1095" s="26"/>
      <c r="G1095" s="7"/>
      <c r="H1095" s="7"/>
    </row>
    <row r="1096" spans="2:8">
      <c r="B1096" s="9"/>
      <c r="C1096" s="24"/>
      <c r="D1096" s="25"/>
      <c r="E1096" s="7"/>
      <c r="F1096" s="26"/>
      <c r="G1096" s="7"/>
      <c r="H1096" s="7"/>
    </row>
    <row r="1097" spans="2:8">
      <c r="B1097" s="9"/>
      <c r="C1097" s="24"/>
      <c r="D1097" s="25"/>
      <c r="E1097" s="7"/>
      <c r="F1097" s="26"/>
      <c r="G1097" s="7"/>
      <c r="H1097" s="7"/>
    </row>
    <row r="1098" spans="2:8">
      <c r="B1098" s="9"/>
      <c r="C1098" s="24"/>
      <c r="D1098" s="25"/>
      <c r="E1098" s="7"/>
      <c r="F1098" s="26"/>
      <c r="G1098" s="7"/>
      <c r="H1098" s="7"/>
    </row>
    <row r="1099" spans="2:8">
      <c r="B1099" s="9"/>
      <c r="C1099" s="24"/>
      <c r="D1099" s="25"/>
      <c r="E1099" s="7"/>
      <c r="F1099" s="26"/>
      <c r="G1099" s="7"/>
      <c r="H1099" s="7"/>
    </row>
    <row r="1100" spans="2:8">
      <c r="B1100" s="9"/>
      <c r="C1100" s="24"/>
      <c r="D1100" s="25"/>
      <c r="E1100" s="7"/>
      <c r="F1100" s="26"/>
      <c r="G1100" s="7"/>
      <c r="H1100" s="7"/>
    </row>
    <row r="1101" spans="2:8">
      <c r="B1101" s="9"/>
      <c r="C1101" s="24"/>
      <c r="D1101" s="25"/>
      <c r="E1101" s="7"/>
      <c r="F1101" s="26"/>
      <c r="G1101" s="7"/>
      <c r="H1101" s="7"/>
    </row>
    <row r="1102" spans="2:8">
      <c r="B1102" s="9"/>
      <c r="C1102" s="24"/>
      <c r="D1102" s="25"/>
      <c r="E1102" s="7"/>
      <c r="F1102" s="26"/>
      <c r="G1102" s="7"/>
      <c r="H1102" s="7"/>
    </row>
    <row r="1103" spans="2:8">
      <c r="B1103" s="9"/>
      <c r="C1103" s="24"/>
      <c r="D1103" s="25"/>
      <c r="E1103" s="7"/>
      <c r="F1103" s="26"/>
      <c r="G1103" s="7"/>
      <c r="H1103" s="7"/>
    </row>
    <row r="1104" spans="2:8">
      <c r="B1104" s="9"/>
      <c r="C1104" s="24"/>
      <c r="D1104" s="25"/>
      <c r="E1104" s="7"/>
      <c r="F1104" s="26"/>
      <c r="G1104" s="7"/>
      <c r="H1104" s="7"/>
    </row>
    <row r="1105" spans="2:8">
      <c r="B1105" s="9"/>
      <c r="C1105" s="24"/>
      <c r="D1105" s="25"/>
      <c r="E1105" s="7"/>
      <c r="F1105" s="26"/>
      <c r="G1105" s="7"/>
      <c r="H1105" s="7"/>
    </row>
    <row r="1106" spans="2:8">
      <c r="B1106" s="9"/>
      <c r="C1106" s="24"/>
      <c r="D1106" s="25"/>
      <c r="E1106" s="7"/>
      <c r="F1106" s="26"/>
      <c r="G1106" s="7"/>
      <c r="H1106" s="7"/>
    </row>
    <row r="1107" spans="2:8">
      <c r="B1107" s="9"/>
      <c r="C1107" s="24"/>
      <c r="D1107" s="25"/>
      <c r="E1107" s="7"/>
      <c r="F1107" s="26"/>
      <c r="G1107" s="7"/>
      <c r="H1107" s="7"/>
    </row>
    <row r="1108" spans="2:8">
      <c r="B1108" s="9"/>
      <c r="C1108" s="24"/>
      <c r="D1108" s="25"/>
      <c r="E1108" s="7"/>
      <c r="F1108" s="26"/>
      <c r="G1108" s="7"/>
      <c r="H1108" s="7"/>
    </row>
    <row r="1109" spans="2:8">
      <c r="B1109" s="9"/>
      <c r="C1109" s="24"/>
      <c r="D1109" s="25"/>
      <c r="E1109" s="7"/>
      <c r="F1109" s="26"/>
      <c r="G1109" s="7"/>
      <c r="H1109" s="7"/>
    </row>
    <row r="1110" spans="2:8">
      <c r="B1110" s="9"/>
      <c r="C1110" s="24"/>
      <c r="D1110" s="25"/>
      <c r="E1110" s="7"/>
      <c r="F1110" s="26"/>
      <c r="G1110" s="7"/>
      <c r="H1110" s="7"/>
    </row>
    <row r="1111" spans="2:8">
      <c r="B1111" s="9"/>
      <c r="C1111" s="24"/>
      <c r="D1111" s="25"/>
      <c r="E1111" s="7"/>
      <c r="F1111" s="26"/>
      <c r="G1111" s="7"/>
      <c r="H1111" s="7"/>
    </row>
    <row r="1112" spans="2:8">
      <c r="B1112" s="9"/>
      <c r="C1112" s="24"/>
      <c r="D1112" s="25"/>
      <c r="E1112" s="7"/>
      <c r="F1112" s="26"/>
      <c r="G1112" s="7"/>
      <c r="H1112" s="7"/>
    </row>
    <row r="1113" spans="2:8">
      <c r="B1113" s="9"/>
      <c r="C1113" s="24"/>
      <c r="D1113" s="25"/>
      <c r="E1113" s="7"/>
      <c r="F1113" s="26"/>
      <c r="G1113" s="7"/>
      <c r="H1113" s="7"/>
    </row>
    <row r="1114" spans="2:8">
      <c r="B1114" s="9"/>
      <c r="C1114" s="24"/>
      <c r="D1114" s="25"/>
      <c r="E1114" s="7"/>
      <c r="F1114" s="26"/>
      <c r="G1114" s="7"/>
      <c r="H1114" s="7"/>
    </row>
    <row r="1115" spans="2:8">
      <c r="B1115" s="9"/>
      <c r="C1115" s="24"/>
      <c r="D1115" s="25"/>
      <c r="E1115" s="7"/>
      <c r="F1115" s="26"/>
      <c r="G1115" s="7"/>
      <c r="H1115" s="7"/>
    </row>
    <row r="1116" spans="2:8">
      <c r="B1116" s="9"/>
      <c r="C1116" s="24"/>
      <c r="D1116" s="25"/>
      <c r="E1116" s="7"/>
      <c r="F1116" s="26"/>
      <c r="G1116" s="7"/>
      <c r="H1116" s="7"/>
    </row>
    <row r="1117" spans="2:8">
      <c r="B1117" s="9"/>
      <c r="C1117" s="24"/>
      <c r="D1117" s="25"/>
      <c r="E1117" s="7"/>
      <c r="F1117" s="26"/>
      <c r="G1117" s="7"/>
      <c r="H1117" s="7"/>
    </row>
    <row r="1118" spans="2:8">
      <c r="B1118" s="9"/>
      <c r="C1118" s="24"/>
      <c r="D1118" s="25"/>
      <c r="E1118" s="7"/>
      <c r="F1118" s="26"/>
      <c r="G1118" s="7"/>
      <c r="H1118" s="7"/>
    </row>
    <row r="1119" spans="2:8">
      <c r="B1119" s="9"/>
      <c r="C1119" s="24"/>
      <c r="D1119" s="25"/>
      <c r="E1119" s="7"/>
      <c r="F1119" s="26"/>
      <c r="G1119" s="7"/>
      <c r="H1119" s="7"/>
    </row>
    <row r="1120" spans="2:8">
      <c r="B1120" s="9"/>
      <c r="C1120" s="24"/>
      <c r="D1120" s="25"/>
      <c r="E1120" s="7"/>
      <c r="F1120" s="26"/>
      <c r="G1120" s="7"/>
      <c r="H1120" s="7"/>
    </row>
    <row r="1121" spans="2:8">
      <c r="B1121" s="9"/>
      <c r="C1121" s="24"/>
      <c r="D1121" s="25"/>
      <c r="E1121" s="7"/>
      <c r="F1121" s="26"/>
      <c r="G1121" s="7"/>
      <c r="H1121" s="7"/>
    </row>
    <row r="1122" spans="2:8">
      <c r="B1122" s="9"/>
      <c r="C1122" s="24"/>
      <c r="D1122" s="25"/>
      <c r="E1122" s="7"/>
      <c r="F1122" s="26"/>
      <c r="G1122" s="7"/>
      <c r="H1122" s="7"/>
    </row>
    <row r="1123" spans="2:8">
      <c r="B1123" s="9"/>
      <c r="C1123" s="24"/>
      <c r="D1123" s="25"/>
      <c r="E1123" s="7"/>
      <c r="F1123" s="26"/>
      <c r="G1123" s="7"/>
      <c r="H1123" s="7"/>
    </row>
    <row r="1124" spans="2:8">
      <c r="B1124" s="9"/>
      <c r="C1124" s="24"/>
      <c r="D1124" s="25"/>
      <c r="E1124" s="7"/>
      <c r="F1124" s="26"/>
      <c r="G1124" s="7"/>
      <c r="H1124" s="7"/>
    </row>
    <row r="1125" spans="2:8">
      <c r="B1125" s="9"/>
      <c r="C1125" s="24"/>
      <c r="D1125" s="25"/>
      <c r="E1125" s="7"/>
      <c r="F1125" s="26"/>
      <c r="G1125" s="7"/>
      <c r="H1125" s="7"/>
    </row>
    <row r="1126" spans="2:8">
      <c r="B1126" s="9"/>
      <c r="C1126" s="24"/>
      <c r="D1126" s="25"/>
      <c r="E1126" s="7"/>
      <c r="F1126" s="26"/>
      <c r="G1126" s="7"/>
      <c r="H1126" s="7"/>
    </row>
    <row r="1127" spans="2:8">
      <c r="B1127" s="9"/>
      <c r="C1127" s="24"/>
      <c r="D1127" s="25"/>
      <c r="E1127" s="7"/>
      <c r="F1127" s="26"/>
      <c r="G1127" s="7"/>
      <c r="H1127" s="7"/>
    </row>
    <row r="1128" spans="2:8">
      <c r="B1128" s="9"/>
      <c r="C1128" s="24"/>
      <c r="D1128" s="25"/>
      <c r="E1128" s="7"/>
      <c r="F1128" s="26"/>
      <c r="G1128" s="7"/>
      <c r="H1128" s="7"/>
    </row>
    <row r="1129" spans="2:8">
      <c r="B1129" s="9"/>
      <c r="C1129" s="24"/>
      <c r="D1129" s="25"/>
      <c r="E1129" s="7"/>
      <c r="F1129" s="26"/>
      <c r="G1129" s="7"/>
      <c r="H1129" s="7"/>
    </row>
    <row r="1130" spans="2:8">
      <c r="B1130" s="9"/>
      <c r="C1130" s="24"/>
      <c r="D1130" s="25"/>
      <c r="E1130" s="7"/>
      <c r="F1130" s="26"/>
      <c r="G1130" s="7"/>
      <c r="H1130" s="7"/>
    </row>
    <row r="1131" spans="2:8">
      <c r="B1131" s="9"/>
      <c r="C1131" s="24"/>
      <c r="D1131" s="25"/>
      <c r="E1131" s="7"/>
      <c r="F1131" s="26"/>
      <c r="G1131" s="7"/>
      <c r="H1131" s="7"/>
    </row>
    <row r="1132" spans="2:8">
      <c r="B1132" s="9"/>
      <c r="C1132" s="24"/>
      <c r="D1132" s="25"/>
      <c r="E1132" s="7"/>
      <c r="F1132" s="26"/>
      <c r="G1132" s="7"/>
      <c r="H1132" s="7"/>
    </row>
    <row r="1133" spans="2:8">
      <c r="B1133" s="9"/>
      <c r="C1133" s="24"/>
      <c r="D1133" s="25"/>
      <c r="E1133" s="7"/>
      <c r="F1133" s="26"/>
      <c r="G1133" s="7"/>
      <c r="H1133" s="7"/>
    </row>
    <row r="1134" spans="2:8">
      <c r="B1134" s="9"/>
      <c r="C1134" s="24"/>
      <c r="D1134" s="25"/>
      <c r="E1134" s="7"/>
      <c r="F1134" s="26"/>
      <c r="G1134" s="7"/>
      <c r="H1134" s="7"/>
    </row>
    <row r="1135" spans="2:8">
      <c r="B1135" s="9"/>
      <c r="C1135" s="24"/>
      <c r="D1135" s="25"/>
      <c r="E1135" s="7"/>
      <c r="F1135" s="26"/>
      <c r="G1135" s="7"/>
      <c r="H1135" s="7"/>
    </row>
    <row r="1136" spans="2:8">
      <c r="B1136" s="9"/>
      <c r="C1136" s="24"/>
      <c r="D1136" s="25"/>
      <c r="E1136" s="7"/>
      <c r="F1136" s="26"/>
      <c r="G1136" s="7"/>
      <c r="H1136" s="7"/>
    </row>
    <row r="1137" spans="2:8">
      <c r="B1137" s="9"/>
      <c r="C1137" s="24"/>
      <c r="D1137" s="25"/>
      <c r="E1137" s="7"/>
      <c r="F1137" s="26"/>
      <c r="G1137" s="7"/>
      <c r="H1137" s="7"/>
    </row>
    <row r="1138" spans="2:8">
      <c r="B1138" s="9"/>
      <c r="C1138" s="24"/>
      <c r="D1138" s="25"/>
      <c r="E1138" s="7"/>
      <c r="F1138" s="26"/>
      <c r="G1138" s="7"/>
      <c r="H1138" s="7"/>
    </row>
    <row r="1139" spans="2:8">
      <c r="B1139" s="9"/>
      <c r="C1139" s="24"/>
      <c r="D1139" s="25"/>
      <c r="E1139" s="7"/>
      <c r="F1139" s="26"/>
      <c r="G1139" s="7"/>
      <c r="H1139" s="7"/>
    </row>
    <row r="1140" spans="2:8">
      <c r="B1140" s="9"/>
      <c r="C1140" s="24"/>
      <c r="D1140" s="25"/>
      <c r="E1140" s="7"/>
      <c r="F1140" s="26"/>
      <c r="G1140" s="7"/>
      <c r="H1140" s="7"/>
    </row>
    <row r="1141" spans="2:8">
      <c r="B1141" s="9"/>
      <c r="C1141" s="24"/>
      <c r="D1141" s="25"/>
      <c r="E1141" s="7"/>
      <c r="F1141" s="26"/>
      <c r="G1141" s="7"/>
      <c r="H1141" s="7"/>
    </row>
    <row r="1142" spans="2:8">
      <c r="B1142" s="9"/>
      <c r="C1142" s="24"/>
      <c r="D1142" s="25"/>
      <c r="E1142" s="7"/>
      <c r="F1142" s="26"/>
      <c r="G1142" s="7"/>
      <c r="H1142" s="7"/>
    </row>
    <row r="1143" spans="2:8">
      <c r="B1143" s="9"/>
      <c r="C1143" s="24"/>
      <c r="D1143" s="25"/>
      <c r="E1143" s="7"/>
      <c r="F1143" s="26"/>
      <c r="G1143" s="7"/>
      <c r="H1143" s="7"/>
    </row>
    <row r="1144" spans="2:8">
      <c r="B1144" s="9"/>
      <c r="C1144" s="24"/>
      <c r="D1144" s="25"/>
      <c r="E1144" s="7"/>
      <c r="F1144" s="26"/>
      <c r="G1144" s="7"/>
      <c r="H1144" s="7"/>
    </row>
    <row r="1145" spans="2:8">
      <c r="B1145" s="9"/>
      <c r="C1145" s="24"/>
      <c r="D1145" s="25"/>
      <c r="E1145" s="7"/>
      <c r="F1145" s="26"/>
      <c r="G1145" s="7"/>
      <c r="H1145" s="7"/>
    </row>
    <row r="1146" spans="2:8">
      <c r="B1146" s="9"/>
      <c r="C1146" s="24"/>
      <c r="D1146" s="25"/>
      <c r="E1146" s="7"/>
      <c r="F1146" s="26"/>
      <c r="G1146" s="7"/>
      <c r="H1146" s="7"/>
    </row>
    <row r="1147" spans="2:8">
      <c r="B1147" s="9"/>
      <c r="C1147" s="24"/>
      <c r="D1147" s="25"/>
      <c r="E1147" s="7"/>
      <c r="F1147" s="26"/>
      <c r="G1147" s="7"/>
      <c r="H1147" s="7"/>
    </row>
    <row r="1148" spans="2:8">
      <c r="B1148" s="9"/>
      <c r="C1148" s="24"/>
      <c r="D1148" s="25"/>
      <c r="E1148" s="7"/>
      <c r="F1148" s="26"/>
      <c r="G1148" s="7"/>
      <c r="H1148" s="7"/>
    </row>
    <row r="1149" spans="2:8">
      <c r="B1149" s="9"/>
      <c r="C1149" s="24"/>
      <c r="D1149" s="25"/>
      <c r="E1149" s="7"/>
      <c r="F1149" s="26"/>
      <c r="G1149" s="7"/>
      <c r="H1149" s="7"/>
    </row>
    <row r="1150" spans="2:8">
      <c r="B1150" s="9"/>
      <c r="C1150" s="24"/>
      <c r="D1150" s="25"/>
      <c r="E1150" s="7"/>
      <c r="F1150" s="26"/>
      <c r="G1150" s="7"/>
      <c r="H1150" s="7"/>
    </row>
    <row r="1151" spans="2:8">
      <c r="B1151" s="9"/>
      <c r="C1151" s="24"/>
      <c r="D1151" s="25"/>
      <c r="E1151" s="7"/>
      <c r="F1151" s="26"/>
      <c r="G1151" s="7"/>
      <c r="H1151" s="7"/>
    </row>
    <row r="1152" spans="2:8">
      <c r="B1152" s="9"/>
      <c r="C1152" s="24"/>
      <c r="D1152" s="25"/>
      <c r="E1152" s="7"/>
      <c r="F1152" s="26"/>
      <c r="G1152" s="7"/>
      <c r="H1152" s="7"/>
    </row>
    <row r="1153" spans="2:8">
      <c r="B1153" s="9"/>
      <c r="C1153" s="24"/>
      <c r="D1153" s="25"/>
      <c r="E1153" s="7"/>
      <c r="F1153" s="26"/>
      <c r="G1153" s="7"/>
      <c r="H1153" s="7"/>
    </row>
    <row r="1154" spans="2:8">
      <c r="B1154" s="9"/>
      <c r="C1154" s="24"/>
      <c r="D1154" s="25"/>
      <c r="E1154" s="7"/>
      <c r="F1154" s="26"/>
      <c r="G1154" s="7"/>
      <c r="H1154" s="7"/>
    </row>
    <row r="1155" spans="2:8">
      <c r="B1155" s="9"/>
      <c r="C1155" s="24"/>
      <c r="D1155" s="25"/>
      <c r="E1155" s="7"/>
      <c r="F1155" s="26"/>
      <c r="G1155" s="7"/>
      <c r="H1155" s="7"/>
    </row>
    <row r="1156" spans="2:8">
      <c r="B1156" s="9"/>
      <c r="C1156" s="24"/>
      <c r="D1156" s="25"/>
      <c r="E1156" s="7"/>
      <c r="F1156" s="26"/>
      <c r="G1156" s="7"/>
      <c r="H1156" s="7"/>
    </row>
    <row r="1157" spans="2:8">
      <c r="B1157" s="9"/>
      <c r="C1157" s="24"/>
      <c r="D1157" s="25"/>
      <c r="E1157" s="7"/>
      <c r="F1157" s="26"/>
      <c r="G1157" s="7"/>
      <c r="H1157" s="7"/>
    </row>
    <row r="1158" spans="2:8">
      <c r="B1158" s="9"/>
      <c r="C1158" s="24"/>
      <c r="D1158" s="25"/>
      <c r="E1158" s="7"/>
      <c r="F1158" s="26"/>
      <c r="G1158" s="7"/>
      <c r="H1158" s="7"/>
    </row>
    <row r="1159" spans="2:8">
      <c r="B1159" s="9"/>
      <c r="C1159" s="24"/>
      <c r="D1159" s="25"/>
      <c r="E1159" s="7"/>
      <c r="F1159" s="26"/>
      <c r="G1159" s="7"/>
      <c r="H1159" s="7"/>
    </row>
    <row r="1160" spans="2:8">
      <c r="B1160" s="9"/>
      <c r="C1160" s="24"/>
      <c r="D1160" s="25"/>
      <c r="E1160" s="7"/>
      <c r="F1160" s="26"/>
      <c r="G1160" s="7"/>
      <c r="H1160" s="7"/>
    </row>
    <row r="1161" spans="2:8">
      <c r="B1161" s="9"/>
      <c r="C1161" s="24"/>
      <c r="D1161" s="25"/>
      <c r="E1161" s="7"/>
      <c r="F1161" s="26"/>
      <c r="G1161" s="7"/>
      <c r="H1161" s="7"/>
    </row>
    <row r="1162" spans="2:8">
      <c r="B1162" s="9"/>
      <c r="C1162" s="24"/>
      <c r="D1162" s="25"/>
      <c r="E1162" s="7"/>
      <c r="F1162" s="26"/>
      <c r="G1162" s="7"/>
      <c r="H1162" s="7"/>
    </row>
    <row r="1163" spans="2:8">
      <c r="B1163" s="9"/>
      <c r="C1163" s="24"/>
      <c r="D1163" s="25"/>
      <c r="E1163" s="7"/>
      <c r="F1163" s="26"/>
      <c r="G1163" s="7"/>
      <c r="H1163" s="7"/>
    </row>
    <row r="1164" spans="2:8">
      <c r="B1164" s="9"/>
      <c r="C1164" s="24"/>
      <c r="D1164" s="25"/>
      <c r="E1164" s="7"/>
      <c r="F1164" s="26"/>
      <c r="G1164" s="7"/>
      <c r="H1164" s="7"/>
    </row>
    <row r="1165" spans="2:8">
      <c r="B1165" s="9"/>
      <c r="C1165" s="24"/>
      <c r="D1165" s="25"/>
      <c r="E1165" s="7"/>
      <c r="F1165" s="26"/>
      <c r="G1165" s="7"/>
      <c r="H1165" s="7"/>
    </row>
    <row r="1166" spans="2:8">
      <c r="B1166" s="9"/>
      <c r="C1166" s="24"/>
      <c r="D1166" s="25"/>
      <c r="E1166" s="7"/>
      <c r="F1166" s="26"/>
      <c r="G1166" s="7"/>
      <c r="H1166" s="7"/>
    </row>
    <row r="1167" spans="2:8">
      <c r="B1167" s="9"/>
      <c r="C1167" s="24"/>
      <c r="D1167" s="25"/>
      <c r="E1167" s="7"/>
      <c r="F1167" s="26"/>
      <c r="G1167" s="7"/>
      <c r="H1167" s="7"/>
    </row>
    <row r="1168" spans="2:8">
      <c r="B1168" s="9"/>
      <c r="C1168" s="24"/>
      <c r="D1168" s="25"/>
      <c r="E1168" s="7"/>
      <c r="F1168" s="26"/>
      <c r="G1168" s="7"/>
      <c r="H1168" s="7"/>
    </row>
    <row r="1169" spans="2:8">
      <c r="B1169" s="9"/>
      <c r="C1169" s="24"/>
      <c r="D1169" s="25"/>
      <c r="E1169" s="7"/>
      <c r="F1169" s="26"/>
      <c r="G1169" s="7"/>
      <c r="H1169" s="7"/>
    </row>
    <row r="1170" spans="2:8">
      <c r="B1170" s="9"/>
      <c r="C1170" s="24"/>
      <c r="D1170" s="25"/>
      <c r="E1170" s="7"/>
      <c r="F1170" s="26"/>
      <c r="G1170" s="7"/>
      <c r="H1170" s="7"/>
    </row>
    <row r="1171" spans="2:8">
      <c r="B1171" s="9"/>
      <c r="C1171" s="24"/>
      <c r="D1171" s="25"/>
      <c r="E1171" s="7"/>
      <c r="F1171" s="26"/>
      <c r="G1171" s="7"/>
      <c r="H1171" s="7"/>
    </row>
    <row r="1172" spans="2:8">
      <c r="B1172" s="9"/>
      <c r="C1172" s="24"/>
      <c r="D1172" s="25"/>
      <c r="E1172" s="7"/>
      <c r="F1172" s="26"/>
      <c r="G1172" s="7"/>
      <c r="H1172" s="7"/>
    </row>
    <row r="1173" spans="2:8">
      <c r="B1173" s="9"/>
      <c r="C1173" s="24"/>
      <c r="D1173" s="25"/>
      <c r="E1173" s="7"/>
      <c r="F1173" s="26"/>
      <c r="G1173" s="7"/>
      <c r="H1173" s="7"/>
    </row>
    <row r="1174" spans="2:8">
      <c r="B1174" s="9"/>
      <c r="C1174" s="24"/>
      <c r="D1174" s="25"/>
      <c r="E1174" s="7"/>
      <c r="F1174" s="26"/>
      <c r="G1174" s="7"/>
      <c r="H1174" s="7"/>
    </row>
    <row r="1175" spans="2:8">
      <c r="B1175" s="9"/>
      <c r="C1175" s="24"/>
      <c r="D1175" s="25"/>
      <c r="E1175" s="7"/>
      <c r="F1175" s="26"/>
      <c r="G1175" s="7"/>
      <c r="H1175" s="7"/>
    </row>
    <row r="1176" spans="2:8">
      <c r="B1176" s="9"/>
      <c r="C1176" s="24"/>
      <c r="D1176" s="25"/>
      <c r="E1176" s="7"/>
      <c r="F1176" s="26"/>
      <c r="G1176" s="7"/>
      <c r="H1176" s="7"/>
    </row>
    <row r="1177" spans="2:8">
      <c r="B1177" s="9"/>
      <c r="C1177" s="24"/>
      <c r="D1177" s="25"/>
      <c r="E1177" s="7"/>
      <c r="F1177" s="26"/>
      <c r="G1177" s="7"/>
      <c r="H1177" s="7"/>
    </row>
    <row r="1178" spans="2:8">
      <c r="B1178" s="9"/>
      <c r="C1178" s="24"/>
      <c r="D1178" s="25"/>
      <c r="E1178" s="7"/>
      <c r="F1178" s="26"/>
      <c r="G1178" s="7"/>
      <c r="H1178" s="7"/>
    </row>
    <row r="1179" spans="2:8">
      <c r="B1179" s="9"/>
      <c r="C1179" s="24"/>
      <c r="D1179" s="25"/>
      <c r="E1179" s="7"/>
      <c r="F1179" s="26"/>
      <c r="G1179" s="7"/>
      <c r="H1179" s="7"/>
    </row>
    <row r="1180" spans="2:8">
      <c r="B1180" s="9"/>
      <c r="C1180" s="24"/>
      <c r="D1180" s="25"/>
      <c r="E1180" s="7"/>
      <c r="F1180" s="26"/>
      <c r="G1180" s="7"/>
      <c r="H1180" s="7"/>
    </row>
    <row r="1181" spans="2:8">
      <c r="B1181" s="9"/>
      <c r="C1181" s="24"/>
      <c r="D1181" s="25"/>
      <c r="E1181" s="7"/>
      <c r="F1181" s="26"/>
      <c r="G1181" s="7"/>
      <c r="H1181" s="7"/>
    </row>
    <row r="1182" spans="2:8">
      <c r="B1182" s="9"/>
      <c r="C1182" s="24"/>
      <c r="D1182" s="25"/>
      <c r="E1182" s="7"/>
      <c r="F1182" s="26"/>
      <c r="G1182" s="7"/>
      <c r="H1182" s="7"/>
    </row>
    <row r="1183" spans="2:8">
      <c r="B1183" s="9"/>
      <c r="C1183" s="24"/>
      <c r="D1183" s="25"/>
      <c r="E1183" s="7"/>
      <c r="F1183" s="26"/>
      <c r="G1183" s="7"/>
      <c r="H1183" s="7"/>
    </row>
    <row r="1184" spans="2:8">
      <c r="B1184" s="9"/>
      <c r="C1184" s="24"/>
      <c r="D1184" s="25"/>
      <c r="E1184" s="7"/>
      <c r="F1184" s="26"/>
      <c r="G1184" s="7"/>
      <c r="H1184" s="7"/>
    </row>
    <row r="1185" spans="2:8">
      <c r="B1185" s="9"/>
      <c r="C1185" s="24"/>
      <c r="D1185" s="25"/>
      <c r="E1185" s="7"/>
      <c r="F1185" s="26"/>
      <c r="G1185" s="7"/>
      <c r="H1185" s="7"/>
    </row>
    <row r="1186" spans="2:8">
      <c r="B1186" s="9"/>
      <c r="C1186" s="24"/>
      <c r="D1186" s="25"/>
      <c r="E1186" s="7"/>
      <c r="F1186" s="26"/>
      <c r="G1186" s="7"/>
      <c r="H1186" s="7"/>
    </row>
    <row r="1187" spans="2:8">
      <c r="B1187" s="9"/>
      <c r="C1187" s="24"/>
      <c r="D1187" s="25"/>
      <c r="E1187" s="7"/>
      <c r="F1187" s="26"/>
      <c r="G1187" s="7"/>
      <c r="H1187" s="7"/>
    </row>
    <row r="1188" spans="2:8">
      <c r="B1188" s="9"/>
      <c r="C1188" s="24"/>
      <c r="D1188" s="25"/>
      <c r="E1188" s="7"/>
      <c r="F1188" s="26"/>
      <c r="G1188" s="7"/>
      <c r="H1188" s="7"/>
    </row>
    <row r="1189" spans="2:8">
      <c r="B1189" s="9"/>
      <c r="C1189" s="24"/>
      <c r="D1189" s="25"/>
      <c r="E1189" s="7"/>
      <c r="F1189" s="26"/>
      <c r="G1189" s="7"/>
      <c r="H1189" s="7"/>
    </row>
    <row r="1190" spans="2:8">
      <c r="B1190" s="9"/>
      <c r="C1190" s="24"/>
      <c r="D1190" s="25"/>
      <c r="E1190" s="7"/>
      <c r="F1190" s="26"/>
      <c r="G1190" s="7"/>
      <c r="H1190" s="7"/>
    </row>
    <row r="1191" spans="2:8">
      <c r="B1191" s="9"/>
      <c r="C1191" s="24"/>
      <c r="D1191" s="25"/>
      <c r="E1191" s="7"/>
      <c r="F1191" s="26"/>
      <c r="G1191" s="7"/>
      <c r="H1191" s="7"/>
    </row>
    <row r="1192" spans="2:8">
      <c r="B1192" s="9"/>
      <c r="C1192" s="24"/>
      <c r="D1192" s="25"/>
      <c r="E1192" s="7"/>
      <c r="F1192" s="26"/>
      <c r="G1192" s="7"/>
      <c r="H1192" s="7"/>
    </row>
    <row r="1193" spans="2:8">
      <c r="B1193" s="9"/>
      <c r="C1193" s="24"/>
      <c r="D1193" s="25"/>
      <c r="E1193" s="7"/>
      <c r="F1193" s="26"/>
      <c r="G1193" s="7"/>
      <c r="H1193" s="7"/>
    </row>
    <row r="1194" spans="2:8">
      <c r="B1194" s="9"/>
      <c r="C1194" s="24"/>
      <c r="D1194" s="25"/>
      <c r="E1194" s="7"/>
      <c r="F1194" s="26"/>
      <c r="G1194" s="7"/>
      <c r="H1194" s="7"/>
    </row>
    <row r="1195" spans="2:8">
      <c r="B1195" s="9"/>
      <c r="C1195" s="24"/>
      <c r="D1195" s="25"/>
      <c r="E1195" s="7"/>
      <c r="F1195" s="26"/>
      <c r="G1195" s="7"/>
      <c r="H1195" s="7"/>
    </row>
    <row r="1196" spans="2:8">
      <c r="B1196" s="9"/>
      <c r="C1196" s="24"/>
      <c r="D1196" s="25"/>
      <c r="E1196" s="7"/>
      <c r="F1196" s="26"/>
      <c r="G1196" s="7"/>
      <c r="H1196" s="7"/>
    </row>
    <row r="1197" spans="2:8">
      <c r="B1197" s="9"/>
      <c r="C1197" s="24"/>
      <c r="D1197" s="25"/>
      <c r="E1197" s="7"/>
      <c r="F1197" s="26"/>
      <c r="G1197" s="7"/>
      <c r="H1197" s="7"/>
    </row>
    <row r="1198" spans="2:8">
      <c r="B1198" s="9"/>
      <c r="C1198" s="24"/>
      <c r="D1198" s="25"/>
      <c r="E1198" s="7"/>
      <c r="F1198" s="26"/>
      <c r="G1198" s="7"/>
      <c r="H1198" s="7"/>
    </row>
    <row r="1199" spans="2:8">
      <c r="B1199" s="9"/>
      <c r="C1199" s="24"/>
      <c r="D1199" s="25"/>
      <c r="E1199" s="7"/>
      <c r="F1199" s="26"/>
      <c r="G1199" s="7"/>
      <c r="H1199" s="7"/>
    </row>
    <row r="1200" spans="2:8">
      <c r="B1200" s="9"/>
      <c r="C1200" s="24"/>
      <c r="D1200" s="25"/>
      <c r="E1200" s="7"/>
      <c r="F1200" s="26"/>
      <c r="G1200" s="7"/>
      <c r="H1200" s="7"/>
    </row>
    <row r="1201" spans="2:8">
      <c r="B1201" s="9"/>
      <c r="C1201" s="24"/>
      <c r="D1201" s="25"/>
      <c r="E1201" s="7"/>
      <c r="F1201" s="26"/>
      <c r="G1201" s="7"/>
      <c r="H1201" s="7"/>
    </row>
    <row r="1202" spans="2:8">
      <c r="B1202" s="9"/>
      <c r="C1202" s="24"/>
      <c r="D1202" s="25"/>
      <c r="E1202" s="7"/>
      <c r="F1202" s="26"/>
      <c r="G1202" s="7"/>
      <c r="H1202" s="7"/>
    </row>
    <row r="1203" spans="2:8">
      <c r="B1203" s="9"/>
      <c r="C1203" s="24"/>
      <c r="D1203" s="25"/>
      <c r="E1203" s="7"/>
      <c r="F1203" s="26"/>
      <c r="G1203" s="7"/>
      <c r="H1203" s="7"/>
    </row>
    <row r="1204" spans="2:8">
      <c r="B1204" s="9"/>
      <c r="C1204" s="24"/>
      <c r="D1204" s="25"/>
      <c r="E1204" s="7"/>
      <c r="F1204" s="26"/>
      <c r="G1204" s="7"/>
      <c r="H1204" s="7"/>
    </row>
    <row r="1205" spans="2:8">
      <c r="B1205" s="9"/>
      <c r="C1205" s="24"/>
      <c r="D1205" s="25"/>
      <c r="E1205" s="7"/>
      <c r="F1205" s="26"/>
      <c r="G1205" s="7"/>
      <c r="H1205" s="7"/>
    </row>
    <row r="1206" spans="2:8">
      <c r="B1206" s="9"/>
      <c r="C1206" s="24"/>
      <c r="D1206" s="25"/>
      <c r="E1206" s="7"/>
      <c r="F1206" s="26"/>
      <c r="G1206" s="7"/>
      <c r="H1206" s="7"/>
    </row>
    <row r="1207" spans="2:8">
      <c r="B1207" s="9"/>
      <c r="C1207" s="24"/>
      <c r="D1207" s="25"/>
      <c r="E1207" s="7"/>
      <c r="F1207" s="26"/>
      <c r="G1207" s="7"/>
      <c r="H1207" s="7"/>
    </row>
    <row r="1208" spans="2:8">
      <c r="B1208" s="9"/>
      <c r="C1208" s="24"/>
      <c r="D1208" s="25"/>
      <c r="E1208" s="7"/>
      <c r="F1208" s="26"/>
      <c r="G1208" s="7"/>
      <c r="H1208" s="7"/>
    </row>
    <row r="1209" spans="2:8">
      <c r="B1209" s="9"/>
      <c r="C1209" s="24"/>
      <c r="D1209" s="25"/>
      <c r="E1209" s="7"/>
      <c r="F1209" s="26"/>
      <c r="G1209" s="7"/>
      <c r="H1209" s="7"/>
    </row>
    <row r="1210" spans="2:8">
      <c r="B1210" s="9"/>
      <c r="C1210" s="24"/>
      <c r="D1210" s="25"/>
      <c r="E1210" s="7"/>
      <c r="F1210" s="26"/>
      <c r="G1210" s="7"/>
      <c r="H1210" s="7"/>
    </row>
    <row r="1211" spans="2:8">
      <c r="B1211" s="9"/>
      <c r="C1211" s="24"/>
      <c r="D1211" s="25"/>
      <c r="E1211" s="7"/>
      <c r="F1211" s="26"/>
      <c r="G1211" s="7"/>
      <c r="H1211" s="7"/>
    </row>
    <row r="1212" spans="2:8">
      <c r="B1212" s="9"/>
      <c r="C1212" s="24"/>
      <c r="D1212" s="25"/>
      <c r="E1212" s="7"/>
      <c r="F1212" s="26"/>
      <c r="G1212" s="7"/>
      <c r="H1212" s="7"/>
    </row>
    <row r="1213" spans="2:8">
      <c r="B1213" s="9"/>
      <c r="C1213" s="24"/>
      <c r="D1213" s="25"/>
      <c r="E1213" s="7"/>
      <c r="F1213" s="26"/>
      <c r="G1213" s="7"/>
      <c r="H1213" s="7"/>
    </row>
    <row r="1214" spans="2:8">
      <c r="B1214" s="9"/>
      <c r="C1214" s="24"/>
      <c r="D1214" s="25"/>
      <c r="E1214" s="7"/>
      <c r="F1214" s="26"/>
      <c r="G1214" s="7"/>
      <c r="H1214" s="7"/>
    </row>
    <row r="1215" spans="2:8">
      <c r="B1215" s="9"/>
      <c r="C1215" s="24"/>
      <c r="D1215" s="25"/>
      <c r="E1215" s="7"/>
      <c r="F1215" s="26"/>
      <c r="G1215" s="7"/>
      <c r="H1215" s="7"/>
    </row>
    <row r="1216" spans="2:8">
      <c r="B1216" s="9"/>
      <c r="C1216" s="24"/>
      <c r="D1216" s="25"/>
      <c r="E1216" s="7"/>
      <c r="F1216" s="26"/>
      <c r="G1216" s="7"/>
      <c r="H1216" s="7"/>
    </row>
    <row r="1217" spans="2:8">
      <c r="B1217" s="9"/>
      <c r="C1217" s="24"/>
      <c r="D1217" s="25"/>
      <c r="E1217" s="7"/>
      <c r="F1217" s="26"/>
      <c r="G1217" s="7"/>
      <c r="H1217" s="7"/>
    </row>
    <row r="1218" spans="2:8">
      <c r="B1218" s="9"/>
      <c r="C1218" s="24"/>
      <c r="D1218" s="25"/>
      <c r="E1218" s="7"/>
      <c r="F1218" s="26"/>
      <c r="G1218" s="7"/>
      <c r="H1218" s="7"/>
    </row>
    <row r="1219" spans="2:8">
      <c r="B1219" s="9"/>
      <c r="C1219" s="24"/>
      <c r="D1219" s="25"/>
      <c r="E1219" s="7"/>
      <c r="F1219" s="26"/>
      <c r="G1219" s="7"/>
      <c r="H1219" s="7"/>
    </row>
    <row r="1220" spans="2:8">
      <c r="B1220" s="9"/>
      <c r="C1220" s="24"/>
      <c r="D1220" s="25"/>
      <c r="E1220" s="7"/>
      <c r="F1220" s="26"/>
      <c r="G1220" s="7"/>
      <c r="H1220" s="7"/>
    </row>
    <row r="1221" spans="2:8">
      <c r="B1221" s="9"/>
      <c r="C1221" s="24"/>
      <c r="D1221" s="25"/>
      <c r="E1221" s="7"/>
      <c r="F1221" s="26"/>
      <c r="G1221" s="7"/>
      <c r="H1221" s="7"/>
    </row>
    <row r="1222" spans="2:8">
      <c r="B1222" s="9"/>
      <c r="C1222" s="24"/>
      <c r="D1222" s="25"/>
      <c r="E1222" s="7"/>
      <c r="F1222" s="26"/>
      <c r="G1222" s="7"/>
      <c r="H1222" s="7"/>
    </row>
    <row r="1223" spans="2:8">
      <c r="B1223" s="9"/>
      <c r="C1223" s="24"/>
      <c r="D1223" s="25"/>
      <c r="E1223" s="7"/>
      <c r="F1223" s="26"/>
      <c r="G1223" s="7"/>
      <c r="H1223" s="7"/>
    </row>
    <row r="1224" spans="2:8">
      <c r="B1224" s="9"/>
      <c r="C1224" s="24"/>
      <c r="D1224" s="25"/>
      <c r="E1224" s="7"/>
      <c r="F1224" s="26"/>
      <c r="G1224" s="7"/>
      <c r="H1224" s="7"/>
    </row>
    <row r="1225" spans="2:8">
      <c r="B1225" s="9"/>
      <c r="C1225" s="24"/>
      <c r="D1225" s="25"/>
      <c r="E1225" s="7"/>
      <c r="F1225" s="26"/>
      <c r="G1225" s="7"/>
      <c r="H1225" s="7"/>
    </row>
    <row r="1226" spans="2:8">
      <c r="B1226" s="9"/>
      <c r="C1226" s="24"/>
      <c r="D1226" s="25"/>
      <c r="E1226" s="7"/>
      <c r="F1226" s="26"/>
      <c r="G1226" s="7"/>
      <c r="H1226" s="7"/>
    </row>
    <row r="1227" spans="2:8">
      <c r="B1227" s="9"/>
      <c r="C1227" s="24"/>
      <c r="D1227" s="25"/>
      <c r="E1227" s="7"/>
      <c r="F1227" s="26"/>
      <c r="G1227" s="7"/>
      <c r="H1227" s="7"/>
    </row>
    <row r="1228" spans="2:8">
      <c r="B1228" s="9"/>
      <c r="C1228" s="24"/>
      <c r="D1228" s="25"/>
      <c r="E1228" s="7"/>
      <c r="F1228" s="26"/>
      <c r="G1228" s="7"/>
      <c r="H1228" s="7"/>
    </row>
    <row r="1229" spans="2:8">
      <c r="B1229" s="9"/>
      <c r="C1229" s="24"/>
      <c r="D1229" s="25"/>
      <c r="E1229" s="7"/>
      <c r="F1229" s="26"/>
      <c r="G1229" s="7"/>
      <c r="H1229" s="7"/>
    </row>
    <row r="1230" spans="2:8">
      <c r="B1230" s="9"/>
      <c r="C1230" s="24"/>
      <c r="D1230" s="25"/>
      <c r="E1230" s="7"/>
      <c r="F1230" s="26"/>
      <c r="G1230" s="7"/>
      <c r="H1230" s="7"/>
    </row>
    <row r="1231" spans="2:8">
      <c r="B1231" s="9"/>
      <c r="C1231" s="24"/>
      <c r="D1231" s="25"/>
      <c r="E1231" s="7"/>
      <c r="F1231" s="26"/>
      <c r="G1231" s="7"/>
      <c r="H1231" s="7"/>
    </row>
    <row r="1232" spans="2:8">
      <c r="B1232" s="9"/>
      <c r="C1232" s="24"/>
      <c r="D1232" s="25"/>
      <c r="E1232" s="7"/>
      <c r="F1232" s="26"/>
      <c r="G1232" s="7"/>
      <c r="H1232" s="7"/>
    </row>
    <row r="1233" spans="2:8">
      <c r="B1233" s="9"/>
      <c r="C1233" s="24"/>
      <c r="D1233" s="25"/>
      <c r="E1233" s="7"/>
      <c r="F1233" s="26"/>
      <c r="G1233" s="7"/>
      <c r="H1233" s="7"/>
    </row>
    <row r="1234" spans="2:8">
      <c r="B1234" s="9"/>
      <c r="C1234" s="24"/>
      <c r="D1234" s="25"/>
      <c r="E1234" s="7"/>
      <c r="F1234" s="26"/>
      <c r="G1234" s="7"/>
      <c r="H1234" s="7"/>
    </row>
    <row r="1235" spans="2:8">
      <c r="B1235" s="9"/>
      <c r="C1235" s="24"/>
      <c r="D1235" s="25"/>
      <c r="E1235" s="7"/>
      <c r="F1235" s="26"/>
      <c r="G1235" s="7"/>
      <c r="H1235" s="7"/>
    </row>
    <row r="1236" spans="2:8">
      <c r="B1236" s="9"/>
      <c r="C1236" s="24"/>
      <c r="D1236" s="25"/>
      <c r="E1236" s="7"/>
      <c r="F1236" s="26"/>
      <c r="G1236" s="7"/>
      <c r="H1236" s="7"/>
    </row>
    <row r="1237" spans="2:8">
      <c r="B1237" s="9"/>
      <c r="C1237" s="24"/>
      <c r="D1237" s="25"/>
      <c r="E1237" s="7"/>
      <c r="F1237" s="26"/>
      <c r="G1237" s="7"/>
      <c r="H1237" s="7"/>
    </row>
    <row r="1238" spans="2:8">
      <c r="B1238" s="9"/>
      <c r="C1238" s="24"/>
      <c r="D1238" s="25"/>
      <c r="E1238" s="7"/>
      <c r="F1238" s="26"/>
      <c r="G1238" s="7"/>
      <c r="H1238" s="7"/>
    </row>
    <row r="1239" spans="2:8">
      <c r="B1239" s="9"/>
      <c r="C1239" s="24"/>
      <c r="D1239" s="25"/>
      <c r="E1239" s="7"/>
      <c r="F1239" s="26"/>
      <c r="G1239" s="7"/>
      <c r="H1239" s="7"/>
    </row>
    <row r="1240" spans="2:8">
      <c r="B1240" s="9"/>
      <c r="C1240" s="24"/>
      <c r="D1240" s="25"/>
      <c r="E1240" s="7"/>
      <c r="F1240" s="26"/>
      <c r="G1240" s="7"/>
      <c r="H1240" s="7"/>
    </row>
    <row r="1241" spans="2:8">
      <c r="B1241" s="9"/>
      <c r="C1241" s="24"/>
      <c r="D1241" s="25"/>
      <c r="E1241" s="7"/>
      <c r="F1241" s="26"/>
      <c r="G1241" s="7"/>
      <c r="H1241" s="7"/>
    </row>
    <row r="1242" spans="2:8">
      <c r="B1242" s="9"/>
      <c r="C1242" s="24"/>
      <c r="D1242" s="25"/>
      <c r="E1242" s="7"/>
      <c r="F1242" s="26"/>
      <c r="G1242" s="7"/>
      <c r="H1242" s="7"/>
    </row>
    <row r="1243" spans="2:8">
      <c r="B1243" s="9"/>
      <c r="C1243" s="24"/>
      <c r="D1243" s="25"/>
      <c r="E1243" s="7"/>
      <c r="F1243" s="26"/>
      <c r="G1243" s="7"/>
      <c r="H1243" s="7"/>
    </row>
    <row r="1244" spans="2:8">
      <c r="B1244" s="9"/>
      <c r="C1244" s="24"/>
      <c r="D1244" s="25"/>
      <c r="E1244" s="7"/>
      <c r="F1244" s="26"/>
      <c r="G1244" s="7"/>
      <c r="H1244" s="7"/>
    </row>
    <row r="1245" spans="2:8">
      <c r="B1245" s="9"/>
      <c r="C1245" s="24"/>
      <c r="D1245" s="25"/>
      <c r="E1245" s="7"/>
      <c r="F1245" s="26"/>
      <c r="G1245" s="7"/>
      <c r="H1245" s="7"/>
    </row>
    <row r="1246" spans="2:8">
      <c r="B1246" s="9"/>
      <c r="C1246" s="24"/>
      <c r="D1246" s="25"/>
      <c r="E1246" s="7"/>
      <c r="F1246" s="26"/>
      <c r="G1246" s="7"/>
      <c r="H1246" s="7"/>
    </row>
    <row r="1247" spans="2:8">
      <c r="B1247" s="9"/>
      <c r="C1247" s="24"/>
      <c r="D1247" s="25"/>
      <c r="E1247" s="7"/>
      <c r="F1247" s="26"/>
      <c r="G1247" s="7"/>
      <c r="H1247" s="7"/>
    </row>
    <row r="1248" spans="2:8">
      <c r="B1248" s="9"/>
      <c r="C1248" s="24"/>
      <c r="D1248" s="25"/>
      <c r="E1248" s="7"/>
      <c r="F1248" s="26"/>
      <c r="G1248" s="7"/>
      <c r="H1248" s="7"/>
    </row>
    <row r="1249" spans="2:8">
      <c r="B1249" s="9"/>
      <c r="C1249" s="24"/>
      <c r="D1249" s="25"/>
      <c r="E1249" s="7"/>
      <c r="F1249" s="26"/>
      <c r="G1249" s="7"/>
      <c r="H1249" s="7"/>
    </row>
    <row r="1250" spans="2:8">
      <c r="B1250" s="9"/>
      <c r="C1250" s="24"/>
      <c r="D1250" s="25"/>
      <c r="E1250" s="7"/>
      <c r="F1250" s="26"/>
      <c r="G1250" s="7"/>
      <c r="H1250" s="7"/>
    </row>
    <row r="1251" spans="2:8">
      <c r="B1251" s="9"/>
      <c r="C1251" s="24"/>
      <c r="D1251" s="25"/>
      <c r="E1251" s="7"/>
      <c r="F1251" s="26"/>
      <c r="G1251" s="7"/>
      <c r="H1251" s="7"/>
    </row>
    <row r="1252" spans="2:8">
      <c r="B1252" s="9"/>
      <c r="C1252" s="24"/>
      <c r="D1252" s="25"/>
      <c r="E1252" s="7"/>
      <c r="F1252" s="26"/>
      <c r="G1252" s="7"/>
      <c r="H1252" s="7"/>
    </row>
    <row r="1253" spans="2:8">
      <c r="B1253" s="9"/>
      <c r="C1253" s="24"/>
      <c r="D1253" s="25"/>
      <c r="E1253" s="7"/>
      <c r="F1253" s="26"/>
      <c r="G1253" s="7"/>
      <c r="H1253" s="7"/>
    </row>
    <row r="1254" spans="2:8">
      <c r="B1254" s="9"/>
      <c r="C1254" s="24"/>
      <c r="D1254" s="25"/>
      <c r="E1254" s="7"/>
      <c r="F1254" s="26"/>
      <c r="G1254" s="7"/>
      <c r="H1254" s="7"/>
    </row>
    <row r="1255" spans="2:8">
      <c r="B1255" s="9"/>
      <c r="C1255" s="24"/>
      <c r="D1255" s="25"/>
      <c r="E1255" s="7"/>
      <c r="F1255" s="26"/>
      <c r="G1255" s="7"/>
      <c r="H1255" s="7"/>
    </row>
    <row r="1256" spans="2:8">
      <c r="B1256" s="9"/>
      <c r="C1256" s="24"/>
      <c r="D1256" s="25"/>
      <c r="E1256" s="7"/>
      <c r="F1256" s="26"/>
      <c r="G1256" s="7"/>
      <c r="H1256" s="7"/>
    </row>
    <row r="1257" spans="2:8">
      <c r="B1257" s="9"/>
      <c r="C1257" s="24"/>
      <c r="D1257" s="25"/>
      <c r="E1257" s="7"/>
      <c r="F1257" s="26"/>
      <c r="G1257" s="7"/>
      <c r="H1257" s="7"/>
    </row>
    <row r="1258" spans="2:8">
      <c r="B1258" s="9"/>
      <c r="C1258" s="24"/>
      <c r="D1258" s="25"/>
      <c r="E1258" s="7"/>
      <c r="F1258" s="26"/>
      <c r="G1258" s="7"/>
      <c r="H1258" s="7"/>
    </row>
    <row r="1259" spans="2:8">
      <c r="B1259" s="9"/>
      <c r="C1259" s="24"/>
      <c r="D1259" s="25"/>
      <c r="E1259" s="7"/>
      <c r="F1259" s="26"/>
      <c r="G1259" s="7"/>
      <c r="H1259" s="7"/>
    </row>
    <row r="1260" spans="2:8">
      <c r="B1260" s="9"/>
      <c r="C1260" s="24"/>
      <c r="D1260" s="25"/>
      <c r="E1260" s="7"/>
      <c r="F1260" s="26"/>
      <c r="G1260" s="7"/>
      <c r="H1260" s="7"/>
    </row>
    <row r="1261" spans="2:8">
      <c r="B1261" s="9"/>
      <c r="C1261" s="24"/>
      <c r="D1261" s="25"/>
      <c r="E1261" s="7"/>
      <c r="F1261" s="26"/>
      <c r="G1261" s="7"/>
      <c r="H1261" s="7"/>
    </row>
    <row r="1262" spans="2:8">
      <c r="B1262" s="9"/>
      <c r="C1262" s="24"/>
      <c r="D1262" s="25"/>
      <c r="E1262" s="7"/>
      <c r="F1262" s="26"/>
      <c r="G1262" s="7"/>
      <c r="H1262" s="7"/>
    </row>
    <row r="1263" spans="2:8">
      <c r="B1263" s="9"/>
      <c r="C1263" s="24"/>
      <c r="D1263" s="25"/>
      <c r="E1263" s="7"/>
      <c r="F1263" s="26"/>
      <c r="G1263" s="7"/>
      <c r="H1263" s="7"/>
    </row>
    <row r="1264" spans="2:8">
      <c r="B1264" s="9"/>
      <c r="C1264" s="24"/>
      <c r="D1264" s="25"/>
      <c r="E1264" s="7"/>
      <c r="F1264" s="26"/>
      <c r="G1264" s="7"/>
      <c r="H1264" s="7"/>
    </row>
    <row r="1265" spans="2:8">
      <c r="B1265" s="9"/>
      <c r="C1265" s="24"/>
      <c r="D1265" s="25"/>
      <c r="E1265" s="7"/>
      <c r="F1265" s="26"/>
      <c r="G1265" s="7"/>
      <c r="H1265" s="7"/>
    </row>
    <row r="1266" spans="2:8">
      <c r="B1266" s="9"/>
      <c r="C1266" s="24"/>
      <c r="D1266" s="25"/>
      <c r="E1266" s="7"/>
      <c r="F1266" s="26"/>
      <c r="G1266" s="7"/>
      <c r="H1266" s="7"/>
    </row>
    <row r="1267" spans="2:8">
      <c r="B1267" s="9"/>
      <c r="C1267" s="24"/>
      <c r="D1267" s="25"/>
      <c r="E1267" s="7"/>
      <c r="F1267" s="26"/>
      <c r="G1267" s="7"/>
      <c r="H1267" s="7"/>
    </row>
    <row r="1268" spans="2:8">
      <c r="B1268" s="9"/>
      <c r="C1268" s="24"/>
      <c r="D1268" s="25"/>
      <c r="E1268" s="7"/>
      <c r="F1268" s="26"/>
      <c r="G1268" s="7"/>
      <c r="H1268" s="7"/>
    </row>
    <row r="1269" spans="2:8">
      <c r="B1269" s="9"/>
      <c r="C1269" s="24"/>
      <c r="D1269" s="25"/>
      <c r="E1269" s="7"/>
      <c r="F1269" s="26"/>
      <c r="G1269" s="7"/>
      <c r="H1269" s="7"/>
    </row>
    <row r="1270" spans="2:8">
      <c r="B1270" s="9"/>
      <c r="C1270" s="24"/>
      <c r="D1270" s="25"/>
      <c r="E1270" s="7"/>
      <c r="F1270" s="26"/>
      <c r="G1270" s="7"/>
      <c r="H1270" s="7"/>
    </row>
    <row r="1271" spans="2:8">
      <c r="B1271" s="9"/>
      <c r="C1271" s="24"/>
      <c r="D1271" s="25"/>
      <c r="E1271" s="7"/>
      <c r="F1271" s="26"/>
      <c r="G1271" s="7"/>
      <c r="H1271" s="7"/>
    </row>
    <row r="1272" spans="2:8">
      <c r="B1272" s="9"/>
      <c r="C1272" s="24"/>
      <c r="D1272" s="25"/>
      <c r="E1272" s="7"/>
      <c r="F1272" s="26"/>
      <c r="G1272" s="7"/>
      <c r="H1272" s="7"/>
    </row>
    <row r="1273" spans="2:8">
      <c r="B1273" s="9"/>
      <c r="C1273" s="24"/>
      <c r="D1273" s="25"/>
      <c r="E1273" s="7"/>
      <c r="F1273" s="26"/>
      <c r="G1273" s="7"/>
      <c r="H1273" s="7"/>
    </row>
    <row r="1274" spans="2:8">
      <c r="B1274" s="9"/>
      <c r="C1274" s="24"/>
      <c r="D1274" s="25"/>
      <c r="E1274" s="7"/>
      <c r="F1274" s="26"/>
      <c r="G1274" s="7"/>
      <c r="H1274" s="7"/>
    </row>
    <row r="1275" spans="2:8">
      <c r="B1275" s="9"/>
      <c r="C1275" s="24"/>
      <c r="D1275" s="25"/>
      <c r="E1275" s="7"/>
      <c r="F1275" s="26"/>
      <c r="G1275" s="7"/>
      <c r="H1275" s="7"/>
    </row>
    <row r="1276" spans="2:8">
      <c r="B1276" s="9"/>
      <c r="C1276" s="24"/>
      <c r="D1276" s="25"/>
      <c r="E1276" s="7"/>
      <c r="F1276" s="26"/>
      <c r="G1276" s="7"/>
      <c r="H1276" s="7"/>
    </row>
    <row r="1277" spans="2:8">
      <c r="B1277" s="9"/>
      <c r="C1277" s="24"/>
      <c r="D1277" s="25"/>
      <c r="E1277" s="7"/>
      <c r="F1277" s="26"/>
      <c r="G1277" s="7"/>
      <c r="H1277" s="7"/>
    </row>
    <row r="1278" spans="2:8">
      <c r="B1278" s="9"/>
      <c r="C1278" s="24"/>
      <c r="D1278" s="25"/>
      <c r="E1278" s="7"/>
      <c r="F1278" s="26"/>
      <c r="G1278" s="7"/>
      <c r="H1278" s="7"/>
    </row>
    <row r="1279" spans="2:8">
      <c r="B1279" s="9"/>
      <c r="C1279" s="24"/>
      <c r="D1279" s="25"/>
      <c r="E1279" s="7"/>
      <c r="F1279" s="26"/>
      <c r="G1279" s="7"/>
      <c r="H1279" s="7"/>
    </row>
    <row r="1280" spans="2:8">
      <c r="B1280" s="9"/>
      <c r="C1280" s="24"/>
      <c r="D1280" s="25"/>
      <c r="E1280" s="7"/>
      <c r="F1280" s="26"/>
      <c r="G1280" s="7"/>
      <c r="H1280" s="7"/>
    </row>
    <row r="1281" spans="2:8">
      <c r="B1281" s="9"/>
      <c r="C1281" s="24"/>
      <c r="D1281" s="25"/>
      <c r="E1281" s="7"/>
      <c r="F1281" s="26"/>
      <c r="G1281" s="7"/>
      <c r="H1281" s="7"/>
    </row>
    <row r="1282" spans="2:8">
      <c r="B1282" s="9"/>
      <c r="C1282" s="24"/>
      <c r="D1282" s="25"/>
      <c r="E1282" s="7"/>
      <c r="F1282" s="26"/>
      <c r="G1282" s="7"/>
      <c r="H1282" s="7"/>
    </row>
    <row r="1283" spans="2:8">
      <c r="B1283" s="9"/>
      <c r="C1283" s="24"/>
      <c r="D1283" s="25"/>
      <c r="E1283" s="7"/>
      <c r="F1283" s="26"/>
      <c r="G1283" s="7"/>
      <c r="H1283" s="7"/>
    </row>
    <row r="1284" spans="2:8">
      <c r="B1284" s="9"/>
      <c r="C1284" s="24"/>
      <c r="D1284" s="25"/>
      <c r="E1284" s="7"/>
      <c r="F1284" s="26"/>
      <c r="G1284" s="7"/>
      <c r="H1284" s="7"/>
    </row>
    <row r="1285" spans="2:8">
      <c r="B1285" s="9"/>
      <c r="C1285" s="24"/>
      <c r="D1285" s="25"/>
      <c r="E1285" s="7"/>
      <c r="F1285" s="26"/>
      <c r="G1285" s="7"/>
      <c r="H1285" s="7"/>
    </row>
    <row r="1286" spans="2:8">
      <c r="B1286" s="9"/>
      <c r="C1286" s="24"/>
      <c r="D1286" s="25"/>
      <c r="E1286" s="7"/>
      <c r="F1286" s="26"/>
      <c r="G1286" s="7"/>
      <c r="H1286" s="7"/>
    </row>
  </sheetData>
  <mergeCells count="1">
    <mergeCell ref="B21:C2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5A2D1-EBA5-4DA9-B927-657586DDBD52}">
  <sheetPr codeName="Sheet1"/>
  <dimension ref="PT2502"/>
  <sheetViews>
    <sheetView workbookViewId="0"/>
  </sheetViews>
  <sheetFormatPr defaultRowHeight="14.5"/>
  <sheetData>
    <row r="2502" spans="436:436">
      <c r="PT2502" s="40">
        <v>45212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D11D7-9320-43E3-BCE1-5FD2387A2320}">
  <sheetPr codeName="Sheet2"/>
  <dimension ref="A1"/>
  <sheetViews>
    <sheetView tabSelected="1" workbookViewId="0"/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Warning</vt:lpstr>
      <vt:lpstr>dt</vt:lpstr>
      <vt:lpstr>r0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Satyapriya Ojha</dc:creator>
  <cp:lastModifiedBy>Bhavya Gupta</cp:lastModifiedBy>
  <dcterms:created xsi:type="dcterms:W3CDTF">2015-06-05T18:17:20Z</dcterms:created>
  <dcterms:modified xsi:type="dcterms:W3CDTF">2023-10-13T16:25:30Z</dcterms:modified>
</cp:coreProperties>
</file>