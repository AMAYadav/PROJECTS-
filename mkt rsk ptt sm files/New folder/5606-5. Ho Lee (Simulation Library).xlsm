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8_{A5741139-E6E2-4074-A785-061EAC95C57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pyright" sheetId="11" r:id="rId1"/>
    <sheet name="1.Theta Calibration" sheetId="3" r:id="rId2"/>
    <sheet name="2. A(t,T) and B(t,T)" sheetId="4" r:id="rId3"/>
    <sheet name="3.r(t)" sheetId="5" r:id="rId4"/>
    <sheet name="4.P(t,T)" sheetId="8" r:id="rId5"/>
    <sheet name="P2T_Input" sheetId="9" state="veryHidden" r:id="rId6"/>
    <sheet name="Warning" sheetId="10" state="veryHidden" r:id="rId7"/>
  </sheets>
  <externalReferences>
    <externalReference r:id="rId8"/>
  </externalReferences>
  <definedNames>
    <definedName name="dt">'3.r(t)'!$O$4</definedName>
    <definedName name="r0">'3.r(t)'!$O$3</definedName>
    <definedName name="sigma">'3.r(t)'!$O$2</definedName>
    <definedName name="solver_adj" localSheetId="1" hidden="1">'1.Theta Calibration'!$C$16:$C$16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'1.Theta Calibration'!#REF!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'1.Theta Calibration'!#REF!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vol">#REF!</definedName>
    <definedName name="x_1">OFFSET('[1]3.1'!$J$53,0,'[1]3.1'!$J$56,1,25-'[1]3.1'!$J$56)</definedName>
    <definedName name="y_1">OFFSET('[1]3.1'!$J$54,0,'[1]3.1'!$J$56,1,25-'[1]3.1'!$J$56)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3" l="1"/>
  <c r="C24" i="3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5" i="4"/>
  <c r="AQ8" i="8"/>
  <c r="AR8" i="8"/>
  <c r="AQ9" i="8"/>
  <c r="AR9" i="8"/>
  <c r="AS9" i="8"/>
  <c r="AQ10" i="8"/>
  <c r="AR10" i="8"/>
  <c r="AS10" i="8"/>
  <c r="AT10" i="8"/>
  <c r="AQ11" i="8"/>
  <c r="AR11" i="8"/>
  <c r="AS11" i="8"/>
  <c r="AT11" i="8"/>
  <c r="AU11" i="8"/>
  <c r="AQ12" i="8"/>
  <c r="AR12" i="8"/>
  <c r="AS12" i="8"/>
  <c r="AT12" i="8"/>
  <c r="AU12" i="8"/>
  <c r="AV12" i="8"/>
  <c r="AQ13" i="8"/>
  <c r="AR13" i="8"/>
  <c r="AS13" i="8"/>
  <c r="AT13" i="8"/>
  <c r="AU13" i="8"/>
  <c r="AV13" i="8"/>
  <c r="AW13" i="8"/>
  <c r="AQ14" i="8"/>
  <c r="AR14" i="8"/>
  <c r="AS14" i="8"/>
  <c r="AT14" i="8"/>
  <c r="AU14" i="8"/>
  <c r="AV14" i="8"/>
  <c r="AW14" i="8"/>
  <c r="AX14" i="8"/>
  <c r="AQ15" i="8"/>
  <c r="AR15" i="8"/>
  <c r="AS15" i="8"/>
  <c r="AT15" i="8"/>
  <c r="AU15" i="8"/>
  <c r="AV15" i="8"/>
  <c r="AW15" i="8"/>
  <c r="AX15" i="8"/>
  <c r="AY15" i="8"/>
  <c r="AQ7" i="8"/>
  <c r="O2" i="5"/>
  <c r="O4" i="5" l="1"/>
  <c r="N29" i="4"/>
  <c r="N28" i="4"/>
  <c r="M28" i="4"/>
  <c r="M27" i="4"/>
  <c r="N27" i="4"/>
  <c r="L27" i="4"/>
  <c r="L26" i="4"/>
  <c r="M26" i="4"/>
  <c r="N26" i="4"/>
  <c r="K26" i="4"/>
  <c r="K25" i="4"/>
  <c r="L25" i="4"/>
  <c r="M25" i="4"/>
  <c r="N25" i="4"/>
  <c r="J25" i="4"/>
  <c r="J24" i="4"/>
  <c r="K24" i="4"/>
  <c r="L24" i="4"/>
  <c r="M24" i="4"/>
  <c r="N24" i="4"/>
  <c r="I24" i="4"/>
  <c r="I23" i="4"/>
  <c r="J23" i="4"/>
  <c r="K23" i="4"/>
  <c r="L23" i="4"/>
  <c r="M23" i="4"/>
  <c r="N23" i="4"/>
  <c r="H23" i="4"/>
  <c r="H22" i="4"/>
  <c r="I22" i="4"/>
  <c r="J22" i="4"/>
  <c r="K22" i="4"/>
  <c r="L22" i="4"/>
  <c r="M22" i="4"/>
  <c r="N22" i="4"/>
  <c r="G22" i="4"/>
  <c r="C7" i="4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C6" i="4"/>
  <c r="O3" i="5" s="1"/>
  <c r="D763" i="5" s="1"/>
  <c r="H23" i="3"/>
  <c r="D863" i="5" l="1"/>
  <c r="D631" i="5"/>
  <c r="D343" i="5"/>
  <c r="D199" i="5"/>
  <c r="D931" i="5"/>
  <c r="D859" i="5"/>
  <c r="D619" i="5"/>
  <c r="D331" i="5"/>
  <c r="D995" i="5"/>
  <c r="D851" i="5"/>
  <c r="D607" i="5"/>
  <c r="D175" i="5"/>
  <c r="D983" i="5"/>
  <c r="D911" i="5"/>
  <c r="D839" i="5"/>
  <c r="D767" i="5"/>
  <c r="D695" i="5"/>
  <c r="D583" i="5"/>
  <c r="D439" i="5"/>
  <c r="D295" i="5"/>
  <c r="D151" i="5"/>
  <c r="D127" i="5"/>
  <c r="D8" i="5"/>
  <c r="D20" i="5"/>
  <c r="D32" i="5"/>
  <c r="D44" i="5"/>
  <c r="D56" i="5"/>
  <c r="D68" i="5"/>
  <c r="D80" i="5"/>
  <c r="D92" i="5"/>
  <c r="D104" i="5"/>
  <c r="D116" i="5"/>
  <c r="D128" i="5"/>
  <c r="D140" i="5"/>
  <c r="D152" i="5"/>
  <c r="D164" i="5"/>
  <c r="D176" i="5"/>
  <c r="D188" i="5"/>
  <c r="D200" i="5"/>
  <c r="D212" i="5"/>
  <c r="D224" i="5"/>
  <c r="D236" i="5"/>
  <c r="D248" i="5"/>
  <c r="D260" i="5"/>
  <c r="D272" i="5"/>
  <c r="D284" i="5"/>
  <c r="D296" i="5"/>
  <c r="D308" i="5"/>
  <c r="D320" i="5"/>
  <c r="D332" i="5"/>
  <c r="D344" i="5"/>
  <c r="D356" i="5"/>
  <c r="D368" i="5"/>
  <c r="D380" i="5"/>
  <c r="D392" i="5"/>
  <c r="D404" i="5"/>
  <c r="D416" i="5"/>
  <c r="D428" i="5"/>
  <c r="D440" i="5"/>
  <c r="D452" i="5"/>
  <c r="D464" i="5"/>
  <c r="D476" i="5"/>
  <c r="D488" i="5"/>
  <c r="D500" i="5"/>
  <c r="D512" i="5"/>
  <c r="D524" i="5"/>
  <c r="D536" i="5"/>
  <c r="D548" i="5"/>
  <c r="D560" i="5"/>
  <c r="D572" i="5"/>
  <c r="D584" i="5"/>
  <c r="D596" i="5"/>
  <c r="D608" i="5"/>
  <c r="D620" i="5"/>
  <c r="D632" i="5"/>
  <c r="D644" i="5"/>
  <c r="D656" i="5"/>
  <c r="D668" i="5"/>
  <c r="D680" i="5"/>
  <c r="D692" i="5"/>
  <c r="D704" i="5"/>
  <c r="D716" i="5"/>
  <c r="D728" i="5"/>
  <c r="D740" i="5"/>
  <c r="D752" i="5"/>
  <c r="D764" i="5"/>
  <c r="D776" i="5"/>
  <c r="D788" i="5"/>
  <c r="D800" i="5"/>
  <c r="D812" i="5"/>
  <c r="D824" i="5"/>
  <c r="D836" i="5"/>
  <c r="D848" i="5"/>
  <c r="D860" i="5"/>
  <c r="D872" i="5"/>
  <c r="D884" i="5"/>
  <c r="D896" i="5"/>
  <c r="D908" i="5"/>
  <c r="D920" i="5"/>
  <c r="D932" i="5"/>
  <c r="D944" i="5"/>
  <c r="D956" i="5"/>
  <c r="D968" i="5"/>
  <c r="D980" i="5"/>
  <c r="D992" i="5"/>
  <c r="D1004" i="5"/>
  <c r="D9" i="5"/>
  <c r="D21" i="5"/>
  <c r="D33" i="5"/>
  <c r="D45" i="5"/>
  <c r="D57" i="5"/>
  <c r="D69" i="5"/>
  <c r="D81" i="5"/>
  <c r="D93" i="5"/>
  <c r="D105" i="5"/>
  <c r="D117" i="5"/>
  <c r="D129" i="5"/>
  <c r="D141" i="5"/>
  <c r="D153" i="5"/>
  <c r="D165" i="5"/>
  <c r="D177" i="5"/>
  <c r="D189" i="5"/>
  <c r="D201" i="5"/>
  <c r="D213" i="5"/>
  <c r="D225" i="5"/>
  <c r="D237" i="5"/>
  <c r="D249" i="5"/>
  <c r="D261" i="5"/>
  <c r="D273" i="5"/>
  <c r="D285" i="5"/>
  <c r="D297" i="5"/>
  <c r="D309" i="5"/>
  <c r="D321" i="5"/>
  <c r="D333" i="5"/>
  <c r="D345" i="5"/>
  <c r="D357" i="5"/>
  <c r="D369" i="5"/>
  <c r="D381" i="5"/>
  <c r="D393" i="5"/>
  <c r="D405" i="5"/>
  <c r="D417" i="5"/>
  <c r="D429" i="5"/>
  <c r="D441" i="5"/>
  <c r="D453" i="5"/>
  <c r="D465" i="5"/>
  <c r="D477" i="5"/>
  <c r="D489" i="5"/>
  <c r="D501" i="5"/>
  <c r="D513" i="5"/>
  <c r="D525" i="5"/>
  <c r="D537" i="5"/>
  <c r="D549" i="5"/>
  <c r="D561" i="5"/>
  <c r="D573" i="5"/>
  <c r="D585" i="5"/>
  <c r="D597" i="5"/>
  <c r="D609" i="5"/>
  <c r="D621" i="5"/>
  <c r="D633" i="5"/>
  <c r="D645" i="5"/>
  <c r="D657" i="5"/>
  <c r="D669" i="5"/>
  <c r="D681" i="5"/>
  <c r="D693" i="5"/>
  <c r="D705" i="5"/>
  <c r="D717" i="5"/>
  <c r="D729" i="5"/>
  <c r="D741" i="5"/>
  <c r="D753" i="5"/>
  <c r="D765" i="5"/>
  <c r="D777" i="5"/>
  <c r="D789" i="5"/>
  <c r="D801" i="5"/>
  <c r="D813" i="5"/>
  <c r="D825" i="5"/>
  <c r="D837" i="5"/>
  <c r="D849" i="5"/>
  <c r="D861" i="5"/>
  <c r="D873" i="5"/>
  <c r="D885" i="5"/>
  <c r="D897" i="5"/>
  <c r="D909" i="5"/>
  <c r="D921" i="5"/>
  <c r="D933" i="5"/>
  <c r="D945" i="5"/>
  <c r="D957" i="5"/>
  <c r="D969" i="5"/>
  <c r="D981" i="5"/>
  <c r="D993" i="5"/>
  <c r="D1005" i="5"/>
  <c r="D683" i="5"/>
  <c r="D10" i="5"/>
  <c r="D22" i="5"/>
  <c r="D34" i="5"/>
  <c r="D46" i="5"/>
  <c r="D58" i="5"/>
  <c r="D70" i="5"/>
  <c r="D82" i="5"/>
  <c r="D94" i="5"/>
  <c r="D106" i="5"/>
  <c r="D118" i="5"/>
  <c r="D130" i="5"/>
  <c r="D142" i="5"/>
  <c r="D154" i="5"/>
  <c r="D166" i="5"/>
  <c r="D178" i="5"/>
  <c r="D190" i="5"/>
  <c r="D202" i="5"/>
  <c r="D214" i="5"/>
  <c r="D226" i="5"/>
  <c r="D238" i="5"/>
  <c r="D250" i="5"/>
  <c r="D262" i="5"/>
  <c r="D274" i="5"/>
  <c r="D286" i="5"/>
  <c r="D298" i="5"/>
  <c r="D310" i="5"/>
  <c r="D322" i="5"/>
  <c r="D334" i="5"/>
  <c r="D346" i="5"/>
  <c r="D358" i="5"/>
  <c r="D370" i="5"/>
  <c r="D382" i="5"/>
  <c r="D394" i="5"/>
  <c r="D406" i="5"/>
  <c r="D418" i="5"/>
  <c r="D430" i="5"/>
  <c r="D442" i="5"/>
  <c r="D454" i="5"/>
  <c r="D466" i="5"/>
  <c r="D478" i="5"/>
  <c r="D490" i="5"/>
  <c r="D502" i="5"/>
  <c r="D514" i="5"/>
  <c r="D526" i="5"/>
  <c r="D538" i="5"/>
  <c r="D550" i="5"/>
  <c r="D562" i="5"/>
  <c r="D574" i="5"/>
  <c r="D586" i="5"/>
  <c r="D598" i="5"/>
  <c r="D610" i="5"/>
  <c r="D622" i="5"/>
  <c r="D634" i="5"/>
  <c r="D646" i="5"/>
  <c r="D658" i="5"/>
  <c r="D670" i="5"/>
  <c r="D682" i="5"/>
  <c r="D694" i="5"/>
  <c r="D706" i="5"/>
  <c r="D718" i="5"/>
  <c r="D730" i="5"/>
  <c r="D742" i="5"/>
  <c r="D754" i="5"/>
  <c r="D766" i="5"/>
  <c r="D778" i="5"/>
  <c r="D790" i="5"/>
  <c r="D802" i="5"/>
  <c r="D814" i="5"/>
  <c r="D826" i="5"/>
  <c r="D838" i="5"/>
  <c r="D850" i="5"/>
  <c r="D862" i="5"/>
  <c r="D874" i="5"/>
  <c r="D886" i="5"/>
  <c r="D898" i="5"/>
  <c r="D910" i="5"/>
  <c r="D922" i="5"/>
  <c r="D934" i="5"/>
  <c r="D946" i="5"/>
  <c r="D958" i="5"/>
  <c r="D970" i="5"/>
  <c r="D982" i="5"/>
  <c r="D994" i="5"/>
  <c r="D1006" i="5"/>
  <c r="D11" i="5"/>
  <c r="D23" i="5"/>
  <c r="D35" i="5"/>
  <c r="D47" i="5"/>
  <c r="D59" i="5"/>
  <c r="D71" i="5"/>
  <c r="D83" i="5"/>
  <c r="D95" i="5"/>
  <c r="D107" i="5"/>
  <c r="D119" i="5"/>
  <c r="D131" i="5"/>
  <c r="D143" i="5"/>
  <c r="D155" i="5"/>
  <c r="D167" i="5"/>
  <c r="D179" i="5"/>
  <c r="D191" i="5"/>
  <c r="D203" i="5"/>
  <c r="D215" i="5"/>
  <c r="D227" i="5"/>
  <c r="D239" i="5"/>
  <c r="D251" i="5"/>
  <c r="D263" i="5"/>
  <c r="D275" i="5"/>
  <c r="D287" i="5"/>
  <c r="D299" i="5"/>
  <c r="D311" i="5"/>
  <c r="D323" i="5"/>
  <c r="D335" i="5"/>
  <c r="D347" i="5"/>
  <c r="D359" i="5"/>
  <c r="D371" i="5"/>
  <c r="D383" i="5"/>
  <c r="D395" i="5"/>
  <c r="D407" i="5"/>
  <c r="D419" i="5"/>
  <c r="D431" i="5"/>
  <c r="D443" i="5"/>
  <c r="D455" i="5"/>
  <c r="D467" i="5"/>
  <c r="D479" i="5"/>
  <c r="D491" i="5"/>
  <c r="D503" i="5"/>
  <c r="D515" i="5"/>
  <c r="D527" i="5"/>
  <c r="D539" i="5"/>
  <c r="D551" i="5"/>
  <c r="D563" i="5"/>
  <c r="D575" i="5"/>
  <c r="D587" i="5"/>
  <c r="D599" i="5"/>
  <c r="D611" i="5"/>
  <c r="D623" i="5"/>
  <c r="D635" i="5"/>
  <c r="D647" i="5"/>
  <c r="D12" i="5"/>
  <c r="D24" i="5"/>
  <c r="D36" i="5"/>
  <c r="D48" i="5"/>
  <c r="D60" i="5"/>
  <c r="D72" i="5"/>
  <c r="D84" i="5"/>
  <c r="D96" i="5"/>
  <c r="D108" i="5"/>
  <c r="D120" i="5"/>
  <c r="D132" i="5"/>
  <c r="D144" i="5"/>
  <c r="D156" i="5"/>
  <c r="D168" i="5"/>
  <c r="D180" i="5"/>
  <c r="D192" i="5"/>
  <c r="D204" i="5"/>
  <c r="D216" i="5"/>
  <c r="D228" i="5"/>
  <c r="D240" i="5"/>
  <c r="D252" i="5"/>
  <c r="D264" i="5"/>
  <c r="D276" i="5"/>
  <c r="D288" i="5"/>
  <c r="D300" i="5"/>
  <c r="D312" i="5"/>
  <c r="D324" i="5"/>
  <c r="D336" i="5"/>
  <c r="D348" i="5"/>
  <c r="D360" i="5"/>
  <c r="D372" i="5"/>
  <c r="D384" i="5"/>
  <c r="D396" i="5"/>
  <c r="D408" i="5"/>
  <c r="D420" i="5"/>
  <c r="D432" i="5"/>
  <c r="D444" i="5"/>
  <c r="D456" i="5"/>
  <c r="D468" i="5"/>
  <c r="D480" i="5"/>
  <c r="D492" i="5"/>
  <c r="D504" i="5"/>
  <c r="D516" i="5"/>
  <c r="D528" i="5"/>
  <c r="D540" i="5"/>
  <c r="D552" i="5"/>
  <c r="D564" i="5"/>
  <c r="D576" i="5"/>
  <c r="D588" i="5"/>
  <c r="D600" i="5"/>
  <c r="D612" i="5"/>
  <c r="D624" i="5"/>
  <c r="D636" i="5"/>
  <c r="D648" i="5"/>
  <c r="D660" i="5"/>
  <c r="D672" i="5"/>
  <c r="D684" i="5"/>
  <c r="D696" i="5"/>
  <c r="D708" i="5"/>
  <c r="D720" i="5"/>
  <c r="D732" i="5"/>
  <c r="D744" i="5"/>
  <c r="D756" i="5"/>
  <c r="D768" i="5"/>
  <c r="D780" i="5"/>
  <c r="D792" i="5"/>
  <c r="D804" i="5"/>
  <c r="D816" i="5"/>
  <c r="D828" i="5"/>
  <c r="D840" i="5"/>
  <c r="D852" i="5"/>
  <c r="D864" i="5"/>
  <c r="D876" i="5"/>
  <c r="D888" i="5"/>
  <c r="D900" i="5"/>
  <c r="D912" i="5"/>
  <c r="D924" i="5"/>
  <c r="D936" i="5"/>
  <c r="D948" i="5"/>
  <c r="D960" i="5"/>
  <c r="D972" i="5"/>
  <c r="D984" i="5"/>
  <c r="D996" i="5"/>
  <c r="D13" i="5"/>
  <c r="D25" i="5"/>
  <c r="D37" i="5"/>
  <c r="D49" i="5"/>
  <c r="D61" i="5"/>
  <c r="D73" i="5"/>
  <c r="D85" i="5"/>
  <c r="D97" i="5"/>
  <c r="D109" i="5"/>
  <c r="D121" i="5"/>
  <c r="D133" i="5"/>
  <c r="D145" i="5"/>
  <c r="D157" i="5"/>
  <c r="D169" i="5"/>
  <c r="D181" i="5"/>
  <c r="D193" i="5"/>
  <c r="D205" i="5"/>
  <c r="D217" i="5"/>
  <c r="D229" i="5"/>
  <c r="D241" i="5"/>
  <c r="D253" i="5"/>
  <c r="D265" i="5"/>
  <c r="D277" i="5"/>
  <c r="D289" i="5"/>
  <c r="D301" i="5"/>
  <c r="D313" i="5"/>
  <c r="D325" i="5"/>
  <c r="D337" i="5"/>
  <c r="D349" i="5"/>
  <c r="D361" i="5"/>
  <c r="D373" i="5"/>
  <c r="D385" i="5"/>
  <c r="D397" i="5"/>
  <c r="D409" i="5"/>
  <c r="D421" i="5"/>
  <c r="D433" i="5"/>
  <c r="D445" i="5"/>
  <c r="D457" i="5"/>
  <c r="D469" i="5"/>
  <c r="D481" i="5"/>
  <c r="D493" i="5"/>
  <c r="D505" i="5"/>
  <c r="D517" i="5"/>
  <c r="D529" i="5"/>
  <c r="D541" i="5"/>
  <c r="D553" i="5"/>
  <c r="D565" i="5"/>
  <c r="D577" i="5"/>
  <c r="D589" i="5"/>
  <c r="D601" i="5"/>
  <c r="D613" i="5"/>
  <c r="D625" i="5"/>
  <c r="D637" i="5"/>
  <c r="D649" i="5"/>
  <c r="D661" i="5"/>
  <c r="D673" i="5"/>
  <c r="D685" i="5"/>
  <c r="D697" i="5"/>
  <c r="D709" i="5"/>
  <c r="D721" i="5"/>
  <c r="D733" i="5"/>
  <c r="D745" i="5"/>
  <c r="D757" i="5"/>
  <c r="D769" i="5"/>
  <c r="D781" i="5"/>
  <c r="D793" i="5"/>
  <c r="D805" i="5"/>
  <c r="D817" i="5"/>
  <c r="D829" i="5"/>
  <c r="D841" i="5"/>
  <c r="D853" i="5"/>
  <c r="D865" i="5"/>
  <c r="D877" i="5"/>
  <c r="D889" i="5"/>
  <c r="D901" i="5"/>
  <c r="D913" i="5"/>
  <c r="D925" i="5"/>
  <c r="D937" i="5"/>
  <c r="D949" i="5"/>
  <c r="D961" i="5"/>
  <c r="D973" i="5"/>
  <c r="D985" i="5"/>
  <c r="D997" i="5"/>
  <c r="D14" i="5"/>
  <c r="D26" i="5"/>
  <c r="D38" i="5"/>
  <c r="D50" i="5"/>
  <c r="D62" i="5"/>
  <c r="D74" i="5"/>
  <c r="D86" i="5"/>
  <c r="D98" i="5"/>
  <c r="D110" i="5"/>
  <c r="D122" i="5"/>
  <c r="D134" i="5"/>
  <c r="D146" i="5"/>
  <c r="D158" i="5"/>
  <c r="D170" i="5"/>
  <c r="D182" i="5"/>
  <c r="D194" i="5"/>
  <c r="D206" i="5"/>
  <c r="D218" i="5"/>
  <c r="D230" i="5"/>
  <c r="D242" i="5"/>
  <c r="D254" i="5"/>
  <c r="D266" i="5"/>
  <c r="D278" i="5"/>
  <c r="D290" i="5"/>
  <c r="D302" i="5"/>
  <c r="D314" i="5"/>
  <c r="D326" i="5"/>
  <c r="D338" i="5"/>
  <c r="D350" i="5"/>
  <c r="D362" i="5"/>
  <c r="D374" i="5"/>
  <c r="D386" i="5"/>
  <c r="D398" i="5"/>
  <c r="D410" i="5"/>
  <c r="D422" i="5"/>
  <c r="D434" i="5"/>
  <c r="D446" i="5"/>
  <c r="D458" i="5"/>
  <c r="D470" i="5"/>
  <c r="D482" i="5"/>
  <c r="D494" i="5"/>
  <c r="D506" i="5"/>
  <c r="D518" i="5"/>
  <c r="D530" i="5"/>
  <c r="D542" i="5"/>
  <c r="D554" i="5"/>
  <c r="D566" i="5"/>
  <c r="D578" i="5"/>
  <c r="D590" i="5"/>
  <c r="D602" i="5"/>
  <c r="D614" i="5"/>
  <c r="D626" i="5"/>
  <c r="D638" i="5"/>
  <c r="D650" i="5"/>
  <c r="D662" i="5"/>
  <c r="D674" i="5"/>
  <c r="D686" i="5"/>
  <c r="D698" i="5"/>
  <c r="D710" i="5"/>
  <c r="D722" i="5"/>
  <c r="D734" i="5"/>
  <c r="D746" i="5"/>
  <c r="D758" i="5"/>
  <c r="D770" i="5"/>
  <c r="D782" i="5"/>
  <c r="D794" i="5"/>
  <c r="D806" i="5"/>
  <c r="D818" i="5"/>
  <c r="D830" i="5"/>
  <c r="D842" i="5"/>
  <c r="D854" i="5"/>
  <c r="D866" i="5"/>
  <c r="D878" i="5"/>
  <c r="D890" i="5"/>
  <c r="D902" i="5"/>
  <c r="D914" i="5"/>
  <c r="D926" i="5"/>
  <c r="D938" i="5"/>
  <c r="D950" i="5"/>
  <c r="D962" i="5"/>
  <c r="D974" i="5"/>
  <c r="D986" i="5"/>
  <c r="D998" i="5"/>
  <c r="D15" i="5"/>
  <c r="D27" i="5"/>
  <c r="D39" i="5"/>
  <c r="D51" i="5"/>
  <c r="D63" i="5"/>
  <c r="D75" i="5"/>
  <c r="D87" i="5"/>
  <c r="D99" i="5"/>
  <c r="D111" i="5"/>
  <c r="D123" i="5"/>
  <c r="D135" i="5"/>
  <c r="D147" i="5"/>
  <c r="D159" i="5"/>
  <c r="D171" i="5"/>
  <c r="D183" i="5"/>
  <c r="D195" i="5"/>
  <c r="D207" i="5"/>
  <c r="D219" i="5"/>
  <c r="D231" i="5"/>
  <c r="D243" i="5"/>
  <c r="D255" i="5"/>
  <c r="D267" i="5"/>
  <c r="D279" i="5"/>
  <c r="D291" i="5"/>
  <c r="D303" i="5"/>
  <c r="D315" i="5"/>
  <c r="D327" i="5"/>
  <c r="D339" i="5"/>
  <c r="D351" i="5"/>
  <c r="D363" i="5"/>
  <c r="D375" i="5"/>
  <c r="D387" i="5"/>
  <c r="D399" i="5"/>
  <c r="D411" i="5"/>
  <c r="D423" i="5"/>
  <c r="D435" i="5"/>
  <c r="D447" i="5"/>
  <c r="D459" i="5"/>
  <c r="D471" i="5"/>
  <c r="D483" i="5"/>
  <c r="D495" i="5"/>
  <c r="D507" i="5"/>
  <c r="D519" i="5"/>
  <c r="D531" i="5"/>
  <c r="D543" i="5"/>
  <c r="D555" i="5"/>
  <c r="D567" i="5"/>
  <c r="D579" i="5"/>
  <c r="D591" i="5"/>
  <c r="D603" i="5"/>
  <c r="D615" i="5"/>
  <c r="D627" i="5"/>
  <c r="D639" i="5"/>
  <c r="D651" i="5"/>
  <c r="D663" i="5"/>
  <c r="D675" i="5"/>
  <c r="D687" i="5"/>
  <c r="D699" i="5"/>
  <c r="D711" i="5"/>
  <c r="D723" i="5"/>
  <c r="D735" i="5"/>
  <c r="D747" i="5"/>
  <c r="D759" i="5"/>
  <c r="D771" i="5"/>
  <c r="D783" i="5"/>
  <c r="D795" i="5"/>
  <c r="D807" i="5"/>
  <c r="D819" i="5"/>
  <c r="D831" i="5"/>
  <c r="D843" i="5"/>
  <c r="D855" i="5"/>
  <c r="D867" i="5"/>
  <c r="D879" i="5"/>
  <c r="D891" i="5"/>
  <c r="D903" i="5"/>
  <c r="D915" i="5"/>
  <c r="D927" i="5"/>
  <c r="D939" i="5"/>
  <c r="D951" i="5"/>
  <c r="D963" i="5"/>
  <c r="D975" i="5"/>
  <c r="D987" i="5"/>
  <c r="D999" i="5"/>
  <c r="D16" i="5"/>
  <c r="D28" i="5"/>
  <c r="D40" i="5"/>
  <c r="D52" i="5"/>
  <c r="D64" i="5"/>
  <c r="D76" i="5"/>
  <c r="D88" i="5"/>
  <c r="D100" i="5"/>
  <c r="D112" i="5"/>
  <c r="D124" i="5"/>
  <c r="D136" i="5"/>
  <c r="D148" i="5"/>
  <c r="D160" i="5"/>
  <c r="D172" i="5"/>
  <c r="D184" i="5"/>
  <c r="D196" i="5"/>
  <c r="D208" i="5"/>
  <c r="D220" i="5"/>
  <c r="D232" i="5"/>
  <c r="D244" i="5"/>
  <c r="D256" i="5"/>
  <c r="D268" i="5"/>
  <c r="D280" i="5"/>
  <c r="D292" i="5"/>
  <c r="D304" i="5"/>
  <c r="D316" i="5"/>
  <c r="D328" i="5"/>
  <c r="D340" i="5"/>
  <c r="D352" i="5"/>
  <c r="D364" i="5"/>
  <c r="D376" i="5"/>
  <c r="D388" i="5"/>
  <c r="D400" i="5"/>
  <c r="D412" i="5"/>
  <c r="D424" i="5"/>
  <c r="D436" i="5"/>
  <c r="D448" i="5"/>
  <c r="D460" i="5"/>
  <c r="D472" i="5"/>
  <c r="D484" i="5"/>
  <c r="D496" i="5"/>
  <c r="D508" i="5"/>
  <c r="D520" i="5"/>
  <c r="D532" i="5"/>
  <c r="D544" i="5"/>
  <c r="D556" i="5"/>
  <c r="D568" i="5"/>
  <c r="D580" i="5"/>
  <c r="D592" i="5"/>
  <c r="D604" i="5"/>
  <c r="D616" i="5"/>
  <c r="D628" i="5"/>
  <c r="D640" i="5"/>
  <c r="D652" i="5"/>
  <c r="D664" i="5"/>
  <c r="D676" i="5"/>
  <c r="D688" i="5"/>
  <c r="D700" i="5"/>
  <c r="D712" i="5"/>
  <c r="D724" i="5"/>
  <c r="D736" i="5"/>
  <c r="D748" i="5"/>
  <c r="D760" i="5"/>
  <c r="D772" i="5"/>
  <c r="D784" i="5"/>
  <c r="D796" i="5"/>
  <c r="D808" i="5"/>
  <c r="D820" i="5"/>
  <c r="D832" i="5"/>
  <c r="D844" i="5"/>
  <c r="D856" i="5"/>
  <c r="D868" i="5"/>
  <c r="D880" i="5"/>
  <c r="D892" i="5"/>
  <c r="D904" i="5"/>
  <c r="D916" i="5"/>
  <c r="D928" i="5"/>
  <c r="D940" i="5"/>
  <c r="D952" i="5"/>
  <c r="D964" i="5"/>
  <c r="D976" i="5"/>
  <c r="D988" i="5"/>
  <c r="D1000" i="5"/>
  <c r="D17" i="5"/>
  <c r="D29" i="5"/>
  <c r="D41" i="5"/>
  <c r="D53" i="5"/>
  <c r="D65" i="5"/>
  <c r="D77" i="5"/>
  <c r="D89" i="5"/>
  <c r="D101" i="5"/>
  <c r="D113" i="5"/>
  <c r="D125" i="5"/>
  <c r="D137" i="5"/>
  <c r="D149" i="5"/>
  <c r="D161" i="5"/>
  <c r="D173" i="5"/>
  <c r="D185" i="5"/>
  <c r="D197" i="5"/>
  <c r="D209" i="5"/>
  <c r="D221" i="5"/>
  <c r="D233" i="5"/>
  <c r="D245" i="5"/>
  <c r="D257" i="5"/>
  <c r="D269" i="5"/>
  <c r="D281" i="5"/>
  <c r="D293" i="5"/>
  <c r="D305" i="5"/>
  <c r="D317" i="5"/>
  <c r="D329" i="5"/>
  <c r="D341" i="5"/>
  <c r="D353" i="5"/>
  <c r="D365" i="5"/>
  <c r="D377" i="5"/>
  <c r="D389" i="5"/>
  <c r="D401" i="5"/>
  <c r="D413" i="5"/>
  <c r="D425" i="5"/>
  <c r="D437" i="5"/>
  <c r="D449" i="5"/>
  <c r="D461" i="5"/>
  <c r="D473" i="5"/>
  <c r="D485" i="5"/>
  <c r="D497" i="5"/>
  <c r="D509" i="5"/>
  <c r="D521" i="5"/>
  <c r="D533" i="5"/>
  <c r="D545" i="5"/>
  <c r="D557" i="5"/>
  <c r="D569" i="5"/>
  <c r="D581" i="5"/>
  <c r="D593" i="5"/>
  <c r="D605" i="5"/>
  <c r="D617" i="5"/>
  <c r="D629" i="5"/>
  <c r="D641" i="5"/>
  <c r="D653" i="5"/>
  <c r="D665" i="5"/>
  <c r="D677" i="5"/>
  <c r="D689" i="5"/>
  <c r="D701" i="5"/>
  <c r="D713" i="5"/>
  <c r="D725" i="5"/>
  <c r="D737" i="5"/>
  <c r="D749" i="5"/>
  <c r="D761" i="5"/>
  <c r="D773" i="5"/>
  <c r="D785" i="5"/>
  <c r="D797" i="5"/>
  <c r="D809" i="5"/>
  <c r="D821" i="5"/>
  <c r="D833" i="5"/>
  <c r="D845" i="5"/>
  <c r="D857" i="5"/>
  <c r="D869" i="5"/>
  <c r="D881" i="5"/>
  <c r="D893" i="5"/>
  <c r="D905" i="5"/>
  <c r="D917" i="5"/>
  <c r="D929" i="5"/>
  <c r="D941" i="5"/>
  <c r="D953" i="5"/>
  <c r="D965" i="5"/>
  <c r="D977" i="5"/>
  <c r="D989" i="5"/>
  <c r="D1001" i="5"/>
  <c r="D18" i="5"/>
  <c r="D30" i="5"/>
  <c r="D42" i="5"/>
  <c r="D54" i="5"/>
  <c r="D66" i="5"/>
  <c r="D78" i="5"/>
  <c r="D90" i="5"/>
  <c r="D102" i="5"/>
  <c r="D114" i="5"/>
  <c r="D126" i="5"/>
  <c r="D138" i="5"/>
  <c r="D150" i="5"/>
  <c r="D162" i="5"/>
  <c r="D174" i="5"/>
  <c r="D186" i="5"/>
  <c r="D198" i="5"/>
  <c r="D210" i="5"/>
  <c r="D222" i="5"/>
  <c r="D234" i="5"/>
  <c r="D246" i="5"/>
  <c r="D258" i="5"/>
  <c r="D270" i="5"/>
  <c r="D282" i="5"/>
  <c r="D294" i="5"/>
  <c r="D306" i="5"/>
  <c r="D318" i="5"/>
  <c r="D330" i="5"/>
  <c r="D342" i="5"/>
  <c r="D354" i="5"/>
  <c r="D366" i="5"/>
  <c r="D378" i="5"/>
  <c r="D390" i="5"/>
  <c r="D402" i="5"/>
  <c r="D414" i="5"/>
  <c r="D426" i="5"/>
  <c r="D438" i="5"/>
  <c r="D450" i="5"/>
  <c r="D462" i="5"/>
  <c r="D474" i="5"/>
  <c r="D486" i="5"/>
  <c r="D498" i="5"/>
  <c r="D510" i="5"/>
  <c r="D522" i="5"/>
  <c r="D534" i="5"/>
  <c r="D546" i="5"/>
  <c r="D558" i="5"/>
  <c r="D570" i="5"/>
  <c r="D582" i="5"/>
  <c r="D594" i="5"/>
  <c r="D606" i="5"/>
  <c r="D618" i="5"/>
  <c r="D630" i="5"/>
  <c r="D642" i="5"/>
  <c r="D654" i="5"/>
  <c r="D666" i="5"/>
  <c r="D678" i="5"/>
  <c r="D690" i="5"/>
  <c r="D702" i="5"/>
  <c r="D714" i="5"/>
  <c r="D726" i="5"/>
  <c r="D738" i="5"/>
  <c r="D750" i="5"/>
  <c r="D762" i="5"/>
  <c r="D774" i="5"/>
  <c r="D786" i="5"/>
  <c r="D798" i="5"/>
  <c r="D810" i="5"/>
  <c r="D822" i="5"/>
  <c r="D834" i="5"/>
  <c r="D846" i="5"/>
  <c r="D858" i="5"/>
  <c r="D870" i="5"/>
  <c r="D882" i="5"/>
  <c r="D894" i="5"/>
  <c r="D906" i="5"/>
  <c r="D918" i="5"/>
  <c r="D930" i="5"/>
  <c r="D942" i="5"/>
  <c r="D954" i="5"/>
  <c r="D966" i="5"/>
  <c r="D978" i="5"/>
  <c r="D990" i="5"/>
  <c r="D1002" i="5"/>
  <c r="D899" i="5"/>
  <c r="D679" i="5"/>
  <c r="D415" i="5"/>
  <c r="D823" i="5"/>
  <c r="D671" i="5"/>
  <c r="D403" i="5"/>
  <c r="D115" i="5"/>
  <c r="D959" i="5"/>
  <c r="D887" i="5"/>
  <c r="D815" i="5"/>
  <c r="D743" i="5"/>
  <c r="D667" i="5"/>
  <c r="D535" i="5"/>
  <c r="D391" i="5"/>
  <c r="D247" i="5"/>
  <c r="D103" i="5"/>
  <c r="D907" i="5"/>
  <c r="D571" i="5"/>
  <c r="D283" i="5"/>
  <c r="D827" i="5"/>
  <c r="D559" i="5"/>
  <c r="D895" i="5"/>
  <c r="D955" i="5"/>
  <c r="D811" i="5"/>
  <c r="D739" i="5"/>
  <c r="D659" i="5"/>
  <c r="D523" i="5"/>
  <c r="D379" i="5"/>
  <c r="D235" i="5"/>
  <c r="D91" i="5"/>
  <c r="D979" i="5"/>
  <c r="D835" i="5"/>
  <c r="D691" i="5"/>
  <c r="D427" i="5"/>
  <c r="D139" i="5"/>
  <c r="D971" i="5"/>
  <c r="D755" i="5"/>
  <c r="D271" i="5"/>
  <c r="D967" i="5"/>
  <c r="D751" i="5"/>
  <c r="D547" i="5"/>
  <c r="D259" i="5"/>
  <c r="D883" i="5"/>
  <c r="D947" i="5"/>
  <c r="D875" i="5"/>
  <c r="D803" i="5"/>
  <c r="D731" i="5"/>
  <c r="D655" i="5"/>
  <c r="D511" i="5"/>
  <c r="D367" i="5"/>
  <c r="D223" i="5"/>
  <c r="D79" i="5"/>
  <c r="D943" i="5"/>
  <c r="D871" i="5"/>
  <c r="D799" i="5"/>
  <c r="D727" i="5"/>
  <c r="D643" i="5"/>
  <c r="D499" i="5"/>
  <c r="D355" i="5"/>
  <c r="D211" i="5"/>
  <c r="D67" i="5"/>
  <c r="D7" i="5"/>
  <c r="D719" i="5"/>
  <c r="D715" i="5"/>
  <c r="D43" i="5"/>
  <c r="D935" i="5"/>
  <c r="D791" i="5"/>
  <c r="D487" i="5"/>
  <c r="D55" i="5"/>
  <c r="D1003" i="5"/>
  <c r="D787" i="5"/>
  <c r="D475" i="5"/>
  <c r="D187" i="5"/>
  <c r="D923" i="5"/>
  <c r="D779" i="5"/>
  <c r="D707" i="5"/>
  <c r="D463" i="5"/>
  <c r="D319" i="5"/>
  <c r="D31" i="5"/>
  <c r="D991" i="5"/>
  <c r="D919" i="5"/>
  <c r="D847" i="5"/>
  <c r="D775" i="5"/>
  <c r="D703" i="5"/>
  <c r="D595" i="5"/>
  <c r="D451" i="5"/>
  <c r="D307" i="5"/>
  <c r="D163" i="5"/>
  <c r="D19" i="5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C18" i="3"/>
  <c r="F23" i="3" l="1"/>
  <c r="F24" i="3" s="1" a="1"/>
  <c r="J10" i="4" a="1"/>
  <c r="M8" i="4" a="1"/>
  <c r="N11" i="4" a="1"/>
  <c r="N14" i="4" a="1"/>
  <c r="N10" i="4" a="1"/>
  <c r="N12" i="4" a="1"/>
  <c r="N9" i="4" a="1"/>
  <c r="K9" i="4" a="1"/>
  <c r="K8" i="4" a="1"/>
  <c r="K11" i="4" a="1"/>
  <c r="I9" i="4" a="1"/>
  <c r="N8" i="4" a="1"/>
  <c r="J8" i="4" a="1"/>
  <c r="J9" i="4" a="1"/>
  <c r="M12" i="4" a="1"/>
  <c r="M9" i="4" a="1"/>
  <c r="M11" i="4" a="1"/>
  <c r="M10" i="4" a="1"/>
  <c r="K10" i="4" a="1"/>
  <c r="I8" i="4" a="1"/>
  <c r="L10" i="4" a="1"/>
  <c r="L12" i="4" a="1"/>
  <c r="L9" i="4" a="1"/>
  <c r="L11" i="4" a="1"/>
  <c r="L8" i="4" a="1"/>
  <c r="H8" i="4" a="1"/>
  <c r="N13" i="4" a="1"/>
  <c r="F24" i="3" l="1"/>
  <c r="F25" i="3" a="1"/>
  <c r="G23" i="3"/>
  <c r="I23" i="3" s="1"/>
  <c r="F25" i="3" l="1"/>
  <c r="F26" i="3" s="1" a="1"/>
  <c r="F26" i="3" s="1"/>
  <c r="F27" i="3" s="1" a="1"/>
  <c r="G24" i="3" a="1"/>
  <c r="G24" i="3" s="1"/>
  <c r="I24" i="3" s="1"/>
  <c r="G25" i="3" a="1"/>
  <c r="G25" i="3" l="1"/>
  <c r="I25" i="3" s="1"/>
  <c r="F27" i="3"/>
  <c r="F28" i="3" a="1"/>
  <c r="G26" i="3" a="1"/>
  <c r="G26" i="3" s="1"/>
  <c r="I26" i="3" s="1"/>
  <c r="F28" i="3" l="1"/>
  <c r="F29" i="3" a="1"/>
  <c r="G27" i="3" a="1"/>
  <c r="G27" i="3" s="1"/>
  <c r="I27" i="3" s="1"/>
  <c r="F29" i="3" l="1"/>
  <c r="F30" i="3" a="1"/>
  <c r="G28" i="3" a="1"/>
  <c r="G28" i="3" s="1"/>
  <c r="I28" i="3" s="1"/>
  <c r="F30" i="3" l="1"/>
  <c r="F31" i="3" a="1"/>
  <c r="F31" i="3" s="1"/>
  <c r="F32" i="3" s="1" a="1"/>
  <c r="F32" i="3" s="1"/>
  <c r="G6" i="4" s="1" a="1"/>
  <c r="H6" i="4" s="1"/>
  <c r="AS5" i="8" s="1"/>
  <c r="G29" i="3" a="1"/>
  <c r="G29" i="3" s="1"/>
  <c r="I29" i="3" s="1"/>
  <c r="F33" i="3" l="1" a="1"/>
  <c r="F33" i="3" s="1"/>
  <c r="F34" i="3" s="1" a="1"/>
  <c r="F34" i="3" s="1"/>
  <c r="N6" i="4"/>
  <c r="AY5" i="8" s="1"/>
  <c r="G6" i="4"/>
  <c r="AR5" i="8" s="1"/>
  <c r="I6" i="4"/>
  <c r="AT5" i="8" s="1"/>
  <c r="J6" i="4"/>
  <c r="AU5" i="8" s="1"/>
  <c r="M6" i="4"/>
  <c r="AX5" i="8" s="1"/>
  <c r="L6" i="4"/>
  <c r="AW5" i="8" s="1"/>
  <c r="K6" i="4"/>
  <c r="AV5" i="8" s="1"/>
  <c r="M13" i="4" a="1"/>
  <c r="F5" i="5"/>
  <c r="H9" i="4"/>
  <c r="AS8" i="8" s="1"/>
  <c r="G30" i="3" a="1"/>
  <c r="G30" i="3" s="1"/>
  <c r="I30" i="3" s="1"/>
  <c r="N11" i="4" l="1"/>
  <c r="AY10" i="8" s="1"/>
  <c r="J11" i="4"/>
  <c r="AU10" i="8" s="1"/>
  <c r="H5" i="5"/>
  <c r="M10" i="4"/>
  <c r="AX9" i="8" s="1"/>
  <c r="I5" i="5"/>
  <c r="I9" i="4"/>
  <c r="AT8" i="8" s="1"/>
  <c r="N14" i="4"/>
  <c r="AY13" i="8" s="1"/>
  <c r="K9" i="4"/>
  <c r="AV8" i="8" s="1"/>
  <c r="L9" i="4"/>
  <c r="AW8" i="8" s="1"/>
  <c r="L10" i="4"/>
  <c r="AW9" i="8" s="1"/>
  <c r="L12" i="4"/>
  <c r="AW11" i="8" s="1"/>
  <c r="L11" i="4"/>
  <c r="AW10" i="8" s="1"/>
  <c r="L13" i="4"/>
  <c r="AW12" i="8" s="1"/>
  <c r="M8" i="4"/>
  <c r="AX7" i="8" s="1"/>
  <c r="M13" i="4"/>
  <c r="AX12" i="8" s="1"/>
  <c r="L8" i="4"/>
  <c r="AW7" i="8" s="1"/>
  <c r="N9" i="4"/>
  <c r="AY8" i="8" s="1"/>
  <c r="H8" i="4"/>
  <c r="AS7" i="8" s="1"/>
  <c r="G21" i="8" s="1"/>
  <c r="N13" i="4"/>
  <c r="AY12" i="8" s="1"/>
  <c r="N15" i="4"/>
  <c r="AY14" i="8" s="1"/>
  <c r="K8" i="4"/>
  <c r="AV7" i="8" s="1"/>
  <c r="M14" i="4"/>
  <c r="AX13" i="8" s="1"/>
  <c r="K10" i="4"/>
  <c r="AV9" i="8" s="1"/>
  <c r="K5" i="5"/>
  <c r="J8" i="4"/>
  <c r="AU7" i="8" s="1"/>
  <c r="J9" i="4"/>
  <c r="AU8" i="8" s="1"/>
  <c r="J5" i="5"/>
  <c r="I10" i="4"/>
  <c r="AT9" i="8" s="1"/>
  <c r="K11" i="4"/>
  <c r="AV10" i="8" s="1"/>
  <c r="M9" i="4"/>
  <c r="AX8" i="8" s="1"/>
  <c r="G5" i="5"/>
  <c r="N12" i="4"/>
  <c r="AY11" i="8" s="1"/>
  <c r="L5" i="5"/>
  <c r="I8" i="4"/>
  <c r="AT7" i="8" s="1"/>
  <c r="M12" i="4"/>
  <c r="AX11" i="8" s="1"/>
  <c r="K12" i="4"/>
  <c r="AV11" i="8" s="1"/>
  <c r="M11" i="4"/>
  <c r="AX10" i="8" s="1"/>
  <c r="F35" i="3" a="1"/>
  <c r="F35" i="3" s="1"/>
  <c r="G8" i="4"/>
  <c r="AR7" i="8" s="1"/>
  <c r="C9" i="8" s="1"/>
  <c r="E5" i="5"/>
  <c r="E437" i="5" s="1"/>
  <c r="H439" i="8" s="1"/>
  <c r="G20" i="8"/>
  <c r="G16" i="8"/>
  <c r="G319" i="8"/>
  <c r="G355" i="8"/>
  <c r="G451" i="8"/>
  <c r="G475" i="8"/>
  <c r="G535" i="8"/>
  <c r="G667" i="8"/>
  <c r="G715" i="8"/>
  <c r="G931" i="8"/>
  <c r="G943" i="8"/>
  <c r="G955" i="8"/>
  <c r="G68" i="8"/>
  <c r="G116" i="8"/>
  <c r="G236" i="8"/>
  <c r="G272" i="8"/>
  <c r="G284" i="8"/>
  <c r="G452" i="8"/>
  <c r="G500" i="8"/>
  <c r="G524" i="8"/>
  <c r="G536" i="8"/>
  <c r="G584" i="8"/>
  <c r="G644" i="8"/>
  <c r="G656" i="8"/>
  <c r="G728" i="8"/>
  <c r="G812" i="8"/>
  <c r="G836" i="8"/>
  <c r="G848" i="8"/>
  <c r="G884" i="8"/>
  <c r="G908" i="8"/>
  <c r="G932" i="8"/>
  <c r="G956" i="8"/>
  <c r="G980" i="8"/>
  <c r="G81" i="8"/>
  <c r="G93" i="8"/>
  <c r="G117" i="8"/>
  <c r="G141" i="8"/>
  <c r="G153" i="8"/>
  <c r="G213" i="8"/>
  <c r="G225" i="8"/>
  <c r="G237" i="8"/>
  <c r="G333" i="8"/>
  <c r="G357" i="8"/>
  <c r="G369" i="8"/>
  <c r="G381" i="8"/>
  <c r="G405" i="8"/>
  <c r="G441" i="8"/>
  <c r="G477" i="8"/>
  <c r="G501" i="8"/>
  <c r="G513" i="8"/>
  <c r="G573" i="8"/>
  <c r="G585" i="8"/>
  <c r="G621" i="8"/>
  <c r="G633" i="8"/>
  <c r="G645" i="8"/>
  <c r="G669" i="8"/>
  <c r="G693" i="8"/>
  <c r="G717" i="8"/>
  <c r="G729" i="8"/>
  <c r="G789" i="8"/>
  <c r="G801" i="8"/>
  <c r="G813" i="8"/>
  <c r="G837" i="8"/>
  <c r="G861" i="8"/>
  <c r="G909" i="8"/>
  <c r="G921" i="8"/>
  <c r="G933" i="8"/>
  <c r="G945" i="8"/>
  <c r="G1005" i="8"/>
  <c r="G34" i="8"/>
  <c r="G70" i="8"/>
  <c r="G82" i="8"/>
  <c r="G94" i="8"/>
  <c r="G118" i="8"/>
  <c r="G142" i="8"/>
  <c r="G166" i="8"/>
  <c r="G178" i="8"/>
  <c r="G238" i="8"/>
  <c r="G250" i="8"/>
  <c r="G262" i="8"/>
  <c r="G286" i="8"/>
  <c r="G298" i="8"/>
  <c r="G322" i="8"/>
  <c r="G358" i="8"/>
  <c r="G370" i="8"/>
  <c r="G382" i="8"/>
  <c r="G430" i="8"/>
  <c r="G442" i="8"/>
  <c r="G454" i="8"/>
  <c r="G466" i="8"/>
  <c r="G502" i="8"/>
  <c r="G526" i="8"/>
  <c r="G538" i="8"/>
  <c r="G550" i="8"/>
  <c r="G574" i="8"/>
  <c r="G610" i="8"/>
  <c r="G646" i="8"/>
  <c r="G658" i="8"/>
  <c r="G670" i="8"/>
  <c r="G682" i="8"/>
  <c r="G718" i="8"/>
  <c r="G730" i="8"/>
  <c r="G742" i="8"/>
  <c r="G754" i="8"/>
  <c r="G814" i="8"/>
  <c r="G826" i="8"/>
  <c r="G838" i="8"/>
  <c r="G862" i="8"/>
  <c r="G874" i="8"/>
  <c r="G898" i="8"/>
  <c r="G934" i="8"/>
  <c r="G946" i="8"/>
  <c r="G958" i="8"/>
  <c r="G1006" i="8"/>
  <c r="G35" i="8"/>
  <c r="G47" i="8"/>
  <c r="G59" i="8"/>
  <c r="G95" i="8"/>
  <c r="G119" i="8"/>
  <c r="G131" i="8"/>
  <c r="G143" i="8"/>
  <c r="G167" i="8"/>
  <c r="G203" i="8"/>
  <c r="G215" i="8"/>
  <c r="G227" i="8"/>
  <c r="G239" i="8"/>
  <c r="G251" i="8"/>
  <c r="G275" i="8"/>
  <c r="G287" i="8"/>
  <c r="G299" i="8"/>
  <c r="G311" i="8"/>
  <c r="G347" i="8"/>
  <c r="G359" i="8"/>
  <c r="G371" i="8"/>
  <c r="G383" i="8"/>
  <c r="G395" i="8"/>
  <c r="G419" i="8"/>
  <c r="G431" i="8"/>
  <c r="G443" i="8"/>
  <c r="G455" i="8"/>
  <c r="G491" i="8"/>
  <c r="G503" i="8"/>
  <c r="G515" i="8"/>
  <c r="G527" i="8"/>
  <c r="G539" i="8"/>
  <c r="G551" i="8"/>
  <c r="G563" i="8"/>
  <c r="G575" i="8"/>
  <c r="G587" i="8"/>
  <c r="G599" i="8"/>
  <c r="G611" i="8"/>
  <c r="G623" i="8"/>
  <c r="G635" i="8"/>
  <c r="G647" i="8"/>
  <c r="G659" i="8"/>
  <c r="G671" i="8"/>
  <c r="G683" i="8"/>
  <c r="G695" i="8"/>
  <c r="G707" i="8"/>
  <c r="G719" i="8"/>
  <c r="G731" i="8"/>
  <c r="G743" i="8"/>
  <c r="G755" i="8"/>
  <c r="G767" i="8"/>
  <c r="G779" i="8"/>
  <c r="G791" i="8"/>
  <c r="G803" i="8"/>
  <c r="G815" i="8"/>
  <c r="G827" i="8"/>
  <c r="G839" i="8"/>
  <c r="G851" i="8"/>
  <c r="G863" i="8"/>
  <c r="G875" i="8"/>
  <c r="G887" i="8"/>
  <c r="G899" i="8"/>
  <c r="G911" i="8"/>
  <c r="G923" i="8"/>
  <c r="G935" i="8"/>
  <c r="G947" i="8"/>
  <c r="G959" i="8"/>
  <c r="G971" i="8"/>
  <c r="G983" i="8"/>
  <c r="G995" i="8"/>
  <c r="G1007" i="8"/>
  <c r="G36" i="8"/>
  <c r="G48" i="8"/>
  <c r="G60" i="8"/>
  <c r="G72" i="8"/>
  <c r="G84" i="8"/>
  <c r="G96" i="8"/>
  <c r="G108" i="8"/>
  <c r="G120" i="8"/>
  <c r="G132" i="8"/>
  <c r="G144" i="8"/>
  <c r="G156" i="8"/>
  <c r="G168" i="8"/>
  <c r="G180" i="8"/>
  <c r="G192" i="8"/>
  <c r="G204" i="8"/>
  <c r="G216" i="8"/>
  <c r="G228" i="8"/>
  <c r="G240" i="8"/>
  <c r="G252" i="8"/>
  <c r="G264" i="8"/>
  <c r="G276" i="8"/>
  <c r="G288" i="8"/>
  <c r="G300" i="8"/>
  <c r="G312" i="8"/>
  <c r="G324" i="8"/>
  <c r="G336" i="8"/>
  <c r="G348" i="8"/>
  <c r="G360" i="8"/>
  <c r="G372" i="8"/>
  <c r="G384" i="8"/>
  <c r="G396" i="8"/>
  <c r="G408" i="8"/>
  <c r="G420" i="8"/>
  <c r="G432" i="8"/>
  <c r="G444" i="8"/>
  <c r="G456" i="8"/>
  <c r="G468" i="8"/>
  <c r="G480" i="8"/>
  <c r="G492" i="8"/>
  <c r="G504" i="8"/>
  <c r="G516" i="8"/>
  <c r="G528" i="8"/>
  <c r="G540" i="8"/>
  <c r="G552" i="8"/>
  <c r="G564" i="8"/>
  <c r="G576" i="8"/>
  <c r="G588" i="8"/>
  <c r="G600" i="8"/>
  <c r="G612" i="8"/>
  <c r="G624" i="8"/>
  <c r="G636" i="8"/>
  <c r="G648" i="8"/>
  <c r="G660" i="8"/>
  <c r="G672" i="8"/>
  <c r="G684" i="8"/>
  <c r="G696" i="8"/>
  <c r="G708" i="8"/>
  <c r="G720" i="8"/>
  <c r="G732" i="8"/>
  <c r="G744" i="8"/>
  <c r="G756" i="8"/>
  <c r="G768" i="8"/>
  <c r="G780" i="8"/>
  <c r="G792" i="8"/>
  <c r="G804" i="8"/>
  <c r="G816" i="8"/>
  <c r="G828" i="8"/>
  <c r="G840" i="8"/>
  <c r="G852" i="8"/>
  <c r="G864" i="8"/>
  <c r="G876" i="8"/>
  <c r="G888" i="8"/>
  <c r="G900" i="8"/>
  <c r="G912" i="8"/>
  <c r="G924" i="8"/>
  <c r="G936" i="8"/>
  <c r="G948" i="8"/>
  <c r="G960" i="8"/>
  <c r="G972" i="8"/>
  <c r="G984" i="8"/>
  <c r="G996" i="8"/>
  <c r="G1008" i="8"/>
  <c r="G37" i="8"/>
  <c r="G49" i="8"/>
  <c r="G61" i="8"/>
  <c r="G73" i="8"/>
  <c r="G85" i="8"/>
  <c r="G97" i="8"/>
  <c r="G109" i="8"/>
  <c r="G121" i="8"/>
  <c r="G133" i="8"/>
  <c r="G145" i="8"/>
  <c r="G157" i="8"/>
  <c r="G169" i="8"/>
  <c r="G181" i="8"/>
  <c r="G193" i="8"/>
  <c r="G205" i="8"/>
  <c r="G217" i="8"/>
  <c r="G229" i="8"/>
  <c r="G241" i="8"/>
  <c r="G253" i="8"/>
  <c r="G265" i="8"/>
  <c r="G277" i="8"/>
  <c r="G289" i="8"/>
  <c r="G301" i="8"/>
  <c r="G313" i="8"/>
  <c r="G325" i="8"/>
  <c r="G337" i="8"/>
  <c r="G349" i="8"/>
  <c r="G361" i="8"/>
  <c r="G373" i="8"/>
  <c r="G385" i="8"/>
  <c r="G397" i="8"/>
  <c r="G409" i="8"/>
  <c r="G421" i="8"/>
  <c r="G433" i="8"/>
  <c r="G445" i="8"/>
  <c r="G457" i="8"/>
  <c r="G469" i="8"/>
  <c r="G481" i="8"/>
  <c r="G493" i="8"/>
  <c r="G505" i="8"/>
  <c r="G517" i="8"/>
  <c r="G529" i="8"/>
  <c r="G541" i="8"/>
  <c r="G553" i="8"/>
  <c r="G565" i="8"/>
  <c r="G577" i="8"/>
  <c r="G589" i="8"/>
  <c r="G601" i="8"/>
  <c r="G613" i="8"/>
  <c r="G625" i="8"/>
  <c r="G637" i="8"/>
  <c r="G649" i="8"/>
  <c r="G661" i="8"/>
  <c r="G673" i="8"/>
  <c r="G685" i="8"/>
  <c r="G697" i="8"/>
  <c r="G709" i="8"/>
  <c r="G721" i="8"/>
  <c r="G733" i="8"/>
  <c r="G745" i="8"/>
  <c r="G757" i="8"/>
  <c r="G769" i="8"/>
  <c r="G781" i="8"/>
  <c r="G793" i="8"/>
  <c r="G805" i="8"/>
  <c r="G817" i="8"/>
  <c r="G829" i="8"/>
  <c r="G841" i="8"/>
  <c r="G853" i="8"/>
  <c r="G865" i="8"/>
  <c r="G877" i="8"/>
  <c r="G889" i="8"/>
  <c r="G901" i="8"/>
  <c r="G913" i="8"/>
  <c r="G925" i="8"/>
  <c r="G937" i="8"/>
  <c r="G949" i="8"/>
  <c r="G961" i="8"/>
  <c r="G38" i="8"/>
  <c r="G50" i="8"/>
  <c r="G62" i="8"/>
  <c r="G74" i="8"/>
  <c r="G86" i="8"/>
  <c r="G98" i="8"/>
  <c r="G110" i="8"/>
  <c r="G122" i="8"/>
  <c r="G134" i="8"/>
  <c r="G146" i="8"/>
  <c r="G158" i="8"/>
  <c r="G170" i="8"/>
  <c r="G182" i="8"/>
  <c r="G194" i="8"/>
  <c r="G206" i="8"/>
  <c r="G218" i="8"/>
  <c r="G230" i="8"/>
  <c r="G242" i="8"/>
  <c r="G254" i="8"/>
  <c r="G266" i="8"/>
  <c r="G278" i="8"/>
  <c r="G290" i="8"/>
  <c r="G302" i="8"/>
  <c r="G314" i="8"/>
  <c r="G326" i="8"/>
  <c r="G338" i="8"/>
  <c r="G350" i="8"/>
  <c r="G362" i="8"/>
  <c r="G374" i="8"/>
  <c r="G386" i="8"/>
  <c r="G398" i="8"/>
  <c r="G410" i="8"/>
  <c r="G422" i="8"/>
  <c r="G434" i="8"/>
  <c r="G446" i="8"/>
  <c r="G458" i="8"/>
  <c r="G470" i="8"/>
  <c r="G482" i="8"/>
  <c r="G494" i="8"/>
  <c r="G506" i="8"/>
  <c r="G518" i="8"/>
  <c r="G530" i="8"/>
  <c r="G542" i="8"/>
  <c r="G554" i="8"/>
  <c r="G566" i="8"/>
  <c r="G578" i="8"/>
  <c r="G590" i="8"/>
  <c r="G602" i="8"/>
  <c r="G614" i="8"/>
  <c r="G626" i="8"/>
  <c r="G638" i="8"/>
  <c r="G650" i="8"/>
  <c r="G662" i="8"/>
  <c r="G674" i="8"/>
  <c r="G686" i="8"/>
  <c r="G698" i="8"/>
  <c r="G710" i="8"/>
  <c r="G722" i="8"/>
  <c r="G40" i="8"/>
  <c r="G52" i="8"/>
  <c r="G64" i="8"/>
  <c r="G76" i="8"/>
  <c r="G88" i="8"/>
  <c r="G100" i="8"/>
  <c r="G112" i="8"/>
  <c r="G124" i="8"/>
  <c r="G136" i="8"/>
  <c r="G148" i="8"/>
  <c r="G160" i="8"/>
  <c r="G172" i="8"/>
  <c r="G184" i="8"/>
  <c r="G196" i="8"/>
  <c r="G208" i="8"/>
  <c r="G220" i="8"/>
  <c r="G232" i="8"/>
  <c r="G244" i="8"/>
  <c r="G256" i="8"/>
  <c r="G268" i="8"/>
  <c r="G280" i="8"/>
  <c r="G292" i="8"/>
  <c r="G304" i="8"/>
  <c r="G316" i="8"/>
  <c r="G328" i="8"/>
  <c r="G51" i="8"/>
  <c r="G99" i="8"/>
  <c r="G147" i="8"/>
  <c r="G195" i="8"/>
  <c r="G243" i="8"/>
  <c r="G291" i="8"/>
  <c r="G339" i="8"/>
  <c r="G375" i="8"/>
  <c r="G411" i="8"/>
  <c r="G447" i="8"/>
  <c r="G483" i="8"/>
  <c r="G519" i="8"/>
  <c r="G555" i="8"/>
  <c r="G591" i="8"/>
  <c r="G627" i="8"/>
  <c r="G663" i="8"/>
  <c r="G699" i="8"/>
  <c r="G734" i="8"/>
  <c r="G760" i="8"/>
  <c r="G786" i="8"/>
  <c r="G819" i="8"/>
  <c r="G845" i="8"/>
  <c r="G878" i="8"/>
  <c r="G904" i="8"/>
  <c r="G930" i="8"/>
  <c r="G963" i="8"/>
  <c r="G987" i="8"/>
  <c r="G53" i="8"/>
  <c r="G101" i="8"/>
  <c r="G149" i="8"/>
  <c r="G197" i="8"/>
  <c r="G245" i="8"/>
  <c r="G293" i="8"/>
  <c r="G340" i="8"/>
  <c r="G376" i="8"/>
  <c r="G412" i="8"/>
  <c r="G448" i="8"/>
  <c r="G484" i="8"/>
  <c r="G520" i="8"/>
  <c r="G556" i="8"/>
  <c r="G592" i="8"/>
  <c r="G628" i="8"/>
  <c r="G664" i="8"/>
  <c r="G700" i="8"/>
  <c r="G735" i="8"/>
  <c r="G761" i="8"/>
  <c r="G794" i="8"/>
  <c r="G820" i="8"/>
  <c r="G846" i="8"/>
  <c r="G879" i="8"/>
  <c r="G905" i="8"/>
  <c r="G938" i="8"/>
  <c r="G964" i="8"/>
  <c r="G988" i="8"/>
  <c r="G54" i="8"/>
  <c r="G102" i="8"/>
  <c r="G150" i="8"/>
  <c r="G198" i="8"/>
  <c r="G246" i="8"/>
  <c r="G294" i="8"/>
  <c r="G341" i="8"/>
  <c r="G377" i="8"/>
  <c r="G413" i="8"/>
  <c r="G449" i="8"/>
  <c r="G485" i="8"/>
  <c r="G521" i="8"/>
  <c r="G557" i="8"/>
  <c r="G593" i="8"/>
  <c r="G629" i="8"/>
  <c r="G665" i="8"/>
  <c r="G701" i="8"/>
  <c r="G736" i="8"/>
  <c r="G762" i="8"/>
  <c r="G795" i="8"/>
  <c r="G821" i="8"/>
  <c r="G854" i="8"/>
  <c r="G880" i="8"/>
  <c r="G906" i="8"/>
  <c r="G939" i="8"/>
  <c r="G965" i="8"/>
  <c r="G989" i="8"/>
  <c r="G63" i="8"/>
  <c r="G111" i="8"/>
  <c r="G159" i="8"/>
  <c r="G207" i="8"/>
  <c r="G255" i="8"/>
  <c r="G303" i="8"/>
  <c r="G342" i="8"/>
  <c r="G378" i="8"/>
  <c r="G414" i="8"/>
  <c r="G450" i="8"/>
  <c r="G486" i="8"/>
  <c r="G522" i="8"/>
  <c r="G558" i="8"/>
  <c r="G594" i="8"/>
  <c r="G630" i="8"/>
  <c r="G666" i="8"/>
  <c r="G702" i="8"/>
  <c r="G737" i="8"/>
  <c r="G770" i="8"/>
  <c r="G796" i="8"/>
  <c r="G822" i="8"/>
  <c r="G855" i="8"/>
  <c r="G881" i="8"/>
  <c r="G914" i="8"/>
  <c r="G940" i="8"/>
  <c r="G966" i="8"/>
  <c r="G990" i="8"/>
  <c r="G65" i="8"/>
  <c r="G113" i="8"/>
  <c r="G161" i="8"/>
  <c r="G209" i="8"/>
  <c r="G257" i="8"/>
  <c r="G305" i="8"/>
  <c r="G351" i="8"/>
  <c r="G387" i="8"/>
  <c r="G423" i="8"/>
  <c r="G459" i="8"/>
  <c r="G495" i="8"/>
  <c r="G531" i="8"/>
  <c r="G567" i="8"/>
  <c r="G603" i="8"/>
  <c r="G639" i="8"/>
  <c r="G675" i="8"/>
  <c r="G711" i="8"/>
  <c r="G738" i="8"/>
  <c r="G771" i="8"/>
  <c r="G797" i="8"/>
  <c r="G830" i="8"/>
  <c r="G856" i="8"/>
  <c r="G882" i="8"/>
  <c r="G915" i="8"/>
  <c r="G941" i="8"/>
  <c r="G973" i="8"/>
  <c r="G997" i="8"/>
  <c r="G66" i="8"/>
  <c r="G114" i="8"/>
  <c r="G162" i="8"/>
  <c r="G210" i="8"/>
  <c r="G258" i="8"/>
  <c r="G306" i="8"/>
  <c r="G352" i="8"/>
  <c r="G388" i="8"/>
  <c r="G424" i="8"/>
  <c r="G460" i="8"/>
  <c r="G496" i="8"/>
  <c r="G532" i="8"/>
  <c r="G568" i="8"/>
  <c r="G604" i="8"/>
  <c r="G640" i="8"/>
  <c r="G676" i="8"/>
  <c r="G712" i="8"/>
  <c r="G746" i="8"/>
  <c r="G772" i="8"/>
  <c r="G798" i="8"/>
  <c r="G831" i="8"/>
  <c r="G857" i="8"/>
  <c r="G890" i="8"/>
  <c r="G916" i="8"/>
  <c r="G942" i="8"/>
  <c r="G974" i="8"/>
  <c r="G998" i="8"/>
  <c r="G75" i="8"/>
  <c r="G123" i="8"/>
  <c r="G171" i="8"/>
  <c r="G219" i="8"/>
  <c r="G267" i="8"/>
  <c r="G315" i="8"/>
  <c r="G353" i="8"/>
  <c r="G389" i="8"/>
  <c r="G425" i="8"/>
  <c r="G461" i="8"/>
  <c r="G497" i="8"/>
  <c r="G533" i="8"/>
  <c r="G569" i="8"/>
  <c r="G605" i="8"/>
  <c r="G641" i="8"/>
  <c r="G677" i="8"/>
  <c r="G713" i="8"/>
  <c r="G747" i="8"/>
  <c r="G773" i="8"/>
  <c r="G806" i="8"/>
  <c r="G832" i="8"/>
  <c r="G858" i="8"/>
  <c r="G891" i="8"/>
  <c r="G917" i="8"/>
  <c r="G950" i="8"/>
  <c r="G975" i="8"/>
  <c r="G999" i="8"/>
  <c r="G39" i="8"/>
  <c r="G87" i="8"/>
  <c r="G135" i="8"/>
  <c r="G183" i="8"/>
  <c r="G231" i="8"/>
  <c r="G279" i="8"/>
  <c r="G327" i="8"/>
  <c r="G364" i="8"/>
  <c r="G400" i="8"/>
  <c r="G436" i="8"/>
  <c r="G472" i="8"/>
  <c r="G508" i="8"/>
  <c r="G544" i="8"/>
  <c r="G580" i="8"/>
  <c r="G616" i="8"/>
  <c r="G652" i="8"/>
  <c r="G688" i="8"/>
  <c r="G724" i="8"/>
  <c r="G750" i="8"/>
  <c r="G783" i="8"/>
  <c r="G809" i="8"/>
  <c r="G842" i="8"/>
  <c r="G868" i="8"/>
  <c r="G894" i="8"/>
  <c r="G927" i="8"/>
  <c r="G953" i="8"/>
  <c r="G978" i="8"/>
  <c r="G1002" i="8"/>
  <c r="G125" i="8"/>
  <c r="G269" i="8"/>
  <c r="G390" i="8"/>
  <c r="G498" i="8"/>
  <c r="G606" i="8"/>
  <c r="G714" i="8"/>
  <c r="G807" i="8"/>
  <c r="G892" i="8"/>
  <c r="G976" i="8"/>
  <c r="G126" i="8"/>
  <c r="G270" i="8"/>
  <c r="G399" i="8"/>
  <c r="G507" i="8"/>
  <c r="G615" i="8"/>
  <c r="G723" i="8"/>
  <c r="G808" i="8"/>
  <c r="G893" i="8"/>
  <c r="G977" i="8"/>
  <c r="G137" i="8"/>
  <c r="G281" i="8"/>
  <c r="G401" i="8"/>
  <c r="G509" i="8"/>
  <c r="G617" i="8"/>
  <c r="G725" i="8"/>
  <c r="G810" i="8"/>
  <c r="G902" i="8"/>
  <c r="G985" i="8"/>
  <c r="G138" i="8"/>
  <c r="G282" i="8"/>
  <c r="G402" i="8"/>
  <c r="G510" i="8"/>
  <c r="G618" i="8"/>
  <c r="G726" i="8"/>
  <c r="G818" i="8"/>
  <c r="G903" i="8"/>
  <c r="G986" i="8"/>
  <c r="G13" i="8"/>
  <c r="G173" i="8"/>
  <c r="G317" i="8"/>
  <c r="G426" i="8"/>
  <c r="G534" i="8"/>
  <c r="G642" i="8"/>
  <c r="G748" i="8"/>
  <c r="G833" i="8"/>
  <c r="G918" i="8"/>
  <c r="G1000" i="8"/>
  <c r="G25" i="8"/>
  <c r="G174" i="8"/>
  <c r="G318" i="8"/>
  <c r="G435" i="8"/>
  <c r="G543" i="8"/>
  <c r="G651" i="8"/>
  <c r="G749" i="8"/>
  <c r="G834" i="8"/>
  <c r="G926" i="8"/>
  <c r="G1001" i="8"/>
  <c r="G41" i="8"/>
  <c r="G185" i="8"/>
  <c r="G329" i="8"/>
  <c r="G437" i="8"/>
  <c r="G545" i="8"/>
  <c r="G653" i="8"/>
  <c r="G758" i="8"/>
  <c r="G843" i="8"/>
  <c r="G928" i="8"/>
  <c r="G42" i="8"/>
  <c r="G186" i="8"/>
  <c r="G330" i="8"/>
  <c r="G438" i="8"/>
  <c r="G546" i="8"/>
  <c r="G654" i="8"/>
  <c r="G759" i="8"/>
  <c r="G844" i="8"/>
  <c r="G929" i="8"/>
  <c r="G78" i="8"/>
  <c r="G222" i="8"/>
  <c r="G363" i="8"/>
  <c r="G471" i="8"/>
  <c r="G579" i="8"/>
  <c r="G687" i="8"/>
  <c r="G782" i="8"/>
  <c r="G867" i="8"/>
  <c r="G952" i="8"/>
  <c r="G77" i="8"/>
  <c r="G570" i="8"/>
  <c r="G951" i="8"/>
  <c r="G89" i="8"/>
  <c r="G581" i="8"/>
  <c r="G954" i="8"/>
  <c r="G90" i="8"/>
  <c r="G582" i="8"/>
  <c r="G962" i="8"/>
  <c r="G221" i="8"/>
  <c r="G678" i="8"/>
  <c r="G233" i="8"/>
  <c r="G689" i="8"/>
  <c r="G234" i="8"/>
  <c r="G690" i="8"/>
  <c r="G354" i="8"/>
  <c r="G774" i="8"/>
  <c r="G785" i="8"/>
  <c r="G365" i="8"/>
  <c r="G784" i="8"/>
  <c r="G366" i="8"/>
  <c r="G462" i="8"/>
  <c r="G866" i="8"/>
  <c r="G473" i="8"/>
  <c r="G869" i="8"/>
  <c r="G474" i="8"/>
  <c r="G870" i="8"/>
  <c r="J10" i="4"/>
  <c r="AU9" i="8" s="1"/>
  <c r="N10" i="4"/>
  <c r="AY9" i="8" s="1"/>
  <c r="Y15" i="8"/>
  <c r="Y27" i="8"/>
  <c r="Y39" i="8"/>
  <c r="Y51" i="8"/>
  <c r="Y63" i="8"/>
  <c r="Y75" i="8"/>
  <c r="Y87" i="8"/>
  <c r="Y99" i="8"/>
  <c r="Y111" i="8"/>
  <c r="Y16" i="8"/>
  <c r="Y28" i="8"/>
  <c r="Y40" i="8"/>
  <c r="Y52" i="8"/>
  <c r="Y64" i="8"/>
  <c r="Y76" i="8"/>
  <c r="Y88" i="8"/>
  <c r="Y100" i="8"/>
  <c r="Y112" i="8"/>
  <c r="Y17" i="8"/>
  <c r="Y29" i="8"/>
  <c r="Y41" i="8"/>
  <c r="Y53" i="8"/>
  <c r="Y65" i="8"/>
  <c r="Y77" i="8"/>
  <c r="Y89" i="8"/>
  <c r="Y101" i="8"/>
  <c r="Y113" i="8"/>
  <c r="Y18" i="8"/>
  <c r="Y30" i="8"/>
  <c r="Y42" i="8"/>
  <c r="Y54" i="8"/>
  <c r="Y66" i="8"/>
  <c r="Y78" i="8"/>
  <c r="Y90" i="8"/>
  <c r="Y102" i="8"/>
  <c r="Y114" i="8"/>
  <c r="Y19" i="8"/>
  <c r="Y31" i="8"/>
  <c r="Y43" i="8"/>
  <c r="Y55" i="8"/>
  <c r="Y67" i="8"/>
  <c r="Y79" i="8"/>
  <c r="Y91" i="8"/>
  <c r="Y103" i="8"/>
  <c r="Y115" i="8"/>
  <c r="Y12" i="8"/>
  <c r="Y24" i="8"/>
  <c r="Y36" i="8"/>
  <c r="Y48" i="8"/>
  <c r="Y60" i="8"/>
  <c r="Y72" i="8"/>
  <c r="Y84" i="8"/>
  <c r="Y96" i="8"/>
  <c r="Y108" i="8"/>
  <c r="Y120" i="8"/>
  <c r="Y11" i="8"/>
  <c r="Y35" i="8"/>
  <c r="Y59" i="8"/>
  <c r="Y83" i="8"/>
  <c r="Y107" i="8"/>
  <c r="Y126" i="8"/>
  <c r="Y138" i="8"/>
  <c r="Y150" i="8"/>
  <c r="Y162" i="8"/>
  <c r="Y174" i="8"/>
  <c r="Y186" i="8"/>
  <c r="Y198" i="8"/>
  <c r="Y210" i="8"/>
  <c r="Y222" i="8"/>
  <c r="Y234" i="8"/>
  <c r="Y246" i="8"/>
  <c r="Y258" i="8"/>
  <c r="Y270" i="8"/>
  <c r="Y282" i="8"/>
  <c r="Y294" i="8"/>
  <c r="Y306" i="8"/>
  <c r="Y318" i="8"/>
  <c r="Y330" i="8"/>
  <c r="Y342" i="8"/>
  <c r="Y354" i="8"/>
  <c r="Y366" i="8"/>
  <c r="Y378" i="8"/>
  <c r="Y390" i="8"/>
  <c r="Y402" i="8"/>
  <c r="Y414" i="8"/>
  <c r="Y426" i="8"/>
  <c r="Y438" i="8"/>
  <c r="Y450" i="8"/>
  <c r="Y462" i="8"/>
  <c r="Y474" i="8"/>
  <c r="Y486" i="8"/>
  <c r="Y498" i="8"/>
  <c r="Y510" i="8"/>
  <c r="Y522" i="8"/>
  <c r="Y534" i="8"/>
  <c r="Y546" i="8"/>
  <c r="Y558" i="8"/>
  <c r="Y570" i="8"/>
  <c r="Y582" i="8"/>
  <c r="Y594" i="8"/>
  <c r="Y606" i="8"/>
  <c r="Y618" i="8"/>
  <c r="Y630" i="8"/>
  <c r="Y642" i="8"/>
  <c r="Y654" i="8"/>
  <c r="Y666" i="8"/>
  <c r="Y678" i="8"/>
  <c r="Y690" i="8"/>
  <c r="Y702" i="8"/>
  <c r="Y714" i="8"/>
  <c r="Y726" i="8"/>
  <c r="Y738" i="8"/>
  <c r="Y750" i="8"/>
  <c r="Y762" i="8"/>
  <c r="Y774" i="8"/>
  <c r="Y786" i="8"/>
  <c r="Y798" i="8"/>
  <c r="Y810" i="8"/>
  <c r="Y822" i="8"/>
  <c r="Y834" i="8"/>
  <c r="Y846" i="8"/>
  <c r="Y858" i="8"/>
  <c r="Y870" i="8"/>
  <c r="Y882" i="8"/>
  <c r="Y894" i="8"/>
  <c r="Y906" i="8"/>
  <c r="Y918" i="8"/>
  <c r="Y930" i="8"/>
  <c r="Y942" i="8"/>
  <c r="Y954" i="8"/>
  <c r="Y966" i="8"/>
  <c r="Y978" i="8"/>
  <c r="Y990" i="8"/>
  <c r="Y1002" i="8"/>
  <c r="Y13" i="8"/>
  <c r="Y37" i="8"/>
  <c r="Y61" i="8"/>
  <c r="Y85" i="8"/>
  <c r="Y109" i="8"/>
  <c r="Y127" i="8"/>
  <c r="Y139" i="8"/>
  <c r="Y151" i="8"/>
  <c r="Y163" i="8"/>
  <c r="Y175" i="8"/>
  <c r="Y187" i="8"/>
  <c r="Y199" i="8"/>
  <c r="Y211" i="8"/>
  <c r="Y223" i="8"/>
  <c r="Y235" i="8"/>
  <c r="Y247" i="8"/>
  <c r="Y259" i="8"/>
  <c r="Y271" i="8"/>
  <c r="Y14" i="8"/>
  <c r="Y38" i="8"/>
  <c r="Y62" i="8"/>
  <c r="Y86" i="8"/>
  <c r="Y110" i="8"/>
  <c r="Y128" i="8"/>
  <c r="Y140" i="8"/>
  <c r="Y152" i="8"/>
  <c r="Y164" i="8"/>
  <c r="Y176" i="8"/>
  <c r="Y188" i="8"/>
  <c r="Y200" i="8"/>
  <c r="Y212" i="8"/>
  <c r="Y224" i="8"/>
  <c r="Y236" i="8"/>
  <c r="Y248" i="8"/>
  <c r="Y260" i="8"/>
  <c r="Y272" i="8"/>
  <c r="Y284" i="8"/>
  <c r="Y296" i="8"/>
  <c r="Y308" i="8"/>
  <c r="Y320" i="8"/>
  <c r="Y332" i="8"/>
  <c r="Y344" i="8"/>
  <c r="Y356" i="8"/>
  <c r="Y368" i="8"/>
  <c r="Y380" i="8"/>
  <c r="Y392" i="8"/>
  <c r="Y404" i="8"/>
  <c r="Y416" i="8"/>
  <c r="Y428" i="8"/>
  <c r="Y440" i="8"/>
  <c r="Y452" i="8"/>
  <c r="Y464" i="8"/>
  <c r="Y476" i="8"/>
  <c r="Y488" i="8"/>
  <c r="Y500" i="8"/>
  <c r="Y512" i="8"/>
  <c r="Y524" i="8"/>
  <c r="Y536" i="8"/>
  <c r="Y548" i="8"/>
  <c r="Y560" i="8"/>
  <c r="Y572" i="8"/>
  <c r="Y584" i="8"/>
  <c r="Y596" i="8"/>
  <c r="Y608" i="8"/>
  <c r="Y620" i="8"/>
  <c r="Y632" i="8"/>
  <c r="Y644" i="8"/>
  <c r="Y656" i="8"/>
  <c r="Y668" i="8"/>
  <c r="Y680" i="8"/>
  <c r="Y692" i="8"/>
  <c r="Y704" i="8"/>
  <c r="Y716" i="8"/>
  <c r="Y728" i="8"/>
  <c r="Y740" i="8"/>
  <c r="Y752" i="8"/>
  <c r="Y764" i="8"/>
  <c r="Y776" i="8"/>
  <c r="Y788" i="8"/>
  <c r="Y800" i="8"/>
  <c r="Y812" i="8"/>
  <c r="Y824" i="8"/>
  <c r="Y836" i="8"/>
  <c r="Y848" i="8"/>
  <c r="Y860" i="8"/>
  <c r="Y872" i="8"/>
  <c r="Y884" i="8"/>
  <c r="Y896" i="8"/>
  <c r="Y908" i="8"/>
  <c r="Y920" i="8"/>
  <c r="Y932" i="8"/>
  <c r="Y944" i="8"/>
  <c r="Y956" i="8"/>
  <c r="Y968" i="8"/>
  <c r="Y980" i="8"/>
  <c r="Y992" i="8"/>
  <c r="Y1004" i="8"/>
  <c r="Y20" i="8"/>
  <c r="Y44" i="8"/>
  <c r="Y68" i="8"/>
  <c r="Y92" i="8"/>
  <c r="Y116" i="8"/>
  <c r="Y129" i="8"/>
  <c r="Y141" i="8"/>
  <c r="Y153" i="8"/>
  <c r="Y165" i="8"/>
  <c r="Y177" i="8"/>
  <c r="Y21" i="8"/>
  <c r="Y45" i="8"/>
  <c r="Y69" i="8"/>
  <c r="Y93" i="8"/>
  <c r="Y117" i="8"/>
  <c r="Y130" i="8"/>
  <c r="Y142" i="8"/>
  <c r="Y154" i="8"/>
  <c r="Y166" i="8"/>
  <c r="Y178" i="8"/>
  <c r="Y190" i="8"/>
  <c r="Y202" i="8"/>
  <c r="Y214" i="8"/>
  <c r="Y226" i="8"/>
  <c r="Y238" i="8"/>
  <c r="Y250" i="8"/>
  <c r="Y262" i="8"/>
  <c r="Y274" i="8"/>
  <c r="Y286" i="8"/>
  <c r="Y298" i="8"/>
  <c r="Y310" i="8"/>
  <c r="Y322" i="8"/>
  <c r="Y334" i="8"/>
  <c r="Y346" i="8"/>
  <c r="Y358" i="8"/>
  <c r="Y370" i="8"/>
  <c r="Y382" i="8"/>
  <c r="Y394" i="8"/>
  <c r="Y406" i="8"/>
  <c r="Y418" i="8"/>
  <c r="Y430" i="8"/>
  <c r="Y442" i="8"/>
  <c r="Y454" i="8"/>
  <c r="Y466" i="8"/>
  <c r="Y478" i="8"/>
  <c r="Y490" i="8"/>
  <c r="Y502" i="8"/>
  <c r="Y514" i="8"/>
  <c r="Y526" i="8"/>
  <c r="Y538" i="8"/>
  <c r="Y550" i="8"/>
  <c r="Y562" i="8"/>
  <c r="Y574" i="8"/>
  <c r="Y586" i="8"/>
  <c r="Y598" i="8"/>
  <c r="Y610" i="8"/>
  <c r="Y622" i="8"/>
  <c r="Y634" i="8"/>
  <c r="Y646" i="8"/>
  <c r="Y658" i="8"/>
  <c r="Y670" i="8"/>
  <c r="Y682" i="8"/>
  <c r="Y694" i="8"/>
  <c r="Y706" i="8"/>
  <c r="Y718" i="8"/>
  <c r="Y730" i="8"/>
  <c r="Y742" i="8"/>
  <c r="Y754" i="8"/>
  <c r="Y766" i="8"/>
  <c r="Y778" i="8"/>
  <c r="Y790" i="8"/>
  <c r="Y802" i="8"/>
  <c r="Y814" i="8"/>
  <c r="Y826" i="8"/>
  <c r="Y838" i="8"/>
  <c r="Y850" i="8"/>
  <c r="Y862" i="8"/>
  <c r="Y874" i="8"/>
  <c r="Y886" i="8"/>
  <c r="Y898" i="8"/>
  <c r="Y910" i="8"/>
  <c r="Y922" i="8"/>
  <c r="Y934" i="8"/>
  <c r="Y946" i="8"/>
  <c r="Y958" i="8"/>
  <c r="Y970" i="8"/>
  <c r="Y982" i="8"/>
  <c r="Y994" i="8"/>
  <c r="Y1006" i="8"/>
  <c r="Y22" i="8"/>
  <c r="Y46" i="8"/>
  <c r="Y70" i="8"/>
  <c r="Y94" i="8"/>
  <c r="Y118" i="8"/>
  <c r="Y131" i="8"/>
  <c r="Y143" i="8"/>
  <c r="Y155" i="8"/>
  <c r="Y167" i="8"/>
  <c r="Y179" i="8"/>
  <c r="Y191" i="8"/>
  <c r="Y203" i="8"/>
  <c r="Y215" i="8"/>
  <c r="Y227" i="8"/>
  <c r="Y239" i="8"/>
  <c r="Y251" i="8"/>
  <c r="Y263" i="8"/>
  <c r="Y275" i="8"/>
  <c r="Y287" i="8"/>
  <c r="Y299" i="8"/>
  <c r="Y311" i="8"/>
  <c r="Y323" i="8"/>
  <c r="Y335" i="8"/>
  <c r="Y347" i="8"/>
  <c r="Y359" i="8"/>
  <c r="Y371" i="8"/>
  <c r="Y383" i="8"/>
  <c r="Y395" i="8"/>
  <c r="Y407" i="8"/>
  <c r="Y419" i="8"/>
  <c r="Y431" i="8"/>
  <c r="Y443" i="8"/>
  <c r="Y455" i="8"/>
  <c r="Y467" i="8"/>
  <c r="Y479" i="8"/>
  <c r="Y491" i="8"/>
  <c r="Y503" i="8"/>
  <c r="Y515" i="8"/>
  <c r="Y527" i="8"/>
  <c r="Y539" i="8"/>
  <c r="Y551" i="8"/>
  <c r="Y563" i="8"/>
  <c r="Y575" i="8"/>
  <c r="Y587" i="8"/>
  <c r="Y599" i="8"/>
  <c r="Y611" i="8"/>
  <c r="Y623" i="8"/>
  <c r="Y635" i="8"/>
  <c r="Y647" i="8"/>
  <c r="Y659" i="8"/>
  <c r="Y671" i="8"/>
  <c r="Y683" i="8"/>
  <c r="Y695" i="8"/>
  <c r="Y707" i="8"/>
  <c r="Y719" i="8"/>
  <c r="Y731" i="8"/>
  <c r="Y743" i="8"/>
  <c r="Y755" i="8"/>
  <c r="Y767" i="8"/>
  <c r="Y779" i="8"/>
  <c r="Y791" i="8"/>
  <c r="Y803" i="8"/>
  <c r="Y815" i="8"/>
  <c r="Y827" i="8"/>
  <c r="Y839" i="8"/>
  <c r="Y851" i="8"/>
  <c r="Y863" i="8"/>
  <c r="Y875" i="8"/>
  <c r="Y887" i="8"/>
  <c r="Y899" i="8"/>
  <c r="Y911" i="8"/>
  <c r="Y923" i="8"/>
  <c r="Y935" i="8"/>
  <c r="Y947" i="8"/>
  <c r="Y959" i="8"/>
  <c r="Y971" i="8"/>
  <c r="Y983" i="8"/>
  <c r="Y995" i="8"/>
  <c r="Y1007" i="8"/>
  <c r="Y23" i="8"/>
  <c r="Y47" i="8"/>
  <c r="Y71" i="8"/>
  <c r="Y95" i="8"/>
  <c r="Y119" i="8"/>
  <c r="Y132" i="8"/>
  <c r="Y144" i="8"/>
  <c r="Y156" i="8"/>
  <c r="Y168" i="8"/>
  <c r="Y180" i="8"/>
  <c r="Y192" i="8"/>
  <c r="Y204" i="8"/>
  <c r="Y216" i="8"/>
  <c r="Y228" i="8"/>
  <c r="Y240" i="8"/>
  <c r="Y252" i="8"/>
  <c r="Y264" i="8"/>
  <c r="Y276" i="8"/>
  <c r="Y288" i="8"/>
  <c r="Y300" i="8"/>
  <c r="Y312" i="8"/>
  <c r="Y324" i="8"/>
  <c r="Y336" i="8"/>
  <c r="Y348" i="8"/>
  <c r="Y360" i="8"/>
  <c r="Y372" i="8"/>
  <c r="Y384" i="8"/>
  <c r="Y396" i="8"/>
  <c r="Y408" i="8"/>
  <c r="Y420" i="8"/>
  <c r="Y432" i="8"/>
  <c r="Y444" i="8"/>
  <c r="Y456" i="8"/>
  <c r="Y468" i="8"/>
  <c r="Y480" i="8"/>
  <c r="Y492" i="8"/>
  <c r="Y504" i="8"/>
  <c r="Y516" i="8"/>
  <c r="Y528" i="8"/>
  <c r="Y540" i="8"/>
  <c r="Y552" i="8"/>
  <c r="Y564" i="8"/>
  <c r="Y576" i="8"/>
  <c r="Y588" i="8"/>
  <c r="Y600" i="8"/>
  <c r="Y612" i="8"/>
  <c r="Y624" i="8"/>
  <c r="Y636" i="8"/>
  <c r="Y648" i="8"/>
  <c r="Y660" i="8"/>
  <c r="Y672" i="8"/>
  <c r="Y684" i="8"/>
  <c r="Y696" i="8"/>
  <c r="Y708" i="8"/>
  <c r="Y720" i="8"/>
  <c r="Y732" i="8"/>
  <c r="Y744" i="8"/>
  <c r="Y756" i="8"/>
  <c r="Y25" i="8"/>
  <c r="Y49" i="8"/>
  <c r="Y73" i="8"/>
  <c r="Y97" i="8"/>
  <c r="Y121" i="8"/>
  <c r="Y133" i="8"/>
  <c r="Y145" i="8"/>
  <c r="Y157" i="8"/>
  <c r="Y169" i="8"/>
  <c r="Y181" i="8"/>
  <c r="Y193" i="8"/>
  <c r="Y205" i="8"/>
  <c r="Y217" i="8"/>
  <c r="Y229" i="8"/>
  <c r="Y241" i="8"/>
  <c r="Y253" i="8"/>
  <c r="Y265" i="8"/>
  <c r="Y277" i="8"/>
  <c r="Y289" i="8"/>
  <c r="Y301" i="8"/>
  <c r="Y313" i="8"/>
  <c r="Y325" i="8"/>
  <c r="Y337" i="8"/>
  <c r="Y349" i="8"/>
  <c r="Y361" i="8"/>
  <c r="Y373" i="8"/>
  <c r="Y385" i="8"/>
  <c r="Y397" i="8"/>
  <c r="Y409" i="8"/>
  <c r="Y421" i="8"/>
  <c r="Y433" i="8"/>
  <c r="Y445" i="8"/>
  <c r="Y457" i="8"/>
  <c r="Y469" i="8"/>
  <c r="Y481" i="8"/>
  <c r="Y493" i="8"/>
  <c r="Y505" i="8"/>
  <c r="Y517" i="8"/>
  <c r="Y529" i="8"/>
  <c r="Y541" i="8"/>
  <c r="Y553" i="8"/>
  <c r="Y565" i="8"/>
  <c r="Y577" i="8"/>
  <c r="Y589" i="8"/>
  <c r="Y601" i="8"/>
  <c r="Y613" i="8"/>
  <c r="Y625" i="8"/>
  <c r="Y637" i="8"/>
  <c r="Y649" i="8"/>
  <c r="Y661" i="8"/>
  <c r="Y673" i="8"/>
  <c r="Y685" i="8"/>
  <c r="Y697" i="8"/>
  <c r="Y709" i="8"/>
  <c r="Y721" i="8"/>
  <c r="Y733" i="8"/>
  <c r="Y745" i="8"/>
  <c r="Y757" i="8"/>
  <c r="Y769" i="8"/>
  <c r="Y781" i="8"/>
  <c r="Y793" i="8"/>
  <c r="Y805" i="8"/>
  <c r="Y817" i="8"/>
  <c r="Y829" i="8"/>
  <c r="Y841" i="8"/>
  <c r="Y853" i="8"/>
  <c r="Y865" i="8"/>
  <c r="Y877" i="8"/>
  <c r="Y889" i="8"/>
  <c r="Y901" i="8"/>
  <c r="Y913" i="8"/>
  <c r="Y925" i="8"/>
  <c r="Y937" i="8"/>
  <c r="Y949" i="8"/>
  <c r="Y961" i="8"/>
  <c r="Y973" i="8"/>
  <c r="Y985" i="8"/>
  <c r="Y997" i="8"/>
  <c r="Y32" i="8"/>
  <c r="Y56" i="8"/>
  <c r="Y80" i="8"/>
  <c r="Y104" i="8"/>
  <c r="Y123" i="8"/>
  <c r="Y135" i="8"/>
  <c r="Y147" i="8"/>
  <c r="Y159" i="8"/>
  <c r="Y171" i="8"/>
  <c r="Y183" i="8"/>
  <c r="Y195" i="8"/>
  <c r="Y207" i="8"/>
  <c r="Y219" i="8"/>
  <c r="Y231" i="8"/>
  <c r="Y243" i="8"/>
  <c r="Y255" i="8"/>
  <c r="Y267" i="8"/>
  <c r="Y279" i="8"/>
  <c r="Y291" i="8"/>
  <c r="Y303" i="8"/>
  <c r="Y315" i="8"/>
  <c r="Y327" i="8"/>
  <c r="Y339" i="8"/>
  <c r="Y351" i="8"/>
  <c r="Y363" i="8"/>
  <c r="Y375" i="8"/>
  <c r="Y387" i="8"/>
  <c r="Y399" i="8"/>
  <c r="Y411" i="8"/>
  <c r="Y423" i="8"/>
  <c r="Y435" i="8"/>
  <c r="Y447" i="8"/>
  <c r="Y459" i="8"/>
  <c r="Y471" i="8"/>
  <c r="Y483" i="8"/>
  <c r="Y495" i="8"/>
  <c r="Y507" i="8"/>
  <c r="Y519" i="8"/>
  <c r="Y531" i="8"/>
  <c r="Y543" i="8"/>
  <c r="Y555" i="8"/>
  <c r="Y567" i="8"/>
  <c r="Y579" i="8"/>
  <c r="Y591" i="8"/>
  <c r="Y603" i="8"/>
  <c r="Y615" i="8"/>
  <c r="Y627" i="8"/>
  <c r="Y639" i="8"/>
  <c r="Y651" i="8"/>
  <c r="Y663" i="8"/>
  <c r="Y675" i="8"/>
  <c r="Y687" i="8"/>
  <c r="Y699" i="8"/>
  <c r="Y711" i="8"/>
  <c r="Y723" i="8"/>
  <c r="Y735" i="8"/>
  <c r="Y747" i="8"/>
  <c r="Y759" i="8"/>
  <c r="Y771" i="8"/>
  <c r="Y783" i="8"/>
  <c r="Y795" i="8"/>
  <c r="Y807" i="8"/>
  <c r="Y819" i="8"/>
  <c r="Y831" i="8"/>
  <c r="Y843" i="8"/>
  <c r="Y855" i="8"/>
  <c r="Y867" i="8"/>
  <c r="Y879" i="8"/>
  <c r="Y891" i="8"/>
  <c r="Y903" i="8"/>
  <c r="Y915" i="8"/>
  <c r="Y927" i="8"/>
  <c r="Y939" i="8"/>
  <c r="Y951" i="8"/>
  <c r="Y963" i="8"/>
  <c r="Y975" i="8"/>
  <c r="Y987" i="8"/>
  <c r="Y999" i="8"/>
  <c r="Y74" i="8"/>
  <c r="Y146" i="8"/>
  <c r="Y189" i="8"/>
  <c r="Y225" i="8"/>
  <c r="Y261" i="8"/>
  <c r="Y293" i="8"/>
  <c r="Y321" i="8"/>
  <c r="Y352" i="8"/>
  <c r="Y379" i="8"/>
  <c r="Y410" i="8"/>
  <c r="Y437" i="8"/>
  <c r="Y465" i="8"/>
  <c r="Y496" i="8"/>
  <c r="Y523" i="8"/>
  <c r="Y554" i="8"/>
  <c r="Y581" i="8"/>
  <c r="Y609" i="8"/>
  <c r="Y640" i="8"/>
  <c r="Y667" i="8"/>
  <c r="Y698" i="8"/>
  <c r="Y725" i="8"/>
  <c r="Y753" i="8"/>
  <c r="Y780" i="8"/>
  <c r="Y804" i="8"/>
  <c r="Y828" i="8"/>
  <c r="Y852" i="8"/>
  <c r="Y876" i="8"/>
  <c r="Y900" i="8"/>
  <c r="Y924" i="8"/>
  <c r="Y948" i="8"/>
  <c r="Y972" i="8"/>
  <c r="Y996" i="8"/>
  <c r="Y10" i="8"/>
  <c r="Y458" i="8"/>
  <c r="Y657" i="8"/>
  <c r="Y772" i="8"/>
  <c r="Y868" i="8"/>
  <c r="Y940" i="8"/>
  <c r="Y81" i="8"/>
  <c r="Y148" i="8"/>
  <c r="Y194" i="8"/>
  <c r="Y230" i="8"/>
  <c r="Y266" i="8"/>
  <c r="Y295" i="8"/>
  <c r="Y326" i="8"/>
  <c r="Y353" i="8"/>
  <c r="Y381" i="8"/>
  <c r="Y412" i="8"/>
  <c r="Y439" i="8"/>
  <c r="Y470" i="8"/>
  <c r="Y497" i="8"/>
  <c r="Y525" i="8"/>
  <c r="Y556" i="8"/>
  <c r="Y583" i="8"/>
  <c r="Y614" i="8"/>
  <c r="Y641" i="8"/>
  <c r="Y669" i="8"/>
  <c r="Y700" i="8"/>
  <c r="Y727" i="8"/>
  <c r="Y758" i="8"/>
  <c r="Y782" i="8"/>
  <c r="Y806" i="8"/>
  <c r="Y830" i="8"/>
  <c r="Y854" i="8"/>
  <c r="Y878" i="8"/>
  <c r="Y902" i="8"/>
  <c r="Y926" i="8"/>
  <c r="Y950" i="8"/>
  <c r="Y974" i="8"/>
  <c r="Y998" i="8"/>
  <c r="Y278" i="8"/>
  <c r="Y125" i="8"/>
  <c r="Y283" i="8"/>
  <c r="Y341" i="8"/>
  <c r="Y400" i="8"/>
  <c r="Y485" i="8"/>
  <c r="Y544" i="8"/>
  <c r="Y602" i="8"/>
  <c r="Y715" i="8"/>
  <c r="Y820" i="8"/>
  <c r="Y916" i="8"/>
  <c r="Y988" i="8"/>
  <c r="Y82" i="8"/>
  <c r="Y149" i="8"/>
  <c r="Y196" i="8"/>
  <c r="Y232" i="8"/>
  <c r="Y268" i="8"/>
  <c r="Y297" i="8"/>
  <c r="Y328" i="8"/>
  <c r="Y355" i="8"/>
  <c r="Y386" i="8"/>
  <c r="Y413" i="8"/>
  <c r="Y441" i="8"/>
  <c r="Y472" i="8"/>
  <c r="Y499" i="8"/>
  <c r="Y530" i="8"/>
  <c r="Y557" i="8"/>
  <c r="Y585" i="8"/>
  <c r="Y616" i="8"/>
  <c r="Y643" i="8"/>
  <c r="Y674" i="8"/>
  <c r="Y701" i="8"/>
  <c r="Y729" i="8"/>
  <c r="Y760" i="8"/>
  <c r="Y784" i="8"/>
  <c r="Y808" i="8"/>
  <c r="Y832" i="8"/>
  <c r="Y856" i="8"/>
  <c r="Y880" i="8"/>
  <c r="Y904" i="8"/>
  <c r="Y928" i="8"/>
  <c r="Y952" i="8"/>
  <c r="Y976" i="8"/>
  <c r="Y1000" i="8"/>
  <c r="Y796" i="8"/>
  <c r="Y98" i="8"/>
  <c r="Y158" i="8"/>
  <c r="Y197" i="8"/>
  <c r="Y233" i="8"/>
  <c r="Y269" i="8"/>
  <c r="Y302" i="8"/>
  <c r="Y329" i="8"/>
  <c r="Y357" i="8"/>
  <c r="Y388" i="8"/>
  <c r="Y415" i="8"/>
  <c r="Y446" i="8"/>
  <c r="Y473" i="8"/>
  <c r="Y501" i="8"/>
  <c r="Y532" i="8"/>
  <c r="Y559" i="8"/>
  <c r="Y590" i="8"/>
  <c r="Y617" i="8"/>
  <c r="Y645" i="8"/>
  <c r="Y676" i="8"/>
  <c r="Y703" i="8"/>
  <c r="Y734" i="8"/>
  <c r="Y761" i="8"/>
  <c r="Y785" i="8"/>
  <c r="Y809" i="8"/>
  <c r="Y833" i="8"/>
  <c r="Y857" i="8"/>
  <c r="Y881" i="8"/>
  <c r="Y905" i="8"/>
  <c r="Y929" i="8"/>
  <c r="Y953" i="8"/>
  <c r="Y977" i="8"/>
  <c r="Y1001" i="8"/>
  <c r="Y105" i="8"/>
  <c r="Y160" i="8"/>
  <c r="Y201" i="8"/>
  <c r="Y237" i="8"/>
  <c r="Y273" i="8"/>
  <c r="Y304" i="8"/>
  <c r="Y331" i="8"/>
  <c r="Y362" i="8"/>
  <c r="Y389" i="8"/>
  <c r="Y417" i="8"/>
  <c r="Y448" i="8"/>
  <c r="Y475" i="8"/>
  <c r="Y506" i="8"/>
  <c r="Y533" i="8"/>
  <c r="Y561" i="8"/>
  <c r="Y592" i="8"/>
  <c r="Y619" i="8"/>
  <c r="Y650" i="8"/>
  <c r="Y677" i="8"/>
  <c r="Y705" i="8"/>
  <c r="Y736" i="8"/>
  <c r="Y763" i="8"/>
  <c r="Y787" i="8"/>
  <c r="Y811" i="8"/>
  <c r="Y835" i="8"/>
  <c r="Y859" i="8"/>
  <c r="Y883" i="8"/>
  <c r="Y907" i="8"/>
  <c r="Y931" i="8"/>
  <c r="Y955" i="8"/>
  <c r="Y979" i="8"/>
  <c r="Y1003" i="8"/>
  <c r="Y106" i="8"/>
  <c r="Y161" i="8"/>
  <c r="Y206" i="8"/>
  <c r="Y305" i="8"/>
  <c r="Y333" i="8"/>
  <c r="Y364" i="8"/>
  <c r="Y391" i="8"/>
  <c r="Y422" i="8"/>
  <c r="Y449" i="8"/>
  <c r="Y477" i="8"/>
  <c r="Y508" i="8"/>
  <c r="Y535" i="8"/>
  <c r="Y566" i="8"/>
  <c r="Y593" i="8"/>
  <c r="Y621" i="8"/>
  <c r="Y652" i="8"/>
  <c r="Y679" i="8"/>
  <c r="Y710" i="8"/>
  <c r="Y737" i="8"/>
  <c r="Y765" i="8"/>
  <c r="Y789" i="8"/>
  <c r="Y813" i="8"/>
  <c r="Y837" i="8"/>
  <c r="Y861" i="8"/>
  <c r="Y885" i="8"/>
  <c r="Y909" i="8"/>
  <c r="Y933" i="8"/>
  <c r="Y957" i="8"/>
  <c r="Y981" i="8"/>
  <c r="Y1005" i="8"/>
  <c r="Y34" i="8"/>
  <c r="Y173" i="8"/>
  <c r="Y213" i="8"/>
  <c r="Y249" i="8"/>
  <c r="Y314" i="8"/>
  <c r="Y369" i="8"/>
  <c r="Y427" i="8"/>
  <c r="Y513" i="8"/>
  <c r="Y571" i="8"/>
  <c r="Y629" i="8"/>
  <c r="Y688" i="8"/>
  <c r="Y746" i="8"/>
  <c r="Y844" i="8"/>
  <c r="Y964" i="8"/>
  <c r="Y26" i="8"/>
  <c r="Y122" i="8"/>
  <c r="Y170" i="8"/>
  <c r="Y208" i="8"/>
  <c r="Y244" i="8"/>
  <c r="Y280" i="8"/>
  <c r="Y307" i="8"/>
  <c r="Y338" i="8"/>
  <c r="Y365" i="8"/>
  <c r="Y393" i="8"/>
  <c r="Y424" i="8"/>
  <c r="Y451" i="8"/>
  <c r="Y482" i="8"/>
  <c r="Y509" i="8"/>
  <c r="Y537" i="8"/>
  <c r="Y568" i="8"/>
  <c r="Y595" i="8"/>
  <c r="Y626" i="8"/>
  <c r="Y653" i="8"/>
  <c r="Y681" i="8"/>
  <c r="Y712" i="8"/>
  <c r="Y739" i="8"/>
  <c r="Y768" i="8"/>
  <c r="Y792" i="8"/>
  <c r="Y816" i="8"/>
  <c r="Y840" i="8"/>
  <c r="Y864" i="8"/>
  <c r="Y888" i="8"/>
  <c r="Y912" i="8"/>
  <c r="Y936" i="8"/>
  <c r="Y960" i="8"/>
  <c r="Y984" i="8"/>
  <c r="Y1008" i="8"/>
  <c r="Y33" i="8"/>
  <c r="Y124" i="8"/>
  <c r="Y172" i="8"/>
  <c r="Y209" i="8"/>
  <c r="Y245" i="8"/>
  <c r="Y281" i="8"/>
  <c r="Y309" i="8"/>
  <c r="Y340" i="8"/>
  <c r="Y367" i="8"/>
  <c r="Y398" i="8"/>
  <c r="Y425" i="8"/>
  <c r="Y453" i="8"/>
  <c r="Y484" i="8"/>
  <c r="Y511" i="8"/>
  <c r="Y542" i="8"/>
  <c r="Y569" i="8"/>
  <c r="Y597" i="8"/>
  <c r="Y628" i="8"/>
  <c r="Y655" i="8"/>
  <c r="Y686" i="8"/>
  <c r="Y713" i="8"/>
  <c r="Y741" i="8"/>
  <c r="Y770" i="8"/>
  <c r="Y794" i="8"/>
  <c r="Y818" i="8"/>
  <c r="Y842" i="8"/>
  <c r="Y866" i="8"/>
  <c r="Y890" i="8"/>
  <c r="Y914" i="8"/>
  <c r="Y938" i="8"/>
  <c r="Y962" i="8"/>
  <c r="Y986" i="8"/>
  <c r="Y50" i="8"/>
  <c r="Y134" i="8"/>
  <c r="Y182" i="8"/>
  <c r="Y218" i="8"/>
  <c r="Y254" i="8"/>
  <c r="Y285" i="8"/>
  <c r="Y316" i="8"/>
  <c r="Y343" i="8"/>
  <c r="Y374" i="8"/>
  <c r="Y401" i="8"/>
  <c r="Y429" i="8"/>
  <c r="Y460" i="8"/>
  <c r="Y487" i="8"/>
  <c r="Y518" i="8"/>
  <c r="Y545" i="8"/>
  <c r="Y573" i="8"/>
  <c r="Y604" i="8"/>
  <c r="Y631" i="8"/>
  <c r="Y662" i="8"/>
  <c r="Y689" i="8"/>
  <c r="Y717" i="8"/>
  <c r="Y748" i="8"/>
  <c r="Y773" i="8"/>
  <c r="Y797" i="8"/>
  <c r="Y821" i="8"/>
  <c r="Y845" i="8"/>
  <c r="Y869" i="8"/>
  <c r="Y893" i="8"/>
  <c r="Y917" i="8"/>
  <c r="Y941" i="8"/>
  <c r="Y965" i="8"/>
  <c r="Y989" i="8"/>
  <c r="Y57" i="8"/>
  <c r="Y136" i="8"/>
  <c r="Y184" i="8"/>
  <c r="Y220" i="8"/>
  <c r="Y256" i="8"/>
  <c r="Y290" i="8"/>
  <c r="Y317" i="8"/>
  <c r="Y345" i="8"/>
  <c r="Y376" i="8"/>
  <c r="Y403" i="8"/>
  <c r="Y434" i="8"/>
  <c r="Y461" i="8"/>
  <c r="Y489" i="8"/>
  <c r="Y520" i="8"/>
  <c r="Y547" i="8"/>
  <c r="Y578" i="8"/>
  <c r="Y605" i="8"/>
  <c r="Y633" i="8"/>
  <c r="Y664" i="8"/>
  <c r="Y691" i="8"/>
  <c r="Y722" i="8"/>
  <c r="Y749" i="8"/>
  <c r="Y775" i="8"/>
  <c r="Y799" i="8"/>
  <c r="Y823" i="8"/>
  <c r="Y847" i="8"/>
  <c r="Y871" i="8"/>
  <c r="Y895" i="8"/>
  <c r="Y919" i="8"/>
  <c r="Y943" i="8"/>
  <c r="Y967" i="8"/>
  <c r="Y991" i="8"/>
  <c r="Y58" i="8"/>
  <c r="Y137" i="8"/>
  <c r="Y185" i="8"/>
  <c r="Y221" i="8"/>
  <c r="Y257" i="8"/>
  <c r="Y292" i="8"/>
  <c r="Y319" i="8"/>
  <c r="Y350" i="8"/>
  <c r="Y377" i="8"/>
  <c r="Y405" i="8"/>
  <c r="Y436" i="8"/>
  <c r="Y463" i="8"/>
  <c r="Y494" i="8"/>
  <c r="Y521" i="8"/>
  <c r="Y549" i="8"/>
  <c r="Y580" i="8"/>
  <c r="Y607" i="8"/>
  <c r="Y638" i="8"/>
  <c r="Y665" i="8"/>
  <c r="Y693" i="8"/>
  <c r="Y724" i="8"/>
  <c r="Y751" i="8"/>
  <c r="Y777" i="8"/>
  <c r="Y801" i="8"/>
  <c r="Y825" i="8"/>
  <c r="Y849" i="8"/>
  <c r="Y873" i="8"/>
  <c r="Y897" i="8"/>
  <c r="Y921" i="8"/>
  <c r="Y945" i="8"/>
  <c r="Y969" i="8"/>
  <c r="Y993" i="8"/>
  <c r="Y242" i="8"/>
  <c r="Y892" i="8"/>
  <c r="R18" i="8"/>
  <c r="R30" i="8"/>
  <c r="R42" i="8"/>
  <c r="R54" i="8"/>
  <c r="R66" i="8"/>
  <c r="R78" i="8"/>
  <c r="R90" i="8"/>
  <c r="R102" i="8"/>
  <c r="R114" i="8"/>
  <c r="R126" i="8"/>
  <c r="R138" i="8"/>
  <c r="R150" i="8"/>
  <c r="R162" i="8"/>
  <c r="R174" i="8"/>
  <c r="R186" i="8"/>
  <c r="R198" i="8"/>
  <c r="R210" i="8"/>
  <c r="R222" i="8"/>
  <c r="R234" i="8"/>
  <c r="R246" i="8"/>
  <c r="R258" i="8"/>
  <c r="R270" i="8"/>
  <c r="R282" i="8"/>
  <c r="R294" i="8"/>
  <c r="R306" i="8"/>
  <c r="R318" i="8"/>
  <c r="R330" i="8"/>
  <c r="R342" i="8"/>
  <c r="R354" i="8"/>
  <c r="R366" i="8"/>
  <c r="R378" i="8"/>
  <c r="R390" i="8"/>
  <c r="R402" i="8"/>
  <c r="R414" i="8"/>
  <c r="R426" i="8"/>
  <c r="R438" i="8"/>
  <c r="R450" i="8"/>
  <c r="R462" i="8"/>
  <c r="R474" i="8"/>
  <c r="R486" i="8"/>
  <c r="R498" i="8"/>
  <c r="R510" i="8"/>
  <c r="R522" i="8"/>
  <c r="R534" i="8"/>
  <c r="R546" i="8"/>
  <c r="R558" i="8"/>
  <c r="R570" i="8"/>
  <c r="R582" i="8"/>
  <c r="R594" i="8"/>
  <c r="R606" i="8"/>
  <c r="R618" i="8"/>
  <c r="R630" i="8"/>
  <c r="R642" i="8"/>
  <c r="R654" i="8"/>
  <c r="R666" i="8"/>
  <c r="R678" i="8"/>
  <c r="R690" i="8"/>
  <c r="R702" i="8"/>
  <c r="R714" i="8"/>
  <c r="R726" i="8"/>
  <c r="R738" i="8"/>
  <c r="R750" i="8"/>
  <c r="R762" i="8"/>
  <c r="R774" i="8"/>
  <c r="R786" i="8"/>
  <c r="R798" i="8"/>
  <c r="R810" i="8"/>
  <c r="R822" i="8"/>
  <c r="R834" i="8"/>
  <c r="R846" i="8"/>
  <c r="R858" i="8"/>
  <c r="R870" i="8"/>
  <c r="R882" i="8"/>
  <c r="R894" i="8"/>
  <c r="R906" i="8"/>
  <c r="R918" i="8"/>
  <c r="R930" i="8"/>
  <c r="R942" i="8"/>
  <c r="R954" i="8"/>
  <c r="R966" i="8"/>
  <c r="R978" i="8"/>
  <c r="R990" i="8"/>
  <c r="R1002" i="8"/>
  <c r="R19" i="8"/>
  <c r="R31" i="8"/>
  <c r="R43" i="8"/>
  <c r="R55" i="8"/>
  <c r="R67" i="8"/>
  <c r="R79" i="8"/>
  <c r="R91" i="8"/>
  <c r="R103" i="8"/>
  <c r="R115" i="8"/>
  <c r="R127" i="8"/>
  <c r="R139" i="8"/>
  <c r="R151" i="8"/>
  <c r="R163" i="8"/>
  <c r="R175" i="8"/>
  <c r="R187" i="8"/>
  <c r="R199" i="8"/>
  <c r="R211" i="8"/>
  <c r="R223" i="8"/>
  <c r="R235" i="8"/>
  <c r="R247" i="8"/>
  <c r="R259" i="8"/>
  <c r="R271" i="8"/>
  <c r="R283" i="8"/>
  <c r="R295" i="8"/>
  <c r="R307" i="8"/>
  <c r="R319" i="8"/>
  <c r="R331" i="8"/>
  <c r="R343" i="8"/>
  <c r="R355" i="8"/>
  <c r="R367" i="8"/>
  <c r="R379" i="8"/>
  <c r="R391" i="8"/>
  <c r="R403" i="8"/>
  <c r="R415" i="8"/>
  <c r="R427" i="8"/>
  <c r="R439" i="8"/>
  <c r="R451" i="8"/>
  <c r="R463" i="8"/>
  <c r="R475" i="8"/>
  <c r="R487" i="8"/>
  <c r="R499" i="8"/>
  <c r="R511" i="8"/>
  <c r="R523" i="8"/>
  <c r="R535" i="8"/>
  <c r="R547" i="8"/>
  <c r="R559" i="8"/>
  <c r="R571" i="8"/>
  <c r="R583" i="8"/>
  <c r="R595" i="8"/>
  <c r="R607" i="8"/>
  <c r="R619" i="8"/>
  <c r="R631" i="8"/>
  <c r="R643" i="8"/>
  <c r="R655" i="8"/>
  <c r="R667" i="8"/>
  <c r="R679" i="8"/>
  <c r="R691" i="8"/>
  <c r="R703" i="8"/>
  <c r="R715" i="8"/>
  <c r="R727" i="8"/>
  <c r="R739" i="8"/>
  <c r="R751" i="8"/>
  <c r="R763" i="8"/>
  <c r="R775" i="8"/>
  <c r="R787" i="8"/>
  <c r="R799" i="8"/>
  <c r="R811" i="8"/>
  <c r="R823" i="8"/>
  <c r="R835" i="8"/>
  <c r="R847" i="8"/>
  <c r="R859" i="8"/>
  <c r="R871" i="8"/>
  <c r="R883" i="8"/>
  <c r="R895" i="8"/>
  <c r="R907" i="8"/>
  <c r="R919" i="8"/>
  <c r="R931" i="8"/>
  <c r="R943" i="8"/>
  <c r="R955" i="8"/>
  <c r="R967" i="8"/>
  <c r="R979" i="8"/>
  <c r="R991" i="8"/>
  <c r="R1003" i="8"/>
  <c r="R20" i="8"/>
  <c r="R32" i="8"/>
  <c r="R44" i="8"/>
  <c r="R56" i="8"/>
  <c r="R68" i="8"/>
  <c r="R80" i="8"/>
  <c r="R92" i="8"/>
  <c r="R104" i="8"/>
  <c r="R116" i="8"/>
  <c r="R128" i="8"/>
  <c r="R140" i="8"/>
  <c r="R152" i="8"/>
  <c r="R164" i="8"/>
  <c r="R176" i="8"/>
  <c r="R188" i="8"/>
  <c r="R200" i="8"/>
  <c r="R212" i="8"/>
  <c r="R224" i="8"/>
  <c r="R236" i="8"/>
  <c r="R248" i="8"/>
  <c r="R260" i="8"/>
  <c r="R272" i="8"/>
  <c r="R284" i="8"/>
  <c r="R296" i="8"/>
  <c r="R308" i="8"/>
  <c r="R320" i="8"/>
  <c r="R332" i="8"/>
  <c r="R344" i="8"/>
  <c r="R356" i="8"/>
  <c r="R368" i="8"/>
  <c r="R380" i="8"/>
  <c r="R392" i="8"/>
  <c r="R404" i="8"/>
  <c r="R416" i="8"/>
  <c r="R428" i="8"/>
  <c r="R440" i="8"/>
  <c r="R452" i="8"/>
  <c r="R464" i="8"/>
  <c r="R476" i="8"/>
  <c r="R488" i="8"/>
  <c r="R500" i="8"/>
  <c r="R512" i="8"/>
  <c r="R524" i="8"/>
  <c r="R536" i="8"/>
  <c r="R548" i="8"/>
  <c r="R560" i="8"/>
  <c r="R572" i="8"/>
  <c r="R584" i="8"/>
  <c r="R596" i="8"/>
  <c r="R608" i="8"/>
  <c r="R620" i="8"/>
  <c r="R632" i="8"/>
  <c r="R644" i="8"/>
  <c r="R656" i="8"/>
  <c r="R668" i="8"/>
  <c r="R680" i="8"/>
  <c r="R692" i="8"/>
  <c r="R704" i="8"/>
  <c r="R716" i="8"/>
  <c r="R728" i="8"/>
  <c r="R740" i="8"/>
  <c r="R752" i="8"/>
  <c r="R764" i="8"/>
  <c r="R776" i="8"/>
  <c r="R788" i="8"/>
  <c r="R800" i="8"/>
  <c r="R812" i="8"/>
  <c r="R824" i="8"/>
  <c r="R836" i="8"/>
  <c r="R848" i="8"/>
  <c r="R860" i="8"/>
  <c r="R872" i="8"/>
  <c r="R884" i="8"/>
  <c r="R896" i="8"/>
  <c r="R908" i="8"/>
  <c r="R920" i="8"/>
  <c r="R932" i="8"/>
  <c r="R944" i="8"/>
  <c r="R956" i="8"/>
  <c r="R968" i="8"/>
  <c r="R980" i="8"/>
  <c r="R992" i="8"/>
  <c r="R1004" i="8"/>
  <c r="R21" i="8"/>
  <c r="R33" i="8"/>
  <c r="R45" i="8"/>
  <c r="R57" i="8"/>
  <c r="R69" i="8"/>
  <c r="R81" i="8"/>
  <c r="R93" i="8"/>
  <c r="R105" i="8"/>
  <c r="R117" i="8"/>
  <c r="R129" i="8"/>
  <c r="R141" i="8"/>
  <c r="R153" i="8"/>
  <c r="R165" i="8"/>
  <c r="R177" i="8"/>
  <c r="R189" i="8"/>
  <c r="R201" i="8"/>
  <c r="R213" i="8"/>
  <c r="R225" i="8"/>
  <c r="R237" i="8"/>
  <c r="R249" i="8"/>
  <c r="R261" i="8"/>
  <c r="R273" i="8"/>
  <c r="R285" i="8"/>
  <c r="R297" i="8"/>
  <c r="R309" i="8"/>
  <c r="R321" i="8"/>
  <c r="R333" i="8"/>
  <c r="R345" i="8"/>
  <c r="R357" i="8"/>
  <c r="R369" i="8"/>
  <c r="R381" i="8"/>
  <c r="R393" i="8"/>
  <c r="R405" i="8"/>
  <c r="R417" i="8"/>
  <c r="R429" i="8"/>
  <c r="R441" i="8"/>
  <c r="R453" i="8"/>
  <c r="R465" i="8"/>
  <c r="R477" i="8"/>
  <c r="R489" i="8"/>
  <c r="R501" i="8"/>
  <c r="R513" i="8"/>
  <c r="R525" i="8"/>
  <c r="R537" i="8"/>
  <c r="R549" i="8"/>
  <c r="R561" i="8"/>
  <c r="R573" i="8"/>
  <c r="R585" i="8"/>
  <c r="R597" i="8"/>
  <c r="R609" i="8"/>
  <c r="R621" i="8"/>
  <c r="R633" i="8"/>
  <c r="R645" i="8"/>
  <c r="R657" i="8"/>
  <c r="R669" i="8"/>
  <c r="R681" i="8"/>
  <c r="R693" i="8"/>
  <c r="R705" i="8"/>
  <c r="R717" i="8"/>
  <c r="R729" i="8"/>
  <c r="R741" i="8"/>
  <c r="R753" i="8"/>
  <c r="R765" i="8"/>
  <c r="R777" i="8"/>
  <c r="R789" i="8"/>
  <c r="R801" i="8"/>
  <c r="R813" i="8"/>
  <c r="R825" i="8"/>
  <c r="R837" i="8"/>
  <c r="R849" i="8"/>
  <c r="R861" i="8"/>
  <c r="R873" i="8"/>
  <c r="R885" i="8"/>
  <c r="R897" i="8"/>
  <c r="R909" i="8"/>
  <c r="R921" i="8"/>
  <c r="R933" i="8"/>
  <c r="R945" i="8"/>
  <c r="R957" i="8"/>
  <c r="R969" i="8"/>
  <c r="R981" i="8"/>
  <c r="R993" i="8"/>
  <c r="R1005" i="8"/>
  <c r="R10" i="8"/>
  <c r="R22" i="8"/>
  <c r="R34" i="8"/>
  <c r="R46" i="8"/>
  <c r="R58" i="8"/>
  <c r="R70" i="8"/>
  <c r="R82" i="8"/>
  <c r="R94" i="8"/>
  <c r="R106" i="8"/>
  <c r="R118" i="8"/>
  <c r="R130" i="8"/>
  <c r="R142" i="8"/>
  <c r="R154" i="8"/>
  <c r="R166" i="8"/>
  <c r="R178" i="8"/>
  <c r="R190" i="8"/>
  <c r="R202" i="8"/>
  <c r="R214" i="8"/>
  <c r="R226" i="8"/>
  <c r="R238" i="8"/>
  <c r="R250" i="8"/>
  <c r="R262" i="8"/>
  <c r="R274" i="8"/>
  <c r="R286" i="8"/>
  <c r="R298" i="8"/>
  <c r="R310" i="8"/>
  <c r="R322" i="8"/>
  <c r="R334" i="8"/>
  <c r="R346" i="8"/>
  <c r="R358" i="8"/>
  <c r="R370" i="8"/>
  <c r="R382" i="8"/>
  <c r="R394" i="8"/>
  <c r="R406" i="8"/>
  <c r="R418" i="8"/>
  <c r="R430" i="8"/>
  <c r="R442" i="8"/>
  <c r="R454" i="8"/>
  <c r="R466" i="8"/>
  <c r="R478" i="8"/>
  <c r="R490" i="8"/>
  <c r="R502" i="8"/>
  <c r="R514" i="8"/>
  <c r="R526" i="8"/>
  <c r="R538" i="8"/>
  <c r="R550" i="8"/>
  <c r="R562" i="8"/>
  <c r="R574" i="8"/>
  <c r="R586" i="8"/>
  <c r="R598" i="8"/>
  <c r="R610" i="8"/>
  <c r="R622" i="8"/>
  <c r="R634" i="8"/>
  <c r="R646" i="8"/>
  <c r="R658" i="8"/>
  <c r="R670" i="8"/>
  <c r="R682" i="8"/>
  <c r="R694" i="8"/>
  <c r="R706" i="8"/>
  <c r="R718" i="8"/>
  <c r="R730" i="8"/>
  <c r="R742" i="8"/>
  <c r="R754" i="8"/>
  <c r="R766" i="8"/>
  <c r="R778" i="8"/>
  <c r="R790" i="8"/>
  <c r="R802" i="8"/>
  <c r="R814" i="8"/>
  <c r="R826" i="8"/>
  <c r="R838" i="8"/>
  <c r="R850" i="8"/>
  <c r="R862" i="8"/>
  <c r="R874" i="8"/>
  <c r="R886" i="8"/>
  <c r="R898" i="8"/>
  <c r="R910" i="8"/>
  <c r="R922" i="8"/>
  <c r="R934" i="8"/>
  <c r="R946" i="8"/>
  <c r="R958" i="8"/>
  <c r="R970" i="8"/>
  <c r="R982" i="8"/>
  <c r="R994" i="8"/>
  <c r="R1006" i="8"/>
  <c r="R11" i="8"/>
  <c r="R23" i="8"/>
  <c r="R35" i="8"/>
  <c r="R47" i="8"/>
  <c r="R59" i="8"/>
  <c r="R71" i="8"/>
  <c r="R83" i="8"/>
  <c r="R95" i="8"/>
  <c r="R107" i="8"/>
  <c r="R119" i="8"/>
  <c r="R131" i="8"/>
  <c r="R143" i="8"/>
  <c r="R155" i="8"/>
  <c r="R167" i="8"/>
  <c r="R179" i="8"/>
  <c r="R191" i="8"/>
  <c r="R203" i="8"/>
  <c r="R215" i="8"/>
  <c r="R227" i="8"/>
  <c r="R239" i="8"/>
  <c r="R251" i="8"/>
  <c r="R263" i="8"/>
  <c r="R15" i="8"/>
  <c r="R27" i="8"/>
  <c r="R39" i="8"/>
  <c r="R51" i="8"/>
  <c r="R63" i="8"/>
  <c r="R75" i="8"/>
  <c r="R87" i="8"/>
  <c r="R99" i="8"/>
  <c r="R111" i="8"/>
  <c r="R123" i="8"/>
  <c r="R135" i="8"/>
  <c r="R147" i="8"/>
  <c r="R159" i="8"/>
  <c r="R171" i="8"/>
  <c r="R183" i="8"/>
  <c r="R195" i="8"/>
  <c r="R207" i="8"/>
  <c r="R219" i="8"/>
  <c r="R231" i="8"/>
  <c r="R243" i="8"/>
  <c r="R255" i="8"/>
  <c r="R267" i="8"/>
  <c r="R279" i="8"/>
  <c r="R291" i="8"/>
  <c r="R303" i="8"/>
  <c r="R315" i="8"/>
  <c r="R327" i="8"/>
  <c r="R339" i="8"/>
  <c r="R351" i="8"/>
  <c r="R363" i="8"/>
  <c r="R375" i="8"/>
  <c r="R387" i="8"/>
  <c r="R399" i="8"/>
  <c r="R411" i="8"/>
  <c r="R423" i="8"/>
  <c r="R435" i="8"/>
  <c r="R447" i="8"/>
  <c r="R459" i="8"/>
  <c r="R471" i="8"/>
  <c r="R483" i="8"/>
  <c r="R495" i="8"/>
  <c r="R507" i="8"/>
  <c r="R519" i="8"/>
  <c r="R531" i="8"/>
  <c r="R543" i="8"/>
  <c r="R555" i="8"/>
  <c r="R567" i="8"/>
  <c r="R579" i="8"/>
  <c r="R591" i="8"/>
  <c r="R603" i="8"/>
  <c r="R615" i="8"/>
  <c r="R627" i="8"/>
  <c r="R639" i="8"/>
  <c r="R651" i="8"/>
  <c r="R663" i="8"/>
  <c r="R675" i="8"/>
  <c r="R687" i="8"/>
  <c r="R699" i="8"/>
  <c r="R711" i="8"/>
  <c r="R723" i="8"/>
  <c r="R735" i="8"/>
  <c r="R747" i="8"/>
  <c r="R759" i="8"/>
  <c r="R771" i="8"/>
  <c r="R783" i="8"/>
  <c r="R795" i="8"/>
  <c r="R807" i="8"/>
  <c r="R819" i="8"/>
  <c r="R831" i="8"/>
  <c r="R843" i="8"/>
  <c r="R855" i="8"/>
  <c r="R867" i="8"/>
  <c r="R879" i="8"/>
  <c r="R891" i="8"/>
  <c r="R903" i="8"/>
  <c r="R915" i="8"/>
  <c r="R927" i="8"/>
  <c r="R939" i="8"/>
  <c r="R951" i="8"/>
  <c r="R963" i="8"/>
  <c r="R975" i="8"/>
  <c r="R987" i="8"/>
  <c r="R999" i="8"/>
  <c r="R37" i="8"/>
  <c r="R64" i="8"/>
  <c r="R96" i="8"/>
  <c r="R122" i="8"/>
  <c r="R149" i="8"/>
  <c r="R181" i="8"/>
  <c r="R208" i="8"/>
  <c r="R240" i="8"/>
  <c r="R266" i="8"/>
  <c r="R290" i="8"/>
  <c r="R314" i="8"/>
  <c r="R338" i="8"/>
  <c r="R362" i="8"/>
  <c r="R386" i="8"/>
  <c r="R410" i="8"/>
  <c r="R434" i="8"/>
  <c r="R458" i="8"/>
  <c r="R482" i="8"/>
  <c r="R506" i="8"/>
  <c r="R530" i="8"/>
  <c r="R554" i="8"/>
  <c r="R578" i="8"/>
  <c r="R602" i="8"/>
  <c r="R626" i="8"/>
  <c r="R650" i="8"/>
  <c r="R674" i="8"/>
  <c r="R698" i="8"/>
  <c r="R722" i="8"/>
  <c r="R746" i="8"/>
  <c r="R770" i="8"/>
  <c r="R794" i="8"/>
  <c r="R818" i="8"/>
  <c r="R842" i="8"/>
  <c r="R866" i="8"/>
  <c r="R890" i="8"/>
  <c r="R914" i="8"/>
  <c r="R938" i="8"/>
  <c r="R962" i="8"/>
  <c r="R986" i="8"/>
  <c r="R12" i="8"/>
  <c r="R38" i="8"/>
  <c r="R65" i="8"/>
  <c r="R97" i="8"/>
  <c r="R124" i="8"/>
  <c r="R156" i="8"/>
  <c r="R182" i="8"/>
  <c r="R209" i="8"/>
  <c r="R241" i="8"/>
  <c r="R268" i="8"/>
  <c r="R292" i="8"/>
  <c r="R316" i="8"/>
  <c r="R340" i="8"/>
  <c r="R364" i="8"/>
  <c r="R388" i="8"/>
  <c r="R412" i="8"/>
  <c r="R436" i="8"/>
  <c r="R460" i="8"/>
  <c r="R484" i="8"/>
  <c r="R508" i="8"/>
  <c r="R532" i="8"/>
  <c r="R556" i="8"/>
  <c r="R580" i="8"/>
  <c r="R604" i="8"/>
  <c r="R628" i="8"/>
  <c r="R652" i="8"/>
  <c r="R676" i="8"/>
  <c r="R700" i="8"/>
  <c r="R724" i="8"/>
  <c r="R748" i="8"/>
  <c r="R772" i="8"/>
  <c r="R796" i="8"/>
  <c r="R820" i="8"/>
  <c r="R844" i="8"/>
  <c r="R868" i="8"/>
  <c r="R892" i="8"/>
  <c r="R916" i="8"/>
  <c r="R940" i="8"/>
  <c r="R964" i="8"/>
  <c r="R988" i="8"/>
  <c r="R13" i="8"/>
  <c r="R40" i="8"/>
  <c r="R72" i="8"/>
  <c r="R98" i="8"/>
  <c r="R125" i="8"/>
  <c r="R157" i="8"/>
  <c r="R184" i="8"/>
  <c r="R216" i="8"/>
  <c r="R242" i="8"/>
  <c r="R269" i="8"/>
  <c r="R293" i="8"/>
  <c r="R317" i="8"/>
  <c r="R341" i="8"/>
  <c r="R365" i="8"/>
  <c r="R389" i="8"/>
  <c r="R413" i="8"/>
  <c r="R437" i="8"/>
  <c r="R461" i="8"/>
  <c r="R485" i="8"/>
  <c r="R509" i="8"/>
  <c r="R533" i="8"/>
  <c r="R557" i="8"/>
  <c r="R581" i="8"/>
  <c r="R605" i="8"/>
  <c r="R629" i="8"/>
  <c r="R653" i="8"/>
  <c r="R677" i="8"/>
  <c r="R701" i="8"/>
  <c r="R725" i="8"/>
  <c r="R749" i="8"/>
  <c r="R773" i="8"/>
  <c r="R797" i="8"/>
  <c r="R821" i="8"/>
  <c r="R845" i="8"/>
  <c r="R869" i="8"/>
  <c r="R893" i="8"/>
  <c r="R917" i="8"/>
  <c r="R941" i="8"/>
  <c r="R965" i="8"/>
  <c r="R989" i="8"/>
  <c r="R14" i="8"/>
  <c r="R41" i="8"/>
  <c r="R73" i="8"/>
  <c r="R100" i="8"/>
  <c r="R132" i="8"/>
  <c r="R158" i="8"/>
  <c r="R185" i="8"/>
  <c r="R217" i="8"/>
  <c r="R244" i="8"/>
  <c r="R275" i="8"/>
  <c r="R299" i="8"/>
  <c r="R323" i="8"/>
  <c r="R347" i="8"/>
  <c r="R371" i="8"/>
  <c r="R395" i="8"/>
  <c r="R419" i="8"/>
  <c r="R443" i="8"/>
  <c r="R467" i="8"/>
  <c r="R491" i="8"/>
  <c r="R515" i="8"/>
  <c r="R539" i="8"/>
  <c r="R563" i="8"/>
  <c r="R587" i="8"/>
  <c r="R611" i="8"/>
  <c r="R635" i="8"/>
  <c r="R659" i="8"/>
  <c r="R683" i="8"/>
  <c r="R707" i="8"/>
  <c r="R731" i="8"/>
  <c r="R755" i="8"/>
  <c r="R779" i="8"/>
  <c r="R803" i="8"/>
  <c r="R827" i="8"/>
  <c r="R851" i="8"/>
  <c r="R875" i="8"/>
  <c r="R899" i="8"/>
  <c r="R923" i="8"/>
  <c r="R947" i="8"/>
  <c r="R971" i="8"/>
  <c r="R995" i="8"/>
  <c r="R16" i="8"/>
  <c r="R48" i="8"/>
  <c r="R74" i="8"/>
  <c r="R101" i="8"/>
  <c r="R133" i="8"/>
  <c r="R160" i="8"/>
  <c r="R192" i="8"/>
  <c r="R218" i="8"/>
  <c r="R245" i="8"/>
  <c r="R276" i="8"/>
  <c r="R300" i="8"/>
  <c r="R324" i="8"/>
  <c r="R348" i="8"/>
  <c r="R372" i="8"/>
  <c r="R396" i="8"/>
  <c r="R420" i="8"/>
  <c r="R444" i="8"/>
  <c r="R468" i="8"/>
  <c r="R492" i="8"/>
  <c r="R516" i="8"/>
  <c r="R540" i="8"/>
  <c r="R564" i="8"/>
  <c r="R588" i="8"/>
  <c r="R612" i="8"/>
  <c r="R636" i="8"/>
  <c r="R660" i="8"/>
  <c r="R684" i="8"/>
  <c r="R708" i="8"/>
  <c r="R732" i="8"/>
  <c r="R756" i="8"/>
  <c r="R780" i="8"/>
  <c r="R804" i="8"/>
  <c r="R828" i="8"/>
  <c r="R852" i="8"/>
  <c r="R876" i="8"/>
  <c r="R900" i="8"/>
  <c r="R924" i="8"/>
  <c r="R948" i="8"/>
  <c r="R972" i="8"/>
  <c r="R996" i="8"/>
  <c r="R17" i="8"/>
  <c r="R49" i="8"/>
  <c r="R76" i="8"/>
  <c r="R108" i="8"/>
  <c r="R134" i="8"/>
  <c r="R161" i="8"/>
  <c r="R193" i="8"/>
  <c r="R220" i="8"/>
  <c r="R252" i="8"/>
  <c r="R277" i="8"/>
  <c r="R301" i="8"/>
  <c r="R325" i="8"/>
  <c r="R349" i="8"/>
  <c r="R373" i="8"/>
  <c r="R397" i="8"/>
  <c r="R421" i="8"/>
  <c r="R445" i="8"/>
  <c r="R469" i="8"/>
  <c r="R493" i="8"/>
  <c r="R517" i="8"/>
  <c r="R541" i="8"/>
  <c r="R565" i="8"/>
  <c r="R589" i="8"/>
  <c r="R613" i="8"/>
  <c r="R637" i="8"/>
  <c r="R661" i="8"/>
  <c r="R685" i="8"/>
  <c r="R709" i="8"/>
  <c r="R733" i="8"/>
  <c r="R757" i="8"/>
  <c r="R781" i="8"/>
  <c r="R805" i="8"/>
  <c r="R829" i="8"/>
  <c r="R853" i="8"/>
  <c r="R877" i="8"/>
  <c r="R901" i="8"/>
  <c r="R925" i="8"/>
  <c r="R949" i="8"/>
  <c r="R973" i="8"/>
  <c r="R997" i="8"/>
  <c r="R24" i="8"/>
  <c r="R50" i="8"/>
  <c r="R77" i="8"/>
  <c r="R109" i="8"/>
  <c r="R136" i="8"/>
  <c r="R168" i="8"/>
  <c r="R194" i="8"/>
  <c r="R221" i="8"/>
  <c r="R253" i="8"/>
  <c r="R278" i="8"/>
  <c r="R302" i="8"/>
  <c r="R326" i="8"/>
  <c r="R350" i="8"/>
  <c r="R374" i="8"/>
  <c r="R398" i="8"/>
  <c r="R422" i="8"/>
  <c r="R446" i="8"/>
  <c r="R470" i="8"/>
  <c r="R494" i="8"/>
  <c r="R518" i="8"/>
  <c r="R542" i="8"/>
  <c r="R566" i="8"/>
  <c r="R590" i="8"/>
  <c r="R614" i="8"/>
  <c r="R638" i="8"/>
  <c r="R662" i="8"/>
  <c r="R686" i="8"/>
  <c r="R710" i="8"/>
  <c r="R734" i="8"/>
  <c r="R758" i="8"/>
  <c r="R782" i="8"/>
  <c r="R806" i="8"/>
  <c r="R830" i="8"/>
  <c r="R854" i="8"/>
  <c r="R878" i="8"/>
  <c r="R902" i="8"/>
  <c r="R926" i="8"/>
  <c r="R950" i="8"/>
  <c r="R974" i="8"/>
  <c r="R998" i="8"/>
  <c r="R25" i="8"/>
  <c r="R52" i="8"/>
  <c r="R84" i="8"/>
  <c r="R110" i="8"/>
  <c r="R137" i="8"/>
  <c r="R169" i="8"/>
  <c r="R196" i="8"/>
  <c r="R228" i="8"/>
  <c r="R254" i="8"/>
  <c r="R280" i="8"/>
  <c r="R304" i="8"/>
  <c r="R328" i="8"/>
  <c r="R352" i="8"/>
  <c r="R376" i="8"/>
  <c r="R400" i="8"/>
  <c r="R424" i="8"/>
  <c r="R448" i="8"/>
  <c r="R472" i="8"/>
  <c r="R496" i="8"/>
  <c r="R520" i="8"/>
  <c r="R544" i="8"/>
  <c r="R568" i="8"/>
  <c r="R592" i="8"/>
  <c r="R616" i="8"/>
  <c r="R640" i="8"/>
  <c r="R664" i="8"/>
  <c r="R688" i="8"/>
  <c r="R712" i="8"/>
  <c r="R736" i="8"/>
  <c r="R760" i="8"/>
  <c r="R784" i="8"/>
  <c r="R808" i="8"/>
  <c r="R832" i="8"/>
  <c r="R856" i="8"/>
  <c r="R880" i="8"/>
  <c r="R904" i="8"/>
  <c r="R928" i="8"/>
  <c r="R952" i="8"/>
  <c r="R976" i="8"/>
  <c r="R1000" i="8"/>
  <c r="R28" i="8"/>
  <c r="R60" i="8"/>
  <c r="R86" i="8"/>
  <c r="R113" i="8"/>
  <c r="R145" i="8"/>
  <c r="R172" i="8"/>
  <c r="R204" i="8"/>
  <c r="R230" i="8"/>
  <c r="R257" i="8"/>
  <c r="R287" i="8"/>
  <c r="R311" i="8"/>
  <c r="R335" i="8"/>
  <c r="R359" i="8"/>
  <c r="R383" i="8"/>
  <c r="R407" i="8"/>
  <c r="R431" i="8"/>
  <c r="R455" i="8"/>
  <c r="R479" i="8"/>
  <c r="R503" i="8"/>
  <c r="R527" i="8"/>
  <c r="R551" i="8"/>
  <c r="R575" i="8"/>
  <c r="R599" i="8"/>
  <c r="R623" i="8"/>
  <c r="R647" i="8"/>
  <c r="R671" i="8"/>
  <c r="R695" i="8"/>
  <c r="R719" i="8"/>
  <c r="R743" i="8"/>
  <c r="R767" i="8"/>
  <c r="R791" i="8"/>
  <c r="R815" i="8"/>
  <c r="R839" i="8"/>
  <c r="R863" i="8"/>
  <c r="R887" i="8"/>
  <c r="R911" i="8"/>
  <c r="R935" i="8"/>
  <c r="R959" i="8"/>
  <c r="R983" i="8"/>
  <c r="R1007" i="8"/>
  <c r="R85" i="8"/>
  <c r="R197" i="8"/>
  <c r="R305" i="8"/>
  <c r="R401" i="8"/>
  <c r="R497" i="8"/>
  <c r="R593" i="8"/>
  <c r="R689" i="8"/>
  <c r="R785" i="8"/>
  <c r="R881" i="8"/>
  <c r="R977" i="8"/>
  <c r="R36" i="8"/>
  <c r="R88" i="8"/>
  <c r="R205" i="8"/>
  <c r="R312" i="8"/>
  <c r="R408" i="8"/>
  <c r="R504" i="8"/>
  <c r="R600" i="8"/>
  <c r="R696" i="8"/>
  <c r="R792" i="8"/>
  <c r="R888" i="8"/>
  <c r="R984" i="8"/>
  <c r="R9" i="8"/>
  <c r="R649" i="8"/>
  <c r="R89" i="8"/>
  <c r="R206" i="8"/>
  <c r="R313" i="8"/>
  <c r="R409" i="8"/>
  <c r="R505" i="8"/>
  <c r="R601" i="8"/>
  <c r="R697" i="8"/>
  <c r="R793" i="8"/>
  <c r="R889" i="8"/>
  <c r="R985" i="8"/>
  <c r="R112" i="8"/>
  <c r="R229" i="8"/>
  <c r="R329" i="8"/>
  <c r="R425" i="8"/>
  <c r="R521" i="8"/>
  <c r="R617" i="8"/>
  <c r="R713" i="8"/>
  <c r="R809" i="8"/>
  <c r="R905" i="8"/>
  <c r="R1001" i="8"/>
  <c r="R120" i="8"/>
  <c r="R232" i="8"/>
  <c r="R336" i="8"/>
  <c r="R432" i="8"/>
  <c r="R528" i="8"/>
  <c r="R624" i="8"/>
  <c r="R720" i="8"/>
  <c r="R816" i="8"/>
  <c r="R912" i="8"/>
  <c r="R1008" i="8"/>
  <c r="R121" i="8"/>
  <c r="R233" i="8"/>
  <c r="R337" i="8"/>
  <c r="R433" i="8"/>
  <c r="R529" i="8"/>
  <c r="R625" i="8"/>
  <c r="R721" i="8"/>
  <c r="R817" i="8"/>
  <c r="R913" i="8"/>
  <c r="R148" i="8"/>
  <c r="R265" i="8"/>
  <c r="R361" i="8"/>
  <c r="R457" i="8"/>
  <c r="R553" i="8"/>
  <c r="R745" i="8"/>
  <c r="R841" i="8"/>
  <c r="R937" i="8"/>
  <c r="R26" i="8"/>
  <c r="R144" i="8"/>
  <c r="R256" i="8"/>
  <c r="R353" i="8"/>
  <c r="R449" i="8"/>
  <c r="R545" i="8"/>
  <c r="R641" i="8"/>
  <c r="R737" i="8"/>
  <c r="R833" i="8"/>
  <c r="R929" i="8"/>
  <c r="R29" i="8"/>
  <c r="R146" i="8"/>
  <c r="R264" i="8"/>
  <c r="R360" i="8"/>
  <c r="R456" i="8"/>
  <c r="R552" i="8"/>
  <c r="R648" i="8"/>
  <c r="R744" i="8"/>
  <c r="R840" i="8"/>
  <c r="R936" i="8"/>
  <c r="R53" i="8"/>
  <c r="R170" i="8"/>
  <c r="R281" i="8"/>
  <c r="R377" i="8"/>
  <c r="R473" i="8"/>
  <c r="R569" i="8"/>
  <c r="R665" i="8"/>
  <c r="R761" i="8"/>
  <c r="R857" i="8"/>
  <c r="R953" i="8"/>
  <c r="R61" i="8"/>
  <c r="R173" i="8"/>
  <c r="R288" i="8"/>
  <c r="R384" i="8"/>
  <c r="R480" i="8"/>
  <c r="R576" i="8"/>
  <c r="R672" i="8"/>
  <c r="R768" i="8"/>
  <c r="R864" i="8"/>
  <c r="R960" i="8"/>
  <c r="R62" i="8"/>
  <c r="R180" i="8"/>
  <c r="R289" i="8"/>
  <c r="R385" i="8"/>
  <c r="R481" i="8"/>
  <c r="R577" i="8"/>
  <c r="R673" i="8"/>
  <c r="R769" i="8"/>
  <c r="R865" i="8"/>
  <c r="R961" i="8"/>
  <c r="N8" i="4"/>
  <c r="AY7" i="8" s="1"/>
  <c r="L16" i="8"/>
  <c r="L28" i="8"/>
  <c r="L40" i="8"/>
  <c r="L52" i="8"/>
  <c r="L64" i="8"/>
  <c r="L76" i="8"/>
  <c r="L88" i="8"/>
  <c r="L100" i="8"/>
  <c r="L112" i="8"/>
  <c r="L124" i="8"/>
  <c r="L136" i="8"/>
  <c r="L148" i="8"/>
  <c r="L160" i="8"/>
  <c r="L172" i="8"/>
  <c r="L184" i="8"/>
  <c r="L196" i="8"/>
  <c r="L208" i="8"/>
  <c r="L220" i="8"/>
  <c r="L232" i="8"/>
  <c r="L244" i="8"/>
  <c r="L256" i="8"/>
  <c r="L268" i="8"/>
  <c r="L280" i="8"/>
  <c r="L292" i="8"/>
  <c r="L304" i="8"/>
  <c r="L316" i="8"/>
  <c r="L328" i="8"/>
  <c r="L340" i="8"/>
  <c r="L352" i="8"/>
  <c r="L364" i="8"/>
  <c r="L376" i="8"/>
  <c r="L388" i="8"/>
  <c r="L400" i="8"/>
  <c r="L412" i="8"/>
  <c r="L424" i="8"/>
  <c r="L436" i="8"/>
  <c r="L448" i="8"/>
  <c r="L460" i="8"/>
  <c r="L472" i="8"/>
  <c r="L484" i="8"/>
  <c r="L496" i="8"/>
  <c r="L508" i="8"/>
  <c r="L520" i="8"/>
  <c r="L532" i="8"/>
  <c r="L544" i="8"/>
  <c r="L556" i="8"/>
  <c r="L568" i="8"/>
  <c r="L580" i="8"/>
  <c r="L592" i="8"/>
  <c r="L604" i="8"/>
  <c r="L616" i="8"/>
  <c r="L628" i="8"/>
  <c r="L640" i="8"/>
  <c r="L652" i="8"/>
  <c r="L664" i="8"/>
  <c r="L676" i="8"/>
  <c r="L688" i="8"/>
  <c r="L700" i="8"/>
  <c r="L712" i="8"/>
  <c r="L724" i="8"/>
  <c r="L736" i="8"/>
  <c r="L748" i="8"/>
  <c r="L760" i="8"/>
  <c r="L772" i="8"/>
  <c r="L784" i="8"/>
  <c r="L796" i="8"/>
  <c r="L808" i="8"/>
  <c r="L820" i="8"/>
  <c r="L832" i="8"/>
  <c r="L844" i="8"/>
  <c r="L856" i="8"/>
  <c r="L868" i="8"/>
  <c r="L880" i="8"/>
  <c r="L892" i="8"/>
  <c r="L904" i="8"/>
  <c r="L916" i="8"/>
  <c r="L928" i="8"/>
  <c r="L940" i="8"/>
  <c r="L952" i="8"/>
  <c r="L17" i="8"/>
  <c r="L29" i="8"/>
  <c r="L41" i="8"/>
  <c r="L53" i="8"/>
  <c r="L65" i="8"/>
  <c r="L77" i="8"/>
  <c r="L89" i="8"/>
  <c r="L101" i="8"/>
  <c r="L113" i="8"/>
  <c r="L125" i="8"/>
  <c r="L137" i="8"/>
  <c r="L149" i="8"/>
  <c r="L161" i="8"/>
  <c r="L173" i="8"/>
  <c r="L185" i="8"/>
  <c r="L197" i="8"/>
  <c r="L209" i="8"/>
  <c r="L221" i="8"/>
  <c r="L233" i="8"/>
  <c r="L245" i="8"/>
  <c r="L257" i="8"/>
  <c r="L269" i="8"/>
  <c r="L281" i="8"/>
  <c r="L293" i="8"/>
  <c r="L305" i="8"/>
  <c r="L317" i="8"/>
  <c r="L329" i="8"/>
  <c r="L341" i="8"/>
  <c r="L353" i="8"/>
  <c r="L365" i="8"/>
  <c r="L377" i="8"/>
  <c r="L389" i="8"/>
  <c r="L401" i="8"/>
  <c r="L413" i="8"/>
  <c r="L425" i="8"/>
  <c r="L437" i="8"/>
  <c r="L449" i="8"/>
  <c r="L461" i="8"/>
  <c r="L473" i="8"/>
  <c r="L485" i="8"/>
  <c r="L497" i="8"/>
  <c r="L509" i="8"/>
  <c r="L521" i="8"/>
  <c r="L533" i="8"/>
  <c r="L545" i="8"/>
  <c r="L557" i="8"/>
  <c r="L569" i="8"/>
  <c r="L581" i="8"/>
  <c r="L593" i="8"/>
  <c r="L605" i="8"/>
  <c r="L617" i="8"/>
  <c r="L629" i="8"/>
  <c r="L641" i="8"/>
  <c r="L653" i="8"/>
  <c r="L665" i="8"/>
  <c r="L677" i="8"/>
  <c r="L689" i="8"/>
  <c r="L701" i="8"/>
  <c r="L713" i="8"/>
  <c r="L725" i="8"/>
  <c r="L737" i="8"/>
  <c r="L749" i="8"/>
  <c r="L761" i="8"/>
  <c r="L773" i="8"/>
  <c r="L785" i="8"/>
  <c r="L797" i="8"/>
  <c r="L809" i="8"/>
  <c r="L821" i="8"/>
  <c r="L833" i="8"/>
  <c r="L845" i="8"/>
  <c r="L857" i="8"/>
  <c r="L869" i="8"/>
  <c r="L881" i="8"/>
  <c r="L893" i="8"/>
  <c r="L905" i="8"/>
  <c r="L917" i="8"/>
  <c r="L929" i="8"/>
  <c r="L941" i="8"/>
  <c r="L953" i="8"/>
  <c r="L965" i="8"/>
  <c r="L18" i="8"/>
  <c r="L30" i="8"/>
  <c r="L42" i="8"/>
  <c r="L54" i="8"/>
  <c r="L66" i="8"/>
  <c r="L78" i="8"/>
  <c r="L90" i="8"/>
  <c r="L102" i="8"/>
  <c r="L114" i="8"/>
  <c r="L126" i="8"/>
  <c r="L138" i="8"/>
  <c r="L150" i="8"/>
  <c r="L162" i="8"/>
  <c r="L174" i="8"/>
  <c r="L186" i="8"/>
  <c r="L198" i="8"/>
  <c r="L210" i="8"/>
  <c r="L222" i="8"/>
  <c r="L234" i="8"/>
  <c r="L246" i="8"/>
  <c r="L258" i="8"/>
  <c r="L270" i="8"/>
  <c r="L282" i="8"/>
  <c r="L294" i="8"/>
  <c r="L306" i="8"/>
  <c r="L318" i="8"/>
  <c r="L330" i="8"/>
  <c r="L342" i="8"/>
  <c r="L354" i="8"/>
  <c r="L366" i="8"/>
  <c r="L378" i="8"/>
  <c r="L390" i="8"/>
  <c r="L402" i="8"/>
  <c r="L414" i="8"/>
  <c r="L426" i="8"/>
  <c r="L438" i="8"/>
  <c r="L450" i="8"/>
  <c r="L462" i="8"/>
  <c r="L474" i="8"/>
  <c r="L486" i="8"/>
  <c r="L498" i="8"/>
  <c r="L19" i="8"/>
  <c r="L31" i="8"/>
  <c r="L43" i="8"/>
  <c r="L55" i="8"/>
  <c r="L67" i="8"/>
  <c r="L79" i="8"/>
  <c r="L91" i="8"/>
  <c r="L103" i="8"/>
  <c r="L115" i="8"/>
  <c r="L127" i="8"/>
  <c r="L139" i="8"/>
  <c r="L151" i="8"/>
  <c r="L163" i="8"/>
  <c r="L175" i="8"/>
  <c r="L187" i="8"/>
  <c r="L199" i="8"/>
  <c r="L211" i="8"/>
  <c r="L223" i="8"/>
  <c r="L235" i="8"/>
  <c r="L247" i="8"/>
  <c r="L259" i="8"/>
  <c r="L271" i="8"/>
  <c r="L283" i="8"/>
  <c r="L295" i="8"/>
  <c r="L307" i="8"/>
  <c r="L319" i="8"/>
  <c r="L331" i="8"/>
  <c r="L343" i="8"/>
  <c r="L355" i="8"/>
  <c r="L367" i="8"/>
  <c r="L379" i="8"/>
  <c r="L391" i="8"/>
  <c r="L403" i="8"/>
  <c r="L415" i="8"/>
  <c r="L427" i="8"/>
  <c r="L439" i="8"/>
  <c r="L451" i="8"/>
  <c r="L463" i="8"/>
  <c r="L475" i="8"/>
  <c r="L487" i="8"/>
  <c r="L499" i="8"/>
  <c r="L511" i="8"/>
  <c r="L523" i="8"/>
  <c r="L535" i="8"/>
  <c r="L547" i="8"/>
  <c r="L559" i="8"/>
  <c r="L571" i="8"/>
  <c r="L583" i="8"/>
  <c r="L595" i="8"/>
  <c r="L607" i="8"/>
  <c r="L619" i="8"/>
  <c r="L631" i="8"/>
  <c r="L643" i="8"/>
  <c r="L655" i="8"/>
  <c r="L667" i="8"/>
  <c r="L679" i="8"/>
  <c r="L691" i="8"/>
  <c r="L703" i="8"/>
  <c r="L715" i="8"/>
  <c r="L727" i="8"/>
  <c r="L739" i="8"/>
  <c r="L751" i="8"/>
  <c r="L763" i="8"/>
  <c r="L775" i="8"/>
  <c r="L787" i="8"/>
  <c r="L799" i="8"/>
  <c r="L811" i="8"/>
  <c r="L823" i="8"/>
  <c r="L835" i="8"/>
  <c r="L847" i="8"/>
  <c r="L20" i="8"/>
  <c r="L32" i="8"/>
  <c r="L44" i="8"/>
  <c r="L56" i="8"/>
  <c r="L68" i="8"/>
  <c r="L80" i="8"/>
  <c r="L92" i="8"/>
  <c r="L104" i="8"/>
  <c r="L116" i="8"/>
  <c r="L128" i="8"/>
  <c r="L140" i="8"/>
  <c r="L152" i="8"/>
  <c r="L164" i="8"/>
  <c r="L176" i="8"/>
  <c r="L188" i="8"/>
  <c r="L200" i="8"/>
  <c r="L212" i="8"/>
  <c r="L224" i="8"/>
  <c r="L236" i="8"/>
  <c r="L248" i="8"/>
  <c r="L260" i="8"/>
  <c r="L272" i="8"/>
  <c r="L284" i="8"/>
  <c r="L296" i="8"/>
  <c r="L308" i="8"/>
  <c r="L320" i="8"/>
  <c r="L332" i="8"/>
  <c r="L344" i="8"/>
  <c r="L356" i="8"/>
  <c r="L368" i="8"/>
  <c r="L380" i="8"/>
  <c r="L392" i="8"/>
  <c r="L404" i="8"/>
  <c r="L416" i="8"/>
  <c r="L428" i="8"/>
  <c r="L440" i="8"/>
  <c r="L452" i="8"/>
  <c r="L464" i="8"/>
  <c r="L476" i="8"/>
  <c r="L488" i="8"/>
  <c r="L500" i="8"/>
  <c r="L512" i="8"/>
  <c r="L524" i="8"/>
  <c r="L536" i="8"/>
  <c r="L548" i="8"/>
  <c r="L560" i="8"/>
  <c r="L572" i="8"/>
  <c r="L584" i="8"/>
  <c r="L596" i="8"/>
  <c r="L608" i="8"/>
  <c r="L620" i="8"/>
  <c r="L632" i="8"/>
  <c r="L644" i="8"/>
  <c r="L656" i="8"/>
  <c r="L668" i="8"/>
  <c r="L680" i="8"/>
  <c r="L692" i="8"/>
  <c r="L704" i="8"/>
  <c r="L716" i="8"/>
  <c r="L728" i="8"/>
  <c r="L740" i="8"/>
  <c r="L752" i="8"/>
  <c r="L764" i="8"/>
  <c r="L776" i="8"/>
  <c r="L788" i="8"/>
  <c r="L800" i="8"/>
  <c r="L812" i="8"/>
  <c r="L824" i="8"/>
  <c r="L836" i="8"/>
  <c r="L848" i="8"/>
  <c r="L860" i="8"/>
  <c r="L872" i="8"/>
  <c r="L884" i="8"/>
  <c r="L896" i="8"/>
  <c r="L908" i="8"/>
  <c r="L920" i="8"/>
  <c r="L932" i="8"/>
  <c r="L21" i="8"/>
  <c r="L33" i="8"/>
  <c r="L45" i="8"/>
  <c r="L57" i="8"/>
  <c r="L69" i="8"/>
  <c r="L81" i="8"/>
  <c r="L93" i="8"/>
  <c r="L105" i="8"/>
  <c r="L117" i="8"/>
  <c r="L129" i="8"/>
  <c r="L141" i="8"/>
  <c r="L153" i="8"/>
  <c r="L165" i="8"/>
  <c r="L177" i="8"/>
  <c r="L189" i="8"/>
  <c r="L201" i="8"/>
  <c r="L213" i="8"/>
  <c r="L225" i="8"/>
  <c r="L237" i="8"/>
  <c r="L249" i="8"/>
  <c r="L261" i="8"/>
  <c r="L273" i="8"/>
  <c r="L285" i="8"/>
  <c r="L297" i="8"/>
  <c r="L309" i="8"/>
  <c r="L321" i="8"/>
  <c r="L333" i="8"/>
  <c r="L345" i="8"/>
  <c r="L357" i="8"/>
  <c r="L369" i="8"/>
  <c r="L381" i="8"/>
  <c r="L393" i="8"/>
  <c r="L405" i="8"/>
  <c r="L417" i="8"/>
  <c r="L429" i="8"/>
  <c r="L441" i="8"/>
  <c r="L453" i="8"/>
  <c r="L465" i="8"/>
  <c r="L477" i="8"/>
  <c r="L489" i="8"/>
  <c r="L501" i="8"/>
  <c r="L513" i="8"/>
  <c r="L525" i="8"/>
  <c r="L537" i="8"/>
  <c r="L549" i="8"/>
  <c r="L561" i="8"/>
  <c r="L573" i="8"/>
  <c r="L585" i="8"/>
  <c r="L597" i="8"/>
  <c r="L609" i="8"/>
  <c r="L621" i="8"/>
  <c r="L633" i="8"/>
  <c r="L645" i="8"/>
  <c r="L657" i="8"/>
  <c r="L669" i="8"/>
  <c r="L681" i="8"/>
  <c r="L693" i="8"/>
  <c r="L705" i="8"/>
  <c r="L717" i="8"/>
  <c r="L729" i="8"/>
  <c r="L741" i="8"/>
  <c r="L753" i="8"/>
  <c r="L765" i="8"/>
  <c r="L777" i="8"/>
  <c r="L789" i="8"/>
  <c r="L801" i="8"/>
  <c r="L813" i="8"/>
  <c r="L825" i="8"/>
  <c r="L837" i="8"/>
  <c r="L849" i="8"/>
  <c r="L12" i="8"/>
  <c r="L36" i="8"/>
  <c r="L60" i="8"/>
  <c r="L84" i="8"/>
  <c r="L108" i="8"/>
  <c r="L132" i="8"/>
  <c r="L156" i="8"/>
  <c r="L180" i="8"/>
  <c r="L204" i="8"/>
  <c r="L228" i="8"/>
  <c r="L252" i="8"/>
  <c r="L276" i="8"/>
  <c r="L300" i="8"/>
  <c r="L324" i="8"/>
  <c r="L348" i="8"/>
  <c r="L372" i="8"/>
  <c r="L396" i="8"/>
  <c r="L420" i="8"/>
  <c r="L444" i="8"/>
  <c r="L468" i="8"/>
  <c r="L492" i="8"/>
  <c r="L515" i="8"/>
  <c r="L534" i="8"/>
  <c r="L554" i="8"/>
  <c r="L576" i="8"/>
  <c r="L598" i="8"/>
  <c r="L615" i="8"/>
  <c r="L637" i="8"/>
  <c r="L659" i="8"/>
  <c r="L678" i="8"/>
  <c r="L698" i="8"/>
  <c r="L720" i="8"/>
  <c r="L742" i="8"/>
  <c r="L759" i="8"/>
  <c r="L781" i="8"/>
  <c r="L803" i="8"/>
  <c r="L822" i="8"/>
  <c r="L842" i="8"/>
  <c r="L862" i="8"/>
  <c r="L877" i="8"/>
  <c r="L894" i="8"/>
  <c r="L910" i="8"/>
  <c r="L925" i="8"/>
  <c r="L942" i="8"/>
  <c r="L956" i="8"/>
  <c r="L969" i="8"/>
  <c r="L981" i="8"/>
  <c r="L993" i="8"/>
  <c r="L1005" i="8"/>
  <c r="L13" i="8"/>
  <c r="L37" i="8"/>
  <c r="L61" i="8"/>
  <c r="L85" i="8"/>
  <c r="L109" i="8"/>
  <c r="L133" i="8"/>
  <c r="L157" i="8"/>
  <c r="L181" i="8"/>
  <c r="L205" i="8"/>
  <c r="L229" i="8"/>
  <c r="L253" i="8"/>
  <c r="L277" i="8"/>
  <c r="L301" i="8"/>
  <c r="L325" i="8"/>
  <c r="L349" i="8"/>
  <c r="L373" i="8"/>
  <c r="L397" i="8"/>
  <c r="L421" i="8"/>
  <c r="L445" i="8"/>
  <c r="L469" i="8"/>
  <c r="L493" i="8"/>
  <c r="L516" i="8"/>
  <c r="L538" i="8"/>
  <c r="L555" i="8"/>
  <c r="L577" i="8"/>
  <c r="L599" i="8"/>
  <c r="L618" i="8"/>
  <c r="L638" i="8"/>
  <c r="L660" i="8"/>
  <c r="L682" i="8"/>
  <c r="L699" i="8"/>
  <c r="L721" i="8"/>
  <c r="L743" i="8"/>
  <c r="L762" i="8"/>
  <c r="L782" i="8"/>
  <c r="L804" i="8"/>
  <c r="L826" i="8"/>
  <c r="L843" i="8"/>
  <c r="L863" i="8"/>
  <c r="L878" i="8"/>
  <c r="L895" i="8"/>
  <c r="L911" i="8"/>
  <c r="L926" i="8"/>
  <c r="L943" i="8"/>
  <c r="L957" i="8"/>
  <c r="L970" i="8"/>
  <c r="L982" i="8"/>
  <c r="L994" i="8"/>
  <c r="L1006" i="8"/>
  <c r="L14" i="8"/>
  <c r="L38" i="8"/>
  <c r="L62" i="8"/>
  <c r="L86" i="8"/>
  <c r="L110" i="8"/>
  <c r="L134" i="8"/>
  <c r="L158" i="8"/>
  <c r="L182" i="8"/>
  <c r="L206" i="8"/>
  <c r="L230" i="8"/>
  <c r="L254" i="8"/>
  <c r="L278" i="8"/>
  <c r="L302" i="8"/>
  <c r="L326" i="8"/>
  <c r="L350" i="8"/>
  <c r="L374" i="8"/>
  <c r="L398" i="8"/>
  <c r="L422" i="8"/>
  <c r="L446" i="8"/>
  <c r="L470" i="8"/>
  <c r="L494" i="8"/>
  <c r="L517" i="8"/>
  <c r="L539" i="8"/>
  <c r="L558" i="8"/>
  <c r="L578" i="8"/>
  <c r="L600" i="8"/>
  <c r="L622" i="8"/>
  <c r="L639" i="8"/>
  <c r="L661" i="8"/>
  <c r="L683" i="8"/>
  <c r="L702" i="8"/>
  <c r="L722" i="8"/>
  <c r="L744" i="8"/>
  <c r="L766" i="8"/>
  <c r="L783" i="8"/>
  <c r="L805" i="8"/>
  <c r="L827" i="8"/>
  <c r="L846" i="8"/>
  <c r="L864" i="8"/>
  <c r="L879" i="8"/>
  <c r="L897" i="8"/>
  <c r="L912" i="8"/>
  <c r="L927" i="8"/>
  <c r="L944" i="8"/>
  <c r="L958" i="8"/>
  <c r="L971" i="8"/>
  <c r="L983" i="8"/>
  <c r="L995" i="8"/>
  <c r="L1007" i="8"/>
  <c r="L15" i="8"/>
  <c r="L39" i="8"/>
  <c r="L63" i="8"/>
  <c r="L87" i="8"/>
  <c r="L111" i="8"/>
  <c r="L135" i="8"/>
  <c r="L159" i="8"/>
  <c r="L183" i="8"/>
  <c r="L207" i="8"/>
  <c r="L231" i="8"/>
  <c r="L255" i="8"/>
  <c r="L279" i="8"/>
  <c r="L303" i="8"/>
  <c r="L327" i="8"/>
  <c r="L351" i="8"/>
  <c r="L375" i="8"/>
  <c r="L399" i="8"/>
  <c r="L423" i="8"/>
  <c r="L447" i="8"/>
  <c r="L471" i="8"/>
  <c r="L495" i="8"/>
  <c r="L518" i="8"/>
  <c r="L540" i="8"/>
  <c r="L562" i="8"/>
  <c r="L579" i="8"/>
  <c r="L601" i="8"/>
  <c r="L623" i="8"/>
  <c r="L642" i="8"/>
  <c r="L662" i="8"/>
  <c r="L684" i="8"/>
  <c r="L706" i="8"/>
  <c r="L723" i="8"/>
  <c r="L745" i="8"/>
  <c r="L767" i="8"/>
  <c r="L786" i="8"/>
  <c r="L806" i="8"/>
  <c r="L828" i="8"/>
  <c r="L850" i="8"/>
  <c r="L865" i="8"/>
  <c r="L882" i="8"/>
  <c r="L898" i="8"/>
  <c r="L913" i="8"/>
  <c r="L930" i="8"/>
  <c r="L945" i="8"/>
  <c r="L959" i="8"/>
  <c r="L972" i="8"/>
  <c r="L984" i="8"/>
  <c r="L996" i="8"/>
  <c r="L1008" i="8"/>
  <c r="L22" i="8"/>
  <c r="L46" i="8"/>
  <c r="L70" i="8"/>
  <c r="L94" i="8"/>
  <c r="L118" i="8"/>
  <c r="L142" i="8"/>
  <c r="L166" i="8"/>
  <c r="L190" i="8"/>
  <c r="L214" i="8"/>
  <c r="L238" i="8"/>
  <c r="L262" i="8"/>
  <c r="L286" i="8"/>
  <c r="L310" i="8"/>
  <c r="L334" i="8"/>
  <c r="L358" i="8"/>
  <c r="L382" i="8"/>
  <c r="L406" i="8"/>
  <c r="L430" i="8"/>
  <c r="L454" i="8"/>
  <c r="L478" i="8"/>
  <c r="L502" i="8"/>
  <c r="L519" i="8"/>
  <c r="L541" i="8"/>
  <c r="L563" i="8"/>
  <c r="L582" i="8"/>
  <c r="L602" i="8"/>
  <c r="L624" i="8"/>
  <c r="L646" i="8"/>
  <c r="L663" i="8"/>
  <c r="L685" i="8"/>
  <c r="L707" i="8"/>
  <c r="L726" i="8"/>
  <c r="L746" i="8"/>
  <c r="L768" i="8"/>
  <c r="L790" i="8"/>
  <c r="L807" i="8"/>
  <c r="L829" i="8"/>
  <c r="L851" i="8"/>
  <c r="L866" i="8"/>
  <c r="L883" i="8"/>
  <c r="L899" i="8"/>
  <c r="L914" i="8"/>
  <c r="L931" i="8"/>
  <c r="L946" i="8"/>
  <c r="L960" i="8"/>
  <c r="L973" i="8"/>
  <c r="L985" i="8"/>
  <c r="L997" i="8"/>
  <c r="L23" i="8"/>
  <c r="L47" i="8"/>
  <c r="L71" i="8"/>
  <c r="L95" i="8"/>
  <c r="L119" i="8"/>
  <c r="L143" i="8"/>
  <c r="L167" i="8"/>
  <c r="L191" i="8"/>
  <c r="L215" i="8"/>
  <c r="L239" i="8"/>
  <c r="L263" i="8"/>
  <c r="L287" i="8"/>
  <c r="L311" i="8"/>
  <c r="L335" i="8"/>
  <c r="L359" i="8"/>
  <c r="L383" i="8"/>
  <c r="L407" i="8"/>
  <c r="L431" i="8"/>
  <c r="L455" i="8"/>
  <c r="L479" i="8"/>
  <c r="L503" i="8"/>
  <c r="L522" i="8"/>
  <c r="L542" i="8"/>
  <c r="L564" i="8"/>
  <c r="L586" i="8"/>
  <c r="L603" i="8"/>
  <c r="L625" i="8"/>
  <c r="L647" i="8"/>
  <c r="L666" i="8"/>
  <c r="L686" i="8"/>
  <c r="L708" i="8"/>
  <c r="L730" i="8"/>
  <c r="L747" i="8"/>
  <c r="L769" i="8"/>
  <c r="L791" i="8"/>
  <c r="L810" i="8"/>
  <c r="L830" i="8"/>
  <c r="L852" i="8"/>
  <c r="L867" i="8"/>
  <c r="L885" i="8"/>
  <c r="L900" i="8"/>
  <c r="L915" i="8"/>
  <c r="L933" i="8"/>
  <c r="L947" i="8"/>
  <c r="L961" i="8"/>
  <c r="L974" i="8"/>
  <c r="L986" i="8"/>
  <c r="L998" i="8"/>
  <c r="L24" i="8"/>
  <c r="L48" i="8"/>
  <c r="L72" i="8"/>
  <c r="L96" i="8"/>
  <c r="L120" i="8"/>
  <c r="L144" i="8"/>
  <c r="L168" i="8"/>
  <c r="L192" i="8"/>
  <c r="L216" i="8"/>
  <c r="L240" i="8"/>
  <c r="L264" i="8"/>
  <c r="L288" i="8"/>
  <c r="L312" i="8"/>
  <c r="L336" i="8"/>
  <c r="L360" i="8"/>
  <c r="L384" i="8"/>
  <c r="L408" i="8"/>
  <c r="L432" i="8"/>
  <c r="L456" i="8"/>
  <c r="L480" i="8"/>
  <c r="L504" i="8"/>
  <c r="L526" i="8"/>
  <c r="L543" i="8"/>
  <c r="L565" i="8"/>
  <c r="L587" i="8"/>
  <c r="L606" i="8"/>
  <c r="L626" i="8"/>
  <c r="L648" i="8"/>
  <c r="L670" i="8"/>
  <c r="L687" i="8"/>
  <c r="L709" i="8"/>
  <c r="L731" i="8"/>
  <c r="L750" i="8"/>
  <c r="L770" i="8"/>
  <c r="L792" i="8"/>
  <c r="L814" i="8"/>
  <c r="L831" i="8"/>
  <c r="L853" i="8"/>
  <c r="L870" i="8"/>
  <c r="L886" i="8"/>
  <c r="L901" i="8"/>
  <c r="L918" i="8"/>
  <c r="L934" i="8"/>
  <c r="L27" i="8"/>
  <c r="L51" i="8"/>
  <c r="L75" i="8"/>
  <c r="L99" i="8"/>
  <c r="L123" i="8"/>
  <c r="L147" i="8"/>
  <c r="L171" i="8"/>
  <c r="L195" i="8"/>
  <c r="L219" i="8"/>
  <c r="L243" i="8"/>
  <c r="L267" i="8"/>
  <c r="L291" i="8"/>
  <c r="L315" i="8"/>
  <c r="L339" i="8"/>
  <c r="L363" i="8"/>
  <c r="L387" i="8"/>
  <c r="L411" i="8"/>
  <c r="L435" i="8"/>
  <c r="L459" i="8"/>
  <c r="L483" i="8"/>
  <c r="L507" i="8"/>
  <c r="L529" i="8"/>
  <c r="L551" i="8"/>
  <c r="L570" i="8"/>
  <c r="L590" i="8"/>
  <c r="L612" i="8"/>
  <c r="L634" i="8"/>
  <c r="L651" i="8"/>
  <c r="L673" i="8"/>
  <c r="L695" i="8"/>
  <c r="L714" i="8"/>
  <c r="L734" i="8"/>
  <c r="L756" i="8"/>
  <c r="L778" i="8"/>
  <c r="L795" i="8"/>
  <c r="L817" i="8"/>
  <c r="L839" i="8"/>
  <c r="L858" i="8"/>
  <c r="L874" i="8"/>
  <c r="L889" i="8"/>
  <c r="L906" i="8"/>
  <c r="L922" i="8"/>
  <c r="L937" i="8"/>
  <c r="L951" i="8"/>
  <c r="L966" i="8"/>
  <c r="L978" i="8"/>
  <c r="L990" i="8"/>
  <c r="L1002" i="8"/>
  <c r="L49" i="8"/>
  <c r="L121" i="8"/>
  <c r="L193" i="8"/>
  <c r="L265" i="8"/>
  <c r="L337" i="8"/>
  <c r="L409" i="8"/>
  <c r="L481" i="8"/>
  <c r="L546" i="8"/>
  <c r="L610" i="8"/>
  <c r="L671" i="8"/>
  <c r="L732" i="8"/>
  <c r="L793" i="8"/>
  <c r="L854" i="8"/>
  <c r="L902" i="8"/>
  <c r="L948" i="8"/>
  <c r="L977" i="8"/>
  <c r="L1004" i="8"/>
  <c r="L50" i="8"/>
  <c r="L122" i="8"/>
  <c r="L194" i="8"/>
  <c r="L266" i="8"/>
  <c r="L338" i="8"/>
  <c r="L410" i="8"/>
  <c r="L482" i="8"/>
  <c r="L550" i="8"/>
  <c r="L611" i="8"/>
  <c r="L672" i="8"/>
  <c r="L733" i="8"/>
  <c r="L794" i="8"/>
  <c r="L855" i="8"/>
  <c r="L903" i="8"/>
  <c r="L949" i="8"/>
  <c r="L979" i="8"/>
  <c r="L58" i="8"/>
  <c r="L130" i="8"/>
  <c r="L202" i="8"/>
  <c r="L274" i="8"/>
  <c r="L346" i="8"/>
  <c r="L418" i="8"/>
  <c r="L490" i="8"/>
  <c r="L552" i="8"/>
  <c r="L613" i="8"/>
  <c r="L674" i="8"/>
  <c r="L735" i="8"/>
  <c r="L798" i="8"/>
  <c r="L859" i="8"/>
  <c r="L907" i="8"/>
  <c r="L950" i="8"/>
  <c r="L980" i="8"/>
  <c r="L59" i="8"/>
  <c r="L131" i="8"/>
  <c r="L203" i="8"/>
  <c r="L275" i="8"/>
  <c r="L347" i="8"/>
  <c r="L419" i="8"/>
  <c r="L491" i="8"/>
  <c r="L553" i="8"/>
  <c r="L614" i="8"/>
  <c r="L675" i="8"/>
  <c r="L738" i="8"/>
  <c r="L802" i="8"/>
  <c r="L861" i="8"/>
  <c r="L909" i="8"/>
  <c r="L954" i="8"/>
  <c r="L987" i="8"/>
  <c r="L73" i="8"/>
  <c r="L145" i="8"/>
  <c r="L217" i="8"/>
  <c r="L289" i="8"/>
  <c r="L361" i="8"/>
  <c r="L433" i="8"/>
  <c r="L505" i="8"/>
  <c r="L566" i="8"/>
  <c r="L627" i="8"/>
  <c r="L690" i="8"/>
  <c r="L754" i="8"/>
  <c r="L815" i="8"/>
  <c r="L871" i="8"/>
  <c r="L919" i="8"/>
  <c r="L955" i="8"/>
  <c r="L988" i="8"/>
  <c r="L74" i="8"/>
  <c r="L146" i="8"/>
  <c r="L218" i="8"/>
  <c r="L290" i="8"/>
  <c r="L362" i="8"/>
  <c r="L434" i="8"/>
  <c r="L506" i="8"/>
  <c r="L567" i="8"/>
  <c r="L630" i="8"/>
  <c r="L694" i="8"/>
  <c r="L755" i="8"/>
  <c r="L816" i="8"/>
  <c r="L873" i="8"/>
  <c r="L921" i="8"/>
  <c r="L962" i="8"/>
  <c r="L989" i="8"/>
  <c r="L10" i="8"/>
  <c r="L82" i="8"/>
  <c r="L154" i="8"/>
  <c r="L226" i="8"/>
  <c r="L298" i="8"/>
  <c r="L370" i="8"/>
  <c r="L442" i="8"/>
  <c r="L510" i="8"/>
  <c r="L574" i="8"/>
  <c r="L635" i="8"/>
  <c r="L696" i="8"/>
  <c r="L757" i="8"/>
  <c r="L818" i="8"/>
  <c r="L875" i="8"/>
  <c r="L923" i="8"/>
  <c r="L963" i="8"/>
  <c r="L991" i="8"/>
  <c r="L11" i="8"/>
  <c r="L83" i="8"/>
  <c r="L155" i="8"/>
  <c r="L227" i="8"/>
  <c r="L299" i="8"/>
  <c r="L371" i="8"/>
  <c r="L443" i="8"/>
  <c r="L514" i="8"/>
  <c r="L575" i="8"/>
  <c r="L636" i="8"/>
  <c r="L697" i="8"/>
  <c r="L758" i="8"/>
  <c r="L819" i="8"/>
  <c r="L876" i="8"/>
  <c r="L924" i="8"/>
  <c r="L964" i="8"/>
  <c r="L992" i="8"/>
  <c r="L26" i="8"/>
  <c r="L98" i="8"/>
  <c r="L170" i="8"/>
  <c r="L242" i="8"/>
  <c r="L314" i="8"/>
  <c r="L386" i="8"/>
  <c r="L458" i="8"/>
  <c r="L528" i="8"/>
  <c r="L589" i="8"/>
  <c r="L650" i="8"/>
  <c r="L711" i="8"/>
  <c r="L774" i="8"/>
  <c r="L838" i="8"/>
  <c r="L888" i="8"/>
  <c r="L936" i="8"/>
  <c r="L968" i="8"/>
  <c r="L1000" i="8"/>
  <c r="L241" i="8"/>
  <c r="L527" i="8"/>
  <c r="L771" i="8"/>
  <c r="L967" i="8"/>
  <c r="L250" i="8"/>
  <c r="L530" i="8"/>
  <c r="L779" i="8"/>
  <c r="L975" i="8"/>
  <c r="L395" i="8"/>
  <c r="L251" i="8"/>
  <c r="L531" i="8"/>
  <c r="L780" i="8"/>
  <c r="L976" i="8"/>
  <c r="L891" i="8"/>
  <c r="L25" i="8"/>
  <c r="L313" i="8"/>
  <c r="L588" i="8"/>
  <c r="L834" i="8"/>
  <c r="L999" i="8"/>
  <c r="L34" i="8"/>
  <c r="L322" i="8"/>
  <c r="L591" i="8"/>
  <c r="L840" i="8"/>
  <c r="L1001" i="8"/>
  <c r="L107" i="8"/>
  <c r="L35" i="8"/>
  <c r="L323" i="8"/>
  <c r="L594" i="8"/>
  <c r="L841" i="8"/>
  <c r="L1003" i="8"/>
  <c r="L97" i="8"/>
  <c r="L385" i="8"/>
  <c r="L649" i="8"/>
  <c r="L887" i="8"/>
  <c r="L106" i="8"/>
  <c r="L394" i="8"/>
  <c r="L654" i="8"/>
  <c r="L890" i="8"/>
  <c r="L169" i="8"/>
  <c r="L457" i="8"/>
  <c r="L710" i="8"/>
  <c r="L935" i="8"/>
  <c r="L178" i="8"/>
  <c r="L466" i="8"/>
  <c r="L718" i="8"/>
  <c r="L938" i="8"/>
  <c r="L179" i="8"/>
  <c r="L467" i="8"/>
  <c r="L719" i="8"/>
  <c r="L939" i="8"/>
  <c r="L658" i="8"/>
  <c r="G9" i="8"/>
  <c r="Y9" i="8"/>
  <c r="L9" i="8"/>
  <c r="E160" i="5"/>
  <c r="H162" i="8" s="1"/>
  <c r="E815" i="5"/>
  <c r="H817" i="8" s="1"/>
  <c r="E920" i="5"/>
  <c r="H922" i="8" s="1"/>
  <c r="E742" i="5"/>
  <c r="H744" i="8" s="1"/>
  <c r="E345" i="5"/>
  <c r="H347" i="8" s="1"/>
  <c r="E388" i="5"/>
  <c r="H390" i="8" s="1"/>
  <c r="E329" i="5"/>
  <c r="H331" i="8" s="1"/>
  <c r="G31" i="3" a="1"/>
  <c r="G31" i="3" s="1"/>
  <c r="I31" i="3" s="1"/>
  <c r="G67" i="8" l="1"/>
  <c r="G643" i="8"/>
  <c r="G407" i="8"/>
  <c r="G263" i="8"/>
  <c r="G107" i="8"/>
  <c r="G886" i="8"/>
  <c r="G694" i="8"/>
  <c r="G514" i="8"/>
  <c r="G310" i="8"/>
  <c r="G106" i="8"/>
  <c r="G873" i="8"/>
  <c r="G657" i="8"/>
  <c r="G429" i="8"/>
  <c r="G189" i="8"/>
  <c r="G920" i="8"/>
  <c r="G620" i="8"/>
  <c r="G128" i="8"/>
  <c r="G571" i="8"/>
  <c r="G479" i="8"/>
  <c r="G335" i="8"/>
  <c r="G191" i="8"/>
  <c r="G982" i="8"/>
  <c r="G802" i="8"/>
  <c r="G598" i="8"/>
  <c r="G406" i="8"/>
  <c r="G226" i="8"/>
  <c r="G981" i="8"/>
  <c r="G777" i="8"/>
  <c r="G549" i="8"/>
  <c r="G297" i="8"/>
  <c r="G69" i="8"/>
  <c r="G788" i="8"/>
  <c r="G416" i="8"/>
  <c r="G883" i="8"/>
  <c r="G247" i="8"/>
  <c r="G467" i="8"/>
  <c r="G323" i="8"/>
  <c r="G179" i="8"/>
  <c r="G970" i="8"/>
  <c r="G790" i="8"/>
  <c r="G586" i="8"/>
  <c r="G394" i="8"/>
  <c r="G214" i="8"/>
  <c r="G957" i="8"/>
  <c r="G765" i="8"/>
  <c r="G525" i="8"/>
  <c r="G285" i="8"/>
  <c r="G45" i="8"/>
  <c r="G776" i="8"/>
  <c r="G344" i="8"/>
  <c r="G763" i="8"/>
  <c r="G235" i="8"/>
  <c r="G261" i="8"/>
  <c r="G992" i="8"/>
  <c r="G764" i="8"/>
  <c r="G308" i="8"/>
  <c r="G751" i="8"/>
  <c r="G103" i="8"/>
  <c r="E237" i="5"/>
  <c r="E32" i="5"/>
  <c r="F32" i="5" s="1"/>
  <c r="E845" i="5"/>
  <c r="H847" i="8" s="1"/>
  <c r="E305" i="5"/>
  <c r="H307" i="8" s="1"/>
  <c r="E942" i="5"/>
  <c r="H944" i="8" s="1"/>
  <c r="E519" i="5"/>
  <c r="H521" i="8" s="1"/>
  <c r="E860" i="5"/>
  <c r="H862" i="8" s="1"/>
  <c r="E765" i="5"/>
  <c r="H767" i="8" s="1"/>
  <c r="E324" i="5"/>
  <c r="E143" i="5"/>
  <c r="E703" i="5"/>
  <c r="F703" i="5" s="1"/>
  <c r="E492" i="5"/>
  <c r="E277" i="5"/>
  <c r="F277" i="5" s="1"/>
  <c r="E992" i="5"/>
  <c r="Z994" i="8" s="1"/>
  <c r="E731" i="5"/>
  <c r="H733" i="8" s="1"/>
  <c r="E582" i="5"/>
  <c r="H584" i="8" s="1"/>
  <c r="E207" i="5"/>
  <c r="H209" i="8" s="1"/>
  <c r="E304" i="5"/>
  <c r="H306" i="8" s="1"/>
  <c r="E823" i="5"/>
  <c r="H825" i="8" s="1"/>
  <c r="E286" i="5"/>
  <c r="M288" i="8" s="1"/>
  <c r="E774" i="5"/>
  <c r="S776" i="8" s="1"/>
  <c r="E47" i="5"/>
  <c r="E635" i="5"/>
  <c r="E39" i="5"/>
  <c r="E542" i="5"/>
  <c r="H544" i="8" s="1"/>
  <c r="E403" i="5"/>
  <c r="E746" i="5"/>
  <c r="H748" i="8" s="1"/>
  <c r="E554" i="5"/>
  <c r="H556" i="8" s="1"/>
  <c r="E41" i="5"/>
  <c r="H43" i="8" s="1"/>
  <c r="E602" i="5"/>
  <c r="H604" i="8" s="1"/>
  <c r="E15" i="5"/>
  <c r="H17" i="8" s="1"/>
  <c r="E355" i="5"/>
  <c r="F355" i="5" s="1"/>
  <c r="E991" i="5"/>
  <c r="F991" i="5" s="1"/>
  <c r="E526" i="5"/>
  <c r="F526" i="5" s="1"/>
  <c r="E350" i="5"/>
  <c r="E332" i="5"/>
  <c r="E985" i="5"/>
  <c r="H987" i="8" s="1"/>
  <c r="E295" i="5"/>
  <c r="E794" i="5"/>
  <c r="H796" i="8" s="1"/>
  <c r="E65" i="5"/>
  <c r="H67" i="8" s="1"/>
  <c r="E680" i="5"/>
  <c r="H682" i="8" s="1"/>
  <c r="E57" i="5"/>
  <c r="H59" i="8" s="1"/>
  <c r="E572" i="5"/>
  <c r="H574" i="8" s="1"/>
  <c r="E557" i="5"/>
  <c r="H559" i="8" s="1"/>
  <c r="E939" i="5"/>
  <c r="AH941" i="8" s="1"/>
  <c r="E583" i="5"/>
  <c r="F583" i="5" s="1"/>
  <c r="E59" i="5"/>
  <c r="E656" i="5"/>
  <c r="F656" i="5" s="1"/>
  <c r="E33" i="5"/>
  <c r="H35" i="8" s="1"/>
  <c r="E383" i="5"/>
  <c r="M385" i="8" s="1"/>
  <c r="E105" i="5"/>
  <c r="H107" i="8" s="1"/>
  <c r="E546" i="5"/>
  <c r="H548" i="8" s="1"/>
  <c r="E624" i="5"/>
  <c r="H626" i="8" s="1"/>
  <c r="E367" i="5"/>
  <c r="H369" i="8" s="1"/>
  <c r="E604" i="5"/>
  <c r="H606" i="8" s="1"/>
  <c r="E351" i="5"/>
  <c r="AH353" i="8" s="1"/>
  <c r="E834" i="5"/>
  <c r="E83" i="5"/>
  <c r="E690" i="5"/>
  <c r="E75" i="5"/>
  <c r="E590" i="5"/>
  <c r="H592" i="8" s="1"/>
  <c r="E103" i="5"/>
  <c r="E119" i="5"/>
  <c r="H121" i="8" s="1"/>
  <c r="E620" i="5"/>
  <c r="H622" i="8" s="1"/>
  <c r="E77" i="5"/>
  <c r="H79" i="8" s="1"/>
  <c r="E720" i="5"/>
  <c r="H722" i="8" s="1"/>
  <c r="E51" i="5"/>
  <c r="H53" i="8" s="1"/>
  <c r="E412" i="5"/>
  <c r="AH414" i="8" s="1"/>
  <c r="E113" i="5"/>
  <c r="E622" i="5"/>
  <c r="Z624" i="8" s="1"/>
  <c r="E688" i="5"/>
  <c r="E470" i="5"/>
  <c r="E891" i="5"/>
  <c r="E360" i="5"/>
  <c r="E967" i="5"/>
  <c r="H969" i="8" s="1"/>
  <c r="E181" i="5"/>
  <c r="H183" i="8" s="1"/>
  <c r="E745" i="5"/>
  <c r="H747" i="8" s="1"/>
  <c r="E93" i="5"/>
  <c r="H95" i="8" s="1"/>
  <c r="E600" i="5"/>
  <c r="H602" i="8" s="1"/>
  <c r="E222" i="5"/>
  <c r="Z224" i="8" s="1"/>
  <c r="E128" i="5"/>
  <c r="AH130" i="8" s="1"/>
  <c r="E646" i="5"/>
  <c r="E95" i="5"/>
  <c r="F95" i="5" s="1"/>
  <c r="E729" i="5"/>
  <c r="E69" i="5"/>
  <c r="H71" i="8" s="1"/>
  <c r="E444" i="5"/>
  <c r="E121" i="5"/>
  <c r="H123" i="8" s="1"/>
  <c r="E639" i="5"/>
  <c r="H641" i="8" s="1"/>
  <c r="E707" i="5"/>
  <c r="F707" i="5" s="1"/>
  <c r="E480" i="5"/>
  <c r="H482" i="8" s="1"/>
  <c r="E101" i="5"/>
  <c r="H103" i="8" s="1"/>
  <c r="E397" i="5"/>
  <c r="H399" i="8" s="1"/>
  <c r="E995" i="5"/>
  <c r="F995" i="5" s="1"/>
  <c r="E200" i="5"/>
  <c r="F200" i="5" s="1"/>
  <c r="E814" i="5"/>
  <c r="E155" i="5"/>
  <c r="Z157" i="8" s="1"/>
  <c r="E619" i="5"/>
  <c r="H621" i="8" s="1"/>
  <c r="E252" i="5"/>
  <c r="E138" i="5"/>
  <c r="H140" i="8" s="1"/>
  <c r="E692" i="5"/>
  <c r="H694" i="8" s="1"/>
  <c r="E104" i="5"/>
  <c r="Z106" i="8" s="1"/>
  <c r="E739" i="5"/>
  <c r="H741" i="8" s="1"/>
  <c r="E87" i="5"/>
  <c r="H89" i="8" s="1"/>
  <c r="E476" i="5"/>
  <c r="S478" i="8" s="1"/>
  <c r="E150" i="5"/>
  <c r="S152" i="8" s="1"/>
  <c r="E9" i="5"/>
  <c r="E883" i="5"/>
  <c r="E634" i="5"/>
  <c r="E116" i="5"/>
  <c r="H118" i="8" s="1"/>
  <c r="E560" i="5"/>
  <c r="E141" i="5"/>
  <c r="H143" i="8" s="1"/>
  <c r="E379" i="5"/>
  <c r="H381" i="8" s="1"/>
  <c r="E895" i="5"/>
  <c r="H897" i="8" s="1"/>
  <c r="E210" i="5"/>
  <c r="H212" i="8" s="1"/>
  <c r="E709" i="5"/>
  <c r="H711" i="8" s="1"/>
  <c r="E316" i="5"/>
  <c r="Z318" i="8" s="1"/>
  <c r="E202" i="5"/>
  <c r="E806" i="5"/>
  <c r="Z808" i="8" s="1"/>
  <c r="E234" i="5"/>
  <c r="E789" i="5"/>
  <c r="E176" i="5"/>
  <c r="H178" i="8" s="1"/>
  <c r="E666" i="5"/>
  <c r="M668" i="8" s="1"/>
  <c r="E186" i="5"/>
  <c r="H188" i="8" s="1"/>
  <c r="E770" i="5"/>
  <c r="AH772" i="8" s="1"/>
  <c r="E27" i="5"/>
  <c r="S29" i="8" s="1"/>
  <c r="E975" i="5"/>
  <c r="H977" i="8" s="1"/>
  <c r="E660" i="5"/>
  <c r="H662" i="8" s="1"/>
  <c r="E125" i="5"/>
  <c r="AH127" i="8" s="1"/>
  <c r="E607" i="5"/>
  <c r="F607" i="5" s="1"/>
  <c r="E274" i="5"/>
  <c r="E389" i="5"/>
  <c r="E927" i="5"/>
  <c r="E278" i="5"/>
  <c r="H280" i="8" s="1"/>
  <c r="E825" i="5"/>
  <c r="E353" i="5"/>
  <c r="H355" i="8" s="1"/>
  <c r="E261" i="5"/>
  <c r="E837" i="5"/>
  <c r="AH839" i="8" s="1"/>
  <c r="E244" i="5"/>
  <c r="H246" i="8" s="1"/>
  <c r="E798" i="5"/>
  <c r="H800" i="8" s="1"/>
  <c r="E195" i="5"/>
  <c r="E676" i="5"/>
  <c r="M678" i="8" s="1"/>
  <c r="E263" i="5"/>
  <c r="F263" i="5" s="1"/>
  <c r="E45" i="5"/>
  <c r="E850" i="5"/>
  <c r="E679" i="5"/>
  <c r="H681" i="8" s="1"/>
  <c r="E144" i="5"/>
  <c r="S146" i="8" s="1"/>
  <c r="E643" i="5"/>
  <c r="H645" i="8" s="1"/>
  <c r="E614" i="5"/>
  <c r="F614" i="5" s="1"/>
  <c r="E418" i="5"/>
  <c r="Z420" i="8" s="1"/>
  <c r="E226" i="5"/>
  <c r="H228" i="8" s="1"/>
  <c r="E306" i="5"/>
  <c r="H308" i="8" s="1"/>
  <c r="E846" i="5"/>
  <c r="Z848" i="8" s="1"/>
  <c r="E399" i="5"/>
  <c r="M401" i="8" s="1"/>
  <c r="E271" i="5"/>
  <c r="AH273" i="8" s="1"/>
  <c r="E867" i="5"/>
  <c r="F867" i="5" s="1"/>
  <c r="E454" i="5"/>
  <c r="E858" i="5"/>
  <c r="H860" i="8" s="1"/>
  <c r="E254" i="5"/>
  <c r="E712" i="5"/>
  <c r="H714" i="8" s="1"/>
  <c r="E348" i="5"/>
  <c r="E63" i="5"/>
  <c r="M65" i="8" s="1"/>
  <c r="E134" i="5"/>
  <c r="H136" i="8" s="1"/>
  <c r="E698" i="5"/>
  <c r="H700" i="8" s="1"/>
  <c r="E154" i="5"/>
  <c r="E708" i="5"/>
  <c r="M710" i="8" s="1"/>
  <c r="E911" i="5"/>
  <c r="F911" i="5" s="1"/>
  <c r="E491" i="5"/>
  <c r="F491" i="5" s="1"/>
  <c r="E302" i="5"/>
  <c r="E325" i="5"/>
  <c r="H327" i="8" s="1"/>
  <c r="E949" i="5"/>
  <c r="E503" i="5"/>
  <c r="E363" i="5"/>
  <c r="E897" i="5"/>
  <c r="F897" i="5" s="1"/>
  <c r="E504" i="5"/>
  <c r="H506" i="8" s="1"/>
  <c r="E879" i="5"/>
  <c r="H881" i="8" s="1"/>
  <c r="E309" i="5"/>
  <c r="F309" i="5" s="1"/>
  <c r="E849" i="5"/>
  <c r="F849" i="5" s="1"/>
  <c r="E365" i="5"/>
  <c r="E198" i="5"/>
  <c r="E276" i="5"/>
  <c r="AH278" i="8" s="1"/>
  <c r="E802" i="5"/>
  <c r="H804" i="8" s="1"/>
  <c r="E190" i="5"/>
  <c r="E753" i="5"/>
  <c r="E29" i="5"/>
  <c r="E626" i="5"/>
  <c r="H628" i="8" s="1"/>
  <c r="E21" i="5"/>
  <c r="H23" i="8" s="1"/>
  <c r="E482" i="5"/>
  <c r="H484" i="8" s="1"/>
  <c r="E246" i="5"/>
  <c r="F246" i="5" s="1"/>
  <c r="E636" i="5"/>
  <c r="E391" i="5"/>
  <c r="E23" i="5"/>
  <c r="E574" i="5"/>
  <c r="S576" i="8" s="1"/>
  <c r="E971" i="5"/>
  <c r="H973" i="8" s="1"/>
  <c r="E338" i="5"/>
  <c r="E588" i="5"/>
  <c r="E173" i="5"/>
  <c r="E778" i="5"/>
  <c r="M780" i="8" s="1"/>
  <c r="E790" i="5"/>
  <c r="H792" i="8" s="1"/>
  <c r="E256" i="5"/>
  <c r="H258" i="8" s="1"/>
  <c r="E577" i="5"/>
  <c r="Z579" i="8" s="1"/>
  <c r="E586" i="5"/>
  <c r="S588" i="8" s="1"/>
  <c r="E589" i="5"/>
  <c r="E26" i="5"/>
  <c r="E835" i="5"/>
  <c r="E162" i="5"/>
  <c r="H164" i="8" s="1"/>
  <c r="E327" i="5"/>
  <c r="E126" i="5"/>
  <c r="E606" i="5"/>
  <c r="S608" i="8" s="1"/>
  <c r="E373" i="5"/>
  <c r="E320" i="5"/>
  <c r="H322" i="8" s="1"/>
  <c r="E169" i="5"/>
  <c r="H171" i="8" s="1"/>
  <c r="E206" i="5"/>
  <c r="M208" i="8" s="1"/>
  <c r="E591" i="5"/>
  <c r="S593" i="8" s="1"/>
  <c r="E948" i="5"/>
  <c r="E199" i="5"/>
  <c r="AH201" i="8" s="1"/>
  <c r="E907" i="5"/>
  <c r="E584" i="5"/>
  <c r="H586" i="8" s="1"/>
  <c r="E682" i="5"/>
  <c r="E880" i="5"/>
  <c r="E555" i="5"/>
  <c r="AH557" i="8" s="1"/>
  <c r="E970" i="5"/>
  <c r="Z972" i="8" s="1"/>
  <c r="E99" i="5"/>
  <c r="H101" i="8" s="1"/>
  <c r="E400" i="5"/>
  <c r="H402" i="8" s="1"/>
  <c r="E250" i="5"/>
  <c r="F250" i="5" s="1"/>
  <c r="E722" i="5"/>
  <c r="AH724" i="8" s="1"/>
  <c r="E235" i="5"/>
  <c r="E807" i="5"/>
  <c r="E157" i="5"/>
  <c r="S159" i="8" s="1"/>
  <c r="E990" i="5"/>
  <c r="E541" i="5"/>
  <c r="E411" i="5"/>
  <c r="E506" i="5"/>
  <c r="AH508" i="8" s="1"/>
  <c r="E1005" i="5"/>
  <c r="H1007" i="8" s="1"/>
  <c r="E654" i="5"/>
  <c r="H656" i="8" s="1"/>
  <c r="E187" i="5"/>
  <c r="AH189" i="8" s="1"/>
  <c r="E100" i="5"/>
  <c r="F100" i="5" s="1"/>
  <c r="E856" i="5"/>
  <c r="E123" i="5"/>
  <c r="AH125" i="8" s="1"/>
  <c r="E844" i="5"/>
  <c r="E944" i="5"/>
  <c r="E593" i="5"/>
  <c r="E197" i="5"/>
  <c r="E358" i="5"/>
  <c r="E175" i="5"/>
  <c r="M177" i="8" s="1"/>
  <c r="E803" i="5"/>
  <c r="H805" i="8" s="1"/>
  <c r="E127" i="5"/>
  <c r="H129" i="8" s="1"/>
  <c r="E868" i="5"/>
  <c r="E260" i="5"/>
  <c r="E724" i="5"/>
  <c r="F724" i="5" s="1"/>
  <c r="E344" i="5"/>
  <c r="F344" i="5" s="1"/>
  <c r="E951" i="5"/>
  <c r="S953" i="8" s="1"/>
  <c r="E799" i="5"/>
  <c r="E284" i="5"/>
  <c r="E596" i="5"/>
  <c r="E830" i="5"/>
  <c r="E319" i="5"/>
  <c r="M321" i="8" s="1"/>
  <c r="E86" i="5"/>
  <c r="H88" i="8" s="1"/>
  <c r="E224" i="5"/>
  <c r="H226" i="8" s="1"/>
  <c r="E661" i="5"/>
  <c r="E213" i="5"/>
  <c r="F213" i="5" s="1"/>
  <c r="E562" i="5"/>
  <c r="E20" i="5"/>
  <c r="F20" i="5" s="1"/>
  <c r="E289" i="5"/>
  <c r="E887" i="5"/>
  <c r="E247" i="5"/>
  <c r="E494" i="5"/>
  <c r="Z496" i="8" s="1"/>
  <c r="E721" i="5"/>
  <c r="E142" i="5"/>
  <c r="S144" i="8" s="1"/>
  <c r="E253" i="5"/>
  <c r="S255" i="8" s="1"/>
  <c r="E817" i="5"/>
  <c r="H819" i="8" s="1"/>
  <c r="E194" i="5"/>
  <c r="M196" i="8" s="1"/>
  <c r="E502" i="5"/>
  <c r="Z504" i="8" s="1"/>
  <c r="E147" i="5"/>
  <c r="F147" i="5" s="1"/>
  <c r="E511" i="5"/>
  <c r="E84" i="5"/>
  <c r="F84" i="5" s="1"/>
  <c r="E435" i="5"/>
  <c r="E204" i="5"/>
  <c r="E784" i="5"/>
  <c r="E269" i="5"/>
  <c r="E772" i="5"/>
  <c r="M774" i="8" s="1"/>
  <c r="E273" i="5"/>
  <c r="E228" i="5"/>
  <c r="H230" i="8" s="1"/>
  <c r="E684" i="5"/>
  <c r="M686" i="8" s="1"/>
  <c r="E628" i="5"/>
  <c r="F628" i="5" s="1"/>
  <c r="E609" i="5"/>
  <c r="E48" i="5"/>
  <c r="E341" i="5"/>
  <c r="E265" i="5"/>
  <c r="E872" i="5"/>
  <c r="E510" i="5"/>
  <c r="E757" i="5"/>
  <c r="E938" i="5"/>
  <c r="E24" i="5"/>
  <c r="H26" i="8" s="1"/>
  <c r="E613" i="5"/>
  <c r="H615" i="8" s="1"/>
  <c r="E450" i="5"/>
  <c r="E151" i="5"/>
  <c r="Z153" i="8" s="1"/>
  <c r="E405" i="5"/>
  <c r="AH407" i="8" s="1"/>
  <c r="E805" i="5"/>
  <c r="F805" i="5" s="1"/>
  <c r="E249" i="5"/>
  <c r="F249" i="5" s="1"/>
  <c r="E1003" i="5"/>
  <c r="E759" i="5"/>
  <c r="H761" i="8" s="1"/>
  <c r="E627" i="5"/>
  <c r="E440" i="5"/>
  <c r="E136" i="5"/>
  <c r="E727" i="5"/>
  <c r="AH729" i="8" s="1"/>
  <c r="E736" i="5"/>
  <c r="H738" i="8" s="1"/>
  <c r="E505" i="5"/>
  <c r="AH507" i="8" s="1"/>
  <c r="E130" i="5"/>
  <c r="AH132" i="8" s="1"/>
  <c r="E463" i="5"/>
  <c r="M465" i="8" s="1"/>
  <c r="E717" i="5"/>
  <c r="F717" i="5" s="1"/>
  <c r="E215" i="5"/>
  <c r="E793" i="5"/>
  <c r="E683" i="5"/>
  <c r="H685" i="8" s="1"/>
  <c r="E829" i="5"/>
  <c r="E855" i="5"/>
  <c r="E291" i="5"/>
  <c r="Z293" i="8" s="1"/>
  <c r="E430" i="5"/>
  <c r="S432" i="8" s="1"/>
  <c r="E158" i="5"/>
  <c r="H160" i="8" s="1"/>
  <c r="E668" i="5"/>
  <c r="E76" i="5"/>
  <c r="S78" i="8" s="1"/>
  <c r="E687" i="5"/>
  <c r="Z689" i="8" s="1"/>
  <c r="E177" i="5"/>
  <c r="E129" i="5"/>
  <c r="E174" i="5"/>
  <c r="E857" i="5"/>
  <c r="H859" i="8" s="1"/>
  <c r="E60" i="5"/>
  <c r="E986" i="5"/>
  <c r="E267" i="5"/>
  <c r="E67" i="5"/>
  <c r="F67" i="5" s="1"/>
  <c r="E108" i="5"/>
  <c r="H110" i="8" s="1"/>
  <c r="E293" i="5"/>
  <c r="F293" i="5" s="1"/>
  <c r="E42" i="5"/>
  <c r="E615" i="5"/>
  <c r="F615" i="5" s="1"/>
  <c r="E1001" i="5"/>
  <c r="E149" i="5"/>
  <c r="E947" i="5"/>
  <c r="E408" i="5"/>
  <c r="H410" i="8" s="1"/>
  <c r="E487" i="5"/>
  <c r="E464" i="5"/>
  <c r="E843" i="5"/>
  <c r="E315" i="5"/>
  <c r="AH317" i="8" s="1"/>
  <c r="E163" i="5"/>
  <c r="H165" i="8" s="1"/>
  <c r="E959" i="5"/>
  <c r="F959" i="5" s="1"/>
  <c r="E328" i="5"/>
  <c r="Z330" i="8" s="1"/>
  <c r="E658" i="5"/>
  <c r="F658" i="5" s="1"/>
  <c r="E311" i="5"/>
  <c r="E678" i="5"/>
  <c r="E184" i="5"/>
  <c r="E573" i="5"/>
  <c r="H575" i="8" s="1"/>
  <c r="E608" i="5"/>
  <c r="E233" i="5"/>
  <c r="E552" i="5"/>
  <c r="M554" i="8" s="1"/>
  <c r="E326" i="5"/>
  <c r="F326" i="5" s="1"/>
  <c r="E749" i="5"/>
  <c r="H751" i="8" s="1"/>
  <c r="E760" i="5"/>
  <c r="F760" i="5" s="1"/>
  <c r="E853" i="5"/>
  <c r="F853" i="5" s="1"/>
  <c r="E966" i="5"/>
  <c r="E989" i="5"/>
  <c r="E22" i="5"/>
  <c r="AH24" i="8" s="1"/>
  <c r="E664" i="5"/>
  <c r="Z666" i="8" s="1"/>
  <c r="E98" i="5"/>
  <c r="H100" i="8" s="1"/>
  <c r="E536" i="5"/>
  <c r="E420" i="5"/>
  <c r="E700" i="5"/>
  <c r="E973" i="5"/>
  <c r="AH975" i="8" s="1"/>
  <c r="E871" i="5"/>
  <c r="H873" i="8" s="1"/>
  <c r="E310" i="5"/>
  <c r="F310" i="5" s="1"/>
  <c r="E783" i="5"/>
  <c r="M785" i="8" s="1"/>
  <c r="E375" i="5"/>
  <c r="M377" i="8" s="1"/>
  <c r="E211" i="5"/>
  <c r="F211" i="5" s="1"/>
  <c r="E517" i="5"/>
  <c r="E618" i="5"/>
  <c r="E909" i="5"/>
  <c r="H911" i="8" s="1"/>
  <c r="E553" i="5"/>
  <c r="E898" i="5"/>
  <c r="E630" i="5"/>
  <c r="F630" i="5" s="1"/>
  <c r="E904" i="5"/>
  <c r="H906" i="8" s="1"/>
  <c r="E239" i="5"/>
  <c r="H241" i="8" s="1"/>
  <c r="E733" i="5"/>
  <c r="E896" i="5"/>
  <c r="E994" i="5"/>
  <c r="E500" i="5"/>
  <c r="E528" i="5"/>
  <c r="F528" i="5" s="1"/>
  <c r="E889" i="5"/>
  <c r="F889" i="5" s="1"/>
  <c r="E677" i="5"/>
  <c r="H679" i="8" s="1"/>
  <c r="E540" i="5"/>
  <c r="E838" i="5"/>
  <c r="E822" i="5"/>
  <c r="E828" i="5"/>
  <c r="Z830" i="8" s="1"/>
  <c r="E180" i="5"/>
  <c r="H182" i="8" s="1"/>
  <c r="E449" i="5"/>
  <c r="Z451" i="8" s="1"/>
  <c r="E821" i="5"/>
  <c r="E670" i="5"/>
  <c r="F670" i="5" s="1"/>
  <c r="E945" i="5"/>
  <c r="M947" i="8" s="1"/>
  <c r="E748" i="5"/>
  <c r="E987" i="5"/>
  <c r="E551" i="5"/>
  <c r="H553" i="8" s="1"/>
  <c r="E667" i="5"/>
  <c r="F667" i="5" s="1"/>
  <c r="E359" i="5"/>
  <c r="E107" i="5"/>
  <c r="AH109" i="8" s="1"/>
  <c r="E705" i="5"/>
  <c r="Z707" i="8" s="1"/>
  <c r="E489" i="5"/>
  <c r="H491" i="8" s="1"/>
  <c r="E384" i="5"/>
  <c r="F384" i="5" s="1"/>
  <c r="E611" i="5"/>
  <c r="M613" i="8" s="1"/>
  <c r="E616" i="5"/>
  <c r="E421" i="5"/>
  <c r="E111" i="5"/>
  <c r="E623" i="5"/>
  <c r="S625" i="8" s="1"/>
  <c r="E120" i="5"/>
  <c r="H122" i="8" s="1"/>
  <c r="E428" i="5"/>
  <c r="E288" i="5"/>
  <c r="E565" i="5"/>
  <c r="M567" i="8" s="1"/>
  <c r="E17" i="5"/>
  <c r="Z19" i="8" s="1"/>
  <c r="E321" i="5"/>
  <c r="H323" i="8" s="1"/>
  <c r="E714" i="5"/>
  <c r="AH716" i="8" s="1"/>
  <c r="E983" i="5"/>
  <c r="F983" i="5" s="1"/>
  <c r="E272" i="5"/>
  <c r="Z274" i="8" s="1"/>
  <c r="E74" i="5"/>
  <c r="F74" i="5" s="1"/>
  <c r="E563" i="5"/>
  <c r="E392" i="5"/>
  <c r="AH394" i="8" s="1"/>
  <c r="E901" i="5"/>
  <c r="H903" i="8" s="1"/>
  <c r="E756" i="5"/>
  <c r="E669" i="5"/>
  <c r="E303" i="5"/>
  <c r="E730" i="5"/>
  <c r="Z732" i="8" s="1"/>
  <c r="E66" i="5"/>
  <c r="H68" i="8" s="1"/>
  <c r="E925" i="5"/>
  <c r="AH927" i="8" s="1"/>
  <c r="E30" i="5"/>
  <c r="Z32" i="8" s="1"/>
  <c r="E410" i="5"/>
  <c r="E317" i="5"/>
  <c r="M319" i="8" s="1"/>
  <c r="E644" i="5"/>
  <c r="F644" i="5" s="1"/>
  <c r="E135" i="5"/>
  <c r="E912" i="5"/>
  <c r="H914" i="8" s="1"/>
  <c r="E960" i="5"/>
  <c r="E752" i="5"/>
  <c r="E471" i="5"/>
  <c r="E16" i="5"/>
  <c r="AH18" i="8" s="1"/>
  <c r="E97" i="5"/>
  <c r="H99" i="8" s="1"/>
  <c r="E443" i="5"/>
  <c r="E94" i="5"/>
  <c r="AH96" i="8" s="1"/>
  <c r="E780" i="5"/>
  <c r="E417" i="5"/>
  <c r="S419" i="8" s="1"/>
  <c r="E576" i="5"/>
  <c r="F576" i="5" s="1"/>
  <c r="E458" i="5"/>
  <c r="E394" i="5"/>
  <c r="H396" i="8" s="1"/>
  <c r="E977" i="5"/>
  <c r="E566" i="5"/>
  <c r="E755" i="5"/>
  <c r="E543" i="5"/>
  <c r="AH545" i="8" s="1"/>
  <c r="E414" i="5"/>
  <c r="H416" i="8" s="1"/>
  <c r="E297" i="5"/>
  <c r="Z299" i="8" s="1"/>
  <c r="E988" i="5"/>
  <c r="E159" i="5"/>
  <c r="E377" i="5"/>
  <c r="Z379" i="8" s="1"/>
  <c r="E575" i="5"/>
  <c r="E455" i="5"/>
  <c r="Z457" i="8" s="1"/>
  <c r="E568" i="5"/>
  <c r="H570" i="8" s="1"/>
  <c r="E12" i="5"/>
  <c r="AH14" i="8" s="1"/>
  <c r="E10" i="5"/>
  <c r="E950" i="5"/>
  <c r="S952" i="8" s="1"/>
  <c r="E544" i="5"/>
  <c r="AH546" i="8" s="1"/>
  <c r="E819" i="5"/>
  <c r="H821" i="8" s="1"/>
  <c r="E296" i="5"/>
  <c r="F296" i="5" s="1"/>
  <c r="E804" i="5"/>
  <c r="F804" i="5" s="1"/>
  <c r="E873" i="5"/>
  <c r="E413" i="5"/>
  <c r="E220" i="5"/>
  <c r="E972" i="5"/>
  <c r="M974" i="8" s="1"/>
  <c r="E533" i="5"/>
  <c r="H535" i="8" s="1"/>
  <c r="E330" i="5"/>
  <c r="F330" i="5" s="1"/>
  <c r="E457" i="5"/>
  <c r="E520" i="5"/>
  <c r="F520" i="5" s="1"/>
  <c r="E532" i="5"/>
  <c r="E637" i="5"/>
  <c r="H639" i="8" s="1"/>
  <c r="E43" i="5"/>
  <c r="S45" i="8" s="1"/>
  <c r="E787" i="5"/>
  <c r="Z789" i="8" s="1"/>
  <c r="E818" i="5"/>
  <c r="E569" i="5"/>
  <c r="E716" i="5"/>
  <c r="AH718" i="8" s="1"/>
  <c r="E523" i="5"/>
  <c r="E931" i="5"/>
  <c r="H933" i="8" s="1"/>
  <c r="E35" i="5"/>
  <c r="F35" i="5" s="1"/>
  <c r="E340" i="5"/>
  <c r="E723" i="5"/>
  <c r="M725" i="8" s="1"/>
  <c r="E662" i="5"/>
  <c r="AH664" i="8" s="1"/>
  <c r="E999" i="5"/>
  <c r="H1001" i="8" s="1"/>
  <c r="E218" i="5"/>
  <c r="AH220" i="8" s="1"/>
  <c r="E812" i="5"/>
  <c r="M814" i="8" s="1"/>
  <c r="E886" i="5"/>
  <c r="E255" i="5"/>
  <c r="E203" i="5"/>
  <c r="E514" i="5"/>
  <c r="E8" i="5"/>
  <c r="H10" i="8" s="1"/>
  <c r="E170" i="5"/>
  <c r="E915" i="5"/>
  <c r="E693" i="5"/>
  <c r="AH695" i="8" s="1"/>
  <c r="E854" i="5"/>
  <c r="E44" i="5"/>
  <c r="H46" i="8" s="1"/>
  <c r="E336" i="5"/>
  <c r="S338" i="8" s="1"/>
  <c r="E610" i="5"/>
  <c r="E642" i="5"/>
  <c r="E407" i="5"/>
  <c r="E672" i="5"/>
  <c r="E570" i="5"/>
  <c r="E378" i="5"/>
  <c r="H380" i="8" s="1"/>
  <c r="E914" i="5"/>
  <c r="E25" i="5"/>
  <c r="E238" i="5"/>
  <c r="F238" i="5" s="1"/>
  <c r="E657" i="5"/>
  <c r="F657" i="5" s="1"/>
  <c r="E146" i="5"/>
  <c r="H148" i="8" s="1"/>
  <c r="E91" i="5"/>
  <c r="F91" i="5" s="1"/>
  <c r="E462" i="5"/>
  <c r="E268" i="5"/>
  <c r="Z270" i="8" s="1"/>
  <c r="E875" i="5"/>
  <c r="F875" i="5" s="1"/>
  <c r="E882" i="5"/>
  <c r="E651" i="5"/>
  <c r="E599" i="5"/>
  <c r="H601" i="8" s="1"/>
  <c r="E398" i="5"/>
  <c r="E36" i="5"/>
  <c r="E28" i="5"/>
  <c r="M30" i="8" s="1"/>
  <c r="E831" i="5"/>
  <c r="Z833" i="8" s="1"/>
  <c r="E73" i="5"/>
  <c r="H75" i="8" s="1"/>
  <c r="E217" i="5"/>
  <c r="E744" i="5"/>
  <c r="F744" i="5" s="1"/>
  <c r="E357" i="5"/>
  <c r="Z359" i="8" s="1"/>
  <c r="E219" i="5"/>
  <c r="E735" i="5"/>
  <c r="E786" i="5"/>
  <c r="E859" i="5"/>
  <c r="H861" i="8" s="1"/>
  <c r="E446" i="5"/>
  <c r="F446" i="5" s="1"/>
  <c r="E559" i="5"/>
  <c r="E426" i="5"/>
  <c r="H428" i="8" s="1"/>
  <c r="E655" i="5"/>
  <c r="Z657" i="8" s="1"/>
  <c r="E935" i="5"/>
  <c r="H937" i="8" s="1"/>
  <c r="E227" i="5"/>
  <c r="AH229" i="8" s="1"/>
  <c r="E979" i="5"/>
  <c r="AH981" i="8" s="1"/>
  <c r="E796" i="5"/>
  <c r="AH798" i="8" s="1"/>
  <c r="E406" i="5"/>
  <c r="E431" i="5"/>
  <c r="E779" i="5"/>
  <c r="AH781" i="8" s="1"/>
  <c r="E212" i="5"/>
  <c r="H214" i="8" s="1"/>
  <c r="E453" i="5"/>
  <c r="M455" i="8" s="1"/>
  <c r="E781" i="5"/>
  <c r="E481" i="5"/>
  <c r="H483" i="8" s="1"/>
  <c r="E527" i="5"/>
  <c r="Z529" i="8" s="1"/>
  <c r="E930" i="5"/>
  <c r="H932" i="8" s="1"/>
  <c r="E266" i="5"/>
  <c r="M268" i="8" s="1"/>
  <c r="E7" i="5"/>
  <c r="M9" i="8" s="1"/>
  <c r="E166" i="5"/>
  <c r="E981" i="5"/>
  <c r="M983" i="8" s="1"/>
  <c r="E53" i="5"/>
  <c r="Z55" i="8" s="1"/>
  <c r="E366" i="5"/>
  <c r="E732" i="5"/>
  <c r="H734" i="8" s="1"/>
  <c r="E92" i="5"/>
  <c r="E549" i="5"/>
  <c r="E906" i="5"/>
  <c r="H908" i="8" s="1"/>
  <c r="E62" i="5"/>
  <c r="M64" i="8" s="1"/>
  <c r="E580" i="5"/>
  <c r="H582" i="8" s="1"/>
  <c r="E758" i="5"/>
  <c r="S760" i="8" s="1"/>
  <c r="E495" i="5"/>
  <c r="F495" i="5" s="1"/>
  <c r="E958" i="5"/>
  <c r="AH960" i="8" s="1"/>
  <c r="E612" i="5"/>
  <c r="AH614" i="8" s="1"/>
  <c r="E318" i="5"/>
  <c r="Z320" i="8" s="1"/>
  <c r="E957" i="5"/>
  <c r="E521" i="5"/>
  <c r="H523" i="8" s="1"/>
  <c r="E903" i="5"/>
  <c r="E699" i="5"/>
  <c r="E754" i="5"/>
  <c r="H756" i="8" s="1"/>
  <c r="E281" i="5"/>
  <c r="Z283" i="8" s="1"/>
  <c r="E826" i="5"/>
  <c r="H828" i="8" s="1"/>
  <c r="E710" i="5"/>
  <c r="AH712" i="8" s="1"/>
  <c r="E808" i="5"/>
  <c r="F808" i="5" s="1"/>
  <c r="E445" i="5"/>
  <c r="E300" i="5"/>
  <c r="E479" i="5"/>
  <c r="E946" i="5"/>
  <c r="E72" i="5"/>
  <c r="H74" i="8" s="1"/>
  <c r="E876" i="5"/>
  <c r="E764" i="5"/>
  <c r="E19" i="5"/>
  <c r="E369" i="5"/>
  <c r="Z371" i="8" s="1"/>
  <c r="E139" i="5"/>
  <c r="H141" i="8" s="1"/>
  <c r="E382" i="5"/>
  <c r="M384" i="8" s="1"/>
  <c r="E766" i="5"/>
  <c r="F766" i="5" s="1"/>
  <c r="E376" i="5"/>
  <c r="Z378" i="8" s="1"/>
  <c r="E459" i="5"/>
  <c r="E264" i="5"/>
  <c r="E962" i="5"/>
  <c r="E605" i="5"/>
  <c r="H607" i="8" s="1"/>
  <c r="E725" i="5"/>
  <c r="E425" i="5"/>
  <c r="E629" i="5"/>
  <c r="E545" i="5"/>
  <c r="Z547" i="8" s="1"/>
  <c r="E251" i="5"/>
  <c r="H253" i="8" s="1"/>
  <c r="E978" i="5"/>
  <c r="F978" i="5" s="1"/>
  <c r="E718" i="5"/>
  <c r="E650" i="5"/>
  <c r="AH652" i="8" s="1"/>
  <c r="E496" i="5"/>
  <c r="S498" i="8" s="1"/>
  <c r="E242" i="5"/>
  <c r="E499" i="5"/>
  <c r="E924" i="5"/>
  <c r="H926" i="8" s="1"/>
  <c r="E535" i="5"/>
  <c r="E719" i="5"/>
  <c r="E164" i="5"/>
  <c r="E477" i="5"/>
  <c r="AH479" i="8" s="1"/>
  <c r="E640" i="5"/>
  <c r="H642" i="8" s="1"/>
  <c r="E864" i="5"/>
  <c r="Z866" i="8" s="1"/>
  <c r="E299" i="5"/>
  <c r="E874" i="5"/>
  <c r="Z876" i="8" s="1"/>
  <c r="E118" i="5"/>
  <c r="E370" i="5"/>
  <c r="M372" i="8" s="1"/>
  <c r="E625" i="5"/>
  <c r="E771" i="5"/>
  <c r="H773" i="8" s="1"/>
  <c r="E334" i="5"/>
  <c r="E689" i="5"/>
  <c r="E900" i="5"/>
  <c r="E11" i="5"/>
  <c r="E371" i="5"/>
  <c r="H373" i="8" s="1"/>
  <c r="E168" i="5"/>
  <c r="Z170" i="8" s="1"/>
  <c r="E71" i="5"/>
  <c r="E395" i="5"/>
  <c r="E751" i="5"/>
  <c r="E387" i="5"/>
  <c r="E380" i="5"/>
  <c r="AH382" i="8" s="1"/>
  <c r="E797" i="5"/>
  <c r="H799" i="8" s="1"/>
  <c r="E686" i="5"/>
  <c r="E282" i="5"/>
  <c r="E50" i="5"/>
  <c r="H52" i="8" s="1"/>
  <c r="E782" i="5"/>
  <c r="E877" i="5"/>
  <c r="H879" i="8" s="1"/>
  <c r="E14" i="5"/>
  <c r="E196" i="5"/>
  <c r="E54" i="5"/>
  <c r="E280" i="5"/>
  <c r="E18" i="5"/>
  <c r="E258" i="5"/>
  <c r="E314" i="5"/>
  <c r="E161" i="5"/>
  <c r="E581" i="5"/>
  <c r="E997" i="5"/>
  <c r="H999" i="8" s="1"/>
  <c r="E663" i="5"/>
  <c r="Z665" i="8" s="1"/>
  <c r="E31" i="5"/>
  <c r="H33" i="8" s="1"/>
  <c r="E673" i="5"/>
  <c r="Z675" i="8" s="1"/>
  <c r="E402" i="5"/>
  <c r="F402" i="5" s="1"/>
  <c r="E617" i="5"/>
  <c r="E916" i="5"/>
  <c r="E694" i="5"/>
  <c r="S696" i="8" s="1"/>
  <c r="E621" i="5"/>
  <c r="E936" i="5"/>
  <c r="E285" i="5"/>
  <c r="E534" i="5"/>
  <c r="E182" i="5"/>
  <c r="E675" i="5"/>
  <c r="AH677" i="8" s="1"/>
  <c r="E279" i="5"/>
  <c r="H281" i="8" s="1"/>
  <c r="E385" i="5"/>
  <c r="F385" i="5" s="1"/>
  <c r="E167" i="5"/>
  <c r="Z169" i="8" s="1"/>
  <c r="E433" i="5"/>
  <c r="E952" i="5"/>
  <c r="E715" i="5"/>
  <c r="H717" i="8" s="1"/>
  <c r="E323" i="5"/>
  <c r="Z325" i="8" s="1"/>
  <c r="E451" i="5"/>
  <c r="H453" i="8" s="1"/>
  <c r="E934" i="5"/>
  <c r="E145" i="5"/>
  <c r="E767" i="5"/>
  <c r="H769" i="8" s="1"/>
  <c r="E516" i="5"/>
  <c r="AH518" i="8" s="1"/>
  <c r="E738" i="5"/>
  <c r="H740" i="8" s="1"/>
  <c r="E70" i="5"/>
  <c r="M72" i="8" s="1"/>
  <c r="E910" i="5"/>
  <c r="E339" i="5"/>
  <c r="E921" i="5"/>
  <c r="E342" i="5"/>
  <c r="E645" i="5"/>
  <c r="E548" i="5"/>
  <c r="H550" i="8" s="1"/>
  <c r="E191" i="5"/>
  <c r="E436" i="5"/>
  <c r="E743" i="5"/>
  <c r="E148" i="5"/>
  <c r="S150" i="8" s="1"/>
  <c r="E791" i="5"/>
  <c r="H793" i="8" s="1"/>
  <c r="E866" i="5"/>
  <c r="S868" i="8" s="1"/>
  <c r="E96" i="5"/>
  <c r="E364" i="5"/>
  <c r="E964" i="5"/>
  <c r="E761" i="5"/>
  <c r="H763" i="8" s="1"/>
  <c r="E982" i="5"/>
  <c r="E156" i="5"/>
  <c r="H158" i="8" s="1"/>
  <c r="E259" i="5"/>
  <c r="E702" i="5"/>
  <c r="H704" i="8" s="1"/>
  <c r="E434" i="5"/>
  <c r="H436" i="8" s="1"/>
  <c r="E89" i="5"/>
  <c r="E488" i="5"/>
  <c r="H490" i="8" s="1"/>
  <c r="E861" i="5"/>
  <c r="AH863" i="8" s="1"/>
  <c r="E706" i="5"/>
  <c r="Z708" i="8" s="1"/>
  <c r="E223" i="5"/>
  <c r="E696" i="5"/>
  <c r="F696" i="5" s="1"/>
  <c r="E68" i="5"/>
  <c r="E58" i="5"/>
  <c r="E270" i="5"/>
  <c r="H272" i="8" s="1"/>
  <c r="E205" i="5"/>
  <c r="E513" i="5"/>
  <c r="E110" i="5"/>
  <c r="H112" i="8" s="1"/>
  <c r="E597" i="5"/>
  <c r="E741" i="5"/>
  <c r="H743" i="8" s="1"/>
  <c r="E133" i="5"/>
  <c r="AH135" i="8" s="1"/>
  <c r="E474" i="5"/>
  <c r="F474" i="5" s="1"/>
  <c r="E847" i="5"/>
  <c r="E80" i="5"/>
  <c r="E649" i="5"/>
  <c r="E432" i="5"/>
  <c r="F432" i="5" s="1"/>
  <c r="E448" i="5"/>
  <c r="H450" i="8" s="1"/>
  <c r="E257" i="5"/>
  <c r="E954" i="5"/>
  <c r="E937" i="5"/>
  <c r="H939" i="8" s="1"/>
  <c r="E298" i="5"/>
  <c r="H300" i="8" s="1"/>
  <c r="E248" i="5"/>
  <c r="H250" i="8" s="1"/>
  <c r="E592" i="5"/>
  <c r="E842" i="5"/>
  <c r="Z844" i="8" s="1"/>
  <c r="E469" i="5"/>
  <c r="E501" i="5"/>
  <c r="E172" i="5"/>
  <c r="E996" i="5"/>
  <c r="S998" i="8" s="1"/>
  <c r="E848" i="5"/>
  <c r="H850" i="8" s="1"/>
  <c r="E585" i="5"/>
  <c r="AH587" i="8" s="1"/>
  <c r="E865" i="5"/>
  <c r="E140" i="5"/>
  <c r="H142" i="8" s="1"/>
  <c r="E79" i="5"/>
  <c r="H81" i="8" s="1"/>
  <c r="E354" i="5"/>
  <c r="H356" i="8" s="1"/>
  <c r="E763" i="5"/>
  <c r="E88" i="5"/>
  <c r="E961" i="5"/>
  <c r="E346" i="5"/>
  <c r="E840" i="5"/>
  <c r="H842" i="8" s="1"/>
  <c r="E928" i="5"/>
  <c r="Z930" i="8" s="1"/>
  <c r="E953" i="5"/>
  <c r="E423" i="5"/>
  <c r="E529" i="5"/>
  <c r="E1006" i="5"/>
  <c r="E241" i="5"/>
  <c r="E115" i="5"/>
  <c r="H117" i="8" s="1"/>
  <c r="E681" i="5"/>
  <c r="M683" i="8" s="1"/>
  <c r="E769" i="5"/>
  <c r="E550" i="5"/>
  <c r="E824" i="5"/>
  <c r="E800" i="5"/>
  <c r="E232" i="5"/>
  <c r="E926" i="5"/>
  <c r="H928" i="8" s="1"/>
  <c r="E82" i="5"/>
  <c r="E671" i="5"/>
  <c r="E466" i="5"/>
  <c r="H468" i="8" s="1"/>
  <c r="E969" i="5"/>
  <c r="F969" i="5" s="1"/>
  <c r="E801" i="5"/>
  <c r="H803" i="8" s="1"/>
  <c r="E836" i="5"/>
  <c r="F836" i="5" s="1"/>
  <c r="E427" i="5"/>
  <c r="E404" i="5"/>
  <c r="F404" i="5" s="1"/>
  <c r="E792" i="5"/>
  <c r="F792" i="5" s="1"/>
  <c r="E81" i="5"/>
  <c r="E531" i="5"/>
  <c r="E980" i="5"/>
  <c r="H982" i="8" s="1"/>
  <c r="E467" i="5"/>
  <c r="E106" i="5"/>
  <c r="E498" i="5"/>
  <c r="H500" i="8" s="1"/>
  <c r="E965" i="5"/>
  <c r="AH967" i="8" s="1"/>
  <c r="E401" i="5"/>
  <c r="H403" i="8" s="1"/>
  <c r="E902" i="5"/>
  <c r="Z904" i="8" s="1"/>
  <c r="E968" i="5"/>
  <c r="E132" i="5"/>
  <c r="E485" i="5"/>
  <c r="AH487" i="8" s="1"/>
  <c r="E361" i="5"/>
  <c r="H363" i="8" s="1"/>
  <c r="E638" i="5"/>
  <c r="E40" i="5"/>
  <c r="H42" i="8" s="1"/>
  <c r="E102" i="5"/>
  <c r="H104" i="8" s="1"/>
  <c r="E530" i="5"/>
  <c r="E878" i="5"/>
  <c r="H880" i="8" s="1"/>
  <c r="E275" i="5"/>
  <c r="AH277" i="8" s="1"/>
  <c r="E888" i="5"/>
  <c r="H890" i="8" s="1"/>
  <c r="E422" i="5"/>
  <c r="Z424" i="8" s="1"/>
  <c r="E1002" i="5"/>
  <c r="AH1004" i="8" s="1"/>
  <c r="E578" i="5"/>
  <c r="AH580" i="8" s="1"/>
  <c r="E524" i="5"/>
  <c r="E478" i="5"/>
  <c r="H480" i="8" s="1"/>
  <c r="E932" i="5"/>
  <c r="E509" i="5"/>
  <c r="H511" i="8" s="1"/>
  <c r="E64" i="5"/>
  <c r="E185" i="5"/>
  <c r="E820" i="5"/>
  <c r="H822" i="8" s="1"/>
  <c r="E292" i="5"/>
  <c r="Z294" i="8" s="1"/>
  <c r="E691" i="5"/>
  <c r="H693" i="8" s="1"/>
  <c r="E283" i="5"/>
  <c r="F283" i="5" s="1"/>
  <c r="E811" i="5"/>
  <c r="Z813" i="8" s="1"/>
  <c r="E308" i="5"/>
  <c r="E841" i="5"/>
  <c r="E189" i="5"/>
  <c r="H191" i="8" s="1"/>
  <c r="E508" i="5"/>
  <c r="E659" i="5"/>
  <c r="H661" i="8" s="1"/>
  <c r="E685" i="5"/>
  <c r="H687" i="8" s="1"/>
  <c r="E594" i="5"/>
  <c r="E460" i="5"/>
  <c r="E603" i="5"/>
  <c r="Z605" i="8" s="1"/>
  <c r="E747" i="5"/>
  <c r="H749" i="8" s="1"/>
  <c r="E863" i="5"/>
  <c r="E216" i="5"/>
  <c r="E869" i="5"/>
  <c r="F869" i="5" s="1"/>
  <c r="E795" i="5"/>
  <c r="E827" i="5"/>
  <c r="H829" i="8" s="1"/>
  <c r="E347" i="5"/>
  <c r="E922" i="5"/>
  <c r="H924" i="8" s="1"/>
  <c r="E816" i="5"/>
  <c r="H818" i="8" s="1"/>
  <c r="E61" i="5"/>
  <c r="E368" i="5"/>
  <c r="E809" i="5"/>
  <c r="E647" i="5"/>
  <c r="H649" i="8" s="1"/>
  <c r="E472" i="5"/>
  <c r="F472" i="5" s="1"/>
  <c r="E349" i="5"/>
  <c r="E940" i="5"/>
  <c r="E131" i="5"/>
  <c r="E810" i="5"/>
  <c r="H812" i="8" s="1"/>
  <c r="E974" i="5"/>
  <c r="E34" i="5"/>
  <c r="H36" i="8" s="1"/>
  <c r="E333" i="5"/>
  <c r="H335" i="8" s="1"/>
  <c r="E171" i="5"/>
  <c r="E632" i="5"/>
  <c r="H634" i="8" s="1"/>
  <c r="E515" i="5"/>
  <c r="E740" i="5"/>
  <c r="H742" i="8" s="1"/>
  <c r="E178" i="5"/>
  <c r="Z180" i="8" s="1"/>
  <c r="E538" i="5"/>
  <c r="F538" i="5" s="1"/>
  <c r="E236" i="5"/>
  <c r="E905" i="5"/>
  <c r="F905" i="5" s="1"/>
  <c r="E713" i="5"/>
  <c r="H715" i="8" s="1"/>
  <c r="E777" i="5"/>
  <c r="F777" i="5" s="1"/>
  <c r="E56" i="5"/>
  <c r="H58" i="8" s="1"/>
  <c r="E539" i="5"/>
  <c r="H541" i="8" s="1"/>
  <c r="E124" i="5"/>
  <c r="E165" i="5"/>
  <c r="H167" i="8" s="1"/>
  <c r="E955" i="5"/>
  <c r="E90" i="5"/>
  <c r="H92" i="8" s="1"/>
  <c r="E862" i="5"/>
  <c r="AH864" i="8" s="1"/>
  <c r="E483" i="5"/>
  <c r="AH485" i="8" s="1"/>
  <c r="E852" i="5"/>
  <c r="E153" i="5"/>
  <c r="E290" i="5"/>
  <c r="H292" i="8" s="1"/>
  <c r="E465" i="5"/>
  <c r="E943" i="5"/>
  <c r="H945" i="8" s="1"/>
  <c r="E243" i="5"/>
  <c r="H245" i="8" s="1"/>
  <c r="E192" i="5"/>
  <c r="E665" i="5"/>
  <c r="H667" i="8" s="1"/>
  <c r="E362" i="5"/>
  <c r="F362" i="5" s="1"/>
  <c r="E183" i="5"/>
  <c r="H185" i="8" s="1"/>
  <c r="E737" i="5"/>
  <c r="F737" i="5" s="1"/>
  <c r="E1000" i="5"/>
  <c r="F1000" i="5" s="1"/>
  <c r="E307" i="5"/>
  <c r="Z309" i="8" s="1"/>
  <c r="E468" i="5"/>
  <c r="F468" i="5" s="1"/>
  <c r="E579" i="5"/>
  <c r="H581" i="8" s="1"/>
  <c r="E775" i="5"/>
  <c r="E335" i="5"/>
  <c r="H337" i="8" s="1"/>
  <c r="E1004" i="5"/>
  <c r="H1006" i="8" s="1"/>
  <c r="E13" i="5"/>
  <c r="H15" i="8" s="1"/>
  <c r="E331" i="5"/>
  <c r="E416" i="5"/>
  <c r="E484" i="5"/>
  <c r="H486" i="8" s="1"/>
  <c r="E776" i="5"/>
  <c r="F776" i="5" s="1"/>
  <c r="E393" i="5"/>
  <c r="E240" i="5"/>
  <c r="E839" i="5"/>
  <c r="E567" i="5"/>
  <c r="H569" i="8" s="1"/>
  <c r="E976" i="5"/>
  <c r="S978" i="8" s="1"/>
  <c r="E312" i="5"/>
  <c r="H314" i="8" s="1"/>
  <c r="E390" i="5"/>
  <c r="H392" i="8" s="1"/>
  <c r="E653" i="5"/>
  <c r="E893" i="5"/>
  <c r="H895" i="8" s="1"/>
  <c r="E556" i="5"/>
  <c r="E352" i="5"/>
  <c r="H354" i="8" s="1"/>
  <c r="E415" i="5"/>
  <c r="S417" i="8" s="1"/>
  <c r="E313" i="5"/>
  <c r="AH315" i="8" s="1"/>
  <c r="E998" i="5"/>
  <c r="E381" i="5"/>
  <c r="E301" i="5"/>
  <c r="H303" i="8" s="1"/>
  <c r="E598" i="5"/>
  <c r="E52" i="5"/>
  <c r="E475" i="5"/>
  <c r="H477" i="8" s="1"/>
  <c r="E631" i="5"/>
  <c r="E512" i="5"/>
  <c r="H514" i="8" s="1"/>
  <c r="E497" i="5"/>
  <c r="AH499" i="8" s="1"/>
  <c r="E37" i="5"/>
  <c r="H39" i="8" s="1"/>
  <c r="E201" i="5"/>
  <c r="AH203" i="8" s="1"/>
  <c r="E507" i="5"/>
  <c r="E941" i="5"/>
  <c r="E728" i="5"/>
  <c r="F728" i="5" s="1"/>
  <c r="E884" i="5"/>
  <c r="H886" i="8" s="1"/>
  <c r="E788" i="5"/>
  <c r="E701" i="5"/>
  <c r="H703" i="8" s="1"/>
  <c r="E152" i="5"/>
  <c r="H154" i="8" s="1"/>
  <c r="E429" i="5"/>
  <c r="E78" i="5"/>
  <c r="H80" i="8" s="1"/>
  <c r="E870" i="5"/>
  <c r="S872" i="8" s="1"/>
  <c r="E262" i="5"/>
  <c r="H264" i="8" s="1"/>
  <c r="E587" i="5"/>
  <c r="F587" i="5" s="1"/>
  <c r="E386" i="5"/>
  <c r="F386" i="5" s="1"/>
  <c r="E493" i="5"/>
  <c r="E46" i="5"/>
  <c r="AH48" i="8" s="1"/>
  <c r="E918" i="5"/>
  <c r="H920" i="8" s="1"/>
  <c r="E209" i="5"/>
  <c r="E372" i="5"/>
  <c r="H374" i="8" s="1"/>
  <c r="E409" i="5"/>
  <c r="H411" i="8" s="1"/>
  <c r="E561" i="5"/>
  <c r="E322" i="5"/>
  <c r="E851" i="5"/>
  <c r="E490" i="5"/>
  <c r="H492" i="8" s="1"/>
  <c r="E230" i="5"/>
  <c r="F230" i="5" s="1"/>
  <c r="E908" i="5"/>
  <c r="F908" i="5" s="1"/>
  <c r="E193" i="5"/>
  <c r="E137" i="5"/>
  <c r="F137" i="5" s="1"/>
  <c r="E439" i="5"/>
  <c r="E231" i="5"/>
  <c r="E892" i="5"/>
  <c r="H894" i="8" s="1"/>
  <c r="E917" i="5"/>
  <c r="H919" i="8" s="1"/>
  <c r="E894" i="5"/>
  <c r="E337" i="5"/>
  <c r="E117" i="5"/>
  <c r="F117" i="5" s="1"/>
  <c r="E899" i="5"/>
  <c r="H901" i="8" s="1"/>
  <c r="E913" i="5"/>
  <c r="E768" i="5"/>
  <c r="H770" i="8" s="1"/>
  <c r="E704" i="5"/>
  <c r="F704" i="5" s="1"/>
  <c r="E461" i="5"/>
  <c r="E919" i="5"/>
  <c r="H921" i="8" s="1"/>
  <c r="E214" i="5"/>
  <c r="F214" i="5" s="1"/>
  <c r="E832" i="5"/>
  <c r="H834" i="8" s="1"/>
  <c r="E890" i="5"/>
  <c r="H892" i="8" s="1"/>
  <c r="E750" i="5"/>
  <c r="E881" i="5"/>
  <c r="H883" i="8" s="1"/>
  <c r="E343" i="5"/>
  <c r="Z345" i="8" s="1"/>
  <c r="E833" i="5"/>
  <c r="H835" i="8" s="1"/>
  <c r="E188" i="5"/>
  <c r="Z190" i="8" s="1"/>
  <c r="E245" i="5"/>
  <c r="F245" i="5" s="1"/>
  <c r="E456" i="5"/>
  <c r="AH458" i="8" s="1"/>
  <c r="E447" i="5"/>
  <c r="F447" i="5" s="1"/>
  <c r="E518" i="5"/>
  <c r="H520" i="8" s="1"/>
  <c r="AG87" i="8"/>
  <c r="AG51" i="8"/>
  <c r="AG41" i="8"/>
  <c r="AG19" i="8"/>
  <c r="AG140" i="8"/>
  <c r="AG12" i="8"/>
  <c r="AG324" i="8"/>
  <c r="AG456" i="8"/>
  <c r="AG804" i="8"/>
  <c r="AG579" i="8"/>
  <c r="AG548" i="8"/>
  <c r="AG337" i="8"/>
  <c r="AG637" i="8"/>
  <c r="AG925" i="8"/>
  <c r="AG37" i="8"/>
  <c r="AG121" i="8"/>
  <c r="AG506" i="8"/>
  <c r="AG794" i="8"/>
  <c r="AG692" i="8"/>
  <c r="AG194" i="8"/>
  <c r="AG544" i="8"/>
  <c r="AG832" i="8"/>
  <c r="AG256" i="8"/>
  <c r="AG629" i="8"/>
  <c r="AG620" i="8"/>
  <c r="AG344" i="8"/>
  <c r="AG606" i="8"/>
  <c r="AG858" i="8"/>
  <c r="AG131" i="8"/>
  <c r="AG487" i="8"/>
  <c r="AG739" i="8"/>
  <c r="AG1003" i="8"/>
  <c r="AG380" i="8"/>
  <c r="AG633" i="8"/>
  <c r="AG885" i="8"/>
  <c r="AG205" i="8"/>
  <c r="AG526" i="8"/>
  <c r="AG766" i="8"/>
  <c r="AG788" i="8"/>
  <c r="AG247" i="8"/>
  <c r="AG431" i="8"/>
  <c r="AG575" i="8"/>
  <c r="AG719" i="8"/>
  <c r="AG863" i="8"/>
  <c r="AG1007" i="8"/>
  <c r="AG663" i="8"/>
  <c r="AG845" i="8"/>
  <c r="AG99" i="8"/>
  <c r="AG89" i="8"/>
  <c r="AG31" i="8"/>
  <c r="AG164" i="8"/>
  <c r="AG24" i="8"/>
  <c r="AG372" i="8"/>
  <c r="AG504" i="8"/>
  <c r="AG816" i="8"/>
  <c r="AG627" i="8"/>
  <c r="AG584" i="8"/>
  <c r="AG397" i="8"/>
  <c r="AG685" i="8"/>
  <c r="AG973" i="8"/>
  <c r="AG331" i="8"/>
  <c r="AG212" i="8"/>
  <c r="AG554" i="8"/>
  <c r="AG842" i="8"/>
  <c r="AG50" i="8"/>
  <c r="AG272" i="8"/>
  <c r="AG592" i="8"/>
  <c r="AG880" i="8"/>
  <c r="AG326" i="8"/>
  <c r="AG713" i="8"/>
  <c r="AG860" i="8"/>
  <c r="AG359" i="8"/>
  <c r="AG630" i="8"/>
  <c r="AG870" i="8"/>
  <c r="AG220" i="8"/>
  <c r="AG499" i="8"/>
  <c r="AG763" i="8"/>
  <c r="AG14" i="8"/>
  <c r="AG393" i="8"/>
  <c r="AG657" i="8"/>
  <c r="AG897" i="8"/>
  <c r="AG282" i="8"/>
  <c r="AG538" i="8"/>
  <c r="AG790" i="8"/>
  <c r="AG872" i="8"/>
  <c r="AG265" i="8"/>
  <c r="AG443" i="8"/>
  <c r="AG587" i="8"/>
  <c r="AG731" i="8"/>
  <c r="AG875" i="8"/>
  <c r="AG323" i="8"/>
  <c r="AG687" i="8"/>
  <c r="AG929" i="8"/>
  <c r="AG123" i="8"/>
  <c r="AG101" i="8"/>
  <c r="AG79" i="8"/>
  <c r="AG34" i="8"/>
  <c r="AG36" i="8"/>
  <c r="AG21" i="8"/>
  <c r="AG516" i="8"/>
  <c r="AG864" i="8"/>
  <c r="AG711" i="8"/>
  <c r="AG632" i="8"/>
  <c r="AG409" i="8"/>
  <c r="AG697" i="8"/>
  <c r="AG985" i="8"/>
  <c r="AG392" i="8"/>
  <c r="AG232" i="8"/>
  <c r="AG566" i="8"/>
  <c r="AG854" i="8"/>
  <c r="AG74" i="8"/>
  <c r="AG290" i="8"/>
  <c r="AG604" i="8"/>
  <c r="AG892" i="8"/>
  <c r="AG358" i="8"/>
  <c r="AG725" i="8"/>
  <c r="AG896" i="8"/>
  <c r="AG414" i="8"/>
  <c r="AG642" i="8"/>
  <c r="AG894" i="8"/>
  <c r="AG241" i="8"/>
  <c r="AG511" i="8"/>
  <c r="AG787" i="8"/>
  <c r="AG38" i="8"/>
  <c r="AG441" i="8"/>
  <c r="AG669" i="8"/>
  <c r="AG921" i="8"/>
  <c r="AG299" i="8"/>
  <c r="AG550" i="8"/>
  <c r="AG814" i="8"/>
  <c r="AG920" i="8"/>
  <c r="AG283" i="8"/>
  <c r="AG455" i="8"/>
  <c r="AG599" i="8"/>
  <c r="AG743" i="8"/>
  <c r="AG887" i="8"/>
  <c r="AG387" i="8"/>
  <c r="AG723" i="8"/>
  <c r="AG1001" i="8"/>
  <c r="AG171" i="8"/>
  <c r="AG113" i="8"/>
  <c r="AG103" i="8"/>
  <c r="AG46" i="8"/>
  <c r="AG84" i="8"/>
  <c r="AG117" i="8"/>
  <c r="AG528" i="8"/>
  <c r="AG888" i="8"/>
  <c r="AG735" i="8"/>
  <c r="AG764" i="8"/>
  <c r="AG421" i="8"/>
  <c r="AG709" i="8"/>
  <c r="AG997" i="8"/>
  <c r="AG416" i="8"/>
  <c r="AG251" i="8"/>
  <c r="AG578" i="8"/>
  <c r="AG866" i="8"/>
  <c r="AG98" i="8"/>
  <c r="AG308" i="8"/>
  <c r="AG616" i="8"/>
  <c r="AG904" i="8"/>
  <c r="AG374" i="8"/>
  <c r="AG737" i="8"/>
  <c r="AG932" i="8"/>
  <c r="AG426" i="8"/>
  <c r="AG654" i="8"/>
  <c r="AG918" i="8"/>
  <c r="AG259" i="8"/>
  <c r="AG559" i="8"/>
  <c r="AG799" i="8"/>
  <c r="AG86" i="8"/>
  <c r="AG453" i="8"/>
  <c r="AG681" i="8"/>
  <c r="AG945" i="8"/>
  <c r="AG318" i="8"/>
  <c r="AG598" i="8"/>
  <c r="AG826" i="8"/>
  <c r="AG18" i="8"/>
  <c r="AG301" i="8"/>
  <c r="AG467" i="8"/>
  <c r="AG611" i="8"/>
  <c r="AG755" i="8"/>
  <c r="AG899" i="8"/>
  <c r="AG411" i="8"/>
  <c r="AG747" i="8"/>
  <c r="AG362" i="8"/>
  <c r="AG9" i="8"/>
  <c r="AG183" i="8"/>
  <c r="AG161" i="8"/>
  <c r="AG151" i="8"/>
  <c r="AG58" i="8"/>
  <c r="AG108" i="8"/>
  <c r="AG141" i="8"/>
  <c r="AG576" i="8"/>
  <c r="AG936" i="8"/>
  <c r="AG759" i="8"/>
  <c r="AG884" i="8"/>
  <c r="AG469" i="8"/>
  <c r="AG757" i="8"/>
  <c r="AG867" i="8"/>
  <c r="AG536" i="8"/>
  <c r="AG322" i="8"/>
  <c r="AG626" i="8"/>
  <c r="AG914" i="8"/>
  <c r="AG193" i="8"/>
  <c r="AG373" i="8"/>
  <c r="AG664" i="8"/>
  <c r="AG952" i="8"/>
  <c r="AG425" i="8"/>
  <c r="AG821" i="8"/>
  <c r="AG81" i="8"/>
  <c r="AG438" i="8"/>
  <c r="AG702" i="8"/>
  <c r="AG930" i="8"/>
  <c r="AG295" i="8"/>
  <c r="AG571" i="8"/>
  <c r="AG811" i="8"/>
  <c r="AG134" i="8"/>
  <c r="AG465" i="8"/>
  <c r="AG729" i="8"/>
  <c r="AG957" i="8"/>
  <c r="AG349" i="8"/>
  <c r="AG610" i="8"/>
  <c r="AG838" i="8"/>
  <c r="AG66" i="8"/>
  <c r="AG319" i="8"/>
  <c r="AG479" i="8"/>
  <c r="AG623" i="8"/>
  <c r="AG767" i="8"/>
  <c r="AG911" i="8"/>
  <c r="AG435" i="8"/>
  <c r="AG795" i="8"/>
  <c r="AG644" i="8"/>
  <c r="AG195" i="8"/>
  <c r="AG185" i="8"/>
  <c r="AG163" i="8"/>
  <c r="AG106" i="8"/>
  <c r="AG156" i="8"/>
  <c r="AG165" i="8"/>
  <c r="AG600" i="8"/>
  <c r="AG948" i="8"/>
  <c r="AG855" i="8"/>
  <c r="AG47" i="8"/>
  <c r="AG481" i="8"/>
  <c r="AG769" i="8"/>
  <c r="AG903" i="8"/>
  <c r="AG572" i="8"/>
  <c r="AG338" i="8"/>
  <c r="AG638" i="8"/>
  <c r="AG926" i="8"/>
  <c r="AG213" i="8"/>
  <c r="AG388" i="8"/>
  <c r="AG676" i="8"/>
  <c r="AG964" i="8"/>
  <c r="AG437" i="8"/>
  <c r="AG857" i="8"/>
  <c r="AG105" i="8"/>
  <c r="AG462" i="8"/>
  <c r="AG714" i="8"/>
  <c r="AG942" i="8"/>
  <c r="AG330" i="8"/>
  <c r="AG583" i="8"/>
  <c r="AG859" i="8"/>
  <c r="AG158" i="8"/>
  <c r="AG489" i="8"/>
  <c r="AG741" i="8"/>
  <c r="AG969" i="8"/>
  <c r="AG381" i="8"/>
  <c r="AG622" i="8"/>
  <c r="AG886" i="8"/>
  <c r="AG90" i="8"/>
  <c r="AG334" i="8"/>
  <c r="AG491" i="8"/>
  <c r="AG635" i="8"/>
  <c r="AG779" i="8"/>
  <c r="AG923" i="8"/>
  <c r="AG471" i="8"/>
  <c r="AG831" i="8"/>
  <c r="AG980" i="8"/>
  <c r="AG243" i="8"/>
  <c r="AG233" i="8"/>
  <c r="AG175" i="8"/>
  <c r="AG130" i="8"/>
  <c r="AG168" i="8"/>
  <c r="AG248" i="8"/>
  <c r="AG648" i="8"/>
  <c r="AG960" i="8"/>
  <c r="AG915" i="8"/>
  <c r="AG71" i="8"/>
  <c r="AG493" i="8"/>
  <c r="AG781" i="8"/>
  <c r="AG927" i="8"/>
  <c r="AG608" i="8"/>
  <c r="AG355" i="8"/>
  <c r="AG650" i="8"/>
  <c r="AG938" i="8"/>
  <c r="AG234" i="8"/>
  <c r="AG400" i="8"/>
  <c r="AG688" i="8"/>
  <c r="AG976" i="8"/>
  <c r="AG449" i="8"/>
  <c r="AG881" i="8"/>
  <c r="AG129" i="8"/>
  <c r="AG486" i="8"/>
  <c r="AG726" i="8"/>
  <c r="AG990" i="8"/>
  <c r="AG345" i="8"/>
  <c r="AG607" i="8"/>
  <c r="AG871" i="8"/>
  <c r="AG182" i="8"/>
  <c r="AG513" i="8"/>
  <c r="AG753" i="8"/>
  <c r="AG16" i="8"/>
  <c r="AG394" i="8"/>
  <c r="AG646" i="8"/>
  <c r="AG898" i="8"/>
  <c r="AG114" i="8"/>
  <c r="AG350" i="8"/>
  <c r="AG503" i="8"/>
  <c r="AG647" i="8"/>
  <c r="AG791" i="8"/>
  <c r="AG935" i="8"/>
  <c r="AG495" i="8"/>
  <c r="AG891" i="8"/>
  <c r="AG267" i="8"/>
  <c r="AG245" i="8"/>
  <c r="AG223" i="8"/>
  <c r="AG178" i="8"/>
  <c r="AG180" i="8"/>
  <c r="AG284" i="8"/>
  <c r="AG660" i="8"/>
  <c r="AG1008" i="8"/>
  <c r="AG833" i="8"/>
  <c r="AG95" i="8"/>
  <c r="AG541" i="8"/>
  <c r="AG829" i="8"/>
  <c r="AG473" i="8"/>
  <c r="AG752" i="8"/>
  <c r="AG410" i="8"/>
  <c r="AG698" i="8"/>
  <c r="AG986" i="8"/>
  <c r="AG307" i="8"/>
  <c r="AG448" i="8"/>
  <c r="AG736" i="8"/>
  <c r="AG54" i="8"/>
  <c r="AG509" i="8"/>
  <c r="AG965" i="8"/>
  <c r="AG218" i="8"/>
  <c r="AG498" i="8"/>
  <c r="AG750" i="8"/>
  <c r="AG1002" i="8"/>
  <c r="AG361" i="8"/>
  <c r="AG631" i="8"/>
  <c r="AG883" i="8"/>
  <c r="AG261" i="8"/>
  <c r="AG525" i="8"/>
  <c r="AG777" i="8"/>
  <c r="AG40" i="8"/>
  <c r="AG406" i="8"/>
  <c r="AG670" i="8"/>
  <c r="AG910" i="8"/>
  <c r="AG138" i="8"/>
  <c r="AG367" i="8"/>
  <c r="AG515" i="8"/>
  <c r="AG659" i="8"/>
  <c r="AG803" i="8"/>
  <c r="AG947" i="8"/>
  <c r="AG519" i="8"/>
  <c r="AG963" i="8"/>
  <c r="AG315" i="8"/>
  <c r="AG257" i="8"/>
  <c r="AG20" i="8"/>
  <c r="AG190" i="8"/>
  <c r="AG228" i="8"/>
  <c r="AG352" i="8"/>
  <c r="AG672" i="8"/>
  <c r="AG356" i="8"/>
  <c r="AG13" i="8"/>
  <c r="AG189" i="8"/>
  <c r="AG553" i="8"/>
  <c r="AG841" i="8"/>
  <c r="AG593" i="8"/>
  <c r="AG800" i="8"/>
  <c r="AG422" i="8"/>
  <c r="AG710" i="8"/>
  <c r="AG998" i="8"/>
  <c r="AG28" i="8"/>
  <c r="AG460" i="8"/>
  <c r="AG748" i="8"/>
  <c r="AG78" i="8"/>
  <c r="AG521" i="8"/>
  <c r="AG989" i="8"/>
  <c r="AG239" i="8"/>
  <c r="AG510" i="8"/>
  <c r="AG774" i="8"/>
  <c r="AG703" i="8"/>
  <c r="AG415" i="8"/>
  <c r="AG643" i="8"/>
  <c r="AG907" i="8"/>
  <c r="AG280" i="8"/>
  <c r="AG537" i="8"/>
  <c r="AG801" i="8"/>
  <c r="AG64" i="8"/>
  <c r="AG454" i="8"/>
  <c r="AG682" i="8"/>
  <c r="AG934" i="8"/>
  <c r="AG162" i="8"/>
  <c r="AG382" i="8"/>
  <c r="AG527" i="8"/>
  <c r="AG671" i="8"/>
  <c r="AG815" i="8"/>
  <c r="AG959" i="8"/>
  <c r="AG555" i="8"/>
  <c r="AG343" i="8"/>
  <c r="AG327" i="8"/>
  <c r="AG305" i="8"/>
  <c r="AG68" i="8"/>
  <c r="AG202" i="8"/>
  <c r="AG252" i="8"/>
  <c r="AG368" i="8"/>
  <c r="AG720" i="8"/>
  <c r="AG447" i="8"/>
  <c r="AG85" i="8"/>
  <c r="AG230" i="8"/>
  <c r="AG565" i="8"/>
  <c r="AG853" i="8"/>
  <c r="AG701" i="8"/>
  <c r="AG848" i="8"/>
  <c r="AG434" i="8"/>
  <c r="AG722" i="8"/>
  <c r="AG665" i="8"/>
  <c r="AG52" i="8"/>
  <c r="AG472" i="8"/>
  <c r="AG760" i="8"/>
  <c r="AG102" i="8"/>
  <c r="AG533" i="8"/>
  <c r="AG61" i="8"/>
  <c r="AG258" i="8"/>
  <c r="AG558" i="8"/>
  <c r="AG786" i="8"/>
  <c r="AG35" i="8"/>
  <c r="AG427" i="8"/>
  <c r="AG655" i="8"/>
  <c r="AG931" i="8"/>
  <c r="AG297" i="8"/>
  <c r="AG585" i="8"/>
  <c r="AG813" i="8"/>
  <c r="AG112" i="8"/>
  <c r="AG466" i="8"/>
  <c r="AG694" i="8"/>
  <c r="AG958" i="8"/>
  <c r="AG186" i="8"/>
  <c r="AG395" i="8"/>
  <c r="AG539" i="8"/>
  <c r="AG683" i="8"/>
  <c r="AG827" i="8"/>
  <c r="AG971" i="8"/>
  <c r="AG591" i="8"/>
  <c r="AG545" i="8"/>
  <c r="AG39" i="8"/>
  <c r="AG17" i="8"/>
  <c r="AG377" i="8"/>
  <c r="AG92" i="8"/>
  <c r="AG274" i="8"/>
  <c r="AG312" i="8"/>
  <c r="AG432" i="8"/>
  <c r="AG792" i="8"/>
  <c r="AG483" i="8"/>
  <c r="AG379" i="8"/>
  <c r="AG321" i="8"/>
  <c r="AG625" i="8"/>
  <c r="AG913" i="8"/>
  <c r="AG953" i="8"/>
  <c r="AG97" i="8"/>
  <c r="AG494" i="8"/>
  <c r="AG782" i="8"/>
  <c r="AG596" i="8"/>
  <c r="AG172" i="8"/>
  <c r="AG532" i="8"/>
  <c r="AG820" i="8"/>
  <c r="AG217" i="8"/>
  <c r="AG617" i="8"/>
  <c r="AG524" i="8"/>
  <c r="AG328" i="8"/>
  <c r="AG582" i="8"/>
  <c r="AG846" i="8"/>
  <c r="AG107" i="8"/>
  <c r="AG463" i="8"/>
  <c r="AG727" i="8"/>
  <c r="AG955" i="8"/>
  <c r="AG364" i="8"/>
  <c r="AG609" i="8"/>
  <c r="AG873" i="8"/>
  <c r="AG184" i="8"/>
  <c r="AG502" i="8"/>
  <c r="AG754" i="8"/>
  <c r="AG982" i="8"/>
  <c r="AG227" i="8"/>
  <c r="AG419" i="8"/>
  <c r="AG563" i="8"/>
  <c r="AG707" i="8"/>
  <c r="AG851" i="8"/>
  <c r="AG995" i="8"/>
  <c r="AG639" i="8"/>
  <c r="AG761" i="8"/>
  <c r="AG27" i="8"/>
  <c r="AG901" i="8"/>
  <c r="AG294" i="8"/>
  <c r="AG742" i="8"/>
  <c r="AG339" i="8"/>
  <c r="AG905" i="8"/>
  <c r="AG570" i="8"/>
  <c r="AG970" i="8"/>
  <c r="AG329" i="8"/>
  <c r="AG73" i="8"/>
  <c r="AG798" i="8"/>
  <c r="AG206" i="8"/>
  <c r="AG80" i="8"/>
  <c r="AG482" i="8"/>
  <c r="AG83" i="8"/>
  <c r="AG407" i="8"/>
  <c r="AG250" i="8"/>
  <c r="AG770" i="8"/>
  <c r="AG439" i="8"/>
  <c r="AG551" i="8"/>
  <c r="AG300" i="8"/>
  <c r="AG500" i="8"/>
  <c r="AG715" i="8"/>
  <c r="AG695" i="8"/>
  <c r="AG383" i="8"/>
  <c r="AG148" i="8"/>
  <c r="AG943" i="8"/>
  <c r="AG839" i="8"/>
  <c r="AG744" i="8"/>
  <c r="AG520" i="8"/>
  <c r="AG332" i="8"/>
  <c r="AG983" i="8"/>
  <c r="AG459" i="8"/>
  <c r="AG808" i="8"/>
  <c r="AG597" i="8"/>
  <c r="AG615" i="8"/>
  <c r="AG278" i="8"/>
  <c r="AG196" i="8"/>
  <c r="AG825" i="8"/>
  <c r="AG677" i="8"/>
  <c r="AG613" i="8"/>
  <c r="AG428" i="8"/>
  <c r="AG478" i="8"/>
  <c r="E537" i="5"/>
  <c r="E442" i="5"/>
  <c r="E441" i="5"/>
  <c r="E993" i="5"/>
  <c r="E633" i="5"/>
  <c r="H635" i="8" s="1"/>
  <c r="E726" i="5"/>
  <c r="M728" i="8" s="1"/>
  <c r="E473" i="5"/>
  <c r="H475" i="8" s="1"/>
  <c r="E652" i="5"/>
  <c r="H654" i="8" s="1"/>
  <c r="E109" i="5"/>
  <c r="E225" i="5"/>
  <c r="H227" i="8" s="1"/>
  <c r="E813" i="5"/>
  <c r="E229" i="5"/>
  <c r="H231" i="8" s="1"/>
  <c r="E929" i="5"/>
  <c r="F929" i="5" s="1"/>
  <c r="E963" i="5"/>
  <c r="F963" i="5" s="1"/>
  <c r="E114" i="5"/>
  <c r="E486" i="5"/>
  <c r="E933" i="5"/>
  <c r="H935" i="8" s="1"/>
  <c r="E122" i="5"/>
  <c r="E711" i="5"/>
  <c r="H713" i="8" s="1"/>
  <c r="E356" i="5"/>
  <c r="H358" i="8" s="1"/>
  <c r="E49" i="5"/>
  <c r="E179" i="5"/>
  <c r="H181" i="8" s="1"/>
  <c r="E984" i="5"/>
  <c r="H986" i="8" s="1"/>
  <c r="E785" i="5"/>
  <c r="H787" i="8" s="1"/>
  <c r="E601" i="5"/>
  <c r="Z603" i="8" s="1"/>
  <c r="E294" i="5"/>
  <c r="E547" i="5"/>
  <c r="S549" i="8" s="1"/>
  <c r="E571" i="5"/>
  <c r="E419" i="5"/>
  <c r="H421" i="8" s="1"/>
  <c r="E648" i="5"/>
  <c r="E697" i="5"/>
  <c r="H699" i="8" s="1"/>
  <c r="E595" i="5"/>
  <c r="H597" i="8" s="1"/>
  <c r="E374" i="5"/>
  <c r="E674" i="5"/>
  <c r="H676" i="8" s="1"/>
  <c r="E525" i="5"/>
  <c r="E452" i="5"/>
  <c r="H454" i="8" s="1"/>
  <c r="E112" i="5"/>
  <c r="E885" i="5"/>
  <c r="E762" i="5"/>
  <c r="AG160" i="8"/>
  <c r="E221" i="5"/>
  <c r="H223" i="8" s="1"/>
  <c r="E424" i="5"/>
  <c r="S426" i="8" s="1"/>
  <c r="E208" i="5"/>
  <c r="H210" i="8" s="1"/>
  <c r="E85" i="5"/>
  <c r="E287" i="5"/>
  <c r="AH289" i="8" s="1"/>
  <c r="AG605" i="8"/>
  <c r="E438" i="5"/>
  <c r="E773" i="5"/>
  <c r="H775" i="8" s="1"/>
  <c r="E956" i="5"/>
  <c r="F956" i="5" s="1"/>
  <c r="E734" i="5"/>
  <c r="F734" i="5" s="1"/>
  <c r="E38" i="5"/>
  <c r="S40" i="8" s="1"/>
  <c r="E396" i="5"/>
  <c r="E641" i="5"/>
  <c r="H643" i="8" s="1"/>
  <c r="E695" i="5"/>
  <c r="S697" i="8" s="1"/>
  <c r="E55" i="5"/>
  <c r="H57" i="8" s="1"/>
  <c r="E564" i="5"/>
  <c r="H566" i="8" s="1"/>
  <c r="E558" i="5"/>
  <c r="E923" i="5"/>
  <c r="H925" i="8" s="1"/>
  <c r="E522" i="5"/>
  <c r="F522" i="5" s="1"/>
  <c r="AG304" i="8"/>
  <c r="G155" i="8"/>
  <c r="G994" i="8"/>
  <c r="G850" i="8"/>
  <c r="G706" i="8"/>
  <c r="G562" i="8"/>
  <c r="G418" i="8"/>
  <c r="G274" i="8"/>
  <c r="G130" i="8"/>
  <c r="G969" i="8"/>
  <c r="G825" i="8"/>
  <c r="G681" i="8"/>
  <c r="G537" i="8"/>
  <c r="G393" i="8"/>
  <c r="G249" i="8"/>
  <c r="G105" i="8"/>
  <c r="G944" i="8"/>
  <c r="G800" i="8"/>
  <c r="G608" i="8"/>
  <c r="G332" i="8"/>
  <c r="G44" i="8"/>
  <c r="G679" i="8"/>
  <c r="G331" i="8"/>
  <c r="G19" i="8"/>
  <c r="G489" i="8"/>
  <c r="G345" i="8"/>
  <c r="G201" i="8"/>
  <c r="G57" i="8"/>
  <c r="G896" i="8"/>
  <c r="G752" i="8"/>
  <c r="G512" i="8"/>
  <c r="G260" i="8"/>
  <c r="G907" i="8"/>
  <c r="G547" i="8"/>
  <c r="G211" i="8"/>
  <c r="G83" i="8"/>
  <c r="G922" i="8"/>
  <c r="G778" i="8"/>
  <c r="G634" i="8"/>
  <c r="G490" i="8"/>
  <c r="G346" i="8"/>
  <c r="G202" i="8"/>
  <c r="G58" i="8"/>
  <c r="G897" i="8"/>
  <c r="G753" i="8"/>
  <c r="G609" i="8"/>
  <c r="G465" i="8"/>
  <c r="G321" i="8"/>
  <c r="G177" i="8"/>
  <c r="G33" i="8"/>
  <c r="G872" i="8"/>
  <c r="G680" i="8"/>
  <c r="G488" i="8"/>
  <c r="G164" i="8"/>
  <c r="G859" i="8"/>
  <c r="G523" i="8"/>
  <c r="G91" i="8"/>
  <c r="G71" i="8"/>
  <c r="G910" i="8"/>
  <c r="G766" i="8"/>
  <c r="G622" i="8"/>
  <c r="G478" i="8"/>
  <c r="G334" i="8"/>
  <c r="G190" i="8"/>
  <c r="G46" i="8"/>
  <c r="G885" i="8"/>
  <c r="G741" i="8"/>
  <c r="G597" i="8"/>
  <c r="G453" i="8"/>
  <c r="G309" i="8"/>
  <c r="G165" i="8"/>
  <c r="G1004" i="8"/>
  <c r="G860" i="8"/>
  <c r="G668" i="8"/>
  <c r="G476" i="8"/>
  <c r="G140" i="8"/>
  <c r="G823" i="8"/>
  <c r="G499" i="8"/>
  <c r="G79" i="8"/>
  <c r="G154" i="8"/>
  <c r="G993" i="8"/>
  <c r="G849" i="8"/>
  <c r="G705" i="8"/>
  <c r="G561" i="8"/>
  <c r="G417" i="8"/>
  <c r="G273" i="8"/>
  <c r="G129" i="8"/>
  <c r="G968" i="8"/>
  <c r="G824" i="8"/>
  <c r="G632" i="8"/>
  <c r="G356" i="8"/>
  <c r="G92" i="8"/>
  <c r="G739" i="8"/>
  <c r="G367" i="8"/>
  <c r="G15" i="8"/>
  <c r="AG1006" i="8"/>
  <c r="AG862" i="8"/>
  <c r="AG718" i="8"/>
  <c r="AG574" i="8"/>
  <c r="AG430" i="8"/>
  <c r="AG246" i="8"/>
  <c r="AG993" i="8"/>
  <c r="AG849" i="8"/>
  <c r="AG705" i="8"/>
  <c r="AG561" i="8"/>
  <c r="AG417" i="8"/>
  <c r="AG224" i="8"/>
  <c r="AG979" i="8"/>
  <c r="AG835" i="8"/>
  <c r="AG679" i="8"/>
  <c r="AG535" i="8"/>
  <c r="AG391" i="8"/>
  <c r="AG179" i="8"/>
  <c r="AG966" i="8"/>
  <c r="AG822" i="8"/>
  <c r="AG678" i="8"/>
  <c r="AG534" i="8"/>
  <c r="AG390" i="8"/>
  <c r="AG177" i="8"/>
  <c r="AG776" i="8"/>
  <c r="AG917" i="8"/>
  <c r="AG653" i="8"/>
  <c r="AG485" i="8"/>
  <c r="AG292" i="8"/>
  <c r="AG1000" i="8"/>
  <c r="AG856" i="8"/>
  <c r="AG712" i="8"/>
  <c r="AG568" i="8"/>
  <c r="AG424" i="8"/>
  <c r="AG236" i="8"/>
  <c r="AG271" i="8"/>
  <c r="AG956" i="8"/>
  <c r="AG962" i="8"/>
  <c r="AG818" i="8"/>
  <c r="AG674" i="8"/>
  <c r="AG530" i="8"/>
  <c r="AG386" i="8"/>
  <c r="AG169" i="8"/>
  <c r="AG680" i="8"/>
  <c r="AG242" i="8"/>
  <c r="AG987" i="8"/>
  <c r="AG949" i="8"/>
  <c r="AG805" i="8"/>
  <c r="AG661" i="8"/>
  <c r="AG517" i="8"/>
  <c r="AG369" i="8"/>
  <c r="AG143" i="8"/>
  <c r="AG704" i="8"/>
  <c r="AG181" i="8"/>
  <c r="AG807" i="8"/>
  <c r="AG531" i="8"/>
  <c r="AG984" i="8"/>
  <c r="AG840" i="8"/>
  <c r="AG696" i="8"/>
  <c r="AG552" i="8"/>
  <c r="AG408" i="8"/>
  <c r="AG208" i="8"/>
  <c r="AG348" i="8"/>
  <c r="AG204" i="8"/>
  <c r="AG60" i="8"/>
  <c r="AG226" i="8"/>
  <c r="AG82" i="8"/>
  <c r="AG116" i="8"/>
  <c r="AG199" i="8"/>
  <c r="AG55" i="8"/>
  <c r="AG281" i="8"/>
  <c r="AG137" i="8"/>
  <c r="AG363" i="8"/>
  <c r="AG219" i="8"/>
  <c r="AG75" i="8"/>
  <c r="G704" i="8"/>
  <c r="G560" i="8"/>
  <c r="G392" i="8"/>
  <c r="G200" i="8"/>
  <c r="G979" i="8"/>
  <c r="G799" i="8"/>
  <c r="G607" i="8"/>
  <c r="G391" i="8"/>
  <c r="G175" i="8"/>
  <c r="G24" i="8"/>
  <c r="AG994" i="8"/>
  <c r="AG850" i="8"/>
  <c r="AG706" i="8"/>
  <c r="AG562" i="8"/>
  <c r="AG418" i="8"/>
  <c r="AG225" i="8"/>
  <c r="AG981" i="8"/>
  <c r="AG837" i="8"/>
  <c r="AG693" i="8"/>
  <c r="AG549" i="8"/>
  <c r="AG405" i="8"/>
  <c r="AG203" i="8"/>
  <c r="AG967" i="8"/>
  <c r="AG823" i="8"/>
  <c r="AG667" i="8"/>
  <c r="AG523" i="8"/>
  <c r="AG378" i="8"/>
  <c r="AG155" i="8"/>
  <c r="AG954" i="8"/>
  <c r="AG810" i="8"/>
  <c r="AG666" i="8"/>
  <c r="AG522" i="8"/>
  <c r="AG376" i="8"/>
  <c r="AG153" i="8"/>
  <c r="AG728" i="8"/>
  <c r="AG893" i="8"/>
  <c r="AG641" i="8"/>
  <c r="AG461" i="8"/>
  <c r="AG273" i="8"/>
  <c r="AG988" i="8"/>
  <c r="AG844" i="8"/>
  <c r="AG700" i="8"/>
  <c r="AG556" i="8"/>
  <c r="AG412" i="8"/>
  <c r="AG215" i="8"/>
  <c r="AG253" i="8"/>
  <c r="AG812" i="8"/>
  <c r="AG950" i="8"/>
  <c r="AG806" i="8"/>
  <c r="AG662" i="8"/>
  <c r="AG518" i="8"/>
  <c r="AG370" i="8"/>
  <c r="AG145" i="8"/>
  <c r="AG656" i="8"/>
  <c r="AG109" i="8"/>
  <c r="AG951" i="8"/>
  <c r="AG937" i="8"/>
  <c r="AG793" i="8"/>
  <c r="AG649" i="8"/>
  <c r="AG505" i="8"/>
  <c r="AG354" i="8"/>
  <c r="AG119" i="8"/>
  <c r="AG668" i="8"/>
  <c r="AG133" i="8"/>
  <c r="AG783" i="8"/>
  <c r="AG507" i="8"/>
  <c r="AG972" i="8"/>
  <c r="AG828" i="8"/>
  <c r="AG684" i="8"/>
  <c r="AG540" i="8"/>
  <c r="AG396" i="8"/>
  <c r="AG188" i="8"/>
  <c r="AG336" i="8"/>
  <c r="AG192" i="8"/>
  <c r="AG48" i="8"/>
  <c r="AG214" i="8"/>
  <c r="AG70" i="8"/>
  <c r="AG104" i="8"/>
  <c r="AG187" i="8"/>
  <c r="AG43" i="8"/>
  <c r="AG269" i="8"/>
  <c r="AG125" i="8"/>
  <c r="AG351" i="8"/>
  <c r="AG207" i="8"/>
  <c r="AG63" i="8"/>
  <c r="G692" i="8"/>
  <c r="G548" i="8"/>
  <c r="G380" i="8"/>
  <c r="G188" i="8"/>
  <c r="G967" i="8"/>
  <c r="G787" i="8"/>
  <c r="G595" i="8"/>
  <c r="G379" i="8"/>
  <c r="G163" i="8"/>
  <c r="G23" i="8"/>
  <c r="AG42" i="8"/>
  <c r="AG946" i="8"/>
  <c r="AG802" i="8"/>
  <c r="AG658" i="8"/>
  <c r="AG514" i="8"/>
  <c r="AG366" i="8"/>
  <c r="AG136" i="8"/>
  <c r="AG933" i="8"/>
  <c r="AG789" i="8"/>
  <c r="AG645" i="8"/>
  <c r="AG501" i="8"/>
  <c r="AG347" i="8"/>
  <c r="AG110" i="8"/>
  <c r="AG919" i="8"/>
  <c r="AG775" i="8"/>
  <c r="AG619" i="8"/>
  <c r="AG475" i="8"/>
  <c r="AG313" i="8"/>
  <c r="AG59" i="8"/>
  <c r="AG906" i="8"/>
  <c r="AG762" i="8"/>
  <c r="AG618" i="8"/>
  <c r="AG474" i="8"/>
  <c r="AG311" i="8"/>
  <c r="AG57" i="8"/>
  <c r="AG346" i="8"/>
  <c r="AG797" i="8"/>
  <c r="AG581" i="8"/>
  <c r="AG413" i="8"/>
  <c r="AG174" i="8"/>
  <c r="AG940" i="8"/>
  <c r="AG796" i="8"/>
  <c r="AG652" i="8"/>
  <c r="AG508" i="8"/>
  <c r="AG357" i="8"/>
  <c r="AG124" i="8"/>
  <c r="AG170" i="8"/>
  <c r="AG404" i="8"/>
  <c r="AG902" i="8"/>
  <c r="AG758" i="8"/>
  <c r="AG614" i="8"/>
  <c r="AG470" i="8"/>
  <c r="AG306" i="8"/>
  <c r="AG49" i="8"/>
  <c r="AG488" i="8"/>
  <c r="AG869" i="8"/>
  <c r="AG843" i="8"/>
  <c r="AG889" i="8"/>
  <c r="AG745" i="8"/>
  <c r="AG601" i="8"/>
  <c r="AG457" i="8"/>
  <c r="AG285" i="8"/>
  <c r="AG23" i="8"/>
  <c r="AG512" i="8"/>
  <c r="AG999" i="8"/>
  <c r="AG699" i="8"/>
  <c r="AG423" i="8"/>
  <c r="AG924" i="8"/>
  <c r="AG780" i="8"/>
  <c r="AG636" i="8"/>
  <c r="AG492" i="8"/>
  <c r="AG335" i="8"/>
  <c r="AG93" i="8"/>
  <c r="AG288" i="8"/>
  <c r="AG144" i="8"/>
  <c r="AG310" i="8"/>
  <c r="AG166" i="8"/>
  <c r="AG22" i="8"/>
  <c r="AG56" i="8"/>
  <c r="AG139" i="8"/>
  <c r="AG365" i="8"/>
  <c r="AG221" i="8"/>
  <c r="AG77" i="8"/>
  <c r="AG303" i="8"/>
  <c r="AG159" i="8"/>
  <c r="AG15" i="8"/>
  <c r="AG33" i="8"/>
  <c r="AG260" i="8"/>
  <c r="AG785" i="8"/>
  <c r="AG569" i="8"/>
  <c r="AG401" i="8"/>
  <c r="AG150" i="8"/>
  <c r="AG928" i="8"/>
  <c r="AG784" i="8"/>
  <c r="AG640" i="8"/>
  <c r="AG496" i="8"/>
  <c r="AG342" i="8"/>
  <c r="AG100" i="8"/>
  <c r="AG146" i="8"/>
  <c r="AG201" i="8"/>
  <c r="AG890" i="8"/>
  <c r="AG746" i="8"/>
  <c r="AG602" i="8"/>
  <c r="AG458" i="8"/>
  <c r="AG287" i="8"/>
  <c r="AG25" i="8"/>
  <c r="AG464" i="8"/>
  <c r="AG809" i="8"/>
  <c r="AG771" i="8"/>
  <c r="AG877" i="8"/>
  <c r="AG733" i="8"/>
  <c r="AG589" i="8"/>
  <c r="AG445" i="8"/>
  <c r="AG268" i="8"/>
  <c r="AG1004" i="8"/>
  <c r="AG476" i="8"/>
  <c r="AG975" i="8"/>
  <c r="AG675" i="8"/>
  <c r="AG399" i="8"/>
  <c r="AG912" i="8"/>
  <c r="AG768" i="8"/>
  <c r="AG624" i="8"/>
  <c r="AG480" i="8"/>
  <c r="AG320" i="8"/>
  <c r="AG69" i="8"/>
  <c r="AG276" i="8"/>
  <c r="AG132" i="8"/>
  <c r="AG298" i="8"/>
  <c r="AG154" i="8"/>
  <c r="AG10" i="8"/>
  <c r="AG44" i="8"/>
  <c r="AG127" i="8"/>
  <c r="AG353" i="8"/>
  <c r="AG209" i="8"/>
  <c r="AG65" i="8"/>
  <c r="AG291" i="8"/>
  <c r="AG147" i="8"/>
  <c r="G104" i="8"/>
  <c r="G895" i="8"/>
  <c r="G691" i="8"/>
  <c r="G511" i="8"/>
  <c r="G307" i="8"/>
  <c r="G43" i="8"/>
  <c r="AG968" i="8"/>
  <c r="AG922" i="8"/>
  <c r="AG778" i="8"/>
  <c r="AG634" i="8"/>
  <c r="AG490" i="8"/>
  <c r="AG333" i="8"/>
  <c r="AG88" i="8"/>
  <c r="AG909" i="8"/>
  <c r="AG765" i="8"/>
  <c r="AG621" i="8"/>
  <c r="AG477" i="8"/>
  <c r="AG316" i="8"/>
  <c r="AG62" i="8"/>
  <c r="AG895" i="8"/>
  <c r="AG751" i="8"/>
  <c r="AG595" i="8"/>
  <c r="AG451" i="8"/>
  <c r="AG277" i="8"/>
  <c r="AG11" i="8"/>
  <c r="AG882" i="8"/>
  <c r="AG738" i="8"/>
  <c r="AG594" i="8"/>
  <c r="AG450" i="8"/>
  <c r="AG275" i="8"/>
  <c r="AG992" i="8"/>
  <c r="AG157" i="8"/>
  <c r="AG749" i="8"/>
  <c r="AG557" i="8"/>
  <c r="AG389" i="8"/>
  <c r="AG126" i="8"/>
  <c r="AG916" i="8"/>
  <c r="AG772" i="8"/>
  <c r="AG628" i="8"/>
  <c r="AG484" i="8"/>
  <c r="AG325" i="8"/>
  <c r="AG76" i="8"/>
  <c r="AG122" i="8"/>
  <c r="AG977" i="8"/>
  <c r="AG878" i="8"/>
  <c r="AG734" i="8"/>
  <c r="AG590" i="8"/>
  <c r="AG446" i="8"/>
  <c r="AG270" i="8"/>
  <c r="AG908" i="8"/>
  <c r="AG440" i="8"/>
  <c r="AG773" i="8"/>
  <c r="AG543" i="8"/>
  <c r="AG865" i="8"/>
  <c r="AG721" i="8"/>
  <c r="AG577" i="8"/>
  <c r="AG433" i="8"/>
  <c r="AG249" i="8"/>
  <c r="AG944" i="8"/>
  <c r="AG452" i="8"/>
  <c r="AG939" i="8"/>
  <c r="AG651" i="8"/>
  <c r="AG371" i="8"/>
  <c r="AG900" i="8"/>
  <c r="AG756" i="8"/>
  <c r="AG612" i="8"/>
  <c r="AG468" i="8"/>
  <c r="AG302" i="8"/>
  <c r="AG45" i="8"/>
  <c r="AG264" i="8"/>
  <c r="AG120" i="8"/>
  <c r="AG286" i="8"/>
  <c r="AG142" i="8"/>
  <c r="AG176" i="8"/>
  <c r="AG32" i="8"/>
  <c r="AG115" i="8"/>
  <c r="AG341" i="8"/>
  <c r="AG197" i="8"/>
  <c r="AG53" i="8"/>
  <c r="AG279" i="8"/>
  <c r="AG135" i="8"/>
  <c r="G30" i="8"/>
  <c r="AG210" i="8"/>
  <c r="AG824" i="8"/>
  <c r="AG314" i="8"/>
  <c r="AG879" i="8"/>
  <c r="AG603" i="8"/>
  <c r="AG340" i="8"/>
  <c r="AG876" i="8"/>
  <c r="AG732" i="8"/>
  <c r="AG588" i="8"/>
  <c r="AG444" i="8"/>
  <c r="AG266" i="8"/>
  <c r="AG384" i="8"/>
  <c r="AG240" i="8"/>
  <c r="AG96" i="8"/>
  <c r="AG262" i="8"/>
  <c r="AG118" i="8"/>
  <c r="AG152" i="8"/>
  <c r="AG235" i="8"/>
  <c r="AG91" i="8"/>
  <c r="AG317" i="8"/>
  <c r="AG173" i="8"/>
  <c r="AG29" i="8"/>
  <c r="AG255" i="8"/>
  <c r="AG111" i="8"/>
  <c r="G740" i="8"/>
  <c r="G596" i="8"/>
  <c r="G428" i="8"/>
  <c r="G248" i="8"/>
  <c r="G56" i="8"/>
  <c r="G835" i="8"/>
  <c r="G655" i="8"/>
  <c r="G463" i="8"/>
  <c r="G223" i="8"/>
  <c r="G27" i="8"/>
  <c r="AG560" i="8"/>
  <c r="AG874" i="8"/>
  <c r="AG730" i="8"/>
  <c r="AG586" i="8"/>
  <c r="AG442" i="8"/>
  <c r="AG263" i="8"/>
  <c r="AG1005" i="8"/>
  <c r="AG861" i="8"/>
  <c r="AG717" i="8"/>
  <c r="AG573" i="8"/>
  <c r="AG429" i="8"/>
  <c r="AG244" i="8"/>
  <c r="AG991" i="8"/>
  <c r="AG847" i="8"/>
  <c r="AG691" i="8"/>
  <c r="AG547" i="8"/>
  <c r="AG403" i="8"/>
  <c r="AG200" i="8"/>
  <c r="AG978" i="8"/>
  <c r="AG834" i="8"/>
  <c r="AG690" i="8"/>
  <c r="AG546" i="8"/>
  <c r="AG402" i="8"/>
  <c r="AG198" i="8"/>
  <c r="AG836" i="8"/>
  <c r="AG941" i="8"/>
  <c r="AG689" i="8"/>
  <c r="AG497" i="8"/>
  <c r="AG309" i="8"/>
  <c r="AG30" i="8"/>
  <c r="AG868" i="8"/>
  <c r="AG724" i="8"/>
  <c r="AG580" i="8"/>
  <c r="AG436" i="8"/>
  <c r="AG254" i="8"/>
  <c r="AG289" i="8"/>
  <c r="AG26" i="8"/>
  <c r="AG974" i="8"/>
  <c r="AG830" i="8"/>
  <c r="AG686" i="8"/>
  <c r="AG542" i="8"/>
  <c r="AG398" i="8"/>
  <c r="AG191" i="8"/>
  <c r="AG716" i="8"/>
  <c r="AG296" i="8"/>
  <c r="AG237" i="8"/>
  <c r="AG961" i="8"/>
  <c r="AG817" i="8"/>
  <c r="AG673" i="8"/>
  <c r="AG529" i="8"/>
  <c r="AG385" i="8"/>
  <c r="AG167" i="8"/>
  <c r="AG740" i="8"/>
  <c r="AG222" i="8"/>
  <c r="AG819" i="8"/>
  <c r="AG567" i="8"/>
  <c r="AG996" i="8"/>
  <c r="AG852" i="8"/>
  <c r="AG708" i="8"/>
  <c r="AG564" i="8"/>
  <c r="AG420" i="8"/>
  <c r="AG229" i="8"/>
  <c r="AG360" i="8"/>
  <c r="AG216" i="8"/>
  <c r="AG72" i="8"/>
  <c r="AG238" i="8"/>
  <c r="AG94" i="8"/>
  <c r="AG128" i="8"/>
  <c r="AG211" i="8"/>
  <c r="AG67" i="8"/>
  <c r="AG293" i="8"/>
  <c r="AG149" i="8"/>
  <c r="AG375" i="8"/>
  <c r="AG231" i="8"/>
  <c r="G716" i="8"/>
  <c r="G572" i="8"/>
  <c r="G404" i="8"/>
  <c r="G212" i="8"/>
  <c r="G1003" i="8"/>
  <c r="G811" i="8"/>
  <c r="G619" i="8"/>
  <c r="G427" i="8"/>
  <c r="G187" i="8"/>
  <c r="G26" i="8"/>
  <c r="G368" i="8"/>
  <c r="G224" i="8"/>
  <c r="G80" i="8"/>
  <c r="G919" i="8"/>
  <c r="G775" i="8"/>
  <c r="G631" i="8"/>
  <c r="G487" i="8"/>
  <c r="G343" i="8"/>
  <c r="G199" i="8"/>
  <c r="G55" i="8"/>
  <c r="G14" i="8"/>
  <c r="G31" i="8"/>
  <c r="G12" i="8"/>
  <c r="G464" i="8"/>
  <c r="G320" i="8"/>
  <c r="G176" i="8"/>
  <c r="G32" i="8"/>
  <c r="G871" i="8"/>
  <c r="G727" i="8"/>
  <c r="G583" i="8"/>
  <c r="G439" i="8"/>
  <c r="G295" i="8"/>
  <c r="G151" i="8"/>
  <c r="G18" i="8"/>
  <c r="G11" i="8"/>
  <c r="G283" i="8"/>
  <c r="G139" i="8"/>
  <c r="G29" i="8"/>
  <c r="G22" i="8"/>
  <c r="G440" i="8"/>
  <c r="G296" i="8"/>
  <c r="G152" i="8"/>
  <c r="G991" i="8"/>
  <c r="G847" i="8"/>
  <c r="G703" i="8"/>
  <c r="G559" i="8"/>
  <c r="G415" i="8"/>
  <c r="G271" i="8"/>
  <c r="G127" i="8"/>
  <c r="G17" i="8"/>
  <c r="G10" i="8"/>
  <c r="G403" i="8"/>
  <c r="G259" i="8"/>
  <c r="G115" i="8"/>
  <c r="G28" i="8"/>
  <c r="F36" i="3" a="1"/>
  <c r="F36" i="3" s="1"/>
  <c r="F37" i="3" s="1" a="1"/>
  <c r="F37" i="3" s="1"/>
  <c r="F38" i="3" s="1" a="1"/>
  <c r="F38" i="3" s="1"/>
  <c r="F39" i="3" s="1" a="1"/>
  <c r="F39" i="3" s="1"/>
  <c r="F40" i="3" s="1" a="1"/>
  <c r="F40" i="3" s="1"/>
  <c r="F41" i="3" s="1" a="1"/>
  <c r="F41" i="3" s="1"/>
  <c r="F42" i="3" s="1" a="1"/>
  <c r="F42" i="3" s="1"/>
  <c r="F43" i="3" s="1" a="1"/>
  <c r="F43" i="3" s="1"/>
  <c r="F44" i="3" s="1" a="1"/>
  <c r="F44" i="3" s="1"/>
  <c r="F45" i="3" s="1" a="1"/>
  <c r="F45" i="3" s="1"/>
  <c r="F46" i="3" s="1" a="1"/>
  <c r="F46" i="3" s="1"/>
  <c r="F47" i="3" s="1" a="1"/>
  <c r="F47" i="3" s="1"/>
  <c r="F48" i="3" s="1" a="1"/>
  <c r="F48" i="3" s="1"/>
  <c r="F49" i="3" s="1" a="1"/>
  <c r="F49" i="3" s="1"/>
  <c r="F50" i="3" s="1" a="1"/>
  <c r="F50" i="3" s="1"/>
  <c r="F51" i="3" s="1" a="1"/>
  <c r="F51" i="3" s="1"/>
  <c r="F52" i="3" s="1" a="1"/>
  <c r="F52" i="3" s="1"/>
  <c r="C135" i="3" s="1"/>
  <c r="C10" i="8"/>
  <c r="C22" i="8"/>
  <c r="C34" i="8"/>
  <c r="C46" i="8"/>
  <c r="C58" i="8"/>
  <c r="C70" i="8"/>
  <c r="C82" i="8"/>
  <c r="C94" i="8"/>
  <c r="C106" i="8"/>
  <c r="C118" i="8"/>
  <c r="C130" i="8"/>
  <c r="C142" i="8"/>
  <c r="C154" i="8"/>
  <c r="C166" i="8"/>
  <c r="C178" i="8"/>
  <c r="C190" i="8"/>
  <c r="C202" i="8"/>
  <c r="C214" i="8"/>
  <c r="C226" i="8"/>
  <c r="C238" i="8"/>
  <c r="C250" i="8"/>
  <c r="C262" i="8"/>
  <c r="C274" i="8"/>
  <c r="C286" i="8"/>
  <c r="C298" i="8"/>
  <c r="C310" i="8"/>
  <c r="C322" i="8"/>
  <c r="C334" i="8"/>
  <c r="C346" i="8"/>
  <c r="C358" i="8"/>
  <c r="C370" i="8"/>
  <c r="C382" i="8"/>
  <c r="C394" i="8"/>
  <c r="C406" i="8"/>
  <c r="C418" i="8"/>
  <c r="C430" i="8"/>
  <c r="C442" i="8"/>
  <c r="C454" i="8"/>
  <c r="C466" i="8"/>
  <c r="C478" i="8"/>
  <c r="C490" i="8"/>
  <c r="C502" i="8"/>
  <c r="C514" i="8"/>
  <c r="C526" i="8"/>
  <c r="C538" i="8"/>
  <c r="C550" i="8"/>
  <c r="C562" i="8"/>
  <c r="C574" i="8"/>
  <c r="C586" i="8"/>
  <c r="C598" i="8"/>
  <c r="C610" i="8"/>
  <c r="C622" i="8"/>
  <c r="C634" i="8"/>
  <c r="C646" i="8"/>
  <c r="C658" i="8"/>
  <c r="C670" i="8"/>
  <c r="C682" i="8"/>
  <c r="C694" i="8"/>
  <c r="C706" i="8"/>
  <c r="C718" i="8"/>
  <c r="C730" i="8"/>
  <c r="C742" i="8"/>
  <c r="C754" i="8"/>
  <c r="C766" i="8"/>
  <c r="C778" i="8"/>
  <c r="C790" i="8"/>
  <c r="C802" i="8"/>
  <c r="C814" i="8"/>
  <c r="C826" i="8"/>
  <c r="C838" i="8"/>
  <c r="C850" i="8"/>
  <c r="C862" i="8"/>
  <c r="C874" i="8"/>
  <c r="C886" i="8"/>
  <c r="C898" i="8"/>
  <c r="C910" i="8"/>
  <c r="C922" i="8"/>
  <c r="C934" i="8"/>
  <c r="C946" i="8"/>
  <c r="C958" i="8"/>
  <c r="C970" i="8"/>
  <c r="C982" i="8"/>
  <c r="C994" i="8"/>
  <c r="C1006" i="8"/>
  <c r="C11" i="8"/>
  <c r="C23" i="8"/>
  <c r="C35" i="8"/>
  <c r="C47" i="8"/>
  <c r="C59" i="8"/>
  <c r="C71" i="8"/>
  <c r="C83" i="8"/>
  <c r="C95" i="8"/>
  <c r="C107" i="8"/>
  <c r="C119" i="8"/>
  <c r="C131" i="8"/>
  <c r="C143" i="8"/>
  <c r="C155" i="8"/>
  <c r="C167" i="8"/>
  <c r="C179" i="8"/>
  <c r="C191" i="8"/>
  <c r="C203" i="8"/>
  <c r="C215" i="8"/>
  <c r="C227" i="8"/>
  <c r="C239" i="8"/>
  <c r="C251" i="8"/>
  <c r="C263" i="8"/>
  <c r="C275" i="8"/>
  <c r="C287" i="8"/>
  <c r="C299" i="8"/>
  <c r="C311" i="8"/>
  <c r="C323" i="8"/>
  <c r="C335" i="8"/>
  <c r="C347" i="8"/>
  <c r="C359" i="8"/>
  <c r="C371" i="8"/>
  <c r="C383" i="8"/>
  <c r="C395" i="8"/>
  <c r="C407" i="8"/>
  <c r="C419" i="8"/>
  <c r="C431" i="8"/>
  <c r="C443" i="8"/>
  <c r="C455" i="8"/>
  <c r="C467" i="8"/>
  <c r="C479" i="8"/>
  <c r="C491" i="8"/>
  <c r="C503" i="8"/>
  <c r="C515" i="8"/>
  <c r="C527" i="8"/>
  <c r="C539" i="8"/>
  <c r="C551" i="8"/>
  <c r="C563" i="8"/>
  <c r="C575" i="8"/>
  <c r="C587" i="8"/>
  <c r="C599" i="8"/>
  <c r="C611" i="8"/>
  <c r="C623" i="8"/>
  <c r="C635" i="8"/>
  <c r="C647" i="8"/>
  <c r="C659" i="8"/>
  <c r="C671" i="8"/>
  <c r="C683" i="8"/>
  <c r="C695" i="8"/>
  <c r="C707" i="8"/>
  <c r="C719" i="8"/>
  <c r="C731" i="8"/>
  <c r="C743" i="8"/>
  <c r="C755" i="8"/>
  <c r="C767" i="8"/>
  <c r="C779" i="8"/>
  <c r="C791" i="8"/>
  <c r="C803" i="8"/>
  <c r="C815" i="8"/>
  <c r="C827" i="8"/>
  <c r="C839" i="8"/>
  <c r="C851" i="8"/>
  <c r="C863" i="8"/>
  <c r="C875" i="8"/>
  <c r="C887" i="8"/>
  <c r="C899" i="8"/>
  <c r="C911" i="8"/>
  <c r="C923" i="8"/>
  <c r="C935" i="8"/>
  <c r="C947" i="8"/>
  <c r="C959" i="8"/>
  <c r="C971" i="8"/>
  <c r="C983" i="8"/>
  <c r="C995" i="8"/>
  <c r="C1007" i="8"/>
  <c r="C12" i="8"/>
  <c r="C24" i="8"/>
  <c r="C36" i="8"/>
  <c r="C48" i="8"/>
  <c r="C60" i="8"/>
  <c r="C72" i="8"/>
  <c r="C84" i="8"/>
  <c r="C96" i="8"/>
  <c r="C108" i="8"/>
  <c r="C120" i="8"/>
  <c r="C132" i="8"/>
  <c r="C144" i="8"/>
  <c r="C156" i="8"/>
  <c r="C168" i="8"/>
  <c r="C180" i="8"/>
  <c r="C192" i="8"/>
  <c r="C204" i="8"/>
  <c r="C216" i="8"/>
  <c r="C228" i="8"/>
  <c r="C240" i="8"/>
  <c r="C252" i="8"/>
  <c r="C264" i="8"/>
  <c r="C276" i="8"/>
  <c r="C288" i="8"/>
  <c r="C300" i="8"/>
  <c r="C312" i="8"/>
  <c r="C324" i="8"/>
  <c r="C336" i="8"/>
  <c r="C348" i="8"/>
  <c r="C360" i="8"/>
  <c r="C372" i="8"/>
  <c r="C384" i="8"/>
  <c r="C396" i="8"/>
  <c r="C408" i="8"/>
  <c r="C420" i="8"/>
  <c r="C432" i="8"/>
  <c r="C444" i="8"/>
  <c r="C456" i="8"/>
  <c r="C468" i="8"/>
  <c r="C480" i="8"/>
  <c r="C492" i="8"/>
  <c r="C504" i="8"/>
  <c r="C516" i="8"/>
  <c r="C528" i="8"/>
  <c r="C540" i="8"/>
  <c r="C552" i="8"/>
  <c r="C564" i="8"/>
  <c r="C576" i="8"/>
  <c r="C588" i="8"/>
  <c r="C600" i="8"/>
  <c r="C612" i="8"/>
  <c r="C624" i="8"/>
  <c r="C636" i="8"/>
  <c r="C648" i="8"/>
  <c r="C660" i="8"/>
  <c r="C672" i="8"/>
  <c r="C684" i="8"/>
  <c r="C696" i="8"/>
  <c r="C708" i="8"/>
  <c r="C720" i="8"/>
  <c r="C732" i="8"/>
  <c r="C744" i="8"/>
  <c r="C756" i="8"/>
  <c r="C768" i="8"/>
  <c r="C780" i="8"/>
  <c r="C792" i="8"/>
  <c r="C804" i="8"/>
  <c r="C816" i="8"/>
  <c r="C828" i="8"/>
  <c r="C840" i="8"/>
  <c r="C852" i="8"/>
  <c r="C864" i="8"/>
  <c r="C876" i="8"/>
  <c r="C888" i="8"/>
  <c r="C900" i="8"/>
  <c r="C912" i="8"/>
  <c r="C924" i="8"/>
  <c r="C936" i="8"/>
  <c r="C948" i="8"/>
  <c r="C960" i="8"/>
  <c r="C972" i="8"/>
  <c r="C984" i="8"/>
  <c r="C996" i="8"/>
  <c r="C1008" i="8"/>
  <c r="C13" i="8"/>
  <c r="C25" i="8"/>
  <c r="C37" i="8"/>
  <c r="C49" i="8"/>
  <c r="C61" i="8"/>
  <c r="C73" i="8"/>
  <c r="C85" i="8"/>
  <c r="C97" i="8"/>
  <c r="C109" i="8"/>
  <c r="C121" i="8"/>
  <c r="C133" i="8"/>
  <c r="C145" i="8"/>
  <c r="C157" i="8"/>
  <c r="C169" i="8"/>
  <c r="C181" i="8"/>
  <c r="C193" i="8"/>
  <c r="C205" i="8"/>
  <c r="C217" i="8"/>
  <c r="C229" i="8"/>
  <c r="C241" i="8"/>
  <c r="C253" i="8"/>
  <c r="C265" i="8"/>
  <c r="C277" i="8"/>
  <c r="C289" i="8"/>
  <c r="C301" i="8"/>
  <c r="C313" i="8"/>
  <c r="C325" i="8"/>
  <c r="C337" i="8"/>
  <c r="C349" i="8"/>
  <c r="C361" i="8"/>
  <c r="C373" i="8"/>
  <c r="C385" i="8"/>
  <c r="C397" i="8"/>
  <c r="C409" i="8"/>
  <c r="C421" i="8"/>
  <c r="C433" i="8"/>
  <c r="C445" i="8"/>
  <c r="C457" i="8"/>
  <c r="C469" i="8"/>
  <c r="C481" i="8"/>
  <c r="C493" i="8"/>
  <c r="C505" i="8"/>
  <c r="C517" i="8"/>
  <c r="C529" i="8"/>
  <c r="C541" i="8"/>
  <c r="C553" i="8"/>
  <c r="C565" i="8"/>
  <c r="C577" i="8"/>
  <c r="C589" i="8"/>
  <c r="C601" i="8"/>
  <c r="C613" i="8"/>
  <c r="C625" i="8"/>
  <c r="C637" i="8"/>
  <c r="C649" i="8"/>
  <c r="C661" i="8"/>
  <c r="C673" i="8"/>
  <c r="C685" i="8"/>
  <c r="C697" i="8"/>
  <c r="C709" i="8"/>
  <c r="C721" i="8"/>
  <c r="C733" i="8"/>
  <c r="C745" i="8"/>
  <c r="C757" i="8"/>
  <c r="C769" i="8"/>
  <c r="C781" i="8"/>
  <c r="C793" i="8"/>
  <c r="C805" i="8"/>
  <c r="C817" i="8"/>
  <c r="C829" i="8"/>
  <c r="C841" i="8"/>
  <c r="C853" i="8"/>
  <c r="C865" i="8"/>
  <c r="C877" i="8"/>
  <c r="C889" i="8"/>
  <c r="C901" i="8"/>
  <c r="C913" i="8"/>
  <c r="C925" i="8"/>
  <c r="C937" i="8"/>
  <c r="C949" i="8"/>
  <c r="C961" i="8"/>
  <c r="C973" i="8"/>
  <c r="C985" i="8"/>
  <c r="C997" i="8"/>
  <c r="C14" i="8"/>
  <c r="C26" i="8"/>
  <c r="C38" i="8"/>
  <c r="C50" i="8"/>
  <c r="C62" i="8"/>
  <c r="C74" i="8"/>
  <c r="C86" i="8"/>
  <c r="C98" i="8"/>
  <c r="C110" i="8"/>
  <c r="C122" i="8"/>
  <c r="C134" i="8"/>
  <c r="C146" i="8"/>
  <c r="C158" i="8"/>
  <c r="C170" i="8"/>
  <c r="C182" i="8"/>
  <c r="C194" i="8"/>
  <c r="C206" i="8"/>
  <c r="C218" i="8"/>
  <c r="C230" i="8"/>
  <c r="C242" i="8"/>
  <c r="C254" i="8"/>
  <c r="C266" i="8"/>
  <c r="C278" i="8"/>
  <c r="C290" i="8"/>
  <c r="C302" i="8"/>
  <c r="C314" i="8"/>
  <c r="C326" i="8"/>
  <c r="C338" i="8"/>
  <c r="C350" i="8"/>
  <c r="C362" i="8"/>
  <c r="C374" i="8"/>
  <c r="C386" i="8"/>
  <c r="C398" i="8"/>
  <c r="C410" i="8"/>
  <c r="C422" i="8"/>
  <c r="C434" i="8"/>
  <c r="C446" i="8"/>
  <c r="C458" i="8"/>
  <c r="C470" i="8"/>
  <c r="C482" i="8"/>
  <c r="C494" i="8"/>
  <c r="C506" i="8"/>
  <c r="C518" i="8"/>
  <c r="C530" i="8"/>
  <c r="C542" i="8"/>
  <c r="C554" i="8"/>
  <c r="C566" i="8"/>
  <c r="C578" i="8"/>
  <c r="C590" i="8"/>
  <c r="C602" i="8"/>
  <c r="C614" i="8"/>
  <c r="C626" i="8"/>
  <c r="C638" i="8"/>
  <c r="C650" i="8"/>
  <c r="C662" i="8"/>
  <c r="C674" i="8"/>
  <c r="C686" i="8"/>
  <c r="C698" i="8"/>
  <c r="C710" i="8"/>
  <c r="C722" i="8"/>
  <c r="C734" i="8"/>
  <c r="C746" i="8"/>
  <c r="C758" i="8"/>
  <c r="C770" i="8"/>
  <c r="C782" i="8"/>
  <c r="C794" i="8"/>
  <c r="C806" i="8"/>
  <c r="C818" i="8"/>
  <c r="C830" i="8"/>
  <c r="C842" i="8"/>
  <c r="C854" i="8"/>
  <c r="C866" i="8"/>
  <c r="C878" i="8"/>
  <c r="C890" i="8"/>
  <c r="C902" i="8"/>
  <c r="C914" i="8"/>
  <c r="C926" i="8"/>
  <c r="C938" i="8"/>
  <c r="C950" i="8"/>
  <c r="C962" i="8"/>
  <c r="C974" i="8"/>
  <c r="C986" i="8"/>
  <c r="C998" i="8"/>
  <c r="C15" i="8"/>
  <c r="C27" i="8"/>
  <c r="C39" i="8"/>
  <c r="C51" i="8"/>
  <c r="C63" i="8"/>
  <c r="C75" i="8"/>
  <c r="C87" i="8"/>
  <c r="C99" i="8"/>
  <c r="C111" i="8"/>
  <c r="C123" i="8"/>
  <c r="C135" i="8"/>
  <c r="C147" i="8"/>
  <c r="C159" i="8"/>
  <c r="C171" i="8"/>
  <c r="C183" i="8"/>
  <c r="C195" i="8"/>
  <c r="C207" i="8"/>
  <c r="C219" i="8"/>
  <c r="C231" i="8"/>
  <c r="C243" i="8"/>
  <c r="C255" i="8"/>
  <c r="C267" i="8"/>
  <c r="C279" i="8"/>
  <c r="C291" i="8"/>
  <c r="C303" i="8"/>
  <c r="C315" i="8"/>
  <c r="C327" i="8"/>
  <c r="C339" i="8"/>
  <c r="C351" i="8"/>
  <c r="C363" i="8"/>
  <c r="C375" i="8"/>
  <c r="C387" i="8"/>
  <c r="C399" i="8"/>
  <c r="C411" i="8"/>
  <c r="C423" i="8"/>
  <c r="C435" i="8"/>
  <c r="C447" i="8"/>
  <c r="C459" i="8"/>
  <c r="C471" i="8"/>
  <c r="C483" i="8"/>
  <c r="C495" i="8"/>
  <c r="C507" i="8"/>
  <c r="C519" i="8"/>
  <c r="C531" i="8"/>
  <c r="C543" i="8"/>
  <c r="C555" i="8"/>
  <c r="C567" i="8"/>
  <c r="C579" i="8"/>
  <c r="C591" i="8"/>
  <c r="C603" i="8"/>
  <c r="C615" i="8"/>
  <c r="C627" i="8"/>
  <c r="C639" i="8"/>
  <c r="C651" i="8"/>
  <c r="C663" i="8"/>
  <c r="C675" i="8"/>
  <c r="C687" i="8"/>
  <c r="C699" i="8"/>
  <c r="C711" i="8"/>
  <c r="C723" i="8"/>
  <c r="C735" i="8"/>
  <c r="C747" i="8"/>
  <c r="C759" i="8"/>
  <c r="C771" i="8"/>
  <c r="C783" i="8"/>
  <c r="C795" i="8"/>
  <c r="C807" i="8"/>
  <c r="C819" i="8"/>
  <c r="C831" i="8"/>
  <c r="C843" i="8"/>
  <c r="C855" i="8"/>
  <c r="C867" i="8"/>
  <c r="C879" i="8"/>
  <c r="C891" i="8"/>
  <c r="C903" i="8"/>
  <c r="C915" i="8"/>
  <c r="C927" i="8"/>
  <c r="C939" i="8"/>
  <c r="C951" i="8"/>
  <c r="C963" i="8"/>
  <c r="C975" i="8"/>
  <c r="C987" i="8"/>
  <c r="C999" i="8"/>
  <c r="C16" i="8"/>
  <c r="C17" i="8"/>
  <c r="C29" i="8"/>
  <c r="C41" i="8"/>
  <c r="C53" i="8"/>
  <c r="C65" i="8"/>
  <c r="C77" i="8"/>
  <c r="C89" i="8"/>
  <c r="C101" i="8"/>
  <c r="C113" i="8"/>
  <c r="C125" i="8"/>
  <c r="C137" i="8"/>
  <c r="C149" i="8"/>
  <c r="C161" i="8"/>
  <c r="C173" i="8"/>
  <c r="C185" i="8"/>
  <c r="C197" i="8"/>
  <c r="C209" i="8"/>
  <c r="C221" i="8"/>
  <c r="C233" i="8"/>
  <c r="C245" i="8"/>
  <c r="C257" i="8"/>
  <c r="C269" i="8"/>
  <c r="C281" i="8"/>
  <c r="C293" i="8"/>
  <c r="C305" i="8"/>
  <c r="C317" i="8"/>
  <c r="C329" i="8"/>
  <c r="C341" i="8"/>
  <c r="C353" i="8"/>
  <c r="C365" i="8"/>
  <c r="C377" i="8"/>
  <c r="C389" i="8"/>
  <c r="C401" i="8"/>
  <c r="C413" i="8"/>
  <c r="C425" i="8"/>
  <c r="C437" i="8"/>
  <c r="C449" i="8"/>
  <c r="C461" i="8"/>
  <c r="C473" i="8"/>
  <c r="C485" i="8"/>
  <c r="C497" i="8"/>
  <c r="C509" i="8"/>
  <c r="C521" i="8"/>
  <c r="C533" i="8"/>
  <c r="C545" i="8"/>
  <c r="C557" i="8"/>
  <c r="C569" i="8"/>
  <c r="C581" i="8"/>
  <c r="C593" i="8"/>
  <c r="C605" i="8"/>
  <c r="C617" i="8"/>
  <c r="C629" i="8"/>
  <c r="C641" i="8"/>
  <c r="C653" i="8"/>
  <c r="C665" i="8"/>
  <c r="C677" i="8"/>
  <c r="C689" i="8"/>
  <c r="C701" i="8"/>
  <c r="C713" i="8"/>
  <c r="C725" i="8"/>
  <c r="C737" i="8"/>
  <c r="C749" i="8"/>
  <c r="C761" i="8"/>
  <c r="C773" i="8"/>
  <c r="C785" i="8"/>
  <c r="C797" i="8"/>
  <c r="C809" i="8"/>
  <c r="C821" i="8"/>
  <c r="C833" i="8"/>
  <c r="C845" i="8"/>
  <c r="C857" i="8"/>
  <c r="C869" i="8"/>
  <c r="C881" i="8"/>
  <c r="C893" i="8"/>
  <c r="C905" i="8"/>
  <c r="C917" i="8"/>
  <c r="C929" i="8"/>
  <c r="C941" i="8"/>
  <c r="C953" i="8"/>
  <c r="C965" i="8"/>
  <c r="C977" i="8"/>
  <c r="C989" i="8"/>
  <c r="C1001" i="8"/>
  <c r="C18" i="8"/>
  <c r="C30" i="8"/>
  <c r="C42" i="8"/>
  <c r="C54" i="8"/>
  <c r="C66" i="8"/>
  <c r="C78" i="8"/>
  <c r="C90" i="8"/>
  <c r="C102" i="8"/>
  <c r="C114" i="8"/>
  <c r="C126" i="8"/>
  <c r="C138" i="8"/>
  <c r="C150" i="8"/>
  <c r="C162" i="8"/>
  <c r="C174" i="8"/>
  <c r="C186" i="8"/>
  <c r="C198" i="8"/>
  <c r="C210" i="8"/>
  <c r="C222" i="8"/>
  <c r="C234" i="8"/>
  <c r="C246" i="8"/>
  <c r="C258" i="8"/>
  <c r="C270" i="8"/>
  <c r="C282" i="8"/>
  <c r="C294" i="8"/>
  <c r="C306" i="8"/>
  <c r="C318" i="8"/>
  <c r="C330" i="8"/>
  <c r="C342" i="8"/>
  <c r="C354" i="8"/>
  <c r="C366" i="8"/>
  <c r="C378" i="8"/>
  <c r="C390" i="8"/>
  <c r="C402" i="8"/>
  <c r="C414" i="8"/>
  <c r="C426" i="8"/>
  <c r="C438" i="8"/>
  <c r="C450" i="8"/>
  <c r="C462" i="8"/>
  <c r="C474" i="8"/>
  <c r="C486" i="8"/>
  <c r="C498" i="8"/>
  <c r="C510" i="8"/>
  <c r="C522" i="8"/>
  <c r="C534" i="8"/>
  <c r="C546" i="8"/>
  <c r="C558" i="8"/>
  <c r="C570" i="8"/>
  <c r="C582" i="8"/>
  <c r="C594" i="8"/>
  <c r="C606" i="8"/>
  <c r="C618" i="8"/>
  <c r="C630" i="8"/>
  <c r="C642" i="8"/>
  <c r="C654" i="8"/>
  <c r="C666" i="8"/>
  <c r="C678" i="8"/>
  <c r="C690" i="8"/>
  <c r="C702" i="8"/>
  <c r="C714" i="8"/>
  <c r="C726" i="8"/>
  <c r="C738" i="8"/>
  <c r="C750" i="8"/>
  <c r="C762" i="8"/>
  <c r="C774" i="8"/>
  <c r="C786" i="8"/>
  <c r="C798" i="8"/>
  <c r="C810" i="8"/>
  <c r="C822" i="8"/>
  <c r="C834" i="8"/>
  <c r="C846" i="8"/>
  <c r="C858" i="8"/>
  <c r="C870" i="8"/>
  <c r="C882" i="8"/>
  <c r="C894" i="8"/>
  <c r="C906" i="8"/>
  <c r="C918" i="8"/>
  <c r="C930" i="8"/>
  <c r="C942" i="8"/>
  <c r="C954" i="8"/>
  <c r="C966" i="8"/>
  <c r="C978" i="8"/>
  <c r="C990" i="8"/>
  <c r="C1002" i="8"/>
  <c r="C19" i="8"/>
  <c r="C31" i="8"/>
  <c r="C43" i="8"/>
  <c r="C55" i="8"/>
  <c r="C67" i="8"/>
  <c r="C79" i="8"/>
  <c r="C91" i="8"/>
  <c r="C103" i="8"/>
  <c r="C115" i="8"/>
  <c r="C127" i="8"/>
  <c r="C139" i="8"/>
  <c r="C151" i="8"/>
  <c r="C163" i="8"/>
  <c r="C175" i="8"/>
  <c r="C187" i="8"/>
  <c r="C199" i="8"/>
  <c r="C211" i="8"/>
  <c r="C223" i="8"/>
  <c r="C235" i="8"/>
  <c r="C247" i="8"/>
  <c r="C259" i="8"/>
  <c r="C271" i="8"/>
  <c r="C283" i="8"/>
  <c r="C295" i="8"/>
  <c r="C307" i="8"/>
  <c r="C319" i="8"/>
  <c r="C331" i="8"/>
  <c r="C343" i="8"/>
  <c r="C355" i="8"/>
  <c r="C367" i="8"/>
  <c r="C379" i="8"/>
  <c r="C391" i="8"/>
  <c r="C403" i="8"/>
  <c r="C415" i="8"/>
  <c r="C427" i="8"/>
  <c r="C439" i="8"/>
  <c r="C451" i="8"/>
  <c r="C463" i="8"/>
  <c r="C475" i="8"/>
  <c r="C487" i="8"/>
  <c r="C499" i="8"/>
  <c r="C511" i="8"/>
  <c r="C523" i="8"/>
  <c r="C535" i="8"/>
  <c r="C547" i="8"/>
  <c r="C559" i="8"/>
  <c r="C571" i="8"/>
  <c r="C583" i="8"/>
  <c r="C595" i="8"/>
  <c r="C607" i="8"/>
  <c r="C619" i="8"/>
  <c r="C631" i="8"/>
  <c r="C643" i="8"/>
  <c r="C655" i="8"/>
  <c r="C667" i="8"/>
  <c r="C679" i="8"/>
  <c r="C691" i="8"/>
  <c r="C703" i="8"/>
  <c r="C715" i="8"/>
  <c r="C727" i="8"/>
  <c r="C739" i="8"/>
  <c r="C751" i="8"/>
  <c r="C763" i="8"/>
  <c r="C775" i="8"/>
  <c r="C787" i="8"/>
  <c r="C799" i="8"/>
  <c r="C811" i="8"/>
  <c r="C823" i="8"/>
  <c r="C835" i="8"/>
  <c r="C847" i="8"/>
  <c r="C859" i="8"/>
  <c r="C871" i="8"/>
  <c r="C883" i="8"/>
  <c r="C895" i="8"/>
  <c r="C907" i="8"/>
  <c r="C919" i="8"/>
  <c r="C931" i="8"/>
  <c r="C943" i="8"/>
  <c r="C955" i="8"/>
  <c r="C967" i="8"/>
  <c r="C979" i="8"/>
  <c r="C991" i="8"/>
  <c r="C1003" i="8"/>
  <c r="C20" i="8"/>
  <c r="C32" i="8"/>
  <c r="C44" i="8"/>
  <c r="C56" i="8"/>
  <c r="C68" i="8"/>
  <c r="C80" i="8"/>
  <c r="C92" i="8"/>
  <c r="C104" i="8"/>
  <c r="C116" i="8"/>
  <c r="C128" i="8"/>
  <c r="C140" i="8"/>
  <c r="C152" i="8"/>
  <c r="C164" i="8"/>
  <c r="C176" i="8"/>
  <c r="C188" i="8"/>
  <c r="C200" i="8"/>
  <c r="C212" i="8"/>
  <c r="C224" i="8"/>
  <c r="C236" i="8"/>
  <c r="C248" i="8"/>
  <c r="C260" i="8"/>
  <c r="C272" i="8"/>
  <c r="C284" i="8"/>
  <c r="C296" i="8"/>
  <c r="C308" i="8"/>
  <c r="C320" i="8"/>
  <c r="C332" i="8"/>
  <c r="C344" i="8"/>
  <c r="C356" i="8"/>
  <c r="C368" i="8"/>
  <c r="C380" i="8"/>
  <c r="C392" i="8"/>
  <c r="C404" i="8"/>
  <c r="C416" i="8"/>
  <c r="C428" i="8"/>
  <c r="C440" i="8"/>
  <c r="C452" i="8"/>
  <c r="C464" i="8"/>
  <c r="C476" i="8"/>
  <c r="C488" i="8"/>
  <c r="C500" i="8"/>
  <c r="C512" i="8"/>
  <c r="C524" i="8"/>
  <c r="C536" i="8"/>
  <c r="C548" i="8"/>
  <c r="C560" i="8"/>
  <c r="C572" i="8"/>
  <c r="C584" i="8"/>
  <c r="C596" i="8"/>
  <c r="C608" i="8"/>
  <c r="C620" i="8"/>
  <c r="C632" i="8"/>
  <c r="C644" i="8"/>
  <c r="C656" i="8"/>
  <c r="C668" i="8"/>
  <c r="C680" i="8"/>
  <c r="C692" i="8"/>
  <c r="C704" i="8"/>
  <c r="C716" i="8"/>
  <c r="C728" i="8"/>
  <c r="C740" i="8"/>
  <c r="C752" i="8"/>
  <c r="C764" i="8"/>
  <c r="C776" i="8"/>
  <c r="C788" i="8"/>
  <c r="C800" i="8"/>
  <c r="C812" i="8"/>
  <c r="C824" i="8"/>
  <c r="C836" i="8"/>
  <c r="C848" i="8"/>
  <c r="C860" i="8"/>
  <c r="C872" i="8"/>
  <c r="C884" i="8"/>
  <c r="C896" i="8"/>
  <c r="C908" i="8"/>
  <c r="C920" i="8"/>
  <c r="C932" i="8"/>
  <c r="C944" i="8"/>
  <c r="C956" i="8"/>
  <c r="C968" i="8"/>
  <c r="C980" i="8"/>
  <c r="C992" i="8"/>
  <c r="C1004" i="8"/>
  <c r="C21" i="8"/>
  <c r="C33" i="8"/>
  <c r="C45" i="8"/>
  <c r="C57" i="8"/>
  <c r="C69" i="8"/>
  <c r="C81" i="8"/>
  <c r="C93" i="8"/>
  <c r="C105" i="8"/>
  <c r="C117" i="8"/>
  <c r="C129" i="8"/>
  <c r="C141" i="8"/>
  <c r="C153" i="8"/>
  <c r="C165" i="8"/>
  <c r="C177" i="8"/>
  <c r="C189" i="8"/>
  <c r="C201" i="8"/>
  <c r="C213" i="8"/>
  <c r="C225" i="8"/>
  <c r="C237" i="8"/>
  <c r="C249" i="8"/>
  <c r="C261" i="8"/>
  <c r="C273" i="8"/>
  <c r="C285" i="8"/>
  <c r="C297" i="8"/>
  <c r="C309" i="8"/>
  <c r="C321" i="8"/>
  <c r="C333" i="8"/>
  <c r="C345" i="8"/>
  <c r="C357" i="8"/>
  <c r="C369" i="8"/>
  <c r="C381" i="8"/>
  <c r="C393" i="8"/>
  <c r="C405" i="8"/>
  <c r="C417" i="8"/>
  <c r="C429" i="8"/>
  <c r="C441" i="8"/>
  <c r="C453" i="8"/>
  <c r="C465" i="8"/>
  <c r="C477" i="8"/>
  <c r="C489" i="8"/>
  <c r="C501" i="8"/>
  <c r="C513" i="8"/>
  <c r="C525" i="8"/>
  <c r="C537" i="8"/>
  <c r="C549" i="8"/>
  <c r="C561" i="8"/>
  <c r="C573" i="8"/>
  <c r="C585" i="8"/>
  <c r="C597" i="8"/>
  <c r="C609" i="8"/>
  <c r="C621" i="8"/>
  <c r="C633" i="8"/>
  <c r="C645" i="8"/>
  <c r="C657" i="8"/>
  <c r="C669" i="8"/>
  <c r="C681" i="8"/>
  <c r="C693" i="8"/>
  <c r="C705" i="8"/>
  <c r="C717" i="8"/>
  <c r="C729" i="8"/>
  <c r="C741" i="8"/>
  <c r="C753" i="8"/>
  <c r="C765" i="8"/>
  <c r="C777" i="8"/>
  <c r="C789" i="8"/>
  <c r="C801" i="8"/>
  <c r="C813" i="8"/>
  <c r="C825" i="8"/>
  <c r="C837" i="8"/>
  <c r="C849" i="8"/>
  <c r="C861" i="8"/>
  <c r="C873" i="8"/>
  <c r="C885" i="8"/>
  <c r="C897" i="8"/>
  <c r="C909" i="8"/>
  <c r="C921" i="8"/>
  <c r="C933" i="8"/>
  <c r="C945" i="8"/>
  <c r="C957" i="8"/>
  <c r="C969" i="8"/>
  <c r="C981" i="8"/>
  <c r="C993" i="8"/>
  <c r="C1005" i="8"/>
  <c r="C28" i="8"/>
  <c r="C172" i="8"/>
  <c r="C316" i="8"/>
  <c r="C460" i="8"/>
  <c r="C604" i="8"/>
  <c r="C748" i="8"/>
  <c r="C892" i="8"/>
  <c r="C40" i="8"/>
  <c r="C184" i="8"/>
  <c r="C328" i="8"/>
  <c r="C472" i="8"/>
  <c r="C616" i="8"/>
  <c r="C760" i="8"/>
  <c r="C904" i="8"/>
  <c r="C52" i="8"/>
  <c r="C196" i="8"/>
  <c r="C340" i="8"/>
  <c r="C484" i="8"/>
  <c r="C628" i="8"/>
  <c r="C772" i="8"/>
  <c r="C916" i="8"/>
  <c r="C64" i="8"/>
  <c r="C208" i="8"/>
  <c r="C352" i="8"/>
  <c r="C496" i="8"/>
  <c r="C640" i="8"/>
  <c r="C784" i="8"/>
  <c r="C928" i="8"/>
  <c r="C76" i="8"/>
  <c r="C220" i="8"/>
  <c r="C364" i="8"/>
  <c r="C508" i="8"/>
  <c r="C652" i="8"/>
  <c r="C796" i="8"/>
  <c r="C940" i="8"/>
  <c r="C88" i="8"/>
  <c r="C232" i="8"/>
  <c r="C376" i="8"/>
  <c r="C520" i="8"/>
  <c r="C664" i="8"/>
  <c r="C808" i="8"/>
  <c r="C952" i="8"/>
  <c r="C100" i="8"/>
  <c r="C244" i="8"/>
  <c r="C388" i="8"/>
  <c r="C532" i="8"/>
  <c r="C676" i="8"/>
  <c r="C820" i="8"/>
  <c r="C964" i="8"/>
  <c r="C112" i="8"/>
  <c r="C256" i="8"/>
  <c r="C400" i="8"/>
  <c r="C544" i="8"/>
  <c r="C688" i="8"/>
  <c r="C832" i="8"/>
  <c r="C976" i="8"/>
  <c r="C136" i="8"/>
  <c r="C280" i="8"/>
  <c r="C424" i="8"/>
  <c r="C568" i="8"/>
  <c r="C712" i="8"/>
  <c r="C856" i="8"/>
  <c r="C1000" i="8"/>
  <c r="C124" i="8"/>
  <c r="C700" i="8"/>
  <c r="C148" i="8"/>
  <c r="C724" i="8"/>
  <c r="C160" i="8"/>
  <c r="C736" i="8"/>
  <c r="C268" i="8"/>
  <c r="C844" i="8"/>
  <c r="C292" i="8"/>
  <c r="C868" i="8"/>
  <c r="C304" i="8"/>
  <c r="C880" i="8"/>
  <c r="C412" i="8"/>
  <c r="C988" i="8"/>
  <c r="C556" i="8"/>
  <c r="C436" i="8"/>
  <c r="C448" i="8"/>
  <c r="C580" i="8"/>
  <c r="C592" i="8"/>
  <c r="S683" i="8"/>
  <c r="S123" i="8"/>
  <c r="M123" i="8"/>
  <c r="S532" i="8"/>
  <c r="M532" i="8"/>
  <c r="S106" i="8"/>
  <c r="S140" i="8"/>
  <c r="M140" i="8"/>
  <c r="M709" i="8"/>
  <c r="S438" i="8"/>
  <c r="M583" i="8"/>
  <c r="M284" i="8"/>
  <c r="S53" i="8"/>
  <c r="M79" i="8"/>
  <c r="S121" i="8"/>
  <c r="M121" i="8"/>
  <c r="S606" i="8"/>
  <c r="S626" i="8"/>
  <c r="M427" i="8"/>
  <c r="S371" i="8"/>
  <c r="S701" i="8"/>
  <c r="M701" i="8"/>
  <c r="M908" i="8"/>
  <c r="S548" i="8"/>
  <c r="S107" i="8"/>
  <c r="M107" i="8"/>
  <c r="S67" i="8"/>
  <c r="M67" i="8"/>
  <c r="S796" i="8"/>
  <c r="M796" i="8"/>
  <c r="M747" i="8"/>
  <c r="S691" i="8"/>
  <c r="M691" i="8"/>
  <c r="M561" i="8"/>
  <c r="M338" i="8"/>
  <c r="M856" i="8"/>
  <c r="S917" i="8"/>
  <c r="S342" i="8"/>
  <c r="S556" i="8"/>
  <c r="M556" i="8"/>
  <c r="S748" i="8"/>
  <c r="M748" i="8"/>
  <c r="M483" i="8"/>
  <c r="M522" i="8"/>
  <c r="S12" i="8"/>
  <c r="M545" i="8"/>
  <c r="S568" i="8"/>
  <c r="M568" i="8"/>
  <c r="M671" i="8"/>
  <c r="M484" i="8"/>
  <c r="M31" i="8"/>
  <c r="M109" i="8"/>
  <c r="M824" i="8"/>
  <c r="S840" i="8"/>
  <c r="M840" i="8"/>
  <c r="S900" i="8"/>
  <c r="M900" i="8"/>
  <c r="S554" i="8"/>
  <c r="S235" i="8"/>
  <c r="S13" i="8"/>
  <c r="S173" i="8"/>
  <c r="S183" i="8"/>
  <c r="M183" i="8"/>
  <c r="S331" i="8"/>
  <c r="M331" i="8"/>
  <c r="S390" i="8"/>
  <c r="M390" i="8"/>
  <c r="M51" i="8"/>
  <c r="S847" i="8"/>
  <c r="M847" i="8"/>
  <c r="S347" i="8"/>
  <c r="M347" i="8"/>
  <c r="S177" i="8"/>
  <c r="M988" i="8"/>
  <c r="S466" i="8"/>
  <c r="S360" i="8"/>
  <c r="M360" i="8"/>
  <c r="M899" i="8"/>
  <c r="M505" i="8"/>
  <c r="S136" i="8"/>
  <c r="S515" i="8"/>
  <c r="S641" i="8"/>
  <c r="M641" i="8"/>
  <c r="S26" i="8"/>
  <c r="S759" i="8"/>
  <c r="M759" i="8"/>
  <c r="S686" i="8"/>
  <c r="S275" i="8"/>
  <c r="S774" i="8"/>
  <c r="S196" i="8"/>
  <c r="M144" i="8"/>
  <c r="S723" i="8"/>
  <c r="M723" i="8"/>
  <c r="S321" i="8"/>
  <c r="M350" i="8"/>
  <c r="S714" i="8"/>
  <c r="M714" i="8"/>
  <c r="S420" i="8"/>
  <c r="S645" i="8"/>
  <c r="M645" i="8"/>
  <c r="M1007" i="8"/>
  <c r="M896" i="8"/>
  <c r="S413" i="8"/>
  <c r="M413" i="8"/>
  <c r="S557" i="8"/>
  <c r="M80" i="8"/>
  <c r="S431" i="8"/>
  <c r="S375" i="8"/>
  <c r="M375" i="8"/>
  <c r="S355" i="8"/>
  <c r="M355" i="8"/>
  <c r="S15" i="8"/>
  <c r="M15" i="8"/>
  <c r="M126" i="8"/>
  <c r="S772" i="8"/>
  <c r="S188" i="8"/>
  <c r="M188" i="8"/>
  <c r="M381" i="8"/>
  <c r="S143" i="8"/>
  <c r="M143" i="8"/>
  <c r="M531" i="8"/>
  <c r="S969" i="8"/>
  <c r="M969" i="8"/>
  <c r="S603" i="8"/>
  <c r="S944" i="8"/>
  <c r="M376" i="8"/>
  <c r="S744" i="8"/>
  <c r="M744" i="8"/>
  <c r="S560" i="8"/>
  <c r="S922" i="8"/>
  <c r="M922" i="8"/>
  <c r="S439" i="8"/>
  <c r="M439" i="8"/>
  <c r="S931" i="8"/>
  <c r="M931" i="8"/>
  <c r="S733" i="8"/>
  <c r="M733" i="8"/>
  <c r="S817" i="8"/>
  <c r="M817" i="8"/>
  <c r="S584" i="8"/>
  <c r="M584" i="8"/>
  <c r="S162" i="8"/>
  <c r="M162" i="8"/>
  <c r="M170" i="8"/>
  <c r="S567" i="8"/>
  <c r="S704" i="8"/>
  <c r="M704" i="8"/>
  <c r="S175" i="8"/>
  <c r="M175" i="8"/>
  <c r="AH390" i="8"/>
  <c r="Z390" i="8"/>
  <c r="AH483" i="8"/>
  <c r="Z522" i="8"/>
  <c r="AH824" i="8"/>
  <c r="Z840" i="8"/>
  <c r="Z906" i="8"/>
  <c r="AH632" i="8"/>
  <c r="AH702" i="8"/>
  <c r="Z702" i="8"/>
  <c r="Z422" i="8"/>
  <c r="Z554" i="8"/>
  <c r="AH235" i="8"/>
  <c r="Z235" i="8"/>
  <c r="Z634" i="8"/>
  <c r="AH347" i="8"/>
  <c r="Z347" i="8"/>
  <c r="Z432" i="8"/>
  <c r="AH293" i="8"/>
  <c r="AH857" i="8"/>
  <c r="Z857" i="8"/>
  <c r="AH138" i="8"/>
  <c r="AH452" i="8"/>
  <c r="AH26" i="8"/>
  <c r="AH940" i="8"/>
  <c r="Z759" i="8"/>
  <c r="Z774" i="8"/>
  <c r="AH144" i="8"/>
  <c r="Z723" i="8"/>
  <c r="AH321" i="8"/>
  <c r="AH350" i="8"/>
  <c r="AH228" i="8"/>
  <c r="AH616" i="8"/>
  <c r="Z616" i="8"/>
  <c r="AH645" i="8"/>
  <c r="Z645" i="8"/>
  <c r="AH845" i="8"/>
  <c r="Z845" i="8"/>
  <c r="AH1007" i="8"/>
  <c r="Z1007" i="8"/>
  <c r="Z896" i="8"/>
  <c r="Z508" i="8"/>
  <c r="AH972" i="8"/>
  <c r="Z557" i="8"/>
  <c r="AH882" i="8"/>
  <c r="Z882" i="8"/>
  <c r="AH431" i="8"/>
  <c r="Z608" i="8"/>
  <c r="AH800" i="8"/>
  <c r="Z263" i="8"/>
  <c r="AH355" i="8"/>
  <c r="Z355" i="8"/>
  <c r="Z662" i="8"/>
  <c r="AH977" i="8"/>
  <c r="AH51" i="8"/>
  <c r="Z51" i="8"/>
  <c r="Z655" i="8"/>
  <c r="AH15" i="8"/>
  <c r="Z667" i="8"/>
  <c r="Z957" i="8"/>
  <c r="Z167" i="8"/>
  <c r="AH188" i="8"/>
  <c r="Z188" i="8"/>
  <c r="AH381" i="8"/>
  <c r="Z381" i="8"/>
  <c r="AH143" i="8"/>
  <c r="Z143" i="8"/>
  <c r="AH870" i="8"/>
  <c r="AH881" i="8"/>
  <c r="AH376" i="8"/>
  <c r="AH744" i="8"/>
  <c r="Z744" i="8"/>
  <c r="AH922" i="8"/>
  <c r="Z922" i="8"/>
  <c r="AH439" i="8"/>
  <c r="Z439" i="8"/>
  <c r="AH307" i="8"/>
  <c r="Z307" i="8"/>
  <c r="AH733" i="8"/>
  <c r="Z733" i="8"/>
  <c r="AH817" i="8"/>
  <c r="Z817" i="8"/>
  <c r="Z584" i="8"/>
  <c r="AH162" i="8"/>
  <c r="Z162" i="8"/>
  <c r="AH170" i="8"/>
  <c r="AH567" i="8"/>
  <c r="Z160" i="8"/>
  <c r="AH704" i="8"/>
  <c r="Z704" i="8"/>
  <c r="Z811" i="8"/>
  <c r="AH63" i="8"/>
  <c r="AH596" i="8"/>
  <c r="AH880" i="8"/>
  <c r="Z532" i="8"/>
  <c r="AH500" i="8"/>
  <c r="Z89" i="8"/>
  <c r="AH106" i="8"/>
  <c r="AH140" i="8"/>
  <c r="Z140" i="8"/>
  <c r="Z709" i="8"/>
  <c r="AH988" i="8"/>
  <c r="Z988" i="8"/>
  <c r="AH673" i="8"/>
  <c r="AH243" i="8"/>
  <c r="AH356" i="8"/>
  <c r="Z515" i="8"/>
  <c r="Z863" i="8"/>
  <c r="AH641" i="8"/>
  <c r="AH123" i="8"/>
  <c r="Z123" i="8"/>
  <c r="Z602" i="8"/>
  <c r="AH183" i="8"/>
  <c r="Z183" i="8"/>
  <c r="AH969" i="8"/>
  <c r="Z969" i="8"/>
  <c r="Z289" i="8"/>
  <c r="AH438" i="8"/>
  <c r="Z740" i="8"/>
  <c r="AH147" i="8"/>
  <c r="Z147" i="8"/>
  <c r="AH536" i="8"/>
  <c r="Z536" i="8"/>
  <c r="AH999" i="8"/>
  <c r="AH16" i="8"/>
  <c r="AH52" i="8"/>
  <c r="Z284" i="8"/>
  <c r="AH622" i="8"/>
  <c r="Z622" i="8"/>
  <c r="AH121" i="8"/>
  <c r="Z121" i="8"/>
  <c r="AH836" i="8"/>
  <c r="AH606" i="8"/>
  <c r="AH331" i="8"/>
  <c r="Z331" i="8"/>
  <c r="AH847" i="8"/>
  <c r="Z847" i="8"/>
  <c r="AH700" i="8"/>
  <c r="AH902" i="8"/>
  <c r="AH166" i="8"/>
  <c r="AH721" i="8"/>
  <c r="AH427" i="8"/>
  <c r="Z427" i="8"/>
  <c r="AH756" i="8"/>
  <c r="Z756" i="8"/>
  <c r="AH701" i="8"/>
  <c r="Z701" i="8"/>
  <c r="Z908" i="8"/>
  <c r="AH548" i="8"/>
  <c r="Z548" i="8"/>
  <c r="AH107" i="8"/>
  <c r="Z107" i="8"/>
  <c r="AH67" i="8"/>
  <c r="Z67" i="8"/>
  <c r="AH796" i="8"/>
  <c r="Z796" i="8"/>
  <c r="Z783" i="8"/>
  <c r="Z428" i="8"/>
  <c r="AH38" i="8"/>
  <c r="AH240" i="8"/>
  <c r="AH27" i="8"/>
  <c r="AH856" i="8"/>
  <c r="Z856" i="8"/>
  <c r="Z917" i="8"/>
  <c r="Z725" i="8"/>
  <c r="AH342" i="8"/>
  <c r="Z342" i="8"/>
  <c r="AH17" i="8"/>
  <c r="AH556" i="8"/>
  <c r="Z556" i="8"/>
  <c r="AH748" i="8"/>
  <c r="Z748" i="8"/>
  <c r="AH825" i="8"/>
  <c r="AH529" i="8"/>
  <c r="AH459" i="8"/>
  <c r="Z459" i="8"/>
  <c r="AH952" i="8"/>
  <c r="AH12" i="8"/>
  <c r="Z545" i="8"/>
  <c r="AH757" i="8"/>
  <c r="AH473" i="8"/>
  <c r="Z754" i="8"/>
  <c r="AH484" i="8"/>
  <c r="Z484" i="8"/>
  <c r="Z31" i="8"/>
  <c r="AH755" i="8"/>
  <c r="F639" i="5"/>
  <c r="F77" i="5"/>
  <c r="F119" i="5"/>
  <c r="F351" i="5"/>
  <c r="F604" i="5"/>
  <c r="F763" i="5"/>
  <c r="F181" i="5"/>
  <c r="F534" i="5"/>
  <c r="F764" i="5"/>
  <c r="F754" i="5"/>
  <c r="F758" i="5"/>
  <c r="F906" i="5"/>
  <c r="F549" i="5"/>
  <c r="F546" i="5"/>
  <c r="F105" i="5"/>
  <c r="F65" i="5"/>
  <c r="F794" i="5"/>
  <c r="F866" i="5"/>
  <c r="F282" i="5"/>
  <c r="F689" i="5"/>
  <c r="F426" i="5"/>
  <c r="F559" i="5"/>
  <c r="F693" i="5"/>
  <c r="F915" i="5"/>
  <c r="F340" i="5"/>
  <c r="F41" i="5"/>
  <c r="F746" i="5"/>
  <c r="F207" i="5"/>
  <c r="F138" i="5"/>
  <c r="F297" i="5"/>
  <c r="F471" i="5"/>
  <c r="F752" i="5"/>
  <c r="F303" i="5"/>
  <c r="F669" i="5"/>
  <c r="F714" i="5"/>
  <c r="F626" i="5"/>
  <c r="F29" i="5"/>
  <c r="F865" i="5"/>
  <c r="F581" i="5"/>
  <c r="F705" i="5"/>
  <c r="F904" i="5"/>
  <c r="F973" i="5"/>
  <c r="F233" i="5"/>
  <c r="F388" i="5"/>
  <c r="F345" i="5"/>
  <c r="F267" i="5"/>
  <c r="F175" i="5"/>
  <c r="F986" i="5"/>
  <c r="F503" i="5"/>
  <c r="F63" i="5"/>
  <c r="F110" i="5"/>
  <c r="F600" i="5"/>
  <c r="F845" i="5"/>
  <c r="F772" i="5"/>
  <c r="F269" i="5"/>
  <c r="F253" i="5"/>
  <c r="F142" i="5"/>
  <c r="F721" i="5"/>
  <c r="F319" i="5"/>
  <c r="F418" i="5"/>
  <c r="F643" i="5"/>
  <c r="F121" i="5"/>
  <c r="F967" i="5"/>
  <c r="F291" i="5"/>
  <c r="F727" i="5"/>
  <c r="F561" i="5"/>
  <c r="F99" i="5"/>
  <c r="F880" i="5"/>
  <c r="F373" i="5"/>
  <c r="F126" i="5"/>
  <c r="F261" i="5"/>
  <c r="F353" i="5"/>
  <c r="F61" i="5"/>
  <c r="F275" i="5"/>
  <c r="F136" i="5"/>
  <c r="F893" i="5"/>
  <c r="F653" i="5"/>
  <c r="F13" i="5"/>
  <c r="F165" i="5"/>
  <c r="F124" i="5"/>
  <c r="F770" i="5"/>
  <c r="F186" i="5"/>
  <c r="F379" i="5"/>
  <c r="F141" i="5"/>
  <c r="F743" i="5"/>
  <c r="F329" i="5"/>
  <c r="F430" i="5"/>
  <c r="F440" i="5"/>
  <c r="F1005" i="5"/>
  <c r="F742" i="5"/>
  <c r="F860" i="5"/>
  <c r="F920" i="5"/>
  <c r="F437" i="5"/>
  <c r="F305" i="5"/>
  <c r="F923" i="5"/>
  <c r="F731" i="5"/>
  <c r="F815" i="5"/>
  <c r="F582" i="5"/>
  <c r="F160" i="5"/>
  <c r="F565" i="5"/>
  <c r="F702" i="5"/>
  <c r="F288" i="5"/>
  <c r="G32" i="3" a="1"/>
  <c r="G32" i="3" s="1"/>
  <c r="I32" i="3" s="1"/>
  <c r="AH642" i="8" l="1"/>
  <c r="Z33" i="8"/>
  <c r="AH185" i="8"/>
  <c r="M1001" i="8"/>
  <c r="S649" i="8"/>
  <c r="AH33" i="8"/>
  <c r="AH490" i="8"/>
  <c r="AH165" i="8"/>
  <c r="S110" i="8"/>
  <c r="S639" i="8"/>
  <c r="F826" i="5"/>
  <c r="N828" i="8" s="1"/>
  <c r="Z482" i="8"/>
  <c r="AH615" i="8"/>
  <c r="F97" i="5"/>
  <c r="F104" i="5"/>
  <c r="Z682" i="8"/>
  <c r="Z899" i="8"/>
  <c r="Z136" i="8"/>
  <c r="S101" i="8"/>
  <c r="M230" i="8"/>
  <c r="M482" i="8"/>
  <c r="F90" i="5"/>
  <c r="G90" i="5" s="1"/>
  <c r="U92" i="8" s="1"/>
  <c r="Z659" i="8"/>
  <c r="Z828" i="8"/>
  <c r="Z743" i="8"/>
  <c r="Z693" i="8"/>
  <c r="AH88" i="8"/>
  <c r="S506" i="8"/>
  <c r="F108" i="5"/>
  <c r="F298" i="5"/>
  <c r="N300" i="8" s="1"/>
  <c r="Z546" i="8"/>
  <c r="Z747" i="8"/>
  <c r="Z226" i="8"/>
  <c r="Z729" i="8"/>
  <c r="Z109" i="8"/>
  <c r="M68" i="8"/>
  <c r="F654" i="5"/>
  <c r="F692" i="5"/>
  <c r="F837" i="5"/>
  <c r="F736" i="5"/>
  <c r="T738" i="8" s="1"/>
  <c r="F127" i="5"/>
  <c r="F965" i="5"/>
  <c r="F28" i="5"/>
  <c r="AI30" i="8" s="1"/>
  <c r="F680" i="5"/>
  <c r="T682" i="8" s="1"/>
  <c r="AH628" i="8"/>
  <c r="AH30" i="8"/>
  <c r="Z722" i="8"/>
  <c r="AH769" i="8"/>
  <c r="AH747" i="8"/>
  <c r="AH300" i="8"/>
  <c r="Z694" i="8"/>
  <c r="AH584" i="8"/>
  <c r="AH29" i="8"/>
  <c r="AH226" i="8"/>
  <c r="AH554" i="8"/>
  <c r="S160" i="8"/>
  <c r="M307" i="8"/>
  <c r="S381" i="8"/>
  <c r="S246" i="8"/>
  <c r="M508" i="8"/>
  <c r="S88" i="8"/>
  <c r="M906" i="8"/>
  <c r="S68" i="8"/>
  <c r="M622" i="8"/>
  <c r="M694" i="8"/>
  <c r="AH403" i="8"/>
  <c r="Z165" i="8"/>
  <c r="M110" i="8"/>
  <c r="S165" i="8"/>
  <c r="F452" i="5"/>
  <c r="T454" i="8" s="1"/>
  <c r="F720" i="5"/>
  <c r="AI722" i="8" s="1"/>
  <c r="S264" i="8"/>
  <c r="F999" i="5"/>
  <c r="F79" i="5"/>
  <c r="Z775" i="8"/>
  <c r="Z792" i="8"/>
  <c r="M977" i="8"/>
  <c r="M23" i="8"/>
  <c r="F27" i="5"/>
  <c r="T29" i="8" s="1"/>
  <c r="F489" i="5"/>
  <c r="T491" i="8" s="1"/>
  <c r="AH482" i="8"/>
  <c r="AH792" i="8"/>
  <c r="Z88" i="8"/>
  <c r="S977" i="8"/>
  <c r="M506" i="8"/>
  <c r="S250" i="8"/>
  <c r="AH682" i="8"/>
  <c r="AH899" i="8"/>
  <c r="M209" i="8"/>
  <c r="M148" i="8"/>
  <c r="M682" i="8"/>
  <c r="F665" i="5"/>
  <c r="AI667" i="8" s="1"/>
  <c r="F24" i="5"/>
  <c r="AI26" i="8" s="1"/>
  <c r="F803" i="5"/>
  <c r="AI805" i="8" s="1"/>
  <c r="F950" i="5"/>
  <c r="T952" i="8" s="1"/>
  <c r="Z628" i="8"/>
  <c r="AH604" i="8"/>
  <c r="Z59" i="8"/>
  <c r="AH805" i="8"/>
  <c r="AH743" i="8"/>
  <c r="AH693" i="8"/>
  <c r="Z29" i="8"/>
  <c r="S521" i="8"/>
  <c r="S209" i="8"/>
  <c r="F498" i="5"/>
  <c r="T500" i="8" s="1"/>
  <c r="F244" i="5"/>
  <c r="G244" i="5" s="1"/>
  <c r="U246" i="8" s="1"/>
  <c r="F315" i="5"/>
  <c r="AI317" i="8" s="1"/>
  <c r="F888" i="5"/>
  <c r="G888" i="5" s="1"/>
  <c r="U890" i="8" s="1"/>
  <c r="F140" i="5"/>
  <c r="F831" i="5"/>
  <c r="F624" i="5"/>
  <c r="AH23" i="8"/>
  <c r="AH95" i="8"/>
  <c r="Z81" i="8"/>
  <c r="AH694" i="8"/>
  <c r="AH454" i="8"/>
  <c r="Z977" i="8"/>
  <c r="AH491" i="8"/>
  <c r="S307" i="8"/>
  <c r="M944" i="8"/>
  <c r="M897" i="8"/>
  <c r="M608" i="8"/>
  <c r="S508" i="8"/>
  <c r="S226" i="8"/>
  <c r="M26" i="8"/>
  <c r="S906" i="8"/>
  <c r="M548" i="8"/>
  <c r="S622" i="8"/>
  <c r="S694" i="8"/>
  <c r="F37" i="5"/>
  <c r="G37" i="5" s="1"/>
  <c r="U39" i="8" s="1"/>
  <c r="F226" i="5"/>
  <c r="AI228" i="8" s="1"/>
  <c r="AH740" i="8"/>
  <c r="Z649" i="8"/>
  <c r="S741" i="8"/>
  <c r="F740" i="5"/>
  <c r="F984" i="5"/>
  <c r="T986" i="8" s="1"/>
  <c r="F895" i="5"/>
  <c r="F490" i="5"/>
  <c r="T492" i="8" s="1"/>
  <c r="F320" i="5"/>
  <c r="AA322" i="8" s="1"/>
  <c r="F354" i="5"/>
  <c r="T356" i="8" s="1"/>
  <c r="F935" i="5"/>
  <c r="AA937" i="8" s="1"/>
  <c r="AH19" i="8"/>
  <c r="Z209" i="8"/>
  <c r="AH345" i="8"/>
  <c r="Z479" i="8"/>
  <c r="Z626" i="8"/>
  <c r="AH944" i="8"/>
  <c r="AH420" i="8"/>
  <c r="Z230" i="8"/>
  <c r="Z873" i="8"/>
  <c r="M986" i="8"/>
  <c r="S322" i="8"/>
  <c r="S1007" i="8"/>
  <c r="M69" i="8"/>
  <c r="S747" i="8"/>
  <c r="F497" i="5"/>
  <c r="T499" i="8" s="1"/>
  <c r="F210" i="5"/>
  <c r="F86" i="5"/>
  <c r="F292" i="5"/>
  <c r="N294" i="8" s="1"/>
  <c r="F554" i="5"/>
  <c r="G554" i="5" s="1"/>
  <c r="U556" i="8" s="1"/>
  <c r="F580" i="5"/>
  <c r="F620" i="5"/>
  <c r="AH209" i="8"/>
  <c r="AH908" i="8"/>
  <c r="Z642" i="8"/>
  <c r="AH626" i="8"/>
  <c r="AH150" i="8"/>
  <c r="Z641" i="8"/>
  <c r="Z967" i="8"/>
  <c r="Z185" i="8"/>
  <c r="Z228" i="8"/>
  <c r="AH873" i="8"/>
  <c r="S317" i="8"/>
  <c r="M182" i="8"/>
  <c r="S117" i="8"/>
  <c r="M879" i="8"/>
  <c r="F660" i="5"/>
  <c r="G660" i="5" s="1"/>
  <c r="U662" i="8" s="1"/>
  <c r="F400" i="5"/>
  <c r="T402" i="8" s="1"/>
  <c r="F125" i="5"/>
  <c r="AI127" i="8" s="1"/>
  <c r="F637" i="5"/>
  <c r="T639" i="8" s="1"/>
  <c r="Z39" i="8"/>
  <c r="Z285" i="8"/>
  <c r="Z486" i="8"/>
  <c r="Z492" i="8"/>
  <c r="S99" i="8"/>
  <c r="S89" i="8"/>
  <c r="F17" i="5"/>
  <c r="N19" i="8" s="1"/>
  <c r="Z65" i="8"/>
  <c r="M499" i="8"/>
  <c r="M281" i="8"/>
  <c r="M89" i="8"/>
  <c r="F519" i="5"/>
  <c r="T521" i="8" s="1"/>
  <c r="F183" i="5"/>
  <c r="F504" i="5"/>
  <c r="T506" i="8" s="1"/>
  <c r="F21" i="5"/>
  <c r="AA23" i="8" s="1"/>
  <c r="Z99" i="8"/>
  <c r="Z246" i="8"/>
  <c r="Z465" i="8"/>
  <c r="M486" i="8"/>
  <c r="S825" i="8"/>
  <c r="M369" i="8"/>
  <c r="F942" i="5"/>
  <c r="G942" i="5" s="1"/>
  <c r="U944" i="8" s="1"/>
  <c r="F603" i="5"/>
  <c r="AI605" i="8" s="1"/>
  <c r="F871" i="5"/>
  <c r="N873" i="8" s="1"/>
  <c r="F527" i="5"/>
  <c r="F44" i="5"/>
  <c r="N46" i="8" s="1"/>
  <c r="F139" i="5"/>
  <c r="AI141" i="8" s="1"/>
  <c r="AH99" i="8"/>
  <c r="Z306" i="8"/>
  <c r="Z220" i="8"/>
  <c r="AH657" i="8"/>
  <c r="Z79" i="8"/>
  <c r="AH971" i="8"/>
  <c r="Z741" i="8"/>
  <c r="AH285" i="8"/>
  <c r="Z897" i="8"/>
  <c r="AH246" i="8"/>
  <c r="Z232" i="8"/>
  <c r="M490" i="8"/>
  <c r="S682" i="8"/>
  <c r="S369" i="8"/>
  <c r="F601" i="5"/>
  <c r="AI603" i="8" s="1"/>
  <c r="F321" i="5"/>
  <c r="AI323" i="8" s="1"/>
  <c r="F279" i="5"/>
  <c r="AI281" i="8" s="1"/>
  <c r="Z825" i="8"/>
  <c r="AH937" i="8"/>
  <c r="AH79" i="8"/>
  <c r="Z677" i="8"/>
  <c r="AH65" i="8"/>
  <c r="Z268" i="8"/>
  <c r="AH741" i="8"/>
  <c r="AH897" i="8"/>
  <c r="Z800" i="8"/>
  <c r="Z255" i="8"/>
  <c r="M160" i="8"/>
  <c r="M521" i="8"/>
  <c r="M593" i="8"/>
  <c r="S490" i="8"/>
  <c r="M805" i="8"/>
  <c r="M657" i="8"/>
  <c r="M606" i="8"/>
  <c r="AH602" i="8"/>
  <c r="AH474" i="8"/>
  <c r="Z308" i="8"/>
  <c r="M180" i="8"/>
  <c r="M189" i="8"/>
  <c r="S103" i="8"/>
  <c r="F773" i="5"/>
  <c r="AA775" i="8" s="1"/>
  <c r="F790" i="5"/>
  <c r="T792" i="8" s="1"/>
  <c r="F817" i="5"/>
  <c r="AI819" i="8" s="1"/>
  <c r="F698" i="5"/>
  <c r="AA700" i="8" s="1"/>
  <c r="F57" i="5"/>
  <c r="AI59" i="8" s="1"/>
  <c r="F51" i="5"/>
  <c r="AH574" i="8"/>
  <c r="Z53" i="8"/>
  <c r="Z212" i="8"/>
  <c r="AH136" i="8"/>
  <c r="AH308" i="8"/>
  <c r="S402" i="8"/>
  <c r="M615" i="8"/>
  <c r="M59" i="8"/>
  <c r="M399" i="8"/>
  <c r="F741" i="5"/>
  <c r="AH417" i="8"/>
  <c r="Z506" i="8"/>
  <c r="M81" i="8"/>
  <c r="S258" i="8"/>
  <c r="M308" i="8"/>
  <c r="M255" i="8"/>
  <c r="M729" i="8"/>
  <c r="M855" i="8"/>
  <c r="M628" i="8"/>
  <c r="M43" i="8"/>
  <c r="M574" i="8"/>
  <c r="S253" i="8"/>
  <c r="S79" i="8"/>
  <c r="S399" i="8"/>
  <c r="M749" i="8"/>
  <c r="Z229" i="8"/>
  <c r="Z574" i="8"/>
  <c r="M800" i="8"/>
  <c r="Z323" i="8"/>
  <c r="AH828" i="8"/>
  <c r="AH354" i="8"/>
  <c r="AH230" i="8"/>
  <c r="S800" i="8"/>
  <c r="S751" i="8"/>
  <c r="M253" i="8"/>
  <c r="M693" i="8"/>
  <c r="F778" i="5"/>
  <c r="F178" i="5"/>
  <c r="AI180" i="8" s="1"/>
  <c r="F256" i="5"/>
  <c r="AI258" i="8" s="1"/>
  <c r="F681" i="5"/>
  <c r="F502" i="5"/>
  <c r="N504" i="8" s="1"/>
  <c r="F163" i="5"/>
  <c r="T165" i="8" s="1"/>
  <c r="F304" i="5"/>
  <c r="AI306" i="8" s="1"/>
  <c r="F572" i="5"/>
  <c r="AA574" i="8" s="1"/>
  <c r="F251" i="5"/>
  <c r="AH732" i="8"/>
  <c r="Z43" i="8"/>
  <c r="Z46" i="8"/>
  <c r="Z932" i="8"/>
  <c r="Z712" i="8"/>
  <c r="Z203" i="8"/>
  <c r="Z369" i="8"/>
  <c r="AH53" i="8"/>
  <c r="Z189" i="8"/>
  <c r="AH117" i="8"/>
  <c r="AH787" i="8"/>
  <c r="Z839" i="8"/>
  <c r="F745" i="5"/>
  <c r="F739" i="5"/>
  <c r="F133" i="5"/>
  <c r="Z68" i="8"/>
  <c r="AH43" i="8"/>
  <c r="AH901" i="8"/>
  <c r="Z700" i="8"/>
  <c r="Z606" i="8"/>
  <c r="Z780" i="8"/>
  <c r="Z944" i="8"/>
  <c r="Z499" i="8"/>
  <c r="AH69" i="8"/>
  <c r="Z491" i="8"/>
  <c r="S308" i="8"/>
  <c r="S95" i="8"/>
  <c r="S975" i="8"/>
  <c r="S628" i="8"/>
  <c r="S43" i="8"/>
  <c r="S574" i="8"/>
  <c r="M626" i="8"/>
  <c r="M53" i="8"/>
  <c r="S749" i="8"/>
  <c r="AH560" i="8"/>
  <c r="Z560" i="8"/>
  <c r="F750" i="5"/>
  <c r="Z752" i="8"/>
  <c r="S752" i="8"/>
  <c r="AH752" i="8"/>
  <c r="S563" i="8"/>
  <c r="Z563" i="8"/>
  <c r="H431" i="8"/>
  <c r="Z431" i="8"/>
  <c r="F429" i="5"/>
  <c r="T431" i="8" s="1"/>
  <c r="H633" i="8"/>
  <c r="S633" i="8"/>
  <c r="M633" i="8"/>
  <c r="AH633" i="8"/>
  <c r="F631" i="5"/>
  <c r="H655" i="8"/>
  <c r="AH655" i="8"/>
  <c r="H194" i="8"/>
  <c r="F192" i="5"/>
  <c r="AI194" i="8" s="1"/>
  <c r="S194" i="8"/>
  <c r="H126" i="8"/>
  <c r="Z126" i="8"/>
  <c r="Z173" i="8"/>
  <c r="F171" i="5"/>
  <c r="N173" i="8" s="1"/>
  <c r="AH173" i="8"/>
  <c r="H63" i="8"/>
  <c r="Z63" i="8"/>
  <c r="H596" i="8"/>
  <c r="F594" i="5"/>
  <c r="AI596" i="8" s="1"/>
  <c r="S596" i="8"/>
  <c r="H187" i="8"/>
  <c r="AH187" i="8"/>
  <c r="S187" i="8"/>
  <c r="Z187" i="8"/>
  <c r="F185" i="5"/>
  <c r="AI187" i="8" s="1"/>
  <c r="H532" i="8"/>
  <c r="AH532" i="8"/>
  <c r="H108" i="8"/>
  <c r="AH108" i="8"/>
  <c r="F106" i="5"/>
  <c r="S108" i="8"/>
  <c r="H673" i="8"/>
  <c r="S673" i="8"/>
  <c r="H531" i="8"/>
  <c r="Z531" i="8"/>
  <c r="F529" i="5"/>
  <c r="G529" i="5" s="1"/>
  <c r="U531" i="8" s="1"/>
  <c r="S531" i="8"/>
  <c r="H867" i="8"/>
  <c r="M867" i="8"/>
  <c r="Z956" i="8"/>
  <c r="AH956" i="8"/>
  <c r="S956" i="8"/>
  <c r="H515" i="8"/>
  <c r="F513" i="5"/>
  <c r="G513" i="5" s="1"/>
  <c r="U515" i="8" s="1"/>
  <c r="AH515" i="8"/>
  <c r="Z438" i="8"/>
  <c r="F436" i="5"/>
  <c r="T438" i="8" s="1"/>
  <c r="M147" i="8"/>
  <c r="F145" i="5"/>
  <c r="G145" i="5" s="1"/>
  <c r="U147" i="8" s="1"/>
  <c r="H536" i="8"/>
  <c r="M536" i="8"/>
  <c r="S536" i="8"/>
  <c r="H583" i="8"/>
  <c r="Z583" i="8"/>
  <c r="AH583" i="8"/>
  <c r="S583" i="8"/>
  <c r="H284" i="8"/>
  <c r="S284" i="8"/>
  <c r="AH284" i="8"/>
  <c r="H691" i="8"/>
  <c r="AH691" i="8"/>
  <c r="Z691" i="8"/>
  <c r="H721" i="8"/>
  <c r="S721" i="8"/>
  <c r="M721" i="8"/>
  <c r="Z721" i="8"/>
  <c r="F719" i="5"/>
  <c r="H427" i="8"/>
  <c r="S427" i="8"/>
  <c r="F425" i="5"/>
  <c r="AI427" i="8" s="1"/>
  <c r="AH766" i="8"/>
  <c r="Z766" i="8"/>
  <c r="M766" i="8"/>
  <c r="H701" i="8"/>
  <c r="F699" i="5"/>
  <c r="H551" i="8"/>
  <c r="S551" i="8"/>
  <c r="M551" i="8"/>
  <c r="AH551" i="8"/>
  <c r="Z551" i="8"/>
  <c r="M783" i="8"/>
  <c r="AH783" i="8"/>
  <c r="F781" i="5"/>
  <c r="T783" i="8" s="1"/>
  <c r="AH561" i="8"/>
  <c r="Z561" i="8"/>
  <c r="H38" i="8"/>
  <c r="S38" i="8"/>
  <c r="M38" i="8"/>
  <c r="F36" i="5"/>
  <c r="Z38" i="8"/>
  <c r="H27" i="8"/>
  <c r="Z27" i="8"/>
  <c r="S27" i="8"/>
  <c r="M27" i="8"/>
  <c r="F25" i="5"/>
  <c r="N27" i="8" s="1"/>
  <c r="H917" i="8"/>
  <c r="AH917" i="8"/>
  <c r="M917" i="8"/>
  <c r="H342" i="8"/>
  <c r="M342" i="8"/>
  <c r="H459" i="8"/>
  <c r="F457" i="5"/>
  <c r="S459" i="8"/>
  <c r="M459" i="8"/>
  <c r="H12" i="8"/>
  <c r="Z12" i="8"/>
  <c r="F10" i="5"/>
  <c r="AI12" i="8" s="1"/>
  <c r="M12" i="8"/>
  <c r="H568" i="8"/>
  <c r="AH568" i="8"/>
  <c r="Z568" i="8"/>
  <c r="F566" i="5"/>
  <c r="H754" i="8"/>
  <c r="S754" i="8"/>
  <c r="M754" i="8"/>
  <c r="AH754" i="8"/>
  <c r="H671" i="8"/>
  <c r="AH671" i="8"/>
  <c r="Z671" i="8"/>
  <c r="S671" i="8"/>
  <c r="S290" i="8"/>
  <c r="AH290" i="8"/>
  <c r="Z290" i="8"/>
  <c r="F359" i="5"/>
  <c r="S361" i="8"/>
  <c r="AH361" i="8"/>
  <c r="Z361" i="8"/>
  <c r="H840" i="8"/>
  <c r="F838" i="5"/>
  <c r="T840" i="8" s="1"/>
  <c r="AH840" i="8"/>
  <c r="H900" i="8"/>
  <c r="AH900" i="8"/>
  <c r="Z900" i="8"/>
  <c r="F898" i="5"/>
  <c r="S422" i="8"/>
  <c r="M422" i="8"/>
  <c r="F420" i="5"/>
  <c r="H235" i="8"/>
  <c r="M235" i="8"/>
  <c r="H466" i="8"/>
  <c r="F464" i="5"/>
  <c r="AI466" i="8" s="1"/>
  <c r="AH466" i="8"/>
  <c r="Z466" i="8"/>
  <c r="M466" i="8"/>
  <c r="H988" i="8"/>
  <c r="S988" i="8"/>
  <c r="H857" i="8"/>
  <c r="S857" i="8"/>
  <c r="M857" i="8"/>
  <c r="F855" i="5"/>
  <c r="H442" i="8"/>
  <c r="Z442" i="8"/>
  <c r="S442" i="8"/>
  <c r="AH442" i="8"/>
  <c r="M442" i="8"/>
  <c r="H759" i="8"/>
  <c r="F757" i="5"/>
  <c r="AI759" i="8" s="1"/>
  <c r="AH759" i="8"/>
  <c r="M271" i="8"/>
  <c r="AH271" i="8"/>
  <c r="Z271" i="8"/>
  <c r="H723" i="8"/>
  <c r="AH723" i="8"/>
  <c r="H832" i="8"/>
  <c r="AH832" i="8"/>
  <c r="Z832" i="8"/>
  <c r="S832" i="8"/>
  <c r="F830" i="5"/>
  <c r="G830" i="5" s="1"/>
  <c r="U832" i="8" s="1"/>
  <c r="M832" i="8"/>
  <c r="H360" i="8"/>
  <c r="AH360" i="8"/>
  <c r="Z360" i="8"/>
  <c r="F358" i="5"/>
  <c r="H413" i="8"/>
  <c r="AH413" i="8"/>
  <c r="F411" i="5"/>
  <c r="AI413" i="8" s="1"/>
  <c r="Z413" i="8"/>
  <c r="H882" i="8"/>
  <c r="M882" i="8"/>
  <c r="S882" i="8"/>
  <c r="H128" i="8"/>
  <c r="AH128" i="8"/>
  <c r="Z128" i="8"/>
  <c r="S128" i="8"/>
  <c r="M128" i="8"/>
  <c r="F588" i="5"/>
  <c r="AH590" i="8"/>
  <c r="Z590" i="8"/>
  <c r="M590" i="8"/>
  <c r="H755" i="8"/>
  <c r="S755" i="8"/>
  <c r="Z755" i="8"/>
  <c r="M755" i="8"/>
  <c r="F753" i="5"/>
  <c r="N755" i="8" s="1"/>
  <c r="H505" i="8"/>
  <c r="Z505" i="8"/>
  <c r="S505" i="8"/>
  <c r="AH505" i="8"/>
  <c r="Z288" i="8"/>
  <c r="M103" i="8"/>
  <c r="S224" i="8"/>
  <c r="S855" i="8"/>
  <c r="Z103" i="8"/>
  <c r="AH89" i="8"/>
  <c r="Z171" i="8"/>
  <c r="AH232" i="8"/>
  <c r="S711" i="8"/>
  <c r="S17" i="8"/>
  <c r="M980" i="8"/>
  <c r="Z714" i="8"/>
  <c r="F712" i="5"/>
  <c r="AI714" i="8" s="1"/>
  <c r="AH714" i="8"/>
  <c r="F798" i="5"/>
  <c r="AA800" i="8" s="1"/>
  <c r="F87" i="5"/>
  <c r="AI89" i="8" s="1"/>
  <c r="F476" i="5"/>
  <c r="AI478" i="8" s="1"/>
  <c r="AH190" i="8"/>
  <c r="F823" i="5"/>
  <c r="H9" i="8"/>
  <c r="AH72" i="8"/>
  <c r="AH103" i="8"/>
  <c r="AH171" i="8"/>
  <c r="S203" i="8"/>
  <c r="M881" i="8"/>
  <c r="S357" i="8"/>
  <c r="Z17" i="8"/>
  <c r="AH384" i="8"/>
  <c r="Z399" i="8"/>
  <c r="M402" i="8"/>
  <c r="S881" i="8"/>
  <c r="F96" i="5"/>
  <c r="AH98" i="8"/>
  <c r="AH198" i="8"/>
  <c r="Z198" i="8"/>
  <c r="M652" i="8"/>
  <c r="AH659" i="8"/>
  <c r="AH883" i="8"/>
  <c r="AH906" i="8"/>
  <c r="M428" i="8"/>
  <c r="AH115" i="8"/>
  <c r="Z115" i="8"/>
  <c r="H524" i="8"/>
  <c r="AH524" i="8"/>
  <c r="H440" i="8"/>
  <c r="F438" i="5"/>
  <c r="AI440" i="8" s="1"/>
  <c r="H527" i="8"/>
  <c r="F525" i="5"/>
  <c r="F813" i="5"/>
  <c r="N815" i="8" s="1"/>
  <c r="Z815" i="8"/>
  <c r="H119" i="8"/>
  <c r="M119" i="8"/>
  <c r="H853" i="8"/>
  <c r="Z853" i="8"/>
  <c r="H558" i="8"/>
  <c r="F556" i="5"/>
  <c r="G556" i="5" s="1"/>
  <c r="U558" i="8" s="1"/>
  <c r="H418" i="8"/>
  <c r="S418" i="8"/>
  <c r="H957" i="8"/>
  <c r="F955" i="5"/>
  <c r="S517" i="8"/>
  <c r="Z517" i="8"/>
  <c r="H811" i="8"/>
  <c r="AH811" i="8"/>
  <c r="F809" i="5"/>
  <c r="N811" i="8" s="1"/>
  <c r="H294" i="8"/>
  <c r="AH294" i="8"/>
  <c r="H277" i="8"/>
  <c r="Z277" i="8"/>
  <c r="H971" i="8"/>
  <c r="S971" i="8"/>
  <c r="M243" i="8"/>
  <c r="F241" i="5"/>
  <c r="G241" i="5" s="1"/>
  <c r="U243" i="8" s="1"/>
  <c r="S599" i="8"/>
  <c r="M599" i="8"/>
  <c r="Z599" i="8"/>
  <c r="H91" i="8"/>
  <c r="AH91" i="8"/>
  <c r="F89" i="5"/>
  <c r="T91" i="8" s="1"/>
  <c r="F782" i="5"/>
  <c r="AI784" i="8" s="1"/>
  <c r="Z784" i="8"/>
  <c r="F11" i="5"/>
  <c r="M13" i="8"/>
  <c r="AH13" i="8"/>
  <c r="H547" i="8"/>
  <c r="S547" i="8"/>
  <c r="F545" i="5"/>
  <c r="N547" i="8" s="1"/>
  <c r="H371" i="8"/>
  <c r="F369" i="5"/>
  <c r="G369" i="5" s="1"/>
  <c r="U371" i="8" s="1"/>
  <c r="H64" i="8"/>
  <c r="Z64" i="8"/>
  <c r="F62" i="5"/>
  <c r="G62" i="5" s="1"/>
  <c r="U64" i="8" s="1"/>
  <c r="M833" i="8"/>
  <c r="AH833" i="8"/>
  <c r="H856" i="8"/>
  <c r="F854" i="5"/>
  <c r="M664" i="8"/>
  <c r="Z664" i="8"/>
  <c r="H534" i="8"/>
  <c r="M534" i="8"/>
  <c r="Z534" i="8"/>
  <c r="H546" i="8"/>
  <c r="F544" i="5"/>
  <c r="G544" i="5" s="1"/>
  <c r="U546" i="8" s="1"/>
  <c r="S546" i="8"/>
  <c r="M546" i="8"/>
  <c r="Z18" i="8"/>
  <c r="F16" i="5"/>
  <c r="T18" i="8" s="1"/>
  <c r="S707" i="8"/>
  <c r="AH707" i="8"/>
  <c r="M830" i="8"/>
  <c r="AH830" i="8"/>
  <c r="S328" i="8"/>
  <c r="AH328" i="8"/>
  <c r="M328" i="8"/>
  <c r="H432" i="8"/>
  <c r="AH432" i="8"/>
  <c r="Z275" i="8"/>
  <c r="M275" i="8"/>
  <c r="F586" i="5"/>
  <c r="H462" i="8"/>
  <c r="AH462" i="8"/>
  <c r="F460" i="5"/>
  <c r="T462" i="8" s="1"/>
  <c r="H1008" i="8"/>
  <c r="F1006" i="5"/>
  <c r="G1006" i="5" s="1"/>
  <c r="U1008" i="8" s="1"/>
  <c r="H745" i="8"/>
  <c r="AH745" i="8"/>
  <c r="H184" i="8"/>
  <c r="AH184" i="8"/>
  <c r="H902" i="8"/>
  <c r="F900" i="5"/>
  <c r="H21" i="8"/>
  <c r="AH21" i="8"/>
  <c r="Z21" i="8"/>
  <c r="F19" i="5"/>
  <c r="AI21" i="8" s="1"/>
  <c r="H30" i="8"/>
  <c r="S30" i="8"/>
  <c r="H240" i="8"/>
  <c r="Z240" i="8"/>
  <c r="S240" i="8"/>
  <c r="H695" i="8"/>
  <c r="S695" i="8"/>
  <c r="Z695" i="8"/>
  <c r="M695" i="8"/>
  <c r="H725" i="8"/>
  <c r="F723" i="5"/>
  <c r="T725" i="8" s="1"/>
  <c r="S725" i="8"/>
  <c r="AH725" i="8"/>
  <c r="H522" i="8"/>
  <c r="S522" i="8"/>
  <c r="H952" i="8"/>
  <c r="Z952" i="8"/>
  <c r="M952" i="8"/>
  <c r="H757" i="8"/>
  <c r="S757" i="8"/>
  <c r="M757" i="8"/>
  <c r="Z757" i="8"/>
  <c r="F755" i="5"/>
  <c r="G755" i="5" s="1"/>
  <c r="U757" i="8" s="1"/>
  <c r="H473" i="8"/>
  <c r="Z473" i="8"/>
  <c r="S473" i="8"/>
  <c r="M473" i="8"/>
  <c r="H305" i="8"/>
  <c r="S305" i="8"/>
  <c r="M305" i="8"/>
  <c r="AH305" i="8"/>
  <c r="Z305" i="8"/>
  <c r="H567" i="8"/>
  <c r="Z567" i="8"/>
  <c r="H109" i="8"/>
  <c r="S109" i="8"/>
  <c r="F107" i="5"/>
  <c r="N109" i="8" s="1"/>
  <c r="H824" i="8"/>
  <c r="S824" i="8"/>
  <c r="F822" i="5"/>
  <c r="AA824" i="8" s="1"/>
  <c r="H632" i="8"/>
  <c r="S632" i="8"/>
  <c r="M632" i="8"/>
  <c r="Z632" i="8"/>
  <c r="H554" i="8"/>
  <c r="F552" i="5"/>
  <c r="H845" i="8"/>
  <c r="F843" i="5"/>
  <c r="AI845" i="8" s="1"/>
  <c r="M845" i="8"/>
  <c r="H269" i="8"/>
  <c r="S269" i="8"/>
  <c r="AH269" i="8"/>
  <c r="M269" i="8"/>
  <c r="Z269" i="8"/>
  <c r="H293" i="8"/>
  <c r="S293" i="8"/>
  <c r="M293" i="8"/>
  <c r="H138" i="8"/>
  <c r="S138" i="8"/>
  <c r="Z138" i="8"/>
  <c r="M138" i="8"/>
  <c r="H940" i="8"/>
  <c r="S940" i="8"/>
  <c r="Z940" i="8"/>
  <c r="F938" i="5"/>
  <c r="G938" i="5" s="1"/>
  <c r="U940" i="8" s="1"/>
  <c r="M940" i="8"/>
  <c r="H774" i="8"/>
  <c r="AH774" i="8"/>
  <c r="H144" i="8"/>
  <c r="Z144" i="8"/>
  <c r="H321" i="8"/>
  <c r="Z321" i="8"/>
  <c r="H177" i="8"/>
  <c r="AH177" i="8"/>
  <c r="Z177" i="8"/>
  <c r="H508" i="8"/>
  <c r="F506" i="5"/>
  <c r="T508" i="8" s="1"/>
  <c r="H557" i="8"/>
  <c r="M557" i="8"/>
  <c r="F555" i="5"/>
  <c r="T557" i="8" s="1"/>
  <c r="H608" i="8"/>
  <c r="F606" i="5"/>
  <c r="AH608" i="8"/>
  <c r="H175" i="8"/>
  <c r="F173" i="5"/>
  <c r="T175" i="8" s="1"/>
  <c r="Z175" i="8"/>
  <c r="H31" i="8"/>
  <c r="AH31" i="8"/>
  <c r="S31" i="8"/>
  <c r="H365" i="8"/>
  <c r="S365" i="8"/>
  <c r="AH365" i="8"/>
  <c r="F363" i="5"/>
  <c r="N365" i="8" s="1"/>
  <c r="Z365" i="8"/>
  <c r="M365" i="8"/>
  <c r="H350" i="8"/>
  <c r="Z350" i="8"/>
  <c r="F348" i="5"/>
  <c r="AI350" i="8" s="1"/>
  <c r="S350" i="8"/>
  <c r="H616" i="8"/>
  <c r="S616" i="8"/>
  <c r="H263" i="8"/>
  <c r="S263" i="8"/>
  <c r="M263" i="8"/>
  <c r="AH263" i="8"/>
  <c r="H772" i="8"/>
  <c r="M772" i="8"/>
  <c r="Z772" i="8"/>
  <c r="H447" i="8"/>
  <c r="S447" i="8"/>
  <c r="H324" i="8"/>
  <c r="F322" i="5"/>
  <c r="T324" i="8" s="1"/>
  <c r="H333" i="8"/>
  <c r="Z333" i="8"/>
  <c r="F331" i="5"/>
  <c r="H370" i="8"/>
  <c r="F368" i="5"/>
  <c r="H166" i="8"/>
  <c r="Z166" i="8"/>
  <c r="M166" i="8"/>
  <c r="H631" i="8"/>
  <c r="AH631" i="8"/>
  <c r="Z631" i="8"/>
  <c r="F629" i="5"/>
  <c r="AA631" i="8" s="1"/>
  <c r="H702" i="8"/>
  <c r="S702" i="8"/>
  <c r="F700" i="5"/>
  <c r="AI702" i="8" s="1"/>
  <c r="M702" i="8"/>
  <c r="F512" i="5"/>
  <c r="N514" i="8" s="1"/>
  <c r="F632" i="5"/>
  <c r="F828" i="5"/>
  <c r="G828" i="5" s="1"/>
  <c r="U830" i="8" s="1"/>
  <c r="Z30" i="8"/>
  <c r="AH547" i="8"/>
  <c r="Z91" i="8"/>
  <c r="AH175" i="8"/>
  <c r="AH957" i="8"/>
  <c r="Z824" i="8"/>
  <c r="AH522" i="8"/>
  <c r="M616" i="8"/>
  <c r="S845" i="8"/>
  <c r="S732" i="8"/>
  <c r="S856" i="8"/>
  <c r="M447" i="8"/>
  <c r="H560" i="8"/>
  <c r="F558" i="5"/>
  <c r="T560" i="8" s="1"/>
  <c r="M560" i="8"/>
  <c r="H289" i="8"/>
  <c r="M289" i="8"/>
  <c r="F287" i="5"/>
  <c r="T289" i="8" s="1"/>
  <c r="H376" i="8"/>
  <c r="Z376" i="8"/>
  <c r="F374" i="5"/>
  <c r="G374" i="5" s="1"/>
  <c r="U376" i="8" s="1"/>
  <c r="S376" i="8"/>
  <c r="H51" i="8"/>
  <c r="F49" i="5"/>
  <c r="T51" i="8" s="1"/>
  <c r="F109" i="5"/>
  <c r="AI111" i="8" s="1"/>
  <c r="Z111" i="8"/>
  <c r="S111" i="8"/>
  <c r="M111" i="8"/>
  <c r="H896" i="8"/>
  <c r="F894" i="5"/>
  <c r="AI896" i="8" s="1"/>
  <c r="S896" i="8"/>
  <c r="AH896" i="8"/>
  <c r="H563" i="8"/>
  <c r="M563" i="8"/>
  <c r="AH563" i="8"/>
  <c r="F671" i="5"/>
  <c r="T673" i="8" s="1"/>
  <c r="F76" i="5"/>
  <c r="T78" i="8" s="1"/>
  <c r="AH531" i="8"/>
  <c r="Z596" i="8"/>
  <c r="Z15" i="8"/>
  <c r="M515" i="8"/>
  <c r="M187" i="8"/>
  <c r="M655" i="8"/>
  <c r="F954" i="5"/>
  <c r="G954" i="5" s="1"/>
  <c r="U956" i="8" s="1"/>
  <c r="Z673" i="8"/>
  <c r="Z108" i="8"/>
  <c r="AH126" i="8"/>
  <c r="S655" i="8"/>
  <c r="M431" i="8"/>
  <c r="S867" i="8"/>
  <c r="M596" i="8"/>
  <c r="F783" i="5"/>
  <c r="T785" i="8" s="1"/>
  <c r="Z194" i="8"/>
  <c r="Z867" i="8"/>
  <c r="S126" i="8"/>
  <c r="M63" i="8"/>
  <c r="F316" i="5"/>
  <c r="AA318" i="8" s="1"/>
  <c r="F530" i="5"/>
  <c r="AH248" i="8"/>
  <c r="AH867" i="8"/>
  <c r="AH194" i="8"/>
  <c r="Z633" i="8"/>
  <c r="M194" i="8"/>
  <c r="M673" i="8"/>
  <c r="M108" i="8"/>
  <c r="F975" i="5"/>
  <c r="AI977" i="8" s="1"/>
  <c r="F480" i="5"/>
  <c r="F833" i="5"/>
  <c r="F371" i="5"/>
  <c r="F414" i="5"/>
  <c r="F640" i="5"/>
  <c r="F115" i="5"/>
  <c r="AI117" i="8" s="1"/>
  <c r="Z821" i="8"/>
  <c r="Z1001" i="8"/>
  <c r="Z75" i="8"/>
  <c r="AH932" i="8"/>
  <c r="AH59" i="8"/>
  <c r="Z582" i="8"/>
  <c r="Z879" i="8"/>
  <c r="Z250" i="8"/>
  <c r="Z890" i="8"/>
  <c r="Z110" i="8"/>
  <c r="AH160" i="8"/>
  <c r="Z182" i="8"/>
  <c r="M656" i="8"/>
  <c r="M819" i="8"/>
  <c r="M738" i="8"/>
  <c r="M901" i="8"/>
  <c r="S182" i="8"/>
  <c r="S23" i="8"/>
  <c r="M932" i="8"/>
  <c r="M152" i="8"/>
  <c r="F801" i="5"/>
  <c r="F228" i="5"/>
  <c r="F877" i="5"/>
  <c r="F31" i="5"/>
  <c r="G31" i="5" s="1"/>
  <c r="U33" i="8" s="1"/>
  <c r="Z23" i="8"/>
  <c r="AH821" i="8"/>
  <c r="Z604" i="8"/>
  <c r="AH1001" i="8"/>
  <c r="AH75" i="8"/>
  <c r="Z901" i="8"/>
  <c r="AH582" i="8"/>
  <c r="Z253" i="8"/>
  <c r="AH986" i="8"/>
  <c r="AH879" i="8"/>
  <c r="Z95" i="8"/>
  <c r="Z490" i="8"/>
  <c r="AH250" i="8"/>
  <c r="Z971" i="8"/>
  <c r="AH110" i="8"/>
  <c r="Z231" i="8"/>
  <c r="AH418" i="8"/>
  <c r="AH738" i="8"/>
  <c r="AH182" i="8"/>
  <c r="S656" i="8"/>
  <c r="S957" i="8"/>
  <c r="M246" i="8"/>
  <c r="M322" i="8"/>
  <c r="S819" i="8"/>
  <c r="S738" i="8"/>
  <c r="M136" i="8"/>
  <c r="S51" i="8"/>
  <c r="M165" i="8"/>
  <c r="M751" i="8"/>
  <c r="M99" i="8"/>
  <c r="M250" i="8"/>
  <c r="S604" i="8"/>
  <c r="M371" i="8"/>
  <c r="M649" i="8"/>
  <c r="F66" i="5"/>
  <c r="AI68" i="8" s="1"/>
  <c r="M821" i="8"/>
  <c r="M141" i="8"/>
  <c r="S642" i="8"/>
  <c r="S281" i="8"/>
  <c r="F484" i="5"/>
  <c r="T486" i="8" s="1"/>
  <c r="F134" i="5"/>
  <c r="G134" i="5" s="1"/>
  <c r="U136" i="8" s="1"/>
  <c r="F691" i="5"/>
  <c r="T693" i="8" s="1"/>
  <c r="F791" i="5"/>
  <c r="T793" i="8" s="1"/>
  <c r="F602" i="5"/>
  <c r="T604" i="8" s="1"/>
  <c r="AH68" i="8"/>
  <c r="AH306" i="8"/>
  <c r="AH369" i="8"/>
  <c r="AH722" i="8"/>
  <c r="AH803" i="8"/>
  <c r="M454" i="8"/>
  <c r="F93" i="5"/>
  <c r="AA95" i="8" s="1"/>
  <c r="F180" i="5"/>
  <c r="AA182" i="8" s="1"/>
  <c r="F747" i="5"/>
  <c r="T749" i="8" s="1"/>
  <c r="F317" i="5"/>
  <c r="AI319" i="8" s="1"/>
  <c r="F367" i="5"/>
  <c r="Z416" i="8"/>
  <c r="Z639" i="8"/>
  <c r="Z148" i="8"/>
  <c r="Z141" i="8"/>
  <c r="AH281" i="8"/>
  <c r="Z793" i="8"/>
  <c r="Z656" i="8"/>
  <c r="Z742" i="8"/>
  <c r="Z521" i="8"/>
  <c r="AH129" i="8"/>
  <c r="Z322" i="8"/>
  <c r="Z101" i="8"/>
  <c r="Z819" i="8"/>
  <c r="Z751" i="8"/>
  <c r="S212" i="8"/>
  <c r="M185" i="8"/>
  <c r="S743" i="8"/>
  <c r="M491" i="8"/>
  <c r="M228" i="8"/>
  <c r="M129" i="8"/>
  <c r="M241" i="8"/>
  <c r="S821" i="8"/>
  <c r="M46" i="8"/>
  <c r="M75" i="8"/>
  <c r="S722" i="8"/>
  <c r="F229" i="5"/>
  <c r="G229" i="5" s="1"/>
  <c r="U231" i="8" s="1"/>
  <c r="F488" i="5"/>
  <c r="F224" i="5"/>
  <c r="F613" i="5"/>
  <c r="AI615" i="8" s="1"/>
  <c r="F819" i="5"/>
  <c r="G819" i="5" s="1"/>
  <c r="U821" i="8" s="1"/>
  <c r="F73" i="5"/>
  <c r="N75" i="8" s="1"/>
  <c r="F401" i="5"/>
  <c r="G401" i="5" s="1"/>
  <c r="U403" i="8" s="1"/>
  <c r="F647" i="5"/>
  <c r="AI649" i="8" s="1"/>
  <c r="AH416" i="8"/>
  <c r="AH639" i="8"/>
  <c r="AH993" i="8"/>
  <c r="AH148" i="8"/>
  <c r="AH793" i="8"/>
  <c r="AH656" i="8"/>
  <c r="AH742" i="8"/>
  <c r="AH521" i="8"/>
  <c r="Z354" i="8"/>
  <c r="AH322" i="8"/>
  <c r="AH101" i="8"/>
  <c r="Z615" i="8"/>
  <c r="AH751" i="8"/>
  <c r="AH241" i="8"/>
  <c r="S185" i="8"/>
  <c r="S792" i="8"/>
  <c r="S491" i="8"/>
  <c r="S228" i="8"/>
  <c r="M226" i="8"/>
  <c r="S129" i="8"/>
  <c r="S373" i="8"/>
  <c r="S241" i="8"/>
  <c r="S306" i="8"/>
  <c r="S46" i="8"/>
  <c r="S75" i="8"/>
  <c r="M740" i="8"/>
  <c r="H397" i="8"/>
  <c r="AH397" i="8"/>
  <c r="Z397" i="8"/>
  <c r="H168" i="8"/>
  <c r="S168" i="8"/>
  <c r="M168" i="8"/>
  <c r="H412" i="8"/>
  <c r="AH412" i="8"/>
  <c r="Z412" i="8"/>
  <c r="S412" i="8"/>
  <c r="M412" i="8"/>
  <c r="S638" i="8"/>
  <c r="F636" i="5"/>
  <c r="N638" i="8" s="1"/>
  <c r="AH465" i="8"/>
  <c r="Z133" i="8"/>
  <c r="AH133" i="8"/>
  <c r="AH56" i="8"/>
  <c r="Z56" i="8"/>
  <c r="H820" i="8"/>
  <c r="AH820" i="8"/>
  <c r="AH782" i="8"/>
  <c r="Z782" i="8"/>
  <c r="S996" i="8"/>
  <c r="M996" i="8"/>
  <c r="AH968" i="8"/>
  <c r="Z968" i="8"/>
  <c r="Z820" i="8"/>
  <c r="M997" i="8"/>
  <c r="F968" i="5"/>
  <c r="T970" i="8" s="1"/>
  <c r="AH970" i="8"/>
  <c r="AH844" i="8"/>
  <c r="F842" i="5"/>
  <c r="T844" i="8" s="1"/>
  <c r="F910" i="5"/>
  <c r="T912" i="8" s="1"/>
  <c r="AH912" i="8"/>
  <c r="Z912" i="8"/>
  <c r="M73" i="8"/>
  <c r="Z73" i="8"/>
  <c r="AH464" i="8"/>
  <c r="F462" i="5"/>
  <c r="M464" i="8"/>
  <c r="S44" i="8"/>
  <c r="M44" i="8"/>
  <c r="M156" i="8"/>
  <c r="AH156" i="8"/>
  <c r="F195" i="5"/>
  <c r="T197" i="8" s="1"/>
  <c r="M197" i="8"/>
  <c r="AH168" i="8"/>
  <c r="S997" i="8"/>
  <c r="Z96" i="8"/>
  <c r="F113" i="5"/>
  <c r="S132" i="8"/>
  <c r="M397" i="8"/>
  <c r="F151" i="5"/>
  <c r="Z724" i="8"/>
  <c r="Z407" i="8"/>
  <c r="S820" i="8"/>
  <c r="F405" i="5"/>
  <c r="F30" i="5"/>
  <c r="G30" i="5" s="1"/>
  <c r="U32" i="8" s="1"/>
  <c r="S208" i="8"/>
  <c r="F306" i="5"/>
  <c r="N308" i="8" s="1"/>
  <c r="F861" i="5"/>
  <c r="T863" i="8" s="1"/>
  <c r="F482" i="5"/>
  <c r="Z93" i="8"/>
  <c r="Z135" i="8"/>
  <c r="AH662" i="8"/>
  <c r="S170" i="8"/>
  <c r="M862" i="8"/>
  <c r="S484" i="8"/>
  <c r="F158" i="5"/>
  <c r="G158" i="5" s="1"/>
  <c r="U160" i="8" s="1"/>
  <c r="F785" i="5"/>
  <c r="AA787" i="8" s="1"/>
  <c r="F352" i="5"/>
  <c r="AI354" i="8" s="1"/>
  <c r="F169" i="5"/>
  <c r="G169" i="5" s="1"/>
  <c r="U171" i="8" s="1"/>
  <c r="F879" i="5"/>
  <c r="N881" i="8" s="1"/>
  <c r="F749" i="5"/>
  <c r="F239" i="5"/>
  <c r="T241" i="8" s="1"/>
  <c r="F248" i="5"/>
  <c r="F15" i="5"/>
  <c r="F146" i="5"/>
  <c r="G146" i="5" s="1"/>
  <c r="U148" i="8" s="1"/>
  <c r="F930" i="5"/>
  <c r="AI932" i="8" s="1"/>
  <c r="F738" i="5"/>
  <c r="AH323" i="8"/>
  <c r="AH253" i="8"/>
  <c r="AH39" i="8"/>
  <c r="Z749" i="8"/>
  <c r="AH212" i="8"/>
  <c r="AH92" i="8"/>
  <c r="AH778" i="8"/>
  <c r="Z258" i="8"/>
  <c r="Z738" i="8"/>
  <c r="AH506" i="8"/>
  <c r="Z241" i="8"/>
  <c r="M742" i="8"/>
  <c r="S862" i="8"/>
  <c r="S289" i="8"/>
  <c r="M212" i="8"/>
  <c r="M92" i="8"/>
  <c r="M354" i="8"/>
  <c r="M662" i="8"/>
  <c r="M792" i="8"/>
  <c r="M171" i="8"/>
  <c r="M803" i="8"/>
  <c r="S615" i="8"/>
  <c r="M700" i="8"/>
  <c r="S356" i="8"/>
  <c r="M306" i="8"/>
  <c r="M604" i="8"/>
  <c r="S148" i="8"/>
  <c r="M229" i="8"/>
  <c r="M602" i="8"/>
  <c r="M33" i="8"/>
  <c r="Z716" i="8"/>
  <c r="AH980" i="8"/>
  <c r="AH749" i="8"/>
  <c r="Z862" i="8"/>
  <c r="Z711" i="8"/>
  <c r="Z864" i="8"/>
  <c r="AH258" i="8"/>
  <c r="Z264" i="8"/>
  <c r="Z402" i="8"/>
  <c r="Z373" i="8"/>
  <c r="S742" i="8"/>
  <c r="M775" i="8"/>
  <c r="M864" i="8"/>
  <c r="M417" i="8"/>
  <c r="S662" i="8"/>
  <c r="S171" i="8"/>
  <c r="S803" i="8"/>
  <c r="S700" i="8"/>
  <c r="M873" i="8"/>
  <c r="M323" i="8"/>
  <c r="M416" i="8"/>
  <c r="S582" i="8"/>
  <c r="S602" i="8"/>
  <c r="S33" i="8"/>
  <c r="S890" i="8"/>
  <c r="F415" i="5"/>
  <c r="F101" i="5"/>
  <c r="AI103" i="8" s="1"/>
  <c r="F709" i="5"/>
  <c r="G709" i="5" s="1"/>
  <c r="U711" i="8" s="1"/>
  <c r="F262" i="5"/>
  <c r="G262" i="5" s="1"/>
  <c r="U264" i="8" s="1"/>
  <c r="F899" i="5"/>
  <c r="AH46" i="8"/>
  <c r="Z937" i="8"/>
  <c r="AH141" i="8"/>
  <c r="Z281" i="8"/>
  <c r="Z117" i="8"/>
  <c r="AH862" i="8"/>
  <c r="Z881" i="8"/>
  <c r="AH711" i="8"/>
  <c r="Z129" i="8"/>
  <c r="AH264" i="8"/>
  <c r="AH402" i="8"/>
  <c r="AH819" i="8"/>
  <c r="AH373" i="8"/>
  <c r="S775" i="8"/>
  <c r="M711" i="8"/>
  <c r="M258" i="8"/>
  <c r="M101" i="8"/>
  <c r="S230" i="8"/>
  <c r="M95" i="8"/>
  <c r="S873" i="8"/>
  <c r="S323" i="8"/>
  <c r="S416" i="8"/>
  <c r="M825" i="8"/>
  <c r="M17" i="8"/>
  <c r="S59" i="8"/>
  <c r="M722" i="8"/>
  <c r="S482" i="8"/>
  <c r="M741" i="8"/>
  <c r="AH637" i="8"/>
  <c r="Z637" i="8"/>
  <c r="F916" i="5"/>
  <c r="S918" i="8"/>
  <c r="Z49" i="8"/>
  <c r="AH49" i="8"/>
  <c r="H876" i="8"/>
  <c r="AH876" i="8"/>
  <c r="F874" i="5"/>
  <c r="N876" i="8" s="1"/>
  <c r="M876" i="8"/>
  <c r="H378" i="8"/>
  <c r="M378" i="8"/>
  <c r="F376" i="5"/>
  <c r="T378" i="8" s="1"/>
  <c r="S378" i="8"/>
  <c r="H359" i="8"/>
  <c r="AH359" i="8"/>
  <c r="F357" i="5"/>
  <c r="S359" i="8"/>
  <c r="M359" i="8"/>
  <c r="H270" i="8"/>
  <c r="AH270" i="8"/>
  <c r="H888" i="8"/>
  <c r="Z888" i="8"/>
  <c r="S888" i="8"/>
  <c r="M888" i="8"/>
  <c r="AH888" i="8"/>
  <c r="H875" i="8"/>
  <c r="S875" i="8"/>
  <c r="AH875" i="8"/>
  <c r="M875" i="8"/>
  <c r="Z875" i="8"/>
  <c r="F873" i="5"/>
  <c r="H618" i="8"/>
  <c r="Z618" i="8"/>
  <c r="F616" i="5"/>
  <c r="T618" i="8" s="1"/>
  <c r="AH618" i="8"/>
  <c r="H996" i="8"/>
  <c r="AH996" i="8"/>
  <c r="Z996" i="8"/>
  <c r="F994" i="5"/>
  <c r="H968" i="8"/>
  <c r="S968" i="8"/>
  <c r="M968" i="8"/>
  <c r="F966" i="5"/>
  <c r="T968" i="8" s="1"/>
  <c r="H617" i="8"/>
  <c r="S617" i="8"/>
  <c r="M617" i="8"/>
  <c r="AH617" i="8"/>
  <c r="H465" i="8"/>
  <c r="F463" i="5"/>
  <c r="S465" i="8"/>
  <c r="H611" i="8"/>
  <c r="F609" i="5"/>
  <c r="N611" i="8" s="1"/>
  <c r="S611" i="8"/>
  <c r="M611" i="8"/>
  <c r="H564" i="8"/>
  <c r="S564" i="8"/>
  <c r="M564" i="8"/>
  <c r="AH564" i="8"/>
  <c r="F562" i="5"/>
  <c r="AA564" i="8" s="1"/>
  <c r="Z564" i="8"/>
  <c r="H858" i="8"/>
  <c r="M858" i="8"/>
  <c r="S858" i="8"/>
  <c r="AH858" i="8"/>
  <c r="Z858" i="8"/>
  <c r="F856" i="5"/>
  <c r="AI858" i="8" s="1"/>
  <c r="H593" i="8"/>
  <c r="F591" i="5"/>
  <c r="AH593" i="8"/>
  <c r="Z593" i="8"/>
  <c r="H851" i="8"/>
  <c r="Z851" i="8"/>
  <c r="AH851" i="8"/>
  <c r="H401" i="8"/>
  <c r="AH401" i="8"/>
  <c r="Z401" i="8"/>
  <c r="H609" i="8"/>
  <c r="AH609" i="8"/>
  <c r="Z609" i="8"/>
  <c r="S609" i="8"/>
  <c r="H152" i="8"/>
  <c r="AH152" i="8"/>
  <c r="Z152" i="8"/>
  <c r="F150" i="5"/>
  <c r="AA152" i="8" s="1"/>
  <c r="H130" i="8"/>
  <c r="F128" i="5"/>
  <c r="S130" i="8"/>
  <c r="M130" i="8"/>
  <c r="H836" i="8"/>
  <c r="Z836" i="8"/>
  <c r="S836" i="8"/>
  <c r="M836" i="8"/>
  <c r="H941" i="8"/>
  <c r="S941" i="8"/>
  <c r="Z941" i="8"/>
  <c r="F939" i="5"/>
  <c r="M941" i="8"/>
  <c r="H776" i="8"/>
  <c r="M776" i="8"/>
  <c r="AH776" i="8"/>
  <c r="Z776" i="8"/>
  <c r="F774" i="5"/>
  <c r="H326" i="8"/>
  <c r="AH326" i="8"/>
  <c r="S326" i="8"/>
  <c r="M326" i="8"/>
  <c r="Z326" i="8"/>
  <c r="F324" i="5"/>
  <c r="T326" i="8" s="1"/>
  <c r="F708" i="5"/>
  <c r="AA710" i="8" s="1"/>
  <c r="F818" i="5"/>
  <c r="F796" i="5"/>
  <c r="Z447" i="8"/>
  <c r="Z611" i="8"/>
  <c r="AH377" i="8"/>
  <c r="M273" i="8"/>
  <c r="F395" i="5"/>
  <c r="AI397" i="8" s="1"/>
  <c r="AH447" i="8"/>
  <c r="AH611" i="8"/>
  <c r="F166" i="5"/>
  <c r="M851" i="8"/>
  <c r="M270" i="8"/>
  <c r="S851" i="8"/>
  <c r="M618" i="8"/>
  <c r="S270" i="8"/>
  <c r="S946" i="8"/>
  <c r="AH946" i="8"/>
  <c r="AH526" i="8"/>
  <c r="Z526" i="8"/>
  <c r="Z614" i="8"/>
  <c r="F612" i="5"/>
  <c r="T614" i="8" s="1"/>
  <c r="AH423" i="8"/>
  <c r="S423" i="8"/>
  <c r="AH134" i="8"/>
  <c r="Z134" i="8"/>
  <c r="H56" i="8"/>
  <c r="S56" i="8"/>
  <c r="M56" i="8"/>
  <c r="H652" i="8"/>
  <c r="Z652" i="8"/>
  <c r="F650" i="5"/>
  <c r="H960" i="8"/>
  <c r="F958" i="5"/>
  <c r="AI960" i="8" s="1"/>
  <c r="S960" i="8"/>
  <c r="H798" i="8"/>
  <c r="S798" i="8"/>
  <c r="M798" i="8"/>
  <c r="H644" i="8"/>
  <c r="F642" i="5"/>
  <c r="N644" i="8" s="1"/>
  <c r="AH644" i="8"/>
  <c r="Z644" i="8"/>
  <c r="M644" i="8"/>
  <c r="H161" i="8"/>
  <c r="S161" i="8"/>
  <c r="AH161" i="8"/>
  <c r="Z161" i="8"/>
  <c r="H782" i="8"/>
  <c r="M782" i="8"/>
  <c r="F780" i="5"/>
  <c r="AA782" i="8" s="1"/>
  <c r="H274" i="8"/>
  <c r="AH274" i="8"/>
  <c r="S274" i="8"/>
  <c r="F272" i="5"/>
  <c r="M274" i="8"/>
  <c r="H672" i="8"/>
  <c r="Z672" i="8"/>
  <c r="S672" i="8"/>
  <c r="AH672" i="8"/>
  <c r="M672" i="8"/>
  <c r="H377" i="8"/>
  <c r="F375" i="5"/>
  <c r="S377" i="8"/>
  <c r="Z377" i="8"/>
  <c r="H660" i="8"/>
  <c r="S660" i="8"/>
  <c r="M660" i="8"/>
  <c r="Z660" i="8"/>
  <c r="AH660" i="8"/>
  <c r="H689" i="8"/>
  <c r="F687" i="5"/>
  <c r="S689" i="8"/>
  <c r="M689" i="8"/>
  <c r="AH689" i="8"/>
  <c r="H407" i="8"/>
  <c r="S407" i="8"/>
  <c r="M407" i="8"/>
  <c r="H149" i="8"/>
  <c r="Z149" i="8"/>
  <c r="S149" i="8"/>
  <c r="M149" i="8"/>
  <c r="H726" i="8"/>
  <c r="S726" i="8"/>
  <c r="AH726" i="8"/>
  <c r="Z726" i="8"/>
  <c r="H724" i="8"/>
  <c r="S724" i="8"/>
  <c r="M724" i="8"/>
  <c r="F722" i="5"/>
  <c r="H588" i="8"/>
  <c r="M588" i="8"/>
  <c r="AH588" i="8"/>
  <c r="H638" i="8"/>
  <c r="Z638" i="8"/>
  <c r="M638" i="8"/>
  <c r="AH638" i="8"/>
  <c r="H710" i="8"/>
  <c r="AH710" i="8"/>
  <c r="Z710" i="8"/>
  <c r="H678" i="8"/>
  <c r="AH678" i="8"/>
  <c r="Z678" i="8"/>
  <c r="F676" i="5"/>
  <c r="T678" i="8" s="1"/>
  <c r="S678" i="8"/>
  <c r="H204" i="8"/>
  <c r="S204" i="8"/>
  <c r="AH204" i="8"/>
  <c r="Z204" i="8"/>
  <c r="H997" i="8"/>
  <c r="AH997" i="8"/>
  <c r="Z997" i="8"/>
  <c r="H115" i="8"/>
  <c r="S115" i="8"/>
  <c r="M115" i="8"/>
  <c r="H993" i="8"/>
  <c r="S993" i="8"/>
  <c r="M993" i="8"/>
  <c r="Z993" i="8"/>
  <c r="F399" i="5"/>
  <c r="G399" i="5" s="1"/>
  <c r="U401" i="8" s="1"/>
  <c r="Z960" i="8"/>
  <c r="AH378" i="8"/>
  <c r="M204" i="8"/>
  <c r="M609" i="8"/>
  <c r="S401" i="8"/>
  <c r="M726" i="8"/>
  <c r="F202" i="5"/>
  <c r="Z798" i="8"/>
  <c r="F409" i="5"/>
  <c r="G409" i="5" s="1"/>
  <c r="U411" i="8" s="1"/>
  <c r="F159" i="5"/>
  <c r="AA161" i="8" s="1"/>
  <c r="F268" i="5"/>
  <c r="F54" i="5"/>
  <c r="Z617" i="8"/>
  <c r="Z588" i="8"/>
  <c r="F410" i="5"/>
  <c r="T412" i="8" s="1"/>
  <c r="F886" i="5"/>
  <c r="F445" i="5"/>
  <c r="AI447" i="8" s="1"/>
  <c r="F834" i="5"/>
  <c r="T836" i="8" s="1"/>
  <c r="Z458" i="8"/>
  <c r="Z130" i="8"/>
  <c r="Z168" i="8"/>
  <c r="AH149" i="8"/>
  <c r="S710" i="8"/>
  <c r="S618" i="8"/>
  <c r="S782" i="8"/>
  <c r="M820" i="8"/>
  <c r="H768" i="8"/>
  <c r="Z768" i="8"/>
  <c r="S768" i="8"/>
  <c r="H32" i="8"/>
  <c r="AH32" i="8"/>
  <c r="F896" i="5"/>
  <c r="N898" i="8" s="1"/>
  <c r="AH898" i="8"/>
  <c r="H44" i="8"/>
  <c r="F42" i="5"/>
  <c r="T44" i="8" s="1"/>
  <c r="H478" i="8"/>
  <c r="AH478" i="8"/>
  <c r="H224" i="8"/>
  <c r="M224" i="8"/>
  <c r="AH224" i="8"/>
  <c r="H414" i="8"/>
  <c r="Z414" i="8"/>
  <c r="F412" i="5"/>
  <c r="AA414" i="8" s="1"/>
  <c r="H353" i="8"/>
  <c r="S353" i="8"/>
  <c r="M353" i="8"/>
  <c r="H357" i="8"/>
  <c r="AH357" i="8"/>
  <c r="M357" i="8"/>
  <c r="H288" i="8"/>
  <c r="F286" i="5"/>
  <c r="S288" i="8"/>
  <c r="F397" i="5"/>
  <c r="AH288" i="8"/>
  <c r="AH399" i="8"/>
  <c r="M414" i="8"/>
  <c r="F416" i="5"/>
  <c r="AA418" i="8" s="1"/>
  <c r="F851" i="5"/>
  <c r="AA853" i="8" s="1"/>
  <c r="AH81" i="8"/>
  <c r="Z478" i="8"/>
  <c r="Z767" i="8"/>
  <c r="Z44" i="8"/>
  <c r="Z26" i="8"/>
  <c r="M767" i="8"/>
  <c r="S527" i="8"/>
  <c r="M432" i="8"/>
  <c r="S897" i="8"/>
  <c r="M330" i="8"/>
  <c r="M559" i="8"/>
  <c r="S64" i="8"/>
  <c r="S414" i="8"/>
  <c r="M98" i="8"/>
  <c r="AH44" i="8"/>
  <c r="S767" i="8"/>
  <c r="S559" i="8"/>
  <c r="H815" i="8"/>
  <c r="M815" i="8"/>
  <c r="H345" i="8"/>
  <c r="F343" i="5"/>
  <c r="H872" i="8"/>
  <c r="Z872" i="8"/>
  <c r="H499" i="8"/>
  <c r="S499" i="8"/>
  <c r="H364" i="8"/>
  <c r="S364" i="8"/>
  <c r="Z364" i="8"/>
  <c r="H517" i="8"/>
  <c r="F515" i="5"/>
  <c r="AA517" i="8" s="1"/>
  <c r="H605" i="8"/>
  <c r="AH605" i="8"/>
  <c r="H967" i="8"/>
  <c r="S967" i="8"/>
  <c r="H243" i="8"/>
  <c r="Z243" i="8"/>
  <c r="H599" i="8"/>
  <c r="AH599" i="8"/>
  <c r="F597" i="5"/>
  <c r="H150" i="8"/>
  <c r="Z150" i="8"/>
  <c r="F148" i="5"/>
  <c r="H518" i="8"/>
  <c r="F516" i="5"/>
  <c r="AI518" i="8" s="1"/>
  <c r="H677" i="8"/>
  <c r="F675" i="5"/>
  <c r="S677" i="8"/>
  <c r="H665" i="8"/>
  <c r="AH665" i="8"/>
  <c r="F663" i="5"/>
  <c r="T665" i="8" s="1"/>
  <c r="H784" i="8"/>
  <c r="AH784" i="8"/>
  <c r="S784" i="8"/>
  <c r="H13" i="8"/>
  <c r="Z13" i="8"/>
  <c r="H479" i="8"/>
  <c r="S479" i="8"/>
  <c r="M479" i="8"/>
  <c r="H283" i="8"/>
  <c r="S283" i="8"/>
  <c r="M283" i="8"/>
  <c r="H529" i="8"/>
  <c r="S529" i="8"/>
  <c r="M529" i="8"/>
  <c r="H657" i="8"/>
  <c r="F655" i="5"/>
  <c r="H833" i="8"/>
  <c r="S833" i="8"/>
  <c r="H659" i="8"/>
  <c r="S659" i="8"/>
  <c r="M659" i="8"/>
  <c r="H664" i="8"/>
  <c r="F662" i="5"/>
  <c r="H545" i="8"/>
  <c r="F543" i="5"/>
  <c r="G543" i="5" s="1"/>
  <c r="U545" i="8" s="1"/>
  <c r="S545" i="8"/>
  <c r="H18" i="8"/>
  <c r="S18" i="8"/>
  <c r="M18" i="8"/>
  <c r="H732" i="8"/>
  <c r="M732" i="8"/>
  <c r="H19" i="8"/>
  <c r="S19" i="8"/>
  <c r="M19" i="8"/>
  <c r="H707" i="8"/>
  <c r="M707" i="8"/>
  <c r="H830" i="8"/>
  <c r="S830" i="8"/>
  <c r="H975" i="8"/>
  <c r="Z975" i="8"/>
  <c r="H328" i="8"/>
  <c r="Z328" i="8"/>
  <c r="H317" i="8"/>
  <c r="M317" i="8"/>
  <c r="Z317" i="8"/>
  <c r="H69" i="8"/>
  <c r="Z69" i="8"/>
  <c r="S69" i="8"/>
  <c r="H729" i="8"/>
  <c r="S729" i="8"/>
  <c r="H275" i="8"/>
  <c r="F273" i="5"/>
  <c r="H255" i="8"/>
  <c r="AH255" i="8"/>
  <c r="H972" i="8"/>
  <c r="S972" i="8"/>
  <c r="F970" i="5"/>
  <c r="AI972" i="8" s="1"/>
  <c r="H375" i="8"/>
  <c r="AH375" i="8"/>
  <c r="H780" i="8"/>
  <c r="S780" i="8"/>
  <c r="AH780" i="8"/>
  <c r="H899" i="8"/>
  <c r="S899" i="8"/>
  <c r="H65" i="8"/>
  <c r="S65" i="8"/>
  <c r="H420" i="8"/>
  <c r="M420" i="8"/>
  <c r="H839" i="8"/>
  <c r="M839" i="8"/>
  <c r="H29" i="8"/>
  <c r="M29" i="8"/>
  <c r="H106" i="8"/>
  <c r="M106" i="8"/>
  <c r="H709" i="8"/>
  <c r="AH709" i="8"/>
  <c r="S709" i="8"/>
  <c r="Z806" i="8"/>
  <c r="M848" i="8"/>
  <c r="F507" i="5"/>
  <c r="AH509" i="8"/>
  <c r="F206" i="5"/>
  <c r="T208" i="8" s="1"/>
  <c r="Z559" i="8"/>
  <c r="AH767" i="8"/>
  <c r="Z898" i="8"/>
  <c r="F557" i="5"/>
  <c r="Z357" i="8"/>
  <c r="AH559" i="8"/>
  <c r="AH388" i="8"/>
  <c r="F765" i="5"/>
  <c r="F870" i="5"/>
  <c r="T872" i="8" s="1"/>
  <c r="F222" i="5"/>
  <c r="F730" i="5"/>
  <c r="AI732" i="8" s="1"/>
  <c r="F532" i="5"/>
  <c r="G532" i="5" s="1"/>
  <c r="U534" i="8" s="1"/>
  <c r="F281" i="5"/>
  <c r="AI283" i="8" s="1"/>
  <c r="F477" i="5"/>
  <c r="G477" i="5" s="1"/>
  <c r="U479" i="8" s="1"/>
  <c r="AH64" i="8"/>
  <c r="AH283" i="8"/>
  <c r="AH371" i="8"/>
  <c r="Z805" i="8"/>
  <c r="Z353" i="8"/>
  <c r="Z518" i="8"/>
  <c r="Z300" i="8"/>
  <c r="AH440" i="8"/>
  <c r="Z375" i="8"/>
  <c r="AH275" i="8"/>
  <c r="AH534" i="8"/>
  <c r="S243" i="8"/>
  <c r="S839" i="8"/>
  <c r="M972" i="8"/>
  <c r="S848" i="8"/>
  <c r="M88" i="8"/>
  <c r="S805" i="8"/>
  <c r="M975" i="8"/>
  <c r="S534" i="8"/>
  <c r="M547" i="8"/>
  <c r="Z676" i="8"/>
  <c r="F179" i="5"/>
  <c r="AH822" i="8"/>
  <c r="H84" i="8"/>
  <c r="S84" i="8"/>
  <c r="F82" i="5"/>
  <c r="AH84" i="8"/>
  <c r="H587" i="8"/>
  <c r="S587" i="8"/>
  <c r="M587" i="8"/>
  <c r="Z587" i="8"/>
  <c r="F585" i="5"/>
  <c r="H207" i="8"/>
  <c r="S207" i="8"/>
  <c r="AH207" i="8"/>
  <c r="Z207" i="8"/>
  <c r="H193" i="8"/>
  <c r="S193" i="8"/>
  <c r="M193" i="8"/>
  <c r="F191" i="5"/>
  <c r="H287" i="8"/>
  <c r="M287" i="8"/>
  <c r="S287" i="8"/>
  <c r="H688" i="8"/>
  <c r="M688" i="8"/>
  <c r="F686" i="5"/>
  <c r="AI688" i="8" s="1"/>
  <c r="Z688" i="8"/>
  <c r="AH688" i="8"/>
  <c r="H537" i="8"/>
  <c r="Z537" i="8"/>
  <c r="AH537" i="8"/>
  <c r="M537" i="8"/>
  <c r="H878" i="8"/>
  <c r="S878" i="8"/>
  <c r="F876" i="5"/>
  <c r="T878" i="8" s="1"/>
  <c r="M878" i="8"/>
  <c r="H94" i="8"/>
  <c r="S94" i="8"/>
  <c r="M94" i="8"/>
  <c r="Z94" i="8"/>
  <c r="AH94" i="8"/>
  <c r="F92" i="5"/>
  <c r="H455" i="8"/>
  <c r="S455" i="8"/>
  <c r="F453" i="5"/>
  <c r="G453" i="5" s="1"/>
  <c r="U455" i="8" s="1"/>
  <c r="H400" i="8"/>
  <c r="M400" i="8"/>
  <c r="S400" i="8"/>
  <c r="AH400" i="8"/>
  <c r="Z400" i="8"/>
  <c r="F398" i="5"/>
  <c r="G398" i="5" s="1"/>
  <c r="U400" i="8" s="1"/>
  <c r="H172" i="8"/>
  <c r="S172" i="8"/>
  <c r="M172" i="8"/>
  <c r="Z172" i="8"/>
  <c r="H332" i="8"/>
  <c r="AH332" i="8"/>
  <c r="Z332" i="8"/>
  <c r="H979" i="8"/>
  <c r="M979" i="8"/>
  <c r="S979" i="8"/>
  <c r="F977" i="5"/>
  <c r="T979" i="8" s="1"/>
  <c r="AH979" i="8"/>
  <c r="Z979" i="8"/>
  <c r="H758" i="8"/>
  <c r="M758" i="8"/>
  <c r="F756" i="5"/>
  <c r="H430" i="8"/>
  <c r="M430" i="8"/>
  <c r="AH430" i="8"/>
  <c r="S430" i="8"/>
  <c r="Z430" i="8"/>
  <c r="H542" i="8"/>
  <c r="AH542" i="8"/>
  <c r="Z542" i="8"/>
  <c r="S542" i="8"/>
  <c r="H555" i="8"/>
  <c r="S555" i="8"/>
  <c r="M555" i="8"/>
  <c r="F553" i="5"/>
  <c r="H610" i="8"/>
  <c r="AH610" i="8"/>
  <c r="F608" i="5"/>
  <c r="G608" i="5" s="1"/>
  <c r="U610" i="8" s="1"/>
  <c r="Z610" i="8"/>
  <c r="H62" i="8"/>
  <c r="S62" i="8"/>
  <c r="M62" i="8"/>
  <c r="Z62" i="8"/>
  <c r="H629" i="8"/>
  <c r="M629" i="8"/>
  <c r="Z629" i="8"/>
  <c r="AH629" i="8"/>
  <c r="F627" i="5"/>
  <c r="S629" i="8"/>
  <c r="H786" i="8"/>
  <c r="Z786" i="8"/>
  <c r="S786" i="8"/>
  <c r="M786" i="8"/>
  <c r="F784" i="5"/>
  <c r="AA786" i="8" s="1"/>
  <c r="H598" i="8"/>
  <c r="Z598" i="8"/>
  <c r="AH598" i="8"/>
  <c r="F596" i="5"/>
  <c r="H543" i="8"/>
  <c r="S543" i="8"/>
  <c r="M543" i="8"/>
  <c r="F541" i="5"/>
  <c r="AA543" i="8" s="1"/>
  <c r="AH543" i="8"/>
  <c r="Z543" i="8"/>
  <c r="H329" i="8"/>
  <c r="S329" i="8"/>
  <c r="M329" i="8"/>
  <c r="AH329" i="8"/>
  <c r="F327" i="5"/>
  <c r="Z329" i="8"/>
  <c r="H192" i="8"/>
  <c r="M192" i="8"/>
  <c r="Z192" i="8"/>
  <c r="S192" i="8"/>
  <c r="F190" i="5"/>
  <c r="AI192" i="8" s="1"/>
  <c r="AH192" i="8"/>
  <c r="H256" i="8"/>
  <c r="F254" i="5"/>
  <c r="G254" i="5" s="1"/>
  <c r="U256" i="8" s="1"/>
  <c r="S256" i="8"/>
  <c r="M256" i="8"/>
  <c r="AH256" i="8"/>
  <c r="Z256" i="8"/>
  <c r="H827" i="8"/>
  <c r="Z827" i="8"/>
  <c r="S827" i="8"/>
  <c r="M827" i="8"/>
  <c r="AH827" i="8"/>
  <c r="F825" i="5"/>
  <c r="G825" i="5" s="1"/>
  <c r="U827" i="8" s="1"/>
  <c r="H562" i="8"/>
  <c r="S562" i="8"/>
  <c r="AH562" i="8"/>
  <c r="F560" i="5"/>
  <c r="AA562" i="8" s="1"/>
  <c r="H446" i="8"/>
  <c r="S446" i="8"/>
  <c r="M446" i="8"/>
  <c r="F444" i="5"/>
  <c r="AI446" i="8" s="1"/>
  <c r="AH446" i="8"/>
  <c r="Z446" i="8"/>
  <c r="H105" i="8"/>
  <c r="S105" i="8"/>
  <c r="M105" i="8"/>
  <c r="Z105" i="8"/>
  <c r="F103" i="5"/>
  <c r="AA105" i="8" s="1"/>
  <c r="AH105" i="8"/>
  <c r="H297" i="8"/>
  <c r="F295" i="5"/>
  <c r="S297" i="8"/>
  <c r="M297" i="8"/>
  <c r="H405" i="8"/>
  <c r="S405" i="8"/>
  <c r="M405" i="8"/>
  <c r="AH405" i="8"/>
  <c r="Z405" i="8"/>
  <c r="F403" i="5"/>
  <c r="AA405" i="8" s="1"/>
  <c r="H994" i="8"/>
  <c r="M994" i="8"/>
  <c r="S994" i="8"/>
  <c r="F992" i="5"/>
  <c r="G992" i="5" s="1"/>
  <c r="U994" i="8" s="1"/>
  <c r="H34" i="8"/>
  <c r="S34" i="8"/>
  <c r="AH34" i="8"/>
  <c r="Z34" i="8"/>
  <c r="H316" i="8"/>
  <c r="AH316" i="8"/>
  <c r="H249" i="8"/>
  <c r="F247" i="5"/>
  <c r="H595" i="8"/>
  <c r="AH595" i="8"/>
  <c r="H992" i="8"/>
  <c r="AH992" i="8"/>
  <c r="H239" i="8"/>
  <c r="S239" i="8"/>
  <c r="AH239" i="8"/>
  <c r="AH62" i="8"/>
  <c r="M34" i="8"/>
  <c r="M562" i="8"/>
  <c r="H697" i="8"/>
  <c r="M697" i="8"/>
  <c r="Z697" i="8"/>
  <c r="F695" i="5"/>
  <c r="AH697" i="8"/>
  <c r="H650" i="8"/>
  <c r="M650" i="8"/>
  <c r="F648" i="5"/>
  <c r="AI650" i="8" s="1"/>
  <c r="H728" i="8"/>
  <c r="Z728" i="8"/>
  <c r="S728" i="8"/>
  <c r="AH728" i="8"/>
  <c r="H233" i="8"/>
  <c r="S233" i="8"/>
  <c r="Z233" i="8"/>
  <c r="M233" i="8"/>
  <c r="AH233" i="8"/>
  <c r="F231" i="5"/>
  <c r="N233" i="8" s="1"/>
  <c r="H790" i="8"/>
  <c r="AH790" i="8"/>
  <c r="Z790" i="8"/>
  <c r="S790" i="8"/>
  <c r="M790" i="8"/>
  <c r="F788" i="5"/>
  <c r="H978" i="8"/>
  <c r="AH978" i="8"/>
  <c r="Z978" i="8"/>
  <c r="H467" i="8"/>
  <c r="Z467" i="8"/>
  <c r="S467" i="8"/>
  <c r="M467" i="8"/>
  <c r="AH467" i="8"/>
  <c r="F465" i="5"/>
  <c r="AA467" i="8" s="1"/>
  <c r="H976" i="8"/>
  <c r="AH976" i="8"/>
  <c r="S976" i="8"/>
  <c r="F974" i="5"/>
  <c r="N976" i="8" s="1"/>
  <c r="H510" i="8"/>
  <c r="S510" i="8"/>
  <c r="M510" i="8"/>
  <c r="Z510" i="8"/>
  <c r="F508" i="5"/>
  <c r="AH510" i="8"/>
  <c r="H640" i="8"/>
  <c r="S640" i="8"/>
  <c r="F638" i="5"/>
  <c r="AA640" i="8" s="1"/>
  <c r="M640" i="8"/>
  <c r="AH640" i="8"/>
  <c r="Z640" i="8"/>
  <c r="H234" i="8"/>
  <c r="S234" i="8"/>
  <c r="M234" i="8"/>
  <c r="Z234" i="8"/>
  <c r="F232" i="5"/>
  <c r="AH234" i="8"/>
  <c r="H998" i="8"/>
  <c r="M998" i="8"/>
  <c r="AH998" i="8"/>
  <c r="F996" i="5"/>
  <c r="H60" i="8"/>
  <c r="AH60" i="8"/>
  <c r="M60" i="8"/>
  <c r="Z60" i="8"/>
  <c r="S60" i="8"/>
  <c r="H647" i="8"/>
  <c r="S647" i="8"/>
  <c r="M647" i="8"/>
  <c r="F645" i="5"/>
  <c r="AH647" i="8"/>
  <c r="Z647" i="8"/>
  <c r="H623" i="8"/>
  <c r="S623" i="8"/>
  <c r="Z623" i="8"/>
  <c r="M623" i="8"/>
  <c r="AH623" i="8"/>
  <c r="H382" i="8"/>
  <c r="S382" i="8"/>
  <c r="M382" i="8"/>
  <c r="H501" i="8"/>
  <c r="M501" i="8"/>
  <c r="AH501" i="8"/>
  <c r="F499" i="5"/>
  <c r="G499" i="5" s="1"/>
  <c r="U501" i="8" s="1"/>
  <c r="S501" i="8"/>
  <c r="Z501" i="8"/>
  <c r="H948" i="8"/>
  <c r="S948" i="8"/>
  <c r="M948" i="8"/>
  <c r="Z948" i="8"/>
  <c r="H368" i="8"/>
  <c r="S368" i="8"/>
  <c r="M368" i="8"/>
  <c r="AH368" i="8"/>
  <c r="F366" i="5"/>
  <c r="G366" i="5" s="1"/>
  <c r="U368" i="8" s="1"/>
  <c r="Z368" i="8"/>
  <c r="H788" i="8"/>
  <c r="S788" i="8"/>
  <c r="M788" i="8"/>
  <c r="F786" i="5"/>
  <c r="AI788" i="8" s="1"/>
  <c r="AH788" i="8"/>
  <c r="Z788" i="8"/>
  <c r="H572" i="8"/>
  <c r="M572" i="8"/>
  <c r="S572" i="8"/>
  <c r="AH572" i="8"/>
  <c r="F570" i="5"/>
  <c r="H525" i="8"/>
  <c r="Z525" i="8"/>
  <c r="F523" i="5"/>
  <c r="AH525" i="8"/>
  <c r="S525" i="8"/>
  <c r="M525" i="8"/>
  <c r="H460" i="8"/>
  <c r="S460" i="8"/>
  <c r="M460" i="8"/>
  <c r="AH460" i="8"/>
  <c r="Z460" i="8"/>
  <c r="H394" i="8"/>
  <c r="Z394" i="8"/>
  <c r="M394" i="8"/>
  <c r="S394" i="8"/>
  <c r="H989" i="8"/>
  <c r="Z989" i="8"/>
  <c r="S989" i="8"/>
  <c r="M989" i="8"/>
  <c r="AH989" i="8"/>
  <c r="F987" i="5"/>
  <c r="H620" i="8"/>
  <c r="S620" i="8"/>
  <c r="AH620" i="8"/>
  <c r="M620" i="8"/>
  <c r="Z620" i="8"/>
  <c r="H186" i="8"/>
  <c r="AH186" i="8"/>
  <c r="S186" i="8"/>
  <c r="Z186" i="8"/>
  <c r="M186" i="8"/>
  <c r="F184" i="5"/>
  <c r="AI186" i="8" s="1"/>
  <c r="H176" i="8"/>
  <c r="S176" i="8"/>
  <c r="Z176" i="8"/>
  <c r="M176" i="8"/>
  <c r="F174" i="5"/>
  <c r="N176" i="8" s="1"/>
  <c r="AH176" i="8"/>
  <c r="H1005" i="8"/>
  <c r="S1005" i="8"/>
  <c r="M1005" i="8"/>
  <c r="Z1005" i="8"/>
  <c r="AH1005" i="8"/>
  <c r="H437" i="8"/>
  <c r="Z437" i="8"/>
  <c r="AH437" i="8"/>
  <c r="S437" i="8"/>
  <c r="M437" i="8"/>
  <c r="F435" i="5"/>
  <c r="G435" i="5" s="1"/>
  <c r="U437" i="8" s="1"/>
  <c r="H801" i="8"/>
  <c r="S801" i="8"/>
  <c r="AH801" i="8"/>
  <c r="F799" i="5"/>
  <c r="Z801" i="8"/>
  <c r="H159" i="8"/>
  <c r="Z159" i="8"/>
  <c r="AH159" i="8"/>
  <c r="F157" i="5"/>
  <c r="AA159" i="8" s="1"/>
  <c r="H837" i="8"/>
  <c r="S837" i="8"/>
  <c r="M837" i="8"/>
  <c r="AH837" i="8"/>
  <c r="F835" i="5"/>
  <c r="AI837" i="8" s="1"/>
  <c r="Z837" i="8"/>
  <c r="H278" i="8"/>
  <c r="S278" i="8"/>
  <c r="M278" i="8"/>
  <c r="Z278" i="8"/>
  <c r="F276" i="5"/>
  <c r="H456" i="8"/>
  <c r="AH456" i="8"/>
  <c r="S456" i="8"/>
  <c r="M456" i="8"/>
  <c r="H929" i="8"/>
  <c r="AH929" i="8"/>
  <c r="Z929" i="8"/>
  <c r="F927" i="5"/>
  <c r="G927" i="5" s="1"/>
  <c r="U929" i="8" s="1"/>
  <c r="H636" i="8"/>
  <c r="S636" i="8"/>
  <c r="Z636" i="8"/>
  <c r="F634" i="5"/>
  <c r="M636" i="8"/>
  <c r="H731" i="8"/>
  <c r="M731" i="8"/>
  <c r="AH731" i="8"/>
  <c r="S731" i="8"/>
  <c r="Z731" i="8"/>
  <c r="H77" i="8"/>
  <c r="S77" i="8"/>
  <c r="M77" i="8"/>
  <c r="AH77" i="8"/>
  <c r="Z77" i="8"/>
  <c r="F75" i="5"/>
  <c r="H334" i="8"/>
  <c r="S334" i="8"/>
  <c r="AH334" i="8"/>
  <c r="M334" i="8"/>
  <c r="Z334" i="8"/>
  <c r="F332" i="5"/>
  <c r="H494" i="8"/>
  <c r="S494" i="8"/>
  <c r="AH494" i="8"/>
  <c r="M494" i="8"/>
  <c r="F492" i="5"/>
  <c r="N494" i="8" s="1"/>
  <c r="Z494" i="8"/>
  <c r="F726" i="5"/>
  <c r="F448" i="5"/>
  <c r="F621" i="5"/>
  <c r="AH758" i="8"/>
  <c r="M542" i="8"/>
  <c r="H441" i="8"/>
  <c r="F439" i="5"/>
  <c r="T441" i="8" s="1"/>
  <c r="H802" i="8"/>
  <c r="Z802" i="8"/>
  <c r="H174" i="8"/>
  <c r="M174" i="8"/>
  <c r="H344" i="8"/>
  <c r="Z344" i="8"/>
  <c r="H696" i="8"/>
  <c r="AH696" i="8"/>
  <c r="Z696" i="8"/>
  <c r="F694" i="5"/>
  <c r="H389" i="8"/>
  <c r="AH389" i="8"/>
  <c r="Z389" i="8"/>
  <c r="F387" i="5"/>
  <c r="AA389" i="8" s="1"/>
  <c r="H244" i="8"/>
  <c r="M244" i="8"/>
  <c r="AH244" i="8"/>
  <c r="F242" i="5"/>
  <c r="Z244" i="8"/>
  <c r="H481" i="8"/>
  <c r="Z481" i="8"/>
  <c r="AH481" i="8"/>
  <c r="H55" i="8"/>
  <c r="F53" i="5"/>
  <c r="AI55" i="8" s="1"/>
  <c r="M55" i="8"/>
  <c r="AH55" i="8"/>
  <c r="H737" i="8"/>
  <c r="S737" i="8"/>
  <c r="AH737" i="8"/>
  <c r="Z737" i="8"/>
  <c r="H674" i="8"/>
  <c r="AH674" i="8"/>
  <c r="F672" i="5"/>
  <c r="G672" i="5" s="1"/>
  <c r="U674" i="8" s="1"/>
  <c r="H718" i="8"/>
  <c r="F716" i="5"/>
  <c r="G716" i="5" s="1"/>
  <c r="U718" i="8" s="1"/>
  <c r="M718" i="8"/>
  <c r="S718" i="8"/>
  <c r="H577" i="8"/>
  <c r="S577" i="8"/>
  <c r="Z577" i="8"/>
  <c r="F575" i="5"/>
  <c r="AI577" i="8" s="1"/>
  <c r="H565" i="8"/>
  <c r="F563" i="5"/>
  <c r="AI565" i="8" s="1"/>
  <c r="S565" i="8"/>
  <c r="Z565" i="8"/>
  <c r="M565" i="8"/>
  <c r="AH565" i="8"/>
  <c r="H750" i="8"/>
  <c r="S750" i="8"/>
  <c r="M750" i="8"/>
  <c r="AH750" i="8"/>
  <c r="Z750" i="8"/>
  <c r="F748" i="5"/>
  <c r="H519" i="8"/>
  <c r="S519" i="8"/>
  <c r="Z519" i="8"/>
  <c r="M519" i="8"/>
  <c r="H151" i="8"/>
  <c r="S151" i="8"/>
  <c r="F149" i="5"/>
  <c r="G149" i="5" s="1"/>
  <c r="U151" i="8" s="1"/>
  <c r="M151" i="8"/>
  <c r="H217" i="8"/>
  <c r="S217" i="8"/>
  <c r="AH217" i="8"/>
  <c r="Z217" i="8"/>
  <c r="M217" i="8"/>
  <c r="F215" i="5"/>
  <c r="H343" i="8"/>
  <c r="S343" i="8"/>
  <c r="M343" i="8"/>
  <c r="H291" i="8"/>
  <c r="Z291" i="8"/>
  <c r="F289" i="5"/>
  <c r="G289" i="5" s="1"/>
  <c r="U291" i="8" s="1"/>
  <c r="AH291" i="8"/>
  <c r="H846" i="8"/>
  <c r="Z846" i="8"/>
  <c r="F844" i="5"/>
  <c r="AA846" i="8" s="1"/>
  <c r="AH846" i="8"/>
  <c r="H201" i="8"/>
  <c r="M201" i="8"/>
  <c r="S201" i="8"/>
  <c r="Z201" i="8"/>
  <c r="F199" i="5"/>
  <c r="H25" i="8"/>
  <c r="S25" i="8"/>
  <c r="F23" i="5"/>
  <c r="M25" i="8"/>
  <c r="AH25" i="8"/>
  <c r="Z25" i="8"/>
  <c r="H493" i="8"/>
  <c r="S493" i="8"/>
  <c r="M493" i="8"/>
  <c r="AH493" i="8"/>
  <c r="H47" i="8"/>
  <c r="AH47" i="8"/>
  <c r="S47" i="8"/>
  <c r="M47" i="8"/>
  <c r="F45" i="5"/>
  <c r="G45" i="5" s="1"/>
  <c r="U47" i="8" s="1"/>
  <c r="Z47" i="8"/>
  <c r="H236" i="8"/>
  <c r="Z236" i="8"/>
  <c r="S236" i="8"/>
  <c r="M236" i="8"/>
  <c r="AH236" i="8"/>
  <c r="F234" i="5"/>
  <c r="G234" i="5" s="1"/>
  <c r="U236" i="8" s="1"/>
  <c r="H816" i="8"/>
  <c r="M816" i="8"/>
  <c r="S816" i="8"/>
  <c r="Z816" i="8"/>
  <c r="AH816" i="8"/>
  <c r="F814" i="5"/>
  <c r="G814" i="5" s="1"/>
  <c r="U816" i="8" s="1"/>
  <c r="H690" i="8"/>
  <c r="S690" i="8"/>
  <c r="AH690" i="8"/>
  <c r="M690" i="8"/>
  <c r="H61" i="8"/>
  <c r="M61" i="8"/>
  <c r="S61" i="8"/>
  <c r="AH61" i="8"/>
  <c r="Z61" i="8"/>
  <c r="H637" i="8"/>
  <c r="S637" i="8"/>
  <c r="M637" i="8"/>
  <c r="F635" i="5"/>
  <c r="Z886" i="8"/>
  <c r="S929" i="8"/>
  <c r="H398" i="8"/>
  <c r="S398" i="8"/>
  <c r="M398" i="8"/>
  <c r="AH398" i="8"/>
  <c r="F396" i="5"/>
  <c r="H488" i="8"/>
  <c r="AH488" i="8"/>
  <c r="F486" i="5"/>
  <c r="AA488" i="8" s="1"/>
  <c r="M488" i="8"/>
  <c r="Z488" i="8"/>
  <c r="H463" i="8"/>
  <c r="AH463" i="8"/>
  <c r="Z463" i="8"/>
  <c r="H48" i="8"/>
  <c r="M48" i="8"/>
  <c r="Z48" i="8"/>
  <c r="H383" i="8"/>
  <c r="F381" i="5"/>
  <c r="Z383" i="8"/>
  <c r="AH383" i="8"/>
  <c r="H470" i="8"/>
  <c r="S470" i="8"/>
  <c r="AH470" i="8"/>
  <c r="Z470" i="8"/>
  <c r="H907" i="8"/>
  <c r="AH907" i="8"/>
  <c r="S907" i="8"/>
  <c r="H797" i="8"/>
  <c r="AH797" i="8"/>
  <c r="Z797" i="8"/>
  <c r="F795" i="5"/>
  <c r="AA797" i="8" s="1"/>
  <c r="H526" i="8"/>
  <c r="S526" i="8"/>
  <c r="F524" i="5"/>
  <c r="AI526" i="8" s="1"/>
  <c r="H794" i="8"/>
  <c r="S794" i="8"/>
  <c r="AH794" i="8"/>
  <c r="H348" i="8"/>
  <c r="AH348" i="8"/>
  <c r="Z348" i="8"/>
  <c r="F346" i="5"/>
  <c r="G346" i="5" s="1"/>
  <c r="U348" i="8" s="1"/>
  <c r="H82" i="8"/>
  <c r="AH82" i="8"/>
  <c r="F80" i="5"/>
  <c r="AI82" i="8" s="1"/>
  <c r="Z82" i="8"/>
  <c r="S82" i="8"/>
  <c r="H966" i="8"/>
  <c r="S966" i="8"/>
  <c r="M966" i="8"/>
  <c r="H954" i="8"/>
  <c r="S954" i="8"/>
  <c r="F952" i="5"/>
  <c r="H282" i="8"/>
  <c r="S282" i="8"/>
  <c r="M282" i="8"/>
  <c r="AH282" i="8"/>
  <c r="Z282" i="8"/>
  <c r="F280" i="5"/>
  <c r="G280" i="5" s="1"/>
  <c r="U282" i="8" s="1"/>
  <c r="H120" i="8"/>
  <c r="M120" i="8"/>
  <c r="F118" i="5"/>
  <c r="G118" i="5" s="1"/>
  <c r="U120" i="8" s="1"/>
  <c r="AH120" i="8"/>
  <c r="Z120" i="8"/>
  <c r="H461" i="8"/>
  <c r="S461" i="8"/>
  <c r="AH461" i="8"/>
  <c r="F459" i="5"/>
  <c r="H614" i="8"/>
  <c r="M614" i="8"/>
  <c r="H408" i="8"/>
  <c r="S408" i="8"/>
  <c r="M408" i="8"/>
  <c r="AH408" i="8"/>
  <c r="Z408" i="8"/>
  <c r="F406" i="5"/>
  <c r="AA408" i="8" s="1"/>
  <c r="H877" i="8"/>
  <c r="M877" i="8"/>
  <c r="S877" i="8"/>
  <c r="AH877" i="8"/>
  <c r="Z877" i="8"/>
  <c r="H257" i="8"/>
  <c r="AH257" i="8"/>
  <c r="S257" i="8"/>
  <c r="M257" i="8"/>
  <c r="H415" i="8"/>
  <c r="S415" i="8"/>
  <c r="M415" i="8"/>
  <c r="AH415" i="8"/>
  <c r="H419" i="8"/>
  <c r="M419" i="8"/>
  <c r="Z419" i="8"/>
  <c r="F417" i="5"/>
  <c r="AH419" i="8"/>
  <c r="H76" i="8"/>
  <c r="M76" i="8"/>
  <c r="S76" i="8"/>
  <c r="AH76" i="8"/>
  <c r="Z76" i="8"/>
  <c r="H947" i="8"/>
  <c r="AH947" i="8"/>
  <c r="Z947" i="8"/>
  <c r="S947" i="8"/>
  <c r="F945" i="5"/>
  <c r="G945" i="5" s="1"/>
  <c r="U947" i="8" s="1"/>
  <c r="H991" i="8"/>
  <c r="M991" i="8"/>
  <c r="AH991" i="8"/>
  <c r="Z991" i="8"/>
  <c r="S991" i="8"/>
  <c r="H1003" i="8"/>
  <c r="S1003" i="8"/>
  <c r="AH1003" i="8"/>
  <c r="F1001" i="5"/>
  <c r="G1001" i="5" s="1"/>
  <c r="U1003" i="8" s="1"/>
  <c r="M1003" i="8"/>
  <c r="Z1003" i="8"/>
  <c r="H719" i="8"/>
  <c r="Z719" i="8"/>
  <c r="S719" i="8"/>
  <c r="AH719" i="8"/>
  <c r="M719" i="8"/>
  <c r="H50" i="8"/>
  <c r="Z50" i="8"/>
  <c r="S50" i="8"/>
  <c r="M50" i="8"/>
  <c r="H22" i="8"/>
  <c r="Z22" i="8"/>
  <c r="AH22" i="8"/>
  <c r="H237" i="8"/>
  <c r="S237" i="8"/>
  <c r="M237" i="8"/>
  <c r="Z237" i="8"/>
  <c r="AH237" i="8"/>
  <c r="H591" i="8"/>
  <c r="S591" i="8"/>
  <c r="F589" i="5"/>
  <c r="AI591" i="8" s="1"/>
  <c r="AH591" i="8"/>
  <c r="Z591" i="8"/>
  <c r="M591" i="8"/>
  <c r="H367" i="8"/>
  <c r="M367" i="8"/>
  <c r="S367" i="8"/>
  <c r="AH367" i="8"/>
  <c r="Z367" i="8"/>
  <c r="F365" i="5"/>
  <c r="H273" i="8"/>
  <c r="S273" i="8"/>
  <c r="Z273" i="8"/>
  <c r="F271" i="5"/>
  <c r="T273" i="8" s="1"/>
  <c r="H276" i="8"/>
  <c r="M276" i="8"/>
  <c r="AH276" i="8"/>
  <c r="Z276" i="8"/>
  <c r="S276" i="8"/>
  <c r="F274" i="5"/>
  <c r="H11" i="8"/>
  <c r="Z11" i="8"/>
  <c r="F9" i="5"/>
  <c r="AH11" i="8"/>
  <c r="M11" i="8"/>
  <c r="S11" i="8"/>
  <c r="H648" i="8"/>
  <c r="S648" i="8"/>
  <c r="M648" i="8"/>
  <c r="Z648" i="8"/>
  <c r="F646" i="5"/>
  <c r="G646" i="5" s="1"/>
  <c r="U648" i="8" s="1"/>
  <c r="H85" i="8"/>
  <c r="S85" i="8"/>
  <c r="M85" i="8"/>
  <c r="AH85" i="8"/>
  <c r="Z85" i="8"/>
  <c r="H528" i="8"/>
  <c r="M528" i="8"/>
  <c r="Z528" i="8"/>
  <c r="S528" i="8"/>
  <c r="AH528" i="8"/>
  <c r="H145" i="8"/>
  <c r="S145" i="8"/>
  <c r="AH145" i="8"/>
  <c r="M145" i="8"/>
  <c r="Z145" i="8"/>
  <c r="F143" i="5"/>
  <c r="G143" i="5" s="1"/>
  <c r="U145" i="8" s="1"/>
  <c r="F964" i="5"/>
  <c r="G964" i="5" s="1"/>
  <c r="U966" i="8" s="1"/>
  <c r="F535" i="5"/>
  <c r="G535" i="5" s="1"/>
  <c r="U537" i="8" s="1"/>
  <c r="Z690" i="8"/>
  <c r="AH650" i="8"/>
  <c r="AH869" i="8"/>
  <c r="M801" i="8"/>
  <c r="S846" i="8"/>
  <c r="S758" i="8"/>
  <c r="H764" i="8"/>
  <c r="AH764" i="8"/>
  <c r="Z764" i="8"/>
  <c r="F762" i="5"/>
  <c r="H116" i="8"/>
  <c r="AH116" i="8"/>
  <c r="Z116" i="8"/>
  <c r="F114" i="5"/>
  <c r="S116" i="8"/>
  <c r="H458" i="8"/>
  <c r="S458" i="8"/>
  <c r="F456" i="5"/>
  <c r="H195" i="8"/>
  <c r="S195" i="8"/>
  <c r="Z195" i="8"/>
  <c r="F193" i="5"/>
  <c r="N195" i="8" s="1"/>
  <c r="H943" i="8"/>
  <c r="AH943" i="8"/>
  <c r="F941" i="5"/>
  <c r="AI943" i="8" s="1"/>
  <c r="H242" i="8"/>
  <c r="M242" i="8"/>
  <c r="F240" i="5"/>
  <c r="Z242" i="8"/>
  <c r="H854" i="8"/>
  <c r="M854" i="8"/>
  <c r="AH854" i="8"/>
  <c r="F852" i="5"/>
  <c r="S854" i="8"/>
  <c r="H942" i="8"/>
  <c r="F940" i="5"/>
  <c r="H310" i="8"/>
  <c r="AH310" i="8"/>
  <c r="Z310" i="8"/>
  <c r="F308" i="5"/>
  <c r="N310" i="8" s="1"/>
  <c r="H134" i="8"/>
  <c r="S134" i="8"/>
  <c r="M134" i="8"/>
  <c r="F132" i="5"/>
  <c r="H552" i="8"/>
  <c r="M552" i="8"/>
  <c r="Z552" i="8"/>
  <c r="AH552" i="8"/>
  <c r="H471" i="8"/>
  <c r="S471" i="8"/>
  <c r="M471" i="8"/>
  <c r="AH471" i="8"/>
  <c r="Z471" i="8"/>
  <c r="H366" i="8"/>
  <c r="F364" i="5"/>
  <c r="AA366" i="8" s="1"/>
  <c r="S366" i="8"/>
  <c r="H435" i="8"/>
  <c r="S435" i="8"/>
  <c r="F433" i="5"/>
  <c r="AI435" i="8" s="1"/>
  <c r="AH435" i="8"/>
  <c r="M435" i="8"/>
  <c r="Z435" i="8"/>
  <c r="F729" i="5"/>
  <c r="F779" i="5"/>
  <c r="N781" i="8" s="1"/>
  <c r="AH172" i="8"/>
  <c r="Z781" i="8"/>
  <c r="Z878" i="8"/>
  <c r="Z954" i="8"/>
  <c r="Z366" i="8"/>
  <c r="AH942" i="8"/>
  <c r="Z456" i="8"/>
  <c r="M598" i="8"/>
  <c r="M22" i="8"/>
  <c r="M946" i="8"/>
  <c r="F235" i="5"/>
  <c r="F48" i="5"/>
  <c r="F759" i="5"/>
  <c r="G759" i="5" s="1"/>
  <c r="U761" i="8" s="1"/>
  <c r="F461" i="5"/>
  <c r="F22" i="5"/>
  <c r="AA24" i="8" s="1"/>
  <c r="F205" i="5"/>
  <c r="F735" i="5"/>
  <c r="G735" i="5" s="1"/>
  <c r="U737" i="8" s="1"/>
  <c r="F380" i="5"/>
  <c r="G380" i="5" s="1"/>
  <c r="U382" i="8" s="1"/>
  <c r="F469" i="5"/>
  <c r="AI471" i="8" s="1"/>
  <c r="Z493" i="8"/>
  <c r="Z674" i="8"/>
  <c r="AH297" i="8"/>
  <c r="AH878" i="8"/>
  <c r="AH954" i="8"/>
  <c r="AH366" i="8"/>
  <c r="Z976" i="8"/>
  <c r="AH50" i="8"/>
  <c r="M625" i="8"/>
  <c r="S48" i="8"/>
  <c r="S598" i="8"/>
  <c r="S22" i="8"/>
  <c r="M942" i="8"/>
  <c r="F428" i="5"/>
  <c r="G428" i="5" s="1"/>
  <c r="U430" i="8" s="1"/>
  <c r="F46" i="5"/>
  <c r="G46" i="5" s="1"/>
  <c r="U48" i="8" s="1"/>
  <c r="F341" i="5"/>
  <c r="T343" i="8" s="1"/>
  <c r="F593" i="5"/>
  <c r="AI595" i="8" s="1"/>
  <c r="F255" i="5"/>
  <c r="AI257" i="8" s="1"/>
  <c r="Z14" i="8"/>
  <c r="Z572" i="8"/>
  <c r="Z461" i="8"/>
  <c r="Z193" i="8"/>
  <c r="Z966" i="8"/>
  <c r="AH648" i="8"/>
  <c r="Z794" i="8"/>
  <c r="AH786" i="8"/>
  <c r="Z343" i="8"/>
  <c r="AH519" i="8"/>
  <c r="M146" i="8"/>
  <c r="M291" i="8"/>
  <c r="S120" i="8"/>
  <c r="M976" i="8"/>
  <c r="H974" i="8"/>
  <c r="S974" i="8"/>
  <c r="F972" i="5"/>
  <c r="T974" i="8" s="1"/>
  <c r="AH974" i="8"/>
  <c r="Z974" i="8"/>
  <c r="H24" i="8"/>
  <c r="S24" i="8"/>
  <c r="M24" i="8"/>
  <c r="Z24" i="8"/>
  <c r="H502" i="8"/>
  <c r="AH502" i="8"/>
  <c r="S502" i="8"/>
  <c r="M502" i="8"/>
  <c r="Z502" i="8"/>
  <c r="F458" i="5"/>
  <c r="H87" i="8"/>
  <c r="F85" i="5"/>
  <c r="T87" i="8" s="1"/>
  <c r="H66" i="8"/>
  <c r="F64" i="5"/>
  <c r="H469" i="8"/>
  <c r="Z469" i="8"/>
  <c r="H425" i="8"/>
  <c r="F423" i="5"/>
  <c r="H259" i="8"/>
  <c r="M259" i="8"/>
  <c r="AH259" i="8"/>
  <c r="Z259" i="8"/>
  <c r="S259" i="8"/>
  <c r="F257" i="5"/>
  <c r="T259" i="8" s="1"/>
  <c r="H261" i="8"/>
  <c r="S261" i="8"/>
  <c r="Z261" i="8"/>
  <c r="M261" i="8"/>
  <c r="AH261" i="8"/>
  <c r="H936" i="8"/>
  <c r="S936" i="8"/>
  <c r="AH936" i="8"/>
  <c r="Z936" i="8"/>
  <c r="F934" i="5"/>
  <c r="H163" i="8"/>
  <c r="AH163" i="8"/>
  <c r="Z163" i="8"/>
  <c r="F161" i="5"/>
  <c r="M163" i="8"/>
  <c r="H336" i="8"/>
  <c r="F334" i="5"/>
  <c r="N336" i="8" s="1"/>
  <c r="AH336" i="8"/>
  <c r="Z336" i="8"/>
  <c r="M336" i="8"/>
  <c r="S336" i="8"/>
  <c r="H727" i="8"/>
  <c r="S727" i="8"/>
  <c r="M727" i="8"/>
  <c r="AH727" i="8"/>
  <c r="Z727" i="8"/>
  <c r="F725" i="5"/>
  <c r="G725" i="5" s="1"/>
  <c r="U727" i="8" s="1"/>
  <c r="H905" i="8"/>
  <c r="M905" i="8"/>
  <c r="F903" i="5"/>
  <c r="AH905" i="8"/>
  <c r="Z905" i="8"/>
  <c r="H448" i="8"/>
  <c r="S448" i="8"/>
  <c r="AH448" i="8"/>
  <c r="Z448" i="8"/>
  <c r="M448" i="8"/>
  <c r="H916" i="8"/>
  <c r="M916" i="8"/>
  <c r="Z916" i="8"/>
  <c r="S916" i="8"/>
  <c r="F914" i="5"/>
  <c r="H37" i="8"/>
  <c r="M37" i="8"/>
  <c r="Z37" i="8"/>
  <c r="S37" i="8"/>
  <c r="AH37" i="8"/>
  <c r="H14" i="8"/>
  <c r="M14" i="8"/>
  <c r="F12" i="5"/>
  <c r="H962" i="8"/>
  <c r="M962" i="8"/>
  <c r="S962" i="8"/>
  <c r="AH962" i="8"/>
  <c r="Z962" i="8"/>
  <c r="H669" i="8"/>
  <c r="AH669" i="8"/>
  <c r="S669" i="8"/>
  <c r="M669" i="8"/>
  <c r="Z669" i="8"/>
  <c r="H538" i="8"/>
  <c r="Z538" i="8"/>
  <c r="AH538" i="8"/>
  <c r="S538" i="8"/>
  <c r="M538" i="8"/>
  <c r="F536" i="5"/>
  <c r="H489" i="8"/>
  <c r="S489" i="8"/>
  <c r="M489" i="8"/>
  <c r="AH489" i="8"/>
  <c r="Z489" i="8"/>
  <c r="H831" i="8"/>
  <c r="AH831" i="8"/>
  <c r="F829" i="5"/>
  <c r="G829" i="5" s="1"/>
  <c r="U831" i="8" s="1"/>
  <c r="S831" i="8"/>
  <c r="M831" i="8"/>
  <c r="Z831" i="8"/>
  <c r="H512" i="8"/>
  <c r="S512" i="8"/>
  <c r="AH512" i="8"/>
  <c r="M512" i="8"/>
  <c r="F510" i="5"/>
  <c r="AI512" i="8" s="1"/>
  <c r="H496" i="8"/>
  <c r="S496" i="8"/>
  <c r="M496" i="8"/>
  <c r="AH496" i="8"/>
  <c r="F494" i="5"/>
  <c r="H199" i="8"/>
  <c r="M199" i="8"/>
  <c r="Z199" i="8"/>
  <c r="F197" i="5"/>
  <c r="G197" i="5" s="1"/>
  <c r="U199" i="8" s="1"/>
  <c r="S199" i="8"/>
  <c r="H684" i="8"/>
  <c r="F682" i="5"/>
  <c r="S684" i="8"/>
  <c r="Z684" i="8"/>
  <c r="M684" i="8"/>
  <c r="AH684" i="8"/>
  <c r="H340" i="8"/>
  <c r="S340" i="8"/>
  <c r="M340" i="8"/>
  <c r="AH340" i="8"/>
  <c r="Z340" i="8"/>
  <c r="F338" i="5"/>
  <c r="G338" i="5" s="1"/>
  <c r="U340" i="8" s="1"/>
  <c r="H951" i="8"/>
  <c r="S951" i="8"/>
  <c r="M951" i="8"/>
  <c r="AH951" i="8"/>
  <c r="H146" i="8"/>
  <c r="AH146" i="8"/>
  <c r="Z146" i="8"/>
  <c r="F144" i="5"/>
  <c r="AA146" i="8" s="1"/>
  <c r="H668" i="8"/>
  <c r="AH668" i="8"/>
  <c r="Z668" i="8"/>
  <c r="F666" i="5"/>
  <c r="N668" i="8" s="1"/>
  <c r="S668" i="8"/>
  <c r="H254" i="8"/>
  <c r="M254" i="8"/>
  <c r="S254" i="8"/>
  <c r="AH254" i="8"/>
  <c r="H362" i="8"/>
  <c r="S362" i="8"/>
  <c r="M362" i="8"/>
  <c r="F360" i="5"/>
  <c r="G360" i="5" s="1"/>
  <c r="U362" i="8" s="1"/>
  <c r="AH362" i="8"/>
  <c r="Z362" i="8"/>
  <c r="H385" i="8"/>
  <c r="AH385" i="8"/>
  <c r="Z385" i="8"/>
  <c r="F383" i="5"/>
  <c r="G383" i="5" s="1"/>
  <c r="U385" i="8" s="1"/>
  <c r="Z254" i="8"/>
  <c r="AH994" i="8"/>
  <c r="S14" i="8"/>
  <c r="M332" i="8"/>
  <c r="S385" i="8"/>
  <c r="H54" i="8"/>
  <c r="Z54" i="8"/>
  <c r="H955" i="8"/>
  <c r="AH955" i="8"/>
  <c r="H938" i="8"/>
  <c r="F936" i="5"/>
  <c r="H874" i="8"/>
  <c r="F872" i="5"/>
  <c r="G872" i="5" s="1"/>
  <c r="U874" i="8" s="1"/>
  <c r="H206" i="8"/>
  <c r="F204" i="5"/>
  <c r="G204" i="5" s="1"/>
  <c r="U206" i="8" s="1"/>
  <c r="H286" i="8"/>
  <c r="F284" i="5"/>
  <c r="G284" i="5" s="1"/>
  <c r="U286" i="8" s="1"/>
  <c r="H893" i="8"/>
  <c r="F891" i="5"/>
  <c r="G891" i="5" s="1"/>
  <c r="U893" i="8" s="1"/>
  <c r="H279" i="8"/>
  <c r="Z279" i="8"/>
  <c r="F949" i="5"/>
  <c r="F540" i="5"/>
  <c r="F960" i="5"/>
  <c r="G960" i="5" s="1"/>
  <c r="U962" i="8" s="1"/>
  <c r="Z758" i="8"/>
  <c r="S332" i="8"/>
  <c r="H426" i="8"/>
  <c r="Z426" i="8"/>
  <c r="AH426" i="8"/>
  <c r="F424" i="5"/>
  <c r="T426" i="8" s="1"/>
  <c r="H124" i="8"/>
  <c r="AH124" i="8"/>
  <c r="Z124" i="8"/>
  <c r="F122" i="5"/>
  <c r="S124" i="8"/>
  <c r="M124" i="8"/>
  <c r="H216" i="8"/>
  <c r="AH216" i="8"/>
  <c r="S216" i="8"/>
  <c r="M216" i="8"/>
  <c r="Z216" i="8"/>
  <c r="H211" i="8"/>
  <c r="F209" i="5"/>
  <c r="S211" i="8"/>
  <c r="AH211" i="8"/>
  <c r="M211" i="8"/>
  <c r="Z211" i="8"/>
  <c r="H600" i="8"/>
  <c r="M600" i="8"/>
  <c r="F598" i="5"/>
  <c r="S600" i="8"/>
  <c r="Z600" i="8"/>
  <c r="AH600" i="8"/>
  <c r="H777" i="8"/>
  <c r="Z777" i="8"/>
  <c r="F775" i="5"/>
  <c r="AI777" i="8" s="1"/>
  <c r="S777" i="8"/>
  <c r="AH777" i="8"/>
  <c r="M777" i="8"/>
  <c r="H779" i="8"/>
  <c r="Z779" i="8"/>
  <c r="S779" i="8"/>
  <c r="AH779" i="8"/>
  <c r="M779" i="8"/>
  <c r="H349" i="8"/>
  <c r="S349" i="8"/>
  <c r="M349" i="8"/>
  <c r="AH349" i="8"/>
  <c r="F347" i="5"/>
  <c r="AI349" i="8" s="1"/>
  <c r="Z349" i="8"/>
  <c r="H934" i="8"/>
  <c r="S934" i="8"/>
  <c r="M934" i="8"/>
  <c r="AH934" i="8"/>
  <c r="Z934" i="8"/>
  <c r="H533" i="8"/>
  <c r="AH533" i="8"/>
  <c r="S533" i="8"/>
  <c r="M533" i="8"/>
  <c r="F531" i="5"/>
  <c r="T533" i="8" s="1"/>
  <c r="Z533" i="8"/>
  <c r="H930" i="8"/>
  <c r="S930" i="8"/>
  <c r="AH930" i="8"/>
  <c r="M930" i="8"/>
  <c r="F928" i="5"/>
  <c r="H434" i="8"/>
  <c r="S434" i="8"/>
  <c r="M434" i="8"/>
  <c r="AH434" i="8"/>
  <c r="Z434" i="8"/>
  <c r="H984" i="8"/>
  <c r="Z984" i="8"/>
  <c r="F982" i="5"/>
  <c r="S984" i="8"/>
  <c r="M984" i="8"/>
  <c r="H325" i="8"/>
  <c r="S325" i="8"/>
  <c r="M325" i="8"/>
  <c r="F323" i="5"/>
  <c r="H260" i="8"/>
  <c r="S260" i="8"/>
  <c r="M260" i="8"/>
  <c r="AH260" i="8"/>
  <c r="Z260" i="8"/>
  <c r="H627" i="8"/>
  <c r="AH627" i="8"/>
  <c r="Z627" i="8"/>
  <c r="S627" i="8"/>
  <c r="H964" i="8"/>
  <c r="S964" i="8"/>
  <c r="Z964" i="8"/>
  <c r="AH964" i="8"/>
  <c r="F962" i="5"/>
  <c r="M964" i="8"/>
  <c r="H959" i="8"/>
  <c r="S959" i="8"/>
  <c r="M959" i="8"/>
  <c r="F957" i="5"/>
  <c r="T959" i="8" s="1"/>
  <c r="AH959" i="8"/>
  <c r="Z959" i="8"/>
  <c r="H781" i="8"/>
  <c r="M781" i="8"/>
  <c r="S781" i="8"/>
  <c r="H653" i="8"/>
  <c r="S653" i="8"/>
  <c r="M653" i="8"/>
  <c r="AH653" i="8"/>
  <c r="Z653" i="8"/>
  <c r="F651" i="5"/>
  <c r="H516" i="8"/>
  <c r="Z516" i="8"/>
  <c r="S516" i="8"/>
  <c r="M516" i="8"/>
  <c r="AH516" i="8"/>
  <c r="H457" i="8"/>
  <c r="M457" i="8"/>
  <c r="AH457" i="8"/>
  <c r="S457" i="8"/>
  <c r="F455" i="5"/>
  <c r="G455" i="5" s="1"/>
  <c r="U457" i="8" s="1"/>
  <c r="H137" i="8"/>
  <c r="M137" i="8"/>
  <c r="S137" i="8"/>
  <c r="F135" i="5"/>
  <c r="G135" i="5" s="1"/>
  <c r="U137" i="8" s="1"/>
  <c r="AH137" i="8"/>
  <c r="Z137" i="8"/>
  <c r="H625" i="8"/>
  <c r="F623" i="5"/>
  <c r="T625" i="8" s="1"/>
  <c r="Z625" i="8"/>
  <c r="AH625" i="8"/>
  <c r="H891" i="8"/>
  <c r="S891" i="8"/>
  <c r="AH891" i="8"/>
  <c r="M891" i="8"/>
  <c r="Z891" i="8"/>
  <c r="H666" i="8"/>
  <c r="M666" i="8"/>
  <c r="F664" i="5"/>
  <c r="G664" i="5" s="1"/>
  <c r="U666" i="8" s="1"/>
  <c r="S666" i="8"/>
  <c r="H949" i="8"/>
  <c r="M949" i="8"/>
  <c r="S949" i="8"/>
  <c r="AH949" i="8"/>
  <c r="Z949" i="8"/>
  <c r="H795" i="8"/>
  <c r="S795" i="8"/>
  <c r="AH795" i="8"/>
  <c r="F793" i="5"/>
  <c r="Z795" i="8"/>
  <c r="M795" i="8"/>
  <c r="H267" i="8"/>
  <c r="M267" i="8"/>
  <c r="Z267" i="8"/>
  <c r="S267" i="8"/>
  <c r="H889" i="8"/>
  <c r="Z889" i="8"/>
  <c r="S889" i="8"/>
  <c r="M889" i="8"/>
  <c r="AH889" i="8"/>
  <c r="F887" i="5"/>
  <c r="H946" i="8"/>
  <c r="F944" i="5"/>
  <c r="H909" i="8"/>
  <c r="AH909" i="8"/>
  <c r="Z909" i="8"/>
  <c r="F907" i="5"/>
  <c r="AA909" i="8" s="1"/>
  <c r="M909" i="8"/>
  <c r="S909" i="8"/>
  <c r="H576" i="8"/>
  <c r="M576" i="8"/>
  <c r="F574" i="5"/>
  <c r="AH576" i="8"/>
  <c r="H304" i="8"/>
  <c r="AH304" i="8"/>
  <c r="S304" i="8"/>
  <c r="Z304" i="8"/>
  <c r="M304" i="8"/>
  <c r="F302" i="5"/>
  <c r="AA304" i="8" s="1"/>
  <c r="H852" i="8"/>
  <c r="S852" i="8"/>
  <c r="M852" i="8"/>
  <c r="F850" i="5"/>
  <c r="T852" i="8" s="1"/>
  <c r="Z852" i="8"/>
  <c r="AH852" i="8"/>
  <c r="H791" i="8"/>
  <c r="S791" i="8"/>
  <c r="AH791" i="8"/>
  <c r="M791" i="8"/>
  <c r="Z791" i="8"/>
  <c r="F789" i="5"/>
  <c r="G789" i="5" s="1"/>
  <c r="U791" i="8" s="1"/>
  <c r="H157" i="8"/>
  <c r="S157" i="8"/>
  <c r="M157" i="8"/>
  <c r="AH157" i="8"/>
  <c r="F155" i="5"/>
  <c r="AI157" i="8" s="1"/>
  <c r="H472" i="8"/>
  <c r="S472" i="8"/>
  <c r="F470" i="5"/>
  <c r="N472" i="8" s="1"/>
  <c r="AH472" i="8"/>
  <c r="Z472" i="8"/>
  <c r="M472" i="8"/>
  <c r="H658" i="8"/>
  <c r="S658" i="8"/>
  <c r="M658" i="8"/>
  <c r="Z658" i="8"/>
  <c r="AH658" i="8"/>
  <c r="H41" i="8"/>
  <c r="S41" i="8"/>
  <c r="M41" i="8"/>
  <c r="AH41" i="8"/>
  <c r="F39" i="5"/>
  <c r="T41" i="8" s="1"/>
  <c r="Z41" i="8"/>
  <c r="Z455" i="8"/>
  <c r="AH636" i="8"/>
  <c r="M929" i="8"/>
  <c r="S688" i="8"/>
  <c r="H83" i="8"/>
  <c r="M83" i="8"/>
  <c r="H651" i="8"/>
  <c r="F649" i="5"/>
  <c r="H70" i="8"/>
  <c r="S70" i="8"/>
  <c r="H20" i="8"/>
  <c r="Z20" i="8"/>
  <c r="F18" i="5"/>
  <c r="N20" i="8" s="1"/>
  <c r="S20" i="8"/>
  <c r="AH20" i="8"/>
  <c r="H372" i="8"/>
  <c r="S372" i="8"/>
  <c r="AH372" i="8"/>
  <c r="F370" i="5"/>
  <c r="H266" i="8"/>
  <c r="AH266" i="8"/>
  <c r="F264" i="5"/>
  <c r="T266" i="8" s="1"/>
  <c r="H320" i="8"/>
  <c r="S320" i="8"/>
  <c r="F318" i="5"/>
  <c r="G318" i="5" s="1"/>
  <c r="U320" i="8" s="1"/>
  <c r="H433" i="8"/>
  <c r="F431" i="5"/>
  <c r="G431" i="5" s="1"/>
  <c r="U433" i="8" s="1"/>
  <c r="AH433" i="8"/>
  <c r="Z433" i="8"/>
  <c r="H884" i="8"/>
  <c r="S884" i="8"/>
  <c r="AH884" i="8"/>
  <c r="F882" i="5"/>
  <c r="G882" i="5" s="1"/>
  <c r="U884" i="8" s="1"/>
  <c r="Z884" i="8"/>
  <c r="H205" i="8"/>
  <c r="AH205" i="8"/>
  <c r="Z205" i="8"/>
  <c r="S205" i="8"/>
  <c r="H222" i="8"/>
  <c r="M222" i="8"/>
  <c r="Z222" i="8"/>
  <c r="AH222" i="8"/>
  <c r="F220" i="5"/>
  <c r="H578" i="8"/>
  <c r="AH578" i="8"/>
  <c r="S578" i="8"/>
  <c r="M578" i="8"/>
  <c r="Z578" i="8"/>
  <c r="H113" i="8"/>
  <c r="Z113" i="8"/>
  <c r="M113" i="8"/>
  <c r="AH113" i="8"/>
  <c r="F111" i="5"/>
  <c r="H530" i="8"/>
  <c r="Z530" i="8"/>
  <c r="S530" i="8"/>
  <c r="M530" i="8"/>
  <c r="AH530" i="8"/>
  <c r="H680" i="8"/>
  <c r="Z680" i="8"/>
  <c r="AH680" i="8"/>
  <c r="S680" i="8"/>
  <c r="M680" i="8"/>
  <c r="F678" i="5"/>
  <c r="T680" i="8" s="1"/>
  <c r="H131" i="8"/>
  <c r="S131" i="8"/>
  <c r="AH131" i="8"/>
  <c r="M131" i="8"/>
  <c r="F129" i="5"/>
  <c r="AA131" i="8" s="1"/>
  <c r="Z131" i="8"/>
  <c r="H251" i="8"/>
  <c r="M251" i="8"/>
  <c r="AH251" i="8"/>
  <c r="Z251" i="8"/>
  <c r="S251" i="8"/>
  <c r="H86" i="8"/>
  <c r="M86" i="8"/>
  <c r="AH86" i="8"/>
  <c r="Z86" i="8"/>
  <c r="H953" i="8"/>
  <c r="AH953" i="8"/>
  <c r="M953" i="8"/>
  <c r="Z953" i="8"/>
  <c r="H809" i="8"/>
  <c r="M809" i="8"/>
  <c r="Z809" i="8"/>
  <c r="F807" i="5"/>
  <c r="AH809" i="8"/>
  <c r="H28" i="8"/>
  <c r="S28" i="8"/>
  <c r="M28" i="8"/>
  <c r="F26" i="5"/>
  <c r="AI28" i="8" s="1"/>
  <c r="Z28" i="8"/>
  <c r="AH28" i="8"/>
  <c r="H200" i="8"/>
  <c r="F198" i="5"/>
  <c r="AH200" i="8"/>
  <c r="Z200" i="8"/>
  <c r="S200" i="8"/>
  <c r="M200" i="8"/>
  <c r="H869" i="8"/>
  <c r="Z869" i="8"/>
  <c r="S869" i="8"/>
  <c r="M869" i="8"/>
  <c r="H391" i="8"/>
  <c r="M391" i="8"/>
  <c r="Z391" i="8"/>
  <c r="F389" i="5"/>
  <c r="AH391" i="8"/>
  <c r="S391" i="8"/>
  <c r="H885" i="8"/>
  <c r="AH885" i="8"/>
  <c r="M885" i="8"/>
  <c r="S885" i="8"/>
  <c r="Z885" i="8"/>
  <c r="H97" i="8"/>
  <c r="S97" i="8"/>
  <c r="M97" i="8"/>
  <c r="AH97" i="8"/>
  <c r="Z97" i="8"/>
  <c r="H692" i="8"/>
  <c r="M692" i="8"/>
  <c r="Z692" i="8"/>
  <c r="AH692" i="8"/>
  <c r="S692" i="8"/>
  <c r="H352" i="8"/>
  <c r="S352" i="8"/>
  <c r="M352" i="8"/>
  <c r="Z352" i="8"/>
  <c r="F350" i="5"/>
  <c r="T352" i="8" s="1"/>
  <c r="H705" i="8"/>
  <c r="Z705" i="8"/>
  <c r="M705" i="8"/>
  <c r="AH705" i="8"/>
  <c r="F883" i="5"/>
  <c r="G883" i="5" s="1"/>
  <c r="U885" i="8" s="1"/>
  <c r="F517" i="5"/>
  <c r="AI519" i="8" s="1"/>
  <c r="F59" i="5"/>
  <c r="Z576" i="8"/>
  <c r="AH455" i="8"/>
  <c r="AH320" i="8"/>
  <c r="Z650" i="8"/>
  <c r="Z562" i="8"/>
  <c r="Z951" i="8"/>
  <c r="M846" i="8"/>
  <c r="M610" i="8"/>
  <c r="H573" i="8"/>
  <c r="AH573" i="8"/>
  <c r="F571" i="5"/>
  <c r="AI573" i="8" s="1"/>
  <c r="H995" i="8"/>
  <c r="S995" i="8"/>
  <c r="F993" i="5"/>
  <c r="AI995" i="8" s="1"/>
  <c r="AH995" i="8"/>
  <c r="H449" i="8"/>
  <c r="M449" i="8"/>
  <c r="AH449" i="8"/>
  <c r="Z449" i="8"/>
  <c r="H139" i="8"/>
  <c r="AH139" i="8"/>
  <c r="H730" i="8"/>
  <c r="M730" i="8"/>
  <c r="AH730" i="8"/>
  <c r="H841" i="8"/>
  <c r="Z841" i="8"/>
  <c r="S841" i="8"/>
  <c r="AH841" i="8"/>
  <c r="H155" i="8"/>
  <c r="AH155" i="8"/>
  <c r="Z155" i="8"/>
  <c r="F153" i="5"/>
  <c r="H133" i="8"/>
  <c r="F131" i="5"/>
  <c r="T133" i="8" s="1"/>
  <c r="H843" i="8"/>
  <c r="F841" i="5"/>
  <c r="G841" i="5" s="1"/>
  <c r="U843" i="8" s="1"/>
  <c r="AH843" i="8"/>
  <c r="Z843" i="8"/>
  <c r="S843" i="8"/>
  <c r="H487" i="8"/>
  <c r="M487" i="8"/>
  <c r="Z487" i="8"/>
  <c r="F485" i="5"/>
  <c r="H826" i="8"/>
  <c r="S826" i="8"/>
  <c r="AH826" i="8"/>
  <c r="M826" i="8"/>
  <c r="Z826" i="8"/>
  <c r="F824" i="5"/>
  <c r="H503" i="8"/>
  <c r="S503" i="8"/>
  <c r="AH503" i="8"/>
  <c r="Z503" i="8"/>
  <c r="H698" i="8"/>
  <c r="M698" i="8"/>
  <c r="AH698" i="8"/>
  <c r="Z698" i="8"/>
  <c r="H923" i="8"/>
  <c r="AH923" i="8"/>
  <c r="Z923" i="8"/>
  <c r="S923" i="8"/>
  <c r="M923" i="8"/>
  <c r="F921" i="5"/>
  <c r="H918" i="8"/>
  <c r="M918" i="8"/>
  <c r="AH918" i="8"/>
  <c r="Z918" i="8"/>
  <c r="H753" i="8"/>
  <c r="S753" i="8"/>
  <c r="F751" i="5"/>
  <c r="AH753" i="8"/>
  <c r="Z753" i="8"/>
  <c r="H498" i="8"/>
  <c r="M498" i="8"/>
  <c r="F496" i="5"/>
  <c r="G496" i="5" s="1"/>
  <c r="U498" i="8" s="1"/>
  <c r="AH498" i="8"/>
  <c r="H302" i="8"/>
  <c r="AH302" i="8"/>
  <c r="Z302" i="8"/>
  <c r="F300" i="5"/>
  <c r="G300" i="5" s="1"/>
  <c r="U302" i="8" s="1"/>
  <c r="S302" i="8"/>
  <c r="M302" i="8"/>
  <c r="H983" i="8"/>
  <c r="Z983" i="8"/>
  <c r="AH983" i="8"/>
  <c r="F981" i="5"/>
  <c r="G981" i="5" s="1"/>
  <c r="U983" i="8" s="1"/>
  <c r="H221" i="8"/>
  <c r="M221" i="8"/>
  <c r="F219" i="5"/>
  <c r="AH221" i="8"/>
  <c r="S221" i="8"/>
  <c r="Z221" i="8"/>
  <c r="H409" i="8"/>
  <c r="S409" i="8"/>
  <c r="M409" i="8"/>
  <c r="F407" i="5"/>
  <c r="T409" i="8" s="1"/>
  <c r="H571" i="8"/>
  <c r="S571" i="8"/>
  <c r="AH571" i="8"/>
  <c r="Z571" i="8"/>
  <c r="M571" i="8"/>
  <c r="F569" i="5"/>
  <c r="H379" i="8"/>
  <c r="S379" i="8"/>
  <c r="M379" i="8"/>
  <c r="F377" i="5"/>
  <c r="H319" i="8"/>
  <c r="S319" i="8"/>
  <c r="AH319" i="8"/>
  <c r="H423" i="8"/>
  <c r="Z423" i="8"/>
  <c r="F421" i="5"/>
  <c r="AA423" i="8" s="1"/>
  <c r="H213" i="8"/>
  <c r="S213" i="8"/>
  <c r="AH213" i="8"/>
  <c r="M213" i="8"/>
  <c r="H313" i="8"/>
  <c r="S313" i="8"/>
  <c r="M313" i="8"/>
  <c r="AH313" i="8"/>
  <c r="Z313" i="8"/>
  <c r="F311" i="5"/>
  <c r="T313" i="8" s="1"/>
  <c r="H179" i="8"/>
  <c r="S179" i="8"/>
  <c r="M179" i="8"/>
  <c r="AH179" i="8"/>
  <c r="Z179" i="8"/>
  <c r="F177" i="5"/>
  <c r="H807" i="8"/>
  <c r="S807" i="8"/>
  <c r="M807" i="8"/>
  <c r="Z807" i="8"/>
  <c r="AH807" i="8"/>
  <c r="H513" i="8"/>
  <c r="M513" i="8"/>
  <c r="Z513" i="8"/>
  <c r="S513" i="8"/>
  <c r="AH513" i="8"/>
  <c r="H125" i="8"/>
  <c r="M125" i="8"/>
  <c r="S125" i="8"/>
  <c r="F123" i="5"/>
  <c r="N125" i="8" s="1"/>
  <c r="Z125" i="8"/>
  <c r="H950" i="8"/>
  <c r="M950" i="8"/>
  <c r="S950" i="8"/>
  <c r="F948" i="5"/>
  <c r="AA950" i="8" s="1"/>
  <c r="AH950" i="8"/>
  <c r="Z950" i="8"/>
  <c r="H393" i="8"/>
  <c r="M393" i="8"/>
  <c r="S393" i="8"/>
  <c r="AH393" i="8"/>
  <c r="F391" i="5"/>
  <c r="Z393" i="8"/>
  <c r="H913" i="8"/>
  <c r="S913" i="8"/>
  <c r="M913" i="8"/>
  <c r="Z913" i="8"/>
  <c r="AH913" i="8"/>
  <c r="H265" i="8"/>
  <c r="M265" i="8"/>
  <c r="S265" i="8"/>
  <c r="AH265" i="8"/>
  <c r="Z265" i="8"/>
  <c r="H808" i="8"/>
  <c r="S808" i="8"/>
  <c r="M808" i="8"/>
  <c r="AH808" i="8"/>
  <c r="F806" i="5"/>
  <c r="H202" i="8"/>
  <c r="Z202" i="8"/>
  <c r="M202" i="8"/>
  <c r="S202" i="8"/>
  <c r="AH202" i="8"/>
  <c r="H624" i="8"/>
  <c r="M624" i="8"/>
  <c r="AH624" i="8"/>
  <c r="S624" i="8"/>
  <c r="F622" i="5"/>
  <c r="H585" i="8"/>
  <c r="S585" i="8"/>
  <c r="M585" i="8"/>
  <c r="AH585" i="8"/>
  <c r="Z585" i="8"/>
  <c r="H49" i="8"/>
  <c r="S49" i="8"/>
  <c r="M49" i="8"/>
  <c r="F47" i="5"/>
  <c r="G47" i="5" s="1"/>
  <c r="U49" i="8" s="1"/>
  <c r="F618" i="5"/>
  <c r="F285" i="5"/>
  <c r="G285" i="5" s="1"/>
  <c r="U287" i="8" s="1"/>
  <c r="F392" i="5"/>
  <c r="F932" i="5"/>
  <c r="AA934" i="8" s="1"/>
  <c r="F83" i="5"/>
  <c r="Z319" i="8"/>
  <c r="AH379" i="8"/>
  <c r="Z257" i="8"/>
  <c r="Z409" i="8"/>
  <c r="AH352" i="8"/>
  <c r="AH948" i="8"/>
  <c r="Z363" i="8"/>
  <c r="S610" i="8"/>
  <c r="H40" i="8"/>
  <c r="AH40" i="8"/>
  <c r="H549" i="8"/>
  <c r="AH549" i="8"/>
  <c r="F547" i="5"/>
  <c r="T549" i="8" s="1"/>
  <c r="H443" i="8"/>
  <c r="F441" i="5"/>
  <c r="AI443" i="8" s="1"/>
  <c r="AH443" i="8"/>
  <c r="Z443" i="8"/>
  <c r="H706" i="8"/>
  <c r="AH706" i="8"/>
  <c r="Z706" i="8"/>
  <c r="H495" i="8"/>
  <c r="S495" i="8"/>
  <c r="Z495" i="8"/>
  <c r="M495" i="8"/>
  <c r="AH495" i="8"/>
  <c r="H1000" i="8"/>
  <c r="M1000" i="8"/>
  <c r="AH1000" i="8"/>
  <c r="Z1000" i="8"/>
  <c r="S1000" i="8"/>
  <c r="F998" i="5"/>
  <c r="G998" i="5" s="1"/>
  <c r="U1000" i="8" s="1"/>
  <c r="H309" i="8"/>
  <c r="AH309" i="8"/>
  <c r="F307" i="5"/>
  <c r="S309" i="8"/>
  <c r="M309" i="8"/>
  <c r="H238" i="8"/>
  <c r="M238" i="8"/>
  <c r="AH238" i="8"/>
  <c r="F236" i="5"/>
  <c r="Z238" i="8"/>
  <c r="H871" i="8"/>
  <c r="AH871" i="8"/>
  <c r="Z871" i="8"/>
  <c r="S871" i="8"/>
  <c r="H580" i="8"/>
  <c r="M580" i="8"/>
  <c r="F578" i="5"/>
  <c r="AI580" i="8" s="1"/>
  <c r="H406" i="8"/>
  <c r="M406" i="8"/>
  <c r="AH406" i="8"/>
  <c r="Z406" i="8"/>
  <c r="H963" i="8"/>
  <c r="S963" i="8"/>
  <c r="AH963" i="8"/>
  <c r="Z963" i="8"/>
  <c r="M963" i="8"/>
  <c r="F961" i="5"/>
  <c r="N963" i="8" s="1"/>
  <c r="H849" i="8"/>
  <c r="Z849" i="8"/>
  <c r="S849" i="8"/>
  <c r="M849" i="8"/>
  <c r="F847" i="5"/>
  <c r="AI849" i="8" s="1"/>
  <c r="AH849" i="8"/>
  <c r="H225" i="8"/>
  <c r="S225" i="8"/>
  <c r="M225" i="8"/>
  <c r="AH225" i="8"/>
  <c r="F223" i="5"/>
  <c r="H341" i="8"/>
  <c r="S341" i="8"/>
  <c r="Z341" i="8"/>
  <c r="M341" i="8"/>
  <c r="AH341" i="8"/>
  <c r="F339" i="5"/>
  <c r="G339" i="5" s="1"/>
  <c r="U341" i="8" s="1"/>
  <c r="H619" i="8"/>
  <c r="S619" i="8"/>
  <c r="Z619" i="8"/>
  <c r="F617" i="5"/>
  <c r="AH619" i="8"/>
  <c r="F501" i="5"/>
  <c r="AI503" i="8" s="1"/>
  <c r="F1003" i="5"/>
  <c r="F947" i="5"/>
  <c r="G947" i="5" s="1"/>
  <c r="U949" i="8" s="1"/>
  <c r="F989" i="5"/>
  <c r="F690" i="5"/>
  <c r="AH577" i="8"/>
  <c r="AH409" i="8"/>
  <c r="Z297" i="8"/>
  <c r="Z213" i="8"/>
  <c r="F259" i="5"/>
  <c r="F550" i="5"/>
  <c r="N552" i="8" s="1"/>
  <c r="F839" i="5"/>
  <c r="F265" i="5"/>
  <c r="F252" i="5"/>
  <c r="F951" i="5"/>
  <c r="F203" i="5"/>
  <c r="T205" i="8" s="1"/>
  <c r="F258" i="5"/>
  <c r="T260" i="8" s="1"/>
  <c r="F479" i="5"/>
  <c r="G479" i="5" s="1"/>
  <c r="U481" i="8" s="1"/>
  <c r="Z415" i="8"/>
  <c r="AH916" i="8"/>
  <c r="Z266" i="8"/>
  <c r="Z498" i="8"/>
  <c r="Z372" i="8"/>
  <c r="Z151" i="8"/>
  <c r="Z287" i="8"/>
  <c r="AH325" i="8"/>
  <c r="AH193" i="8"/>
  <c r="AH966" i="8"/>
  <c r="AH199" i="8"/>
  <c r="AH343" i="8"/>
  <c r="AH666" i="8"/>
  <c r="Z555" i="8"/>
  <c r="M443" i="8"/>
  <c r="S291" i="8"/>
  <c r="F976" i="5"/>
  <c r="T978" i="8" s="1"/>
  <c r="F487" i="5"/>
  <c r="F514" i="5"/>
  <c r="F946" i="5"/>
  <c r="F625" i="5"/>
  <c r="AH151" i="8"/>
  <c r="AH287" i="8"/>
  <c r="AH984" i="8"/>
  <c r="Z174" i="8"/>
  <c r="AH267" i="8"/>
  <c r="AH555" i="8"/>
  <c r="S705" i="8"/>
  <c r="M943" i="8"/>
  <c r="S809" i="8"/>
  <c r="S86" i="8"/>
  <c r="S983" i="8"/>
  <c r="M627" i="8"/>
  <c r="H646" i="8"/>
  <c r="S646" i="8"/>
  <c r="M646" i="8"/>
  <c r="AH646" i="8"/>
  <c r="Z646" i="8"/>
  <c r="H346" i="8"/>
  <c r="M346" i="8"/>
  <c r="S346" i="8"/>
  <c r="AH346" i="8"/>
  <c r="Z346" i="8"/>
  <c r="F58" i="5"/>
  <c r="F493" i="5"/>
  <c r="F454" i="5"/>
  <c r="T456" i="8" s="1"/>
  <c r="F38" i="5"/>
  <c r="N40" i="8" s="1"/>
  <c r="F312" i="5"/>
  <c r="F511" i="5"/>
  <c r="AA513" i="8" s="1"/>
  <c r="F60" i="5"/>
  <c r="F500" i="5"/>
  <c r="F413" i="5"/>
  <c r="T415" i="8" s="1"/>
  <c r="F170" i="5"/>
  <c r="AI172" i="8" s="1"/>
  <c r="F688" i="5"/>
  <c r="Z946" i="8"/>
  <c r="Z382" i="8"/>
  <c r="Z998" i="8"/>
  <c r="Z40" i="8"/>
  <c r="Z907" i="8"/>
  <c r="Z512" i="8"/>
  <c r="Z718" i="8"/>
  <c r="M426" i="8"/>
  <c r="M978" i="8"/>
  <c r="S943" i="8"/>
  <c r="M159" i="8"/>
  <c r="M423" i="8"/>
  <c r="F768" i="5"/>
  <c r="T770" i="8" s="1"/>
  <c r="F227" i="5"/>
  <c r="T229" i="8" s="1"/>
  <c r="H507" i="8"/>
  <c r="S507" i="8"/>
  <c r="M507" i="8"/>
  <c r="Z507" i="8"/>
  <c r="F505" i="5"/>
  <c r="AI507" i="8" s="1"/>
  <c r="H887" i="8"/>
  <c r="M887" i="8"/>
  <c r="AH887" i="8"/>
  <c r="F885" i="5"/>
  <c r="AI887" i="8" s="1"/>
  <c r="H444" i="8"/>
  <c r="F442" i="5"/>
  <c r="AI444" i="8" s="1"/>
  <c r="H388" i="8"/>
  <c r="S388" i="8"/>
  <c r="Z388" i="8"/>
  <c r="H315" i="8"/>
  <c r="F313" i="5"/>
  <c r="N315" i="8" s="1"/>
  <c r="H1002" i="8"/>
  <c r="M1002" i="8"/>
  <c r="AH1002" i="8"/>
  <c r="H540" i="8"/>
  <c r="Z540" i="8"/>
  <c r="M540" i="8"/>
  <c r="H218" i="8"/>
  <c r="F216" i="5"/>
  <c r="T218" i="8" s="1"/>
  <c r="M218" i="8"/>
  <c r="H813" i="8"/>
  <c r="F811" i="5"/>
  <c r="G811" i="5" s="1"/>
  <c r="U813" i="8" s="1"/>
  <c r="AH813" i="8"/>
  <c r="H970" i="8"/>
  <c r="Z970" i="8"/>
  <c r="H429" i="8"/>
  <c r="M429" i="8"/>
  <c r="Z429" i="8"/>
  <c r="AH429" i="8"/>
  <c r="H90" i="8"/>
  <c r="M90" i="8"/>
  <c r="Z90" i="8"/>
  <c r="F88" i="5"/>
  <c r="T90" i="8" s="1"/>
  <c r="H476" i="8"/>
  <c r="M476" i="8"/>
  <c r="Z476" i="8"/>
  <c r="H98" i="8"/>
  <c r="Z98" i="8"/>
  <c r="H404" i="8"/>
  <c r="S404" i="8"/>
  <c r="AH404" i="8"/>
  <c r="Z404" i="8"/>
  <c r="H73" i="8"/>
  <c r="F71" i="5"/>
  <c r="H497" i="8"/>
  <c r="S497" i="8"/>
  <c r="Z497" i="8"/>
  <c r="AH497" i="8"/>
  <c r="H464" i="8"/>
  <c r="Z464" i="8"/>
  <c r="H814" i="8"/>
  <c r="F812" i="5"/>
  <c r="H789" i="8"/>
  <c r="AH789" i="8"/>
  <c r="H990" i="8"/>
  <c r="AH990" i="8"/>
  <c r="Z990" i="8"/>
  <c r="F988" i="5"/>
  <c r="H96" i="8"/>
  <c r="S96" i="8"/>
  <c r="F94" i="5"/>
  <c r="H985" i="8"/>
  <c r="S985" i="8"/>
  <c r="Z985" i="8"/>
  <c r="H823" i="8"/>
  <c r="F821" i="5"/>
  <c r="G821" i="5" s="1"/>
  <c r="U823" i="8" s="1"/>
  <c r="S823" i="8"/>
  <c r="AH823" i="8"/>
  <c r="H785" i="8"/>
  <c r="AH785" i="8"/>
  <c r="H132" i="8"/>
  <c r="M132" i="8"/>
  <c r="Z132" i="8"/>
  <c r="H630" i="8"/>
  <c r="Z630" i="8"/>
  <c r="AH630" i="8"/>
  <c r="S630" i="8"/>
  <c r="M630" i="8"/>
  <c r="H215" i="8"/>
  <c r="M215" i="8"/>
  <c r="S215" i="8"/>
  <c r="Z215" i="8"/>
  <c r="AH215" i="8"/>
  <c r="H102" i="8"/>
  <c r="M102" i="8"/>
  <c r="AH102" i="8"/>
  <c r="S102" i="8"/>
  <c r="Z102" i="8"/>
  <c r="H208" i="8"/>
  <c r="Z208" i="8"/>
  <c r="H248" i="8"/>
  <c r="M248" i="8"/>
  <c r="Z248" i="8"/>
  <c r="S248" i="8"/>
  <c r="H156" i="8"/>
  <c r="Z156" i="8"/>
  <c r="S156" i="8"/>
  <c r="H127" i="8"/>
  <c r="S127" i="8"/>
  <c r="M127" i="8"/>
  <c r="Z127" i="8"/>
  <c r="Z810" i="8"/>
  <c r="S540" i="8"/>
  <c r="H114" i="8"/>
  <c r="S114" i="8"/>
  <c r="AH114" i="8"/>
  <c r="Z114" i="8"/>
  <c r="M114" i="8"/>
  <c r="H931" i="8"/>
  <c r="Z931" i="8"/>
  <c r="H190" i="8"/>
  <c r="S190" i="8"/>
  <c r="M190" i="8"/>
  <c r="F188" i="5"/>
  <c r="AI190" i="8" s="1"/>
  <c r="H232" i="8"/>
  <c r="S232" i="8"/>
  <c r="M232" i="8"/>
  <c r="H203" i="8"/>
  <c r="M203" i="8"/>
  <c r="F201" i="5"/>
  <c r="N203" i="8" s="1"/>
  <c r="H739" i="8"/>
  <c r="S739" i="8"/>
  <c r="M739" i="8"/>
  <c r="AH739" i="8"/>
  <c r="Z739" i="8"/>
  <c r="H285" i="8"/>
  <c r="S285" i="8"/>
  <c r="M285" i="8"/>
  <c r="H16" i="8"/>
  <c r="S16" i="8"/>
  <c r="F14" i="5"/>
  <c r="Z16" i="8"/>
  <c r="M16" i="8"/>
  <c r="H170" i="8"/>
  <c r="F168" i="5"/>
  <c r="AA170" i="8" s="1"/>
  <c r="H980" i="8"/>
  <c r="S980" i="8"/>
  <c r="Z980" i="8"/>
  <c r="H384" i="8"/>
  <c r="S384" i="8"/>
  <c r="F382" i="5"/>
  <c r="AI384" i="8" s="1"/>
  <c r="H712" i="8"/>
  <c r="S712" i="8"/>
  <c r="M712" i="8"/>
  <c r="H268" i="8"/>
  <c r="AH268" i="8"/>
  <c r="F266" i="5"/>
  <c r="T268" i="8" s="1"/>
  <c r="S268" i="8"/>
  <c r="H229" i="8"/>
  <c r="S229" i="8"/>
  <c r="H219" i="8"/>
  <c r="S219" i="8"/>
  <c r="M219" i="8"/>
  <c r="AH219" i="8"/>
  <c r="F217" i="5"/>
  <c r="G217" i="5" s="1"/>
  <c r="U219" i="8" s="1"/>
  <c r="Z219" i="8"/>
  <c r="H93" i="8"/>
  <c r="S93" i="8"/>
  <c r="M93" i="8"/>
  <c r="AH93" i="8"/>
  <c r="H338" i="8"/>
  <c r="Z338" i="8"/>
  <c r="AH338" i="8"/>
  <c r="F336" i="5"/>
  <c r="N338" i="8" s="1"/>
  <c r="H220" i="8"/>
  <c r="S220" i="8"/>
  <c r="M220" i="8"/>
  <c r="F218" i="5"/>
  <c r="G218" i="5" s="1"/>
  <c r="U220" i="8" s="1"/>
  <c r="H298" i="8"/>
  <c r="Z298" i="8"/>
  <c r="M298" i="8"/>
  <c r="S298" i="8"/>
  <c r="H299" i="8"/>
  <c r="S299" i="8"/>
  <c r="M299" i="8"/>
  <c r="H445" i="8"/>
  <c r="M445" i="8"/>
  <c r="S445" i="8"/>
  <c r="AH445" i="8"/>
  <c r="Z445" i="8"/>
  <c r="H927" i="8"/>
  <c r="F925" i="5"/>
  <c r="H716" i="8"/>
  <c r="S716" i="8"/>
  <c r="M716" i="8"/>
  <c r="H386" i="8"/>
  <c r="Z386" i="8"/>
  <c r="M386" i="8"/>
  <c r="AH386" i="8"/>
  <c r="H451" i="8"/>
  <c r="S451" i="8"/>
  <c r="AH451" i="8"/>
  <c r="F449" i="5"/>
  <c r="T451" i="8" s="1"/>
  <c r="M451" i="8"/>
  <c r="H735" i="8"/>
  <c r="AH735" i="8"/>
  <c r="F733" i="5"/>
  <c r="AI735" i="8" s="1"/>
  <c r="Z735" i="8"/>
  <c r="S735" i="8"/>
  <c r="M735" i="8"/>
  <c r="H312" i="8"/>
  <c r="M312" i="8"/>
  <c r="S312" i="8"/>
  <c r="AH312" i="8"/>
  <c r="Z312" i="8"/>
  <c r="H762" i="8"/>
  <c r="S762" i="8"/>
  <c r="M762" i="8"/>
  <c r="AH762" i="8"/>
  <c r="H961" i="8"/>
  <c r="S961" i="8"/>
  <c r="M961" i="8"/>
  <c r="Z961" i="8"/>
  <c r="AH961" i="8"/>
  <c r="H295" i="8"/>
  <c r="S295" i="8"/>
  <c r="M295" i="8"/>
  <c r="Z295" i="8"/>
  <c r="AH295" i="8"/>
  <c r="H670" i="8"/>
  <c r="M670" i="8"/>
  <c r="AH670" i="8"/>
  <c r="F668" i="5"/>
  <c r="T670" i="8" s="1"/>
  <c r="S670" i="8"/>
  <c r="H452" i="8"/>
  <c r="M452" i="8"/>
  <c r="Z452" i="8"/>
  <c r="F450" i="5"/>
  <c r="G450" i="5" s="1"/>
  <c r="U452" i="8" s="1"/>
  <c r="S452" i="8"/>
  <c r="H686" i="8"/>
  <c r="Z686" i="8"/>
  <c r="AH686" i="8"/>
  <c r="F684" i="5"/>
  <c r="T686" i="8" s="1"/>
  <c r="H196" i="8"/>
  <c r="Z196" i="8"/>
  <c r="F194" i="5"/>
  <c r="T196" i="8" s="1"/>
  <c r="F130" i="5"/>
  <c r="AH299" i="8"/>
  <c r="AH814" i="8"/>
  <c r="AH540" i="8"/>
  <c r="Z762" i="8"/>
  <c r="S927" i="8"/>
  <c r="H736" i="8"/>
  <c r="Z736" i="8"/>
  <c r="M736" i="8"/>
  <c r="H296" i="8"/>
  <c r="Z296" i="8"/>
  <c r="H965" i="8"/>
  <c r="Z965" i="8"/>
  <c r="S965" i="8"/>
  <c r="AH965" i="8"/>
  <c r="H247" i="8"/>
  <c r="M247" i="8"/>
  <c r="AH247" i="8"/>
  <c r="H910" i="8"/>
  <c r="Z910" i="8"/>
  <c r="S910" i="8"/>
  <c r="H509" i="8"/>
  <c r="M509" i="8"/>
  <c r="H395" i="8"/>
  <c r="M395" i="8"/>
  <c r="AH395" i="8"/>
  <c r="Z395" i="8"/>
  <c r="H485" i="8"/>
  <c r="Z485" i="8"/>
  <c r="F483" i="5"/>
  <c r="G483" i="5" s="1"/>
  <c r="U485" i="8" s="1"/>
  <c r="M485" i="8"/>
  <c r="H351" i="8"/>
  <c r="M351" i="8"/>
  <c r="F349" i="5"/>
  <c r="AA351" i="8" s="1"/>
  <c r="AH351" i="8"/>
  <c r="H1004" i="8"/>
  <c r="S1004" i="8"/>
  <c r="F1002" i="5"/>
  <c r="AI1004" i="8" s="1"/>
  <c r="H771" i="8"/>
  <c r="Z771" i="8"/>
  <c r="H844" i="8"/>
  <c r="S844" i="8"/>
  <c r="H708" i="8"/>
  <c r="M708" i="8"/>
  <c r="F706" i="5"/>
  <c r="AA708" i="8" s="1"/>
  <c r="H912" i="8"/>
  <c r="M912" i="8"/>
  <c r="H169" i="8"/>
  <c r="M169" i="8"/>
  <c r="H198" i="8"/>
  <c r="M198" i="8"/>
  <c r="H301" i="8"/>
  <c r="Z301" i="8"/>
  <c r="H720" i="8"/>
  <c r="S720" i="8"/>
  <c r="AH720" i="8"/>
  <c r="Z720" i="8"/>
  <c r="F718" i="5"/>
  <c r="N720" i="8" s="1"/>
  <c r="H810" i="8"/>
  <c r="AH810" i="8"/>
  <c r="S9" i="8"/>
  <c r="AH9" i="8"/>
  <c r="Z9" i="8"/>
  <c r="F7" i="5"/>
  <c r="G7" i="5" s="1"/>
  <c r="U9" i="8" s="1"/>
  <c r="H981" i="8"/>
  <c r="F979" i="5"/>
  <c r="AA981" i="8" s="1"/>
  <c r="H746" i="8"/>
  <c r="S746" i="8"/>
  <c r="AH746" i="8"/>
  <c r="Z746" i="8"/>
  <c r="H612" i="8"/>
  <c r="F610" i="5"/>
  <c r="G610" i="5" s="1"/>
  <c r="U612" i="8" s="1"/>
  <c r="AH612" i="8"/>
  <c r="Z612" i="8"/>
  <c r="H806" i="8"/>
  <c r="M806" i="8"/>
  <c r="AH806" i="8"/>
  <c r="H613" i="8"/>
  <c r="S613" i="8"/>
  <c r="AH613" i="8"/>
  <c r="Z613" i="8"/>
  <c r="F611" i="5"/>
  <c r="AA613" i="8" s="1"/>
  <c r="H898" i="8"/>
  <c r="S898" i="8"/>
  <c r="M898" i="8"/>
  <c r="H855" i="8"/>
  <c r="AH855" i="8"/>
  <c r="Z855" i="8"/>
  <c r="H330" i="8"/>
  <c r="S330" i="8"/>
  <c r="H78" i="8"/>
  <c r="M78" i="8"/>
  <c r="Z78" i="8"/>
  <c r="AH78" i="8"/>
  <c r="H153" i="8"/>
  <c r="S153" i="8"/>
  <c r="AH153" i="8"/>
  <c r="M153" i="8"/>
  <c r="H504" i="8"/>
  <c r="S504" i="8"/>
  <c r="M504" i="8"/>
  <c r="H262" i="8"/>
  <c r="Z262" i="8"/>
  <c r="M262" i="8"/>
  <c r="S262" i="8"/>
  <c r="AH262" i="8"/>
  <c r="H252" i="8"/>
  <c r="AH252" i="8"/>
  <c r="S252" i="8"/>
  <c r="Z252" i="8"/>
  <c r="M252" i="8"/>
  <c r="H579" i="8"/>
  <c r="AH579" i="8"/>
  <c r="S579" i="8"/>
  <c r="M579" i="8"/>
  <c r="H311" i="8"/>
  <c r="S311" i="8"/>
  <c r="M311" i="8"/>
  <c r="AH311" i="8"/>
  <c r="Z311" i="8"/>
  <c r="H848" i="8"/>
  <c r="AH848" i="8"/>
  <c r="F846" i="5"/>
  <c r="AI848" i="8" s="1"/>
  <c r="H197" i="8"/>
  <c r="Z197" i="8"/>
  <c r="S197" i="8"/>
  <c r="AH197" i="8"/>
  <c r="H318" i="8"/>
  <c r="S318" i="8"/>
  <c r="AH318" i="8"/>
  <c r="M318" i="8"/>
  <c r="F577" i="5"/>
  <c r="F328" i="5"/>
  <c r="AH985" i="8"/>
  <c r="AH301" i="8"/>
  <c r="H958" i="8"/>
  <c r="AH958" i="8"/>
  <c r="Z958" i="8"/>
  <c r="H603" i="8"/>
  <c r="AH603" i="8"/>
  <c r="H539" i="8"/>
  <c r="AH539" i="8"/>
  <c r="Z539" i="8"/>
  <c r="F537" i="5"/>
  <c r="S539" i="8"/>
  <c r="M539" i="8"/>
  <c r="H915" i="8"/>
  <c r="S915" i="8"/>
  <c r="M915" i="8"/>
  <c r="Z915" i="8"/>
  <c r="F913" i="5"/>
  <c r="G913" i="5" s="1"/>
  <c r="U915" i="8" s="1"/>
  <c r="H589" i="8"/>
  <c r="Z589" i="8"/>
  <c r="AH589" i="8"/>
  <c r="M589" i="8"/>
  <c r="S589" i="8"/>
  <c r="H417" i="8"/>
  <c r="Z417" i="8"/>
  <c r="H778" i="8"/>
  <c r="S778" i="8"/>
  <c r="Z778" i="8"/>
  <c r="M778" i="8"/>
  <c r="H864" i="8"/>
  <c r="S864" i="8"/>
  <c r="H180" i="8"/>
  <c r="S180" i="8"/>
  <c r="H474" i="8"/>
  <c r="S474" i="8"/>
  <c r="M474" i="8"/>
  <c r="Z474" i="8"/>
  <c r="H865" i="8"/>
  <c r="S865" i="8"/>
  <c r="Z865" i="8"/>
  <c r="M865" i="8"/>
  <c r="F863" i="5"/>
  <c r="AA865" i="8" s="1"/>
  <c r="H424" i="8"/>
  <c r="S424" i="8"/>
  <c r="M424" i="8"/>
  <c r="AH424" i="8"/>
  <c r="F422" i="5"/>
  <c r="AI424" i="8" s="1"/>
  <c r="H904" i="8"/>
  <c r="S904" i="8"/>
  <c r="AH904" i="8"/>
  <c r="M904" i="8"/>
  <c r="H838" i="8"/>
  <c r="M838" i="8"/>
  <c r="AH838" i="8"/>
  <c r="S838" i="8"/>
  <c r="Z838" i="8"/>
  <c r="H683" i="8"/>
  <c r="Z683" i="8"/>
  <c r="AH683" i="8"/>
  <c r="H765" i="8"/>
  <c r="M765" i="8"/>
  <c r="AH765" i="8"/>
  <c r="Z765" i="8"/>
  <c r="H594" i="8"/>
  <c r="M594" i="8"/>
  <c r="S594" i="8"/>
  <c r="AH594" i="8"/>
  <c r="Z594" i="8"/>
  <c r="F592" i="5"/>
  <c r="H135" i="8"/>
  <c r="M135" i="8"/>
  <c r="H863" i="8"/>
  <c r="M863" i="8"/>
  <c r="S863" i="8"/>
  <c r="H868" i="8"/>
  <c r="M868" i="8"/>
  <c r="AH868" i="8"/>
  <c r="Z868" i="8"/>
  <c r="H72" i="8"/>
  <c r="F70" i="5"/>
  <c r="S72" i="8"/>
  <c r="H387" i="8"/>
  <c r="AH387" i="8"/>
  <c r="S387" i="8"/>
  <c r="Z387" i="8"/>
  <c r="M387" i="8"/>
  <c r="H675" i="8"/>
  <c r="M675" i="8"/>
  <c r="S675" i="8"/>
  <c r="AH675" i="8"/>
  <c r="F673" i="5"/>
  <c r="H866" i="8"/>
  <c r="M866" i="8"/>
  <c r="S866" i="8"/>
  <c r="AH866" i="8"/>
  <c r="F864" i="5"/>
  <c r="AI866" i="8" s="1"/>
  <c r="H760" i="8"/>
  <c r="M760" i="8"/>
  <c r="AH760" i="8"/>
  <c r="Z760" i="8"/>
  <c r="H45" i="8"/>
  <c r="M45" i="8"/>
  <c r="Z45" i="8"/>
  <c r="F43" i="5"/>
  <c r="N45" i="8" s="1"/>
  <c r="AH45" i="8"/>
  <c r="F112" i="5"/>
  <c r="F862" i="5"/>
  <c r="AA864" i="8" s="1"/>
  <c r="F769" i="5"/>
  <c r="AI771" i="8" s="1"/>
  <c r="F443" i="5"/>
  <c r="T445" i="8" s="1"/>
  <c r="F167" i="5"/>
  <c r="F710" i="5"/>
  <c r="F902" i="5"/>
  <c r="G902" i="5" s="1"/>
  <c r="U904" i="8" s="1"/>
  <c r="Z814" i="8"/>
  <c r="Z981" i="8"/>
  <c r="AH296" i="8"/>
  <c r="AH180" i="8"/>
  <c r="AH196" i="8"/>
  <c r="Z670" i="8"/>
  <c r="AH298" i="8"/>
  <c r="S315" i="8"/>
  <c r="M927" i="8"/>
  <c r="S810" i="8"/>
  <c r="F294" i="5"/>
  <c r="G294" i="5" s="1"/>
  <c r="U296" i="8" s="1"/>
  <c r="F393" i="5"/>
  <c r="F260" i="5"/>
  <c r="T262" i="8" s="1"/>
  <c r="F154" i="5"/>
  <c r="F196" i="5"/>
  <c r="G196" i="5" s="1"/>
  <c r="U198" i="8" s="1"/>
  <c r="F787" i="5"/>
  <c r="AI789" i="8" s="1"/>
  <c r="Z927" i="8"/>
  <c r="Z384" i="8"/>
  <c r="Z72" i="8"/>
  <c r="AH865" i="8"/>
  <c r="AH931" i="8"/>
  <c r="AH208" i="8"/>
  <c r="AH504" i="8"/>
  <c r="AH330" i="8"/>
  <c r="Z785" i="8"/>
  <c r="S386" i="8"/>
  <c r="S765" i="8"/>
  <c r="M32" i="8"/>
  <c r="M789" i="8"/>
  <c r="S135" i="8"/>
  <c r="H663" i="8"/>
  <c r="S663" i="8"/>
  <c r="M663" i="8"/>
  <c r="Z663" i="8"/>
  <c r="H870" i="8"/>
  <c r="F868" i="5"/>
  <c r="AI870" i="8" s="1"/>
  <c r="Z870" i="8"/>
  <c r="H189" i="8"/>
  <c r="F187" i="5"/>
  <c r="S189" i="8"/>
  <c r="M870" i="8"/>
  <c r="S870" i="8"/>
  <c r="F661" i="5"/>
  <c r="AH663" i="8"/>
  <c r="S63" i="8"/>
  <c r="H111" i="8"/>
  <c r="AH111" i="8"/>
  <c r="H752" i="8"/>
  <c r="M752" i="8"/>
  <c r="H173" i="8"/>
  <c r="M173" i="8"/>
  <c r="H956" i="8"/>
  <c r="M956" i="8"/>
  <c r="H438" i="8"/>
  <c r="M438" i="8"/>
  <c r="H147" i="8"/>
  <c r="S147" i="8"/>
  <c r="H766" i="8"/>
  <c r="S766" i="8"/>
  <c r="H783" i="8"/>
  <c r="S783" i="8"/>
  <c r="H561" i="8"/>
  <c r="S561" i="8"/>
  <c r="H290" i="8"/>
  <c r="M290" i="8"/>
  <c r="H361" i="8"/>
  <c r="M361" i="8"/>
  <c r="H422" i="8"/>
  <c r="AH422" i="8"/>
  <c r="H271" i="8"/>
  <c r="S271" i="8"/>
  <c r="H590" i="8"/>
  <c r="S590" i="8"/>
  <c r="S652" i="8"/>
  <c r="M161" i="8"/>
  <c r="S644" i="8"/>
  <c r="M960" i="8"/>
  <c r="M478" i="8"/>
  <c r="F116" i="5"/>
  <c r="F156" i="5"/>
  <c r="AH893" i="8"/>
  <c r="F237" i="5"/>
  <c r="G237" i="5" s="1"/>
  <c r="U239" i="8" s="1"/>
  <c r="F278" i="5"/>
  <c r="AA280" i="8" s="1"/>
  <c r="F832" i="5"/>
  <c r="AI834" i="8" s="1"/>
  <c r="F8" i="5"/>
  <c r="G8" i="5" s="1"/>
  <c r="U10" i="8" s="1"/>
  <c r="F599" i="5"/>
  <c r="AI601" i="8" s="1"/>
  <c r="F619" i="5"/>
  <c r="T621" i="8" s="1"/>
  <c r="F427" i="5"/>
  <c r="T429" i="8" s="1"/>
  <c r="F299" i="5"/>
  <c r="AA301" i="8" s="1"/>
  <c r="Z926" i="8"/>
  <c r="Z316" i="8"/>
  <c r="AH169" i="8"/>
  <c r="AH708" i="8"/>
  <c r="Z955" i="8"/>
  <c r="AH218" i="8"/>
  <c r="Z239" i="8"/>
  <c r="AH292" i="8"/>
  <c r="Z1002" i="8"/>
  <c r="Z895" i="8"/>
  <c r="Z992" i="8"/>
  <c r="AH915" i="8"/>
  <c r="S444" i="8"/>
  <c r="M239" i="8"/>
  <c r="S296" i="8"/>
  <c r="S945" i="8"/>
  <c r="M823" i="8"/>
  <c r="M903" i="8"/>
  <c r="M96" i="8"/>
  <c r="S990" i="8"/>
  <c r="S612" i="8"/>
  <c r="M240" i="8"/>
  <c r="S981" i="8"/>
  <c r="M497" i="8"/>
  <c r="M756" i="8"/>
  <c r="S481" i="8"/>
  <c r="M768" i="8"/>
  <c r="M631" i="8"/>
  <c r="S970" i="8"/>
  <c r="M1004" i="8"/>
  <c r="S813" i="8"/>
  <c r="F542" i="5"/>
  <c r="G542" i="5" s="1"/>
  <c r="U544" i="8" s="1"/>
  <c r="Z799" i="8"/>
  <c r="Z1004" i="8"/>
  <c r="Z351" i="8"/>
  <c r="Z887" i="8"/>
  <c r="Z247" i="8"/>
  <c r="M39" i="8"/>
  <c r="M910" i="8"/>
  <c r="M122" i="8"/>
  <c r="S771" i="8"/>
  <c r="M844" i="8"/>
  <c r="M804" i="8"/>
  <c r="M973" i="8"/>
  <c r="M985" i="8"/>
  <c r="S32" i="8"/>
  <c r="S814" i="8"/>
  <c r="M861" i="8"/>
  <c r="S244" i="8"/>
  <c r="M301" i="8"/>
  <c r="M592" i="8"/>
  <c r="S389" i="8"/>
  <c r="S198" i="8"/>
  <c r="S98" i="8"/>
  <c r="S90" i="8"/>
  <c r="F335" i="5"/>
  <c r="F72" i="5"/>
  <c r="Z544" i="8"/>
  <c r="Z945" i="8"/>
  <c r="M337" i="8"/>
  <c r="M955" i="8"/>
  <c r="M982" i="8"/>
  <c r="S804" i="8"/>
  <c r="S973" i="8"/>
  <c r="M987" i="8"/>
  <c r="M35" i="8"/>
  <c r="S592" i="8"/>
  <c r="F605" i="5"/>
  <c r="G605" i="5" s="1"/>
  <c r="U607" i="8" s="1"/>
  <c r="F990" i="5"/>
  <c r="N992" i="8" s="1"/>
  <c r="F926" i="5"/>
  <c r="G926" i="5" s="1"/>
  <c r="U928" i="8" s="1"/>
  <c r="F408" i="5"/>
  <c r="AA410" i="8" s="1"/>
  <c r="F971" i="5"/>
  <c r="AI973" i="8" s="1"/>
  <c r="AH570" i="8"/>
  <c r="Z621" i="8"/>
  <c r="S509" i="8"/>
  <c r="M928" i="8"/>
  <c r="M770" i="8"/>
  <c r="S987" i="8"/>
  <c r="S35" i="8"/>
  <c r="F980" i="5"/>
  <c r="N982" i="8" s="1"/>
  <c r="F521" i="5"/>
  <c r="G521" i="5" s="1"/>
  <c r="U523" i="8" s="1"/>
  <c r="F162" i="5"/>
  <c r="G162" i="5" s="1"/>
  <c r="U164" i="8" s="1"/>
  <c r="F802" i="5"/>
  <c r="AH544" i="8"/>
  <c r="F943" i="5"/>
  <c r="AH396" i="8"/>
  <c r="Z595" i="8"/>
  <c r="AH768" i="8"/>
  <c r="AH73" i="8"/>
  <c r="AH476" i="8"/>
  <c r="AH90" i="8"/>
  <c r="AH621" i="8"/>
  <c r="AH42" i="8"/>
  <c r="Z787" i="8"/>
  <c r="Z118" i="8"/>
  <c r="Z178" i="8"/>
  <c r="Z315" i="8"/>
  <c r="AH910" i="8"/>
  <c r="Z327" i="8"/>
  <c r="Z286" i="8"/>
  <c r="Z823" i="8"/>
  <c r="M603" i="8"/>
  <c r="S928" i="8"/>
  <c r="M388" i="8"/>
  <c r="S901" i="8"/>
  <c r="S770" i="8"/>
  <c r="S785" i="8"/>
  <c r="M577" i="8"/>
  <c r="S222" i="8"/>
  <c r="S674" i="8"/>
  <c r="M746" i="8"/>
  <c r="M320" i="8"/>
  <c r="M810" i="8"/>
  <c r="S266" i="8"/>
  <c r="M404" i="8"/>
  <c r="S650" i="8"/>
  <c r="M893" i="8"/>
  <c r="AH118" i="8"/>
  <c r="AH894" i="8"/>
  <c r="AH327" i="8"/>
  <c r="AH286" i="8"/>
  <c r="M279" i="8"/>
  <c r="M42" i="8"/>
  <c r="S893" i="8"/>
  <c r="AH158" i="8"/>
  <c r="F56" i="5"/>
  <c r="AA58" i="8" s="1"/>
  <c r="F451" i="5"/>
  <c r="F69" i="5"/>
  <c r="G69" i="5" s="1"/>
  <c r="U71" i="8" s="1"/>
  <c r="AH903" i="8"/>
  <c r="AH279" i="8"/>
  <c r="Z681" i="8"/>
  <c r="Z860" i="8"/>
  <c r="S279" i="8"/>
  <c r="S485" i="8"/>
  <c r="M586" i="8"/>
  <c r="M286" i="8"/>
  <c r="M544" i="8"/>
  <c r="M720" i="8"/>
  <c r="F270" i="5"/>
  <c r="G270" i="5" s="1"/>
  <c r="U272" i="8" s="1"/>
  <c r="F55" i="5"/>
  <c r="F679" i="5"/>
  <c r="Z804" i="8"/>
  <c r="Z973" i="8"/>
  <c r="Z592" i="8"/>
  <c r="Z164" i="8"/>
  <c r="Z703" i="8"/>
  <c r="Z586" i="8"/>
  <c r="AH681" i="8"/>
  <c r="AH860" i="8"/>
  <c r="M118" i="8"/>
  <c r="M178" i="8"/>
  <c r="M164" i="8"/>
  <c r="S586" i="8"/>
  <c r="S286" i="8"/>
  <c r="M327" i="8"/>
  <c r="M535" i="8"/>
  <c r="S544" i="8"/>
  <c r="AH178" i="8"/>
  <c r="F325" i="5"/>
  <c r="Z987" i="8"/>
  <c r="Z35" i="8"/>
  <c r="AH804" i="8"/>
  <c r="AH973" i="8"/>
  <c r="AH987" i="8"/>
  <c r="AH35" i="8"/>
  <c r="Z834" i="8"/>
  <c r="AH592" i="8"/>
  <c r="Z893" i="8"/>
  <c r="Z71" i="8"/>
  <c r="AH444" i="8"/>
  <c r="Z509" i="8"/>
  <c r="AH164" i="8"/>
  <c r="AH586" i="8"/>
  <c r="S887" i="8"/>
  <c r="S118" i="8"/>
  <c r="S178" i="8"/>
  <c r="S1002" i="8"/>
  <c r="M315" i="8"/>
  <c r="S164" i="8"/>
  <c r="M374" i="8"/>
  <c r="M992" i="8"/>
  <c r="M681" i="8"/>
  <c r="M860" i="8"/>
  <c r="S327" i="8"/>
  <c r="M71" i="8"/>
  <c r="M933" i="8"/>
  <c r="S429" i="8"/>
  <c r="M570" i="8"/>
  <c r="S789" i="8"/>
  <c r="S708" i="8"/>
  <c r="S464" i="8"/>
  <c r="F701" i="5"/>
  <c r="T703" i="8" s="1"/>
  <c r="F33" i="5"/>
  <c r="AH71" i="8"/>
  <c r="M280" i="8"/>
  <c r="S992" i="8"/>
  <c r="S681" i="8"/>
  <c r="S860" i="8"/>
  <c r="M595" i="8"/>
  <c r="S71" i="8"/>
  <c r="M396" i="8"/>
  <c r="S10" i="8"/>
  <c r="M621" i="8"/>
  <c r="AH914" i="8"/>
  <c r="F858" i="5"/>
  <c r="F176" i="5"/>
  <c r="F212" i="5"/>
  <c r="F985" i="5"/>
  <c r="F590" i="5"/>
  <c r="Z280" i="8"/>
  <c r="F52" i="5"/>
  <c r="G52" i="5" s="1"/>
  <c r="U54" i="8" s="1"/>
  <c r="F584" i="5"/>
  <c r="G584" i="5" s="1"/>
  <c r="U586" i="8" s="1"/>
  <c r="F378" i="5"/>
  <c r="AA380" i="8" s="1"/>
  <c r="F859" i="5"/>
  <c r="Z773" i="8"/>
  <c r="AH938" i="8"/>
  <c r="AH771" i="8"/>
  <c r="AH210" i="8"/>
  <c r="Z218" i="8"/>
  <c r="AH736" i="8"/>
  <c r="AH770" i="8"/>
  <c r="AH280" i="8"/>
  <c r="M444" i="8"/>
  <c r="S736" i="8"/>
  <c r="M296" i="8"/>
  <c r="S395" i="8"/>
  <c r="S280" i="8"/>
  <c r="S595" i="8"/>
  <c r="M958" i="8"/>
  <c r="M914" i="8"/>
  <c r="M990" i="8"/>
  <c r="S806" i="8"/>
  <c r="M612" i="8"/>
  <c r="M981" i="8"/>
  <c r="M481" i="8"/>
  <c r="S73" i="8"/>
  <c r="S912" i="8"/>
  <c r="S621" i="8"/>
  <c r="M970" i="8"/>
  <c r="M813" i="8"/>
  <c r="F933" i="5"/>
  <c r="F579" i="5"/>
  <c r="N581" i="8" s="1"/>
  <c r="Z763" i="8"/>
  <c r="M441" i="8"/>
  <c r="M651" i="8"/>
  <c r="F810" i="5"/>
  <c r="F290" i="5"/>
  <c r="G290" i="5" s="1"/>
  <c r="U292" i="8" s="1"/>
  <c r="AH763" i="8"/>
  <c r="Z70" i="8"/>
  <c r="Z635" i="8"/>
  <c r="Z643" i="8"/>
  <c r="AH569" i="8"/>
  <c r="Z441" i="8"/>
  <c r="F478" i="5"/>
  <c r="F641" i="5"/>
  <c r="T643" i="8" s="1"/>
  <c r="F221" i="5"/>
  <c r="AI223" i="8" s="1"/>
  <c r="F713" i="5"/>
  <c r="G713" i="5" s="1"/>
  <c r="U715" i="8" s="1"/>
  <c r="AH635" i="8"/>
  <c r="M581" i="8"/>
  <c r="AH344" i="8"/>
  <c r="AH812" i="8"/>
  <c r="AH886" i="8"/>
  <c r="AH363" i="8"/>
  <c r="Z191" i="8"/>
  <c r="Z920" i="8"/>
  <c r="M520" i="8"/>
  <c r="M920" i="8"/>
  <c r="S174" i="8"/>
  <c r="F918" i="5"/>
  <c r="T920" i="8" s="1"/>
  <c r="F172" i="5"/>
  <c r="AI174" i="8" s="1"/>
  <c r="F68" i="5"/>
  <c r="Z524" i="8"/>
  <c r="AH527" i="8"/>
  <c r="AH872" i="8"/>
  <c r="AH920" i="8"/>
  <c r="AH119" i="8"/>
  <c r="Z83" i="8"/>
  <c r="AH517" i="8"/>
  <c r="M995" i="8"/>
  <c r="S81" i="8"/>
  <c r="M715" i="8"/>
  <c r="M569" i="8"/>
  <c r="M872" i="8"/>
  <c r="S920" i="8"/>
  <c r="S518" i="8"/>
  <c r="S763" i="8"/>
  <c r="S487" i="8"/>
  <c r="M526" i="8"/>
  <c r="M843" i="8"/>
  <c r="S218" i="8"/>
  <c r="S351" i="8"/>
  <c r="AH935" i="8"/>
  <c r="AH421" i="8"/>
  <c r="AH303" i="8"/>
  <c r="Z921" i="8"/>
  <c r="AH83" i="8"/>
  <c r="M643" i="8"/>
  <c r="S715" i="8"/>
  <c r="S569" i="8"/>
  <c r="F419" i="5"/>
  <c r="AI421" i="8" s="1"/>
  <c r="F827" i="5"/>
  <c r="F715" i="5"/>
  <c r="AA717" i="8" s="1"/>
  <c r="AH717" i="8"/>
  <c r="Z444" i="8"/>
  <c r="AH558" i="8"/>
  <c r="Z770" i="8"/>
  <c r="AH853" i="8"/>
  <c r="S247" i="8"/>
  <c r="S383" i="8"/>
  <c r="M886" i="8"/>
  <c r="M853" i="8"/>
  <c r="M771" i="8"/>
  <c r="S476" i="8"/>
  <c r="S664" i="8"/>
  <c r="S657" i="8"/>
  <c r="M300" i="8"/>
  <c r="S614" i="8"/>
  <c r="M461" i="8"/>
  <c r="S301" i="8"/>
  <c r="M91" i="8"/>
  <c r="M753" i="8"/>
  <c r="S169" i="8"/>
  <c r="M797" i="8"/>
  <c r="S133" i="8"/>
  <c r="F840" i="5"/>
  <c r="T842" i="8" s="1"/>
  <c r="Z717" i="8"/>
  <c r="F342" i="5"/>
  <c r="Z651" i="8"/>
  <c r="M965" i="8"/>
  <c r="S155" i="8"/>
  <c r="M418" i="8"/>
  <c r="M303" i="8"/>
  <c r="S886" i="8"/>
  <c r="S853" i="8"/>
  <c r="S300" i="8"/>
  <c r="S665" i="8"/>
  <c r="S812" i="8"/>
  <c r="Z480" i="8"/>
  <c r="M292" i="8"/>
  <c r="M935" i="8"/>
  <c r="S223" i="8"/>
  <c r="S292" i="8"/>
  <c r="F518" i="5"/>
  <c r="F301" i="5"/>
  <c r="G301" i="5" s="1"/>
  <c r="U303" i="8" s="1"/>
  <c r="F81" i="5"/>
  <c r="G81" i="5" s="1"/>
  <c r="U83" i="8" s="1"/>
  <c r="F800" i="5"/>
  <c r="AH480" i="8"/>
  <c r="Z829" i="8"/>
  <c r="AH581" i="8"/>
  <c r="F633" i="5"/>
  <c r="F884" i="5"/>
  <c r="F567" i="5"/>
  <c r="G567" i="5" s="1"/>
  <c r="U569" i="8" s="1"/>
  <c r="F361" i="5"/>
  <c r="T363" i="8" s="1"/>
  <c r="F919" i="5"/>
  <c r="F761" i="5"/>
  <c r="AA763" i="8" s="1"/>
  <c r="F189" i="5"/>
  <c r="AH815" i="8"/>
  <c r="AH829" i="8"/>
  <c r="Z520" i="8"/>
  <c r="AH715" i="8"/>
  <c r="AH364" i="8"/>
  <c r="M524" i="8"/>
  <c r="S935" i="8"/>
  <c r="M527" i="8"/>
  <c r="S488" i="8"/>
  <c r="M957" i="8"/>
  <c r="S558" i="8"/>
  <c r="M210" i="8"/>
  <c r="S802" i="8"/>
  <c r="S842" i="8"/>
  <c r="S717" i="8"/>
  <c r="S294" i="8"/>
  <c r="S605" i="8"/>
  <c r="M794" i="8"/>
  <c r="S921" i="8"/>
  <c r="M310" i="8"/>
  <c r="Z942" i="8"/>
  <c r="Z943" i="8"/>
  <c r="Z454" i="8"/>
  <c r="Z854" i="8"/>
  <c r="AH242" i="8"/>
  <c r="AH195" i="8"/>
  <c r="M764" i="8"/>
  <c r="S231" i="8"/>
  <c r="M706" i="8"/>
  <c r="S815" i="8"/>
  <c r="S83" i="8"/>
  <c r="M70" i="8"/>
  <c r="M468" i="8"/>
  <c r="M21" i="8"/>
  <c r="M266" i="8"/>
  <c r="M619" i="8"/>
  <c r="M936" i="8"/>
  <c r="S403" i="8"/>
  <c r="S480" i="8"/>
  <c r="S310" i="8"/>
  <c r="Z225" i="8"/>
  <c r="Z842" i="8"/>
  <c r="Z580" i="8"/>
  <c r="AH191" i="8"/>
  <c r="AH370" i="8"/>
  <c r="Z411" i="8"/>
  <c r="AH492" i="8"/>
  <c r="S454" i="8"/>
  <c r="S238" i="8"/>
  <c r="S581" i="8"/>
  <c r="S441" i="8"/>
  <c r="S210" i="8"/>
  <c r="M802" i="8"/>
  <c r="M345" i="8"/>
  <c r="S433" i="8"/>
  <c r="S55" i="8"/>
  <c r="S905" i="8"/>
  <c r="S537" i="8"/>
  <c r="S876" i="8"/>
  <c r="M207" i="8"/>
  <c r="S397" i="8"/>
  <c r="S163" i="8"/>
  <c r="S344" i="8"/>
  <c r="M366" i="8"/>
  <c r="S651" i="8"/>
  <c r="M871" i="8"/>
  <c r="S242" i="8"/>
  <c r="S942" i="8"/>
  <c r="M116" i="8"/>
  <c r="M40" i="8"/>
  <c r="S363" i="8"/>
  <c r="S580" i="8"/>
  <c r="F243" i="5"/>
  <c r="T245" i="8" s="1"/>
  <c r="F475" i="5"/>
  <c r="Z892" i="8"/>
  <c r="Z523" i="8"/>
  <c r="Z74" i="8"/>
  <c r="Z607" i="8"/>
  <c r="F922" i="5"/>
  <c r="AH734" i="8"/>
  <c r="AH523" i="8"/>
  <c r="AH74" i="8"/>
  <c r="AH607" i="8"/>
  <c r="AH799" i="8"/>
  <c r="AH272" i="8"/>
  <c r="AH57" i="8"/>
  <c r="AH104" i="8"/>
  <c r="Z1006" i="8"/>
  <c r="AH982" i="8"/>
  <c r="AH214" i="8"/>
  <c r="M358" i="8"/>
  <c r="M1006" i="8"/>
  <c r="S410" i="8"/>
  <c r="M425" i="8"/>
  <c r="M380" i="8"/>
  <c r="S734" i="8"/>
  <c r="M272" i="8"/>
  <c r="M818" i="8"/>
  <c r="S158" i="8"/>
  <c r="F539" i="5"/>
  <c r="G539" i="5" s="1"/>
  <c r="U541" i="8" s="1"/>
  <c r="F1004" i="5"/>
  <c r="F732" i="5"/>
  <c r="T734" i="8" s="1"/>
  <c r="AH66" i="8"/>
  <c r="F564" i="5"/>
  <c r="AA566" i="8" s="1"/>
  <c r="Z734" i="8"/>
  <c r="F372" i="5"/>
  <c r="AA374" i="8" s="1"/>
  <c r="F892" i="5"/>
  <c r="G892" i="5" s="1"/>
  <c r="U894" i="8" s="1"/>
  <c r="F797" i="5"/>
  <c r="AI799" i="8" s="1"/>
  <c r="AH926" i="8"/>
  <c r="AH773" i="8"/>
  <c r="Z713" i="8"/>
  <c r="AH928" i="8"/>
  <c r="Z87" i="8"/>
  <c r="AH535" i="8"/>
  <c r="S601" i="8"/>
  <c r="F711" i="5"/>
  <c r="G711" i="5" s="1"/>
  <c r="U713" i="8" s="1"/>
  <c r="F40" i="5"/>
  <c r="N42" i="8" s="1"/>
  <c r="F683" i="5"/>
  <c r="N685" i="8" s="1"/>
  <c r="F931" i="5"/>
  <c r="T933" i="8" s="1"/>
  <c r="AH713" i="8"/>
  <c r="Z356" i="8"/>
  <c r="Z84" i="8"/>
  <c r="AH223" i="8"/>
  <c r="Z210" i="8"/>
  <c r="AH649" i="8"/>
  <c r="Z475" i="8"/>
  <c r="AH87" i="8"/>
  <c r="Z398" i="8"/>
  <c r="Z92" i="8"/>
  <c r="AH1006" i="8"/>
  <c r="Z119" i="8"/>
  <c r="S358" i="8"/>
  <c r="S421" i="8"/>
  <c r="S449" i="8"/>
  <c r="S39" i="8"/>
  <c r="M84" i="8"/>
  <c r="S92" i="8"/>
  <c r="M945" i="8"/>
  <c r="S1006" i="8"/>
  <c r="M558" i="8"/>
  <c r="S303" i="8"/>
  <c r="M264" i="8"/>
  <c r="S345" i="8"/>
  <c r="M356" i="8"/>
  <c r="M373" i="8"/>
  <c r="M639" i="8"/>
  <c r="S932" i="8"/>
  <c r="S425" i="8"/>
  <c r="S1001" i="8"/>
  <c r="M10" i="8"/>
  <c r="S380" i="8"/>
  <c r="M954" i="8"/>
  <c r="S740" i="8"/>
  <c r="M550" i="8"/>
  <c r="S272" i="8"/>
  <c r="M403" i="8"/>
  <c r="S191" i="8"/>
  <c r="S818" i="8"/>
  <c r="M133" i="8"/>
  <c r="M348" i="8"/>
  <c r="AH469" i="8"/>
  <c r="M87" i="8"/>
  <c r="M245" i="8"/>
  <c r="Z245" i="8"/>
  <c r="F152" i="5"/>
  <c r="AI154" i="8" s="1"/>
  <c r="Z699" i="8"/>
  <c r="Z10" i="8"/>
  <c r="Z380" i="8"/>
  <c r="Z601" i="8"/>
  <c r="Z861" i="8"/>
  <c r="AH834" i="8"/>
  <c r="Z597" i="8"/>
  <c r="Z425" i="8"/>
  <c r="AH924" i="8"/>
  <c r="AH245" i="8"/>
  <c r="Z477" i="8"/>
  <c r="AH703" i="8"/>
  <c r="M475" i="8"/>
  <c r="S87" i="8"/>
  <c r="S440" i="8"/>
  <c r="M58" i="8"/>
  <c r="S245" i="8"/>
  <c r="S354" i="8"/>
  <c r="M54" i="8"/>
  <c r="M743" i="8"/>
  <c r="S374" i="8"/>
  <c r="M859" i="8"/>
  <c r="M834" i="8"/>
  <c r="S982" i="8"/>
  <c r="S903" i="8"/>
  <c r="S914" i="8"/>
  <c r="S396" i="8"/>
  <c r="S570" i="8"/>
  <c r="S535" i="8"/>
  <c r="M117" i="8"/>
  <c r="M642" i="8"/>
  <c r="S879" i="8"/>
  <c r="M316" i="8"/>
  <c r="S104" i="8"/>
  <c r="S693" i="8"/>
  <c r="M661" i="8"/>
  <c r="S811" i="8"/>
  <c r="M971" i="8"/>
  <c r="AH411" i="8"/>
  <c r="AH597" i="8"/>
  <c r="Z850" i="8"/>
  <c r="AH425" i="8"/>
  <c r="Z818" i="8"/>
  <c r="Z654" i="8"/>
  <c r="Z58" i="8"/>
  <c r="AH477" i="8"/>
  <c r="Z410" i="8"/>
  <c r="Z919" i="8"/>
  <c r="Z575" i="8"/>
  <c r="Z100" i="8"/>
  <c r="Z911" i="8"/>
  <c r="Z679" i="8"/>
  <c r="Z553" i="8"/>
  <c r="Z122" i="8"/>
  <c r="S58" i="8"/>
  <c r="S54" i="8"/>
  <c r="S859" i="8"/>
  <c r="S834" i="8"/>
  <c r="M850" i="8"/>
  <c r="M687" i="8"/>
  <c r="F890" i="5"/>
  <c r="F333" i="5"/>
  <c r="AH10" i="8"/>
  <c r="AH380" i="8"/>
  <c r="AH601" i="8"/>
  <c r="F848" i="5"/>
  <c r="F909" i="5"/>
  <c r="T911" i="8" s="1"/>
  <c r="F551" i="5"/>
  <c r="F901" i="5"/>
  <c r="F568" i="5"/>
  <c r="F533" i="5"/>
  <c r="G533" i="5" s="1"/>
  <c r="U535" i="8" s="1"/>
  <c r="F771" i="5"/>
  <c r="AI773" i="8" s="1"/>
  <c r="AH818" i="8"/>
  <c r="AH654" i="8"/>
  <c r="Z541" i="8"/>
  <c r="AH410" i="8"/>
  <c r="Z249" i="8"/>
  <c r="Z874" i="8"/>
  <c r="Z761" i="8"/>
  <c r="Z685" i="8"/>
  <c r="AH575" i="8"/>
  <c r="AH911" i="8"/>
  <c r="AH679" i="8"/>
  <c r="AH553" i="8"/>
  <c r="M541" i="8"/>
  <c r="M477" i="8"/>
  <c r="M450" i="8"/>
  <c r="M703" i="8"/>
  <c r="M249" i="8"/>
  <c r="M206" i="8"/>
  <c r="M874" i="8"/>
  <c r="M761" i="8"/>
  <c r="M685" i="8"/>
  <c r="M773" i="8"/>
  <c r="S850" i="8"/>
  <c r="M453" i="8"/>
  <c r="S687" i="8"/>
  <c r="M36" i="8"/>
  <c r="M104" i="8"/>
  <c r="F816" i="5"/>
  <c r="AA818" i="8" s="1"/>
  <c r="F34" i="5"/>
  <c r="AI36" i="8" s="1"/>
  <c r="F98" i="5"/>
  <c r="T100" i="8" s="1"/>
  <c r="F394" i="5"/>
  <c r="T396" i="8" s="1"/>
  <c r="AH661" i="8"/>
  <c r="AH122" i="8"/>
  <c r="F652" i="5"/>
  <c r="F473" i="5"/>
  <c r="F953" i="5"/>
  <c r="T955" i="8" s="1"/>
  <c r="F659" i="5"/>
  <c r="N661" i="8" s="1"/>
  <c r="Z36" i="8"/>
  <c r="Z835" i="8"/>
  <c r="Z550" i="8"/>
  <c r="Z335" i="8"/>
  <c r="Z803" i="8"/>
  <c r="AH890" i="8"/>
  <c r="Z687" i="8"/>
  <c r="Z995" i="8"/>
  <c r="Z935" i="8"/>
  <c r="AH775" i="8"/>
  <c r="AH231" i="8"/>
  <c r="AH566" i="8"/>
  <c r="AH541" i="8"/>
  <c r="AH486" i="8"/>
  <c r="Z314" i="8"/>
  <c r="Z154" i="8"/>
  <c r="AH249" i="8"/>
  <c r="AH206" i="8"/>
  <c r="AH874" i="8"/>
  <c r="AH761" i="8"/>
  <c r="AH685" i="8"/>
  <c r="Z933" i="8"/>
  <c r="S524" i="8"/>
  <c r="S573" i="8"/>
  <c r="M787" i="8"/>
  <c r="M635" i="8"/>
  <c r="S541" i="8"/>
  <c r="M364" i="8"/>
  <c r="S486" i="8"/>
  <c r="M314" i="8"/>
  <c r="S477" i="8"/>
  <c r="S450" i="8"/>
  <c r="S703" i="8"/>
  <c r="M411" i="8"/>
  <c r="M492" i="8"/>
  <c r="M894" i="8"/>
  <c r="S119" i="8"/>
  <c r="S249" i="8"/>
  <c r="S206" i="8"/>
  <c r="S874" i="8"/>
  <c r="S761" i="8"/>
  <c r="S685" i="8"/>
  <c r="M57" i="8"/>
  <c r="S958" i="8"/>
  <c r="M937" i="8"/>
  <c r="M828" i="8"/>
  <c r="S141" i="8"/>
  <c r="M926" i="8"/>
  <c r="S773" i="8"/>
  <c r="M793" i="8"/>
  <c r="S277" i="8"/>
  <c r="S797" i="8"/>
  <c r="M335" i="8"/>
  <c r="F697" i="5"/>
  <c r="N699" i="8" s="1"/>
  <c r="F595" i="5"/>
  <c r="AH699" i="8"/>
  <c r="AH861" i="8"/>
  <c r="F573" i="5"/>
  <c r="T575" i="8" s="1"/>
  <c r="F677" i="5"/>
  <c r="T679" i="8" s="1"/>
  <c r="F120" i="5"/>
  <c r="F912" i="5"/>
  <c r="AA914" i="8" s="1"/>
  <c r="F548" i="5"/>
  <c r="AH850" i="8"/>
  <c r="Z566" i="8"/>
  <c r="AH919" i="8"/>
  <c r="Z206" i="8"/>
  <c r="AH100" i="8"/>
  <c r="F314" i="5"/>
  <c r="AI316" i="8" s="1"/>
  <c r="F857" i="5"/>
  <c r="N859" i="8" s="1"/>
  <c r="F924" i="5"/>
  <c r="F102" i="5"/>
  <c r="AI104" i="8" s="1"/>
  <c r="F509" i="5"/>
  <c r="Z903" i="8"/>
  <c r="Z914" i="8"/>
  <c r="Z396" i="8"/>
  <c r="Z570" i="8"/>
  <c r="AH36" i="8"/>
  <c r="AH835" i="8"/>
  <c r="Z453" i="8"/>
  <c r="AH550" i="8"/>
  <c r="AH335" i="8"/>
  <c r="Z450" i="8"/>
  <c r="Z403" i="8"/>
  <c r="AH511" i="8"/>
  <c r="AH687" i="8"/>
  <c r="Z527" i="8"/>
  <c r="Z859" i="8"/>
  <c r="Z392" i="8"/>
  <c r="AH154" i="8"/>
  <c r="AH933" i="8"/>
  <c r="M654" i="8"/>
  <c r="M231" i="8"/>
  <c r="M566" i="8"/>
  <c r="S787" i="8"/>
  <c r="M713" i="8"/>
  <c r="S314" i="8"/>
  <c r="S411" i="8"/>
  <c r="S492" i="8"/>
  <c r="M139" i="8"/>
  <c r="S463" i="8"/>
  <c r="M835" i="8"/>
  <c r="S699" i="8"/>
  <c r="M575" i="8"/>
  <c r="M100" i="8"/>
  <c r="M911" i="8"/>
  <c r="M679" i="8"/>
  <c r="M553" i="8"/>
  <c r="S937" i="8"/>
  <c r="M214" i="8"/>
  <c r="M582" i="8"/>
  <c r="S828" i="8"/>
  <c r="M607" i="8"/>
  <c r="S926" i="8"/>
  <c r="S793" i="8"/>
  <c r="M890" i="8"/>
  <c r="S829" i="8"/>
  <c r="S335" i="8"/>
  <c r="F356" i="5"/>
  <c r="G356" i="5" s="1"/>
  <c r="U358" i="8" s="1"/>
  <c r="F917" i="5"/>
  <c r="G917" i="5" s="1"/>
  <c r="U919" i="8" s="1"/>
  <c r="F685" i="5"/>
  <c r="G685" i="5" s="1"/>
  <c r="U687" i="8" s="1"/>
  <c r="F208" i="5"/>
  <c r="F467" i="5"/>
  <c r="AI469" i="8" s="1"/>
  <c r="Z158" i="8"/>
  <c r="Z938" i="8"/>
  <c r="AH453" i="8"/>
  <c r="AH450" i="8"/>
  <c r="Z66" i="8"/>
  <c r="Z358" i="8"/>
  <c r="AH859" i="8"/>
  <c r="AH392" i="8"/>
  <c r="S654" i="8"/>
  <c r="S566" i="8"/>
  <c r="S713" i="8"/>
  <c r="M392" i="8"/>
  <c r="S575" i="8"/>
  <c r="S100" i="8"/>
  <c r="S911" i="8"/>
  <c r="S679" i="8"/>
  <c r="S553" i="8"/>
  <c r="M469" i="8"/>
  <c r="S214" i="8"/>
  <c r="M74" i="8"/>
  <c r="S607" i="8"/>
  <c r="M799" i="8"/>
  <c r="M511" i="8"/>
  <c r="AH358" i="8"/>
  <c r="S392" i="8"/>
  <c r="M154" i="8"/>
  <c r="M919" i="8"/>
  <c r="M892" i="8"/>
  <c r="M597" i="8"/>
  <c r="S469" i="8"/>
  <c r="M523" i="8"/>
  <c r="S74" i="8"/>
  <c r="M66" i="8"/>
  <c r="F390" i="5"/>
  <c r="Z272" i="8"/>
  <c r="Z928" i="8"/>
  <c r="Z104" i="8"/>
  <c r="AH892" i="8"/>
  <c r="Z337" i="8"/>
  <c r="Z374" i="8"/>
  <c r="Z982" i="8"/>
  <c r="Z535" i="8"/>
  <c r="Z214" i="8"/>
  <c r="S337" i="8"/>
  <c r="S154" i="8"/>
  <c r="S919" i="8"/>
  <c r="S122" i="8"/>
  <c r="M410" i="8"/>
  <c r="S892" i="8"/>
  <c r="S597" i="8"/>
  <c r="S933" i="8"/>
  <c r="M601" i="8"/>
  <c r="S861" i="8"/>
  <c r="M734" i="8"/>
  <c r="S523" i="8"/>
  <c r="M938" i="8"/>
  <c r="S66" i="8"/>
  <c r="M924" i="8"/>
  <c r="M158" i="8"/>
  <c r="H339" i="8"/>
  <c r="F337" i="5"/>
  <c r="T339" i="8" s="1"/>
  <c r="S339" i="8"/>
  <c r="M339" i="8"/>
  <c r="AH339" i="8"/>
  <c r="Z339" i="8"/>
  <c r="F881" i="5"/>
  <c r="F466" i="5"/>
  <c r="Z902" i="8"/>
  <c r="Z883" i="8"/>
  <c r="M921" i="8"/>
  <c r="M699" i="8"/>
  <c r="M436" i="8"/>
  <c r="S436" i="8"/>
  <c r="M676" i="8"/>
  <c r="M227" i="8"/>
  <c r="M52" i="8"/>
  <c r="M999" i="8"/>
  <c r="M184" i="8"/>
  <c r="M769" i="8"/>
  <c r="M745" i="8"/>
  <c r="M500" i="8"/>
  <c r="M880" i="8"/>
  <c r="M822" i="8"/>
  <c r="M462" i="8"/>
  <c r="M370" i="8"/>
  <c r="M112" i="8"/>
  <c r="F434" i="5"/>
  <c r="F767" i="5"/>
  <c r="AI769" i="8" s="1"/>
  <c r="S676" i="8"/>
  <c r="S80" i="8"/>
  <c r="S227" i="8"/>
  <c r="S483" i="8"/>
  <c r="S428" i="8"/>
  <c r="S52" i="8"/>
  <c r="S999" i="8"/>
  <c r="S184" i="8"/>
  <c r="S769" i="8"/>
  <c r="S745" i="8"/>
  <c r="S500" i="8"/>
  <c r="S880" i="8"/>
  <c r="S822" i="8"/>
  <c r="S462" i="8"/>
  <c r="S370" i="8"/>
  <c r="S112" i="8"/>
  <c r="AH676" i="8"/>
  <c r="AH167" i="8"/>
  <c r="AH667" i="8"/>
  <c r="AH333" i="8"/>
  <c r="AH895" i="8"/>
  <c r="F182" i="5"/>
  <c r="G182" i="5" s="1"/>
  <c r="U184" i="8" s="1"/>
  <c r="F78" i="5"/>
  <c r="AA80" i="8" s="1"/>
  <c r="F225" i="5"/>
  <c r="AI227" i="8" s="1"/>
  <c r="F820" i="5"/>
  <c r="T822" i="8" s="1"/>
  <c r="Z986" i="8"/>
  <c r="Z812" i="8"/>
  <c r="Z223" i="8"/>
  <c r="Z57" i="8"/>
  <c r="Z42" i="8"/>
  <c r="Z511" i="8"/>
  <c r="Z661" i="8"/>
  <c r="Z924" i="8"/>
  <c r="Z421" i="8"/>
  <c r="Z573" i="8"/>
  <c r="Z549" i="8"/>
  <c r="Z440" i="8"/>
  <c r="Z715" i="8"/>
  <c r="Z292" i="8"/>
  <c r="Z581" i="8"/>
  <c r="Z418" i="8"/>
  <c r="Z569" i="8"/>
  <c r="Z558" i="8"/>
  <c r="Z303" i="8"/>
  <c r="Z730" i="8"/>
  <c r="Z139" i="8"/>
  <c r="Z894" i="8"/>
  <c r="Z436" i="8"/>
  <c r="M421" i="8"/>
  <c r="M573" i="8"/>
  <c r="M549" i="8"/>
  <c r="M440" i="8"/>
  <c r="M223" i="8"/>
  <c r="M907" i="8"/>
  <c r="M167" i="8"/>
  <c r="M155" i="8"/>
  <c r="M667" i="8"/>
  <c r="M470" i="8"/>
  <c r="M333" i="8"/>
  <c r="M841" i="8"/>
  <c r="M895" i="8"/>
  <c r="M383" i="8"/>
  <c r="M514" i="8"/>
  <c r="M195" i="8"/>
  <c r="M939" i="8"/>
  <c r="M463" i="8"/>
  <c r="M458" i="8"/>
  <c r="M82" i="8"/>
  <c r="M634" i="8"/>
  <c r="M517" i="8"/>
  <c r="M142" i="8"/>
  <c r="M205" i="8"/>
  <c r="M674" i="8"/>
  <c r="M884" i="8"/>
  <c r="M737" i="8"/>
  <c r="M433" i="8"/>
  <c r="M842" i="8"/>
  <c r="M389" i="8"/>
  <c r="M784" i="8"/>
  <c r="M20" i="8"/>
  <c r="M665" i="8"/>
  <c r="M696" i="8"/>
  <c r="M677" i="8"/>
  <c r="M717" i="8"/>
  <c r="M518" i="8"/>
  <c r="M344" i="8"/>
  <c r="M150" i="8"/>
  <c r="M763" i="8"/>
  <c r="M503" i="8"/>
  <c r="M967" i="8"/>
  <c r="M363" i="8"/>
  <c r="M277" i="8"/>
  <c r="M480" i="8"/>
  <c r="M294" i="8"/>
  <c r="M191" i="8"/>
  <c r="M605" i="8"/>
  <c r="M829" i="8"/>
  <c r="M811" i="8"/>
  <c r="M812" i="8"/>
  <c r="AH436" i="8"/>
  <c r="S167" i="8"/>
  <c r="S667" i="8"/>
  <c r="S333" i="8"/>
  <c r="S895" i="8"/>
  <c r="S514" i="8"/>
  <c r="S939" i="8"/>
  <c r="S634" i="8"/>
  <c r="S142" i="8"/>
  <c r="Z227" i="8"/>
  <c r="Z514" i="8"/>
  <c r="Z112" i="8"/>
  <c r="Z939" i="8"/>
  <c r="Z142" i="8"/>
  <c r="Z1008" i="8"/>
  <c r="Z468" i="8"/>
  <c r="Z925" i="8"/>
  <c r="Z324" i="8"/>
  <c r="M925" i="8"/>
  <c r="M902" i="8"/>
  <c r="AH227" i="8"/>
  <c r="AH514" i="8"/>
  <c r="AH112" i="8"/>
  <c r="AH939" i="8"/>
  <c r="AH142" i="8"/>
  <c r="AH1008" i="8"/>
  <c r="AH468" i="8"/>
  <c r="AH925" i="8"/>
  <c r="AH324" i="8"/>
  <c r="S925" i="8"/>
  <c r="S902" i="8"/>
  <c r="F937" i="5"/>
  <c r="G937" i="5" s="1"/>
  <c r="U939" i="8" s="1"/>
  <c r="F481" i="5"/>
  <c r="T483" i="8" s="1"/>
  <c r="AH428" i="8"/>
  <c r="AH70" i="8"/>
  <c r="AH651" i="8"/>
  <c r="AH174" i="8"/>
  <c r="AH842" i="8"/>
  <c r="AH802" i="8"/>
  <c r="AH520" i="8"/>
  <c r="AH643" i="8"/>
  <c r="AH475" i="8"/>
  <c r="AH58" i="8"/>
  <c r="AH945" i="8"/>
  <c r="AH337" i="8"/>
  <c r="AH314" i="8"/>
  <c r="AH54" i="8"/>
  <c r="AH374" i="8"/>
  <c r="AH441" i="8"/>
  <c r="AH921" i="8"/>
  <c r="AH634" i="8"/>
  <c r="S764" i="8"/>
  <c r="S520" i="8"/>
  <c r="S643" i="8"/>
  <c r="S475" i="8"/>
  <c r="S443" i="8"/>
  <c r="S635" i="8"/>
  <c r="S986" i="8"/>
  <c r="S730" i="8"/>
  <c r="S139" i="8"/>
  <c r="S894" i="8"/>
  <c r="S955" i="8"/>
  <c r="S706" i="8"/>
  <c r="S835" i="8"/>
  <c r="S57" i="8"/>
  <c r="S113" i="8"/>
  <c r="S698" i="8"/>
  <c r="S468" i="8"/>
  <c r="S908" i="8"/>
  <c r="S756" i="8"/>
  <c r="S21" i="8"/>
  <c r="S631" i="8"/>
  <c r="S166" i="8"/>
  <c r="S91" i="8"/>
  <c r="S406" i="8"/>
  <c r="S799" i="8"/>
  <c r="S316" i="8"/>
  <c r="S938" i="8"/>
  <c r="S453" i="8"/>
  <c r="S550" i="8"/>
  <c r="S552" i="8"/>
  <c r="S42" i="8"/>
  <c r="S511" i="8"/>
  <c r="S661" i="8"/>
  <c r="S924" i="8"/>
  <c r="S36" i="8"/>
  <c r="S348" i="8"/>
  <c r="F674" i="5"/>
  <c r="AI676" i="8" s="1"/>
  <c r="F878" i="5"/>
  <c r="N880" i="8" s="1"/>
  <c r="F50" i="5"/>
  <c r="F164" i="5"/>
  <c r="F997" i="5"/>
  <c r="T999" i="8" s="1"/>
  <c r="Z52" i="8"/>
  <c r="Z999" i="8"/>
  <c r="Z184" i="8"/>
  <c r="Z769" i="8"/>
  <c r="Z745" i="8"/>
  <c r="Z500" i="8"/>
  <c r="Z880" i="8"/>
  <c r="Z822" i="8"/>
  <c r="Z462" i="8"/>
  <c r="Z370" i="8"/>
  <c r="Z181" i="8"/>
  <c r="Z80" i="8"/>
  <c r="Z483" i="8"/>
  <c r="M181" i="8"/>
  <c r="M324" i="8"/>
  <c r="M883" i="8"/>
  <c r="M1008" i="8"/>
  <c r="AH181" i="8"/>
  <c r="AH80" i="8"/>
  <c r="S181" i="8"/>
  <c r="S324" i="8"/>
  <c r="S883" i="8"/>
  <c r="S1008" i="8"/>
  <c r="F53" i="3" a="1"/>
  <c r="F53" i="3" s="1"/>
  <c r="F54" i="3" s="1" a="1"/>
  <c r="F54" i="3" s="1"/>
  <c r="F55" i="3" s="1" a="1"/>
  <c r="F55" i="3" s="1"/>
  <c r="F56" i="3" s="1" a="1"/>
  <c r="F56" i="3" s="1"/>
  <c r="F57" i="3" s="1" a="1"/>
  <c r="F57" i="3" s="1"/>
  <c r="F58" i="3" s="1" a="1"/>
  <c r="F58" i="3" s="1"/>
  <c r="F59" i="3" s="1" a="1"/>
  <c r="F59" i="3" s="1"/>
  <c r="F60" i="3" s="1" a="1"/>
  <c r="F60" i="3" s="1"/>
  <c r="F61" i="3" s="1" a="1"/>
  <c r="F61" i="3" s="1"/>
  <c r="F62" i="3" s="1" a="1"/>
  <c r="F62" i="3" s="1"/>
  <c r="F63" i="3" s="1" a="1"/>
  <c r="F63" i="3" s="1"/>
  <c r="F64" i="3" s="1" a="1"/>
  <c r="F64" i="3" s="1"/>
  <c r="F65" i="3" s="1" a="1"/>
  <c r="F65" i="3" s="1"/>
  <c r="F66" i="3" s="1" a="1"/>
  <c r="F66" i="3" s="1"/>
  <c r="F67" i="3" s="1" a="1"/>
  <c r="F67" i="3" s="1"/>
  <c r="F68" i="3" s="1" a="1"/>
  <c r="F68" i="3" s="1"/>
  <c r="F69" i="3" s="1" a="1"/>
  <c r="F69" i="3" s="1"/>
  <c r="F70" i="3" s="1" a="1"/>
  <c r="F70" i="3" s="1"/>
  <c r="F71" i="3" s="1" a="1"/>
  <c r="F71" i="3" s="1"/>
  <c r="F72" i="3" s="1" a="1"/>
  <c r="F72" i="3" s="1"/>
  <c r="T442" i="8"/>
  <c r="N442" i="8"/>
  <c r="T882" i="8"/>
  <c r="N882" i="8"/>
  <c r="T851" i="8"/>
  <c r="N851" i="8"/>
  <c r="T806" i="8"/>
  <c r="N806" i="8"/>
  <c r="T528" i="8"/>
  <c r="N528" i="8"/>
  <c r="T524" i="8"/>
  <c r="N524" i="8"/>
  <c r="T925" i="8"/>
  <c r="N925" i="8"/>
  <c r="T745" i="8"/>
  <c r="N745" i="8"/>
  <c r="T694" i="8"/>
  <c r="N694" i="8"/>
  <c r="T126" i="8"/>
  <c r="N126" i="8"/>
  <c r="T15" i="8"/>
  <c r="N15" i="8"/>
  <c r="T655" i="8"/>
  <c r="N655" i="8"/>
  <c r="T119" i="8"/>
  <c r="N119" i="8"/>
  <c r="T149" i="8"/>
  <c r="N149" i="8"/>
  <c r="T913" i="8"/>
  <c r="N913" i="8"/>
  <c r="T988" i="8"/>
  <c r="N988" i="8"/>
  <c r="T346" i="8"/>
  <c r="N346" i="8"/>
  <c r="T519" i="8"/>
  <c r="T530" i="8"/>
  <c r="N530" i="8"/>
  <c r="T37" i="8"/>
  <c r="N37" i="8"/>
  <c r="T448" i="8"/>
  <c r="N448" i="8"/>
  <c r="T871" i="8"/>
  <c r="N871" i="8"/>
  <c r="T584" i="8"/>
  <c r="N584" i="8"/>
  <c r="T662" i="8"/>
  <c r="N662" i="8"/>
  <c r="T215" i="8"/>
  <c r="N215" i="8"/>
  <c r="T780" i="8"/>
  <c r="N780" i="8"/>
  <c r="T862" i="8"/>
  <c r="N862" i="8"/>
  <c r="T719" i="8"/>
  <c r="N719" i="8"/>
  <c r="N500" i="8"/>
  <c r="T562" i="8"/>
  <c r="N562" i="8"/>
  <c r="T668" i="8"/>
  <c r="T167" i="8"/>
  <c r="N167" i="8"/>
  <c r="T895" i="8"/>
  <c r="N895" i="8"/>
  <c r="T138" i="8"/>
  <c r="N138" i="8"/>
  <c r="T609" i="8"/>
  <c r="N609" i="8"/>
  <c r="T128" i="8"/>
  <c r="N128" i="8"/>
  <c r="T139" i="8"/>
  <c r="N139" i="8"/>
  <c r="T645" i="8"/>
  <c r="N645" i="8"/>
  <c r="T714" i="8"/>
  <c r="N714" i="8"/>
  <c r="T22" i="8"/>
  <c r="N22" i="8"/>
  <c r="T807" i="8"/>
  <c r="N807" i="8"/>
  <c r="T602" i="8"/>
  <c r="N602" i="8"/>
  <c r="T493" i="8"/>
  <c r="N493" i="8"/>
  <c r="T177" i="8"/>
  <c r="N177" i="8"/>
  <c r="T815" i="8"/>
  <c r="T961" i="8"/>
  <c r="N961" i="8"/>
  <c r="T891" i="8"/>
  <c r="N891" i="8"/>
  <c r="T794" i="8"/>
  <c r="N794" i="8"/>
  <c r="T76" i="8"/>
  <c r="N76" i="8"/>
  <c r="T342" i="8"/>
  <c r="N342" i="8"/>
  <c r="T917" i="8"/>
  <c r="N917" i="8"/>
  <c r="T27" i="8"/>
  <c r="T561" i="8"/>
  <c r="N561" i="8"/>
  <c r="T980" i="8"/>
  <c r="N980" i="8"/>
  <c r="T594" i="8"/>
  <c r="T551" i="8"/>
  <c r="N551" i="8"/>
  <c r="T766" i="8"/>
  <c r="N766" i="8"/>
  <c r="N259" i="8"/>
  <c r="T630" i="8"/>
  <c r="N630" i="8"/>
  <c r="T406" i="8"/>
  <c r="N406" i="8"/>
  <c r="T110" i="8"/>
  <c r="N110" i="8"/>
  <c r="T307" i="8"/>
  <c r="N307" i="8"/>
  <c r="T736" i="8"/>
  <c r="N736" i="8"/>
  <c r="T143" i="8"/>
  <c r="N143" i="8"/>
  <c r="T188" i="8"/>
  <c r="N188" i="8"/>
  <c r="T364" i="8"/>
  <c r="N364" i="8"/>
  <c r="T558" i="8"/>
  <c r="T39" i="8"/>
  <c r="N39" i="8"/>
  <c r="T265" i="8"/>
  <c r="N265" i="8"/>
  <c r="T616" i="8"/>
  <c r="N616" i="8"/>
  <c r="T86" i="8"/>
  <c r="N86" i="8"/>
  <c r="T251" i="8"/>
  <c r="N251" i="8"/>
  <c r="T97" i="8"/>
  <c r="N97" i="8"/>
  <c r="T294" i="8"/>
  <c r="T295" i="8"/>
  <c r="N295" i="8"/>
  <c r="T347" i="8"/>
  <c r="N347" i="8"/>
  <c r="T596" i="8"/>
  <c r="N596" i="8"/>
  <c r="T646" i="8"/>
  <c r="N646" i="8"/>
  <c r="T578" i="8"/>
  <c r="N578" i="8"/>
  <c r="T695" i="8"/>
  <c r="N695" i="8"/>
  <c r="T240" i="8"/>
  <c r="N240" i="8"/>
  <c r="T30" i="8"/>
  <c r="T428" i="8"/>
  <c r="N428" i="8"/>
  <c r="T81" i="8"/>
  <c r="N81" i="8"/>
  <c r="T585" i="8"/>
  <c r="N585" i="8"/>
  <c r="T908" i="8"/>
  <c r="N908" i="8"/>
  <c r="T756" i="8"/>
  <c r="N756" i="8"/>
  <c r="T121" i="8"/>
  <c r="N121" i="8"/>
  <c r="T284" i="8"/>
  <c r="N284" i="8"/>
  <c r="T698" i="8"/>
  <c r="N698" i="8"/>
  <c r="T567" i="8"/>
  <c r="N567" i="8"/>
  <c r="T34" i="8"/>
  <c r="N34" i="8"/>
  <c r="T705" i="8"/>
  <c r="N705" i="8"/>
  <c r="T252" i="8"/>
  <c r="N252" i="8"/>
  <c r="T432" i="8"/>
  <c r="N432" i="8"/>
  <c r="T381" i="8"/>
  <c r="N381" i="8"/>
  <c r="T772" i="8"/>
  <c r="N772" i="8"/>
  <c r="T185" i="8"/>
  <c r="N185" i="8"/>
  <c r="T277" i="8"/>
  <c r="N277" i="8"/>
  <c r="T375" i="8"/>
  <c r="N375" i="8"/>
  <c r="T420" i="8"/>
  <c r="N420" i="8"/>
  <c r="N863" i="8"/>
  <c r="T390" i="8"/>
  <c r="N390" i="8"/>
  <c r="T474" i="8"/>
  <c r="N474" i="8"/>
  <c r="T669" i="8"/>
  <c r="N669" i="8"/>
  <c r="T659" i="8"/>
  <c r="N659" i="8"/>
  <c r="T833" i="8"/>
  <c r="N833" i="8"/>
  <c r="T622" i="8"/>
  <c r="N622" i="8"/>
  <c r="T897" i="8"/>
  <c r="N897" i="8"/>
  <c r="T258" i="8"/>
  <c r="N258" i="8"/>
  <c r="T366" i="8"/>
  <c r="N366" i="8"/>
  <c r="T228" i="8"/>
  <c r="N228" i="8"/>
  <c r="T112" i="8"/>
  <c r="N112" i="8"/>
  <c r="T216" i="8"/>
  <c r="N216" i="8"/>
  <c r="T269" i="8"/>
  <c r="N269" i="8"/>
  <c r="T235" i="8"/>
  <c r="N235" i="8"/>
  <c r="T867" i="8"/>
  <c r="N867" i="8"/>
  <c r="T529" i="8"/>
  <c r="N529" i="8"/>
  <c r="T748" i="8"/>
  <c r="N748" i="8"/>
  <c r="T1001" i="8"/>
  <c r="N1001" i="8"/>
  <c r="T46" i="8"/>
  <c r="T658" i="8"/>
  <c r="N658" i="8"/>
  <c r="T582" i="8"/>
  <c r="N582" i="8"/>
  <c r="T828" i="8"/>
  <c r="N141" i="8"/>
  <c r="T765" i="8"/>
  <c r="N765" i="8"/>
  <c r="T626" i="8"/>
  <c r="N626" i="8"/>
  <c r="T79" i="8"/>
  <c r="N79" i="8"/>
  <c r="T944" i="8"/>
  <c r="N944" i="8"/>
  <c r="T1002" i="8"/>
  <c r="N1002" i="8"/>
  <c r="T729" i="8"/>
  <c r="N729" i="8"/>
  <c r="T632" i="8"/>
  <c r="N632" i="8"/>
  <c r="N340" i="8"/>
  <c r="T332" i="8"/>
  <c r="N332" i="8"/>
  <c r="T142" i="8"/>
  <c r="N142" i="8"/>
  <c r="T556" i="8"/>
  <c r="T93" i="8"/>
  <c r="N93" i="8"/>
  <c r="T760" i="8"/>
  <c r="N760" i="8"/>
  <c r="N369" i="8"/>
  <c r="T722" i="8"/>
  <c r="N722" i="8"/>
  <c r="T704" i="8"/>
  <c r="N704" i="8"/>
  <c r="T997" i="8"/>
  <c r="N997" i="8"/>
  <c r="T102" i="8"/>
  <c r="N102" i="8"/>
  <c r="T248" i="8"/>
  <c r="N248" i="8"/>
  <c r="T730" i="8"/>
  <c r="N730" i="8"/>
  <c r="T742" i="8"/>
  <c r="N742" i="8"/>
  <c r="N322" i="8"/>
  <c r="T505" i="8"/>
  <c r="N505" i="8"/>
  <c r="T965" i="8"/>
  <c r="N965" i="8"/>
  <c r="T931" i="8"/>
  <c r="N931" i="8"/>
  <c r="N603" i="8"/>
  <c r="T300" i="8"/>
  <c r="T910" i="8"/>
  <c r="N910" i="8"/>
  <c r="T388" i="8"/>
  <c r="N388" i="8"/>
  <c r="T101" i="8"/>
  <c r="N101" i="8"/>
  <c r="T123" i="8"/>
  <c r="N123" i="8"/>
  <c r="T723" i="8"/>
  <c r="N723" i="8"/>
  <c r="T271" i="8"/>
  <c r="N271" i="8"/>
  <c r="T726" i="8"/>
  <c r="N726" i="8"/>
  <c r="T328" i="8"/>
  <c r="N328" i="8"/>
  <c r="T975" i="8"/>
  <c r="N975" i="8"/>
  <c r="T906" i="8"/>
  <c r="N906" i="8"/>
  <c r="N830" i="8"/>
  <c r="T707" i="8"/>
  <c r="N707" i="8"/>
  <c r="T583" i="8"/>
  <c r="N583" i="8"/>
  <c r="T671" i="8"/>
  <c r="N671" i="8"/>
  <c r="T754" i="8"/>
  <c r="N754" i="8"/>
  <c r="T12" i="8"/>
  <c r="N12" i="8"/>
  <c r="T209" i="8"/>
  <c r="N209" i="8"/>
  <c r="T43" i="8"/>
  <c r="N43" i="8"/>
  <c r="T746" i="8"/>
  <c r="N746" i="8"/>
  <c r="T202" i="8"/>
  <c r="N202" i="8"/>
  <c r="T497" i="8"/>
  <c r="N497" i="8"/>
  <c r="T810" i="8"/>
  <c r="N810" i="8"/>
  <c r="T768" i="8"/>
  <c r="N768" i="8"/>
  <c r="T536" i="8"/>
  <c r="N536" i="8"/>
  <c r="T606" i="8"/>
  <c r="N606" i="8"/>
  <c r="T709" i="8"/>
  <c r="N709" i="8"/>
  <c r="T985" i="8"/>
  <c r="N985" i="8"/>
  <c r="N225" i="8"/>
  <c r="T778" i="8"/>
  <c r="N778" i="8"/>
  <c r="T540" i="8"/>
  <c r="N540" i="8"/>
  <c r="N492" i="8"/>
  <c r="T969" i="8"/>
  <c r="N969" i="8"/>
  <c r="N986" i="8"/>
  <c r="T331" i="8"/>
  <c r="N331" i="8"/>
  <c r="T907" i="8"/>
  <c r="N907" i="8"/>
  <c r="T470" i="8"/>
  <c r="N470" i="8"/>
  <c r="T958" i="8"/>
  <c r="N958" i="8"/>
  <c r="T63" i="8"/>
  <c r="N63" i="8"/>
  <c r="T355" i="8"/>
  <c r="N355" i="8"/>
  <c r="T563" i="8"/>
  <c r="N563" i="8"/>
  <c r="T321" i="8"/>
  <c r="N321" i="8"/>
  <c r="T144" i="8"/>
  <c r="N144" i="8"/>
  <c r="T774" i="8"/>
  <c r="N774" i="8"/>
  <c r="T65" i="8"/>
  <c r="N65" i="8"/>
  <c r="T899" i="8"/>
  <c r="N899" i="8"/>
  <c r="T617" i="8"/>
  <c r="N617" i="8"/>
  <c r="N241" i="8"/>
  <c r="T404" i="8"/>
  <c r="N404" i="8"/>
  <c r="T31" i="8"/>
  <c r="N31" i="8"/>
  <c r="T305" i="8"/>
  <c r="N305" i="8"/>
  <c r="T473" i="8"/>
  <c r="N473" i="8"/>
  <c r="T757" i="8"/>
  <c r="N757" i="8"/>
  <c r="T522" i="8"/>
  <c r="N522" i="8"/>
  <c r="T106" i="8"/>
  <c r="N106" i="8"/>
  <c r="T796" i="8"/>
  <c r="N796" i="8"/>
  <c r="T107" i="8"/>
  <c r="N107" i="8"/>
  <c r="T353" i="8"/>
  <c r="N353" i="8"/>
  <c r="T971" i="8"/>
  <c r="N971" i="8"/>
  <c r="T589" i="8"/>
  <c r="N589" i="8"/>
  <c r="T476" i="8"/>
  <c r="N476" i="8"/>
  <c r="T706" i="8"/>
  <c r="N706" i="8"/>
  <c r="T656" i="8"/>
  <c r="N656" i="8"/>
  <c r="T449" i="8"/>
  <c r="N449" i="8"/>
  <c r="T413" i="8"/>
  <c r="N413" i="8"/>
  <c r="T263" i="8"/>
  <c r="N263" i="8"/>
  <c r="T293" i="8"/>
  <c r="N293" i="8"/>
  <c r="T434" i="8"/>
  <c r="N434" i="8"/>
  <c r="T88" i="8"/>
  <c r="N88" i="8"/>
  <c r="T255" i="8"/>
  <c r="N255" i="8"/>
  <c r="T847" i="8"/>
  <c r="N847" i="8"/>
  <c r="N1008" i="8"/>
  <c r="N506" i="8"/>
  <c r="T129" i="8"/>
  <c r="N129" i="8"/>
  <c r="N599" i="8"/>
  <c r="T762" i="8"/>
  <c r="N762" i="8"/>
  <c r="T312" i="8"/>
  <c r="N312" i="8"/>
  <c r="T386" i="8"/>
  <c r="N386" i="8"/>
  <c r="T967" i="8"/>
  <c r="N967" i="8"/>
  <c r="T628" i="8"/>
  <c r="N628" i="8"/>
  <c r="T19" i="8"/>
  <c r="T721" i="8"/>
  <c r="N721" i="8"/>
  <c r="T838" i="8"/>
  <c r="N838" i="8"/>
  <c r="T877" i="8"/>
  <c r="N877" i="8"/>
  <c r="T691" i="8"/>
  <c r="N691" i="8"/>
  <c r="T868" i="8"/>
  <c r="N868" i="8"/>
  <c r="T67" i="8"/>
  <c r="N67" i="8"/>
  <c r="T548" i="8"/>
  <c r="N548" i="8"/>
  <c r="T733" i="8"/>
  <c r="N733" i="8"/>
  <c r="T213" i="8"/>
  <c r="N213" i="8"/>
  <c r="T285" i="8"/>
  <c r="N285" i="8"/>
  <c r="T183" i="8"/>
  <c r="N183" i="8"/>
  <c r="T232" i="8"/>
  <c r="N232" i="8"/>
  <c r="T739" i="8"/>
  <c r="N739" i="8"/>
  <c r="T212" i="8"/>
  <c r="N212" i="8"/>
  <c r="T290" i="8"/>
  <c r="N290" i="8"/>
  <c r="T439" i="8"/>
  <c r="N439" i="8"/>
  <c r="T247" i="8"/>
  <c r="N247" i="8"/>
  <c r="T494" i="8"/>
  <c r="T387" i="8"/>
  <c r="N387" i="8"/>
  <c r="T779" i="8"/>
  <c r="N779" i="8"/>
  <c r="N29" i="8"/>
  <c r="T839" i="8"/>
  <c r="N839" i="8"/>
  <c r="N402" i="8"/>
  <c r="T190" i="8"/>
  <c r="N190" i="8"/>
  <c r="T869" i="8"/>
  <c r="N869" i="8"/>
  <c r="T69" i="8"/>
  <c r="N69" i="8"/>
  <c r="T855" i="8"/>
  <c r="N855" i="8"/>
  <c r="T23" i="8"/>
  <c r="N23" i="8"/>
  <c r="T99" i="8"/>
  <c r="N99" i="8"/>
  <c r="T357" i="8"/>
  <c r="N357" i="8"/>
  <c r="T279" i="8"/>
  <c r="N279" i="8"/>
  <c r="T162" i="8"/>
  <c r="N162" i="8"/>
  <c r="T817" i="8"/>
  <c r="N817" i="8"/>
  <c r="T922" i="8"/>
  <c r="N922" i="8"/>
  <c r="T744" i="8"/>
  <c r="N744" i="8"/>
  <c r="T1007" i="8"/>
  <c r="N1007" i="8"/>
  <c r="T311" i="8"/>
  <c r="N311" i="8"/>
  <c r="T317" i="8"/>
  <c r="N317" i="8"/>
  <c r="T660" i="8"/>
  <c r="N660" i="8"/>
  <c r="T672" i="8"/>
  <c r="N672" i="8"/>
  <c r="T716" i="8"/>
  <c r="N716" i="8"/>
  <c r="T299" i="8"/>
  <c r="N299" i="8"/>
  <c r="T298" i="8"/>
  <c r="N298" i="8"/>
  <c r="T140" i="8"/>
  <c r="N140" i="8"/>
  <c r="T993" i="8"/>
  <c r="N993" i="8"/>
  <c r="T641" i="8"/>
  <c r="N641" i="8"/>
  <c r="AI119" i="8"/>
  <c r="AA119" i="8"/>
  <c r="AI673" i="8"/>
  <c r="AI530" i="8"/>
  <c r="AA530" i="8"/>
  <c r="AI656" i="8"/>
  <c r="AA656" i="8"/>
  <c r="AI290" i="8"/>
  <c r="AA290" i="8"/>
  <c r="AI439" i="8"/>
  <c r="AA439" i="8"/>
  <c r="AI387" i="8"/>
  <c r="AA387" i="8"/>
  <c r="AA777" i="8"/>
  <c r="AI162" i="8"/>
  <c r="AA162" i="8"/>
  <c r="AI922" i="8"/>
  <c r="AA922" i="8"/>
  <c r="AI704" i="8"/>
  <c r="AA704" i="8"/>
  <c r="AI584" i="8"/>
  <c r="AA584" i="8"/>
  <c r="AI733" i="8"/>
  <c r="AA733" i="8"/>
  <c r="AI279" i="8"/>
  <c r="AA279" i="8"/>
  <c r="AI442" i="8"/>
  <c r="AA442" i="8"/>
  <c r="AI997" i="8"/>
  <c r="AA997" i="8"/>
  <c r="AI971" i="8"/>
  <c r="AA971" i="8"/>
  <c r="AI882" i="8"/>
  <c r="AA882" i="8"/>
  <c r="AI215" i="8"/>
  <c r="AA215" i="8"/>
  <c r="AI630" i="8"/>
  <c r="AA630" i="8"/>
  <c r="AI851" i="8"/>
  <c r="AA851" i="8"/>
  <c r="AI102" i="8"/>
  <c r="AA102" i="8"/>
  <c r="AI406" i="8"/>
  <c r="AA406" i="8"/>
  <c r="AI213" i="8"/>
  <c r="AA213" i="8"/>
  <c r="AI423" i="8"/>
  <c r="AI248" i="8"/>
  <c r="AA248" i="8"/>
  <c r="AI985" i="8"/>
  <c r="AA985" i="8"/>
  <c r="AI806" i="8"/>
  <c r="AA806" i="8"/>
  <c r="AI528" i="8"/>
  <c r="AA528" i="8"/>
  <c r="AI783" i="8"/>
  <c r="AA783" i="8"/>
  <c r="AI284" i="8"/>
  <c r="AA284" i="8"/>
  <c r="AI285" i="8"/>
  <c r="AA285" i="8"/>
  <c r="AI183" i="8"/>
  <c r="AA183" i="8"/>
  <c r="AI698" i="8"/>
  <c r="AA698" i="8"/>
  <c r="AI524" i="8"/>
  <c r="AA524" i="8"/>
  <c r="AI126" i="8"/>
  <c r="AA126" i="8"/>
  <c r="AI500" i="8"/>
  <c r="AA500" i="8"/>
  <c r="AI562" i="8"/>
  <c r="AI167" i="8"/>
  <c r="AA167" i="8"/>
  <c r="AI895" i="8"/>
  <c r="AA895" i="8"/>
  <c r="AI138" i="8"/>
  <c r="AA138" i="8"/>
  <c r="AI609" i="8"/>
  <c r="AA609" i="8"/>
  <c r="AI128" i="8"/>
  <c r="AA128" i="8"/>
  <c r="AI139" i="8"/>
  <c r="AA139" i="8"/>
  <c r="AI645" i="8"/>
  <c r="AA645" i="8"/>
  <c r="AI22" i="8"/>
  <c r="AA22" i="8"/>
  <c r="AI807" i="8"/>
  <c r="AA807" i="8"/>
  <c r="AI602" i="8"/>
  <c r="AA602" i="8"/>
  <c r="AI493" i="8"/>
  <c r="AA493" i="8"/>
  <c r="AI177" i="8"/>
  <c r="AA177" i="8"/>
  <c r="AI815" i="8"/>
  <c r="AI961" i="8"/>
  <c r="AA961" i="8"/>
  <c r="AI891" i="8"/>
  <c r="AA891" i="8"/>
  <c r="AI794" i="8"/>
  <c r="AA794" i="8"/>
  <c r="AI76" i="8"/>
  <c r="AA76" i="8"/>
  <c r="AI342" i="8"/>
  <c r="AA342" i="8"/>
  <c r="AI917" i="8"/>
  <c r="AA917" i="8"/>
  <c r="AI561" i="8"/>
  <c r="AA561" i="8"/>
  <c r="AI980" i="8"/>
  <c r="AA980" i="8"/>
  <c r="AA594" i="8"/>
  <c r="AI941" i="8"/>
  <c r="AA941" i="8"/>
  <c r="AI551" i="8"/>
  <c r="AA551" i="8"/>
  <c r="AI766" i="8"/>
  <c r="AA766" i="8"/>
  <c r="AI925" i="8"/>
  <c r="AA925" i="8"/>
  <c r="AI988" i="8"/>
  <c r="AA988" i="8"/>
  <c r="AI780" i="8"/>
  <c r="AA780" i="8"/>
  <c r="AI736" i="8"/>
  <c r="AA736" i="8"/>
  <c r="AI42" i="8"/>
  <c r="AI143" i="8"/>
  <c r="AA143" i="8"/>
  <c r="AI188" i="8"/>
  <c r="AA188" i="8"/>
  <c r="AI364" i="8"/>
  <c r="AA364" i="8"/>
  <c r="AA39" i="8"/>
  <c r="AI265" i="8"/>
  <c r="AA265" i="8"/>
  <c r="AI616" i="8"/>
  <c r="AA616" i="8"/>
  <c r="AI86" i="8"/>
  <c r="AA86" i="8"/>
  <c r="AI251" i="8"/>
  <c r="AA251" i="8"/>
  <c r="AI97" i="8"/>
  <c r="AA97" i="8"/>
  <c r="AI294" i="8"/>
  <c r="AA294" i="8"/>
  <c r="AI295" i="8"/>
  <c r="AA295" i="8"/>
  <c r="AI347" i="8"/>
  <c r="AA347" i="8"/>
  <c r="AA596" i="8"/>
  <c r="AI646" i="8"/>
  <c r="AA646" i="8"/>
  <c r="AI578" i="8"/>
  <c r="AA578" i="8"/>
  <c r="AI725" i="8"/>
  <c r="AI695" i="8"/>
  <c r="AA695" i="8"/>
  <c r="AI240" i="8"/>
  <c r="AA240" i="8"/>
  <c r="AI428" i="8"/>
  <c r="AA428" i="8"/>
  <c r="AA33" i="8"/>
  <c r="AI81" i="8"/>
  <c r="AA81" i="8"/>
  <c r="AI976" i="8"/>
  <c r="AI585" i="8"/>
  <c r="AA585" i="8"/>
  <c r="AI908" i="8"/>
  <c r="AA908" i="8"/>
  <c r="AI756" i="8"/>
  <c r="AA756" i="8"/>
  <c r="AA21" i="8"/>
  <c r="AI121" i="8"/>
  <c r="AA121" i="8"/>
  <c r="AI694" i="8"/>
  <c r="AA694" i="8"/>
  <c r="AI862" i="8"/>
  <c r="AA862" i="8"/>
  <c r="AI110" i="8"/>
  <c r="AA110" i="8"/>
  <c r="AI307" i="8"/>
  <c r="AA307" i="8"/>
  <c r="AI34" i="8"/>
  <c r="AA34" i="8"/>
  <c r="AI705" i="8"/>
  <c r="AA705" i="8"/>
  <c r="AI432" i="8"/>
  <c r="AA432" i="8"/>
  <c r="AI772" i="8"/>
  <c r="AA772" i="8"/>
  <c r="AI92" i="8"/>
  <c r="AA92" i="8"/>
  <c r="AI277" i="8"/>
  <c r="AA277" i="8"/>
  <c r="AI375" i="8"/>
  <c r="AA375" i="8"/>
  <c r="AI420" i="8"/>
  <c r="AA420" i="8"/>
  <c r="AI390" i="8"/>
  <c r="AA390" i="8"/>
  <c r="AI474" i="8"/>
  <c r="AA474" i="8"/>
  <c r="AI669" i="8"/>
  <c r="AA669" i="8"/>
  <c r="AI856" i="8"/>
  <c r="AI659" i="8"/>
  <c r="AA659" i="8"/>
  <c r="AI833" i="8"/>
  <c r="AA833" i="8"/>
  <c r="AI622" i="8"/>
  <c r="AA622" i="8"/>
  <c r="AI149" i="8"/>
  <c r="AA149" i="8"/>
  <c r="AI37" i="8"/>
  <c r="AA37" i="8"/>
  <c r="AI719" i="8"/>
  <c r="AA719" i="8"/>
  <c r="AA87" i="8"/>
  <c r="AI567" i="8"/>
  <c r="AA567" i="8"/>
  <c r="AI775" i="8"/>
  <c r="AI252" i="8"/>
  <c r="AA252" i="8"/>
  <c r="AI381" i="8"/>
  <c r="AA381" i="8"/>
  <c r="AI185" i="8"/>
  <c r="AA185" i="8"/>
  <c r="AI232" i="8"/>
  <c r="AA232" i="8"/>
  <c r="AA225" i="8"/>
  <c r="AI897" i="8"/>
  <c r="AA897" i="8"/>
  <c r="AI739" i="8"/>
  <c r="AA739" i="8"/>
  <c r="AI778" i="8"/>
  <c r="AA778" i="8"/>
  <c r="AI730" i="8"/>
  <c r="AA730" i="8"/>
  <c r="AI589" i="8"/>
  <c r="AA589" i="8"/>
  <c r="AI112" i="8"/>
  <c r="AA112" i="8"/>
  <c r="AI216" i="8"/>
  <c r="AA216" i="8"/>
  <c r="AI269" i="8"/>
  <c r="AA269" i="8"/>
  <c r="AI235" i="8"/>
  <c r="AA235" i="8"/>
  <c r="AA840" i="8"/>
  <c r="AI867" i="8"/>
  <c r="AA867" i="8"/>
  <c r="AI529" i="8"/>
  <c r="AA529" i="8"/>
  <c r="AI811" i="8"/>
  <c r="AI748" i="8"/>
  <c r="AA748" i="8"/>
  <c r="AI1001" i="8"/>
  <c r="AA1001" i="8"/>
  <c r="AI46" i="8"/>
  <c r="AA46" i="8"/>
  <c r="AI169" i="8"/>
  <c r="AI658" i="8"/>
  <c r="AA658" i="8"/>
  <c r="AI582" i="8"/>
  <c r="AA582" i="8"/>
  <c r="AI765" i="8"/>
  <c r="AA765" i="8"/>
  <c r="AI626" i="8"/>
  <c r="AA626" i="8"/>
  <c r="AI79" i="8"/>
  <c r="AA79" i="8"/>
  <c r="AI729" i="8"/>
  <c r="AA729" i="8"/>
  <c r="AI332" i="8"/>
  <c r="AA332" i="8"/>
  <c r="AA556" i="8"/>
  <c r="AI93" i="8"/>
  <c r="AA93" i="8"/>
  <c r="AA229" i="8"/>
  <c r="AI35" i="8"/>
  <c r="AI760" i="8"/>
  <c r="AA760" i="8"/>
  <c r="AI913" i="8"/>
  <c r="AA913" i="8"/>
  <c r="AI871" i="8"/>
  <c r="AA871" i="8"/>
  <c r="AI51" i="8"/>
  <c r="AA51" i="8"/>
  <c r="AI1002" i="8"/>
  <c r="AA1002" i="8"/>
  <c r="AI969" i="8"/>
  <c r="AA969" i="8"/>
  <c r="AI706" i="8"/>
  <c r="AA706" i="8"/>
  <c r="AI632" i="8"/>
  <c r="AA632" i="8"/>
  <c r="AI142" i="8"/>
  <c r="AA142" i="8"/>
  <c r="AI965" i="8"/>
  <c r="AA965" i="8"/>
  <c r="AI931" i="8"/>
  <c r="AA931" i="8"/>
  <c r="AI300" i="8"/>
  <c r="AA300" i="8"/>
  <c r="AI910" i="8"/>
  <c r="AA910" i="8"/>
  <c r="AI515" i="8"/>
  <c r="AA515" i="8"/>
  <c r="AI388" i="8"/>
  <c r="AA388" i="8"/>
  <c r="AI101" i="8"/>
  <c r="AA101" i="8"/>
  <c r="AI123" i="8"/>
  <c r="AA123" i="8"/>
  <c r="AI723" i="8"/>
  <c r="AA723" i="8"/>
  <c r="AI271" i="8"/>
  <c r="AA271" i="8"/>
  <c r="AI738" i="8"/>
  <c r="AA738" i="8"/>
  <c r="AI726" i="8"/>
  <c r="AA726" i="8"/>
  <c r="AI328" i="8"/>
  <c r="AA328" i="8"/>
  <c r="AI975" i="8"/>
  <c r="AA975" i="8"/>
  <c r="AI906" i="8"/>
  <c r="AA906" i="8"/>
  <c r="AA830" i="8"/>
  <c r="AI707" i="8"/>
  <c r="AA707" i="8"/>
  <c r="AI583" i="8"/>
  <c r="AA583" i="8"/>
  <c r="AI755" i="8"/>
  <c r="AI671" i="8"/>
  <c r="AA671" i="8"/>
  <c r="AI754" i="8"/>
  <c r="AA754" i="8"/>
  <c r="AI209" i="8"/>
  <c r="AA209" i="8"/>
  <c r="AI43" i="8"/>
  <c r="AA43" i="8"/>
  <c r="AI746" i="8"/>
  <c r="AA746" i="8"/>
  <c r="AI202" i="8"/>
  <c r="AA202" i="8"/>
  <c r="AI497" i="8"/>
  <c r="AA497" i="8"/>
  <c r="AI810" i="8"/>
  <c r="AA810" i="8"/>
  <c r="AI768" i="8"/>
  <c r="AA768" i="8"/>
  <c r="AI536" i="8"/>
  <c r="AA536" i="8"/>
  <c r="AI606" i="8"/>
  <c r="AA606" i="8"/>
  <c r="AI709" i="8"/>
  <c r="AA709" i="8"/>
  <c r="AI655" i="8"/>
  <c r="AA655" i="8"/>
  <c r="AI448" i="8"/>
  <c r="AA448" i="8"/>
  <c r="AI540" i="8"/>
  <c r="AA540" i="8"/>
  <c r="AI505" i="8"/>
  <c r="AA505" i="8"/>
  <c r="AI986" i="8"/>
  <c r="AA986" i="8"/>
  <c r="AI331" i="8"/>
  <c r="AA331" i="8"/>
  <c r="AI907" i="8"/>
  <c r="AA907" i="8"/>
  <c r="AI470" i="8"/>
  <c r="AA470" i="8"/>
  <c r="AI958" i="8"/>
  <c r="AA958" i="8"/>
  <c r="AI63" i="8"/>
  <c r="AA63" i="8"/>
  <c r="AI355" i="8"/>
  <c r="AA355" i="8"/>
  <c r="AI563" i="8"/>
  <c r="AA563" i="8"/>
  <c r="AI321" i="8"/>
  <c r="AA321" i="8"/>
  <c r="AI144" i="8"/>
  <c r="AA144" i="8"/>
  <c r="AI774" i="8"/>
  <c r="AA774" i="8"/>
  <c r="AI356" i="8"/>
  <c r="AA356" i="8"/>
  <c r="AI65" i="8"/>
  <c r="AA65" i="8"/>
  <c r="AI899" i="8"/>
  <c r="AA899" i="8"/>
  <c r="AI617" i="8"/>
  <c r="AA617" i="8"/>
  <c r="AI404" i="8"/>
  <c r="AA404" i="8"/>
  <c r="AI31" i="8"/>
  <c r="AA31" i="8"/>
  <c r="AI305" i="8"/>
  <c r="AA305" i="8"/>
  <c r="AI473" i="8"/>
  <c r="AA473" i="8"/>
  <c r="AI757" i="8"/>
  <c r="AA757" i="8"/>
  <c r="AI522" i="8"/>
  <c r="AA522" i="8"/>
  <c r="AA281" i="8"/>
  <c r="AI106" i="8"/>
  <c r="AA106" i="8"/>
  <c r="AI796" i="8"/>
  <c r="AA796" i="8"/>
  <c r="AI107" i="8"/>
  <c r="AA107" i="8"/>
  <c r="AI353" i="8"/>
  <c r="AA353" i="8"/>
  <c r="AI346" i="8"/>
  <c r="AA346" i="8"/>
  <c r="AI212" i="8"/>
  <c r="AA212" i="8"/>
  <c r="AI492" i="8"/>
  <c r="AA492" i="8"/>
  <c r="AI322" i="8"/>
  <c r="AI449" i="8"/>
  <c r="AA449" i="8"/>
  <c r="AI263" i="8"/>
  <c r="AA263" i="8"/>
  <c r="AI293" i="8"/>
  <c r="AA293" i="8"/>
  <c r="AI434" i="8"/>
  <c r="AA434" i="8"/>
  <c r="AI88" i="8"/>
  <c r="AA88" i="8"/>
  <c r="AI255" i="8"/>
  <c r="AA255" i="8"/>
  <c r="AI847" i="8"/>
  <c r="AA847" i="8"/>
  <c r="AI506" i="8"/>
  <c r="AA506" i="8"/>
  <c r="AI129" i="8"/>
  <c r="AA129" i="8"/>
  <c r="AI762" i="8"/>
  <c r="AA762" i="8"/>
  <c r="AI312" i="8"/>
  <c r="AA312" i="8"/>
  <c r="AI386" i="8"/>
  <c r="AA386" i="8"/>
  <c r="AI967" i="8"/>
  <c r="AA967" i="8"/>
  <c r="AI628" i="8"/>
  <c r="AA628" i="8"/>
  <c r="AI721" i="8"/>
  <c r="AA721" i="8"/>
  <c r="AI838" i="8"/>
  <c r="AA838" i="8"/>
  <c r="AI877" i="8"/>
  <c r="AA877" i="8"/>
  <c r="AI691" i="8"/>
  <c r="AA691" i="8"/>
  <c r="AI868" i="8"/>
  <c r="AA868" i="8"/>
  <c r="AI67" i="8"/>
  <c r="AA67" i="8"/>
  <c r="AI548" i="8"/>
  <c r="AA548" i="8"/>
  <c r="AI745" i="8"/>
  <c r="AA745" i="8"/>
  <c r="AI742" i="8"/>
  <c r="AA742" i="8"/>
  <c r="AI476" i="8"/>
  <c r="AA476" i="8"/>
  <c r="AI29" i="8"/>
  <c r="AA29" i="8"/>
  <c r="AI839" i="8"/>
  <c r="AA839" i="8"/>
  <c r="AI402" i="8"/>
  <c r="AA402" i="8"/>
  <c r="AI869" i="8"/>
  <c r="AA869" i="8"/>
  <c r="AI69" i="8"/>
  <c r="AA69" i="8"/>
  <c r="AI855" i="8"/>
  <c r="AA855" i="8"/>
  <c r="AA890" i="8"/>
  <c r="AI99" i="8"/>
  <c r="AA99" i="8"/>
  <c r="AI357" i="8"/>
  <c r="AA357" i="8"/>
  <c r="AA682" i="8"/>
  <c r="AI15" i="8"/>
  <c r="AA15" i="8"/>
  <c r="AI247" i="8"/>
  <c r="AA247" i="8"/>
  <c r="AI779" i="8"/>
  <c r="AA779" i="8"/>
  <c r="AI817" i="8"/>
  <c r="AA817" i="8"/>
  <c r="AI744" i="8"/>
  <c r="AA744" i="8"/>
  <c r="AI1007" i="8"/>
  <c r="AA1007" i="8"/>
  <c r="AA246" i="8"/>
  <c r="AI311" i="8"/>
  <c r="AA311" i="8"/>
  <c r="AI660" i="8"/>
  <c r="AA660" i="8"/>
  <c r="AI672" i="8"/>
  <c r="AA672" i="8"/>
  <c r="AI716" i="8"/>
  <c r="AA716" i="8"/>
  <c r="AI299" i="8"/>
  <c r="AA299" i="8"/>
  <c r="AI298" i="8"/>
  <c r="AA298" i="8"/>
  <c r="AI140" i="8"/>
  <c r="AA140" i="8"/>
  <c r="AI993" i="8"/>
  <c r="AA993" i="8"/>
  <c r="AI641" i="8"/>
  <c r="AA641" i="8"/>
  <c r="G860" i="5"/>
  <c r="U862" i="8" s="1"/>
  <c r="G717" i="5"/>
  <c r="U719" i="8" s="1"/>
  <c r="G329" i="5"/>
  <c r="U331" i="8" s="1"/>
  <c r="G895" i="5"/>
  <c r="U897" i="8" s="1"/>
  <c r="G905" i="5"/>
  <c r="U907" i="8" s="1"/>
  <c r="G165" i="5"/>
  <c r="U167" i="8" s="1"/>
  <c r="G776" i="5"/>
  <c r="U778" i="8" s="1"/>
  <c r="G728" i="5"/>
  <c r="U730" i="8" s="1"/>
  <c r="G136" i="5"/>
  <c r="U138" i="8" s="1"/>
  <c r="G956" i="5"/>
  <c r="U958" i="8" s="1"/>
  <c r="G61" i="5"/>
  <c r="U63" i="8" s="1"/>
  <c r="G126" i="5"/>
  <c r="U128" i="8" s="1"/>
  <c r="G561" i="5"/>
  <c r="U563" i="8" s="1"/>
  <c r="G319" i="5"/>
  <c r="U321" i="8" s="1"/>
  <c r="G772" i="5"/>
  <c r="U774" i="8" s="1"/>
  <c r="G805" i="5"/>
  <c r="U807" i="8" s="1"/>
  <c r="G491" i="5"/>
  <c r="U493" i="8" s="1"/>
  <c r="G615" i="5"/>
  <c r="U617" i="8" s="1"/>
  <c r="G959" i="5"/>
  <c r="U961" i="8" s="1"/>
  <c r="G670" i="5"/>
  <c r="U672" i="8" s="1"/>
  <c r="G489" i="5"/>
  <c r="U491" i="8" s="1"/>
  <c r="G402" i="5"/>
  <c r="U404" i="8" s="1"/>
  <c r="G865" i="5"/>
  <c r="U867" i="8" s="1"/>
  <c r="G714" i="5"/>
  <c r="U716" i="8" s="1"/>
  <c r="G471" i="5"/>
  <c r="U473" i="8" s="1"/>
  <c r="G138" i="5"/>
  <c r="U140" i="8" s="1"/>
  <c r="G809" i="5"/>
  <c r="U811" i="8" s="1"/>
  <c r="G340" i="5"/>
  <c r="U342" i="8" s="1"/>
  <c r="G44" i="5"/>
  <c r="U46" i="8" s="1"/>
  <c r="G559" i="5"/>
  <c r="U561" i="8" s="1"/>
  <c r="G978" i="5"/>
  <c r="U980" i="8" s="1"/>
  <c r="G105" i="5"/>
  <c r="U107" i="8" s="1"/>
  <c r="G764" i="5"/>
  <c r="U766" i="8" s="1"/>
  <c r="G58" i="5"/>
  <c r="U60" i="8" s="1"/>
  <c r="G763" i="5"/>
  <c r="U765" i="8" s="1"/>
  <c r="G175" i="5"/>
  <c r="U177" i="8" s="1"/>
  <c r="G889" i="5"/>
  <c r="U891" i="8" s="1"/>
  <c r="G792" i="5"/>
  <c r="U794" i="8" s="1"/>
  <c r="G29" i="5"/>
  <c r="U31" i="8" s="1"/>
  <c r="G74" i="5"/>
  <c r="U76" i="8" s="1"/>
  <c r="G303" i="5"/>
  <c r="U305" i="8" s="1"/>
  <c r="G296" i="5"/>
  <c r="U298" i="8" s="1"/>
  <c r="G520" i="5"/>
  <c r="U522" i="8" s="1"/>
  <c r="G527" i="5"/>
  <c r="U529" i="8" s="1"/>
  <c r="G746" i="5"/>
  <c r="U748" i="8" s="1"/>
  <c r="G991" i="5"/>
  <c r="U993" i="8" s="1"/>
  <c r="G999" i="5"/>
  <c r="U1001" i="8" s="1"/>
  <c r="G915" i="5"/>
  <c r="U917" i="8" s="1"/>
  <c r="G104" i="5"/>
  <c r="U106" i="8" s="1"/>
  <c r="G656" i="5"/>
  <c r="U658" i="8" s="1"/>
  <c r="G624" i="5"/>
  <c r="U626" i="8" s="1"/>
  <c r="G351" i="5"/>
  <c r="U353" i="8" s="1"/>
  <c r="G77" i="5"/>
  <c r="U79" i="8" s="1"/>
  <c r="G639" i="5"/>
  <c r="U641" i="8" s="1"/>
  <c r="G178" i="5"/>
  <c r="U180" i="8" s="1"/>
  <c r="G468" i="5"/>
  <c r="U470" i="8" s="1"/>
  <c r="G607" i="5"/>
  <c r="U609" i="8" s="1"/>
  <c r="G353" i="5"/>
  <c r="U355" i="8" s="1"/>
  <c r="G137" i="5"/>
  <c r="U139" i="8" s="1"/>
  <c r="G643" i="5"/>
  <c r="U645" i="8" s="1"/>
  <c r="G712" i="5"/>
  <c r="U714" i="8" s="1"/>
  <c r="G20" i="5"/>
  <c r="U22" i="8" s="1"/>
  <c r="G142" i="5"/>
  <c r="U144" i="8" s="1"/>
  <c r="G600" i="5"/>
  <c r="U602" i="8" s="1"/>
  <c r="G110" i="5"/>
  <c r="U112" i="8" s="1"/>
  <c r="G354" i="5"/>
  <c r="U356" i="8" s="1"/>
  <c r="G63" i="5"/>
  <c r="U65" i="8" s="1"/>
  <c r="G309" i="5"/>
  <c r="U311" i="8" s="1"/>
  <c r="G214" i="5"/>
  <c r="U216" i="8" s="1"/>
  <c r="G160" i="5"/>
  <c r="U162" i="8" s="1"/>
  <c r="G897" i="5"/>
  <c r="U899" i="8" s="1"/>
  <c r="G658" i="5"/>
  <c r="U660" i="8" s="1"/>
  <c r="G920" i="5"/>
  <c r="U922" i="8" s="1"/>
  <c r="G1005" i="5"/>
  <c r="U1007" i="8" s="1"/>
  <c r="G984" i="5"/>
  <c r="U986" i="8" s="1"/>
  <c r="G498" i="5"/>
  <c r="U500" i="8" s="1"/>
  <c r="G665" i="5"/>
  <c r="U667" i="8" s="1"/>
  <c r="G737" i="5"/>
  <c r="U739" i="8" s="1"/>
  <c r="G587" i="5"/>
  <c r="U589" i="8" s="1"/>
  <c r="G893" i="5"/>
  <c r="U895" i="8" s="1"/>
  <c r="G267" i="5"/>
  <c r="U269" i="8" s="1"/>
  <c r="G233" i="5"/>
  <c r="U235" i="8" s="1"/>
  <c r="G297" i="5"/>
  <c r="U299" i="8" s="1"/>
  <c r="G794" i="5"/>
  <c r="U796" i="8" s="1"/>
  <c r="G549" i="5"/>
  <c r="U551" i="8" s="1"/>
  <c r="G580" i="5"/>
  <c r="U582" i="8" s="1"/>
  <c r="G139" i="5"/>
  <c r="U141" i="8" s="1"/>
  <c r="G815" i="5"/>
  <c r="U817" i="8" s="1"/>
  <c r="G778" i="5"/>
  <c r="U780" i="8" s="1"/>
  <c r="G702" i="5"/>
  <c r="U704" i="8" s="1"/>
  <c r="G474" i="5"/>
  <c r="U476" i="8" s="1"/>
  <c r="G345" i="5"/>
  <c r="U347" i="8" s="1"/>
  <c r="G760" i="5"/>
  <c r="U762" i="8" s="1"/>
  <c r="G384" i="5"/>
  <c r="U386" i="8" s="1"/>
  <c r="G644" i="5"/>
  <c r="U646" i="8" s="1"/>
  <c r="G804" i="5"/>
  <c r="U806" i="8" s="1"/>
  <c r="G330" i="5"/>
  <c r="U332" i="8" s="1"/>
  <c r="G719" i="5"/>
  <c r="U721" i="8" s="1"/>
  <c r="G836" i="5"/>
  <c r="U838" i="8" s="1"/>
  <c r="G693" i="5"/>
  <c r="U695" i="8" s="1"/>
  <c r="G238" i="5"/>
  <c r="U240" i="8" s="1"/>
  <c r="G875" i="5"/>
  <c r="U877" i="8" s="1"/>
  <c r="G426" i="5"/>
  <c r="U428" i="8" s="1"/>
  <c r="G866" i="5"/>
  <c r="U868" i="8" s="1"/>
  <c r="G583" i="5"/>
  <c r="U585" i="8" s="1"/>
  <c r="G906" i="5"/>
  <c r="U908" i="8" s="1"/>
  <c r="G119" i="5"/>
  <c r="U121" i="8" s="1"/>
  <c r="G923" i="5"/>
  <c r="U925" i="8" s="1"/>
  <c r="G452" i="5"/>
  <c r="U454" i="8" s="1"/>
  <c r="G742" i="5"/>
  <c r="U744" i="8" s="1"/>
  <c r="G230" i="5"/>
  <c r="U232" i="8" s="1"/>
  <c r="G1000" i="5"/>
  <c r="U1002" i="8" s="1"/>
  <c r="G969" i="5"/>
  <c r="U971" i="8" s="1"/>
  <c r="G320" i="5"/>
  <c r="U322" i="8" s="1"/>
  <c r="G727" i="5"/>
  <c r="U729" i="8" s="1"/>
  <c r="G628" i="5"/>
  <c r="U630" i="8" s="1"/>
  <c r="G249" i="5"/>
  <c r="U251" i="8" s="1"/>
  <c r="G292" i="5"/>
  <c r="U294" i="8" s="1"/>
  <c r="G100" i="5"/>
  <c r="U102" i="8" s="1"/>
  <c r="G750" i="5"/>
  <c r="U752" i="8" s="1"/>
  <c r="G108" i="5"/>
  <c r="U110" i="8" s="1"/>
  <c r="G277" i="5"/>
  <c r="U279" i="8" s="1"/>
  <c r="G210" i="5"/>
  <c r="U212" i="8" s="1"/>
  <c r="G186" i="5"/>
  <c r="U188" i="8" s="1"/>
  <c r="G261" i="5"/>
  <c r="U263" i="8" s="1"/>
  <c r="G291" i="5"/>
  <c r="U293" i="8" s="1"/>
  <c r="G614" i="5"/>
  <c r="U616" i="8" s="1"/>
  <c r="G86" i="5"/>
  <c r="U88" i="8" s="1"/>
  <c r="G84" i="5"/>
  <c r="U86" i="8" s="1"/>
  <c r="G845" i="5"/>
  <c r="U847" i="8" s="1"/>
  <c r="G95" i="5"/>
  <c r="U97" i="8" s="1"/>
  <c r="G503" i="5"/>
  <c r="U505" i="8" s="1"/>
  <c r="G504" i="5"/>
  <c r="U506" i="8" s="1"/>
  <c r="G849" i="5"/>
  <c r="U851" i="8" s="1"/>
  <c r="G293" i="5"/>
  <c r="U295" i="8" s="1"/>
  <c r="G704" i="5"/>
  <c r="U706" i="8" s="1"/>
  <c r="G127" i="5"/>
  <c r="U129" i="8" s="1"/>
  <c r="G404" i="5"/>
  <c r="U406" i="8" s="1"/>
  <c r="G594" i="5"/>
  <c r="U596" i="8" s="1"/>
  <c r="G310" i="5"/>
  <c r="U312" i="8" s="1"/>
  <c r="G630" i="5"/>
  <c r="U632" i="8" s="1"/>
  <c r="G96" i="5"/>
  <c r="U98" i="8" s="1"/>
  <c r="G246" i="5"/>
  <c r="U248" i="8" s="1"/>
  <c r="G17" i="5"/>
  <c r="U19" i="8" s="1"/>
  <c r="G576" i="5"/>
  <c r="U578" i="8" s="1"/>
  <c r="G526" i="5"/>
  <c r="U528" i="8" s="1"/>
  <c r="G723" i="5"/>
  <c r="U725" i="8" s="1"/>
  <c r="G91" i="5"/>
  <c r="U93" i="8" s="1"/>
  <c r="G689" i="5"/>
  <c r="U691" i="8" s="1"/>
  <c r="G79" i="5"/>
  <c r="U81" i="8" s="1"/>
  <c r="G65" i="5"/>
  <c r="U67" i="8" s="1"/>
  <c r="G546" i="5"/>
  <c r="U548" i="8" s="1"/>
  <c r="G754" i="5"/>
  <c r="U756" i="8" s="1"/>
  <c r="G181" i="5"/>
  <c r="U183" i="8" s="1"/>
  <c r="G367" i="5"/>
  <c r="U369" i="8" s="1"/>
  <c r="G731" i="5"/>
  <c r="U733" i="8" s="1"/>
  <c r="G490" i="5"/>
  <c r="U492" i="8" s="1"/>
  <c r="G305" i="5"/>
  <c r="U307" i="8" s="1"/>
  <c r="G411" i="5"/>
  <c r="U413" i="8" s="1"/>
  <c r="G995" i="5"/>
  <c r="U997" i="8" s="1"/>
  <c r="G141" i="5"/>
  <c r="U143" i="8" s="1"/>
  <c r="G582" i="5"/>
  <c r="U584" i="8" s="1"/>
  <c r="G603" i="5"/>
  <c r="U605" i="8" s="1"/>
  <c r="G263" i="5"/>
  <c r="U265" i="8" s="1"/>
  <c r="G211" i="5"/>
  <c r="U213" i="8" s="1"/>
  <c r="G140" i="5"/>
  <c r="U142" i="8" s="1"/>
  <c r="G696" i="5"/>
  <c r="U698" i="8" s="1"/>
  <c r="G765" i="5"/>
  <c r="U767" i="8" s="1"/>
  <c r="G654" i="5"/>
  <c r="U656" i="8" s="1"/>
  <c r="G734" i="5"/>
  <c r="U736" i="8" s="1"/>
  <c r="G880" i="5"/>
  <c r="U882" i="8" s="1"/>
  <c r="G213" i="5"/>
  <c r="U215" i="8" s="1"/>
  <c r="G447" i="5"/>
  <c r="U449" i="8" s="1"/>
  <c r="G440" i="5"/>
  <c r="U442" i="8" s="1"/>
  <c r="G538" i="5"/>
  <c r="U540" i="8" s="1"/>
  <c r="G362" i="5"/>
  <c r="U364" i="8" s="1"/>
  <c r="G740" i="5"/>
  <c r="U742" i="8" s="1"/>
  <c r="G967" i="5"/>
  <c r="U969" i="8" s="1"/>
  <c r="G432" i="5"/>
  <c r="U434" i="8" s="1"/>
  <c r="G253" i="5"/>
  <c r="U255" i="8" s="1"/>
  <c r="G965" i="5"/>
  <c r="U967" i="8" s="1"/>
  <c r="G626" i="5"/>
  <c r="U628" i="8" s="1"/>
  <c r="G983" i="5"/>
  <c r="U985" i="8" s="1"/>
  <c r="G282" i="5"/>
  <c r="U284" i="8" s="1"/>
  <c r="G283" i="5"/>
  <c r="U285" i="8" s="1"/>
  <c r="G758" i="5"/>
  <c r="U760" i="8" s="1"/>
  <c r="G929" i="5"/>
  <c r="U931" i="8" s="1"/>
  <c r="G379" i="5"/>
  <c r="U381" i="8" s="1"/>
  <c r="G770" i="5"/>
  <c r="U772" i="8" s="1"/>
  <c r="G777" i="5"/>
  <c r="U779" i="8" s="1"/>
  <c r="G653" i="5"/>
  <c r="U655" i="8" s="1"/>
  <c r="G908" i="5"/>
  <c r="U910" i="8" s="1"/>
  <c r="G275" i="5"/>
  <c r="U277" i="8" s="1"/>
  <c r="G27" i="5"/>
  <c r="U29" i="8" s="1"/>
  <c r="G125" i="5"/>
  <c r="U127" i="8" s="1"/>
  <c r="G373" i="5"/>
  <c r="U375" i="8" s="1"/>
  <c r="G147" i="5"/>
  <c r="U149" i="8" s="1"/>
  <c r="G613" i="5"/>
  <c r="U615" i="8" s="1"/>
  <c r="G736" i="5"/>
  <c r="U738" i="8" s="1"/>
  <c r="G911" i="5"/>
  <c r="U913" i="8" s="1"/>
  <c r="G67" i="5"/>
  <c r="U69" i="8" s="1"/>
  <c r="G388" i="5"/>
  <c r="U390" i="8" s="1"/>
  <c r="G842" i="5"/>
  <c r="U844" i="8" s="1"/>
  <c r="G472" i="5"/>
  <c r="U474" i="8" s="1"/>
  <c r="G326" i="5"/>
  <c r="U328" i="8" s="1"/>
  <c r="G853" i="5"/>
  <c r="U855" i="8" s="1"/>
  <c r="G904" i="5"/>
  <c r="U906" i="8" s="1"/>
  <c r="G705" i="5"/>
  <c r="U707" i="8" s="1"/>
  <c r="G581" i="5"/>
  <c r="U583" i="8" s="1"/>
  <c r="G21" i="5"/>
  <c r="U23" i="8" s="1"/>
  <c r="G669" i="5"/>
  <c r="U671" i="8" s="1"/>
  <c r="G752" i="5"/>
  <c r="U754" i="8" s="1"/>
  <c r="G355" i="5"/>
  <c r="U357" i="8" s="1"/>
  <c r="G831" i="5"/>
  <c r="U833" i="8" s="1"/>
  <c r="G744" i="5"/>
  <c r="U746" i="8" s="1"/>
  <c r="G446" i="5"/>
  <c r="U448" i="8" s="1"/>
  <c r="G808" i="5"/>
  <c r="U810" i="8" s="1"/>
  <c r="G869" i="5"/>
  <c r="U871" i="8" s="1"/>
  <c r="G288" i="5"/>
  <c r="U290" i="8" s="1"/>
  <c r="G703" i="5"/>
  <c r="U705" i="8" s="1"/>
  <c r="G430" i="5"/>
  <c r="U432" i="8" s="1"/>
  <c r="G385" i="5"/>
  <c r="U387" i="8" s="1"/>
  <c r="G565" i="5"/>
  <c r="U567" i="8" s="1"/>
  <c r="G522" i="5"/>
  <c r="U524" i="8" s="1"/>
  <c r="G245" i="5"/>
  <c r="U247" i="8" s="1"/>
  <c r="G13" i="5"/>
  <c r="U15" i="8" s="1"/>
  <c r="G117" i="5"/>
  <c r="U119" i="8" s="1"/>
  <c r="G837" i="5"/>
  <c r="U839" i="8" s="1"/>
  <c r="G386" i="5"/>
  <c r="U388" i="8" s="1"/>
  <c r="G99" i="5"/>
  <c r="U101" i="8" s="1"/>
  <c r="G121" i="5"/>
  <c r="U123" i="8" s="1"/>
  <c r="G671" i="5"/>
  <c r="U673" i="8" s="1"/>
  <c r="G418" i="5"/>
  <c r="U420" i="8" s="1"/>
  <c r="G721" i="5"/>
  <c r="U723" i="8" s="1"/>
  <c r="G269" i="5"/>
  <c r="U271" i="8" s="1"/>
  <c r="G879" i="5"/>
  <c r="U881" i="8" s="1"/>
  <c r="G986" i="5"/>
  <c r="U988" i="8" s="1"/>
  <c r="G344" i="5"/>
  <c r="U346" i="8" s="1"/>
  <c r="G667" i="5"/>
  <c r="U669" i="8" s="1"/>
  <c r="G97" i="5"/>
  <c r="U99" i="8" s="1"/>
  <c r="G207" i="5"/>
  <c r="U209" i="8" s="1"/>
  <c r="G41" i="5"/>
  <c r="U43" i="8" s="1"/>
  <c r="G35" i="5"/>
  <c r="U37" i="8" s="1"/>
  <c r="G200" i="5"/>
  <c r="U202" i="8" s="1"/>
  <c r="G680" i="5"/>
  <c r="U682" i="8" s="1"/>
  <c r="G92" i="5"/>
  <c r="U94" i="8" s="1"/>
  <c r="G766" i="5"/>
  <c r="U768" i="8" s="1"/>
  <c r="G534" i="5"/>
  <c r="U536" i="8" s="1"/>
  <c r="G604" i="5"/>
  <c r="U606" i="8" s="1"/>
  <c r="G620" i="5"/>
  <c r="U622" i="8" s="1"/>
  <c r="G707" i="5"/>
  <c r="U709" i="8" s="1"/>
  <c r="G724" i="5"/>
  <c r="U726" i="8" s="1"/>
  <c r="G963" i="5"/>
  <c r="U965" i="8" s="1"/>
  <c r="G250" i="5"/>
  <c r="U252" i="8" s="1"/>
  <c r="G743" i="5"/>
  <c r="U745" i="8" s="1"/>
  <c r="G298" i="5"/>
  <c r="U300" i="8" s="1"/>
  <c r="G692" i="5"/>
  <c r="U694" i="8" s="1"/>
  <c r="G124" i="5"/>
  <c r="U126" i="8" s="1"/>
  <c r="G32" i="5"/>
  <c r="U34" i="8" s="1"/>
  <c r="G183" i="5"/>
  <c r="U185" i="8" s="1"/>
  <c r="G437" i="5"/>
  <c r="U439" i="8" s="1"/>
  <c r="G867" i="5"/>
  <c r="U869" i="8" s="1"/>
  <c r="G973" i="5"/>
  <c r="U975" i="8" s="1"/>
  <c r="G528" i="5"/>
  <c r="U530" i="8" s="1"/>
  <c r="G657" i="5"/>
  <c r="U659" i="8" s="1"/>
  <c r="G495" i="5"/>
  <c r="U497" i="8" s="1"/>
  <c r="G33" i="3" a="1"/>
  <c r="G33" i="3" s="1"/>
  <c r="I33" i="3" s="1"/>
  <c r="AI890" i="8" l="1"/>
  <c r="AI499" i="8"/>
  <c r="AI39" i="8"/>
  <c r="AA612" i="8"/>
  <c r="G400" i="5"/>
  <c r="U402" i="8" s="1"/>
  <c r="G935" i="5"/>
  <c r="U937" i="8" s="1"/>
  <c r="AI682" i="8"/>
  <c r="AA662" i="8"/>
  <c r="N937" i="8"/>
  <c r="G497" i="5"/>
  <c r="U499" i="8" s="1"/>
  <c r="G376" i="5"/>
  <c r="U378" i="8" s="1"/>
  <c r="AA881" i="8"/>
  <c r="AA287" i="8"/>
  <c r="AA491" i="8"/>
  <c r="N306" i="8"/>
  <c r="N194" i="8"/>
  <c r="T890" i="8"/>
  <c r="G637" i="5"/>
  <c r="U639" i="8" s="1"/>
  <c r="N805" i="8"/>
  <c r="G24" i="5"/>
  <c r="U26" i="8" s="1"/>
  <c r="G150" i="5"/>
  <c r="U152" i="8" s="1"/>
  <c r="AI937" i="8"/>
  <c r="G798" i="5"/>
  <c r="U800" i="8" s="1"/>
  <c r="AI431" i="8"/>
  <c r="AA952" i="8"/>
  <c r="AI556" i="8"/>
  <c r="AI840" i="8"/>
  <c r="AA944" i="8"/>
  <c r="AI662" i="8"/>
  <c r="N682" i="8"/>
  <c r="T937" i="8"/>
  <c r="G442" i="5"/>
  <c r="U444" i="8" s="1"/>
  <c r="G481" i="5"/>
  <c r="U483" i="8" s="1"/>
  <c r="G226" i="5"/>
  <c r="U228" i="8" s="1"/>
  <c r="AI881" i="8"/>
  <c r="AI287" i="8"/>
  <c r="AI952" i="8"/>
  <c r="AI491" i="8"/>
  <c r="AI173" i="8"/>
  <c r="AI944" i="8"/>
  <c r="AA27" i="8"/>
  <c r="T710" i="8"/>
  <c r="N26" i="8"/>
  <c r="N281" i="8"/>
  <c r="N356" i="8"/>
  <c r="N556" i="8"/>
  <c r="N784" i="8"/>
  <c r="N30" i="8"/>
  <c r="N667" i="8"/>
  <c r="T194" i="8"/>
  <c r="AA499" i="8"/>
  <c r="G826" i="5"/>
  <c r="U828" i="8" s="1"/>
  <c r="N890" i="8"/>
  <c r="AI246" i="8"/>
  <c r="AA228" i="8"/>
  <c r="AI558" i="8"/>
  <c r="N246" i="8"/>
  <c r="AI612" i="8"/>
  <c r="T246" i="8"/>
  <c r="T805" i="8"/>
  <c r="G720" i="5"/>
  <c r="U722" i="8" s="1"/>
  <c r="G336" i="5"/>
  <c r="U338" i="8" s="1"/>
  <c r="G803" i="5"/>
  <c r="U805" i="8" s="1"/>
  <c r="G531" i="5"/>
  <c r="U533" i="8" s="1"/>
  <c r="G768" i="5"/>
  <c r="U770" i="8" s="1"/>
  <c r="AI700" i="8"/>
  <c r="AA26" i="8"/>
  <c r="AA720" i="8"/>
  <c r="AA454" i="8"/>
  <c r="AA792" i="8"/>
  <c r="T881" i="8"/>
  <c r="T26" i="8"/>
  <c r="N454" i="8"/>
  <c r="T784" i="8"/>
  <c r="T667" i="8"/>
  <c r="G188" i="5"/>
  <c r="U190" i="8" s="1"/>
  <c r="G28" i="5"/>
  <c r="U30" i="8" s="1"/>
  <c r="G464" i="5"/>
  <c r="U466" i="8" s="1"/>
  <c r="G315" i="5"/>
  <c r="U317" i="8" s="1"/>
  <c r="AA317" i="8"/>
  <c r="AA819" i="8"/>
  <c r="AA680" i="8"/>
  <c r="AA722" i="8"/>
  <c r="AA828" i="8"/>
  <c r="AI454" i="8"/>
  <c r="AI218" i="8"/>
  <c r="AI792" i="8"/>
  <c r="AA30" i="8"/>
  <c r="AA667" i="8"/>
  <c r="N738" i="8"/>
  <c r="T322" i="8"/>
  <c r="N92" i="8"/>
  <c r="N147" i="8"/>
  <c r="AA323" i="8"/>
  <c r="AA603" i="8"/>
  <c r="AA805" i="8"/>
  <c r="AI828" i="8"/>
  <c r="N533" i="8"/>
  <c r="N952" i="8"/>
  <c r="N491" i="8"/>
  <c r="N605" i="8"/>
  <c r="N180" i="8"/>
  <c r="T141" i="8"/>
  <c r="N499" i="8"/>
  <c r="T92" i="8"/>
  <c r="G611" i="5"/>
  <c r="U613" i="8" s="1"/>
  <c r="G678" i="5"/>
  <c r="U680" i="8" s="1"/>
  <c r="G950" i="5"/>
  <c r="U952" i="8" s="1"/>
  <c r="AI846" i="8"/>
  <c r="AI23" i="8"/>
  <c r="T503" i="8"/>
  <c r="T605" i="8"/>
  <c r="T180" i="8"/>
  <c r="N127" i="8"/>
  <c r="G871" i="5"/>
  <c r="U873" i="8" s="1"/>
  <c r="AA521" i="8"/>
  <c r="T873" i="8"/>
  <c r="AI521" i="8"/>
  <c r="N323" i="8"/>
  <c r="N643" i="8"/>
  <c r="G519" i="5"/>
  <c r="U521" i="8" s="1"/>
  <c r="AA873" i="8"/>
  <c r="T323" i="8"/>
  <c r="T159" i="8"/>
  <c r="G304" i="5"/>
  <c r="AB306" i="8" s="1"/>
  <c r="AI873" i="8"/>
  <c r="T281" i="8"/>
  <c r="G192" i="5"/>
  <c r="U194" i="8" s="1"/>
  <c r="G601" i="5"/>
  <c r="U603" i="8" s="1"/>
  <c r="G279" i="5"/>
  <c r="U281" i="8" s="1"/>
  <c r="AA639" i="8"/>
  <c r="AA19" i="8"/>
  <c r="AA165" i="8"/>
  <c r="AA504" i="8"/>
  <c r="T603" i="8"/>
  <c r="G321" i="5"/>
  <c r="G502" i="5"/>
  <c r="AB504" i="8" s="1"/>
  <c r="AI639" i="8"/>
  <c r="AI403" i="8"/>
  <c r="AI19" i="8"/>
  <c r="AI165" i="8"/>
  <c r="AA180" i="8"/>
  <c r="AA127" i="8"/>
  <c r="AI504" i="8"/>
  <c r="AA413" i="8"/>
  <c r="T127" i="8"/>
  <c r="G109" i="5"/>
  <c r="T504" i="8"/>
  <c r="G512" i="5"/>
  <c r="U514" i="8" s="1"/>
  <c r="AA141" i="8"/>
  <c r="AA258" i="8"/>
  <c r="AI560" i="8"/>
  <c r="AA605" i="8"/>
  <c r="N639" i="8"/>
  <c r="N515" i="8"/>
  <c r="N840" i="8"/>
  <c r="N371" i="8"/>
  <c r="T845" i="8"/>
  <c r="T992" i="8"/>
  <c r="N521" i="8"/>
  <c r="G231" i="5"/>
  <c r="H231" i="5" s="1"/>
  <c r="G838" i="5"/>
  <c r="AJ840" i="8" s="1"/>
  <c r="G256" i="5"/>
  <c r="U258" i="8" s="1"/>
  <c r="AA431" i="8"/>
  <c r="AA815" i="8"/>
  <c r="AA714" i="8"/>
  <c r="AI800" i="8"/>
  <c r="N759" i="8"/>
  <c r="T371" i="8"/>
  <c r="T264" i="8"/>
  <c r="G397" i="5"/>
  <c r="AJ399" i="8" s="1"/>
  <c r="AA399" i="8"/>
  <c r="AI359" i="8"/>
  <c r="N359" i="8"/>
  <c r="AI17" i="8"/>
  <c r="G15" i="5"/>
  <c r="U17" i="8" s="1"/>
  <c r="AI226" i="8"/>
  <c r="T226" i="8"/>
  <c r="G224" i="5"/>
  <c r="U226" i="8" s="1"/>
  <c r="N226" i="8"/>
  <c r="AA642" i="8"/>
  <c r="AI642" i="8"/>
  <c r="AI634" i="8"/>
  <c r="T634" i="8"/>
  <c r="N634" i="8"/>
  <c r="G632" i="5"/>
  <c r="AA856" i="8"/>
  <c r="G854" i="5"/>
  <c r="U856" i="8" s="1"/>
  <c r="AI590" i="8"/>
  <c r="T590" i="8"/>
  <c r="N590" i="8"/>
  <c r="AA590" i="8"/>
  <c r="AA857" i="8"/>
  <c r="G855" i="5"/>
  <c r="U857" i="8" s="1"/>
  <c r="T857" i="8"/>
  <c r="N857" i="8"/>
  <c r="N459" i="8"/>
  <c r="T459" i="8"/>
  <c r="AA459" i="8"/>
  <c r="G457" i="5"/>
  <c r="U459" i="8" s="1"/>
  <c r="AI459" i="8"/>
  <c r="T108" i="8"/>
  <c r="N108" i="8"/>
  <c r="G106" i="5"/>
  <c r="U108" i="8" s="1"/>
  <c r="AI108" i="8"/>
  <c r="AA135" i="8"/>
  <c r="G133" i="5"/>
  <c r="AI135" i="8"/>
  <c r="T135" i="8"/>
  <c r="N53" i="8"/>
  <c r="AI53" i="8"/>
  <c r="AA53" i="8"/>
  <c r="G51" i="5"/>
  <c r="U53" i="8" s="1"/>
  <c r="T468" i="8"/>
  <c r="N468" i="8"/>
  <c r="T924" i="8"/>
  <c r="G922" i="5"/>
  <c r="U924" i="8" s="1"/>
  <c r="G884" i="5"/>
  <c r="U886" i="8" s="1"/>
  <c r="T886" i="8"/>
  <c r="N886" i="8"/>
  <c r="AI327" i="8"/>
  <c r="T327" i="8"/>
  <c r="G325" i="5"/>
  <c r="U327" i="8" s="1"/>
  <c r="T158" i="8"/>
  <c r="G156" i="5"/>
  <c r="U158" i="8" s="1"/>
  <c r="T85" i="8"/>
  <c r="G83" i="5"/>
  <c r="U85" i="8" s="1"/>
  <c r="T222" i="8"/>
  <c r="AI222" i="8"/>
  <c r="G574" i="5"/>
  <c r="U576" i="8" s="1"/>
  <c r="AA576" i="8"/>
  <c r="T576" i="8"/>
  <c r="N576" i="8"/>
  <c r="AA938" i="8"/>
  <c r="G936" i="5"/>
  <c r="U938" i="8" s="1"/>
  <c r="N938" i="8"/>
  <c r="AI684" i="8"/>
  <c r="N684" i="8"/>
  <c r="AI460" i="8"/>
  <c r="G458" i="5"/>
  <c r="U460" i="8" s="1"/>
  <c r="G762" i="5"/>
  <c r="U764" i="8" s="1"/>
  <c r="T764" i="8"/>
  <c r="AA764" i="8"/>
  <c r="N764" i="8"/>
  <c r="T11" i="8"/>
  <c r="AA11" i="8"/>
  <c r="AI11" i="8"/>
  <c r="G9" i="5"/>
  <c r="U11" i="8" s="1"/>
  <c r="T244" i="8"/>
  <c r="AI244" i="8"/>
  <c r="G242" i="5"/>
  <c r="U244" i="8" s="1"/>
  <c r="N728" i="8"/>
  <c r="T728" i="8"/>
  <c r="G726" i="5"/>
  <c r="U728" i="8" s="1"/>
  <c r="T555" i="8"/>
  <c r="AI555" i="8"/>
  <c r="G553" i="5"/>
  <c r="AA193" i="8"/>
  <c r="G191" i="5"/>
  <c r="U193" i="8" s="1"/>
  <c r="AI193" i="8"/>
  <c r="AI517" i="8"/>
  <c r="G515" i="5"/>
  <c r="U517" i="8" s="1"/>
  <c r="AI798" i="8"/>
  <c r="AA798" i="8"/>
  <c r="AI996" i="8"/>
  <c r="AA996" i="8"/>
  <c r="N996" i="8"/>
  <c r="G994" i="5"/>
  <c r="AB996" i="8" s="1"/>
  <c r="G248" i="5"/>
  <c r="T250" i="8"/>
  <c r="N250" i="8"/>
  <c r="AI250" i="8"/>
  <c r="AA250" i="8"/>
  <c r="N532" i="8"/>
  <c r="T532" i="8"/>
  <c r="AI532" i="8"/>
  <c r="AA532" i="8"/>
  <c r="G530" i="5"/>
  <c r="U532" i="8" s="1"/>
  <c r="AA370" i="8"/>
  <c r="T370" i="8"/>
  <c r="N370" i="8"/>
  <c r="AI370" i="8"/>
  <c r="AI588" i="8"/>
  <c r="T588" i="8"/>
  <c r="AA588" i="8"/>
  <c r="G586" i="5"/>
  <c r="U588" i="8" s="1"/>
  <c r="N588" i="8"/>
  <c r="T360" i="8"/>
  <c r="N360" i="8"/>
  <c r="AI360" i="8"/>
  <c r="AA360" i="8"/>
  <c r="G358" i="5"/>
  <c r="T422" i="8"/>
  <c r="AI422" i="8"/>
  <c r="N422" i="8"/>
  <c r="AA422" i="8"/>
  <c r="G454" i="5"/>
  <c r="U456" i="8" s="1"/>
  <c r="N480" i="8"/>
  <c r="T480" i="8"/>
  <c r="N178" i="8"/>
  <c r="T178" i="8"/>
  <c r="AA178" i="8"/>
  <c r="G176" i="5"/>
  <c r="AB178" i="8" s="1"/>
  <c r="T663" i="8"/>
  <c r="N663" i="8"/>
  <c r="T579" i="8"/>
  <c r="N579" i="8"/>
  <c r="N73" i="8"/>
  <c r="AI73" i="8"/>
  <c r="AI627" i="8"/>
  <c r="T627" i="8"/>
  <c r="N627" i="8"/>
  <c r="AA953" i="8"/>
  <c r="G951" i="5"/>
  <c r="U953" i="8" s="1"/>
  <c r="AI124" i="8"/>
  <c r="AA124" i="8"/>
  <c r="G122" i="5"/>
  <c r="U124" i="8" s="1"/>
  <c r="AA854" i="8"/>
  <c r="G852" i="5"/>
  <c r="U854" i="8" s="1"/>
  <c r="AI854" i="8"/>
  <c r="T854" i="8"/>
  <c r="G365" i="5"/>
  <c r="U367" i="8" s="1"/>
  <c r="T367" i="8"/>
  <c r="AA367" i="8"/>
  <c r="AI367" i="8"/>
  <c r="N577" i="8"/>
  <c r="T577" i="8"/>
  <c r="AI77" i="8"/>
  <c r="T77" i="8"/>
  <c r="G276" i="5"/>
  <c r="U278" i="8" s="1"/>
  <c r="AI278" i="8"/>
  <c r="AA278" i="8"/>
  <c r="T234" i="8"/>
  <c r="N234" i="8"/>
  <c r="AI234" i="8"/>
  <c r="AA234" i="8"/>
  <c r="G232" i="5"/>
  <c r="U234" i="8" s="1"/>
  <c r="AI297" i="8"/>
  <c r="G295" i="5"/>
  <c r="T288" i="8"/>
  <c r="N288" i="8"/>
  <c r="AI288" i="8"/>
  <c r="G375" i="5"/>
  <c r="U377" i="8" s="1"/>
  <c r="T377" i="8"/>
  <c r="AA377" i="8"/>
  <c r="N377" i="8"/>
  <c r="AI377" i="8"/>
  <c r="N130" i="8"/>
  <c r="AA130" i="8"/>
  <c r="AI130" i="8"/>
  <c r="T130" i="8"/>
  <c r="G128" i="5"/>
  <c r="U130" i="8" s="1"/>
  <c r="AA918" i="8"/>
  <c r="N918" i="8"/>
  <c r="AI918" i="8"/>
  <c r="T918" i="8"/>
  <c r="G916" i="5"/>
  <c r="U918" i="8" s="1"/>
  <c r="G462" i="5"/>
  <c r="U464" i="8" s="1"/>
  <c r="T464" i="8"/>
  <c r="N464" i="8"/>
  <c r="T803" i="8"/>
  <c r="AI803" i="8"/>
  <c r="N803" i="8"/>
  <c r="N373" i="8"/>
  <c r="G371" i="5"/>
  <c r="AB373" i="8" s="1"/>
  <c r="T373" i="8"/>
  <c r="T902" i="8"/>
  <c r="AI902" i="8"/>
  <c r="N902" i="8"/>
  <c r="AA902" i="8"/>
  <c r="AI568" i="8"/>
  <c r="AA568" i="8"/>
  <c r="G566" i="5"/>
  <c r="U568" i="8" s="1"/>
  <c r="T752" i="8"/>
  <c r="N752" i="8"/>
  <c r="AI747" i="8"/>
  <c r="AA747" i="8"/>
  <c r="T747" i="8"/>
  <c r="N747" i="8"/>
  <c r="G745" i="5"/>
  <c r="U747" i="8" s="1"/>
  <c r="AA737" i="8"/>
  <c r="N642" i="8"/>
  <c r="N829" i="8"/>
  <c r="AA829" i="8"/>
  <c r="T829" i="8"/>
  <c r="T860" i="8"/>
  <c r="AA860" i="8"/>
  <c r="G858" i="5"/>
  <c r="AJ860" i="8" s="1"/>
  <c r="AI860" i="8"/>
  <c r="N945" i="8"/>
  <c r="G943" i="5"/>
  <c r="U945" i="8" s="1"/>
  <c r="AA945" i="8"/>
  <c r="T945" i="8"/>
  <c r="T1005" i="8"/>
  <c r="AI1005" i="8"/>
  <c r="AA1005" i="8"/>
  <c r="N1005" i="8"/>
  <c r="G1003" i="5"/>
  <c r="U1005" i="8" s="1"/>
  <c r="N309" i="8"/>
  <c r="T309" i="8"/>
  <c r="AI309" i="8"/>
  <c r="G307" i="5"/>
  <c r="AA309" i="8"/>
  <c r="AI624" i="8"/>
  <c r="N624" i="8"/>
  <c r="G622" i="5"/>
  <c r="U624" i="8" s="1"/>
  <c r="AA624" i="8"/>
  <c r="T624" i="8"/>
  <c r="N409" i="8"/>
  <c r="AI409" i="8"/>
  <c r="AA409" i="8"/>
  <c r="N843" i="8"/>
  <c r="AA843" i="8"/>
  <c r="AI843" i="8"/>
  <c r="AI113" i="8"/>
  <c r="AA113" i="8"/>
  <c r="N113" i="8"/>
  <c r="G111" i="5"/>
  <c r="U113" i="8" s="1"/>
  <c r="AI668" i="8"/>
  <c r="AA668" i="8"/>
  <c r="T207" i="8"/>
  <c r="N207" i="8"/>
  <c r="G205" i="5"/>
  <c r="U207" i="8" s="1"/>
  <c r="AI637" i="8"/>
  <c r="AA637" i="8"/>
  <c r="G635" i="5"/>
  <c r="U637" i="8" s="1"/>
  <c r="T637" i="8"/>
  <c r="N637" i="8"/>
  <c r="T186" i="8"/>
  <c r="N186" i="8"/>
  <c r="AA186" i="8"/>
  <c r="G184" i="5"/>
  <c r="U186" i="8" s="1"/>
  <c r="AI329" i="8"/>
  <c r="N329" i="8"/>
  <c r="AA329" i="8"/>
  <c r="T329" i="8"/>
  <c r="AI84" i="8"/>
  <c r="AA84" i="8"/>
  <c r="G82" i="5"/>
  <c r="U84" i="8" s="1"/>
  <c r="N84" i="8"/>
  <c r="T84" i="8"/>
  <c r="T559" i="8"/>
  <c r="AA559" i="8"/>
  <c r="N559" i="8"/>
  <c r="G557" i="5"/>
  <c r="U559" i="8" s="1"/>
  <c r="AI559" i="8"/>
  <c r="N484" i="8"/>
  <c r="AI484" i="8"/>
  <c r="G482" i="5"/>
  <c r="AJ484" i="8" s="1"/>
  <c r="T484" i="8"/>
  <c r="AA484" i="8"/>
  <c r="T956" i="8"/>
  <c r="N956" i="8"/>
  <c r="AI956" i="8"/>
  <c r="AA956" i="8"/>
  <c r="T702" i="8"/>
  <c r="N702" i="8"/>
  <c r="G700" i="5"/>
  <c r="U702" i="8" s="1"/>
  <c r="AI701" i="8"/>
  <c r="AA701" i="8"/>
  <c r="T701" i="8"/>
  <c r="G699" i="5"/>
  <c r="AI253" i="8"/>
  <c r="AA253" i="8"/>
  <c r="T253" i="8"/>
  <c r="T819" i="8"/>
  <c r="G817" i="5"/>
  <c r="U819" i="8" s="1"/>
  <c r="N819" i="8"/>
  <c r="G88" i="5"/>
  <c r="U90" i="8" s="1"/>
  <c r="G368" i="5"/>
  <c r="U370" i="8" s="1"/>
  <c r="AA959" i="8"/>
  <c r="AI737" i="8"/>
  <c r="AI229" i="8"/>
  <c r="AI857" i="8"/>
  <c r="AA90" i="8"/>
  <c r="N822" i="8"/>
  <c r="N860" i="8"/>
  <c r="T856" i="8"/>
  <c r="N367" i="8"/>
  <c r="G698" i="5"/>
  <c r="U700" i="8" s="1"/>
  <c r="G327" i="5"/>
  <c r="U329" i="8" s="1"/>
  <c r="AI959" i="8"/>
  <c r="AI205" i="8"/>
  <c r="AI90" i="8"/>
  <c r="AA526" i="8"/>
  <c r="N852" i="8"/>
  <c r="N557" i="8"/>
  <c r="N77" i="8"/>
  <c r="G732" i="5"/>
  <c r="U734" i="8" s="1"/>
  <c r="G220" i="5"/>
  <c r="AJ222" i="8" s="1"/>
  <c r="AA59" i="8"/>
  <c r="AA924" i="8"/>
  <c r="AA108" i="8"/>
  <c r="N700" i="8"/>
  <c r="AI987" i="8"/>
  <c r="G985" i="5"/>
  <c r="H985" i="5" s="1"/>
  <c r="AA692" i="8"/>
  <c r="T692" i="8"/>
  <c r="N692" i="8"/>
  <c r="T647" i="8"/>
  <c r="G645" i="5"/>
  <c r="U647" i="8" s="1"/>
  <c r="N629" i="8"/>
  <c r="AA629" i="8"/>
  <c r="AI629" i="8"/>
  <c r="G627" i="5"/>
  <c r="U629" i="8" s="1"/>
  <c r="G101" i="5"/>
  <c r="U103" i="8" s="1"/>
  <c r="N103" i="8"/>
  <c r="AA103" i="8"/>
  <c r="AI153" i="8"/>
  <c r="G151" i="5"/>
  <c r="AB153" i="8" s="1"/>
  <c r="N153" i="8"/>
  <c r="G877" i="5"/>
  <c r="U879" i="8" s="1"/>
  <c r="AI879" i="8"/>
  <c r="AA879" i="8"/>
  <c r="AI608" i="8"/>
  <c r="T608" i="8"/>
  <c r="N608" i="8"/>
  <c r="AA608" i="8"/>
  <c r="G606" i="5"/>
  <c r="H606" i="5" s="1"/>
  <c r="AI554" i="8"/>
  <c r="G552" i="5"/>
  <c r="T554" i="8"/>
  <c r="N554" i="8"/>
  <c r="T957" i="8"/>
  <c r="AA957" i="8"/>
  <c r="AI527" i="8"/>
  <c r="N527" i="8"/>
  <c r="T527" i="8"/>
  <c r="N135" i="8"/>
  <c r="AA654" i="8"/>
  <c r="G652" i="5"/>
  <c r="U654" i="8" s="1"/>
  <c r="AI654" i="8"/>
  <c r="N654" i="8"/>
  <c r="G568" i="5"/>
  <c r="U570" i="8" s="1"/>
  <c r="AI570" i="8"/>
  <c r="G342" i="5"/>
  <c r="U344" i="8" s="1"/>
  <c r="N344" i="8"/>
  <c r="G641" i="5"/>
  <c r="AA643" i="8"/>
  <c r="AA214" i="8"/>
  <c r="AI214" i="8"/>
  <c r="N214" i="8"/>
  <c r="G212" i="5"/>
  <c r="G769" i="5"/>
  <c r="AB771" i="8" s="1"/>
  <c r="T771" i="8"/>
  <c r="N771" i="8"/>
  <c r="AA771" i="8"/>
  <c r="AI330" i="8"/>
  <c r="G328" i="5"/>
  <c r="U330" i="8" s="1"/>
  <c r="T330" i="8"/>
  <c r="AA330" i="8"/>
  <c r="AI132" i="8"/>
  <c r="G130" i="5"/>
  <c r="U132" i="8" s="1"/>
  <c r="N132" i="8"/>
  <c r="AI991" i="8"/>
  <c r="G989" i="5"/>
  <c r="T580" i="8"/>
  <c r="G578" i="5"/>
  <c r="AA580" i="8"/>
  <c r="T808" i="8"/>
  <c r="AA808" i="8"/>
  <c r="T372" i="8"/>
  <c r="G370" i="5"/>
  <c r="U372" i="8" s="1"/>
  <c r="G957" i="5"/>
  <c r="U959" i="8" s="1"/>
  <c r="N959" i="8"/>
  <c r="AI542" i="8"/>
  <c r="G540" i="5"/>
  <c r="AB542" i="8" s="1"/>
  <c r="T936" i="8"/>
  <c r="G934" i="5"/>
  <c r="AA974" i="8"/>
  <c r="AI974" i="8"/>
  <c r="G972" i="5"/>
  <c r="U974" i="8" s="1"/>
  <c r="AI382" i="8"/>
  <c r="N382" i="8"/>
  <c r="AI195" i="8"/>
  <c r="G193" i="5"/>
  <c r="U195" i="8" s="1"/>
  <c r="T145" i="8"/>
  <c r="AI145" i="8"/>
  <c r="T275" i="8"/>
  <c r="AI275" i="8"/>
  <c r="AA275" i="8"/>
  <c r="G273" i="5"/>
  <c r="T657" i="8"/>
  <c r="AI657" i="8"/>
  <c r="AA657" i="8"/>
  <c r="T150" i="8"/>
  <c r="N150" i="8"/>
  <c r="AA150" i="8"/>
  <c r="G148" i="5"/>
  <c r="U150" i="8" s="1"/>
  <c r="T888" i="8"/>
  <c r="AA888" i="8"/>
  <c r="G886" i="5"/>
  <c r="H886" i="5" s="1"/>
  <c r="AI888" i="8"/>
  <c r="T417" i="8"/>
  <c r="AA417" i="8"/>
  <c r="AI490" i="8"/>
  <c r="AA490" i="8"/>
  <c r="G488" i="5"/>
  <c r="U490" i="8" s="1"/>
  <c r="AI230" i="8"/>
  <c r="AA230" i="8"/>
  <c r="G228" i="5"/>
  <c r="U230" i="8" s="1"/>
  <c r="N230" i="8"/>
  <c r="AI416" i="8"/>
  <c r="AA416" i="8"/>
  <c r="G414" i="5"/>
  <c r="T416" i="8"/>
  <c r="N416" i="8"/>
  <c r="AI514" i="8"/>
  <c r="AA514" i="8"/>
  <c r="T514" i="8"/>
  <c r="T365" i="8"/>
  <c r="AI365" i="8"/>
  <c r="G363" i="5"/>
  <c r="U365" i="8" s="1"/>
  <c r="AA365" i="8"/>
  <c r="G16" i="5"/>
  <c r="AA18" i="8"/>
  <c r="N18" i="8"/>
  <c r="AI18" i="8"/>
  <c r="T38" i="8"/>
  <c r="AI38" i="8"/>
  <c r="G36" i="5"/>
  <c r="U38" i="8" s="1"/>
  <c r="AA38" i="8"/>
  <c r="T633" i="8"/>
  <c r="N633" i="8"/>
  <c r="AI633" i="8"/>
  <c r="AA633" i="8"/>
  <c r="AA741" i="8"/>
  <c r="T741" i="8"/>
  <c r="N741" i="8"/>
  <c r="G57" i="5"/>
  <c r="T59" i="8"/>
  <c r="N59" i="8"/>
  <c r="G631" i="5"/>
  <c r="U633" i="8" s="1"/>
  <c r="G155" i="5"/>
  <c r="U157" i="8" s="1"/>
  <c r="AA460" i="8"/>
  <c r="T446" i="8"/>
  <c r="G881" i="5"/>
  <c r="U883" i="8" s="1"/>
  <c r="T883" i="8"/>
  <c r="N883" i="8"/>
  <c r="AI883" i="8"/>
  <c r="AA883" i="8"/>
  <c r="T635" i="8"/>
  <c r="AI635" i="8"/>
  <c r="N635" i="8"/>
  <c r="G633" i="5"/>
  <c r="U635" i="8" s="1"/>
  <c r="AA635" i="8"/>
  <c r="G715" i="5"/>
  <c r="U717" i="8" s="1"/>
  <c r="N717" i="8"/>
  <c r="AI118" i="8"/>
  <c r="AA118" i="8"/>
  <c r="N118" i="8"/>
  <c r="AI539" i="8"/>
  <c r="G537" i="5"/>
  <c r="U539" i="8" s="1"/>
  <c r="AA196" i="8"/>
  <c r="N196" i="8"/>
  <c r="G493" i="5"/>
  <c r="U495" i="8" s="1"/>
  <c r="N495" i="8"/>
  <c r="AI949" i="8"/>
  <c r="T949" i="8"/>
  <c r="AA949" i="8"/>
  <c r="N949" i="8"/>
  <c r="AI826" i="8"/>
  <c r="G824" i="5"/>
  <c r="AB826" i="8" s="1"/>
  <c r="AA826" i="8"/>
  <c r="T826" i="8"/>
  <c r="N826" i="8"/>
  <c r="G850" i="5"/>
  <c r="U852" i="8" s="1"/>
  <c r="AI852" i="8"/>
  <c r="AA653" i="8"/>
  <c r="N653" i="8"/>
  <c r="G651" i="5"/>
  <c r="U653" i="8" s="1"/>
  <c r="AI653" i="8"/>
  <c r="T653" i="8"/>
  <c r="G982" i="5"/>
  <c r="U984" i="8" s="1"/>
  <c r="T984" i="8"/>
  <c r="N984" i="8"/>
  <c r="AI951" i="8"/>
  <c r="AA951" i="8"/>
  <c r="G949" i="5"/>
  <c r="U951" i="8" s="1"/>
  <c r="N951" i="8"/>
  <c r="G844" i="5"/>
  <c r="U846" i="8" s="1"/>
  <c r="T846" i="8"/>
  <c r="N846" i="8"/>
  <c r="AI750" i="8"/>
  <c r="AA750" i="8"/>
  <c r="T636" i="8"/>
  <c r="AI636" i="8"/>
  <c r="N636" i="8"/>
  <c r="AA989" i="8"/>
  <c r="T989" i="8"/>
  <c r="N989" i="8"/>
  <c r="AI989" i="8"/>
  <c r="T510" i="8"/>
  <c r="AI510" i="8"/>
  <c r="AA510" i="8"/>
  <c r="T598" i="8"/>
  <c r="AA598" i="8"/>
  <c r="G596" i="5"/>
  <c r="U598" i="8" s="1"/>
  <c r="N598" i="8"/>
  <c r="T758" i="8"/>
  <c r="N758" i="8"/>
  <c r="AI758" i="8"/>
  <c r="AA758" i="8"/>
  <c r="G756" i="5"/>
  <c r="U758" i="8" s="1"/>
  <c r="N820" i="8"/>
  <c r="G818" i="5"/>
  <c r="AJ820" i="8" s="1"/>
  <c r="T820" i="8"/>
  <c r="AI241" i="8"/>
  <c r="G239" i="5"/>
  <c r="U241" i="8" s="1"/>
  <c r="AA241" i="8"/>
  <c r="AI318" i="8"/>
  <c r="G316" i="5"/>
  <c r="AB318" i="8" s="1"/>
  <c r="T318" i="8"/>
  <c r="N318" i="8"/>
  <c r="T376" i="8"/>
  <c r="N376" i="8"/>
  <c r="AA376" i="8"/>
  <c r="AI376" i="8"/>
  <c r="AI557" i="8"/>
  <c r="AA557" i="8"/>
  <c r="G555" i="5"/>
  <c r="U557" i="8" s="1"/>
  <c r="N13" i="8"/>
  <c r="T13" i="8"/>
  <c r="AI13" i="8"/>
  <c r="AA13" i="8"/>
  <c r="T440" i="8"/>
  <c r="AA440" i="8"/>
  <c r="G438" i="5"/>
  <c r="U440" i="8" s="1"/>
  <c r="N440" i="8"/>
  <c r="AI361" i="8"/>
  <c r="AA361" i="8"/>
  <c r="N361" i="8"/>
  <c r="T361" i="8"/>
  <c r="G359" i="5"/>
  <c r="U361" i="8" s="1"/>
  <c r="AI743" i="8"/>
  <c r="AA743" i="8"/>
  <c r="T743" i="8"/>
  <c r="G739" i="5"/>
  <c r="U741" i="8" s="1"/>
  <c r="T798" i="8"/>
  <c r="N856" i="8"/>
  <c r="T597" i="8"/>
  <c r="G595" i="5"/>
  <c r="U597" i="8" s="1"/>
  <c r="N597" i="8"/>
  <c r="N553" i="8"/>
  <c r="T553" i="8"/>
  <c r="AI1006" i="8"/>
  <c r="G1004" i="5"/>
  <c r="H1004" i="5" s="1"/>
  <c r="N1006" i="8"/>
  <c r="N842" i="8"/>
  <c r="G840" i="5"/>
  <c r="AI842" i="8"/>
  <c r="N935" i="8"/>
  <c r="T935" i="8"/>
  <c r="AA935" i="8"/>
  <c r="T35" i="8"/>
  <c r="G33" i="5"/>
  <c r="U35" i="8" s="1"/>
  <c r="N35" i="8"/>
  <c r="N114" i="8"/>
  <c r="T114" i="8"/>
  <c r="AA114" i="8"/>
  <c r="N670" i="8"/>
  <c r="G668" i="5"/>
  <c r="U670" i="8" s="1"/>
  <c r="AI670" i="8"/>
  <c r="AA670" i="8"/>
  <c r="N218" i="8"/>
  <c r="AA218" i="8"/>
  <c r="G216" i="5"/>
  <c r="U218" i="8" s="1"/>
  <c r="T60" i="8"/>
  <c r="N60" i="8"/>
  <c r="AI60" i="8"/>
  <c r="AA60" i="8"/>
  <c r="T948" i="8"/>
  <c r="AI948" i="8"/>
  <c r="N948" i="8"/>
  <c r="AA948" i="8"/>
  <c r="G946" i="5"/>
  <c r="U948" i="8" s="1"/>
  <c r="N254" i="8"/>
  <c r="G252" i="5"/>
  <c r="AJ254" i="8" s="1"/>
  <c r="AI254" i="8"/>
  <c r="AA254" i="8"/>
  <c r="G961" i="5"/>
  <c r="U963" i="8" s="1"/>
  <c r="T963" i="8"/>
  <c r="AI963" i="8"/>
  <c r="AA963" i="8"/>
  <c r="T394" i="8"/>
  <c r="N394" i="8"/>
  <c r="AA394" i="8"/>
  <c r="AI394" i="8"/>
  <c r="N61" i="8"/>
  <c r="T61" i="8"/>
  <c r="AA61" i="8"/>
  <c r="AI61" i="8"/>
  <c r="G59" i="5"/>
  <c r="U61" i="8" s="1"/>
  <c r="AA349" i="8"/>
  <c r="N349" i="8"/>
  <c r="T349" i="8"/>
  <c r="G347" i="5"/>
  <c r="T340" i="8"/>
  <c r="AI340" i="8"/>
  <c r="AA340" i="8"/>
  <c r="N134" i="8"/>
  <c r="AA134" i="8"/>
  <c r="T134" i="8"/>
  <c r="G132" i="5"/>
  <c r="U134" i="8" s="1"/>
  <c r="AI134" i="8"/>
  <c r="T282" i="8"/>
  <c r="N282" i="8"/>
  <c r="AI282" i="8"/>
  <c r="AA282" i="8"/>
  <c r="N526" i="8"/>
  <c r="G524" i="5"/>
  <c r="U526" i="8" s="1"/>
  <c r="AA494" i="8"/>
  <c r="G492" i="5"/>
  <c r="U494" i="8" s="1"/>
  <c r="AI494" i="8"/>
  <c r="T94" i="8"/>
  <c r="N94" i="8"/>
  <c r="AI94" i="8"/>
  <c r="AA94" i="8"/>
  <c r="G463" i="5"/>
  <c r="AJ465" i="8" s="1"/>
  <c r="T465" i="8"/>
  <c r="AI465" i="8"/>
  <c r="N465" i="8"/>
  <c r="AA465" i="8"/>
  <c r="AI751" i="8"/>
  <c r="AA751" i="8"/>
  <c r="N751" i="8"/>
  <c r="T751" i="8"/>
  <c r="AI115" i="8"/>
  <c r="T115" i="8"/>
  <c r="AA115" i="8"/>
  <c r="G113" i="5"/>
  <c r="AJ115" i="8" s="1"/>
  <c r="N115" i="8"/>
  <c r="N604" i="8"/>
  <c r="AA604" i="8"/>
  <c r="AI604" i="8"/>
  <c r="AI835" i="8"/>
  <c r="T835" i="8"/>
  <c r="N835" i="8"/>
  <c r="AA835" i="8"/>
  <c r="G833" i="5"/>
  <c r="U835" i="8" s="1"/>
  <c r="AI333" i="8"/>
  <c r="N333" i="8"/>
  <c r="G331" i="5"/>
  <c r="U333" i="8" s="1"/>
  <c r="AA333" i="8"/>
  <c r="T333" i="8"/>
  <c r="G11" i="5"/>
  <c r="U13" i="8" s="1"/>
  <c r="G588" i="5"/>
  <c r="U590" i="8" s="1"/>
  <c r="G551" i="5"/>
  <c r="U553" i="8" s="1"/>
  <c r="G708" i="5"/>
  <c r="U710" i="8" s="1"/>
  <c r="G987" i="5"/>
  <c r="U989" i="8" s="1"/>
  <c r="G666" i="5"/>
  <c r="U668" i="8" s="1"/>
  <c r="AI945" i="8"/>
  <c r="AI935" i="8"/>
  <c r="AI159" i="8"/>
  <c r="T700" i="8"/>
  <c r="N253" i="8"/>
  <c r="N244" i="8"/>
  <c r="N701" i="8"/>
  <c r="T113" i="8"/>
  <c r="G227" i="5"/>
  <c r="U229" i="8" s="1"/>
  <c r="G741" i="5"/>
  <c r="U743" i="8" s="1"/>
  <c r="G602" i="5"/>
  <c r="U604" i="8" s="1"/>
  <c r="AA803" i="8"/>
  <c r="AA820" i="8"/>
  <c r="AA752" i="8"/>
  <c r="AI994" i="8"/>
  <c r="T843" i="8"/>
  <c r="N568" i="8"/>
  <c r="N565" i="8"/>
  <c r="G251" i="5"/>
  <c r="U253" i="8" s="1"/>
  <c r="G508" i="5"/>
  <c r="U510" i="8" s="1"/>
  <c r="G203" i="5"/>
  <c r="U205" i="8" s="1"/>
  <c r="G933" i="5"/>
  <c r="U935" i="8" s="1"/>
  <c r="G420" i="5"/>
  <c r="G801" i="5"/>
  <c r="U803" i="8" s="1"/>
  <c r="AI820" i="8"/>
  <c r="AA464" i="8"/>
  <c r="AA983" i="8"/>
  <c r="AI598" i="8"/>
  <c r="AA207" i="8"/>
  <c r="AI752" i="8"/>
  <c r="AI710" i="8"/>
  <c r="AI808" i="8"/>
  <c r="N808" i="8"/>
  <c r="N297" i="8"/>
  <c r="T568" i="8"/>
  <c r="N743" i="8"/>
  <c r="T526" i="8"/>
  <c r="G392" i="5"/>
  <c r="U394" i="8" s="1"/>
  <c r="G112" i="5"/>
  <c r="U114" i="8" s="1"/>
  <c r="G407" i="5"/>
  <c r="AJ409" i="8" s="1"/>
  <c r="G900" i="5"/>
  <c r="G749" i="5"/>
  <c r="AA145" i="8"/>
  <c r="AI464" i="8"/>
  <c r="AI983" i="8"/>
  <c r="AA702" i="8"/>
  <c r="AI764" i="8"/>
  <c r="AI207" i="8"/>
  <c r="AI741" i="8"/>
  <c r="N710" i="8"/>
  <c r="T53" i="8"/>
  <c r="N159" i="8"/>
  <c r="N490" i="8"/>
  <c r="N594" i="8"/>
  <c r="G592" i="5"/>
  <c r="U594" i="8" s="1"/>
  <c r="T516" i="8"/>
  <c r="N516" i="8"/>
  <c r="AI516" i="8"/>
  <c r="N267" i="8"/>
  <c r="AI267" i="8"/>
  <c r="AI225" i="8"/>
  <c r="G223" i="5"/>
  <c r="U225" i="8" s="1"/>
  <c r="N519" i="8"/>
  <c r="AA519" i="8"/>
  <c r="G517" i="5"/>
  <c r="G274" i="5"/>
  <c r="U276" i="8" s="1"/>
  <c r="T276" i="8"/>
  <c r="N276" i="8"/>
  <c r="AA697" i="8"/>
  <c r="G695" i="5"/>
  <c r="U697" i="8" s="1"/>
  <c r="G597" i="5"/>
  <c r="U599" i="8" s="1"/>
  <c r="AA599" i="8"/>
  <c r="T599" i="8"/>
  <c r="T941" i="8"/>
  <c r="N941" i="8"/>
  <c r="T638" i="8"/>
  <c r="G636" i="5"/>
  <c r="T369" i="8"/>
  <c r="AI369" i="8"/>
  <c r="AA369" i="8"/>
  <c r="T482" i="8"/>
  <c r="N482" i="8"/>
  <c r="AI482" i="8"/>
  <c r="AI98" i="8"/>
  <c r="AA98" i="8"/>
  <c r="T98" i="8"/>
  <c r="G898" i="5"/>
  <c r="U900" i="8" s="1"/>
  <c r="T900" i="8"/>
  <c r="N900" i="8"/>
  <c r="G324" i="5"/>
  <c r="H324" i="5" s="1"/>
  <c r="AA482" i="8"/>
  <c r="AI613" i="8"/>
  <c r="AA784" i="8"/>
  <c r="N351" i="8"/>
  <c r="T225" i="8"/>
  <c r="T267" i="8"/>
  <c r="N770" i="8"/>
  <c r="N24" i="8"/>
  <c r="T825" i="8"/>
  <c r="AA825" i="8"/>
  <c r="T775" i="8"/>
  <c r="N775" i="8"/>
  <c r="G773" i="5"/>
  <c r="G782" i="5"/>
  <c r="U784" i="8" s="1"/>
  <c r="AA516" i="8"/>
  <c r="AI697" i="8"/>
  <c r="T306" i="8"/>
  <c r="T24" i="8"/>
  <c r="G861" i="5"/>
  <c r="U863" i="8" s="1"/>
  <c r="G22" i="5"/>
  <c r="U24" i="8" s="1"/>
  <c r="G939" i="5"/>
  <c r="U941" i="8" s="1"/>
  <c r="AI900" i="8"/>
  <c r="AA863" i="8"/>
  <c r="AI276" i="8"/>
  <c r="AA638" i="8"/>
  <c r="AI793" i="8"/>
  <c r="G790" i="5"/>
  <c r="U792" i="8" s="1"/>
  <c r="G265" i="5"/>
  <c r="U267" i="8" s="1"/>
  <c r="AA190" i="8"/>
  <c r="AA306" i="8"/>
  <c r="AA199" i="8"/>
  <c r="AI366" i="8"/>
  <c r="AI863" i="8"/>
  <c r="AA770" i="8"/>
  <c r="T683" i="8"/>
  <c r="N683" i="8"/>
  <c r="AI683" i="8"/>
  <c r="AA683" i="8"/>
  <c r="AA378" i="8"/>
  <c r="AA267" i="8"/>
  <c r="AI770" i="8"/>
  <c r="AI24" i="8"/>
  <c r="N545" i="8"/>
  <c r="G681" i="5"/>
  <c r="U683" i="8" s="1"/>
  <c r="G299" i="5"/>
  <c r="U301" i="8" s="1"/>
  <c r="G791" i="5"/>
  <c r="U793" i="8" s="1"/>
  <c r="G364" i="5"/>
  <c r="AJ366" i="8" s="1"/>
  <c r="AI351" i="8"/>
  <c r="AI378" i="8"/>
  <c r="T697" i="8"/>
  <c r="T545" i="8"/>
  <c r="N199" i="8"/>
  <c r="N793" i="8"/>
  <c r="N792" i="8"/>
  <c r="T720" i="8"/>
  <c r="AI720" i="8"/>
  <c r="G718" i="5"/>
  <c r="U720" i="8" s="1"/>
  <c r="AI823" i="8"/>
  <c r="AA823" i="8"/>
  <c r="AA444" i="8"/>
  <c r="N444" i="8"/>
  <c r="AA503" i="8"/>
  <c r="G501" i="5"/>
  <c r="U503" i="8" s="1"/>
  <c r="N503" i="8"/>
  <c r="AA573" i="8"/>
  <c r="G571" i="5"/>
  <c r="U573" i="8" s="1"/>
  <c r="T573" i="8"/>
  <c r="T457" i="8"/>
  <c r="N457" i="8"/>
  <c r="AI457" i="8"/>
  <c r="AA457" i="8"/>
  <c r="AI533" i="8"/>
  <c r="AA533" i="8"/>
  <c r="T777" i="8"/>
  <c r="G775" i="5"/>
  <c r="U777" i="8" s="1"/>
  <c r="N777" i="8"/>
  <c r="T816" i="8"/>
  <c r="N816" i="8"/>
  <c r="AI816" i="8"/>
  <c r="AI326" i="8"/>
  <c r="AA326" i="8"/>
  <c r="T152" i="8"/>
  <c r="N152" i="8"/>
  <c r="AI152" i="8"/>
  <c r="N64" i="8"/>
  <c r="T64" i="8"/>
  <c r="AI64" i="8"/>
  <c r="AA64" i="8"/>
  <c r="N558" i="8"/>
  <c r="AA558" i="8"/>
  <c r="T755" i="8"/>
  <c r="G753" i="5"/>
  <c r="U755" i="8" s="1"/>
  <c r="AA755" i="8"/>
  <c r="G171" i="5"/>
  <c r="H171" i="5" s="1"/>
  <c r="AA173" i="8"/>
  <c r="N574" i="8"/>
  <c r="G572" i="5"/>
  <c r="U574" i="8" s="1"/>
  <c r="T574" i="8"/>
  <c r="AI680" i="8"/>
  <c r="N613" i="8"/>
  <c r="N326" i="8"/>
  <c r="N98" i="8"/>
  <c r="G767" i="5"/>
  <c r="U769" i="8" s="1"/>
  <c r="G909" i="5"/>
  <c r="U911" i="8" s="1"/>
  <c r="AA816" i="8"/>
  <c r="AA545" i="8"/>
  <c r="AA900" i="8"/>
  <c r="AA276" i="8"/>
  <c r="AA793" i="8"/>
  <c r="T613" i="8"/>
  <c r="T351" i="8"/>
  <c r="G419" i="5"/>
  <c r="U421" i="8" s="1"/>
  <c r="AI545" i="8"/>
  <c r="AI574" i="8"/>
  <c r="N823" i="8"/>
  <c r="N287" i="8"/>
  <c r="T173" i="8"/>
  <c r="N680" i="8"/>
  <c r="G514" i="5"/>
  <c r="AB516" i="8" s="1"/>
  <c r="G560" i="5"/>
  <c r="AB562" i="8" s="1"/>
  <c r="AI638" i="8"/>
  <c r="T823" i="8"/>
  <c r="T287" i="8"/>
  <c r="N378" i="8"/>
  <c r="G349" i="5"/>
  <c r="U351" i="8" s="1"/>
  <c r="G480" i="5"/>
  <c r="U482" i="8" s="1"/>
  <c r="AI199" i="8"/>
  <c r="N697" i="8"/>
  <c r="T444" i="8"/>
  <c r="AI599" i="8"/>
  <c r="N573" i="8"/>
  <c r="T199" i="8"/>
  <c r="AA811" i="8"/>
  <c r="T811" i="8"/>
  <c r="AI27" i="8"/>
  <c r="G25" i="5"/>
  <c r="U27" i="8" s="1"/>
  <c r="N438" i="8"/>
  <c r="G436" i="5"/>
  <c r="U438" i="8" s="1"/>
  <c r="AI438" i="8"/>
  <c r="N165" i="8"/>
  <c r="G163" i="5"/>
  <c r="U165" i="8" s="1"/>
  <c r="G317" i="5"/>
  <c r="AA832" i="8"/>
  <c r="AA147" i="8"/>
  <c r="N531" i="8"/>
  <c r="N546" i="8"/>
  <c r="N187" i="8"/>
  <c r="G823" i="5"/>
  <c r="U825" i="8" s="1"/>
  <c r="T1008" i="8"/>
  <c r="N800" i="8"/>
  <c r="T759" i="8"/>
  <c r="G429" i="5"/>
  <c r="U431" i="8" s="1"/>
  <c r="AI832" i="8"/>
  <c r="AI147" i="8"/>
  <c r="T531" i="8"/>
  <c r="T187" i="8"/>
  <c r="G185" i="5"/>
  <c r="G822" i="5"/>
  <c r="U824" i="8" s="1"/>
  <c r="AA531" i="8"/>
  <c r="AA508" i="8"/>
  <c r="N466" i="8"/>
  <c r="T800" i="8"/>
  <c r="T89" i="8"/>
  <c r="N478" i="8"/>
  <c r="N832" i="8"/>
  <c r="N631" i="8"/>
  <c r="N350" i="8"/>
  <c r="G655" i="5"/>
  <c r="G843" i="5"/>
  <c r="AJ845" i="8" s="1"/>
  <c r="G781" i="5"/>
  <c r="U783" i="8" s="1"/>
  <c r="G677" i="5"/>
  <c r="U679" i="8" s="1"/>
  <c r="G827" i="5"/>
  <c r="U829" i="8" s="1"/>
  <c r="AA693" i="8"/>
  <c r="AI531" i="8"/>
  <c r="AA205" i="8"/>
  <c r="AA842" i="8"/>
  <c r="AA546" i="8"/>
  <c r="AI417" i="8"/>
  <c r="AI576" i="8"/>
  <c r="AI631" i="8"/>
  <c r="AA244" i="8"/>
  <c r="AI924" i="8"/>
  <c r="AI150" i="8"/>
  <c r="AA187" i="8"/>
  <c r="T382" i="8"/>
  <c r="T344" i="8"/>
  <c r="T996" i="8"/>
  <c r="T466" i="8"/>
  <c r="T230" i="8"/>
  <c r="N825" i="8"/>
  <c r="T478" i="8"/>
  <c r="N798" i="8"/>
  <c r="N330" i="8"/>
  <c r="T830" i="8"/>
  <c r="T832" i="8"/>
  <c r="T515" i="8"/>
  <c r="T490" i="8"/>
  <c r="N148" i="8"/>
  <c r="N974" i="8"/>
  <c r="T631" i="8"/>
  <c r="T859" i="8"/>
  <c r="T350" i="8"/>
  <c r="N427" i="8"/>
  <c r="AI825" i="8"/>
  <c r="T147" i="8"/>
  <c r="G757" i="5"/>
  <c r="U759" i="8" s="1"/>
  <c r="G425" i="5"/>
  <c r="U427" i="8" s="1"/>
  <c r="N89" i="8"/>
  <c r="G10" i="5"/>
  <c r="U12" i="8" s="1"/>
  <c r="AA1008" i="8"/>
  <c r="AA12" i="8"/>
  <c r="AA759" i="8"/>
  <c r="AA427" i="8"/>
  <c r="N431" i="8"/>
  <c r="T427" i="8"/>
  <c r="G558" i="5"/>
  <c r="G157" i="5"/>
  <c r="G783" i="5"/>
  <c r="U785" i="8" s="1"/>
  <c r="G682" i="5"/>
  <c r="U684" i="8" s="1"/>
  <c r="G993" i="5"/>
  <c r="U995" i="8" s="1"/>
  <c r="G87" i="5"/>
  <c r="U89" i="8" s="1"/>
  <c r="G510" i="5"/>
  <c r="U512" i="8" s="1"/>
  <c r="G796" i="5"/>
  <c r="U798" i="8" s="1"/>
  <c r="G813" i="5"/>
  <c r="U815" i="8" s="1"/>
  <c r="G415" i="5"/>
  <c r="U417" i="8" s="1"/>
  <c r="AA822" i="8"/>
  <c r="AA382" i="8"/>
  <c r="AA344" i="8"/>
  <c r="AA85" i="8"/>
  <c r="AA615" i="8"/>
  <c r="AA995" i="8"/>
  <c r="AA89" i="8"/>
  <c r="AI1008" i="8"/>
  <c r="AI114" i="8"/>
  <c r="AA940" i="8"/>
  <c r="AA384" i="8"/>
  <c r="AA327" i="8"/>
  <c r="AI594" i="8"/>
  <c r="AI372" i="8"/>
  <c r="AA313" i="8"/>
  <c r="T214" i="8"/>
  <c r="T684" i="8"/>
  <c r="N145" i="8"/>
  <c r="N275" i="8"/>
  <c r="N995" i="8"/>
  <c r="N417" i="8"/>
  <c r="N90" i="8"/>
  <c r="T938" i="8"/>
  <c r="N783" i="8"/>
  <c r="AI344" i="8"/>
  <c r="AA466" i="8"/>
  <c r="AI85" i="8"/>
  <c r="AA684" i="8"/>
  <c r="AA728" i="8"/>
  <c r="AA478" i="8"/>
  <c r="AA194" i="8"/>
  <c r="AA859" i="8"/>
  <c r="AI313" i="8"/>
  <c r="T995" i="8"/>
  <c r="N157" i="8"/>
  <c r="N888" i="8"/>
  <c r="N384" i="8"/>
  <c r="T547" i="8"/>
  <c r="N517" i="8"/>
  <c r="N657" i="8"/>
  <c r="N991" i="8"/>
  <c r="N38" i="8"/>
  <c r="N580" i="8"/>
  <c r="N193" i="8"/>
  <c r="G894" i="5"/>
  <c r="U896" i="8" s="1"/>
  <c r="G466" i="5"/>
  <c r="U468" i="8" s="1"/>
  <c r="G348" i="5"/>
  <c r="U350" i="8" s="1"/>
  <c r="G287" i="5"/>
  <c r="U289" i="8" s="1"/>
  <c r="G864" i="5"/>
  <c r="G476" i="5"/>
  <c r="AA438" i="8"/>
  <c r="AI728" i="8"/>
  <c r="AI95" i="8"/>
  <c r="AA711" i="8"/>
  <c r="AI938" i="8"/>
  <c r="AI859" i="8"/>
  <c r="T384" i="8"/>
  <c r="T517" i="8"/>
  <c r="T991" i="8"/>
  <c r="T193" i="8"/>
  <c r="G629" i="5"/>
  <c r="U631" i="8" s="1"/>
  <c r="T977" i="8"/>
  <c r="G691" i="5"/>
  <c r="H691" i="5" s="1"/>
  <c r="AI693" i="8"/>
  <c r="AI940" i="8"/>
  <c r="N693" i="8"/>
  <c r="N977" i="8"/>
  <c r="N940" i="8"/>
  <c r="N21" i="8"/>
  <c r="N319" i="8"/>
  <c r="G19" i="5"/>
  <c r="U21" i="8" s="1"/>
  <c r="AA844" i="8"/>
  <c r="AI472" i="8"/>
  <c r="AA725" i="8"/>
  <c r="AA42" i="8"/>
  <c r="T940" i="8"/>
  <c r="N845" i="8"/>
  <c r="T21" i="8"/>
  <c r="N264" i="8"/>
  <c r="T319" i="8"/>
  <c r="AI508" i="8"/>
  <c r="AI546" i="8"/>
  <c r="AA109" i="8"/>
  <c r="AA91" i="8"/>
  <c r="N508" i="8"/>
  <c r="T546" i="8"/>
  <c r="G107" i="5"/>
  <c r="AA78" i="8"/>
  <c r="AA175" i="8"/>
  <c r="AA462" i="8"/>
  <c r="AI109" i="8"/>
  <c r="AI91" i="8"/>
  <c r="N896" i="8"/>
  <c r="G49" i="5"/>
  <c r="U51" i="8" s="1"/>
  <c r="G975" i="5"/>
  <c r="U977" i="8" s="1"/>
  <c r="AI78" i="8"/>
  <c r="AI830" i="8"/>
  <c r="AA371" i="8"/>
  <c r="T109" i="8"/>
  <c r="T111" i="8"/>
  <c r="G955" i="5"/>
  <c r="U957" i="8" s="1"/>
  <c r="G173" i="5"/>
  <c r="U175" i="8" s="1"/>
  <c r="G506" i="5"/>
  <c r="U508" i="8" s="1"/>
  <c r="AA977" i="8"/>
  <c r="AI581" i="8"/>
  <c r="AA243" i="8"/>
  <c r="AI371" i="8"/>
  <c r="N17" i="8"/>
  <c r="N824" i="8"/>
  <c r="N243" i="8"/>
  <c r="N879" i="8"/>
  <c r="N111" i="8"/>
  <c r="AI824" i="8"/>
  <c r="T896" i="8"/>
  <c r="G545" i="5"/>
  <c r="U547" i="8" s="1"/>
  <c r="AA547" i="8"/>
  <c r="AA350" i="8"/>
  <c r="AA319" i="8"/>
  <c r="N51" i="8"/>
  <c r="T824" i="8"/>
  <c r="T243" i="8"/>
  <c r="T879" i="8"/>
  <c r="N725" i="8"/>
  <c r="AA289" i="8"/>
  <c r="AI430" i="8"/>
  <c r="G76" i="5"/>
  <c r="U78" i="8" s="1"/>
  <c r="AI289" i="8"/>
  <c r="AI175" i="8"/>
  <c r="AI462" i="8"/>
  <c r="AI243" i="8"/>
  <c r="AA896" i="8"/>
  <c r="AA527" i="8"/>
  <c r="AI957" i="8"/>
  <c r="N324" i="8"/>
  <c r="N223" i="8"/>
  <c r="N78" i="8"/>
  <c r="N957" i="8"/>
  <c r="N91" i="8"/>
  <c r="N462" i="8"/>
  <c r="N673" i="8"/>
  <c r="N560" i="8"/>
  <c r="AA785" i="8"/>
  <c r="AA111" i="8"/>
  <c r="G460" i="5"/>
  <c r="U462" i="8" s="1"/>
  <c r="G89" i="5"/>
  <c r="AI785" i="8"/>
  <c r="AA324" i="8"/>
  <c r="AA308" i="8"/>
  <c r="AA554" i="8"/>
  <c r="AI547" i="8"/>
  <c r="AA845" i="8"/>
  <c r="AA649" i="8"/>
  <c r="AI950" i="8"/>
  <c r="AA634" i="8"/>
  <c r="N289" i="8"/>
  <c r="N68" i="8"/>
  <c r="N785" i="8"/>
  <c r="N403" i="8"/>
  <c r="N175" i="8"/>
  <c r="G66" i="5"/>
  <c r="U68" i="8" s="1"/>
  <c r="G640" i="5"/>
  <c r="U642" i="8" s="1"/>
  <c r="G525" i="5"/>
  <c r="U527" i="8" s="1"/>
  <c r="G322" i="5"/>
  <c r="U324" i="8" s="1"/>
  <c r="AA403" i="8"/>
  <c r="AI324" i="8"/>
  <c r="AI597" i="8"/>
  <c r="AA560" i="8"/>
  <c r="AA970" i="8"/>
  <c r="AA1006" i="8"/>
  <c r="AA673" i="8"/>
  <c r="T68" i="8"/>
  <c r="T403" i="8"/>
  <c r="N854" i="8"/>
  <c r="T951" i="8"/>
  <c r="N954" i="8"/>
  <c r="AI954" i="8"/>
  <c r="T875" i="8"/>
  <c r="AA875" i="8"/>
  <c r="T901" i="8"/>
  <c r="AA901" i="8"/>
  <c r="G738" i="5"/>
  <c r="AA740" i="8"/>
  <c r="T740" i="8"/>
  <c r="N740" i="8"/>
  <c r="AA75" i="8"/>
  <c r="G73" i="5"/>
  <c r="U75" i="8" s="1"/>
  <c r="T75" i="8"/>
  <c r="G53" i="5"/>
  <c r="U55" i="8" s="1"/>
  <c r="AI197" i="8"/>
  <c r="AA486" i="8"/>
  <c r="AA32" i="8"/>
  <c r="G154" i="5"/>
  <c r="U156" i="8" s="1"/>
  <c r="N156" i="8"/>
  <c r="T95" i="8"/>
  <c r="N812" i="8"/>
  <c r="G810" i="5"/>
  <c r="U812" i="8" s="1"/>
  <c r="G93" i="5"/>
  <c r="U95" i="8" s="1"/>
  <c r="AI32" i="8"/>
  <c r="T717" i="8"/>
  <c r="AI717" i="8"/>
  <c r="T424" i="8"/>
  <c r="AA424" i="8"/>
  <c r="N424" i="8"/>
  <c r="G422" i="5"/>
  <c r="U424" i="8" s="1"/>
  <c r="T539" i="8"/>
  <c r="N539" i="8"/>
  <c r="AA539" i="8"/>
  <c r="AA73" i="8"/>
  <c r="T73" i="8"/>
  <c r="G71" i="5"/>
  <c r="U73" i="8" s="1"/>
  <c r="AI495" i="8"/>
  <c r="T495" i="8"/>
  <c r="AA495" i="8"/>
  <c r="G625" i="5"/>
  <c r="U627" i="8" s="1"/>
  <c r="AA627" i="8"/>
  <c r="T953" i="8"/>
  <c r="N953" i="8"/>
  <c r="AI953" i="8"/>
  <c r="T934" i="8"/>
  <c r="N934" i="8"/>
  <c r="AI934" i="8"/>
  <c r="AI984" i="8"/>
  <c r="AA984" i="8"/>
  <c r="T124" i="8"/>
  <c r="N124" i="8"/>
  <c r="T737" i="8"/>
  <c r="N737" i="8"/>
  <c r="T750" i="8"/>
  <c r="N750" i="8"/>
  <c r="G748" i="5"/>
  <c r="U750" i="8" s="1"/>
  <c r="AA577" i="8"/>
  <c r="G575" i="5"/>
  <c r="U577" i="8" s="1"/>
  <c r="AA77" i="8"/>
  <c r="G75" i="5"/>
  <c r="U77" i="8" s="1"/>
  <c r="AA636" i="8"/>
  <c r="G634" i="5"/>
  <c r="U636" i="8" s="1"/>
  <c r="T278" i="8"/>
  <c r="N278" i="8"/>
  <c r="AI233" i="8"/>
  <c r="AA233" i="8"/>
  <c r="T233" i="8"/>
  <c r="N994" i="8"/>
  <c r="AA994" i="8"/>
  <c r="T297" i="8"/>
  <c r="AA297" i="8"/>
  <c r="G286" i="5"/>
  <c r="U288" i="8" s="1"/>
  <c r="AA288" i="8"/>
  <c r="N412" i="8"/>
  <c r="AI412" i="8"/>
  <c r="AA412" i="8"/>
  <c r="G410" i="5"/>
  <c r="U412" i="8" s="1"/>
  <c r="T782" i="8"/>
  <c r="N782" i="8"/>
  <c r="AI782" i="8"/>
  <c r="G780" i="5"/>
  <c r="U782" i="8" s="1"/>
  <c r="T231" i="8"/>
  <c r="AI231" i="8"/>
  <c r="AA231" i="8"/>
  <c r="N231" i="8"/>
  <c r="AI373" i="8"/>
  <c r="AA373" i="8"/>
  <c r="AA270" i="8"/>
  <c r="AI270" i="8"/>
  <c r="N749" i="8"/>
  <c r="AA749" i="8"/>
  <c r="G747" i="5"/>
  <c r="U749" i="8" s="1"/>
  <c r="N383" i="8"/>
  <c r="G381" i="5"/>
  <c r="AI181" i="8"/>
  <c r="G179" i="5"/>
  <c r="U181" i="8" s="1"/>
  <c r="T787" i="8"/>
  <c r="AI787" i="8"/>
  <c r="AI182" i="8"/>
  <c r="G180" i="5"/>
  <c r="U182" i="8" s="1"/>
  <c r="N32" i="8"/>
  <c r="T407" i="8"/>
  <c r="G405" i="5"/>
  <c r="AB407" i="8" s="1"/>
  <c r="N95" i="8"/>
  <c r="AI875" i="8"/>
  <c r="T182" i="8"/>
  <c r="AA946" i="8"/>
  <c r="N946" i="8"/>
  <c r="T930" i="8"/>
  <c r="AI930" i="8"/>
  <c r="G343" i="5"/>
  <c r="U345" i="8" s="1"/>
  <c r="AI345" i="8"/>
  <c r="AI204" i="8"/>
  <c r="G202" i="5"/>
  <c r="U204" i="8" s="1"/>
  <c r="AI274" i="8"/>
  <c r="G272" i="5"/>
  <c r="U274" i="8" s="1"/>
  <c r="AA776" i="8"/>
  <c r="G774" i="5"/>
  <c r="U776" i="8" s="1"/>
  <c r="T821" i="8"/>
  <c r="N821" i="8"/>
  <c r="G441" i="5"/>
  <c r="U443" i="8" s="1"/>
  <c r="AA821" i="8"/>
  <c r="AI486" i="8"/>
  <c r="N274" i="8"/>
  <c r="N169" i="8"/>
  <c r="AA169" i="8"/>
  <c r="AI767" i="8"/>
  <c r="N767" i="8"/>
  <c r="T615" i="8"/>
  <c r="N615" i="8"/>
  <c r="G372" i="5"/>
  <c r="U374" i="8" s="1"/>
  <c r="G484" i="5"/>
  <c r="U486" i="8" s="1"/>
  <c r="AA264" i="8"/>
  <c r="N711" i="8"/>
  <c r="AI926" i="8"/>
  <c r="AA926" i="8"/>
  <c r="G473" i="5"/>
  <c r="U475" i="8" s="1"/>
  <c r="N475" i="8"/>
  <c r="AI990" i="8"/>
  <c r="T990" i="8"/>
  <c r="N923" i="8"/>
  <c r="AI923" i="8"/>
  <c r="AA923" i="8"/>
  <c r="G887" i="5"/>
  <c r="U889" i="8" s="1"/>
  <c r="N889" i="8"/>
  <c r="G278" i="5"/>
  <c r="U280" i="8" s="1"/>
  <c r="AA160" i="8"/>
  <c r="AA858" i="8"/>
  <c r="AI264" i="8"/>
  <c r="N486" i="8"/>
  <c r="AA498" i="8"/>
  <c r="N990" i="8"/>
  <c r="N136" i="8"/>
  <c r="T181" i="8"/>
  <c r="T976" i="8"/>
  <c r="AA316" i="8"/>
  <c r="G314" i="5"/>
  <c r="U316" i="8" s="1"/>
  <c r="N316" i="8"/>
  <c r="T903" i="8"/>
  <c r="G901" i="5"/>
  <c r="U903" i="8" s="1"/>
  <c r="N903" i="8"/>
  <c r="N734" i="8"/>
  <c r="AI734" i="8"/>
  <c r="AI480" i="8"/>
  <c r="G478" i="5"/>
  <c r="U480" i="8" s="1"/>
  <c r="AA480" i="8"/>
  <c r="T118" i="8"/>
  <c r="G116" i="5"/>
  <c r="U118" i="8" s="1"/>
  <c r="AI663" i="8"/>
  <c r="G661" i="5"/>
  <c r="U663" i="8" s="1"/>
  <c r="AA663" i="8"/>
  <c r="T864" i="8"/>
  <c r="N864" i="8"/>
  <c r="AI864" i="8"/>
  <c r="G194" i="5"/>
  <c r="U196" i="8" s="1"/>
  <c r="AI196" i="8"/>
  <c r="AI338" i="8"/>
  <c r="AA338" i="8"/>
  <c r="T338" i="8"/>
  <c r="G102" i="5"/>
  <c r="U104" i="8" s="1"/>
  <c r="G870" i="5"/>
  <c r="U872" i="8" s="1"/>
  <c r="G577" i="5"/>
  <c r="U579" i="8" s="1"/>
  <c r="G932" i="5"/>
  <c r="U934" i="8" s="1"/>
  <c r="G129" i="5"/>
  <c r="U131" i="8" s="1"/>
  <c r="AA852" i="8"/>
  <c r="AI236" i="8"/>
  <c r="AI136" i="8"/>
  <c r="AA204" i="8"/>
  <c r="AI498" i="8"/>
  <c r="AI161" i="8"/>
  <c r="AA903" i="8"/>
  <c r="AI178" i="8"/>
  <c r="AI640" i="8"/>
  <c r="AA181" i="8"/>
  <c r="T156" i="8"/>
  <c r="T136" i="8"/>
  <c r="T994" i="8"/>
  <c r="N678" i="8"/>
  <c r="N966" i="8"/>
  <c r="AA197" i="8"/>
  <c r="N182" i="8"/>
  <c r="G785" i="5"/>
  <c r="U787" i="8" s="1"/>
  <c r="AI844" i="8"/>
  <c r="AA117" i="8"/>
  <c r="G115" i="5"/>
  <c r="U117" i="8" s="1"/>
  <c r="T117" i="8"/>
  <c r="N117" i="8"/>
  <c r="AI711" i="8"/>
  <c r="T581" i="8"/>
  <c r="AA581" i="8"/>
  <c r="G579" i="5"/>
  <c r="AA579" i="8"/>
  <c r="T316" i="8"/>
  <c r="N204" i="8"/>
  <c r="T475" i="8"/>
  <c r="N612" i="8"/>
  <c r="N160" i="8"/>
  <c r="N649" i="8"/>
  <c r="T966" i="8"/>
  <c r="N623" i="8"/>
  <c r="AI623" i="8"/>
  <c r="AA623" i="8"/>
  <c r="AI836" i="8"/>
  <c r="G834" i="5"/>
  <c r="N724" i="8"/>
  <c r="T724" i="8"/>
  <c r="N33" i="8"/>
  <c r="AI33" i="8"/>
  <c r="AI821" i="8"/>
  <c r="AI87" i="8"/>
  <c r="T274" i="8"/>
  <c r="G1002" i="5"/>
  <c r="U1004" i="8" s="1"/>
  <c r="AA1004" i="8"/>
  <c r="T651" i="8"/>
  <c r="G649" i="5"/>
  <c r="U651" i="8" s="1"/>
  <c r="AI795" i="8"/>
  <c r="T795" i="8"/>
  <c r="G918" i="5"/>
  <c r="AI75" i="8"/>
  <c r="N181" i="8"/>
  <c r="T711" i="8"/>
  <c r="N537" i="8"/>
  <c r="AA136" i="8"/>
  <c r="AA569" i="8"/>
  <c r="G862" i="5"/>
  <c r="U864" i="8" s="1"/>
  <c r="AI903" i="8"/>
  <c r="AI901" i="8"/>
  <c r="AI749" i="8"/>
  <c r="G433" i="5"/>
  <c r="G647" i="5"/>
  <c r="U649" i="8" s="1"/>
  <c r="G690" i="5"/>
  <c r="U692" i="8" s="1"/>
  <c r="G924" i="5"/>
  <c r="U926" i="8" s="1"/>
  <c r="AI579" i="8"/>
  <c r="AA976" i="8"/>
  <c r="AA781" i="8"/>
  <c r="T204" i="8"/>
  <c r="T612" i="8"/>
  <c r="N510" i="8"/>
  <c r="T33" i="8"/>
  <c r="T160" i="8"/>
  <c r="T649" i="8"/>
  <c r="G642" i="5"/>
  <c r="U644" i="8" s="1"/>
  <c r="AI970" i="8"/>
  <c r="AI399" i="8"/>
  <c r="AA553" i="8"/>
  <c r="T642" i="8"/>
  <c r="AA68" i="8"/>
  <c r="AA226" i="8"/>
  <c r="AA153" i="8"/>
  <c r="T644" i="8"/>
  <c r="T103" i="8"/>
  <c r="T153" i="8"/>
  <c r="T565" i="8"/>
  <c r="AA644" i="8"/>
  <c r="N447" i="8"/>
  <c r="AA611" i="8"/>
  <c r="G968" i="5"/>
  <c r="U970" i="8" s="1"/>
  <c r="AI611" i="8"/>
  <c r="AI644" i="8"/>
  <c r="T447" i="8"/>
  <c r="AI308" i="8"/>
  <c r="AA171" i="8"/>
  <c r="AI171" i="8"/>
  <c r="T401" i="8"/>
  <c r="T336" i="8"/>
  <c r="AA407" i="8"/>
  <c r="N197" i="8"/>
  <c r="G206" i="5"/>
  <c r="U208" i="8" s="1"/>
  <c r="AI407" i="8"/>
  <c r="AI740" i="8"/>
  <c r="AA151" i="8"/>
  <c r="AA614" i="8"/>
  <c r="AI151" i="8"/>
  <c r="T437" i="8"/>
  <c r="N875" i="8"/>
  <c r="G977" i="5"/>
  <c r="U979" i="8" s="1"/>
  <c r="AA481" i="8"/>
  <c r="AA534" i="8"/>
  <c r="N171" i="8"/>
  <c r="N518" i="8"/>
  <c r="T148" i="8"/>
  <c r="N407" i="8"/>
  <c r="G264" i="5"/>
  <c r="U266" i="8" s="1"/>
  <c r="G195" i="5"/>
  <c r="U197" i="8" s="1"/>
  <c r="G271" i="5"/>
  <c r="U273" i="8" s="1"/>
  <c r="G306" i="5"/>
  <c r="U308" i="8" s="1"/>
  <c r="AI566" i="8"/>
  <c r="AA385" i="8"/>
  <c r="AA148" i="8"/>
  <c r="AA352" i="8"/>
  <c r="T308" i="8"/>
  <c r="T310" i="8"/>
  <c r="T171" i="8"/>
  <c r="N354" i="8"/>
  <c r="N688" i="8"/>
  <c r="T932" i="8"/>
  <c r="G352" i="5"/>
  <c r="U354" i="8" s="1"/>
  <c r="AI160" i="8"/>
  <c r="G159" i="5"/>
  <c r="U161" i="8" s="1"/>
  <c r="N534" i="8"/>
  <c r="T203" i="8"/>
  <c r="G39" i="5"/>
  <c r="U41" i="8" s="1"/>
  <c r="AA872" i="8"/>
  <c r="T595" i="8"/>
  <c r="N932" i="8"/>
  <c r="N161" i="8"/>
  <c r="N296" i="8"/>
  <c r="G412" i="5"/>
  <c r="U414" i="8" s="1"/>
  <c r="G771" i="5"/>
  <c r="U773" i="8" s="1"/>
  <c r="G445" i="5"/>
  <c r="U447" i="8" s="1"/>
  <c r="AI776" i="8"/>
  <c r="AI853" i="8"/>
  <c r="AI481" i="8"/>
  <c r="AA208" i="8"/>
  <c r="AA912" i="8"/>
  <c r="AI534" i="8"/>
  <c r="AA44" i="8"/>
  <c r="AA679" i="8"/>
  <c r="T17" i="8"/>
  <c r="N773" i="8"/>
  <c r="T518" i="8"/>
  <c r="T629" i="8"/>
  <c r="T858" i="8"/>
  <c r="T161" i="8"/>
  <c r="N399" i="8"/>
  <c r="N566" i="8"/>
  <c r="G593" i="5"/>
  <c r="U595" i="8" s="1"/>
  <c r="G609" i="5"/>
  <c r="U611" i="8" s="1"/>
  <c r="G382" i="5"/>
  <c r="U384" i="8" s="1"/>
  <c r="G311" i="5"/>
  <c r="U313" i="8" s="1"/>
  <c r="G357" i="5"/>
  <c r="U359" i="8" s="1"/>
  <c r="AI208" i="8"/>
  <c r="AI912" i="8"/>
  <c r="AA17" i="8"/>
  <c r="AI829" i="8"/>
  <c r="AI385" i="8"/>
  <c r="AA597" i="8"/>
  <c r="AA35" i="8"/>
  <c r="AI148" i="8"/>
  <c r="AA158" i="8"/>
  <c r="AA222" i="8"/>
  <c r="AI304" i="8"/>
  <c r="AA372" i="8"/>
  <c r="AA724" i="8"/>
  <c r="N368" i="8"/>
  <c r="N968" i="8"/>
  <c r="N85" i="8"/>
  <c r="N205" i="8"/>
  <c r="T157" i="8"/>
  <c r="T773" i="8"/>
  <c r="T654" i="8"/>
  <c r="T1006" i="8"/>
  <c r="N313" i="8"/>
  <c r="N229" i="8"/>
  <c r="N535" i="8"/>
  <c r="T610" i="8"/>
  <c r="T354" i="8"/>
  <c r="T688" i="8"/>
  <c r="N901" i="8"/>
  <c r="T254" i="8"/>
  <c r="T611" i="8"/>
  <c r="T399" i="8"/>
  <c r="T32" i="8"/>
  <c r="T534" i="8"/>
  <c r="N595" i="8"/>
  <c r="G144" i="5"/>
  <c r="U146" i="8" s="1"/>
  <c r="G930" i="5"/>
  <c r="U932" i="8" s="1"/>
  <c r="G944" i="5"/>
  <c r="U946" i="8" s="1"/>
  <c r="G910" i="5"/>
  <c r="U912" i="8" s="1"/>
  <c r="G722" i="5"/>
  <c r="U724" i="8" s="1"/>
  <c r="G899" i="5"/>
  <c r="AA932" i="8"/>
  <c r="AA176" i="8"/>
  <c r="AI414" i="8"/>
  <c r="AA773" i="8"/>
  <c r="AA795" i="8"/>
  <c r="AA468" i="8"/>
  <c r="AI535" i="8"/>
  <c r="AA354" i="8"/>
  <c r="AI158" i="8"/>
  <c r="AI724" i="8"/>
  <c r="T368" i="8"/>
  <c r="N844" i="8"/>
  <c r="N28" i="8"/>
  <c r="N787" i="8"/>
  <c r="T219" i="8"/>
  <c r="N512" i="8"/>
  <c r="T535" i="8"/>
  <c r="N460" i="8"/>
  <c r="N970" i="8"/>
  <c r="N158" i="8"/>
  <c r="N222" i="8"/>
  <c r="N372" i="8"/>
  <c r="N912" i="8"/>
  <c r="G42" i="5"/>
  <c r="U44" i="8" s="1"/>
  <c r="G361" i="5"/>
  <c r="U363" i="8" s="1"/>
  <c r="G131" i="5"/>
  <c r="U133" i="8" s="1"/>
  <c r="AI452" i="8"/>
  <c r="AI176" i="8"/>
  <c r="AA345" i="8"/>
  <c r="AI685" i="8"/>
  <c r="AI468" i="8"/>
  <c r="AA570" i="8"/>
  <c r="AA472" i="8"/>
  <c r="N836" i="8"/>
  <c r="T28" i="8"/>
  <c r="T512" i="8"/>
  <c r="N570" i="8"/>
  <c r="T460" i="8"/>
  <c r="N327" i="8"/>
  <c r="T436" i="8"/>
  <c r="G434" i="5"/>
  <c r="U436" i="8" s="1"/>
  <c r="AI850" i="8"/>
  <c r="G848" i="5"/>
  <c r="U850" i="8" s="1"/>
  <c r="T804" i="8"/>
  <c r="AA804" i="8"/>
  <c r="G802" i="5"/>
  <c r="U804" i="8" s="1"/>
  <c r="N804" i="8"/>
  <c r="AI804" i="8"/>
  <c r="T789" i="8"/>
  <c r="N789" i="8"/>
  <c r="AA789" i="8"/>
  <c r="G70" i="5"/>
  <c r="U72" i="8" s="1"/>
  <c r="N72" i="8"/>
  <c r="AA72" i="8"/>
  <c r="N686" i="8"/>
  <c r="G684" i="5"/>
  <c r="U686" i="8" s="1"/>
  <c r="AI686" i="8"/>
  <c r="T841" i="8"/>
  <c r="AA841" i="8"/>
  <c r="N841" i="8"/>
  <c r="G839" i="5"/>
  <c r="U841" i="8" s="1"/>
  <c r="T393" i="8"/>
  <c r="N393" i="8"/>
  <c r="G391" i="5"/>
  <c r="U393" i="8" s="1"/>
  <c r="AI753" i="8"/>
  <c r="AA753" i="8"/>
  <c r="AA809" i="8"/>
  <c r="T809" i="8"/>
  <c r="AI809" i="8"/>
  <c r="N809" i="8"/>
  <c r="G807" i="5"/>
  <c r="U809" i="8" s="1"/>
  <c r="AI211" i="8"/>
  <c r="AA211" i="8"/>
  <c r="G209" i="5"/>
  <c r="U211" i="8" s="1"/>
  <c r="AA538" i="8"/>
  <c r="AI538" i="8"/>
  <c r="AI916" i="8"/>
  <c r="G914" i="5"/>
  <c r="U916" i="8" s="1"/>
  <c r="AA916" i="8"/>
  <c r="T916" i="8"/>
  <c r="N916" i="8"/>
  <c r="AI463" i="8"/>
  <c r="N463" i="8"/>
  <c r="AA463" i="8"/>
  <c r="T463" i="8"/>
  <c r="AA82" i="8"/>
  <c r="T82" i="8"/>
  <c r="N82" i="8"/>
  <c r="T25" i="8"/>
  <c r="AI25" i="8"/>
  <c r="N25" i="8"/>
  <c r="AA25" i="8"/>
  <c r="G23" i="5"/>
  <c r="U25" i="8" s="1"/>
  <c r="N665" i="8"/>
  <c r="G663" i="5"/>
  <c r="U665" i="8" s="1"/>
  <c r="AI665" i="8"/>
  <c r="G54" i="5"/>
  <c r="U56" i="8" s="1"/>
  <c r="AA56" i="8"/>
  <c r="AI56" i="8"/>
  <c r="T56" i="8"/>
  <c r="T689" i="8"/>
  <c r="N689" i="8"/>
  <c r="AA689" i="8"/>
  <c r="G166" i="5"/>
  <c r="U168" i="8" s="1"/>
  <c r="AA168" i="8"/>
  <c r="G562" i="5"/>
  <c r="U564" i="8" s="1"/>
  <c r="AI564" i="8"/>
  <c r="T708" i="8"/>
  <c r="T619" i="8"/>
  <c r="N619" i="8"/>
  <c r="N461" i="8"/>
  <c r="T461" i="8"/>
  <c r="G80" i="5"/>
  <c r="U82" i="8" s="1"/>
  <c r="N49" i="8"/>
  <c r="G536" i="5"/>
  <c r="U538" i="8" s="1"/>
  <c r="T753" i="8"/>
  <c r="G925" i="5"/>
  <c r="U927" i="8" s="1"/>
  <c r="T927" i="8"/>
  <c r="N927" i="8"/>
  <c r="AA502" i="8"/>
  <c r="G500" i="5"/>
  <c r="U502" i="8" s="1"/>
  <c r="N391" i="8"/>
  <c r="AA391" i="8"/>
  <c r="N325" i="8"/>
  <c r="AA325" i="8"/>
  <c r="G494" i="5"/>
  <c r="U496" i="8" s="1"/>
  <c r="AA496" i="8"/>
  <c r="AI237" i="8"/>
  <c r="G235" i="5"/>
  <c r="U237" i="8" s="1"/>
  <c r="G523" i="5"/>
  <c r="U525" i="8" s="1"/>
  <c r="T525" i="8"/>
  <c r="T732" i="8"/>
  <c r="G730" i="5"/>
  <c r="U732" i="8" s="1"/>
  <c r="N732" i="8"/>
  <c r="AA732" i="8"/>
  <c r="G416" i="5"/>
  <c r="U418" i="8" s="1"/>
  <c r="AI418" i="8"/>
  <c r="N418" i="8"/>
  <c r="AA411" i="8"/>
  <c r="AI411" i="8"/>
  <c r="N411" i="8"/>
  <c r="AI652" i="8"/>
  <c r="AA652" i="8"/>
  <c r="T652" i="8"/>
  <c r="G650" i="5"/>
  <c r="U652" i="8" s="1"/>
  <c r="T397" i="8"/>
  <c r="N397" i="8"/>
  <c r="AA397" i="8"/>
  <c r="T593" i="8"/>
  <c r="N593" i="8"/>
  <c r="AI593" i="8"/>
  <c r="AA593" i="8"/>
  <c r="G591" i="5"/>
  <c r="U593" i="8" s="1"/>
  <c r="N648" i="8"/>
  <c r="G518" i="5"/>
  <c r="U520" i="8" s="1"/>
  <c r="AI520" i="8"/>
  <c r="AA520" i="8"/>
  <c r="N395" i="8"/>
  <c r="T395" i="8"/>
  <c r="N62" i="8"/>
  <c r="G60" i="5"/>
  <c r="U62" i="8" s="1"/>
  <c r="AA62" i="8"/>
  <c r="T14" i="8"/>
  <c r="G12" i="5"/>
  <c r="U14" i="8" s="1"/>
  <c r="AA66" i="8"/>
  <c r="T66" i="8"/>
  <c r="T116" i="8"/>
  <c r="N116" i="8"/>
  <c r="T696" i="8"/>
  <c r="AI696" i="8"/>
  <c r="AA696" i="8"/>
  <c r="AA998" i="8"/>
  <c r="N998" i="8"/>
  <c r="T998" i="8"/>
  <c r="T192" i="8"/>
  <c r="G190" i="5"/>
  <c r="U192" i="8" s="1"/>
  <c r="AA192" i="8"/>
  <c r="G222" i="5"/>
  <c r="U224" i="8" s="1"/>
  <c r="T224" i="8"/>
  <c r="AI224" i="8"/>
  <c r="N224" i="8"/>
  <c r="AI677" i="8"/>
  <c r="T677" i="8"/>
  <c r="N677" i="8"/>
  <c r="G675" i="5"/>
  <c r="U677" i="8" s="1"/>
  <c r="AA677" i="8"/>
  <c r="AI898" i="8"/>
  <c r="T898" i="8"/>
  <c r="AA898" i="8"/>
  <c r="G896" i="5"/>
  <c r="U898" i="8" s="1"/>
  <c r="G873" i="5"/>
  <c r="U875" i="8" s="1"/>
  <c r="T648" i="8"/>
  <c r="T411" i="8"/>
  <c r="T47" i="8"/>
  <c r="N479" i="8"/>
  <c r="N538" i="8"/>
  <c r="T10" i="8"/>
  <c r="G395" i="5"/>
  <c r="U397" i="8" s="1"/>
  <c r="AI968" i="8"/>
  <c r="AI488" i="8"/>
  <c r="AI116" i="8"/>
  <c r="AA665" i="8"/>
  <c r="N168" i="8"/>
  <c r="N827" i="8"/>
  <c r="N652" i="8"/>
  <c r="T538" i="8"/>
  <c r="G787" i="5"/>
  <c r="U789" i="8" s="1"/>
  <c r="G966" i="5"/>
  <c r="U968" i="8" s="1"/>
  <c r="AA224" i="8"/>
  <c r="T168" i="8"/>
  <c r="T827" i="8"/>
  <c r="AI620" i="8"/>
  <c r="G618" i="5"/>
  <c r="U620" i="8" s="1"/>
  <c r="AA620" i="8"/>
  <c r="N620" i="8"/>
  <c r="T620" i="8"/>
  <c r="G417" i="5"/>
  <c r="U419" i="8" s="1"/>
  <c r="AI419" i="8"/>
  <c r="AA419" i="8"/>
  <c r="T419" i="8"/>
  <c r="AA401" i="8"/>
  <c r="AI168" i="8"/>
  <c r="AA436" i="8"/>
  <c r="AI391" i="8"/>
  <c r="AI105" i="8"/>
  <c r="AA678" i="8"/>
  <c r="N788" i="8"/>
  <c r="T72" i="8"/>
  <c r="T418" i="8"/>
  <c r="N105" i="8"/>
  <c r="N211" i="8"/>
  <c r="AI410" i="8"/>
  <c r="T410" i="8"/>
  <c r="N410" i="8"/>
  <c r="G408" i="5"/>
  <c r="AA45" i="8"/>
  <c r="AI45" i="8"/>
  <c r="G43" i="5"/>
  <c r="U45" i="8" s="1"/>
  <c r="AI690" i="8"/>
  <c r="AA690" i="8"/>
  <c r="T690" i="8"/>
  <c r="N690" i="8"/>
  <c r="G688" i="5"/>
  <c r="U690" i="8" s="1"/>
  <c r="AI689" i="8"/>
  <c r="N488" i="8"/>
  <c r="AI57" i="8"/>
  <c r="G55" i="5"/>
  <c r="U57" i="8" s="1"/>
  <c r="G676" i="5"/>
  <c r="U678" i="8" s="1"/>
  <c r="AI678" i="8"/>
  <c r="T105" i="8"/>
  <c r="T211" i="8"/>
  <c r="N564" i="8"/>
  <c r="N429" i="8"/>
  <c r="AI429" i="8"/>
  <c r="N708" i="8"/>
  <c r="AI708" i="8"/>
  <c r="T735" i="8"/>
  <c r="N735" i="8"/>
  <c r="AA735" i="8"/>
  <c r="G733" i="5"/>
  <c r="U735" i="8" s="1"/>
  <c r="G487" i="5"/>
  <c r="U489" i="8" s="1"/>
  <c r="T489" i="8"/>
  <c r="N489" i="8"/>
  <c r="AI489" i="8"/>
  <c r="AA489" i="8"/>
  <c r="G123" i="5"/>
  <c r="U125" i="8" s="1"/>
  <c r="AI125" i="8"/>
  <c r="AA125" i="8"/>
  <c r="T125" i="8"/>
  <c r="N379" i="8"/>
  <c r="G377" i="5"/>
  <c r="U379" i="8" s="1"/>
  <c r="AI379" i="8"/>
  <c r="AI133" i="8"/>
  <c r="AA133" i="8"/>
  <c r="N133" i="8"/>
  <c r="T885" i="8"/>
  <c r="N885" i="8"/>
  <c r="AI885" i="8"/>
  <c r="AI433" i="8"/>
  <c r="AA433" i="8"/>
  <c r="T433" i="8"/>
  <c r="N433" i="8"/>
  <c r="AI893" i="8"/>
  <c r="T893" i="8"/>
  <c r="AA905" i="8"/>
  <c r="T905" i="8"/>
  <c r="AI905" i="8"/>
  <c r="N905" i="8"/>
  <c r="AI425" i="8"/>
  <c r="AA425" i="8"/>
  <c r="G423" i="5"/>
  <c r="U425" i="8" s="1"/>
  <c r="T425" i="8"/>
  <c r="AI458" i="8"/>
  <c r="AA458" i="8"/>
  <c r="G456" i="5"/>
  <c r="U458" i="8" s="1"/>
  <c r="T458" i="8"/>
  <c r="N458" i="8"/>
  <c r="AI648" i="8"/>
  <c r="AA648" i="8"/>
  <c r="T389" i="8"/>
  <c r="N389" i="8"/>
  <c r="AI389" i="8"/>
  <c r="AI479" i="8"/>
  <c r="T479" i="8"/>
  <c r="N893" i="8"/>
  <c r="AA814" i="8"/>
  <c r="G812" i="5"/>
  <c r="U814" i="8" s="1"/>
  <c r="AA283" i="8"/>
  <c r="T283" i="8"/>
  <c r="N283" i="8"/>
  <c r="G662" i="5"/>
  <c r="U664" i="8" s="1"/>
  <c r="AI664" i="8"/>
  <c r="AA664" i="8"/>
  <c r="N664" i="8"/>
  <c r="G751" i="5"/>
  <c r="U753" i="8" s="1"/>
  <c r="AI401" i="8"/>
  <c r="N753" i="8"/>
  <c r="G427" i="5"/>
  <c r="U429" i="8" s="1"/>
  <c r="AA686" i="8"/>
  <c r="AA393" i="8"/>
  <c r="N56" i="8"/>
  <c r="AI485" i="8"/>
  <c r="T485" i="8"/>
  <c r="N485" i="8"/>
  <c r="G485" i="5"/>
  <c r="U487" i="8" s="1"/>
  <c r="T487" i="8"/>
  <c r="N487" i="8"/>
  <c r="T200" i="8"/>
  <c r="AI200" i="8"/>
  <c r="AA200" i="8"/>
  <c r="T731" i="8"/>
  <c r="AA731" i="8"/>
  <c r="AI731" i="8"/>
  <c r="AA398" i="8"/>
  <c r="N398" i="8"/>
  <c r="AI398" i="8"/>
  <c r="T972" i="8"/>
  <c r="N972" i="8"/>
  <c r="AA972" i="8"/>
  <c r="AI876" i="8"/>
  <c r="G874" i="5"/>
  <c r="U876" i="8" s="1"/>
  <c r="AA876" i="8"/>
  <c r="T876" i="8"/>
  <c r="G486" i="5"/>
  <c r="U488" i="8" s="1"/>
  <c r="AA479" i="8"/>
  <c r="AI393" i="8"/>
  <c r="T488" i="8"/>
  <c r="G208" i="5"/>
  <c r="U210" i="8" s="1"/>
  <c r="AA210" i="8"/>
  <c r="N763" i="8"/>
  <c r="G761" i="5"/>
  <c r="U763" i="8" s="1"/>
  <c r="G868" i="5"/>
  <c r="U870" i="8" s="1"/>
  <c r="AA870" i="8"/>
  <c r="G94" i="5"/>
  <c r="U96" i="8" s="1"/>
  <c r="AI96" i="8"/>
  <c r="T96" i="8"/>
  <c r="N96" i="8"/>
  <c r="AI163" i="8"/>
  <c r="N163" i="8"/>
  <c r="T163" i="8"/>
  <c r="N587" i="8"/>
  <c r="AA587" i="8"/>
  <c r="AI587" i="8"/>
  <c r="AI509" i="8"/>
  <c r="T509" i="8"/>
  <c r="AA509" i="8"/>
  <c r="N509" i="8"/>
  <c r="AA469" i="8"/>
  <c r="AI62" i="8"/>
  <c r="AI72" i="8"/>
  <c r="N47" i="8"/>
  <c r="T379" i="8"/>
  <c r="G461" i="5"/>
  <c r="U463" i="8" s="1"/>
  <c r="AA968" i="8"/>
  <c r="AA893" i="8"/>
  <c r="AI841" i="8"/>
  <c r="T982" i="8"/>
  <c r="N419" i="8"/>
  <c r="G387" i="5"/>
  <c r="U389" i="8" s="1"/>
  <c r="G970" i="5"/>
  <c r="U972" i="8" s="1"/>
  <c r="G903" i="5"/>
  <c r="U905" i="8" s="1"/>
  <c r="G507" i="5"/>
  <c r="U509" i="8" s="1"/>
  <c r="G687" i="5"/>
  <c r="U689" i="8" s="1"/>
  <c r="G694" i="5"/>
  <c r="U696" i="8" s="1"/>
  <c r="G706" i="5"/>
  <c r="U708" i="8" s="1"/>
  <c r="AA885" i="8"/>
  <c r="AA47" i="8"/>
  <c r="AA429" i="8"/>
  <c r="AI291" i="8"/>
  <c r="AI797" i="8"/>
  <c r="AA379" i="8"/>
  <c r="T45" i="8"/>
  <c r="G281" i="5"/>
  <c r="U283" i="8" s="1"/>
  <c r="G103" i="5"/>
  <c r="U105" i="8" s="1"/>
  <c r="AI47" i="8"/>
  <c r="AI981" i="8"/>
  <c r="N401" i="8"/>
  <c r="N425" i="8"/>
  <c r="T664" i="8"/>
  <c r="N525" i="8"/>
  <c r="T564" i="8"/>
  <c r="G406" i="5"/>
  <c r="U408" i="8" s="1"/>
  <c r="AA685" i="8"/>
  <c r="AI44" i="8"/>
  <c r="AA430" i="8"/>
  <c r="N610" i="8"/>
  <c r="N858" i="8"/>
  <c r="N437" i="8"/>
  <c r="T946" i="8"/>
  <c r="G612" i="5"/>
  <c r="U614" i="8" s="1"/>
  <c r="AI614" i="8"/>
  <c r="AI352" i="8"/>
  <c r="AA523" i="8"/>
  <c r="N481" i="8"/>
  <c r="N960" i="8"/>
  <c r="N44" i="8"/>
  <c r="AI872" i="8"/>
  <c r="N414" i="8"/>
  <c r="T296" i="8"/>
  <c r="AA618" i="8"/>
  <c r="AA919" i="8"/>
  <c r="AA767" i="8"/>
  <c r="N776" i="8"/>
  <c r="N58" i="8"/>
  <c r="T414" i="8"/>
  <c r="N345" i="8"/>
  <c r="T767" i="8"/>
  <c r="G686" i="5"/>
  <c r="U688" i="8" s="1"/>
  <c r="AI368" i="8"/>
  <c r="AI618" i="8"/>
  <c r="AA447" i="8"/>
  <c r="AA647" i="8"/>
  <c r="AA734" i="8"/>
  <c r="T776" i="8"/>
  <c r="T58" i="8"/>
  <c r="T481" i="8"/>
  <c r="T467" i="8"/>
  <c r="N569" i="8"/>
  <c r="T960" i="8"/>
  <c r="T359" i="8"/>
  <c r="T345" i="8"/>
  <c r="N385" i="8"/>
  <c r="N455" i="8"/>
  <c r="T566" i="8"/>
  <c r="AA274" i="8"/>
  <c r="AA359" i="8"/>
  <c r="AA591" i="8"/>
  <c r="AA383" i="8"/>
  <c r="AA203" i="8"/>
  <c r="AA219" i="8"/>
  <c r="AA874" i="8"/>
  <c r="AI647" i="8"/>
  <c r="AI245" i="8"/>
  <c r="N853" i="8"/>
  <c r="N236" i="8"/>
  <c r="N55" i="8"/>
  <c r="N302" i="8"/>
  <c r="T569" i="8"/>
  <c r="N270" i="8"/>
  <c r="T383" i="8"/>
  <c r="T385" i="8"/>
  <c r="N987" i="8"/>
  <c r="N549" i="8"/>
  <c r="N374" i="8"/>
  <c r="T455" i="8"/>
  <c r="AA239" i="8"/>
  <c r="T853" i="8"/>
  <c r="N408" i="8"/>
  <c r="T374" i="8"/>
  <c r="N151" i="8"/>
  <c r="N872" i="8"/>
  <c r="N618" i="8"/>
  <c r="G856" i="5"/>
  <c r="U858" i="8" s="1"/>
  <c r="G616" i="5"/>
  <c r="U618" i="8" s="1"/>
  <c r="T812" i="8"/>
  <c r="G516" i="5"/>
  <c r="U518" i="8" s="1"/>
  <c r="G174" i="5"/>
  <c r="U176" i="8" s="1"/>
  <c r="G439" i="5"/>
  <c r="U441" i="8" s="1"/>
  <c r="G851" i="5"/>
  <c r="U853" i="8" s="1"/>
  <c r="G958" i="5"/>
  <c r="U960" i="8" s="1"/>
  <c r="G953" i="5"/>
  <c r="U955" i="8" s="1"/>
  <c r="G974" i="5"/>
  <c r="U976" i="8" s="1"/>
  <c r="AI692" i="8"/>
  <c r="AI58" i="8"/>
  <c r="AA836" i="8"/>
  <c r="AA960" i="8"/>
  <c r="AI383" i="8"/>
  <c r="AA518" i="8"/>
  <c r="AA848" i="8"/>
  <c r="AA154" i="8"/>
  <c r="AI203" i="8"/>
  <c r="AA688" i="8"/>
  <c r="AI513" i="8"/>
  <c r="T55" i="8"/>
  <c r="N208" i="8"/>
  <c r="N614" i="8"/>
  <c r="T270" i="8"/>
  <c r="T987" i="8"/>
  <c r="G350" i="5"/>
  <c r="U352" i="8" s="1"/>
  <c r="G988" i="5"/>
  <c r="U990" i="8" s="1"/>
  <c r="G563" i="5"/>
  <c r="U565" i="8" s="1"/>
  <c r="G268" i="5"/>
  <c r="U270" i="8" s="1"/>
  <c r="AA452" i="8"/>
  <c r="AA236" i="8"/>
  <c r="AI266" i="8"/>
  <c r="AA715" i="8"/>
  <c r="AA930" i="8"/>
  <c r="AA174" i="8"/>
  <c r="AA535" i="8"/>
  <c r="N435" i="8"/>
  <c r="T151" i="8"/>
  <c r="N166" i="8"/>
  <c r="T166" i="8"/>
  <c r="T675" i="8"/>
  <c r="N675" i="8"/>
  <c r="N400" i="8"/>
  <c r="AI400" i="8"/>
  <c r="AA400" i="8"/>
  <c r="N291" i="8"/>
  <c r="G255" i="5"/>
  <c r="U257" i="8" s="1"/>
  <c r="AA268" i="8"/>
  <c r="T786" i="8"/>
  <c r="N303" i="8"/>
  <c r="AA303" i="8"/>
  <c r="T337" i="8"/>
  <c r="AI337" i="8"/>
  <c r="N337" i="8"/>
  <c r="AA337" i="8"/>
  <c r="AI761" i="8"/>
  <c r="T523" i="8"/>
  <c r="AI70" i="8"/>
  <c r="AA70" i="8"/>
  <c r="N453" i="8"/>
  <c r="G451" i="5"/>
  <c r="U453" i="8" s="1"/>
  <c r="G68" i="5"/>
  <c r="U70" i="8" s="1"/>
  <c r="G619" i="5"/>
  <c r="U621" i="8" s="1"/>
  <c r="AA272" i="8"/>
  <c r="N172" i="8"/>
  <c r="T9" i="8"/>
  <c r="AI9" i="8"/>
  <c r="AA9" i="8"/>
  <c r="G673" i="5"/>
  <c r="U675" i="8" s="1"/>
  <c r="AA485" i="8"/>
  <c r="AI544" i="8"/>
  <c r="AA362" i="8"/>
  <c r="N727" i="8"/>
  <c r="AI16" i="8"/>
  <c r="AA16" i="8"/>
  <c r="G14" i="5"/>
  <c r="U16" i="8" s="1"/>
  <c r="G885" i="5"/>
  <c r="U887" i="8" s="1"/>
  <c r="G341" i="5"/>
  <c r="U343" i="8" s="1"/>
  <c r="G475" i="5"/>
  <c r="U477" i="8" s="1"/>
  <c r="AI477" i="8"/>
  <c r="AA477" i="8"/>
  <c r="AI802" i="8"/>
  <c r="AA802" i="8"/>
  <c r="T861" i="8"/>
  <c r="G859" i="5"/>
  <c r="U861" i="8" s="1"/>
  <c r="N861" i="8"/>
  <c r="AA189" i="8"/>
  <c r="G187" i="5"/>
  <c r="U189" i="8" s="1"/>
  <c r="N426" i="8"/>
  <c r="G424" i="5"/>
  <c r="U426" i="8" s="1"/>
  <c r="AI801" i="8"/>
  <c r="T801" i="8"/>
  <c r="AA801" i="8"/>
  <c r="N801" i="8"/>
  <c r="AA249" i="8"/>
  <c r="G247" i="5"/>
  <c r="U249" i="8" s="1"/>
  <c r="AA861" i="8"/>
  <c r="N786" i="8"/>
  <c r="T400" i="8"/>
  <c r="T818" i="8"/>
  <c r="N818" i="8"/>
  <c r="AI818" i="8"/>
  <c r="T681" i="8"/>
  <c r="G679" i="5"/>
  <c r="U681" i="8" s="1"/>
  <c r="N681" i="8"/>
  <c r="AI681" i="8"/>
  <c r="AA681" i="8"/>
  <c r="T261" i="8"/>
  <c r="N261" i="8"/>
  <c r="G259" i="5"/>
  <c r="U261" i="8" s="1"/>
  <c r="AI179" i="8"/>
  <c r="AA179" i="8"/>
  <c r="T179" i="8"/>
  <c r="N179" i="8"/>
  <c r="AI155" i="8"/>
  <c r="AA155" i="8"/>
  <c r="G18" i="5"/>
  <c r="U20" i="8" s="1"/>
  <c r="AI20" i="8"/>
  <c r="AA20" i="8"/>
  <c r="AI50" i="8"/>
  <c r="AA50" i="8"/>
  <c r="AI242" i="8"/>
  <c r="AA242" i="8"/>
  <c r="AI146" i="8"/>
  <c r="AA257" i="8"/>
  <c r="AA761" i="8"/>
  <c r="AI861" i="8"/>
  <c r="AI947" i="8"/>
  <c r="N523" i="8"/>
  <c r="T909" i="8"/>
  <c r="N189" i="8"/>
  <c r="N83" i="8"/>
  <c r="T304" i="8"/>
  <c r="G467" i="5"/>
  <c r="U469" i="8" s="1"/>
  <c r="T469" i="8"/>
  <c r="N469" i="8"/>
  <c r="N550" i="8"/>
  <c r="G548" i="5"/>
  <c r="U550" i="8" s="1"/>
  <c r="G189" i="5"/>
  <c r="U191" i="8" s="1"/>
  <c r="T191" i="8"/>
  <c r="N191" i="8"/>
  <c r="AI191" i="8"/>
  <c r="AA191" i="8"/>
  <c r="AA586" i="8"/>
  <c r="T586" i="8"/>
  <c r="T71" i="8"/>
  <c r="AI71" i="8"/>
  <c r="N71" i="8"/>
  <c r="AA71" i="8"/>
  <c r="AI982" i="8"/>
  <c r="AA982" i="8"/>
  <c r="AI262" i="8"/>
  <c r="AA262" i="8"/>
  <c r="T502" i="8"/>
  <c r="N502" i="8"/>
  <c r="AI201" i="8"/>
  <c r="T201" i="8"/>
  <c r="AA201" i="8"/>
  <c r="N201" i="8"/>
  <c r="AI334" i="8"/>
  <c r="AA334" i="8"/>
  <c r="AI790" i="8"/>
  <c r="G788" i="5"/>
  <c r="U790" i="8" s="1"/>
  <c r="AA790" i="8"/>
  <c r="G170" i="5"/>
  <c r="U172" i="8" s="1"/>
  <c r="AA320" i="8"/>
  <c r="AA1000" i="8"/>
  <c r="T398" i="8"/>
  <c r="T320" i="8"/>
  <c r="N348" i="8"/>
  <c r="T550" i="8"/>
  <c r="T83" i="8"/>
  <c r="N405" i="8"/>
  <c r="AI904" i="8"/>
  <c r="AA904" i="8"/>
  <c r="G236" i="5"/>
  <c r="U238" i="8" s="1"/>
  <c r="T238" i="8"/>
  <c r="AA116" i="8"/>
  <c r="G114" i="5"/>
  <c r="U116" i="8" s="1"/>
  <c r="AA954" i="8"/>
  <c r="T954" i="8"/>
  <c r="G403" i="5"/>
  <c r="U405" i="8" s="1"/>
  <c r="G990" i="5"/>
  <c r="U992" i="8" s="1"/>
  <c r="AI320" i="8"/>
  <c r="N904" i="8"/>
  <c r="N915" i="8"/>
  <c r="N292" i="8"/>
  <c r="T242" i="8"/>
  <c r="N887" i="8"/>
  <c r="N14" i="8"/>
  <c r="T206" i="8"/>
  <c r="N731" i="8"/>
  <c r="N392" i="8"/>
  <c r="AI392" i="8"/>
  <c r="AA392" i="8"/>
  <c r="G390" i="5"/>
  <c r="U392" i="8" s="1"/>
  <c r="N511" i="8"/>
  <c r="G509" i="5"/>
  <c r="U511" i="8" s="1"/>
  <c r="AI921" i="8"/>
  <c r="AA921" i="8"/>
  <c r="AI712" i="8"/>
  <c r="T712" i="8"/>
  <c r="AA712" i="8"/>
  <c r="N712" i="8"/>
  <c r="T221" i="8"/>
  <c r="AI221" i="8"/>
  <c r="N221" i="8"/>
  <c r="AA221" i="8"/>
  <c r="T600" i="8"/>
  <c r="N600" i="8"/>
  <c r="N273" i="8"/>
  <c r="AA273" i="8"/>
  <c r="T501" i="8"/>
  <c r="N501" i="8"/>
  <c r="G198" i="5"/>
  <c r="U200" i="8" s="1"/>
  <c r="G585" i="5"/>
  <c r="U587" i="8" s="1"/>
  <c r="G786" i="5"/>
  <c r="U788" i="8" s="1"/>
  <c r="G779" i="5"/>
  <c r="U781" i="8" s="1"/>
  <c r="G878" i="5"/>
  <c r="U880" i="8" s="1"/>
  <c r="G335" i="5"/>
  <c r="U337" i="8" s="1"/>
  <c r="AA341" i="8"/>
  <c r="AA674" i="8"/>
  <c r="AA237" i="8"/>
  <c r="AI249" i="8"/>
  <c r="AA172" i="8"/>
  <c r="AA625" i="8"/>
  <c r="T236" i="8"/>
  <c r="T904" i="8"/>
  <c r="T915" i="8"/>
  <c r="T834" i="8"/>
  <c r="T887" i="8"/>
  <c r="T334" i="8"/>
  <c r="N200" i="8"/>
  <c r="N797" i="8"/>
  <c r="T781" i="8"/>
  <c r="N921" i="8"/>
  <c r="T172" i="8"/>
  <c r="N920" i="8"/>
  <c r="AI920" i="8"/>
  <c r="AA920" i="8"/>
  <c r="AI315" i="8"/>
  <c r="AA315" i="8"/>
  <c r="T131" i="8"/>
  <c r="N131" i="8"/>
  <c r="AI131" i="8"/>
  <c r="AI884" i="8"/>
  <c r="AA884" i="8"/>
  <c r="T884" i="8"/>
  <c r="N884" i="8"/>
  <c r="N87" i="8"/>
  <c r="G85" i="5"/>
  <c r="U87" i="8" s="1"/>
  <c r="AI537" i="8"/>
  <c r="T537" i="8"/>
  <c r="N591" i="8"/>
  <c r="G589" i="5"/>
  <c r="U591" i="8" s="1"/>
  <c r="G621" i="5"/>
  <c r="U623" i="8" s="1"/>
  <c r="T623" i="8"/>
  <c r="G570" i="5"/>
  <c r="U572" i="8" s="1"/>
  <c r="T572" i="8"/>
  <c r="AI572" i="8"/>
  <c r="N572" i="8"/>
  <c r="AA572" i="8"/>
  <c r="G979" i="5"/>
  <c r="U981" i="8" s="1"/>
  <c r="G816" i="5"/>
  <c r="U818" i="8" s="1"/>
  <c r="AI341" i="8"/>
  <c r="AI919" i="8"/>
  <c r="AA286" i="8"/>
  <c r="AI679" i="8"/>
  <c r="AI625" i="8"/>
  <c r="N184" i="8"/>
  <c r="N715" i="8"/>
  <c r="T477" i="8"/>
  <c r="T249" i="8"/>
  <c r="N415" i="8"/>
  <c r="N666" i="8"/>
  <c r="T849" i="8"/>
  <c r="AI358" i="8"/>
  <c r="AA358" i="8"/>
  <c r="AI40" i="8"/>
  <c r="AA40" i="8"/>
  <c r="G38" i="5"/>
  <c r="U40" i="8" s="1"/>
  <c r="AI549" i="8"/>
  <c r="AA549" i="8"/>
  <c r="T498" i="8"/>
  <c r="N498" i="8"/>
  <c r="AI889" i="8"/>
  <c r="T889" i="8"/>
  <c r="AI137" i="8"/>
  <c r="T137" i="8"/>
  <c r="AA137" i="8"/>
  <c r="N137" i="8"/>
  <c r="AI966" i="8"/>
  <c r="AA966" i="8"/>
  <c r="AI120" i="8"/>
  <c r="AA120" i="8"/>
  <c r="AI217" i="8"/>
  <c r="T217" i="8"/>
  <c r="AA217" i="8"/>
  <c r="N217" i="8"/>
  <c r="G448" i="5"/>
  <c r="U450" i="8" s="1"/>
  <c r="AI450" i="8"/>
  <c r="T450" i="8"/>
  <c r="AA450" i="8"/>
  <c r="T650" i="8"/>
  <c r="G648" i="5"/>
  <c r="U650" i="8" s="1"/>
  <c r="N650" i="8"/>
  <c r="N446" i="8"/>
  <c r="G444" i="5"/>
  <c r="U446" i="8" s="1"/>
  <c r="G459" i="5"/>
  <c r="U461" i="8" s="1"/>
  <c r="G308" i="5"/>
  <c r="U310" i="8" s="1"/>
  <c r="AA164" i="8"/>
  <c r="AA54" i="8"/>
  <c r="AA600" i="8"/>
  <c r="AA223" i="8"/>
  <c r="AA302" i="8"/>
  <c r="AI569" i="8"/>
  <c r="AA955" i="8"/>
  <c r="AI675" i="8"/>
  <c r="AI286" i="8"/>
  <c r="AA595" i="8"/>
  <c r="AI374" i="8"/>
  <c r="AI946" i="8"/>
  <c r="AI998" i="8"/>
  <c r="AA575" i="8"/>
  <c r="AA343" i="8"/>
  <c r="AA831" i="8"/>
  <c r="AA363" i="8"/>
  <c r="AA511" i="8"/>
  <c r="AA395" i="8"/>
  <c r="T763" i="8"/>
  <c r="T452" i="8"/>
  <c r="T184" i="8"/>
  <c r="T435" i="8"/>
  <c r="N543" i="8"/>
  <c r="N358" i="8"/>
  <c r="N170" i="8"/>
  <c r="T176" i="8"/>
  <c r="N36" i="8"/>
  <c r="T423" i="8"/>
  <c r="T520" i="8"/>
  <c r="N865" i="8"/>
  <c r="N696" i="8"/>
  <c r="T802" i="8"/>
  <c r="N286" i="8"/>
  <c r="T391" i="8"/>
  <c r="N362" i="8"/>
  <c r="T40" i="8"/>
  <c r="N260" i="8"/>
  <c r="T666" i="8"/>
  <c r="N513" i="8"/>
  <c r="N878" i="8"/>
  <c r="N16" i="8"/>
  <c r="N790" i="8"/>
  <c r="G389" i="5"/>
  <c r="U391" i="8" s="1"/>
  <c r="G201" i="5"/>
  <c r="U203" i="8" s="1"/>
  <c r="G470" i="5"/>
  <c r="U472" i="8" s="1"/>
  <c r="G215" i="5"/>
  <c r="U217" i="8" s="1"/>
  <c r="G863" i="5"/>
  <c r="U865" i="8" s="1"/>
  <c r="G976" i="5"/>
  <c r="U978" i="8" s="1"/>
  <c r="G550" i="5"/>
  <c r="U552" i="8" s="1"/>
  <c r="G573" i="5"/>
  <c r="U575" i="8" s="1"/>
  <c r="G393" i="5"/>
  <c r="U395" i="8" s="1"/>
  <c r="G547" i="5"/>
  <c r="U549" i="8" s="1"/>
  <c r="G26" i="5"/>
  <c r="U28" i="8" s="1"/>
  <c r="G996" i="5"/>
  <c r="U998" i="8" s="1"/>
  <c r="G511" i="5"/>
  <c r="U513" i="8" s="1"/>
  <c r="AI445" i="8"/>
  <c r="AI164" i="8"/>
  <c r="AI54" i="8"/>
  <c r="AI600" i="8"/>
  <c r="AA915" i="8"/>
  <c r="AA727" i="8"/>
  <c r="AI487" i="8"/>
  <c r="AI302" i="8"/>
  <c r="AI273" i="8"/>
  <c r="AA443" i="8"/>
  <c r="AI865" i="8"/>
  <c r="AA238" i="8"/>
  <c r="AI955" i="8"/>
  <c r="AA14" i="8"/>
  <c r="AA929" i="8"/>
  <c r="AA437" i="8"/>
  <c r="AA943" i="8"/>
  <c r="AA256" i="8"/>
  <c r="AA565" i="8"/>
  <c r="AI575" i="8"/>
  <c r="AI343" i="8"/>
  <c r="AI831" i="8"/>
  <c r="AI363" i="8"/>
  <c r="AI511" i="8"/>
  <c r="AI395" i="8"/>
  <c r="N341" i="8"/>
  <c r="N1003" i="8"/>
  <c r="N48" i="8"/>
  <c r="N919" i="8"/>
  <c r="T358" i="8"/>
  <c r="T453" i="8"/>
  <c r="N257" i="8"/>
  <c r="T36" i="8"/>
  <c r="N120" i="8"/>
  <c r="T865" i="8"/>
  <c r="N496" i="8"/>
  <c r="T286" i="8"/>
  <c r="T362" i="8"/>
  <c r="T513" i="8"/>
  <c r="T16" i="8"/>
  <c r="N363" i="8"/>
  <c r="N256" i="8"/>
  <c r="T790" i="8"/>
  <c r="G795" i="5"/>
  <c r="U797" i="8" s="1"/>
  <c r="G800" i="5"/>
  <c r="U802" i="8" s="1"/>
  <c r="G919" i="5"/>
  <c r="U921" i="8" s="1"/>
  <c r="G793" i="5"/>
  <c r="U795" i="8" s="1"/>
  <c r="AA788" i="8"/>
  <c r="AA927" i="8"/>
  <c r="AA156" i="8"/>
  <c r="AA261" i="8"/>
  <c r="AA435" i="8"/>
  <c r="AI915" i="8"/>
  <c r="AI467" i="8"/>
  <c r="AI727" i="8"/>
  <c r="AA28" i="8"/>
  <c r="AI586" i="8"/>
  <c r="AA507" i="8"/>
  <c r="AA501" i="8"/>
  <c r="AI238" i="8"/>
  <c r="AA198" i="8"/>
  <c r="AI14" i="8"/>
  <c r="AI929" i="8"/>
  <c r="AA57" i="8"/>
  <c r="AA537" i="8"/>
  <c r="AA610" i="8"/>
  <c r="AI437" i="8"/>
  <c r="AI256" i="8"/>
  <c r="AA525" i="8"/>
  <c r="AA992" i="8"/>
  <c r="AA49" i="8"/>
  <c r="AA990" i="8"/>
  <c r="T341" i="8"/>
  <c r="T1003" i="8"/>
  <c r="T48" i="8"/>
  <c r="T919" i="8"/>
  <c r="N791" i="8"/>
  <c r="T257" i="8"/>
  <c r="T685" i="8"/>
  <c r="N272" i="8"/>
  <c r="T120" i="8"/>
  <c r="N238" i="8"/>
  <c r="N192" i="8"/>
  <c r="T496" i="8"/>
  <c r="N647" i="8"/>
  <c r="N343" i="8"/>
  <c r="N831" i="8"/>
  <c r="N41" i="8"/>
  <c r="T511" i="8"/>
  <c r="T256" i="8"/>
  <c r="AI928" i="8"/>
  <c r="AA928" i="8"/>
  <c r="T928" i="8"/>
  <c r="N978" i="8"/>
  <c r="AI978" i="8"/>
  <c r="AA978" i="8"/>
  <c r="T788" i="8"/>
  <c r="T49" i="8"/>
  <c r="T52" i="8"/>
  <c r="AI52" i="8"/>
  <c r="AA52" i="8"/>
  <c r="T380" i="8"/>
  <c r="N380" i="8"/>
  <c r="AI74" i="8"/>
  <c r="AA74" i="8"/>
  <c r="T74" i="8"/>
  <c r="N74" i="8"/>
  <c r="G72" i="5"/>
  <c r="U74" i="8" s="1"/>
  <c r="G164" i="5"/>
  <c r="T302" i="8"/>
  <c r="T20" i="8"/>
  <c r="AA550" i="8"/>
  <c r="N242" i="8"/>
  <c r="T552" i="8"/>
  <c r="AI892" i="8"/>
  <c r="T892" i="8"/>
  <c r="AA892" i="8"/>
  <c r="G890" i="5"/>
  <c r="U892" i="8" s="1"/>
  <c r="N892" i="8"/>
  <c r="T174" i="8"/>
  <c r="N174" i="8"/>
  <c r="AI220" i="8"/>
  <c r="T220" i="8"/>
  <c r="AI878" i="8"/>
  <c r="AA878" i="8"/>
  <c r="G56" i="5"/>
  <c r="U58" i="8" s="1"/>
  <c r="AA461" i="8"/>
  <c r="AI303" i="8"/>
  <c r="T947" i="8"/>
  <c r="T154" i="8"/>
  <c r="N154" i="8"/>
  <c r="AI1003" i="8"/>
  <c r="AI674" i="8"/>
  <c r="AA348" i="8"/>
  <c r="AA166" i="8"/>
  <c r="AI239" i="8"/>
  <c r="AI453" i="8"/>
  <c r="N452" i="8"/>
  <c r="T587" i="8"/>
  <c r="T797" i="8"/>
  <c r="T921" i="8"/>
  <c r="T727" i="8"/>
  <c r="T1004" i="8"/>
  <c r="N1004" i="8"/>
  <c r="G243" i="5"/>
  <c r="U245" i="8" s="1"/>
  <c r="G598" i="5"/>
  <c r="U600" i="8" s="1"/>
  <c r="G172" i="5"/>
  <c r="U174" i="8" s="1"/>
  <c r="G332" i="5"/>
  <c r="U334" i="8" s="1"/>
  <c r="AA336" i="8"/>
  <c r="AA163" i="8"/>
  <c r="AA83" i="8"/>
  <c r="AA880" i="8"/>
  <c r="AI610" i="8"/>
  <c r="AA889" i="8"/>
  <c r="AA426" i="8"/>
  <c r="AA455" i="8"/>
  <c r="AI525" i="8"/>
  <c r="AI992" i="8"/>
  <c r="AI49" i="8"/>
  <c r="N445" i="8"/>
  <c r="N164" i="8"/>
  <c r="N54" i="8"/>
  <c r="N266" i="8"/>
  <c r="N928" i="8"/>
  <c r="T791" i="8"/>
  <c r="T62" i="8"/>
  <c r="T272" i="8"/>
  <c r="N155" i="8"/>
  <c r="N981" i="8"/>
  <c r="N930" i="8"/>
  <c r="N57" i="8"/>
  <c r="N352" i="8"/>
  <c r="N575" i="8"/>
  <c r="T831" i="8"/>
  <c r="N625" i="8"/>
  <c r="T472" i="8"/>
  <c r="N870" i="8"/>
  <c r="N146" i="8"/>
  <c r="AI621" i="8"/>
  <c r="AA621" i="8"/>
  <c r="AI198" i="8"/>
  <c r="T198" i="8"/>
  <c r="T814" i="8"/>
  <c r="N814" i="8"/>
  <c r="AI814" i="8"/>
  <c r="AI619" i="8"/>
  <c r="AA619" i="8"/>
  <c r="T1000" i="8"/>
  <c r="N1000" i="8"/>
  <c r="AI1000" i="8"/>
  <c r="N909" i="8"/>
  <c r="AI909" i="8"/>
  <c r="T964" i="8"/>
  <c r="AI964" i="8"/>
  <c r="N964" i="8"/>
  <c r="AA964" i="8"/>
  <c r="G962" i="5"/>
  <c r="U964" i="8" s="1"/>
  <c r="T761" i="8"/>
  <c r="N761" i="8"/>
  <c r="AI405" i="8"/>
  <c r="T405" i="8"/>
  <c r="G34" i="5"/>
  <c r="U36" i="8" s="1"/>
  <c r="AA36" i="8"/>
  <c r="AA947" i="8"/>
  <c r="AA791" i="8"/>
  <c r="N304" i="8"/>
  <c r="N339" i="8"/>
  <c r="AI339" i="8"/>
  <c r="AA339" i="8"/>
  <c r="T601" i="8"/>
  <c r="G599" i="5"/>
  <c r="U601" i="8" s="1"/>
  <c r="N601" i="8"/>
  <c r="T170" i="8"/>
  <c r="AI170" i="8"/>
  <c r="G413" i="5"/>
  <c r="U415" i="8" s="1"/>
  <c r="AI415" i="8"/>
  <c r="AA415" i="8"/>
  <c r="AI781" i="8"/>
  <c r="AI523" i="8"/>
  <c r="AI791" i="8"/>
  <c r="N320" i="8"/>
  <c r="T291" i="8"/>
  <c r="T799" i="8"/>
  <c r="N799" i="8"/>
  <c r="G797" i="5"/>
  <c r="U799" i="8" s="1"/>
  <c r="AI607" i="8"/>
  <c r="T607" i="8"/>
  <c r="AA607" i="8"/>
  <c r="T544" i="8"/>
  <c r="N544" i="8"/>
  <c r="N10" i="8"/>
  <c r="AI10" i="8"/>
  <c r="AA10" i="8"/>
  <c r="AI325" i="8"/>
  <c r="T325" i="8"/>
  <c r="T237" i="8"/>
  <c r="N237" i="8"/>
  <c r="T718" i="8"/>
  <c r="AI718" i="8"/>
  <c r="AA837" i="8"/>
  <c r="G835" i="5"/>
  <c r="U837" i="8" s="1"/>
  <c r="T837" i="8"/>
  <c r="N837" i="8"/>
  <c r="AA184" i="8"/>
  <c r="AI268" i="8"/>
  <c r="AA887" i="8"/>
  <c r="AI496" i="8"/>
  <c r="AA799" i="8"/>
  <c r="AA601" i="8"/>
  <c r="N607" i="8"/>
  <c r="N586" i="8"/>
  <c r="T189" i="8"/>
  <c r="N621" i="8"/>
  <c r="N335" i="8"/>
  <c r="AA335" i="8"/>
  <c r="AI292" i="8"/>
  <c r="AA292" i="8"/>
  <c r="N451" i="8"/>
  <c r="AA451" i="8"/>
  <c r="G449" i="5"/>
  <c r="U451" i="8" s="1"/>
  <c r="AI571" i="8"/>
  <c r="T571" i="8"/>
  <c r="AA571" i="8"/>
  <c r="N571" i="8"/>
  <c r="G569" i="5"/>
  <c r="U571" i="8" s="1"/>
  <c r="AI41" i="8"/>
  <c r="AA41" i="8"/>
  <c r="N206" i="8"/>
  <c r="AI206" i="8"/>
  <c r="AA206" i="8"/>
  <c r="N66" i="8"/>
  <c r="G64" i="5"/>
  <c r="U66" i="8" s="1"/>
  <c r="AI66" i="8"/>
  <c r="G177" i="5"/>
  <c r="U179" i="8" s="1"/>
  <c r="AI763" i="8"/>
  <c r="AI184" i="8"/>
  <c r="AI550" i="8"/>
  <c r="AA544" i="8"/>
  <c r="AI502" i="8"/>
  <c r="N947" i="8"/>
  <c r="T348" i="8"/>
  <c r="N834" i="8"/>
  <c r="N929" i="8"/>
  <c r="N334" i="8"/>
  <c r="AI687" i="8"/>
  <c r="T687" i="8"/>
  <c r="AA687" i="8"/>
  <c r="N687" i="8"/>
  <c r="G120" i="5"/>
  <c r="U122" i="8" s="1"/>
  <c r="T122" i="8"/>
  <c r="N122" i="8"/>
  <c r="AI122" i="8"/>
  <c r="AA122" i="8"/>
  <c r="AI661" i="8"/>
  <c r="AA661" i="8"/>
  <c r="G659" i="5"/>
  <c r="U661" i="8" s="1"/>
  <c r="T661" i="8"/>
  <c r="T280" i="8"/>
  <c r="N280" i="8"/>
  <c r="AI296" i="8"/>
  <c r="AA296" i="8"/>
  <c r="T507" i="8"/>
  <c r="N507" i="8"/>
  <c r="AA849" i="8"/>
  <c r="G847" i="5"/>
  <c r="U849" i="8" s="1"/>
  <c r="T443" i="8"/>
  <c r="N443" i="8"/>
  <c r="AI666" i="8"/>
  <c r="AA666" i="8"/>
  <c r="T430" i="8"/>
  <c r="N430" i="8"/>
  <c r="T943" i="8"/>
  <c r="G941" i="5"/>
  <c r="U943" i="8" s="1"/>
  <c r="N943" i="8"/>
  <c r="T408" i="8"/>
  <c r="AI408" i="8"/>
  <c r="T674" i="8"/>
  <c r="N674" i="8"/>
  <c r="G638" i="5"/>
  <c r="U640" i="8" s="1"/>
  <c r="T640" i="8"/>
  <c r="N640" i="8"/>
  <c r="T543" i="8"/>
  <c r="AI543" i="8"/>
  <c r="G541" i="5"/>
  <c r="U543" i="8" s="1"/>
  <c r="G505" i="5"/>
  <c r="U507" i="8" s="1"/>
  <c r="G729" i="5"/>
  <c r="U731" i="8" s="1"/>
  <c r="G323" i="5"/>
  <c r="U325" i="8" s="1"/>
  <c r="AA1003" i="8"/>
  <c r="AA48" i="8"/>
  <c r="AA718" i="8"/>
  <c r="AI272" i="8"/>
  <c r="AA310" i="8"/>
  <c r="AA894" i="8"/>
  <c r="AA453" i="8"/>
  <c r="T292" i="8"/>
  <c r="N676" i="8"/>
  <c r="N477" i="8"/>
  <c r="N220" i="8"/>
  <c r="T929" i="8"/>
  <c r="N249" i="8"/>
  <c r="N50" i="8"/>
  <c r="N849" i="8"/>
  <c r="N70" i="8"/>
  <c r="T104" i="8"/>
  <c r="N104" i="8"/>
  <c r="T715" i="8"/>
  <c r="AI715" i="8"/>
  <c r="AI592" i="8"/>
  <c r="AA592" i="8"/>
  <c r="T592" i="8"/>
  <c r="N592" i="8"/>
  <c r="T239" i="8"/>
  <c r="N239" i="8"/>
  <c r="G167" i="5"/>
  <c r="U169" i="8" s="1"/>
  <c r="T169" i="8"/>
  <c r="T848" i="8"/>
  <c r="N848" i="8"/>
  <c r="G312" i="5"/>
  <c r="U314" i="8" s="1"/>
  <c r="T314" i="8"/>
  <c r="AI314" i="8"/>
  <c r="N314" i="8"/>
  <c r="AA314" i="8"/>
  <c r="T874" i="8"/>
  <c r="N874" i="8"/>
  <c r="AI874" i="8"/>
  <c r="AI259" i="8"/>
  <c r="AA259" i="8"/>
  <c r="G257" i="5"/>
  <c r="U259" i="8" s="1"/>
  <c r="G940" i="5"/>
  <c r="U942" i="8" s="1"/>
  <c r="T942" i="8"/>
  <c r="N942" i="8"/>
  <c r="AI942" i="8"/>
  <c r="AA942" i="8"/>
  <c r="G876" i="5"/>
  <c r="U878" i="8" s="1"/>
  <c r="G907" i="5"/>
  <c r="U909" i="8" s="1"/>
  <c r="G40" i="5"/>
  <c r="U42" i="8" s="1"/>
  <c r="G710" i="5"/>
  <c r="U712" i="8" s="1"/>
  <c r="G153" i="5"/>
  <c r="U155" i="8" s="1"/>
  <c r="AI48" i="8"/>
  <c r="AI461" i="8"/>
  <c r="AA675" i="8"/>
  <c r="AI219" i="8"/>
  <c r="AI310" i="8"/>
  <c r="AI362" i="8"/>
  <c r="AI380" i="8"/>
  <c r="AI280" i="8"/>
  <c r="T315" i="8"/>
  <c r="N423" i="8"/>
  <c r="T591" i="8"/>
  <c r="N520" i="8"/>
  <c r="N268" i="8"/>
  <c r="N198" i="8"/>
  <c r="N802" i="8"/>
  <c r="T42" i="8"/>
  <c r="T50" i="8"/>
  <c r="T70" i="8"/>
  <c r="T926" i="8"/>
  <c r="N926" i="8"/>
  <c r="AI475" i="8"/>
  <c r="AA475" i="8"/>
  <c r="AA713" i="8"/>
  <c r="T713" i="8"/>
  <c r="N713" i="8"/>
  <c r="G221" i="5"/>
  <c r="U223" i="8" s="1"/>
  <c r="T223" i="8"/>
  <c r="T813" i="8"/>
  <c r="N813" i="8"/>
  <c r="AI813" i="8"/>
  <c r="AA813" i="8"/>
  <c r="G258" i="5"/>
  <c r="U260" i="8" s="1"/>
  <c r="AI260" i="8"/>
  <c r="AA260" i="8"/>
  <c r="T950" i="8"/>
  <c r="N950" i="8"/>
  <c r="G921" i="5"/>
  <c r="U923" i="8" s="1"/>
  <c r="T923" i="8"/>
  <c r="N651" i="8"/>
  <c r="AI651" i="8"/>
  <c r="AA651" i="8"/>
  <c r="T962" i="8"/>
  <c r="AI962" i="8"/>
  <c r="AA962" i="8"/>
  <c r="N962" i="8"/>
  <c r="T471" i="8"/>
  <c r="AA471" i="8"/>
  <c r="G469" i="5"/>
  <c r="U471" i="8" s="1"/>
  <c r="N471" i="8"/>
  <c r="G152" i="5"/>
  <c r="U154" i="8" s="1"/>
  <c r="G590" i="5"/>
  <c r="U592" i="8" s="1"/>
  <c r="G928" i="5"/>
  <c r="U930" i="8" s="1"/>
  <c r="G260" i="5"/>
  <c r="U262" i="8" s="1"/>
  <c r="G219" i="5"/>
  <c r="U221" i="8" s="1"/>
  <c r="G948" i="5"/>
  <c r="U950" i="8" s="1"/>
  <c r="G980" i="5"/>
  <c r="U982" i="8" s="1"/>
  <c r="G683" i="5"/>
  <c r="U685" i="8" s="1"/>
  <c r="N9" i="8"/>
  <c r="AA445" i="8"/>
  <c r="AA104" i="8"/>
  <c r="AI348" i="8"/>
  <c r="AA487" i="8"/>
  <c r="AI166" i="8"/>
  <c r="G799" i="5"/>
  <c r="U801" i="8" s="1"/>
  <c r="G784" i="5"/>
  <c r="U786" i="8" s="1"/>
  <c r="G161" i="5"/>
  <c r="U163" i="8" s="1"/>
  <c r="G421" i="5"/>
  <c r="U423" i="8" s="1"/>
  <c r="G832" i="5"/>
  <c r="U834" i="8" s="1"/>
  <c r="G396" i="5"/>
  <c r="U398" i="8" s="1"/>
  <c r="G240" i="5"/>
  <c r="U242" i="8" s="1"/>
  <c r="G313" i="5"/>
  <c r="U315" i="8" s="1"/>
  <c r="G564" i="5"/>
  <c r="U566" i="8" s="1"/>
  <c r="G302" i="5"/>
  <c r="U304" i="8" s="1"/>
  <c r="G50" i="5"/>
  <c r="U52" i="8" s="1"/>
  <c r="G337" i="5"/>
  <c r="U339" i="8" s="1"/>
  <c r="AI927" i="8"/>
  <c r="AI156" i="8"/>
  <c r="AI261" i="8"/>
  <c r="AA552" i="8"/>
  <c r="AI451" i="8"/>
  <c r="AA834" i="8"/>
  <c r="AA812" i="8"/>
  <c r="AI501" i="8"/>
  <c r="AI786" i="8"/>
  <c r="AA987" i="8"/>
  <c r="G465" i="5"/>
  <c r="U467" i="8" s="1"/>
  <c r="G266" i="5"/>
  <c r="U268" i="8" s="1"/>
  <c r="G846" i="5"/>
  <c r="U848" i="8" s="1"/>
  <c r="G199" i="5"/>
  <c r="U201" i="8" s="1"/>
  <c r="G334" i="5"/>
  <c r="U336" i="8" s="1"/>
  <c r="G168" i="5"/>
  <c r="U170" i="8" s="1"/>
  <c r="G378" i="5"/>
  <c r="U380" i="8" s="1"/>
  <c r="G617" i="5"/>
  <c r="U619" i="8" s="1"/>
  <c r="G443" i="5"/>
  <c r="U445" i="8" s="1"/>
  <c r="G623" i="5"/>
  <c r="U625" i="8" s="1"/>
  <c r="G952" i="5"/>
  <c r="U954" i="8" s="1"/>
  <c r="G48" i="5"/>
  <c r="U50" i="8" s="1"/>
  <c r="AA368" i="8"/>
  <c r="AA266" i="8"/>
  <c r="AI552" i="8"/>
  <c r="AI336" i="8"/>
  <c r="AI812" i="8"/>
  <c r="AI189" i="8"/>
  <c r="AA220" i="8"/>
  <c r="AI83" i="8"/>
  <c r="AI880" i="8"/>
  <c r="AI713" i="8"/>
  <c r="AI426" i="8"/>
  <c r="AI455" i="8"/>
  <c r="AA291" i="8"/>
  <c r="AA96" i="8"/>
  <c r="AA650" i="8"/>
  <c r="AA245" i="8"/>
  <c r="AA446" i="8"/>
  <c r="T164" i="8"/>
  <c r="T54" i="8"/>
  <c r="N467" i="8"/>
  <c r="N450" i="8"/>
  <c r="N718" i="8"/>
  <c r="T303" i="8"/>
  <c r="N262" i="8"/>
  <c r="N795" i="8"/>
  <c r="T155" i="8"/>
  <c r="T981" i="8"/>
  <c r="T57" i="8"/>
  <c r="N219" i="8"/>
  <c r="N955" i="8"/>
  <c r="T880" i="8"/>
  <c r="N894" i="8"/>
  <c r="T870" i="8"/>
  <c r="T146" i="8"/>
  <c r="G806" i="5"/>
  <c r="U808" i="8" s="1"/>
  <c r="AA456" i="8"/>
  <c r="AA55" i="8"/>
  <c r="AA979" i="8"/>
  <c r="AI643" i="8"/>
  <c r="AA886" i="8"/>
  <c r="AA132" i="8"/>
  <c r="N456" i="8"/>
  <c r="T769" i="8"/>
  <c r="T195" i="8"/>
  <c r="N983" i="8"/>
  <c r="N866" i="8"/>
  <c r="N979" i="8"/>
  <c r="T570" i="8"/>
  <c r="N542" i="8"/>
  <c r="T132" i="8"/>
  <c r="AI456" i="8"/>
  <c r="AA441" i="8"/>
  <c r="AA157" i="8"/>
  <c r="AA827" i="8"/>
  <c r="AA512" i="8"/>
  <c r="AA866" i="8"/>
  <c r="AI979" i="8"/>
  <c r="AA542" i="8"/>
  <c r="AI886" i="8"/>
  <c r="N11" i="8"/>
  <c r="N441" i="8"/>
  <c r="T983" i="8"/>
  <c r="T866" i="8"/>
  <c r="T542" i="8"/>
  <c r="N924" i="8"/>
  <c r="N555" i="8"/>
  <c r="AA936" i="8"/>
  <c r="AI441" i="8"/>
  <c r="AI827" i="8"/>
  <c r="AA195" i="8"/>
  <c r="AA991" i="8"/>
  <c r="N936" i="8"/>
  <c r="G857" i="5"/>
  <c r="U859" i="8" s="1"/>
  <c r="G820" i="5"/>
  <c r="U822" i="8" s="1"/>
  <c r="AI822" i="8"/>
  <c r="AI936" i="8"/>
  <c r="AA555" i="8"/>
  <c r="AI553" i="8"/>
  <c r="G971" i="5"/>
  <c r="U973" i="8" s="1"/>
  <c r="G701" i="5"/>
  <c r="U703" i="8" s="1"/>
  <c r="AI301" i="8"/>
  <c r="N769" i="8"/>
  <c r="T699" i="8"/>
  <c r="G697" i="5"/>
  <c r="U699" i="8" s="1"/>
  <c r="AA541" i="8"/>
  <c r="N973" i="8"/>
  <c r="N541" i="8"/>
  <c r="AI541" i="8"/>
  <c r="T973" i="8"/>
  <c r="T541" i="8"/>
  <c r="G394" i="5"/>
  <c r="U396" i="8" s="1"/>
  <c r="AA769" i="8"/>
  <c r="AA396" i="8"/>
  <c r="N227" i="8"/>
  <c r="N421" i="8"/>
  <c r="AI396" i="8"/>
  <c r="T227" i="8"/>
  <c r="T421" i="8"/>
  <c r="AA227" i="8"/>
  <c r="AA421" i="8"/>
  <c r="G225" i="5"/>
  <c r="U227" i="8" s="1"/>
  <c r="AA703" i="8"/>
  <c r="AA973" i="8"/>
  <c r="AI703" i="8"/>
  <c r="N301" i="8"/>
  <c r="N52" i="8"/>
  <c r="N245" i="8"/>
  <c r="AA699" i="8"/>
  <c r="AA483" i="8"/>
  <c r="T301" i="8"/>
  <c r="N703" i="8"/>
  <c r="N483" i="8"/>
  <c r="AI699" i="8"/>
  <c r="AI483" i="8"/>
  <c r="AA911" i="8"/>
  <c r="N396" i="8"/>
  <c r="N911" i="8"/>
  <c r="AI911" i="8"/>
  <c r="AI80" i="8"/>
  <c r="AI436" i="8"/>
  <c r="AA999" i="8"/>
  <c r="AI999" i="8"/>
  <c r="N850" i="8"/>
  <c r="T850" i="8"/>
  <c r="G78" i="5"/>
  <c r="U80" i="8" s="1"/>
  <c r="AA850" i="8"/>
  <c r="AA939" i="8"/>
  <c r="G98" i="5"/>
  <c r="U100" i="8" s="1"/>
  <c r="G997" i="5"/>
  <c r="U999" i="8" s="1"/>
  <c r="AI939" i="8"/>
  <c r="AA100" i="8"/>
  <c r="N80" i="8"/>
  <c r="N436" i="8"/>
  <c r="N939" i="8"/>
  <c r="AI100" i="8"/>
  <c r="T80" i="8"/>
  <c r="N999" i="8"/>
  <c r="T939" i="8"/>
  <c r="N100" i="8"/>
  <c r="T392" i="8"/>
  <c r="N679" i="8"/>
  <c r="AI914" i="8"/>
  <c r="T335" i="8"/>
  <c r="AI335" i="8"/>
  <c r="AI210" i="8"/>
  <c r="AI894" i="8"/>
  <c r="T676" i="8"/>
  <c r="T894" i="8"/>
  <c r="G931" i="5"/>
  <c r="U933" i="8" s="1"/>
  <c r="AA933" i="8"/>
  <c r="AI933" i="8"/>
  <c r="AA676" i="8"/>
  <c r="N914" i="8"/>
  <c r="G674" i="5"/>
  <c r="U676" i="8" s="1"/>
  <c r="T914" i="8"/>
  <c r="N210" i="8"/>
  <c r="G333" i="5"/>
  <c r="U335" i="8" s="1"/>
  <c r="T210" i="8"/>
  <c r="N933" i="8"/>
  <c r="G912" i="5"/>
  <c r="U914" i="8" s="1"/>
  <c r="AJ884" i="8"/>
  <c r="AB884" i="8"/>
  <c r="AJ715" i="8"/>
  <c r="AB715" i="8"/>
  <c r="AJ171" i="8"/>
  <c r="AB171" i="8"/>
  <c r="AJ711" i="8"/>
  <c r="AB711" i="8"/>
  <c r="AJ94" i="8"/>
  <c r="AB94" i="8"/>
  <c r="AJ568" i="8"/>
  <c r="AB568" i="8"/>
  <c r="AJ915" i="8"/>
  <c r="AB915" i="8"/>
  <c r="AJ779" i="8"/>
  <c r="AB779" i="8"/>
  <c r="AJ358" i="8"/>
  <c r="AB358" i="8"/>
  <c r="AJ536" i="8"/>
  <c r="AB536" i="8"/>
  <c r="AJ827" i="8"/>
  <c r="AB827" i="8"/>
  <c r="AJ910" i="8"/>
  <c r="AB910" i="8"/>
  <c r="AJ434" i="8"/>
  <c r="AB434" i="8"/>
  <c r="AJ1008" i="8"/>
  <c r="AB1008" i="8"/>
  <c r="AJ302" i="8"/>
  <c r="AB302" i="8"/>
  <c r="AJ975" i="8"/>
  <c r="AB975" i="8"/>
  <c r="AJ300" i="8"/>
  <c r="AB300" i="8"/>
  <c r="AJ483" i="8"/>
  <c r="AJ881" i="8"/>
  <c r="AB881" i="8"/>
  <c r="AJ282" i="8"/>
  <c r="AB282" i="8"/>
  <c r="AJ833" i="8"/>
  <c r="AB833" i="8"/>
  <c r="AJ754" i="8"/>
  <c r="AB754" i="8"/>
  <c r="AJ906" i="8"/>
  <c r="AB906" i="8"/>
  <c r="AJ913" i="8"/>
  <c r="AB913" i="8"/>
  <c r="AJ284" i="8"/>
  <c r="AB284" i="8"/>
  <c r="AJ151" i="8"/>
  <c r="AB151" i="8"/>
  <c r="AJ722" i="8"/>
  <c r="AB722" i="8"/>
  <c r="AJ791" i="8"/>
  <c r="AB791" i="8"/>
  <c r="AJ369" i="8"/>
  <c r="AB369" i="8"/>
  <c r="AJ523" i="8"/>
  <c r="AB523" i="8"/>
  <c r="AJ596" i="8"/>
  <c r="AB596" i="8"/>
  <c r="AJ263" i="8"/>
  <c r="AB263" i="8"/>
  <c r="AJ494" i="8"/>
  <c r="AB494" i="8"/>
  <c r="AJ401" i="8"/>
  <c r="AB401" i="8"/>
  <c r="AJ34" i="8"/>
  <c r="AB34" i="8"/>
  <c r="AJ745" i="8"/>
  <c r="AB745" i="8"/>
  <c r="AJ709" i="8"/>
  <c r="AB709" i="8"/>
  <c r="AJ501" i="8"/>
  <c r="AB501" i="8"/>
  <c r="AB856" i="8"/>
  <c r="AB638" i="8"/>
  <c r="AJ832" i="8"/>
  <c r="AB832" i="8"/>
  <c r="AJ515" i="8"/>
  <c r="AB515" i="8"/>
  <c r="AJ764" i="8"/>
  <c r="AB764" i="8"/>
  <c r="AJ904" i="8"/>
  <c r="AB904" i="8"/>
  <c r="AJ400" i="8"/>
  <c r="AB400" i="8"/>
  <c r="AJ671" i="8"/>
  <c r="AB671" i="8"/>
  <c r="AJ149" i="8"/>
  <c r="AB149" i="8"/>
  <c r="AJ558" i="8"/>
  <c r="AB558" i="8"/>
  <c r="AJ656" i="8"/>
  <c r="AB656" i="8"/>
  <c r="AJ403" i="8"/>
  <c r="AB403" i="8"/>
  <c r="AJ265" i="8"/>
  <c r="AB265" i="8"/>
  <c r="AJ143" i="8"/>
  <c r="AB143" i="8"/>
  <c r="AJ548" i="8"/>
  <c r="AB548" i="8"/>
  <c r="AJ32" i="8"/>
  <c r="AB32" i="8"/>
  <c r="AJ406" i="8"/>
  <c r="AB406" i="8"/>
  <c r="AJ994" i="8"/>
  <c r="AB994" i="8"/>
  <c r="AJ762" i="8"/>
  <c r="AB762" i="8"/>
  <c r="AJ704" i="8"/>
  <c r="AB704" i="8"/>
  <c r="AJ141" i="8"/>
  <c r="AB141" i="8"/>
  <c r="AJ586" i="8"/>
  <c r="AB586" i="8"/>
  <c r="AJ852" i="8"/>
  <c r="AB852" i="8"/>
  <c r="AJ500" i="8"/>
  <c r="AB500" i="8"/>
  <c r="AJ162" i="8"/>
  <c r="AB162" i="8"/>
  <c r="AJ940" i="8"/>
  <c r="AB940" i="8"/>
  <c r="AJ139" i="8"/>
  <c r="AB139" i="8"/>
  <c r="AJ479" i="8"/>
  <c r="AB479" i="8"/>
  <c r="AJ794" i="8"/>
  <c r="AB794" i="8"/>
  <c r="AJ828" i="8"/>
  <c r="AJ980" i="8"/>
  <c r="AB980" i="8"/>
  <c r="AJ342" i="8"/>
  <c r="AB342" i="8"/>
  <c r="AJ757" i="8"/>
  <c r="AB757" i="8"/>
  <c r="AJ164" i="8"/>
  <c r="AB164" i="8"/>
  <c r="AJ730" i="8"/>
  <c r="AB730" i="8"/>
  <c r="AJ236" i="8"/>
  <c r="AB236" i="8"/>
  <c r="AJ747" i="8"/>
  <c r="AJ127" i="8"/>
  <c r="AB127" i="8"/>
  <c r="AJ264" i="8"/>
  <c r="AB264" i="8"/>
  <c r="AJ897" i="8"/>
  <c r="AB897" i="8"/>
  <c r="AJ498" i="8"/>
  <c r="AB498" i="8"/>
  <c r="AJ24" i="8"/>
  <c r="AJ928" i="8"/>
  <c r="AB928" i="8"/>
  <c r="AJ47" i="8"/>
  <c r="AB47" i="8"/>
  <c r="AJ29" i="8"/>
  <c r="AB29" i="8"/>
  <c r="AJ628" i="8"/>
  <c r="AB628" i="8"/>
  <c r="AJ364" i="8"/>
  <c r="AB364" i="8"/>
  <c r="AJ142" i="8"/>
  <c r="AB142" i="8"/>
  <c r="AJ605" i="8"/>
  <c r="AB605" i="8"/>
  <c r="AJ413" i="8"/>
  <c r="AB413" i="8"/>
  <c r="AJ662" i="8"/>
  <c r="AB662" i="8"/>
  <c r="AJ733" i="8"/>
  <c r="AB733" i="8"/>
  <c r="AJ67" i="8"/>
  <c r="AB67" i="8"/>
  <c r="AJ19" i="8"/>
  <c r="AB19" i="8"/>
  <c r="AJ312" i="8"/>
  <c r="AB312" i="8"/>
  <c r="AB805" i="8"/>
  <c r="AJ97" i="8"/>
  <c r="AB97" i="8"/>
  <c r="AJ110" i="8"/>
  <c r="AB110" i="8"/>
  <c r="AJ232" i="8"/>
  <c r="AB232" i="8"/>
  <c r="AJ121" i="8"/>
  <c r="AB121" i="8"/>
  <c r="AJ30" i="8"/>
  <c r="AB30" i="8"/>
  <c r="AJ551" i="8"/>
  <c r="AB551" i="8"/>
  <c r="AJ986" i="8"/>
  <c r="AB986" i="8"/>
  <c r="AJ466" i="8"/>
  <c r="AB466" i="8"/>
  <c r="AJ319" i="8"/>
  <c r="AJ107" i="8"/>
  <c r="AB107" i="8"/>
  <c r="AJ140" i="8"/>
  <c r="AB140" i="8"/>
  <c r="AB963" i="8"/>
  <c r="AJ63" i="8"/>
  <c r="AB63" i="8"/>
  <c r="AJ69" i="8"/>
  <c r="AB69" i="8"/>
  <c r="AJ713" i="8"/>
  <c r="AB713" i="8"/>
  <c r="AJ291" i="8"/>
  <c r="AB291" i="8"/>
  <c r="AJ473" i="8"/>
  <c r="AB473" i="8"/>
  <c r="AJ101" i="8"/>
  <c r="AB101" i="8"/>
  <c r="AJ622" i="8"/>
  <c r="AB622" i="8"/>
  <c r="AJ119" i="8"/>
  <c r="AB119" i="8"/>
  <c r="AJ537" i="8"/>
  <c r="AB537" i="8"/>
  <c r="AJ890" i="8"/>
  <c r="AB890" i="8"/>
  <c r="AJ855" i="8"/>
  <c r="AB855" i="8"/>
  <c r="AJ655" i="8"/>
  <c r="AB655" i="8"/>
  <c r="AJ967" i="8"/>
  <c r="AB967" i="8"/>
  <c r="AJ966" i="8"/>
  <c r="AB966" i="8"/>
  <c r="AB984" i="8"/>
  <c r="AJ160" i="8"/>
  <c r="AB160" i="8"/>
  <c r="AJ338" i="8"/>
  <c r="AB338" i="8"/>
  <c r="AJ340" i="8"/>
  <c r="AB340" i="8"/>
  <c r="AJ847" i="8"/>
  <c r="AB847" i="8"/>
  <c r="AJ752" i="8"/>
  <c r="AB752" i="8"/>
  <c r="AJ729" i="8"/>
  <c r="AB729" i="8"/>
  <c r="AJ744" i="8"/>
  <c r="AB744" i="8"/>
  <c r="AJ585" i="8"/>
  <c r="AB585" i="8"/>
  <c r="AJ877" i="8"/>
  <c r="AB877" i="8"/>
  <c r="AJ455" i="8"/>
  <c r="AB455" i="8"/>
  <c r="AJ287" i="8"/>
  <c r="AB287" i="8"/>
  <c r="AJ347" i="8"/>
  <c r="AB347" i="8"/>
  <c r="AJ796" i="8"/>
  <c r="AB796" i="8"/>
  <c r="AJ589" i="8"/>
  <c r="AB589" i="8"/>
  <c r="AJ1007" i="8"/>
  <c r="AB1007" i="8"/>
  <c r="AJ216" i="8"/>
  <c r="AB216" i="8"/>
  <c r="AJ355" i="8"/>
  <c r="AB355" i="8"/>
  <c r="AJ305" i="8"/>
  <c r="AB305" i="8"/>
  <c r="AJ317" i="8"/>
  <c r="AJ765" i="8"/>
  <c r="AB765" i="8"/>
  <c r="AJ937" i="8"/>
  <c r="AB937" i="8"/>
  <c r="AJ761" i="8"/>
  <c r="AB761" i="8"/>
  <c r="AJ272" i="8"/>
  <c r="AB272" i="8"/>
  <c r="AJ152" i="8"/>
  <c r="AB152" i="8"/>
  <c r="AJ610" i="8"/>
  <c r="AB610" i="8"/>
  <c r="AJ908" i="8"/>
  <c r="AB908" i="8"/>
  <c r="AJ258" i="8"/>
  <c r="AB258" i="8"/>
  <c r="AJ612" i="8"/>
  <c r="AB612" i="8"/>
  <c r="AJ388" i="8"/>
  <c r="AB388" i="8"/>
  <c r="AJ540" i="8"/>
  <c r="AB540" i="8"/>
  <c r="AJ521" i="8"/>
  <c r="AB521" i="8"/>
  <c r="AJ492" i="8"/>
  <c r="AB492" i="8"/>
  <c r="AJ183" i="8"/>
  <c r="AB183" i="8"/>
  <c r="AJ220" i="8"/>
  <c r="AB220" i="8"/>
  <c r="AJ534" i="8"/>
  <c r="AB534" i="8"/>
  <c r="AB629" i="8"/>
  <c r="AJ293" i="8"/>
  <c r="AB293" i="8"/>
  <c r="AJ541" i="8"/>
  <c r="AB541" i="8"/>
  <c r="AJ454" i="8"/>
  <c r="AB454" i="8"/>
  <c r="AB574" i="8"/>
  <c r="AJ240" i="8"/>
  <c r="AB240" i="8"/>
  <c r="AJ929" i="8"/>
  <c r="AB929" i="8"/>
  <c r="AJ922" i="8"/>
  <c r="AB922" i="8"/>
  <c r="AJ311" i="8"/>
  <c r="AB311" i="8"/>
  <c r="AJ144" i="8"/>
  <c r="AB144" i="8"/>
  <c r="AJ609" i="8"/>
  <c r="AB609" i="8"/>
  <c r="AJ641" i="8"/>
  <c r="AB641" i="8"/>
  <c r="AJ148" i="8"/>
  <c r="AB148" i="8"/>
  <c r="AB344" i="8"/>
  <c r="AJ177" i="8"/>
  <c r="AB177" i="8"/>
  <c r="AJ60" i="8"/>
  <c r="AB60" i="8"/>
  <c r="AJ561" i="8"/>
  <c r="AB561" i="8"/>
  <c r="AJ716" i="8"/>
  <c r="AB716" i="8"/>
  <c r="AJ807" i="8"/>
  <c r="AB807" i="8"/>
  <c r="AJ956" i="8"/>
  <c r="AB956" i="8"/>
  <c r="AJ778" i="8"/>
  <c r="AB778" i="8"/>
  <c r="AJ331" i="8"/>
  <c r="AB331" i="8"/>
  <c r="AJ1000" i="8"/>
  <c r="AB1000" i="8"/>
  <c r="AJ997" i="8"/>
  <c r="AB997" i="8"/>
  <c r="AJ129" i="8"/>
  <c r="AB129" i="8"/>
  <c r="AJ721" i="8"/>
  <c r="AB721" i="8"/>
  <c r="AJ206" i="8"/>
  <c r="AB206" i="8"/>
  <c r="AJ37" i="8"/>
  <c r="AB37" i="8"/>
  <c r="AJ43" i="8"/>
  <c r="AB43" i="8"/>
  <c r="AJ371" i="8"/>
  <c r="AB371" i="8"/>
  <c r="AJ939" i="8"/>
  <c r="AB939" i="8"/>
  <c r="AJ92" i="8"/>
  <c r="AB92" i="8"/>
  <c r="AJ202" i="8"/>
  <c r="AB202" i="8"/>
  <c r="AJ705" i="8"/>
  <c r="AB705" i="8"/>
  <c r="AJ433" i="8"/>
  <c r="AB433" i="8"/>
  <c r="AJ357" i="8"/>
  <c r="AB357" i="8"/>
  <c r="AJ435" i="8"/>
  <c r="AJ348" i="8"/>
  <c r="AB348" i="8"/>
  <c r="AJ931" i="8"/>
  <c r="AB931" i="8"/>
  <c r="AJ147" i="8"/>
  <c r="AB147" i="8"/>
  <c r="AJ81" i="8"/>
  <c r="AB81" i="8"/>
  <c r="AJ725" i="8"/>
  <c r="AB725" i="8"/>
  <c r="AJ546" i="8"/>
  <c r="AB546" i="8"/>
  <c r="AJ248" i="8"/>
  <c r="AB248" i="8"/>
  <c r="AJ706" i="8"/>
  <c r="AB706" i="8"/>
  <c r="AJ188" i="8"/>
  <c r="AB188" i="8"/>
  <c r="AJ322" i="8"/>
  <c r="AB322" i="8"/>
  <c r="AJ332" i="8"/>
  <c r="AB332" i="8"/>
  <c r="AJ780" i="8"/>
  <c r="AB780" i="8"/>
  <c r="AJ514" i="8"/>
  <c r="AJ246" i="8"/>
  <c r="AB246" i="8"/>
  <c r="AJ22" i="8"/>
  <c r="AB22" i="8"/>
  <c r="AB959" i="8"/>
  <c r="AJ76" i="8"/>
  <c r="AB76" i="8"/>
  <c r="AJ891" i="8"/>
  <c r="AB891" i="8"/>
  <c r="AJ377" i="8"/>
  <c r="AB377" i="8"/>
  <c r="AJ949" i="8"/>
  <c r="AB949" i="8"/>
  <c r="AJ874" i="8"/>
  <c r="AB874" i="8"/>
  <c r="AJ719" i="8"/>
  <c r="AB719" i="8"/>
  <c r="AJ215" i="8"/>
  <c r="AB215" i="8"/>
  <c r="AJ869" i="8"/>
  <c r="AB869" i="8"/>
  <c r="AJ387" i="8"/>
  <c r="AB387" i="8"/>
  <c r="AJ402" i="8"/>
  <c r="AB402" i="8"/>
  <c r="AJ194" i="8"/>
  <c r="AJ346" i="8"/>
  <c r="AB346" i="8"/>
  <c r="AJ639" i="8"/>
  <c r="AB639" i="8"/>
  <c r="AJ584" i="8"/>
  <c r="AB584" i="8"/>
  <c r="AJ15" i="8"/>
  <c r="AB15" i="8"/>
  <c r="AJ126" i="8"/>
  <c r="AB126" i="8"/>
  <c r="AJ606" i="8"/>
  <c r="AB606" i="8"/>
  <c r="AJ209" i="8"/>
  <c r="AB209" i="8"/>
  <c r="AJ247" i="8"/>
  <c r="AB247" i="8"/>
  <c r="AJ583" i="8"/>
  <c r="AB583" i="8"/>
  <c r="AJ84" i="8"/>
  <c r="AJ767" i="8"/>
  <c r="AB767" i="8"/>
  <c r="AJ569" i="8"/>
  <c r="AB569" i="8"/>
  <c r="AJ784" i="8"/>
  <c r="AJ528" i="8"/>
  <c r="AB528" i="8"/>
  <c r="AJ212" i="8"/>
  <c r="AB212" i="8"/>
  <c r="AJ301" i="8"/>
  <c r="AJ695" i="8"/>
  <c r="AB695" i="8"/>
  <c r="AJ286" i="8"/>
  <c r="AB286" i="8"/>
  <c r="AJ79" i="8"/>
  <c r="AB79" i="8"/>
  <c r="AB873" i="8"/>
  <c r="AJ184" i="8"/>
  <c r="AB184" i="8"/>
  <c r="AJ862" i="8"/>
  <c r="AB862" i="8"/>
  <c r="AB438" i="8"/>
  <c r="AJ93" i="8"/>
  <c r="AB93" i="8"/>
  <c r="AJ616" i="8"/>
  <c r="AB616" i="8"/>
  <c r="AJ219" i="8"/>
  <c r="AB219" i="8"/>
  <c r="AJ727" i="8"/>
  <c r="AB727" i="8"/>
  <c r="AJ256" i="8"/>
  <c r="AB256" i="8"/>
  <c r="AJ120" i="8"/>
  <c r="AB120" i="8"/>
  <c r="AJ252" i="8"/>
  <c r="AB252" i="8"/>
  <c r="AJ768" i="8"/>
  <c r="AB768" i="8"/>
  <c r="AJ99" i="8"/>
  <c r="AB99" i="8"/>
  <c r="AJ420" i="8"/>
  <c r="AB420" i="8"/>
  <c r="AJ432" i="8"/>
  <c r="AB432" i="8"/>
  <c r="AJ328" i="8"/>
  <c r="AB328" i="8"/>
  <c r="AJ277" i="8"/>
  <c r="AB277" i="8"/>
  <c r="AJ145" i="8"/>
  <c r="AB145" i="8"/>
  <c r="AJ137" i="8"/>
  <c r="AB137" i="8"/>
  <c r="AJ481" i="8"/>
  <c r="AB481" i="8"/>
  <c r="AJ965" i="8"/>
  <c r="AB965" i="8"/>
  <c r="AJ893" i="8"/>
  <c r="AB893" i="8"/>
  <c r="AJ988" i="8"/>
  <c r="AB988" i="8"/>
  <c r="AJ230" i="8"/>
  <c r="AJ239" i="8"/>
  <c r="AB239" i="8"/>
  <c r="AJ810" i="8"/>
  <c r="AB810" i="8"/>
  <c r="AB974" i="8"/>
  <c r="AJ738" i="8"/>
  <c r="AB738" i="8"/>
  <c r="AJ442" i="8"/>
  <c r="AB442" i="8"/>
  <c r="AJ882" i="8"/>
  <c r="AB882" i="8"/>
  <c r="AJ213" i="8"/>
  <c r="AB213" i="8"/>
  <c r="AJ307" i="8"/>
  <c r="AB307" i="8"/>
  <c r="AJ944" i="8"/>
  <c r="AB944" i="8"/>
  <c r="AJ295" i="8"/>
  <c r="AB295" i="8"/>
  <c r="AJ102" i="8"/>
  <c r="AB102" i="8"/>
  <c r="AJ868" i="8"/>
  <c r="AB868" i="8"/>
  <c r="AJ386" i="8"/>
  <c r="AB386" i="8"/>
  <c r="AJ895" i="8"/>
  <c r="AB895" i="8"/>
  <c r="AJ65" i="8"/>
  <c r="AB65" i="8"/>
  <c r="AJ368" i="8"/>
  <c r="AB368" i="8"/>
  <c r="AJ867" i="8"/>
  <c r="AB867" i="8"/>
  <c r="AJ497" i="8"/>
  <c r="AB497" i="8"/>
  <c r="AJ320" i="8"/>
  <c r="AB320" i="8"/>
  <c r="AJ669" i="8"/>
  <c r="AB669" i="8"/>
  <c r="AJ199" i="8"/>
  <c r="AB199" i="8"/>
  <c r="AJ271" i="8"/>
  <c r="AB271" i="8"/>
  <c r="AJ673" i="8"/>
  <c r="AB673" i="8"/>
  <c r="AJ231" i="8"/>
  <c r="AB231" i="8"/>
  <c r="AJ821" i="8"/>
  <c r="AB821" i="8"/>
  <c r="AJ474" i="8"/>
  <c r="AB474" i="8"/>
  <c r="AJ292" i="8"/>
  <c r="AB292" i="8"/>
  <c r="AJ485" i="8"/>
  <c r="AB485" i="8"/>
  <c r="AJ98" i="8"/>
  <c r="AB98" i="8"/>
  <c r="AJ851" i="8"/>
  <c r="AB851" i="8"/>
  <c r="AJ411" i="8"/>
  <c r="AB411" i="8"/>
  <c r="AJ294" i="8"/>
  <c r="AB294" i="8"/>
  <c r="AJ971" i="8"/>
  <c r="AB971" i="8"/>
  <c r="AB866" i="8"/>
  <c r="AJ10" i="8"/>
  <c r="AB10" i="8"/>
  <c r="AJ806" i="8"/>
  <c r="AB806" i="8"/>
  <c r="AJ947" i="8"/>
  <c r="AB947" i="8"/>
  <c r="AJ299" i="8"/>
  <c r="AB299" i="8"/>
  <c r="AJ945" i="8"/>
  <c r="AJ739" i="8"/>
  <c r="AB739" i="8"/>
  <c r="AJ356" i="8"/>
  <c r="AB356" i="8"/>
  <c r="AJ714" i="8"/>
  <c r="AB714" i="8"/>
  <c r="AJ353" i="8"/>
  <c r="AB353" i="8"/>
  <c r="AJ658" i="8"/>
  <c r="AB658" i="8"/>
  <c r="AJ917" i="8"/>
  <c r="AB917" i="8"/>
  <c r="AJ951" i="8"/>
  <c r="AJ770" i="8"/>
  <c r="AB770" i="8"/>
  <c r="AJ958" i="8"/>
  <c r="AB958" i="8"/>
  <c r="AJ457" i="8"/>
  <c r="AB457" i="8"/>
  <c r="AJ687" i="8"/>
  <c r="AB687" i="8"/>
  <c r="AJ533" i="8"/>
  <c r="AJ54" i="8"/>
  <c r="AB54" i="8"/>
  <c r="AJ823" i="8"/>
  <c r="AB823" i="8"/>
  <c r="AJ524" i="8"/>
  <c r="AB524" i="8"/>
  <c r="AJ290" i="8"/>
  <c r="AB290" i="8"/>
  <c r="AJ385" i="8"/>
  <c r="AB385" i="8"/>
  <c r="AJ448" i="8"/>
  <c r="AB448" i="8"/>
  <c r="AJ707" i="8"/>
  <c r="AB707" i="8"/>
  <c r="AJ615" i="8"/>
  <c r="AB615" i="8"/>
  <c r="AJ854" i="8"/>
  <c r="AB854" i="8"/>
  <c r="AJ607" i="8"/>
  <c r="AB607" i="8"/>
  <c r="AJ255" i="8"/>
  <c r="AB255" i="8"/>
  <c r="AJ742" i="8"/>
  <c r="AB742" i="8"/>
  <c r="AJ449" i="8"/>
  <c r="AB449" i="8"/>
  <c r="AJ843" i="8"/>
  <c r="AB843" i="8"/>
  <c r="AJ430" i="8"/>
  <c r="AB430" i="8"/>
  <c r="AJ33" i="8"/>
  <c r="AB33" i="8"/>
  <c r="AJ544" i="8"/>
  <c r="AB544" i="8"/>
  <c r="AJ545" i="8"/>
  <c r="AB545" i="8"/>
  <c r="AJ198" i="8"/>
  <c r="AB198" i="8"/>
  <c r="AJ506" i="8"/>
  <c r="AB506" i="8"/>
  <c r="AJ86" i="8"/>
  <c r="AB86" i="8"/>
  <c r="AJ251" i="8"/>
  <c r="AB251" i="8"/>
  <c r="AJ39" i="8"/>
  <c r="AB39" i="8"/>
  <c r="AJ962" i="8"/>
  <c r="AB962" i="8"/>
  <c r="AJ666" i="8"/>
  <c r="AB666" i="8"/>
  <c r="AJ885" i="8"/>
  <c r="AB885" i="8"/>
  <c r="AJ667" i="8"/>
  <c r="AB667" i="8"/>
  <c r="AJ660" i="8"/>
  <c r="AB660" i="8"/>
  <c r="AJ112" i="8"/>
  <c r="AB112" i="8"/>
  <c r="AJ456" i="8"/>
  <c r="AJ648" i="8"/>
  <c r="AB648" i="8"/>
  <c r="AJ626" i="8"/>
  <c r="AB626" i="8"/>
  <c r="AJ1001" i="8"/>
  <c r="AB1001" i="8"/>
  <c r="AJ529" i="8"/>
  <c r="AB529" i="8"/>
  <c r="AJ535" i="8"/>
  <c r="AB535" i="8"/>
  <c r="AJ341" i="8"/>
  <c r="AB341" i="8"/>
  <c r="AJ1003" i="8"/>
  <c r="AB1003" i="8"/>
  <c r="AJ774" i="8"/>
  <c r="AB774" i="8"/>
  <c r="AJ563" i="8"/>
  <c r="AB563" i="8"/>
  <c r="AJ296" i="8"/>
  <c r="AB296" i="8"/>
  <c r="AJ327" i="8"/>
  <c r="AJ23" i="8"/>
  <c r="AB23" i="8"/>
  <c r="AJ632" i="8"/>
  <c r="AB632" i="8"/>
  <c r="AB649" i="8"/>
  <c r="AJ672" i="8"/>
  <c r="AB672" i="8"/>
  <c r="AJ439" i="8"/>
  <c r="AB439" i="8"/>
  <c r="AB444" i="8"/>
  <c r="AJ839" i="8"/>
  <c r="AB839" i="8"/>
  <c r="AJ737" i="8"/>
  <c r="AB737" i="8"/>
  <c r="AJ844" i="8"/>
  <c r="AB844" i="8"/>
  <c r="AJ759" i="8"/>
  <c r="AB759" i="8"/>
  <c r="AJ760" i="8"/>
  <c r="AB760" i="8"/>
  <c r="AJ362" i="8"/>
  <c r="AB362" i="8"/>
  <c r="AJ691" i="8"/>
  <c r="AB691" i="8"/>
  <c r="AJ49" i="8"/>
  <c r="AB49" i="8"/>
  <c r="AJ718" i="8"/>
  <c r="AB718" i="8"/>
  <c r="AJ505" i="8"/>
  <c r="AB505" i="8"/>
  <c r="AJ1002" i="8"/>
  <c r="AB1002" i="8"/>
  <c r="AJ813" i="8"/>
  <c r="AB813" i="8"/>
  <c r="AJ646" i="8"/>
  <c r="AB646" i="8"/>
  <c r="AJ303" i="8"/>
  <c r="AB303" i="8"/>
  <c r="AJ235" i="8"/>
  <c r="AB235" i="8"/>
  <c r="AJ376" i="8"/>
  <c r="AB376" i="8"/>
  <c r="AJ899" i="8"/>
  <c r="AB899" i="8"/>
  <c r="AJ602" i="8"/>
  <c r="AB602" i="8"/>
  <c r="AJ993" i="8"/>
  <c r="AB993" i="8"/>
  <c r="AJ522" i="8"/>
  <c r="AB522" i="8"/>
  <c r="AJ404" i="8"/>
  <c r="AB404" i="8"/>
  <c r="AJ961" i="8"/>
  <c r="AB961" i="8"/>
  <c r="AJ617" i="8"/>
  <c r="AB617" i="8"/>
  <c r="AJ138" i="8"/>
  <c r="AB138" i="8"/>
  <c r="AJ167" i="8"/>
  <c r="AB167" i="8"/>
  <c r="AJ894" i="8"/>
  <c r="AB894" i="8"/>
  <c r="AJ785" i="8"/>
  <c r="AB785" i="8"/>
  <c r="AJ556" i="8"/>
  <c r="AB556" i="8"/>
  <c r="AJ582" i="8"/>
  <c r="AB582" i="8"/>
  <c r="AJ811" i="8"/>
  <c r="AB811" i="8"/>
  <c r="AJ830" i="8"/>
  <c r="AB830" i="8"/>
  <c r="AJ723" i="8"/>
  <c r="AB723" i="8"/>
  <c r="AJ871" i="8"/>
  <c r="AB871" i="8"/>
  <c r="AJ694" i="8"/>
  <c r="AB694" i="8"/>
  <c r="AJ567" i="8"/>
  <c r="AB567" i="8"/>
  <c r="AJ772" i="8"/>
  <c r="AB772" i="8"/>
  <c r="AJ581" i="8"/>
  <c r="AB581" i="8"/>
  <c r="AJ756" i="8"/>
  <c r="AB756" i="8"/>
  <c r="AJ553" i="8"/>
  <c r="AB553" i="8"/>
  <c r="AJ88" i="8"/>
  <c r="AB88" i="8"/>
  <c r="AJ630" i="8"/>
  <c r="AB630" i="8"/>
  <c r="AJ229" i="8"/>
  <c r="AJ838" i="8"/>
  <c r="AB838" i="8"/>
  <c r="AJ476" i="8"/>
  <c r="AB476" i="8"/>
  <c r="AJ817" i="8"/>
  <c r="AB817" i="8"/>
  <c r="AJ269" i="8"/>
  <c r="AB269" i="8"/>
  <c r="AJ645" i="8"/>
  <c r="AB645" i="8"/>
  <c r="AJ470" i="8"/>
  <c r="AB470" i="8"/>
  <c r="AJ106" i="8"/>
  <c r="AB106" i="8"/>
  <c r="AJ298" i="8"/>
  <c r="AB298" i="8"/>
  <c r="AJ31" i="8"/>
  <c r="AB31" i="8"/>
  <c r="AJ243" i="8"/>
  <c r="AB243" i="8"/>
  <c r="AJ766" i="8"/>
  <c r="AB766" i="8"/>
  <c r="AJ46" i="8"/>
  <c r="AB46" i="8"/>
  <c r="AJ83" i="8"/>
  <c r="AB83" i="8"/>
  <c r="AJ919" i="8"/>
  <c r="AB919" i="8"/>
  <c r="AJ907" i="8"/>
  <c r="AB907" i="8"/>
  <c r="AJ682" i="8"/>
  <c r="AB682" i="8"/>
  <c r="AJ985" i="8"/>
  <c r="AB985" i="8"/>
  <c r="AJ935" i="8"/>
  <c r="AJ659" i="8"/>
  <c r="AB659" i="8"/>
  <c r="AJ64" i="8"/>
  <c r="AB64" i="8"/>
  <c r="AJ437" i="8"/>
  <c r="AB437" i="8"/>
  <c r="AJ983" i="8"/>
  <c r="AB983" i="8"/>
  <c r="AJ816" i="8"/>
  <c r="AB816" i="8"/>
  <c r="AJ123" i="8"/>
  <c r="AB123" i="8"/>
  <c r="AJ530" i="8"/>
  <c r="AB530" i="8"/>
  <c r="AJ726" i="8"/>
  <c r="AB726" i="8"/>
  <c r="AJ135" i="8"/>
  <c r="AJ746" i="8"/>
  <c r="AB746" i="8"/>
  <c r="AJ375" i="8"/>
  <c r="AB375" i="8"/>
  <c r="AJ285" i="8"/>
  <c r="AB285" i="8"/>
  <c r="AJ698" i="8"/>
  <c r="AB698" i="8"/>
  <c r="AJ831" i="8"/>
  <c r="AB831" i="8"/>
  <c r="AJ783" i="8"/>
  <c r="AB783" i="8"/>
  <c r="AJ578" i="8"/>
  <c r="AB578" i="8"/>
  <c r="AJ925" i="8"/>
  <c r="AB925" i="8"/>
  <c r="AJ185" i="8"/>
  <c r="AB185" i="8"/>
  <c r="AJ674" i="8"/>
  <c r="AB674" i="8"/>
  <c r="AJ555" i="8"/>
  <c r="AJ390" i="8"/>
  <c r="AB390" i="8"/>
  <c r="AJ381" i="8"/>
  <c r="AB381" i="8"/>
  <c r="AJ969" i="8"/>
  <c r="AB969" i="8"/>
  <c r="AJ736" i="8"/>
  <c r="AB736" i="8"/>
  <c r="AJ136" i="8"/>
  <c r="AB136" i="8"/>
  <c r="AJ279" i="8"/>
  <c r="AB279" i="8"/>
  <c r="AJ428" i="8"/>
  <c r="AB428" i="8"/>
  <c r="AJ48" i="8"/>
  <c r="AB48" i="8"/>
  <c r="AJ452" i="8"/>
  <c r="AB452" i="8"/>
  <c r="AJ180" i="8"/>
  <c r="AB180" i="8"/>
  <c r="AJ71" i="8"/>
  <c r="AB71" i="8"/>
  <c r="AJ748" i="8"/>
  <c r="AB748" i="8"/>
  <c r="AJ382" i="8"/>
  <c r="AB382" i="8"/>
  <c r="AJ491" i="8"/>
  <c r="AB491" i="8"/>
  <c r="AJ531" i="8"/>
  <c r="AB531" i="8"/>
  <c r="AJ493" i="8"/>
  <c r="AB493" i="8"/>
  <c r="AJ321" i="8"/>
  <c r="AB321" i="8"/>
  <c r="AJ128" i="8"/>
  <c r="AB128" i="8"/>
  <c r="AJ9" i="8"/>
  <c r="AB9" i="8"/>
  <c r="H97" i="5"/>
  <c r="H611" i="5"/>
  <c r="H373" i="5"/>
  <c r="H973" i="5"/>
  <c r="H200" i="5"/>
  <c r="H879" i="5"/>
  <c r="H254" i="5"/>
  <c r="H385" i="5"/>
  <c r="H705" i="5"/>
  <c r="H45" i="5"/>
  <c r="H145" i="5"/>
  <c r="H37" i="5"/>
  <c r="H672" i="5"/>
  <c r="H743" i="5"/>
  <c r="H442" i="5"/>
  <c r="H963" i="5"/>
  <c r="H721" i="5"/>
  <c r="H245" i="5"/>
  <c r="H556" i="5"/>
  <c r="H305" i="5"/>
  <c r="H794" i="5"/>
  <c r="H233" i="5"/>
  <c r="H584" i="5"/>
  <c r="H850" i="5"/>
  <c r="H897" i="5"/>
  <c r="H214" i="5"/>
  <c r="H63" i="5"/>
  <c r="H938" i="5"/>
  <c r="H284" i="5"/>
  <c r="H353" i="5"/>
  <c r="H477" i="5"/>
  <c r="H991" i="5"/>
  <c r="H315" i="5"/>
  <c r="H826" i="5"/>
  <c r="H755" i="5"/>
  <c r="H402" i="5"/>
  <c r="H871" i="5"/>
  <c r="H959" i="5"/>
  <c r="H270" i="5"/>
  <c r="H162" i="5"/>
  <c r="H728" i="5"/>
  <c r="H165" i="5"/>
  <c r="H234" i="5"/>
  <c r="H860" i="5"/>
  <c r="H528" i="5"/>
  <c r="H983" i="5"/>
  <c r="H213" i="5"/>
  <c r="H1006" i="5"/>
  <c r="H582" i="5"/>
  <c r="H995" i="5"/>
  <c r="H262" i="5"/>
  <c r="H483" i="5"/>
  <c r="H15" i="5"/>
  <c r="H96" i="5"/>
  <c r="H630" i="5"/>
  <c r="H849" i="5"/>
  <c r="H614" i="5"/>
  <c r="H409" i="5"/>
  <c r="H292" i="5"/>
  <c r="H628" i="5"/>
  <c r="H217" i="5"/>
  <c r="H238" i="5"/>
  <c r="H719" i="5"/>
  <c r="H139" i="5"/>
  <c r="H524" i="5"/>
  <c r="H893" i="5"/>
  <c r="H374" i="5"/>
  <c r="H498" i="5"/>
  <c r="H1005" i="5"/>
  <c r="H160" i="5"/>
  <c r="H600" i="5"/>
  <c r="H77" i="5"/>
  <c r="H946" i="5"/>
  <c r="H366" i="5"/>
  <c r="H520" i="5"/>
  <c r="H303" i="5"/>
  <c r="H763" i="5"/>
  <c r="H978" i="5"/>
  <c r="H935" i="5"/>
  <c r="H340" i="5"/>
  <c r="H950" i="5"/>
  <c r="H865" i="5"/>
  <c r="H759" i="5"/>
  <c r="H182" i="5"/>
  <c r="H685" i="5"/>
  <c r="H283" i="5"/>
  <c r="H538" i="5"/>
  <c r="H495" i="5"/>
  <c r="H192" i="5"/>
  <c r="H216" i="5"/>
  <c r="H344" i="5"/>
  <c r="H269" i="5"/>
  <c r="H892" i="5"/>
  <c r="H565" i="5"/>
  <c r="H229" i="5"/>
  <c r="H290" i="5"/>
  <c r="H519" i="5"/>
  <c r="H601" i="5"/>
  <c r="H696" i="5"/>
  <c r="H554" i="5"/>
  <c r="H490" i="5"/>
  <c r="H829" i="5"/>
  <c r="H711" i="5"/>
  <c r="H181" i="5"/>
  <c r="H754" i="5"/>
  <c r="H91" i="5"/>
  <c r="H218" i="5"/>
  <c r="H532" i="5"/>
  <c r="H576" i="5"/>
  <c r="H551" i="5"/>
  <c r="H708" i="5"/>
  <c r="H86" i="5"/>
  <c r="H291" i="5"/>
  <c r="H539" i="5"/>
  <c r="H969" i="5"/>
  <c r="H923" i="5"/>
  <c r="H906" i="5"/>
  <c r="H8" i="5"/>
  <c r="H836" i="5"/>
  <c r="H804" i="5"/>
  <c r="H474" i="5"/>
  <c r="H588" i="5"/>
  <c r="H815" i="5"/>
  <c r="H137" i="5"/>
  <c r="H792" i="5"/>
  <c r="H615" i="5"/>
  <c r="H667" i="5"/>
  <c r="H766" i="5"/>
  <c r="H680" i="5"/>
  <c r="H41" i="5"/>
  <c r="H418" i="5"/>
  <c r="H790" i="5"/>
  <c r="H369" i="5"/>
  <c r="H882" i="5"/>
  <c r="H637" i="5"/>
  <c r="H21" i="5"/>
  <c r="H937" i="5"/>
  <c r="H125" i="5"/>
  <c r="H908" i="5"/>
  <c r="H998" i="5"/>
  <c r="H770" i="5"/>
  <c r="H432" i="5"/>
  <c r="H534" i="5"/>
  <c r="H455" i="5"/>
  <c r="H430" i="5"/>
  <c r="H744" i="5"/>
  <c r="H326" i="5"/>
  <c r="H817" i="5"/>
  <c r="H127" i="5"/>
  <c r="H289" i="5"/>
  <c r="H587" i="5"/>
  <c r="H136" i="5"/>
  <c r="H356" i="5"/>
  <c r="H608" i="5"/>
  <c r="H275" i="5"/>
  <c r="H713" i="5"/>
  <c r="H452" i="5"/>
  <c r="H300" i="5"/>
  <c r="H120" i="5"/>
  <c r="H945" i="5"/>
  <c r="H297" i="5"/>
  <c r="H927" i="5"/>
  <c r="H943" i="5"/>
  <c r="H920" i="5"/>
  <c r="H309" i="5"/>
  <c r="H204" i="5"/>
  <c r="H712" i="5"/>
  <c r="H104" i="5"/>
  <c r="H146" i="5"/>
  <c r="H915" i="5"/>
  <c r="H296" i="5"/>
  <c r="H175" i="5"/>
  <c r="H241" i="5"/>
  <c r="H58" i="5"/>
  <c r="H764" i="5"/>
  <c r="H559" i="5"/>
  <c r="H44" i="5"/>
  <c r="H809" i="5"/>
  <c r="H471" i="5"/>
  <c r="H714" i="5"/>
  <c r="H670" i="5"/>
  <c r="H956" i="5"/>
  <c r="H895" i="5"/>
  <c r="H671" i="5"/>
  <c r="H134" i="5"/>
  <c r="H426" i="5"/>
  <c r="H741" i="5"/>
  <c r="H778" i="5"/>
  <c r="H580" i="5"/>
  <c r="H267" i="5"/>
  <c r="H169" i="5"/>
  <c r="H737" i="5"/>
  <c r="H531" i="5"/>
  <c r="H142" i="5"/>
  <c r="H643" i="5"/>
  <c r="H639" i="5"/>
  <c r="H351" i="5"/>
  <c r="H29" i="5"/>
  <c r="H592" i="5"/>
  <c r="H81" i="5"/>
  <c r="H768" i="5"/>
  <c r="H805" i="5"/>
  <c r="H256" i="5"/>
  <c r="H954" i="5"/>
  <c r="H917" i="5"/>
  <c r="H52" i="5"/>
  <c r="H776" i="5"/>
  <c r="H905" i="5"/>
  <c r="H904" i="5"/>
  <c r="H926" i="5"/>
  <c r="H346" i="5"/>
  <c r="H852" i="5"/>
  <c r="H379" i="5"/>
  <c r="H929" i="5"/>
  <c r="H362" i="5"/>
  <c r="H734" i="5"/>
  <c r="H7" i="5"/>
  <c r="H428" i="5"/>
  <c r="H140" i="5"/>
  <c r="H731" i="5"/>
  <c r="H367" i="5"/>
  <c r="H65" i="5"/>
  <c r="H79" i="5"/>
  <c r="H31" i="5"/>
  <c r="H542" i="5"/>
  <c r="H543" i="5"/>
  <c r="H17" i="5"/>
  <c r="H246" i="5"/>
  <c r="H310" i="5"/>
  <c r="H803" i="5"/>
  <c r="H704" i="5"/>
  <c r="H95" i="5"/>
  <c r="H596" i="5"/>
  <c r="H261" i="5"/>
  <c r="H186" i="5"/>
  <c r="H277" i="5"/>
  <c r="H108" i="5"/>
  <c r="H249" i="5"/>
  <c r="H320" i="5"/>
  <c r="H119" i="5"/>
  <c r="H629" i="5"/>
  <c r="H28" i="5"/>
  <c r="H960" i="5"/>
  <c r="H354" i="5"/>
  <c r="H468" i="5"/>
  <c r="H692" i="5"/>
  <c r="H197" i="5"/>
  <c r="H436" i="5"/>
  <c r="H867" i="5"/>
  <c r="H90" i="5"/>
  <c r="H522" i="5"/>
  <c r="H282" i="5"/>
  <c r="H740" i="5"/>
  <c r="H447" i="5"/>
  <c r="H411" i="5"/>
  <c r="H196" i="5"/>
  <c r="H831" i="5"/>
  <c r="H613" i="5"/>
  <c r="H183" i="5"/>
  <c r="H135" i="5"/>
  <c r="H431" i="5"/>
  <c r="H496" i="5"/>
  <c r="H457" i="5"/>
  <c r="H388" i="5"/>
  <c r="H720" i="5"/>
  <c r="H594" i="5"/>
  <c r="H84" i="5"/>
  <c r="H230" i="5"/>
  <c r="H330" i="5"/>
  <c r="H607" i="5"/>
  <c r="H656" i="5"/>
  <c r="H329" i="5"/>
  <c r="H819" i="5"/>
  <c r="H472" i="5"/>
  <c r="H521" i="5"/>
  <c r="H723" i="5"/>
  <c r="H437" i="5"/>
  <c r="H280" i="5"/>
  <c r="H479" i="5"/>
  <c r="H383" i="5"/>
  <c r="H118" i="5"/>
  <c r="H610" i="5"/>
  <c r="H752" i="5"/>
  <c r="H27" i="5"/>
  <c r="H605" i="5"/>
  <c r="H435" i="5"/>
  <c r="H99" i="5"/>
  <c r="H703" i="5"/>
  <c r="H446" i="5"/>
  <c r="H626" i="5"/>
  <c r="H603" i="5"/>
  <c r="H549" i="5"/>
  <c r="H665" i="5"/>
  <c r="H464" i="5"/>
  <c r="H110" i="5"/>
  <c r="H450" i="5"/>
  <c r="H20" i="5"/>
  <c r="H178" i="5"/>
  <c r="H746" i="5"/>
  <c r="H105" i="5"/>
  <c r="H380" i="5"/>
  <c r="H138" i="5"/>
  <c r="H491" i="5"/>
  <c r="H872" i="5"/>
  <c r="H772" i="5"/>
  <c r="H319" i="5"/>
  <c r="H126" i="5"/>
  <c r="H61" i="5"/>
  <c r="H724" i="5"/>
  <c r="H825" i="5"/>
  <c r="H62" i="5"/>
  <c r="H504" i="5"/>
  <c r="H143" i="5"/>
  <c r="H821" i="5"/>
  <c r="H250" i="5"/>
  <c r="H814" i="5"/>
  <c r="H361" i="5"/>
  <c r="H830" i="5"/>
  <c r="H508" i="5"/>
  <c r="H121" i="5"/>
  <c r="H837" i="5"/>
  <c r="H513" i="5"/>
  <c r="H117" i="5"/>
  <c r="H237" i="5"/>
  <c r="H869" i="5"/>
  <c r="H902" i="5"/>
  <c r="H398" i="5"/>
  <c r="H818" i="5"/>
  <c r="H669" i="5"/>
  <c r="H581" i="5"/>
  <c r="H853" i="5"/>
  <c r="H842" i="5"/>
  <c r="H736" i="5"/>
  <c r="H653" i="5"/>
  <c r="H758" i="5"/>
  <c r="H965" i="5"/>
  <c r="H654" i="5"/>
  <c r="H964" i="5"/>
  <c r="H567" i="5"/>
  <c r="H546" i="5"/>
  <c r="H336" i="5"/>
  <c r="H526" i="5"/>
  <c r="H30" i="5"/>
  <c r="H338" i="5"/>
  <c r="H716" i="5"/>
  <c r="H293" i="5"/>
  <c r="H503" i="5"/>
  <c r="H750" i="5"/>
  <c r="H100" i="5"/>
  <c r="H727" i="5"/>
  <c r="H1000" i="5"/>
  <c r="H693" i="5"/>
  <c r="H453" i="5"/>
  <c r="H285" i="5"/>
  <c r="H760" i="5"/>
  <c r="H345" i="5"/>
  <c r="H702" i="5"/>
  <c r="H664" i="5"/>
  <c r="H46" i="5"/>
  <c r="H512" i="5"/>
  <c r="H883" i="5"/>
  <c r="H399" i="5"/>
  <c r="H244" i="5"/>
  <c r="H984" i="5"/>
  <c r="H658" i="5"/>
  <c r="H646" i="5"/>
  <c r="H624" i="5"/>
  <c r="H69" i="5"/>
  <c r="H999" i="5"/>
  <c r="H527" i="5"/>
  <c r="H74" i="5"/>
  <c r="H889" i="5"/>
  <c r="H339" i="5"/>
  <c r="H489" i="5"/>
  <c r="H947" i="5"/>
  <c r="H1001" i="5"/>
  <c r="H961" i="5"/>
  <c r="H561" i="5"/>
  <c r="H294" i="5"/>
  <c r="H67" i="5"/>
  <c r="H288" i="5"/>
  <c r="H911" i="5"/>
  <c r="H253" i="5"/>
  <c r="H841" i="5"/>
  <c r="H789" i="5"/>
  <c r="H660" i="5"/>
  <c r="H544" i="5"/>
  <c r="H298" i="5"/>
  <c r="H124" i="5"/>
  <c r="H709" i="5"/>
  <c r="H981" i="5"/>
  <c r="H499" i="5"/>
  <c r="H32" i="5"/>
  <c r="H707" i="5"/>
  <c r="H620" i="5"/>
  <c r="H92" i="5"/>
  <c r="H891" i="5"/>
  <c r="H35" i="5"/>
  <c r="H207" i="5"/>
  <c r="H828" i="5"/>
  <c r="H986" i="5"/>
  <c r="H386" i="5"/>
  <c r="H808" i="5"/>
  <c r="H535" i="5"/>
  <c r="H735" i="5"/>
  <c r="H888" i="5"/>
  <c r="H913" i="5"/>
  <c r="H147" i="5"/>
  <c r="H777" i="5"/>
  <c r="H880" i="5"/>
  <c r="H765" i="5"/>
  <c r="H401" i="5"/>
  <c r="H211" i="5"/>
  <c r="H263" i="5"/>
  <c r="H141" i="5"/>
  <c r="H360" i="5"/>
  <c r="H158" i="5"/>
  <c r="H942" i="5"/>
  <c r="H689" i="5"/>
  <c r="H47" i="5"/>
  <c r="H404" i="5"/>
  <c r="H845" i="5"/>
  <c r="H210" i="5"/>
  <c r="H992" i="5"/>
  <c r="H24" i="5"/>
  <c r="H742" i="5"/>
  <c r="H583" i="5"/>
  <c r="H866" i="5"/>
  <c r="H875" i="5"/>
  <c r="H811" i="5"/>
  <c r="H644" i="5"/>
  <c r="H301" i="5"/>
  <c r="H533" i="5"/>
  <c r="H318" i="5"/>
  <c r="H725" i="5"/>
  <c r="H13" i="5"/>
  <c r="H355" i="5"/>
  <c r="H881" i="5"/>
  <c r="H484" i="5"/>
  <c r="H967" i="5"/>
  <c r="H149" i="5"/>
  <c r="H657" i="5"/>
  <c r="H400" i="5"/>
  <c r="H604" i="5"/>
  <c r="H440" i="5"/>
  <c r="H384" i="5"/>
  <c r="H529" i="5"/>
  <c r="H717" i="5"/>
  <c r="G34" i="3" a="1"/>
  <c r="G34" i="3" s="1"/>
  <c r="I34" i="3" s="1"/>
  <c r="H514" i="5" l="1"/>
  <c r="AJ653" i="8"/>
  <c r="H184" i="5"/>
  <c r="I184" i="5" s="1"/>
  <c r="AL186" i="8" s="1"/>
  <c r="AB918" i="8"/>
  <c r="H652" i="5"/>
  <c r="H370" i="5"/>
  <c r="AC372" i="8" s="1"/>
  <c r="AJ758" i="8"/>
  <c r="AJ959" i="8"/>
  <c r="H279" i="5"/>
  <c r="AC281" i="8" s="1"/>
  <c r="H798" i="5"/>
  <c r="AC800" i="8" s="1"/>
  <c r="AB613" i="8"/>
  <c r="AB653" i="8"/>
  <c r="AJ351" i="8"/>
  <c r="AB647" i="8"/>
  <c r="AB228" i="8"/>
  <c r="AB979" i="8"/>
  <c r="AB749" i="8"/>
  <c r="AJ613" i="8"/>
  <c r="H595" i="5"/>
  <c r="I595" i="5" s="1"/>
  <c r="AL597" i="8" s="1"/>
  <c r="H328" i="5"/>
  <c r="AK330" i="8" s="1"/>
  <c r="AJ647" i="8"/>
  <c r="AB330" i="8"/>
  <c r="AB697" i="8"/>
  <c r="AJ440" i="8"/>
  <c r="AJ228" i="8"/>
  <c r="AB948" i="8"/>
  <c r="AJ805" i="8"/>
  <c r="H188" i="5"/>
  <c r="I188" i="5" s="1"/>
  <c r="AL190" i="8" s="1"/>
  <c r="H376" i="5"/>
  <c r="AK378" i="8" s="1"/>
  <c r="H82" i="5"/>
  <c r="I82" i="5" s="1"/>
  <c r="AL84" i="8" s="1"/>
  <c r="H791" i="5"/>
  <c r="AK793" i="8" s="1"/>
  <c r="H987" i="5"/>
  <c r="H325" i="5"/>
  <c r="H783" i="5"/>
  <c r="I783" i="5" s="1"/>
  <c r="AL785" i="8" s="1"/>
  <c r="AJ330" i="8"/>
  <c r="AJ873" i="8"/>
  <c r="AB510" i="8"/>
  <c r="AJ193" i="8"/>
  <c r="AJ948" i="8"/>
  <c r="AB499" i="8"/>
  <c r="AB108" i="8"/>
  <c r="H497" i="5"/>
  <c r="I497" i="5" s="1"/>
  <c r="AL499" i="8" s="1"/>
  <c r="H957" i="5"/>
  <c r="H822" i="5"/>
  <c r="AK824" i="8" s="1"/>
  <c r="H640" i="5"/>
  <c r="AK642" i="8" s="1"/>
  <c r="H756" i="5"/>
  <c r="AC758" i="8" s="1"/>
  <c r="AJ824" i="8"/>
  <c r="AB680" i="8"/>
  <c r="AB222" i="8"/>
  <c r="AB784" i="8"/>
  <c r="AJ510" i="8"/>
  <c r="AB989" i="8"/>
  <c r="AJ499" i="8"/>
  <c r="AB734" i="8"/>
  <c r="AB747" i="8"/>
  <c r="AJ108" i="8"/>
  <c r="AB483" i="8"/>
  <c r="AJ835" i="8"/>
  <c r="AJ1004" i="8"/>
  <c r="H242" i="5"/>
  <c r="AC244" i="8" s="1"/>
  <c r="H226" i="5"/>
  <c r="AJ680" i="8"/>
  <c r="AJ989" i="8"/>
  <c r="H678" i="5"/>
  <c r="I678" i="5" s="1"/>
  <c r="AL680" i="8" s="1"/>
  <c r="H150" i="5"/>
  <c r="AK152" i="8" s="1"/>
  <c r="AB378" i="8"/>
  <c r="AB130" i="8"/>
  <c r="AB190" i="8"/>
  <c r="H916" i="5"/>
  <c r="AC918" i="8" s="1"/>
  <c r="H481" i="5"/>
  <c r="AK483" i="8" s="1"/>
  <c r="AJ53" i="8"/>
  <c r="AB952" i="8"/>
  <c r="AB26" i="8"/>
  <c r="AJ444" i="8"/>
  <c r="AB226" i="8"/>
  <c r="AB244" i="8"/>
  <c r="AB603" i="8"/>
  <c r="AB819" i="8"/>
  <c r="AB281" i="8"/>
  <c r="AJ846" i="8"/>
  <c r="AJ344" i="8"/>
  <c r="AB803" i="8"/>
  <c r="AB800" i="8"/>
  <c r="AJ378" i="8"/>
  <c r="AB409" i="8"/>
  <c r="AJ130" i="8"/>
  <c r="AB700" i="8"/>
  <c r="AJ190" i="8"/>
  <c r="H698" i="5"/>
  <c r="AK700" i="8" s="1"/>
  <c r="H782" i="5"/>
  <c r="AK784" i="8" s="1"/>
  <c r="H949" i="5"/>
  <c r="AK951" i="8" s="1"/>
  <c r="H493" i="5"/>
  <c r="AK495" i="8" s="1"/>
  <c r="AB935" i="8"/>
  <c r="AJ952" i="8"/>
  <c r="AJ26" i="8"/>
  <c r="AJ226" i="8"/>
  <c r="AB533" i="8"/>
  <c r="AB945" i="8"/>
  <c r="AJ819" i="8"/>
  <c r="AB526" i="8"/>
  <c r="AB194" i="8"/>
  <c r="AB333" i="8"/>
  <c r="AJ281" i="8"/>
  <c r="AJ803" i="8"/>
  <c r="AB317" i="8"/>
  <c r="AJ800" i="8"/>
  <c r="AB828" i="8"/>
  <c r="AB717" i="8"/>
  <c r="H478" i="5"/>
  <c r="H122" i="5"/>
  <c r="H128" i="5"/>
  <c r="AK130" i="8" s="1"/>
  <c r="AB670" i="8"/>
  <c r="AB637" i="8"/>
  <c r="AB654" i="8"/>
  <c r="AJ196" i="8"/>
  <c r="AB837" i="8"/>
  <c r="H251" i="5"/>
  <c r="I251" i="5" s="1"/>
  <c r="AL253" i="8" s="1"/>
  <c r="AJ750" i="8"/>
  <c r="AJ670" i="8"/>
  <c r="AJ637" i="8"/>
  <c r="AJ654" i="8"/>
  <c r="AJ253" i="8"/>
  <c r="AB351" i="8"/>
  <c r="U920" i="8"/>
  <c r="AB920" i="8"/>
  <c r="U383" i="8"/>
  <c r="AJ383" i="8"/>
  <c r="U159" i="8"/>
  <c r="AJ159" i="8"/>
  <c r="AB159" i="8"/>
  <c r="U187" i="8"/>
  <c r="AB187" i="8"/>
  <c r="U775" i="8"/>
  <c r="AJ775" i="8"/>
  <c r="AB775" i="8"/>
  <c r="H773" i="5"/>
  <c r="AK775" i="8" s="1"/>
  <c r="U59" i="8"/>
  <c r="AJ59" i="8"/>
  <c r="U701" i="8"/>
  <c r="AJ701" i="8"/>
  <c r="AB701" i="8"/>
  <c r="U634" i="8"/>
  <c r="AJ634" i="8"/>
  <c r="AB634" i="8"/>
  <c r="H185" i="5"/>
  <c r="U435" i="8"/>
  <c r="AB435" i="8"/>
  <c r="U109" i="8"/>
  <c r="AJ109" i="8"/>
  <c r="AB109" i="8"/>
  <c r="U657" i="8"/>
  <c r="AB657" i="8"/>
  <c r="U562" i="8"/>
  <c r="AJ562" i="8"/>
  <c r="U751" i="8"/>
  <c r="H749" i="5"/>
  <c r="I749" i="5" s="1"/>
  <c r="AL751" i="8" s="1"/>
  <c r="AJ751" i="8"/>
  <c r="AB751" i="8"/>
  <c r="U416" i="8"/>
  <c r="H414" i="5"/>
  <c r="AK416" i="8" s="1"/>
  <c r="U554" i="8"/>
  <c r="AJ554" i="8"/>
  <c r="AB554" i="8"/>
  <c r="U484" i="8"/>
  <c r="H482" i="5"/>
  <c r="AK484" i="8" s="1"/>
  <c r="U250" i="8"/>
  <c r="AJ250" i="8"/>
  <c r="AB250" i="8"/>
  <c r="U306" i="8"/>
  <c r="AJ306" i="8"/>
  <c r="H304" i="5"/>
  <c r="H655" i="5"/>
  <c r="AK657" i="8" s="1"/>
  <c r="AB845" i="8"/>
  <c r="U478" i="8"/>
  <c r="AJ478" i="8"/>
  <c r="AB478" i="8"/>
  <c r="U366" i="8"/>
  <c r="AB366" i="8"/>
  <c r="H364" i="5"/>
  <c r="U519" i="8"/>
  <c r="AJ519" i="8"/>
  <c r="U991" i="8"/>
  <c r="H989" i="5"/>
  <c r="AB124" i="8"/>
  <c r="U166" i="8"/>
  <c r="H164" i="5"/>
  <c r="AK166" i="8" s="1"/>
  <c r="U581" i="8"/>
  <c r="H579" i="5"/>
  <c r="AK581" i="8" s="1"/>
  <c r="U740" i="8"/>
  <c r="AB740" i="8"/>
  <c r="U91" i="8"/>
  <c r="AJ91" i="8"/>
  <c r="U866" i="8"/>
  <c r="AJ866" i="8"/>
  <c r="U319" i="8"/>
  <c r="H317" i="5"/>
  <c r="AK319" i="8" s="1"/>
  <c r="U173" i="8"/>
  <c r="AJ173" i="8"/>
  <c r="AB173" i="8"/>
  <c r="U465" i="8"/>
  <c r="H463" i="5"/>
  <c r="AC465" i="8" s="1"/>
  <c r="AB465" i="8"/>
  <c r="U1006" i="8"/>
  <c r="AJ1006" i="8"/>
  <c r="AB1006" i="8"/>
  <c r="U18" i="8"/>
  <c r="AJ18" i="8"/>
  <c r="AB18" i="8"/>
  <c r="U178" i="8"/>
  <c r="H176" i="5"/>
  <c r="AK178" i="8" s="1"/>
  <c r="AJ178" i="8"/>
  <c r="U135" i="8"/>
  <c r="H133" i="5"/>
  <c r="AK135" i="8" s="1"/>
  <c r="U111" i="8"/>
  <c r="AJ111" i="8"/>
  <c r="AB111" i="8"/>
  <c r="H109" i="5"/>
  <c r="H517" i="5"/>
  <c r="AJ124" i="8"/>
  <c r="AB196" i="8"/>
  <c r="AJ793" i="8"/>
  <c r="AB539" i="8"/>
  <c r="U410" i="8"/>
  <c r="AJ410" i="8"/>
  <c r="AB410" i="8"/>
  <c r="U422" i="8"/>
  <c r="H420" i="5"/>
  <c r="U254" i="8"/>
  <c r="H252" i="5"/>
  <c r="U820" i="8"/>
  <c r="AB820" i="8"/>
  <c r="U643" i="8"/>
  <c r="H641" i="5"/>
  <c r="AC643" i="8" s="1"/>
  <c r="AB643" i="8"/>
  <c r="H572" i="5"/>
  <c r="I572" i="5" s="1"/>
  <c r="AL574" i="8" s="1"/>
  <c r="AJ422" i="8"/>
  <c r="AB631" i="8"/>
  <c r="AJ920" i="8"/>
  <c r="AJ539" i="8"/>
  <c r="AB210" i="8"/>
  <c r="AB276" i="8"/>
  <c r="H331" i="5"/>
  <c r="H560" i="5"/>
  <c r="H66" i="5"/>
  <c r="H205" i="5"/>
  <c r="AJ570" i="8"/>
  <c r="AJ631" i="8"/>
  <c r="AJ991" i="8"/>
  <c r="AB207" i="8"/>
  <c r="AB91" i="8"/>
  <c r="AJ210" i="8"/>
  <c r="AJ276" i="8"/>
  <c r="AB519" i="8"/>
  <c r="U845" i="8"/>
  <c r="H843" i="5"/>
  <c r="I843" i="5" s="1"/>
  <c r="AL845" i="8" s="1"/>
  <c r="U842" i="8"/>
  <c r="AJ842" i="8"/>
  <c r="AB842" i="8"/>
  <c r="U275" i="8"/>
  <c r="H273" i="5"/>
  <c r="AK275" i="8" s="1"/>
  <c r="AJ275" i="8"/>
  <c r="AB275" i="8"/>
  <c r="U580" i="8"/>
  <c r="H578" i="5"/>
  <c r="I578" i="5" s="1"/>
  <c r="AL580" i="8" s="1"/>
  <c r="AJ580" i="8"/>
  <c r="U153" i="8"/>
  <c r="AJ153" i="8"/>
  <c r="H151" i="5"/>
  <c r="I151" i="5" s="1"/>
  <c r="AL153" i="8" s="1"/>
  <c r="U309" i="8"/>
  <c r="AJ309" i="8"/>
  <c r="U840" i="8"/>
  <c r="AB840" i="8"/>
  <c r="AJ574" i="8"/>
  <c r="U693" i="8"/>
  <c r="AJ693" i="8"/>
  <c r="AB693" i="8"/>
  <c r="U560" i="8"/>
  <c r="AJ560" i="8"/>
  <c r="H558" i="5"/>
  <c r="AC560" i="8" s="1"/>
  <c r="U326" i="8"/>
  <c r="AJ326" i="8"/>
  <c r="AB326" i="8"/>
  <c r="U349" i="8"/>
  <c r="AB349" i="8"/>
  <c r="U936" i="8"/>
  <c r="AJ936" i="8"/>
  <c r="H934" i="5"/>
  <c r="AB936" i="8"/>
  <c r="U373" i="8"/>
  <c r="AJ373" i="8"/>
  <c r="H371" i="5"/>
  <c r="AC373" i="8" s="1"/>
  <c r="U555" i="8"/>
  <c r="H553" i="5"/>
  <c r="U233" i="8"/>
  <c r="AJ233" i="8"/>
  <c r="U504" i="8"/>
  <c r="H502" i="5"/>
  <c r="I502" i="5" s="1"/>
  <c r="AL504" i="8" s="1"/>
  <c r="AJ504" i="8"/>
  <c r="H11" i="5"/>
  <c r="H347" i="5"/>
  <c r="I347" i="5" s="1"/>
  <c r="AL349" i="8" s="1"/>
  <c r="U836" i="8"/>
  <c r="AJ836" i="8"/>
  <c r="U516" i="8"/>
  <c r="AJ516" i="8"/>
  <c r="U638" i="8"/>
  <c r="AJ638" i="8"/>
  <c r="H636" i="5"/>
  <c r="I636" i="5" s="1"/>
  <c r="AL638" i="8" s="1"/>
  <c r="U902" i="8"/>
  <c r="AJ902" i="8"/>
  <c r="U318" i="8"/>
  <c r="H316" i="5"/>
  <c r="U888" i="8"/>
  <c r="AJ888" i="8"/>
  <c r="AB888" i="8"/>
  <c r="U771" i="8"/>
  <c r="H769" i="5"/>
  <c r="AK771" i="8" s="1"/>
  <c r="U987" i="8"/>
  <c r="AJ987" i="8"/>
  <c r="AB987" i="8"/>
  <c r="U860" i="8"/>
  <c r="AB860" i="8"/>
  <c r="H858" i="5"/>
  <c r="I858" i="5" s="1"/>
  <c r="AL860" i="8" s="1"/>
  <c r="U360" i="8"/>
  <c r="AJ360" i="8"/>
  <c r="U996" i="8"/>
  <c r="H994" i="5"/>
  <c r="U323" i="8"/>
  <c r="AJ323" i="8"/>
  <c r="H321" i="5"/>
  <c r="AB323" i="8"/>
  <c r="AB68" i="8"/>
  <c r="AB59" i="8"/>
  <c r="U901" i="8"/>
  <c r="AJ901" i="8"/>
  <c r="AB901" i="8"/>
  <c r="U407" i="8"/>
  <c r="AJ407" i="8"/>
  <c r="U409" i="8"/>
  <c r="H407" i="5"/>
  <c r="I407" i="5" s="1"/>
  <c r="AL409" i="8" s="1"/>
  <c r="U115" i="8"/>
  <c r="AB115" i="8"/>
  <c r="U826" i="8"/>
  <c r="H824" i="5"/>
  <c r="I824" i="5" s="1"/>
  <c r="AL826" i="8" s="1"/>
  <c r="AJ826" i="8"/>
  <c r="U542" i="8"/>
  <c r="H540" i="5"/>
  <c r="U214" i="8"/>
  <c r="AB214" i="8"/>
  <c r="AJ214" i="8"/>
  <c r="U608" i="8"/>
  <c r="AJ608" i="8"/>
  <c r="AB608" i="8"/>
  <c r="U297" i="8"/>
  <c r="AJ297" i="8"/>
  <c r="AB297" i="8"/>
  <c r="U399" i="8"/>
  <c r="H397" i="5"/>
  <c r="I397" i="5" s="1"/>
  <c r="AL399" i="8" s="1"/>
  <c r="AB399" i="8"/>
  <c r="H838" i="5"/>
  <c r="I838" i="5" s="1"/>
  <c r="AL840" i="8" s="1"/>
  <c r="H113" i="5"/>
  <c r="H568" i="5"/>
  <c r="H89" i="5"/>
  <c r="H632" i="5"/>
  <c r="AK634" i="8" s="1"/>
  <c r="AB902" i="8"/>
  <c r="AJ657" i="8"/>
  <c r="AJ333" i="8"/>
  <c r="AB793" i="8"/>
  <c r="H476" i="5"/>
  <c r="AC478" i="8" s="1"/>
  <c r="AB233" i="8"/>
  <c r="H295" i="5"/>
  <c r="AK297" i="8" s="1"/>
  <c r="H433" i="5"/>
  <c r="H248" i="5"/>
  <c r="H212" i="5"/>
  <c r="H864" i="5"/>
  <c r="H899" i="5"/>
  <c r="I899" i="5" s="1"/>
  <c r="AL901" i="8" s="1"/>
  <c r="AJ542" i="8"/>
  <c r="AB309" i="8"/>
  <c r="U222" i="8"/>
  <c r="H220" i="5"/>
  <c r="AK222" i="8" s="1"/>
  <c r="H42" i="5"/>
  <c r="AC44" i="8" s="1"/>
  <c r="H958" i="5"/>
  <c r="I958" i="5" s="1"/>
  <c r="AL960" i="8" s="1"/>
  <c r="AB570" i="8"/>
  <c r="AJ771" i="8"/>
  <c r="AJ416" i="8"/>
  <c r="AB991" i="8"/>
  <c r="AJ349" i="8"/>
  <c r="H358" i="5"/>
  <c r="H977" i="5"/>
  <c r="AK979" i="8" s="1"/>
  <c r="H16" i="5"/>
  <c r="H738" i="5"/>
  <c r="I738" i="5" s="1"/>
  <c r="AL740" i="8" s="1"/>
  <c r="H349" i="5"/>
  <c r="AK351" i="8" s="1"/>
  <c r="H900" i="5"/>
  <c r="I900" i="5" s="1"/>
  <c r="AL902" i="8" s="1"/>
  <c r="AB555" i="8"/>
  <c r="AB135" i="8"/>
  <c r="AB514" i="8"/>
  <c r="AJ207" i="8"/>
  <c r="AJ996" i="8"/>
  <c r="AB319" i="8"/>
  <c r="AJ318" i="8"/>
  <c r="AB360" i="8"/>
  <c r="H645" i="5"/>
  <c r="AK647" i="8" s="1"/>
  <c r="H454" i="5"/>
  <c r="AK456" i="8" s="1"/>
  <c r="AJ603" i="8"/>
  <c r="AJ27" i="8"/>
  <c r="AB329" i="8"/>
  <c r="AJ963" i="8"/>
  <c r="AB635" i="8"/>
  <c r="AB598" i="8"/>
  <c r="H884" i="5"/>
  <c r="H827" i="5"/>
  <c r="AB229" i="8"/>
  <c r="AB995" i="8"/>
  <c r="AJ103" i="8"/>
  <c r="AB38" i="8"/>
  <c r="H506" i="5"/>
  <c r="H732" i="5"/>
  <c r="I732" i="5" s="1"/>
  <c r="AL734" i="8" s="1"/>
  <c r="H419" i="5"/>
  <c r="I419" i="5" s="1"/>
  <c r="AL421" i="8" s="1"/>
  <c r="AB508" i="8"/>
  <c r="AJ316" i="8"/>
  <c r="AJ734" i="8"/>
  <c r="AJ829" i="8"/>
  <c r="AJ918" i="8"/>
  <c r="H25" i="5"/>
  <c r="AK27" i="8" s="1"/>
  <c r="H156" i="5"/>
  <c r="I156" i="5" s="1"/>
  <c r="AL158" i="8" s="1"/>
  <c r="H203" i="5"/>
  <c r="I203" i="5" s="1"/>
  <c r="AL205" i="8" s="1"/>
  <c r="H265" i="5"/>
  <c r="AK267" i="8" s="1"/>
  <c r="AJ508" i="8"/>
  <c r="AJ503" i="8"/>
  <c r="AJ17" i="8"/>
  <c r="AB792" i="8"/>
  <c r="AJ974" i="8"/>
  <c r="AJ205" i="8"/>
  <c r="AJ856" i="8"/>
  <c r="AB758" i="8"/>
  <c r="AJ984" i="8"/>
  <c r="AB370" i="8"/>
  <c r="AJ598" i="8"/>
  <c r="H982" i="5"/>
  <c r="I982" i="5" s="1"/>
  <c r="AL984" i="8" s="1"/>
  <c r="AJ329" i="8"/>
  <c r="AJ370" i="8"/>
  <c r="AB559" i="8"/>
  <c r="H193" i="5"/>
  <c r="H33" i="5"/>
  <c r="AK35" i="8" s="1"/>
  <c r="AB683" i="8"/>
  <c r="AJ700" i="8"/>
  <c r="AJ559" i="8"/>
  <c r="H363" i="5"/>
  <c r="I363" i="5" s="1"/>
  <c r="AL365" i="8" s="1"/>
  <c r="H392" i="5"/>
  <c r="I392" i="5" s="1"/>
  <c r="AL394" i="8" s="1"/>
  <c r="H348" i="5"/>
  <c r="H359" i="5"/>
  <c r="AC361" i="8" s="1"/>
  <c r="H1003" i="5"/>
  <c r="I1003" i="5" s="1"/>
  <c r="AL1005" i="8" s="1"/>
  <c r="AB372" i="8"/>
  <c r="AJ717" i="8"/>
  <c r="AB896" i="8"/>
  <c r="H597" i="5"/>
  <c r="H726" i="5"/>
  <c r="AK728" i="8" s="1"/>
  <c r="H833" i="5"/>
  <c r="AB668" i="8"/>
  <c r="AB225" i="8"/>
  <c r="AB367" i="8"/>
  <c r="AB157" i="8"/>
  <c r="AB857" i="8"/>
  <c r="AB941" i="8"/>
  <c r="AB132" i="8"/>
  <c r="AB241" i="8"/>
  <c r="AB755" i="8"/>
  <c r="AB863" i="8"/>
  <c r="AJ643" i="8"/>
  <c r="AJ372" i="8"/>
  <c r="H106" i="5"/>
  <c r="I106" i="5" s="1"/>
  <c r="AL108" i="8" s="1"/>
  <c r="H566" i="5"/>
  <c r="H111" i="5"/>
  <c r="AC113" i="8" s="1"/>
  <c r="H223" i="5"/>
  <c r="AC225" i="8" s="1"/>
  <c r="H144" i="5"/>
  <c r="AC146" i="8" s="1"/>
  <c r="H387" i="5"/>
  <c r="AK389" i="8" s="1"/>
  <c r="AJ668" i="8"/>
  <c r="AJ225" i="8"/>
  <c r="AJ35" i="8"/>
  <c r="AJ697" i="8"/>
  <c r="AJ367" i="8"/>
  <c r="AJ157" i="8"/>
  <c r="AJ857" i="8"/>
  <c r="AJ941" i="8"/>
  <c r="AB597" i="8"/>
  <c r="AJ132" i="8"/>
  <c r="AJ241" i="8"/>
  <c r="AJ624" i="8"/>
  <c r="AB798" i="8"/>
  <c r="AJ635" i="8"/>
  <c r="AJ886" i="8"/>
  <c r="H972" i="5"/>
  <c r="H939" i="5"/>
  <c r="H775" i="5"/>
  <c r="AK777" i="8" s="1"/>
  <c r="H112" i="5"/>
  <c r="AC114" i="8" s="1"/>
  <c r="H342" i="5"/>
  <c r="AK344" i="8" s="1"/>
  <c r="H438" i="5"/>
  <c r="AK440" i="8" s="1"/>
  <c r="H861" i="5"/>
  <c r="AK863" i="8" s="1"/>
  <c r="H155" i="5"/>
  <c r="AK157" i="8" s="1"/>
  <c r="H239" i="5"/>
  <c r="AC241" i="8" s="1"/>
  <c r="AJ861" i="8"/>
  <c r="AB720" i="8"/>
  <c r="AJ597" i="8"/>
  <c r="AB517" i="8"/>
  <c r="AJ1005" i="8"/>
  <c r="AB85" i="8"/>
  <c r="AB150" i="8"/>
  <c r="AB495" i="8"/>
  <c r="AJ234" i="8"/>
  <c r="AB599" i="8"/>
  <c r="H115" i="5"/>
  <c r="AK117" i="8" s="1"/>
  <c r="H767" i="5"/>
  <c r="AC769" i="8" s="1"/>
  <c r="H622" i="5"/>
  <c r="AK624" i="8" s="1"/>
  <c r="H462" i="5"/>
  <c r="I462" i="5" s="1"/>
  <c r="AL464" i="8" s="1"/>
  <c r="H666" i="5"/>
  <c r="AK668" i="8" s="1"/>
  <c r="H718" i="5"/>
  <c r="AK720" i="8" s="1"/>
  <c r="H458" i="5"/>
  <c r="AK460" i="8" s="1"/>
  <c r="H525" i="5"/>
  <c r="I525" i="5" s="1"/>
  <c r="AL527" i="8" s="1"/>
  <c r="H9" i="5"/>
  <c r="AK11" i="8" s="1"/>
  <c r="H574" i="5"/>
  <c r="I574" i="5" s="1"/>
  <c r="AL576" i="8" s="1"/>
  <c r="AB195" i="8"/>
  <c r="AJ394" i="8"/>
  <c r="AJ684" i="8"/>
  <c r="AJ517" i="8"/>
  <c r="AJ85" i="8"/>
  <c r="AJ150" i="8"/>
  <c r="AJ134" i="8"/>
  <c r="AB365" i="8"/>
  <c r="AB158" i="8"/>
  <c r="H343" i="5"/>
  <c r="I343" i="5" s="1"/>
  <c r="AL345" i="8" s="1"/>
  <c r="H299" i="5"/>
  <c r="I299" i="5" s="1"/>
  <c r="AL301" i="8" s="1"/>
  <c r="H59" i="5"/>
  <c r="H668" i="5"/>
  <c r="AK670" i="8" s="1"/>
  <c r="H602" i="5"/>
  <c r="H627" i="5"/>
  <c r="AK629" i="8" s="1"/>
  <c r="H933" i="5"/>
  <c r="I933" i="5" s="1"/>
  <c r="AL935" i="8" s="1"/>
  <c r="H365" i="5"/>
  <c r="AK367" i="8" s="1"/>
  <c r="H57" i="5"/>
  <c r="AK59" i="8" s="1"/>
  <c r="H515" i="5"/>
  <c r="H651" i="5"/>
  <c r="AK653" i="8" s="1"/>
  <c r="AB911" i="8"/>
  <c r="AJ879" i="8"/>
  <c r="AB421" i="8"/>
  <c r="AB460" i="8"/>
  <c r="AB186" i="8"/>
  <c r="AB594" i="8"/>
  <c r="AB590" i="8"/>
  <c r="AB90" i="8"/>
  <c r="AB777" i="8"/>
  <c r="AB13" i="8"/>
  <c r="AB953" i="8"/>
  <c r="AJ512" i="8"/>
  <c r="AB459" i="8"/>
  <c r="AJ187" i="8"/>
  <c r="AB532" i="8"/>
  <c r="AB743" i="8"/>
  <c r="AB883" i="8"/>
  <c r="AB633" i="8"/>
  <c r="AJ365" i="8"/>
  <c r="AJ158" i="8"/>
  <c r="AB11" i="8"/>
  <c r="H894" i="5"/>
  <c r="AK896" i="8" s="1"/>
  <c r="H480" i="5"/>
  <c r="AK482" i="8" s="1"/>
  <c r="H877" i="5"/>
  <c r="H276" i="5"/>
  <c r="H488" i="5"/>
  <c r="AK490" i="8" s="1"/>
  <c r="H745" i="5"/>
  <c r="AK747" i="8" s="1"/>
  <c r="H699" i="5"/>
  <c r="H537" i="5"/>
  <c r="AC539" i="8" s="1"/>
  <c r="H76" i="5"/>
  <c r="H936" i="5"/>
  <c r="AK938" i="8" s="1"/>
  <c r="H781" i="5"/>
  <c r="I781" i="5" s="1"/>
  <c r="AL783" i="8" s="1"/>
  <c r="H801" i="5"/>
  <c r="AK803" i="8" s="1"/>
  <c r="H227" i="5"/>
  <c r="AK229" i="8" s="1"/>
  <c r="AJ911" i="8"/>
  <c r="AB557" i="8"/>
  <c r="AB114" i="8"/>
  <c r="AJ938" i="8"/>
  <c r="AJ604" i="8"/>
  <c r="AJ421" i="8"/>
  <c r="AJ769" i="8"/>
  <c r="AJ460" i="8"/>
  <c r="AJ186" i="8"/>
  <c r="AJ464" i="8"/>
  <c r="AJ482" i="8"/>
  <c r="AJ89" i="8"/>
  <c r="AJ594" i="8"/>
  <c r="AJ590" i="8"/>
  <c r="AJ90" i="8"/>
  <c r="AJ777" i="8"/>
  <c r="AJ588" i="8"/>
  <c r="AJ13" i="8"/>
  <c r="AJ953" i="8"/>
  <c r="AJ527" i="8"/>
  <c r="AJ459" i="8"/>
  <c r="AB741" i="8"/>
  <c r="AB957" i="8"/>
  <c r="AJ532" i="8"/>
  <c r="AJ743" i="8"/>
  <c r="AJ490" i="8"/>
  <c r="AJ883" i="8"/>
  <c r="AJ633" i="8"/>
  <c r="AB576" i="8"/>
  <c r="AJ267" i="8"/>
  <c r="AB278" i="8"/>
  <c r="AJ11" i="8"/>
  <c r="AB900" i="8"/>
  <c r="AB165" i="8"/>
  <c r="H368" i="5"/>
  <c r="AK370" i="8" s="1"/>
  <c r="AJ900" i="8"/>
  <c r="AJ629" i="8"/>
  <c r="AJ165" i="8"/>
  <c r="AB61" i="8"/>
  <c r="AB361" i="8"/>
  <c r="AJ61" i="8"/>
  <c r="H715" i="5"/>
  <c r="I715" i="5" s="1"/>
  <c r="AL717" i="8" s="1"/>
  <c r="H101" i="5"/>
  <c r="I101" i="5" s="1"/>
  <c r="AL103" i="8" s="1"/>
  <c r="AJ244" i="8"/>
  <c r="AJ683" i="8"/>
  <c r="AJ438" i="8"/>
  <c r="AB573" i="8"/>
  <c r="AJ361" i="8"/>
  <c r="H951" i="5"/>
  <c r="H684" i="5"/>
  <c r="H555" i="5"/>
  <c r="AB35" i="8"/>
  <c r="AB218" i="8"/>
  <c r="AB624" i="8"/>
  <c r="AJ573" i="8"/>
  <c r="AB886" i="8"/>
  <c r="AJ896" i="8"/>
  <c r="H51" i="5"/>
  <c r="AK53" i="8" s="1"/>
  <c r="H130" i="5"/>
  <c r="AK132" i="8" s="1"/>
  <c r="H163" i="5"/>
  <c r="I163" i="5" s="1"/>
  <c r="AL165" i="8" s="1"/>
  <c r="H228" i="5"/>
  <c r="I228" i="5" s="1"/>
  <c r="AL230" i="8" s="1"/>
  <c r="AB1005" i="8"/>
  <c r="AJ218" i="8"/>
  <c r="AJ755" i="8"/>
  <c r="AJ863" i="8"/>
  <c r="AB234" i="8"/>
  <c r="AJ38" i="8"/>
  <c r="H501" i="5"/>
  <c r="I501" i="5" s="1"/>
  <c r="AL503" i="8" s="1"/>
  <c r="H762" i="5"/>
  <c r="AK764" i="8" s="1"/>
  <c r="H224" i="5"/>
  <c r="AC226" i="8" s="1"/>
  <c r="H232" i="5"/>
  <c r="AC234" i="8" s="1"/>
  <c r="AB394" i="8"/>
  <c r="AB728" i="8"/>
  <c r="AB443" i="8"/>
  <c r="AB702" i="8"/>
  <c r="AJ792" i="8"/>
  <c r="AB113" i="8"/>
  <c r="AB924" i="8"/>
  <c r="AB134" i="8"/>
  <c r="H530" i="5"/>
  <c r="AK532" i="8" s="1"/>
  <c r="H314" i="5"/>
  <c r="AC316" i="8" s="1"/>
  <c r="H922" i="5"/>
  <c r="I922" i="5" s="1"/>
  <c r="AL924" i="8" s="1"/>
  <c r="H88" i="5"/>
  <c r="AK90" i="8" s="1"/>
  <c r="AB879" i="8"/>
  <c r="AB710" i="8"/>
  <c r="AJ720" i="8"/>
  <c r="AJ728" i="8"/>
  <c r="AJ443" i="8"/>
  <c r="AJ702" i="8"/>
  <c r="AJ526" i="8"/>
  <c r="AJ113" i="8"/>
  <c r="AB512" i="8"/>
  <c r="AJ924" i="8"/>
  <c r="AJ495" i="8"/>
  <c r="AJ599" i="8"/>
  <c r="H955" i="5"/>
  <c r="AK957" i="8" s="1"/>
  <c r="H854" i="5"/>
  <c r="I854" i="5" s="1"/>
  <c r="AL856" i="8" s="1"/>
  <c r="H571" i="5"/>
  <c r="H492" i="5"/>
  <c r="I492" i="5" s="1"/>
  <c r="AL494" i="8" s="1"/>
  <c r="H633" i="5"/>
  <c r="AK635" i="8" s="1"/>
  <c r="AJ195" i="8"/>
  <c r="AJ710" i="8"/>
  <c r="AB938" i="8"/>
  <c r="AB604" i="8"/>
  <c r="AB769" i="8"/>
  <c r="AB464" i="8"/>
  <c r="AB482" i="8"/>
  <c r="AB89" i="8"/>
  <c r="AB588" i="8"/>
  <c r="AB527" i="8"/>
  <c r="AJ642" i="8"/>
  <c r="AB490" i="8"/>
  <c r="AB267" i="8"/>
  <c r="H406" i="5"/>
  <c r="AK408" i="8" s="1"/>
  <c r="H375" i="5"/>
  <c r="AK377" i="8" s="1"/>
  <c r="H274" i="5"/>
  <c r="AC276" i="8" s="1"/>
  <c r="H148" i="5"/>
  <c r="I148" i="5" s="1"/>
  <c r="AL150" i="8" s="1"/>
  <c r="H327" i="5"/>
  <c r="AC329" i="8" s="1"/>
  <c r="H840" i="5"/>
  <c r="AK842" i="8" s="1"/>
  <c r="H909" i="5"/>
  <c r="I909" i="5" s="1"/>
  <c r="AL911" i="8" s="1"/>
  <c r="H739" i="5"/>
  <c r="AK741" i="8" s="1"/>
  <c r="H631" i="5"/>
  <c r="AK633" i="8" s="1"/>
  <c r="H557" i="5"/>
  <c r="I557" i="5" s="1"/>
  <c r="AL559" i="8" s="1"/>
  <c r="H855" i="5"/>
  <c r="I855" i="5" s="1"/>
  <c r="AL857" i="8" s="1"/>
  <c r="H586" i="5"/>
  <c r="I586" i="5" s="1"/>
  <c r="AL588" i="8" s="1"/>
  <c r="H83" i="5"/>
  <c r="I83" i="5" s="1"/>
  <c r="AL85" i="8" s="1"/>
  <c r="H36" i="5"/>
  <c r="AK38" i="8" s="1"/>
  <c r="H22" i="5"/>
  <c r="AK24" i="8" s="1"/>
  <c r="H191" i="5"/>
  <c r="I191" i="5" s="1"/>
  <c r="AL193" i="8" s="1"/>
  <c r="H682" i="5"/>
  <c r="I682" i="5" s="1"/>
  <c r="AL684" i="8" s="1"/>
  <c r="H157" i="5"/>
  <c r="AK159" i="8" s="1"/>
  <c r="H844" i="5"/>
  <c r="AK846" i="8" s="1"/>
  <c r="H898" i="5"/>
  <c r="I898" i="5" s="1"/>
  <c r="AL900" i="8" s="1"/>
  <c r="H695" i="5"/>
  <c r="AK697" i="8" s="1"/>
  <c r="H700" i="5"/>
  <c r="I700" i="5" s="1"/>
  <c r="AL702" i="8" s="1"/>
  <c r="H307" i="5"/>
  <c r="AK309" i="8" s="1"/>
  <c r="H552" i="5"/>
  <c r="AK554" i="8" s="1"/>
  <c r="H132" i="5"/>
  <c r="H681" i="5"/>
  <c r="AK683" i="8" s="1"/>
  <c r="H753" i="5"/>
  <c r="AC755" i="8" s="1"/>
  <c r="H820" i="5"/>
  <c r="AC822" i="8" s="1"/>
  <c r="H107" i="5"/>
  <c r="I107" i="5" s="1"/>
  <c r="AL109" i="8" s="1"/>
  <c r="H635" i="5"/>
  <c r="AC637" i="8" s="1"/>
  <c r="AJ557" i="8"/>
  <c r="AJ114" i="8"/>
  <c r="AB53" i="8"/>
  <c r="AB440" i="8"/>
  <c r="AB484" i="8"/>
  <c r="AB327" i="8"/>
  <c r="AB422" i="8"/>
  <c r="AB456" i="8"/>
  <c r="AB824" i="8"/>
  <c r="AB254" i="8"/>
  <c r="AB503" i="8"/>
  <c r="AB951" i="8"/>
  <c r="AB17" i="8"/>
  <c r="AB560" i="8"/>
  <c r="AB230" i="8"/>
  <c r="AB205" i="8"/>
  <c r="AB416" i="8"/>
  <c r="AB103" i="8"/>
  <c r="AB301" i="8"/>
  <c r="AB84" i="8"/>
  <c r="AB193" i="8"/>
  <c r="AB27" i="8"/>
  <c r="AB776" i="8"/>
  <c r="AB580" i="8"/>
  <c r="AB253" i="8"/>
  <c r="AB846" i="8"/>
  <c r="AB835" i="8"/>
  <c r="AJ741" i="8"/>
  <c r="AJ957" i="8"/>
  <c r="AB24" i="8"/>
  <c r="AB829" i="8"/>
  <c r="AJ576" i="8"/>
  <c r="AJ782" i="8"/>
  <c r="AJ278" i="8"/>
  <c r="H287" i="5"/>
  <c r="I287" i="5" s="1"/>
  <c r="AL289" i="8" s="1"/>
  <c r="AB45" i="8"/>
  <c r="AB912" i="8"/>
  <c r="AJ417" i="8"/>
  <c r="H350" i="5"/>
  <c r="AK352" i="8" s="1"/>
  <c r="H975" i="5"/>
  <c r="AK977" i="8" s="1"/>
  <c r="AJ105" i="8"/>
  <c r="AJ995" i="8"/>
  <c r="H677" i="5"/>
  <c r="I677" i="5" s="1"/>
  <c r="AL679" i="8" s="1"/>
  <c r="H10" i="5"/>
  <c r="AC12" i="8" s="1"/>
  <c r="H441" i="5"/>
  <c r="AK443" i="8" s="1"/>
  <c r="AJ468" i="8"/>
  <c r="AJ289" i="8"/>
  <c r="AJ350" i="8"/>
  <c r="H757" i="5"/>
  <c r="I757" i="5" s="1"/>
  <c r="AL759" i="8" s="1"/>
  <c r="H813" i="5"/>
  <c r="AK815" i="8" s="1"/>
  <c r="H425" i="5"/>
  <c r="I425" i="5" s="1"/>
  <c r="AL427" i="8" s="1"/>
  <c r="H823" i="5"/>
  <c r="I823" i="5" s="1"/>
  <c r="AL825" i="8" s="1"/>
  <c r="AJ872" i="8"/>
  <c r="AB679" i="8"/>
  <c r="AJ12" i="8"/>
  <c r="AJ78" i="8"/>
  <c r="AJ395" i="8"/>
  <c r="AJ815" i="8"/>
  <c r="AB950" i="8"/>
  <c r="AJ798" i="8"/>
  <c r="H990" i="5"/>
  <c r="AK992" i="8" s="1"/>
  <c r="H466" i="5"/>
  <c r="AB417" i="8"/>
  <c r="H510" i="5"/>
  <c r="AC512" i="8" s="1"/>
  <c r="H312" i="5"/>
  <c r="I312" i="5" s="1"/>
  <c r="AL314" i="8" s="1"/>
  <c r="AJ538" i="8"/>
  <c r="H968" i="5"/>
  <c r="AK970" i="8" s="1"/>
  <c r="AB916" i="8"/>
  <c r="AB468" i="8"/>
  <c r="AJ313" i="8"/>
  <c r="H516" i="5"/>
  <c r="AC518" i="8" s="1"/>
  <c r="H377" i="5"/>
  <c r="AK379" i="8" s="1"/>
  <c r="AB12" i="8"/>
  <c r="AB815" i="8"/>
  <c r="AJ352" i="8"/>
  <c r="H796" i="5"/>
  <c r="AK798" i="8" s="1"/>
  <c r="H173" i="5"/>
  <c r="AK175" i="8" s="1"/>
  <c r="AJ679" i="8"/>
  <c r="AB156" i="8"/>
  <c r="AB57" i="8"/>
  <c r="AJ262" i="8"/>
  <c r="AB431" i="8"/>
  <c r="AB970" i="8"/>
  <c r="AB627" i="8"/>
  <c r="AB117" i="8"/>
  <c r="AB273" i="8"/>
  <c r="H429" i="5"/>
  <c r="AJ912" i="8"/>
  <c r="H486" i="5"/>
  <c r="AC488" i="8" s="1"/>
  <c r="AB352" i="8"/>
  <c r="AB350" i="8"/>
  <c r="H890" i="5"/>
  <c r="I890" i="5" s="1"/>
  <c r="AL892" i="8" s="1"/>
  <c r="H870" i="5"/>
  <c r="AK872" i="8" s="1"/>
  <c r="H634" i="5"/>
  <c r="AC636" i="8" s="1"/>
  <c r="AB146" i="8"/>
  <c r="AJ592" i="8"/>
  <c r="AJ431" i="8"/>
  <c r="AJ970" i="8"/>
  <c r="AJ117" i="8"/>
  <c r="AB427" i="8"/>
  <c r="AB942" i="8"/>
  <c r="AB825" i="8"/>
  <c r="AJ447" i="8"/>
  <c r="AB289" i="8"/>
  <c r="H993" i="5"/>
  <c r="I993" i="5" s="1"/>
  <c r="AL995" i="8" s="1"/>
  <c r="H415" i="5"/>
  <c r="AK417" i="8" s="1"/>
  <c r="H306" i="5"/>
  <c r="I306" i="5" s="1"/>
  <c r="AL308" i="8" s="1"/>
  <c r="H661" i="5"/>
  <c r="AK663" i="8" s="1"/>
  <c r="H87" i="5"/>
  <c r="AC89" i="8" s="1"/>
  <c r="AB684" i="8"/>
  <c r="AB316" i="8"/>
  <c r="AB642" i="8"/>
  <c r="AJ427" i="8"/>
  <c r="AJ942" i="8"/>
  <c r="AJ825" i="8"/>
  <c r="AJ156" i="8"/>
  <c r="H460" i="5"/>
  <c r="AK462" i="8" s="1"/>
  <c r="H352" i="5"/>
  <c r="I352" i="5" s="1"/>
  <c r="AL354" i="8" s="1"/>
  <c r="AB475" i="8"/>
  <c r="H271" i="5"/>
  <c r="AC273" i="8" s="1"/>
  <c r="AB809" i="8"/>
  <c r="H278" i="5"/>
  <c r="AC280" i="8" s="1"/>
  <c r="H536" i="5"/>
  <c r="H268" i="5"/>
  <c r="AK270" i="8" s="1"/>
  <c r="H722" i="5"/>
  <c r="AK724" i="8" s="1"/>
  <c r="H901" i="5"/>
  <c r="I901" i="5" s="1"/>
  <c r="AL903" i="8" s="1"/>
  <c r="H896" i="5"/>
  <c r="AC898" i="8" s="1"/>
  <c r="AJ809" i="8"/>
  <c r="AJ379" i="8"/>
  <c r="AB564" i="8"/>
  <c r="AB664" i="8"/>
  <c r="AB40" i="8"/>
  <c r="AB204" i="8"/>
  <c r="AB324" i="8"/>
  <c r="AJ458" i="8"/>
  <c r="AB934" i="8"/>
  <c r="AJ414" i="8"/>
  <c r="AJ950" i="8"/>
  <c r="AB998" i="8"/>
  <c r="AB336" i="8"/>
  <c r="AB724" i="8"/>
  <c r="AB21" i="8"/>
  <c r="H38" i="5"/>
  <c r="AK40" i="8" s="1"/>
  <c r="H439" i="5"/>
  <c r="I439" i="5" s="1"/>
  <c r="AL441" i="8" s="1"/>
  <c r="AJ804" i="8"/>
  <c r="AB898" i="8"/>
  <c r="AJ475" i="8"/>
  <c r="AJ308" i="8"/>
  <c r="AJ875" i="8"/>
  <c r="H19" i="5"/>
  <c r="AK21" i="8" s="1"/>
  <c r="H925" i="5"/>
  <c r="AK927" i="8" s="1"/>
  <c r="H260" i="5"/>
  <c r="I260" i="5" s="1"/>
  <c r="AL262" i="8" s="1"/>
  <c r="AB650" i="8"/>
  <c r="H154" i="5"/>
  <c r="I154" i="5" s="1"/>
  <c r="AL156" i="8" s="1"/>
  <c r="H180" i="5"/>
  <c r="AC182" i="8" s="1"/>
  <c r="H129" i="5"/>
  <c r="AK131" i="8" s="1"/>
  <c r="AB55" i="8"/>
  <c r="AB864" i="8"/>
  <c r="AJ283" i="8"/>
  <c r="AJ412" i="8"/>
  <c r="AB773" i="8"/>
  <c r="AJ650" i="8"/>
  <c r="AB579" i="8"/>
  <c r="H166" i="5"/>
  <c r="I166" i="5" s="1"/>
  <c r="AL168" i="8" s="1"/>
  <c r="H848" i="5"/>
  <c r="AC850" i="8" s="1"/>
  <c r="H784" i="5"/>
  <c r="I784" i="5" s="1"/>
  <c r="AL786" i="8" s="1"/>
  <c r="H473" i="5"/>
  <c r="AK475" i="8" s="1"/>
  <c r="AJ55" i="8"/>
  <c r="AB887" i="8"/>
  <c r="AJ850" i="8"/>
  <c r="AJ864" i="8"/>
  <c r="AJ345" i="8"/>
  <c r="AJ579" i="8"/>
  <c r="H507" i="5"/>
  <c r="AK509" i="8" s="1"/>
  <c r="H53" i="5"/>
  <c r="I53" i="5" s="1"/>
  <c r="AL55" i="8" s="1"/>
  <c r="H73" i="5"/>
  <c r="AK75" i="8" s="1"/>
  <c r="H676" i="5"/>
  <c r="I676" i="5" s="1"/>
  <c r="AL678" i="8" s="1"/>
  <c r="AJ564" i="8"/>
  <c r="AB663" i="8"/>
  <c r="AJ822" i="8"/>
  <c r="AJ40" i="8"/>
  <c r="AB426" i="8"/>
  <c r="AJ324" i="8"/>
  <c r="AB905" i="8"/>
  <c r="AB424" i="8"/>
  <c r="AB280" i="8"/>
  <c r="AB266" i="8"/>
  <c r="AJ934" i="8"/>
  <c r="AB977" i="8"/>
  <c r="AB520" i="8"/>
  <c r="AB513" i="8"/>
  <c r="AJ665" i="8"/>
  <c r="AJ998" i="8"/>
  <c r="AJ336" i="8"/>
  <c r="H562" i="5"/>
  <c r="AK564" i="8" s="1"/>
  <c r="H49" i="5"/>
  <c r="I49" i="5" s="1"/>
  <c r="AL51" i="8" s="1"/>
  <c r="H851" i="5"/>
  <c r="AK853" i="8" s="1"/>
  <c r="H563" i="5"/>
  <c r="I563" i="5" s="1"/>
  <c r="AL565" i="8" s="1"/>
  <c r="H590" i="5"/>
  <c r="AK592" i="8" s="1"/>
  <c r="H577" i="5"/>
  <c r="AK579" i="8" s="1"/>
  <c r="H381" i="5"/>
  <c r="AK383" i="8" s="1"/>
  <c r="H219" i="5"/>
  <c r="I219" i="5" s="1"/>
  <c r="AL221" i="8" s="1"/>
  <c r="AJ663" i="8"/>
  <c r="AJ979" i="8"/>
  <c r="AJ339" i="8"/>
  <c r="AB182" i="8"/>
  <c r="AB636" i="8"/>
  <c r="AJ426" i="8"/>
  <c r="AJ68" i="8"/>
  <c r="AJ424" i="8"/>
  <c r="AJ280" i="8"/>
  <c r="AJ977" i="8"/>
  <c r="AJ776" i="8"/>
  <c r="AB237" i="8"/>
  <c r="AJ520" i="8"/>
  <c r="AB814" i="8"/>
  <c r="AB914" i="8"/>
  <c r="AJ513" i="8"/>
  <c r="AB354" i="8"/>
  <c r="AB163" i="8"/>
  <c r="AB804" i="8"/>
  <c r="AB74" i="8"/>
  <c r="AJ273" i="8"/>
  <c r="H862" i="5"/>
  <c r="AK864" i="8" s="1"/>
  <c r="AJ21" i="8"/>
  <c r="H422" i="5"/>
  <c r="I422" i="5" s="1"/>
  <c r="AL424" i="8" s="1"/>
  <c r="AB511" i="8"/>
  <c r="AB462" i="8"/>
  <c r="H456" i="5"/>
  <c r="I456" i="5" s="1"/>
  <c r="AL458" i="8" s="1"/>
  <c r="H523" i="5"/>
  <c r="I523" i="5" s="1"/>
  <c r="AL525" i="8" s="1"/>
  <c r="AB850" i="8"/>
  <c r="AB176" i="8"/>
  <c r="AJ462" i="8"/>
  <c r="AB345" i="8"/>
  <c r="H445" i="5"/>
  <c r="AK447" i="8" s="1"/>
  <c r="H311" i="5"/>
  <c r="I311" i="5" s="1"/>
  <c r="AL313" i="8" s="1"/>
  <c r="H771" i="5"/>
  <c r="I771" i="5" s="1"/>
  <c r="AL773" i="8" s="1"/>
  <c r="AB379" i="8"/>
  <c r="AB458" i="8"/>
  <c r="AJ773" i="8"/>
  <c r="AB397" i="8"/>
  <c r="H932" i="5"/>
  <c r="I932" i="5" s="1"/>
  <c r="AL934" i="8" s="1"/>
  <c r="H625" i="5"/>
  <c r="AC627" i="8" s="1"/>
  <c r="H619" i="5"/>
  <c r="AK621" i="8" s="1"/>
  <c r="H410" i="5"/>
  <c r="I410" i="5" s="1"/>
  <c r="AL412" i="8" s="1"/>
  <c r="H779" i="5"/>
  <c r="AC781" i="8" s="1"/>
  <c r="AB51" i="8"/>
  <c r="AB441" i="8"/>
  <c r="AB197" i="8"/>
  <c r="AJ223" i="8"/>
  <c r="AB686" i="8"/>
  <c r="AJ182" i="8"/>
  <c r="AJ636" i="8"/>
  <c r="AB131" i="8"/>
  <c r="AB175" i="8"/>
  <c r="AB903" i="8"/>
  <c r="AJ814" i="8"/>
  <c r="AB547" i="8"/>
  <c r="AJ354" i="8"/>
  <c r="AJ163" i="8"/>
  <c r="AJ724" i="8"/>
  <c r="AJ45" i="8"/>
  <c r="H1002" i="5"/>
  <c r="AK1004" i="8" s="1"/>
  <c r="H548" i="5"/>
  <c r="AK550" i="8" s="1"/>
  <c r="AJ898" i="8"/>
  <c r="AB412" i="8"/>
  <c r="H910" i="5"/>
  <c r="I910" i="5" s="1"/>
  <c r="AL912" i="8" s="1"/>
  <c r="H322" i="5"/>
  <c r="I322" i="5" s="1"/>
  <c r="AL324" i="8" s="1"/>
  <c r="H662" i="5"/>
  <c r="AC664" i="8" s="1"/>
  <c r="H177" i="5"/>
  <c r="AK179" i="8" s="1"/>
  <c r="H545" i="5"/>
  <c r="I545" i="5" s="1"/>
  <c r="AL547" i="8" s="1"/>
  <c r="H812" i="5"/>
  <c r="AK814" i="8" s="1"/>
  <c r="AB872" i="8"/>
  <c r="AJ972" i="8"/>
  <c r="AJ51" i="8"/>
  <c r="AJ441" i="8"/>
  <c r="AJ197" i="8"/>
  <c r="AB78" i="8"/>
  <c r="AJ14" i="8"/>
  <c r="AJ175" i="8"/>
  <c r="AJ903" i="8"/>
  <c r="AJ429" i="8"/>
  <c r="AJ547" i="8"/>
  <c r="AB518" i="8"/>
  <c r="AB1004" i="8"/>
  <c r="AJ118" i="8"/>
  <c r="H887" i="5"/>
  <c r="AK889" i="8" s="1"/>
  <c r="H690" i="5"/>
  <c r="AK692" i="8" s="1"/>
  <c r="AJ450" i="8"/>
  <c r="AB95" i="8"/>
  <c r="AB787" i="8"/>
  <c r="AJ858" i="8"/>
  <c r="AB480" i="8"/>
  <c r="AJ692" i="8"/>
  <c r="H774" i="5"/>
  <c r="AC776" i="8" s="1"/>
  <c r="AJ749" i="8"/>
  <c r="AJ787" i="8"/>
  <c r="AJ104" i="8"/>
  <c r="H123" i="5"/>
  <c r="AC125" i="8" s="1"/>
  <c r="H198" i="5"/>
  <c r="I198" i="5" s="1"/>
  <c r="AL200" i="8" s="1"/>
  <c r="H189" i="5"/>
  <c r="AC191" i="8" s="1"/>
  <c r="H706" i="5"/>
  <c r="AK708" i="8" s="1"/>
  <c r="H39" i="5"/>
  <c r="AK41" i="8" s="1"/>
  <c r="H194" i="5"/>
  <c r="AK196" i="8" s="1"/>
  <c r="H649" i="5"/>
  <c r="AK651" i="8" s="1"/>
  <c r="AB257" i="8"/>
  <c r="AJ75" i="8"/>
  <c r="AB288" i="8"/>
  <c r="AJ644" i="8"/>
  <c r="AJ740" i="8"/>
  <c r="AB486" i="8"/>
  <c r="AB577" i="8"/>
  <c r="AJ166" i="8"/>
  <c r="AB418" i="8"/>
  <c r="AB812" i="8"/>
  <c r="AJ133" i="8"/>
  <c r="H116" i="5"/>
  <c r="AK118" i="8" s="1"/>
  <c r="H748" i="5"/>
  <c r="AK750" i="8" s="1"/>
  <c r="H799" i="5"/>
  <c r="AK801" i="8" s="1"/>
  <c r="H159" i="5"/>
  <c r="AK161" i="8" s="1"/>
  <c r="H202" i="5"/>
  <c r="I202" i="5" s="1"/>
  <c r="AL204" i="8" s="1"/>
  <c r="H747" i="5"/>
  <c r="AK749" i="8" s="1"/>
  <c r="H918" i="5"/>
  <c r="AK920" i="8" s="1"/>
  <c r="H93" i="5"/>
  <c r="AK95" i="8" s="1"/>
  <c r="AB447" i="8"/>
  <c r="AJ257" i="8"/>
  <c r="AB652" i="8"/>
  <c r="AJ131" i="8"/>
  <c r="AJ288" i="8"/>
  <c r="AB313" i="8"/>
  <c r="AJ486" i="8"/>
  <c r="AJ577" i="8"/>
  <c r="AJ418" i="8"/>
  <c r="AJ812" i="8"/>
  <c r="AB308" i="8"/>
  <c r="AB538" i="8"/>
  <c r="AB274" i="8"/>
  <c r="AJ62" i="8"/>
  <c r="AB118" i="8"/>
  <c r="AB450" i="8"/>
  <c r="AB72" i="8"/>
  <c r="AJ649" i="8"/>
  <c r="AB692" i="8"/>
  <c r="AB889" i="8"/>
  <c r="AB104" i="8"/>
  <c r="AJ95" i="8"/>
  <c r="AJ889" i="8"/>
  <c r="AB75" i="8"/>
  <c r="AB644" i="8"/>
  <c r="AB834" i="8"/>
  <c r="AJ480" i="8"/>
  <c r="AB133" i="8"/>
  <c r="H730" i="5"/>
  <c r="AK732" i="8" s="1"/>
  <c r="H785" i="5"/>
  <c r="AC787" i="8" s="1"/>
  <c r="AB73" i="8"/>
  <c r="AB363" i="8"/>
  <c r="AB161" i="8"/>
  <c r="AB978" i="8"/>
  <c r="AB651" i="8"/>
  <c r="AB181" i="8"/>
  <c r="AJ274" i="8"/>
  <c r="H810" i="5"/>
  <c r="H924" i="5"/>
  <c r="AC926" i="8" s="1"/>
  <c r="H405" i="5"/>
  <c r="AK407" i="8" s="1"/>
  <c r="H780" i="5"/>
  <c r="I780" i="5" s="1"/>
  <c r="AL782" i="8" s="1"/>
  <c r="H642" i="5"/>
  <c r="AK644" i="8" s="1"/>
  <c r="AB44" i="8"/>
  <c r="AJ664" i="8"/>
  <c r="AJ74" i="8"/>
  <c r="AJ73" i="8"/>
  <c r="AJ204" i="8"/>
  <c r="AJ70" i="8"/>
  <c r="AB878" i="8"/>
  <c r="AB600" i="8"/>
  <c r="AJ363" i="8"/>
  <c r="AB926" i="8"/>
  <c r="AJ57" i="8"/>
  <c r="AB36" i="8"/>
  <c r="AJ161" i="8"/>
  <c r="AJ259" i="8"/>
  <c r="AJ651" i="8"/>
  <c r="AJ627" i="8"/>
  <c r="AJ181" i="8"/>
  <c r="H75" i="5"/>
  <c r="AK77" i="8" s="1"/>
  <c r="H647" i="5"/>
  <c r="AK649" i="8" s="1"/>
  <c r="H675" i="5"/>
  <c r="AJ982" i="8"/>
  <c r="AJ611" i="8"/>
  <c r="AB374" i="8"/>
  <c r="AJ878" i="8"/>
  <c r="AJ926" i="8"/>
  <c r="AB77" i="8"/>
  <c r="AJ565" i="8"/>
  <c r="H272" i="5"/>
  <c r="AK274" i="8" s="1"/>
  <c r="H179" i="5"/>
  <c r="AC181" i="8" s="1"/>
  <c r="H102" i="5"/>
  <c r="AK104" i="8" s="1"/>
  <c r="H834" i="5"/>
  <c r="I834" i="5" s="1"/>
  <c r="AL836" i="8" s="1"/>
  <c r="AJ44" i="8"/>
  <c r="AJ600" i="8"/>
  <c r="H372" i="5"/>
  <c r="I372" i="5" s="1"/>
  <c r="AL374" i="8" s="1"/>
  <c r="H286" i="5"/>
  <c r="AK288" i="8" s="1"/>
  <c r="H71" i="5"/>
  <c r="AC73" i="8" s="1"/>
  <c r="H575" i="5"/>
  <c r="AK577" i="8" s="1"/>
  <c r="AB750" i="8"/>
  <c r="AB383" i="8"/>
  <c r="AB676" i="8"/>
  <c r="AJ374" i="8"/>
  <c r="AJ905" i="8"/>
  <c r="AB463" i="8"/>
  <c r="AJ237" i="8"/>
  <c r="AJ511" i="8"/>
  <c r="AJ77" i="8"/>
  <c r="AJ681" i="8"/>
  <c r="AB875" i="8"/>
  <c r="AB836" i="8"/>
  <c r="AB782" i="8"/>
  <c r="H26" i="5"/>
  <c r="AK28" i="8" s="1"/>
  <c r="H80" i="5"/>
  <c r="I80" i="5" s="1"/>
  <c r="AL82" i="8" s="1"/>
  <c r="H427" i="5"/>
  <c r="AK429" i="8" s="1"/>
  <c r="AJ676" i="8"/>
  <c r="AJ176" i="8"/>
  <c r="H195" i="5"/>
  <c r="AK197" i="8" s="1"/>
  <c r="H940" i="5"/>
  <c r="AK942" i="8" s="1"/>
  <c r="H94" i="5"/>
  <c r="AK96" i="8" s="1"/>
  <c r="H395" i="5"/>
  <c r="AK397" i="8" s="1"/>
  <c r="H914" i="5"/>
  <c r="AC916" i="8" s="1"/>
  <c r="H919" i="5"/>
  <c r="I919" i="5" s="1"/>
  <c r="AL921" i="8" s="1"/>
  <c r="H357" i="5"/>
  <c r="I357" i="5" s="1"/>
  <c r="AL359" i="8" s="1"/>
  <c r="AB611" i="8"/>
  <c r="AB339" i="8"/>
  <c r="AB549" i="8"/>
  <c r="AB429" i="8"/>
  <c r="AJ614" i="8"/>
  <c r="AJ916" i="8"/>
  <c r="AB314" i="8"/>
  <c r="H952" i="5"/>
  <c r="I952" i="5" s="1"/>
  <c r="AL954" i="8" s="1"/>
  <c r="H14" i="5"/>
  <c r="I14" i="5" s="1"/>
  <c r="AL16" i="8" s="1"/>
  <c r="H816" i="5"/>
  <c r="I816" i="5" s="1"/>
  <c r="AL818" i="8" s="1"/>
  <c r="H206" i="5"/>
  <c r="I206" i="5" s="1"/>
  <c r="AL208" i="8" s="1"/>
  <c r="AB892" i="8"/>
  <c r="AJ384" i="8"/>
  <c r="AJ337" i="8"/>
  <c r="AJ72" i="8"/>
  <c r="H416" i="5"/>
  <c r="I416" i="5" s="1"/>
  <c r="AL418" i="8" s="1"/>
  <c r="H434" i="5"/>
  <c r="I434" i="5" s="1"/>
  <c r="AL436" i="8" s="1"/>
  <c r="H621" i="5"/>
  <c r="AK623" i="8" s="1"/>
  <c r="AB968" i="8"/>
  <c r="AB946" i="8"/>
  <c r="AB552" i="8"/>
  <c r="AB595" i="8"/>
  <c r="AB677" i="8"/>
  <c r="AB735" i="8"/>
  <c r="H187" i="5"/>
  <c r="I187" i="5" s="1"/>
  <c r="AL189" i="8" s="1"/>
  <c r="H412" i="5"/>
  <c r="AC414" i="8" s="1"/>
  <c r="H494" i="5"/>
  <c r="AK496" i="8" s="1"/>
  <c r="H382" i="5"/>
  <c r="AC384" i="8" s="1"/>
  <c r="H337" i="5"/>
  <c r="AK339" i="8" s="1"/>
  <c r="H266" i="5"/>
  <c r="AK268" i="8" s="1"/>
  <c r="AB880" i="8"/>
  <c r="AJ968" i="8"/>
  <c r="AJ946" i="8"/>
  <c r="AJ595" i="8"/>
  <c r="AJ735" i="8"/>
  <c r="H264" i="5"/>
  <c r="AK266" i="8" s="1"/>
  <c r="H60" i="5"/>
  <c r="I60" i="5" s="1"/>
  <c r="AL62" i="8" s="1"/>
  <c r="AB801" i="8"/>
  <c r="H846" i="5"/>
  <c r="AK848" i="8" s="1"/>
  <c r="AB384" i="8"/>
  <c r="H966" i="5"/>
  <c r="I966" i="5" s="1"/>
  <c r="AL968" i="8" s="1"/>
  <c r="AJ82" i="8"/>
  <c r="AJ314" i="8"/>
  <c r="H616" i="5"/>
  <c r="AK618" i="8" s="1"/>
  <c r="AB496" i="8"/>
  <c r="H85" i="5"/>
  <c r="AC87" i="8" s="1"/>
  <c r="AB618" i="8"/>
  <c r="AJ266" i="8"/>
  <c r="AB927" i="8"/>
  <c r="AJ496" i="8"/>
  <c r="H797" i="5"/>
  <c r="AK799" i="8" s="1"/>
  <c r="AB359" i="8"/>
  <c r="AB208" i="8"/>
  <c r="AB25" i="8"/>
  <c r="AJ927" i="8"/>
  <c r="AB96" i="8"/>
  <c r="AJ168" i="8"/>
  <c r="AJ146" i="8"/>
  <c r="AB488" i="8"/>
  <c r="AJ436" i="8"/>
  <c r="AJ208" i="8"/>
  <c r="AB389" i="8"/>
  <c r="AB876" i="8"/>
  <c r="AJ932" i="8"/>
  <c r="AB841" i="8"/>
  <c r="AJ591" i="8"/>
  <c r="AB41" i="8"/>
  <c r="AJ96" i="8"/>
  <c r="AJ801" i="8"/>
  <c r="AB392" i="8"/>
  <c r="AJ397" i="8"/>
  <c r="H856" i="5"/>
  <c r="AK858" i="8" s="1"/>
  <c r="AJ392" i="8"/>
  <c r="AB82" i="8"/>
  <c r="AB337" i="8"/>
  <c r="AJ978" i="8"/>
  <c r="H589" i="5"/>
  <c r="AC591" i="8" s="1"/>
  <c r="H235" i="5"/>
  <c r="I235" i="5" s="1"/>
  <c r="AL237" i="8" s="1"/>
  <c r="H335" i="5"/>
  <c r="AB620" i="8"/>
  <c r="AB848" i="8"/>
  <c r="H593" i="5"/>
  <c r="I593" i="5" s="1"/>
  <c r="AL595" i="8" s="1"/>
  <c r="H70" i="5"/>
  <c r="AK72" i="8" s="1"/>
  <c r="AJ620" i="8"/>
  <c r="AB575" i="8"/>
  <c r="AJ552" i="8"/>
  <c r="AB625" i="8"/>
  <c r="AJ677" i="8"/>
  <c r="AB870" i="8"/>
  <c r="H391" i="5"/>
  <c r="AK393" i="8" s="1"/>
  <c r="H12" i="5"/>
  <c r="I12" i="5" s="1"/>
  <c r="AL14" i="8" s="1"/>
  <c r="H131" i="5"/>
  <c r="AC133" i="8" s="1"/>
  <c r="AB621" i="8"/>
  <c r="AJ880" i="8"/>
  <c r="AJ618" i="8"/>
  <c r="AB623" i="8"/>
  <c r="AB393" i="8"/>
  <c r="AB179" i="8"/>
  <c r="AB708" i="8"/>
  <c r="AB168" i="8"/>
  <c r="AJ50" i="8"/>
  <c r="AB436" i="8"/>
  <c r="AB932" i="8"/>
  <c r="AJ625" i="8"/>
  <c r="AJ870" i="8"/>
  <c r="H930" i="5"/>
  <c r="I930" i="5" s="1"/>
  <c r="AL932" i="8" s="1"/>
  <c r="H944" i="5"/>
  <c r="AC946" i="8" s="1"/>
  <c r="H928" i="5"/>
  <c r="AC930" i="8" s="1"/>
  <c r="AJ621" i="8"/>
  <c r="AJ587" i="8"/>
  <c r="AJ623" i="8"/>
  <c r="AB408" i="8"/>
  <c r="AJ393" i="8"/>
  <c r="AJ179" i="8"/>
  <c r="AJ708" i="8"/>
  <c r="AJ359" i="8"/>
  <c r="AB489" i="8"/>
  <c r="H868" i="5"/>
  <c r="I868" i="5" s="1"/>
  <c r="AL870" i="8" s="1"/>
  <c r="H733" i="5"/>
  <c r="AK735" i="8" s="1"/>
  <c r="H835" i="5"/>
  <c r="AK837" i="8" s="1"/>
  <c r="H591" i="5"/>
  <c r="AK593" i="8" s="1"/>
  <c r="H609" i="5"/>
  <c r="AK611" i="8" s="1"/>
  <c r="H55" i="5"/>
  <c r="AK57" i="8" s="1"/>
  <c r="H618" i="5"/>
  <c r="I618" i="5" s="1"/>
  <c r="AL620" i="8" s="1"/>
  <c r="H874" i="5"/>
  <c r="I874" i="5" s="1"/>
  <c r="AL876" i="8" s="1"/>
  <c r="H408" i="5"/>
  <c r="AK410" i="8" s="1"/>
  <c r="H470" i="5"/>
  <c r="AK472" i="8" s="1"/>
  <c r="H970" i="5"/>
  <c r="I970" i="5" s="1"/>
  <c r="AL972" i="8" s="1"/>
  <c r="AB982" i="8"/>
  <c r="AJ408" i="8"/>
  <c r="AB62" i="8"/>
  <c r="AB414" i="8"/>
  <c r="AJ488" i="8"/>
  <c r="AJ389" i="8"/>
  <c r="AJ876" i="8"/>
  <c r="AB592" i="8"/>
  <c r="AJ841" i="8"/>
  <c r="AB681" i="8"/>
  <c r="AJ41" i="8"/>
  <c r="AB565" i="8"/>
  <c r="H688" i="5"/>
  <c r="AC690" i="8" s="1"/>
  <c r="AB763" i="8"/>
  <c r="AB42" i="8"/>
  <c r="AB753" i="8"/>
  <c r="H308" i="5"/>
  <c r="AK310" i="8" s="1"/>
  <c r="H761" i="5"/>
  <c r="AK763" i="8" s="1"/>
  <c r="H323" i="5"/>
  <c r="AK325" i="8" s="1"/>
  <c r="AJ763" i="8"/>
  <c r="AJ325" i="8"/>
  <c r="AJ753" i="8"/>
  <c r="H832" i="5"/>
  <c r="I832" i="5" s="1"/>
  <c r="AL834" i="8" s="1"/>
  <c r="AB238" i="8"/>
  <c r="H172" i="5"/>
  <c r="I172" i="5" s="1"/>
  <c r="AL174" i="8" s="1"/>
  <c r="AB211" i="8"/>
  <c r="AB423" i="8"/>
  <c r="AJ174" i="8"/>
  <c r="AJ837" i="8"/>
  <c r="AJ425" i="8"/>
  <c r="H612" i="5"/>
  <c r="AK614" i="8" s="1"/>
  <c r="H72" i="5"/>
  <c r="I72" i="5" s="1"/>
  <c r="AL74" i="8" s="1"/>
  <c r="H201" i="5"/>
  <c r="AK203" i="8" s="1"/>
  <c r="AJ122" i="8"/>
  <c r="H996" i="5"/>
  <c r="AK998" i="8" s="1"/>
  <c r="H424" i="5"/>
  <c r="AC426" i="8" s="1"/>
  <c r="H650" i="5"/>
  <c r="AK652" i="8" s="1"/>
  <c r="H18" i="5"/>
  <c r="AC20" i="8" s="1"/>
  <c r="AJ396" i="8"/>
  <c r="AB170" i="8"/>
  <c r="AB398" i="8"/>
  <c r="AJ909" i="8"/>
  <c r="AB789" i="8"/>
  <c r="AB125" i="8"/>
  <c r="H541" i="5"/>
  <c r="I541" i="5" s="1"/>
  <c r="AL543" i="8" s="1"/>
  <c r="H209" i="5"/>
  <c r="AK211" i="8" s="1"/>
  <c r="H236" i="5"/>
  <c r="I236" i="5" s="1"/>
  <c r="AL238" i="8" s="1"/>
  <c r="H509" i="5"/>
  <c r="I509" i="5" s="1"/>
  <c r="AL511" i="8" s="1"/>
  <c r="AJ892" i="8"/>
  <c r="AB930" i="8"/>
  <c r="AB16" i="8"/>
  <c r="AB20" i="8"/>
  <c r="AJ242" i="8"/>
  <c r="AJ380" i="8"/>
  <c r="AJ36" i="8"/>
  <c r="AJ848" i="8"/>
  <c r="AJ731" i="8"/>
  <c r="AJ789" i="8"/>
  <c r="AJ489" i="8"/>
  <c r="AJ25" i="8"/>
  <c r="AB593" i="8"/>
  <c r="AB786" i="8"/>
  <c r="AJ125" i="8"/>
  <c r="H394" i="5"/>
  <c r="AK396" i="8" s="1"/>
  <c r="H648" i="5"/>
  <c r="I648" i="5" s="1"/>
  <c r="AL650" i="8" s="1"/>
  <c r="H243" i="5"/>
  <c r="AC245" i="8" s="1"/>
  <c r="H161" i="5"/>
  <c r="AC163" i="8" s="1"/>
  <c r="H103" i="5"/>
  <c r="AC105" i="8" s="1"/>
  <c r="H663" i="5"/>
  <c r="I663" i="5" s="1"/>
  <c r="AL665" i="8" s="1"/>
  <c r="H215" i="5"/>
  <c r="AK217" i="8" s="1"/>
  <c r="H953" i="5"/>
  <c r="H751" i="5"/>
  <c r="I751" i="5" s="1"/>
  <c r="AL753" i="8" s="1"/>
  <c r="H941" i="5"/>
  <c r="AC943" i="8" s="1"/>
  <c r="H518" i="5"/>
  <c r="I518" i="5" s="1"/>
  <c r="AL520" i="8" s="1"/>
  <c r="H686" i="5"/>
  <c r="I686" i="5" s="1"/>
  <c r="AL688" i="8" s="1"/>
  <c r="AB56" i="8"/>
  <c r="AB502" i="8"/>
  <c r="AJ446" i="8"/>
  <c r="AB487" i="8"/>
  <c r="AB270" i="8"/>
  <c r="AJ686" i="8"/>
  <c r="AJ549" i="8"/>
  <c r="AJ930" i="8"/>
  <c r="AJ16" i="8"/>
  <c r="AB14" i="8"/>
  <c r="AB415" i="8"/>
  <c r="AB343" i="8"/>
  <c r="AB976" i="8"/>
  <c r="AB992" i="8"/>
  <c r="AB955" i="8"/>
  <c r="AB268" i="8"/>
  <c r="AJ593" i="8"/>
  <c r="AJ518" i="8"/>
  <c r="AB509" i="8"/>
  <c r="AB191" i="8"/>
  <c r="AB461" i="8"/>
  <c r="AB507" i="8"/>
  <c r="H208" i="5"/>
  <c r="AK210" i="8" s="1"/>
  <c r="H421" i="5"/>
  <c r="AK423" i="8" s="1"/>
  <c r="H389" i="5"/>
  <c r="AK391" i="8" s="1"/>
  <c r="AJ887" i="8"/>
  <c r="H873" i="5"/>
  <c r="AC875" i="8" s="1"/>
  <c r="H974" i="5"/>
  <c r="AK976" i="8" s="1"/>
  <c r="AJ56" i="8"/>
  <c r="AJ502" i="8"/>
  <c r="AJ28" i="8"/>
  <c r="AJ487" i="8"/>
  <c r="AJ270" i="8"/>
  <c r="AB525" i="8"/>
  <c r="AB799" i="8"/>
  <c r="AB795" i="8"/>
  <c r="AB689" i="8"/>
  <c r="AJ415" i="8"/>
  <c r="AJ343" i="8"/>
  <c r="AJ976" i="8"/>
  <c r="AJ992" i="8"/>
  <c r="AJ955" i="8"/>
  <c r="AB201" i="8"/>
  <c r="AJ268" i="8"/>
  <c r="AB921" i="8"/>
  <c r="AB853" i="8"/>
  <c r="AB960" i="8"/>
  <c r="AB221" i="8"/>
  <c r="AJ509" i="8"/>
  <c r="AJ191" i="8"/>
  <c r="AJ42" i="8"/>
  <c r="AJ461" i="8"/>
  <c r="H40" i="5"/>
  <c r="I40" i="5" s="1"/>
  <c r="AL42" i="8" s="1"/>
  <c r="H839" i="5"/>
  <c r="I839" i="5" s="1"/>
  <c r="AL841" i="8" s="1"/>
  <c r="H222" i="5"/>
  <c r="AK224" i="8" s="1"/>
  <c r="H487" i="5"/>
  <c r="H461" i="5"/>
  <c r="AK463" i="8" s="1"/>
  <c r="H43" i="5"/>
  <c r="AK45" i="8" s="1"/>
  <c r="H485" i="5"/>
  <c r="AK487" i="8" s="1"/>
  <c r="H444" i="5"/>
  <c r="I444" i="5" s="1"/>
  <c r="AL446" i="8" s="1"/>
  <c r="AB990" i="8"/>
  <c r="AJ795" i="8"/>
  <c r="AJ960" i="8"/>
  <c r="AJ221" i="8"/>
  <c r="AB790" i="8"/>
  <c r="AB690" i="8"/>
  <c r="H423" i="5"/>
  <c r="AK425" i="8" s="1"/>
  <c r="AB675" i="8"/>
  <c r="AJ973" i="8"/>
  <c r="AJ652" i="8"/>
  <c r="AJ463" i="8"/>
  <c r="AJ834" i="8"/>
  <c r="AB419" i="8"/>
  <c r="AB425" i="8"/>
  <c r="AB619" i="8"/>
  <c r="AJ238" i="8"/>
  <c r="AB203" i="8"/>
  <c r="AB122" i="8"/>
  <c r="AJ419" i="8"/>
  <c r="H417" i="5"/>
  <c r="AB396" i="8"/>
  <c r="AJ211" i="8"/>
  <c r="AJ619" i="8"/>
  <c r="AB909" i="8"/>
  <c r="AJ203" i="8"/>
  <c r="H505" i="5"/>
  <c r="AK507" i="8" s="1"/>
  <c r="AB242" i="8"/>
  <c r="AB731" i="8"/>
  <c r="AJ477" i="8"/>
  <c r="H341" i="5"/>
  <c r="AK343" i="8" s="1"/>
  <c r="H281" i="5"/>
  <c r="H570" i="5"/>
  <c r="I570" i="5" s="1"/>
  <c r="AL572" i="8" s="1"/>
  <c r="AJ170" i="8"/>
  <c r="H687" i="5"/>
  <c r="AK689" i="8" s="1"/>
  <c r="H694" i="5"/>
  <c r="I694" i="5" s="1"/>
  <c r="AL696" i="8" s="1"/>
  <c r="H240" i="5"/>
  <c r="AK242" i="8" s="1"/>
  <c r="H23" i="5"/>
  <c r="AK25" i="8" s="1"/>
  <c r="AB572" i="8"/>
  <c r="H903" i="5"/>
  <c r="AK905" i="8" s="1"/>
  <c r="H569" i="5"/>
  <c r="AK571" i="8" s="1"/>
  <c r="H912" i="5"/>
  <c r="I912" i="5" s="1"/>
  <c r="AL914" i="8" s="1"/>
  <c r="H511" i="5"/>
  <c r="AK513" i="8" s="1"/>
  <c r="H334" i="5"/>
  <c r="AK336" i="8" s="1"/>
  <c r="H683" i="5"/>
  <c r="I683" i="5" s="1"/>
  <c r="AL685" i="8" s="1"/>
  <c r="H980" i="5"/>
  <c r="AK982" i="8" s="1"/>
  <c r="H54" i="5"/>
  <c r="AK56" i="8" s="1"/>
  <c r="H258" i="5"/>
  <c r="I258" i="5" s="1"/>
  <c r="AL260" i="8" s="1"/>
  <c r="H878" i="5"/>
  <c r="AK880" i="8" s="1"/>
  <c r="H547" i="5"/>
  <c r="AC549" i="8" s="1"/>
  <c r="H199" i="5"/>
  <c r="AC201" i="8" s="1"/>
  <c r="H500" i="5"/>
  <c r="I500" i="5" s="1"/>
  <c r="AL502" i="8" s="1"/>
  <c r="H793" i="5"/>
  <c r="AK795" i="8" s="1"/>
  <c r="H800" i="5"/>
  <c r="AK802" i="8" s="1"/>
  <c r="H413" i="5"/>
  <c r="AK415" i="8" s="1"/>
  <c r="AJ260" i="8"/>
  <c r="AB732" i="8"/>
  <c r="AB543" i="8"/>
  <c r="AJ572" i="8"/>
  <c r="AB550" i="8"/>
  <c r="AJ525" i="8"/>
  <c r="AJ799" i="8"/>
  <c r="AJ689" i="8"/>
  <c r="AB802" i="8"/>
  <c r="AB192" i="8"/>
  <c r="AB696" i="8"/>
  <c r="AB391" i="8"/>
  <c r="AB224" i="8"/>
  <c r="AJ921" i="8"/>
  <c r="AB678" i="8"/>
  <c r="AB688" i="8"/>
  <c r="AJ853" i="8"/>
  <c r="H190" i="5"/>
  <c r="I190" i="5" s="1"/>
  <c r="AL192" i="8" s="1"/>
  <c r="H390" i="5"/>
  <c r="I390" i="5" s="1"/>
  <c r="AL392" i="8" s="1"/>
  <c r="H807" i="5"/>
  <c r="I807" i="5" s="1"/>
  <c r="AL809" i="8" s="1"/>
  <c r="H598" i="5"/>
  <c r="I598" i="5" s="1"/>
  <c r="AL600" i="8" s="1"/>
  <c r="H802" i="5"/>
  <c r="AK804" i="8" s="1"/>
  <c r="H34" i="5"/>
  <c r="AK36" i="8" s="1"/>
  <c r="H174" i="5"/>
  <c r="I174" i="5" s="1"/>
  <c r="AL176" i="8" s="1"/>
  <c r="H885" i="5"/>
  <c r="I885" i="5" s="1"/>
  <c r="AL887" i="8" s="1"/>
  <c r="H787" i="5"/>
  <c r="AC789" i="8" s="1"/>
  <c r="H988" i="5"/>
  <c r="AK990" i="8" s="1"/>
  <c r="AB105" i="8"/>
  <c r="AJ732" i="8"/>
  <c r="AJ543" i="8"/>
  <c r="AB972" i="8"/>
  <c r="AB822" i="8"/>
  <c r="AJ550" i="8"/>
  <c r="AJ990" i="8"/>
  <c r="AB858" i="8"/>
  <c r="AB283" i="8"/>
  <c r="AJ802" i="8"/>
  <c r="AJ192" i="8"/>
  <c r="AJ696" i="8"/>
  <c r="AJ391" i="8"/>
  <c r="AJ224" i="8"/>
  <c r="AJ678" i="8"/>
  <c r="AJ688" i="8"/>
  <c r="AJ685" i="8"/>
  <c r="AB591" i="8"/>
  <c r="AB665" i="8"/>
  <c r="AB614" i="8"/>
  <c r="AJ790" i="8"/>
  <c r="AJ690" i="8"/>
  <c r="AJ189" i="8"/>
  <c r="AJ575" i="8"/>
  <c r="H599" i="5"/>
  <c r="AC601" i="8" s="1"/>
  <c r="H449" i="5"/>
  <c r="AC451" i="8" s="1"/>
  <c r="H451" i="5"/>
  <c r="AK453" i="8" s="1"/>
  <c r="AB405" i="8"/>
  <c r="AJ405" i="8"/>
  <c r="AB200" i="8"/>
  <c r="AB849" i="8"/>
  <c r="AB249" i="8"/>
  <c r="AJ818" i="8"/>
  <c r="AJ200" i="8"/>
  <c r="H863" i="5"/>
  <c r="AC865" i="8" s="1"/>
  <c r="H710" i="5"/>
  <c r="AK712" i="8" s="1"/>
  <c r="H167" i="5"/>
  <c r="I167" i="5" s="1"/>
  <c r="AL169" i="8" s="1"/>
  <c r="AJ788" i="8"/>
  <c r="H659" i="5"/>
  <c r="AK661" i="8" s="1"/>
  <c r="H459" i="5"/>
  <c r="AK461" i="8" s="1"/>
  <c r="H56" i="5"/>
  <c r="I56" i="5" s="1"/>
  <c r="AL58" i="8" s="1"/>
  <c r="AB310" i="8"/>
  <c r="AB964" i="8"/>
  <c r="AB334" i="8"/>
  <c r="AB58" i="8"/>
  <c r="AB87" i="8"/>
  <c r="AB154" i="8"/>
  <c r="AB808" i="8"/>
  <c r="AB981" i="8"/>
  <c r="AB467" i="8"/>
  <c r="AB100" i="8"/>
  <c r="AB865" i="8"/>
  <c r="AJ712" i="8"/>
  <c r="AB923" i="8"/>
  <c r="AB472" i="8"/>
  <c r="H857" i="5"/>
  <c r="I857" i="5" s="1"/>
  <c r="AL859" i="8" s="1"/>
  <c r="H729" i="5"/>
  <c r="AK731" i="8" s="1"/>
  <c r="H795" i="5"/>
  <c r="I795" i="5" s="1"/>
  <c r="AL797" i="8" s="1"/>
  <c r="H971" i="5"/>
  <c r="I971" i="5" s="1"/>
  <c r="AL973" i="8" s="1"/>
  <c r="H168" i="5"/>
  <c r="AC170" i="8" s="1"/>
  <c r="H170" i="5"/>
  <c r="AK172" i="8" s="1"/>
  <c r="H313" i="5"/>
  <c r="AC315" i="8" s="1"/>
  <c r="AJ310" i="8"/>
  <c r="AJ453" i="8"/>
  <c r="AJ964" i="8"/>
  <c r="AJ334" i="8"/>
  <c r="AJ58" i="8"/>
  <c r="AJ87" i="8"/>
  <c r="AJ154" i="8"/>
  <c r="AJ808" i="8"/>
  <c r="AJ981" i="8"/>
  <c r="AJ467" i="8"/>
  <c r="AJ423" i="8"/>
  <c r="AJ201" i="8"/>
  <c r="AJ100" i="8"/>
  <c r="AJ865" i="8"/>
  <c r="AB943" i="8"/>
  <c r="AJ335" i="8"/>
  <c r="AJ923" i="8"/>
  <c r="AJ472" i="8"/>
  <c r="AJ507" i="8"/>
  <c r="H259" i="5"/>
  <c r="AK261" i="8" s="1"/>
  <c r="AB797" i="8"/>
  <c r="H564" i="5"/>
  <c r="AK566" i="8" s="1"/>
  <c r="AB52" i="8"/>
  <c r="H585" i="5"/>
  <c r="AK587" i="8" s="1"/>
  <c r="H332" i="5"/>
  <c r="AK334" i="8" s="1"/>
  <c r="H907" i="5"/>
  <c r="I907" i="5" s="1"/>
  <c r="AL909" i="8" s="1"/>
  <c r="H617" i="5"/>
  <c r="AK619" i="8" s="1"/>
  <c r="H64" i="5"/>
  <c r="I64" i="5" s="1"/>
  <c r="AL66" i="8" s="1"/>
  <c r="H673" i="5"/>
  <c r="I673" i="5" s="1"/>
  <c r="AL675" i="8" s="1"/>
  <c r="AB451" i="8"/>
  <c r="AB703" i="8"/>
  <c r="AB261" i="8"/>
  <c r="AB566" i="8"/>
  <c r="AB155" i="8"/>
  <c r="AB66" i="8"/>
  <c r="AB469" i="8"/>
  <c r="AB304" i="8"/>
  <c r="AB245" i="8"/>
  <c r="AB571" i="8"/>
  <c r="AB445" i="8"/>
  <c r="AB954" i="8"/>
  <c r="AB315" i="8"/>
  <c r="AB172" i="8"/>
  <c r="AJ943" i="8"/>
  <c r="AB116" i="8"/>
  <c r="AB640" i="8"/>
  <c r="H152" i="5"/>
  <c r="AK154" i="8" s="1"/>
  <c r="AB699" i="8"/>
  <c r="H962" i="5"/>
  <c r="AK964" i="8" s="1"/>
  <c r="AJ471" i="8"/>
  <c r="H68" i="5"/>
  <c r="AK70" i="8" s="1"/>
  <c r="H806" i="5"/>
  <c r="AC808" i="8" s="1"/>
  <c r="H393" i="5"/>
  <c r="I393" i="5" s="1"/>
  <c r="AL395" i="8" s="1"/>
  <c r="AJ249" i="8"/>
  <c r="H153" i="5"/>
  <c r="AK155" i="8" s="1"/>
  <c r="H674" i="5"/>
  <c r="AK676" i="8" s="1"/>
  <c r="H859" i="5"/>
  <c r="AC861" i="8" s="1"/>
  <c r="H403" i="5"/>
  <c r="AC405" i="8" s="1"/>
  <c r="AJ469" i="8"/>
  <c r="AJ315" i="8"/>
  <c r="AJ172" i="8"/>
  <c r="AB217" i="8"/>
  <c r="AB601" i="8"/>
  <c r="AJ116" i="8"/>
  <c r="AJ640" i="8"/>
  <c r="H465" i="5"/>
  <c r="I465" i="5" s="1"/>
  <c r="AL467" i="8" s="1"/>
  <c r="AJ797" i="8"/>
  <c r="AB471" i="8"/>
  <c r="AB781" i="8"/>
  <c r="H697" i="5"/>
  <c r="AK699" i="8" s="1"/>
  <c r="H255" i="5"/>
  <c r="I255" i="5" s="1"/>
  <c r="AL257" i="8" s="1"/>
  <c r="H550" i="5"/>
  <c r="AK552" i="8" s="1"/>
  <c r="H921" i="5"/>
  <c r="AK923" i="8" s="1"/>
  <c r="H48" i="5"/>
  <c r="I48" i="5" s="1"/>
  <c r="AL50" i="8" s="1"/>
  <c r="AJ781" i="8"/>
  <c r="AJ699" i="8"/>
  <c r="AB818" i="8"/>
  <c r="H50" i="5"/>
  <c r="I50" i="5" s="1"/>
  <c r="AL52" i="8" s="1"/>
  <c r="AB169" i="8"/>
  <c r="AB661" i="8"/>
  <c r="AB788" i="8"/>
  <c r="AB859" i="8"/>
  <c r="AJ52" i="8"/>
  <c r="H847" i="5"/>
  <c r="I847" i="5" s="1"/>
  <c r="AL849" i="8" s="1"/>
  <c r="H573" i="5"/>
  <c r="AC575" i="8" s="1"/>
  <c r="AJ849" i="8"/>
  <c r="AJ169" i="8"/>
  <c r="AJ661" i="8"/>
  <c r="AJ398" i="8"/>
  <c r="AJ675" i="8"/>
  <c r="AJ20" i="8"/>
  <c r="AJ859" i="8"/>
  <c r="AB712" i="8"/>
  <c r="H114" i="5"/>
  <c r="AK116" i="8" s="1"/>
  <c r="H679" i="5"/>
  <c r="I679" i="5" s="1"/>
  <c r="AL681" i="8" s="1"/>
  <c r="H333" i="5"/>
  <c r="AC335" i="8" s="1"/>
  <c r="AB453" i="8"/>
  <c r="H876" i="5"/>
  <c r="AK878" i="8" s="1"/>
  <c r="H98" i="5"/>
  <c r="AK100" i="8" s="1"/>
  <c r="H396" i="5"/>
  <c r="I396" i="5" s="1"/>
  <c r="AL398" i="8" s="1"/>
  <c r="H701" i="5"/>
  <c r="I701" i="5" s="1"/>
  <c r="AL703" i="8" s="1"/>
  <c r="H469" i="5"/>
  <c r="AK471" i="8" s="1"/>
  <c r="H443" i="5"/>
  <c r="AK445" i="8" s="1"/>
  <c r="H257" i="5"/>
  <c r="I257" i="5" s="1"/>
  <c r="AL259" i="8" s="1"/>
  <c r="H247" i="5"/>
  <c r="AK249" i="8" s="1"/>
  <c r="H623" i="5"/>
  <c r="AK625" i="8" s="1"/>
  <c r="AJ451" i="8"/>
  <c r="AJ703" i="8"/>
  <c r="AJ261" i="8"/>
  <c r="AJ566" i="8"/>
  <c r="AJ155" i="8"/>
  <c r="AJ66" i="8"/>
  <c r="AJ304" i="8"/>
  <c r="AJ245" i="8"/>
  <c r="AJ571" i="8"/>
  <c r="AJ445" i="8"/>
  <c r="AJ954" i="8"/>
  <c r="H979" i="5"/>
  <c r="AK981" i="8" s="1"/>
  <c r="H976" i="5"/>
  <c r="AK978" i="8" s="1"/>
  <c r="H786" i="5"/>
  <c r="AK788" i="8" s="1"/>
  <c r="H302" i="5"/>
  <c r="AK304" i="8" s="1"/>
  <c r="H475" i="5"/>
  <c r="AK477" i="8" s="1"/>
  <c r="H948" i="5"/>
  <c r="AK950" i="8" s="1"/>
  <c r="H378" i="5"/>
  <c r="I378" i="5" s="1"/>
  <c r="AL380" i="8" s="1"/>
  <c r="H788" i="5"/>
  <c r="AK790" i="8" s="1"/>
  <c r="H638" i="5"/>
  <c r="I638" i="5" s="1"/>
  <c r="AL640" i="8" s="1"/>
  <c r="H448" i="5"/>
  <c r="I448" i="5" s="1"/>
  <c r="AL450" i="8" s="1"/>
  <c r="H221" i="5"/>
  <c r="AK223" i="8" s="1"/>
  <c r="H467" i="5"/>
  <c r="AK469" i="8" s="1"/>
  <c r="AB861" i="8"/>
  <c r="AB260" i="8"/>
  <c r="AB587" i="8"/>
  <c r="AB446" i="8"/>
  <c r="AB28" i="8"/>
  <c r="AB223" i="8"/>
  <c r="AB973" i="8"/>
  <c r="AB325" i="8"/>
  <c r="AB70" i="8"/>
  <c r="AB50" i="8"/>
  <c r="AB380" i="8"/>
  <c r="AB395" i="8"/>
  <c r="AB262" i="8"/>
  <c r="AB166" i="8"/>
  <c r="AB259" i="8"/>
  <c r="AB174" i="8"/>
  <c r="AB685" i="8"/>
  <c r="AJ217" i="8"/>
  <c r="AJ601" i="8"/>
  <c r="AJ786" i="8"/>
  <c r="AB477" i="8"/>
  <c r="AB189" i="8"/>
  <c r="H225" i="5"/>
  <c r="AK227" i="8" s="1"/>
  <c r="H78" i="5"/>
  <c r="AK80" i="8" s="1"/>
  <c r="AB933" i="8"/>
  <c r="AB227" i="8"/>
  <c r="AB80" i="8"/>
  <c r="AJ933" i="8"/>
  <c r="AJ227" i="8"/>
  <c r="AJ80" i="8"/>
  <c r="H931" i="5"/>
  <c r="AK933" i="8" s="1"/>
  <c r="AB999" i="8"/>
  <c r="H997" i="5"/>
  <c r="I997" i="5" s="1"/>
  <c r="AL999" i="8" s="1"/>
  <c r="AJ999" i="8"/>
  <c r="AB335" i="8"/>
  <c r="AJ914" i="8"/>
  <c r="AK465" i="8"/>
  <c r="AK722" i="8"/>
  <c r="AC722" i="8"/>
  <c r="AK772" i="8"/>
  <c r="AC772" i="8"/>
  <c r="AK757" i="8"/>
  <c r="AC757" i="8"/>
  <c r="AK969" i="8"/>
  <c r="AC969" i="8"/>
  <c r="AK467" i="8"/>
  <c r="AK646" i="8"/>
  <c r="AC646" i="8"/>
  <c r="AK994" i="8"/>
  <c r="AC994" i="8"/>
  <c r="AK49" i="8"/>
  <c r="AC49" i="8"/>
  <c r="AK143" i="8"/>
  <c r="AC143" i="8"/>
  <c r="AK983" i="8"/>
  <c r="AC983" i="8"/>
  <c r="AK791" i="8"/>
  <c r="AC791" i="8"/>
  <c r="AK246" i="8"/>
  <c r="AC246" i="8"/>
  <c r="AK287" i="8"/>
  <c r="AC287" i="8"/>
  <c r="AK752" i="8"/>
  <c r="AC752" i="8"/>
  <c r="AK32" i="8"/>
  <c r="AC32" i="8"/>
  <c r="AK656" i="8"/>
  <c r="AC656" i="8"/>
  <c r="AK400" i="8"/>
  <c r="AC400" i="8"/>
  <c r="AK510" i="8"/>
  <c r="AC510" i="8"/>
  <c r="AK252" i="8"/>
  <c r="AC252" i="8"/>
  <c r="AK827" i="8"/>
  <c r="AC827" i="8"/>
  <c r="AK874" i="8"/>
  <c r="AC874" i="8"/>
  <c r="AK452" i="8"/>
  <c r="AC452" i="8"/>
  <c r="AK705" i="8"/>
  <c r="AC705" i="8"/>
  <c r="AK684" i="8"/>
  <c r="AC684" i="8"/>
  <c r="AK199" i="8"/>
  <c r="AC199" i="8"/>
  <c r="AK251" i="8"/>
  <c r="AC251" i="8"/>
  <c r="AK778" i="8"/>
  <c r="AC778" i="8"/>
  <c r="AK83" i="8"/>
  <c r="AC83" i="8"/>
  <c r="AK31" i="8"/>
  <c r="AC31" i="8"/>
  <c r="AK533" i="8"/>
  <c r="AC533" i="8"/>
  <c r="AK673" i="8"/>
  <c r="AC673" i="8"/>
  <c r="AK672" i="8"/>
  <c r="AC672" i="8"/>
  <c r="AK148" i="8"/>
  <c r="AC148" i="8"/>
  <c r="AK945" i="8"/>
  <c r="AC945" i="8"/>
  <c r="AK1000" i="8"/>
  <c r="AC1000" i="8"/>
  <c r="AK925" i="8"/>
  <c r="AC925" i="8"/>
  <c r="AK578" i="8"/>
  <c r="AC578" i="8"/>
  <c r="AK492" i="8"/>
  <c r="AC492" i="8"/>
  <c r="AK292" i="8"/>
  <c r="AC292" i="8"/>
  <c r="AK755" i="8"/>
  <c r="AC186" i="8"/>
  <c r="AK162" i="8"/>
  <c r="AC162" i="8"/>
  <c r="AK584" i="8"/>
  <c r="AC584" i="8"/>
  <c r="AK167" i="8"/>
  <c r="AC167" i="8"/>
  <c r="AK781" i="8"/>
  <c r="AK228" i="8"/>
  <c r="AC228" i="8"/>
  <c r="AK796" i="8"/>
  <c r="AC796" i="8"/>
  <c r="AK47" i="8"/>
  <c r="AC47" i="8"/>
  <c r="AK200" i="8"/>
  <c r="AK553" i="8"/>
  <c r="AC553" i="8"/>
  <c r="AK486" i="8"/>
  <c r="AC486" i="8"/>
  <c r="AK779" i="8"/>
  <c r="AC779" i="8"/>
  <c r="AK373" i="8"/>
  <c r="AK810" i="8"/>
  <c r="AC810" i="8"/>
  <c r="AK209" i="8"/>
  <c r="AC209" i="8"/>
  <c r="AK711" i="8"/>
  <c r="AC711" i="8"/>
  <c r="AK843" i="8"/>
  <c r="AC843" i="8"/>
  <c r="AK401" i="8"/>
  <c r="AC401" i="8"/>
  <c r="AK187" i="8"/>
  <c r="AC187" i="8"/>
  <c r="AK655" i="8"/>
  <c r="AC655" i="8"/>
  <c r="AK823" i="8"/>
  <c r="AC823" i="8"/>
  <c r="AK726" i="8"/>
  <c r="AC726" i="8"/>
  <c r="AK112" i="8"/>
  <c r="AC112" i="8"/>
  <c r="AK754" i="8"/>
  <c r="AC754" i="8"/>
  <c r="AK18" i="8"/>
  <c r="AC18" i="8"/>
  <c r="AK658" i="8"/>
  <c r="AC658" i="8"/>
  <c r="AK615" i="8"/>
  <c r="AC615" i="8"/>
  <c r="AK146" i="8"/>
  <c r="AK694" i="8"/>
  <c r="AC694" i="8"/>
  <c r="AK110" i="8"/>
  <c r="AC110" i="8"/>
  <c r="AK312" i="8"/>
  <c r="AC312" i="8"/>
  <c r="AK369" i="8"/>
  <c r="AC369" i="8"/>
  <c r="AK736" i="8"/>
  <c r="AC736" i="8"/>
  <c r="AK906" i="8"/>
  <c r="AC906" i="8"/>
  <c r="AK54" i="8"/>
  <c r="AC54" i="8"/>
  <c r="AK68" i="8"/>
  <c r="AC68" i="8"/>
  <c r="AK766" i="8"/>
  <c r="AC766" i="8"/>
  <c r="AK929" i="8"/>
  <c r="AC929" i="8"/>
  <c r="AK277" i="8"/>
  <c r="AC277" i="8"/>
  <c r="AK129" i="8"/>
  <c r="AC129" i="8"/>
  <c r="AK432" i="8"/>
  <c r="AC432" i="8"/>
  <c r="AK910" i="8"/>
  <c r="AC910" i="8"/>
  <c r="AK792" i="8"/>
  <c r="AC792" i="8"/>
  <c r="AK817" i="8"/>
  <c r="AC817" i="8"/>
  <c r="AK971" i="8"/>
  <c r="AC971" i="8"/>
  <c r="AK534" i="8"/>
  <c r="AC534" i="8"/>
  <c r="AK124" i="8"/>
  <c r="AC124" i="8"/>
  <c r="AK218" i="8"/>
  <c r="AC218" i="8"/>
  <c r="AK687" i="8"/>
  <c r="AC687" i="8"/>
  <c r="AK867" i="8"/>
  <c r="AC867" i="8"/>
  <c r="AC484" i="8"/>
  <c r="AK1007" i="8"/>
  <c r="AC1007" i="8"/>
  <c r="AK721" i="8"/>
  <c r="AC721" i="8"/>
  <c r="AK1008" i="8"/>
  <c r="AC1008" i="8"/>
  <c r="AK730" i="8"/>
  <c r="AC730" i="8"/>
  <c r="AK286" i="8"/>
  <c r="AC286" i="8"/>
  <c r="AK221" i="8"/>
  <c r="AK234" i="8"/>
  <c r="AK707" i="8"/>
  <c r="AC707" i="8"/>
  <c r="AK915" i="8"/>
  <c r="AC915" i="8"/>
  <c r="AK762" i="8"/>
  <c r="AC762" i="8"/>
  <c r="AK774" i="8"/>
  <c r="AC774" i="8"/>
  <c r="AK185" i="8"/>
  <c r="AC185" i="8"/>
  <c r="AK831" i="8"/>
  <c r="AC831" i="8"/>
  <c r="AK602" i="8"/>
  <c r="AC602" i="8"/>
  <c r="AK147" i="8"/>
  <c r="AC147" i="8"/>
  <c r="AK717" i="8"/>
  <c r="AC717" i="8"/>
  <c r="AK360" i="8"/>
  <c r="AC360" i="8"/>
  <c r="AK883" i="8"/>
  <c r="AC883" i="8"/>
  <c r="AK316" i="8"/>
  <c r="AK813" i="8"/>
  <c r="AC813" i="8"/>
  <c r="AK691" i="8"/>
  <c r="AC691" i="8"/>
  <c r="AK265" i="8"/>
  <c r="AC265" i="8"/>
  <c r="AK519" i="8"/>
  <c r="AC519" i="8"/>
  <c r="AK37" i="8"/>
  <c r="AC37" i="8"/>
  <c r="AK126" i="8"/>
  <c r="AC126" i="8"/>
  <c r="AK255" i="8"/>
  <c r="AC255" i="8"/>
  <c r="AK491" i="8"/>
  <c r="AC491" i="8"/>
  <c r="AK891" i="8"/>
  <c r="AC891" i="8"/>
  <c r="AK626" i="8"/>
  <c r="AC626" i="8"/>
  <c r="AK885" i="8"/>
  <c r="AC885" i="8"/>
  <c r="AK455" i="8"/>
  <c r="AC455" i="8"/>
  <c r="AK276" i="8"/>
  <c r="AK528" i="8"/>
  <c r="AC528" i="8"/>
  <c r="AK904" i="8"/>
  <c r="AC904" i="8"/>
  <c r="AK832" i="8"/>
  <c r="AC832" i="8"/>
  <c r="AK493" i="8"/>
  <c r="AC493" i="8"/>
  <c r="AK409" i="8"/>
  <c r="AC409" i="8"/>
  <c r="AK101" i="8"/>
  <c r="AC101" i="8"/>
  <c r="AK725" i="8"/>
  <c r="AC725" i="8"/>
  <c r="AK609" i="8"/>
  <c r="AC609" i="8"/>
  <c r="AK390" i="8"/>
  <c r="AC390" i="8"/>
  <c r="AK833" i="8"/>
  <c r="AC833" i="8"/>
  <c r="AK30" i="8"/>
  <c r="AC30" i="8"/>
  <c r="AK279" i="8"/>
  <c r="AC279" i="8"/>
  <c r="AK919" i="8"/>
  <c r="AC919" i="8"/>
  <c r="AC344" i="8"/>
  <c r="AK562" i="8"/>
  <c r="AC562" i="8"/>
  <c r="AK743" i="8"/>
  <c r="AC743" i="8"/>
  <c r="AC104" i="8"/>
  <c r="AK716" i="8"/>
  <c r="AC716" i="8"/>
  <c r="AK60" i="8"/>
  <c r="AC60" i="8"/>
  <c r="AK106" i="8"/>
  <c r="AC106" i="8"/>
  <c r="AK299" i="8"/>
  <c r="AC299" i="8"/>
  <c r="AK610" i="8"/>
  <c r="AC610" i="8"/>
  <c r="AK127" i="8"/>
  <c r="AC127" i="8"/>
  <c r="AK590" i="8"/>
  <c r="AC590" i="8"/>
  <c r="AK207" i="8"/>
  <c r="AC207" i="8"/>
  <c r="AK305" i="8"/>
  <c r="AC305" i="8"/>
  <c r="AK500" i="8"/>
  <c r="AC500" i="8"/>
  <c r="AK240" i="8"/>
  <c r="AC240" i="8"/>
  <c r="AK630" i="8"/>
  <c r="AC630" i="8"/>
  <c r="AK215" i="8"/>
  <c r="AC215" i="8"/>
  <c r="AK164" i="8"/>
  <c r="AC164" i="8"/>
  <c r="AK109" i="8"/>
  <c r="AC109" i="8"/>
  <c r="AK965" i="8"/>
  <c r="AC965" i="8"/>
  <c r="AK387" i="8"/>
  <c r="AC387" i="8"/>
  <c r="AK501" i="8"/>
  <c r="AC501" i="8"/>
  <c r="AK480" i="8"/>
  <c r="AC480" i="8"/>
  <c r="AK67" i="8"/>
  <c r="AC67" i="8"/>
  <c r="AK371" i="8"/>
  <c r="AC371" i="8"/>
  <c r="AK99" i="8"/>
  <c r="AC99" i="8"/>
  <c r="AK212" i="8"/>
  <c r="AC212" i="8"/>
  <c r="AK386" i="8"/>
  <c r="AC386" i="8"/>
  <c r="AK345" i="8"/>
  <c r="AC345" i="8"/>
  <c r="AK388" i="8"/>
  <c r="AC388" i="8"/>
  <c r="AK296" i="8"/>
  <c r="AC296" i="8"/>
  <c r="AK514" i="8"/>
  <c r="AC514" i="8"/>
  <c r="AK338" i="8"/>
  <c r="AC338" i="8"/>
  <c r="AK871" i="8"/>
  <c r="AC871" i="8"/>
  <c r="AK363" i="8"/>
  <c r="AC363" i="8"/>
  <c r="AK85" i="8"/>
  <c r="AC85" i="8"/>
  <c r="AK226" i="8"/>
  <c r="AK466" i="8"/>
  <c r="AC466" i="8"/>
  <c r="AK437" i="8"/>
  <c r="AC437" i="8"/>
  <c r="AK612" i="8"/>
  <c r="AC612" i="8"/>
  <c r="AK523" i="8"/>
  <c r="AC523" i="8"/>
  <c r="AK470" i="8"/>
  <c r="AC470" i="8"/>
  <c r="AK188" i="8"/>
  <c r="AC188" i="8"/>
  <c r="AK248" i="8"/>
  <c r="AC248" i="8"/>
  <c r="AK364" i="8"/>
  <c r="AC364" i="8"/>
  <c r="AK956" i="8"/>
  <c r="AC956" i="8"/>
  <c r="AK306" i="8"/>
  <c r="AC306" i="8"/>
  <c r="AK739" i="8"/>
  <c r="AC739" i="8"/>
  <c r="AK473" i="8"/>
  <c r="AC473" i="8"/>
  <c r="AK243" i="8"/>
  <c r="AC243" i="8"/>
  <c r="AK947" i="8"/>
  <c r="AC947" i="8"/>
  <c r="AK358" i="8"/>
  <c r="AC358" i="8"/>
  <c r="AK420" i="8"/>
  <c r="AC420" i="8"/>
  <c r="AC863" i="8"/>
  <c r="AK935" i="8"/>
  <c r="AC935" i="8"/>
  <c r="AK220" i="8"/>
  <c r="AC220" i="8"/>
  <c r="AK952" i="8"/>
  <c r="AC952" i="8"/>
  <c r="AK522" i="8"/>
  <c r="AC522" i="8"/>
  <c r="AK314" i="8"/>
  <c r="AC314" i="8"/>
  <c r="AK219" i="8"/>
  <c r="AC219" i="8"/>
  <c r="AK294" i="8"/>
  <c r="AC294" i="8"/>
  <c r="AK17" i="8"/>
  <c r="AC17" i="8"/>
  <c r="AK272" i="8"/>
  <c r="AC272" i="8"/>
  <c r="AK828" i="8"/>
  <c r="AC828" i="8"/>
  <c r="AK993" i="8"/>
  <c r="AC993" i="8"/>
  <c r="AK940" i="8"/>
  <c r="AC940" i="8"/>
  <c r="AK372" i="8"/>
  <c r="AK444" i="8"/>
  <c r="AC444" i="8"/>
  <c r="AK256" i="8"/>
  <c r="AC256" i="8"/>
  <c r="AK26" i="8"/>
  <c r="AC26" i="8"/>
  <c r="AK995" i="8"/>
  <c r="AC995" i="8"/>
  <c r="AK340" i="8"/>
  <c r="AC340" i="8"/>
  <c r="AK438" i="8"/>
  <c r="AC438" i="8"/>
  <c r="AK144" i="8"/>
  <c r="AC144" i="8"/>
  <c r="AK768" i="8"/>
  <c r="AC768" i="8"/>
  <c r="AK235" i="8"/>
  <c r="AC235" i="8"/>
  <c r="AK320" i="8"/>
  <c r="AC320" i="8"/>
  <c r="AK877" i="8"/>
  <c r="AC877" i="8"/>
  <c r="AK892" i="8"/>
  <c r="AK913" i="8"/>
  <c r="AC913" i="8"/>
  <c r="AK341" i="8"/>
  <c r="AC341" i="8"/>
  <c r="AK695" i="8"/>
  <c r="AC695" i="8"/>
  <c r="AK738" i="8"/>
  <c r="AC738" i="8"/>
  <c r="AK289" i="8"/>
  <c r="AC289" i="8"/>
  <c r="AK606" i="8"/>
  <c r="AC606" i="8"/>
  <c r="AK357" i="8"/>
  <c r="AC357" i="8"/>
  <c r="AC377" i="8"/>
  <c r="AK868" i="8"/>
  <c r="AC868" i="8"/>
  <c r="AK847" i="8"/>
  <c r="AC847" i="8"/>
  <c r="AK987" i="8"/>
  <c r="AC987" i="8"/>
  <c r="AK213" i="8"/>
  <c r="AC213" i="8"/>
  <c r="AK890" i="8"/>
  <c r="AC890" i="8"/>
  <c r="AC190" i="8"/>
  <c r="AK893" i="8"/>
  <c r="AC893" i="8"/>
  <c r="AK693" i="8"/>
  <c r="AC693" i="8"/>
  <c r="AK478" i="8"/>
  <c r="AK548" i="8"/>
  <c r="AC548" i="8"/>
  <c r="AK800" i="8"/>
  <c r="AK239" i="8"/>
  <c r="AC239" i="8"/>
  <c r="AK365" i="8"/>
  <c r="AC365" i="8"/>
  <c r="AK145" i="8"/>
  <c r="AC145" i="8"/>
  <c r="AK140" i="8"/>
  <c r="AC140" i="8"/>
  <c r="AK748" i="8"/>
  <c r="AC748" i="8"/>
  <c r="AK225" i="8"/>
  <c r="AK120" i="8"/>
  <c r="AC120" i="8"/>
  <c r="AK459" i="8"/>
  <c r="AC459" i="8"/>
  <c r="AK198" i="8"/>
  <c r="AC198" i="8"/>
  <c r="AK680" i="8"/>
  <c r="AC680" i="8"/>
  <c r="AC771" i="8"/>
  <c r="AK19" i="8"/>
  <c r="AC19" i="8"/>
  <c r="AK733" i="8"/>
  <c r="AC733" i="8"/>
  <c r="AK258" i="8"/>
  <c r="AC258" i="8"/>
  <c r="AK604" i="8"/>
  <c r="AC604" i="8"/>
  <c r="AK171" i="8"/>
  <c r="AC171" i="8"/>
  <c r="AK428" i="8"/>
  <c r="AC428" i="8"/>
  <c r="AK570" i="8"/>
  <c r="AC570" i="8"/>
  <c r="AK714" i="8"/>
  <c r="AC714" i="8"/>
  <c r="AK122" i="8"/>
  <c r="AC122" i="8"/>
  <c r="AK138" i="8"/>
  <c r="AC138" i="8"/>
  <c r="AK457" i="8"/>
  <c r="AC457" i="8"/>
  <c r="AK669" i="8"/>
  <c r="AC669" i="8"/>
  <c r="AK476" i="8"/>
  <c r="AC476" i="8"/>
  <c r="AK541" i="8"/>
  <c r="AC541" i="8"/>
  <c r="AK93" i="8"/>
  <c r="AC93" i="8"/>
  <c r="AK556" i="8"/>
  <c r="AC556" i="8"/>
  <c r="AK194" i="8"/>
  <c r="AC194" i="8"/>
  <c r="AK91" i="8"/>
  <c r="AC91" i="8"/>
  <c r="AK376" i="8"/>
  <c r="AC376" i="8"/>
  <c r="AK411" i="8"/>
  <c r="AC411" i="8"/>
  <c r="AK65" i="8"/>
  <c r="AC65" i="8"/>
  <c r="AK881" i="8"/>
  <c r="AC881" i="8"/>
  <c r="AK402" i="8"/>
  <c r="AC402" i="8"/>
  <c r="AK413" i="8"/>
  <c r="AC413" i="8"/>
  <c r="AC670" i="8"/>
  <c r="AK594" i="8"/>
  <c r="AC594" i="8"/>
  <c r="AK269" i="8"/>
  <c r="AC269" i="8"/>
  <c r="AK897" i="8"/>
  <c r="AC897" i="8"/>
  <c r="AK177" i="8"/>
  <c r="AC177" i="8"/>
  <c r="AK302" i="8"/>
  <c r="AC302" i="8"/>
  <c r="AK134" i="8"/>
  <c r="AC134" i="8"/>
  <c r="AK698" i="8"/>
  <c r="AC698" i="8"/>
  <c r="AK184" i="8"/>
  <c r="AC184" i="8"/>
  <c r="AK866" i="8"/>
  <c r="AC866" i="8"/>
  <c r="AC576" i="8"/>
  <c r="AK71" i="8"/>
  <c r="AC71" i="8"/>
  <c r="AK123" i="8"/>
  <c r="AC123" i="8"/>
  <c r="AK331" i="8"/>
  <c r="AC331" i="8"/>
  <c r="AK421" i="8"/>
  <c r="AC421" i="8"/>
  <c r="AK356" i="8"/>
  <c r="AC356" i="8"/>
  <c r="AK263" i="8"/>
  <c r="AC263" i="8"/>
  <c r="AK701" i="8"/>
  <c r="AC701" i="8"/>
  <c r="AK206" i="8"/>
  <c r="AC206" i="8"/>
  <c r="AK327" i="8"/>
  <c r="AC327" i="8"/>
  <c r="AK783" i="8"/>
  <c r="AK560" i="8"/>
  <c r="AK342" i="8"/>
  <c r="AC342" i="8"/>
  <c r="AK895" i="8"/>
  <c r="AC895" i="8"/>
  <c r="AK616" i="8"/>
  <c r="AC616" i="8"/>
  <c r="AK985" i="8"/>
  <c r="AC985" i="8"/>
  <c r="AK216" i="8"/>
  <c r="AC216" i="8"/>
  <c r="AK307" i="8"/>
  <c r="AC307" i="8"/>
  <c r="AK745" i="8"/>
  <c r="AC745" i="8"/>
  <c r="AK406" i="8"/>
  <c r="AC406" i="8"/>
  <c r="AK944" i="8"/>
  <c r="AC944" i="8"/>
  <c r="AK767" i="8"/>
  <c r="AC767" i="8"/>
  <c r="AK988" i="8"/>
  <c r="AC988" i="8"/>
  <c r="AK94" i="8"/>
  <c r="AC94" i="8"/>
  <c r="AK61" i="8"/>
  <c r="AC61" i="8"/>
  <c r="AK503" i="8"/>
  <c r="AC503" i="8"/>
  <c r="AK666" i="8"/>
  <c r="AC666" i="8"/>
  <c r="AK508" i="8"/>
  <c r="AC508" i="8"/>
  <c r="AK855" i="8"/>
  <c r="AC855" i="8"/>
  <c r="AK333" i="8"/>
  <c r="AC333" i="8"/>
  <c r="AK382" i="8"/>
  <c r="AC382" i="8"/>
  <c r="AK959" i="8"/>
  <c r="AC959" i="8"/>
  <c r="AK385" i="8"/>
  <c r="AC385" i="8"/>
  <c r="AK332" i="8"/>
  <c r="AC332" i="8"/>
  <c r="AK433" i="8"/>
  <c r="AC433" i="8"/>
  <c r="AK449" i="8"/>
  <c r="AC449" i="8"/>
  <c r="AK182" i="8"/>
  <c r="AK631" i="8"/>
  <c r="AC631" i="8"/>
  <c r="AK931" i="8"/>
  <c r="AC931" i="8"/>
  <c r="AK807" i="8"/>
  <c r="AC807" i="8"/>
  <c r="AK516" i="8"/>
  <c r="AC516" i="8"/>
  <c r="AK158" i="8"/>
  <c r="AC158" i="8"/>
  <c r="AK811" i="8"/>
  <c r="AC811" i="8"/>
  <c r="AK454" i="8"/>
  <c r="AC454" i="8"/>
  <c r="AK819" i="8"/>
  <c r="AC819" i="8"/>
  <c r="AK536" i="8"/>
  <c r="AC536" i="8"/>
  <c r="AK939" i="8"/>
  <c r="AC939" i="8"/>
  <c r="AC579" i="8"/>
  <c r="AK756" i="8"/>
  <c r="AC756" i="8"/>
  <c r="AK603" i="8"/>
  <c r="AC603" i="8"/>
  <c r="AK231" i="8"/>
  <c r="AC231" i="8"/>
  <c r="AK497" i="8"/>
  <c r="AC497" i="8"/>
  <c r="AK526" i="8"/>
  <c r="AC526" i="8"/>
  <c r="AK851" i="8"/>
  <c r="AC851" i="8"/>
  <c r="AC692" i="8"/>
  <c r="AC773" i="8"/>
  <c r="AK899" i="8"/>
  <c r="AC899" i="8"/>
  <c r="AC532" i="8"/>
  <c r="AK102" i="8"/>
  <c r="AC102" i="8"/>
  <c r="AK22" i="8"/>
  <c r="AC22" i="8"/>
  <c r="AK524" i="8"/>
  <c r="AC524" i="8"/>
  <c r="AK907" i="8"/>
  <c r="AC907" i="8"/>
  <c r="AK917" i="8"/>
  <c r="AC917" i="8"/>
  <c r="AK908" i="8"/>
  <c r="AC908" i="8"/>
  <c r="AK822" i="8"/>
  <c r="AK723" i="8"/>
  <c r="AC723" i="8"/>
  <c r="AK535" i="8"/>
  <c r="AC535" i="8"/>
  <c r="AK568" i="8"/>
  <c r="AC568" i="8"/>
  <c r="AK506" i="8"/>
  <c r="AC506" i="8"/>
  <c r="AK545" i="8"/>
  <c r="AC545" i="8"/>
  <c r="AK111" i="8"/>
  <c r="AC111" i="8"/>
  <c r="AK168" i="8"/>
  <c r="AC168" i="8"/>
  <c r="AK160" i="8"/>
  <c r="AC160" i="8"/>
  <c r="AC970" i="8"/>
  <c r="AK769" i="8"/>
  <c r="AK300" i="8"/>
  <c r="AC300" i="8"/>
  <c r="AK888" i="8"/>
  <c r="AC888" i="8"/>
  <c r="AK529" i="8"/>
  <c r="AC529" i="8"/>
  <c r="AK505" i="8"/>
  <c r="AC505" i="8"/>
  <c r="AK967" i="8"/>
  <c r="AC967" i="8"/>
  <c r="AK583" i="8"/>
  <c r="AC583" i="8"/>
  <c r="AK119" i="8"/>
  <c r="AC119" i="8"/>
  <c r="AK608" i="8"/>
  <c r="AC608" i="8"/>
  <c r="AC150" i="8"/>
  <c r="AC550" i="8"/>
  <c r="AK628" i="8"/>
  <c r="AC628" i="8"/>
  <c r="AK481" i="8"/>
  <c r="AC481" i="8"/>
  <c r="AK232" i="8"/>
  <c r="AC232" i="8"/>
  <c r="AK742" i="8"/>
  <c r="AC742" i="8"/>
  <c r="AK598" i="8"/>
  <c r="AC598" i="8"/>
  <c r="AK544" i="8"/>
  <c r="AC544" i="8"/>
  <c r="AK350" i="8"/>
  <c r="AC350" i="8"/>
  <c r="AK381" i="8"/>
  <c r="AC381" i="8"/>
  <c r="AK353" i="8"/>
  <c r="AC353" i="8"/>
  <c r="AK582" i="8"/>
  <c r="AC582" i="8"/>
  <c r="AK958" i="8"/>
  <c r="AC958" i="8"/>
  <c r="AK46" i="8"/>
  <c r="AC46" i="8"/>
  <c r="AK311" i="8"/>
  <c r="AC311" i="8"/>
  <c r="AK589" i="8"/>
  <c r="AC589" i="8"/>
  <c r="AK23" i="8"/>
  <c r="AC23" i="8"/>
  <c r="AK43" i="8"/>
  <c r="AC43" i="8"/>
  <c r="AK617" i="8"/>
  <c r="AC617" i="8"/>
  <c r="AK293" i="8"/>
  <c r="AC293" i="8"/>
  <c r="AK521" i="8"/>
  <c r="AC521" i="8"/>
  <c r="AK567" i="8"/>
  <c r="AC567" i="8"/>
  <c r="AK937" i="8"/>
  <c r="AC937" i="8"/>
  <c r="AK368" i="8"/>
  <c r="AC368" i="8"/>
  <c r="AK141" i="8"/>
  <c r="AC141" i="8"/>
  <c r="AK961" i="8"/>
  <c r="AC961" i="8"/>
  <c r="AK901" i="8"/>
  <c r="AC901" i="8"/>
  <c r="AK479" i="8"/>
  <c r="AC479" i="8"/>
  <c r="AK558" i="8"/>
  <c r="AC558" i="8"/>
  <c r="AK674" i="8"/>
  <c r="AC674" i="8"/>
  <c r="AK202" i="8"/>
  <c r="AC202" i="8"/>
  <c r="AK962" i="8"/>
  <c r="AC962" i="8"/>
  <c r="AK136" i="8"/>
  <c r="AC136" i="8"/>
  <c r="AK139" i="8"/>
  <c r="AC139" i="8"/>
  <c r="AK997" i="8"/>
  <c r="AC997" i="8"/>
  <c r="AK585" i="8"/>
  <c r="AC585" i="8"/>
  <c r="AK290" i="8"/>
  <c r="AC290" i="8"/>
  <c r="AK48" i="8"/>
  <c r="AC48" i="8"/>
  <c r="AK499" i="8"/>
  <c r="AC499" i="8"/>
  <c r="AK643" i="8"/>
  <c r="AK886" i="8"/>
  <c r="AC886" i="8"/>
  <c r="AK149" i="8"/>
  <c r="AC149" i="8"/>
  <c r="AK737" i="8"/>
  <c r="AC737" i="8"/>
  <c r="AK830" i="8"/>
  <c r="AC830" i="8"/>
  <c r="AK622" i="8"/>
  <c r="AC622" i="8"/>
  <c r="AK563" i="8"/>
  <c r="AC563" i="8"/>
  <c r="AK660" i="8"/>
  <c r="AC660" i="8"/>
  <c r="AK704" i="8"/>
  <c r="AC704" i="8"/>
  <c r="AK1002" i="8"/>
  <c r="AC1002" i="8"/>
  <c r="AK295" i="8"/>
  <c r="AC295" i="8"/>
  <c r="AK569" i="8"/>
  <c r="AC569" i="8"/>
  <c r="AK671" i="8"/>
  <c r="AC671" i="8"/>
  <c r="AK515" i="8"/>
  <c r="AC515" i="8"/>
  <c r="AK816" i="8"/>
  <c r="AC816" i="8"/>
  <c r="AK64" i="8"/>
  <c r="AC64" i="8"/>
  <c r="AK63" i="8"/>
  <c r="AC63" i="8"/>
  <c r="AK107" i="8"/>
  <c r="AC107" i="8"/>
  <c r="AK180" i="8"/>
  <c r="AC180" i="8"/>
  <c r="AK551" i="8"/>
  <c r="AC551" i="8"/>
  <c r="AC597" i="8"/>
  <c r="AK607" i="8"/>
  <c r="AC607" i="8"/>
  <c r="AK474" i="8"/>
  <c r="AC474" i="8"/>
  <c r="AK86" i="8"/>
  <c r="AC86" i="8"/>
  <c r="AK284" i="8"/>
  <c r="AC284" i="8"/>
  <c r="AK121" i="8"/>
  <c r="AC121" i="8"/>
  <c r="AK97" i="8"/>
  <c r="AC97" i="8"/>
  <c r="AK854" i="8"/>
  <c r="AC854" i="8"/>
  <c r="AK44" i="8"/>
  <c r="AK641" i="8"/>
  <c r="AC641" i="8"/>
  <c r="AK922" i="8"/>
  <c r="AC922" i="8"/>
  <c r="AC629" i="8"/>
  <c r="AK291" i="8"/>
  <c r="AC291" i="8"/>
  <c r="AK328" i="8"/>
  <c r="AC328" i="8"/>
  <c r="AK434" i="8"/>
  <c r="AC434" i="8"/>
  <c r="AK639" i="8"/>
  <c r="AC639" i="8"/>
  <c r="AK806" i="8"/>
  <c r="AC806" i="8"/>
  <c r="AK88" i="8"/>
  <c r="AC88" i="8"/>
  <c r="AK183" i="8"/>
  <c r="AC183" i="8"/>
  <c r="AK894" i="8"/>
  <c r="AC894" i="8"/>
  <c r="AK540" i="8"/>
  <c r="AC540" i="8"/>
  <c r="AK980" i="8"/>
  <c r="AC980" i="8"/>
  <c r="AK948" i="8"/>
  <c r="AC948" i="8"/>
  <c r="AK991" i="8"/>
  <c r="AC991" i="8"/>
  <c r="AK233" i="8"/>
  <c r="AC233" i="8"/>
  <c r="AK873" i="8"/>
  <c r="AC873" i="8"/>
  <c r="AK317" i="8"/>
  <c r="AC317" i="8"/>
  <c r="AC845" i="8"/>
  <c r="AK39" i="8"/>
  <c r="AC39" i="8"/>
  <c r="AK975" i="8"/>
  <c r="AC975" i="8"/>
  <c r="AK442" i="8"/>
  <c r="AC442" i="8"/>
  <c r="AC416" i="8"/>
  <c r="AK966" i="8"/>
  <c r="AC966" i="8"/>
  <c r="AK448" i="8"/>
  <c r="AC448" i="8"/>
  <c r="AK746" i="8"/>
  <c r="AC746" i="8"/>
  <c r="AK346" i="8"/>
  <c r="AC346" i="8"/>
  <c r="AK236" i="8"/>
  <c r="AC236" i="8"/>
  <c r="AK76" i="8"/>
  <c r="AC76" i="8"/>
  <c r="AC308" i="8"/>
  <c r="AK605" i="8"/>
  <c r="AC605" i="8"/>
  <c r="AK498" i="8"/>
  <c r="AC498" i="8"/>
  <c r="AK719" i="8"/>
  <c r="AC719" i="8"/>
  <c r="AK303" i="8"/>
  <c r="AC303" i="8"/>
  <c r="AK362" i="8"/>
  <c r="AC362" i="8"/>
  <c r="AC759" i="8"/>
  <c r="AK638" i="8"/>
  <c r="AC638" i="8"/>
  <c r="AK546" i="8"/>
  <c r="AC546" i="8"/>
  <c r="AK963" i="8"/>
  <c r="AC963" i="8"/>
  <c r="AK1001" i="8"/>
  <c r="AC1001" i="8"/>
  <c r="AK718" i="8"/>
  <c r="AC718" i="8"/>
  <c r="AK820" i="8"/>
  <c r="AC820" i="8"/>
  <c r="AK839" i="8"/>
  <c r="AC839" i="8"/>
  <c r="AK128" i="8"/>
  <c r="AC128" i="8"/>
  <c r="AK29" i="8"/>
  <c r="AC29" i="8"/>
  <c r="AK282" i="8"/>
  <c r="AC282" i="8"/>
  <c r="AK821" i="8"/>
  <c r="AC821" i="8"/>
  <c r="AK596" i="8"/>
  <c r="AC596" i="8"/>
  <c r="AK137" i="8"/>
  <c r="AC137" i="8"/>
  <c r="AK92" i="8"/>
  <c r="AC92" i="8"/>
  <c r="AK706" i="8"/>
  <c r="AC706" i="8"/>
  <c r="AK33" i="8"/>
  <c r="AC33" i="8"/>
  <c r="AK142" i="8"/>
  <c r="AC142" i="8"/>
  <c r="AK323" i="8"/>
  <c r="AC323" i="8"/>
  <c r="AK770" i="8"/>
  <c r="AC770" i="8"/>
  <c r="AK780" i="8"/>
  <c r="AC780" i="8"/>
  <c r="AK561" i="8"/>
  <c r="AC561" i="8"/>
  <c r="AK715" i="8"/>
  <c r="AC715" i="8"/>
  <c r="AK78" i="8"/>
  <c r="AC78" i="8"/>
  <c r="AK884" i="8"/>
  <c r="AC884" i="8"/>
  <c r="AK794" i="8"/>
  <c r="AC794" i="8"/>
  <c r="AK838" i="8"/>
  <c r="AC838" i="8"/>
  <c r="AK710" i="8"/>
  <c r="AC710" i="8"/>
  <c r="AK271" i="8"/>
  <c r="AC271" i="8"/>
  <c r="AK1006" i="8"/>
  <c r="AC1006" i="8"/>
  <c r="AK829" i="8"/>
  <c r="AC829" i="8"/>
  <c r="AC157" i="8"/>
  <c r="AK918" i="8"/>
  <c r="AK632" i="8"/>
  <c r="AC632" i="8"/>
  <c r="AK485" i="8"/>
  <c r="AC485" i="8"/>
  <c r="AK530" i="8"/>
  <c r="AC530" i="8"/>
  <c r="AK996" i="8"/>
  <c r="AC996" i="8"/>
  <c r="AK852" i="8"/>
  <c r="AC852" i="8"/>
  <c r="AK375" i="8"/>
  <c r="AC375" i="8"/>
  <c r="AK949" i="8"/>
  <c r="AC949" i="8"/>
  <c r="AK439" i="8"/>
  <c r="AC439" i="8"/>
  <c r="AK928" i="8"/>
  <c r="AC928" i="8"/>
  <c r="AK761" i="8"/>
  <c r="AC761" i="8"/>
  <c r="AK355" i="8"/>
  <c r="AC355" i="8"/>
  <c r="AK15" i="8"/>
  <c r="AC15" i="8"/>
  <c r="AK403" i="8"/>
  <c r="AC403" i="8"/>
  <c r="AK648" i="8"/>
  <c r="AC648" i="8"/>
  <c r="AK844" i="8"/>
  <c r="AC844" i="8"/>
  <c r="AK667" i="8"/>
  <c r="AC667" i="8"/>
  <c r="AK555" i="8"/>
  <c r="AC555" i="8"/>
  <c r="AK659" i="8"/>
  <c r="AC659" i="8"/>
  <c r="AK882" i="8"/>
  <c r="AC882" i="8"/>
  <c r="AK727" i="8"/>
  <c r="AC727" i="8"/>
  <c r="AK744" i="8"/>
  <c r="AC744" i="8"/>
  <c r="AC957" i="8"/>
  <c r="AK709" i="8"/>
  <c r="AC709" i="8"/>
  <c r="AK729" i="8"/>
  <c r="AC729" i="8"/>
  <c r="AK760" i="8"/>
  <c r="AC760" i="8"/>
  <c r="AK531" i="8"/>
  <c r="AC531" i="8"/>
  <c r="AK153" i="8"/>
  <c r="AC153" i="8"/>
  <c r="AK151" i="8"/>
  <c r="AC151" i="8"/>
  <c r="AC979" i="8"/>
  <c r="AC984" i="8"/>
  <c r="AK245" i="8"/>
  <c r="AK537" i="8"/>
  <c r="AC537" i="8"/>
  <c r="AK34" i="8"/>
  <c r="AC34" i="8"/>
  <c r="AK662" i="8"/>
  <c r="AC662" i="8"/>
  <c r="AK69" i="8"/>
  <c r="AC69" i="8"/>
  <c r="AK1003" i="8"/>
  <c r="AC1003" i="8"/>
  <c r="AK986" i="8"/>
  <c r="AC986" i="8"/>
  <c r="AK347" i="8"/>
  <c r="AC347" i="8"/>
  <c r="AK84" i="8"/>
  <c r="AC84" i="8"/>
  <c r="AC588" i="8"/>
  <c r="AK321" i="8"/>
  <c r="AC321" i="8"/>
  <c r="AK326" i="8"/>
  <c r="AC326" i="8"/>
  <c r="AK254" i="8"/>
  <c r="AC254" i="8"/>
  <c r="AK869" i="8"/>
  <c r="AC869" i="8"/>
  <c r="AK322" i="8"/>
  <c r="AC322" i="8"/>
  <c r="AK805" i="8"/>
  <c r="AC805" i="8"/>
  <c r="AK81" i="8"/>
  <c r="AC81" i="8"/>
  <c r="AK430" i="8"/>
  <c r="AC430" i="8"/>
  <c r="AK348" i="8"/>
  <c r="AC348" i="8"/>
  <c r="AK654" i="8"/>
  <c r="AC654" i="8"/>
  <c r="AK989" i="8"/>
  <c r="AC989" i="8"/>
  <c r="AK645" i="8"/>
  <c r="AC645" i="8"/>
  <c r="AK214" i="8"/>
  <c r="AC214" i="8"/>
  <c r="AK298" i="8"/>
  <c r="AC298" i="8"/>
  <c r="AK205" i="8"/>
  <c r="AC205" i="8"/>
  <c r="AC938" i="8"/>
  <c r="AK682" i="8"/>
  <c r="AC682" i="8"/>
  <c r="AK10" i="8"/>
  <c r="AC10" i="8"/>
  <c r="AK173" i="8"/>
  <c r="AC173" i="8"/>
  <c r="AK713" i="8"/>
  <c r="AC713" i="8"/>
  <c r="AK285" i="8"/>
  <c r="AC285" i="8"/>
  <c r="AK765" i="8"/>
  <c r="AC765" i="8"/>
  <c r="AK79" i="8"/>
  <c r="AC79" i="8"/>
  <c r="AK835" i="8"/>
  <c r="AC835" i="8"/>
  <c r="AK98" i="8"/>
  <c r="AC98" i="8"/>
  <c r="AK264" i="8"/>
  <c r="AC264" i="8"/>
  <c r="AK862" i="8"/>
  <c r="AC862" i="8"/>
  <c r="AK404" i="8"/>
  <c r="AC404" i="8"/>
  <c r="AK241" i="8"/>
  <c r="AK586" i="8"/>
  <c r="AC586" i="8"/>
  <c r="AK247" i="8"/>
  <c r="AC247" i="8"/>
  <c r="AK613" i="8"/>
  <c r="AC613" i="8"/>
  <c r="AK9" i="8"/>
  <c r="AC9" i="8"/>
  <c r="I750" i="5"/>
  <c r="AL752" i="8" s="1"/>
  <c r="I126" i="5"/>
  <c r="AL128" i="8" s="1"/>
  <c r="I90" i="5"/>
  <c r="AL92" i="8" s="1"/>
  <c r="I514" i="5"/>
  <c r="AL516" i="8" s="1"/>
  <c r="I471" i="5"/>
  <c r="AL473" i="8" s="1"/>
  <c r="I146" i="5"/>
  <c r="AL148" i="8" s="1"/>
  <c r="I945" i="5"/>
  <c r="AL947" i="8" s="1"/>
  <c r="I792" i="5"/>
  <c r="AL794" i="8" s="1"/>
  <c r="I836" i="5"/>
  <c r="AL838" i="8" s="1"/>
  <c r="I577" i="5"/>
  <c r="AL579" i="8" s="1"/>
  <c r="I576" i="5"/>
  <c r="AL578" i="8" s="1"/>
  <c r="I218" i="5"/>
  <c r="AL220" i="8" s="1"/>
  <c r="I601" i="5"/>
  <c r="AL603" i="8" s="1"/>
  <c r="I290" i="5"/>
  <c r="AL292" i="8" s="1"/>
  <c r="I640" i="5"/>
  <c r="AL642" i="8" s="1"/>
  <c r="I269" i="5"/>
  <c r="AL271" i="8" s="1"/>
  <c r="I520" i="5"/>
  <c r="AL522" i="8" s="1"/>
  <c r="I849" i="5"/>
  <c r="AL851" i="8" s="1"/>
  <c r="I483" i="5"/>
  <c r="AL485" i="8" s="1"/>
  <c r="I994" i="5"/>
  <c r="AL996" i="8" s="1"/>
  <c r="I226" i="5"/>
  <c r="AL228" i="8" s="1"/>
  <c r="I370" i="5"/>
  <c r="AL372" i="8" s="1"/>
  <c r="I442" i="5"/>
  <c r="AL444" i="8" s="1"/>
  <c r="I45" i="5"/>
  <c r="AL47" i="8" s="1"/>
  <c r="I999" i="5"/>
  <c r="AL1001" i="8" s="1"/>
  <c r="I111" i="5"/>
  <c r="AL113" i="8" s="1"/>
  <c r="I431" i="5"/>
  <c r="AL433" i="8" s="1"/>
  <c r="I186" i="5"/>
  <c r="AL188" i="8" s="1"/>
  <c r="I737" i="5"/>
  <c r="AL739" i="8" s="1"/>
  <c r="I149" i="5"/>
  <c r="AL151" i="8" s="1"/>
  <c r="I709" i="5"/>
  <c r="AL711" i="8" s="1"/>
  <c r="I298" i="5"/>
  <c r="AL300" i="8" s="1"/>
  <c r="I512" i="5"/>
  <c r="AL514" i="8" s="1"/>
  <c r="I693" i="5"/>
  <c r="AL695" i="8" s="1"/>
  <c r="I727" i="5"/>
  <c r="AL729" i="8" s="1"/>
  <c r="I336" i="5"/>
  <c r="AL338" i="8" s="1"/>
  <c r="I853" i="5"/>
  <c r="AL855" i="8" s="1"/>
  <c r="I825" i="5"/>
  <c r="AL827" i="8" s="1"/>
  <c r="I872" i="5"/>
  <c r="AL874" i="8" s="1"/>
  <c r="I464" i="5"/>
  <c r="AL466" i="8" s="1"/>
  <c r="I703" i="5"/>
  <c r="AL705" i="8" s="1"/>
  <c r="I435" i="5"/>
  <c r="AL437" i="8" s="1"/>
  <c r="I27" i="5"/>
  <c r="AL29" i="8" s="1"/>
  <c r="I819" i="5"/>
  <c r="AL821" i="8" s="1"/>
  <c r="I330" i="5"/>
  <c r="AL332" i="8" s="1"/>
  <c r="I135" i="5"/>
  <c r="AL137" i="8" s="1"/>
  <c r="I629" i="5"/>
  <c r="AL631" i="8" s="1"/>
  <c r="I246" i="5"/>
  <c r="AL248" i="8" s="1"/>
  <c r="I31" i="5"/>
  <c r="AL33" i="8" s="1"/>
  <c r="I7" i="5"/>
  <c r="I362" i="5"/>
  <c r="AL364" i="8" s="1"/>
  <c r="I321" i="5"/>
  <c r="AL323" i="8" s="1"/>
  <c r="I776" i="5"/>
  <c r="AL778" i="8" s="1"/>
  <c r="I81" i="5"/>
  <c r="AL83" i="8" s="1"/>
  <c r="I304" i="5"/>
  <c r="AL306" i="8" s="1"/>
  <c r="I647" i="5"/>
  <c r="AL649" i="8" s="1"/>
  <c r="I531" i="5"/>
  <c r="AL533" i="8" s="1"/>
  <c r="I778" i="5"/>
  <c r="AL780" i="8" s="1"/>
  <c r="I822" i="5"/>
  <c r="AL824" i="8" s="1"/>
  <c r="I671" i="5"/>
  <c r="AL673" i="8" s="1"/>
  <c r="I670" i="5"/>
  <c r="AL672" i="8" s="1"/>
  <c r="I809" i="5"/>
  <c r="AL811" i="8" s="1"/>
  <c r="I241" i="5"/>
  <c r="AL243" i="8" s="1"/>
  <c r="I943" i="5"/>
  <c r="AL945" i="8" s="1"/>
  <c r="I452" i="5"/>
  <c r="AL454" i="8" s="1"/>
  <c r="I713" i="5"/>
  <c r="AL715" i="8" s="1"/>
  <c r="I356" i="5"/>
  <c r="AL358" i="8" s="1"/>
  <c r="I438" i="5"/>
  <c r="AL440" i="8" s="1"/>
  <c r="I817" i="5"/>
  <c r="AL819" i="8" s="1"/>
  <c r="I534" i="5"/>
  <c r="AL536" i="8" s="1"/>
  <c r="I76" i="5"/>
  <c r="AL78" i="8" s="1"/>
  <c r="I998" i="5"/>
  <c r="AL1000" i="8" s="1"/>
  <c r="I937" i="5"/>
  <c r="AL939" i="8" s="1"/>
  <c r="I882" i="5"/>
  <c r="AL884" i="8" s="1"/>
  <c r="I923" i="5"/>
  <c r="AL925" i="8" s="1"/>
  <c r="I708" i="5"/>
  <c r="AL710" i="8" s="1"/>
  <c r="I754" i="5"/>
  <c r="AL756" i="8" s="1"/>
  <c r="I229" i="5"/>
  <c r="AL231" i="8" s="1"/>
  <c r="I753" i="5"/>
  <c r="AL755" i="8" s="1"/>
  <c r="I495" i="5"/>
  <c r="AL497" i="8" s="1"/>
  <c r="I1004" i="5"/>
  <c r="AL1006" i="8" s="1"/>
  <c r="I150" i="5"/>
  <c r="AL152" i="8" s="1"/>
  <c r="I827" i="5"/>
  <c r="AL829" i="8" s="1"/>
  <c r="I160" i="5"/>
  <c r="AL162" i="8" s="1"/>
  <c r="I524" i="5"/>
  <c r="AL526" i="8" s="1"/>
  <c r="I217" i="5"/>
  <c r="AL219" i="8" s="1"/>
  <c r="I292" i="5"/>
  <c r="AL294" i="8" s="1"/>
  <c r="I630" i="5"/>
  <c r="AL632" i="8" s="1"/>
  <c r="I15" i="5"/>
  <c r="AL17" i="8" s="1"/>
  <c r="I582" i="5"/>
  <c r="AL584" i="8" s="1"/>
  <c r="I528" i="5"/>
  <c r="AL530" i="8" s="1"/>
  <c r="I165" i="5"/>
  <c r="AL167" i="8" s="1"/>
  <c r="I270" i="5"/>
  <c r="AL272" i="8" s="1"/>
  <c r="I826" i="5"/>
  <c r="AL828" i="8" s="1"/>
  <c r="I991" i="5"/>
  <c r="AL993" i="8" s="1"/>
  <c r="I938" i="5"/>
  <c r="AL940" i="8" s="1"/>
  <c r="I897" i="5"/>
  <c r="AL899" i="8" s="1"/>
  <c r="I850" i="5"/>
  <c r="AL852" i="8" s="1"/>
  <c r="I794" i="5"/>
  <c r="AL796" i="8" s="1"/>
  <c r="I254" i="5"/>
  <c r="AL256" i="8" s="1"/>
  <c r="I373" i="5"/>
  <c r="AL375" i="8" s="1"/>
  <c r="I506" i="5"/>
  <c r="AL508" i="8" s="1"/>
  <c r="I911" i="5"/>
  <c r="AL913" i="8" s="1"/>
  <c r="I294" i="5"/>
  <c r="AL296" i="8" s="1"/>
  <c r="I961" i="5"/>
  <c r="AL963" i="8" s="1"/>
  <c r="I30" i="5"/>
  <c r="AL32" i="8" s="1"/>
  <c r="I782" i="5"/>
  <c r="AL784" i="8" s="1"/>
  <c r="I758" i="5"/>
  <c r="AL760" i="8" s="1"/>
  <c r="I736" i="5"/>
  <c r="AL738" i="8" s="1"/>
  <c r="I818" i="5"/>
  <c r="AL820" i="8" s="1"/>
  <c r="I869" i="5"/>
  <c r="AL871" i="8" s="1"/>
  <c r="I250" i="5"/>
  <c r="AL252" i="8" s="1"/>
  <c r="I224" i="5"/>
  <c r="AL226" i="8" s="1"/>
  <c r="I845" i="5"/>
  <c r="AL847" i="8" s="1"/>
  <c r="I977" i="5"/>
  <c r="AL979" i="8" s="1"/>
  <c r="I158" i="5"/>
  <c r="AL160" i="8" s="1"/>
  <c r="I211" i="5"/>
  <c r="AL213" i="8" s="1"/>
  <c r="I777" i="5"/>
  <c r="AL779" i="8" s="1"/>
  <c r="I371" i="5"/>
  <c r="AL373" i="8" s="1"/>
  <c r="I888" i="5"/>
  <c r="AL890" i="8" s="1"/>
  <c r="I767" i="5"/>
  <c r="AL769" i="8" s="1"/>
  <c r="I808" i="5"/>
  <c r="AL810" i="8" s="1"/>
  <c r="I207" i="5"/>
  <c r="AL209" i="8" s="1"/>
  <c r="I32" i="5"/>
  <c r="AL34" i="8" s="1"/>
  <c r="I660" i="5"/>
  <c r="AL662" i="8" s="1"/>
  <c r="I773" i="5"/>
  <c r="AL775" i="8" s="1"/>
  <c r="I664" i="5"/>
  <c r="AL666" i="8" s="1"/>
  <c r="I285" i="5"/>
  <c r="AL287" i="8" s="1"/>
  <c r="I654" i="5"/>
  <c r="AL656" i="8" s="1"/>
  <c r="I377" i="5"/>
  <c r="AL379" i="8" s="1"/>
  <c r="I957" i="5"/>
  <c r="AL959" i="8" s="1"/>
  <c r="I450" i="5"/>
  <c r="AL452" i="8" s="1"/>
  <c r="I610" i="5"/>
  <c r="AL612" i="8" s="1"/>
  <c r="I447" i="5"/>
  <c r="AL449" i="8" s="1"/>
  <c r="I468" i="5"/>
  <c r="AL470" i="8" s="1"/>
  <c r="I805" i="5"/>
  <c r="AL807" i="8" s="1"/>
  <c r="I29" i="5"/>
  <c r="AL31" i="8" s="1"/>
  <c r="I490" i="5"/>
  <c r="AL492" i="8" s="1"/>
  <c r="I950" i="5"/>
  <c r="AL952" i="8" s="1"/>
  <c r="I244" i="5"/>
  <c r="AL246" i="8" s="1"/>
  <c r="I383" i="5"/>
  <c r="AL385" i="8" s="1"/>
  <c r="I339" i="5"/>
  <c r="AL341" i="8" s="1"/>
  <c r="I398" i="5"/>
  <c r="AL400" i="8" s="1"/>
  <c r="I508" i="5"/>
  <c r="AL510" i="8" s="1"/>
  <c r="I380" i="5"/>
  <c r="AL382" i="8" s="1"/>
  <c r="I594" i="5"/>
  <c r="AL596" i="8" s="1"/>
  <c r="I140" i="5"/>
  <c r="AL142" i="8" s="1"/>
  <c r="I929" i="5"/>
  <c r="AL931" i="8" s="1"/>
  <c r="I559" i="5"/>
  <c r="AL561" i="8" s="1"/>
  <c r="I841" i="5"/>
  <c r="AL843" i="8" s="1"/>
  <c r="I527" i="5"/>
  <c r="AL529" i="8" s="1"/>
  <c r="I25" i="5"/>
  <c r="AL27" i="8" s="1"/>
  <c r="I376" i="5"/>
  <c r="AL378" i="8" s="1"/>
  <c r="I399" i="5"/>
  <c r="AL401" i="8" s="1"/>
  <c r="I345" i="5"/>
  <c r="AL347" i="8" s="1"/>
  <c r="I546" i="5"/>
  <c r="AL548" i="8" s="1"/>
  <c r="I653" i="5"/>
  <c r="AL655" i="8" s="1"/>
  <c r="I237" i="5"/>
  <c r="AL239" i="8" s="1"/>
  <c r="I117" i="5"/>
  <c r="AL119" i="8" s="1"/>
  <c r="I821" i="5"/>
  <c r="AL823" i="8" s="1"/>
  <c r="I548" i="5"/>
  <c r="AL550" i="8" s="1"/>
  <c r="I746" i="5"/>
  <c r="AL748" i="8" s="1"/>
  <c r="I656" i="5"/>
  <c r="AL658" i="8" s="1"/>
  <c r="I196" i="5"/>
  <c r="AL198" i="8" s="1"/>
  <c r="I740" i="5"/>
  <c r="AL742" i="8" s="1"/>
  <c r="I252" i="5"/>
  <c r="AL254" i="8" s="1"/>
  <c r="I692" i="5"/>
  <c r="AL694" i="8" s="1"/>
  <c r="I769" i="5"/>
  <c r="AL771" i="8" s="1"/>
  <c r="I596" i="5"/>
  <c r="AL598" i="8" s="1"/>
  <c r="I542" i="5"/>
  <c r="AL544" i="8" s="1"/>
  <c r="I367" i="5"/>
  <c r="AL369" i="8" s="1"/>
  <c r="I348" i="5"/>
  <c r="AL350" i="8" s="1"/>
  <c r="I379" i="5"/>
  <c r="AL381" i="8" s="1"/>
  <c r="I904" i="5"/>
  <c r="AL906" i="8" s="1"/>
  <c r="I52" i="5"/>
  <c r="AL54" i="8" s="1"/>
  <c r="I256" i="5"/>
  <c r="AL258" i="8" s="1"/>
  <c r="I169" i="5"/>
  <c r="AL171" i="8" s="1"/>
  <c r="I426" i="5"/>
  <c r="AL428" i="8" s="1"/>
  <c r="I66" i="5"/>
  <c r="AL68" i="8" s="1"/>
  <c r="I568" i="5"/>
  <c r="AL570" i="8" s="1"/>
  <c r="I164" i="5"/>
  <c r="AL166" i="8" s="1"/>
  <c r="I309" i="5"/>
  <c r="AL311" i="8" s="1"/>
  <c r="I927" i="5"/>
  <c r="AL929" i="8" s="1"/>
  <c r="I127" i="5"/>
  <c r="AL129" i="8" s="1"/>
  <c r="I430" i="5"/>
  <c r="AL432" i="8" s="1"/>
  <c r="I21" i="5"/>
  <c r="AL23" i="8" s="1"/>
  <c r="I790" i="5"/>
  <c r="AL792" i="8" s="1"/>
  <c r="I680" i="5"/>
  <c r="AL682" i="8" s="1"/>
  <c r="I667" i="5"/>
  <c r="AL669" i="8" s="1"/>
  <c r="I815" i="5"/>
  <c r="AL817" i="8" s="1"/>
  <c r="I474" i="5"/>
  <c r="AL476" i="8" s="1"/>
  <c r="I969" i="5"/>
  <c r="AL971" i="8" s="1"/>
  <c r="I539" i="5"/>
  <c r="AL541" i="8" s="1"/>
  <c r="I291" i="5"/>
  <c r="AL293" i="8" s="1"/>
  <c r="I91" i="5"/>
  <c r="AL93" i="8" s="1"/>
  <c r="I711" i="5"/>
  <c r="AL713" i="8" s="1"/>
  <c r="I519" i="5"/>
  <c r="AL521" i="8" s="1"/>
  <c r="I192" i="5"/>
  <c r="AL194" i="8" s="1"/>
  <c r="I865" i="5"/>
  <c r="AL867" i="8" s="1"/>
  <c r="I935" i="5"/>
  <c r="AL937" i="8" s="1"/>
  <c r="I89" i="5"/>
  <c r="AL91" i="8" s="1"/>
  <c r="I366" i="5"/>
  <c r="AL368" i="8" s="1"/>
  <c r="I77" i="5"/>
  <c r="AL79" i="8" s="1"/>
  <c r="I1005" i="5"/>
  <c r="AL1007" i="8" s="1"/>
  <c r="I409" i="5"/>
  <c r="AL411" i="8" s="1"/>
  <c r="I1006" i="5"/>
  <c r="AL1008" i="8" s="1"/>
  <c r="I728" i="5"/>
  <c r="AL730" i="8" s="1"/>
  <c r="I959" i="5"/>
  <c r="AL961" i="8" s="1"/>
  <c r="I402" i="5"/>
  <c r="AL404" i="8" s="1"/>
  <c r="I477" i="5"/>
  <c r="AL479" i="8" s="1"/>
  <c r="I584" i="5"/>
  <c r="AL586" i="8" s="1"/>
  <c r="I649" i="5"/>
  <c r="AL651" i="8" s="1"/>
  <c r="I672" i="5"/>
  <c r="AL674" i="8" s="1"/>
  <c r="I879" i="5"/>
  <c r="AL881" i="8" s="1"/>
  <c r="I611" i="5"/>
  <c r="AL613" i="8" s="1"/>
  <c r="I535" i="5"/>
  <c r="AL537" i="8" s="1"/>
  <c r="I529" i="5"/>
  <c r="AL531" i="8" s="1"/>
  <c r="I75" i="5"/>
  <c r="AL77" i="8" s="1"/>
  <c r="I965" i="5"/>
  <c r="AL967" i="8" s="1"/>
  <c r="I138" i="5"/>
  <c r="AL140" i="8" s="1"/>
  <c r="I752" i="5"/>
  <c r="AL754" i="8" s="1"/>
  <c r="I118" i="5"/>
  <c r="AL120" i="8" s="1"/>
  <c r="I479" i="5"/>
  <c r="AL481" i="8" s="1"/>
  <c r="I230" i="5"/>
  <c r="AL232" i="8" s="1"/>
  <c r="I457" i="5"/>
  <c r="AL459" i="8" s="1"/>
  <c r="I176" i="5"/>
  <c r="AL178" i="8" s="1"/>
  <c r="I613" i="5"/>
  <c r="AL615" i="8" s="1"/>
  <c r="I144" i="5"/>
  <c r="AL146" i="8" s="1"/>
  <c r="I867" i="5"/>
  <c r="AL869" i="8" s="1"/>
  <c r="I320" i="5"/>
  <c r="AL322" i="8" s="1"/>
  <c r="I488" i="5"/>
  <c r="AL490" i="8" s="1"/>
  <c r="I803" i="5"/>
  <c r="AL805" i="8" s="1"/>
  <c r="I310" i="5"/>
  <c r="AL312" i="8" s="1"/>
  <c r="I17" i="5"/>
  <c r="AL19" i="8" s="1"/>
  <c r="I731" i="5"/>
  <c r="AL733" i="8" s="1"/>
  <c r="I428" i="5"/>
  <c r="AL430" i="8" s="1"/>
  <c r="I734" i="5"/>
  <c r="AL736" i="8" s="1"/>
  <c r="I346" i="5"/>
  <c r="AL348" i="8" s="1"/>
  <c r="I652" i="5"/>
  <c r="AL654" i="8" s="1"/>
  <c r="I844" i="5"/>
  <c r="AL846" i="8" s="1"/>
  <c r="I602" i="5"/>
  <c r="AL604" i="8" s="1"/>
  <c r="I351" i="5"/>
  <c r="AL353" i="8" s="1"/>
  <c r="I643" i="5"/>
  <c r="AL645" i="8" s="1"/>
  <c r="I580" i="5"/>
  <c r="AL582" i="8" s="1"/>
  <c r="I956" i="5"/>
  <c r="AL958" i="8" s="1"/>
  <c r="I44" i="5"/>
  <c r="AL46" i="8" s="1"/>
  <c r="I764" i="5"/>
  <c r="AL766" i="8" s="1"/>
  <c r="I949" i="5"/>
  <c r="AL951" i="8" s="1"/>
  <c r="I296" i="5"/>
  <c r="AL298" i="8" s="1"/>
  <c r="I120" i="5"/>
  <c r="AL122" i="8" s="1"/>
  <c r="I273" i="5"/>
  <c r="AL275" i="8" s="1"/>
  <c r="I88" i="5"/>
  <c r="AL90" i="8" s="1"/>
  <c r="I908" i="5"/>
  <c r="AL910" i="8" s="1"/>
  <c r="I41" i="5"/>
  <c r="AL43" i="8" s="1"/>
  <c r="I615" i="5"/>
  <c r="AL617" i="8" s="1"/>
  <c r="I8" i="5"/>
  <c r="AL10" i="8" s="1"/>
  <c r="I171" i="5"/>
  <c r="AL173" i="8" s="1"/>
  <c r="I532" i="5"/>
  <c r="AL534" i="8" s="1"/>
  <c r="I122" i="5"/>
  <c r="AL124" i="8" s="1"/>
  <c r="I554" i="5"/>
  <c r="AL556" i="8" s="1"/>
  <c r="I565" i="5"/>
  <c r="AL567" i="8" s="1"/>
  <c r="I365" i="5"/>
  <c r="AL367" i="8" s="1"/>
  <c r="I216" i="5"/>
  <c r="AL218" i="8" s="1"/>
  <c r="I283" i="5"/>
  <c r="AL285" i="8" s="1"/>
  <c r="I685" i="5"/>
  <c r="AL687" i="8" s="1"/>
  <c r="I763" i="5"/>
  <c r="AL765" i="8" s="1"/>
  <c r="I139" i="5"/>
  <c r="AL141" i="8" s="1"/>
  <c r="I833" i="5"/>
  <c r="AL835" i="8" s="1"/>
  <c r="I719" i="5"/>
  <c r="AL721" i="8" s="1"/>
  <c r="I860" i="5"/>
  <c r="AL862" i="8" s="1"/>
  <c r="I284" i="5"/>
  <c r="AL286" i="8" s="1"/>
  <c r="I63" i="5"/>
  <c r="AL65" i="8" s="1"/>
  <c r="I556" i="5"/>
  <c r="AL558" i="8" s="1"/>
  <c r="I245" i="5"/>
  <c r="AL247" i="8" s="1"/>
  <c r="I705" i="5"/>
  <c r="AL707" i="8" s="1"/>
  <c r="I200" i="5"/>
  <c r="AL202" i="8" s="1"/>
  <c r="I716" i="5"/>
  <c r="AL718" i="8" s="1"/>
  <c r="I775" i="5"/>
  <c r="AL777" i="8" s="1"/>
  <c r="I197" i="5"/>
  <c r="AL199" i="8" s="1"/>
  <c r="I768" i="5"/>
  <c r="AL770" i="8" s="1"/>
  <c r="I210" i="5"/>
  <c r="AL212" i="8" s="1"/>
  <c r="I984" i="5"/>
  <c r="AL986" i="8" s="1"/>
  <c r="I185" i="5"/>
  <c r="AL187" i="8" s="1"/>
  <c r="I324" i="5"/>
  <c r="AL326" i="8" s="1"/>
  <c r="I530" i="5"/>
  <c r="AL532" i="8" s="1"/>
  <c r="I358" i="5"/>
  <c r="AL360" i="8" s="1"/>
  <c r="I533" i="5"/>
  <c r="AL535" i="8" s="1"/>
  <c r="I641" i="5"/>
  <c r="AL643" i="8" s="1"/>
  <c r="I147" i="5"/>
  <c r="AL149" i="8" s="1"/>
  <c r="I35" i="5"/>
  <c r="AL37" i="8" s="1"/>
  <c r="I499" i="5"/>
  <c r="AL501" i="8" s="1"/>
  <c r="I124" i="5"/>
  <c r="AL126" i="8" s="1"/>
  <c r="I581" i="5"/>
  <c r="AL583" i="8" s="1"/>
  <c r="I143" i="5"/>
  <c r="AL145" i="8" s="1"/>
  <c r="I16" i="5"/>
  <c r="AL18" i="8" s="1"/>
  <c r="I108" i="5"/>
  <c r="AL110" i="8" s="1"/>
  <c r="I987" i="5"/>
  <c r="AL989" i="8" s="1"/>
  <c r="I212" i="5"/>
  <c r="AL214" i="8" s="1"/>
  <c r="I136" i="5"/>
  <c r="AL138" i="8" s="1"/>
  <c r="I374" i="5"/>
  <c r="AL376" i="8" s="1"/>
  <c r="I837" i="5"/>
  <c r="AL839" i="8" s="1"/>
  <c r="I331" i="5"/>
  <c r="AL333" i="8" s="1"/>
  <c r="I280" i="5"/>
  <c r="AL282" i="8" s="1"/>
  <c r="I704" i="5"/>
  <c r="AL706" i="8" s="1"/>
  <c r="I109" i="5"/>
  <c r="AL111" i="8" s="1"/>
  <c r="I891" i="5"/>
  <c r="AL893" i="8" s="1"/>
  <c r="I484" i="5"/>
  <c r="AL486" i="8" s="1"/>
  <c r="I698" i="5"/>
  <c r="AL700" i="8" s="1"/>
  <c r="I886" i="5"/>
  <c r="AL888" i="8" s="1"/>
  <c r="I717" i="5"/>
  <c r="AL719" i="8" s="1"/>
  <c r="I881" i="5"/>
  <c r="AL883" i="8" s="1"/>
  <c r="I24" i="5"/>
  <c r="AL26" i="8" s="1"/>
  <c r="I401" i="5"/>
  <c r="AL403" i="8" s="1"/>
  <c r="I566" i="5"/>
  <c r="AL568" i="8" s="1"/>
  <c r="I620" i="5"/>
  <c r="AL622" i="8" s="1"/>
  <c r="I1001" i="5"/>
  <c r="AL1003" i="8" s="1"/>
  <c r="I691" i="5"/>
  <c r="AL693" i="8" s="1"/>
  <c r="I476" i="5"/>
  <c r="AL478" i="8" s="1"/>
  <c r="I220" i="5"/>
  <c r="AL222" i="8" s="1"/>
  <c r="I503" i="5"/>
  <c r="AL505" i="8" s="1"/>
  <c r="I606" i="5"/>
  <c r="AL608" i="8" s="1"/>
  <c r="I319" i="5"/>
  <c r="AL321" i="8" s="1"/>
  <c r="I110" i="5"/>
  <c r="AL112" i="8" s="1"/>
  <c r="I626" i="5"/>
  <c r="AL628" i="8" s="1"/>
  <c r="I400" i="5"/>
  <c r="AL402" i="8" s="1"/>
  <c r="I657" i="5"/>
  <c r="AL659" i="8" s="1"/>
  <c r="I13" i="5"/>
  <c r="AL15" i="8" s="1"/>
  <c r="I811" i="5"/>
  <c r="AL813" i="8" s="1"/>
  <c r="I884" i="5"/>
  <c r="AL886" i="8" s="1"/>
  <c r="I263" i="5"/>
  <c r="AL265" i="8" s="1"/>
  <c r="I880" i="5"/>
  <c r="AL882" i="8" s="1"/>
  <c r="I913" i="5"/>
  <c r="AL915" i="8" s="1"/>
  <c r="I517" i="5"/>
  <c r="AL519" i="8" s="1"/>
  <c r="I735" i="5"/>
  <c r="AL737" i="8" s="1"/>
  <c r="I828" i="5"/>
  <c r="AL830" i="8" s="1"/>
  <c r="I414" i="5"/>
  <c r="AL416" i="8" s="1"/>
  <c r="I583" i="5"/>
  <c r="AL585" i="8" s="1"/>
  <c r="I689" i="5"/>
  <c r="AL691" i="8" s="1"/>
  <c r="I67" i="5"/>
  <c r="AL69" i="8" s="1"/>
  <c r="I724" i="5"/>
  <c r="AL726" i="8" s="1"/>
  <c r="I223" i="5"/>
  <c r="AL225" i="8" s="1"/>
  <c r="I79" i="5"/>
  <c r="AL81" i="8" s="1"/>
  <c r="I712" i="5"/>
  <c r="AL714" i="8" s="1"/>
  <c r="I275" i="5"/>
  <c r="AL277" i="8" s="1"/>
  <c r="I587" i="5"/>
  <c r="AL589" i="8" s="1"/>
  <c r="I455" i="5"/>
  <c r="AL457" i="8" s="1"/>
  <c r="I96" i="5"/>
  <c r="AL98" i="8" s="1"/>
  <c r="I262" i="5"/>
  <c r="AL264" i="8" s="1"/>
  <c r="I249" i="5"/>
  <c r="AL251" i="8" s="1"/>
  <c r="I415" i="5"/>
  <c r="AL417" i="8" s="1"/>
  <c r="I561" i="5"/>
  <c r="AL563" i="8" s="1"/>
  <c r="I947" i="5"/>
  <c r="AL949" i="8" s="1"/>
  <c r="I624" i="5"/>
  <c r="AL626" i="8" s="1"/>
  <c r="I646" i="5"/>
  <c r="AL648" i="8" s="1"/>
  <c r="I702" i="5"/>
  <c r="AL704" i="8" s="1"/>
  <c r="I453" i="5"/>
  <c r="AL455" i="8" s="1"/>
  <c r="I1000" i="5"/>
  <c r="AL1002" i="8" s="1"/>
  <c r="I293" i="5"/>
  <c r="AL295" i="8" s="1"/>
  <c r="I338" i="5"/>
  <c r="AL340" i="8" s="1"/>
  <c r="I567" i="5"/>
  <c r="AL569" i="8" s="1"/>
  <c r="I964" i="5"/>
  <c r="AL966" i="8" s="1"/>
  <c r="I842" i="5"/>
  <c r="AL844" i="8" s="1"/>
  <c r="I669" i="5"/>
  <c r="AL671" i="8" s="1"/>
  <c r="I902" i="5"/>
  <c r="AL904" i="8" s="1"/>
  <c r="I513" i="5"/>
  <c r="AL515" i="8" s="1"/>
  <c r="I121" i="5"/>
  <c r="AL123" i="8" s="1"/>
  <c r="I62" i="5"/>
  <c r="AL64" i="8" s="1"/>
  <c r="I491" i="5"/>
  <c r="AL493" i="8" s="1"/>
  <c r="I665" i="5"/>
  <c r="AL667" i="8" s="1"/>
  <c r="I446" i="5"/>
  <c r="AL448" i="8" s="1"/>
  <c r="I99" i="5"/>
  <c r="AL101" i="8" s="1"/>
  <c r="I437" i="5"/>
  <c r="AL439" i="8" s="1"/>
  <c r="I472" i="5"/>
  <c r="AL474" i="8" s="1"/>
  <c r="I84" i="5"/>
  <c r="AL86" i="8" s="1"/>
  <c r="I496" i="5"/>
  <c r="AL498" i="8" s="1"/>
  <c r="I282" i="5"/>
  <c r="AL284" i="8" s="1"/>
  <c r="I436" i="5"/>
  <c r="AL438" i="8" s="1"/>
  <c r="I28" i="5"/>
  <c r="AL30" i="8" s="1"/>
  <c r="I277" i="5"/>
  <c r="AL279" i="8" s="1"/>
  <c r="I926" i="5"/>
  <c r="AL928" i="8" s="1"/>
  <c r="I917" i="5"/>
  <c r="AL919" i="8" s="1"/>
  <c r="I639" i="5"/>
  <c r="AL641" i="8" s="1"/>
  <c r="I134" i="5"/>
  <c r="AL136" i="8" s="1"/>
  <c r="I895" i="5"/>
  <c r="AL897" i="8" s="1"/>
  <c r="I714" i="5"/>
  <c r="AL716" i="8" s="1"/>
  <c r="I58" i="5"/>
  <c r="AL60" i="8" s="1"/>
  <c r="I175" i="5"/>
  <c r="AL177" i="8" s="1"/>
  <c r="I104" i="5"/>
  <c r="AL106" i="8" s="1"/>
  <c r="I297" i="5"/>
  <c r="AL299" i="8" s="1"/>
  <c r="I432" i="5"/>
  <c r="AL434" i="8" s="1"/>
  <c r="I125" i="5"/>
  <c r="AL127" i="8" s="1"/>
  <c r="I637" i="5"/>
  <c r="AL639" i="8" s="1"/>
  <c r="I766" i="5"/>
  <c r="AL768" i="8" s="1"/>
  <c r="I137" i="5"/>
  <c r="AL139" i="8" s="1"/>
  <c r="I588" i="5"/>
  <c r="AL590" i="8" s="1"/>
  <c r="I804" i="5"/>
  <c r="AL806" i="8" s="1"/>
  <c r="I906" i="5"/>
  <c r="AL908" i="8" s="1"/>
  <c r="I86" i="5"/>
  <c r="AL88" i="8" s="1"/>
  <c r="I551" i="5"/>
  <c r="AL553" i="8" s="1"/>
  <c r="I181" i="5"/>
  <c r="AL183" i="8" s="1"/>
  <c r="I344" i="5"/>
  <c r="AL346" i="8" s="1"/>
  <c r="I182" i="5"/>
  <c r="AL184" i="8" s="1"/>
  <c r="I303" i="5"/>
  <c r="AL305" i="8" s="1"/>
  <c r="I946" i="5"/>
  <c r="AL948" i="8" s="1"/>
  <c r="I600" i="5"/>
  <c r="AL602" i="8" s="1"/>
  <c r="I498" i="5"/>
  <c r="AL500" i="8" s="1"/>
  <c r="I893" i="5"/>
  <c r="AL895" i="8" s="1"/>
  <c r="I632" i="5"/>
  <c r="AL634" i="8" s="1"/>
  <c r="I628" i="5"/>
  <c r="AL630" i="8" s="1"/>
  <c r="I614" i="5"/>
  <c r="AL616" i="8" s="1"/>
  <c r="I231" i="5"/>
  <c r="AL233" i="8" s="1"/>
  <c r="I128" i="5"/>
  <c r="AL130" i="8" s="1"/>
  <c r="I871" i="5"/>
  <c r="AL873" i="8" s="1"/>
  <c r="I353" i="5"/>
  <c r="AL355" i="8" s="1"/>
  <c r="I233" i="5"/>
  <c r="AL235" i="8" s="1"/>
  <c r="I963" i="5"/>
  <c r="AL965" i="8" s="1"/>
  <c r="I97" i="5"/>
  <c r="AL99" i="8" s="1"/>
  <c r="I404" i="5"/>
  <c r="AL406" i="8" s="1"/>
  <c r="I418" i="5"/>
  <c r="AL420" i="8" s="1"/>
  <c r="I384" i="5"/>
  <c r="AL386" i="8" s="1"/>
  <c r="I644" i="5"/>
  <c r="AL646" i="8" s="1"/>
  <c r="I992" i="5"/>
  <c r="AL994" i="8" s="1"/>
  <c r="I765" i="5"/>
  <c r="AL767" i="8" s="1"/>
  <c r="I92" i="5"/>
  <c r="AL94" i="8" s="1"/>
  <c r="I288" i="5"/>
  <c r="AL290" i="8" s="1"/>
  <c r="I74" i="5"/>
  <c r="AL76" i="8" s="1"/>
  <c r="I658" i="5"/>
  <c r="AL660" i="8" s="1"/>
  <c r="I883" i="5"/>
  <c r="AL885" i="8" s="1"/>
  <c r="I46" i="5"/>
  <c r="AL48" i="8" s="1"/>
  <c r="I760" i="5"/>
  <c r="AL762" i="8" s="1"/>
  <c r="I100" i="5"/>
  <c r="AL102" i="8" s="1"/>
  <c r="I526" i="5"/>
  <c r="AL528" i="8" s="1"/>
  <c r="I762" i="5"/>
  <c r="AL764" i="8" s="1"/>
  <c r="I830" i="5"/>
  <c r="AL832" i="8" s="1"/>
  <c r="I504" i="5"/>
  <c r="AL506" i="8" s="1"/>
  <c r="I772" i="5"/>
  <c r="AL774" i="8" s="1"/>
  <c r="I178" i="5"/>
  <c r="AL180" i="8" s="1"/>
  <c r="I549" i="5"/>
  <c r="AL551" i="8" s="1"/>
  <c r="I605" i="5"/>
  <c r="AL607" i="8" s="1"/>
  <c r="I831" i="5"/>
  <c r="AL833" i="8" s="1"/>
  <c r="I354" i="5"/>
  <c r="AL356" i="8" s="1"/>
  <c r="I119" i="5"/>
  <c r="AL121" i="8" s="1"/>
  <c r="I261" i="5"/>
  <c r="AL263" i="8" s="1"/>
  <c r="I95" i="5"/>
  <c r="AL97" i="8" s="1"/>
  <c r="I65" i="5"/>
  <c r="AL67" i="8" s="1"/>
  <c r="I852" i="5"/>
  <c r="AL854" i="8" s="1"/>
  <c r="I387" i="5"/>
  <c r="AL389" i="8" s="1"/>
  <c r="I905" i="5"/>
  <c r="AL907" i="8" s="1"/>
  <c r="I592" i="5"/>
  <c r="AL594" i="8" s="1"/>
  <c r="I142" i="5"/>
  <c r="AL144" i="8" s="1"/>
  <c r="I267" i="5"/>
  <c r="AL269" i="8" s="1"/>
  <c r="I741" i="5"/>
  <c r="AL743" i="8" s="1"/>
  <c r="I915" i="5"/>
  <c r="AL917" i="8" s="1"/>
  <c r="I920" i="5"/>
  <c r="AL922" i="8" s="1"/>
  <c r="I300" i="5"/>
  <c r="AL302" i="8" s="1"/>
  <c r="I608" i="5"/>
  <c r="AL610" i="8" s="1"/>
  <c r="I359" i="5"/>
  <c r="AL361" i="8" s="1"/>
  <c r="I289" i="5"/>
  <c r="AL291" i="8" s="1"/>
  <c r="I744" i="5"/>
  <c r="AL746" i="8" s="1"/>
  <c r="I770" i="5"/>
  <c r="AL772" i="8" s="1"/>
  <c r="I369" i="5"/>
  <c r="AL371" i="8" s="1"/>
  <c r="I132" i="5"/>
  <c r="AL134" i="8" s="1"/>
  <c r="I205" i="5"/>
  <c r="AL207" i="8" s="1"/>
  <c r="I829" i="5"/>
  <c r="AL831" i="8" s="1"/>
  <c r="I696" i="5"/>
  <c r="AL698" i="8" s="1"/>
  <c r="I655" i="5"/>
  <c r="AL657" i="8" s="1"/>
  <c r="I892" i="5"/>
  <c r="AL894" i="8" s="1"/>
  <c r="I538" i="5"/>
  <c r="AL540" i="8" s="1"/>
  <c r="I759" i="5"/>
  <c r="AL761" i="8" s="1"/>
  <c r="I340" i="5"/>
  <c r="AL342" i="8" s="1"/>
  <c r="I978" i="5"/>
  <c r="AL980" i="8" s="1"/>
  <c r="I864" i="5"/>
  <c r="AL866" i="8" s="1"/>
  <c r="I989" i="5"/>
  <c r="AL991" i="8" s="1"/>
  <c r="I995" i="5"/>
  <c r="AL997" i="8" s="1"/>
  <c r="I213" i="5"/>
  <c r="AL215" i="8" s="1"/>
  <c r="I983" i="5"/>
  <c r="AL985" i="8" s="1"/>
  <c r="I234" i="5"/>
  <c r="AL236" i="8" s="1"/>
  <c r="I162" i="5"/>
  <c r="AL164" i="8" s="1"/>
  <c r="I755" i="5"/>
  <c r="AL757" i="8" s="1"/>
  <c r="I214" i="5"/>
  <c r="AL216" i="8" s="1"/>
  <c r="I305" i="5"/>
  <c r="AL307" i="8" s="1"/>
  <c r="I721" i="5"/>
  <c r="AL723" i="8" s="1"/>
  <c r="I743" i="5"/>
  <c r="AL745" i="8" s="1"/>
  <c r="I37" i="5"/>
  <c r="AL39" i="8" s="1"/>
  <c r="I145" i="5"/>
  <c r="AL147" i="8" s="1"/>
  <c r="I385" i="5"/>
  <c r="AL387" i="8" s="1"/>
  <c r="I973" i="5"/>
  <c r="AL975" i="8" s="1"/>
  <c r="I440" i="5"/>
  <c r="AL442" i="8" s="1"/>
  <c r="I301" i="5"/>
  <c r="AL303" i="8" s="1"/>
  <c r="I253" i="5"/>
  <c r="AL255" i="8" s="1"/>
  <c r="I279" i="5"/>
  <c r="AL281" i="8" s="1"/>
  <c r="I662" i="5"/>
  <c r="AL664" i="8" s="1"/>
  <c r="I723" i="5"/>
  <c r="AL725" i="8" s="1"/>
  <c r="I329" i="5"/>
  <c r="AL331" i="8" s="1"/>
  <c r="I607" i="5"/>
  <c r="AL609" i="8" s="1"/>
  <c r="I388" i="5"/>
  <c r="AL390" i="8" s="1"/>
  <c r="I522" i="5"/>
  <c r="AL524" i="8" s="1"/>
  <c r="I967" i="5"/>
  <c r="AL969" i="8" s="1"/>
  <c r="I47" i="5"/>
  <c r="AL49" i="8" s="1"/>
  <c r="I942" i="5"/>
  <c r="AL944" i="8" s="1"/>
  <c r="I360" i="5"/>
  <c r="AL362" i="8" s="1"/>
  <c r="I141" i="5"/>
  <c r="AL143" i="8" s="1"/>
  <c r="I955" i="5"/>
  <c r="AL957" i="8" s="1"/>
  <c r="I20" i="5"/>
  <c r="AL22" i="8" s="1"/>
  <c r="I183" i="5"/>
  <c r="AL185" i="8" s="1"/>
  <c r="I960" i="5"/>
  <c r="AL962" i="8" s="1"/>
  <c r="I543" i="5"/>
  <c r="AL545" i="8" s="1"/>
  <c r="I342" i="5"/>
  <c r="AL344" i="8" s="1"/>
  <c r="I699" i="5"/>
  <c r="AL701" i="8" s="1"/>
  <c r="I560" i="5"/>
  <c r="AL562" i="8" s="1"/>
  <c r="I204" i="5"/>
  <c r="AL206" i="8" s="1"/>
  <c r="I326" i="5"/>
  <c r="AL328" i="8" s="1"/>
  <c r="I325" i="5"/>
  <c r="AL327" i="8" s="1"/>
  <c r="I361" i="5"/>
  <c r="AL363" i="8" s="1"/>
  <c r="I521" i="5"/>
  <c r="AL523" i="8" s="1"/>
  <c r="I954" i="5"/>
  <c r="AL956" i="8" s="1"/>
  <c r="I604" i="5"/>
  <c r="AL606" i="8" s="1"/>
  <c r="I355" i="5"/>
  <c r="AL357" i="8" s="1"/>
  <c r="I318" i="5"/>
  <c r="AL320" i="8" s="1"/>
  <c r="I866" i="5"/>
  <c r="AL868" i="8" s="1"/>
  <c r="I985" i="5"/>
  <c r="AL987" i="8" s="1"/>
  <c r="I406" i="5"/>
  <c r="AL408" i="8" s="1"/>
  <c r="I707" i="5"/>
  <c r="AL709" i="8" s="1"/>
  <c r="I789" i="5"/>
  <c r="AL791" i="8" s="1"/>
  <c r="I889" i="5"/>
  <c r="AL891" i="8" s="1"/>
  <c r="I69" i="5"/>
  <c r="AL71" i="8" s="1"/>
  <c r="I478" i="5"/>
  <c r="AL480" i="8" s="1"/>
  <c r="I105" i="5"/>
  <c r="AL107" i="8" s="1"/>
  <c r="I603" i="5"/>
  <c r="AL605" i="8" s="1"/>
  <c r="I720" i="5"/>
  <c r="AL722" i="8" s="1"/>
  <c r="I115" i="5"/>
  <c r="AL117" i="8" s="1"/>
  <c r="I725" i="5"/>
  <c r="AL727" i="8" s="1"/>
  <c r="I875" i="5"/>
  <c r="AL877" i="8" s="1"/>
  <c r="I742" i="5"/>
  <c r="AL744" i="8" s="1"/>
  <c r="I295" i="5"/>
  <c r="AL297" i="8" s="1"/>
  <c r="I386" i="5"/>
  <c r="AL388" i="8" s="1"/>
  <c r="I986" i="5"/>
  <c r="AL988" i="8" s="1"/>
  <c r="I981" i="5"/>
  <c r="AL983" i="8" s="1"/>
  <c r="I59" i="5"/>
  <c r="AL61" i="8" s="1"/>
  <c r="I544" i="5"/>
  <c r="AL546" i="8" s="1"/>
  <c r="I489" i="5"/>
  <c r="AL491" i="8" s="1"/>
  <c r="I814" i="5"/>
  <c r="AL816" i="8" s="1"/>
  <c r="I61" i="5"/>
  <c r="AL63" i="8" s="1"/>
  <c r="I36" i="5"/>
  <c r="AL38" i="8" s="1"/>
  <c r="I411" i="5"/>
  <c r="AL413" i="8" s="1"/>
  <c r="I553" i="5"/>
  <c r="AL555" i="8" s="1"/>
  <c r="I73" i="5"/>
  <c r="AL75" i="8" s="1"/>
  <c r="I238" i="5"/>
  <c r="AL240" i="8" s="1"/>
  <c r="I315" i="5"/>
  <c r="AL317" i="8" s="1"/>
  <c r="G35" i="3" a="1"/>
  <c r="G35" i="3" s="1"/>
  <c r="I35" i="3" s="1"/>
  <c r="I756" i="5" l="1"/>
  <c r="AL758" i="8" s="1"/>
  <c r="AK244" i="8"/>
  <c r="AC785" i="8"/>
  <c r="AK758" i="8"/>
  <c r="AC960" i="8"/>
  <c r="I463" i="5"/>
  <c r="AL465" i="8" s="1"/>
  <c r="AC734" i="8"/>
  <c r="AK785" i="8"/>
  <c r="AC902" i="8"/>
  <c r="AK960" i="8"/>
  <c r="I368" i="5"/>
  <c r="AL370" i="8" s="1"/>
  <c r="AK597" i="8"/>
  <c r="AC574" i="8"/>
  <c r="AK734" i="8"/>
  <c r="AC1005" i="8"/>
  <c r="AK902" i="8"/>
  <c r="I622" i="5"/>
  <c r="AL624" i="8" s="1"/>
  <c r="I493" i="5"/>
  <c r="AL495" i="8" s="1"/>
  <c r="I791" i="5"/>
  <c r="AL793" i="8" s="1"/>
  <c r="I481" i="5"/>
  <c r="AL483" i="8" s="1"/>
  <c r="I916" i="5"/>
  <c r="AL918" i="8" s="1"/>
  <c r="I278" i="5"/>
  <c r="AL280" i="8" s="1"/>
  <c r="AC178" i="8"/>
  <c r="AK150" i="8"/>
  <c r="AK574" i="8"/>
  <c r="I482" i="5"/>
  <c r="AL484" i="8" s="1"/>
  <c r="AC951" i="8"/>
  <c r="AC389" i="8"/>
  <c r="I328" i="5"/>
  <c r="AL330" i="8" s="1"/>
  <c r="I179" i="5"/>
  <c r="AL181" i="8" s="1"/>
  <c r="AC483" i="8"/>
  <c r="AC657" i="8"/>
  <c r="AK399" i="8"/>
  <c r="AC793" i="8"/>
  <c r="I274" i="5"/>
  <c r="AL276" i="8" s="1"/>
  <c r="I232" i="5"/>
  <c r="AL234" i="8" s="1"/>
  <c r="AK845" i="8"/>
  <c r="AK281" i="8"/>
  <c r="AC826" i="8"/>
  <c r="AK186" i="8"/>
  <c r="AC824" i="8"/>
  <c r="I242" i="5"/>
  <c r="AL244" i="8" s="1"/>
  <c r="I645" i="5"/>
  <c r="AL647" i="8" s="1"/>
  <c r="I42" i="5"/>
  <c r="AL44" i="8" s="1"/>
  <c r="I480" i="5"/>
  <c r="AL482" i="8" s="1"/>
  <c r="I690" i="5"/>
  <c r="AL692" i="8" s="1"/>
  <c r="AC399" i="8"/>
  <c r="AC495" i="8"/>
  <c r="I454" i="5"/>
  <c r="AL456" i="8" s="1"/>
  <c r="I239" i="5"/>
  <c r="AL241" i="8" s="1"/>
  <c r="I375" i="5"/>
  <c r="AL377" i="8" s="1"/>
  <c r="AC441" i="8"/>
  <c r="AC394" i="8"/>
  <c r="AK190" i="8"/>
  <c r="AC642" i="8"/>
  <c r="AK678" i="8"/>
  <c r="AK103" i="8"/>
  <c r="I840" i="5"/>
  <c r="AL842" i="8" s="1"/>
  <c r="I668" i="5"/>
  <c r="AL670" i="8" s="1"/>
  <c r="I798" i="5"/>
  <c r="AL800" i="8" s="1"/>
  <c r="I93" i="5"/>
  <c r="AL95" i="8" s="1"/>
  <c r="I861" i="5"/>
  <c r="AL863" i="8" s="1"/>
  <c r="AC663" i="8"/>
  <c r="AK441" i="8"/>
  <c r="AC27" i="8"/>
  <c r="AC700" i="8"/>
  <c r="AC330" i="8"/>
  <c r="AK394" i="8"/>
  <c r="AC152" i="8"/>
  <c r="AC784" i="8"/>
  <c r="AK576" i="8"/>
  <c r="AC634" i="8"/>
  <c r="AC647" i="8"/>
  <c r="AK273" i="8"/>
  <c r="AC378" i="8"/>
  <c r="I651" i="5"/>
  <c r="AL653" i="8" s="1"/>
  <c r="I349" i="5"/>
  <c r="AL351" i="8" s="1"/>
  <c r="AC351" i="8"/>
  <c r="AK637" i="8"/>
  <c r="AC783" i="8"/>
  <c r="AK826" i="8"/>
  <c r="AC892" i="8"/>
  <c r="I335" i="5"/>
  <c r="AL337" i="8" s="1"/>
  <c r="AK337" i="8"/>
  <c r="AC393" i="8"/>
  <c r="AK278" i="8"/>
  <c r="I276" i="5"/>
  <c r="AL278" i="8" s="1"/>
  <c r="AK941" i="8"/>
  <c r="I939" i="5"/>
  <c r="AL941" i="8" s="1"/>
  <c r="AK115" i="8"/>
  <c r="AC115" i="8"/>
  <c r="AC349" i="8"/>
  <c r="I417" i="5"/>
  <c r="AL419" i="8" s="1"/>
  <c r="AC419" i="8"/>
  <c r="AC431" i="8"/>
  <c r="AK431" i="8"/>
  <c r="I571" i="5"/>
  <c r="AL573" i="8" s="1"/>
  <c r="AK573" i="8"/>
  <c r="AC573" i="8"/>
  <c r="I877" i="5"/>
  <c r="AL879" i="8" s="1"/>
  <c r="AK879" i="8"/>
  <c r="AC879" i="8"/>
  <c r="AK435" i="8"/>
  <c r="AC435" i="8"/>
  <c r="AK318" i="8"/>
  <c r="AC318" i="8"/>
  <c r="I316" i="5"/>
  <c r="AL318" i="8" s="1"/>
  <c r="I934" i="5"/>
  <c r="AL936" i="8" s="1"/>
  <c r="AC936" i="8"/>
  <c r="AK936" i="8"/>
  <c r="AK366" i="8"/>
  <c r="AC366" i="8"/>
  <c r="I364" i="5"/>
  <c r="AL366" i="8" s="1"/>
  <c r="I281" i="5"/>
  <c r="AL283" i="8" s="1"/>
  <c r="AC283" i="8"/>
  <c r="AK677" i="8"/>
  <c r="I675" i="5"/>
  <c r="AL677" i="8" s="1"/>
  <c r="AK812" i="8"/>
  <c r="I810" i="5"/>
  <c r="AL812" i="8" s="1"/>
  <c r="I433" i="5"/>
  <c r="AL435" i="8" s="1"/>
  <c r="I666" i="5"/>
  <c r="AL668" i="8" s="1"/>
  <c r="I113" i="5"/>
  <c r="AL115" i="8" s="1"/>
  <c r="AC297" i="8"/>
  <c r="I33" i="5"/>
  <c r="AL35" i="8" s="1"/>
  <c r="I334" i="5"/>
  <c r="AL336" i="8" s="1"/>
  <c r="AK860" i="8"/>
  <c r="AC900" i="8"/>
  <c r="AK840" i="8"/>
  <c r="I510" i="5"/>
  <c r="AL512" i="8" s="1"/>
  <c r="AK512" i="8"/>
  <c r="AC557" i="8"/>
  <c r="I555" i="5"/>
  <c r="AL557" i="8" s="1"/>
  <c r="AK557" i="8"/>
  <c r="I248" i="5"/>
  <c r="AL250" i="8" s="1"/>
  <c r="AK250" i="8"/>
  <c r="AC250" i="8"/>
  <c r="AC751" i="8"/>
  <c r="AK751" i="8"/>
  <c r="AC580" i="8"/>
  <c r="I487" i="5"/>
  <c r="AL489" i="8" s="1"/>
  <c r="AC489" i="8"/>
  <c r="I953" i="5"/>
  <c r="AL955" i="8" s="1"/>
  <c r="AC955" i="8"/>
  <c r="I536" i="5"/>
  <c r="AL538" i="8" s="1"/>
  <c r="AC538" i="8"/>
  <c r="AK538" i="8"/>
  <c r="I684" i="5"/>
  <c r="AL686" i="8" s="1"/>
  <c r="AK686" i="8"/>
  <c r="AC686" i="8"/>
  <c r="I972" i="5"/>
  <c r="AL974" i="8" s="1"/>
  <c r="AK974" i="8"/>
  <c r="AC974" i="8"/>
  <c r="I597" i="5"/>
  <c r="AL599" i="8" s="1"/>
  <c r="AC599" i="8"/>
  <c r="AC13" i="8"/>
  <c r="AK13" i="8"/>
  <c r="I11" i="5"/>
  <c r="AL13" i="8" s="1"/>
  <c r="AK422" i="8"/>
  <c r="AC422" i="8"/>
  <c r="I420" i="5"/>
  <c r="AL422" i="8" s="1"/>
  <c r="AK580" i="8"/>
  <c r="AK349" i="8"/>
  <c r="AC468" i="8"/>
  <c r="AK468" i="8"/>
  <c r="I466" i="5"/>
  <c r="AL468" i="8" s="1"/>
  <c r="AK953" i="8"/>
  <c r="I951" i="5"/>
  <c r="AL953" i="8" s="1"/>
  <c r="AC953" i="8"/>
  <c r="AC517" i="8"/>
  <c r="AK517" i="8"/>
  <c r="AK195" i="8"/>
  <c r="I193" i="5"/>
  <c r="AL195" i="8" s="1"/>
  <c r="I540" i="5"/>
  <c r="AL542" i="8" s="1"/>
  <c r="AC542" i="8"/>
  <c r="AK542" i="8"/>
  <c r="AC856" i="8"/>
  <c r="AC708" i="8"/>
  <c r="AK926" i="8"/>
  <c r="AK856" i="8"/>
  <c r="AC860" i="8"/>
  <c r="AC840" i="8"/>
  <c r="AK900" i="8"/>
  <c r="AC620" i="8"/>
  <c r="I157" i="5"/>
  <c r="AL159" i="8" s="1"/>
  <c r="I51" i="5"/>
  <c r="AL53" i="8" s="1"/>
  <c r="I681" i="5"/>
  <c r="AL683" i="8" s="1"/>
  <c r="I317" i="5"/>
  <c r="AL319" i="8" s="1"/>
  <c r="I537" i="5"/>
  <c r="AL539" i="8" s="1"/>
  <c r="AC683" i="8"/>
  <c r="AC275" i="8"/>
  <c r="AK984" i="8"/>
  <c r="AC90" i="8"/>
  <c r="AC267" i="8"/>
  <c r="AC253" i="8"/>
  <c r="AK539" i="8"/>
  <c r="AC581" i="8"/>
  <c r="AC222" i="8"/>
  <c r="AC924" i="8"/>
  <c r="AK436" i="8"/>
  <c r="AK329" i="8"/>
  <c r="AC103" i="8"/>
  <c r="I413" i="5"/>
  <c r="AL415" i="8" s="1"/>
  <c r="AC165" i="8"/>
  <c r="AK759" i="8"/>
  <c r="I227" i="5"/>
  <c r="AL229" i="8" s="1"/>
  <c r="AC367" i="8"/>
  <c r="AK165" i="8"/>
  <c r="AC95" i="8"/>
  <c r="I579" i="5"/>
  <c r="AL581" i="8" s="1"/>
  <c r="AK620" i="8"/>
  <c r="AC131" i="8"/>
  <c r="AK1005" i="8"/>
  <c r="I133" i="5"/>
  <c r="AL135" i="8" s="1"/>
  <c r="I265" i="5"/>
  <c r="AL267" i="8" s="1"/>
  <c r="AC193" i="8"/>
  <c r="AK384" i="8"/>
  <c r="AC370" i="8"/>
  <c r="AC418" i="8"/>
  <c r="AC166" i="8"/>
  <c r="AK924" i="8"/>
  <c r="AC740" i="8"/>
  <c r="I123" i="5"/>
  <c r="AL125" i="8" s="1"/>
  <c r="AC624" i="8"/>
  <c r="AC440" i="8"/>
  <c r="AC464" i="8"/>
  <c r="AC117" i="8"/>
  <c r="AC836" i="8"/>
  <c r="AK113" i="8"/>
  <c r="AC896" i="8"/>
  <c r="AK740" i="8"/>
  <c r="I314" i="5"/>
  <c r="AL316" i="8" s="1"/>
  <c r="I327" i="5"/>
  <c r="AL329" i="8" s="1"/>
  <c r="I337" i="5"/>
  <c r="AL339" i="8" s="1"/>
  <c r="I87" i="5"/>
  <c r="AL89" i="8" s="1"/>
  <c r="I801" i="5"/>
  <c r="AL803" i="8" s="1"/>
  <c r="AC53" i="8"/>
  <c r="AC775" i="8"/>
  <c r="AC77" i="8"/>
  <c r="AK464" i="8"/>
  <c r="AC130" i="8"/>
  <c r="AK89" i="8"/>
  <c r="AC319" i="8"/>
  <c r="AK361" i="8"/>
  <c r="AC38" i="8"/>
  <c r="AC229" i="8"/>
  <c r="AC408" i="8"/>
  <c r="AC842" i="8"/>
  <c r="AC379" i="8"/>
  <c r="AC156" i="8"/>
  <c r="AK105" i="8"/>
  <c r="AC504" i="8"/>
  <c r="AC911" i="8"/>
  <c r="AK504" i="8"/>
  <c r="I38" i="5"/>
  <c r="AL40" i="8" s="1"/>
  <c r="I201" i="5"/>
  <c r="AL203" i="8" s="1"/>
  <c r="AK911" i="8"/>
  <c r="AC703" i="8"/>
  <c r="AC803" i="8"/>
  <c r="AC436" i="8"/>
  <c r="I271" i="5"/>
  <c r="AL273" i="8" s="1"/>
  <c r="I990" i="5"/>
  <c r="AL992" i="8" s="1"/>
  <c r="I635" i="5"/>
  <c r="AL637" i="8" s="1"/>
  <c r="AC159" i="8"/>
  <c r="AC456" i="8"/>
  <c r="AK253" i="8"/>
  <c r="AC135" i="8"/>
  <c r="I661" i="5"/>
  <c r="AL663" i="8" s="1"/>
  <c r="AC132" i="8"/>
  <c r="AK418" i="8"/>
  <c r="AK786" i="8"/>
  <c r="I558" i="5"/>
  <c r="AL560" i="8" s="1"/>
  <c r="I894" i="5"/>
  <c r="AL896" i="8" s="1"/>
  <c r="I34" i="5"/>
  <c r="AL36" i="8" s="1"/>
  <c r="I130" i="5"/>
  <c r="AL132" i="8" s="1"/>
  <c r="AK74" i="8"/>
  <c r="AK156" i="8"/>
  <c r="AC200" i="8"/>
  <c r="AK588" i="8"/>
  <c r="AC490" i="8"/>
  <c r="I286" i="5"/>
  <c r="AL288" i="8" s="1"/>
  <c r="I616" i="5"/>
  <c r="AL618" i="8" s="1"/>
  <c r="I722" i="5"/>
  <c r="AL724" i="8" s="1"/>
  <c r="AK108" i="8"/>
  <c r="I730" i="5"/>
  <c r="AL732" i="8" s="1"/>
  <c r="AC702" i="8"/>
  <c r="AC494" i="8"/>
  <c r="AK599" i="8"/>
  <c r="AC278" i="8"/>
  <c r="AC653" i="8"/>
  <c r="AK664" i="8"/>
  <c r="AC559" i="8"/>
  <c r="AK943" i="8"/>
  <c r="AK114" i="8"/>
  <c r="AK419" i="8"/>
  <c r="AK627" i="8"/>
  <c r="AC777" i="8"/>
  <c r="AC941" i="8"/>
  <c r="I820" i="5"/>
  <c r="AL822" i="8" s="1"/>
  <c r="I627" i="5"/>
  <c r="AL629" i="8" s="1"/>
  <c r="I173" i="5"/>
  <c r="AL175" i="8" s="1"/>
  <c r="I155" i="5"/>
  <c r="AL157" i="8" s="1"/>
  <c r="AK702" i="8"/>
  <c r="AK494" i="8"/>
  <c r="AC525" i="8"/>
  <c r="AC764" i="8"/>
  <c r="AK193" i="8"/>
  <c r="AK559" i="8"/>
  <c r="I112" i="5"/>
  <c r="AL114" i="8" s="1"/>
  <c r="I307" i="5"/>
  <c r="AL309" i="8" s="1"/>
  <c r="I718" i="5"/>
  <c r="AL720" i="8" s="1"/>
  <c r="I706" i="5"/>
  <c r="AL708" i="8" s="1"/>
  <c r="AC846" i="8"/>
  <c r="AC458" i="8"/>
  <c r="AC857" i="8"/>
  <c r="AC650" i="8"/>
  <c r="AC621" i="8"/>
  <c r="AC230" i="8"/>
  <c r="AC482" i="8"/>
  <c r="I812" i="5"/>
  <c r="AL814" i="8" s="1"/>
  <c r="I813" i="5"/>
  <c r="AL815" i="8" s="1"/>
  <c r="I975" i="5"/>
  <c r="AL977" i="8" s="1"/>
  <c r="I745" i="5"/>
  <c r="AL747" i="8" s="1"/>
  <c r="I631" i="5"/>
  <c r="AL633" i="8" s="1"/>
  <c r="I936" i="5"/>
  <c r="AL938" i="8" s="1"/>
  <c r="I633" i="5"/>
  <c r="AL635" i="8" s="1"/>
  <c r="AK280" i="8"/>
  <c r="AK458" i="8"/>
  <c r="AC747" i="8"/>
  <c r="AK972" i="8"/>
  <c r="AK857" i="8"/>
  <c r="AC301" i="8"/>
  <c r="AC427" i="8"/>
  <c r="AC999" i="8"/>
  <c r="AK12" i="8"/>
  <c r="AK230" i="8"/>
  <c r="AC108" i="8"/>
  <c r="I54" i="5"/>
  <c r="AL56" i="8" s="1"/>
  <c r="I458" i="5"/>
  <c r="AL460" i="8" s="1"/>
  <c r="I350" i="5"/>
  <c r="AL352" i="8" s="1"/>
  <c r="I625" i="5"/>
  <c r="AL627" i="8" s="1"/>
  <c r="I726" i="5"/>
  <c r="AL728" i="8" s="1"/>
  <c r="AC565" i="8"/>
  <c r="AC720" i="8"/>
  <c r="AC412" i="8"/>
  <c r="AC728" i="8"/>
  <c r="AC460" i="8"/>
  <c r="AC352" i="8"/>
  <c r="AK301" i="8"/>
  <c r="AK427" i="8"/>
  <c r="AC35" i="8"/>
  <c r="AC309" i="8"/>
  <c r="I9" i="5"/>
  <c r="AL11" i="8" s="1"/>
  <c r="I739" i="5"/>
  <c r="AL741" i="8" s="1"/>
  <c r="I470" i="5"/>
  <c r="AL472" i="8" s="1"/>
  <c r="AK565" i="8"/>
  <c r="AK412" i="8"/>
  <c r="AC741" i="8"/>
  <c r="AC697" i="8"/>
  <c r="AC527" i="8"/>
  <c r="AC668" i="8"/>
  <c r="AC324" i="8"/>
  <c r="AC11" i="8"/>
  <c r="AC825" i="8"/>
  <c r="AC633" i="8"/>
  <c r="AC815" i="8"/>
  <c r="I796" i="5"/>
  <c r="AL798" i="8" s="1"/>
  <c r="I515" i="5"/>
  <c r="AL517" i="8" s="1"/>
  <c r="I429" i="5"/>
  <c r="AL431" i="8" s="1"/>
  <c r="I552" i="5"/>
  <c r="AL554" i="8" s="1"/>
  <c r="I57" i="5"/>
  <c r="AL59" i="8" s="1"/>
  <c r="I695" i="5"/>
  <c r="AL697" i="8" s="1"/>
  <c r="I408" i="5"/>
  <c r="AL410" i="8" s="1"/>
  <c r="AC554" i="8"/>
  <c r="AC934" i="8"/>
  <c r="AC59" i="8"/>
  <c r="AC992" i="8"/>
  <c r="AK836" i="8"/>
  <c r="AC635" i="8"/>
  <c r="AK527" i="8"/>
  <c r="AC195" i="8"/>
  <c r="AK591" i="8"/>
  <c r="AK825" i="8"/>
  <c r="AC24" i="8"/>
  <c r="I129" i="5"/>
  <c r="AL131" i="8" s="1"/>
  <c r="I116" i="5"/>
  <c r="AL118" i="8" s="1"/>
  <c r="I102" i="5"/>
  <c r="AL104" i="8" s="1"/>
  <c r="I589" i="5"/>
  <c r="AL591" i="8" s="1"/>
  <c r="I441" i="5"/>
  <c r="AL443" i="8" s="1"/>
  <c r="I382" i="5"/>
  <c r="AL384" i="8" s="1"/>
  <c r="I341" i="5"/>
  <c r="AL343" i="8" s="1"/>
  <c r="I22" i="5"/>
  <c r="AL24" i="8" s="1"/>
  <c r="AK934" i="8"/>
  <c r="AC221" i="8"/>
  <c r="AC786" i="8"/>
  <c r="AC678" i="8"/>
  <c r="I494" i="5"/>
  <c r="AL496" i="8" s="1"/>
  <c r="I460" i="5"/>
  <c r="AL462" i="8" s="1"/>
  <c r="I332" i="5"/>
  <c r="AL334" i="8" s="1"/>
  <c r="AC66" i="8"/>
  <c r="AC443" i="8"/>
  <c r="AK424" i="8"/>
  <c r="AK773" i="8"/>
  <c r="AC354" i="8"/>
  <c r="I180" i="5"/>
  <c r="AL182" i="8" s="1"/>
  <c r="AK308" i="8"/>
  <c r="AK703" i="8"/>
  <c r="AC976" i="8"/>
  <c r="AC424" i="8"/>
  <c r="AC920" i="8"/>
  <c r="I272" i="5"/>
  <c r="AL274" i="8" s="1"/>
  <c r="I609" i="5"/>
  <c r="AL611" i="8" s="1"/>
  <c r="AK66" i="8"/>
  <c r="AC189" i="8"/>
  <c r="AC274" i="8"/>
  <c r="AK354" i="8"/>
  <c r="I846" i="5"/>
  <c r="AL848" i="8" s="1"/>
  <c r="I968" i="5"/>
  <c r="AL970" i="8" s="1"/>
  <c r="I761" i="5"/>
  <c r="AL763" i="8" s="1"/>
  <c r="AK518" i="8"/>
  <c r="AK600" i="8"/>
  <c r="I427" i="5"/>
  <c r="AL429" i="8" s="1"/>
  <c r="I747" i="5"/>
  <c r="AL749" i="8" s="1"/>
  <c r="AC611" i="8"/>
  <c r="AC749" i="8"/>
  <c r="AC82" i="8"/>
  <c r="AC462" i="8"/>
  <c r="AK850" i="8"/>
  <c r="AK313" i="8"/>
  <c r="I473" i="5"/>
  <c r="AL475" i="8" s="1"/>
  <c r="I848" i="5"/>
  <c r="AL850" i="8" s="1"/>
  <c r="I381" i="5"/>
  <c r="AL383" i="8" s="1"/>
  <c r="AK181" i="8"/>
  <c r="AC383" i="8"/>
  <c r="AC814" i="8"/>
  <c r="AC798" i="8"/>
  <c r="AK636" i="8"/>
  <c r="AK125" i="8"/>
  <c r="AC74" i="8"/>
  <c r="AC262" i="8"/>
  <c r="AC889" i="8"/>
  <c r="AK324" i="8"/>
  <c r="AK414" i="8"/>
  <c r="AK488" i="8"/>
  <c r="AK875" i="8"/>
  <c r="I516" i="5"/>
  <c r="AL518" i="8" s="1"/>
  <c r="I1002" i="5"/>
  <c r="AL1004" i="8" s="1"/>
  <c r="I870" i="5"/>
  <c r="AL872" i="8" s="1"/>
  <c r="I918" i="5"/>
  <c r="AL920" i="8" s="1"/>
  <c r="AC313" i="8"/>
  <c r="I10" i="5"/>
  <c r="AL12" i="8" s="1"/>
  <c r="I862" i="5"/>
  <c r="AL864" i="8" s="1"/>
  <c r="AC1004" i="8"/>
  <c r="AK776" i="8"/>
  <c r="AK262" i="8"/>
  <c r="AC175" i="8"/>
  <c r="I634" i="5"/>
  <c r="AL636" i="8" s="1"/>
  <c r="AC600" i="8"/>
  <c r="I412" i="5"/>
  <c r="AL414" i="8" s="1"/>
  <c r="AC799" i="8"/>
  <c r="I903" i="5"/>
  <c r="AL905" i="8" s="1"/>
  <c r="AC679" i="8"/>
  <c r="AC864" i="8"/>
  <c r="AC763" i="8"/>
  <c r="I243" i="5"/>
  <c r="AL245" i="8" s="1"/>
  <c r="I486" i="5"/>
  <c r="AL488" i="8" s="1"/>
  <c r="AK679" i="8"/>
  <c r="AK82" i="8"/>
  <c r="I569" i="5"/>
  <c r="AL571" i="8" s="1"/>
  <c r="I799" i="5"/>
  <c r="AL801" i="8" s="1"/>
  <c r="I887" i="5"/>
  <c r="AL889" i="8" s="1"/>
  <c r="AC977" i="8"/>
  <c r="AC75" i="8"/>
  <c r="AC417" i="8"/>
  <c r="AC872" i="8"/>
  <c r="AK374" i="8"/>
  <c r="I485" i="5"/>
  <c r="AL487" i="8" s="1"/>
  <c r="I619" i="5"/>
  <c r="AL621" i="8" s="1"/>
  <c r="I924" i="5"/>
  <c r="AL926" i="8" s="1"/>
  <c r="AK525" i="8"/>
  <c r="AC337" i="8"/>
  <c r="AK955" i="8"/>
  <c r="AK73" i="8"/>
  <c r="AC870" i="8"/>
  <c r="AK547" i="8"/>
  <c r="I779" i="5"/>
  <c r="AL781" i="8" s="1"/>
  <c r="I925" i="5"/>
  <c r="AL927" i="8" s="1"/>
  <c r="AC547" i="8"/>
  <c r="AC509" i="8"/>
  <c r="I507" i="5"/>
  <c r="AL509" i="8" s="1"/>
  <c r="AC903" i="8"/>
  <c r="AK898" i="8"/>
  <c r="I944" i="5"/>
  <c r="AL946" i="8" s="1"/>
  <c r="I896" i="5"/>
  <c r="AL898" i="8" s="1"/>
  <c r="AK489" i="8"/>
  <c r="I19" i="5"/>
  <c r="AL21" i="8" s="1"/>
  <c r="AC677" i="8"/>
  <c r="AC51" i="8"/>
  <c r="I39" i="5"/>
  <c r="AL41" i="8" s="1"/>
  <c r="I391" i="5"/>
  <c r="AL393" i="8" s="1"/>
  <c r="I152" i="5"/>
  <c r="AL154" i="8" s="1"/>
  <c r="I177" i="5"/>
  <c r="AL179" i="8" s="1"/>
  <c r="AC623" i="8"/>
  <c r="AC649" i="8"/>
  <c r="AC270" i="8"/>
  <c r="AC21" i="8"/>
  <c r="AC849" i="8"/>
  <c r="AC174" i="8"/>
  <c r="AC55" i="8"/>
  <c r="AC912" i="8"/>
  <c r="AK782" i="8"/>
  <c r="AC237" i="8"/>
  <c r="AK51" i="8"/>
  <c r="AC410" i="8"/>
  <c r="AC339" i="8"/>
  <c r="AK903" i="8"/>
  <c r="I642" i="5"/>
  <c r="AL644" i="8" s="1"/>
  <c r="I131" i="5"/>
  <c r="AL133" i="8" s="1"/>
  <c r="AC179" i="8"/>
  <c r="I268" i="5"/>
  <c r="AL270" i="8" s="1"/>
  <c r="I194" i="5"/>
  <c r="AL196" i="8" s="1"/>
  <c r="I445" i="5"/>
  <c r="AL447" i="8" s="1"/>
  <c r="AC564" i="8"/>
  <c r="AC927" i="8"/>
  <c r="I562" i="5"/>
  <c r="AL564" i="8" s="1"/>
  <c r="AK283" i="8"/>
  <c r="AC463" i="8"/>
  <c r="I266" i="5"/>
  <c r="AL268" i="8" s="1"/>
  <c r="I988" i="5"/>
  <c r="AL990" i="8" s="1"/>
  <c r="AK787" i="8"/>
  <c r="AK55" i="8"/>
  <c r="AK912" i="8"/>
  <c r="AK237" i="8"/>
  <c r="AK133" i="8"/>
  <c r="I222" i="5"/>
  <c r="AL224" i="8" s="1"/>
  <c r="I573" i="5"/>
  <c r="AL575" i="8" s="1"/>
  <c r="I774" i="5"/>
  <c r="AL776" i="8" s="1"/>
  <c r="I590" i="5"/>
  <c r="AL592" i="8" s="1"/>
  <c r="I785" i="5"/>
  <c r="AL787" i="8" s="1"/>
  <c r="I851" i="5"/>
  <c r="AL853" i="8" s="1"/>
  <c r="AC795" i="8"/>
  <c r="AC732" i="8"/>
  <c r="AC72" i="8"/>
  <c r="AC876" i="8"/>
  <c r="AC887" i="8"/>
  <c r="AC812" i="8"/>
  <c r="AC40" i="8"/>
  <c r="AC968" i="8"/>
  <c r="AC848" i="8"/>
  <c r="AK789" i="8"/>
  <c r="I195" i="5"/>
  <c r="AL197" i="8" s="1"/>
  <c r="I55" i="5"/>
  <c r="AL57" i="8" s="1"/>
  <c r="AK191" i="8"/>
  <c r="AC797" i="8"/>
  <c r="AC853" i="8"/>
  <c r="AK876" i="8"/>
  <c r="AC475" i="8"/>
  <c r="AK887" i="8"/>
  <c r="AC592" i="8"/>
  <c r="AK968" i="8"/>
  <c r="AC699" i="8"/>
  <c r="AC14" i="8"/>
  <c r="I225" i="5"/>
  <c r="AL227" i="8" s="1"/>
  <c r="I623" i="5"/>
  <c r="AL625" i="8" s="1"/>
  <c r="I189" i="5"/>
  <c r="AL191" i="8" s="1"/>
  <c r="I621" i="5"/>
  <c r="AL623" i="8" s="1"/>
  <c r="I240" i="5"/>
  <c r="AL242" i="8" s="1"/>
  <c r="AC288" i="8"/>
  <c r="AC447" i="8"/>
  <c r="AC724" i="8"/>
  <c r="I797" i="5"/>
  <c r="AL799" i="8" s="1"/>
  <c r="I405" i="5"/>
  <c r="AL407" i="8" s="1"/>
  <c r="I612" i="5"/>
  <c r="AL614" i="8" s="1"/>
  <c r="AC57" i="8"/>
  <c r="AC972" i="8"/>
  <c r="AK797" i="8"/>
  <c r="AC572" i="8"/>
  <c r="AC374" i="8"/>
  <c r="I98" i="5"/>
  <c r="AL100" i="8" s="1"/>
  <c r="I617" i="5"/>
  <c r="AL619" i="8" s="1"/>
  <c r="I199" i="5"/>
  <c r="AL201" i="8" s="1"/>
  <c r="AK189" i="8"/>
  <c r="AC595" i="8"/>
  <c r="AK650" i="8"/>
  <c r="AC70" i="8"/>
  <c r="AK870" i="8"/>
  <c r="I748" i="5"/>
  <c r="AL750" i="8" s="1"/>
  <c r="I687" i="5"/>
  <c r="AL689" i="8" s="1"/>
  <c r="I395" i="5"/>
  <c r="AL397" i="8" s="1"/>
  <c r="AC619" i="8"/>
  <c r="AK595" i="8"/>
  <c r="AK174" i="8"/>
  <c r="AC782" i="8"/>
  <c r="AC62" i="8"/>
  <c r="AC58" i="8"/>
  <c r="AK62" i="8"/>
  <c r="AC520" i="8"/>
  <c r="AC809" i="8"/>
  <c r="AK849" i="8"/>
  <c r="I591" i="5"/>
  <c r="AL593" i="8" s="1"/>
  <c r="AK520" i="8"/>
  <c r="AC204" i="8"/>
  <c r="AK809" i="8"/>
  <c r="AC651" i="8"/>
  <c r="I26" i="5"/>
  <c r="AL28" i="8" s="1"/>
  <c r="I505" i="5"/>
  <c r="AL507" i="8" s="1"/>
  <c r="AC28" i="8"/>
  <c r="I941" i="5"/>
  <c r="AL943" i="8" s="1"/>
  <c r="AC689" i="8"/>
  <c r="I85" i="5"/>
  <c r="AL87" i="8" s="1"/>
  <c r="I308" i="5"/>
  <c r="AL310" i="8" s="1"/>
  <c r="AK204" i="8"/>
  <c r="AC118" i="8"/>
  <c r="I449" i="5"/>
  <c r="AL451" i="8" s="1"/>
  <c r="I914" i="5"/>
  <c r="AL916" i="8" s="1"/>
  <c r="I575" i="5"/>
  <c r="AL577" i="8" s="1"/>
  <c r="I599" i="5"/>
  <c r="AL601" i="8" s="1"/>
  <c r="I313" i="5"/>
  <c r="AL315" i="8" s="1"/>
  <c r="AC407" i="8"/>
  <c r="AC593" i="8"/>
  <c r="AC750" i="8"/>
  <c r="AK201" i="8"/>
  <c r="AC954" i="8"/>
  <c r="I68" i="5"/>
  <c r="AL70" i="8" s="1"/>
  <c r="I159" i="5"/>
  <c r="AL161" i="8" s="1"/>
  <c r="I976" i="5"/>
  <c r="AL978" i="8" s="1"/>
  <c r="AC978" i="8"/>
  <c r="AC172" i="8"/>
  <c r="AC169" i="8"/>
  <c r="AC196" i="8"/>
  <c r="AK451" i="8"/>
  <c r="AC577" i="8"/>
  <c r="AC801" i="8"/>
  <c r="AK954" i="8"/>
  <c r="I170" i="5"/>
  <c r="AL172" i="8" s="1"/>
  <c r="AC397" i="8"/>
  <c r="AK572" i="8"/>
  <c r="AK169" i="8"/>
  <c r="AC41" i="8"/>
  <c r="AC644" i="8"/>
  <c r="AC161" i="8"/>
  <c r="AC257" i="8"/>
  <c r="AK14" i="8"/>
  <c r="AK257" i="8"/>
  <c r="AC238" i="8"/>
  <c r="I71" i="5"/>
  <c r="AL73" i="8" s="1"/>
  <c r="I208" i="5"/>
  <c r="AL210" i="8" s="1"/>
  <c r="I928" i="5"/>
  <c r="AL930" i="8" s="1"/>
  <c r="I564" i="5"/>
  <c r="AL566" i="8" s="1"/>
  <c r="I94" i="5"/>
  <c r="AL96" i="8" s="1"/>
  <c r="I43" i="5"/>
  <c r="AL45" i="8" s="1"/>
  <c r="AC834" i="8"/>
  <c r="I333" i="5"/>
  <c r="AL335" i="8" s="1"/>
  <c r="AK405" i="8"/>
  <c r="AK690" i="8"/>
  <c r="AC50" i="8"/>
  <c r="AK238" i="8"/>
  <c r="I389" i="5"/>
  <c r="AL391" i="8" s="1"/>
  <c r="AK50" i="8"/>
  <c r="AC735" i="8"/>
  <c r="AC688" i="8"/>
  <c r="AC453" i="8"/>
  <c r="I733" i="5"/>
  <c r="AL735" i="8" s="1"/>
  <c r="AC818" i="8"/>
  <c r="I475" i="5"/>
  <c r="AL477" i="8" s="1"/>
  <c r="I878" i="5"/>
  <c r="AL880" i="8" s="1"/>
  <c r="AC391" i="8"/>
  <c r="I18" i="5"/>
  <c r="AL20" i="8" s="1"/>
  <c r="I921" i="5"/>
  <c r="AL923" i="8" s="1"/>
  <c r="I550" i="5"/>
  <c r="AL552" i="8" s="1"/>
  <c r="AC96" i="8"/>
  <c r="AC932" i="8"/>
  <c r="AC973" i="8"/>
  <c r="AK696" i="8"/>
  <c r="AC472" i="8"/>
  <c r="AK681" i="8"/>
  <c r="AC923" i="8"/>
  <c r="AC260" i="8"/>
  <c r="AC392" i="8"/>
  <c r="AK946" i="8"/>
  <c r="AC618" i="8"/>
  <c r="AC359" i="8"/>
  <c r="AC921" i="8"/>
  <c r="AK549" i="8"/>
  <c r="AK818" i="8"/>
  <c r="I221" i="5"/>
  <c r="AL223" i="8" s="1"/>
  <c r="I394" i="5"/>
  <c r="AL396" i="8" s="1"/>
  <c r="I424" i="5"/>
  <c r="AL426" i="8" s="1"/>
  <c r="I585" i="5"/>
  <c r="AL587" i="8" s="1"/>
  <c r="I459" i="5"/>
  <c r="AL461" i="8" s="1"/>
  <c r="I209" i="5"/>
  <c r="AL211" i="8" s="1"/>
  <c r="I70" i="5"/>
  <c r="AL72" i="8" s="1"/>
  <c r="AK16" i="8"/>
  <c r="AK192" i="8"/>
  <c r="AK916" i="8"/>
  <c r="AC661" i="8"/>
  <c r="AK932" i="8"/>
  <c r="AC942" i="8"/>
  <c r="AC197" i="8"/>
  <c r="AK260" i="8"/>
  <c r="AK392" i="8"/>
  <c r="AC45" i="8"/>
  <c r="AC211" i="8"/>
  <c r="AC224" i="8"/>
  <c r="AK359" i="8"/>
  <c r="AC625" i="8"/>
  <c r="AK921" i="8"/>
  <c r="AK688" i="8"/>
  <c r="AC587" i="8"/>
  <c r="I659" i="5"/>
  <c r="AL661" i="8" s="1"/>
  <c r="I547" i="5"/>
  <c r="AL549" i="8" s="1"/>
  <c r="AC446" i="8"/>
  <c r="AC652" i="8"/>
  <c r="AK335" i="8"/>
  <c r="AK575" i="8"/>
  <c r="AK87" i="8"/>
  <c r="AK208" i="8"/>
  <c r="AK446" i="8"/>
  <c r="AC681" i="8"/>
  <c r="AK930" i="8"/>
  <c r="I876" i="5"/>
  <c r="AL878" i="8" s="1"/>
  <c r="AC192" i="8"/>
  <c r="AC208" i="8"/>
  <c r="AC396" i="8"/>
  <c r="AK601" i="8"/>
  <c r="I650" i="5"/>
  <c r="AL652" i="8" s="1"/>
  <c r="AC696" i="8"/>
  <c r="I697" i="5"/>
  <c r="AL699" i="8" s="1"/>
  <c r="I940" i="5"/>
  <c r="AL942" i="8" s="1"/>
  <c r="I264" i="5"/>
  <c r="AL266" i="8" s="1"/>
  <c r="AC16" i="8"/>
  <c r="AK834" i="8"/>
  <c r="I23" i="5"/>
  <c r="AL25" i="8" s="1"/>
  <c r="I421" i="5"/>
  <c r="AL423" i="8" s="1"/>
  <c r="I302" i="5"/>
  <c r="AL304" i="8" s="1"/>
  <c r="AC487" i="8"/>
  <c r="AC909" i="8"/>
  <c r="AC880" i="8"/>
  <c r="AC304" i="8"/>
  <c r="AC154" i="8"/>
  <c r="AC461" i="8"/>
  <c r="AC242" i="8"/>
  <c r="I962" i="5"/>
  <c r="AL964" i="8" s="1"/>
  <c r="I856" i="5"/>
  <c r="AL858" i="8" s="1"/>
  <c r="I787" i="5"/>
  <c r="AL789" i="8" s="1"/>
  <c r="AK909" i="8"/>
  <c r="AC56" i="8"/>
  <c r="AC266" i="8"/>
  <c r="AC914" i="8"/>
  <c r="AC25" i="8"/>
  <c r="AK20" i="8"/>
  <c r="AC268" i="8"/>
  <c r="I323" i="5"/>
  <c r="AL325" i="8" s="1"/>
  <c r="I835" i="5"/>
  <c r="AL837" i="8" s="1"/>
  <c r="I215" i="5"/>
  <c r="AL217" i="8" s="1"/>
  <c r="I423" i="5"/>
  <c r="AL425" i="8" s="1"/>
  <c r="I974" i="5"/>
  <c r="AL976" i="8" s="1"/>
  <c r="AC496" i="8"/>
  <c r="AC788" i="8"/>
  <c r="AC858" i="8"/>
  <c r="AC334" i="8"/>
  <c r="AC425" i="8"/>
  <c r="AC964" i="8"/>
  <c r="AC552" i="8"/>
  <c r="AC429" i="8"/>
  <c r="AC423" i="8"/>
  <c r="AC210" i="8"/>
  <c r="AK426" i="8"/>
  <c r="I451" i="5"/>
  <c r="AL453" i="8" s="1"/>
  <c r="AC837" i="8"/>
  <c r="I688" i="5"/>
  <c r="AL690" i="8" s="1"/>
  <c r="I168" i="5"/>
  <c r="AL170" i="8" s="1"/>
  <c r="I786" i="5"/>
  <c r="AL788" i="8" s="1"/>
  <c r="AK170" i="8"/>
  <c r="AC685" i="8"/>
  <c r="AC467" i="8"/>
  <c r="AC665" i="8"/>
  <c r="I403" i="5"/>
  <c r="AL405" i="8" s="1"/>
  <c r="I788" i="5"/>
  <c r="AL790" i="8" s="1"/>
  <c r="AK914" i="8"/>
  <c r="AK999" i="8"/>
  <c r="AK665" i="8"/>
  <c r="AC982" i="8"/>
  <c r="AC176" i="8"/>
  <c r="AK176" i="8"/>
  <c r="AC36" i="8"/>
  <c r="AC753" i="8"/>
  <c r="I793" i="5"/>
  <c r="AL795" i="8" s="1"/>
  <c r="AC343" i="8"/>
  <c r="I511" i="5"/>
  <c r="AL513" i="8" s="1"/>
  <c r="I980" i="5"/>
  <c r="AL982" i="8" s="1"/>
  <c r="AC325" i="8"/>
  <c r="AC614" i="8"/>
  <c r="AC566" i="8"/>
  <c r="I979" i="5"/>
  <c r="AL981" i="8" s="1"/>
  <c r="AC398" i="8"/>
  <c r="AK163" i="8"/>
  <c r="AK841" i="8"/>
  <c r="AK753" i="8"/>
  <c r="AK685" i="8"/>
  <c r="AC543" i="8"/>
  <c r="I461" i="5"/>
  <c r="AL463" i="8" s="1"/>
  <c r="I802" i="5"/>
  <c r="AL804" i="8" s="1"/>
  <c r="AC380" i="8"/>
  <c r="AC336" i="8"/>
  <c r="AC981" i="8"/>
  <c r="AK315" i="8"/>
  <c r="AK58" i="8"/>
  <c r="AK398" i="8"/>
  <c r="AC513" i="8"/>
  <c r="AC100" i="8"/>
  <c r="AC116" i="8"/>
  <c r="AC502" i="8"/>
  <c r="AC571" i="8"/>
  <c r="AC42" i="8"/>
  <c r="AK543" i="8"/>
  <c r="I114" i="5"/>
  <c r="AL116" i="8" s="1"/>
  <c r="AK380" i="8"/>
  <c r="AC511" i="8"/>
  <c r="AC415" i="8"/>
  <c r="AK502" i="8"/>
  <c r="AK42" i="8"/>
  <c r="AC507" i="8"/>
  <c r="AC310" i="8"/>
  <c r="AC259" i="8"/>
  <c r="AC950" i="8"/>
  <c r="AK511" i="8"/>
  <c r="AC998" i="8"/>
  <c r="AC712" i="8"/>
  <c r="AC203" i="8"/>
  <c r="AC52" i="8"/>
  <c r="AC905" i="8"/>
  <c r="AC802" i="8"/>
  <c r="AC804" i="8"/>
  <c r="AC990" i="8"/>
  <c r="AC217" i="8"/>
  <c r="I443" i="5"/>
  <c r="AL445" i="8" s="1"/>
  <c r="I710" i="5"/>
  <c r="AL712" i="8" s="1"/>
  <c r="I161" i="5"/>
  <c r="AL163" i="8" s="1"/>
  <c r="AC841" i="8"/>
  <c r="I800" i="5"/>
  <c r="AL802" i="8" s="1"/>
  <c r="I103" i="5"/>
  <c r="AL105" i="8" s="1"/>
  <c r="I996" i="5"/>
  <c r="AL998" i="8" s="1"/>
  <c r="I873" i="5"/>
  <c r="AL875" i="8" s="1"/>
  <c r="I948" i="5"/>
  <c r="AL950" i="8" s="1"/>
  <c r="AK259" i="8"/>
  <c r="AK52" i="8"/>
  <c r="AC223" i="8"/>
  <c r="AK973" i="8"/>
  <c r="I674" i="5"/>
  <c r="AL676" i="8" s="1"/>
  <c r="I259" i="5"/>
  <c r="AL261" i="8" s="1"/>
  <c r="AC445" i="8"/>
  <c r="AC859" i="8"/>
  <c r="I467" i="5"/>
  <c r="AL469" i="8" s="1"/>
  <c r="AC450" i="8"/>
  <c r="AC395" i="8"/>
  <c r="I78" i="5"/>
  <c r="AL80" i="8" s="1"/>
  <c r="AK450" i="8"/>
  <c r="AK861" i="8"/>
  <c r="AK395" i="8"/>
  <c r="AK865" i="8"/>
  <c r="AK808" i="8"/>
  <c r="I469" i="5"/>
  <c r="AL471" i="8" s="1"/>
  <c r="I931" i="5"/>
  <c r="AL933" i="8" s="1"/>
  <c r="I247" i="5"/>
  <c r="AL249" i="8" s="1"/>
  <c r="I729" i="5"/>
  <c r="AL731" i="8" s="1"/>
  <c r="AC675" i="8"/>
  <c r="AC640" i="8"/>
  <c r="AC878" i="8"/>
  <c r="AC261" i="8"/>
  <c r="AK675" i="8"/>
  <c r="AK640" i="8"/>
  <c r="AC227" i="8"/>
  <c r="AC731" i="8"/>
  <c r="I863" i="5"/>
  <c r="AL865" i="8" s="1"/>
  <c r="I806" i="5"/>
  <c r="AL808" i="8" s="1"/>
  <c r="I153" i="5"/>
  <c r="AL155" i="8" s="1"/>
  <c r="AC249" i="8"/>
  <c r="AC790" i="8"/>
  <c r="AC477" i="8"/>
  <c r="AC933" i="8"/>
  <c r="AC471" i="8"/>
  <c r="AC676" i="8"/>
  <c r="AC155" i="8"/>
  <c r="AC469" i="8"/>
  <c r="I859" i="5"/>
  <c r="AL861" i="8" s="1"/>
  <c r="AC80" i="8"/>
  <c r="AK859" i="8"/>
  <c r="AL9" i="8"/>
  <c r="J295" i="5"/>
  <c r="J342" i="5"/>
  <c r="J755" i="5"/>
  <c r="J240" i="5"/>
  <c r="J261" i="5"/>
  <c r="J46" i="5"/>
  <c r="J781" i="5"/>
  <c r="J926" i="5"/>
  <c r="J902" i="5"/>
  <c r="J96" i="5"/>
  <c r="J620" i="5"/>
  <c r="J860" i="5"/>
  <c r="J457" i="5"/>
  <c r="J406" i="5"/>
  <c r="J204" i="5"/>
  <c r="J646" i="5"/>
  <c r="J411" i="5"/>
  <c r="J604" i="5"/>
  <c r="J607" i="5"/>
  <c r="J538" i="5"/>
  <c r="J915" i="5"/>
  <c r="J102" i="5"/>
  <c r="J831" i="5"/>
  <c r="J598" i="5"/>
  <c r="J588" i="5"/>
  <c r="J99" i="5"/>
  <c r="J624" i="5"/>
  <c r="J455" i="5"/>
  <c r="J993" i="5"/>
  <c r="J648" i="5"/>
  <c r="J106" i="5"/>
  <c r="J245" i="5"/>
  <c r="J139" i="5"/>
  <c r="J554" i="5"/>
  <c r="J144" i="5"/>
  <c r="J680" i="5"/>
  <c r="J252" i="5"/>
  <c r="J399" i="5"/>
  <c r="J578" i="5"/>
  <c r="J679" i="5"/>
  <c r="J808" i="5"/>
  <c r="J224" i="5"/>
  <c r="J229" i="5"/>
  <c r="J534" i="5"/>
  <c r="J83" i="5"/>
  <c r="J370" i="5"/>
  <c r="J757" i="5"/>
  <c r="J889" i="5"/>
  <c r="J141" i="5"/>
  <c r="J978" i="5"/>
  <c r="J608" i="5"/>
  <c r="J684" i="5"/>
  <c r="J632" i="5"/>
  <c r="J62" i="5"/>
  <c r="J606" i="5"/>
  <c r="J717" i="5"/>
  <c r="J108" i="5"/>
  <c r="J75" i="5"/>
  <c r="J720" i="5"/>
  <c r="J521" i="5"/>
  <c r="J543" i="5"/>
  <c r="J360" i="5"/>
  <c r="J502" i="5"/>
  <c r="J501" i="5"/>
  <c r="J213" i="5"/>
  <c r="J340" i="5"/>
  <c r="J132" i="5"/>
  <c r="J830" i="5"/>
  <c r="J883" i="5"/>
  <c r="J288" i="5"/>
  <c r="J343" i="5"/>
  <c r="J963" i="5"/>
  <c r="J614" i="5"/>
  <c r="J946" i="5"/>
  <c r="J551" i="5"/>
  <c r="J104" i="5"/>
  <c r="J639" i="5"/>
  <c r="J436" i="5"/>
  <c r="J669" i="5"/>
  <c r="J98" i="5"/>
  <c r="J64" i="5"/>
  <c r="J223" i="5"/>
  <c r="J735" i="5"/>
  <c r="J884" i="5"/>
  <c r="J811" i="5"/>
  <c r="J626" i="5"/>
  <c r="J476" i="5"/>
  <c r="J484" i="5"/>
  <c r="J248" i="5"/>
  <c r="J454" i="5"/>
  <c r="J227" i="5"/>
  <c r="J212" i="5"/>
  <c r="J350" i="5"/>
  <c r="J499" i="5"/>
  <c r="J49" i="5"/>
  <c r="J557" i="5"/>
  <c r="J200" i="5"/>
  <c r="J970" i="5"/>
  <c r="J216" i="5"/>
  <c r="J8" i="5"/>
  <c r="J236" i="5"/>
  <c r="J88" i="5"/>
  <c r="J120" i="5"/>
  <c r="J764" i="5"/>
  <c r="J726" i="5"/>
  <c r="J351" i="5"/>
  <c r="J258" i="5"/>
  <c r="J346" i="5"/>
  <c r="J731" i="5"/>
  <c r="J488" i="5"/>
  <c r="J439" i="5"/>
  <c r="J752" i="5"/>
  <c r="J666" i="5"/>
  <c r="J529" i="5"/>
  <c r="J51" i="5"/>
  <c r="J311" i="5"/>
  <c r="J649" i="5"/>
  <c r="J402" i="5"/>
  <c r="J409" i="5"/>
  <c r="J77" i="5"/>
  <c r="J935" i="5"/>
  <c r="J969" i="5"/>
  <c r="J971" i="5"/>
  <c r="J169" i="5"/>
  <c r="J348" i="5"/>
  <c r="J694" i="5"/>
  <c r="J14" i="5"/>
  <c r="J34" i="5"/>
  <c r="J855" i="5"/>
  <c r="J60" i="5"/>
  <c r="J571" i="5"/>
  <c r="J447" i="5"/>
  <c r="J610" i="5"/>
  <c r="J377" i="5"/>
  <c r="J773" i="5"/>
  <c r="J166" i="5"/>
  <c r="J151" i="5"/>
  <c r="J736" i="5"/>
  <c r="J749" i="5"/>
  <c r="J254" i="5"/>
  <c r="J794" i="5"/>
  <c r="J771" i="5"/>
  <c r="J826" i="5"/>
  <c r="J528" i="5"/>
  <c r="J15" i="5"/>
  <c r="J801" i="5"/>
  <c r="J923" i="5"/>
  <c r="J937" i="5"/>
  <c r="J438" i="5"/>
  <c r="J452" i="5"/>
  <c r="J670" i="5"/>
  <c r="J531" i="5"/>
  <c r="J618" i="5"/>
  <c r="J434" i="5"/>
  <c r="J246" i="5"/>
  <c r="J909" i="5"/>
  <c r="J816" i="5"/>
  <c r="J819" i="5"/>
  <c r="J435" i="5"/>
  <c r="J149" i="5"/>
  <c r="J111" i="5"/>
  <c r="J45" i="5"/>
  <c r="J900" i="5"/>
  <c r="J184" i="5"/>
  <c r="J640" i="5"/>
  <c r="J933" i="5"/>
  <c r="J792" i="5"/>
  <c r="J146" i="5"/>
  <c r="J487" i="5"/>
  <c r="J407" i="5"/>
  <c r="J183" i="5"/>
  <c r="J655" i="5"/>
  <c r="J65" i="5"/>
  <c r="J644" i="5"/>
  <c r="J432" i="5"/>
  <c r="J154" i="5"/>
  <c r="J503" i="5"/>
  <c r="J803" i="5"/>
  <c r="J972" i="5"/>
  <c r="J325" i="5"/>
  <c r="J541" i="5"/>
  <c r="J843" i="5"/>
  <c r="J989" i="5"/>
  <c r="J783" i="5"/>
  <c r="J744" i="5"/>
  <c r="J832" i="5"/>
  <c r="J387" i="5"/>
  <c r="J784" i="5"/>
  <c r="J178" i="5"/>
  <c r="J100" i="5"/>
  <c r="J372" i="5"/>
  <c r="J871" i="5"/>
  <c r="J518" i="5"/>
  <c r="J182" i="5"/>
  <c r="J766" i="5"/>
  <c r="J874" i="5"/>
  <c r="J917" i="5"/>
  <c r="J277" i="5"/>
  <c r="J567" i="5"/>
  <c r="J1000" i="5"/>
  <c r="J561" i="5"/>
  <c r="J712" i="5"/>
  <c r="J67" i="5"/>
  <c r="J838" i="5"/>
  <c r="J347" i="5"/>
  <c r="J472" i="5"/>
  <c r="J239" i="5"/>
  <c r="J548" i="5"/>
  <c r="J237" i="5"/>
  <c r="J156" i="5"/>
  <c r="J298" i="5"/>
  <c r="J36" i="5"/>
  <c r="J47" i="5"/>
  <c r="J983" i="5"/>
  <c r="J741" i="5"/>
  <c r="J74" i="5"/>
  <c r="J419" i="5"/>
  <c r="J698" i="5"/>
  <c r="J428" i="5"/>
  <c r="J725" i="5"/>
  <c r="J396" i="5"/>
  <c r="J595" i="5"/>
  <c r="J190" i="5"/>
  <c r="J662" i="5"/>
  <c r="J145" i="5"/>
  <c r="J328" i="5"/>
  <c r="J463" i="5"/>
  <c r="J59" i="5"/>
  <c r="J105" i="5"/>
  <c r="J329" i="5"/>
  <c r="J973" i="5"/>
  <c r="J696" i="5"/>
  <c r="J579" i="5"/>
  <c r="J86" i="5"/>
  <c r="J437" i="5"/>
  <c r="J446" i="5"/>
  <c r="J121" i="5"/>
  <c r="J262" i="5"/>
  <c r="J79" i="5"/>
  <c r="J689" i="5"/>
  <c r="J220" i="5"/>
  <c r="J566" i="5"/>
  <c r="J191" i="5"/>
  <c r="J35" i="5"/>
  <c r="J122" i="5"/>
  <c r="J393" i="5"/>
  <c r="J378" i="5"/>
  <c r="J841" i="5"/>
  <c r="J559" i="5"/>
  <c r="J32" i="5"/>
  <c r="J1003" i="5"/>
  <c r="J336" i="5"/>
  <c r="J312" i="5"/>
  <c r="J553" i="5"/>
  <c r="J205" i="5"/>
  <c r="J101" i="5"/>
  <c r="J97" i="5"/>
  <c r="J751" i="5"/>
  <c r="J722" i="5"/>
  <c r="J110" i="5"/>
  <c r="J768" i="5"/>
  <c r="J283" i="5"/>
  <c r="J795" i="5"/>
  <c r="J61" i="5"/>
  <c r="J40" i="5"/>
  <c r="J544" i="5"/>
  <c r="J847" i="5"/>
  <c r="J560" i="5"/>
  <c r="J960" i="5"/>
  <c r="J942" i="5"/>
  <c r="J857" i="5"/>
  <c r="J279" i="5"/>
  <c r="J305" i="5"/>
  <c r="J162" i="5"/>
  <c r="J995" i="5"/>
  <c r="J174" i="5"/>
  <c r="J267" i="5"/>
  <c r="J852" i="5"/>
  <c r="J119" i="5"/>
  <c r="J762" i="5"/>
  <c r="J353" i="5"/>
  <c r="J628" i="5"/>
  <c r="J780" i="5"/>
  <c r="J637" i="5"/>
  <c r="J901" i="5"/>
  <c r="J282" i="5"/>
  <c r="J453" i="5"/>
  <c r="J203" i="5"/>
  <c r="J724" i="5"/>
  <c r="J414" i="5"/>
  <c r="J13" i="5"/>
  <c r="J881" i="5"/>
  <c r="J886" i="5"/>
  <c r="J891" i="5"/>
  <c r="J890" i="5"/>
  <c r="J683" i="5"/>
  <c r="J210" i="5"/>
  <c r="J556" i="5"/>
  <c r="J260" i="5"/>
  <c r="J763" i="5"/>
  <c r="J365" i="5"/>
  <c r="J44" i="5"/>
  <c r="J580" i="5"/>
  <c r="J602" i="5"/>
  <c r="J966" i="5"/>
  <c r="J17" i="5"/>
  <c r="J613" i="5"/>
  <c r="J230" i="5"/>
  <c r="J363" i="5"/>
  <c r="J611" i="5"/>
  <c r="J219" i="5"/>
  <c r="J899" i="5"/>
  <c r="J959" i="5"/>
  <c r="J366" i="5"/>
  <c r="J865" i="5"/>
  <c r="J91" i="5"/>
  <c r="J474" i="5"/>
  <c r="J887" i="5"/>
  <c r="J430" i="5"/>
  <c r="J927" i="5"/>
  <c r="J568" i="5"/>
  <c r="J426" i="5"/>
  <c r="J1002" i="5"/>
  <c r="J397" i="5"/>
  <c r="J367" i="5"/>
  <c r="J769" i="5"/>
  <c r="J740" i="5"/>
  <c r="J148" i="5"/>
  <c r="J653" i="5"/>
  <c r="J546" i="5"/>
  <c r="J376" i="5"/>
  <c r="J380" i="5"/>
  <c r="J244" i="5"/>
  <c r="J29" i="5"/>
  <c r="J654" i="5"/>
  <c r="J767" i="5"/>
  <c r="J211" i="5"/>
  <c r="J977" i="5"/>
  <c r="J375" i="5"/>
  <c r="J287" i="5"/>
  <c r="J250" i="5"/>
  <c r="J758" i="5"/>
  <c r="J50" i="5"/>
  <c r="J961" i="5"/>
  <c r="J911" i="5"/>
  <c r="J850" i="5"/>
  <c r="J991" i="5"/>
  <c r="J93" i="5"/>
  <c r="J756" i="5"/>
  <c r="J572" i="5"/>
  <c r="J524" i="5"/>
  <c r="J919" i="5"/>
  <c r="J1004" i="5"/>
  <c r="J356" i="5"/>
  <c r="J943" i="5"/>
  <c r="J241" i="5"/>
  <c r="J255" i="5"/>
  <c r="J647" i="5"/>
  <c r="J81" i="5"/>
  <c r="J362" i="5"/>
  <c r="J738" i="5"/>
  <c r="J629" i="5"/>
  <c r="J276" i="5"/>
  <c r="J135" i="5"/>
  <c r="J877" i="5"/>
  <c r="J703" i="5"/>
  <c r="J464" i="5"/>
  <c r="J512" i="5"/>
  <c r="J709" i="5"/>
  <c r="J737" i="5"/>
  <c r="J226" i="5"/>
  <c r="J994" i="5"/>
  <c r="J918" i="5"/>
  <c r="J290" i="5"/>
  <c r="J218" i="5"/>
  <c r="J836" i="5"/>
  <c r="J861" i="5"/>
  <c r="J471" i="5"/>
  <c r="J90" i="5"/>
  <c r="J385" i="5"/>
  <c r="J804" i="5"/>
  <c r="J533" i="5"/>
  <c r="J284" i="5"/>
  <c r="J908" i="5"/>
  <c r="J489" i="5"/>
  <c r="J910" i="5"/>
  <c r="J361" i="5"/>
  <c r="J19" i="5"/>
  <c r="J997" i="5"/>
  <c r="J770" i="5"/>
  <c r="J922" i="5"/>
  <c r="J523" i="5"/>
  <c r="J392" i="5"/>
  <c r="J504" i="5"/>
  <c r="J765" i="5"/>
  <c r="J128" i="5"/>
  <c r="J893" i="5"/>
  <c r="J137" i="5"/>
  <c r="J714" i="5"/>
  <c r="J525" i="5"/>
  <c r="J842" i="5"/>
  <c r="J338" i="5"/>
  <c r="J952" i="5"/>
  <c r="J299" i="5"/>
  <c r="J517" i="5"/>
  <c r="J663" i="5"/>
  <c r="J1001" i="5"/>
  <c r="J24" i="5"/>
  <c r="J704" i="5"/>
  <c r="J374" i="5"/>
  <c r="J661" i="5"/>
  <c r="J143" i="5"/>
  <c r="J422" i="5"/>
  <c r="J198" i="5"/>
  <c r="J358" i="5"/>
  <c r="J197" i="5"/>
  <c r="J705" i="5"/>
  <c r="J839" i="5"/>
  <c r="J41" i="5"/>
  <c r="J238" i="5"/>
  <c r="J37" i="5"/>
  <c r="J592" i="5"/>
  <c r="J415" i="5"/>
  <c r="J331" i="5"/>
  <c r="J320" i="5"/>
  <c r="J536" i="5"/>
  <c r="J920" i="5"/>
  <c r="J418" i="5"/>
  <c r="J364" i="5"/>
  <c r="J400" i="5"/>
  <c r="J652" i="5"/>
  <c r="J636" i="5"/>
  <c r="J115" i="5"/>
  <c r="J789" i="5"/>
  <c r="J326" i="5"/>
  <c r="J20" i="5"/>
  <c r="J465" i="5"/>
  <c r="J930" i="5"/>
  <c r="J864" i="5"/>
  <c r="J289" i="5"/>
  <c r="J107" i="5"/>
  <c r="J386" i="5"/>
  <c r="J69" i="5"/>
  <c r="J253" i="5"/>
  <c r="J214" i="5"/>
  <c r="J645" i="5"/>
  <c r="J95" i="5"/>
  <c r="J175" i="5"/>
  <c r="J496" i="5"/>
  <c r="J513" i="5"/>
  <c r="J497" i="5"/>
  <c r="J410" i="5"/>
  <c r="J63" i="5"/>
  <c r="J834" i="5"/>
  <c r="J965" i="5"/>
  <c r="J349" i="5"/>
  <c r="J790" i="5"/>
  <c r="J692" i="5"/>
  <c r="J570" i="5"/>
  <c r="J450" i="5"/>
  <c r="J782" i="5"/>
  <c r="J754" i="5"/>
  <c r="J53" i="5"/>
  <c r="J11" i="5"/>
  <c r="J854" i="5"/>
  <c r="J721" i="5"/>
  <c r="J369" i="5"/>
  <c r="J905" i="5"/>
  <c r="J444" i="5"/>
  <c r="J56" i="5"/>
  <c r="J134" i="5"/>
  <c r="J964" i="5"/>
  <c r="J275" i="5"/>
  <c r="J416" i="5"/>
  <c r="J109" i="5"/>
  <c r="J716" i="5"/>
  <c r="J615" i="5"/>
  <c r="J956" i="5"/>
  <c r="J420" i="5"/>
  <c r="J986" i="5"/>
  <c r="J352" i="5"/>
  <c r="J981" i="5"/>
  <c r="J707" i="5"/>
  <c r="J318" i="5"/>
  <c r="J954" i="5"/>
  <c r="J448" i="5"/>
  <c r="J699" i="5"/>
  <c r="J870" i="5"/>
  <c r="J522" i="5"/>
  <c r="J440" i="5"/>
  <c r="J574" i="5"/>
  <c r="J234" i="5"/>
  <c r="J33" i="5"/>
  <c r="J759" i="5"/>
  <c r="J829" i="5"/>
  <c r="J359" i="5"/>
  <c r="J300" i="5"/>
  <c r="J732" i="5"/>
  <c r="J354" i="5"/>
  <c r="J772" i="5"/>
  <c r="J92" i="5"/>
  <c r="J992" i="5"/>
  <c r="J384" i="5"/>
  <c r="J404" i="5"/>
  <c r="J651" i="5"/>
  <c r="J231" i="5"/>
  <c r="J509" i="5"/>
  <c r="J498" i="5"/>
  <c r="J303" i="5"/>
  <c r="J344" i="5"/>
  <c r="J181" i="5"/>
  <c r="J906" i="5"/>
  <c r="J885" i="5"/>
  <c r="J125" i="5"/>
  <c r="J297" i="5"/>
  <c r="J895" i="5"/>
  <c r="J42" i="5"/>
  <c r="J193" i="5"/>
  <c r="J28" i="5"/>
  <c r="J665" i="5"/>
  <c r="J491" i="5"/>
  <c r="J293" i="5"/>
  <c r="J912" i="5"/>
  <c r="J587" i="5"/>
  <c r="J235" i="5"/>
  <c r="J172" i="5"/>
  <c r="J583" i="5"/>
  <c r="J828" i="5"/>
  <c r="J913" i="5"/>
  <c r="J880" i="5"/>
  <c r="J657" i="5"/>
  <c r="J319" i="5"/>
  <c r="J12" i="5"/>
  <c r="J932" i="5"/>
  <c r="J401" i="5"/>
  <c r="J390" i="5"/>
  <c r="J280" i="5"/>
  <c r="J462" i="5"/>
  <c r="J987" i="5"/>
  <c r="J16" i="5"/>
  <c r="J334" i="5"/>
  <c r="J622" i="5"/>
  <c r="J187" i="5"/>
  <c r="J641" i="5"/>
  <c r="J530" i="5"/>
  <c r="J984" i="5"/>
  <c r="J775" i="5"/>
  <c r="J673" i="5"/>
  <c r="J48" i="5"/>
  <c r="J719" i="5"/>
  <c r="J824" i="5"/>
  <c r="J685" i="5"/>
  <c r="J565" i="5"/>
  <c r="J532" i="5"/>
  <c r="J257" i="5"/>
  <c r="J273" i="5"/>
  <c r="J296" i="5"/>
  <c r="J113" i="5"/>
  <c r="J844" i="5"/>
  <c r="J734" i="5"/>
  <c r="J310" i="5"/>
  <c r="J867" i="5"/>
  <c r="J176" i="5"/>
  <c r="J479" i="5"/>
  <c r="J879" i="5"/>
  <c r="J584" i="5"/>
  <c r="J728" i="5"/>
  <c r="J89" i="5"/>
  <c r="J519" i="5"/>
  <c r="J291" i="5"/>
  <c r="J815" i="5"/>
  <c r="J309" i="5"/>
  <c r="J256" i="5"/>
  <c r="J904" i="5"/>
  <c r="J542" i="5"/>
  <c r="J196" i="5"/>
  <c r="J746" i="5"/>
  <c r="J821" i="5"/>
  <c r="J586" i="5"/>
  <c r="J82" i="5"/>
  <c r="J322" i="5"/>
  <c r="J25" i="5"/>
  <c r="J929" i="5"/>
  <c r="J594" i="5"/>
  <c r="J508" i="5"/>
  <c r="J339" i="5"/>
  <c r="J950" i="5"/>
  <c r="J805" i="5"/>
  <c r="J285" i="5"/>
  <c r="J207" i="5"/>
  <c r="J888" i="5"/>
  <c r="J777" i="5"/>
  <c r="J982" i="5"/>
  <c r="J845" i="5"/>
  <c r="J869" i="5"/>
  <c r="J480" i="5"/>
  <c r="J807" i="5"/>
  <c r="J506" i="5"/>
  <c r="J228" i="5"/>
  <c r="J897" i="5"/>
  <c r="J270" i="5"/>
  <c r="J582" i="5"/>
  <c r="J630" i="5"/>
  <c r="J217" i="5"/>
  <c r="J160" i="5"/>
  <c r="J827" i="5"/>
  <c r="J495" i="5"/>
  <c r="J998" i="5"/>
  <c r="J958" i="5"/>
  <c r="J822" i="5"/>
  <c r="J425" i="5"/>
  <c r="J776" i="5"/>
  <c r="J7" i="5"/>
  <c r="J31" i="5"/>
  <c r="J682" i="5"/>
  <c r="J872" i="5"/>
  <c r="J853" i="5"/>
  <c r="J727" i="5"/>
  <c r="J412" i="5"/>
  <c r="J278" i="5"/>
  <c r="J186" i="5"/>
  <c r="J999" i="5"/>
  <c r="J442" i="5"/>
  <c r="J483" i="5"/>
  <c r="J201" i="5"/>
  <c r="J907" i="5"/>
  <c r="J576" i="5"/>
  <c r="J747" i="5"/>
  <c r="J945" i="5"/>
  <c r="J126" i="5"/>
  <c r="J875" i="5"/>
  <c r="J701" i="5"/>
  <c r="J526" i="5"/>
  <c r="J600" i="5"/>
  <c r="J947" i="5"/>
  <c r="J581" i="5"/>
  <c r="J643" i="5"/>
  <c r="J955" i="5"/>
  <c r="J967" i="5"/>
  <c r="J723" i="5"/>
  <c r="J301" i="5"/>
  <c r="J743" i="5"/>
  <c r="J892" i="5"/>
  <c r="J251" i="5"/>
  <c r="J898" i="5"/>
  <c r="J142" i="5"/>
  <c r="J605" i="5"/>
  <c r="J760" i="5"/>
  <c r="J233" i="5"/>
  <c r="J702" i="5"/>
  <c r="J478" i="5"/>
  <c r="J658" i="5"/>
  <c r="J593" i="5"/>
  <c r="J185" i="5"/>
  <c r="J638" i="5"/>
  <c r="J315" i="5"/>
  <c r="J157" i="5"/>
  <c r="J72" i="5"/>
  <c r="J549" i="5"/>
  <c r="J80" i="5"/>
  <c r="J263" i="5"/>
  <c r="J691" i="5"/>
  <c r="J837" i="5"/>
  <c r="J124" i="5"/>
  <c r="J171" i="5"/>
  <c r="J73" i="5"/>
  <c r="J985" i="5"/>
  <c r="J866" i="5"/>
  <c r="J814" i="5"/>
  <c r="J742" i="5"/>
  <c r="J603" i="5"/>
  <c r="J500" i="5"/>
  <c r="J268" i="5"/>
  <c r="J355" i="5"/>
  <c r="J388" i="5"/>
  <c r="J823" i="5"/>
  <c r="J58" i="5"/>
  <c r="J84" i="5"/>
  <c r="J306" i="5"/>
  <c r="J152" i="5"/>
  <c r="J147" i="5"/>
  <c r="J324" i="5"/>
  <c r="J833" i="5"/>
  <c r="J700" i="5"/>
  <c r="J949" i="5"/>
  <c r="J138" i="5"/>
  <c r="J167" i="5"/>
  <c r="J609" i="5"/>
  <c r="J383" i="5"/>
  <c r="J753" i="5"/>
  <c r="J713" i="5"/>
  <c r="J304" i="5"/>
  <c r="J206" i="5"/>
  <c r="J693" i="5"/>
  <c r="J514" i="5"/>
  <c r="J535" i="5"/>
  <c r="J357" i="5"/>
  <c r="J1006" i="5"/>
  <c r="J1005" i="5"/>
  <c r="J482" i="5"/>
  <c r="J192" i="5"/>
  <c r="J711" i="5"/>
  <c r="J539" i="5"/>
  <c r="J667" i="5"/>
  <c r="J21" i="5"/>
  <c r="J127" i="5"/>
  <c r="J164" i="5"/>
  <c r="J66" i="5"/>
  <c r="J52" i="5"/>
  <c r="J379" i="5"/>
  <c r="J596" i="5"/>
  <c r="J563" i="5"/>
  <c r="J678" i="5"/>
  <c r="J656" i="5"/>
  <c r="J117" i="5"/>
  <c r="J345" i="5"/>
  <c r="J140" i="5"/>
  <c r="J398" i="5"/>
  <c r="J490" i="5"/>
  <c r="J468" i="5"/>
  <c r="J337" i="5"/>
  <c r="J957" i="5"/>
  <c r="J664" i="5"/>
  <c r="J660" i="5"/>
  <c r="J188" i="5"/>
  <c r="J371" i="5"/>
  <c r="J158" i="5"/>
  <c r="J715" i="5"/>
  <c r="J868" i="5"/>
  <c r="J818" i="5"/>
  <c r="J30" i="5"/>
  <c r="J294" i="5"/>
  <c r="J373" i="5"/>
  <c r="J686" i="5"/>
  <c r="J938" i="5"/>
  <c r="J165" i="5"/>
  <c r="J292" i="5"/>
  <c r="J150" i="5"/>
  <c r="J708" i="5"/>
  <c r="J882" i="5"/>
  <c r="J76" i="5"/>
  <c r="J817" i="5"/>
  <c r="J809" i="5"/>
  <c r="J671" i="5"/>
  <c r="J778" i="5"/>
  <c r="J321" i="5"/>
  <c r="J202" i="5"/>
  <c r="J545" i="5"/>
  <c r="J330" i="5"/>
  <c r="J27" i="5"/>
  <c r="J492" i="5"/>
  <c r="J825" i="5"/>
  <c r="J858" i="5"/>
  <c r="J677" i="5"/>
  <c r="J431" i="5"/>
  <c r="J456" i="5"/>
  <c r="J163" i="5"/>
  <c r="J849" i="5"/>
  <c r="J520" i="5"/>
  <c r="J269" i="5"/>
  <c r="J577" i="5"/>
  <c r="J676" i="5"/>
  <c r="J281" i="5"/>
  <c r="J750" i="5"/>
  <c r="J249" i="5"/>
  <c r="J136" i="5"/>
  <c r="J118" i="5"/>
  <c r="J672" i="5"/>
  <c r="J477" i="5"/>
  <c r="J527" i="5"/>
  <c r="J601" i="5"/>
  <c r="G36" i="3" a="1"/>
  <c r="G36" i="3" s="1"/>
  <c r="I36" i="3" s="1"/>
  <c r="J232" i="5" l="1"/>
  <c r="J810" i="5"/>
  <c r="J934" i="5"/>
  <c r="K934" i="5" s="1"/>
  <c r="J433" i="5"/>
  <c r="J634" i="5"/>
  <c r="J179" i="5"/>
  <c r="J242" i="5"/>
  <c r="K242" i="5" s="1"/>
  <c r="J314" i="5"/>
  <c r="K314" i="5" s="1"/>
  <c r="J681" i="5"/>
  <c r="J796" i="5"/>
  <c r="K796" i="5" s="1"/>
  <c r="J335" i="5"/>
  <c r="K335" i="5" s="1"/>
  <c r="J307" i="5"/>
  <c r="K307" i="5" s="1"/>
  <c r="J668" i="5"/>
  <c r="J690" i="5"/>
  <c r="J555" i="5"/>
  <c r="J916" i="5"/>
  <c r="J274" i="5"/>
  <c r="K274" i="5" s="1"/>
  <c r="J537" i="5"/>
  <c r="J840" i="5"/>
  <c r="K840" i="5" s="1"/>
  <c r="J862" i="5"/>
  <c r="K862" i="5" s="1"/>
  <c r="J368" i="5"/>
  <c r="K368" i="5" s="1"/>
  <c r="J951" i="5"/>
  <c r="K951" i="5" s="1"/>
  <c r="J813" i="5"/>
  <c r="J493" i="5"/>
  <c r="K493" i="5" s="1"/>
  <c r="J481" i="5"/>
  <c r="J332" i="5"/>
  <c r="J798" i="5"/>
  <c r="J791" i="5"/>
  <c r="K791" i="5" s="1"/>
  <c r="J589" i="5"/>
  <c r="J316" i="5"/>
  <c r="K316" i="5" s="1"/>
  <c r="J894" i="5"/>
  <c r="K894" i="5" s="1"/>
  <c r="J194" i="5"/>
  <c r="K194" i="5" s="1"/>
  <c r="J616" i="5"/>
  <c r="J87" i="5"/>
  <c r="J903" i="5"/>
  <c r="K903" i="5" s="1"/>
  <c r="J265" i="5"/>
  <c r="K265" i="5" s="1"/>
  <c r="J675" i="5"/>
  <c r="J511" i="5"/>
  <c r="K511" i="5" s="1"/>
  <c r="J990" i="5"/>
  <c r="K990" i="5" s="1"/>
  <c r="J417" i="5"/>
  <c r="K417" i="5" s="1"/>
  <c r="J243" i="5"/>
  <c r="K243" i="5" s="1"/>
  <c r="J26" i="5"/>
  <c r="K26" i="5" s="1"/>
  <c r="J953" i="5"/>
  <c r="J540" i="5"/>
  <c r="K540" i="5" s="1"/>
  <c r="J552" i="5"/>
  <c r="K552" i="5" s="1"/>
  <c r="J43" i="5"/>
  <c r="K43" i="5" s="1"/>
  <c r="J302" i="5"/>
  <c r="K302" i="5" s="1"/>
  <c r="J466" i="5"/>
  <c r="K466" i="5" s="1"/>
  <c r="J317" i="5"/>
  <c r="J939" i="5"/>
  <c r="J515" i="5"/>
  <c r="J38" i="5"/>
  <c r="J597" i="5"/>
  <c r="K597" i="5" s="1"/>
  <c r="J130" i="5"/>
  <c r="K130" i="5" s="1"/>
  <c r="J510" i="5"/>
  <c r="K510" i="5" s="1"/>
  <c r="J123" i="5"/>
  <c r="K123" i="5" s="1"/>
  <c r="J382" i="5"/>
  <c r="J846" i="5"/>
  <c r="K846" i="5" s="1"/>
  <c r="J812" i="5"/>
  <c r="K812" i="5" s="1"/>
  <c r="J558" i="5"/>
  <c r="K558" i="5" s="1"/>
  <c r="J458" i="5"/>
  <c r="J271" i="5"/>
  <c r="J688" i="5"/>
  <c r="K688" i="5" s="1"/>
  <c r="J413" i="5"/>
  <c r="K413" i="5" s="1"/>
  <c r="J133" i="5"/>
  <c r="K133" i="5" s="1"/>
  <c r="J327" i="5"/>
  <c r="K327" i="5" s="1"/>
  <c r="J9" i="5"/>
  <c r="K9" i="5" s="1"/>
  <c r="J286" i="5"/>
  <c r="K286" i="5" s="1"/>
  <c r="J635" i="5"/>
  <c r="J441" i="5"/>
  <c r="J272" i="5"/>
  <c r="K272" i="5" s="1"/>
  <c r="J739" i="5"/>
  <c r="K739" i="5" s="1"/>
  <c r="J189" i="5"/>
  <c r="J745" i="5"/>
  <c r="J131" i="5"/>
  <c r="J57" i="5"/>
  <c r="K57" i="5" s="1"/>
  <c r="J225" i="5"/>
  <c r="K225" i="5" s="1"/>
  <c r="J627" i="5"/>
  <c r="K627" i="5" s="1"/>
  <c r="J820" i="5"/>
  <c r="K820" i="5" s="1"/>
  <c r="J774" i="5"/>
  <c r="K774" i="5" s="1"/>
  <c r="J22" i="5"/>
  <c r="K22" i="5" s="1"/>
  <c r="J507" i="5"/>
  <c r="K507" i="5" s="1"/>
  <c r="J633" i="5"/>
  <c r="K633" i="5" s="1"/>
  <c r="J159" i="5"/>
  <c r="K159" i="5" s="1"/>
  <c r="J936" i="5"/>
  <c r="J718" i="5"/>
  <c r="K718" i="5" s="1"/>
  <c r="J494" i="5"/>
  <c r="J427" i="5"/>
  <c r="K427" i="5" s="1"/>
  <c r="J155" i="5"/>
  <c r="K155" i="5" s="1"/>
  <c r="J631" i="5"/>
  <c r="K631" i="5" s="1"/>
  <c r="J896" i="5"/>
  <c r="K896" i="5" s="1"/>
  <c r="J54" i="5"/>
  <c r="K54" i="5" s="1"/>
  <c r="J642" i="5"/>
  <c r="K642" i="5" s="1"/>
  <c r="J429" i="5"/>
  <c r="J116" i="5"/>
  <c r="K116" i="5" s="1"/>
  <c r="J569" i="5"/>
  <c r="K569" i="5" s="1"/>
  <c r="J460" i="5"/>
  <c r="J944" i="5"/>
  <c r="J706" i="5"/>
  <c r="K706" i="5" s="1"/>
  <c r="J173" i="5"/>
  <c r="K173" i="5" s="1"/>
  <c r="J962" i="5"/>
  <c r="K962" i="5" s="1"/>
  <c r="J10" i="5"/>
  <c r="J408" i="5"/>
  <c r="J516" i="5"/>
  <c r="K516" i="5" s="1"/>
  <c r="J695" i="5"/>
  <c r="K695" i="5" s="1"/>
  <c r="J129" i="5"/>
  <c r="K129" i="5" s="1"/>
  <c r="J975" i="5"/>
  <c r="K975" i="5" s="1"/>
  <c r="J112" i="5"/>
  <c r="K112" i="5" s="1"/>
  <c r="J470" i="5"/>
  <c r="J799" i="5"/>
  <c r="J341" i="5"/>
  <c r="J730" i="5"/>
  <c r="K730" i="5" s="1"/>
  <c r="J625" i="5"/>
  <c r="K625" i="5" s="1"/>
  <c r="J381" i="5"/>
  <c r="J266" i="5"/>
  <c r="K266" i="5" s="1"/>
  <c r="J619" i="5"/>
  <c r="K619" i="5" s="1"/>
  <c r="J851" i="5"/>
  <c r="K851" i="5" s="1"/>
  <c r="J623" i="5"/>
  <c r="K623" i="5" s="1"/>
  <c r="J590" i="5"/>
  <c r="K590" i="5" s="1"/>
  <c r="J761" i="5"/>
  <c r="K761" i="5" s="1"/>
  <c r="J389" i="5"/>
  <c r="K389" i="5" s="1"/>
  <c r="J924" i="5"/>
  <c r="J848" i="5"/>
  <c r="K848" i="5" s="1"/>
  <c r="J928" i="5"/>
  <c r="K928" i="5" s="1"/>
  <c r="J180" i="5"/>
  <c r="K180" i="5" s="1"/>
  <c r="J968" i="5"/>
  <c r="K968" i="5" s="1"/>
  <c r="J473" i="5"/>
  <c r="K473" i="5" s="1"/>
  <c r="J748" i="5"/>
  <c r="K748" i="5" s="1"/>
  <c r="J612" i="5"/>
  <c r="K612" i="5" s="1"/>
  <c r="J859" i="5"/>
  <c r="K859" i="5" s="1"/>
  <c r="J802" i="5"/>
  <c r="K802" i="5" s="1"/>
  <c r="J177" i="5"/>
  <c r="K177" i="5" s="1"/>
  <c r="J195" i="5"/>
  <c r="J485" i="5"/>
  <c r="J785" i="5"/>
  <c r="K785" i="5" s="1"/>
  <c r="J55" i="5"/>
  <c r="K55" i="5" s="1"/>
  <c r="J486" i="5"/>
  <c r="K486" i="5" s="1"/>
  <c r="J562" i="5"/>
  <c r="J835" i="5"/>
  <c r="K835" i="5" s="1"/>
  <c r="J222" i="5"/>
  <c r="K222" i="5" s="1"/>
  <c r="J199" i="5"/>
  <c r="K199" i="5" s="1"/>
  <c r="J914" i="5"/>
  <c r="K914" i="5" s="1"/>
  <c r="J979" i="5"/>
  <c r="K979" i="5" s="1"/>
  <c r="J168" i="5"/>
  <c r="K168" i="5" s="1"/>
  <c r="J988" i="5"/>
  <c r="J599" i="5"/>
  <c r="K599" i="5" s="1"/>
  <c r="J575" i="5"/>
  <c r="K575" i="5" s="1"/>
  <c r="J247" i="5"/>
  <c r="K247" i="5" s="1"/>
  <c r="J18" i="5"/>
  <c r="K18" i="5" s="1"/>
  <c r="J697" i="5"/>
  <c r="K697" i="5" s="1"/>
  <c r="J925" i="5"/>
  <c r="K925" i="5" s="1"/>
  <c r="J941" i="5"/>
  <c r="K941" i="5" s="1"/>
  <c r="J333" i="5"/>
  <c r="K333" i="5" s="1"/>
  <c r="J547" i="5"/>
  <c r="K547" i="5" s="1"/>
  <c r="J621" i="5"/>
  <c r="K621" i="5" s="1"/>
  <c r="J39" i="5"/>
  <c r="K39" i="5" s="1"/>
  <c r="J797" i="5"/>
  <c r="K797" i="5" s="1"/>
  <c r="J394" i="5"/>
  <c r="K394" i="5" s="1"/>
  <c r="J405" i="5"/>
  <c r="J391" i="5"/>
  <c r="K391" i="5" s="1"/>
  <c r="J445" i="5"/>
  <c r="K445" i="5" s="1"/>
  <c r="J573" i="5"/>
  <c r="K573" i="5" s="1"/>
  <c r="J313" i="5"/>
  <c r="K313" i="5" s="1"/>
  <c r="J779" i="5"/>
  <c r="J421" i="5"/>
  <c r="K421" i="5" s="1"/>
  <c r="J659" i="5"/>
  <c r="K659" i="5" s="1"/>
  <c r="J221" i="5"/>
  <c r="K221" i="5" s="1"/>
  <c r="J170" i="5"/>
  <c r="K170" i="5" s="1"/>
  <c r="J800" i="5"/>
  <c r="K800" i="5" s="1"/>
  <c r="J451" i="5"/>
  <c r="K451" i="5" s="1"/>
  <c r="J976" i="5"/>
  <c r="K976" i="5" s="1"/>
  <c r="J449" i="5"/>
  <c r="K449" i="5" s="1"/>
  <c r="J264" i="5"/>
  <c r="K264" i="5" s="1"/>
  <c r="J863" i="5"/>
  <c r="K863" i="5" s="1"/>
  <c r="J710" i="5"/>
  <c r="K710" i="5" s="1"/>
  <c r="J215" i="5"/>
  <c r="K215" i="5" s="1"/>
  <c r="J308" i="5"/>
  <c r="K308" i="5" s="1"/>
  <c r="J550" i="5"/>
  <c r="K550" i="5" s="1"/>
  <c r="J591" i="5"/>
  <c r="K591" i="5" s="1"/>
  <c r="J85" i="5"/>
  <c r="K85" i="5" s="1"/>
  <c r="J403" i="5"/>
  <c r="K403" i="5" s="1"/>
  <c r="J980" i="5"/>
  <c r="K980" i="5" s="1"/>
  <c r="J461" i="5"/>
  <c r="K461" i="5" s="1"/>
  <c r="J153" i="5"/>
  <c r="K153" i="5" s="1"/>
  <c r="J856" i="5"/>
  <c r="K856" i="5" s="1"/>
  <c r="J806" i="5"/>
  <c r="K806" i="5" s="1"/>
  <c r="J617" i="5"/>
  <c r="K617" i="5" s="1"/>
  <c r="J787" i="5"/>
  <c r="K787" i="5" s="1"/>
  <c r="J974" i="5"/>
  <c r="K974" i="5" s="1"/>
  <c r="J423" i="5"/>
  <c r="K423" i="5" s="1"/>
  <c r="J687" i="5"/>
  <c r="K687" i="5" s="1"/>
  <c r="J71" i="5"/>
  <c r="K71" i="5" s="1"/>
  <c r="J564" i="5"/>
  <c r="K564" i="5" s="1"/>
  <c r="J208" i="5"/>
  <c r="K208" i="5" s="1"/>
  <c r="J68" i="5"/>
  <c r="K68" i="5" s="1"/>
  <c r="J674" i="5"/>
  <c r="K674" i="5" s="1"/>
  <c r="J103" i="5"/>
  <c r="K103" i="5" s="1"/>
  <c r="J505" i="5"/>
  <c r="K505" i="5" s="1"/>
  <c r="J94" i="5"/>
  <c r="K94" i="5" s="1"/>
  <c r="J788" i="5"/>
  <c r="K788" i="5" s="1"/>
  <c r="J395" i="5"/>
  <c r="K395" i="5" s="1"/>
  <c r="J931" i="5"/>
  <c r="K931" i="5" s="1"/>
  <c r="J323" i="5"/>
  <c r="K323" i="5" s="1"/>
  <c r="J459" i="5"/>
  <c r="K459" i="5" s="1"/>
  <c r="J873" i="5"/>
  <c r="K873" i="5" s="1"/>
  <c r="J70" i="5"/>
  <c r="K70" i="5" s="1"/>
  <c r="J424" i="5"/>
  <c r="K424" i="5" s="1"/>
  <c r="J114" i="5"/>
  <c r="K114" i="5" s="1"/>
  <c r="J878" i="5"/>
  <c r="K878" i="5" s="1"/>
  <c r="J443" i="5"/>
  <c r="K443" i="5" s="1"/>
  <c r="J475" i="5"/>
  <c r="K475" i="5" s="1"/>
  <c r="J940" i="5"/>
  <c r="K940" i="5" s="1"/>
  <c r="J650" i="5"/>
  <c r="K650" i="5" s="1"/>
  <c r="J921" i="5"/>
  <c r="J786" i="5"/>
  <c r="K786" i="5" s="1"/>
  <c r="J23" i="5"/>
  <c r="K23" i="5" s="1"/>
  <c r="J585" i="5"/>
  <c r="J733" i="5"/>
  <c r="K733" i="5" s="1"/>
  <c r="J209" i="5"/>
  <c r="J876" i="5"/>
  <c r="K876" i="5" s="1"/>
  <c r="J793" i="5"/>
  <c r="K793" i="5" s="1"/>
  <c r="J161" i="5"/>
  <c r="K161" i="5" s="1"/>
  <c r="J948" i="5"/>
  <c r="K948" i="5" s="1"/>
  <c r="J996" i="5"/>
  <c r="K996" i="5" s="1"/>
  <c r="J259" i="5"/>
  <c r="K259" i="5" s="1"/>
  <c r="J729" i="5"/>
  <c r="K729" i="5" s="1"/>
  <c r="J467" i="5"/>
  <c r="K467" i="5" s="1"/>
  <c r="J78" i="5"/>
  <c r="K78" i="5" s="1"/>
  <c r="J469" i="5"/>
  <c r="K469" i="5" s="1"/>
  <c r="K229" i="5"/>
  <c r="K671" i="5"/>
  <c r="K345" i="5"/>
  <c r="K357" i="5"/>
  <c r="K600" i="5"/>
  <c r="K998" i="5"/>
  <c r="K506" i="5"/>
  <c r="K285" i="5"/>
  <c r="K821" i="5"/>
  <c r="K519" i="5"/>
  <c r="K879" i="5"/>
  <c r="K296" i="5"/>
  <c r="K984" i="5"/>
  <c r="K390" i="5"/>
  <c r="K913" i="5"/>
  <c r="K665" i="5"/>
  <c r="K344" i="5"/>
  <c r="K354" i="5"/>
  <c r="K870" i="5"/>
  <c r="K420" i="5"/>
  <c r="K839" i="5"/>
  <c r="K150" i="5"/>
  <c r="K80" i="5"/>
  <c r="K807" i="5"/>
  <c r="K530" i="5"/>
  <c r="K275" i="5"/>
  <c r="K905" i="5"/>
  <c r="K69" i="5"/>
  <c r="K17" i="5"/>
  <c r="K14" i="5"/>
  <c r="K224" i="5"/>
  <c r="K707" i="5"/>
  <c r="K713" i="5"/>
  <c r="K186" i="5"/>
  <c r="K527" i="5"/>
  <c r="K750" i="5"/>
  <c r="K520" i="5"/>
  <c r="K677" i="5"/>
  <c r="K330" i="5"/>
  <c r="K809" i="5"/>
  <c r="K938" i="5"/>
  <c r="K818" i="5"/>
  <c r="K371" i="5"/>
  <c r="K468" i="5"/>
  <c r="K798" i="5"/>
  <c r="K678" i="5"/>
  <c r="K66" i="5"/>
  <c r="K711" i="5"/>
  <c r="K535" i="5"/>
  <c r="K753" i="5"/>
  <c r="K949" i="5"/>
  <c r="K147" i="5"/>
  <c r="K84" i="5"/>
  <c r="K355" i="5"/>
  <c r="K814" i="5"/>
  <c r="K171" i="5"/>
  <c r="K315" i="5"/>
  <c r="K478" i="5"/>
  <c r="K526" i="5"/>
  <c r="K945" i="5"/>
  <c r="K278" i="5"/>
  <c r="K682" i="5"/>
  <c r="K822" i="5"/>
  <c r="K470" i="5"/>
  <c r="K582" i="5"/>
  <c r="K982" i="5"/>
  <c r="K805" i="5"/>
  <c r="K382" i="5"/>
  <c r="K746" i="5"/>
  <c r="K89" i="5"/>
  <c r="K734" i="5"/>
  <c r="K273" i="5"/>
  <c r="K824" i="5"/>
  <c r="K987" i="5"/>
  <c r="K433" i="5"/>
  <c r="K12" i="5"/>
  <c r="K828" i="5"/>
  <c r="K189" i="5"/>
  <c r="K297" i="5"/>
  <c r="K303" i="5"/>
  <c r="K384" i="5"/>
  <c r="K813" i="5"/>
  <c r="K33" i="5"/>
  <c r="K956" i="5"/>
  <c r="K53" i="5"/>
  <c r="K692" i="5"/>
  <c r="K834" i="5"/>
  <c r="K496" i="5"/>
  <c r="K465" i="5"/>
  <c r="K652" i="5"/>
  <c r="K37" i="5"/>
  <c r="K422" i="5"/>
  <c r="K1001" i="5"/>
  <c r="K517" i="5"/>
  <c r="K525" i="5"/>
  <c r="K922" i="5"/>
  <c r="K284" i="5"/>
  <c r="K90" i="5"/>
  <c r="K918" i="5"/>
  <c r="K709" i="5"/>
  <c r="K135" i="5"/>
  <c r="K647" i="5"/>
  <c r="K572" i="5"/>
  <c r="K635" i="5"/>
  <c r="K287" i="5"/>
  <c r="K317" i="5"/>
  <c r="K341" i="5"/>
  <c r="K653" i="5"/>
  <c r="K927" i="5"/>
  <c r="K366" i="5"/>
  <c r="K210" i="5"/>
  <c r="K13" i="5"/>
  <c r="K616" i="5"/>
  <c r="K195" i="5"/>
  <c r="K852" i="5"/>
  <c r="K305" i="5"/>
  <c r="K560" i="5"/>
  <c r="K795" i="5"/>
  <c r="K722" i="5"/>
  <c r="K1003" i="5"/>
  <c r="K122" i="5"/>
  <c r="K689" i="5"/>
  <c r="K463" i="5"/>
  <c r="K595" i="5"/>
  <c r="K585" i="5"/>
  <c r="K36" i="5"/>
  <c r="K472" i="5"/>
  <c r="K561" i="5"/>
  <c r="K917" i="5"/>
  <c r="K871" i="5"/>
  <c r="K832" i="5"/>
  <c r="K503" i="5"/>
  <c r="K537" i="5"/>
  <c r="K900" i="5"/>
  <c r="K435" i="5"/>
  <c r="K434" i="5"/>
  <c r="K438" i="5"/>
  <c r="K916" i="5"/>
  <c r="K254" i="5"/>
  <c r="K166" i="5"/>
  <c r="K377" i="5"/>
  <c r="K60" i="5"/>
  <c r="K971" i="5"/>
  <c r="K935" i="5"/>
  <c r="K51" i="5"/>
  <c r="K731" i="5"/>
  <c r="K120" i="5"/>
  <c r="K515" i="5"/>
  <c r="K49" i="5"/>
  <c r="K405" i="5"/>
  <c r="K484" i="5"/>
  <c r="K223" i="5"/>
  <c r="K639" i="5"/>
  <c r="K501" i="5"/>
  <c r="K75" i="5"/>
  <c r="K684" i="5"/>
  <c r="K370" i="5"/>
  <c r="K106" i="5"/>
  <c r="K99" i="5"/>
  <c r="K915" i="5"/>
  <c r="K646" i="5"/>
  <c r="K781" i="5"/>
  <c r="K342" i="5"/>
  <c r="K30" i="5"/>
  <c r="K324" i="5"/>
  <c r="K849" i="5"/>
  <c r="K268" i="5"/>
  <c r="K142" i="5"/>
  <c r="K412" i="5"/>
  <c r="K270" i="5"/>
  <c r="K921" i="5"/>
  <c r="K583" i="5"/>
  <c r="K498" i="5"/>
  <c r="K964" i="5"/>
  <c r="K283" i="5"/>
  <c r="K154" i="5"/>
  <c r="K536" i="5"/>
  <c r="K269" i="5"/>
  <c r="K306" i="5"/>
  <c r="K477" i="5"/>
  <c r="K545" i="5"/>
  <c r="K332" i="5"/>
  <c r="K686" i="5"/>
  <c r="K188" i="5"/>
  <c r="K490" i="5"/>
  <c r="K117" i="5"/>
  <c r="K563" i="5"/>
  <c r="K164" i="5"/>
  <c r="K192" i="5"/>
  <c r="K514" i="5"/>
  <c r="K690" i="5"/>
  <c r="K700" i="5"/>
  <c r="K58" i="5"/>
  <c r="K131" i="5"/>
  <c r="K702" i="5"/>
  <c r="K743" i="5"/>
  <c r="K955" i="5"/>
  <c r="K701" i="5"/>
  <c r="K483" i="5"/>
  <c r="K958" i="5"/>
  <c r="K495" i="5"/>
  <c r="K480" i="5"/>
  <c r="K777" i="5"/>
  <c r="K950" i="5"/>
  <c r="K25" i="5"/>
  <c r="K196" i="5"/>
  <c r="K309" i="5"/>
  <c r="K844" i="5"/>
  <c r="K936" i="5"/>
  <c r="K719" i="5"/>
  <c r="K641" i="5"/>
  <c r="K319" i="5"/>
  <c r="K912" i="5"/>
  <c r="K28" i="5"/>
  <c r="K125" i="5"/>
  <c r="K992" i="5"/>
  <c r="K732" i="5"/>
  <c r="K234" i="5"/>
  <c r="K699" i="5"/>
  <c r="K981" i="5"/>
  <c r="K615" i="5"/>
  <c r="K369" i="5"/>
  <c r="K754" i="5"/>
  <c r="K63" i="5"/>
  <c r="K175" i="5"/>
  <c r="K386" i="5"/>
  <c r="K20" i="5"/>
  <c r="K400" i="5"/>
  <c r="K320" i="5"/>
  <c r="K238" i="5"/>
  <c r="K705" i="5"/>
  <c r="K143" i="5"/>
  <c r="K299" i="5"/>
  <c r="K745" i="5"/>
  <c r="K765" i="5"/>
  <c r="K770" i="5"/>
  <c r="K910" i="5"/>
  <c r="K533" i="5"/>
  <c r="K471" i="5"/>
  <c r="K994" i="5"/>
  <c r="K512" i="5"/>
  <c r="K276" i="5"/>
  <c r="K255" i="5"/>
  <c r="K756" i="5"/>
  <c r="K911" i="5"/>
  <c r="K375" i="5"/>
  <c r="K654" i="5"/>
  <c r="K380" i="5"/>
  <c r="K367" i="5"/>
  <c r="K430" i="5"/>
  <c r="K441" i="5"/>
  <c r="K562" i="5"/>
  <c r="K966" i="5"/>
  <c r="K365" i="5"/>
  <c r="K683" i="5"/>
  <c r="K414" i="5"/>
  <c r="K901" i="5"/>
  <c r="K267" i="5"/>
  <c r="K751" i="5"/>
  <c r="K32" i="5"/>
  <c r="K35" i="5"/>
  <c r="K79" i="5"/>
  <c r="K86" i="5"/>
  <c r="K555" i="5"/>
  <c r="K396" i="5"/>
  <c r="K419" i="5"/>
  <c r="K298" i="5"/>
  <c r="K347" i="5"/>
  <c r="K1000" i="5"/>
  <c r="K874" i="5"/>
  <c r="K372" i="5"/>
  <c r="K744" i="5"/>
  <c r="K541" i="5"/>
  <c r="K183" i="5"/>
  <c r="K792" i="5"/>
  <c r="K779" i="5"/>
  <c r="K819" i="5"/>
  <c r="K618" i="5"/>
  <c r="K937" i="5"/>
  <c r="K15" i="5"/>
  <c r="K610" i="5"/>
  <c r="K481" i="5"/>
  <c r="K694" i="5"/>
  <c r="K634" i="5"/>
  <c r="K77" i="5"/>
  <c r="K529" i="5"/>
  <c r="K346" i="5"/>
  <c r="K88" i="5"/>
  <c r="K212" i="5"/>
  <c r="K626" i="5"/>
  <c r="K64" i="5"/>
  <c r="K104" i="5"/>
  <c r="K963" i="5"/>
  <c r="K502" i="5"/>
  <c r="K62" i="5"/>
  <c r="K608" i="5"/>
  <c r="K808" i="5"/>
  <c r="K680" i="5"/>
  <c r="K588" i="5"/>
  <c r="K538" i="5"/>
  <c r="K620" i="5"/>
  <c r="K295" i="5"/>
  <c r="K11" i="5"/>
  <c r="K249" i="5"/>
  <c r="K401" i="5"/>
  <c r="K509" i="5"/>
  <c r="K574" i="5"/>
  <c r="K721" i="5"/>
  <c r="K410" i="5"/>
  <c r="K681" i="5"/>
  <c r="K637" i="5"/>
  <c r="K174" i="5"/>
  <c r="K191" i="5"/>
  <c r="K262" i="5"/>
  <c r="K227" i="5"/>
  <c r="K360" i="5"/>
  <c r="K353" i="5"/>
  <c r="K708" i="5"/>
  <c r="K263" i="5"/>
  <c r="K747" i="5"/>
  <c r="K398" i="5"/>
  <c r="K127" i="5"/>
  <c r="K383" i="5"/>
  <c r="K823" i="5"/>
  <c r="K866" i="5"/>
  <c r="K124" i="5"/>
  <c r="K898" i="5"/>
  <c r="K643" i="5"/>
  <c r="K944" i="5"/>
  <c r="K381" i="5"/>
  <c r="K727" i="5"/>
  <c r="K31" i="5"/>
  <c r="K827" i="5"/>
  <c r="K869" i="5"/>
  <c r="K888" i="5"/>
  <c r="K339" i="5"/>
  <c r="K322" i="5"/>
  <c r="K728" i="5"/>
  <c r="K479" i="5"/>
  <c r="K113" i="5"/>
  <c r="K257" i="5"/>
  <c r="K48" i="5"/>
  <c r="K187" i="5"/>
  <c r="K232" i="5"/>
  <c r="K657" i="5"/>
  <c r="K172" i="5"/>
  <c r="K293" i="5"/>
  <c r="K193" i="5"/>
  <c r="K885" i="5"/>
  <c r="K92" i="5"/>
  <c r="K300" i="5"/>
  <c r="K448" i="5"/>
  <c r="K352" i="5"/>
  <c r="K988" i="5"/>
  <c r="K134" i="5"/>
  <c r="K782" i="5"/>
  <c r="K790" i="5"/>
  <c r="K95" i="5"/>
  <c r="K107" i="5"/>
  <c r="K326" i="5"/>
  <c r="K364" i="5"/>
  <c r="K331" i="5"/>
  <c r="K197" i="5"/>
  <c r="K661" i="5"/>
  <c r="K952" i="5"/>
  <c r="K714" i="5"/>
  <c r="K997" i="5"/>
  <c r="K589" i="5"/>
  <c r="K861" i="5"/>
  <c r="K226" i="5"/>
  <c r="K629" i="5"/>
  <c r="K961" i="5"/>
  <c r="K977" i="5"/>
  <c r="K148" i="5"/>
  <c r="K397" i="5"/>
  <c r="K887" i="5"/>
  <c r="K959" i="5"/>
  <c r="K363" i="5"/>
  <c r="K602" i="5"/>
  <c r="K763" i="5"/>
  <c r="K890" i="5"/>
  <c r="K724" i="5"/>
  <c r="K279" i="5"/>
  <c r="K847" i="5"/>
  <c r="K768" i="5"/>
  <c r="K97" i="5"/>
  <c r="K553" i="5"/>
  <c r="K559" i="5"/>
  <c r="K579" i="5"/>
  <c r="K973" i="5"/>
  <c r="K328" i="5"/>
  <c r="K725" i="5"/>
  <c r="K74" i="5"/>
  <c r="K156" i="5"/>
  <c r="K567" i="5"/>
  <c r="K766" i="5"/>
  <c r="K100" i="5"/>
  <c r="K432" i="5"/>
  <c r="K407" i="5"/>
  <c r="K933" i="5"/>
  <c r="K45" i="5"/>
  <c r="K816" i="5"/>
  <c r="K531" i="5"/>
  <c r="K923" i="5"/>
  <c r="K528" i="5"/>
  <c r="K749" i="5"/>
  <c r="K447" i="5"/>
  <c r="K855" i="5"/>
  <c r="K348" i="5"/>
  <c r="K409" i="5"/>
  <c r="K666" i="5"/>
  <c r="K258" i="5"/>
  <c r="K236" i="5"/>
  <c r="K811" i="5"/>
  <c r="K98" i="5"/>
  <c r="K343" i="5"/>
  <c r="K132" i="5"/>
  <c r="K108" i="5"/>
  <c r="K978" i="5"/>
  <c r="K38" i="5"/>
  <c r="K679" i="5"/>
  <c r="K144" i="5"/>
  <c r="K648" i="5"/>
  <c r="K204" i="5"/>
  <c r="K46" i="5"/>
  <c r="K404" i="5"/>
  <c r="K184" i="5"/>
  <c r="K539" i="5"/>
  <c r="K157" i="5"/>
  <c r="K202" i="5"/>
  <c r="K868" i="5"/>
  <c r="K233" i="5"/>
  <c r="K163" i="5"/>
  <c r="K596" i="5"/>
  <c r="K482" i="5"/>
  <c r="K429" i="5"/>
  <c r="K500" i="5"/>
  <c r="K638" i="5"/>
  <c r="K760" i="5"/>
  <c r="K576" i="5"/>
  <c r="K7" i="5"/>
  <c r="K235" i="5"/>
  <c r="K668" i="5"/>
  <c r="K418" i="5"/>
  <c r="K415" i="5"/>
  <c r="K663" i="5"/>
  <c r="K93" i="5"/>
  <c r="K211" i="5"/>
  <c r="K203" i="5"/>
  <c r="K826" i="5"/>
  <c r="K8" i="5"/>
  <c r="K476" i="5"/>
  <c r="K205" i="5"/>
  <c r="K27" i="5"/>
  <c r="K656" i="5"/>
  <c r="K658" i="5"/>
  <c r="K858" i="5"/>
  <c r="K373" i="5"/>
  <c r="K281" i="5"/>
  <c r="K460" i="5"/>
  <c r="K693" i="5"/>
  <c r="K549" i="5"/>
  <c r="K321" i="5"/>
  <c r="K118" i="5"/>
  <c r="K676" i="5"/>
  <c r="K825" i="5"/>
  <c r="K76" i="5"/>
  <c r="K292" i="5"/>
  <c r="K294" i="5"/>
  <c r="K715" i="5"/>
  <c r="K664" i="5"/>
  <c r="K140" i="5"/>
  <c r="K379" i="5"/>
  <c r="K21" i="5"/>
  <c r="K1005" i="5"/>
  <c r="K206" i="5"/>
  <c r="K609" i="5"/>
  <c r="K833" i="5"/>
  <c r="K603" i="5"/>
  <c r="K985" i="5"/>
  <c r="K837" i="5"/>
  <c r="K185" i="5"/>
  <c r="K251" i="5"/>
  <c r="K301" i="5"/>
  <c r="K581" i="5"/>
  <c r="K875" i="5"/>
  <c r="K442" i="5"/>
  <c r="K853" i="5"/>
  <c r="K160" i="5"/>
  <c r="K897" i="5"/>
  <c r="K207" i="5"/>
  <c r="K508" i="5"/>
  <c r="K82" i="5"/>
  <c r="K542" i="5"/>
  <c r="K815" i="5"/>
  <c r="K176" i="5"/>
  <c r="K532" i="5"/>
  <c r="K673" i="5"/>
  <c r="K622" i="5"/>
  <c r="K462" i="5"/>
  <c r="K799" i="5"/>
  <c r="K906" i="5"/>
  <c r="K231" i="5"/>
  <c r="K359" i="5"/>
  <c r="K440" i="5"/>
  <c r="K954" i="5"/>
  <c r="K716" i="5"/>
  <c r="K450" i="5"/>
  <c r="K349" i="5"/>
  <c r="K497" i="5"/>
  <c r="K645" i="5"/>
  <c r="K289" i="5"/>
  <c r="K789" i="5"/>
  <c r="K675" i="5"/>
  <c r="K374" i="5"/>
  <c r="K338" i="5"/>
  <c r="K137" i="5"/>
  <c r="K504" i="5"/>
  <c r="K19" i="5"/>
  <c r="K836" i="5"/>
  <c r="K464" i="5"/>
  <c r="K738" i="5"/>
  <c r="K241" i="5"/>
  <c r="K1004" i="5"/>
  <c r="K50" i="5"/>
  <c r="K10" i="5"/>
  <c r="K953" i="5"/>
  <c r="K1002" i="5"/>
  <c r="K474" i="5"/>
  <c r="K899" i="5"/>
  <c r="K580" i="5"/>
  <c r="K891" i="5"/>
  <c r="K780" i="5"/>
  <c r="K762" i="5"/>
  <c r="K857" i="5"/>
  <c r="K544" i="5"/>
  <c r="K408" i="5"/>
  <c r="K841" i="5"/>
  <c r="K566" i="5"/>
  <c r="K121" i="5"/>
  <c r="K329" i="5"/>
  <c r="K145" i="5"/>
  <c r="K741" i="5"/>
  <c r="K237" i="5"/>
  <c r="K838" i="5"/>
  <c r="K178" i="5"/>
  <c r="K783" i="5"/>
  <c r="K325" i="5"/>
  <c r="K644" i="5"/>
  <c r="K487" i="5"/>
  <c r="K111" i="5"/>
  <c r="K909" i="5"/>
  <c r="K670" i="5"/>
  <c r="K801" i="5"/>
  <c r="K939" i="5"/>
  <c r="K485" i="5"/>
  <c r="K969" i="5"/>
  <c r="K402" i="5"/>
  <c r="K752" i="5"/>
  <c r="K351" i="5"/>
  <c r="K200" i="5"/>
  <c r="K499" i="5"/>
  <c r="K454" i="5"/>
  <c r="K884" i="5"/>
  <c r="K669" i="5"/>
  <c r="K551" i="5"/>
  <c r="K288" i="5"/>
  <c r="K340" i="5"/>
  <c r="K543" i="5"/>
  <c r="K717" i="5"/>
  <c r="K141" i="5"/>
  <c r="K83" i="5"/>
  <c r="K578" i="5"/>
  <c r="K554" i="5"/>
  <c r="K993" i="5"/>
  <c r="K598" i="5"/>
  <c r="K607" i="5"/>
  <c r="K406" i="5"/>
  <c r="K96" i="5"/>
  <c r="K261" i="5"/>
  <c r="K277" i="5"/>
  <c r="K165" i="5"/>
  <c r="K179" i="5"/>
  <c r="K660" i="5"/>
  <c r="K672" i="5"/>
  <c r="K817" i="5"/>
  <c r="K778" i="5"/>
  <c r="K126" i="5"/>
  <c r="K594" i="5"/>
  <c r="K491" i="5"/>
  <c r="K318" i="5"/>
  <c r="K56" i="5"/>
  <c r="K214" i="5"/>
  <c r="K893" i="5"/>
  <c r="K995" i="5"/>
  <c r="K110" i="5"/>
  <c r="K983" i="5"/>
  <c r="K989" i="5"/>
  <c r="K246" i="5"/>
  <c r="K726" i="5"/>
  <c r="K350" i="5"/>
  <c r="K399" i="5"/>
  <c r="K601" i="5"/>
  <c r="K136" i="5"/>
  <c r="K577" i="5"/>
  <c r="K456" i="5"/>
  <c r="K492" i="5"/>
  <c r="K882" i="5"/>
  <c r="K87" i="5"/>
  <c r="K924" i="5"/>
  <c r="K158" i="5"/>
  <c r="K957" i="5"/>
  <c r="K458" i="5"/>
  <c r="K52" i="5"/>
  <c r="K667" i="5"/>
  <c r="K1006" i="5"/>
  <c r="K304" i="5"/>
  <c r="K167" i="5"/>
  <c r="K152" i="5"/>
  <c r="K388" i="5"/>
  <c r="K742" i="5"/>
  <c r="K73" i="5"/>
  <c r="K691" i="5"/>
  <c r="K72" i="5"/>
  <c r="K593" i="5"/>
  <c r="K892" i="5"/>
  <c r="K723" i="5"/>
  <c r="K947" i="5"/>
  <c r="K907" i="5"/>
  <c r="K999" i="5"/>
  <c r="K872" i="5"/>
  <c r="K776" i="5"/>
  <c r="K217" i="5"/>
  <c r="K228" i="5"/>
  <c r="K586" i="5"/>
  <c r="K904" i="5"/>
  <c r="K291" i="5"/>
  <c r="K584" i="5"/>
  <c r="K867" i="5"/>
  <c r="K565" i="5"/>
  <c r="K775" i="5"/>
  <c r="K334" i="5"/>
  <c r="K280" i="5"/>
  <c r="K932" i="5"/>
  <c r="K880" i="5"/>
  <c r="K587" i="5"/>
  <c r="K42" i="5"/>
  <c r="K181" i="5"/>
  <c r="K651" i="5"/>
  <c r="K772" i="5"/>
  <c r="K829" i="5"/>
  <c r="K522" i="5"/>
  <c r="K986" i="5"/>
  <c r="K109" i="5"/>
  <c r="K854" i="5"/>
  <c r="K209" i="5"/>
  <c r="K864" i="5"/>
  <c r="K115" i="5"/>
  <c r="K920" i="5"/>
  <c r="K41" i="5"/>
  <c r="K358" i="5"/>
  <c r="K704" i="5"/>
  <c r="K842" i="5"/>
  <c r="K392" i="5"/>
  <c r="K489" i="5"/>
  <c r="K804" i="5"/>
  <c r="K218" i="5"/>
  <c r="K703" i="5"/>
  <c r="K362" i="5"/>
  <c r="K943" i="5"/>
  <c r="K919" i="5"/>
  <c r="K991" i="5"/>
  <c r="K758" i="5"/>
  <c r="K29" i="5"/>
  <c r="K376" i="5"/>
  <c r="K740" i="5"/>
  <c r="K426" i="5"/>
  <c r="K91" i="5"/>
  <c r="K219" i="5"/>
  <c r="K230" i="5"/>
  <c r="K44" i="5"/>
  <c r="K260" i="5"/>
  <c r="K886" i="5"/>
  <c r="K453" i="5"/>
  <c r="K628" i="5"/>
  <c r="K942" i="5"/>
  <c r="K40" i="5"/>
  <c r="K101" i="5"/>
  <c r="K312" i="5"/>
  <c r="K378" i="5"/>
  <c r="K220" i="5"/>
  <c r="K446" i="5"/>
  <c r="K105" i="5"/>
  <c r="K662" i="5"/>
  <c r="K428" i="5"/>
  <c r="K548" i="5"/>
  <c r="K67" i="5"/>
  <c r="K182" i="5"/>
  <c r="K784" i="5"/>
  <c r="K972" i="5"/>
  <c r="K65" i="5"/>
  <c r="K640" i="5"/>
  <c r="K149" i="5"/>
  <c r="K771" i="5"/>
  <c r="K736" i="5"/>
  <c r="K169" i="5"/>
  <c r="K649" i="5"/>
  <c r="K439" i="5"/>
  <c r="K216" i="5"/>
  <c r="K248" i="5"/>
  <c r="K494" i="5"/>
  <c r="K436" i="5"/>
  <c r="K946" i="5"/>
  <c r="K883" i="5"/>
  <c r="K213" i="5"/>
  <c r="K521" i="5"/>
  <c r="K606" i="5"/>
  <c r="K632" i="5"/>
  <c r="K889" i="5"/>
  <c r="K534" i="5"/>
  <c r="K139" i="5"/>
  <c r="K455" i="5"/>
  <c r="K831" i="5"/>
  <c r="K604" i="5"/>
  <c r="K457" i="5"/>
  <c r="K902" i="5"/>
  <c r="K240" i="5"/>
  <c r="K614" i="5"/>
  <c r="K102" i="5"/>
  <c r="K431" i="5"/>
  <c r="K337" i="5"/>
  <c r="K138" i="5"/>
  <c r="K605" i="5"/>
  <c r="K967" i="5"/>
  <c r="K201" i="5"/>
  <c r="K425" i="5"/>
  <c r="K630" i="5"/>
  <c r="K845" i="5"/>
  <c r="K929" i="5"/>
  <c r="K256" i="5"/>
  <c r="K310" i="5"/>
  <c r="K685" i="5"/>
  <c r="K16" i="5"/>
  <c r="K895" i="5"/>
  <c r="K759" i="5"/>
  <c r="K416" i="5"/>
  <c r="K444" i="5"/>
  <c r="K570" i="5"/>
  <c r="K965" i="5"/>
  <c r="K513" i="5"/>
  <c r="K253" i="5"/>
  <c r="K930" i="5"/>
  <c r="K636" i="5"/>
  <c r="K592" i="5"/>
  <c r="K198" i="5"/>
  <c r="K24" i="5"/>
  <c r="K128" i="5"/>
  <c r="K523" i="5"/>
  <c r="K361" i="5"/>
  <c r="K908" i="5"/>
  <c r="K385" i="5"/>
  <c r="K290" i="5"/>
  <c r="K737" i="5"/>
  <c r="K877" i="5"/>
  <c r="K81" i="5"/>
  <c r="K356" i="5"/>
  <c r="K524" i="5"/>
  <c r="K850" i="5"/>
  <c r="K250" i="5"/>
  <c r="K767" i="5"/>
  <c r="K244" i="5"/>
  <c r="K546" i="5"/>
  <c r="K769" i="5"/>
  <c r="K568" i="5"/>
  <c r="K865" i="5"/>
  <c r="K611" i="5"/>
  <c r="K613" i="5"/>
  <c r="K556" i="5"/>
  <c r="K881" i="5"/>
  <c r="K282" i="5"/>
  <c r="K119" i="5"/>
  <c r="K162" i="5"/>
  <c r="K960" i="5"/>
  <c r="K61" i="5"/>
  <c r="K810" i="5"/>
  <c r="K336" i="5"/>
  <c r="K393" i="5"/>
  <c r="K437" i="5"/>
  <c r="K696" i="5"/>
  <c r="K59" i="5"/>
  <c r="K190" i="5"/>
  <c r="K698" i="5"/>
  <c r="K47" i="5"/>
  <c r="K239" i="5"/>
  <c r="K712" i="5"/>
  <c r="K518" i="5"/>
  <c r="K387" i="5"/>
  <c r="K843" i="5"/>
  <c r="K803" i="5"/>
  <c r="K655" i="5"/>
  <c r="K146" i="5"/>
  <c r="K452" i="5"/>
  <c r="K794" i="5"/>
  <c r="K151" i="5"/>
  <c r="K773" i="5"/>
  <c r="K571" i="5"/>
  <c r="K34" i="5"/>
  <c r="K311" i="5"/>
  <c r="K488" i="5"/>
  <c r="K764" i="5"/>
  <c r="K970" i="5"/>
  <c r="K557" i="5"/>
  <c r="K735" i="5"/>
  <c r="K271" i="5"/>
  <c r="K830" i="5"/>
  <c r="K720" i="5"/>
  <c r="K757" i="5"/>
  <c r="K252" i="5"/>
  <c r="K245" i="5"/>
  <c r="K624" i="5"/>
  <c r="K411" i="5"/>
  <c r="K860" i="5"/>
  <c r="K926" i="5"/>
  <c r="K755" i="5"/>
  <c r="G37" i="3" a="1"/>
  <c r="G37" i="3" s="1"/>
  <c r="I37" i="3" s="1"/>
  <c r="L624" i="5" l="1"/>
  <c r="L43" i="5"/>
  <c r="L151" i="5"/>
  <c r="L712" i="5"/>
  <c r="L61" i="5"/>
  <c r="L769" i="5"/>
  <c r="L385" i="5"/>
  <c r="L253" i="5"/>
  <c r="L310" i="5"/>
  <c r="L431" i="5"/>
  <c r="L632" i="5"/>
  <c r="L439" i="5"/>
  <c r="L55" i="5"/>
  <c r="L446" i="5"/>
  <c r="L44" i="5"/>
  <c r="L943" i="5"/>
  <c r="L41" i="5"/>
  <c r="L829" i="5"/>
  <c r="L706" i="5"/>
  <c r="L872" i="5"/>
  <c r="L388" i="5"/>
  <c r="L924" i="5"/>
  <c r="L246" i="5"/>
  <c r="L126" i="5"/>
  <c r="L406" i="5"/>
  <c r="L288" i="5"/>
  <c r="L485" i="5"/>
  <c r="L783" i="5"/>
  <c r="L841" i="5"/>
  <c r="L899" i="5"/>
  <c r="L836" i="5"/>
  <c r="L645" i="5"/>
  <c r="L94" i="5"/>
  <c r="L82" i="5"/>
  <c r="L185" i="5"/>
  <c r="L379" i="5"/>
  <c r="L321" i="5"/>
  <c r="L70" i="5"/>
  <c r="L840" i="5"/>
  <c r="L596" i="5"/>
  <c r="L204" i="5"/>
  <c r="L307" i="5"/>
  <c r="L447" i="5"/>
  <c r="L540" i="5"/>
  <c r="L553" i="5"/>
  <c r="L887" i="5"/>
  <c r="L861" i="5"/>
  <c r="L107" i="5"/>
  <c r="L293" i="5"/>
  <c r="L322" i="5"/>
  <c r="L898" i="5"/>
  <c r="L360" i="5"/>
  <c r="L574" i="5"/>
  <c r="L588" i="5"/>
  <c r="L64" i="5"/>
  <c r="L610" i="5"/>
  <c r="L372" i="5"/>
  <c r="L32" i="5"/>
  <c r="L441" i="5"/>
  <c r="L512" i="5"/>
  <c r="L238" i="5"/>
  <c r="L699" i="5"/>
  <c r="L844" i="5"/>
  <c r="L483" i="5"/>
  <c r="L700" i="5"/>
  <c r="L761" i="5"/>
  <c r="L964" i="5"/>
  <c r="L781" i="5"/>
  <c r="L194" i="5"/>
  <c r="L971" i="5"/>
  <c r="L503" i="5"/>
  <c r="L710" i="5"/>
  <c r="L13" i="5"/>
  <c r="L572" i="5"/>
  <c r="L517" i="5"/>
  <c r="L956" i="5"/>
  <c r="L433" i="5"/>
  <c r="L582" i="5"/>
  <c r="L814" i="5"/>
  <c r="L371" i="5"/>
  <c r="L707" i="5"/>
  <c r="L80" i="5"/>
  <c r="L879" i="5"/>
  <c r="L245" i="5"/>
  <c r="L475" i="5"/>
  <c r="L794" i="5"/>
  <c r="L239" i="5"/>
  <c r="L960" i="5"/>
  <c r="L546" i="5"/>
  <c r="L908" i="5"/>
  <c r="L513" i="5"/>
  <c r="L256" i="5"/>
  <c r="L102" i="5"/>
  <c r="L606" i="5"/>
  <c r="L649" i="5"/>
  <c r="L65" i="5"/>
  <c r="L220" i="5"/>
  <c r="L230" i="5"/>
  <c r="L362" i="5"/>
  <c r="L427" i="5"/>
  <c r="L772" i="5"/>
  <c r="L867" i="5"/>
  <c r="L999" i="5"/>
  <c r="L152" i="5"/>
  <c r="L87" i="5"/>
  <c r="L989" i="5"/>
  <c r="L778" i="5"/>
  <c r="L607" i="5"/>
  <c r="L551" i="5"/>
  <c r="L335" i="5"/>
  <c r="L178" i="5"/>
  <c r="L408" i="5"/>
  <c r="L474" i="5"/>
  <c r="L161" i="5"/>
  <c r="L497" i="5"/>
  <c r="L733" i="5"/>
  <c r="L508" i="5"/>
  <c r="L9" i="5"/>
  <c r="L980" i="5"/>
  <c r="L549" i="5"/>
  <c r="L476" i="5"/>
  <c r="L286" i="5"/>
  <c r="L163" i="5"/>
  <c r="L225" i="5"/>
  <c r="L98" i="5"/>
  <c r="L848" i="5"/>
  <c r="L100" i="5"/>
  <c r="L97" i="5"/>
  <c r="L397" i="5"/>
  <c r="L589" i="5"/>
  <c r="L95" i="5"/>
  <c r="L172" i="5"/>
  <c r="L339" i="5"/>
  <c r="L124" i="5"/>
  <c r="L227" i="5"/>
  <c r="L509" i="5"/>
  <c r="L511" i="5"/>
  <c r="L626" i="5"/>
  <c r="L599" i="5"/>
  <c r="L874" i="5"/>
  <c r="L591" i="5"/>
  <c r="L430" i="5"/>
  <c r="L994" i="5"/>
  <c r="L320" i="5"/>
  <c r="L234" i="5"/>
  <c r="L215" i="5"/>
  <c r="L505" i="5"/>
  <c r="L690" i="5"/>
  <c r="L545" i="5"/>
  <c r="L498" i="5"/>
  <c r="L931" i="5"/>
  <c r="L639" i="5"/>
  <c r="L60" i="5"/>
  <c r="L797" i="5"/>
  <c r="L689" i="5"/>
  <c r="L210" i="5"/>
  <c r="L199" i="5"/>
  <c r="L1001" i="5"/>
  <c r="L903" i="5"/>
  <c r="L987" i="5"/>
  <c r="L470" i="5"/>
  <c r="L355" i="5"/>
  <c r="L818" i="5"/>
  <c r="L224" i="5"/>
  <c r="L150" i="5"/>
  <c r="L519" i="5"/>
  <c r="L252" i="5"/>
  <c r="L557" i="5"/>
  <c r="L617" i="5"/>
  <c r="L47" i="5"/>
  <c r="L162" i="5"/>
  <c r="L244" i="5"/>
  <c r="L361" i="5"/>
  <c r="L965" i="5"/>
  <c r="L929" i="5"/>
  <c r="L614" i="5"/>
  <c r="L521" i="5"/>
  <c r="L169" i="5"/>
  <c r="L972" i="5"/>
  <c r="L378" i="5"/>
  <c r="L219" i="5"/>
  <c r="L703" i="5"/>
  <c r="L920" i="5"/>
  <c r="L651" i="5"/>
  <c r="L584" i="5"/>
  <c r="L907" i="5"/>
  <c r="L208" i="5"/>
  <c r="L882" i="5"/>
  <c r="L983" i="5"/>
  <c r="L817" i="5"/>
  <c r="L598" i="5"/>
  <c r="L669" i="5"/>
  <c r="L968" i="5"/>
  <c r="L168" i="5"/>
  <c r="L259" i="5"/>
  <c r="L1002" i="5"/>
  <c r="L222" i="5"/>
  <c r="L349" i="5"/>
  <c r="L799" i="5"/>
  <c r="L207" i="5"/>
  <c r="L837" i="5"/>
  <c r="L140" i="5"/>
  <c r="L413" i="5"/>
  <c r="L8" i="5"/>
  <c r="L668" i="5"/>
  <c r="L233" i="5"/>
  <c r="L688" i="5"/>
  <c r="L811" i="5"/>
  <c r="L749" i="5"/>
  <c r="L766" i="5"/>
  <c r="L768" i="5"/>
  <c r="L148" i="5"/>
  <c r="L997" i="5"/>
  <c r="L790" i="5"/>
  <c r="L657" i="5"/>
  <c r="L888" i="5"/>
  <c r="L866" i="5"/>
  <c r="L894" i="5"/>
  <c r="L401" i="5"/>
  <c r="L680" i="5"/>
  <c r="L403" i="5"/>
  <c r="L976" i="5"/>
  <c r="L1000" i="5"/>
  <c r="L751" i="5"/>
  <c r="L367" i="5"/>
  <c r="L471" i="5"/>
  <c r="L400" i="5"/>
  <c r="L732" i="5"/>
  <c r="L650" i="5"/>
  <c r="L701" i="5"/>
  <c r="L514" i="5"/>
  <c r="L786" i="5"/>
  <c r="L583" i="5"/>
  <c r="L646" i="5"/>
  <c r="L223" i="5"/>
  <c r="L377" i="5"/>
  <c r="L832" i="5"/>
  <c r="L122" i="5"/>
  <c r="L730" i="5"/>
  <c r="L647" i="5"/>
  <c r="L422" i="5"/>
  <c r="L266" i="5"/>
  <c r="L824" i="5"/>
  <c r="L822" i="5"/>
  <c r="L84" i="5"/>
  <c r="L938" i="5"/>
  <c r="L739" i="5"/>
  <c r="L839" i="5"/>
  <c r="L821" i="5"/>
  <c r="L970" i="5"/>
  <c r="L452" i="5"/>
  <c r="L698" i="5"/>
  <c r="L119" i="5"/>
  <c r="L767" i="5"/>
  <c r="L523" i="5"/>
  <c r="L570" i="5"/>
  <c r="L845" i="5"/>
  <c r="L240" i="5"/>
  <c r="L213" i="5"/>
  <c r="L272" i="5"/>
  <c r="L784" i="5"/>
  <c r="L312" i="5"/>
  <c r="L91" i="5"/>
  <c r="L218" i="5"/>
  <c r="L115" i="5"/>
  <c r="L181" i="5"/>
  <c r="L291" i="5"/>
  <c r="L947" i="5"/>
  <c r="L167" i="5"/>
  <c r="L492" i="5"/>
  <c r="L110" i="5"/>
  <c r="L672" i="5"/>
  <c r="L993" i="5"/>
  <c r="L884" i="5"/>
  <c r="L939" i="5"/>
  <c r="L951" i="5"/>
  <c r="L544" i="5"/>
  <c r="L953" i="5"/>
  <c r="L19" i="5"/>
  <c r="L450" i="5"/>
  <c r="L462" i="5"/>
  <c r="L619" i="5"/>
  <c r="L985" i="5"/>
  <c r="L664" i="5"/>
  <c r="L693" i="5"/>
  <c r="L826" i="5"/>
  <c r="L235" i="5"/>
  <c r="L868" i="5"/>
  <c r="L648" i="5"/>
  <c r="L516" i="5"/>
  <c r="L528" i="5"/>
  <c r="L567" i="5"/>
  <c r="L847" i="5"/>
  <c r="L22" i="5"/>
  <c r="L308" i="5"/>
  <c r="L782" i="5"/>
  <c r="L232" i="5"/>
  <c r="L869" i="5"/>
  <c r="L823" i="5"/>
  <c r="L262" i="5"/>
  <c r="L180" i="5"/>
  <c r="L808" i="5"/>
  <c r="L212" i="5"/>
  <c r="L15" i="5"/>
  <c r="L347" i="5"/>
  <c r="L914" i="5"/>
  <c r="L846" i="5"/>
  <c r="L533" i="5"/>
  <c r="L20" i="5"/>
  <c r="L992" i="5"/>
  <c r="L309" i="5"/>
  <c r="L955" i="5"/>
  <c r="L192" i="5"/>
  <c r="L78" i="5"/>
  <c r="L921" i="5"/>
  <c r="L915" i="5"/>
  <c r="L948" i="5"/>
  <c r="L166" i="5"/>
  <c r="L871" i="5"/>
  <c r="L1003" i="5"/>
  <c r="L990" i="5"/>
  <c r="L135" i="5"/>
  <c r="L417" i="5"/>
  <c r="L33" i="5"/>
  <c r="L273" i="5"/>
  <c r="L682" i="5"/>
  <c r="L147" i="5"/>
  <c r="L809" i="5"/>
  <c r="L14" i="5"/>
  <c r="L420" i="5"/>
  <c r="L285" i="5"/>
  <c r="L979" i="5"/>
  <c r="L764" i="5"/>
  <c r="L173" i="5"/>
  <c r="L190" i="5"/>
  <c r="L282" i="5"/>
  <c r="L250" i="5"/>
  <c r="L128" i="5"/>
  <c r="L444" i="5"/>
  <c r="L630" i="5"/>
  <c r="L902" i="5"/>
  <c r="L883" i="5"/>
  <c r="L445" i="5"/>
  <c r="L182" i="5"/>
  <c r="L101" i="5"/>
  <c r="L426" i="5"/>
  <c r="L804" i="5"/>
  <c r="L864" i="5"/>
  <c r="L42" i="5"/>
  <c r="L904" i="5"/>
  <c r="L723" i="5"/>
  <c r="L304" i="5"/>
  <c r="L456" i="5"/>
  <c r="L995" i="5"/>
  <c r="L660" i="5"/>
  <c r="L554" i="5"/>
  <c r="L454" i="5"/>
  <c r="L801" i="5"/>
  <c r="L838" i="5"/>
  <c r="L857" i="5"/>
  <c r="L451" i="5"/>
  <c r="L504" i="5"/>
  <c r="L793" i="5"/>
  <c r="L622" i="5"/>
  <c r="L897" i="5"/>
  <c r="L603" i="5"/>
  <c r="L715" i="5"/>
  <c r="L460" i="5"/>
  <c r="L221" i="5"/>
  <c r="L547" i="5"/>
  <c r="L202" i="5"/>
  <c r="L144" i="5"/>
  <c r="L642" i="5"/>
  <c r="L923" i="5"/>
  <c r="L85" i="5"/>
  <c r="L279" i="5"/>
  <c r="L977" i="5"/>
  <c r="L714" i="5"/>
  <c r="L134" i="5"/>
  <c r="L187" i="5"/>
  <c r="L467" i="5"/>
  <c r="L383" i="5"/>
  <c r="L191" i="5"/>
  <c r="L873" i="5"/>
  <c r="L302" i="5"/>
  <c r="L896" i="5"/>
  <c r="L937" i="5"/>
  <c r="L298" i="5"/>
  <c r="L112" i="5"/>
  <c r="L380" i="5"/>
  <c r="L910" i="5"/>
  <c r="L386" i="5"/>
  <c r="L125" i="5"/>
  <c r="L196" i="5"/>
  <c r="L743" i="5"/>
  <c r="L164" i="5"/>
  <c r="L477" i="5"/>
  <c r="L270" i="5"/>
  <c r="L99" i="5"/>
  <c r="L484" i="5"/>
  <c r="L254" i="5"/>
  <c r="L917" i="5"/>
  <c r="L316" i="5"/>
  <c r="L366" i="5"/>
  <c r="L709" i="5"/>
  <c r="L37" i="5"/>
  <c r="L813" i="5"/>
  <c r="L734" i="5"/>
  <c r="L278" i="5"/>
  <c r="L949" i="5"/>
  <c r="L330" i="5"/>
  <c r="L17" i="5"/>
  <c r="L870" i="5"/>
  <c r="L506" i="5"/>
  <c r="L697" i="5"/>
  <c r="L488" i="5"/>
  <c r="L851" i="5"/>
  <c r="L59" i="5"/>
  <c r="L881" i="5"/>
  <c r="L850" i="5"/>
  <c r="L103" i="5"/>
  <c r="L416" i="5"/>
  <c r="L425" i="5"/>
  <c r="L457" i="5"/>
  <c r="L946" i="5"/>
  <c r="L569" i="5"/>
  <c r="L802" i="5"/>
  <c r="L40" i="5"/>
  <c r="L740" i="5"/>
  <c r="L489" i="5"/>
  <c r="L774" i="5"/>
  <c r="L587" i="5"/>
  <c r="L586" i="5"/>
  <c r="L892" i="5"/>
  <c r="L1006" i="5"/>
  <c r="L577" i="5"/>
  <c r="L26" i="5"/>
  <c r="L820" i="5"/>
  <c r="L578" i="5"/>
  <c r="L499" i="5"/>
  <c r="L670" i="5"/>
  <c r="L237" i="5"/>
  <c r="L812" i="5"/>
  <c r="L10" i="5"/>
  <c r="L137" i="5"/>
  <c r="L716" i="5"/>
  <c r="L673" i="5"/>
  <c r="L160" i="5"/>
  <c r="L461" i="5"/>
  <c r="L294" i="5"/>
  <c r="L281" i="5"/>
  <c r="L862" i="5"/>
  <c r="L7" i="5"/>
  <c r="L157" i="5"/>
  <c r="L679" i="5"/>
  <c r="L236" i="5"/>
  <c r="L531" i="5"/>
  <c r="L156" i="5"/>
  <c r="L996" i="5"/>
  <c r="L961" i="5"/>
  <c r="L952" i="5"/>
  <c r="L988" i="5"/>
  <c r="L48" i="5"/>
  <c r="L827" i="5"/>
  <c r="L127" i="5"/>
  <c r="L174" i="5"/>
  <c r="L249" i="5"/>
  <c r="L608" i="5"/>
  <c r="L88" i="5"/>
  <c r="L618" i="5"/>
  <c r="L419" i="5"/>
  <c r="L267" i="5"/>
  <c r="L654" i="5"/>
  <c r="L770" i="5"/>
  <c r="L175" i="5"/>
  <c r="L28" i="5"/>
  <c r="L25" i="5"/>
  <c r="L702" i="5"/>
  <c r="L563" i="5"/>
  <c r="L306" i="5"/>
  <c r="L412" i="5"/>
  <c r="L106" i="5"/>
  <c r="L405" i="5"/>
  <c r="L916" i="5"/>
  <c r="L561" i="5"/>
  <c r="L722" i="5"/>
  <c r="L927" i="5"/>
  <c r="L918" i="5"/>
  <c r="L129" i="5"/>
  <c r="L384" i="5"/>
  <c r="L264" i="5"/>
  <c r="L945" i="5"/>
  <c r="L753" i="5"/>
  <c r="L677" i="5"/>
  <c r="L69" i="5"/>
  <c r="L354" i="5"/>
  <c r="L998" i="5"/>
  <c r="L720" i="5"/>
  <c r="L311" i="5"/>
  <c r="L146" i="5"/>
  <c r="L696" i="5"/>
  <c r="L556" i="5"/>
  <c r="L524" i="5"/>
  <c r="L687" i="5"/>
  <c r="L759" i="5"/>
  <c r="L201" i="5"/>
  <c r="L604" i="5"/>
  <c r="L436" i="5"/>
  <c r="L736" i="5"/>
  <c r="L67" i="5"/>
  <c r="L942" i="5"/>
  <c r="L376" i="5"/>
  <c r="L116" i="5"/>
  <c r="L423" i="5"/>
  <c r="L880" i="5"/>
  <c r="L133" i="5"/>
  <c r="L71" i="5"/>
  <c r="L667" i="5"/>
  <c r="L136" i="5"/>
  <c r="L893" i="5"/>
  <c r="L179" i="5"/>
  <c r="L83" i="5"/>
  <c r="L200" i="5"/>
  <c r="L909" i="5"/>
  <c r="L741" i="5"/>
  <c r="L762" i="5"/>
  <c r="L50" i="5"/>
  <c r="L338" i="5"/>
  <c r="L466" i="5"/>
  <c r="L532" i="5"/>
  <c r="L853" i="5"/>
  <c r="L327" i="5"/>
  <c r="L292" i="5"/>
  <c r="L373" i="5"/>
  <c r="L203" i="5"/>
  <c r="L576" i="5"/>
  <c r="L539" i="5"/>
  <c r="L38" i="5"/>
  <c r="L258" i="5"/>
  <c r="L816" i="5"/>
  <c r="L74" i="5"/>
  <c r="L724" i="5"/>
  <c r="L265" i="5"/>
  <c r="L940" i="5"/>
  <c r="L352" i="5"/>
  <c r="L257" i="5"/>
  <c r="L695" i="5"/>
  <c r="L398" i="5"/>
  <c r="L637" i="5"/>
  <c r="L11" i="5"/>
  <c r="L62" i="5"/>
  <c r="L346" i="5"/>
  <c r="L819" i="5"/>
  <c r="L396" i="5"/>
  <c r="L901" i="5"/>
  <c r="L375" i="5"/>
  <c r="L765" i="5"/>
  <c r="L63" i="5"/>
  <c r="L912" i="5"/>
  <c r="L950" i="5"/>
  <c r="L131" i="5"/>
  <c r="L117" i="5"/>
  <c r="L269" i="5"/>
  <c r="L142" i="5"/>
  <c r="L633" i="5"/>
  <c r="L49" i="5"/>
  <c r="L438" i="5"/>
  <c r="L472" i="5"/>
  <c r="L795" i="5"/>
  <c r="L974" i="5"/>
  <c r="L90" i="5"/>
  <c r="L652" i="5"/>
  <c r="L303" i="5"/>
  <c r="L89" i="5"/>
  <c r="L526" i="5"/>
  <c r="L535" i="5"/>
  <c r="L520" i="5"/>
  <c r="L905" i="5"/>
  <c r="L344" i="5"/>
  <c r="L600" i="5"/>
  <c r="L18" i="5"/>
  <c r="L928" i="5"/>
  <c r="L655" i="5"/>
  <c r="L437" i="5"/>
  <c r="L550" i="5"/>
  <c r="L356" i="5"/>
  <c r="L24" i="5"/>
  <c r="L895" i="5"/>
  <c r="L153" i="5"/>
  <c r="L831" i="5"/>
  <c r="L631" i="5"/>
  <c r="L771" i="5"/>
  <c r="L548" i="5"/>
  <c r="L796" i="5"/>
  <c r="L29" i="5"/>
  <c r="L392" i="5"/>
  <c r="L209" i="5"/>
  <c r="L932" i="5"/>
  <c r="L876" i="5"/>
  <c r="L593" i="5"/>
  <c r="L52" i="5"/>
  <c r="L601" i="5"/>
  <c r="L214" i="5"/>
  <c r="L165" i="5"/>
  <c r="L141" i="5"/>
  <c r="L351" i="5"/>
  <c r="L111" i="5"/>
  <c r="L145" i="5"/>
  <c r="L780" i="5"/>
  <c r="L1004" i="5"/>
  <c r="L374" i="5"/>
  <c r="L954" i="5"/>
  <c r="L934" i="5"/>
  <c r="L442" i="5"/>
  <c r="L833" i="5"/>
  <c r="L76" i="5"/>
  <c r="L858" i="5"/>
  <c r="L211" i="5"/>
  <c r="L760" i="5"/>
  <c r="L333" i="5"/>
  <c r="L978" i="5"/>
  <c r="L666" i="5"/>
  <c r="L45" i="5"/>
  <c r="L725" i="5"/>
  <c r="L890" i="5"/>
  <c r="L785" i="5"/>
  <c r="L661" i="5"/>
  <c r="L448" i="5"/>
  <c r="L113" i="5"/>
  <c r="L31" i="5"/>
  <c r="L787" i="5"/>
  <c r="L177" i="5"/>
  <c r="L295" i="5"/>
  <c r="L247" i="5"/>
  <c r="L529" i="5"/>
  <c r="L779" i="5"/>
  <c r="L555" i="5"/>
  <c r="L414" i="5"/>
  <c r="L911" i="5"/>
  <c r="L745" i="5"/>
  <c r="L421" i="5"/>
  <c r="L319" i="5"/>
  <c r="L777" i="5"/>
  <c r="L23" i="5"/>
  <c r="L490" i="5"/>
  <c r="L536" i="5"/>
  <c r="L268" i="5"/>
  <c r="L370" i="5"/>
  <c r="L515" i="5"/>
  <c r="L434" i="5"/>
  <c r="L36" i="5"/>
  <c r="L560" i="5"/>
  <c r="L653" i="5"/>
  <c r="L284" i="5"/>
  <c r="L465" i="5"/>
  <c r="L297" i="5"/>
  <c r="L590" i="5"/>
  <c r="L800" i="5"/>
  <c r="L711" i="5"/>
  <c r="L750" i="5"/>
  <c r="L275" i="5"/>
  <c r="L665" i="5"/>
  <c r="L123" i="5"/>
  <c r="L510" i="5"/>
  <c r="L395" i="5"/>
  <c r="L613" i="5"/>
  <c r="L81" i="5"/>
  <c r="L198" i="5"/>
  <c r="L323" i="5"/>
  <c r="L967" i="5"/>
  <c r="L455" i="5"/>
  <c r="L494" i="5"/>
  <c r="L57" i="5"/>
  <c r="L428" i="5"/>
  <c r="L628" i="5"/>
  <c r="L863" i="5"/>
  <c r="L842" i="5"/>
  <c r="L854" i="5"/>
  <c r="L280" i="5"/>
  <c r="L228" i="5"/>
  <c r="L72" i="5"/>
  <c r="L458" i="5"/>
  <c r="L399" i="5"/>
  <c r="L56" i="5"/>
  <c r="L277" i="5"/>
  <c r="L473" i="5"/>
  <c r="L752" i="5"/>
  <c r="L130" i="5"/>
  <c r="L329" i="5"/>
  <c r="L891" i="5"/>
  <c r="L241" i="5"/>
  <c r="L612" i="5"/>
  <c r="L440" i="5"/>
  <c r="L176" i="5"/>
  <c r="L875" i="5"/>
  <c r="L609" i="5"/>
  <c r="L825" i="5"/>
  <c r="L658" i="5"/>
  <c r="L93" i="5"/>
  <c r="L638" i="5"/>
  <c r="L184" i="5"/>
  <c r="L564" i="5"/>
  <c r="L409" i="5"/>
  <c r="L933" i="5"/>
  <c r="L328" i="5"/>
  <c r="L763" i="5"/>
  <c r="L878" i="5"/>
  <c r="L197" i="5"/>
  <c r="L300" i="5"/>
  <c r="L479" i="5"/>
  <c r="L727" i="5"/>
  <c r="L747" i="5"/>
  <c r="L597" i="5"/>
  <c r="L623" i="5"/>
  <c r="L502" i="5"/>
  <c r="L77" i="5"/>
  <c r="L792" i="5"/>
  <c r="L925" i="5"/>
  <c r="L683" i="5"/>
  <c r="L756" i="5"/>
  <c r="L299" i="5"/>
  <c r="L754" i="5"/>
  <c r="L314" i="5"/>
  <c r="L480" i="5"/>
  <c r="L389" i="5"/>
  <c r="L188" i="5"/>
  <c r="L718" i="5"/>
  <c r="L849" i="5"/>
  <c r="L684" i="5"/>
  <c r="L120" i="5"/>
  <c r="L435" i="5"/>
  <c r="L585" i="5"/>
  <c r="L305" i="5"/>
  <c r="L341" i="5"/>
  <c r="L274" i="5"/>
  <c r="L496" i="5"/>
  <c r="L189" i="5"/>
  <c r="L746" i="5"/>
  <c r="L573" i="5"/>
  <c r="L66" i="5"/>
  <c r="L527" i="5"/>
  <c r="L530" i="5"/>
  <c r="L913" i="5"/>
  <c r="L357" i="5"/>
  <c r="L830" i="5"/>
  <c r="L271" i="5"/>
  <c r="L34" i="5"/>
  <c r="L843" i="5"/>
  <c r="L393" i="5"/>
  <c r="L611" i="5"/>
  <c r="L877" i="5"/>
  <c r="L592" i="5"/>
  <c r="L674" i="5"/>
  <c r="L605" i="5"/>
  <c r="L139" i="5"/>
  <c r="L248" i="5"/>
  <c r="L443" i="5"/>
  <c r="L662" i="5"/>
  <c r="L453" i="5"/>
  <c r="L758" i="5"/>
  <c r="L659" i="5"/>
  <c r="L109" i="5"/>
  <c r="L334" i="5"/>
  <c r="L217" i="5"/>
  <c r="L691" i="5"/>
  <c r="L368" i="5"/>
  <c r="L350" i="5"/>
  <c r="L318" i="5"/>
  <c r="L243" i="5"/>
  <c r="L717" i="5"/>
  <c r="L402" i="5"/>
  <c r="L487" i="5"/>
  <c r="L39" i="5"/>
  <c r="L493" i="5"/>
  <c r="L738" i="5"/>
  <c r="L675" i="5"/>
  <c r="L359" i="5"/>
  <c r="L962" i="5"/>
  <c r="L581" i="5"/>
  <c r="L206" i="5"/>
  <c r="L170" i="5"/>
  <c r="L656" i="5"/>
  <c r="L663" i="5"/>
  <c r="L500" i="5"/>
  <c r="L404" i="5"/>
  <c r="L108" i="5"/>
  <c r="L552" i="5"/>
  <c r="L407" i="5"/>
  <c r="L973" i="5"/>
  <c r="L602" i="5"/>
  <c r="L629" i="5"/>
  <c r="L331" i="5"/>
  <c r="L92" i="5"/>
  <c r="L728" i="5"/>
  <c r="L381" i="5"/>
  <c r="L263" i="5"/>
  <c r="L681" i="5"/>
  <c r="L620" i="5"/>
  <c r="L575" i="5"/>
  <c r="L634" i="5"/>
  <c r="L183" i="5"/>
  <c r="L86" i="5"/>
  <c r="L365" i="5"/>
  <c r="L941" i="5"/>
  <c r="L391" i="5"/>
  <c r="L369" i="5"/>
  <c r="L641" i="5"/>
  <c r="L495" i="5"/>
  <c r="L449" i="5"/>
  <c r="L486" i="5"/>
  <c r="L154" i="5"/>
  <c r="L324" i="5"/>
  <c r="L75" i="5"/>
  <c r="L731" i="5"/>
  <c r="L900" i="5"/>
  <c r="L595" i="5"/>
  <c r="L852" i="5"/>
  <c r="L317" i="5"/>
  <c r="L922" i="5"/>
  <c r="L834" i="5"/>
  <c r="L424" i="5"/>
  <c r="L382" i="5"/>
  <c r="L478" i="5"/>
  <c r="L678" i="5"/>
  <c r="L186" i="5"/>
  <c r="L807" i="5"/>
  <c r="L390" i="5"/>
  <c r="L345" i="5"/>
  <c r="L755" i="5"/>
  <c r="L860" i="5"/>
  <c r="L571" i="5"/>
  <c r="L336" i="5"/>
  <c r="L737" i="5"/>
  <c r="L16" i="5"/>
  <c r="L534" i="5"/>
  <c r="L507" i="5"/>
  <c r="L149" i="5"/>
  <c r="L105" i="5"/>
  <c r="L886" i="5"/>
  <c r="L991" i="5"/>
  <c r="L704" i="5"/>
  <c r="L986" i="5"/>
  <c r="L775" i="5"/>
  <c r="L621" i="5"/>
  <c r="L73" i="5"/>
  <c r="L957" i="5"/>
  <c r="L726" i="5"/>
  <c r="L491" i="5"/>
  <c r="L261" i="5"/>
  <c r="L543" i="5"/>
  <c r="L969" i="5"/>
  <c r="L644" i="5"/>
  <c r="L121" i="5"/>
  <c r="L580" i="5"/>
  <c r="L464" i="5"/>
  <c r="L789" i="5"/>
  <c r="L231" i="5"/>
  <c r="L815" i="5"/>
  <c r="L301" i="5"/>
  <c r="L1005" i="5"/>
  <c r="L676" i="5"/>
  <c r="L27" i="5"/>
  <c r="L415" i="5"/>
  <c r="L429" i="5"/>
  <c r="L46" i="5"/>
  <c r="L132" i="5"/>
  <c r="L348" i="5"/>
  <c r="L432" i="5"/>
  <c r="L579" i="5"/>
  <c r="L363" i="5"/>
  <c r="L114" i="5"/>
  <c r="L364" i="5"/>
  <c r="L885" i="5"/>
  <c r="L856" i="5"/>
  <c r="L944" i="5"/>
  <c r="L708" i="5"/>
  <c r="L410" i="5"/>
  <c r="L469" i="5"/>
  <c r="L963" i="5"/>
  <c r="L694" i="5"/>
  <c r="L541" i="5"/>
  <c r="L79" i="5"/>
  <c r="L966" i="5"/>
  <c r="L255" i="5"/>
  <c r="L143" i="5"/>
  <c r="L615" i="5"/>
  <c r="L719" i="5"/>
  <c r="L958" i="5"/>
  <c r="L58" i="5"/>
  <c r="L686" i="5"/>
  <c r="L283" i="5"/>
  <c r="L30" i="5"/>
  <c r="L501" i="5"/>
  <c r="L51" i="5"/>
  <c r="L537" i="5"/>
  <c r="L463" i="5"/>
  <c r="L195" i="5"/>
  <c r="L287" i="5"/>
  <c r="L975" i="5"/>
  <c r="L692" i="5"/>
  <c r="L828" i="5"/>
  <c r="L805" i="5"/>
  <c r="L315" i="5"/>
  <c r="L798" i="5"/>
  <c r="L54" i="5"/>
  <c r="L155" i="5"/>
  <c r="L984" i="5"/>
  <c r="L671" i="5"/>
  <c r="L757" i="5"/>
  <c r="L803" i="5"/>
  <c r="L926" i="5"/>
  <c r="L735" i="5"/>
  <c r="L387" i="5"/>
  <c r="L865" i="5"/>
  <c r="L636" i="5"/>
  <c r="L138" i="5"/>
  <c r="L411" i="5"/>
  <c r="L625" i="5"/>
  <c r="L773" i="5"/>
  <c r="L518" i="5"/>
  <c r="L810" i="5"/>
  <c r="L568" i="5"/>
  <c r="L290" i="5"/>
  <c r="L930" i="5"/>
  <c r="L685" i="5"/>
  <c r="L337" i="5"/>
  <c r="L889" i="5"/>
  <c r="L216" i="5"/>
  <c r="L640" i="5"/>
  <c r="L627" i="5"/>
  <c r="L260" i="5"/>
  <c r="L919" i="5"/>
  <c r="L358" i="5"/>
  <c r="L522" i="5"/>
  <c r="L565" i="5"/>
  <c r="L776" i="5"/>
  <c r="L742" i="5"/>
  <c r="L158" i="5"/>
  <c r="L459" i="5"/>
  <c r="L594" i="5"/>
  <c r="L96" i="5"/>
  <c r="L340" i="5"/>
  <c r="L729" i="5"/>
  <c r="L325" i="5"/>
  <c r="L566" i="5"/>
  <c r="L788" i="5"/>
  <c r="L313" i="5"/>
  <c r="L289" i="5"/>
  <c r="L906" i="5"/>
  <c r="L542" i="5"/>
  <c r="L251" i="5"/>
  <c r="L21" i="5"/>
  <c r="L118" i="5"/>
  <c r="L205" i="5"/>
  <c r="L418" i="5"/>
  <c r="L482" i="5"/>
  <c r="L835" i="5"/>
  <c r="L343" i="5"/>
  <c r="L855" i="5"/>
  <c r="L748" i="5"/>
  <c r="L559" i="5"/>
  <c r="L959" i="5"/>
  <c r="L226" i="5"/>
  <c r="L326" i="5"/>
  <c r="L193" i="5"/>
  <c r="L791" i="5"/>
  <c r="L643" i="5"/>
  <c r="L353" i="5"/>
  <c r="L721" i="5"/>
  <c r="L538" i="5"/>
  <c r="L104" i="5"/>
  <c r="L481" i="5"/>
  <c r="L744" i="5"/>
  <c r="L35" i="5"/>
  <c r="L562" i="5"/>
  <c r="L276" i="5"/>
  <c r="L705" i="5"/>
  <c r="L981" i="5"/>
  <c r="L936" i="5"/>
  <c r="L242" i="5"/>
  <c r="L159" i="5"/>
  <c r="L332" i="5"/>
  <c r="L806" i="5"/>
  <c r="L342" i="5"/>
  <c r="L859" i="5"/>
  <c r="L935" i="5"/>
  <c r="L394" i="5"/>
  <c r="L558" i="5"/>
  <c r="L616" i="5"/>
  <c r="L635" i="5"/>
  <c r="L525" i="5"/>
  <c r="L53" i="5"/>
  <c r="L12" i="5"/>
  <c r="L982" i="5"/>
  <c r="L171" i="5"/>
  <c r="L468" i="5"/>
  <c r="L713" i="5"/>
  <c r="L68" i="5"/>
  <c r="L296" i="5"/>
  <c r="L229" i="5"/>
  <c r="G38" i="3" a="1"/>
  <c r="G38" i="3" s="1"/>
  <c r="I38" i="3" s="1"/>
  <c r="G39" i="3" l="1" a="1"/>
  <c r="G39" i="3" s="1"/>
  <c r="I39" i="3" s="1"/>
  <c r="G40" i="3" l="1" a="1"/>
  <c r="G40" i="3" s="1"/>
  <c r="I40" i="3" s="1"/>
  <c r="G41" i="3" l="1" a="1"/>
  <c r="G41" i="3" s="1"/>
  <c r="I41" i="3" s="1"/>
  <c r="G42" i="3" l="1" a="1"/>
  <c r="G42" i="3" s="1"/>
  <c r="I42" i="3" s="1"/>
  <c r="G43" i="3" l="1" a="1"/>
  <c r="G43" i="3" s="1"/>
  <c r="I43" i="3" s="1"/>
  <c r="G44" i="3" l="1" a="1"/>
  <c r="G44" i="3" s="1"/>
  <c r="I44" i="3" s="1"/>
  <c r="G45" i="3" l="1" a="1"/>
  <c r="G45" i="3" s="1"/>
  <c r="I45" i="3" s="1"/>
  <c r="G46" i="3" l="1" a="1"/>
  <c r="G46" i="3" s="1"/>
  <c r="I46" i="3" s="1"/>
  <c r="G47" i="3" l="1" a="1"/>
  <c r="G47" i="3" s="1"/>
  <c r="I47" i="3" s="1"/>
  <c r="G48" i="3" l="1" a="1"/>
  <c r="G48" i="3" s="1"/>
  <c r="I48" i="3" s="1"/>
  <c r="G49" i="3" l="1" a="1"/>
  <c r="G49" i="3" s="1"/>
  <c r="I49" i="3" s="1"/>
  <c r="G50" i="3" l="1" a="1"/>
  <c r="G50" i="3" s="1"/>
  <c r="I50" i="3" s="1"/>
  <c r="G51" i="3" l="1" a="1"/>
  <c r="G51" i="3" s="1"/>
  <c r="I51" i="3" s="1"/>
  <c r="G52" i="3" l="1" a="1"/>
  <c r="G52" i="3" s="1"/>
  <c r="I52" i="3" s="1"/>
  <c r="G53" i="3" l="1" a="1"/>
  <c r="G53" i="3" s="1"/>
  <c r="I53" i="3" s="1"/>
  <c r="G54" i="3" l="1" a="1"/>
  <c r="G54" i="3" s="1"/>
  <c r="I54" i="3" s="1"/>
  <c r="G55" i="3" l="1" a="1"/>
  <c r="G55" i="3" s="1"/>
  <c r="I55" i="3" s="1"/>
  <c r="G56" i="3" l="1" a="1"/>
  <c r="G56" i="3" s="1"/>
  <c r="I56" i="3" s="1"/>
  <c r="G57" i="3" l="1" a="1"/>
  <c r="G57" i="3" s="1"/>
  <c r="I57" i="3" s="1"/>
  <c r="G58" i="3" l="1" a="1"/>
  <c r="G58" i="3" s="1"/>
  <c r="I58" i="3" s="1"/>
  <c r="G59" i="3" l="1" a="1"/>
  <c r="G59" i="3" s="1"/>
  <c r="I59" i="3" s="1"/>
  <c r="G60" i="3" l="1" a="1"/>
  <c r="G60" i="3" s="1"/>
  <c r="I60" i="3" s="1"/>
  <c r="G61" i="3" l="1" a="1"/>
  <c r="G61" i="3" s="1"/>
  <c r="I61" i="3" s="1"/>
  <c r="G62" i="3" l="1" a="1"/>
  <c r="G62" i="3" s="1"/>
  <c r="I62" i="3" s="1"/>
  <c r="G63" i="3" l="1" a="1"/>
  <c r="G63" i="3" s="1"/>
  <c r="I63" i="3" s="1"/>
  <c r="G64" i="3" l="1" a="1"/>
  <c r="G64" i="3" s="1"/>
  <c r="I64" i="3" s="1"/>
  <c r="G65" i="3" l="1" a="1"/>
  <c r="G65" i="3" s="1"/>
  <c r="I65" i="3" s="1"/>
  <c r="G66" i="3" l="1" a="1"/>
  <c r="G66" i="3" s="1"/>
  <c r="I66" i="3" s="1"/>
  <c r="G67" i="3" l="1" a="1"/>
  <c r="G67" i="3" s="1"/>
  <c r="I67" i="3" s="1"/>
  <c r="G68" i="3" l="1" a="1"/>
  <c r="G68" i="3" s="1"/>
  <c r="I68" i="3" s="1"/>
  <c r="G69" i="3" l="1" a="1"/>
  <c r="G69" i="3" s="1"/>
  <c r="I69" i="3" s="1"/>
  <c r="G70" i="3" l="1" a="1"/>
  <c r="G70" i="3" s="1"/>
  <c r="I70" i="3" s="1"/>
  <c r="G71" i="3" l="1" a="1"/>
  <c r="G71" i="3" s="1"/>
  <c r="I71" i="3" s="1"/>
  <c r="G72" i="3" l="1" a="1"/>
  <c r="G72" i="3" s="1"/>
  <c r="I72" i="3" s="1"/>
</calcChain>
</file>

<file path=xl/sharedStrings.xml><?xml version="1.0" encoding="utf-8"?>
<sst xmlns="http://schemas.openxmlformats.org/spreadsheetml/2006/main" count="105" uniqueCount="83">
  <si>
    <t xml:space="preserve">Ho &amp; Lee Model - Calibration of theta </t>
  </si>
  <si>
    <t>(analytical)</t>
  </si>
  <si>
    <t xml:space="preserve">Risk Neutral Calibration </t>
  </si>
  <si>
    <t>σ</t>
  </si>
  <si>
    <t>(calibrated from caplet prices)</t>
  </si>
  <si>
    <t>r(0)</t>
  </si>
  <si>
    <t>(rate short end)</t>
  </si>
  <si>
    <t>dt</t>
  </si>
  <si>
    <t>Today</t>
  </si>
  <si>
    <t>T0</t>
  </si>
  <si>
    <t>spot rate</t>
  </si>
  <si>
    <r>
      <t>P (0,T)</t>
    </r>
    <r>
      <rPr>
        <b/>
        <vertAlign val="superscript"/>
        <sz val="11"/>
        <color theme="1"/>
        <rFont val="CMU Sans Serif"/>
      </rPr>
      <t>obs</t>
    </r>
  </si>
  <si>
    <t>f(0, T)</t>
  </si>
  <si>
    <t>θ</t>
  </si>
  <si>
    <t>A(0,T)</t>
  </si>
  <si>
    <t>B(0,T)</t>
  </si>
  <si>
    <t>P(0,T)</t>
  </si>
  <si>
    <t>( Sanity Check)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</si>
  <si>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</si>
  <si>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</si>
  <si>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</si>
  <si>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</si>
  <si>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</si>
  <si>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</si>
  <si>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</si>
  <si>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</si>
  <si>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</si>
  <si>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</si>
  <si>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</si>
  <si>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</si>
  <si>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</si>
  <si>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</si>
  <si>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</si>
  <si>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</si>
  <si>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</si>
  <si>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</si>
  <si>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</si>
  <si>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</si>
  <si>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</si>
  <si>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</si>
  <si>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</si>
  <si>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</si>
  <si>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</si>
  <si>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</si>
  <si>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</si>
  <si>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</si>
  <si>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</si>
  <si>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</si>
  <si>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</si>
  <si>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</si>
  <si>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</si>
  <si>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</si>
  <si>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</si>
  <si>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</si>
  <si>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</si>
  <si>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</si>
  <si>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</si>
  <si>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</si>
  <si>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</si>
  <si>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</si>
  <si>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</si>
  <si>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</si>
  <si>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</si>
  <si>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</si>
  <si>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</si>
  <si>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</si>
  <si>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</si>
  <si>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</si>
  <si>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 xml:space="preserve">A(t,T) and B(t,T) under time varying drift </t>
  </si>
  <si>
    <t>θ(T)</t>
  </si>
  <si>
    <t>A(t,T)</t>
  </si>
  <si>
    <t>B(t,T)</t>
  </si>
  <si>
    <t xml:space="preserve">Simulation of r(t) </t>
  </si>
  <si>
    <t>t</t>
  </si>
  <si>
    <t>#</t>
  </si>
  <si>
    <t>paths</t>
  </si>
  <si>
    <t>Simulation of ZCBs for various maturities (T) at time (t)</t>
  </si>
  <si>
    <t xml:space="preserve">P(t, T = 0.5) </t>
  </si>
  <si>
    <t xml:space="preserve">P(t, T = 1) </t>
  </si>
  <si>
    <t xml:space="preserve">P(t, T = 1.5) </t>
  </si>
  <si>
    <t xml:space="preserve">P(t, T = 2) </t>
  </si>
  <si>
    <t xml:space="preserve">P(t, T = 2.5) </t>
  </si>
  <si>
    <t xml:space="preserve">P(t, T = 3)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</si>
</sst>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%"/>
    <numFmt numFmtId="165" formatCode="0.000%"/>
    <numFmt numFmtId="166" formatCode="dd\ mmm\ yy"/>
    <numFmt numFmtId="167" formatCode="0.00000%"/>
    <numFmt numFmtId="168" formatCode="0.0000000"/>
    <numFmt numFmtId="169" formatCode="0.000000"/>
    <numFmt numFmtId="170" formatCode="0.00000"/>
    <numFmt numFmtId="171" formatCode="0.00000000"/>
    <numFmt numFmtId="172" formatCode="0.00000000000000000%"/>
    <numFmt numFmtId="173" formatCode="0.0000"/>
    <numFmt numFmtId="174" formatCode="0.000000%"/>
    <numFmt numFmtId="175" formatCode="0.0000000%"/>
    <numFmt numFmtId="176" formatCode="0.000000000"/>
    <numFmt numFmtId="177" formatCode="0.0000000000"/>
    <numFmt numFmtId="178" formatCode="0.00000000000"/>
    <numFmt numFmtId="179" formatCode="0.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70C0"/>
      <name val="CMU Sans Serif"/>
    </font>
    <font>
      <sz val="11"/>
      <color theme="1"/>
      <name val="CMU Sans Serif"/>
    </font>
    <font>
      <sz val="11"/>
      <color rgb="FFFF0000"/>
      <name val="CMU Sans Serif"/>
    </font>
    <font>
      <b/>
      <sz val="11"/>
      <color rgb="FF0070C0"/>
      <name val="CMU Sans Serif"/>
    </font>
    <font>
      <b/>
      <sz val="11"/>
      <color theme="1"/>
      <name val="CMU Sans Serif"/>
    </font>
    <font>
      <b/>
      <sz val="10"/>
      <name val="CMU Sans Serif"/>
    </font>
    <font>
      <b/>
      <vertAlign val="superscript"/>
      <sz val="11"/>
      <color theme="1"/>
      <name val="CMU Sans Serif"/>
    </font>
    <font>
      <sz val="8"/>
      <name val="Calibri"/>
      <family val="2"/>
      <scheme val="minor"/>
    </font>
    <font>
      <sz val="11"/>
      <color rgb="FF0070C0"/>
      <name val="CMU Sans Seri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165" fontId="3" fillId="0" borderId="0" xfId="0" applyNumberFormat="1" applyFont="1"/>
    <xf numFmtId="0" fontId="3" fillId="0" borderId="0" xfId="0" applyFont="1" applyAlignment="1">
      <alignment horizontal="center"/>
    </xf>
    <xf numFmtId="9" fontId="3" fillId="0" borderId="0" xfId="0" applyNumberFormat="1" applyFont="1"/>
    <xf numFmtId="167" fontId="3" fillId="0" borderId="0" xfId="1" applyNumberFormat="1" applyFont="1" applyAlignment="1">
      <alignment horizontal="center"/>
    </xf>
    <xf numFmtId="168" fontId="3" fillId="0" borderId="0" xfId="0" applyNumberFormat="1" applyFont="1"/>
    <xf numFmtId="169" fontId="6" fillId="0" borderId="0" xfId="0" applyNumberFormat="1" applyFont="1"/>
    <xf numFmtId="167" fontId="6" fillId="0" borderId="1" xfId="1" applyNumberFormat="1" applyFont="1" applyBorder="1" applyAlignment="1">
      <alignment horizontal="center"/>
    </xf>
    <xf numFmtId="14" fontId="6" fillId="0" borderId="1" xfId="0" applyNumberFormat="1" applyFont="1" applyBorder="1"/>
    <xf numFmtId="0" fontId="3" fillId="0" borderId="1" xfId="0" applyFont="1" applyBorder="1" applyAlignment="1">
      <alignment horizontal="center"/>
    </xf>
    <xf numFmtId="165" fontId="6" fillId="0" borderId="0" xfId="0" applyNumberFormat="1" applyFont="1"/>
    <xf numFmtId="171" fontId="3" fillId="0" borderId="0" xfId="0" applyNumberFormat="1" applyFont="1"/>
    <xf numFmtId="2" fontId="3" fillId="0" borderId="0" xfId="0" applyNumberFormat="1" applyFont="1" applyAlignment="1">
      <alignment horizontal="center"/>
    </xf>
    <xf numFmtId="167" fontId="3" fillId="0" borderId="0" xfId="0" applyNumberFormat="1" applyFont="1"/>
    <xf numFmtId="14" fontId="3" fillId="0" borderId="0" xfId="0" applyNumberFormat="1" applyFont="1"/>
    <xf numFmtId="14" fontId="3" fillId="0" borderId="0" xfId="0" applyNumberFormat="1" applyFont="1" applyAlignment="1">
      <alignment horizontal="center"/>
    </xf>
    <xf numFmtId="164" fontId="3" fillId="0" borderId="0" xfId="1" applyNumberFormat="1" applyFont="1" applyAlignment="1">
      <alignment horizontal="center"/>
    </xf>
    <xf numFmtId="170" fontId="3" fillId="0" borderId="0" xfId="0" applyNumberFormat="1" applyFont="1"/>
    <xf numFmtId="172" fontId="3" fillId="0" borderId="0" xfId="0" applyNumberFormat="1" applyFont="1"/>
    <xf numFmtId="165" fontId="3" fillId="2" borderId="0" xfId="0" applyNumberFormat="1" applyFont="1" applyFill="1"/>
    <xf numFmtId="174" fontId="3" fillId="0" borderId="0" xfId="0" applyNumberFormat="1" applyFont="1"/>
    <xf numFmtId="175" fontId="3" fillId="0" borderId="0" xfId="0" applyNumberFormat="1" applyFont="1"/>
    <xf numFmtId="164" fontId="0" fillId="0" borderId="0" xfId="1" applyNumberFormat="1" applyFont="1" applyAlignment="1">
      <alignment horizontal="center"/>
    </xf>
    <xf numFmtId="173" fontId="3" fillId="2" borderId="0" xfId="0" applyNumberFormat="1" applyFont="1" applyFill="1"/>
    <xf numFmtId="2" fontId="3" fillId="0" borderId="0" xfId="1" applyNumberFormat="1" applyFont="1" applyBorder="1" applyAlignment="1">
      <alignment horizontal="center"/>
    </xf>
    <xf numFmtId="170" fontId="3" fillId="0" borderId="0" xfId="1" applyNumberFormat="1" applyFont="1" applyBorder="1" applyAlignment="1">
      <alignment horizontal="center"/>
    </xf>
    <xf numFmtId="2" fontId="6" fillId="0" borderId="1" xfId="1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3" fillId="0" borderId="2" xfId="0" applyFont="1" applyBorder="1" applyAlignment="1">
      <alignment horizontal="center"/>
    </xf>
    <xf numFmtId="165" fontId="3" fillId="3" borderId="2" xfId="1" applyNumberFormat="1" applyFont="1" applyFill="1" applyBorder="1" applyAlignment="1">
      <alignment horizontal="center"/>
    </xf>
    <xf numFmtId="165" fontId="3" fillId="3" borderId="0" xfId="1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4" fillId="0" borderId="0" xfId="1" applyNumberFormat="1" applyFont="1" applyAlignment="1">
      <alignment horizontal="center"/>
    </xf>
    <xf numFmtId="0" fontId="10" fillId="0" borderId="0" xfId="0" applyFont="1"/>
    <xf numFmtId="0" fontId="6" fillId="0" borderId="0" xfId="0" applyFont="1" applyAlignment="1">
      <alignment horizontal="left"/>
    </xf>
    <xf numFmtId="0" fontId="3" fillId="4" borderId="2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64" fontId="3" fillId="3" borderId="0" xfId="1" applyNumberFormat="1" applyFont="1" applyFill="1" applyBorder="1" applyAlignment="1">
      <alignment horizontal="center"/>
    </xf>
    <xf numFmtId="176" fontId="3" fillId="0" borderId="0" xfId="1" applyNumberFormat="1" applyFont="1" applyAlignment="1">
      <alignment horizontal="center"/>
    </xf>
    <xf numFmtId="176" fontId="3" fillId="0" borderId="0" xfId="0" applyNumberFormat="1" applyFont="1" applyAlignment="1">
      <alignment horizontal="center"/>
    </xf>
    <xf numFmtId="169" fontId="3" fillId="0" borderId="0" xfId="1" applyNumberFormat="1" applyFont="1" applyBorder="1" applyAlignment="1">
      <alignment horizontal="center"/>
    </xf>
    <xf numFmtId="177" fontId="3" fillId="0" borderId="0" xfId="0" applyNumberFormat="1" applyFont="1" applyAlignment="1">
      <alignment horizontal="center"/>
    </xf>
    <xf numFmtId="178" fontId="3" fillId="0" borderId="0" xfId="0" applyNumberFormat="1" applyFont="1" applyAlignment="1">
      <alignment horizontal="center"/>
    </xf>
    <xf numFmtId="164" fontId="3" fillId="3" borderId="2" xfId="1" applyNumberFormat="1" applyFont="1" applyFill="1" applyBorder="1" applyAlignment="1">
      <alignment horizontal="center"/>
    </xf>
    <xf numFmtId="176" fontId="3" fillId="0" borderId="2" xfId="0" applyNumberFormat="1" applyFont="1" applyBorder="1" applyAlignment="1">
      <alignment horizontal="center"/>
    </xf>
    <xf numFmtId="179" fontId="3" fillId="0" borderId="2" xfId="0" applyNumberFormat="1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latin typeface="CMU Sans Serif" panose="02000603000000000000" pitchFamily="2" charset="0"/>
                <a:ea typeface="CMU Sans Serif" panose="02000603000000000000" pitchFamily="2" charset="0"/>
                <a:cs typeface="CMU Sans Serif" panose="02000603000000000000" pitchFamily="2" charset="0"/>
              </a:rPr>
              <a:t>θ</a:t>
            </a:r>
            <a:r>
              <a:rPr lang="en-US">
                <a:latin typeface="CMU Sans Serif" panose="02000603000000000000" pitchFamily="2" charset="0"/>
                <a:ea typeface="CMU Sans Serif" panose="02000603000000000000" pitchFamily="2" charset="0"/>
                <a:cs typeface="CMU Sans Serif" panose="02000603000000000000" pitchFamily="2" charset="0"/>
              </a:rPr>
              <a:t>(t)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'1.Theta Calibration'!$B$75:$B$135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  <c:pt idx="13">
                  <c:v>3.5</c:v>
                </c:pt>
                <c:pt idx="14">
                  <c:v>3.5</c:v>
                </c:pt>
                <c:pt idx="15">
                  <c:v>4</c:v>
                </c:pt>
                <c:pt idx="16">
                  <c:v>4</c:v>
                </c:pt>
                <c:pt idx="17">
                  <c:v>4.5</c:v>
                </c:pt>
                <c:pt idx="18">
                  <c:v>4.5</c:v>
                </c:pt>
                <c:pt idx="19">
                  <c:v>5</c:v>
                </c:pt>
                <c:pt idx="20">
                  <c:v>5</c:v>
                </c:pt>
                <c:pt idx="21">
                  <c:v>5.5</c:v>
                </c:pt>
                <c:pt idx="22">
                  <c:v>5.5</c:v>
                </c:pt>
                <c:pt idx="23">
                  <c:v>6</c:v>
                </c:pt>
                <c:pt idx="24">
                  <c:v>6</c:v>
                </c:pt>
                <c:pt idx="25">
                  <c:v>6.5</c:v>
                </c:pt>
                <c:pt idx="26">
                  <c:v>6.5</c:v>
                </c:pt>
                <c:pt idx="27">
                  <c:v>7</c:v>
                </c:pt>
                <c:pt idx="28">
                  <c:v>7</c:v>
                </c:pt>
                <c:pt idx="29">
                  <c:v>7.5</c:v>
                </c:pt>
                <c:pt idx="30">
                  <c:v>7.5</c:v>
                </c:pt>
                <c:pt idx="31">
                  <c:v>8</c:v>
                </c:pt>
                <c:pt idx="32">
                  <c:v>8</c:v>
                </c:pt>
                <c:pt idx="33">
                  <c:v>8.5</c:v>
                </c:pt>
                <c:pt idx="34">
                  <c:v>8.5</c:v>
                </c:pt>
                <c:pt idx="35">
                  <c:v>9</c:v>
                </c:pt>
                <c:pt idx="36">
                  <c:v>9</c:v>
                </c:pt>
                <c:pt idx="37">
                  <c:v>9.5</c:v>
                </c:pt>
                <c:pt idx="38">
                  <c:v>9.5</c:v>
                </c:pt>
                <c:pt idx="39">
                  <c:v>10</c:v>
                </c:pt>
                <c:pt idx="40">
                  <c:v>10</c:v>
                </c:pt>
                <c:pt idx="41">
                  <c:v>10.5</c:v>
                </c:pt>
                <c:pt idx="42">
                  <c:v>10.5</c:v>
                </c:pt>
                <c:pt idx="43">
                  <c:v>11</c:v>
                </c:pt>
                <c:pt idx="44">
                  <c:v>11</c:v>
                </c:pt>
                <c:pt idx="45">
                  <c:v>11.5</c:v>
                </c:pt>
                <c:pt idx="46">
                  <c:v>11.5</c:v>
                </c:pt>
                <c:pt idx="47">
                  <c:v>12</c:v>
                </c:pt>
                <c:pt idx="48">
                  <c:v>12</c:v>
                </c:pt>
                <c:pt idx="49">
                  <c:v>12.5</c:v>
                </c:pt>
                <c:pt idx="50">
                  <c:v>12.5</c:v>
                </c:pt>
                <c:pt idx="51">
                  <c:v>13</c:v>
                </c:pt>
                <c:pt idx="52">
                  <c:v>13</c:v>
                </c:pt>
                <c:pt idx="53">
                  <c:v>13.5</c:v>
                </c:pt>
                <c:pt idx="54">
                  <c:v>13.5</c:v>
                </c:pt>
                <c:pt idx="55">
                  <c:v>14</c:v>
                </c:pt>
                <c:pt idx="56">
                  <c:v>14</c:v>
                </c:pt>
                <c:pt idx="57">
                  <c:v>14.5</c:v>
                </c:pt>
                <c:pt idx="58">
                  <c:v>14.5</c:v>
                </c:pt>
                <c:pt idx="59">
                  <c:v>15</c:v>
                </c:pt>
                <c:pt idx="60">
                  <c:v>15</c:v>
                </c:pt>
              </c:numCache>
            </c:numRef>
          </c:xVal>
          <c:yVal>
            <c:numRef>
              <c:f>'1.Theta Calibration'!$C$75:$C$135</c:f>
              <c:numCache>
                <c:formatCode>0.000%</c:formatCode>
                <c:ptCount val="61"/>
                <c:pt idx="0">
                  <c:v>9.126666666652789E-6</c:v>
                </c:pt>
                <c:pt idx="1">
                  <c:v>9.126666666652789E-6</c:v>
                </c:pt>
                <c:pt idx="2">
                  <c:v>-1.7143666666669627E-3</c:v>
                </c:pt>
                <c:pt idx="3">
                  <c:v>-1.7143666666669627E-3</c:v>
                </c:pt>
                <c:pt idx="4">
                  <c:v>6.6638866666677852E-3</c:v>
                </c:pt>
                <c:pt idx="5">
                  <c:v>6.6638866666677852E-3</c:v>
                </c:pt>
                <c:pt idx="6">
                  <c:v>4.6203933333313803E-3</c:v>
                </c:pt>
                <c:pt idx="7">
                  <c:v>4.6203933333313803E-3</c:v>
                </c:pt>
                <c:pt idx="8">
                  <c:v>7.2786466666694902E-3</c:v>
                </c:pt>
                <c:pt idx="9">
                  <c:v>7.2786466666694902E-3</c:v>
                </c:pt>
                <c:pt idx="10">
                  <c:v>3.4751533333300111E-3</c:v>
                </c:pt>
                <c:pt idx="11">
                  <c:v>3.4751533333300111E-3</c:v>
                </c:pt>
                <c:pt idx="12">
                  <c:v>5.9334066666693608E-3</c:v>
                </c:pt>
                <c:pt idx="13">
                  <c:v>5.9334066666693608E-3</c:v>
                </c:pt>
                <c:pt idx="14">
                  <c:v>2.1299133333317344E-3</c:v>
                </c:pt>
                <c:pt idx="15">
                  <c:v>2.1299133333317344E-3</c:v>
                </c:pt>
                <c:pt idx="16">
                  <c:v>4.6681666666672228E-3</c:v>
                </c:pt>
                <c:pt idx="17">
                  <c:v>4.6681666666672228E-3</c:v>
                </c:pt>
                <c:pt idx="18">
                  <c:v>1.3446733333336014E-3</c:v>
                </c:pt>
                <c:pt idx="19">
                  <c:v>1.3446733333336014E-3</c:v>
                </c:pt>
                <c:pt idx="20">
                  <c:v>3.8829266666660645E-3</c:v>
                </c:pt>
                <c:pt idx="21">
                  <c:v>3.8829266666660645E-3</c:v>
                </c:pt>
                <c:pt idx="22">
                  <c:v>1.0394333333341166E-3</c:v>
                </c:pt>
                <c:pt idx="23">
                  <c:v>1.0394333333341166E-3</c:v>
                </c:pt>
                <c:pt idx="24">
                  <c:v>2.6976866666654775E-3</c:v>
                </c:pt>
                <c:pt idx="25">
                  <c:v>2.6976866666654775E-3</c:v>
                </c:pt>
                <c:pt idx="26">
                  <c:v>1.9341933333353323E-3</c:v>
                </c:pt>
                <c:pt idx="27">
                  <c:v>1.9341933333353323E-3</c:v>
                </c:pt>
                <c:pt idx="28">
                  <c:v>1.0724466666632848E-3</c:v>
                </c:pt>
                <c:pt idx="29">
                  <c:v>1.0724466666632848E-3</c:v>
                </c:pt>
                <c:pt idx="30">
                  <c:v>3.1889533333384623E-3</c:v>
                </c:pt>
                <c:pt idx="31">
                  <c:v>3.1889533333384623E-3</c:v>
                </c:pt>
                <c:pt idx="32">
                  <c:v>8.7206666660510912E-5</c:v>
                </c:pt>
                <c:pt idx="33">
                  <c:v>8.7206666660510912E-5</c:v>
                </c:pt>
                <c:pt idx="34">
                  <c:v>3.4837133333396331E-3</c:v>
                </c:pt>
                <c:pt idx="35">
                  <c:v>3.4837133333396331E-3</c:v>
                </c:pt>
                <c:pt idx="36">
                  <c:v>-2.1803333334013963E-4</c:v>
                </c:pt>
                <c:pt idx="37">
                  <c:v>-2.1803333334013963E-4</c:v>
                </c:pt>
                <c:pt idx="38">
                  <c:v>4.7784733333409157E-3</c:v>
                </c:pt>
                <c:pt idx="39">
                  <c:v>4.7784733333409157E-3</c:v>
                </c:pt>
                <c:pt idx="40">
                  <c:v>-1.9632733333414532E-3</c:v>
                </c:pt>
                <c:pt idx="41">
                  <c:v>-1.9632733333414532E-3</c:v>
                </c:pt>
                <c:pt idx="42">
                  <c:v>6.2332333333421364E-3</c:v>
                </c:pt>
                <c:pt idx="43">
                  <c:v>6.2332333333421364E-3</c:v>
                </c:pt>
                <c:pt idx="44">
                  <c:v>-2.9485133333435609E-3</c:v>
                </c:pt>
                <c:pt idx="45">
                  <c:v>-2.9485133333435609E-3</c:v>
                </c:pt>
                <c:pt idx="46">
                  <c:v>7.0079933333451194E-3</c:v>
                </c:pt>
                <c:pt idx="47">
                  <c:v>7.0079933333451194E-3</c:v>
                </c:pt>
                <c:pt idx="48">
                  <c:v>-2.0137533333457469E-3</c:v>
                </c:pt>
                <c:pt idx="49">
                  <c:v>-2.0137533333457469E-3</c:v>
                </c:pt>
                <c:pt idx="50">
                  <c:v>4.9827533333464125E-3</c:v>
                </c:pt>
                <c:pt idx="51">
                  <c:v>4.9827533333464125E-3</c:v>
                </c:pt>
                <c:pt idx="52">
                  <c:v>-1.1189933333470847E-3</c:v>
                </c:pt>
                <c:pt idx="53">
                  <c:v>-1.1189933333470847E-3</c:v>
                </c:pt>
                <c:pt idx="54">
                  <c:v>4.9175133333476673E-3</c:v>
                </c:pt>
                <c:pt idx="55">
                  <c:v>4.9175133333476673E-3</c:v>
                </c:pt>
                <c:pt idx="56">
                  <c:v>-1.1842333333493826E-3</c:v>
                </c:pt>
                <c:pt idx="57">
                  <c:v>-1.1842333333493826E-3</c:v>
                </c:pt>
                <c:pt idx="58">
                  <c:v>4.8522733333506984E-3</c:v>
                </c:pt>
                <c:pt idx="59">
                  <c:v>4.8522733333506984E-3</c:v>
                </c:pt>
                <c:pt idx="60">
                  <c:v>2.8868333333189611E-3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B-4C75-AEFD-CF45EA56F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270447"/>
        <c:axId val="1448271695"/>
      </c:scatterChart>
      <c:valAx>
        <c:axId val="1448270447"/>
        <c:scaling>
          <c:orientation val="minMax"/>
          <c:max val="1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1695"/>
        <c:crosses val="autoZero"/>
        <c:crossBetween val="midCat"/>
        <c:majorUnit val="0.5"/>
      </c:valAx>
      <c:valAx>
        <c:axId val="144827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0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P(0,T)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'1.Theta Calibration'!$B$23:$B$72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'1.Theta Calibration'!$D$23:$D$72</c:f>
              <c:numCache>
                <c:formatCode>0.000000000</c:formatCode>
                <c:ptCount val="50"/>
                <c:pt idx="0">
                  <c:v>0.97765346695821032</c:v>
                </c:pt>
                <c:pt idx="1">
                  <c:v>0.9553476245219803</c:v>
                </c:pt>
                <c:pt idx="2">
                  <c:v>0.93311670519824419</c:v>
                </c:pt>
                <c:pt idx="3">
                  <c:v>0.91099305977534117</c:v>
                </c:pt>
                <c:pt idx="4">
                  <c:v>0.88900715067201674</c:v>
                </c:pt>
                <c:pt idx="5">
                  <c:v>0.86718755429225491</c:v>
                </c:pt>
                <c:pt idx="6">
                  <c:v>0.84556097174741052</c:v>
                </c:pt>
                <c:pt idx="7">
                  <c:v>0.82415224729921688</c:v>
                </c:pt>
                <c:pt idx="8">
                  <c:v>0.80298439387505915</c:v>
                </c:pt>
                <c:pt idx="9">
                  <c:v>0.78207862500994951</c:v>
                </c:pt>
                <c:pt idx="10">
                  <c:v>0.7614543925774343</c:v>
                </c:pt>
                <c:pt idx="11">
                  <c:v>0.74112942968371986</c:v>
                </c:pt>
                <c:pt idx="12">
                  <c:v>0.72111979811512805</c:v>
                </c:pt>
                <c:pt idx="13">
                  <c:v>0.70143993974812735</c:v>
                </c:pt>
                <c:pt idx="14">
                  <c:v>0.6821027313531387</c:v>
                </c:pt>
                <c:pt idx="15">
                  <c:v>0.66311954224767011</c:v>
                </c:pt>
                <c:pt idx="16">
                  <c:v>0.64450029428063305</c:v>
                </c:pt>
                <c:pt idx="17">
                  <c:v>0.62625352365755593</c:v>
                </c:pt>
                <c:pt idx="18">
                  <c:v>0.60838644414543663</c:v>
                </c:pt>
                <c:pt idx="19">
                  <c:v>0.5909050112258164</c:v>
                </c:pt>
                <c:pt idx="20">
                  <c:v>0.57381398679499629</c:v>
                </c:pt>
                <c:pt idx="21">
                  <c:v>0.55711700404083209</c:v>
                </c:pt>
                <c:pt idx="22">
                  <c:v>0.54081663215598275</c:v>
                </c:pt>
                <c:pt idx="23">
                  <c:v>0.52491444057760062</c:v>
                </c:pt>
                <c:pt idx="24">
                  <c:v>0.50941106247301415</c:v>
                </c:pt>
                <c:pt idx="25">
                  <c:v>0.49430625721980104</c:v>
                </c:pt>
                <c:pt idx="26">
                  <c:v>0.47959897165658433</c:v>
                </c:pt>
                <c:pt idx="27">
                  <c:v>0.46528739990780799</c:v>
                </c:pt>
                <c:pt idx="28">
                  <c:v>0.45136904161151281</c:v>
                </c:pt>
                <c:pt idx="29">
                  <c:v>0.43784075840366915</c:v>
                </c:pt>
                <c:pt idx="30">
                  <c:v>0.42469882853585417</c:v>
                </c:pt>
                <c:pt idx="31">
                  <c:v>0.41193899952492835</c:v>
                </c:pt>
                <c:pt idx="32">
                  <c:v>0.399556538753847</c:v>
                </c:pt>
                <c:pt idx="33">
                  <c:v>0.38754628196181157</c:v>
                </c:pt>
                <c:pt idx="34">
                  <c:v>0.37590267957962309</c:v>
                </c:pt>
                <c:pt idx="35">
                  <c:v>0.36461984088235272</c:v>
                </c:pt>
                <c:pt idx="36">
                  <c:v>0.35369157594631651</c:v>
                </c:pt>
                <c:pt idx="37">
                  <c:v>0.3431114354108592</c:v>
                </c:pt>
                <c:pt idx="38">
                  <c:v>0.33287274805765887</c:v>
                </c:pt>
                <c:pt idx="39">
                  <c:v>0.3229686562312028</c:v>
                </c:pt>
                <c:pt idx="40">
                  <c:v>0.31339214913380797</c:v>
                </c:pt>
                <c:pt idx="41">
                  <c:v>0.30413609403712588</c:v>
                </c:pt>
                <c:pt idx="42">
                  <c:v>0.29519326545953817</c:v>
                </c:pt>
                <c:pt idx="43">
                  <c:v>0.28655637236528103</c:v>
                </c:pt>
                <c:pt idx="44">
                  <c:v>0.27821808344659638</c:v>
                </c:pt>
                <c:pt idx="45">
                  <c:v>0.27017105055476576</c:v>
                </c:pt>
                <c:pt idx="46">
                  <c:v>0.26240793034959653</c:v>
                </c:pt>
                <c:pt idx="47">
                  <c:v>0.2549214042398758</c:v>
                </c:pt>
                <c:pt idx="48">
                  <c:v>0.24770419668953705</c:v>
                </c:pt>
                <c:pt idx="49">
                  <c:v>0.24074909196587677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4-45B6-BFAF-63FF39A32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348560"/>
        <c:axId val="1371347312"/>
      </c:scatterChart>
      <c:valAx>
        <c:axId val="137134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7312"/>
        <c:crosses val="autoZero"/>
        <c:crossBetween val="midCat"/>
      </c:valAx>
      <c:valAx>
        <c:axId val="13713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'1.Theta Calibration'!$B$23:$B$72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'1.Theta Calibration'!$C$23:$C$72</c:f>
              <c:numCache>
                <c:formatCode>0.0000%</c:formatCode>
                <c:ptCount val="50"/>
                <c:pt idx="0">
                  <c:v>4.5199999999999997E-2</c:v>
                </c:pt>
                <c:pt idx="1">
                  <c:v>4.5679999999999998E-2</c:v>
                </c:pt>
                <c:pt idx="2">
                  <c:v>4.6149999999999997E-2</c:v>
                </c:pt>
                <c:pt idx="3">
                  <c:v>4.6609999999999999E-2</c:v>
                </c:pt>
                <c:pt idx="4">
                  <c:v>4.7059999999999998E-2</c:v>
                </c:pt>
                <c:pt idx="5">
                  <c:v>4.7500000000000001E-2</c:v>
                </c:pt>
                <c:pt idx="6">
                  <c:v>4.793E-2</c:v>
                </c:pt>
                <c:pt idx="7">
                  <c:v>4.8350000000000004E-2</c:v>
                </c:pt>
                <c:pt idx="8">
                  <c:v>4.8760000000000005E-2</c:v>
                </c:pt>
                <c:pt idx="9">
                  <c:v>4.9160000000000002E-2</c:v>
                </c:pt>
                <c:pt idx="10">
                  <c:v>4.9550000000000004E-2</c:v>
                </c:pt>
                <c:pt idx="11">
                  <c:v>4.9930000000000002E-2</c:v>
                </c:pt>
                <c:pt idx="12">
                  <c:v>5.0300000000000004E-2</c:v>
                </c:pt>
                <c:pt idx="13">
                  <c:v>5.0660000000000004E-2</c:v>
                </c:pt>
                <c:pt idx="14">
                  <c:v>5.1010000000000007E-2</c:v>
                </c:pt>
                <c:pt idx="15">
                  <c:v>5.1350000000000007E-2</c:v>
                </c:pt>
                <c:pt idx="16">
                  <c:v>5.1680000000000004E-2</c:v>
                </c:pt>
                <c:pt idx="17">
                  <c:v>5.2000000000000005E-2</c:v>
                </c:pt>
                <c:pt idx="18">
                  <c:v>5.2310000000000002E-2</c:v>
                </c:pt>
                <c:pt idx="19">
                  <c:v>5.2610000000000004E-2</c:v>
                </c:pt>
                <c:pt idx="20">
                  <c:v>5.2900000000000003E-2</c:v>
                </c:pt>
                <c:pt idx="21">
                  <c:v>5.3180000000000005E-2</c:v>
                </c:pt>
                <c:pt idx="22">
                  <c:v>5.3450000000000004E-2</c:v>
                </c:pt>
                <c:pt idx="23">
                  <c:v>5.3710000000000008E-2</c:v>
                </c:pt>
                <c:pt idx="24">
                  <c:v>5.3960000000000008E-2</c:v>
                </c:pt>
                <c:pt idx="25">
                  <c:v>5.4200000000000005E-2</c:v>
                </c:pt>
                <c:pt idx="26">
                  <c:v>5.4430000000000006E-2</c:v>
                </c:pt>
                <c:pt idx="27">
                  <c:v>5.4650000000000004E-2</c:v>
                </c:pt>
                <c:pt idx="28">
                  <c:v>5.4860000000000006E-2</c:v>
                </c:pt>
                <c:pt idx="29">
                  <c:v>5.5060000000000005E-2</c:v>
                </c:pt>
                <c:pt idx="30">
                  <c:v>5.5250000000000007E-2</c:v>
                </c:pt>
                <c:pt idx="31">
                  <c:v>5.5430000000000007E-2</c:v>
                </c:pt>
                <c:pt idx="32">
                  <c:v>5.5600000000000011E-2</c:v>
                </c:pt>
                <c:pt idx="33">
                  <c:v>5.5760000000000011E-2</c:v>
                </c:pt>
                <c:pt idx="34">
                  <c:v>5.5910000000000008E-2</c:v>
                </c:pt>
                <c:pt idx="35">
                  <c:v>5.605000000000001E-2</c:v>
                </c:pt>
                <c:pt idx="36">
                  <c:v>5.6180000000000008E-2</c:v>
                </c:pt>
                <c:pt idx="37">
                  <c:v>5.630000000000001E-2</c:v>
                </c:pt>
                <c:pt idx="38">
                  <c:v>5.6410000000000009E-2</c:v>
                </c:pt>
                <c:pt idx="39">
                  <c:v>5.6510000000000012E-2</c:v>
                </c:pt>
                <c:pt idx="40">
                  <c:v>5.6600000000000011E-2</c:v>
                </c:pt>
                <c:pt idx="41">
                  <c:v>5.6680000000000015E-2</c:v>
                </c:pt>
                <c:pt idx="42">
                  <c:v>5.6750000000000016E-2</c:v>
                </c:pt>
                <c:pt idx="43">
                  <c:v>5.6810000000000013E-2</c:v>
                </c:pt>
                <c:pt idx="44">
                  <c:v>5.6860000000000015E-2</c:v>
                </c:pt>
                <c:pt idx="45">
                  <c:v>5.6900000000000013E-2</c:v>
                </c:pt>
                <c:pt idx="46">
                  <c:v>5.6930000000000015E-2</c:v>
                </c:pt>
                <c:pt idx="47">
                  <c:v>5.6950000000000014E-2</c:v>
                </c:pt>
                <c:pt idx="48">
                  <c:v>5.6960000000000018E-2</c:v>
                </c:pt>
                <c:pt idx="49">
                  <c:v>5.6960000000000018E-2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F-4B8A-836C-302002F3A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467935"/>
        <c:axId val="1476914687"/>
      </c:scatterChart>
      <c:valAx>
        <c:axId val="1249467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914687"/>
        <c:crosses val="autoZero"/>
        <c:crossBetween val="midCat"/>
      </c:valAx>
      <c:valAx>
        <c:axId val="147691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467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'3.r(t)'!$D$7:$L$7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4.9470026371698686E-2</c:v>
                </c:pt>
                <c:pt idx="2">
                  <c:v>4.7458230139841316E-2</c:v>
                </c:pt>
                <c:pt idx="3">
                  <c:v>5.3157626541041419E-2</c:v>
                </c:pt>
                <c:pt idx="4">
                  <c:v>5.4442451257769718E-2</c:v>
                </c:pt>
                <c:pt idx="5">
                  <c:v>4.984791045910833E-2</c:v>
                </c:pt>
                <c:pt idx="6">
                  <c:v>4.9381433549083663E-2</c:v>
                </c:pt>
                <c:pt idx="7">
                  <c:v>4.7834193173705776E-2</c:v>
                </c:pt>
                <c:pt idx="8">
                  <c:v>4.1509209489255863E-2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B0-4F0C-87E2-3281E6C56E7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'3.r(t)'!$D$8:$L$8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3.8848185643591736E-2</c:v>
                </c:pt>
                <c:pt idx="2">
                  <c:v>2.9563432564399438E-2</c:v>
                </c:pt>
                <c:pt idx="3">
                  <c:v>2.4313952354325024E-2</c:v>
                </c:pt>
                <c:pt idx="4">
                  <c:v>2.6992446925948044E-2</c:v>
                </c:pt>
                <c:pt idx="5">
                  <c:v>3.1618088739635855E-2</c:v>
                </c:pt>
                <c:pt idx="6">
                  <c:v>2.8811508795972791E-2</c:v>
                </c:pt>
                <c:pt idx="7">
                  <c:v>2.923956254286271E-2</c:v>
                </c:pt>
                <c:pt idx="8">
                  <c:v>3.7312014399903518E-2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B0-4F0C-87E2-3281E6C56E7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'3.r(t)'!$D$9:$L$9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3.4554387852874041E-2</c:v>
                </c:pt>
                <c:pt idx="2">
                  <c:v>4.1272996729327042E-2</c:v>
                </c:pt>
                <c:pt idx="3">
                  <c:v>3.6484174281175251E-2</c:v>
                </c:pt>
                <c:pt idx="4">
                  <c:v>3.2341514430868579E-2</c:v>
                </c:pt>
                <c:pt idx="5">
                  <c:v>2.7895015026885593E-2</c:v>
                </c:pt>
                <c:pt idx="6">
                  <c:v>3.1470168681491266E-2</c:v>
                </c:pt>
                <c:pt idx="7">
                  <c:v>2.8054008535639895E-2</c:v>
                </c:pt>
                <c:pt idx="8">
                  <c:v>3.1138231055802011E-2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B0-4F0C-87E2-3281E6C56E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'3.r(t)'!$D$10:$L$10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4.5312979493719256E-2</c:v>
                </c:pt>
                <c:pt idx="2">
                  <c:v>4.9462928872374891E-2</c:v>
                </c:pt>
                <c:pt idx="3">
                  <c:v>4.0797897315505385E-2</c:v>
                </c:pt>
                <c:pt idx="4">
                  <c:v>5.4580289896904194E-2</c:v>
                </c:pt>
                <c:pt idx="5">
                  <c:v>5.2708675164603487E-2</c:v>
                </c:pt>
                <c:pt idx="6">
                  <c:v>5.6934238332309331E-2</c:v>
                </c:pt>
                <c:pt idx="7">
                  <c:v>5.9060277523807686E-2</c:v>
                </c:pt>
                <c:pt idx="8">
                  <c:v>5.9215417822281714E-2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B0-4F0C-87E2-3281E6C56E7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'3.r(t)'!$D$11:$L$11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5.0049399074286828E-2</c:v>
                </c:pt>
                <c:pt idx="2">
                  <c:v>5.7812193066580066E-2</c:v>
                </c:pt>
                <c:pt idx="3">
                  <c:v>5.9388651394988674E-2</c:v>
                </c:pt>
                <c:pt idx="4">
                  <c:v>6.0969393859335766E-2</c:v>
                </c:pt>
                <c:pt idx="5">
                  <c:v>5.7221896059708705E-2</c:v>
                </c:pt>
                <c:pt idx="6">
                  <c:v>6.1263589242515272E-2</c:v>
                </c:pt>
                <c:pt idx="7">
                  <c:v>5.9588987138651003E-2</c:v>
                </c:pt>
                <c:pt idx="8">
                  <c:v>5.8683521352275489E-2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B0-4F0C-87E2-3281E6C56E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'3.r(t)'!$D$12:$L$12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4.9111945877962845E-2</c:v>
                </c:pt>
                <c:pt idx="2">
                  <c:v>4.6816745370242968E-2</c:v>
                </c:pt>
                <c:pt idx="3">
                  <c:v>5.3085927931982926E-2</c:v>
                </c:pt>
                <c:pt idx="4">
                  <c:v>6.1268053687342484E-2</c:v>
                </c:pt>
                <c:pt idx="5">
                  <c:v>6.4079827417776833E-2</c:v>
                </c:pt>
                <c:pt idx="6">
                  <c:v>6.4549351570800773E-2</c:v>
                </c:pt>
                <c:pt idx="7">
                  <c:v>6.2623512353596311E-2</c:v>
                </c:pt>
                <c:pt idx="8">
                  <c:v>6.1697150700709281E-2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B0-4F0C-87E2-3281E6C56E7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'3.r(t)'!$D$13:$L$13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4.2906531484095921E-2</c:v>
                </c:pt>
                <c:pt idx="2">
                  <c:v>4.5962397852032773E-2</c:v>
                </c:pt>
                <c:pt idx="3">
                  <c:v>5.0265335575575443E-2</c:v>
                </c:pt>
                <c:pt idx="4">
                  <c:v>4.9895994089658828E-2</c:v>
                </c:pt>
                <c:pt idx="5">
                  <c:v>5.074481395905004E-2</c:v>
                </c:pt>
                <c:pt idx="6">
                  <c:v>4.6186025563947006E-2</c:v>
                </c:pt>
                <c:pt idx="7">
                  <c:v>4.675645070912228E-2</c:v>
                </c:pt>
                <c:pt idx="8">
                  <c:v>4.1875376242232372E-2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9B0-4F0C-87E2-3281E6C56E7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'3.r(t)'!$D$14:$L$14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6.1223483137068171E-2</c:v>
                </c:pt>
                <c:pt idx="2">
                  <c:v>6.2790916394521876E-2</c:v>
                </c:pt>
                <c:pt idx="3">
                  <c:v>6.8175329302878673E-2</c:v>
                </c:pt>
                <c:pt idx="4">
                  <c:v>6.4825893887776626E-2</c:v>
                </c:pt>
                <c:pt idx="5">
                  <c:v>7.0150797123232481E-2</c:v>
                </c:pt>
                <c:pt idx="6">
                  <c:v>6.7537470054529508E-2</c:v>
                </c:pt>
                <c:pt idx="7">
                  <c:v>6.5611477298983367E-2</c:v>
                </c:pt>
                <c:pt idx="8">
                  <c:v>7.3156405546459094E-2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9B0-4F0C-87E2-3281E6C56E7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'3.r(t)'!$D$15:$L$15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4.847855878297113E-2</c:v>
                </c:pt>
                <c:pt idx="2">
                  <c:v>4.5101541085639102E-2</c:v>
                </c:pt>
                <c:pt idx="3">
                  <c:v>4.0222384826368078E-2</c:v>
                </c:pt>
                <c:pt idx="4">
                  <c:v>5.2744523705108085E-2</c:v>
                </c:pt>
                <c:pt idx="5">
                  <c:v>5.570716279585932E-2</c:v>
                </c:pt>
                <c:pt idx="6">
                  <c:v>5.8851040485095429E-2</c:v>
                </c:pt>
                <c:pt idx="7">
                  <c:v>5.6157081625837366E-2</c:v>
                </c:pt>
                <c:pt idx="8">
                  <c:v>6.1681217459002652E-2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9B0-4F0C-87E2-3281E6C56E7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'3.r(t)'!$D$16:$L$16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3.8073987866983058E-2</c:v>
                </c:pt>
                <c:pt idx="2">
                  <c:v>4.1407043843193866E-2</c:v>
                </c:pt>
                <c:pt idx="3">
                  <c:v>3.3757007634392065E-2</c:v>
                </c:pt>
                <c:pt idx="4">
                  <c:v>3.9177751262589544E-2</c:v>
                </c:pt>
                <c:pt idx="5">
                  <c:v>3.0695026276039067E-2</c:v>
                </c:pt>
                <c:pt idx="6">
                  <c:v>3.700306888093291E-2</c:v>
                </c:pt>
                <c:pt idx="7">
                  <c:v>4.4189954507029693E-2</c:v>
                </c:pt>
                <c:pt idx="8">
                  <c:v>5.4715944277944642E-2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9B0-4F0C-87E2-3281E6C56E7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'3.r(t)'!$D$17:$L$17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4.7699376824337281E-2</c:v>
                </c:pt>
                <c:pt idx="2">
                  <c:v>4.9791682925550654E-2</c:v>
                </c:pt>
                <c:pt idx="3">
                  <c:v>4.5995475830272227E-2</c:v>
                </c:pt>
                <c:pt idx="4">
                  <c:v>4.4455697327275868E-2</c:v>
                </c:pt>
                <c:pt idx="5">
                  <c:v>4.6636125004095218E-2</c:v>
                </c:pt>
                <c:pt idx="6">
                  <c:v>5.6235697366448109E-2</c:v>
                </c:pt>
                <c:pt idx="7">
                  <c:v>5.5317916373948547E-2</c:v>
                </c:pt>
                <c:pt idx="8">
                  <c:v>5.7124263480659604E-2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9B0-4F0C-87E2-3281E6C56E7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'3.r(t)'!$D$18:$L$18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5.9507607189260653E-2</c:v>
                </c:pt>
                <c:pt idx="2">
                  <c:v>5.6498330050761707E-2</c:v>
                </c:pt>
                <c:pt idx="3">
                  <c:v>6.3312498717176813E-2</c:v>
                </c:pt>
                <c:pt idx="4">
                  <c:v>7.0677621572358379E-2</c:v>
                </c:pt>
                <c:pt idx="5">
                  <c:v>7.1217150779596394E-2</c:v>
                </c:pt>
                <c:pt idx="6">
                  <c:v>7.9039872033634398E-2</c:v>
                </c:pt>
                <c:pt idx="7">
                  <c:v>8.5810897150262827E-2</c:v>
                </c:pt>
                <c:pt idx="8">
                  <c:v>8.9323819839741359E-2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9B0-4F0C-87E2-3281E6C56E7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'3.r(t)'!$D$19:$L$19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4.5506646065179401E-2</c:v>
                </c:pt>
                <c:pt idx="2">
                  <c:v>5.3853794713015303E-2</c:v>
                </c:pt>
                <c:pt idx="3">
                  <c:v>5.1276216114502657E-2</c:v>
                </c:pt>
                <c:pt idx="4">
                  <c:v>5.5167187458287345E-2</c:v>
                </c:pt>
                <c:pt idx="5">
                  <c:v>5.6942655927889926E-2</c:v>
                </c:pt>
                <c:pt idx="6">
                  <c:v>5.8529882805751957E-2</c:v>
                </c:pt>
                <c:pt idx="7">
                  <c:v>5.2290241313638443E-2</c:v>
                </c:pt>
                <c:pt idx="8">
                  <c:v>5.3783612633419527E-2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9B0-4F0C-87E2-3281E6C56E7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'3.r(t)'!$D$20:$L$20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4.4885914513962857E-2</c:v>
                </c:pt>
                <c:pt idx="2">
                  <c:v>4.4345433131649167E-2</c:v>
                </c:pt>
                <c:pt idx="3">
                  <c:v>4.5932929955727266E-2</c:v>
                </c:pt>
                <c:pt idx="4">
                  <c:v>4.9341027823725236E-2</c:v>
                </c:pt>
                <c:pt idx="5">
                  <c:v>4.2912147284060918E-2</c:v>
                </c:pt>
                <c:pt idx="6">
                  <c:v>4.5290289709164412E-2</c:v>
                </c:pt>
                <c:pt idx="7">
                  <c:v>5.073297367507703E-2</c:v>
                </c:pt>
                <c:pt idx="8">
                  <c:v>5.3485993672054123E-2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9B0-4F0C-87E2-3281E6C56E7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'3.r(t)'!$D$21:$L$21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5.4123224198792758E-2</c:v>
                </c:pt>
                <c:pt idx="2">
                  <c:v>5.7071199456577466E-2</c:v>
                </c:pt>
                <c:pt idx="3">
                  <c:v>6.1247029021879507E-2</c:v>
                </c:pt>
                <c:pt idx="4">
                  <c:v>6.0968812611600143E-2</c:v>
                </c:pt>
                <c:pt idx="5">
                  <c:v>5.7534903036782256E-2</c:v>
                </c:pt>
                <c:pt idx="6">
                  <c:v>5.1617532561086907E-2</c:v>
                </c:pt>
                <c:pt idx="7">
                  <c:v>4.7573368620502647E-2</c:v>
                </c:pt>
                <c:pt idx="8">
                  <c:v>3.7388604337322502E-2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9B0-4F0C-87E2-3281E6C56E7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'3.r(t)'!$D$22:$L$22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5.0572118487399682E-2</c:v>
                </c:pt>
                <c:pt idx="2">
                  <c:v>5.1990847191771807E-2</c:v>
                </c:pt>
                <c:pt idx="3">
                  <c:v>5.6394901486073956E-2</c:v>
                </c:pt>
                <c:pt idx="4">
                  <c:v>4.4121094314561085E-2</c:v>
                </c:pt>
                <c:pt idx="5">
                  <c:v>4.5195387347949673E-2</c:v>
                </c:pt>
                <c:pt idx="6">
                  <c:v>4.4277265469435341E-2</c:v>
                </c:pt>
                <c:pt idx="7">
                  <c:v>3.9971247866398059E-2</c:v>
                </c:pt>
                <c:pt idx="8">
                  <c:v>4.1968084615080913E-2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9B0-4F0C-87E2-3281E6C56E7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'3.r(t)'!$D$23:$L$23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5.2048798178895253E-2</c:v>
                </c:pt>
                <c:pt idx="2">
                  <c:v>7.3560782738593733E-2</c:v>
                </c:pt>
                <c:pt idx="3">
                  <c:v>7.9589239667814754E-2</c:v>
                </c:pt>
                <c:pt idx="4">
                  <c:v>8.3373193558038683E-2</c:v>
                </c:pt>
                <c:pt idx="5">
                  <c:v>7.936481643555017E-2</c:v>
                </c:pt>
                <c:pt idx="6">
                  <c:v>8.419230359767968E-2</c:v>
                </c:pt>
                <c:pt idx="7">
                  <c:v>7.9057290891430723E-2</c:v>
                </c:pt>
                <c:pt idx="8">
                  <c:v>7.7574713803366321E-2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9B0-4F0C-87E2-3281E6C56E7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'3.r(t)'!$D$24:$L$24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4.126960491733303E-2</c:v>
                </c:pt>
                <c:pt idx="2">
                  <c:v>3.3309908894374629E-2</c:v>
                </c:pt>
                <c:pt idx="3">
                  <c:v>3.4337005052654683E-2</c:v>
                </c:pt>
                <c:pt idx="4">
                  <c:v>3.2376675875219814E-2</c:v>
                </c:pt>
                <c:pt idx="5">
                  <c:v>3.6878485201506564E-2</c:v>
                </c:pt>
                <c:pt idx="6">
                  <c:v>3.7508330682417261E-2</c:v>
                </c:pt>
                <c:pt idx="7">
                  <c:v>3.968358071852212E-2</c:v>
                </c:pt>
                <c:pt idx="8">
                  <c:v>3.9499453811060396E-2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9B0-4F0C-87E2-3281E6C56E7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'3.r(t)'!$D$25:$L$25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4.2649555420882626E-2</c:v>
                </c:pt>
                <c:pt idx="2">
                  <c:v>4.4726167308699466E-2</c:v>
                </c:pt>
                <c:pt idx="3">
                  <c:v>4.9107922439518129E-2</c:v>
                </c:pt>
                <c:pt idx="4">
                  <c:v>4.240567092697712E-2</c:v>
                </c:pt>
                <c:pt idx="5">
                  <c:v>4.6886415854398532E-2</c:v>
                </c:pt>
                <c:pt idx="6">
                  <c:v>4.4737251457449834E-2</c:v>
                </c:pt>
                <c:pt idx="7">
                  <c:v>4.7560450394688411E-2</c:v>
                </c:pt>
                <c:pt idx="8">
                  <c:v>5.035702945421365E-2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9B0-4F0C-87E2-3281E6C56E7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'3.r(t)'!$D$26:$L$26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4.7998855283693791E-2</c:v>
                </c:pt>
                <c:pt idx="2">
                  <c:v>5.4292337612553379E-2</c:v>
                </c:pt>
                <c:pt idx="3">
                  <c:v>5.122374864261646E-2</c:v>
                </c:pt>
                <c:pt idx="4">
                  <c:v>4.0369451458482294E-2</c:v>
                </c:pt>
                <c:pt idx="5">
                  <c:v>4.0027367745048004E-2</c:v>
                </c:pt>
                <c:pt idx="6">
                  <c:v>3.6829191087655977E-2</c:v>
                </c:pt>
                <c:pt idx="7">
                  <c:v>3.0410630979244718E-2</c:v>
                </c:pt>
                <c:pt idx="8">
                  <c:v>2.6671842271643601E-2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9B0-4F0C-87E2-3281E6C56E7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'3.r(t)'!$D$27:$L$27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4.010003535305022E-2</c:v>
                </c:pt>
                <c:pt idx="2">
                  <c:v>4.4072630871600779E-2</c:v>
                </c:pt>
                <c:pt idx="3">
                  <c:v>3.100149300729467E-2</c:v>
                </c:pt>
                <c:pt idx="4">
                  <c:v>3.9546220050830742E-2</c:v>
                </c:pt>
                <c:pt idx="5">
                  <c:v>3.3816535464698892E-2</c:v>
                </c:pt>
                <c:pt idx="6">
                  <c:v>3.3771232934341464E-2</c:v>
                </c:pt>
                <c:pt idx="7">
                  <c:v>3.4462403726900293E-2</c:v>
                </c:pt>
                <c:pt idx="8">
                  <c:v>3.6347657765556117E-2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9B0-4F0C-87E2-3281E6C56E7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'3.r(t)'!$D$28:$L$28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4.2245531081756334E-2</c:v>
                </c:pt>
                <c:pt idx="2">
                  <c:v>4.8291172582155435E-2</c:v>
                </c:pt>
                <c:pt idx="3">
                  <c:v>4.9744593704095189E-2</c:v>
                </c:pt>
                <c:pt idx="4">
                  <c:v>5.0068112077102482E-2</c:v>
                </c:pt>
                <c:pt idx="5">
                  <c:v>4.3558297038759887E-2</c:v>
                </c:pt>
                <c:pt idx="6">
                  <c:v>4.7540818088350069E-2</c:v>
                </c:pt>
                <c:pt idx="7">
                  <c:v>4.3352105131145027E-2</c:v>
                </c:pt>
                <c:pt idx="8">
                  <c:v>4.2656463448235558E-2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9B0-4F0C-87E2-3281E6C56E7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'3.r(t)'!$D$29:$L$29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4.9557947433923756E-2</c:v>
                </c:pt>
                <c:pt idx="2">
                  <c:v>4.9868233976939236E-2</c:v>
                </c:pt>
                <c:pt idx="3">
                  <c:v>5.0818258592406594E-2</c:v>
                </c:pt>
                <c:pt idx="4">
                  <c:v>5.5535219844427192E-2</c:v>
                </c:pt>
                <c:pt idx="5">
                  <c:v>5.9096983681463933E-2</c:v>
                </c:pt>
                <c:pt idx="6">
                  <c:v>6.4086957274801043E-2</c:v>
                </c:pt>
                <c:pt idx="7">
                  <c:v>6.4755780947241451E-2</c:v>
                </c:pt>
                <c:pt idx="8">
                  <c:v>6.7716015799138024E-2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9B0-4F0C-87E2-3281E6C56E7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'3.r(t)'!$D$30:$L$30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5.0998057327050629E-2</c:v>
                </c:pt>
                <c:pt idx="2">
                  <c:v>5.240215474609939E-2</c:v>
                </c:pt>
                <c:pt idx="3">
                  <c:v>5.3543484473298687E-2</c:v>
                </c:pt>
                <c:pt idx="4">
                  <c:v>6.4049087744740996E-2</c:v>
                </c:pt>
                <c:pt idx="5">
                  <c:v>6.7202093157695805E-2</c:v>
                </c:pt>
                <c:pt idx="6">
                  <c:v>6.6451134737876949E-2</c:v>
                </c:pt>
                <c:pt idx="7">
                  <c:v>6.9341228340368405E-2</c:v>
                </c:pt>
                <c:pt idx="8">
                  <c:v>7.1966386404822349E-2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9B0-4F0C-87E2-3281E6C56E71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'3.r(t)'!$D$31:$L$31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3.8032478919076074E-2</c:v>
                </c:pt>
                <c:pt idx="2">
                  <c:v>4.7222695944767537E-2</c:v>
                </c:pt>
                <c:pt idx="3">
                  <c:v>4.82931295382521E-2</c:v>
                </c:pt>
                <c:pt idx="4">
                  <c:v>4.8534205101204646E-2</c:v>
                </c:pt>
                <c:pt idx="5">
                  <c:v>4.9413185799279467E-2</c:v>
                </c:pt>
                <c:pt idx="6">
                  <c:v>5.3110921799346261E-2</c:v>
                </c:pt>
                <c:pt idx="7">
                  <c:v>6.094374512416325E-2</c:v>
                </c:pt>
                <c:pt idx="8">
                  <c:v>5.4585295621436096E-2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9B0-4F0C-87E2-3281E6C56E71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'3.r(t)'!$D$32:$L$32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5.4910272617318651E-2</c:v>
                </c:pt>
                <c:pt idx="2">
                  <c:v>5.8908529934448145E-2</c:v>
                </c:pt>
                <c:pt idx="3">
                  <c:v>6.6753927771360175E-2</c:v>
                </c:pt>
                <c:pt idx="4">
                  <c:v>6.1291728794961746E-2</c:v>
                </c:pt>
                <c:pt idx="5">
                  <c:v>6.2119088936490673E-2</c:v>
                </c:pt>
                <c:pt idx="6">
                  <c:v>6.1208287553584872E-2</c:v>
                </c:pt>
                <c:pt idx="7">
                  <c:v>6.3594711977484078E-2</c:v>
                </c:pt>
                <c:pt idx="8">
                  <c:v>6.8148253269779732E-2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9B0-4F0C-87E2-3281E6C56E71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'3.r(t)'!$D$33:$L$33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4.466324594265781E-2</c:v>
                </c:pt>
                <c:pt idx="2">
                  <c:v>4.2898532872570221E-2</c:v>
                </c:pt>
                <c:pt idx="3">
                  <c:v>4.5408809778647162E-2</c:v>
                </c:pt>
                <c:pt idx="4">
                  <c:v>4.4573888660981505E-2</c:v>
                </c:pt>
                <c:pt idx="5">
                  <c:v>4.4270720866378267E-2</c:v>
                </c:pt>
                <c:pt idx="6">
                  <c:v>4.7542905858585206E-2</c:v>
                </c:pt>
                <c:pt idx="7">
                  <c:v>5.1011983451707175E-2</c:v>
                </c:pt>
                <c:pt idx="8">
                  <c:v>5.9959576072185605E-2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9B0-4F0C-87E2-3281E6C56E71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'3.r(t)'!$D$34:$L$34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4.9891618949624489E-2</c:v>
                </c:pt>
                <c:pt idx="2">
                  <c:v>5.0333255938620265E-2</c:v>
                </c:pt>
                <c:pt idx="3">
                  <c:v>4.3296922354511019E-2</c:v>
                </c:pt>
                <c:pt idx="4">
                  <c:v>4.7845202962337269E-2</c:v>
                </c:pt>
                <c:pt idx="5">
                  <c:v>5.3286349903854495E-2</c:v>
                </c:pt>
                <c:pt idx="6">
                  <c:v>5.5599936980502897E-2</c:v>
                </c:pt>
                <c:pt idx="7">
                  <c:v>6.6037884006067915E-2</c:v>
                </c:pt>
                <c:pt idx="8">
                  <c:v>7.0299814394114868E-2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9B0-4F0C-87E2-3281E6C56E71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'3.r(t)'!$D$35:$L$35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4.448874360097E-2</c:v>
                </c:pt>
                <c:pt idx="2">
                  <c:v>4.7166629940685455E-2</c:v>
                </c:pt>
                <c:pt idx="3">
                  <c:v>4.3512691500198743E-2</c:v>
                </c:pt>
                <c:pt idx="4">
                  <c:v>3.8522389361630709E-2</c:v>
                </c:pt>
                <c:pt idx="5">
                  <c:v>2.937542122363377E-2</c:v>
                </c:pt>
                <c:pt idx="6">
                  <c:v>3.3367159316018059E-2</c:v>
                </c:pt>
                <c:pt idx="7">
                  <c:v>3.2136646797126654E-2</c:v>
                </c:pt>
                <c:pt idx="8">
                  <c:v>3.8800999777321148E-2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9B0-4F0C-87E2-3281E6C56E71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'3.r(t)'!$D$36:$L$36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4.9387409178095677E-2</c:v>
                </c:pt>
                <c:pt idx="2">
                  <c:v>5.0530690677187337E-2</c:v>
                </c:pt>
                <c:pt idx="3">
                  <c:v>4.9990653887039618E-2</c:v>
                </c:pt>
                <c:pt idx="4">
                  <c:v>5.4698174622588511E-2</c:v>
                </c:pt>
                <c:pt idx="5">
                  <c:v>5.9783445871964658E-2</c:v>
                </c:pt>
                <c:pt idx="6">
                  <c:v>5.6932567522351055E-2</c:v>
                </c:pt>
                <c:pt idx="7">
                  <c:v>5.0827699562414702E-2</c:v>
                </c:pt>
                <c:pt idx="8">
                  <c:v>5.1337038138761414E-2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9B0-4F0C-87E2-3281E6C56E71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'3.r(t)'!$D$37:$L$37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4.1079903933465924E-2</c:v>
                </c:pt>
                <c:pt idx="2">
                  <c:v>4.4302731588059516E-2</c:v>
                </c:pt>
                <c:pt idx="3">
                  <c:v>5.506241204634614E-2</c:v>
                </c:pt>
                <c:pt idx="4">
                  <c:v>5.8862543572343953E-2</c:v>
                </c:pt>
                <c:pt idx="5">
                  <c:v>6.612484604301215E-2</c:v>
                </c:pt>
                <c:pt idx="6">
                  <c:v>7.1132333675583428E-2</c:v>
                </c:pt>
                <c:pt idx="7">
                  <c:v>7.0751679164750711E-2</c:v>
                </c:pt>
                <c:pt idx="8">
                  <c:v>7.9287710504377176E-2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F9B0-4F0C-87E2-3281E6C56E71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'3.r(t)'!$D$38:$L$38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4.9463363534823099E-2</c:v>
                </c:pt>
                <c:pt idx="2">
                  <c:v>5.0856681168561173E-2</c:v>
                </c:pt>
                <c:pt idx="3">
                  <c:v>5.1901422234079064E-2</c:v>
                </c:pt>
                <c:pt idx="4">
                  <c:v>4.9326759484645925E-2</c:v>
                </c:pt>
                <c:pt idx="5">
                  <c:v>4.9989553398600582E-2</c:v>
                </c:pt>
                <c:pt idx="6">
                  <c:v>4.8442593636175674E-2</c:v>
                </c:pt>
                <c:pt idx="7">
                  <c:v>3.1940973636724407E-2</c:v>
                </c:pt>
                <c:pt idx="8">
                  <c:v>4.327200159043295E-2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9B0-4F0C-87E2-3281E6C56E71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'3.r(t)'!$D$39:$L$39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4.3962239893286723E-2</c:v>
                </c:pt>
                <c:pt idx="2">
                  <c:v>4.0912920136095349E-2</c:v>
                </c:pt>
                <c:pt idx="3">
                  <c:v>4.3977880035148853E-2</c:v>
                </c:pt>
                <c:pt idx="4">
                  <c:v>4.4031262374634839E-2</c:v>
                </c:pt>
                <c:pt idx="5">
                  <c:v>4.6801656086936066E-2</c:v>
                </c:pt>
                <c:pt idx="6">
                  <c:v>4.9343384829275388E-2</c:v>
                </c:pt>
                <c:pt idx="7">
                  <c:v>5.2997314799055964E-2</c:v>
                </c:pt>
                <c:pt idx="8">
                  <c:v>5.8900842130919479E-2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9B0-4F0C-87E2-3281E6C56E71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'3.r(t)'!$D$40:$L$40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4.311190726355188E-2</c:v>
                </c:pt>
                <c:pt idx="2">
                  <c:v>3.4879459479018847E-2</c:v>
                </c:pt>
                <c:pt idx="3">
                  <c:v>3.6033827434801463E-2</c:v>
                </c:pt>
                <c:pt idx="4">
                  <c:v>4.1766968692670707E-2</c:v>
                </c:pt>
                <c:pt idx="5">
                  <c:v>4.1931561338350076E-2</c:v>
                </c:pt>
                <c:pt idx="6">
                  <c:v>3.9843498182088453E-2</c:v>
                </c:pt>
                <c:pt idx="7">
                  <c:v>4.1803251116104674E-2</c:v>
                </c:pt>
                <c:pt idx="8">
                  <c:v>4.0443881060712179E-2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9B0-4F0C-87E2-3281E6C56E71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'3.r(t)'!$D$41:$L$41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4.9469795597966257E-2</c:v>
                </c:pt>
                <c:pt idx="2">
                  <c:v>5.4044248266662112E-2</c:v>
                </c:pt>
                <c:pt idx="3">
                  <c:v>5.8439057626616261E-2</c:v>
                </c:pt>
                <c:pt idx="4">
                  <c:v>5.942346284959231E-2</c:v>
                </c:pt>
                <c:pt idx="5">
                  <c:v>6.1543353261013657E-2</c:v>
                </c:pt>
                <c:pt idx="6">
                  <c:v>5.5484853611523909E-2</c:v>
                </c:pt>
                <c:pt idx="7">
                  <c:v>5.7043088005351406E-2</c:v>
                </c:pt>
                <c:pt idx="8">
                  <c:v>6.1086190353678807E-2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9B0-4F0C-87E2-3281E6C56E71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'3.r(t)'!$D$42:$L$42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5.0390227687286279E-2</c:v>
                </c:pt>
                <c:pt idx="2">
                  <c:v>5.9739220839273813E-2</c:v>
                </c:pt>
                <c:pt idx="3">
                  <c:v>5.2283741495640426E-2</c:v>
                </c:pt>
                <c:pt idx="4">
                  <c:v>4.8272759637440647E-2</c:v>
                </c:pt>
                <c:pt idx="5">
                  <c:v>4.4930272063235445E-2</c:v>
                </c:pt>
                <c:pt idx="6">
                  <c:v>3.8245082031126677E-2</c:v>
                </c:pt>
                <c:pt idx="7">
                  <c:v>3.868453021031177E-2</c:v>
                </c:pt>
                <c:pt idx="8">
                  <c:v>3.2186660441207077E-2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9B0-4F0C-87E2-3281E6C56E71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'3.r(t)'!$D$43:$L$43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4.7899666099639193E-2</c:v>
                </c:pt>
                <c:pt idx="2">
                  <c:v>5.6632369895868395E-2</c:v>
                </c:pt>
                <c:pt idx="3">
                  <c:v>6.9867091452113464E-2</c:v>
                </c:pt>
                <c:pt idx="4">
                  <c:v>7.3360168718088314E-2</c:v>
                </c:pt>
                <c:pt idx="5">
                  <c:v>7.0660538747559468E-2</c:v>
                </c:pt>
                <c:pt idx="6">
                  <c:v>7.4809132165323797E-2</c:v>
                </c:pt>
                <c:pt idx="7">
                  <c:v>6.8838698031288878E-2</c:v>
                </c:pt>
                <c:pt idx="8">
                  <c:v>6.9435417517083903E-2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9B0-4F0C-87E2-3281E6C56E71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'3.r(t)'!$D$44:$L$44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3.7779009418722649E-2</c:v>
                </c:pt>
                <c:pt idx="2">
                  <c:v>4.8185685996575502E-2</c:v>
                </c:pt>
                <c:pt idx="3">
                  <c:v>4.2397564855000042E-2</c:v>
                </c:pt>
                <c:pt idx="4">
                  <c:v>4.8942071257543858E-2</c:v>
                </c:pt>
                <c:pt idx="5">
                  <c:v>4.88866882537492E-2</c:v>
                </c:pt>
                <c:pt idx="6">
                  <c:v>4.6879568921185034E-2</c:v>
                </c:pt>
                <c:pt idx="7">
                  <c:v>4.0168017460666679E-2</c:v>
                </c:pt>
                <c:pt idx="8">
                  <c:v>4.5935610936022414E-2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9B0-4F0C-87E2-3281E6C56E71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'3.r(t)'!$D$45:$L$45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5.1046873560553707E-2</c:v>
                </c:pt>
                <c:pt idx="2">
                  <c:v>5.377681675350203E-2</c:v>
                </c:pt>
                <c:pt idx="3">
                  <c:v>5.3321455601241165E-2</c:v>
                </c:pt>
                <c:pt idx="4">
                  <c:v>5.196847518717887E-2</c:v>
                </c:pt>
                <c:pt idx="5">
                  <c:v>5.3393697283575695E-2</c:v>
                </c:pt>
                <c:pt idx="6">
                  <c:v>5.6992898419462326E-2</c:v>
                </c:pt>
                <c:pt idx="7">
                  <c:v>5.5411267323536399E-2</c:v>
                </c:pt>
                <c:pt idx="8">
                  <c:v>5.4889001674358409E-2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9B0-4F0C-87E2-3281E6C56E71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'3.r(t)'!$D$46:$L$46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4.5507029155000892E-2</c:v>
                </c:pt>
                <c:pt idx="2">
                  <c:v>4.8055574456390485E-2</c:v>
                </c:pt>
                <c:pt idx="3">
                  <c:v>4.4594153982342691E-2</c:v>
                </c:pt>
                <c:pt idx="4">
                  <c:v>5.5877743577521843E-2</c:v>
                </c:pt>
                <c:pt idx="5">
                  <c:v>5.7587015296361017E-2</c:v>
                </c:pt>
                <c:pt idx="6">
                  <c:v>5.543543453741627E-2</c:v>
                </c:pt>
                <c:pt idx="7">
                  <c:v>5.5161701175068974E-2</c:v>
                </c:pt>
                <c:pt idx="8">
                  <c:v>5.0702534098248549E-2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9B0-4F0C-87E2-3281E6C56E71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'3.r(t)'!$D$47:$L$47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4.5377635599167077E-2</c:v>
                </c:pt>
                <c:pt idx="2">
                  <c:v>4.853818917684824E-2</c:v>
                </c:pt>
                <c:pt idx="3">
                  <c:v>4.851639540977206E-2</c:v>
                </c:pt>
                <c:pt idx="4">
                  <c:v>5.0518327950547399E-2</c:v>
                </c:pt>
                <c:pt idx="5">
                  <c:v>5.6961293452638707E-2</c:v>
                </c:pt>
                <c:pt idx="6">
                  <c:v>4.7775957797579621E-2</c:v>
                </c:pt>
                <c:pt idx="7">
                  <c:v>5.4051011341453972E-2</c:v>
                </c:pt>
                <c:pt idx="8">
                  <c:v>6.3257249051959119E-2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9B0-4F0C-87E2-3281E6C56E71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'3.r(t)'!$D$48:$L$48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4.5266512148911899E-2</c:v>
                </c:pt>
                <c:pt idx="2">
                  <c:v>4.3207251204128189E-2</c:v>
                </c:pt>
                <c:pt idx="3">
                  <c:v>4.5649021469027974E-2</c:v>
                </c:pt>
                <c:pt idx="4">
                  <c:v>4.0870047812804275E-2</c:v>
                </c:pt>
                <c:pt idx="5">
                  <c:v>4.6502919812018581E-2</c:v>
                </c:pt>
                <c:pt idx="6">
                  <c:v>4.9154512485790877E-2</c:v>
                </c:pt>
                <c:pt idx="7">
                  <c:v>5.0953865912481217E-2</c:v>
                </c:pt>
                <c:pt idx="8">
                  <c:v>5.1184516080411017E-2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9B0-4F0C-87E2-3281E6C56E71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'3.r(t)'!$D$49:$L$49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4.8171458797489929E-2</c:v>
                </c:pt>
                <c:pt idx="2">
                  <c:v>4.0453105228004084E-2</c:v>
                </c:pt>
                <c:pt idx="3">
                  <c:v>4.0874603005428715E-2</c:v>
                </c:pt>
                <c:pt idx="4">
                  <c:v>4.7374046458817466E-2</c:v>
                </c:pt>
                <c:pt idx="5">
                  <c:v>5.0353603934570251E-2</c:v>
                </c:pt>
                <c:pt idx="6">
                  <c:v>5.4190765702358569E-2</c:v>
                </c:pt>
                <c:pt idx="7">
                  <c:v>6.0025587418021567E-2</c:v>
                </c:pt>
                <c:pt idx="8">
                  <c:v>5.5479800288037874E-2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9B0-4F0C-87E2-3281E6C56E71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'3.r(t)'!$D$50:$L$50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4.8757926264813234E-2</c:v>
                </c:pt>
                <c:pt idx="2">
                  <c:v>4.6354898456960045E-2</c:v>
                </c:pt>
                <c:pt idx="3">
                  <c:v>3.9436696132857267E-2</c:v>
                </c:pt>
                <c:pt idx="4">
                  <c:v>3.8538767633319815E-2</c:v>
                </c:pt>
                <c:pt idx="5">
                  <c:v>3.2820542430635313E-2</c:v>
                </c:pt>
                <c:pt idx="6">
                  <c:v>4.0205281387173816E-2</c:v>
                </c:pt>
                <c:pt idx="7">
                  <c:v>4.285084680611214E-2</c:v>
                </c:pt>
                <c:pt idx="8">
                  <c:v>4.2488462028125847E-2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9B0-4F0C-87E2-3281E6C56E71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'3.r(t)'!$D$51:$L$51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5.0557626077119056E-2</c:v>
                </c:pt>
                <c:pt idx="2">
                  <c:v>4.6016921662041112E-2</c:v>
                </c:pt>
                <c:pt idx="3">
                  <c:v>4.6404981019252507E-2</c:v>
                </c:pt>
                <c:pt idx="4">
                  <c:v>5.1472099499125387E-2</c:v>
                </c:pt>
                <c:pt idx="5">
                  <c:v>5.4237743188838373E-2</c:v>
                </c:pt>
                <c:pt idx="6">
                  <c:v>5.9456497160709346E-2</c:v>
                </c:pt>
                <c:pt idx="7">
                  <c:v>6.1144466431369227E-2</c:v>
                </c:pt>
                <c:pt idx="8">
                  <c:v>5.633094174234738E-2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9B0-4F0C-87E2-3281E6C56E71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'3.r(t)'!$D$52:$L$52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4.5304792187386478E-2</c:v>
                </c:pt>
                <c:pt idx="2">
                  <c:v>5.7551770862624758E-2</c:v>
                </c:pt>
                <c:pt idx="3">
                  <c:v>3.8397806222489769E-2</c:v>
                </c:pt>
                <c:pt idx="4">
                  <c:v>3.6626550211458775E-2</c:v>
                </c:pt>
                <c:pt idx="5">
                  <c:v>3.97994700133062E-2</c:v>
                </c:pt>
                <c:pt idx="6">
                  <c:v>4.4536446947555958E-2</c:v>
                </c:pt>
                <c:pt idx="7">
                  <c:v>4.7185767880126281E-2</c:v>
                </c:pt>
                <c:pt idx="8">
                  <c:v>4.421181591369798E-2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9B0-4F0C-87E2-3281E6C56E71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'3.r(t)'!$D$53:$L$53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4.4903931879980978E-2</c:v>
                </c:pt>
                <c:pt idx="2">
                  <c:v>5.3962774658421767E-2</c:v>
                </c:pt>
                <c:pt idx="3">
                  <c:v>5.4200800803597439E-2</c:v>
                </c:pt>
                <c:pt idx="4">
                  <c:v>5.991893125787693E-2</c:v>
                </c:pt>
                <c:pt idx="5">
                  <c:v>6.2399443195476606E-2</c:v>
                </c:pt>
                <c:pt idx="6">
                  <c:v>6.3850236005756275E-2</c:v>
                </c:pt>
                <c:pt idx="7">
                  <c:v>6.4517890249203722E-2</c:v>
                </c:pt>
                <c:pt idx="8">
                  <c:v>6.9149746643274931E-2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9B0-4F0C-87E2-3281E6C56E71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'3.r(t)'!$D$54:$L$54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4.2372400333083024E-2</c:v>
                </c:pt>
                <c:pt idx="2">
                  <c:v>4.8876297600633056E-2</c:v>
                </c:pt>
                <c:pt idx="3">
                  <c:v>4.7921253821840155E-2</c:v>
                </c:pt>
                <c:pt idx="4">
                  <c:v>4.4768860736059971E-2</c:v>
                </c:pt>
                <c:pt idx="5">
                  <c:v>4.143954864669399E-2</c:v>
                </c:pt>
                <c:pt idx="6">
                  <c:v>3.9518999183687148E-2</c:v>
                </c:pt>
                <c:pt idx="7">
                  <c:v>4.0791865942579018E-2</c:v>
                </c:pt>
                <c:pt idx="8">
                  <c:v>5.0191204120524385E-2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9B0-4F0C-87E2-3281E6C56E71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'3.r(t)'!$D$55:$L$55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4.3538353216756642E-2</c:v>
                </c:pt>
                <c:pt idx="2">
                  <c:v>5.0291662567935505E-2</c:v>
                </c:pt>
                <c:pt idx="3">
                  <c:v>4.5888551948823533E-2</c:v>
                </c:pt>
                <c:pt idx="4">
                  <c:v>3.9752994004290408E-2</c:v>
                </c:pt>
                <c:pt idx="5">
                  <c:v>4.0089181511872303E-2</c:v>
                </c:pt>
                <c:pt idx="6">
                  <c:v>4.287758604977758E-2</c:v>
                </c:pt>
                <c:pt idx="7">
                  <c:v>4.5199048741192453E-2</c:v>
                </c:pt>
                <c:pt idx="8">
                  <c:v>5.3030994296176102E-2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9B0-4F0C-87E2-3281E6C56E71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'3.r(t)'!$D$6:$L$6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'3.r(t)'!$D$56:$L$56</c:f>
              <c:numCache>
                <c:formatCode>General</c:formatCode>
                <c:ptCount val="9"/>
                <c:pt idx="0">
                  <c:v>4.5199999999999997E-2</c:v>
                </c:pt>
                <c:pt idx="1">
                  <c:v>5.0730507176111536E-2</c:v>
                </c:pt>
                <c:pt idx="2">
                  <c:v>4.6246463328848846E-2</c:v>
                </c:pt>
                <c:pt idx="3">
                  <c:v>4.7408894412701567E-2</c:v>
                </c:pt>
                <c:pt idx="4">
                  <c:v>4.6761275936890931E-2</c:v>
                </c:pt>
                <c:pt idx="5">
                  <c:v>5.6466164850500947E-2</c:v>
                </c:pt>
                <c:pt idx="6">
                  <c:v>6.196674002036455E-2</c:v>
                </c:pt>
                <c:pt idx="7">
                  <c:v>6.1967407847488873E-2</c:v>
                </c:pt>
                <c:pt idx="8">
                  <c:v>6.5332126394944207E-2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9B0-4F0C-87E2-3281E6C56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615791"/>
        <c:axId val="1252586415"/>
      </c:scatterChart>
      <c:valAx>
        <c:axId val="1402615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586415"/>
        <c:crosses val="autoZero"/>
        <c:crossBetween val="midCat"/>
      </c:valAx>
      <c:valAx>
        <c:axId val="12525864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615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3D5352-248F-A30B-5C49-789A1C8DC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163831</xdr:colOff>
      <xdr:row>17</xdr:row>
      <xdr:rowOff>152399</xdr:rowOff>
    </xdr:from>
    <xdr:to>
      <xdr:col>28</xdr:col>
      <xdr:colOff>348344</xdr:colOff>
      <xdr:row>34</xdr:row>
      <xdr:rowOff>93344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167640</xdr:colOff>
      <xdr:row>0</xdr:row>
      <xdr:rowOff>108586</xdr:rowOff>
    </xdr:from>
    <xdr:to>
      <xdr:col>28</xdr:col>
      <xdr:colOff>337457</xdr:colOff>
      <xdr:row>17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495300</xdr:colOff>
      <xdr:row>3</xdr:row>
      <xdr:rowOff>114300</xdr:rowOff>
    </xdr:from>
    <xdr:to>
      <xdr:col>3</xdr:col>
      <xdr:colOff>450484</xdr:colOff>
      <xdr:row>4</xdr:row>
      <xdr:rowOff>133438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3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95300" y="762000"/>
              <a:ext cx="2069734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𝑑𝑟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𝑑𝑡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𝑑𝑊</m:t>
                    </m:r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9" name="TextBox 3">
              <a:extLst>
                <a:ext uri="{FF2B5EF4-FFF2-40B4-BE49-F238E27FC236}">
                  <a16:creationId xmlns:a16="http://schemas.microsoft.com/office/drawing/2014/main" id="{62E3ECB5-9C01-D4B2-E5C3-7470C98B32D5}"/>
                </a:ext>
              </a:extLst>
            </xdr:cNvPr>
            <xdr:cNvSpPr txBox="1"/>
          </xdr:nvSpPr>
          <xdr:spPr>
            <a:xfrm>
              <a:off x="495300" y="762000"/>
              <a:ext cx="2069734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𝑑𝑟(𝑡)=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𝜃(𝑡)𝑑𝑡+𝜎𝑑𝑊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379614</xdr:colOff>
      <xdr:row>5</xdr:row>
      <xdr:rowOff>111415</xdr:rowOff>
    </xdr:from>
    <xdr:to>
      <xdr:col>4</xdr:col>
      <xdr:colOff>205467</xdr:colOff>
      <xdr:row>7</xdr:row>
      <xdr:rowOff>192972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5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379614" y="1145558"/>
              <a:ext cx="3320167" cy="47344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𝑟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𝑟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nary>
                      <m:nary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  <m:sup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p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𝑢</m:t>
                            </m:r>
                          </m:e>
                        </m:d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𝑑𝑢</m:t>
                        </m:r>
                      </m:e>
                    </m:nary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𝑍</m:t>
                    </m:r>
                    <m:rad>
                      <m:radPr>
                        <m:degHide m:val="on"/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e>
                    </m:rad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0" name="TextBox 5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379614" y="1145558"/>
              <a:ext cx="3320167" cy="47344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𝑟(𝑡)=𝑟(𝑠)+∫_𝑠^𝑡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▒𝜃(𝑢)𝑑𝑢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𝜎𝑍√(𝑡−𝑠)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455391</xdr:colOff>
      <xdr:row>8</xdr:row>
      <xdr:rowOff>190500</xdr:rowOff>
    </xdr:from>
    <xdr:to>
      <xdr:col>3</xdr:col>
      <xdr:colOff>778367</xdr:colOff>
      <xdr:row>10</xdr:row>
      <xdr:rowOff>28720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6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455391" y="1838325"/>
              <a:ext cx="2437526" cy="23827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sSup>
                      <m:sSup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𝐵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14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1" name="TextBox 26">
              <a:extLst>
                <a:ext uri="{FF2B5EF4-FFF2-40B4-BE49-F238E27FC236}">
                  <a16:creationId xmlns:a16="http://schemas.microsoft.com/office/drawing/2014/main" id="{D4C74B7D-1694-AD27-3C46-2D50CF3C403F}"/>
                </a:ext>
              </a:extLst>
            </xdr:cNvPr>
            <xdr:cNvSpPr txBox="1"/>
          </xdr:nvSpPr>
          <xdr:spPr>
            <a:xfrm>
              <a:off x="455391" y="1838325"/>
              <a:ext cx="2437526" cy="23827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𝑃(𝑡,𝑇)=𝐴(𝑡,𝑇) 𝑒^(−𝑟(𝑡)𝐵(𝑡,𝑇))</a:t>
              </a:r>
              <a:endParaRPr lang="en-US" sz="14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5</xdr:col>
      <xdr:colOff>531591</xdr:colOff>
      <xdr:row>3</xdr:row>
      <xdr:rowOff>21784</xdr:rowOff>
    </xdr:from>
    <xdr:to>
      <xdr:col>7</xdr:col>
      <xdr:colOff>557367</xdr:colOff>
      <xdr:row>4</xdr:row>
      <xdr:rowOff>40922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29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4093941" y="669484"/>
              <a:ext cx="1378326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𝐵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US" sz="14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29">
              <a:extLst>
                <a:ext uri="{FF2B5EF4-FFF2-40B4-BE49-F238E27FC236}">
                  <a16:creationId xmlns:a16="http://schemas.microsoft.com/office/drawing/2014/main" id="{49408B66-6717-8344-1B05-AA5152E57F76}"/>
                </a:ext>
              </a:extLst>
            </xdr:cNvPr>
            <xdr:cNvSpPr txBox="1"/>
          </xdr:nvSpPr>
          <xdr:spPr>
            <a:xfrm>
              <a:off x="4093941" y="669484"/>
              <a:ext cx="1378326" cy="219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𝐵(𝑡,𝑇)=𝑇−𝑡</a:t>
              </a:r>
              <a:endParaRPr lang="en-US" sz="14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5</xdr:col>
      <xdr:colOff>522515</xdr:colOff>
      <xdr:row>4</xdr:row>
      <xdr:rowOff>56004</xdr:rowOff>
    </xdr:from>
    <xdr:to>
      <xdr:col>11</xdr:col>
      <xdr:colOff>417740</xdr:colOff>
      <xdr:row>6</xdr:row>
      <xdr:rowOff>141045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38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626429" y="894204"/>
              <a:ext cx="4924425" cy="47692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exp</m:t>
                        </m:r>
                      </m:fName>
                      <m:e>
                        <m:d>
                          <m:dPr>
                            <m:begChr m:val="{"/>
                            <m:endChr m:val="}"/>
                            <m:ctrlP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nary>
                              <m:naryPr>
                                <m:ctrlP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23"/>
                                  </m:rP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p>
                              <m:e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𝜃</m:t>
                                </m:r>
                                <m:d>
                                  <m:dPr>
                                    <m:ctrlP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</m:d>
                                <m:d>
                                  <m:dPr>
                                    <m:ctrlP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</m:d>
                              </m:e>
                            </m:nary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𝑑𝑠</m:t>
                            </m:r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6</m:t>
                                </m:r>
                              </m:den>
                            </m:f>
                            <m:sSup>
                              <m:sSupPr>
                                <m:ctrlP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p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r>
                                      <a:rPr lang="en-US" sz="14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sz="14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e>
                        </m:d>
                      </m:e>
                    </m:func>
                  </m:oMath>
                </m:oMathPara>
              </a14:m>
              <a:endParaRPr lang="en-US" sz="14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38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626429" y="894204"/>
              <a:ext cx="4924425" cy="47692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𝐴(𝑡,𝑇)=exp⁡{−∫_𝑡^𝑇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▒𝜃(𝑠)(𝑇−𝑠)  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𝑑𝑠+1/6 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 (𝑇−𝑡)^3 }</a:t>
              </a:r>
              <a:endParaRPr lang="en-US" sz="14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29</xdr:col>
      <xdr:colOff>141514</xdr:colOff>
      <xdr:row>8</xdr:row>
      <xdr:rowOff>21771</xdr:rowOff>
    </xdr:from>
    <xdr:to>
      <xdr:col>38</xdr:col>
      <xdr:colOff>217713</xdr:colOff>
      <xdr:row>26</xdr:row>
      <xdr:rowOff>174171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185057</xdr:colOff>
      <xdr:row>7</xdr:row>
      <xdr:rowOff>43542</xdr:rowOff>
    </xdr:from>
    <xdr:to>
      <xdr:col>8</xdr:col>
      <xdr:colOff>6915</xdr:colOff>
      <xdr:row>9</xdr:row>
      <xdr:rowOff>69785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84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5116286" y="1469571"/>
              <a:ext cx="1803058" cy="41812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𝜕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  <m:r>
                              <a:rPr lang="en-US" sz="14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</m:d>
                      </m:num>
                      <m:den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𝜕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den>
                    </m:f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84">
              <a:extLst>
                <a:ext uri="{FF2B5EF4-FFF2-40B4-BE49-F238E27FC236}">
                  <a16:creationId xmlns:a16="http://schemas.microsoft.com/office/drawing/2014/main" id="{5A6DD987-0D4E-2B5D-5E00-7FD54872E24F}"/>
                </a:ext>
              </a:extLst>
            </xdr:cNvPr>
            <xdr:cNvSpPr txBox="1"/>
          </xdr:nvSpPr>
          <xdr:spPr>
            <a:xfrm>
              <a:off x="5116286" y="1469571"/>
              <a:ext cx="1803058" cy="41812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Open San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𝜃(𝑇)=𝜕𝑓(0</a:t>
              </a:r>
              <a:r>
                <a:rPr lang="en-US" sz="14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,𝑇)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/𝜕𝑇+𝜎^2 𝑇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6</xdr:col>
      <xdr:colOff>367150</xdr:colOff>
      <xdr:row>11</xdr:row>
      <xdr:rowOff>45790</xdr:rowOff>
    </xdr:from>
    <xdr:to>
      <xdr:col>17</xdr:col>
      <xdr:colOff>382329</xdr:colOff>
      <xdr:row>11</xdr:row>
      <xdr:rowOff>45790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>
          <a:cxnSpLocks/>
        </xdr:cNvCxnSpPr>
      </xdr:nvCxnSpPr>
      <xdr:spPr>
        <a:xfrm>
          <a:off x="5298379" y="2255590"/>
          <a:ext cx="787466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98395</xdr:colOff>
      <xdr:row>11</xdr:row>
      <xdr:rowOff>144153</xdr:rowOff>
    </xdr:from>
    <xdr:to>
      <xdr:col>6</xdr:col>
      <xdr:colOff>649572</xdr:colOff>
      <xdr:row>12</xdr:row>
      <xdr:rowOff>163654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47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5029624" y="2353953"/>
              <a:ext cx="551177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47">
              <a:extLst>
                <a:ext uri="{FF2B5EF4-FFF2-40B4-BE49-F238E27FC236}">
                  <a16:creationId xmlns:a16="http://schemas.microsoft.com/office/drawing/2014/main" id="{D556B0D7-79E5-3BB9-A2BC-F5807F3CEA77}"/>
                </a:ext>
              </a:extLst>
            </xdr:cNvPr>
            <xdr:cNvSpPr txBox="1"/>
          </xdr:nvSpPr>
          <xdr:spPr>
            <a:xfrm>
              <a:off x="5029624" y="2353953"/>
              <a:ext cx="551177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𝑇_0=0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8</xdr:col>
      <xdr:colOff>26962</xdr:colOff>
      <xdr:row>11</xdr:row>
      <xdr:rowOff>144153</xdr:rowOff>
    </xdr:from>
    <xdr:to>
      <xdr:col>8</xdr:col>
      <xdr:colOff>389882</xdr:colOff>
      <xdr:row>12</xdr:row>
      <xdr:rowOff>163654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48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6939391" y="2353953"/>
              <a:ext cx="362920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48">
              <a:extLst>
                <a:ext uri="{FF2B5EF4-FFF2-40B4-BE49-F238E27FC236}">
                  <a16:creationId xmlns:a16="http://schemas.microsoft.com/office/drawing/2014/main" id="{FA7A73B9-7870-660A-A880-56DE55F2FBA0}"/>
                </a:ext>
              </a:extLst>
            </xdr:cNvPr>
            <xdr:cNvSpPr txBox="1"/>
          </xdr:nvSpPr>
          <xdr:spPr>
            <a:xfrm>
              <a:off x="6939391" y="2353953"/>
              <a:ext cx="362920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𝑇_(𝑖−1)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8</xdr:col>
      <xdr:colOff>970458</xdr:colOff>
      <xdr:row>11</xdr:row>
      <xdr:rowOff>144152</xdr:rowOff>
    </xdr:from>
    <xdr:to>
      <xdr:col>9</xdr:col>
      <xdr:colOff>161975</xdr:colOff>
      <xdr:row>12</xdr:row>
      <xdr:rowOff>163653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49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7882887" y="2353952"/>
              <a:ext cx="193002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49">
              <a:extLst>
                <a:ext uri="{FF2B5EF4-FFF2-40B4-BE49-F238E27FC236}">
                  <a16:creationId xmlns:a16="http://schemas.microsoft.com/office/drawing/2014/main" id="{4DD433BF-A6B2-9B74-9F15-9A370A0BD1C8}"/>
                </a:ext>
              </a:extLst>
            </xdr:cNvPr>
            <xdr:cNvSpPr txBox="1"/>
          </xdr:nvSpPr>
          <xdr:spPr>
            <a:xfrm>
              <a:off x="7882887" y="2353952"/>
              <a:ext cx="193002" cy="21544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𝑇_𝑖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16</xdr:col>
      <xdr:colOff>554824</xdr:colOff>
      <xdr:row>11</xdr:row>
      <xdr:rowOff>144152</xdr:rowOff>
    </xdr:from>
    <xdr:to>
      <xdr:col>17</xdr:col>
      <xdr:colOff>482487</xdr:colOff>
      <xdr:row>12</xdr:row>
      <xdr:rowOff>180965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50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 txBox="1"/>
          </xdr:nvSpPr>
          <xdr:spPr>
            <a:xfrm>
              <a:off x="12735938" y="2353952"/>
              <a:ext cx="537263" cy="23275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50">
              <a:extLst>
                <a:ext uri="{FF2B5EF4-FFF2-40B4-BE49-F238E27FC236}">
                  <a16:creationId xmlns:a16="http://schemas.microsoft.com/office/drawing/2014/main" id="{DB380A37-E46B-D170-A41E-7DF8EE3862D6}"/>
                </a:ext>
              </a:extLst>
            </xdr:cNvPr>
            <xdr:cNvSpPr txBox="1"/>
          </xdr:nvSpPr>
          <xdr:spPr>
            <a:xfrm>
              <a:off x="12735938" y="2353952"/>
              <a:ext cx="537263" cy="23275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𝑇_𝑗=𝑇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8</xdr:col>
      <xdr:colOff>150057</xdr:colOff>
      <xdr:row>9</xdr:row>
      <xdr:rowOff>92846</xdr:rowOff>
    </xdr:from>
    <xdr:to>
      <xdr:col>9</xdr:col>
      <xdr:colOff>92468</xdr:colOff>
      <xdr:row>10</xdr:row>
      <xdr:rowOff>168111</xdr:rowOff>
    </xdr:to>
    <xdr:sp macro="" textlink="">
      <xdr:nvSpPr>
        <xdr:cNvPr id="39" name="Right Brac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16200000">
          <a:off x="7398830" y="1574416"/>
          <a:ext cx="271208" cy="943896"/>
        </a:xfrm>
        <a:prstGeom prst="rightBrace">
          <a:avLst>
            <a:gd name="adj1" fmla="val 39602"/>
            <a:gd name="adj2" fmla="val 50000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400"/>
        </a:p>
      </xdr:txBody>
    </xdr:sp>
    <xdr:clientData/>
  </xdr:twoCellAnchor>
  <xdr:twoCellAnchor>
    <xdr:from>
      <xdr:col>8</xdr:col>
      <xdr:colOff>403333</xdr:colOff>
      <xdr:row>7</xdr:row>
      <xdr:rowOff>140626</xdr:rowOff>
    </xdr:from>
    <xdr:to>
      <xdr:col>8</xdr:col>
      <xdr:colOff>840677</xdr:colOff>
      <xdr:row>9</xdr:row>
      <xdr:rowOff>56518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53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7315762" y="1566655"/>
              <a:ext cx="437344" cy="30777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0" name="TextBox 53">
              <a:extLst>
                <a:ext uri="{FF2B5EF4-FFF2-40B4-BE49-F238E27FC236}">
                  <a16:creationId xmlns:a16="http://schemas.microsoft.com/office/drawing/2014/main" id="{0653E9B8-71AB-1869-47AC-F619B507A1F2}"/>
                </a:ext>
              </a:extLst>
            </xdr:cNvPr>
            <xdr:cNvSpPr txBox="1"/>
          </xdr:nvSpPr>
          <xdr:spPr>
            <a:xfrm>
              <a:off x="7315762" y="1566655"/>
              <a:ext cx="437344" cy="30777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𝜃_𝑖</a:t>
              </a:r>
              <a:endParaRPr lang="en-US" sz="1400"/>
            </a:p>
          </xdr:txBody>
        </xdr:sp>
      </mc:Fallback>
    </mc:AlternateContent>
    <xdr:clientData/>
  </xdr:twoCellAnchor>
  <xdr:twoCellAnchor>
    <xdr:from>
      <xdr:col>15</xdr:col>
      <xdr:colOff>273392</xdr:colOff>
      <xdr:row>11</xdr:row>
      <xdr:rowOff>144152</xdr:rowOff>
    </xdr:from>
    <xdr:to>
      <xdr:col>16</xdr:col>
      <xdr:colOff>25173</xdr:colOff>
      <xdr:row>12</xdr:row>
      <xdr:rowOff>180965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54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 txBox="1"/>
          </xdr:nvSpPr>
          <xdr:spPr>
            <a:xfrm>
              <a:off x="11844906" y="2353952"/>
              <a:ext cx="361381" cy="23275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54">
              <a:extLst>
                <a:ext uri="{FF2B5EF4-FFF2-40B4-BE49-F238E27FC236}">
                  <a16:creationId xmlns:a16="http://schemas.microsoft.com/office/drawing/2014/main" id="{DB5F6F7D-2073-DADB-61CE-259579ECC983}"/>
                </a:ext>
              </a:extLst>
            </xdr:cNvPr>
            <xdr:cNvSpPr txBox="1"/>
          </xdr:nvSpPr>
          <xdr:spPr>
            <a:xfrm>
              <a:off x="11844906" y="2353952"/>
              <a:ext cx="361381" cy="23275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𝑇_(𝑗−1)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15</xdr:col>
      <xdr:colOff>396887</xdr:colOff>
      <xdr:row>9</xdr:row>
      <xdr:rowOff>93430</xdr:rowOff>
    </xdr:from>
    <xdr:to>
      <xdr:col>17</xdr:col>
      <xdr:colOff>382328</xdr:colOff>
      <xdr:row>10</xdr:row>
      <xdr:rowOff>168101</xdr:rowOff>
    </xdr:to>
    <xdr:sp macro="" textlink="">
      <xdr:nvSpPr>
        <xdr:cNvPr id="42" name="Right Brac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16200000">
          <a:off x="12435415" y="1444330"/>
          <a:ext cx="270614" cy="1204641"/>
        </a:xfrm>
        <a:prstGeom prst="rightBrace">
          <a:avLst>
            <a:gd name="adj1" fmla="val 39602"/>
            <a:gd name="adj2" fmla="val 50000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400"/>
        </a:p>
      </xdr:txBody>
    </xdr:sp>
    <xdr:clientData/>
  </xdr:twoCellAnchor>
  <xdr:twoCellAnchor>
    <xdr:from>
      <xdr:col>16</xdr:col>
      <xdr:colOff>162046</xdr:colOff>
      <xdr:row>7</xdr:row>
      <xdr:rowOff>130628</xdr:rowOff>
    </xdr:from>
    <xdr:to>
      <xdr:col>16</xdr:col>
      <xdr:colOff>599390</xdr:colOff>
      <xdr:row>9</xdr:row>
      <xdr:rowOff>63832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59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 txBox="1"/>
          </xdr:nvSpPr>
          <xdr:spPr>
            <a:xfrm>
              <a:off x="12343160" y="1556657"/>
              <a:ext cx="437344" cy="32508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3" name="TextBox 59">
              <a:extLst>
                <a:ext uri="{FF2B5EF4-FFF2-40B4-BE49-F238E27FC236}">
                  <a16:creationId xmlns:a16="http://schemas.microsoft.com/office/drawing/2014/main" id="{7FCA60D9-7326-53A9-D577-E0D4CC4E5348}"/>
                </a:ext>
              </a:extLst>
            </xdr:cNvPr>
            <xdr:cNvSpPr txBox="1"/>
          </xdr:nvSpPr>
          <xdr:spPr>
            <a:xfrm>
              <a:off x="12343160" y="1556657"/>
              <a:ext cx="437344" cy="32508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𝜃_𝑗</a:t>
              </a:r>
              <a:endParaRPr lang="en-US" sz="1400"/>
            </a:p>
          </xdr:txBody>
        </xdr:sp>
      </mc:Fallback>
    </mc:AlternateContent>
    <xdr:clientData/>
  </xdr:twoCellAnchor>
  <xdr:twoCellAnchor>
    <xdr:from>
      <xdr:col>5</xdr:col>
      <xdr:colOff>819197</xdr:colOff>
      <xdr:row>13</xdr:row>
      <xdr:rowOff>93288</xdr:rowOff>
    </xdr:from>
    <xdr:to>
      <xdr:col>13</xdr:col>
      <xdr:colOff>223167</xdr:colOff>
      <xdr:row>16</xdr:row>
      <xdr:rowOff>86112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60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 txBox="1"/>
          </xdr:nvSpPr>
          <xdr:spPr>
            <a:xfrm>
              <a:off x="4923111" y="2694974"/>
              <a:ext cx="5652370" cy="61330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  <m:sup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p>
                      <m:e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e>
                        </m:d>
                        <m:d>
                          <m:d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e>
                        </m:d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𝑑𝑠</m:t>
                        </m:r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f>
                          <m:f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sSub>
                          <m:sSub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e>
                          <m:sub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  <m:sSup>
                          <m:sSup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𝑗</m:t>
                                    </m:r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nary>
                          <m:naryPr>
                            <m:chr m:val="∑"/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p>
                                  <m:sSupPr>
                                    <m:ctrlP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n-US" sz="1400" b="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n-US" sz="1400" b="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ctrlPr>
                                          <a:rPr lang="en-US" sz="1400" b="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n-US" sz="1400" b="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  <m:sup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e>
                            </m:d>
                          </m:e>
                        </m:nary>
                      </m:e>
                    </m:nary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60">
              <a:extLst>
                <a:ext uri="{FF2B5EF4-FFF2-40B4-BE49-F238E27FC236}">
                  <a16:creationId xmlns:a16="http://schemas.microsoft.com/office/drawing/2014/main" id="{D1DC6585-1BC3-9495-4150-D35380606D7E}"/>
                </a:ext>
              </a:extLst>
            </xdr:cNvPr>
            <xdr:cNvSpPr txBox="1"/>
          </xdr:nvSpPr>
          <xdr:spPr>
            <a:xfrm>
              <a:off x="4923111" y="2694974"/>
              <a:ext cx="5652370" cy="61330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</a:rPr>
                <a:t>∫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_0^𝑇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▒〖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(𝑠)(𝑇−𝑠)𝑑𝑠=1/2 𝜃_𝑗 (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𝑇_𝑗−𝑇_(𝑗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−1) )^2+1/2 ∑_(𝑖=1)^(𝑗−1)▒〖𝜃_𝑖 [(𝑇_𝑗−𝑇_(𝑖−1) )^2−(𝑇_𝑗−𝑇_𝑖 )^2 ] 〗〗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  <xdr:twoCellAnchor>
    <xdr:from>
      <xdr:col>5</xdr:col>
      <xdr:colOff>751114</xdr:colOff>
      <xdr:row>16</xdr:row>
      <xdr:rowOff>105136</xdr:rowOff>
    </xdr:from>
    <xdr:to>
      <xdr:col>15</xdr:col>
      <xdr:colOff>117885</xdr:colOff>
      <xdr:row>20</xdr:row>
      <xdr:rowOff>14952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62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 txBox="1"/>
          </xdr:nvSpPr>
          <xdr:spPr>
            <a:xfrm>
              <a:off x="4855028" y="3327307"/>
              <a:ext cx="6834371" cy="6935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solidFill>
                          <a:srgbClr val="C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num>
                      <m:den>
                        <m:sSup>
                          <m:sSup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𝑗</m:t>
                                    </m:r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d>
                      <m:dPr>
                        <m:ctrlP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C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func>
                          <m:funcPr>
                            <m:ctrlP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400" b="0" i="0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0, 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e>
                            </m:d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e>
                            </m:d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6</m:t>
                                </m:r>
                              </m:den>
                            </m:f>
                            <m:sSup>
                              <m:sSup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p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400" b="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n-US" sz="1400" b="0" i="1">
                                <a:solidFill>
                                  <a:srgbClr val="C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  <m:nary>
                              <m:naryPr>
                                <m:chr m:val="∑"/>
                                <m:ctrl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23"/>
                                  </m:rP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=1</m:t>
                                </m:r>
                              </m:sub>
                              <m:sup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1400" i="1">
                                    <a:solidFill>
                                      <a:srgbClr val="C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−1</m:t>
                                </m:r>
                              </m:sup>
                              <m:e>
                                <m:sSub>
                                  <m:sSubPr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  <m:sub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p>
                                      <m:sSupPr>
                                        <m:ctrlPr>
                                          <a:rPr lang="en-US" sz="140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en-US" sz="140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US" sz="140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−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𝑖</m:t>
                                                </m:r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en-US" sz="140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  <m:r>
                                      <a:rPr lang="en-US" sz="1400" i="1">
                                        <a:solidFill>
                                          <a:srgbClr val="C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sSup>
                                      <m:sSupPr>
                                        <m:ctrlPr>
                                          <a:rPr lang="en-US" sz="140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en-US" sz="140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US" sz="1400" i="1">
                                                <a:solidFill>
                                                  <a:srgbClr val="C00000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−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400" i="1">
                                                    <a:solidFill>
                                                      <a:srgbClr val="C00000"/>
                                                    </a:solidFill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</a:rPr>
                                                  <m:t>𝑖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en-US" sz="1400" i="1">
                                            <a:solidFill>
                                              <a:srgbClr val="C00000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e>
                                </m:d>
                              </m:e>
                            </m:nary>
                          </m:e>
                        </m:func>
                      </m:e>
                    </m:d>
                  </m:oMath>
                </m:oMathPara>
              </a14:m>
              <a:endParaRPr lang="en-US" sz="1400">
                <a:solidFill>
                  <a:srgbClr val="C00000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62">
              <a:extLst>
                <a:ext uri="{FF2B5EF4-FFF2-40B4-BE49-F238E27FC236}">
                  <a16:creationId xmlns:a16="http://schemas.microsoft.com/office/drawing/2014/main" id="{6F5A9DCF-7414-0E47-596F-45FEFD68FACE}"/>
                </a:ext>
              </a:extLst>
            </xdr:cNvPr>
            <xdr:cNvSpPr txBox="1"/>
          </xdr:nvSpPr>
          <xdr:spPr>
            <a:xfrm>
              <a:off x="4855028" y="3327307"/>
              <a:ext cx="6834371" cy="6935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𝜃_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𝑗=2/(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𝑇_𝑗−𝑇_(𝑗−1) )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2  (−ln⁡〖𝑃(0, 𝑇_𝑗 )−𝑟(0) 𝑇_𝑗+1/6 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</a:rPr>
                <a:t>2 〖𝑇_𝑗〗^3−</a:t>
              </a:r>
              <a:r>
                <a:rPr lang="en-US" sz="140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1/2 ∑_(𝑖=1)^(𝑗−1)▒〖𝜃_𝑖 [(𝑇_𝑗−𝑇_(𝑖−1) )^2−(𝑇_𝑗−𝑇_𝑖 )^2 ] 〗</a:t>
              </a:r>
              <a:r>
                <a:rPr lang="en-US" sz="1400" b="0" i="0">
                  <a:solidFill>
                    <a:srgbClr val="C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 )</a:t>
              </a:r>
              <a:endParaRPr lang="en-US" sz="1400">
                <a:solidFill>
                  <a:srgbClr val="C00000"/>
                </a:solidFill>
              </a:endParaRP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7</xdr:row>
      <xdr:rowOff>123825</xdr:rowOff>
    </xdr:from>
    <xdr:to>
      <xdr:col>3</xdr:col>
      <xdr:colOff>676275</xdr:colOff>
      <xdr:row>12</xdr:row>
      <xdr:rowOff>190500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2505075" y="1571625"/>
          <a:ext cx="0" cy="1066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8</xdr:row>
      <xdr:rowOff>104775</xdr:rowOff>
    </xdr:from>
    <xdr:to>
      <xdr:col>3</xdr:col>
      <xdr:colOff>695325</xdr:colOff>
      <xdr:row>10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71700" y="1752600"/>
          <a:ext cx="3524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5</xdr:col>
      <xdr:colOff>152400</xdr:colOff>
      <xdr:row>4</xdr:row>
      <xdr:rowOff>19050</xdr:rowOff>
    </xdr:from>
    <xdr:to>
      <xdr:col>6</xdr:col>
      <xdr:colOff>819150</xdr:colOff>
      <xdr:row>4</xdr:row>
      <xdr:rowOff>19050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371850" y="219075"/>
          <a:ext cx="1276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819150</xdr:colOff>
      <xdr:row>3</xdr:row>
      <xdr:rowOff>57150</xdr:rowOff>
    </xdr:from>
    <xdr:to>
      <xdr:col>7</xdr:col>
      <xdr:colOff>219075</xdr:colOff>
      <xdr:row>5</xdr:row>
      <xdr:rowOff>161925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648200" y="57150"/>
          <a:ext cx="3619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15</xdr:col>
      <xdr:colOff>255366</xdr:colOff>
      <xdr:row>24</xdr:row>
      <xdr:rowOff>28575</xdr:rowOff>
    </xdr:from>
    <xdr:to>
      <xdr:col>17</xdr:col>
      <xdr:colOff>414492</xdr:colOff>
      <xdr:row>25</xdr:row>
      <xdr:rowOff>79003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29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9989916" y="4229100"/>
              <a:ext cx="1378326" cy="25045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𝐵</m:t>
                    </m:r>
                    <m:d>
                      <m:dPr>
                        <m:ctrlP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8" name="TextBox 29">
              <a:extLst>
                <a:ext uri="{FF2B5EF4-FFF2-40B4-BE49-F238E27FC236}">
                  <a16:creationId xmlns:a16="http://schemas.microsoft.com/office/drawing/2014/main" id="{49408B66-6717-8344-1B05-AA5152E57F76}"/>
                </a:ext>
              </a:extLst>
            </xdr:cNvPr>
            <xdr:cNvSpPr txBox="1"/>
          </xdr:nvSpPr>
          <xdr:spPr>
            <a:xfrm>
              <a:off x="9989916" y="4229100"/>
              <a:ext cx="1378326" cy="25045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𝐵(𝑡,𝑇)=𝑇−𝑡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15</xdr:col>
      <xdr:colOff>219075</xdr:colOff>
      <xdr:row>9</xdr:row>
      <xdr:rowOff>76402</xdr:rowOff>
    </xdr:from>
    <xdr:to>
      <xdr:col>22</xdr:col>
      <xdr:colOff>542234</xdr:colOff>
      <xdr:row>12</xdr:row>
      <xdr:rowOff>35391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3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9953625" y="1276552"/>
              <a:ext cx="4590359" cy="5590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d>
                      <m:dPr>
                        <m:ctrlP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6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6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600" b="0" i="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exp</m:t>
                        </m:r>
                      </m:fName>
                      <m:e>
                        <m:d>
                          <m:dPr>
                            <m:begChr m:val="{"/>
                            <m:endChr m:val="}"/>
                            <m:ctrlPr>
                              <a:rPr lang="en-US" sz="16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6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nary>
                              <m:naryPr>
                                <m:ctrlP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23"/>
                                  </m:rP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p>
                              <m:e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𝜃</m:t>
                                </m:r>
                                <m:d>
                                  <m:dPr>
                                    <m:ctrlP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</m:d>
                                <m:d>
                                  <m:dPr>
                                    <m:ctrlP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</m:t>
                                    </m:r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</m:d>
                              </m:e>
                            </m:nary>
                            <m:r>
                              <a:rPr lang="en-US" sz="16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𝑑𝑠</m:t>
                            </m:r>
                            <m:r>
                              <a:rPr lang="en-US" sz="1600" b="0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6</m:t>
                                </m:r>
                              </m:den>
                            </m:f>
                            <m:sSup>
                              <m:sSupPr>
                                <m:ctrlP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p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r>
                                      <a:rPr lang="en-US" sz="1600" b="0" i="1">
                                        <a:solidFill>
                                          <a:srgbClr val="FF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sz="1600" b="0" i="1">
                                    <a:solidFill>
                                      <a:srgbClr val="FF0000"/>
                                    </a:solidFill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e>
                        </m:d>
                      </m:e>
                    </m:func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9" name="TextBox 38">
              <a:extLst>
                <a:ext uri="{FF2B5EF4-FFF2-40B4-BE49-F238E27FC236}">
                  <a16:creationId xmlns:a16="http://schemas.microsoft.com/office/drawing/2014/main" id="{1F122FC3-326F-9444-F16C-01BC75F2B307}"/>
                </a:ext>
              </a:extLst>
            </xdr:cNvPr>
            <xdr:cNvSpPr txBox="1"/>
          </xdr:nvSpPr>
          <xdr:spPr>
            <a:xfrm>
              <a:off x="9953625" y="1276552"/>
              <a:ext cx="4590359" cy="55906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𝐴(𝑡,𝑇)=exp⁡{−∫_𝑡^𝑇</a:t>
              </a:r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▒𝜃(𝑠)(𝑇−𝑠)  </a:t>
              </a:r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𝑑𝑠+1/6 </a:t>
              </a:r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2 (𝑇−𝑡)^3 }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  <xdr:twoCellAnchor>
    <xdr:from>
      <xdr:col>3</xdr:col>
      <xdr:colOff>676275</xdr:colOff>
      <xdr:row>21</xdr:row>
      <xdr:rowOff>142875</xdr:rowOff>
    </xdr:from>
    <xdr:to>
      <xdr:col>3</xdr:col>
      <xdr:colOff>676275</xdr:colOff>
      <xdr:row>27</xdr:row>
      <xdr:rowOff>9525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505075" y="4391025"/>
          <a:ext cx="0" cy="1066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22</xdr:row>
      <xdr:rowOff>114300</xdr:rowOff>
    </xdr:from>
    <xdr:to>
      <xdr:col>3</xdr:col>
      <xdr:colOff>590550</xdr:colOff>
      <xdr:row>24</xdr:row>
      <xdr:rowOff>19050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066925" y="4562475"/>
          <a:ext cx="3524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5</xdr:col>
      <xdr:colOff>152400</xdr:colOff>
      <xdr:row>19</xdr:row>
      <xdr:rowOff>19050</xdr:rowOff>
    </xdr:from>
    <xdr:to>
      <xdr:col>6</xdr:col>
      <xdr:colOff>819150</xdr:colOff>
      <xdr:row>19</xdr:row>
      <xdr:rowOff>19050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3371850" y="219075"/>
          <a:ext cx="1276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819150</xdr:colOff>
      <xdr:row>18</xdr:row>
      <xdr:rowOff>57150</xdr:rowOff>
    </xdr:from>
    <xdr:to>
      <xdr:col>7</xdr:col>
      <xdr:colOff>219075</xdr:colOff>
      <xdr:row>20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648200" y="57150"/>
          <a:ext cx="3619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3</xdr:row>
      <xdr:rowOff>114300</xdr:rowOff>
    </xdr:from>
    <xdr:to>
      <xdr:col>4</xdr:col>
      <xdr:colOff>514350</xdr:colOff>
      <xdr:row>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2447925" y="762000"/>
          <a:ext cx="5238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7</xdr:row>
      <xdr:rowOff>85725</xdr:rowOff>
    </xdr:from>
    <xdr:to>
      <xdr:col>1</xdr:col>
      <xdr:colOff>190500</xdr:colOff>
      <xdr:row>9</xdr:row>
      <xdr:rowOff>142875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800100" y="1533525"/>
          <a:ext cx="0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161924</xdr:colOff>
      <xdr:row>6</xdr:row>
      <xdr:rowOff>147638</xdr:rowOff>
    </xdr:from>
    <xdr:to>
      <xdr:col>24</xdr:col>
      <xdr:colOff>285749</xdr:colOff>
      <xdr:row>27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22</xdr:col>
      <xdr:colOff>17711</xdr:colOff>
      <xdr:row>4</xdr:row>
      <xdr:rowOff>49702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3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0820400" y="642257"/>
              <a:ext cx="3065711" cy="24564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𝑟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4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𝛿</m:t>
                        </m:r>
                        <m:r>
                          <a:rPr lang="en-US" sz="140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𝑟</m:t>
                    </m:r>
                    <m:d>
                      <m:dPr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400" b="0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𝑍</m:t>
                    </m:r>
                    <m:rad>
                      <m:radPr>
                        <m:degHide m:val="on"/>
                        <m:ctrlP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𝛿</m:t>
                        </m:r>
                        <m:r>
                          <a:rPr lang="en-US" sz="1400" b="0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US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3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10820400" y="642257"/>
              <a:ext cx="3065711" cy="24564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𝑟(𝑡+</a:t>
              </a:r>
              <a:r>
                <a:rPr lang="en-US" sz="140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𝛿𝑡)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=𝑟(𝑡)+</a:t>
              </a:r>
              <a:r>
                <a:rPr lang="en-US" sz="1400" b="0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𝜃(𝑡)𝛿𝑡+𝜎𝑍√𝛿𝑡</a:t>
              </a:r>
              <a:endParaRPr lang="en-US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66675</xdr:colOff>
      <xdr:row>6</xdr:row>
      <xdr:rowOff>142875</xdr:rowOff>
    </xdr:from>
    <xdr:to>
      <xdr:col>41</xdr:col>
      <xdr:colOff>66675</xdr:colOff>
      <xdr:row>12</xdr:row>
      <xdr:rowOff>9525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6162675" y="1384935"/>
          <a:ext cx="0" cy="1055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419100</xdr:colOff>
      <xdr:row>7</xdr:row>
      <xdr:rowOff>104775</xdr:rowOff>
    </xdr:from>
    <xdr:to>
      <xdr:col>40</xdr:col>
      <xdr:colOff>600075</xdr:colOff>
      <xdr:row>9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905500" y="1544955"/>
          <a:ext cx="180975" cy="300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42</xdr:col>
      <xdr:colOff>152400</xdr:colOff>
      <xdr:row>3</xdr:row>
      <xdr:rowOff>19050</xdr:rowOff>
    </xdr:from>
    <xdr:to>
      <xdr:col>43</xdr:col>
      <xdr:colOff>819150</xdr:colOff>
      <xdr:row>3</xdr:row>
      <xdr:rowOff>19050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6858000" y="666750"/>
          <a:ext cx="106299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681990</xdr:colOff>
      <xdr:row>2</xdr:row>
      <xdr:rowOff>57150</xdr:rowOff>
    </xdr:from>
    <xdr:to>
      <xdr:col>44</xdr:col>
      <xdr:colOff>326571</xdr:colOff>
      <xdr:row>3</xdr:row>
      <xdr:rowOff>97972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7014533" y="449036"/>
          <a:ext cx="330381" cy="291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41</xdr:col>
      <xdr:colOff>66675</xdr:colOff>
      <xdr:row>20</xdr:row>
      <xdr:rowOff>142875</xdr:rowOff>
    </xdr:from>
    <xdr:to>
      <xdr:col>41</xdr:col>
      <xdr:colOff>66675</xdr:colOff>
      <xdr:row>26</xdr:row>
      <xdr:rowOff>9525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6162675" y="4158615"/>
          <a:ext cx="0" cy="1055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419100</xdr:colOff>
      <xdr:row>22</xdr:row>
      <xdr:rowOff>9525</xdr:rowOff>
    </xdr:from>
    <xdr:to>
      <xdr:col>40</xdr:col>
      <xdr:colOff>600075</xdr:colOff>
      <xdr:row>23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905500" y="4421505"/>
          <a:ext cx="180975" cy="302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42</xdr:col>
      <xdr:colOff>152400</xdr:colOff>
      <xdr:row>18</xdr:row>
      <xdr:rowOff>19050</xdr:rowOff>
    </xdr:from>
    <xdr:to>
      <xdr:col>43</xdr:col>
      <xdr:colOff>819150</xdr:colOff>
      <xdr:row>18</xdr:row>
      <xdr:rowOff>19050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6858000" y="3638550"/>
          <a:ext cx="106299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819150</xdr:colOff>
      <xdr:row>17</xdr:row>
      <xdr:rowOff>57150</xdr:rowOff>
    </xdr:from>
    <xdr:to>
      <xdr:col>44</xdr:col>
      <xdr:colOff>219075</xdr:colOff>
      <xdr:row>19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920990" y="3478530"/>
          <a:ext cx="222885" cy="339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CMU Sans Serif" panose="02000603000000000000" pitchFamily="2" charset="0"/>
              <a:ea typeface="CMU Sans Serif" panose="02000603000000000000" pitchFamily="2" charset="0"/>
              <a:cs typeface="CMU Sans Serif" panose="02000603000000000000" pitchFamily="2" charset="0"/>
            </a:rPr>
            <a:t>T</a:t>
          </a:r>
        </a:p>
      </xdr:txBody>
    </xdr:sp>
    <xdr:clientData/>
  </xdr:twoCellAnchor>
  <xdr:twoCellAnchor>
    <xdr:from>
      <xdr:col>1</xdr:col>
      <xdr:colOff>500742</xdr:colOff>
      <xdr:row>6</xdr:row>
      <xdr:rowOff>97971</xdr:rowOff>
    </xdr:from>
    <xdr:to>
      <xdr:col>2</xdr:col>
      <xdr:colOff>470807</xdr:colOff>
      <xdr:row>6</xdr:row>
      <xdr:rowOff>97971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1110342" y="1328057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130627</xdr:colOff>
      <xdr:row>6</xdr:row>
      <xdr:rowOff>97971</xdr:rowOff>
    </xdr:from>
    <xdr:to>
      <xdr:col>6</xdr:col>
      <xdr:colOff>710292</xdr:colOff>
      <xdr:row>6</xdr:row>
      <xdr:rowOff>97971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995056" y="1328057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43542</xdr:colOff>
      <xdr:row>6</xdr:row>
      <xdr:rowOff>87086</xdr:rowOff>
    </xdr:from>
    <xdr:to>
      <xdr:col>11</xdr:col>
      <xdr:colOff>623207</xdr:colOff>
      <xdr:row>6</xdr:row>
      <xdr:rowOff>87086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7554685" y="1317172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</xdr:colOff>
      <xdr:row>6</xdr:row>
      <xdr:rowOff>97971</xdr:rowOff>
    </xdr:from>
    <xdr:to>
      <xdr:col>17</xdr:col>
      <xdr:colOff>590550</xdr:colOff>
      <xdr:row>6</xdr:row>
      <xdr:rowOff>97971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11440885" y="1328057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609599</xdr:colOff>
      <xdr:row>6</xdr:row>
      <xdr:rowOff>76199</xdr:rowOff>
    </xdr:from>
    <xdr:to>
      <xdr:col>24</xdr:col>
      <xdr:colOff>579664</xdr:colOff>
      <xdr:row>6</xdr:row>
      <xdr:rowOff>76199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15969342" y="1306285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32656</xdr:colOff>
      <xdr:row>6</xdr:row>
      <xdr:rowOff>108856</xdr:rowOff>
    </xdr:from>
    <xdr:to>
      <xdr:col>32</xdr:col>
      <xdr:colOff>612321</xdr:colOff>
      <xdr:row>6</xdr:row>
      <xdr:rowOff>108856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20878799" y="1338942"/>
          <a:ext cx="5796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A9CF7-E7C7-416C-99E2-511CF55E98BE}">
  <sheetPr codeName="Sheet6"/>
  <dimension ref="A1"/>
  <sheetViews>
    <sheetView showGridLines="0" tabSelected="1" workbookViewId="0"/>
  </sheetViews>
  <sheetFormatPr defaultRowHeight="14.45"/>
  <sheetData/>
  <sheetProtection algorithmName="SHA-512" hashValue="vzFsZD+mg2UPJA+Fhl7Uq2J+W+2O2CB81LFR9cMns1jVAo+1G5XPEjmOU1fU3+KPZFKBdmneVE9iWaMhVA2d/w==" saltValue="60PcsML+Gd2EY7ZAJDZ75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5A16-AD3E-40B5-941F-F450F7AEC57F}">
  <sheetPr codeName="Sheet8"/>
  <dimension ref="A2:BK1286"/>
  <sheetViews>
    <sheetView showGridLines="0" zoomScale="70" zoomScaleNormal="70" workbookViewId="0">
      <selection activeCell="F24" sqref="F24"/>
    </sheetView>
  </sheetViews>
  <sheetFormatPr defaultColWidth="8.85546875" defaultRowHeight="14.1"/>
  <cols>
    <col min="1" max="1" width="8.85546875" style="3"/>
    <col min="2" max="2" width="10.42578125" style="3" customWidth="1"/>
    <col min="3" max="3" width="11.5703125" style="3" customWidth="1"/>
    <col min="4" max="4" width="20" style="3" customWidth="1"/>
    <col min="5" max="5" width="8.85546875" style="3"/>
    <col min="6" max="6" width="12" style="3" customWidth="1"/>
    <col min="7" max="7" width="19.140625" style="3" customWidth="1"/>
    <col min="8" max="8" width="9.85546875" style="3" customWidth="1"/>
    <col min="9" max="9" width="14.5703125" style="3" customWidth="1"/>
    <col min="10" max="19" width="8.85546875" style="3"/>
    <col min="20" max="20" width="11.140625" style="3" bestFit="1" customWidth="1"/>
    <col min="21" max="16384" width="8.85546875" style="3"/>
  </cols>
  <sheetData>
    <row r="2" spans="2:23" ht="17.45">
      <c r="B2" s="1" t="s">
        <v>0</v>
      </c>
      <c r="C2" s="2"/>
      <c r="D2" s="2"/>
      <c r="E2" s="2"/>
      <c r="F2" s="2"/>
      <c r="G2" s="2"/>
      <c r="H2" s="2"/>
      <c r="I2" s="2"/>
    </row>
    <row r="9" spans="2:23">
      <c r="F9" s="3" t="s">
        <v>1</v>
      </c>
      <c r="G9" s="4"/>
      <c r="H9" s="4"/>
    </row>
    <row r="10" spans="2:23">
      <c r="W10" s="6"/>
    </row>
    <row r="11" spans="2:23">
      <c r="F11" s="4"/>
      <c r="G11" s="4"/>
      <c r="H11" s="4"/>
      <c r="W11" s="6"/>
    </row>
    <row r="12" spans="2:23">
      <c r="F12" s="4"/>
      <c r="G12" s="4"/>
      <c r="H12" s="4"/>
    </row>
    <row r="14" spans="2:23">
      <c r="B14" s="5" t="s">
        <v>2</v>
      </c>
    </row>
    <row r="15" spans="2:23" ht="18" customHeight="1"/>
    <row r="16" spans="2:23">
      <c r="B16" s="3" t="s">
        <v>3</v>
      </c>
      <c r="C16" s="28">
        <v>7.0000000000000001E-3</v>
      </c>
      <c r="D16" s="3" t="s">
        <v>4</v>
      </c>
    </row>
    <row r="17" spans="1:63">
      <c r="B17" s="3" t="s">
        <v>5</v>
      </c>
      <c r="C17" s="24">
        <f>C23</f>
        <v>4.5199999999999997E-2</v>
      </c>
      <c r="D17" s="3" t="s">
        <v>6</v>
      </c>
      <c r="I17" s="23"/>
    </row>
    <row r="18" spans="1:63">
      <c r="B18" s="3" t="s">
        <v>7</v>
      </c>
      <c r="C18" s="3">
        <f>1/2</f>
        <v>0.5</v>
      </c>
    </row>
    <row r="19" spans="1:63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</row>
    <row r="20" spans="1:63">
      <c r="C20" s="7"/>
      <c r="D20" s="8"/>
      <c r="E20" s="6"/>
      <c r="F20" s="6"/>
      <c r="G20" s="6"/>
      <c r="H20" s="6"/>
      <c r="I20" s="15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</row>
    <row r="21" spans="1:63">
      <c r="B21" s="54" t="s">
        <v>8</v>
      </c>
      <c r="C21" s="54"/>
      <c r="D21" s="9"/>
      <c r="J21" s="10"/>
      <c r="K21" s="6"/>
      <c r="L21" s="6"/>
      <c r="M21" s="6"/>
      <c r="N21" s="6"/>
      <c r="O21" s="6"/>
      <c r="P21" s="6"/>
      <c r="Q21" s="6"/>
      <c r="R21" s="6"/>
      <c r="S21" s="6"/>
      <c r="T21" s="11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</row>
    <row r="22" spans="1:63" ht="15.95">
      <c r="A22" s="7" t="s">
        <v>9</v>
      </c>
      <c r="B22" s="31">
        <v>0</v>
      </c>
      <c r="C22" s="13" t="s">
        <v>10</v>
      </c>
      <c r="D22" s="12" t="s">
        <v>11</v>
      </c>
      <c r="E22" s="14" t="s">
        <v>12</v>
      </c>
      <c r="F22" s="14" t="s">
        <v>13</v>
      </c>
      <c r="G22" s="14" t="s">
        <v>14</v>
      </c>
      <c r="H22" s="14" t="s">
        <v>15</v>
      </c>
      <c r="I22" s="53" t="s">
        <v>16</v>
      </c>
      <c r="J22" s="10" t="s">
        <v>17</v>
      </c>
      <c r="K22" s="6"/>
      <c r="T22" s="15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</row>
    <row r="23" spans="1:63" ht="14.45">
      <c r="A23" s="7" t="s">
        <v>18</v>
      </c>
      <c r="B23" s="7">
        <v>0.5</v>
      </c>
      <c r="C23" s="27">
        <v>4.5199999999999997E-2</v>
      </c>
      <c r="D23" s="44">
        <f>EXP(-C23*B23)</f>
        <v>0.97765346695821032</v>
      </c>
      <c r="E23" s="6">
        <f>C23</f>
        <v>4.5199999999999997E-2</v>
      </c>
      <c r="F23" s="43">
        <f>(2/($C$18^2))*(-LN(D23)-$C$17*B23+(1/6)*$C$16^2*B23^3)</f>
        <v>8.1666666662503339E-6</v>
      </c>
      <c r="G23" s="46">
        <f>EXP(-0.5*B23^2*F23+(1/6)*$C$16^2*B23^3)</f>
        <v>1</v>
      </c>
      <c r="H23" s="29">
        <f>B23-0</f>
        <v>0.5</v>
      </c>
      <c r="I23" s="45">
        <f>G23*EXP(-$C$17*H23)</f>
        <v>0.97765346695821032</v>
      </c>
      <c r="J23" s="18"/>
      <c r="K23" s="6"/>
      <c r="T23" s="1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</row>
    <row r="24" spans="1:63" ht="14.45">
      <c r="A24" s="7" t="s">
        <v>19</v>
      </c>
      <c r="B24" s="7">
        <v>1</v>
      </c>
      <c r="C24" s="27">
        <f>C23+0.05%-0.002%*B24</f>
        <v>4.5679999999999998E-2</v>
      </c>
      <c r="D24" s="44">
        <f t="shared" ref="D24:D72" si="0">EXP(-C24*B24)</f>
        <v>0.9553476245219803</v>
      </c>
      <c r="E24" s="6">
        <f>(C24*B24-C23*B23)/(B24-B23)</f>
        <v>4.616E-2</v>
      </c>
      <c r="F24" s="36">
        <f t="array" ref="F24">(2/($C$18^2))*(-LN(D24)-$C$17*B24+(1/6)*$C$16^2*B24^3-0.5*SUMPRODUCT(($F$23:F23),((B24-$B$22:B22)^2-(B24-$B$23:B23)^2)))</f>
        <v>3.8808333333350364E-3</v>
      </c>
      <c r="G24" s="46">
        <f t="array" ref="G24">EXP(-0.5*F24*$C$18^2-0.5*SUMPRODUCT(($F$23:F23),((B24-$B$22:B22)^2-(B24-$B$23:B23)^2))+(1/6)*$C$16^2*B24^3)</f>
        <v>0.99952011518157013</v>
      </c>
      <c r="H24" s="29">
        <f t="shared" ref="H24:H72" si="1">B24-0</f>
        <v>1</v>
      </c>
      <c r="I24" s="47">
        <f t="shared" ref="I24:I72" si="2">G24*EXP(-$C$17*H24)</f>
        <v>0.9553476245219803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</row>
    <row r="25" spans="1:63" ht="14.45">
      <c r="A25" s="7" t="s">
        <v>20</v>
      </c>
      <c r="B25" s="7">
        <v>1.5</v>
      </c>
      <c r="C25" s="27">
        <f t="shared" ref="C25:C72" si="3">C24+0.05%-0.002%*B25</f>
        <v>4.6149999999999997E-2</v>
      </c>
      <c r="D25" s="44">
        <f t="shared" si="0"/>
        <v>0.93311670519824419</v>
      </c>
      <c r="E25" s="6">
        <f t="shared" ref="E25:E72" si="4">(C25*B25-C24*B24)/(B25-B24)</f>
        <v>4.7089999999999993E-2</v>
      </c>
      <c r="F25" s="36">
        <f t="array" ref="F25">(2/($C$18^2))*(-LN(D25)-$C$17*B25+(1/6)*$C$16^2*B25^3-0.5*SUMPRODUCT(($F$23:F24),((B25-$B$22:B23)^2-(B25-$B$23:B24)^2)))</f>
        <v>-6.2833333336394931E-5</v>
      </c>
      <c r="G25" s="46">
        <f t="array" ref="G25">EXP(-0.5*F25*$C$18^2-0.5*SUMPRODUCT(($F$23:F24),((B25-$B$22:B23)^2-(B25-$B$23:B24)^2))+(1/6)*$C$16^2*B25^3)</f>
        <v>0.99857601483039837</v>
      </c>
      <c r="H25" s="29">
        <f t="shared" si="1"/>
        <v>1.5</v>
      </c>
      <c r="I25" s="45">
        <f t="shared" si="2"/>
        <v>0.93311670519824419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2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</row>
    <row r="26" spans="1:63" ht="14.45">
      <c r="A26" s="7" t="s">
        <v>21</v>
      </c>
      <c r="B26" s="7">
        <v>2</v>
      </c>
      <c r="C26" s="27">
        <f t="shared" si="3"/>
        <v>4.6609999999999999E-2</v>
      </c>
      <c r="D26" s="44">
        <f t="shared" si="0"/>
        <v>0.91099305977534117</v>
      </c>
      <c r="E26" s="6">
        <f t="shared" si="4"/>
        <v>4.7990000000000005E-2</v>
      </c>
      <c r="F26" s="36">
        <f t="array" ref="F26">(2/($C$18^2))*(-LN(D26)-$C$17*B26+(1/6)*$C$16^2*B26^3-0.5*SUMPRODUCT(($F$23:F25),((B26-$B$22:B24)^2-(B26-$B$23:B25)^2)))</f>
        <v>3.8098333333366104E-3</v>
      </c>
      <c r="G26" s="46">
        <f t="array" ref="G26">EXP(-0.5*F26*$C$18^2-0.5*SUMPRODUCT(($F$23:F25),((B26-$B$22:B24)^2-(B26-$B$23:B25)^2))+(1/6)*$C$16^2*B26^3)</f>
        <v>0.99718397246500556</v>
      </c>
      <c r="H26" s="29">
        <f t="shared" si="1"/>
        <v>2</v>
      </c>
      <c r="I26" s="45">
        <f>G26*EXP(-$C$17*H26)</f>
        <v>0.91099305977534117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</row>
    <row r="27" spans="1:63" ht="14.45">
      <c r="A27" s="7" t="s">
        <v>22</v>
      </c>
      <c r="B27" s="7">
        <v>2.5</v>
      </c>
      <c r="C27" s="27">
        <f t="shared" si="3"/>
        <v>4.7059999999999998E-2</v>
      </c>
      <c r="D27" s="44">
        <f t="shared" si="0"/>
        <v>0.88900715067201674</v>
      </c>
      <c r="E27" s="6">
        <f t="shared" si="4"/>
        <v>4.8859999999999987E-2</v>
      </c>
      <c r="F27" s="36">
        <f t="array" ref="F27">(2/($C$18^2))*(-LN(D27)-$C$17*B27+(1/6)*$C$16^2*B27^3-0.5*SUMPRODUCT(($F$23:F26),((B27-$B$22:B25)^2-(B27-$B$23:B26)^2)))</f>
        <v>-1.3383333333602532E-4</v>
      </c>
      <c r="G27" s="46">
        <f t="array" ref="G27">EXP(-0.5*F27*$C$18^2-0.5*SUMPRODUCT(($F$23:F26),((B27-$B$22:B25)^2-(B27-$B$23:B26)^2))+(1/6)*$C$16^2*B27^3)</f>
        <v>0.99536079451202497</v>
      </c>
      <c r="H27" s="29">
        <f t="shared" si="1"/>
        <v>2.5</v>
      </c>
      <c r="I27" s="45">
        <f t="shared" si="2"/>
        <v>0.88900715067201674</v>
      </c>
      <c r="K27" s="6"/>
      <c r="L27" s="6"/>
      <c r="M27" s="6"/>
      <c r="N27" s="6"/>
      <c r="O27" s="6"/>
      <c r="P27" s="6"/>
      <c r="Q27" s="6"/>
      <c r="R27" s="6"/>
      <c r="S27" s="6"/>
      <c r="T27" s="2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</row>
    <row r="28" spans="1:63" ht="14.45">
      <c r="A28" s="7" t="s">
        <v>23</v>
      </c>
      <c r="B28" s="7">
        <v>3</v>
      </c>
      <c r="C28" s="27">
        <f t="shared" si="3"/>
        <v>4.7500000000000001E-2</v>
      </c>
      <c r="D28" s="44">
        <f t="shared" si="0"/>
        <v>0.86718755429225491</v>
      </c>
      <c r="E28" s="6">
        <f t="shared" si="4"/>
        <v>4.970000000000005E-2</v>
      </c>
      <c r="F28" s="36">
        <f t="array" ref="F28">(2/($C$18^2))*(-LN(D28)-$C$17*B28+(1/6)*$C$16^2*B28^3-0.5*SUMPRODUCT(($F$23:F27),((B28-$B$22:B26)^2-(B28-$B$23:B27)^2)))</f>
        <v>3.7388333333360779E-3</v>
      </c>
      <c r="G28" s="46">
        <f t="array" ref="G28">EXP(-0.5*F28*$C$18^2-0.5*SUMPRODUCT(($F$23:F27),((B28-$B$22:B26)^2-(B28-$B$23:B27)^2))+(1/6)*$C$16^2*B28^3)</f>
        <v>0.99312375034281608</v>
      </c>
      <c r="H28" s="29">
        <f t="shared" si="1"/>
        <v>3</v>
      </c>
      <c r="I28" s="45">
        <f t="shared" si="2"/>
        <v>0.86718755429225491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</row>
    <row r="29" spans="1:63" ht="14.45">
      <c r="A29" s="7" t="s">
        <v>24</v>
      </c>
      <c r="B29" s="7">
        <v>3.5</v>
      </c>
      <c r="C29" s="27">
        <f t="shared" si="3"/>
        <v>4.793E-2</v>
      </c>
      <c r="D29" s="44">
        <f t="shared" si="0"/>
        <v>0.84556097174741052</v>
      </c>
      <c r="E29" s="6">
        <f t="shared" si="4"/>
        <v>5.0509999999999944E-2</v>
      </c>
      <c r="F29" s="36">
        <f t="array" ref="F29">(2/($C$18^2))*(-LN(D29)-$C$17*B29+(1/6)*$C$16^2*B29^3-0.5*SUMPRODUCT(($F$23:F28),((B29-$B$22:B27)^2-(B29-$B$23:B28)^2)))</f>
        <v>-2.0483333333631837E-4</v>
      </c>
      <c r="G29" s="46">
        <f t="array" ref="G29">EXP(-0.5*F29*$C$18^2-0.5*SUMPRODUCT(($F$23:F28),((B29-$B$22:B27)^2-(B29-$B$23:B28)^2))+(1/6)*$C$16^2*B29^3)</f>
        <v>0.99049050396703786</v>
      </c>
      <c r="H29" s="29">
        <f t="shared" si="1"/>
        <v>3.5</v>
      </c>
      <c r="I29" s="45">
        <f t="shared" si="2"/>
        <v>0.84556097174741041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</row>
    <row r="30" spans="1:63" ht="14.45">
      <c r="A30" s="7" t="s">
        <v>25</v>
      </c>
      <c r="B30" s="7">
        <v>4</v>
      </c>
      <c r="C30" s="27">
        <f t="shared" si="3"/>
        <v>4.8350000000000004E-2</v>
      </c>
      <c r="D30" s="44">
        <f t="shared" si="0"/>
        <v>0.82415224729921688</v>
      </c>
      <c r="E30" s="6">
        <f t="shared" si="4"/>
        <v>5.1290000000000058E-2</v>
      </c>
      <c r="F30" s="36">
        <f t="array" ref="F30">(2/($C$18^2))*(-LN(D30)-$C$17*B30+(1/6)*$C$16^2*B30^3-0.5*SUMPRODUCT(($F$23:F29),((B30-$B$22:B28)^2-(B30-$B$23:B29)^2)))</f>
        <v>3.6678333333357016E-3</v>
      </c>
      <c r="G30" s="46">
        <f t="array" ref="G30">EXP(-0.5*F30*$C$18^2-0.5*SUMPRODUCT(($F$23:F29),((B30-$B$22:B28)^2-(B30-$B$23:B29)^2))+(1/6)*$C$16^2*B30^3)</f>
        <v>0.98747904765155647</v>
      </c>
      <c r="H30" s="29">
        <f t="shared" si="1"/>
        <v>4</v>
      </c>
      <c r="I30" s="45">
        <f t="shared" si="2"/>
        <v>0.82415224729921688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</row>
    <row r="31" spans="1:63" ht="14.45">
      <c r="A31" s="7" t="s">
        <v>26</v>
      </c>
      <c r="B31" s="7">
        <v>4.5</v>
      </c>
      <c r="C31" s="27">
        <f t="shared" si="3"/>
        <v>4.8760000000000005E-2</v>
      </c>
      <c r="D31" s="44">
        <f t="shared" si="0"/>
        <v>0.80298439387505915</v>
      </c>
      <c r="E31" s="6">
        <f t="shared" si="4"/>
        <v>5.2040000000000031E-2</v>
      </c>
      <c r="F31" s="36">
        <f t="array" ref="F31">(2/($C$18^2))*(-LN(D31)-$C$17*B31+(1/6)*$C$16^2*B31^3-0.5*SUMPRODUCT(($F$23:F30),((B31-$B$22:B29)^2-(B31-$B$23:B30)^2)))</f>
        <v>-2.7583333333516813E-4</v>
      </c>
      <c r="G31" s="46">
        <f t="array" ref="G31">EXP(-0.5*F31*$C$18^2-0.5*SUMPRODUCT(($F$23:F30),((B31-$B$22:B29)^2-(B31-$B$23:B30)^2))+(1/6)*$C$16^2*B31^3)</f>
        <v>0.98410763770570819</v>
      </c>
      <c r="H31" s="29">
        <f t="shared" si="1"/>
        <v>4.5</v>
      </c>
      <c r="I31" s="45">
        <f t="shared" si="2"/>
        <v>0.80298439387505915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</row>
    <row r="32" spans="1:63" ht="14.45">
      <c r="A32" s="7" t="s">
        <v>27</v>
      </c>
      <c r="B32" s="7">
        <v>5</v>
      </c>
      <c r="C32" s="27">
        <f t="shared" si="3"/>
        <v>4.9160000000000002E-2</v>
      </c>
      <c r="D32" s="44">
        <f t="shared" si="0"/>
        <v>0.78207862500994951</v>
      </c>
      <c r="E32" s="6">
        <f t="shared" si="4"/>
        <v>5.2759999999999974E-2</v>
      </c>
      <c r="F32" s="36">
        <f t="array" ref="F32">(2/($C$18^2))*(-LN(D32)-$C$17*B32+(1/6)*$C$16^2*B32^3-0.5*SUMPRODUCT(($F$23:F31),((B32-$B$22:B30)^2-(B32-$B$23:B31)^2)))</f>
        <v>3.5968333333349645E-3</v>
      </c>
      <c r="G32" s="46">
        <f t="array" ref="G32">EXP(-0.5*F32*$C$18^2-0.5*SUMPRODUCT(($F$23:F31),((B32-$B$22:B30)^2-(B32-$B$23:B31)^2))+(1/6)*$C$16^2*B32^3)</f>
        <v>0.98039473264669719</v>
      </c>
      <c r="H32" s="29">
        <f t="shared" si="1"/>
        <v>5</v>
      </c>
      <c r="I32" s="45">
        <f t="shared" si="2"/>
        <v>0.78207862500994951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</row>
    <row r="33" spans="1:63" ht="14.45">
      <c r="A33" s="7" t="s">
        <v>28</v>
      </c>
      <c r="B33" s="7">
        <v>5.5</v>
      </c>
      <c r="C33" s="27">
        <f t="shared" si="3"/>
        <v>4.9550000000000004E-2</v>
      </c>
      <c r="D33" s="44">
        <f t="shared" si="0"/>
        <v>0.7614543925774343</v>
      </c>
      <c r="E33" s="6">
        <f t="shared" si="4"/>
        <v>5.3449999999999998E-2</v>
      </c>
      <c r="F33" s="36">
        <f t="array" ref="F33">(2/($C$18^2))*(-LN(D33)-$C$17*B33+(1/6)*$C$16^2*B33^3-0.5*SUMPRODUCT(($F$23:F32),((B33-$B$22:B31)^2-(B33-$B$23:B32)^2)))</f>
        <v>-3.4683333333401789E-4</v>
      </c>
      <c r="G33" s="46">
        <f t="array" ref="G33">EXP(-0.5*F33*$C$18^2-0.5*SUMPRODUCT(($F$23:F32),((B33-$B$22:B31)^2-(B33-$B$23:B32)^2))+(1/6)*$C$16^2*B33^3)</f>
        <v>0.97635893393201323</v>
      </c>
      <c r="H33" s="29">
        <f t="shared" si="1"/>
        <v>5.5</v>
      </c>
      <c r="I33" s="45">
        <f t="shared" si="2"/>
        <v>0.7614543925774343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</row>
    <row r="34" spans="1:63" ht="14.45">
      <c r="A34" s="7" t="s">
        <v>29</v>
      </c>
      <c r="B34" s="7">
        <v>6</v>
      </c>
      <c r="C34" s="27">
        <f t="shared" si="3"/>
        <v>4.9930000000000002E-2</v>
      </c>
      <c r="D34" s="44">
        <f t="shared" si="0"/>
        <v>0.74112942968371986</v>
      </c>
      <c r="E34" s="6">
        <f t="shared" si="4"/>
        <v>5.4109999999999991E-2</v>
      </c>
      <c r="F34" s="36">
        <f t="array" ref="F34">(2/($C$18^2))*(-LN(D34)-$C$17*B34+(1/6)*$C$16^2*B34^3-0.5*SUMPRODUCT(($F$23:F33),((B34-$B$22:B32)^2-(B34-$B$23:B33)^2)))</f>
        <v>3.5258333333322567E-3</v>
      </c>
      <c r="G34" s="46">
        <f t="array" ref="G34">EXP(-0.5*F34*$C$18^2-0.5*SUMPRODUCT(($F$23:F33),((B34-$B$22:B32)^2-(B34-$B$23:B33)^2))+(1/6)*$C$16^2*B34^3)</f>
        <v>0.97201892941941059</v>
      </c>
      <c r="H34" s="29">
        <f t="shared" si="1"/>
        <v>6</v>
      </c>
      <c r="I34" s="45">
        <f t="shared" si="2"/>
        <v>0.74112942968371986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</row>
    <row r="35" spans="1:63" ht="14.45">
      <c r="A35" s="7" t="s">
        <v>30</v>
      </c>
      <c r="B35" s="7">
        <v>6.5</v>
      </c>
      <c r="C35" s="27">
        <f t="shared" si="3"/>
        <v>5.0300000000000004E-2</v>
      </c>
      <c r="D35" s="44">
        <f t="shared" si="0"/>
        <v>0.72111979811512805</v>
      </c>
      <c r="E35" s="6">
        <f t="shared" si="4"/>
        <v>5.4740000000000011E-2</v>
      </c>
      <c r="F35" s="36">
        <f t="array" ref="F35">(2/($C$18^2))*(-LN(D35)-$C$17*B35+(1/6)*$C$16^2*B35^3-0.5*SUMPRODUCT(($F$23:F34),((B35-$B$22:B33)^2-(B35-$B$23:B34)^2)))</f>
        <v>-4.1783333333095252E-4</v>
      </c>
      <c r="G35" s="30">
        <f t="array" ref="G35">EXP(-0.5*F35*$C$18^2-0.5*SUMPRODUCT(($F$23:F34),((B35-$B$22:B33)^2-(B35-$B$23:B34)^2))+(1/6)*$C$16^2*B35^3)</f>
        <v>0.9673934396893582</v>
      </c>
      <c r="H35" s="29">
        <f t="shared" si="1"/>
        <v>6.5</v>
      </c>
      <c r="I35" s="45">
        <f t="shared" si="2"/>
        <v>0.72111979811512794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</row>
    <row r="36" spans="1:63" ht="14.45">
      <c r="A36" s="7" t="s">
        <v>31</v>
      </c>
      <c r="B36" s="7">
        <v>7</v>
      </c>
      <c r="C36" s="27">
        <f t="shared" si="3"/>
        <v>5.0660000000000004E-2</v>
      </c>
      <c r="D36" s="44">
        <f t="shared" si="0"/>
        <v>0.70143993974812735</v>
      </c>
      <c r="E36" s="6">
        <f t="shared" si="4"/>
        <v>5.5340000000000056E-2</v>
      </c>
      <c r="F36" s="36">
        <f t="array" ref="F36">(2/($C$18^2))*(-LN(D36)-$C$17*B36+(1/6)*$C$16^2*B36^3-0.5*SUMPRODUCT(($F$23:F35),((B36-$B$22:B34)^2-(B36-$B$23:B35)^2)))</f>
        <v>3.4548333333308534E-3</v>
      </c>
      <c r="G36" s="30">
        <f t="array" ref="G36">EXP(-0.5*F36*$C$18^2-0.5*SUMPRODUCT(($F$23:F35),((B36-$B$22:B34)^2-(B36-$B$23:B35)^2))+(1/6)*$C$16^2*B36^3)</f>
        <v>0.96250116734014823</v>
      </c>
      <c r="H36" s="29">
        <f t="shared" si="1"/>
        <v>7</v>
      </c>
      <c r="I36" s="45">
        <f t="shared" si="2"/>
        <v>0.70143993974812735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</row>
    <row r="37" spans="1:63" ht="14.45">
      <c r="A37" s="7" t="s">
        <v>32</v>
      </c>
      <c r="B37" s="7">
        <v>7.5</v>
      </c>
      <c r="C37" s="27">
        <f t="shared" si="3"/>
        <v>5.1010000000000007E-2</v>
      </c>
      <c r="D37" s="44">
        <f t="shared" si="0"/>
        <v>0.6821027313531387</v>
      </c>
      <c r="E37" s="6">
        <f t="shared" si="4"/>
        <v>5.5910000000000015E-2</v>
      </c>
      <c r="F37" s="36">
        <f t="array" ref="F37">(2/($C$18^2))*(-LN(D37)-$C$17*B37+(1/6)*$C$16^2*B37^3-0.5*SUMPRODUCT(($F$23:F36),((B37-$B$22:B35)^2-(B37-$B$23:B36)^2)))</f>
        <v>-4.888333333301631E-4</v>
      </c>
      <c r="G37" s="30">
        <f t="array" ref="G37">EXP(-0.5*F37*$C$18^2-0.5*SUMPRODUCT(($F$23:F36),((B37-$B$22:B35)^2-(B37-$B$23:B36)^2))+(1/6)*$C$16^2*B37^3)</f>
        <v>0.95736074934212168</v>
      </c>
      <c r="H37" s="29">
        <f t="shared" si="1"/>
        <v>7.5</v>
      </c>
      <c r="I37" s="45">
        <f t="shared" si="2"/>
        <v>0.6821027313531387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</row>
    <row r="38" spans="1:63" ht="14.45">
      <c r="A38" s="7" t="s">
        <v>33</v>
      </c>
      <c r="B38" s="7">
        <v>8</v>
      </c>
      <c r="C38" s="27">
        <f t="shared" si="3"/>
        <v>5.1350000000000007E-2</v>
      </c>
      <c r="D38" s="44">
        <f t="shared" si="0"/>
        <v>0.66311954224767011</v>
      </c>
      <c r="E38" s="6">
        <f t="shared" si="4"/>
        <v>5.645E-2</v>
      </c>
      <c r="F38" s="36">
        <f t="array" ref="F38">(2/($C$18^2))*(-LN(D38)-$C$17*B38+(1/6)*$C$16^2*B38^3-0.5*SUMPRODUCT(($F$23:F37),((B38-$B$22:B36)^2-(B38-$B$23:B37)^2)))</f>
        <v>3.3838333333291448E-3</v>
      </c>
      <c r="G38" s="30">
        <f t="array" ref="G38">EXP(-0.5*F38*$C$18^2-0.5*SUMPRODUCT(($F$23:F37),((B38-$B$22:B36)^2-(B38-$B$23:B37)^2))+(1/6)*$C$16^2*B38^3)</f>
        <v>0.95199071251491807</v>
      </c>
      <c r="H38" s="29">
        <f t="shared" si="1"/>
        <v>8</v>
      </c>
      <c r="I38" s="45">
        <f t="shared" si="2"/>
        <v>0.66311954224767011</v>
      </c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</row>
    <row r="39" spans="1:63" ht="14.45">
      <c r="A39" s="7" t="s">
        <v>34</v>
      </c>
      <c r="B39" s="7">
        <v>8.5</v>
      </c>
      <c r="C39" s="27">
        <f t="shared" si="3"/>
        <v>5.1680000000000004E-2</v>
      </c>
      <c r="D39" s="44">
        <f t="shared" si="0"/>
        <v>0.64450029428063305</v>
      </c>
      <c r="E39" s="6">
        <f t="shared" si="4"/>
        <v>5.69599999999999E-2</v>
      </c>
      <c r="F39" s="36">
        <f t="array" ref="F39">(2/($C$18^2))*(-LN(D39)-$C$17*B39+(1/6)*$C$16^2*B39^3-0.5*SUMPRODUCT(($F$23:F38),((B39-$B$22:B37)^2-(B39-$B$23:B38)^2)))</f>
        <v>-5.5983333333037288E-4</v>
      </c>
      <c r="G39" s="30">
        <f t="array" ref="G39">EXP(-0.5*F39*$C$18^2-0.5*SUMPRODUCT(($F$23:F38),((B39-$B$22:B37)^2-(B39-$B$23:B38)^2))+(1/6)*$C$16^2*B39^3)</f>
        <v>0.94640943217031936</v>
      </c>
      <c r="H39" s="29">
        <f t="shared" si="1"/>
        <v>8.5</v>
      </c>
      <c r="I39" s="45">
        <f t="shared" si="2"/>
        <v>0.64450029428063305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</row>
    <row r="40" spans="1:63" ht="14.45">
      <c r="A40" s="7" t="s">
        <v>35</v>
      </c>
      <c r="B40" s="7">
        <v>9</v>
      </c>
      <c r="C40" s="27">
        <f t="shared" si="3"/>
        <v>5.2000000000000005E-2</v>
      </c>
      <c r="D40" s="44">
        <f t="shared" si="0"/>
        <v>0.62625352365755593</v>
      </c>
      <c r="E40" s="6">
        <f t="shared" si="4"/>
        <v>5.7440000000000047E-2</v>
      </c>
      <c r="F40" s="36">
        <f t="array" ref="F40">(2/($C$18^2))*(-LN(D40)-$C$17*B40+(1/6)*$C$16^2*B40^3-0.5*SUMPRODUCT(($F$23:F39),((B40-$B$22:B38)^2-(B40-$B$23:B39)^2)))</f>
        <v>3.3128333333323212E-3</v>
      </c>
      <c r="G40" s="30">
        <f t="array" ref="G40">EXP(-0.5*F40*$C$18^2-0.5*SUMPRODUCT(($F$23:F39),((B40-$B$22:B38)^2-(B40-$B$23:B39)^2))+(1/6)*$C$16^2*B40^3)</f>
        <v>0.94063509394326494</v>
      </c>
      <c r="H40" s="29">
        <f t="shared" si="1"/>
        <v>9</v>
      </c>
      <c r="I40" s="45">
        <f t="shared" si="2"/>
        <v>0.62625352365755593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</row>
    <row r="41" spans="1:63" ht="14.45">
      <c r="A41" s="7" t="s">
        <v>36</v>
      </c>
      <c r="B41" s="7">
        <v>9.5</v>
      </c>
      <c r="C41" s="27">
        <f t="shared" si="3"/>
        <v>5.2310000000000002E-2</v>
      </c>
      <c r="D41" s="44">
        <f t="shared" si="0"/>
        <v>0.60838644414543663</v>
      </c>
      <c r="E41" s="6">
        <f t="shared" si="4"/>
        <v>5.7889999999999997E-2</v>
      </c>
      <c r="F41" s="36">
        <f t="array" ref="F41">(2/($C$18^2))*(-LN(D41)-$C$17*B41+(1/6)*$C$16^2*B41^3-0.5*SUMPRODUCT(($F$23:F40),((B41-$B$22:B39)^2-(B41-$B$23:B40)^2)))</f>
        <v>-6.3083333333269209E-4</v>
      </c>
      <c r="G41" s="30">
        <f t="array" ref="G41">EXP(-0.5*F41*$C$18^2-0.5*SUMPRODUCT(($F$23:F40),((B41-$B$22:B39)^2-(B41-$B$23:B40)^2))+(1/6)*$C$16^2*B41^3)</f>
        <v>0.93468565881499732</v>
      </c>
      <c r="H41" s="29">
        <f t="shared" si="1"/>
        <v>9.5</v>
      </c>
      <c r="I41" s="45">
        <f t="shared" si="2"/>
        <v>0.60838644414543663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</row>
    <row r="42" spans="1:63" ht="14.45">
      <c r="A42" s="7" t="s">
        <v>37</v>
      </c>
      <c r="B42" s="7">
        <v>10</v>
      </c>
      <c r="C42" s="27">
        <f t="shared" si="3"/>
        <v>5.2610000000000004E-2</v>
      </c>
      <c r="D42" s="44">
        <f t="shared" si="0"/>
        <v>0.5909050112258164</v>
      </c>
      <c r="E42" s="6">
        <f t="shared" si="4"/>
        <v>5.8309999999999973E-2</v>
      </c>
      <c r="F42" s="36">
        <f t="array" ref="F42">(2/($C$18^2))*(-LN(D42)-$C$17*B42+(1/6)*$C$16^2*B42^3-0.5*SUMPRODUCT(($F$23:F41),((B42-$B$22:B40)^2-(B42-$B$23:B41)^2)))</f>
        <v>3.241833333332278E-3</v>
      </c>
      <c r="G42" s="30">
        <f t="array" ref="G42">EXP(-0.5*F42*$C$18^2-0.5*SUMPRODUCT(($F$23:F41),((B42-$B$22:B40)^2-(B42-$B$23:B41)^2))+(1/6)*$C$16^2*B42^3)</f>
        <v>0.92857883131510666</v>
      </c>
      <c r="H42" s="29">
        <f t="shared" si="1"/>
        <v>10</v>
      </c>
      <c r="I42" s="45">
        <f t="shared" si="2"/>
        <v>0.5909050112258164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</row>
    <row r="43" spans="1:63" ht="14.45">
      <c r="A43" s="7" t="s">
        <v>38</v>
      </c>
      <c r="B43" s="7">
        <v>10.5</v>
      </c>
      <c r="C43" s="27">
        <f t="shared" si="3"/>
        <v>5.2900000000000003E-2</v>
      </c>
      <c r="D43" s="44">
        <f t="shared" si="0"/>
        <v>0.57381398679499629</v>
      </c>
      <c r="E43" s="6">
        <f t="shared" si="4"/>
        <v>5.8699999999999974E-2</v>
      </c>
      <c r="F43" s="36">
        <f t="array" ref="F43">(2/($C$18^2))*(-LN(D43)-$C$17*B43+(1/6)*$C$16^2*B43^3-0.5*SUMPRODUCT(($F$23:F42),((B43-$B$22:B41)^2-(B43-$B$23:B42)^2)))</f>
        <v>-7.0183333333173614E-4</v>
      </c>
      <c r="G43" s="30">
        <f t="array" ref="G43">EXP(-0.5*F43*$C$18^2-0.5*SUMPRODUCT(($F$23:F42),((B43-$B$22:B41)^2-(B43-$B$23:B42)^2))+(1/6)*$C$16^2*B43^3)</f>
        <v>0.92233203087352245</v>
      </c>
      <c r="H43" s="29">
        <f t="shared" si="1"/>
        <v>10.5</v>
      </c>
      <c r="I43" s="45">
        <f t="shared" si="2"/>
        <v>0.57381398679499629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</row>
    <row r="44" spans="1:63" ht="14.45">
      <c r="A44" s="7" t="s">
        <v>39</v>
      </c>
      <c r="B44" s="7">
        <v>11</v>
      </c>
      <c r="C44" s="27">
        <f t="shared" si="3"/>
        <v>5.3180000000000005E-2</v>
      </c>
      <c r="D44" s="44">
        <f t="shared" si="0"/>
        <v>0.55711700404083209</v>
      </c>
      <c r="E44" s="6">
        <f t="shared" si="4"/>
        <v>5.9060000000000112E-2</v>
      </c>
      <c r="F44" s="36">
        <f t="array" ref="F44">(2/($C$18^2))*(-LN(D44)-$C$17*B44+(1/6)*$C$16^2*B44^3-0.5*SUMPRODUCT(($F$23:F43),((B44-$B$22:B42)^2-(B44-$B$23:B43)^2)))</f>
        <v>3.1708333333303473E-3</v>
      </c>
      <c r="G44" s="30">
        <f t="array" ref="G44">EXP(-0.5*F44*$C$18^2-0.5*SUMPRODUCT(($F$23:F43),((B44-$B$22:B42)^2-(B44-$B$23:B43)^2))+(1/6)*$C$16^2*B44^3)</f>
        <v>0.91596236627924321</v>
      </c>
      <c r="H44" s="29">
        <f t="shared" si="1"/>
        <v>11</v>
      </c>
      <c r="I44" s="45">
        <f t="shared" si="2"/>
        <v>0.55711700404083209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</row>
    <row r="45" spans="1:63" ht="14.45">
      <c r="A45" s="7" t="s">
        <v>40</v>
      </c>
      <c r="B45" s="7">
        <v>11.5</v>
      </c>
      <c r="C45" s="27">
        <f t="shared" si="3"/>
        <v>5.3450000000000004E-2</v>
      </c>
      <c r="D45" s="44">
        <f t="shared" si="0"/>
        <v>0.54081663215598275</v>
      </c>
      <c r="E45" s="6">
        <f t="shared" si="4"/>
        <v>5.9390000000000054E-2</v>
      </c>
      <c r="F45" s="36">
        <f t="array" ref="F45">(2/($C$18^2))*(-LN(D45)-$C$17*B45+(1/6)*$C$16^2*B45^3-0.5*SUMPRODUCT(($F$23:F44),((B45-$B$22:B43)^2-(B45-$B$23:B44)^2)))</f>
        <v>-7.7283333332700543E-4</v>
      </c>
      <c r="G45" s="30">
        <f t="array" ref="G45">EXP(-0.5*F45*$C$18^2-0.5*SUMPRODUCT(($F$23:F44),((B45-$B$22:B43)^2-(B45-$B$23:B44)^2))+(1/6)*$C$16^2*B45^3)</f>
        <v>0.90948661318981183</v>
      </c>
      <c r="H45" s="29">
        <f t="shared" si="1"/>
        <v>11.5</v>
      </c>
      <c r="I45" s="45">
        <f t="shared" si="2"/>
        <v>0.54081663215598275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</row>
    <row r="46" spans="1:63" ht="14.45">
      <c r="A46" s="7" t="s">
        <v>41</v>
      </c>
      <c r="B46" s="7">
        <v>12</v>
      </c>
      <c r="C46" s="27">
        <f t="shared" si="3"/>
        <v>5.3710000000000008E-2</v>
      </c>
      <c r="D46" s="44">
        <f t="shared" si="0"/>
        <v>0.52491444057760062</v>
      </c>
      <c r="E46" s="6">
        <f t="shared" si="4"/>
        <v>5.9690000000000021E-2</v>
      </c>
      <c r="F46" s="36">
        <f t="array" ref="F46">(2/($C$18^2))*(-LN(D46)-$C$17*B46+(1/6)*$C$16^2*B46^3-0.5*SUMPRODUCT(($F$23:F45),((B46-$B$22:B44)^2-(B46-$B$23:B45)^2)))</f>
        <v>3.0998333333224215E-3</v>
      </c>
      <c r="G46" s="30">
        <f t="array" ref="G46">EXP(-0.5*F46*$C$18^2-0.5*SUMPRODUCT(($F$23:F45),((B46-$B$22:B44)^2-(B46-$B$23:B45)^2))+(1/6)*$C$16^2*B46^3)</f>
        <v>0.90292119462422926</v>
      </c>
      <c r="H46" s="29">
        <f t="shared" si="1"/>
        <v>12</v>
      </c>
      <c r="I46" s="45">
        <f t="shared" si="2"/>
        <v>0.52491444057760062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</row>
    <row r="47" spans="1:63" ht="14.45">
      <c r="A47" s="7" t="s">
        <v>42</v>
      </c>
      <c r="B47" s="7">
        <v>12.5</v>
      </c>
      <c r="C47" s="27">
        <f t="shared" si="3"/>
        <v>5.3960000000000008E-2</v>
      </c>
      <c r="D47" s="44">
        <f t="shared" si="0"/>
        <v>0.50941106247301415</v>
      </c>
      <c r="E47" s="6">
        <f t="shared" si="4"/>
        <v>5.9960000000000013E-2</v>
      </c>
      <c r="F47" s="36">
        <f t="array" ref="F47">(2/($C$18^2))*(-LN(D47)-$C$17*B47+(1/6)*$C$16^2*B47^3-0.5*SUMPRODUCT(($F$23:F46),((B47-$B$22:B45)^2-(B47-$B$23:B46)^2)))</f>
        <v>-8.4383333331827792E-4</v>
      </c>
      <c r="G47" s="30">
        <f t="array" ref="G47">EXP(-0.5*F47*$C$18^2-0.5*SUMPRODUCT(($F$23:F46),((B47-$B$22:B45)^2-(B47-$B$23:B46)^2))+(1/6)*$C$16^2*B47^3)</f>
        <v>0.89628216436210872</v>
      </c>
      <c r="H47" s="29">
        <f t="shared" si="1"/>
        <v>12.5</v>
      </c>
      <c r="I47" s="45">
        <f t="shared" si="2"/>
        <v>0.50941106247301415</v>
      </c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</row>
    <row r="48" spans="1:63" ht="14.45">
      <c r="A48" s="7" t="s">
        <v>43</v>
      </c>
      <c r="B48" s="7">
        <v>13</v>
      </c>
      <c r="C48" s="27">
        <f t="shared" si="3"/>
        <v>5.4200000000000005E-2</v>
      </c>
      <c r="D48" s="44">
        <f t="shared" si="0"/>
        <v>0.49430625721980104</v>
      </c>
      <c r="E48" s="6">
        <f t="shared" si="4"/>
        <v>6.0200000000000031E-2</v>
      </c>
      <c r="F48" s="36">
        <f t="array" ref="F48">(2/($C$18^2))*(-LN(D48)-$C$17*B48+(1/6)*$C$16^2*B48^3-0.5*SUMPRODUCT(($F$23:F47),((B48-$B$22:B46)^2-(B48-$B$23:B47)^2)))</f>
        <v>3.0288333333157169E-3</v>
      </c>
      <c r="G48" s="30">
        <f t="array" ref="G48">EXP(-0.5*F48*$C$18^2-0.5*SUMPRODUCT(($F$23:F47),((B48-$B$22:B46)^2-(B48-$B$23:B47)^2))+(1/6)*$C$16^2*B48^3)</f>
        <v>0.88958519316341123</v>
      </c>
      <c r="H48" s="29">
        <f t="shared" si="1"/>
        <v>13</v>
      </c>
      <c r="I48" s="45">
        <f t="shared" si="2"/>
        <v>0.49430625721980104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</row>
    <row r="49" spans="1:63" ht="14.45">
      <c r="A49" s="7" t="s">
        <v>44</v>
      </c>
      <c r="B49" s="7">
        <v>13.5</v>
      </c>
      <c r="C49" s="27">
        <f t="shared" si="3"/>
        <v>5.4430000000000006E-2</v>
      </c>
      <c r="D49" s="44">
        <f t="shared" si="0"/>
        <v>0.47959897165658433</v>
      </c>
      <c r="E49" s="6">
        <f t="shared" si="4"/>
        <v>6.0409999999999853E-2</v>
      </c>
      <c r="F49" s="36">
        <f t="array" ref="F49">(2/($C$18^2))*(-LN(D49)-$C$17*B49+(1/6)*$C$16^2*B49^3-0.5*SUMPRODUCT(($F$23:F48),((B49-$B$22:B47)^2-(B49-$B$23:B48)^2)))</f>
        <v>-9.1483333331554562E-4</v>
      </c>
      <c r="G49" s="30">
        <f t="array" ref="G49">EXP(-0.5*F49*$C$18^2-0.5*SUMPRODUCT(($F$23:F48),((B49-$B$22:B47)^2-(B49-$B$23:B48)^2))+(1/6)*$C$16^2*B49^3)</f>
        <v>0.88284555771597151</v>
      </c>
      <c r="H49" s="29">
        <f t="shared" si="1"/>
        <v>13.5</v>
      </c>
      <c r="I49" s="45">
        <f t="shared" si="2"/>
        <v>0.47959897165658438</v>
      </c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</row>
    <row r="50" spans="1:63" ht="14.45">
      <c r="A50" s="7" t="s">
        <v>45</v>
      </c>
      <c r="B50" s="7">
        <v>14</v>
      </c>
      <c r="C50" s="27">
        <f t="shared" si="3"/>
        <v>5.4650000000000004E-2</v>
      </c>
      <c r="D50" s="44">
        <f t="shared" si="0"/>
        <v>0.46528739990780799</v>
      </c>
      <c r="E50" s="6">
        <f t="shared" si="4"/>
        <v>6.0590000000000144E-2</v>
      </c>
      <c r="F50" s="36">
        <f t="array" ref="F50">(2/($C$18^2))*(-LN(D50)-$C$17*B50+(1/6)*$C$16^2*B50^3-0.5*SUMPRODUCT(($F$23:F49),((B50-$B$22:B48)^2-(B50-$B$23:B49)^2)))</f>
        <v>2.957833333317117E-3</v>
      </c>
      <c r="G50" s="30">
        <f t="array" ref="G50">EXP(-0.5*F50*$C$18^2-0.5*SUMPRODUCT(($F$23:F49),((B50-$B$22:B48)^2-(B50-$B$23:B49)^2))+(1/6)*$C$16^2*B50^3)</f>
        <v>0.87607813221225084</v>
      </c>
      <c r="H50" s="29">
        <f t="shared" si="1"/>
        <v>14</v>
      </c>
      <c r="I50" s="45">
        <f t="shared" si="2"/>
        <v>0.46528739990780804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</row>
    <row r="51" spans="1:63" ht="14.45">
      <c r="A51" s="7" t="s">
        <v>46</v>
      </c>
      <c r="B51" s="7">
        <v>14.5</v>
      </c>
      <c r="C51" s="27">
        <f t="shared" si="3"/>
        <v>5.4860000000000006E-2</v>
      </c>
      <c r="D51" s="44">
        <f t="shared" si="0"/>
        <v>0.45136904161151281</v>
      </c>
      <c r="E51" s="6">
        <f t="shared" si="4"/>
        <v>6.0740000000000016E-2</v>
      </c>
      <c r="F51" s="36">
        <f t="array" ref="F51">(2/($C$18^2))*(-LN(D51)-$C$17*B51+(1/6)*$C$16^2*B51^3-0.5*SUMPRODUCT(($F$23:F50),((B51-$B$22:B49)^2-(B51-$B$23:B50)^2)))</f>
        <v>-9.8583333331880851E-4</v>
      </c>
      <c r="G51" s="30">
        <f t="array" ref="G51">EXP(-0.5*F51*$C$18^2-0.5*SUMPRODUCT(($F$23:F50),((B51-$B$22:B49)^2-(B51-$B$23:B50)^2))+(1/6)*$C$16^2*B51^3)</f>
        <v>0.86929738245220578</v>
      </c>
      <c r="H51" s="29">
        <f t="shared" si="1"/>
        <v>14.5</v>
      </c>
      <c r="I51" s="45">
        <f t="shared" si="2"/>
        <v>0.45136904161151276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</row>
    <row r="52" spans="1:63" ht="14.45">
      <c r="A52" s="7" t="s">
        <v>47</v>
      </c>
      <c r="B52" s="7">
        <v>15</v>
      </c>
      <c r="C52" s="27">
        <f t="shared" si="3"/>
        <v>5.5060000000000005E-2</v>
      </c>
      <c r="D52" s="44">
        <f t="shared" si="0"/>
        <v>0.43784075840366915</v>
      </c>
      <c r="E52" s="6">
        <f t="shared" si="4"/>
        <v>6.0859999999999914E-2</v>
      </c>
      <c r="F52" s="36">
        <f t="array" ref="F52">(2/($C$18^2))*(-LN(D52)-$C$17*B52+(1/6)*$C$16^2*B52^3-0.5*SUMPRODUCT(($F$23:F51),((B52-$B$22:B50)^2-(B52-$B$23:B51)^2)))</f>
        <v>2.8868333333189611E-3</v>
      </c>
      <c r="G52" s="30">
        <f t="array" ref="G52">EXP(-0.5*F52*$C$18^2-0.5*SUMPRODUCT(($F$23:F51),((B52-$B$22:B50)^2-(B52-$B$23:B51)^2))+(1/6)*$C$16^2*B52^3)</f>
        <v>0.86251736236583898</v>
      </c>
      <c r="H52" s="29">
        <f t="shared" si="1"/>
        <v>15</v>
      </c>
      <c r="I52" s="45">
        <f t="shared" si="2"/>
        <v>0.43784075840366915</v>
      </c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</row>
    <row r="53" spans="1:63" ht="14.45">
      <c r="A53" s="7" t="s">
        <v>48</v>
      </c>
      <c r="B53" s="7">
        <v>15.5</v>
      </c>
      <c r="C53" s="27">
        <f t="shared" si="3"/>
        <v>5.5250000000000007E-2</v>
      </c>
      <c r="D53" s="44">
        <f t="shared" si="0"/>
        <v>0.42469882853585417</v>
      </c>
      <c r="E53" s="6">
        <f t="shared" si="4"/>
        <v>6.095000000000006E-2</v>
      </c>
      <c r="F53" s="36">
        <f t="array" ref="F53">(2/($C$18^2))*(-LN(D53)-$C$17*B53+(1/6)*$C$16^2*B53^3-0.5*SUMPRODUCT(($F$23:F52),((B53-$B$22:B51)^2-(B53-$B$23:B52)^2)))</f>
        <v>-1.0568333333185187E-3</v>
      </c>
      <c r="G53" s="30">
        <f t="array" ref="G53">EXP(-0.5*F53*$C$18^2-0.5*SUMPRODUCT(($F$23:F52),((B53-$B$22:B51)^2-(B53-$B$23:B52)^2))+(1/6)*$C$16^2*B53^3)</f>
        <v>0.85575171284681817</v>
      </c>
      <c r="H53" s="29">
        <f t="shared" si="1"/>
        <v>15.5</v>
      </c>
      <c r="I53" s="45">
        <f t="shared" si="2"/>
        <v>0.42469882853585411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</row>
    <row r="54" spans="1:63" ht="14.45">
      <c r="A54" s="7" t="s">
        <v>49</v>
      </c>
      <c r="B54" s="7">
        <v>16</v>
      </c>
      <c r="C54" s="27">
        <f t="shared" si="3"/>
        <v>5.5430000000000007E-2</v>
      </c>
      <c r="D54" s="44">
        <f t="shared" si="0"/>
        <v>0.41193899952492835</v>
      </c>
      <c r="E54" s="6">
        <f t="shared" si="4"/>
        <v>6.1010000000000009E-2</v>
      </c>
      <c r="F54" s="36">
        <f t="array" ref="F54">(2/($C$18^2))*(-LN(D54)-$C$17*B54+(1/6)*$C$16^2*B54^3-0.5*SUMPRODUCT(($F$23:F53),((B54-$B$22:B52)^2-(B54-$B$23:B53)^2)))</f>
        <v>2.8158333333201391E-3</v>
      </c>
      <c r="G54" s="30">
        <f t="array" ref="G54">EXP(-0.5*F54*$C$18^2-0.5*SUMPRODUCT(($F$23:F53),((B54-$B$22:B52)^2-(B54-$B$23:B53)^2))+(1/6)*$C$16^2*B54^3)</f>
        <v>0.84901366278743529</v>
      </c>
      <c r="H54" s="29">
        <f t="shared" si="1"/>
        <v>16</v>
      </c>
      <c r="I54" s="45">
        <f t="shared" si="2"/>
        <v>0.4119389995249283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</row>
    <row r="55" spans="1:63" ht="14.45">
      <c r="A55" s="7" t="s">
        <v>50</v>
      </c>
      <c r="B55" s="7">
        <v>16.5</v>
      </c>
      <c r="C55" s="27">
        <f t="shared" si="3"/>
        <v>5.5600000000000011E-2</v>
      </c>
      <c r="D55" s="44">
        <f t="shared" si="0"/>
        <v>0.399556538753847</v>
      </c>
      <c r="E55" s="6">
        <f t="shared" si="4"/>
        <v>6.1040000000000205E-2</v>
      </c>
      <c r="F55" s="36">
        <f t="array" ref="F55">(2/($C$18^2))*(-LN(D55)-$C$17*B55+(1/6)*$C$16^2*B55^3-0.5*SUMPRODUCT(($F$23:F54),((B55-$B$22:B53)^2-(B55-$B$23:B54)^2)))</f>
        <v>-1.1278333333217816E-3</v>
      </c>
      <c r="G55" s="30">
        <f t="array" ref="G55">EXP(-0.5*F55*$C$18^2-0.5*SUMPRODUCT(($F$23:F54),((B55-$B$22:B53)^2-(B55-$B$23:B54)^2))+(1/6)*$C$16^2*B55^3)</f>
        <v>0.84231603220508289</v>
      </c>
      <c r="H55" s="29">
        <f t="shared" si="1"/>
        <v>16.5</v>
      </c>
      <c r="I55" s="45">
        <f t="shared" si="2"/>
        <v>0.399556538753847</v>
      </c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</row>
    <row r="56" spans="1:63" ht="14.45">
      <c r="A56" s="7" t="s">
        <v>51</v>
      </c>
      <c r="B56" s="7">
        <v>17</v>
      </c>
      <c r="C56" s="27">
        <f t="shared" si="3"/>
        <v>5.5760000000000011E-2</v>
      </c>
      <c r="D56" s="44">
        <f t="shared" si="0"/>
        <v>0.38754628196181157</v>
      </c>
      <c r="E56" s="6">
        <f t="shared" si="4"/>
        <v>6.1039999999999983E-2</v>
      </c>
      <c r="F56" s="36">
        <f t="array" ref="F56">(2/($C$18^2))*(-LN(D56)-$C$17*B56+(1/6)*$C$16^2*B56^3-0.5*SUMPRODUCT(($F$23:F55),((B56-$B$22:B54)^2-(B56-$B$23:B55)^2)))</f>
        <v>2.7448333333217612E-3</v>
      </c>
      <c r="G56" s="30">
        <f t="array" ref="G56">EXP(-0.5*F56*$C$18^2-0.5*SUMPRODUCT(($F$23:F55),((B56-$B$22:B54)^2-(B56-$B$23:B55)^2))+(1/6)*$C$16^2*B56^3)</f>
        <v>0.83567123735127513</v>
      </c>
      <c r="H56" s="29">
        <f t="shared" si="1"/>
        <v>17</v>
      </c>
      <c r="I56" s="45">
        <f t="shared" si="2"/>
        <v>0.38754628196181157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</row>
    <row r="57" spans="1:63" ht="14.45">
      <c r="A57" s="7" t="s">
        <v>52</v>
      </c>
      <c r="B57" s="7">
        <v>17.5</v>
      </c>
      <c r="C57" s="27">
        <f t="shared" si="3"/>
        <v>5.5910000000000008E-2</v>
      </c>
      <c r="D57" s="44">
        <f t="shared" si="0"/>
        <v>0.37590267957962309</v>
      </c>
      <c r="E57" s="6">
        <f t="shared" si="4"/>
        <v>6.1009999999999787E-2</v>
      </c>
      <c r="F57" s="36">
        <f t="array" ref="F57">(2/($C$18^2))*(-LN(D57)-$C$17*B57+(1/6)*$C$16^2*B57^3-0.5*SUMPRODUCT(($F$23:F56),((B57-$B$22:B55)^2-(B57-$B$23:B56)^2)))</f>
        <v>-1.19883333332238E-3</v>
      </c>
      <c r="G57" s="30">
        <f t="array" ref="G57">EXP(-0.5*F57*$C$18^2-0.5*SUMPRODUCT(($F$23:F56),((B57-$B$22:B55)^2-(B57-$B$23:B56)^2))+(1/6)*$C$16^2*B57^3)</f>
        <v>0.82909129769596646</v>
      </c>
      <c r="H57" s="29">
        <f t="shared" si="1"/>
        <v>17.5</v>
      </c>
      <c r="I57" s="45">
        <f t="shared" si="2"/>
        <v>0.37590267957962314</v>
      </c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</row>
    <row r="58" spans="1:63" ht="14.45">
      <c r="A58" s="7" t="s">
        <v>53</v>
      </c>
      <c r="B58" s="7">
        <v>18</v>
      </c>
      <c r="C58" s="27">
        <f t="shared" si="3"/>
        <v>5.605000000000001E-2</v>
      </c>
      <c r="D58" s="44">
        <f t="shared" si="0"/>
        <v>0.36461984088235272</v>
      </c>
      <c r="E58" s="6">
        <f t="shared" si="4"/>
        <v>6.095000000000006E-2</v>
      </c>
      <c r="F58" s="36">
        <f t="array" ref="F58">(2/($C$18^2))*(-LN(D58)-$C$17*B58+(1/6)*$C$16^2*B58^3-0.5*SUMPRODUCT(($F$23:F57),((B58-$B$22:B56)^2-(B58-$B$23:B57)^2)))</f>
        <v>2.6738333333229392E-3</v>
      </c>
      <c r="G58" s="30">
        <f t="array" ref="G58">EXP(-0.5*F58*$C$18^2-0.5*SUMPRODUCT(($F$23:F57),((B58-$B$22:B56)^2-(B58-$B$23:B57)^2))+(1/6)*$C$16^2*B58^3)</f>
        <v>0.8225878446824586</v>
      </c>
      <c r="H58" s="29">
        <f t="shared" si="1"/>
        <v>18</v>
      </c>
      <c r="I58" s="45">
        <f t="shared" si="2"/>
        <v>0.36461984088235272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</row>
    <row r="59" spans="1:63" ht="14.45">
      <c r="A59" s="7" t="s">
        <v>54</v>
      </c>
      <c r="B59" s="7">
        <v>18.5</v>
      </c>
      <c r="C59" s="27">
        <f t="shared" si="3"/>
        <v>5.6180000000000008E-2</v>
      </c>
      <c r="D59" s="44">
        <f t="shared" si="0"/>
        <v>0.35369157594631651</v>
      </c>
      <c r="E59" s="6">
        <f t="shared" si="4"/>
        <v>6.0859999999999914E-2</v>
      </c>
      <c r="F59" s="36">
        <f t="array" ref="F59">(2/($C$18^2))*(-LN(D59)-$C$17*B59+(1/6)*$C$16^2*B59^3-0.5*SUMPRODUCT(($F$23:F58),((B59-$B$22:B57)^2-(B59-$B$23:B58)^2)))</f>
        <v>-1.2698333333225342E-3</v>
      </c>
      <c r="G59" s="30">
        <f t="array" ref="G59">EXP(-0.5*F59*$C$18^2-0.5*SUMPRODUCT(($F$23:F58),((B59-$B$22:B57)^2-(B59-$B$23:B58)^2))+(1/6)*$C$16^2*B59^3)</f>
        <v>0.81617213215147677</v>
      </c>
      <c r="H59" s="29">
        <f t="shared" si="1"/>
        <v>18.5</v>
      </c>
      <c r="I59" s="45">
        <f t="shared" si="2"/>
        <v>0.35369157594631651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</row>
    <row r="60" spans="1:63" ht="14.45">
      <c r="A60" s="7" t="s">
        <v>55</v>
      </c>
      <c r="B60" s="7">
        <v>19</v>
      </c>
      <c r="C60" s="27">
        <f t="shared" si="3"/>
        <v>5.630000000000001E-2</v>
      </c>
      <c r="D60" s="44">
        <f t="shared" si="0"/>
        <v>0.3431114354108592</v>
      </c>
      <c r="E60" s="6">
        <f t="shared" si="4"/>
        <v>6.0740000000000016E-2</v>
      </c>
      <c r="F60" s="36">
        <f t="array" ref="F60">(2/($C$18^2))*(-LN(D60)-$C$17*B60+(1/6)*$C$16^2*B60^3-0.5*SUMPRODUCT(($F$23:F59),((B60-$B$22:B58)^2-(B60-$B$23:B59)^2)))</f>
        <v>2.6028333333227849E-3</v>
      </c>
      <c r="G60" s="30">
        <f t="array" ref="G60">EXP(-0.5*F60*$C$18^2-0.5*SUMPRODUCT(($F$23:F59),((B60-$B$22:B58)^2-(B60-$B$23:B59)^2))+(1/6)*$C$16^2*B60^3)</f>
        <v>0.80985504833696953</v>
      </c>
      <c r="H60" s="29">
        <f t="shared" si="1"/>
        <v>19</v>
      </c>
      <c r="I60" s="45">
        <f t="shared" si="2"/>
        <v>0.3431114354108592</v>
      </c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</row>
    <row r="61" spans="1:63" ht="14.45">
      <c r="A61" s="7" t="s">
        <v>56</v>
      </c>
      <c r="B61" s="7">
        <v>19.5</v>
      </c>
      <c r="C61" s="27">
        <f t="shared" si="3"/>
        <v>5.6410000000000009E-2</v>
      </c>
      <c r="D61" s="44">
        <f t="shared" si="0"/>
        <v>0.33287274805765887</v>
      </c>
      <c r="E61" s="6">
        <f t="shared" si="4"/>
        <v>6.0590000000000366E-2</v>
      </c>
      <c r="F61" s="36">
        <f t="array" ref="F61">(2/($C$18^2))*(-LN(D61)-$C$17*B61+(1/6)*$C$16^2*B61^3-0.5*SUMPRODUCT(($F$23:F60),((B61-$B$22:B59)^2-(B61-$B$23:B60)^2)))</f>
        <v>-1.3408333333231326E-3</v>
      </c>
      <c r="G61" s="30">
        <f t="array" ref="G61">EXP(-0.5*F61*$C$18^2-0.5*SUMPRODUCT(($F$23:F60),((B61-$B$22:B59)^2-(B61-$B$23:B60)^2))+(1/6)*$C$16^2*B61^3)</f>
        <v>0.80364712934079596</v>
      </c>
      <c r="H61" s="29">
        <f t="shared" si="1"/>
        <v>19.5</v>
      </c>
      <c r="I61" s="45">
        <f t="shared" si="2"/>
        <v>0.33287274805765887</v>
      </c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</row>
    <row r="62" spans="1:63" ht="14.45">
      <c r="A62" s="7" t="s">
        <v>57</v>
      </c>
      <c r="B62" s="7">
        <v>20</v>
      </c>
      <c r="C62" s="27">
        <f t="shared" si="3"/>
        <v>5.6510000000000012E-2</v>
      </c>
      <c r="D62" s="44">
        <f t="shared" si="0"/>
        <v>0.3229686562312028</v>
      </c>
      <c r="E62" s="6">
        <f t="shared" si="4"/>
        <v>6.0410000000000075E-2</v>
      </c>
      <c r="F62" s="36">
        <f t="array" ref="F62">(2/($C$18^2))*(-LN(D62)-$C$17*B62+(1/6)*$C$16^2*B62^3-0.5*SUMPRODUCT(($F$23:F61),((B62-$B$22:B60)^2-(B62-$B$23:B61)^2)))</f>
        <v>2.5318333333239629E-3</v>
      </c>
      <c r="G62" s="30">
        <f t="array" ref="G62">EXP(-0.5*F62*$C$18^2-0.5*SUMPRODUCT(($F$23:F61),((B62-$B$22:B60)^2-(B62-$B$23:B61)^2))+(1/6)*$C$16^2*B62^3)</f>
        <v>0.79755857399863928</v>
      </c>
      <c r="H62" s="29">
        <f t="shared" si="1"/>
        <v>20</v>
      </c>
      <c r="I62" s="45">
        <f t="shared" si="2"/>
        <v>0.32296865623120286</v>
      </c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</row>
    <row r="63" spans="1:63" ht="14.45">
      <c r="A63" s="7" t="s">
        <v>58</v>
      </c>
      <c r="B63" s="7">
        <v>20.5</v>
      </c>
      <c r="C63" s="27">
        <f t="shared" si="3"/>
        <v>5.6600000000000011E-2</v>
      </c>
      <c r="D63" s="44">
        <f t="shared" si="0"/>
        <v>0.31339214913380797</v>
      </c>
      <c r="E63" s="6">
        <f t="shared" si="4"/>
        <v>6.0200000000000031E-2</v>
      </c>
      <c r="F63" s="36">
        <f t="array" ref="F63">(2/($C$18^2))*(-LN(D63)-$C$17*B63+(1/6)*$C$16^2*B63^3-0.5*SUMPRODUCT(($F$23:F62),((B63-$B$22:B61)^2-(B63-$B$23:B62)^2)))</f>
        <v>-1.4118333333250632E-3</v>
      </c>
      <c r="G63" s="30">
        <f t="array" ref="G63">EXP(-0.5*F63*$C$18^2-0.5*SUMPRODUCT(($F$23:F62),((B63-$B$22:B61)^2-(B63-$B$23:B62)^2))+(1/6)*$C$16^2*B63^3)</f>
        <v>0.79159926005519532</v>
      </c>
      <c r="H63" s="29">
        <f t="shared" si="1"/>
        <v>20.5</v>
      </c>
      <c r="I63" s="45">
        <f t="shared" si="2"/>
        <v>0.31339214913380797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</row>
    <row r="64" spans="1:63" ht="14.45">
      <c r="A64" s="7" t="s">
        <v>59</v>
      </c>
      <c r="B64" s="7">
        <v>21</v>
      </c>
      <c r="C64" s="27">
        <f t="shared" si="3"/>
        <v>5.6680000000000015E-2</v>
      </c>
      <c r="D64" s="44">
        <f t="shared" si="0"/>
        <v>0.30413609403712588</v>
      </c>
      <c r="E64" s="6">
        <f t="shared" si="4"/>
        <v>5.9959999999999791E-2</v>
      </c>
      <c r="F64" s="36">
        <f t="array" ref="F64">(2/($C$18^2))*(-LN(D64)-$C$17*B64+(1/6)*$C$16^2*B64^3-0.5*SUMPRODUCT(($F$23:F63),((B64-$B$22:B62)^2-(B64-$B$23:B63)^2)))</f>
        <v>2.4608333333246968E-3</v>
      </c>
      <c r="G64" s="30">
        <f t="array" ref="G64">EXP(-0.5*F64*$C$18^2-0.5*SUMPRODUCT(($F$23:F63),((B64-$B$22:B62)^2-(B64-$B$23:B63)^2))+(1/6)*$C$16^2*B64^3)</f>
        <v>0.78577876157286042</v>
      </c>
      <c r="H64" s="29">
        <f t="shared" si="1"/>
        <v>21</v>
      </c>
      <c r="I64" s="45">
        <f t="shared" si="2"/>
        <v>0.30413609403712588</v>
      </c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</row>
    <row r="65" spans="1:63" ht="14.45">
      <c r="A65" s="7" t="s">
        <v>60</v>
      </c>
      <c r="B65" s="7">
        <v>21.5</v>
      </c>
      <c r="C65" s="27">
        <f t="shared" si="3"/>
        <v>5.6750000000000016E-2</v>
      </c>
      <c r="D65" s="44">
        <f t="shared" si="0"/>
        <v>0.29519326545953817</v>
      </c>
      <c r="E65" s="6">
        <f t="shared" si="4"/>
        <v>5.9690000000000243E-2</v>
      </c>
      <c r="F65" s="36">
        <f t="array" ref="F65">(2/($C$18^2))*(-LN(D65)-$C$17*B65+(1/6)*$C$16^2*B65^3-0.5*SUMPRODUCT(($F$23:F64),((B65-$B$22:B63)^2-(B65-$B$23:B64)^2)))</f>
        <v>-1.4828333333238852E-3</v>
      </c>
      <c r="G65" s="30">
        <f t="array" ref="G65">EXP(-0.5*F65*$C$18^2-0.5*SUMPRODUCT(($F$23:F64),((B65-$B$22:B63)^2-(B65-$B$23:B64)^2))+(1/6)*$C$16^2*B65^3)</f>
        <v>0.7801063675047637</v>
      </c>
      <c r="H65" s="29">
        <f t="shared" si="1"/>
        <v>21.5</v>
      </c>
      <c r="I65" s="45">
        <f t="shared" si="2"/>
        <v>0.29519326545953822</v>
      </c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</row>
    <row r="66" spans="1:63" ht="14.45">
      <c r="A66" s="7" t="s">
        <v>61</v>
      </c>
      <c r="B66" s="7">
        <v>22</v>
      </c>
      <c r="C66" s="27">
        <f t="shared" si="3"/>
        <v>5.6810000000000013E-2</v>
      </c>
      <c r="D66" s="44">
        <f t="shared" si="0"/>
        <v>0.28655637236528103</v>
      </c>
      <c r="E66" s="6">
        <f t="shared" si="4"/>
        <v>5.9390000000000054E-2</v>
      </c>
      <c r="F66" s="36">
        <f t="array" ref="F66">(2/($C$18^2))*(-LN(D66)-$C$17*B66+(1/6)*$C$16^2*B66^3-0.5*SUMPRODUCT(($F$23:F65),((B66-$B$22:B64)^2-(B66-$B$23:B65)^2)))</f>
        <v>2.3898333333245425E-3</v>
      </c>
      <c r="G66" s="30">
        <f t="array" ref="G66">EXP(-0.5*F66*$C$18^2-0.5*SUMPRODUCT(($F$23:F65),((B66-$B$22:B64)^2-(B66-$B$23:B65)^2))+(1/6)*$C$16^2*B66^3)</f>
        <v>0.77459110137000442</v>
      </c>
      <c r="H66" s="29">
        <f t="shared" si="1"/>
        <v>22</v>
      </c>
      <c r="I66" s="45">
        <f t="shared" si="2"/>
        <v>0.28655637236528103</v>
      </c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</row>
    <row r="67" spans="1:63" ht="14.45">
      <c r="A67" s="7" t="s">
        <v>62</v>
      </c>
      <c r="B67" s="7">
        <v>22.5</v>
      </c>
      <c r="C67" s="27">
        <f t="shared" si="3"/>
        <v>5.6860000000000015E-2</v>
      </c>
      <c r="D67" s="44">
        <f t="shared" si="0"/>
        <v>0.27821808344659638</v>
      </c>
      <c r="E67" s="6">
        <f t="shared" si="4"/>
        <v>5.9060000000000112E-2</v>
      </c>
      <c r="F67" s="36">
        <f t="array" ref="F67">(2/($C$18^2))*(-LN(D67)-$C$17*B67+(1/6)*$C$16^2*B67^3-0.5*SUMPRODUCT(($F$23:F66),((B67-$B$22:B65)^2-(B67-$B$23:B66)^2)))</f>
        <v>-1.5538333333244836E-3</v>
      </c>
      <c r="G67" s="30">
        <f t="array" ref="G67">EXP(-0.5*F67*$C$18^2-0.5*SUMPRODUCT(($F$23:F66),((B67-$B$22:B65)^2-(B67-$B$23:B66)^2))+(1/6)*$C$16^2*B67^3)</f>
        <v>0.76924174197632966</v>
      </c>
      <c r="H67" s="29">
        <f t="shared" si="1"/>
        <v>22.5</v>
      </c>
      <c r="I67" s="45">
        <f t="shared" si="2"/>
        <v>0.27821808344659638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</row>
    <row r="68" spans="1:63" ht="14.45">
      <c r="A68" s="7" t="s">
        <v>63</v>
      </c>
      <c r="B68" s="7">
        <v>23</v>
      </c>
      <c r="C68" s="27">
        <f t="shared" si="3"/>
        <v>5.6900000000000013E-2</v>
      </c>
      <c r="D68" s="44">
        <f t="shared" si="0"/>
        <v>0.27017105055476576</v>
      </c>
      <c r="E68" s="6">
        <f t="shared" si="4"/>
        <v>5.869999999999953E-2</v>
      </c>
      <c r="F68" s="36">
        <f t="array" ref="F68">(2/($C$18^2))*(-LN(D68)-$C$17*B68+(1/6)*$C$16^2*B68^3-0.5*SUMPRODUCT(($F$23:F67),((B68-$B$22:B66)^2-(B68-$B$23:B67)^2)))</f>
        <v>2.3188333333208355E-3</v>
      </c>
      <c r="G68" s="30">
        <f t="array" ref="G68">EXP(-0.5*F68*$C$18^2-0.5*SUMPRODUCT(($F$23:F67),((B68-$B$22:B66)^2-(B68-$B$23:B67)^2))+(1/6)*$C$16^2*B68^3)</f>
        <v>0.76406684514322276</v>
      </c>
      <c r="H68" s="29">
        <f t="shared" si="1"/>
        <v>23</v>
      </c>
      <c r="I68" s="45">
        <f t="shared" si="2"/>
        <v>0.27017105055476576</v>
      </c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</row>
    <row r="69" spans="1:63" ht="14.45">
      <c r="A69" s="7" t="s">
        <v>64</v>
      </c>
      <c r="B69" s="7">
        <v>23.5</v>
      </c>
      <c r="C69" s="27">
        <f t="shared" si="3"/>
        <v>5.6930000000000015E-2</v>
      </c>
      <c r="D69" s="44">
        <f t="shared" si="0"/>
        <v>0.26240793034959653</v>
      </c>
      <c r="E69" s="6">
        <f t="shared" si="4"/>
        <v>5.8310000000000528E-2</v>
      </c>
      <c r="F69" s="36">
        <f t="array" ref="F69">(2/($C$18^2))*(-LN(D69)-$C$17*B69+(1/6)*$C$16^2*B69^3-0.5*SUMPRODUCT(($F$23:F68),((B69-$B$22:B67)^2-(B69-$B$23:B68)^2)))</f>
        <v>-1.6248333333179765E-3</v>
      </c>
      <c r="G69" s="30">
        <f t="array" ref="G69">EXP(-0.5*F69*$C$18^2-0.5*SUMPRODUCT(($F$23:F68),((B69-$B$22:B67)^2-(B69-$B$23:B68)^2))+(1/6)*$C$16^2*B69^3)</f>
        <v>0.75907476638640192</v>
      </c>
      <c r="H69" s="29">
        <f t="shared" si="1"/>
        <v>23.5</v>
      </c>
      <c r="I69" s="45">
        <f t="shared" si="2"/>
        <v>0.26240793034959647</v>
      </c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</row>
    <row r="70" spans="1:63" ht="14.45">
      <c r="A70" s="7" t="s">
        <v>65</v>
      </c>
      <c r="B70" s="7">
        <v>24</v>
      </c>
      <c r="C70" s="27">
        <f t="shared" si="3"/>
        <v>5.6950000000000014E-2</v>
      </c>
      <c r="D70" s="44">
        <f t="shared" si="0"/>
        <v>0.2549214042398758</v>
      </c>
      <c r="E70" s="6">
        <f t="shared" si="4"/>
        <v>5.7889999999999997E-2</v>
      </c>
      <c r="F70" s="36">
        <f t="array" ref="F70">(2/($C$18^2))*(-LN(D70)-$C$17*B70+(1/6)*$C$16^2*B70^3-0.5*SUMPRODUCT(($F$23:F69),((B70-$B$22:B68)^2-(B70-$B$23:B69)^2)))</f>
        <v>2.2478333333189049E-3</v>
      </c>
      <c r="G70" s="30">
        <f t="array" ref="G70">EXP(-0.5*F70*$C$18^2-0.5*SUMPRODUCT(($F$23:F69),((B70-$B$22:B68)^2-(B70-$B$23:B69)^2))+(1/6)*$C$16^2*B70^3)</f>
        <v>0.75427368453308863</v>
      </c>
      <c r="H70" s="29">
        <f t="shared" si="1"/>
        <v>24</v>
      </c>
      <c r="I70" s="45">
        <f t="shared" si="2"/>
        <v>0.2549214042398758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</row>
    <row r="71" spans="1:63" ht="14.45">
      <c r="A71" s="7" t="s">
        <v>66</v>
      </c>
      <c r="B71" s="7">
        <v>24.5</v>
      </c>
      <c r="C71" s="27">
        <f t="shared" si="3"/>
        <v>5.6960000000000018E-2</v>
      </c>
      <c r="D71" s="44">
        <f t="shared" si="0"/>
        <v>0.24770419668953705</v>
      </c>
      <c r="E71" s="6">
        <f t="shared" si="4"/>
        <v>5.7440000000000158E-2</v>
      </c>
      <c r="F71" s="36">
        <f t="array" ref="F71">(2/($C$18^2))*(-LN(D71)-$C$17*B71+(1/6)*$C$16^2*B71^3-0.5*SUMPRODUCT(($F$23:F70),((B71-$B$22:B69)^2-(B71-$B$23:B70)^2)))</f>
        <v>-1.6958333333194631E-3</v>
      </c>
      <c r="G71" s="30">
        <f t="array" ref="G71">EXP(-0.5*F71*$C$18^2-0.5*SUMPRODUCT(($F$23:F70),((B71-$B$22:B69)^2-(B71-$B$23:B70)^2))+(1/6)*$C$16^2*B71^3)</f>
        <v>0.74967162624603967</v>
      </c>
      <c r="H71" s="29">
        <f t="shared" si="1"/>
        <v>24.5</v>
      </c>
      <c r="I71" s="45">
        <f t="shared" si="2"/>
        <v>0.24770419668953703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</row>
    <row r="72" spans="1:63" ht="14.45">
      <c r="A72" s="7" t="s">
        <v>67</v>
      </c>
      <c r="B72" s="7">
        <v>25</v>
      </c>
      <c r="C72" s="27">
        <f t="shared" si="3"/>
        <v>5.6960000000000018E-2</v>
      </c>
      <c r="D72" s="44">
        <f t="shared" si="0"/>
        <v>0.24074909196587677</v>
      </c>
      <c r="E72" s="6">
        <f t="shared" si="4"/>
        <v>5.6959999999999678E-2</v>
      </c>
      <c r="F72" s="36">
        <f t="array" ref="F72">(2/($C$18^2))*(-LN(D72)-$C$17*B72+(1/6)*$C$16^2*B72^3-0.5*SUMPRODUCT(($F$23:F71),((B72-$B$22:B70)^2-(B72-$B$23:B71)^2)))</f>
        <v>2.1768333333178624E-3</v>
      </c>
      <c r="G72" s="30">
        <f t="array" ref="G72">EXP(-0.5*F72*$C$18^2-0.5*SUMPRODUCT(($F$23:F71),((B72-$B$22:B70)^2-(B72-$B$23:B71)^2))+(1/6)*$C$16^2*B72^3)</f>
        <v>0.74527649144328822</v>
      </c>
      <c r="H72" s="29">
        <f t="shared" si="1"/>
        <v>25</v>
      </c>
      <c r="I72" s="45">
        <f t="shared" si="2"/>
        <v>0.24074909196587674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</row>
    <row r="73" spans="1:63">
      <c r="B73" s="7"/>
      <c r="C73" s="19"/>
      <c r="D73" s="9"/>
      <c r="E73" s="6"/>
      <c r="F73" s="16"/>
      <c r="G73" s="16"/>
      <c r="H73" s="16"/>
      <c r="I73" s="17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</row>
    <row r="74" spans="1:63">
      <c r="B74" s="7"/>
      <c r="C74" s="19"/>
      <c r="D74" s="9"/>
      <c r="E74" s="6"/>
      <c r="F74" s="16"/>
      <c r="G74" s="16"/>
      <c r="H74" s="16"/>
      <c r="I74" s="17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</row>
    <row r="75" spans="1:63">
      <c r="B75" s="7">
        <v>0</v>
      </c>
      <c r="C75" s="6">
        <v>9.126666666652789E-6</v>
      </c>
      <c r="D75" s="9"/>
      <c r="E75" s="6"/>
      <c r="F75" s="16"/>
      <c r="G75" s="16"/>
      <c r="H75" s="16"/>
      <c r="I75" s="17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</row>
    <row r="76" spans="1:63">
      <c r="B76" s="7">
        <v>0.5</v>
      </c>
      <c r="C76" s="6">
        <v>9.126666666652789E-6</v>
      </c>
      <c r="D76" s="9"/>
      <c r="E76" s="6"/>
      <c r="F76" s="16"/>
      <c r="G76" s="16"/>
      <c r="H76" s="16"/>
      <c r="I76" s="17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</row>
    <row r="77" spans="1:63">
      <c r="B77" s="7">
        <v>0.5</v>
      </c>
      <c r="C77" s="6">
        <v>-1.7143666666669627E-3</v>
      </c>
      <c r="D77" s="9"/>
      <c r="E77" s="6"/>
      <c r="F77" s="16"/>
      <c r="G77" s="16"/>
      <c r="H77" s="16"/>
      <c r="I77" s="17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</row>
    <row r="78" spans="1:63">
      <c r="B78" s="7">
        <v>1</v>
      </c>
      <c r="C78" s="6">
        <v>-1.7143666666669627E-3</v>
      </c>
      <c r="D78" s="9"/>
      <c r="E78" s="6"/>
      <c r="F78" s="16"/>
      <c r="G78" s="16"/>
      <c r="H78" s="16"/>
      <c r="I78" s="17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</row>
    <row r="79" spans="1:63">
      <c r="B79" s="7">
        <v>1</v>
      </c>
      <c r="C79" s="6">
        <v>6.6638866666677852E-3</v>
      </c>
      <c r="D79" s="9"/>
      <c r="E79" s="6"/>
      <c r="F79" s="16"/>
      <c r="G79" s="16"/>
      <c r="H79" s="16"/>
      <c r="I79" s="17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</row>
    <row r="80" spans="1:63">
      <c r="B80" s="7">
        <v>1.5</v>
      </c>
      <c r="C80" s="6">
        <v>6.6638866666677852E-3</v>
      </c>
      <c r="D80" s="9"/>
      <c r="E80" s="6"/>
      <c r="F80" s="16"/>
      <c r="G80" s="16"/>
      <c r="H80" s="16"/>
      <c r="I80" s="17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</row>
    <row r="81" spans="2:63">
      <c r="B81" s="7">
        <v>1.5</v>
      </c>
      <c r="C81" s="6">
        <v>4.6203933333313803E-3</v>
      </c>
      <c r="D81" s="9"/>
      <c r="E81" s="6"/>
      <c r="F81" s="16"/>
      <c r="G81" s="16"/>
      <c r="H81" s="16"/>
      <c r="I81" s="17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</row>
    <row r="82" spans="2:63">
      <c r="B82" s="7">
        <v>2</v>
      </c>
      <c r="C82" s="6">
        <v>4.6203933333313803E-3</v>
      </c>
      <c r="D82" s="9"/>
      <c r="E82" s="6"/>
      <c r="F82" s="16"/>
      <c r="G82" s="16"/>
      <c r="H82" s="16"/>
      <c r="I82" s="17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</row>
    <row r="83" spans="2:63">
      <c r="B83" s="7">
        <v>2</v>
      </c>
      <c r="C83" s="6">
        <v>7.2786466666694902E-3</v>
      </c>
      <c r="D83" s="9"/>
      <c r="E83" s="6"/>
      <c r="F83" s="16"/>
      <c r="G83" s="16"/>
      <c r="H83" s="16"/>
      <c r="I83" s="17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</row>
    <row r="84" spans="2:63">
      <c r="B84" s="7">
        <v>2.5</v>
      </c>
      <c r="C84" s="6">
        <v>7.2786466666694902E-3</v>
      </c>
      <c r="D84" s="9"/>
      <c r="E84" s="6"/>
      <c r="F84" s="16"/>
      <c r="G84" s="16"/>
      <c r="H84" s="16"/>
      <c r="I84" s="17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</row>
    <row r="85" spans="2:63">
      <c r="B85" s="7">
        <v>2.5</v>
      </c>
      <c r="C85" s="6">
        <v>3.4751533333300111E-3</v>
      </c>
      <c r="D85" s="9"/>
      <c r="E85" s="6"/>
      <c r="F85" s="16"/>
      <c r="G85" s="16"/>
      <c r="H85" s="16"/>
      <c r="I85" s="17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</row>
    <row r="86" spans="2:63">
      <c r="B86" s="7">
        <v>3</v>
      </c>
      <c r="C86" s="6">
        <v>3.4751533333300111E-3</v>
      </c>
      <c r="D86" s="9"/>
      <c r="E86" s="6"/>
      <c r="F86" s="16"/>
      <c r="G86" s="16"/>
      <c r="H86" s="16"/>
      <c r="I86" s="17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</row>
    <row r="87" spans="2:63">
      <c r="B87" s="7">
        <v>3</v>
      </c>
      <c r="C87" s="6">
        <v>5.9334066666693608E-3</v>
      </c>
      <c r="D87" s="9"/>
      <c r="E87" s="6"/>
      <c r="F87" s="16"/>
      <c r="G87" s="16"/>
      <c r="H87" s="16"/>
      <c r="I87" s="17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</row>
    <row r="88" spans="2:63">
      <c r="B88" s="7">
        <v>3.5</v>
      </c>
      <c r="C88" s="6">
        <v>5.9334066666693608E-3</v>
      </c>
      <c r="D88" s="9"/>
      <c r="E88" s="6"/>
      <c r="F88" s="16"/>
      <c r="G88" s="16"/>
      <c r="H88" s="16"/>
      <c r="I88" s="17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</row>
    <row r="89" spans="2:63">
      <c r="B89" s="7">
        <v>3.5</v>
      </c>
      <c r="C89" s="6">
        <v>2.1299133333317344E-3</v>
      </c>
      <c r="D89" s="9"/>
      <c r="E89" s="6"/>
      <c r="F89" s="16"/>
      <c r="G89" s="16"/>
      <c r="H89" s="16"/>
      <c r="I89" s="17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</row>
    <row r="90" spans="2:63">
      <c r="B90" s="7">
        <v>4</v>
      </c>
      <c r="C90" s="6">
        <v>2.1299133333317344E-3</v>
      </c>
      <c r="D90" s="9"/>
      <c r="E90" s="6"/>
      <c r="F90" s="16"/>
      <c r="G90" s="16"/>
      <c r="H90" s="16"/>
      <c r="I90" s="17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</row>
    <row r="91" spans="2:63">
      <c r="B91" s="7">
        <v>4</v>
      </c>
      <c r="C91" s="6">
        <v>4.6681666666672228E-3</v>
      </c>
      <c r="D91" s="9"/>
      <c r="E91" s="6"/>
      <c r="F91" s="16"/>
      <c r="G91" s="16"/>
      <c r="H91" s="16"/>
      <c r="I91" s="17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</row>
    <row r="92" spans="2:63">
      <c r="B92" s="7">
        <v>4.5</v>
      </c>
      <c r="C92" s="6">
        <v>4.6681666666672228E-3</v>
      </c>
      <c r="D92" s="9"/>
      <c r="E92" s="6"/>
      <c r="F92" s="16"/>
      <c r="G92" s="16"/>
      <c r="H92" s="16"/>
      <c r="I92" s="17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</row>
    <row r="93" spans="2:63">
      <c r="B93" s="7">
        <v>4.5</v>
      </c>
      <c r="C93" s="6">
        <v>1.3446733333336014E-3</v>
      </c>
      <c r="D93" s="9"/>
      <c r="E93" s="6"/>
      <c r="F93" s="16"/>
      <c r="G93" s="16"/>
      <c r="H93" s="16"/>
      <c r="I93" s="17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</row>
    <row r="94" spans="2:63">
      <c r="B94" s="7">
        <v>5</v>
      </c>
      <c r="C94" s="6">
        <v>1.3446733333336014E-3</v>
      </c>
      <c r="D94" s="9"/>
      <c r="E94" s="6"/>
      <c r="F94" s="16"/>
      <c r="G94" s="16"/>
      <c r="H94" s="16"/>
      <c r="I94" s="17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</row>
    <row r="95" spans="2:63">
      <c r="B95" s="7">
        <v>5</v>
      </c>
      <c r="C95" s="6">
        <v>3.8829266666660645E-3</v>
      </c>
      <c r="D95" s="9"/>
      <c r="E95" s="6"/>
      <c r="F95" s="16"/>
      <c r="G95" s="16"/>
      <c r="H95" s="16"/>
      <c r="I95" s="17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</row>
    <row r="96" spans="2:63">
      <c r="B96" s="7">
        <v>5.5</v>
      </c>
      <c r="C96" s="6">
        <v>3.8829266666660645E-3</v>
      </c>
      <c r="D96" s="9"/>
      <c r="E96" s="6"/>
      <c r="F96" s="16"/>
      <c r="G96" s="16"/>
      <c r="H96" s="16"/>
      <c r="I96" s="17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</row>
    <row r="97" spans="2:63">
      <c r="B97" s="7">
        <v>5.5</v>
      </c>
      <c r="C97" s="6">
        <v>1.0394333333341166E-3</v>
      </c>
      <c r="D97" s="9"/>
      <c r="E97" s="6"/>
      <c r="F97" s="16"/>
      <c r="G97" s="16"/>
      <c r="H97" s="16"/>
      <c r="I97" s="17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</row>
    <row r="98" spans="2:63">
      <c r="B98" s="7">
        <v>6</v>
      </c>
      <c r="C98" s="6">
        <v>1.0394333333341166E-3</v>
      </c>
      <c r="D98" s="9"/>
      <c r="E98" s="6"/>
      <c r="F98" s="16"/>
      <c r="G98" s="16"/>
      <c r="H98" s="16"/>
      <c r="I98" s="17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</row>
    <row r="99" spans="2:63">
      <c r="B99" s="7">
        <v>6</v>
      </c>
      <c r="C99" s="6">
        <v>2.6976866666654775E-3</v>
      </c>
      <c r="D99" s="9"/>
      <c r="E99" s="6"/>
      <c r="F99" s="16"/>
      <c r="G99" s="16"/>
      <c r="H99" s="16"/>
      <c r="I99" s="17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</row>
    <row r="100" spans="2:63">
      <c r="B100" s="7">
        <v>6.5</v>
      </c>
      <c r="C100" s="6">
        <v>2.6976866666654775E-3</v>
      </c>
      <c r="D100" s="9"/>
      <c r="E100" s="6"/>
      <c r="F100" s="16"/>
      <c r="G100" s="16"/>
      <c r="H100" s="16"/>
      <c r="I100" s="17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</row>
    <row r="101" spans="2:63">
      <c r="B101" s="7">
        <v>6.5</v>
      </c>
      <c r="C101" s="6">
        <v>1.9341933333353323E-3</v>
      </c>
      <c r="D101" s="9"/>
      <c r="E101" s="6"/>
      <c r="F101" s="16"/>
      <c r="G101" s="16"/>
      <c r="H101" s="16"/>
      <c r="I101" s="17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</row>
    <row r="102" spans="2:63">
      <c r="B102" s="7">
        <v>7</v>
      </c>
      <c r="C102" s="6">
        <v>1.9341933333353323E-3</v>
      </c>
      <c r="D102" s="9"/>
      <c r="E102" s="6"/>
      <c r="F102" s="16"/>
      <c r="G102" s="16"/>
      <c r="H102" s="16"/>
      <c r="I102" s="17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</row>
    <row r="103" spans="2:63">
      <c r="B103" s="7">
        <v>7</v>
      </c>
      <c r="C103" s="6">
        <v>1.0724466666632848E-3</v>
      </c>
      <c r="D103" s="9"/>
      <c r="E103" s="6"/>
      <c r="F103" s="16"/>
      <c r="G103" s="16"/>
      <c r="H103" s="16"/>
      <c r="I103" s="17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</row>
    <row r="104" spans="2:63">
      <c r="B104" s="7">
        <v>7.5</v>
      </c>
      <c r="C104" s="6">
        <v>1.0724466666632848E-3</v>
      </c>
      <c r="D104" s="9"/>
      <c r="E104" s="6"/>
      <c r="F104" s="16"/>
      <c r="G104" s="16"/>
      <c r="H104" s="16"/>
      <c r="I104" s="17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</row>
    <row r="105" spans="2:63">
      <c r="B105" s="7">
        <v>7.5</v>
      </c>
      <c r="C105" s="6">
        <v>3.1889533333384623E-3</v>
      </c>
      <c r="D105" s="9"/>
      <c r="E105" s="6"/>
      <c r="F105" s="16"/>
      <c r="G105" s="16"/>
      <c r="H105" s="16"/>
      <c r="I105" s="17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</row>
    <row r="106" spans="2:63">
      <c r="B106" s="7">
        <v>8</v>
      </c>
      <c r="C106" s="6">
        <v>3.1889533333384623E-3</v>
      </c>
      <c r="D106" s="9"/>
      <c r="E106" s="6"/>
      <c r="F106" s="16"/>
      <c r="G106" s="16"/>
      <c r="H106" s="16"/>
      <c r="I106" s="17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</row>
    <row r="107" spans="2:63">
      <c r="B107" s="7">
        <v>8</v>
      </c>
      <c r="C107" s="6">
        <v>8.7206666660510912E-5</v>
      </c>
      <c r="D107" s="9"/>
      <c r="E107" s="6"/>
      <c r="F107" s="16"/>
      <c r="G107" s="16"/>
      <c r="H107" s="16"/>
      <c r="I107" s="17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</row>
    <row r="108" spans="2:63">
      <c r="B108" s="7">
        <v>8.5</v>
      </c>
      <c r="C108" s="6">
        <v>8.7206666660510912E-5</v>
      </c>
      <c r="D108" s="9"/>
      <c r="E108" s="6"/>
      <c r="F108" s="16"/>
      <c r="G108" s="16"/>
      <c r="H108" s="16"/>
      <c r="I108" s="17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</row>
    <row r="109" spans="2:63">
      <c r="B109" s="7">
        <v>8.5</v>
      </c>
      <c r="C109" s="6">
        <v>3.4837133333396331E-3</v>
      </c>
      <c r="D109" s="9"/>
      <c r="E109" s="6"/>
      <c r="F109" s="16"/>
      <c r="G109" s="16"/>
      <c r="H109" s="16"/>
      <c r="I109" s="17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</row>
    <row r="110" spans="2:63">
      <c r="B110" s="7">
        <v>9</v>
      </c>
      <c r="C110" s="6">
        <v>3.4837133333396331E-3</v>
      </c>
      <c r="D110" s="9"/>
      <c r="E110" s="6"/>
      <c r="F110" s="16"/>
      <c r="G110" s="16"/>
      <c r="H110" s="16"/>
      <c r="I110" s="17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</row>
    <row r="111" spans="2:63">
      <c r="B111" s="7">
        <v>9</v>
      </c>
      <c r="C111" s="6">
        <v>-2.1803333334013963E-4</v>
      </c>
      <c r="D111" s="9"/>
      <c r="E111" s="6"/>
      <c r="F111" s="16"/>
      <c r="G111" s="16"/>
      <c r="H111" s="16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</row>
    <row r="112" spans="2:63">
      <c r="B112" s="7">
        <v>9.5</v>
      </c>
      <c r="C112" s="6">
        <v>-2.1803333334013963E-4</v>
      </c>
      <c r="D112" s="9"/>
      <c r="E112" s="6"/>
      <c r="F112" s="16"/>
      <c r="G112" s="16"/>
      <c r="H112" s="16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</row>
    <row r="113" spans="2:63">
      <c r="B113" s="7">
        <v>9.5</v>
      </c>
      <c r="C113" s="6">
        <v>4.7784733333409157E-3</v>
      </c>
      <c r="D113" s="9"/>
      <c r="E113" s="6"/>
      <c r="F113" s="16"/>
      <c r="G113" s="16"/>
      <c r="H113" s="16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</row>
    <row r="114" spans="2:63">
      <c r="B114" s="7">
        <v>10</v>
      </c>
      <c r="C114" s="6">
        <v>4.7784733333409157E-3</v>
      </c>
      <c r="D114" s="9"/>
      <c r="E114" s="6"/>
      <c r="F114" s="16"/>
      <c r="G114" s="16"/>
      <c r="H114" s="16"/>
      <c r="I114" s="17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</row>
    <row r="115" spans="2:63">
      <c r="B115" s="7">
        <v>10</v>
      </c>
      <c r="C115" s="6">
        <v>-1.9632733333414532E-3</v>
      </c>
      <c r="D115" s="9"/>
      <c r="E115" s="6"/>
      <c r="F115" s="16"/>
      <c r="G115" s="16"/>
      <c r="H115" s="16"/>
      <c r="I115" s="17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</row>
    <row r="116" spans="2:63">
      <c r="B116" s="7">
        <v>10.5</v>
      </c>
      <c r="C116" s="6">
        <v>-1.9632733333414532E-3</v>
      </c>
      <c r="D116" s="9"/>
      <c r="E116" s="6"/>
      <c r="F116" s="16"/>
      <c r="G116" s="16"/>
      <c r="H116" s="16"/>
      <c r="I116" s="17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</row>
    <row r="117" spans="2:63">
      <c r="B117" s="7">
        <v>10.5</v>
      </c>
      <c r="C117" s="6">
        <v>6.2332333333421364E-3</v>
      </c>
      <c r="D117" s="9"/>
      <c r="E117" s="6"/>
      <c r="F117" s="16"/>
      <c r="G117" s="16"/>
      <c r="H117" s="16"/>
      <c r="I117" s="17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</row>
    <row r="118" spans="2:63">
      <c r="B118" s="7">
        <v>11</v>
      </c>
      <c r="C118" s="6">
        <v>6.2332333333421364E-3</v>
      </c>
      <c r="D118" s="9"/>
      <c r="E118" s="6"/>
      <c r="F118" s="16"/>
      <c r="G118" s="16"/>
      <c r="H118" s="16"/>
      <c r="I118" s="17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</row>
    <row r="119" spans="2:63">
      <c r="B119" s="7">
        <v>11</v>
      </c>
      <c r="C119" s="6">
        <v>-2.9485133333435609E-3</v>
      </c>
      <c r="D119" s="9"/>
      <c r="E119" s="6"/>
      <c r="F119" s="16"/>
      <c r="G119" s="16"/>
      <c r="H119" s="16"/>
      <c r="I119" s="17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</row>
    <row r="120" spans="2:63">
      <c r="B120" s="7">
        <v>11.5</v>
      </c>
      <c r="C120" s="6">
        <v>-2.9485133333435609E-3</v>
      </c>
      <c r="D120" s="9"/>
      <c r="E120" s="6"/>
      <c r="F120" s="16"/>
      <c r="G120" s="16"/>
      <c r="H120" s="16"/>
      <c r="I120" s="17"/>
    </row>
    <row r="121" spans="2:63">
      <c r="B121" s="7">
        <v>11.5</v>
      </c>
      <c r="C121" s="6">
        <v>7.0079933333451194E-3</v>
      </c>
      <c r="D121" s="9"/>
      <c r="E121" s="6"/>
      <c r="F121" s="16"/>
      <c r="G121" s="16"/>
      <c r="H121" s="16"/>
      <c r="I121" s="17"/>
    </row>
    <row r="122" spans="2:63">
      <c r="B122" s="7">
        <v>12</v>
      </c>
      <c r="C122" s="6">
        <v>7.0079933333451194E-3</v>
      </c>
      <c r="D122" s="9"/>
      <c r="E122" s="6"/>
      <c r="F122" s="16"/>
      <c r="G122" s="16"/>
      <c r="H122" s="16"/>
      <c r="I122" s="17"/>
    </row>
    <row r="123" spans="2:63">
      <c r="B123" s="7">
        <v>12</v>
      </c>
      <c r="C123" s="6">
        <v>-2.0137533333457469E-3</v>
      </c>
      <c r="D123" s="9"/>
      <c r="E123" s="6"/>
      <c r="F123" s="16"/>
      <c r="G123" s="16"/>
      <c r="H123" s="16"/>
      <c r="I123" s="17"/>
    </row>
    <row r="124" spans="2:63">
      <c r="B124" s="7">
        <v>12.5</v>
      </c>
      <c r="C124" s="6">
        <v>-2.0137533333457469E-3</v>
      </c>
      <c r="D124" s="9"/>
      <c r="E124" s="6"/>
      <c r="F124" s="16"/>
      <c r="G124" s="16"/>
      <c r="H124" s="16"/>
      <c r="I124" s="17"/>
    </row>
    <row r="125" spans="2:63">
      <c r="B125" s="7">
        <v>12.5</v>
      </c>
      <c r="C125" s="6">
        <v>4.9827533333464125E-3</v>
      </c>
      <c r="D125" s="9"/>
      <c r="E125" s="6"/>
      <c r="F125" s="16"/>
      <c r="G125" s="16"/>
      <c r="H125" s="16"/>
      <c r="I125" s="17"/>
    </row>
    <row r="126" spans="2:63">
      <c r="B126" s="7">
        <v>13</v>
      </c>
      <c r="C126" s="6">
        <v>4.9827533333464125E-3</v>
      </c>
      <c r="D126" s="9"/>
      <c r="E126" s="6"/>
      <c r="F126" s="16"/>
      <c r="G126" s="16"/>
      <c r="H126" s="16"/>
      <c r="I126" s="17"/>
    </row>
    <row r="127" spans="2:63">
      <c r="B127" s="7">
        <v>13</v>
      </c>
      <c r="C127" s="6">
        <v>-1.1189933333470847E-3</v>
      </c>
      <c r="D127" s="9"/>
      <c r="E127" s="6"/>
      <c r="F127" s="16"/>
      <c r="G127" s="16"/>
      <c r="H127" s="16"/>
      <c r="I127" s="17"/>
    </row>
    <row r="128" spans="2:63">
      <c r="B128" s="7">
        <v>13.5</v>
      </c>
      <c r="C128" s="6">
        <v>-1.1189933333470847E-3</v>
      </c>
      <c r="D128" s="9"/>
      <c r="E128" s="6"/>
      <c r="F128" s="16"/>
      <c r="G128" s="16"/>
      <c r="H128" s="16"/>
      <c r="I128" s="17"/>
    </row>
    <row r="129" spans="2:9">
      <c r="B129" s="7">
        <v>13.5</v>
      </c>
      <c r="C129" s="6">
        <v>4.9175133333476673E-3</v>
      </c>
      <c r="D129" s="9"/>
      <c r="E129" s="6"/>
      <c r="F129" s="16"/>
      <c r="G129" s="16"/>
      <c r="H129" s="16"/>
      <c r="I129" s="17"/>
    </row>
    <row r="130" spans="2:9">
      <c r="B130" s="7">
        <v>14</v>
      </c>
      <c r="C130" s="6">
        <v>4.9175133333476673E-3</v>
      </c>
      <c r="D130" s="9"/>
      <c r="E130" s="6"/>
      <c r="F130" s="16"/>
      <c r="G130" s="16"/>
      <c r="H130" s="16"/>
      <c r="I130" s="17"/>
    </row>
    <row r="131" spans="2:9">
      <c r="B131" s="7">
        <v>14</v>
      </c>
      <c r="C131" s="6">
        <v>-1.1842333333493826E-3</v>
      </c>
      <c r="D131" s="9"/>
      <c r="E131" s="6"/>
      <c r="F131" s="16"/>
      <c r="G131" s="16"/>
      <c r="H131" s="16"/>
      <c r="I131" s="17"/>
    </row>
    <row r="132" spans="2:9">
      <c r="B132" s="7">
        <v>14.5</v>
      </c>
      <c r="C132" s="6">
        <v>-1.1842333333493826E-3</v>
      </c>
      <c r="D132" s="9"/>
      <c r="E132" s="6"/>
      <c r="F132" s="16"/>
      <c r="G132" s="16"/>
      <c r="H132" s="16"/>
      <c r="I132" s="17"/>
    </row>
    <row r="133" spans="2:9">
      <c r="B133" s="7">
        <v>14.5</v>
      </c>
      <c r="C133" s="6">
        <v>4.8522733333506984E-3</v>
      </c>
      <c r="D133" s="9"/>
      <c r="E133" s="6"/>
      <c r="F133" s="16"/>
      <c r="G133" s="16"/>
      <c r="H133" s="16"/>
      <c r="I133" s="17"/>
    </row>
    <row r="134" spans="2:9">
      <c r="B134" s="7">
        <v>15</v>
      </c>
      <c r="C134" s="6">
        <v>4.8522733333506984E-3</v>
      </c>
      <c r="D134" s="9"/>
      <c r="E134" s="6"/>
      <c r="F134" s="16"/>
      <c r="G134" s="16"/>
      <c r="H134" s="16"/>
      <c r="I134" s="17"/>
    </row>
    <row r="135" spans="2:9">
      <c r="B135" s="7">
        <v>15</v>
      </c>
      <c r="C135" s="6">
        <f t="shared" ref="C135" si="5">VLOOKUP(B135,$B$23:$F$72,5,TRUE)</f>
        <v>2.8868333333189611E-3</v>
      </c>
      <c r="D135" s="9"/>
      <c r="E135" s="6"/>
      <c r="F135" s="16"/>
      <c r="G135" s="16"/>
      <c r="H135" s="16"/>
      <c r="I135" s="17"/>
    </row>
    <row r="136" spans="2:9">
      <c r="B136" s="7"/>
      <c r="C136" s="19"/>
      <c r="D136" s="9"/>
      <c r="E136" s="6"/>
      <c r="F136" s="16"/>
      <c r="G136" s="16"/>
      <c r="H136" s="16"/>
      <c r="I136" s="17"/>
    </row>
    <row r="137" spans="2:9">
      <c r="B137" s="7"/>
      <c r="C137" s="19"/>
      <c r="D137" s="9"/>
      <c r="E137" s="6"/>
      <c r="F137" s="16"/>
      <c r="G137" s="16"/>
      <c r="H137" s="16"/>
      <c r="I137" s="17"/>
    </row>
    <row r="138" spans="2:9">
      <c r="B138" s="7"/>
      <c r="C138" s="19"/>
      <c r="D138" s="9"/>
      <c r="E138" s="6"/>
      <c r="F138" s="16"/>
      <c r="G138" s="16"/>
      <c r="H138" s="16"/>
      <c r="I138" s="17"/>
    </row>
    <row r="139" spans="2:9">
      <c r="B139" s="7"/>
      <c r="C139" s="19"/>
      <c r="D139" s="9"/>
      <c r="E139" s="6"/>
      <c r="F139" s="16"/>
      <c r="G139" s="16"/>
      <c r="H139" s="16"/>
      <c r="I139" s="17"/>
    </row>
    <row r="140" spans="2:9">
      <c r="B140" s="7"/>
      <c r="C140" s="19"/>
      <c r="D140" s="9"/>
      <c r="E140" s="6"/>
      <c r="F140" s="16"/>
      <c r="G140" s="16"/>
      <c r="H140" s="16"/>
      <c r="I140" s="17"/>
    </row>
    <row r="141" spans="2:9">
      <c r="B141" s="7"/>
      <c r="C141" s="19"/>
      <c r="D141" s="9"/>
      <c r="E141" s="6"/>
      <c r="F141" s="16"/>
      <c r="G141" s="16"/>
      <c r="H141" s="16"/>
      <c r="I141" s="17"/>
    </row>
    <row r="142" spans="2:9">
      <c r="B142" s="7"/>
      <c r="C142" s="20"/>
      <c r="D142" s="21"/>
      <c r="E142" s="6"/>
      <c r="F142" s="22"/>
      <c r="G142" s="22"/>
      <c r="H142" s="22"/>
      <c r="I142" s="6"/>
    </row>
    <row r="143" spans="2:9">
      <c r="B143" s="7"/>
      <c r="C143" s="20"/>
      <c r="D143" s="21"/>
      <c r="E143" s="6"/>
      <c r="F143" s="22"/>
      <c r="G143" s="22"/>
      <c r="H143" s="22"/>
      <c r="I143" s="6"/>
    </row>
    <row r="144" spans="2:9">
      <c r="B144" s="7"/>
      <c r="C144" s="20"/>
      <c r="D144" s="21"/>
      <c r="E144" s="6"/>
      <c r="F144" s="22"/>
      <c r="G144" s="22"/>
      <c r="H144" s="22"/>
      <c r="I144" s="6"/>
    </row>
    <row r="145" spans="2:9">
      <c r="B145" s="7"/>
      <c r="C145" s="20"/>
      <c r="D145" s="21"/>
      <c r="E145" s="6"/>
      <c r="F145" s="22"/>
      <c r="G145" s="22"/>
      <c r="H145" s="22"/>
      <c r="I145" s="6"/>
    </row>
    <row r="146" spans="2:9">
      <c r="B146" s="7"/>
      <c r="C146" s="20"/>
      <c r="D146" s="21"/>
      <c r="E146" s="6"/>
      <c r="F146" s="22"/>
      <c r="G146" s="22"/>
      <c r="H146" s="22"/>
      <c r="I146" s="6"/>
    </row>
    <row r="147" spans="2:9">
      <c r="B147" s="7"/>
      <c r="C147" s="20"/>
      <c r="D147" s="21"/>
      <c r="E147" s="6"/>
      <c r="F147" s="22"/>
      <c r="G147" s="22"/>
      <c r="H147" s="22"/>
      <c r="I147" s="6"/>
    </row>
    <row r="148" spans="2:9">
      <c r="B148" s="7"/>
      <c r="C148" s="20"/>
      <c r="D148" s="21"/>
      <c r="E148" s="6"/>
      <c r="F148" s="22"/>
      <c r="G148" s="22"/>
      <c r="H148" s="22"/>
      <c r="I148" s="6"/>
    </row>
    <row r="149" spans="2:9">
      <c r="B149" s="7"/>
      <c r="C149" s="20"/>
      <c r="D149" s="21"/>
      <c r="E149" s="6"/>
      <c r="F149" s="22"/>
      <c r="G149" s="22"/>
      <c r="H149" s="22"/>
      <c r="I149" s="6"/>
    </row>
    <row r="150" spans="2:9">
      <c r="B150" s="7"/>
      <c r="C150" s="20"/>
      <c r="D150" s="21"/>
      <c r="E150" s="6"/>
      <c r="F150" s="22"/>
      <c r="G150" s="22"/>
      <c r="H150" s="22"/>
      <c r="I150" s="6"/>
    </row>
    <row r="151" spans="2:9">
      <c r="B151" s="7"/>
      <c r="C151" s="20"/>
      <c r="D151" s="21"/>
      <c r="E151" s="6"/>
      <c r="F151" s="22"/>
      <c r="G151" s="22"/>
      <c r="H151" s="22"/>
      <c r="I151" s="6"/>
    </row>
    <row r="152" spans="2:9">
      <c r="B152" s="7"/>
      <c r="C152" s="20"/>
      <c r="D152" s="21"/>
      <c r="E152" s="6"/>
      <c r="F152" s="22"/>
      <c r="G152" s="22"/>
      <c r="H152" s="22"/>
      <c r="I152" s="6"/>
    </row>
    <row r="153" spans="2:9">
      <c r="B153" s="7"/>
      <c r="C153" s="20"/>
      <c r="D153" s="21"/>
      <c r="E153" s="6"/>
      <c r="F153" s="22"/>
      <c r="G153" s="22"/>
      <c r="H153" s="22"/>
      <c r="I153" s="6"/>
    </row>
    <row r="154" spans="2:9">
      <c r="B154" s="7"/>
      <c r="C154" s="20"/>
      <c r="D154" s="21"/>
      <c r="E154" s="6"/>
      <c r="F154" s="22"/>
      <c r="G154" s="22"/>
      <c r="H154" s="22"/>
      <c r="I154" s="6"/>
    </row>
    <row r="155" spans="2:9">
      <c r="B155" s="7"/>
      <c r="C155" s="20"/>
      <c r="D155" s="21"/>
      <c r="E155" s="6"/>
      <c r="F155" s="22"/>
      <c r="G155" s="22"/>
      <c r="H155" s="22"/>
      <c r="I155" s="6"/>
    </row>
    <row r="156" spans="2:9">
      <c r="B156" s="7"/>
      <c r="C156" s="20"/>
      <c r="D156" s="21"/>
      <c r="E156" s="6"/>
      <c r="F156" s="22"/>
      <c r="G156" s="22"/>
      <c r="H156" s="22"/>
      <c r="I156" s="6"/>
    </row>
    <row r="157" spans="2:9">
      <c r="B157" s="7"/>
      <c r="C157" s="20"/>
      <c r="D157" s="21"/>
      <c r="E157" s="6"/>
      <c r="F157" s="22"/>
      <c r="G157" s="22"/>
      <c r="H157" s="22"/>
      <c r="I157" s="6"/>
    </row>
    <row r="158" spans="2:9">
      <c r="B158" s="7"/>
      <c r="C158" s="20"/>
      <c r="D158" s="21"/>
      <c r="E158" s="6"/>
      <c r="F158" s="22"/>
      <c r="G158" s="22"/>
      <c r="H158" s="22"/>
      <c r="I158" s="6"/>
    </row>
    <row r="159" spans="2:9">
      <c r="B159" s="7"/>
      <c r="C159" s="20"/>
      <c r="D159" s="21"/>
      <c r="E159" s="6"/>
      <c r="F159" s="22"/>
      <c r="G159" s="22"/>
      <c r="H159" s="22"/>
      <c r="I159" s="6"/>
    </row>
    <row r="160" spans="2:9">
      <c r="B160" s="7"/>
      <c r="C160" s="20"/>
      <c r="D160" s="21"/>
      <c r="E160" s="6"/>
      <c r="F160" s="22"/>
      <c r="G160" s="22"/>
      <c r="H160" s="22"/>
      <c r="I160" s="6"/>
    </row>
    <row r="161" spans="2:9">
      <c r="B161" s="7"/>
      <c r="C161" s="20"/>
      <c r="D161" s="21"/>
      <c r="E161" s="6"/>
      <c r="F161" s="22"/>
      <c r="G161" s="22"/>
      <c r="H161" s="22"/>
      <c r="I161" s="6"/>
    </row>
    <row r="162" spans="2:9">
      <c r="B162" s="7"/>
      <c r="C162" s="20"/>
      <c r="D162" s="21"/>
      <c r="E162" s="6"/>
      <c r="F162" s="22"/>
      <c r="G162" s="22"/>
      <c r="H162" s="22"/>
      <c r="I162" s="6"/>
    </row>
    <row r="163" spans="2:9">
      <c r="B163" s="7"/>
      <c r="C163" s="20"/>
      <c r="D163" s="21"/>
      <c r="E163" s="6"/>
      <c r="F163" s="22"/>
      <c r="G163" s="22"/>
      <c r="H163" s="22"/>
      <c r="I163" s="6"/>
    </row>
    <row r="164" spans="2:9">
      <c r="B164" s="7"/>
      <c r="C164" s="20"/>
      <c r="D164" s="21"/>
      <c r="E164" s="6"/>
      <c r="F164" s="22"/>
      <c r="G164" s="22"/>
      <c r="H164" s="22"/>
      <c r="I164" s="6"/>
    </row>
    <row r="165" spans="2:9">
      <c r="B165" s="7"/>
      <c r="C165" s="20"/>
      <c r="D165" s="21"/>
      <c r="E165" s="6"/>
      <c r="F165" s="22"/>
      <c r="G165" s="22"/>
      <c r="H165" s="22"/>
      <c r="I165" s="6"/>
    </row>
    <row r="166" spans="2:9">
      <c r="B166" s="7"/>
      <c r="C166" s="20"/>
      <c r="D166" s="21"/>
      <c r="E166" s="6"/>
      <c r="F166" s="22"/>
      <c r="G166" s="22"/>
      <c r="H166" s="22"/>
      <c r="I166" s="6"/>
    </row>
    <row r="167" spans="2:9">
      <c r="B167" s="7"/>
      <c r="C167" s="20"/>
      <c r="D167" s="21"/>
      <c r="E167" s="6"/>
      <c r="F167" s="22"/>
      <c r="G167" s="22"/>
      <c r="H167" s="22"/>
      <c r="I167" s="6"/>
    </row>
    <row r="168" spans="2:9">
      <c r="B168" s="7"/>
      <c r="C168" s="20"/>
      <c r="D168" s="21"/>
      <c r="E168" s="6"/>
      <c r="F168" s="22"/>
      <c r="G168" s="22"/>
      <c r="H168" s="22"/>
      <c r="I168" s="6"/>
    </row>
    <row r="169" spans="2:9">
      <c r="B169" s="7"/>
      <c r="C169" s="20"/>
      <c r="D169" s="21"/>
      <c r="E169" s="6"/>
      <c r="F169" s="22"/>
      <c r="G169" s="22"/>
      <c r="H169" s="22"/>
      <c r="I169" s="6"/>
    </row>
    <row r="170" spans="2:9">
      <c r="B170" s="7"/>
      <c r="C170" s="20"/>
      <c r="D170" s="21"/>
      <c r="E170" s="6"/>
      <c r="F170" s="22"/>
      <c r="G170" s="22"/>
      <c r="H170" s="22"/>
      <c r="I170" s="6"/>
    </row>
    <row r="171" spans="2:9">
      <c r="B171" s="7"/>
      <c r="C171" s="20"/>
      <c r="D171" s="21"/>
      <c r="E171" s="6"/>
      <c r="F171" s="22"/>
      <c r="G171" s="22"/>
      <c r="H171" s="22"/>
      <c r="I171" s="6"/>
    </row>
    <row r="172" spans="2:9">
      <c r="B172" s="7"/>
      <c r="C172" s="20"/>
      <c r="D172" s="21"/>
      <c r="E172" s="6"/>
      <c r="F172" s="22"/>
      <c r="G172" s="22"/>
      <c r="H172" s="22"/>
      <c r="I172" s="6"/>
    </row>
    <row r="173" spans="2:9">
      <c r="B173" s="7"/>
      <c r="C173" s="20"/>
      <c r="D173" s="21"/>
      <c r="E173" s="6"/>
      <c r="F173" s="22"/>
      <c r="G173" s="22"/>
      <c r="H173" s="22"/>
      <c r="I173" s="6"/>
    </row>
    <row r="174" spans="2:9">
      <c r="B174" s="7"/>
      <c r="C174" s="20"/>
      <c r="D174" s="21"/>
      <c r="E174" s="6"/>
      <c r="F174" s="22"/>
      <c r="G174" s="22"/>
      <c r="H174" s="22"/>
      <c r="I174" s="6"/>
    </row>
    <row r="175" spans="2:9">
      <c r="B175" s="7"/>
      <c r="C175" s="20"/>
      <c r="D175" s="21"/>
      <c r="E175" s="6"/>
      <c r="F175" s="22"/>
      <c r="G175" s="22"/>
      <c r="H175" s="22"/>
      <c r="I175" s="6"/>
    </row>
    <row r="176" spans="2:9">
      <c r="B176" s="7"/>
      <c r="C176" s="20"/>
      <c r="D176" s="21"/>
      <c r="E176" s="6"/>
      <c r="F176" s="22"/>
      <c r="G176" s="22"/>
      <c r="H176" s="22"/>
      <c r="I176" s="6"/>
    </row>
    <row r="177" spans="2:9">
      <c r="B177" s="7"/>
      <c r="C177" s="20"/>
      <c r="D177" s="21"/>
      <c r="E177" s="6"/>
      <c r="F177" s="22"/>
      <c r="G177" s="22"/>
      <c r="H177" s="22"/>
      <c r="I177" s="6"/>
    </row>
    <row r="178" spans="2:9">
      <c r="B178" s="7"/>
      <c r="C178" s="20"/>
      <c r="D178" s="21"/>
      <c r="E178" s="6"/>
      <c r="F178" s="22"/>
      <c r="G178" s="22"/>
      <c r="H178" s="22"/>
      <c r="I178" s="6"/>
    </row>
    <row r="179" spans="2:9">
      <c r="B179" s="7"/>
      <c r="C179" s="20"/>
      <c r="D179" s="21"/>
      <c r="E179" s="6"/>
      <c r="F179" s="22"/>
      <c r="G179" s="22"/>
      <c r="H179" s="22"/>
      <c r="I179" s="6"/>
    </row>
    <row r="180" spans="2:9">
      <c r="B180" s="7"/>
      <c r="C180" s="20"/>
      <c r="D180" s="21"/>
      <c r="E180" s="6"/>
      <c r="F180" s="22"/>
      <c r="G180" s="22"/>
      <c r="H180" s="22"/>
      <c r="I180" s="6"/>
    </row>
    <row r="181" spans="2:9">
      <c r="B181" s="7"/>
      <c r="C181" s="20"/>
      <c r="D181" s="21"/>
      <c r="E181" s="6"/>
      <c r="F181" s="22"/>
      <c r="G181" s="22"/>
      <c r="H181" s="22"/>
      <c r="I181" s="6"/>
    </row>
    <row r="182" spans="2:9">
      <c r="B182" s="7"/>
      <c r="C182" s="20"/>
      <c r="D182" s="21"/>
      <c r="E182" s="6"/>
      <c r="F182" s="22"/>
      <c r="G182" s="22"/>
      <c r="H182" s="22"/>
      <c r="I182" s="6"/>
    </row>
    <row r="183" spans="2:9">
      <c r="B183" s="7"/>
      <c r="C183" s="20"/>
      <c r="D183" s="21"/>
      <c r="E183" s="6"/>
      <c r="F183" s="22"/>
      <c r="G183" s="22"/>
      <c r="H183" s="22"/>
      <c r="I183" s="6"/>
    </row>
    <row r="184" spans="2:9">
      <c r="B184" s="7"/>
      <c r="C184" s="20"/>
      <c r="D184" s="21"/>
      <c r="E184" s="6"/>
      <c r="F184" s="22"/>
      <c r="G184" s="22"/>
      <c r="H184" s="22"/>
      <c r="I184" s="6"/>
    </row>
    <row r="185" spans="2:9">
      <c r="B185" s="7"/>
      <c r="C185" s="20"/>
      <c r="D185" s="21"/>
      <c r="E185" s="6"/>
      <c r="F185" s="22"/>
      <c r="G185" s="22"/>
      <c r="H185" s="22"/>
      <c r="I185" s="6"/>
    </row>
    <row r="186" spans="2:9">
      <c r="B186" s="7"/>
      <c r="C186" s="20"/>
      <c r="D186" s="21"/>
      <c r="E186" s="6"/>
      <c r="F186" s="22"/>
      <c r="G186" s="22"/>
      <c r="H186" s="22"/>
      <c r="I186" s="6"/>
    </row>
    <row r="187" spans="2:9">
      <c r="B187" s="7"/>
      <c r="C187" s="20"/>
      <c r="D187" s="21"/>
      <c r="E187" s="6"/>
      <c r="F187" s="22"/>
      <c r="G187" s="22"/>
      <c r="H187" s="22"/>
      <c r="I187" s="6"/>
    </row>
    <row r="188" spans="2:9">
      <c r="B188" s="7"/>
      <c r="C188" s="20"/>
      <c r="D188" s="21"/>
      <c r="E188" s="6"/>
      <c r="F188" s="22"/>
      <c r="G188" s="22"/>
      <c r="H188" s="22"/>
      <c r="I188" s="6"/>
    </row>
    <row r="189" spans="2:9">
      <c r="B189" s="7"/>
      <c r="C189" s="20"/>
      <c r="D189" s="21"/>
      <c r="E189" s="6"/>
      <c r="F189" s="22"/>
      <c r="G189" s="22"/>
      <c r="H189" s="22"/>
      <c r="I189" s="6"/>
    </row>
    <row r="190" spans="2:9">
      <c r="B190" s="7"/>
      <c r="C190" s="20"/>
      <c r="D190" s="21"/>
      <c r="E190" s="6"/>
      <c r="F190" s="22"/>
      <c r="G190" s="22"/>
      <c r="H190" s="22"/>
      <c r="I190" s="6"/>
    </row>
    <row r="191" spans="2:9">
      <c r="B191" s="7"/>
      <c r="C191" s="20"/>
      <c r="D191" s="21"/>
      <c r="E191" s="6"/>
      <c r="F191" s="22"/>
      <c r="G191" s="22"/>
      <c r="H191" s="22"/>
      <c r="I191" s="6"/>
    </row>
    <row r="192" spans="2:9">
      <c r="B192" s="7"/>
      <c r="C192" s="20"/>
      <c r="D192" s="21"/>
      <c r="E192" s="6"/>
      <c r="F192" s="22"/>
      <c r="G192" s="22"/>
      <c r="H192" s="22"/>
      <c r="I192" s="6"/>
    </row>
    <row r="193" spans="2:9">
      <c r="B193" s="7"/>
      <c r="C193" s="20"/>
      <c r="D193" s="21"/>
      <c r="E193" s="6"/>
      <c r="F193" s="22"/>
      <c r="G193" s="22"/>
      <c r="H193" s="22"/>
      <c r="I193" s="6"/>
    </row>
    <row r="194" spans="2:9">
      <c r="B194" s="7"/>
      <c r="C194" s="20"/>
      <c r="D194" s="21"/>
      <c r="E194" s="6"/>
      <c r="F194" s="22"/>
      <c r="G194" s="22"/>
      <c r="H194" s="22"/>
      <c r="I194" s="6"/>
    </row>
    <row r="195" spans="2:9">
      <c r="B195" s="7"/>
      <c r="C195" s="20"/>
      <c r="D195" s="21"/>
      <c r="E195" s="6"/>
      <c r="F195" s="22"/>
      <c r="G195" s="22"/>
      <c r="H195" s="22"/>
      <c r="I195" s="6"/>
    </row>
    <row r="196" spans="2:9">
      <c r="B196" s="7"/>
      <c r="C196" s="20"/>
      <c r="D196" s="21"/>
      <c r="E196" s="6"/>
      <c r="F196" s="22"/>
      <c r="G196" s="22"/>
      <c r="H196" s="22"/>
      <c r="I196" s="6"/>
    </row>
    <row r="197" spans="2:9">
      <c r="B197" s="7"/>
      <c r="C197" s="20"/>
      <c r="D197" s="21"/>
      <c r="E197" s="6"/>
      <c r="F197" s="22"/>
      <c r="G197" s="22"/>
      <c r="H197" s="22"/>
      <c r="I197" s="6"/>
    </row>
    <row r="198" spans="2:9">
      <c r="B198" s="7"/>
      <c r="C198" s="20"/>
      <c r="D198" s="21"/>
      <c r="E198" s="6"/>
      <c r="F198" s="22"/>
      <c r="G198" s="22"/>
      <c r="H198" s="22"/>
      <c r="I198" s="6"/>
    </row>
    <row r="199" spans="2:9">
      <c r="B199" s="7"/>
      <c r="C199" s="20"/>
      <c r="D199" s="21"/>
      <c r="E199" s="6"/>
      <c r="F199" s="22"/>
      <c r="G199" s="22"/>
      <c r="H199" s="22"/>
      <c r="I199" s="6"/>
    </row>
    <row r="200" spans="2:9">
      <c r="B200" s="7"/>
      <c r="C200" s="20"/>
      <c r="D200" s="21"/>
      <c r="E200" s="6"/>
      <c r="F200" s="22"/>
      <c r="G200" s="22"/>
      <c r="H200" s="22"/>
      <c r="I200" s="6"/>
    </row>
    <row r="201" spans="2:9">
      <c r="B201" s="7"/>
      <c r="C201" s="20"/>
      <c r="D201" s="21"/>
      <c r="E201" s="6"/>
      <c r="F201" s="22"/>
      <c r="G201" s="22"/>
      <c r="H201" s="22"/>
      <c r="I201" s="6"/>
    </row>
    <row r="202" spans="2:9">
      <c r="B202" s="7"/>
      <c r="C202" s="20"/>
      <c r="D202" s="21"/>
      <c r="E202" s="6"/>
      <c r="F202" s="22"/>
      <c r="G202" s="22"/>
      <c r="H202" s="22"/>
      <c r="I202" s="6"/>
    </row>
    <row r="203" spans="2:9">
      <c r="B203" s="7"/>
      <c r="C203" s="20"/>
      <c r="D203" s="21"/>
      <c r="E203" s="6"/>
      <c r="F203" s="22"/>
      <c r="G203" s="22"/>
      <c r="H203" s="22"/>
      <c r="I203" s="6"/>
    </row>
    <row r="204" spans="2:9">
      <c r="B204" s="7"/>
      <c r="C204" s="20"/>
      <c r="D204" s="21"/>
      <c r="E204" s="6"/>
      <c r="F204" s="22"/>
      <c r="G204" s="22"/>
      <c r="H204" s="22"/>
      <c r="I204" s="6"/>
    </row>
    <row r="205" spans="2:9">
      <c r="B205" s="7"/>
      <c r="C205" s="20"/>
      <c r="D205" s="21"/>
      <c r="E205" s="6"/>
      <c r="F205" s="22"/>
      <c r="G205" s="22"/>
      <c r="H205" s="22"/>
      <c r="I205" s="6"/>
    </row>
    <row r="206" spans="2:9">
      <c r="B206" s="7"/>
      <c r="C206" s="20"/>
      <c r="D206" s="21"/>
      <c r="E206" s="6"/>
      <c r="F206" s="22"/>
      <c r="G206" s="22"/>
      <c r="H206" s="22"/>
      <c r="I206" s="6"/>
    </row>
    <row r="207" spans="2:9">
      <c r="B207" s="7"/>
      <c r="C207" s="20"/>
      <c r="D207" s="21"/>
      <c r="E207" s="6"/>
      <c r="F207" s="22"/>
      <c r="G207" s="22"/>
      <c r="H207" s="22"/>
      <c r="I207" s="6"/>
    </row>
    <row r="208" spans="2:9">
      <c r="B208" s="7"/>
      <c r="C208" s="20"/>
      <c r="D208" s="21"/>
      <c r="E208" s="6"/>
      <c r="F208" s="22"/>
      <c r="G208" s="22"/>
      <c r="H208" s="22"/>
      <c r="I208" s="6"/>
    </row>
    <row r="209" spans="2:9">
      <c r="B209" s="7"/>
      <c r="C209" s="20"/>
      <c r="D209" s="21"/>
      <c r="E209" s="6"/>
      <c r="F209" s="22"/>
      <c r="G209" s="22"/>
      <c r="H209" s="22"/>
      <c r="I209" s="6"/>
    </row>
    <row r="210" spans="2:9">
      <c r="B210" s="7"/>
      <c r="C210" s="20"/>
      <c r="D210" s="21"/>
      <c r="E210" s="6"/>
      <c r="F210" s="22"/>
      <c r="G210" s="22"/>
      <c r="H210" s="22"/>
      <c r="I210" s="6"/>
    </row>
    <row r="211" spans="2:9">
      <c r="B211" s="7"/>
      <c r="C211" s="20"/>
      <c r="D211" s="21"/>
      <c r="E211" s="6"/>
      <c r="F211" s="22"/>
      <c r="G211" s="22"/>
      <c r="H211" s="22"/>
      <c r="I211" s="6"/>
    </row>
    <row r="212" spans="2:9">
      <c r="B212" s="7"/>
      <c r="C212" s="20"/>
      <c r="D212" s="21"/>
      <c r="E212" s="6"/>
      <c r="F212" s="22"/>
      <c r="G212" s="22"/>
      <c r="H212" s="22"/>
      <c r="I212" s="6"/>
    </row>
    <row r="213" spans="2:9">
      <c r="B213" s="7"/>
      <c r="C213" s="20"/>
      <c r="D213" s="21"/>
      <c r="E213" s="6"/>
      <c r="F213" s="22"/>
      <c r="G213" s="22"/>
      <c r="H213" s="22"/>
      <c r="I213" s="6"/>
    </row>
    <row r="214" spans="2:9">
      <c r="B214" s="7"/>
      <c r="C214" s="20"/>
      <c r="D214" s="21"/>
      <c r="E214" s="6"/>
      <c r="F214" s="22"/>
      <c r="G214" s="22"/>
      <c r="H214" s="22"/>
      <c r="I214" s="6"/>
    </row>
    <row r="215" spans="2:9">
      <c r="B215" s="7"/>
      <c r="C215" s="20"/>
      <c r="D215" s="21"/>
      <c r="E215" s="6"/>
      <c r="F215" s="22"/>
      <c r="G215" s="22"/>
      <c r="H215" s="22"/>
      <c r="I215" s="6"/>
    </row>
    <row r="216" spans="2:9">
      <c r="B216" s="7"/>
      <c r="C216" s="20"/>
      <c r="D216" s="21"/>
      <c r="E216" s="6"/>
      <c r="F216" s="22"/>
      <c r="G216" s="22"/>
      <c r="H216" s="22"/>
      <c r="I216" s="6"/>
    </row>
    <row r="217" spans="2:9">
      <c r="B217" s="7"/>
      <c r="C217" s="20"/>
      <c r="D217" s="21"/>
      <c r="E217" s="6"/>
      <c r="F217" s="22"/>
      <c r="G217" s="22"/>
      <c r="H217" s="22"/>
      <c r="I217" s="6"/>
    </row>
    <row r="218" spans="2:9">
      <c r="B218" s="7"/>
      <c r="C218" s="20"/>
      <c r="D218" s="21"/>
      <c r="E218" s="6"/>
      <c r="F218" s="22"/>
      <c r="G218" s="22"/>
      <c r="H218" s="22"/>
      <c r="I218" s="6"/>
    </row>
    <row r="219" spans="2:9">
      <c r="B219" s="7"/>
      <c r="C219" s="20"/>
      <c r="D219" s="21"/>
      <c r="E219" s="6"/>
      <c r="F219" s="22"/>
      <c r="G219" s="22"/>
      <c r="H219" s="22"/>
      <c r="I219" s="6"/>
    </row>
    <row r="220" spans="2:9">
      <c r="B220" s="7"/>
      <c r="C220" s="20"/>
      <c r="D220" s="21"/>
      <c r="E220" s="6"/>
      <c r="F220" s="22"/>
      <c r="G220" s="22"/>
      <c r="H220" s="22"/>
      <c r="I220" s="6"/>
    </row>
    <row r="221" spans="2:9">
      <c r="B221" s="7"/>
      <c r="C221" s="20"/>
      <c r="D221" s="21"/>
      <c r="E221" s="6"/>
      <c r="F221" s="22"/>
      <c r="G221" s="22"/>
      <c r="H221" s="22"/>
      <c r="I221" s="6"/>
    </row>
    <row r="222" spans="2:9">
      <c r="B222" s="7"/>
      <c r="C222" s="20"/>
      <c r="D222" s="21"/>
      <c r="E222" s="6"/>
      <c r="F222" s="22"/>
      <c r="G222" s="22"/>
      <c r="H222" s="22"/>
      <c r="I222" s="6"/>
    </row>
    <row r="223" spans="2:9">
      <c r="B223" s="7"/>
      <c r="C223" s="20"/>
      <c r="D223" s="21"/>
      <c r="E223" s="6"/>
      <c r="F223" s="22"/>
      <c r="G223" s="22"/>
      <c r="H223" s="22"/>
      <c r="I223" s="6"/>
    </row>
    <row r="224" spans="2:9">
      <c r="B224" s="7"/>
      <c r="C224" s="20"/>
      <c r="D224" s="21"/>
      <c r="E224" s="6"/>
      <c r="F224" s="22"/>
      <c r="G224" s="22"/>
      <c r="H224" s="22"/>
      <c r="I224" s="6"/>
    </row>
    <row r="225" spans="2:9">
      <c r="B225" s="7"/>
      <c r="C225" s="20"/>
      <c r="D225" s="21"/>
      <c r="E225" s="6"/>
      <c r="F225" s="22"/>
      <c r="G225" s="22"/>
      <c r="H225" s="22"/>
      <c r="I225" s="6"/>
    </row>
    <row r="226" spans="2:9">
      <c r="B226" s="7"/>
      <c r="C226" s="20"/>
      <c r="D226" s="21"/>
      <c r="E226" s="6"/>
      <c r="F226" s="22"/>
      <c r="G226" s="22"/>
      <c r="H226" s="22"/>
      <c r="I226" s="6"/>
    </row>
    <row r="227" spans="2:9">
      <c r="B227" s="7"/>
      <c r="C227" s="20"/>
      <c r="D227" s="21"/>
      <c r="E227" s="6"/>
      <c r="F227" s="22"/>
      <c r="G227" s="22"/>
      <c r="H227" s="22"/>
      <c r="I227" s="6"/>
    </row>
    <row r="228" spans="2:9">
      <c r="B228" s="7"/>
      <c r="C228" s="20"/>
      <c r="D228" s="21"/>
      <c r="E228" s="6"/>
      <c r="F228" s="22"/>
      <c r="G228" s="22"/>
      <c r="H228" s="22"/>
      <c r="I228" s="6"/>
    </row>
    <row r="229" spans="2:9">
      <c r="B229" s="7"/>
      <c r="C229" s="20"/>
      <c r="D229" s="21"/>
      <c r="E229" s="6"/>
      <c r="F229" s="22"/>
      <c r="G229" s="22"/>
      <c r="H229" s="22"/>
      <c r="I229" s="6"/>
    </row>
    <row r="230" spans="2:9">
      <c r="B230" s="7"/>
      <c r="C230" s="20"/>
      <c r="D230" s="21"/>
      <c r="E230" s="6"/>
      <c r="F230" s="22"/>
      <c r="G230" s="22"/>
      <c r="H230" s="22"/>
      <c r="I230" s="6"/>
    </row>
    <row r="231" spans="2:9">
      <c r="B231" s="7"/>
      <c r="C231" s="20"/>
      <c r="D231" s="21"/>
      <c r="E231" s="6"/>
      <c r="F231" s="22"/>
      <c r="G231" s="22"/>
      <c r="H231" s="22"/>
      <c r="I231" s="6"/>
    </row>
    <row r="232" spans="2:9">
      <c r="B232" s="7"/>
      <c r="C232" s="20"/>
      <c r="D232" s="21"/>
      <c r="E232" s="6"/>
      <c r="F232" s="22"/>
      <c r="G232" s="22"/>
      <c r="H232" s="22"/>
      <c r="I232" s="6"/>
    </row>
    <row r="233" spans="2:9">
      <c r="B233" s="7"/>
      <c r="C233" s="20"/>
      <c r="D233" s="21"/>
      <c r="E233" s="6"/>
      <c r="F233" s="22"/>
      <c r="G233" s="22"/>
      <c r="H233" s="22"/>
      <c r="I233" s="6"/>
    </row>
    <row r="234" spans="2:9">
      <c r="B234" s="7"/>
      <c r="C234" s="20"/>
      <c r="D234" s="21"/>
      <c r="E234" s="6"/>
      <c r="F234" s="22"/>
      <c r="G234" s="22"/>
      <c r="H234" s="22"/>
      <c r="I234" s="6"/>
    </row>
    <row r="235" spans="2:9">
      <c r="B235" s="7"/>
      <c r="C235" s="20"/>
      <c r="D235" s="21"/>
      <c r="E235" s="6"/>
      <c r="F235" s="22"/>
      <c r="G235" s="22"/>
      <c r="H235" s="22"/>
      <c r="I235" s="6"/>
    </row>
    <row r="236" spans="2:9">
      <c r="B236" s="7"/>
      <c r="C236" s="20"/>
      <c r="D236" s="21"/>
      <c r="E236" s="6"/>
      <c r="F236" s="22"/>
      <c r="G236" s="22"/>
      <c r="H236" s="22"/>
      <c r="I236" s="6"/>
    </row>
    <row r="237" spans="2:9">
      <c r="B237" s="7"/>
      <c r="C237" s="20"/>
      <c r="D237" s="21"/>
      <c r="E237" s="6"/>
      <c r="F237" s="22"/>
      <c r="G237" s="22"/>
      <c r="H237" s="22"/>
      <c r="I237" s="6"/>
    </row>
    <row r="238" spans="2:9">
      <c r="B238" s="7"/>
      <c r="C238" s="20"/>
      <c r="D238" s="21"/>
      <c r="E238" s="6"/>
      <c r="F238" s="22"/>
      <c r="G238" s="22"/>
      <c r="H238" s="22"/>
      <c r="I238" s="6"/>
    </row>
    <row r="239" spans="2:9">
      <c r="B239" s="7"/>
      <c r="C239" s="20"/>
      <c r="D239" s="21"/>
      <c r="E239" s="6"/>
      <c r="F239" s="22"/>
      <c r="G239" s="22"/>
      <c r="H239" s="22"/>
      <c r="I239" s="6"/>
    </row>
    <row r="240" spans="2:9">
      <c r="B240" s="7"/>
      <c r="C240" s="20"/>
      <c r="D240" s="21"/>
      <c r="E240" s="6"/>
      <c r="F240" s="22"/>
      <c r="G240" s="22"/>
      <c r="H240" s="22"/>
      <c r="I240" s="6"/>
    </row>
    <row r="241" spans="2:9">
      <c r="B241" s="7"/>
      <c r="C241" s="20"/>
      <c r="D241" s="21"/>
      <c r="E241" s="6"/>
      <c r="F241" s="22"/>
      <c r="G241" s="22"/>
      <c r="H241" s="22"/>
      <c r="I241" s="6"/>
    </row>
    <row r="242" spans="2:9">
      <c r="B242" s="7"/>
      <c r="C242" s="20"/>
      <c r="D242" s="21"/>
      <c r="E242" s="6"/>
      <c r="F242" s="22"/>
      <c r="G242" s="22"/>
      <c r="H242" s="22"/>
      <c r="I242" s="6"/>
    </row>
    <row r="243" spans="2:9">
      <c r="B243" s="7"/>
      <c r="C243" s="20"/>
      <c r="D243" s="21"/>
      <c r="E243" s="6"/>
      <c r="F243" s="22"/>
      <c r="G243" s="22"/>
      <c r="H243" s="22"/>
      <c r="I243" s="6"/>
    </row>
    <row r="244" spans="2:9">
      <c r="B244" s="7"/>
      <c r="C244" s="20"/>
      <c r="D244" s="21"/>
      <c r="E244" s="6"/>
      <c r="F244" s="22"/>
      <c r="G244" s="22"/>
      <c r="H244" s="22"/>
      <c r="I244" s="6"/>
    </row>
    <row r="245" spans="2:9">
      <c r="B245" s="7"/>
      <c r="C245" s="20"/>
      <c r="D245" s="21"/>
      <c r="E245" s="6"/>
      <c r="F245" s="22"/>
      <c r="G245" s="22"/>
      <c r="H245" s="22"/>
      <c r="I245" s="6"/>
    </row>
    <row r="246" spans="2:9">
      <c r="B246" s="7"/>
      <c r="C246" s="20"/>
      <c r="D246" s="21"/>
      <c r="E246" s="6"/>
      <c r="F246" s="22"/>
      <c r="G246" s="22"/>
      <c r="H246" s="22"/>
      <c r="I246" s="6"/>
    </row>
    <row r="247" spans="2:9">
      <c r="B247" s="7"/>
      <c r="C247" s="20"/>
      <c r="D247" s="21"/>
      <c r="E247" s="6"/>
      <c r="F247" s="22"/>
      <c r="G247" s="22"/>
      <c r="H247" s="22"/>
      <c r="I247" s="6"/>
    </row>
    <row r="248" spans="2:9">
      <c r="B248" s="7"/>
      <c r="C248" s="20"/>
      <c r="D248" s="21"/>
      <c r="E248" s="6"/>
      <c r="F248" s="22"/>
      <c r="G248" s="22"/>
      <c r="H248" s="22"/>
      <c r="I248" s="6"/>
    </row>
    <row r="249" spans="2:9">
      <c r="B249" s="7"/>
      <c r="C249" s="20"/>
      <c r="D249" s="21"/>
      <c r="E249" s="6"/>
      <c r="F249" s="22"/>
      <c r="G249" s="22"/>
      <c r="H249" s="22"/>
      <c r="I249" s="6"/>
    </row>
    <row r="250" spans="2:9">
      <c r="B250" s="7"/>
      <c r="C250" s="20"/>
      <c r="D250" s="21"/>
      <c r="E250" s="6"/>
      <c r="F250" s="22"/>
      <c r="G250" s="22"/>
      <c r="H250" s="22"/>
      <c r="I250" s="6"/>
    </row>
    <row r="251" spans="2:9">
      <c r="B251" s="7"/>
      <c r="C251" s="20"/>
      <c r="D251" s="21"/>
      <c r="E251" s="6"/>
      <c r="F251" s="22"/>
      <c r="G251" s="22"/>
      <c r="H251" s="22"/>
      <c r="I251" s="6"/>
    </row>
    <row r="252" spans="2:9">
      <c r="B252" s="7"/>
      <c r="C252" s="20"/>
      <c r="D252" s="21"/>
      <c r="E252" s="6"/>
      <c r="F252" s="22"/>
      <c r="G252" s="22"/>
      <c r="H252" s="22"/>
      <c r="I252" s="6"/>
    </row>
    <row r="253" spans="2:9">
      <c r="B253" s="7"/>
      <c r="C253" s="20"/>
      <c r="D253" s="21"/>
      <c r="E253" s="6"/>
      <c r="F253" s="22"/>
      <c r="G253" s="22"/>
      <c r="H253" s="22"/>
      <c r="I253" s="6"/>
    </row>
    <row r="254" spans="2:9">
      <c r="B254" s="7"/>
      <c r="C254" s="20"/>
      <c r="D254" s="21"/>
      <c r="E254" s="6"/>
      <c r="F254" s="22"/>
      <c r="G254" s="22"/>
      <c r="H254" s="22"/>
      <c r="I254" s="6"/>
    </row>
    <row r="255" spans="2:9">
      <c r="B255" s="7"/>
      <c r="C255" s="20"/>
      <c r="D255" s="21"/>
      <c r="E255" s="6"/>
      <c r="F255" s="22"/>
      <c r="G255" s="22"/>
      <c r="H255" s="22"/>
      <c r="I255" s="6"/>
    </row>
    <row r="256" spans="2:9">
      <c r="B256" s="7"/>
      <c r="C256" s="20"/>
      <c r="D256" s="21"/>
      <c r="E256" s="6"/>
      <c r="F256" s="22"/>
      <c r="G256" s="22"/>
      <c r="H256" s="22"/>
      <c r="I256" s="6"/>
    </row>
    <row r="257" spans="2:9">
      <c r="B257" s="7"/>
      <c r="C257" s="20"/>
      <c r="D257" s="21"/>
      <c r="E257" s="6"/>
      <c r="F257" s="22"/>
      <c r="G257" s="22"/>
      <c r="H257" s="22"/>
      <c r="I257" s="6"/>
    </row>
    <row r="258" spans="2:9">
      <c r="B258" s="7"/>
      <c r="C258" s="20"/>
      <c r="D258" s="21"/>
      <c r="E258" s="6"/>
      <c r="F258" s="22"/>
      <c r="G258" s="22"/>
      <c r="H258" s="22"/>
      <c r="I258" s="6"/>
    </row>
    <row r="259" spans="2:9">
      <c r="B259" s="7"/>
      <c r="C259" s="20"/>
      <c r="D259" s="21"/>
      <c r="E259" s="6"/>
      <c r="F259" s="22"/>
      <c r="G259" s="22"/>
      <c r="H259" s="22"/>
      <c r="I259" s="6"/>
    </row>
    <row r="260" spans="2:9">
      <c r="B260" s="7"/>
      <c r="C260" s="20"/>
      <c r="D260" s="21"/>
      <c r="E260" s="6"/>
      <c r="F260" s="22"/>
      <c r="G260" s="22"/>
      <c r="H260" s="22"/>
      <c r="I260" s="6"/>
    </row>
    <row r="261" spans="2:9">
      <c r="B261" s="7"/>
      <c r="C261" s="20"/>
      <c r="D261" s="21"/>
      <c r="E261" s="6"/>
      <c r="F261" s="22"/>
      <c r="G261" s="22"/>
      <c r="H261" s="22"/>
      <c r="I261" s="6"/>
    </row>
    <row r="262" spans="2:9">
      <c r="B262" s="7"/>
      <c r="C262" s="20"/>
      <c r="D262" s="21"/>
      <c r="E262" s="6"/>
      <c r="F262" s="22"/>
      <c r="G262" s="22"/>
      <c r="H262" s="22"/>
      <c r="I262" s="6"/>
    </row>
    <row r="263" spans="2:9">
      <c r="B263" s="7"/>
      <c r="C263" s="20"/>
      <c r="D263" s="21"/>
      <c r="E263" s="6"/>
      <c r="F263" s="22"/>
      <c r="G263" s="22"/>
      <c r="H263" s="22"/>
      <c r="I263" s="6"/>
    </row>
    <row r="264" spans="2:9">
      <c r="B264" s="7"/>
      <c r="C264" s="20"/>
      <c r="D264" s="21"/>
      <c r="E264" s="6"/>
      <c r="F264" s="22"/>
      <c r="G264" s="22"/>
      <c r="H264" s="22"/>
      <c r="I264" s="6"/>
    </row>
    <row r="265" spans="2:9">
      <c r="B265" s="7"/>
      <c r="C265" s="20"/>
      <c r="D265" s="21"/>
      <c r="E265" s="6"/>
      <c r="F265" s="22"/>
      <c r="G265" s="22"/>
      <c r="H265" s="22"/>
      <c r="I265" s="6"/>
    </row>
    <row r="266" spans="2:9">
      <c r="B266" s="7"/>
      <c r="C266" s="20"/>
      <c r="D266" s="21"/>
      <c r="E266" s="6"/>
      <c r="F266" s="22"/>
      <c r="G266" s="22"/>
      <c r="H266" s="22"/>
      <c r="I266" s="6"/>
    </row>
    <row r="267" spans="2:9">
      <c r="B267" s="7"/>
      <c r="C267" s="20"/>
      <c r="D267" s="21"/>
      <c r="E267" s="6"/>
      <c r="F267" s="22"/>
      <c r="G267" s="22"/>
      <c r="H267" s="22"/>
      <c r="I267" s="6"/>
    </row>
    <row r="268" spans="2:9">
      <c r="B268" s="7"/>
      <c r="C268" s="20"/>
      <c r="D268" s="21"/>
      <c r="E268" s="6"/>
      <c r="F268" s="22"/>
      <c r="G268" s="22"/>
      <c r="H268" s="22"/>
      <c r="I268" s="6"/>
    </row>
    <row r="269" spans="2:9">
      <c r="B269" s="7"/>
      <c r="C269" s="20"/>
      <c r="D269" s="21"/>
      <c r="E269" s="6"/>
      <c r="F269" s="22"/>
      <c r="G269" s="22"/>
      <c r="H269" s="22"/>
      <c r="I269" s="6"/>
    </row>
    <row r="270" spans="2:9">
      <c r="B270" s="7"/>
      <c r="C270" s="20"/>
      <c r="D270" s="21"/>
      <c r="E270" s="6"/>
      <c r="F270" s="22"/>
      <c r="G270" s="22"/>
      <c r="H270" s="22"/>
      <c r="I270" s="6"/>
    </row>
    <row r="271" spans="2:9">
      <c r="B271" s="7"/>
      <c r="C271" s="20"/>
      <c r="D271" s="21"/>
      <c r="E271" s="6"/>
      <c r="F271" s="22"/>
      <c r="G271" s="22"/>
      <c r="H271" s="22"/>
      <c r="I271" s="6"/>
    </row>
    <row r="272" spans="2:9">
      <c r="B272" s="7"/>
      <c r="C272" s="20"/>
      <c r="D272" s="21"/>
      <c r="E272" s="6"/>
      <c r="F272" s="22"/>
      <c r="G272" s="22"/>
      <c r="H272" s="22"/>
      <c r="I272" s="6"/>
    </row>
    <row r="273" spans="2:9">
      <c r="B273" s="7"/>
      <c r="C273" s="20"/>
      <c r="D273" s="21"/>
      <c r="E273" s="6"/>
      <c r="F273" s="22"/>
      <c r="G273" s="22"/>
      <c r="H273" s="22"/>
      <c r="I273" s="6"/>
    </row>
    <row r="274" spans="2:9">
      <c r="B274" s="7"/>
      <c r="C274" s="20"/>
      <c r="D274" s="21"/>
      <c r="E274" s="6"/>
      <c r="F274" s="22"/>
      <c r="G274" s="22"/>
      <c r="H274" s="22"/>
      <c r="I274" s="6"/>
    </row>
    <row r="275" spans="2:9">
      <c r="B275" s="7"/>
      <c r="C275" s="20"/>
      <c r="D275" s="21"/>
      <c r="E275" s="6"/>
      <c r="F275" s="22"/>
      <c r="G275" s="22"/>
      <c r="H275" s="22"/>
      <c r="I275" s="6"/>
    </row>
    <row r="276" spans="2:9">
      <c r="B276" s="7"/>
      <c r="C276" s="20"/>
      <c r="D276" s="21"/>
      <c r="E276" s="6"/>
      <c r="F276" s="22"/>
      <c r="G276" s="22"/>
      <c r="H276" s="22"/>
      <c r="I276" s="6"/>
    </row>
    <row r="277" spans="2:9">
      <c r="B277" s="7"/>
      <c r="C277" s="20"/>
      <c r="D277" s="21"/>
      <c r="E277" s="6"/>
      <c r="F277" s="22"/>
      <c r="G277" s="22"/>
      <c r="H277" s="22"/>
      <c r="I277" s="6"/>
    </row>
    <row r="278" spans="2:9">
      <c r="B278" s="7"/>
      <c r="C278" s="20"/>
      <c r="D278" s="21"/>
      <c r="E278" s="6"/>
      <c r="F278" s="22"/>
      <c r="G278" s="22"/>
      <c r="H278" s="22"/>
      <c r="I278" s="6"/>
    </row>
    <row r="279" spans="2:9">
      <c r="B279" s="7"/>
      <c r="C279" s="20"/>
      <c r="D279" s="21"/>
      <c r="E279" s="6"/>
      <c r="F279" s="22"/>
      <c r="G279" s="22"/>
      <c r="H279" s="22"/>
      <c r="I279" s="6"/>
    </row>
    <row r="280" spans="2:9">
      <c r="B280" s="7"/>
      <c r="C280" s="20"/>
      <c r="D280" s="21"/>
      <c r="E280" s="6"/>
      <c r="F280" s="22"/>
      <c r="G280" s="22"/>
      <c r="H280" s="22"/>
      <c r="I280" s="6"/>
    </row>
    <row r="281" spans="2:9">
      <c r="B281" s="7"/>
      <c r="C281" s="20"/>
      <c r="D281" s="21"/>
      <c r="E281" s="6"/>
      <c r="F281" s="22"/>
      <c r="G281" s="22"/>
      <c r="H281" s="22"/>
      <c r="I281" s="6"/>
    </row>
    <row r="282" spans="2:9">
      <c r="B282" s="7"/>
      <c r="C282" s="20"/>
      <c r="D282" s="21"/>
      <c r="E282" s="6"/>
      <c r="F282" s="22"/>
      <c r="G282" s="22"/>
      <c r="H282" s="22"/>
      <c r="I282" s="6"/>
    </row>
    <row r="283" spans="2:9">
      <c r="B283" s="7"/>
      <c r="C283" s="20"/>
      <c r="D283" s="21"/>
      <c r="E283" s="6"/>
      <c r="F283" s="22"/>
      <c r="G283" s="22"/>
      <c r="H283" s="22"/>
      <c r="I283" s="6"/>
    </row>
    <row r="284" spans="2:9">
      <c r="B284" s="7"/>
      <c r="C284" s="20"/>
      <c r="D284" s="21"/>
      <c r="E284" s="6"/>
      <c r="F284" s="22"/>
      <c r="G284" s="22"/>
      <c r="H284" s="22"/>
      <c r="I284" s="6"/>
    </row>
    <row r="285" spans="2:9">
      <c r="B285" s="7"/>
      <c r="C285" s="20"/>
      <c r="D285" s="21"/>
      <c r="E285" s="6"/>
      <c r="F285" s="22"/>
      <c r="G285" s="22"/>
      <c r="H285" s="22"/>
      <c r="I285" s="6"/>
    </row>
    <row r="286" spans="2:9">
      <c r="B286" s="7"/>
      <c r="C286" s="20"/>
      <c r="D286" s="21"/>
      <c r="E286" s="6"/>
      <c r="F286" s="22"/>
      <c r="G286" s="22"/>
      <c r="H286" s="22"/>
      <c r="I286" s="6"/>
    </row>
    <row r="287" spans="2:9">
      <c r="B287" s="7"/>
      <c r="C287" s="20"/>
      <c r="D287" s="21"/>
      <c r="E287" s="6"/>
      <c r="F287" s="22"/>
      <c r="G287" s="22"/>
      <c r="H287" s="22"/>
      <c r="I287" s="6"/>
    </row>
    <row r="288" spans="2:9">
      <c r="B288" s="7"/>
      <c r="C288" s="20"/>
      <c r="D288" s="21"/>
      <c r="E288" s="6"/>
      <c r="F288" s="22"/>
      <c r="G288" s="22"/>
      <c r="H288" s="22"/>
      <c r="I288" s="6"/>
    </row>
    <row r="289" spans="2:9">
      <c r="B289" s="7"/>
      <c r="C289" s="20"/>
      <c r="D289" s="21"/>
      <c r="E289" s="6"/>
      <c r="F289" s="22"/>
      <c r="G289" s="22"/>
      <c r="H289" s="22"/>
      <c r="I289" s="6"/>
    </row>
    <row r="290" spans="2:9">
      <c r="B290" s="7"/>
      <c r="C290" s="20"/>
      <c r="D290" s="21"/>
      <c r="E290" s="6"/>
      <c r="F290" s="22"/>
      <c r="G290" s="22"/>
      <c r="H290" s="22"/>
      <c r="I290" s="6"/>
    </row>
    <row r="291" spans="2:9">
      <c r="B291" s="7"/>
      <c r="C291" s="20"/>
      <c r="D291" s="21"/>
      <c r="E291" s="6"/>
      <c r="F291" s="22"/>
      <c r="G291" s="22"/>
      <c r="H291" s="22"/>
      <c r="I291" s="6"/>
    </row>
    <row r="292" spans="2:9">
      <c r="B292" s="7"/>
      <c r="C292" s="20"/>
      <c r="D292" s="21"/>
      <c r="E292" s="6"/>
      <c r="F292" s="22"/>
      <c r="G292" s="22"/>
      <c r="H292" s="22"/>
      <c r="I292" s="6"/>
    </row>
    <row r="293" spans="2:9">
      <c r="B293" s="7"/>
      <c r="C293" s="20"/>
      <c r="D293" s="21"/>
      <c r="E293" s="6"/>
      <c r="F293" s="22"/>
      <c r="G293" s="22"/>
      <c r="H293" s="22"/>
      <c r="I293" s="6"/>
    </row>
    <row r="294" spans="2:9">
      <c r="B294" s="7"/>
      <c r="C294" s="20"/>
      <c r="D294" s="21"/>
      <c r="E294" s="6"/>
      <c r="F294" s="22"/>
      <c r="G294" s="22"/>
      <c r="H294" s="22"/>
      <c r="I294" s="6"/>
    </row>
    <row r="295" spans="2:9">
      <c r="B295" s="7"/>
      <c r="C295" s="20"/>
      <c r="D295" s="21"/>
      <c r="E295" s="6"/>
      <c r="F295" s="22"/>
      <c r="G295" s="22"/>
      <c r="H295" s="22"/>
      <c r="I295" s="6"/>
    </row>
    <row r="296" spans="2:9">
      <c r="B296" s="7"/>
      <c r="C296" s="20"/>
      <c r="D296" s="21"/>
      <c r="E296" s="6"/>
      <c r="F296" s="22"/>
      <c r="G296" s="22"/>
      <c r="H296" s="22"/>
      <c r="I296" s="6"/>
    </row>
    <row r="297" spans="2:9">
      <c r="B297" s="7"/>
      <c r="C297" s="20"/>
      <c r="D297" s="21"/>
      <c r="E297" s="6"/>
      <c r="F297" s="22"/>
      <c r="G297" s="22"/>
      <c r="H297" s="22"/>
      <c r="I297" s="6"/>
    </row>
    <row r="298" spans="2:9">
      <c r="B298" s="7"/>
      <c r="C298" s="20"/>
      <c r="D298" s="21"/>
      <c r="E298" s="6"/>
      <c r="F298" s="22"/>
      <c r="G298" s="22"/>
      <c r="H298" s="22"/>
      <c r="I298" s="6"/>
    </row>
    <row r="299" spans="2:9">
      <c r="B299" s="7"/>
      <c r="C299" s="20"/>
      <c r="D299" s="21"/>
      <c r="E299" s="6"/>
      <c r="F299" s="22"/>
      <c r="G299" s="22"/>
      <c r="H299" s="22"/>
      <c r="I299" s="6"/>
    </row>
    <row r="300" spans="2:9">
      <c r="B300" s="7"/>
      <c r="C300" s="20"/>
      <c r="D300" s="21"/>
      <c r="E300" s="6"/>
      <c r="F300" s="22"/>
      <c r="G300" s="22"/>
      <c r="H300" s="22"/>
      <c r="I300" s="6"/>
    </row>
    <row r="301" spans="2:9">
      <c r="B301" s="7"/>
      <c r="C301" s="20"/>
      <c r="D301" s="21"/>
      <c r="E301" s="6"/>
      <c r="F301" s="22"/>
      <c r="G301" s="22"/>
      <c r="H301" s="22"/>
      <c r="I301" s="6"/>
    </row>
    <row r="302" spans="2:9">
      <c r="B302" s="7"/>
      <c r="C302" s="20"/>
      <c r="D302" s="21"/>
      <c r="E302" s="6"/>
      <c r="F302" s="22"/>
      <c r="G302" s="22"/>
      <c r="H302" s="22"/>
      <c r="I302" s="6"/>
    </row>
    <row r="303" spans="2:9">
      <c r="B303" s="7"/>
      <c r="C303" s="20"/>
      <c r="D303" s="21"/>
      <c r="E303" s="6"/>
      <c r="F303" s="22"/>
      <c r="G303" s="22"/>
      <c r="H303" s="22"/>
      <c r="I303" s="6"/>
    </row>
    <row r="304" spans="2:9">
      <c r="B304" s="7"/>
      <c r="C304" s="20"/>
      <c r="D304" s="21"/>
      <c r="E304" s="6"/>
      <c r="F304" s="22"/>
      <c r="G304" s="22"/>
      <c r="H304" s="22"/>
      <c r="I304" s="6"/>
    </row>
    <row r="305" spans="2:9">
      <c r="B305" s="7"/>
      <c r="C305" s="20"/>
      <c r="D305" s="21"/>
      <c r="E305" s="6"/>
      <c r="F305" s="22"/>
      <c r="G305" s="22"/>
      <c r="H305" s="22"/>
      <c r="I305" s="6"/>
    </row>
    <row r="306" spans="2:9">
      <c r="B306" s="7"/>
      <c r="C306" s="20"/>
      <c r="D306" s="21"/>
      <c r="E306" s="6"/>
      <c r="F306" s="22"/>
      <c r="G306" s="22"/>
      <c r="H306" s="22"/>
      <c r="I306" s="6"/>
    </row>
    <row r="307" spans="2:9">
      <c r="B307" s="7"/>
      <c r="C307" s="20"/>
      <c r="D307" s="21"/>
      <c r="E307" s="6"/>
      <c r="F307" s="22"/>
      <c r="G307" s="22"/>
      <c r="H307" s="22"/>
      <c r="I307" s="6"/>
    </row>
    <row r="308" spans="2:9">
      <c r="B308" s="7"/>
      <c r="C308" s="20"/>
      <c r="D308" s="21"/>
      <c r="E308" s="6"/>
      <c r="F308" s="22"/>
      <c r="G308" s="22"/>
      <c r="H308" s="22"/>
      <c r="I308" s="6"/>
    </row>
    <row r="309" spans="2:9">
      <c r="B309" s="7"/>
      <c r="C309" s="20"/>
      <c r="D309" s="21"/>
      <c r="E309" s="6"/>
      <c r="F309" s="22"/>
      <c r="G309" s="22"/>
      <c r="H309" s="22"/>
      <c r="I309" s="6"/>
    </row>
    <row r="310" spans="2:9">
      <c r="B310" s="7"/>
      <c r="C310" s="20"/>
      <c r="D310" s="21"/>
      <c r="E310" s="6"/>
      <c r="F310" s="22"/>
      <c r="G310" s="22"/>
      <c r="H310" s="22"/>
      <c r="I310" s="6"/>
    </row>
    <row r="311" spans="2:9">
      <c r="B311" s="7"/>
      <c r="C311" s="20"/>
      <c r="D311" s="21"/>
      <c r="E311" s="6"/>
      <c r="F311" s="22"/>
      <c r="G311" s="22"/>
      <c r="H311" s="22"/>
      <c r="I311" s="6"/>
    </row>
    <row r="312" spans="2:9">
      <c r="B312" s="7"/>
      <c r="C312" s="20"/>
      <c r="D312" s="21"/>
      <c r="E312" s="6"/>
      <c r="F312" s="22"/>
      <c r="G312" s="22"/>
      <c r="H312" s="22"/>
      <c r="I312" s="6"/>
    </row>
    <row r="313" spans="2:9">
      <c r="B313" s="7"/>
      <c r="C313" s="20"/>
      <c r="D313" s="21"/>
      <c r="E313" s="6"/>
      <c r="F313" s="22"/>
      <c r="G313" s="22"/>
      <c r="H313" s="22"/>
      <c r="I313" s="6"/>
    </row>
    <row r="314" spans="2:9">
      <c r="B314" s="7"/>
      <c r="C314" s="20"/>
      <c r="D314" s="21"/>
      <c r="E314" s="6"/>
      <c r="F314" s="22"/>
      <c r="G314" s="22"/>
      <c r="H314" s="22"/>
      <c r="I314" s="6"/>
    </row>
    <row r="315" spans="2:9">
      <c r="B315" s="7"/>
      <c r="C315" s="20"/>
      <c r="D315" s="21"/>
      <c r="E315" s="6"/>
      <c r="F315" s="22"/>
      <c r="G315" s="22"/>
      <c r="H315" s="22"/>
      <c r="I315" s="6"/>
    </row>
    <row r="316" spans="2:9">
      <c r="B316" s="7"/>
      <c r="C316" s="20"/>
      <c r="D316" s="21"/>
      <c r="E316" s="6"/>
      <c r="F316" s="22"/>
      <c r="G316" s="22"/>
      <c r="H316" s="22"/>
      <c r="I316" s="6"/>
    </row>
    <row r="317" spans="2:9">
      <c r="B317" s="7"/>
      <c r="C317" s="20"/>
      <c r="D317" s="21"/>
      <c r="E317" s="6"/>
      <c r="F317" s="22"/>
      <c r="G317" s="22"/>
      <c r="H317" s="22"/>
      <c r="I317" s="6"/>
    </row>
    <row r="318" spans="2:9">
      <c r="B318" s="7"/>
      <c r="C318" s="20"/>
      <c r="D318" s="21"/>
      <c r="E318" s="6"/>
      <c r="F318" s="22"/>
      <c r="G318" s="22"/>
      <c r="H318" s="22"/>
      <c r="I318" s="6"/>
    </row>
    <row r="319" spans="2:9">
      <c r="B319" s="7"/>
      <c r="C319" s="20"/>
      <c r="D319" s="21"/>
      <c r="E319" s="6"/>
      <c r="F319" s="22"/>
      <c r="G319" s="22"/>
      <c r="H319" s="22"/>
      <c r="I319" s="6"/>
    </row>
    <row r="320" spans="2:9">
      <c r="B320" s="7"/>
      <c r="C320" s="20"/>
      <c r="D320" s="21"/>
      <c r="E320" s="6"/>
      <c r="F320" s="22"/>
      <c r="G320" s="22"/>
      <c r="H320" s="22"/>
      <c r="I320" s="6"/>
    </row>
    <row r="321" spans="2:9">
      <c r="B321" s="7"/>
      <c r="C321" s="20"/>
      <c r="D321" s="21"/>
      <c r="E321" s="6"/>
      <c r="F321" s="22"/>
      <c r="G321" s="22"/>
      <c r="H321" s="22"/>
      <c r="I321" s="6"/>
    </row>
    <row r="322" spans="2:9">
      <c r="B322" s="7"/>
      <c r="C322" s="20"/>
      <c r="D322" s="21"/>
      <c r="E322" s="6"/>
      <c r="F322" s="22"/>
      <c r="G322" s="22"/>
      <c r="H322" s="22"/>
      <c r="I322" s="6"/>
    </row>
    <row r="323" spans="2:9">
      <c r="B323" s="7"/>
      <c r="C323" s="20"/>
      <c r="D323" s="21"/>
      <c r="E323" s="6"/>
      <c r="F323" s="22"/>
      <c r="G323" s="22"/>
      <c r="H323" s="22"/>
      <c r="I323" s="6"/>
    </row>
    <row r="324" spans="2:9">
      <c r="B324" s="7"/>
      <c r="C324" s="20"/>
      <c r="D324" s="21"/>
      <c r="E324" s="6"/>
      <c r="F324" s="22"/>
      <c r="G324" s="22"/>
      <c r="H324" s="22"/>
      <c r="I324" s="6"/>
    </row>
    <row r="325" spans="2:9">
      <c r="B325" s="7"/>
      <c r="C325" s="20"/>
      <c r="D325" s="21"/>
      <c r="E325" s="6"/>
      <c r="F325" s="22"/>
      <c r="G325" s="22"/>
      <c r="H325" s="22"/>
      <c r="I325" s="6"/>
    </row>
    <row r="326" spans="2:9">
      <c r="B326" s="7"/>
      <c r="C326" s="20"/>
      <c r="D326" s="21"/>
      <c r="E326" s="6"/>
      <c r="F326" s="22"/>
      <c r="G326" s="22"/>
      <c r="H326" s="22"/>
      <c r="I326" s="6"/>
    </row>
    <row r="327" spans="2:9">
      <c r="B327" s="7"/>
      <c r="C327" s="20"/>
      <c r="D327" s="21"/>
      <c r="E327" s="6"/>
      <c r="F327" s="22"/>
      <c r="G327" s="22"/>
      <c r="H327" s="22"/>
      <c r="I327" s="6"/>
    </row>
    <row r="328" spans="2:9">
      <c r="B328" s="7"/>
      <c r="C328" s="20"/>
      <c r="D328" s="21"/>
      <c r="E328" s="6"/>
      <c r="F328" s="22"/>
      <c r="G328" s="22"/>
      <c r="H328" s="22"/>
      <c r="I328" s="6"/>
    </row>
    <row r="329" spans="2:9">
      <c r="B329" s="7"/>
      <c r="C329" s="20"/>
      <c r="D329" s="21"/>
      <c r="E329" s="6"/>
      <c r="F329" s="22"/>
      <c r="G329" s="22"/>
      <c r="H329" s="22"/>
      <c r="I329" s="6"/>
    </row>
    <row r="330" spans="2:9">
      <c r="B330" s="7"/>
      <c r="C330" s="20"/>
      <c r="D330" s="21"/>
      <c r="E330" s="6"/>
      <c r="F330" s="22"/>
      <c r="G330" s="22"/>
      <c r="H330" s="22"/>
      <c r="I330" s="6"/>
    </row>
    <row r="331" spans="2:9">
      <c r="B331" s="7"/>
      <c r="C331" s="20"/>
      <c r="D331" s="21"/>
      <c r="E331" s="6"/>
      <c r="F331" s="22"/>
      <c r="G331" s="22"/>
      <c r="H331" s="22"/>
      <c r="I331" s="6"/>
    </row>
    <row r="332" spans="2:9">
      <c r="B332" s="7"/>
      <c r="C332" s="20"/>
      <c r="D332" s="21"/>
      <c r="E332" s="6"/>
      <c r="F332" s="22"/>
      <c r="G332" s="22"/>
      <c r="H332" s="22"/>
      <c r="I332" s="6"/>
    </row>
    <row r="333" spans="2:9">
      <c r="B333" s="7"/>
      <c r="C333" s="20"/>
      <c r="D333" s="21"/>
      <c r="E333" s="6"/>
      <c r="F333" s="22"/>
      <c r="G333" s="22"/>
      <c r="H333" s="22"/>
      <c r="I333" s="6"/>
    </row>
    <row r="334" spans="2:9">
      <c r="B334" s="7"/>
      <c r="C334" s="20"/>
      <c r="D334" s="21"/>
      <c r="E334" s="6"/>
      <c r="F334" s="22"/>
      <c r="G334" s="22"/>
      <c r="H334" s="22"/>
      <c r="I334" s="6"/>
    </row>
    <row r="335" spans="2:9">
      <c r="B335" s="7"/>
      <c r="C335" s="20"/>
      <c r="D335" s="21"/>
      <c r="E335" s="6"/>
      <c r="F335" s="22"/>
      <c r="G335" s="22"/>
      <c r="H335" s="22"/>
      <c r="I335" s="6"/>
    </row>
    <row r="336" spans="2:9">
      <c r="B336" s="7"/>
      <c r="C336" s="20"/>
      <c r="D336" s="21"/>
      <c r="E336" s="6"/>
      <c r="F336" s="22"/>
      <c r="G336" s="22"/>
      <c r="H336" s="22"/>
      <c r="I336" s="6"/>
    </row>
    <row r="337" spans="2:9">
      <c r="B337" s="7"/>
      <c r="C337" s="20"/>
      <c r="D337" s="21"/>
      <c r="E337" s="6"/>
      <c r="F337" s="22"/>
      <c r="G337" s="22"/>
      <c r="H337" s="22"/>
      <c r="I337" s="6"/>
    </row>
    <row r="338" spans="2:9">
      <c r="B338" s="7"/>
      <c r="C338" s="20"/>
      <c r="D338" s="21"/>
      <c r="E338" s="6"/>
      <c r="F338" s="22"/>
      <c r="G338" s="22"/>
      <c r="H338" s="22"/>
      <c r="I338" s="6"/>
    </row>
    <row r="339" spans="2:9">
      <c r="B339" s="7"/>
      <c r="C339" s="20"/>
      <c r="D339" s="21"/>
      <c r="E339" s="6"/>
      <c r="F339" s="22"/>
      <c r="G339" s="22"/>
      <c r="H339" s="22"/>
      <c r="I339" s="6"/>
    </row>
    <row r="340" spans="2:9">
      <c r="B340" s="7"/>
      <c r="C340" s="20"/>
      <c r="D340" s="21"/>
      <c r="E340" s="6"/>
      <c r="F340" s="22"/>
      <c r="G340" s="22"/>
      <c r="H340" s="22"/>
      <c r="I340" s="6"/>
    </row>
    <row r="341" spans="2:9">
      <c r="B341" s="7"/>
      <c r="C341" s="20"/>
      <c r="D341" s="21"/>
      <c r="E341" s="6"/>
      <c r="F341" s="22"/>
      <c r="G341" s="22"/>
      <c r="H341" s="22"/>
      <c r="I341" s="6"/>
    </row>
    <row r="342" spans="2:9">
      <c r="B342" s="7"/>
      <c r="C342" s="20"/>
      <c r="D342" s="21"/>
      <c r="E342" s="6"/>
      <c r="F342" s="22"/>
      <c r="G342" s="22"/>
      <c r="H342" s="22"/>
      <c r="I342" s="6"/>
    </row>
    <row r="343" spans="2:9">
      <c r="B343" s="7"/>
      <c r="C343" s="20"/>
      <c r="D343" s="21"/>
      <c r="E343" s="6"/>
      <c r="F343" s="22"/>
      <c r="G343" s="22"/>
      <c r="H343" s="22"/>
      <c r="I343" s="6"/>
    </row>
    <row r="344" spans="2:9">
      <c r="B344" s="7"/>
      <c r="C344" s="20"/>
      <c r="D344" s="21"/>
      <c r="E344" s="6"/>
      <c r="F344" s="22"/>
      <c r="G344" s="22"/>
      <c r="H344" s="22"/>
      <c r="I344" s="6"/>
    </row>
    <row r="345" spans="2:9">
      <c r="B345" s="7"/>
      <c r="C345" s="20"/>
      <c r="D345" s="21"/>
      <c r="E345" s="6"/>
      <c r="F345" s="22"/>
      <c r="G345" s="22"/>
      <c r="H345" s="22"/>
      <c r="I345" s="6"/>
    </row>
    <row r="346" spans="2:9">
      <c r="B346" s="7"/>
      <c r="C346" s="20"/>
      <c r="D346" s="21"/>
      <c r="E346" s="6"/>
      <c r="F346" s="22"/>
      <c r="G346" s="22"/>
      <c r="H346" s="22"/>
      <c r="I346" s="6"/>
    </row>
    <row r="347" spans="2:9">
      <c r="B347" s="7"/>
      <c r="C347" s="20"/>
      <c r="D347" s="21"/>
      <c r="E347" s="6"/>
      <c r="F347" s="22"/>
      <c r="G347" s="22"/>
      <c r="H347" s="22"/>
      <c r="I347" s="6"/>
    </row>
    <row r="348" spans="2:9">
      <c r="B348" s="7"/>
      <c r="C348" s="20"/>
      <c r="D348" s="21"/>
      <c r="E348" s="6"/>
      <c r="F348" s="22"/>
      <c r="G348" s="22"/>
      <c r="H348" s="22"/>
      <c r="I348" s="6"/>
    </row>
    <row r="349" spans="2:9">
      <c r="B349" s="7"/>
      <c r="C349" s="20"/>
      <c r="D349" s="21"/>
      <c r="E349" s="6"/>
      <c r="F349" s="22"/>
      <c r="G349" s="22"/>
      <c r="H349" s="22"/>
      <c r="I349" s="6"/>
    </row>
    <row r="350" spans="2:9">
      <c r="B350" s="7"/>
      <c r="C350" s="20"/>
      <c r="D350" s="21"/>
      <c r="E350" s="6"/>
      <c r="F350" s="22"/>
      <c r="G350" s="22"/>
      <c r="H350" s="22"/>
      <c r="I350" s="6"/>
    </row>
    <row r="351" spans="2:9">
      <c r="B351" s="7"/>
      <c r="C351" s="20"/>
      <c r="D351" s="21"/>
      <c r="E351" s="6"/>
      <c r="F351" s="22"/>
      <c r="G351" s="22"/>
      <c r="H351" s="22"/>
      <c r="I351" s="6"/>
    </row>
    <row r="352" spans="2:9">
      <c r="B352" s="7"/>
      <c r="C352" s="20"/>
      <c r="D352" s="21"/>
      <c r="E352" s="6"/>
      <c r="F352" s="22"/>
      <c r="G352" s="22"/>
      <c r="H352" s="22"/>
      <c r="I352" s="6"/>
    </row>
    <row r="353" spans="2:9">
      <c r="B353" s="7"/>
      <c r="C353" s="20"/>
      <c r="D353" s="21"/>
      <c r="E353" s="6"/>
      <c r="F353" s="22"/>
      <c r="G353" s="22"/>
      <c r="H353" s="22"/>
      <c r="I353" s="6"/>
    </row>
    <row r="354" spans="2:9">
      <c r="B354" s="7"/>
      <c r="C354" s="20"/>
      <c r="D354" s="21"/>
      <c r="E354" s="6"/>
      <c r="F354" s="22"/>
      <c r="G354" s="22"/>
      <c r="H354" s="22"/>
      <c r="I354" s="6"/>
    </row>
    <row r="355" spans="2:9">
      <c r="B355" s="7"/>
      <c r="C355" s="20"/>
      <c r="D355" s="21"/>
      <c r="E355" s="6"/>
      <c r="F355" s="22"/>
      <c r="G355" s="22"/>
      <c r="H355" s="22"/>
      <c r="I355" s="6"/>
    </row>
    <row r="356" spans="2:9">
      <c r="B356" s="7"/>
      <c r="C356" s="20"/>
      <c r="D356" s="21"/>
      <c r="E356" s="6"/>
      <c r="F356" s="22"/>
      <c r="G356" s="22"/>
      <c r="H356" s="22"/>
      <c r="I356" s="6"/>
    </row>
    <row r="357" spans="2:9">
      <c r="B357" s="7"/>
      <c r="C357" s="20"/>
      <c r="D357" s="21"/>
      <c r="E357" s="6"/>
      <c r="F357" s="22"/>
      <c r="G357" s="22"/>
      <c r="H357" s="22"/>
      <c r="I357" s="6"/>
    </row>
    <row r="358" spans="2:9">
      <c r="B358" s="7"/>
      <c r="C358" s="20"/>
      <c r="D358" s="21"/>
      <c r="E358" s="6"/>
      <c r="F358" s="22"/>
      <c r="G358" s="22"/>
      <c r="H358" s="22"/>
      <c r="I358" s="6"/>
    </row>
    <row r="359" spans="2:9">
      <c r="B359" s="7"/>
      <c r="C359" s="20"/>
      <c r="D359" s="21"/>
      <c r="E359" s="6"/>
      <c r="F359" s="22"/>
      <c r="G359" s="22"/>
      <c r="H359" s="22"/>
      <c r="I359" s="6"/>
    </row>
    <row r="360" spans="2:9">
      <c r="B360" s="7"/>
      <c r="C360" s="20"/>
      <c r="D360" s="21"/>
      <c r="E360" s="6"/>
      <c r="F360" s="22"/>
      <c r="G360" s="22"/>
      <c r="H360" s="22"/>
      <c r="I360" s="6"/>
    </row>
    <row r="361" spans="2:9">
      <c r="B361" s="7"/>
      <c r="C361" s="20"/>
      <c r="D361" s="21"/>
      <c r="E361" s="6"/>
      <c r="F361" s="22"/>
      <c r="G361" s="22"/>
      <c r="H361" s="22"/>
      <c r="I361" s="6"/>
    </row>
    <row r="362" spans="2:9">
      <c r="B362" s="7"/>
      <c r="C362" s="20"/>
      <c r="D362" s="21"/>
      <c r="E362" s="6"/>
      <c r="F362" s="22"/>
      <c r="G362" s="22"/>
      <c r="H362" s="22"/>
      <c r="I362" s="6"/>
    </row>
    <row r="363" spans="2:9">
      <c r="B363" s="7"/>
      <c r="C363" s="20"/>
      <c r="D363" s="21"/>
      <c r="E363" s="6"/>
      <c r="F363" s="22"/>
      <c r="G363" s="22"/>
      <c r="H363" s="22"/>
      <c r="I363" s="6"/>
    </row>
    <row r="364" spans="2:9">
      <c r="B364" s="7"/>
      <c r="C364" s="20"/>
      <c r="D364" s="21"/>
      <c r="E364" s="6"/>
      <c r="F364" s="22"/>
      <c r="G364" s="22"/>
      <c r="H364" s="22"/>
      <c r="I364" s="6"/>
    </row>
    <row r="365" spans="2:9">
      <c r="B365" s="7"/>
      <c r="C365" s="20"/>
      <c r="D365" s="21"/>
      <c r="E365" s="6"/>
      <c r="F365" s="22"/>
      <c r="G365" s="22"/>
      <c r="H365" s="22"/>
      <c r="I365" s="6"/>
    </row>
    <row r="366" spans="2:9">
      <c r="B366" s="7"/>
      <c r="C366" s="20"/>
      <c r="D366" s="21"/>
      <c r="E366" s="6"/>
      <c r="F366" s="22"/>
      <c r="G366" s="22"/>
      <c r="H366" s="22"/>
      <c r="I366" s="6"/>
    </row>
    <row r="367" spans="2:9">
      <c r="B367" s="7"/>
      <c r="C367" s="20"/>
      <c r="D367" s="21"/>
      <c r="E367" s="6"/>
      <c r="F367" s="22"/>
      <c r="G367" s="22"/>
      <c r="H367" s="22"/>
      <c r="I367" s="6"/>
    </row>
    <row r="368" spans="2:9">
      <c r="B368" s="7"/>
      <c r="C368" s="20"/>
      <c r="D368" s="21"/>
      <c r="E368" s="6"/>
      <c r="F368" s="22"/>
      <c r="G368" s="22"/>
      <c r="H368" s="22"/>
      <c r="I368" s="6"/>
    </row>
    <row r="369" spans="2:9">
      <c r="B369" s="7"/>
      <c r="C369" s="20"/>
      <c r="D369" s="21"/>
      <c r="E369" s="6"/>
      <c r="F369" s="22"/>
      <c r="G369" s="22"/>
      <c r="H369" s="22"/>
      <c r="I369" s="6"/>
    </row>
    <row r="370" spans="2:9">
      <c r="B370" s="7"/>
      <c r="C370" s="20"/>
      <c r="D370" s="21"/>
      <c r="E370" s="6"/>
      <c r="F370" s="22"/>
      <c r="G370" s="22"/>
      <c r="H370" s="22"/>
      <c r="I370" s="6"/>
    </row>
    <row r="371" spans="2:9">
      <c r="B371" s="7"/>
      <c r="C371" s="20"/>
      <c r="D371" s="21"/>
      <c r="E371" s="6"/>
      <c r="F371" s="22"/>
      <c r="G371" s="22"/>
      <c r="H371" s="22"/>
      <c r="I371" s="6"/>
    </row>
    <row r="372" spans="2:9">
      <c r="B372" s="7"/>
      <c r="C372" s="20"/>
      <c r="D372" s="21"/>
      <c r="E372" s="6"/>
      <c r="F372" s="22"/>
      <c r="G372" s="22"/>
      <c r="H372" s="22"/>
      <c r="I372" s="6"/>
    </row>
    <row r="373" spans="2:9">
      <c r="B373" s="7"/>
      <c r="C373" s="20"/>
      <c r="D373" s="21"/>
      <c r="E373" s="6"/>
      <c r="F373" s="22"/>
      <c r="G373" s="22"/>
      <c r="H373" s="22"/>
      <c r="I373" s="6"/>
    </row>
    <row r="374" spans="2:9">
      <c r="B374" s="7"/>
      <c r="C374" s="20"/>
      <c r="D374" s="21"/>
      <c r="E374" s="6"/>
      <c r="F374" s="22"/>
      <c r="G374" s="22"/>
      <c r="H374" s="22"/>
      <c r="I374" s="6"/>
    </row>
    <row r="375" spans="2:9">
      <c r="B375" s="7"/>
      <c r="C375" s="20"/>
      <c r="D375" s="21"/>
      <c r="E375" s="6"/>
      <c r="F375" s="22"/>
      <c r="G375" s="22"/>
      <c r="H375" s="22"/>
      <c r="I375" s="6"/>
    </row>
    <row r="376" spans="2:9">
      <c r="B376" s="7"/>
      <c r="C376" s="20"/>
      <c r="D376" s="21"/>
      <c r="E376" s="6"/>
      <c r="F376" s="22"/>
      <c r="G376" s="22"/>
      <c r="H376" s="22"/>
      <c r="I376" s="6"/>
    </row>
    <row r="377" spans="2:9">
      <c r="B377" s="7"/>
      <c r="C377" s="20"/>
      <c r="D377" s="21"/>
      <c r="E377" s="6"/>
      <c r="F377" s="22"/>
      <c r="G377" s="22"/>
      <c r="H377" s="22"/>
      <c r="I377" s="6"/>
    </row>
    <row r="378" spans="2:9">
      <c r="B378" s="7"/>
      <c r="C378" s="20"/>
      <c r="D378" s="21"/>
      <c r="E378" s="6"/>
      <c r="F378" s="22"/>
      <c r="G378" s="22"/>
      <c r="H378" s="22"/>
      <c r="I378" s="6"/>
    </row>
    <row r="379" spans="2:9">
      <c r="B379" s="7"/>
      <c r="C379" s="20"/>
      <c r="D379" s="21"/>
      <c r="E379" s="6"/>
      <c r="F379" s="22"/>
      <c r="G379" s="22"/>
      <c r="H379" s="22"/>
      <c r="I379" s="6"/>
    </row>
    <row r="380" spans="2:9">
      <c r="B380" s="7"/>
      <c r="C380" s="20"/>
      <c r="D380" s="21"/>
      <c r="E380" s="6"/>
      <c r="F380" s="22"/>
      <c r="G380" s="22"/>
      <c r="H380" s="22"/>
      <c r="I380" s="6"/>
    </row>
    <row r="381" spans="2:9">
      <c r="B381" s="7"/>
      <c r="C381" s="20"/>
      <c r="D381" s="21"/>
      <c r="E381" s="6"/>
      <c r="F381" s="22"/>
      <c r="G381" s="22"/>
      <c r="H381" s="22"/>
      <c r="I381" s="6"/>
    </row>
    <row r="382" spans="2:9">
      <c r="B382" s="7"/>
      <c r="C382" s="20"/>
      <c r="D382" s="21"/>
      <c r="E382" s="6"/>
      <c r="F382" s="22"/>
      <c r="G382" s="22"/>
      <c r="H382" s="22"/>
      <c r="I382" s="6"/>
    </row>
    <row r="383" spans="2:9">
      <c r="B383" s="7"/>
      <c r="C383" s="20"/>
      <c r="D383" s="21"/>
      <c r="E383" s="6"/>
      <c r="F383" s="22"/>
      <c r="G383" s="22"/>
      <c r="H383" s="22"/>
      <c r="I383" s="6"/>
    </row>
    <row r="384" spans="2:9">
      <c r="B384" s="7"/>
      <c r="C384" s="20"/>
      <c r="D384" s="21"/>
      <c r="E384" s="6"/>
      <c r="F384" s="22"/>
      <c r="G384" s="22"/>
      <c r="H384" s="22"/>
      <c r="I384" s="6"/>
    </row>
    <row r="385" spans="2:9">
      <c r="B385" s="7"/>
      <c r="C385" s="20"/>
      <c r="D385" s="21"/>
      <c r="E385" s="6"/>
      <c r="F385" s="22"/>
      <c r="G385" s="22"/>
      <c r="H385" s="22"/>
      <c r="I385" s="6"/>
    </row>
    <row r="386" spans="2:9">
      <c r="B386" s="7"/>
      <c r="C386" s="20"/>
      <c r="D386" s="21"/>
      <c r="E386" s="6"/>
      <c r="F386" s="22"/>
      <c r="G386" s="22"/>
      <c r="H386" s="22"/>
      <c r="I386" s="6"/>
    </row>
    <row r="387" spans="2:9">
      <c r="B387" s="7"/>
      <c r="C387" s="20"/>
      <c r="D387" s="21"/>
      <c r="E387" s="6"/>
      <c r="F387" s="22"/>
      <c r="G387" s="22"/>
      <c r="H387" s="22"/>
      <c r="I387" s="6"/>
    </row>
    <row r="388" spans="2:9">
      <c r="B388" s="7"/>
      <c r="C388" s="20"/>
      <c r="D388" s="21"/>
      <c r="E388" s="6"/>
      <c r="F388" s="22"/>
      <c r="G388" s="22"/>
      <c r="H388" s="22"/>
      <c r="I388" s="6"/>
    </row>
    <row r="389" spans="2:9">
      <c r="B389" s="7"/>
      <c r="C389" s="20"/>
      <c r="D389" s="21"/>
      <c r="E389" s="6"/>
      <c r="F389" s="22"/>
      <c r="G389" s="22"/>
      <c r="H389" s="22"/>
      <c r="I389" s="6"/>
    </row>
    <row r="390" spans="2:9">
      <c r="B390" s="7"/>
      <c r="C390" s="20"/>
      <c r="D390" s="21"/>
      <c r="E390" s="6"/>
      <c r="F390" s="22"/>
      <c r="G390" s="22"/>
      <c r="H390" s="22"/>
      <c r="I390" s="6"/>
    </row>
    <row r="391" spans="2:9">
      <c r="B391" s="7"/>
      <c r="C391" s="20"/>
      <c r="D391" s="21"/>
      <c r="E391" s="6"/>
      <c r="F391" s="22"/>
      <c r="G391" s="22"/>
      <c r="H391" s="22"/>
      <c r="I391" s="6"/>
    </row>
    <row r="392" spans="2:9">
      <c r="B392" s="7"/>
      <c r="C392" s="20"/>
      <c r="D392" s="21"/>
      <c r="E392" s="6"/>
      <c r="F392" s="22"/>
      <c r="G392" s="22"/>
      <c r="H392" s="22"/>
      <c r="I392" s="6"/>
    </row>
    <row r="393" spans="2:9">
      <c r="B393" s="7"/>
      <c r="C393" s="20"/>
      <c r="D393" s="21"/>
      <c r="E393" s="6"/>
      <c r="F393" s="22"/>
      <c r="G393" s="22"/>
      <c r="H393" s="22"/>
      <c r="I393" s="6"/>
    </row>
    <row r="394" spans="2:9">
      <c r="B394" s="7"/>
      <c r="C394" s="20"/>
      <c r="D394" s="21"/>
      <c r="E394" s="6"/>
      <c r="F394" s="22"/>
      <c r="G394" s="22"/>
      <c r="H394" s="22"/>
      <c r="I394" s="6"/>
    </row>
    <row r="395" spans="2:9">
      <c r="B395" s="7"/>
      <c r="C395" s="20"/>
      <c r="D395" s="21"/>
      <c r="E395" s="6"/>
      <c r="F395" s="22"/>
      <c r="G395" s="22"/>
      <c r="H395" s="22"/>
      <c r="I395" s="6"/>
    </row>
    <row r="396" spans="2:9">
      <c r="B396" s="7"/>
      <c r="C396" s="20"/>
      <c r="D396" s="21"/>
      <c r="E396" s="6"/>
      <c r="F396" s="22"/>
      <c r="G396" s="22"/>
      <c r="H396" s="22"/>
      <c r="I396" s="6"/>
    </row>
    <row r="397" spans="2:9">
      <c r="B397" s="7"/>
      <c r="C397" s="20"/>
      <c r="D397" s="21"/>
      <c r="E397" s="6"/>
      <c r="F397" s="22"/>
      <c r="G397" s="22"/>
      <c r="H397" s="22"/>
      <c r="I397" s="6"/>
    </row>
    <row r="398" spans="2:9">
      <c r="B398" s="7"/>
      <c r="C398" s="20"/>
      <c r="D398" s="21"/>
      <c r="E398" s="6"/>
      <c r="F398" s="22"/>
      <c r="G398" s="22"/>
      <c r="H398" s="22"/>
      <c r="I398" s="6"/>
    </row>
    <row r="399" spans="2:9">
      <c r="B399" s="7"/>
      <c r="C399" s="20"/>
      <c r="D399" s="21"/>
      <c r="E399" s="6"/>
      <c r="F399" s="22"/>
      <c r="G399" s="22"/>
      <c r="H399" s="22"/>
      <c r="I399" s="6"/>
    </row>
    <row r="400" spans="2:9">
      <c r="B400" s="7"/>
      <c r="C400" s="20"/>
      <c r="D400" s="21"/>
      <c r="E400" s="6"/>
      <c r="F400" s="22"/>
      <c r="G400" s="22"/>
      <c r="H400" s="22"/>
      <c r="I400" s="6"/>
    </row>
    <row r="401" spans="2:9">
      <c r="B401" s="7"/>
      <c r="C401" s="20"/>
      <c r="D401" s="21"/>
      <c r="E401" s="6"/>
      <c r="F401" s="22"/>
      <c r="G401" s="22"/>
      <c r="H401" s="22"/>
      <c r="I401" s="6"/>
    </row>
    <row r="402" spans="2:9">
      <c r="B402" s="7"/>
      <c r="C402" s="20"/>
      <c r="D402" s="21"/>
      <c r="E402" s="6"/>
      <c r="F402" s="22"/>
      <c r="G402" s="22"/>
      <c r="H402" s="22"/>
      <c r="I402" s="6"/>
    </row>
    <row r="403" spans="2:9">
      <c r="B403" s="7"/>
      <c r="C403" s="20"/>
      <c r="D403" s="21"/>
      <c r="E403" s="6"/>
      <c r="F403" s="22"/>
      <c r="G403" s="22"/>
      <c r="H403" s="22"/>
      <c r="I403" s="6"/>
    </row>
    <row r="404" spans="2:9">
      <c r="B404" s="7"/>
      <c r="C404" s="20"/>
      <c r="D404" s="21"/>
      <c r="E404" s="6"/>
      <c r="F404" s="22"/>
      <c r="G404" s="22"/>
      <c r="H404" s="22"/>
      <c r="I404" s="6"/>
    </row>
    <row r="405" spans="2:9">
      <c r="B405" s="7"/>
      <c r="C405" s="20"/>
      <c r="D405" s="21"/>
      <c r="E405" s="6"/>
      <c r="F405" s="22"/>
      <c r="G405" s="22"/>
      <c r="H405" s="22"/>
      <c r="I405" s="6"/>
    </row>
    <row r="406" spans="2:9">
      <c r="B406" s="7"/>
      <c r="C406" s="20"/>
      <c r="D406" s="21"/>
      <c r="E406" s="6"/>
      <c r="F406" s="22"/>
      <c r="G406" s="22"/>
      <c r="H406" s="22"/>
      <c r="I406" s="6"/>
    </row>
    <row r="407" spans="2:9">
      <c r="B407" s="7"/>
      <c r="C407" s="20"/>
      <c r="D407" s="21"/>
      <c r="E407" s="6"/>
      <c r="F407" s="22"/>
      <c r="G407" s="22"/>
      <c r="H407" s="22"/>
      <c r="I407" s="6"/>
    </row>
    <row r="408" spans="2:9">
      <c r="B408" s="7"/>
      <c r="C408" s="20"/>
      <c r="D408" s="21"/>
      <c r="E408" s="6"/>
      <c r="F408" s="22"/>
      <c r="G408" s="22"/>
      <c r="H408" s="22"/>
      <c r="I408" s="6"/>
    </row>
    <row r="409" spans="2:9">
      <c r="B409" s="7"/>
      <c r="C409" s="20"/>
      <c r="D409" s="21"/>
      <c r="E409" s="6"/>
      <c r="F409" s="22"/>
      <c r="G409" s="22"/>
      <c r="H409" s="22"/>
      <c r="I409" s="6"/>
    </row>
    <row r="410" spans="2:9">
      <c r="B410" s="7"/>
      <c r="C410" s="20"/>
      <c r="D410" s="21"/>
      <c r="E410" s="6"/>
      <c r="F410" s="22"/>
      <c r="G410" s="22"/>
      <c r="H410" s="22"/>
      <c r="I410" s="6"/>
    </row>
    <row r="411" spans="2:9">
      <c r="B411" s="7"/>
      <c r="C411" s="20"/>
      <c r="D411" s="21"/>
      <c r="E411" s="6"/>
      <c r="F411" s="22"/>
      <c r="G411" s="22"/>
      <c r="H411" s="22"/>
      <c r="I411" s="6"/>
    </row>
    <row r="412" spans="2:9">
      <c r="B412" s="7"/>
      <c r="C412" s="20"/>
      <c r="D412" s="21"/>
      <c r="E412" s="6"/>
      <c r="F412" s="22"/>
      <c r="G412" s="22"/>
      <c r="H412" s="22"/>
      <c r="I412" s="6"/>
    </row>
    <row r="413" spans="2:9">
      <c r="B413" s="7"/>
      <c r="C413" s="20"/>
      <c r="D413" s="21"/>
      <c r="E413" s="6"/>
      <c r="F413" s="22"/>
      <c r="G413" s="22"/>
      <c r="H413" s="22"/>
      <c r="I413" s="6"/>
    </row>
    <row r="414" spans="2:9">
      <c r="B414" s="7"/>
      <c r="C414" s="20"/>
      <c r="D414" s="21"/>
      <c r="E414" s="6"/>
      <c r="F414" s="22"/>
      <c r="G414" s="22"/>
      <c r="H414" s="22"/>
      <c r="I414" s="6"/>
    </row>
    <row r="415" spans="2:9">
      <c r="B415" s="7"/>
      <c r="C415" s="20"/>
      <c r="D415" s="21"/>
      <c r="E415" s="6"/>
      <c r="F415" s="22"/>
      <c r="G415" s="22"/>
      <c r="H415" s="22"/>
      <c r="I415" s="6"/>
    </row>
    <row r="416" spans="2:9">
      <c r="B416" s="7"/>
      <c r="C416" s="20"/>
      <c r="D416" s="21"/>
      <c r="E416" s="6"/>
      <c r="F416" s="22"/>
      <c r="G416" s="22"/>
      <c r="H416" s="22"/>
      <c r="I416" s="6"/>
    </row>
    <row r="417" spans="2:9">
      <c r="B417" s="7"/>
      <c r="C417" s="20"/>
      <c r="D417" s="21"/>
      <c r="E417" s="6"/>
      <c r="F417" s="22"/>
      <c r="G417" s="22"/>
      <c r="H417" s="22"/>
      <c r="I417" s="6"/>
    </row>
    <row r="418" spans="2:9">
      <c r="B418" s="7"/>
      <c r="C418" s="20"/>
      <c r="D418" s="21"/>
      <c r="E418" s="6"/>
      <c r="F418" s="22"/>
      <c r="G418" s="22"/>
      <c r="H418" s="22"/>
      <c r="I418" s="6"/>
    </row>
    <row r="419" spans="2:9">
      <c r="B419" s="7"/>
      <c r="C419" s="20"/>
      <c r="D419" s="21"/>
      <c r="E419" s="6"/>
      <c r="F419" s="22"/>
      <c r="G419" s="22"/>
      <c r="H419" s="22"/>
      <c r="I419" s="6"/>
    </row>
    <row r="420" spans="2:9">
      <c r="B420" s="7"/>
      <c r="C420" s="20"/>
      <c r="D420" s="21"/>
      <c r="E420" s="6"/>
      <c r="F420" s="22"/>
      <c r="G420" s="22"/>
      <c r="H420" s="22"/>
      <c r="I420" s="6"/>
    </row>
    <row r="421" spans="2:9">
      <c r="B421" s="7"/>
      <c r="C421" s="20"/>
      <c r="D421" s="21"/>
      <c r="E421" s="6"/>
      <c r="F421" s="22"/>
      <c r="G421" s="22"/>
      <c r="H421" s="22"/>
      <c r="I421" s="6"/>
    </row>
    <row r="422" spans="2:9">
      <c r="B422" s="7"/>
      <c r="C422" s="20"/>
      <c r="D422" s="21"/>
      <c r="E422" s="6"/>
      <c r="F422" s="22"/>
      <c r="G422" s="22"/>
      <c r="H422" s="22"/>
      <c r="I422" s="6"/>
    </row>
    <row r="423" spans="2:9">
      <c r="B423" s="7"/>
      <c r="C423" s="20"/>
      <c r="D423" s="21"/>
      <c r="E423" s="6"/>
      <c r="F423" s="22"/>
      <c r="G423" s="22"/>
      <c r="H423" s="22"/>
      <c r="I423" s="6"/>
    </row>
    <row r="424" spans="2:9">
      <c r="B424" s="7"/>
      <c r="C424" s="20"/>
      <c r="D424" s="21"/>
      <c r="E424" s="6"/>
      <c r="F424" s="22"/>
      <c r="G424" s="22"/>
      <c r="H424" s="22"/>
      <c r="I424" s="6"/>
    </row>
    <row r="425" spans="2:9">
      <c r="B425" s="7"/>
      <c r="C425" s="20"/>
      <c r="D425" s="21"/>
      <c r="E425" s="6"/>
      <c r="F425" s="22"/>
      <c r="G425" s="22"/>
      <c r="H425" s="22"/>
      <c r="I425" s="6"/>
    </row>
    <row r="426" spans="2:9">
      <c r="B426" s="7"/>
      <c r="C426" s="20"/>
      <c r="D426" s="21"/>
      <c r="E426" s="6"/>
      <c r="F426" s="22"/>
      <c r="G426" s="22"/>
      <c r="H426" s="22"/>
      <c r="I426" s="6"/>
    </row>
    <row r="427" spans="2:9">
      <c r="B427" s="7"/>
      <c r="C427" s="20"/>
      <c r="D427" s="21"/>
      <c r="E427" s="6"/>
      <c r="F427" s="22"/>
      <c r="G427" s="22"/>
      <c r="H427" s="22"/>
      <c r="I427" s="6"/>
    </row>
    <row r="428" spans="2:9">
      <c r="B428" s="7"/>
      <c r="C428" s="20"/>
      <c r="D428" s="21"/>
      <c r="E428" s="6"/>
      <c r="F428" s="22"/>
      <c r="G428" s="22"/>
      <c r="H428" s="22"/>
      <c r="I428" s="6"/>
    </row>
    <row r="429" spans="2:9">
      <c r="B429" s="7"/>
      <c r="C429" s="20"/>
      <c r="D429" s="21"/>
      <c r="E429" s="6"/>
      <c r="F429" s="22"/>
      <c r="G429" s="22"/>
      <c r="H429" s="22"/>
      <c r="I429" s="6"/>
    </row>
    <row r="430" spans="2:9">
      <c r="B430" s="7"/>
      <c r="C430" s="20"/>
      <c r="D430" s="21"/>
      <c r="E430" s="6"/>
      <c r="F430" s="22"/>
      <c r="G430" s="22"/>
      <c r="H430" s="22"/>
      <c r="I430" s="6"/>
    </row>
    <row r="431" spans="2:9">
      <c r="B431" s="7"/>
      <c r="C431" s="20"/>
      <c r="D431" s="21"/>
      <c r="E431" s="6"/>
      <c r="F431" s="22"/>
      <c r="G431" s="22"/>
      <c r="H431" s="22"/>
      <c r="I431" s="6"/>
    </row>
    <row r="432" spans="2:9">
      <c r="B432" s="7"/>
      <c r="C432" s="20"/>
      <c r="D432" s="21"/>
      <c r="E432" s="6"/>
      <c r="F432" s="22"/>
      <c r="G432" s="22"/>
      <c r="H432" s="22"/>
      <c r="I432" s="6"/>
    </row>
    <row r="433" spans="2:9">
      <c r="B433" s="7"/>
      <c r="C433" s="20"/>
      <c r="D433" s="21"/>
      <c r="E433" s="6"/>
      <c r="F433" s="22"/>
      <c r="G433" s="22"/>
      <c r="H433" s="22"/>
      <c r="I433" s="6"/>
    </row>
    <row r="434" spans="2:9">
      <c r="B434" s="7"/>
      <c r="C434" s="20"/>
      <c r="D434" s="21"/>
      <c r="E434" s="6"/>
      <c r="F434" s="22"/>
      <c r="G434" s="22"/>
      <c r="H434" s="22"/>
      <c r="I434" s="6"/>
    </row>
    <row r="435" spans="2:9">
      <c r="B435" s="7"/>
      <c r="C435" s="20"/>
      <c r="D435" s="21"/>
      <c r="E435" s="6"/>
      <c r="F435" s="22"/>
      <c r="G435" s="22"/>
      <c r="H435" s="22"/>
      <c r="I435" s="6"/>
    </row>
    <row r="436" spans="2:9">
      <c r="B436" s="7"/>
      <c r="C436" s="20"/>
      <c r="D436" s="21"/>
      <c r="E436" s="6"/>
      <c r="F436" s="22"/>
      <c r="G436" s="22"/>
      <c r="H436" s="22"/>
      <c r="I436" s="6"/>
    </row>
    <row r="437" spans="2:9">
      <c r="B437" s="7"/>
      <c r="C437" s="20"/>
      <c r="D437" s="21"/>
      <c r="E437" s="6"/>
      <c r="F437" s="22"/>
      <c r="G437" s="22"/>
      <c r="H437" s="22"/>
      <c r="I437" s="6"/>
    </row>
    <row r="438" spans="2:9">
      <c r="B438" s="7"/>
      <c r="C438" s="20"/>
      <c r="D438" s="21"/>
      <c r="E438" s="6"/>
      <c r="F438" s="22"/>
      <c r="G438" s="22"/>
      <c r="H438" s="22"/>
      <c r="I438" s="6"/>
    </row>
    <row r="439" spans="2:9">
      <c r="B439" s="7"/>
      <c r="C439" s="20"/>
      <c r="D439" s="21"/>
      <c r="E439" s="6"/>
      <c r="F439" s="22"/>
      <c r="G439" s="22"/>
      <c r="H439" s="22"/>
      <c r="I439" s="6"/>
    </row>
    <row r="440" spans="2:9">
      <c r="B440" s="7"/>
      <c r="C440" s="20"/>
      <c r="D440" s="21"/>
      <c r="E440" s="6"/>
      <c r="F440" s="22"/>
      <c r="G440" s="22"/>
      <c r="H440" s="22"/>
      <c r="I440" s="6"/>
    </row>
    <row r="441" spans="2:9">
      <c r="B441" s="7"/>
      <c r="C441" s="20"/>
      <c r="D441" s="21"/>
      <c r="E441" s="6"/>
      <c r="F441" s="22"/>
      <c r="G441" s="22"/>
      <c r="H441" s="22"/>
      <c r="I441" s="6"/>
    </row>
    <row r="442" spans="2:9">
      <c r="B442" s="7"/>
      <c r="C442" s="20"/>
      <c r="D442" s="21"/>
      <c r="E442" s="6"/>
      <c r="F442" s="22"/>
      <c r="G442" s="22"/>
      <c r="H442" s="22"/>
      <c r="I442" s="6"/>
    </row>
    <row r="443" spans="2:9">
      <c r="B443" s="7"/>
      <c r="C443" s="20"/>
      <c r="D443" s="21"/>
      <c r="E443" s="6"/>
      <c r="F443" s="22"/>
      <c r="G443" s="22"/>
      <c r="H443" s="22"/>
      <c r="I443" s="6"/>
    </row>
    <row r="444" spans="2:9">
      <c r="B444" s="7"/>
      <c r="C444" s="20"/>
      <c r="D444" s="21"/>
      <c r="E444" s="6"/>
      <c r="F444" s="22"/>
      <c r="G444" s="22"/>
      <c r="H444" s="22"/>
      <c r="I444" s="6"/>
    </row>
    <row r="445" spans="2:9">
      <c r="B445" s="7"/>
      <c r="C445" s="20"/>
      <c r="D445" s="21"/>
      <c r="E445" s="6"/>
      <c r="F445" s="22"/>
      <c r="G445" s="22"/>
      <c r="H445" s="22"/>
      <c r="I445" s="6"/>
    </row>
    <row r="446" spans="2:9">
      <c r="B446" s="7"/>
      <c r="C446" s="20"/>
      <c r="D446" s="21"/>
      <c r="E446" s="6"/>
      <c r="F446" s="22"/>
      <c r="G446" s="22"/>
      <c r="H446" s="22"/>
      <c r="I446" s="6"/>
    </row>
    <row r="447" spans="2:9">
      <c r="B447" s="7"/>
      <c r="C447" s="20"/>
      <c r="D447" s="21"/>
      <c r="E447" s="6"/>
      <c r="F447" s="22"/>
      <c r="G447" s="22"/>
      <c r="H447" s="22"/>
      <c r="I447" s="6"/>
    </row>
    <row r="448" spans="2:9">
      <c r="B448" s="7"/>
      <c r="C448" s="20"/>
      <c r="D448" s="21"/>
      <c r="E448" s="6"/>
      <c r="F448" s="22"/>
      <c r="G448" s="22"/>
      <c r="H448" s="22"/>
      <c r="I448" s="6"/>
    </row>
    <row r="449" spans="2:9">
      <c r="B449" s="7"/>
      <c r="C449" s="20"/>
      <c r="D449" s="21"/>
      <c r="E449" s="6"/>
      <c r="F449" s="22"/>
      <c r="G449" s="22"/>
      <c r="H449" s="22"/>
      <c r="I449" s="6"/>
    </row>
    <row r="450" spans="2:9">
      <c r="B450" s="7"/>
      <c r="C450" s="20"/>
      <c r="D450" s="21"/>
      <c r="E450" s="6"/>
      <c r="F450" s="22"/>
      <c r="G450" s="22"/>
      <c r="H450" s="22"/>
      <c r="I450" s="6"/>
    </row>
    <row r="451" spans="2:9">
      <c r="B451" s="7"/>
      <c r="C451" s="20"/>
      <c r="D451" s="21"/>
      <c r="E451" s="6"/>
      <c r="F451" s="22"/>
      <c r="G451" s="22"/>
      <c r="H451" s="22"/>
      <c r="I451" s="6"/>
    </row>
    <row r="452" spans="2:9">
      <c r="B452" s="7"/>
      <c r="C452" s="20"/>
      <c r="D452" s="21"/>
      <c r="E452" s="6"/>
      <c r="F452" s="22"/>
      <c r="G452" s="22"/>
      <c r="H452" s="22"/>
      <c r="I452" s="6"/>
    </row>
    <row r="453" spans="2:9">
      <c r="B453" s="7"/>
      <c r="C453" s="20"/>
      <c r="D453" s="21"/>
      <c r="E453" s="6"/>
      <c r="F453" s="22"/>
      <c r="G453" s="22"/>
      <c r="H453" s="22"/>
      <c r="I453" s="6"/>
    </row>
    <row r="454" spans="2:9">
      <c r="B454" s="7"/>
      <c r="C454" s="20"/>
      <c r="D454" s="21"/>
      <c r="E454" s="6"/>
      <c r="F454" s="22"/>
      <c r="G454" s="22"/>
      <c r="H454" s="22"/>
      <c r="I454" s="6"/>
    </row>
    <row r="455" spans="2:9">
      <c r="B455" s="7"/>
      <c r="C455" s="20"/>
      <c r="D455" s="21"/>
      <c r="E455" s="6"/>
      <c r="F455" s="22"/>
      <c r="G455" s="22"/>
      <c r="H455" s="22"/>
      <c r="I455" s="6"/>
    </row>
    <row r="456" spans="2:9">
      <c r="B456" s="7"/>
      <c r="C456" s="20"/>
      <c r="D456" s="21"/>
      <c r="E456" s="6"/>
      <c r="F456" s="22"/>
      <c r="G456" s="22"/>
      <c r="H456" s="22"/>
      <c r="I456" s="6"/>
    </row>
    <row r="457" spans="2:9">
      <c r="B457" s="7"/>
      <c r="C457" s="20"/>
      <c r="D457" s="21"/>
      <c r="E457" s="6"/>
      <c r="F457" s="22"/>
      <c r="G457" s="22"/>
      <c r="H457" s="22"/>
      <c r="I457" s="6"/>
    </row>
    <row r="458" spans="2:9">
      <c r="B458" s="7"/>
      <c r="C458" s="20"/>
      <c r="D458" s="21"/>
      <c r="E458" s="6"/>
      <c r="F458" s="22"/>
      <c r="G458" s="22"/>
      <c r="H458" s="22"/>
      <c r="I458" s="6"/>
    </row>
    <row r="459" spans="2:9">
      <c r="B459" s="7"/>
      <c r="C459" s="20"/>
      <c r="D459" s="21"/>
      <c r="E459" s="6"/>
      <c r="F459" s="22"/>
      <c r="G459" s="22"/>
      <c r="H459" s="22"/>
      <c r="I459" s="6"/>
    </row>
    <row r="460" spans="2:9">
      <c r="B460" s="7"/>
      <c r="C460" s="20"/>
      <c r="D460" s="21"/>
      <c r="E460" s="6"/>
      <c r="F460" s="22"/>
      <c r="G460" s="22"/>
      <c r="H460" s="22"/>
      <c r="I460" s="6"/>
    </row>
    <row r="461" spans="2:9">
      <c r="B461" s="7"/>
      <c r="C461" s="20"/>
      <c r="D461" s="21"/>
      <c r="E461" s="6"/>
      <c r="F461" s="22"/>
      <c r="G461" s="22"/>
      <c r="H461" s="22"/>
      <c r="I461" s="6"/>
    </row>
    <row r="462" spans="2:9">
      <c r="B462" s="7"/>
      <c r="C462" s="20"/>
      <c r="D462" s="21"/>
      <c r="E462" s="6"/>
      <c r="F462" s="22"/>
      <c r="G462" s="22"/>
      <c r="H462" s="22"/>
      <c r="I462" s="6"/>
    </row>
    <row r="463" spans="2:9">
      <c r="B463" s="7"/>
      <c r="C463" s="20"/>
      <c r="D463" s="21"/>
      <c r="E463" s="6"/>
      <c r="F463" s="22"/>
      <c r="G463" s="22"/>
      <c r="H463" s="22"/>
      <c r="I463" s="6"/>
    </row>
    <row r="464" spans="2:9">
      <c r="B464" s="7"/>
      <c r="C464" s="20"/>
      <c r="D464" s="21"/>
      <c r="E464" s="6"/>
      <c r="F464" s="22"/>
      <c r="G464" s="22"/>
      <c r="H464" s="22"/>
      <c r="I464" s="6"/>
    </row>
    <row r="465" spans="2:9">
      <c r="B465" s="7"/>
      <c r="C465" s="20"/>
      <c r="D465" s="21"/>
      <c r="E465" s="6"/>
      <c r="F465" s="22"/>
      <c r="G465" s="22"/>
      <c r="H465" s="22"/>
      <c r="I465" s="6"/>
    </row>
    <row r="466" spans="2:9">
      <c r="B466" s="7"/>
      <c r="C466" s="20"/>
      <c r="D466" s="21"/>
      <c r="E466" s="6"/>
      <c r="F466" s="22"/>
      <c r="G466" s="22"/>
      <c r="H466" s="22"/>
      <c r="I466" s="6"/>
    </row>
    <row r="467" spans="2:9">
      <c r="B467" s="7"/>
      <c r="C467" s="20"/>
      <c r="D467" s="21"/>
      <c r="E467" s="6"/>
      <c r="F467" s="22"/>
      <c r="G467" s="22"/>
      <c r="H467" s="22"/>
      <c r="I467" s="6"/>
    </row>
    <row r="468" spans="2:9">
      <c r="B468" s="7"/>
      <c r="C468" s="20"/>
      <c r="D468" s="21"/>
      <c r="E468" s="6"/>
      <c r="F468" s="22"/>
      <c r="G468" s="22"/>
      <c r="H468" s="22"/>
      <c r="I468" s="6"/>
    </row>
    <row r="469" spans="2:9">
      <c r="B469" s="7"/>
      <c r="C469" s="20"/>
      <c r="D469" s="21"/>
      <c r="E469" s="6"/>
      <c r="F469" s="22"/>
      <c r="G469" s="22"/>
      <c r="H469" s="22"/>
      <c r="I469" s="6"/>
    </row>
    <row r="470" spans="2:9">
      <c r="B470" s="7"/>
      <c r="C470" s="20"/>
      <c r="D470" s="21"/>
      <c r="E470" s="6"/>
      <c r="F470" s="22"/>
      <c r="G470" s="22"/>
      <c r="H470" s="22"/>
      <c r="I470" s="6"/>
    </row>
    <row r="471" spans="2:9">
      <c r="B471" s="7"/>
      <c r="C471" s="20"/>
      <c r="D471" s="21"/>
      <c r="E471" s="6"/>
      <c r="F471" s="22"/>
      <c r="G471" s="22"/>
      <c r="H471" s="22"/>
      <c r="I471" s="6"/>
    </row>
    <row r="472" spans="2:9">
      <c r="B472" s="7"/>
      <c r="C472" s="20"/>
      <c r="D472" s="21"/>
      <c r="E472" s="6"/>
      <c r="F472" s="22"/>
      <c r="G472" s="22"/>
      <c r="H472" s="22"/>
      <c r="I472" s="6"/>
    </row>
    <row r="473" spans="2:9">
      <c r="B473" s="7"/>
      <c r="C473" s="20"/>
      <c r="D473" s="21"/>
      <c r="E473" s="6"/>
      <c r="F473" s="22"/>
      <c r="G473" s="22"/>
      <c r="H473" s="22"/>
      <c r="I473" s="6"/>
    </row>
    <row r="474" spans="2:9">
      <c r="B474" s="7"/>
      <c r="C474" s="20"/>
      <c r="D474" s="21"/>
      <c r="E474" s="6"/>
      <c r="F474" s="22"/>
      <c r="G474" s="22"/>
      <c r="H474" s="22"/>
      <c r="I474" s="6"/>
    </row>
    <row r="475" spans="2:9">
      <c r="B475" s="7"/>
      <c r="C475" s="20"/>
      <c r="D475" s="21"/>
      <c r="E475" s="6"/>
      <c r="F475" s="22"/>
      <c r="G475" s="22"/>
      <c r="H475" s="22"/>
      <c r="I475" s="6"/>
    </row>
    <row r="476" spans="2:9">
      <c r="B476" s="7"/>
      <c r="C476" s="20"/>
      <c r="D476" s="21"/>
      <c r="E476" s="6"/>
      <c r="F476" s="22"/>
      <c r="G476" s="22"/>
      <c r="H476" s="22"/>
      <c r="I476" s="6"/>
    </row>
    <row r="477" spans="2:9">
      <c r="B477" s="7"/>
      <c r="C477" s="20"/>
      <c r="D477" s="21"/>
      <c r="E477" s="6"/>
      <c r="F477" s="22"/>
      <c r="G477" s="22"/>
      <c r="H477" s="22"/>
      <c r="I477" s="6"/>
    </row>
    <row r="478" spans="2:9">
      <c r="B478" s="7"/>
      <c r="C478" s="20"/>
      <c r="D478" s="21"/>
      <c r="E478" s="6"/>
      <c r="F478" s="22"/>
      <c r="G478" s="22"/>
      <c r="H478" s="22"/>
      <c r="I478" s="6"/>
    </row>
    <row r="479" spans="2:9">
      <c r="B479" s="7"/>
      <c r="C479" s="20"/>
      <c r="D479" s="21"/>
      <c r="E479" s="6"/>
      <c r="F479" s="22"/>
      <c r="G479" s="22"/>
      <c r="H479" s="22"/>
      <c r="I479" s="6"/>
    </row>
    <row r="480" spans="2:9">
      <c r="B480" s="7"/>
      <c r="C480" s="20"/>
      <c r="D480" s="21"/>
      <c r="E480" s="6"/>
      <c r="F480" s="22"/>
      <c r="G480" s="22"/>
      <c r="H480" s="22"/>
      <c r="I480" s="6"/>
    </row>
    <row r="481" spans="2:9">
      <c r="B481" s="7"/>
      <c r="C481" s="20"/>
      <c r="D481" s="21"/>
      <c r="E481" s="6"/>
      <c r="F481" s="22"/>
      <c r="G481" s="22"/>
      <c r="H481" s="22"/>
      <c r="I481" s="6"/>
    </row>
    <row r="482" spans="2:9">
      <c r="B482" s="7"/>
      <c r="C482" s="20"/>
      <c r="D482" s="21"/>
      <c r="E482" s="6"/>
      <c r="F482" s="22"/>
      <c r="G482" s="22"/>
      <c r="H482" s="22"/>
      <c r="I482" s="6"/>
    </row>
    <row r="483" spans="2:9">
      <c r="B483" s="7"/>
      <c r="C483" s="20"/>
      <c r="D483" s="21"/>
      <c r="E483" s="6"/>
      <c r="F483" s="22"/>
      <c r="G483" s="22"/>
      <c r="H483" s="22"/>
      <c r="I483" s="6"/>
    </row>
    <row r="484" spans="2:9">
      <c r="B484" s="7"/>
      <c r="C484" s="20"/>
      <c r="D484" s="21"/>
      <c r="E484" s="6"/>
      <c r="F484" s="22"/>
      <c r="G484" s="22"/>
      <c r="H484" s="22"/>
      <c r="I484" s="6"/>
    </row>
    <row r="485" spans="2:9">
      <c r="B485" s="7"/>
      <c r="C485" s="20"/>
      <c r="D485" s="21"/>
      <c r="E485" s="6"/>
      <c r="F485" s="22"/>
      <c r="G485" s="22"/>
      <c r="H485" s="22"/>
      <c r="I485" s="6"/>
    </row>
    <row r="486" spans="2:9">
      <c r="B486" s="7"/>
      <c r="C486" s="20"/>
      <c r="D486" s="21"/>
      <c r="E486" s="6"/>
      <c r="F486" s="22"/>
      <c r="G486" s="22"/>
      <c r="H486" s="22"/>
      <c r="I486" s="6"/>
    </row>
    <row r="487" spans="2:9">
      <c r="B487" s="7"/>
      <c r="C487" s="20"/>
      <c r="D487" s="21"/>
      <c r="E487" s="6"/>
      <c r="F487" s="22"/>
      <c r="G487" s="22"/>
      <c r="H487" s="22"/>
      <c r="I487" s="6"/>
    </row>
    <row r="488" spans="2:9">
      <c r="B488" s="7"/>
      <c r="C488" s="20"/>
      <c r="D488" s="21"/>
      <c r="E488" s="6"/>
      <c r="F488" s="22"/>
      <c r="G488" s="22"/>
      <c r="H488" s="22"/>
      <c r="I488" s="6"/>
    </row>
    <row r="489" spans="2:9">
      <c r="B489" s="7"/>
      <c r="C489" s="20"/>
      <c r="D489" s="21"/>
      <c r="E489" s="6"/>
      <c r="F489" s="22"/>
      <c r="G489" s="22"/>
      <c r="H489" s="22"/>
      <c r="I489" s="6"/>
    </row>
    <row r="490" spans="2:9">
      <c r="B490" s="7"/>
      <c r="C490" s="20"/>
      <c r="D490" s="21"/>
      <c r="E490" s="6"/>
      <c r="F490" s="22"/>
      <c r="G490" s="22"/>
      <c r="H490" s="22"/>
      <c r="I490" s="6"/>
    </row>
    <row r="491" spans="2:9">
      <c r="B491" s="7"/>
      <c r="C491" s="20"/>
      <c r="D491" s="21"/>
      <c r="E491" s="6"/>
      <c r="F491" s="22"/>
      <c r="G491" s="22"/>
      <c r="H491" s="22"/>
      <c r="I491" s="6"/>
    </row>
    <row r="492" spans="2:9">
      <c r="B492" s="7"/>
      <c r="C492" s="20"/>
      <c r="D492" s="21"/>
      <c r="E492" s="6"/>
      <c r="F492" s="22"/>
      <c r="G492" s="22"/>
      <c r="H492" s="22"/>
      <c r="I492" s="6"/>
    </row>
    <row r="493" spans="2:9">
      <c r="B493" s="7"/>
      <c r="C493" s="20"/>
      <c r="D493" s="21"/>
      <c r="E493" s="6"/>
      <c r="F493" s="22"/>
      <c r="G493" s="22"/>
      <c r="H493" s="22"/>
      <c r="I493" s="6"/>
    </row>
    <row r="494" spans="2:9">
      <c r="B494" s="7"/>
      <c r="C494" s="20"/>
      <c r="D494" s="21"/>
      <c r="E494" s="6"/>
      <c r="F494" s="22"/>
      <c r="G494" s="22"/>
      <c r="H494" s="22"/>
      <c r="I494" s="6"/>
    </row>
    <row r="495" spans="2:9">
      <c r="B495" s="7"/>
      <c r="C495" s="20"/>
      <c r="D495" s="21"/>
      <c r="E495" s="6"/>
      <c r="F495" s="22"/>
      <c r="G495" s="22"/>
      <c r="H495" s="22"/>
      <c r="I495" s="6"/>
    </row>
    <row r="496" spans="2:9">
      <c r="B496" s="7"/>
      <c r="C496" s="20"/>
      <c r="D496" s="21"/>
      <c r="E496" s="6"/>
      <c r="F496" s="22"/>
      <c r="G496" s="22"/>
      <c r="H496" s="22"/>
      <c r="I496" s="6"/>
    </row>
    <row r="497" spans="2:9">
      <c r="B497" s="7"/>
      <c r="C497" s="20"/>
      <c r="D497" s="21"/>
      <c r="E497" s="6"/>
      <c r="F497" s="22"/>
      <c r="G497" s="22"/>
      <c r="H497" s="22"/>
      <c r="I497" s="6"/>
    </row>
    <row r="498" spans="2:9">
      <c r="B498" s="7"/>
      <c r="C498" s="20"/>
      <c r="D498" s="21"/>
      <c r="E498" s="6"/>
      <c r="F498" s="22"/>
      <c r="G498" s="22"/>
      <c r="H498" s="22"/>
      <c r="I498" s="6"/>
    </row>
    <row r="499" spans="2:9">
      <c r="B499" s="7"/>
      <c r="C499" s="20"/>
      <c r="D499" s="21"/>
      <c r="E499" s="6"/>
      <c r="F499" s="22"/>
      <c r="G499" s="22"/>
      <c r="H499" s="22"/>
      <c r="I499" s="6"/>
    </row>
    <row r="500" spans="2:9">
      <c r="B500" s="7"/>
      <c r="C500" s="20"/>
      <c r="D500" s="21"/>
      <c r="E500" s="6"/>
      <c r="F500" s="22"/>
      <c r="G500" s="22"/>
      <c r="H500" s="22"/>
      <c r="I500" s="6"/>
    </row>
    <row r="501" spans="2:9">
      <c r="B501" s="7"/>
      <c r="C501" s="20"/>
      <c r="D501" s="21"/>
      <c r="E501" s="6"/>
      <c r="F501" s="22"/>
      <c r="G501" s="22"/>
      <c r="H501" s="22"/>
      <c r="I501" s="6"/>
    </row>
    <row r="502" spans="2:9">
      <c r="B502" s="7"/>
      <c r="C502" s="20"/>
      <c r="D502" s="21"/>
      <c r="E502" s="6"/>
      <c r="F502" s="22"/>
      <c r="G502" s="22"/>
      <c r="H502" s="22"/>
      <c r="I502" s="6"/>
    </row>
    <row r="503" spans="2:9">
      <c r="B503" s="7"/>
      <c r="C503" s="20"/>
      <c r="D503" s="21"/>
      <c r="E503" s="6"/>
      <c r="F503" s="22"/>
      <c r="G503" s="22"/>
      <c r="H503" s="22"/>
      <c r="I503" s="6"/>
    </row>
    <row r="504" spans="2:9">
      <c r="B504" s="7"/>
      <c r="C504" s="20"/>
      <c r="D504" s="21"/>
      <c r="E504" s="6"/>
      <c r="F504" s="22"/>
      <c r="G504" s="22"/>
      <c r="H504" s="22"/>
      <c r="I504" s="6"/>
    </row>
    <row r="505" spans="2:9">
      <c r="B505" s="7"/>
      <c r="C505" s="20"/>
      <c r="D505" s="21"/>
      <c r="E505" s="6"/>
      <c r="F505" s="22"/>
      <c r="G505" s="22"/>
      <c r="H505" s="22"/>
      <c r="I505" s="6"/>
    </row>
    <row r="506" spans="2:9">
      <c r="B506" s="7"/>
      <c r="C506" s="20"/>
      <c r="D506" s="21"/>
      <c r="E506" s="6"/>
      <c r="F506" s="22"/>
      <c r="G506" s="22"/>
      <c r="H506" s="22"/>
      <c r="I506" s="6"/>
    </row>
    <row r="507" spans="2:9">
      <c r="B507" s="7"/>
      <c r="C507" s="20"/>
      <c r="D507" s="21"/>
      <c r="E507" s="6"/>
      <c r="F507" s="22"/>
      <c r="G507" s="22"/>
      <c r="H507" s="22"/>
      <c r="I507" s="6"/>
    </row>
    <row r="508" spans="2:9">
      <c r="B508" s="7"/>
      <c r="C508" s="20"/>
      <c r="D508" s="21"/>
      <c r="E508" s="6"/>
      <c r="F508" s="22"/>
      <c r="G508" s="22"/>
      <c r="H508" s="22"/>
      <c r="I508" s="6"/>
    </row>
    <row r="509" spans="2:9">
      <c r="B509" s="7"/>
      <c r="C509" s="20"/>
      <c r="D509" s="21"/>
      <c r="E509" s="6"/>
      <c r="F509" s="22"/>
      <c r="G509" s="22"/>
      <c r="H509" s="22"/>
      <c r="I509" s="6"/>
    </row>
    <row r="510" spans="2:9">
      <c r="B510" s="7"/>
      <c r="C510" s="20"/>
      <c r="D510" s="21"/>
      <c r="E510" s="6"/>
      <c r="F510" s="22"/>
      <c r="G510" s="22"/>
      <c r="H510" s="22"/>
      <c r="I510" s="6"/>
    </row>
    <row r="511" spans="2:9">
      <c r="B511" s="7"/>
      <c r="C511" s="20"/>
      <c r="D511" s="21"/>
      <c r="E511" s="6"/>
      <c r="F511" s="22"/>
      <c r="G511" s="22"/>
      <c r="H511" s="22"/>
      <c r="I511" s="6"/>
    </row>
    <row r="512" spans="2:9">
      <c r="B512" s="7"/>
      <c r="C512" s="20"/>
      <c r="D512" s="21"/>
      <c r="E512" s="6"/>
      <c r="F512" s="22"/>
      <c r="G512" s="22"/>
      <c r="H512" s="22"/>
      <c r="I512" s="6"/>
    </row>
    <row r="513" spans="2:9">
      <c r="B513" s="7"/>
      <c r="C513" s="20"/>
      <c r="D513" s="21"/>
      <c r="E513" s="6"/>
      <c r="F513" s="22"/>
      <c r="G513" s="22"/>
      <c r="H513" s="22"/>
      <c r="I513" s="6"/>
    </row>
    <row r="514" spans="2:9">
      <c r="B514" s="7"/>
      <c r="C514" s="20"/>
      <c r="D514" s="21"/>
      <c r="E514" s="6"/>
      <c r="F514" s="22"/>
      <c r="G514" s="22"/>
      <c r="H514" s="22"/>
      <c r="I514" s="6"/>
    </row>
    <row r="515" spans="2:9">
      <c r="B515" s="7"/>
      <c r="C515" s="20"/>
      <c r="D515" s="21"/>
      <c r="E515" s="6"/>
      <c r="F515" s="22"/>
      <c r="G515" s="22"/>
      <c r="H515" s="22"/>
      <c r="I515" s="6"/>
    </row>
    <row r="516" spans="2:9">
      <c r="B516" s="7"/>
      <c r="C516" s="20"/>
      <c r="D516" s="21"/>
      <c r="E516" s="6"/>
      <c r="F516" s="22"/>
      <c r="G516" s="22"/>
      <c r="H516" s="22"/>
      <c r="I516" s="6"/>
    </row>
    <row r="517" spans="2:9">
      <c r="B517" s="7"/>
      <c r="C517" s="20"/>
      <c r="D517" s="21"/>
      <c r="E517" s="6"/>
      <c r="F517" s="22"/>
      <c r="G517" s="22"/>
      <c r="H517" s="22"/>
      <c r="I517" s="6"/>
    </row>
    <row r="518" spans="2:9">
      <c r="B518" s="7"/>
      <c r="C518" s="20"/>
      <c r="D518" s="21"/>
      <c r="E518" s="6"/>
      <c r="F518" s="22"/>
      <c r="G518" s="22"/>
      <c r="H518" s="22"/>
      <c r="I518" s="6"/>
    </row>
    <row r="519" spans="2:9">
      <c r="B519" s="7"/>
      <c r="C519" s="20"/>
      <c r="D519" s="21"/>
      <c r="E519" s="6"/>
      <c r="F519" s="22"/>
      <c r="G519" s="22"/>
      <c r="H519" s="22"/>
      <c r="I519" s="6"/>
    </row>
    <row r="520" spans="2:9">
      <c r="B520" s="7"/>
      <c r="C520" s="20"/>
      <c r="D520" s="21"/>
      <c r="E520" s="6"/>
      <c r="F520" s="22"/>
      <c r="G520" s="22"/>
      <c r="H520" s="22"/>
      <c r="I520" s="6"/>
    </row>
    <row r="521" spans="2:9">
      <c r="B521" s="7"/>
      <c r="C521" s="20"/>
      <c r="D521" s="21"/>
      <c r="E521" s="6"/>
      <c r="F521" s="22"/>
      <c r="G521" s="22"/>
      <c r="H521" s="22"/>
      <c r="I521" s="6"/>
    </row>
    <row r="522" spans="2:9">
      <c r="B522" s="7"/>
      <c r="C522" s="20"/>
      <c r="D522" s="21"/>
      <c r="E522" s="6"/>
      <c r="F522" s="22"/>
      <c r="G522" s="22"/>
      <c r="H522" s="22"/>
      <c r="I522" s="6"/>
    </row>
    <row r="523" spans="2:9">
      <c r="B523" s="7"/>
      <c r="C523" s="20"/>
      <c r="D523" s="21"/>
      <c r="E523" s="6"/>
      <c r="F523" s="22"/>
      <c r="G523" s="22"/>
      <c r="H523" s="22"/>
      <c r="I523" s="6"/>
    </row>
    <row r="524" spans="2:9">
      <c r="B524" s="7"/>
      <c r="C524" s="20"/>
      <c r="D524" s="21"/>
      <c r="E524" s="6"/>
      <c r="F524" s="22"/>
      <c r="G524" s="22"/>
      <c r="H524" s="22"/>
      <c r="I524" s="6"/>
    </row>
    <row r="525" spans="2:9">
      <c r="B525" s="7"/>
      <c r="C525" s="20"/>
      <c r="D525" s="21"/>
      <c r="E525" s="6"/>
      <c r="F525" s="22"/>
      <c r="G525" s="22"/>
      <c r="H525" s="22"/>
      <c r="I525" s="6"/>
    </row>
    <row r="526" spans="2:9">
      <c r="B526" s="7"/>
      <c r="C526" s="20"/>
      <c r="D526" s="21"/>
      <c r="E526" s="6"/>
      <c r="F526" s="22"/>
      <c r="G526" s="22"/>
      <c r="H526" s="22"/>
      <c r="I526" s="6"/>
    </row>
    <row r="527" spans="2:9">
      <c r="B527" s="7"/>
      <c r="C527" s="20"/>
      <c r="D527" s="21"/>
      <c r="E527" s="6"/>
      <c r="F527" s="22"/>
      <c r="G527" s="22"/>
      <c r="H527" s="22"/>
      <c r="I527" s="6"/>
    </row>
    <row r="528" spans="2:9">
      <c r="B528" s="7"/>
      <c r="C528" s="20"/>
      <c r="D528" s="21"/>
      <c r="E528" s="6"/>
      <c r="F528" s="22"/>
      <c r="G528" s="22"/>
      <c r="H528" s="22"/>
      <c r="I528" s="6"/>
    </row>
    <row r="529" spans="2:9">
      <c r="B529" s="7"/>
      <c r="C529" s="20"/>
      <c r="D529" s="21"/>
      <c r="E529" s="6"/>
      <c r="F529" s="22"/>
      <c r="G529" s="22"/>
      <c r="H529" s="22"/>
      <c r="I529" s="6"/>
    </row>
    <row r="530" spans="2:9">
      <c r="B530" s="7"/>
      <c r="C530" s="20"/>
      <c r="D530" s="21"/>
      <c r="E530" s="6"/>
      <c r="F530" s="22"/>
      <c r="G530" s="22"/>
      <c r="H530" s="22"/>
      <c r="I530" s="6"/>
    </row>
    <row r="531" spans="2:9">
      <c r="B531" s="7"/>
      <c r="C531" s="20"/>
      <c r="D531" s="21"/>
      <c r="E531" s="6"/>
      <c r="F531" s="22"/>
      <c r="G531" s="22"/>
      <c r="H531" s="22"/>
      <c r="I531" s="6"/>
    </row>
    <row r="532" spans="2:9">
      <c r="B532" s="7"/>
      <c r="C532" s="20"/>
      <c r="D532" s="21"/>
      <c r="E532" s="6"/>
      <c r="F532" s="22"/>
      <c r="G532" s="22"/>
      <c r="H532" s="22"/>
      <c r="I532" s="6"/>
    </row>
    <row r="533" spans="2:9">
      <c r="B533" s="7"/>
      <c r="C533" s="20"/>
      <c r="D533" s="21"/>
      <c r="E533" s="6"/>
      <c r="F533" s="22"/>
      <c r="G533" s="22"/>
      <c r="H533" s="22"/>
      <c r="I533" s="6"/>
    </row>
    <row r="534" spans="2:9">
      <c r="B534" s="7"/>
      <c r="C534" s="20"/>
      <c r="D534" s="21"/>
      <c r="E534" s="6"/>
      <c r="F534" s="22"/>
      <c r="G534" s="22"/>
      <c r="H534" s="22"/>
      <c r="I534" s="6"/>
    </row>
    <row r="535" spans="2:9">
      <c r="B535" s="7"/>
      <c r="C535" s="20"/>
      <c r="D535" s="21"/>
      <c r="E535" s="6"/>
      <c r="F535" s="22"/>
      <c r="G535" s="22"/>
      <c r="H535" s="22"/>
      <c r="I535" s="6"/>
    </row>
    <row r="536" spans="2:9">
      <c r="B536" s="7"/>
      <c r="C536" s="20"/>
      <c r="D536" s="21"/>
      <c r="E536" s="6"/>
      <c r="F536" s="22"/>
      <c r="G536" s="22"/>
      <c r="H536" s="22"/>
      <c r="I536" s="6"/>
    </row>
    <row r="537" spans="2:9">
      <c r="B537" s="7"/>
      <c r="C537" s="20"/>
      <c r="D537" s="21"/>
      <c r="E537" s="6"/>
      <c r="F537" s="22"/>
      <c r="G537" s="22"/>
      <c r="H537" s="22"/>
      <c r="I537" s="6"/>
    </row>
    <row r="538" spans="2:9">
      <c r="B538" s="7"/>
      <c r="C538" s="20"/>
      <c r="D538" s="21"/>
      <c r="E538" s="6"/>
      <c r="F538" s="22"/>
      <c r="G538" s="22"/>
      <c r="H538" s="22"/>
      <c r="I538" s="6"/>
    </row>
    <row r="539" spans="2:9">
      <c r="B539" s="7"/>
      <c r="C539" s="20"/>
      <c r="D539" s="21"/>
      <c r="E539" s="6"/>
      <c r="F539" s="22"/>
      <c r="G539" s="22"/>
      <c r="H539" s="22"/>
      <c r="I539" s="6"/>
    </row>
    <row r="540" spans="2:9">
      <c r="B540" s="7"/>
      <c r="C540" s="20"/>
      <c r="D540" s="21"/>
      <c r="E540" s="6"/>
      <c r="F540" s="22"/>
      <c r="G540" s="22"/>
      <c r="H540" s="22"/>
      <c r="I540" s="6"/>
    </row>
    <row r="541" spans="2:9">
      <c r="B541" s="7"/>
      <c r="C541" s="20"/>
      <c r="D541" s="21"/>
      <c r="E541" s="6"/>
      <c r="F541" s="22"/>
      <c r="G541" s="22"/>
      <c r="H541" s="22"/>
      <c r="I541" s="6"/>
    </row>
    <row r="542" spans="2:9">
      <c r="B542" s="7"/>
      <c r="C542" s="20"/>
      <c r="D542" s="21"/>
      <c r="E542" s="6"/>
      <c r="F542" s="22"/>
      <c r="G542" s="22"/>
      <c r="H542" s="22"/>
      <c r="I542" s="6"/>
    </row>
    <row r="543" spans="2:9">
      <c r="B543" s="7"/>
      <c r="C543" s="20"/>
      <c r="D543" s="21"/>
      <c r="E543" s="6"/>
      <c r="F543" s="22"/>
      <c r="G543" s="22"/>
      <c r="H543" s="22"/>
      <c r="I543" s="6"/>
    </row>
    <row r="544" spans="2:9">
      <c r="B544" s="7"/>
      <c r="C544" s="20"/>
      <c r="D544" s="21"/>
      <c r="E544" s="6"/>
      <c r="F544" s="22"/>
      <c r="G544" s="22"/>
      <c r="H544" s="22"/>
      <c r="I544" s="6"/>
    </row>
    <row r="545" spans="2:9">
      <c r="B545" s="7"/>
      <c r="C545" s="20"/>
      <c r="D545" s="21"/>
      <c r="E545" s="6"/>
      <c r="F545" s="22"/>
      <c r="G545" s="22"/>
      <c r="H545" s="22"/>
      <c r="I545" s="6"/>
    </row>
    <row r="546" spans="2:9">
      <c r="B546" s="7"/>
      <c r="C546" s="20"/>
      <c r="D546" s="21"/>
      <c r="E546" s="6"/>
      <c r="F546" s="22"/>
      <c r="G546" s="22"/>
      <c r="H546" s="22"/>
      <c r="I546" s="6"/>
    </row>
    <row r="547" spans="2:9">
      <c r="B547" s="7"/>
      <c r="C547" s="20"/>
      <c r="D547" s="21"/>
      <c r="E547" s="6"/>
      <c r="F547" s="22"/>
      <c r="G547" s="22"/>
      <c r="H547" s="22"/>
      <c r="I547" s="6"/>
    </row>
    <row r="548" spans="2:9">
      <c r="B548" s="7"/>
      <c r="C548" s="20"/>
      <c r="D548" s="21"/>
      <c r="E548" s="6"/>
      <c r="F548" s="22"/>
      <c r="G548" s="22"/>
      <c r="H548" s="22"/>
      <c r="I548" s="6"/>
    </row>
    <row r="549" spans="2:9">
      <c r="B549" s="7"/>
      <c r="C549" s="20"/>
      <c r="D549" s="21"/>
      <c r="E549" s="6"/>
      <c r="F549" s="22"/>
      <c r="G549" s="22"/>
      <c r="H549" s="22"/>
      <c r="I549" s="6"/>
    </row>
    <row r="550" spans="2:9">
      <c r="B550" s="7"/>
      <c r="C550" s="20"/>
      <c r="D550" s="21"/>
      <c r="E550" s="6"/>
      <c r="F550" s="22"/>
      <c r="G550" s="22"/>
      <c r="H550" s="22"/>
      <c r="I550" s="6"/>
    </row>
    <row r="551" spans="2:9">
      <c r="B551" s="7"/>
      <c r="C551" s="20"/>
      <c r="D551" s="21"/>
      <c r="E551" s="6"/>
      <c r="F551" s="22"/>
      <c r="G551" s="22"/>
      <c r="H551" s="22"/>
      <c r="I551" s="6"/>
    </row>
    <row r="552" spans="2:9">
      <c r="B552" s="7"/>
      <c r="C552" s="20"/>
      <c r="D552" s="21"/>
      <c r="E552" s="6"/>
      <c r="F552" s="22"/>
      <c r="G552" s="22"/>
      <c r="H552" s="22"/>
      <c r="I552" s="6"/>
    </row>
    <row r="553" spans="2:9">
      <c r="B553" s="7"/>
      <c r="C553" s="20"/>
      <c r="D553" s="21"/>
      <c r="E553" s="6"/>
      <c r="F553" s="22"/>
      <c r="G553" s="22"/>
      <c r="H553" s="22"/>
      <c r="I553" s="6"/>
    </row>
    <row r="554" spans="2:9">
      <c r="B554" s="7"/>
      <c r="C554" s="20"/>
      <c r="D554" s="21"/>
      <c r="E554" s="6"/>
      <c r="F554" s="22"/>
      <c r="G554" s="22"/>
      <c r="H554" s="22"/>
      <c r="I554" s="6"/>
    </row>
    <row r="555" spans="2:9">
      <c r="B555" s="7"/>
      <c r="C555" s="20"/>
      <c r="D555" s="21"/>
      <c r="E555" s="6"/>
      <c r="F555" s="22"/>
      <c r="G555" s="22"/>
      <c r="H555" s="22"/>
      <c r="I555" s="6"/>
    </row>
    <row r="556" spans="2:9">
      <c r="B556" s="7"/>
      <c r="C556" s="20"/>
      <c r="D556" s="21"/>
      <c r="E556" s="6"/>
      <c r="F556" s="22"/>
      <c r="G556" s="22"/>
      <c r="H556" s="22"/>
      <c r="I556" s="6"/>
    </row>
    <row r="557" spans="2:9">
      <c r="B557" s="7"/>
      <c r="C557" s="20"/>
      <c r="D557" s="21"/>
      <c r="E557" s="6"/>
      <c r="F557" s="22"/>
      <c r="G557" s="22"/>
      <c r="H557" s="22"/>
      <c r="I557" s="6"/>
    </row>
    <row r="558" spans="2:9">
      <c r="B558" s="7"/>
      <c r="C558" s="20"/>
      <c r="D558" s="21"/>
      <c r="E558" s="6"/>
      <c r="F558" s="22"/>
      <c r="G558" s="22"/>
      <c r="H558" s="22"/>
      <c r="I558" s="6"/>
    </row>
    <row r="559" spans="2:9">
      <c r="B559" s="7"/>
      <c r="C559" s="20"/>
      <c r="D559" s="21"/>
      <c r="E559" s="6"/>
      <c r="F559" s="22"/>
      <c r="G559" s="22"/>
      <c r="H559" s="22"/>
      <c r="I559" s="6"/>
    </row>
    <row r="560" spans="2:9">
      <c r="B560" s="7"/>
      <c r="C560" s="20"/>
      <c r="D560" s="21"/>
      <c r="E560" s="6"/>
      <c r="F560" s="22"/>
      <c r="G560" s="22"/>
      <c r="H560" s="22"/>
      <c r="I560" s="6"/>
    </row>
    <row r="561" spans="2:9">
      <c r="B561" s="7"/>
      <c r="C561" s="20"/>
      <c r="D561" s="21"/>
      <c r="E561" s="6"/>
      <c r="F561" s="22"/>
      <c r="G561" s="22"/>
      <c r="H561" s="22"/>
      <c r="I561" s="6"/>
    </row>
    <row r="562" spans="2:9">
      <c r="B562" s="7"/>
      <c r="C562" s="20"/>
      <c r="D562" s="21"/>
      <c r="E562" s="6"/>
      <c r="F562" s="22"/>
      <c r="G562" s="22"/>
      <c r="H562" s="22"/>
      <c r="I562" s="6"/>
    </row>
    <row r="563" spans="2:9">
      <c r="B563" s="7"/>
      <c r="C563" s="20"/>
      <c r="D563" s="21"/>
      <c r="E563" s="6"/>
      <c r="F563" s="22"/>
      <c r="G563" s="22"/>
      <c r="H563" s="22"/>
      <c r="I563" s="6"/>
    </row>
    <row r="564" spans="2:9">
      <c r="B564" s="7"/>
      <c r="C564" s="20"/>
      <c r="D564" s="21"/>
      <c r="E564" s="6"/>
      <c r="F564" s="22"/>
      <c r="G564" s="22"/>
      <c r="H564" s="22"/>
      <c r="I564" s="6"/>
    </row>
    <row r="565" spans="2:9">
      <c r="B565" s="7"/>
      <c r="C565" s="20"/>
      <c r="D565" s="21"/>
      <c r="E565" s="6"/>
      <c r="F565" s="22"/>
      <c r="G565" s="22"/>
      <c r="H565" s="22"/>
      <c r="I565" s="6"/>
    </row>
    <row r="566" spans="2:9">
      <c r="B566" s="7"/>
      <c r="C566" s="20"/>
      <c r="D566" s="21"/>
      <c r="E566" s="6"/>
      <c r="F566" s="22"/>
      <c r="G566" s="22"/>
      <c r="H566" s="22"/>
      <c r="I566" s="6"/>
    </row>
    <row r="567" spans="2:9">
      <c r="B567" s="7"/>
      <c r="C567" s="20"/>
      <c r="D567" s="21"/>
      <c r="E567" s="6"/>
      <c r="F567" s="22"/>
      <c r="G567" s="22"/>
      <c r="H567" s="22"/>
      <c r="I567" s="6"/>
    </row>
    <row r="568" spans="2:9">
      <c r="B568" s="7"/>
      <c r="C568" s="20"/>
      <c r="D568" s="21"/>
      <c r="E568" s="6"/>
      <c r="F568" s="22"/>
      <c r="G568" s="22"/>
      <c r="H568" s="22"/>
      <c r="I568" s="6"/>
    </row>
    <row r="569" spans="2:9">
      <c r="B569" s="7"/>
      <c r="C569" s="20"/>
      <c r="D569" s="21"/>
      <c r="E569" s="6"/>
      <c r="F569" s="22"/>
      <c r="G569" s="22"/>
      <c r="H569" s="22"/>
      <c r="I569" s="6"/>
    </row>
    <row r="570" spans="2:9">
      <c r="B570" s="7"/>
      <c r="C570" s="20"/>
      <c r="D570" s="21"/>
      <c r="E570" s="6"/>
      <c r="F570" s="22"/>
      <c r="G570" s="22"/>
      <c r="H570" s="22"/>
      <c r="I570" s="6"/>
    </row>
    <row r="571" spans="2:9">
      <c r="B571" s="7"/>
      <c r="C571" s="20"/>
      <c r="D571" s="21"/>
      <c r="E571" s="6"/>
      <c r="F571" s="22"/>
      <c r="G571" s="22"/>
      <c r="H571" s="22"/>
      <c r="I571" s="6"/>
    </row>
    <row r="572" spans="2:9">
      <c r="B572" s="7"/>
      <c r="C572" s="20"/>
      <c r="D572" s="21"/>
      <c r="E572" s="6"/>
      <c r="F572" s="22"/>
      <c r="G572" s="22"/>
      <c r="H572" s="22"/>
      <c r="I572" s="6"/>
    </row>
    <row r="573" spans="2:9">
      <c r="B573" s="7"/>
      <c r="C573" s="20"/>
      <c r="D573" s="21"/>
      <c r="E573" s="6"/>
      <c r="F573" s="22"/>
      <c r="G573" s="22"/>
      <c r="H573" s="22"/>
      <c r="I573" s="6"/>
    </row>
    <row r="574" spans="2:9">
      <c r="B574" s="7"/>
      <c r="C574" s="20"/>
      <c r="D574" s="21"/>
      <c r="E574" s="6"/>
      <c r="F574" s="22"/>
      <c r="G574" s="22"/>
      <c r="H574" s="22"/>
      <c r="I574" s="6"/>
    </row>
    <row r="575" spans="2:9">
      <c r="B575" s="7"/>
      <c r="C575" s="20"/>
      <c r="D575" s="21"/>
      <c r="E575" s="6"/>
      <c r="F575" s="22"/>
      <c r="G575" s="22"/>
      <c r="H575" s="22"/>
      <c r="I575" s="6"/>
    </row>
    <row r="576" spans="2:9">
      <c r="B576" s="7"/>
      <c r="C576" s="20"/>
      <c r="D576" s="21"/>
      <c r="E576" s="6"/>
      <c r="F576" s="22"/>
      <c r="G576" s="22"/>
      <c r="H576" s="22"/>
      <c r="I576" s="6"/>
    </row>
    <row r="577" spans="2:9">
      <c r="B577" s="7"/>
      <c r="C577" s="20"/>
      <c r="D577" s="21"/>
      <c r="E577" s="6"/>
      <c r="F577" s="22"/>
      <c r="G577" s="22"/>
      <c r="H577" s="22"/>
      <c r="I577" s="6"/>
    </row>
    <row r="578" spans="2:9">
      <c r="B578" s="7"/>
      <c r="C578" s="20"/>
      <c r="D578" s="21"/>
      <c r="E578" s="6"/>
      <c r="F578" s="22"/>
      <c r="G578" s="22"/>
      <c r="H578" s="22"/>
      <c r="I578" s="6"/>
    </row>
    <row r="579" spans="2:9">
      <c r="B579" s="7"/>
      <c r="C579" s="20"/>
      <c r="D579" s="21"/>
      <c r="E579" s="6"/>
      <c r="F579" s="22"/>
      <c r="G579" s="22"/>
      <c r="H579" s="22"/>
      <c r="I579" s="6"/>
    </row>
    <row r="580" spans="2:9">
      <c r="B580" s="7"/>
      <c r="C580" s="20"/>
      <c r="D580" s="21"/>
      <c r="E580" s="6"/>
      <c r="F580" s="22"/>
      <c r="G580" s="22"/>
      <c r="H580" s="22"/>
      <c r="I580" s="6"/>
    </row>
    <row r="581" spans="2:9">
      <c r="B581" s="7"/>
      <c r="C581" s="20"/>
      <c r="D581" s="21"/>
      <c r="E581" s="6"/>
      <c r="F581" s="22"/>
      <c r="G581" s="22"/>
      <c r="H581" s="22"/>
      <c r="I581" s="6"/>
    </row>
    <row r="582" spans="2:9">
      <c r="B582" s="7"/>
      <c r="C582" s="20"/>
      <c r="D582" s="21"/>
      <c r="E582" s="6"/>
      <c r="F582" s="22"/>
      <c r="G582" s="22"/>
      <c r="H582" s="22"/>
      <c r="I582" s="6"/>
    </row>
    <row r="583" spans="2:9">
      <c r="B583" s="7"/>
      <c r="C583" s="20"/>
      <c r="D583" s="21"/>
      <c r="E583" s="6"/>
      <c r="F583" s="22"/>
      <c r="G583" s="22"/>
      <c r="H583" s="22"/>
      <c r="I583" s="6"/>
    </row>
    <row r="584" spans="2:9">
      <c r="B584" s="7"/>
      <c r="C584" s="20"/>
      <c r="D584" s="21"/>
      <c r="E584" s="6"/>
      <c r="F584" s="22"/>
      <c r="G584" s="22"/>
      <c r="H584" s="22"/>
      <c r="I584" s="6"/>
    </row>
    <row r="585" spans="2:9">
      <c r="B585" s="7"/>
      <c r="C585" s="20"/>
      <c r="D585" s="21"/>
      <c r="E585" s="6"/>
      <c r="F585" s="22"/>
      <c r="G585" s="22"/>
      <c r="H585" s="22"/>
      <c r="I585" s="6"/>
    </row>
    <row r="586" spans="2:9">
      <c r="B586" s="7"/>
      <c r="C586" s="20"/>
      <c r="D586" s="21"/>
      <c r="E586" s="6"/>
      <c r="F586" s="22"/>
      <c r="G586" s="22"/>
      <c r="H586" s="22"/>
      <c r="I586" s="6"/>
    </row>
    <row r="587" spans="2:9">
      <c r="B587" s="7"/>
      <c r="C587" s="20"/>
      <c r="D587" s="21"/>
      <c r="E587" s="6"/>
      <c r="F587" s="22"/>
      <c r="G587" s="22"/>
      <c r="H587" s="22"/>
      <c r="I587" s="6"/>
    </row>
    <row r="588" spans="2:9">
      <c r="B588" s="7"/>
      <c r="C588" s="20"/>
      <c r="D588" s="21"/>
      <c r="E588" s="6"/>
      <c r="F588" s="22"/>
      <c r="G588" s="22"/>
      <c r="H588" s="22"/>
      <c r="I588" s="6"/>
    </row>
    <row r="589" spans="2:9">
      <c r="B589" s="7"/>
      <c r="C589" s="20"/>
      <c r="D589" s="21"/>
      <c r="E589" s="6"/>
      <c r="F589" s="22"/>
      <c r="G589" s="22"/>
      <c r="H589" s="22"/>
      <c r="I589" s="6"/>
    </row>
    <row r="590" spans="2:9">
      <c r="B590" s="7"/>
      <c r="C590" s="20"/>
      <c r="D590" s="21"/>
      <c r="E590" s="6"/>
      <c r="F590" s="22"/>
      <c r="G590" s="22"/>
      <c r="H590" s="22"/>
      <c r="I590" s="6"/>
    </row>
    <row r="591" spans="2:9">
      <c r="B591" s="7"/>
      <c r="C591" s="20"/>
      <c r="D591" s="21"/>
      <c r="E591" s="6"/>
      <c r="F591" s="22"/>
      <c r="G591" s="22"/>
      <c r="H591" s="22"/>
      <c r="I591" s="6"/>
    </row>
    <row r="592" spans="2:9">
      <c r="B592" s="7"/>
      <c r="C592" s="20"/>
      <c r="D592" s="21"/>
      <c r="E592" s="6"/>
      <c r="F592" s="22"/>
      <c r="G592" s="22"/>
      <c r="H592" s="22"/>
      <c r="I592" s="6"/>
    </row>
    <row r="593" spans="2:9">
      <c r="B593" s="7"/>
      <c r="C593" s="20"/>
      <c r="D593" s="21"/>
      <c r="E593" s="6"/>
      <c r="F593" s="22"/>
      <c r="G593" s="22"/>
      <c r="H593" s="22"/>
      <c r="I593" s="6"/>
    </row>
    <row r="594" spans="2:9">
      <c r="B594" s="7"/>
      <c r="C594" s="20"/>
      <c r="D594" s="21"/>
      <c r="E594" s="6"/>
      <c r="F594" s="22"/>
      <c r="G594" s="22"/>
      <c r="H594" s="22"/>
      <c r="I594" s="6"/>
    </row>
    <row r="595" spans="2:9">
      <c r="B595" s="7"/>
      <c r="C595" s="20"/>
      <c r="D595" s="21"/>
      <c r="E595" s="6"/>
      <c r="F595" s="22"/>
      <c r="G595" s="22"/>
      <c r="H595" s="22"/>
      <c r="I595" s="6"/>
    </row>
    <row r="596" spans="2:9">
      <c r="B596" s="7"/>
      <c r="C596" s="20"/>
      <c r="D596" s="21"/>
      <c r="E596" s="6"/>
      <c r="F596" s="22"/>
      <c r="G596" s="22"/>
      <c r="H596" s="22"/>
      <c r="I596" s="6"/>
    </row>
    <row r="597" spans="2:9">
      <c r="B597" s="7"/>
      <c r="C597" s="20"/>
      <c r="D597" s="21"/>
      <c r="E597" s="6"/>
      <c r="F597" s="22"/>
      <c r="G597" s="22"/>
      <c r="H597" s="22"/>
      <c r="I597" s="6"/>
    </row>
    <row r="598" spans="2:9">
      <c r="B598" s="7"/>
      <c r="C598" s="20"/>
      <c r="D598" s="21"/>
      <c r="E598" s="6"/>
      <c r="F598" s="22"/>
      <c r="G598" s="22"/>
      <c r="H598" s="22"/>
      <c r="I598" s="6"/>
    </row>
    <row r="599" spans="2:9">
      <c r="B599" s="7"/>
      <c r="C599" s="20"/>
      <c r="D599" s="21"/>
      <c r="E599" s="6"/>
      <c r="F599" s="22"/>
      <c r="G599" s="22"/>
      <c r="H599" s="22"/>
      <c r="I599" s="6"/>
    </row>
    <row r="600" spans="2:9">
      <c r="B600" s="7"/>
      <c r="C600" s="20"/>
      <c r="D600" s="21"/>
      <c r="E600" s="6"/>
      <c r="F600" s="22"/>
      <c r="G600" s="22"/>
      <c r="H600" s="22"/>
      <c r="I600" s="6"/>
    </row>
    <row r="601" spans="2:9">
      <c r="B601" s="7"/>
      <c r="C601" s="20"/>
      <c r="D601" s="21"/>
      <c r="E601" s="6"/>
      <c r="F601" s="22"/>
      <c r="G601" s="22"/>
      <c r="H601" s="22"/>
      <c r="I601" s="6"/>
    </row>
    <row r="602" spans="2:9">
      <c r="B602" s="7"/>
      <c r="C602" s="20"/>
      <c r="D602" s="21"/>
      <c r="E602" s="6"/>
      <c r="F602" s="22"/>
      <c r="G602" s="22"/>
      <c r="H602" s="22"/>
      <c r="I602" s="6"/>
    </row>
    <row r="603" spans="2:9">
      <c r="B603" s="7"/>
      <c r="C603" s="20"/>
      <c r="D603" s="21"/>
      <c r="E603" s="6"/>
      <c r="F603" s="22"/>
      <c r="G603" s="22"/>
      <c r="H603" s="22"/>
      <c r="I603" s="6"/>
    </row>
    <row r="604" spans="2:9">
      <c r="B604" s="7"/>
      <c r="C604" s="20"/>
      <c r="D604" s="21"/>
      <c r="E604" s="6"/>
      <c r="F604" s="22"/>
      <c r="G604" s="22"/>
      <c r="H604" s="22"/>
      <c r="I604" s="6"/>
    </row>
    <row r="605" spans="2:9">
      <c r="B605" s="7"/>
      <c r="C605" s="20"/>
      <c r="D605" s="21"/>
      <c r="E605" s="6"/>
      <c r="F605" s="22"/>
      <c r="G605" s="22"/>
      <c r="H605" s="22"/>
      <c r="I605" s="6"/>
    </row>
    <row r="606" spans="2:9">
      <c r="B606" s="7"/>
      <c r="C606" s="20"/>
      <c r="D606" s="21"/>
      <c r="E606" s="6"/>
      <c r="F606" s="22"/>
      <c r="G606" s="22"/>
      <c r="H606" s="22"/>
      <c r="I606" s="6"/>
    </row>
    <row r="607" spans="2:9">
      <c r="B607" s="7"/>
      <c r="C607" s="20"/>
      <c r="D607" s="21"/>
      <c r="E607" s="6"/>
      <c r="F607" s="22"/>
      <c r="G607" s="22"/>
      <c r="H607" s="22"/>
      <c r="I607" s="6"/>
    </row>
    <row r="608" spans="2:9">
      <c r="B608" s="7"/>
      <c r="C608" s="20"/>
      <c r="D608" s="21"/>
      <c r="E608" s="6"/>
      <c r="F608" s="22"/>
      <c r="G608" s="22"/>
      <c r="H608" s="22"/>
      <c r="I608" s="6"/>
    </row>
    <row r="609" spans="2:9">
      <c r="B609" s="7"/>
      <c r="C609" s="20"/>
      <c r="D609" s="21"/>
      <c r="E609" s="6"/>
      <c r="F609" s="22"/>
      <c r="G609" s="22"/>
      <c r="H609" s="22"/>
      <c r="I609" s="6"/>
    </row>
    <row r="610" spans="2:9">
      <c r="B610" s="7"/>
      <c r="C610" s="20"/>
      <c r="D610" s="21"/>
      <c r="E610" s="6"/>
      <c r="F610" s="22"/>
      <c r="G610" s="22"/>
      <c r="H610" s="22"/>
      <c r="I610" s="6"/>
    </row>
    <row r="611" spans="2:9">
      <c r="B611" s="7"/>
      <c r="C611" s="20"/>
      <c r="D611" s="21"/>
      <c r="E611" s="6"/>
      <c r="F611" s="22"/>
      <c r="G611" s="22"/>
      <c r="H611" s="22"/>
      <c r="I611" s="6"/>
    </row>
    <row r="612" spans="2:9">
      <c r="B612" s="7"/>
      <c r="C612" s="20"/>
      <c r="D612" s="21"/>
      <c r="E612" s="6"/>
      <c r="F612" s="22"/>
      <c r="G612" s="22"/>
      <c r="H612" s="22"/>
      <c r="I612" s="6"/>
    </row>
    <row r="613" spans="2:9">
      <c r="B613" s="7"/>
      <c r="C613" s="20"/>
      <c r="D613" s="21"/>
      <c r="E613" s="6"/>
      <c r="F613" s="22"/>
      <c r="G613" s="22"/>
      <c r="H613" s="22"/>
      <c r="I613" s="6"/>
    </row>
    <row r="614" spans="2:9">
      <c r="B614" s="7"/>
      <c r="C614" s="20"/>
      <c r="D614" s="21"/>
      <c r="E614" s="6"/>
      <c r="F614" s="22"/>
      <c r="G614" s="22"/>
      <c r="H614" s="22"/>
      <c r="I614" s="6"/>
    </row>
    <row r="615" spans="2:9">
      <c r="B615" s="7"/>
      <c r="C615" s="20"/>
      <c r="D615" s="21"/>
      <c r="E615" s="6"/>
      <c r="F615" s="22"/>
      <c r="G615" s="22"/>
      <c r="H615" s="22"/>
      <c r="I615" s="6"/>
    </row>
    <row r="616" spans="2:9">
      <c r="B616" s="7"/>
      <c r="C616" s="20"/>
      <c r="D616" s="21"/>
      <c r="E616" s="6"/>
      <c r="F616" s="22"/>
      <c r="G616" s="22"/>
      <c r="H616" s="22"/>
      <c r="I616" s="6"/>
    </row>
    <row r="617" spans="2:9">
      <c r="B617" s="7"/>
      <c r="C617" s="20"/>
      <c r="D617" s="21"/>
      <c r="E617" s="6"/>
      <c r="F617" s="22"/>
      <c r="G617" s="22"/>
      <c r="H617" s="22"/>
      <c r="I617" s="6"/>
    </row>
    <row r="618" spans="2:9">
      <c r="B618" s="7"/>
      <c r="C618" s="20"/>
      <c r="D618" s="21"/>
      <c r="E618" s="6"/>
      <c r="F618" s="22"/>
      <c r="G618" s="22"/>
      <c r="H618" s="22"/>
      <c r="I618" s="6"/>
    </row>
    <row r="619" spans="2:9">
      <c r="B619" s="7"/>
      <c r="C619" s="20"/>
      <c r="D619" s="21"/>
      <c r="E619" s="6"/>
      <c r="F619" s="22"/>
      <c r="G619" s="22"/>
      <c r="H619" s="22"/>
      <c r="I619" s="6"/>
    </row>
    <row r="620" spans="2:9">
      <c r="B620" s="7"/>
      <c r="C620" s="20"/>
      <c r="D620" s="21"/>
      <c r="E620" s="6"/>
      <c r="F620" s="22"/>
      <c r="G620" s="22"/>
      <c r="H620" s="22"/>
      <c r="I620" s="6"/>
    </row>
    <row r="621" spans="2:9">
      <c r="B621" s="7"/>
      <c r="C621" s="20"/>
      <c r="D621" s="21"/>
      <c r="E621" s="6"/>
      <c r="F621" s="22"/>
      <c r="G621" s="22"/>
      <c r="H621" s="22"/>
      <c r="I621" s="6"/>
    </row>
    <row r="622" spans="2:9">
      <c r="B622" s="7"/>
      <c r="C622" s="20"/>
      <c r="D622" s="21"/>
      <c r="E622" s="6"/>
      <c r="F622" s="22"/>
      <c r="G622" s="22"/>
      <c r="H622" s="22"/>
      <c r="I622" s="6"/>
    </row>
    <row r="623" spans="2:9">
      <c r="B623" s="7"/>
      <c r="C623" s="20"/>
      <c r="D623" s="21"/>
      <c r="E623" s="6"/>
      <c r="F623" s="22"/>
      <c r="G623" s="22"/>
      <c r="H623" s="22"/>
      <c r="I623" s="6"/>
    </row>
    <row r="624" spans="2:9">
      <c r="B624" s="7"/>
      <c r="C624" s="20"/>
      <c r="D624" s="21"/>
      <c r="E624" s="6"/>
      <c r="F624" s="22"/>
      <c r="G624" s="22"/>
      <c r="H624" s="22"/>
      <c r="I624" s="6"/>
    </row>
    <row r="625" spans="2:9">
      <c r="B625" s="7"/>
      <c r="C625" s="20"/>
      <c r="D625" s="21"/>
      <c r="E625" s="6"/>
      <c r="F625" s="22"/>
      <c r="G625" s="22"/>
      <c r="H625" s="22"/>
      <c r="I625" s="6"/>
    </row>
    <row r="626" spans="2:9">
      <c r="B626" s="7"/>
      <c r="C626" s="20"/>
      <c r="D626" s="21"/>
      <c r="E626" s="6"/>
      <c r="F626" s="22"/>
      <c r="G626" s="22"/>
      <c r="H626" s="22"/>
      <c r="I626" s="6"/>
    </row>
    <row r="627" spans="2:9">
      <c r="B627" s="7"/>
      <c r="C627" s="20"/>
      <c r="D627" s="21"/>
      <c r="E627" s="6"/>
      <c r="F627" s="22"/>
      <c r="G627" s="22"/>
      <c r="H627" s="22"/>
      <c r="I627" s="6"/>
    </row>
    <row r="628" spans="2:9">
      <c r="B628" s="7"/>
      <c r="C628" s="20"/>
      <c r="D628" s="21"/>
      <c r="E628" s="6"/>
      <c r="F628" s="22"/>
      <c r="G628" s="22"/>
      <c r="H628" s="22"/>
      <c r="I628" s="6"/>
    </row>
    <row r="629" spans="2:9">
      <c r="B629" s="7"/>
      <c r="C629" s="20"/>
      <c r="D629" s="21"/>
      <c r="E629" s="6"/>
      <c r="F629" s="22"/>
      <c r="G629" s="22"/>
      <c r="H629" s="22"/>
      <c r="I629" s="6"/>
    </row>
    <row r="630" spans="2:9">
      <c r="B630" s="7"/>
      <c r="C630" s="20"/>
      <c r="D630" s="21"/>
      <c r="E630" s="6"/>
      <c r="F630" s="22"/>
      <c r="G630" s="22"/>
      <c r="H630" s="22"/>
      <c r="I630" s="6"/>
    </row>
    <row r="631" spans="2:9">
      <c r="B631" s="7"/>
      <c r="C631" s="20"/>
      <c r="D631" s="21"/>
      <c r="E631" s="6"/>
      <c r="F631" s="22"/>
      <c r="G631" s="22"/>
      <c r="H631" s="22"/>
      <c r="I631" s="6"/>
    </row>
    <row r="632" spans="2:9">
      <c r="B632" s="7"/>
      <c r="C632" s="20"/>
      <c r="D632" s="21"/>
      <c r="E632" s="6"/>
      <c r="F632" s="22"/>
      <c r="G632" s="22"/>
      <c r="H632" s="22"/>
      <c r="I632" s="6"/>
    </row>
    <row r="633" spans="2:9">
      <c r="B633" s="7"/>
      <c r="C633" s="20"/>
      <c r="D633" s="21"/>
      <c r="E633" s="6"/>
      <c r="F633" s="22"/>
      <c r="G633" s="22"/>
      <c r="H633" s="22"/>
      <c r="I633" s="6"/>
    </row>
    <row r="634" spans="2:9">
      <c r="B634" s="7"/>
      <c r="C634" s="20"/>
      <c r="D634" s="21"/>
      <c r="E634" s="6"/>
      <c r="F634" s="22"/>
      <c r="G634" s="22"/>
      <c r="H634" s="22"/>
      <c r="I634" s="6"/>
    </row>
    <row r="635" spans="2:9">
      <c r="B635" s="7"/>
      <c r="C635" s="20"/>
      <c r="D635" s="21"/>
      <c r="E635" s="6"/>
      <c r="F635" s="22"/>
      <c r="G635" s="22"/>
      <c r="H635" s="22"/>
      <c r="I635" s="6"/>
    </row>
    <row r="636" spans="2:9">
      <c r="B636" s="7"/>
      <c r="C636" s="20"/>
      <c r="D636" s="21"/>
      <c r="E636" s="6"/>
      <c r="F636" s="22"/>
      <c r="G636" s="22"/>
      <c r="H636" s="22"/>
      <c r="I636" s="6"/>
    </row>
    <row r="637" spans="2:9">
      <c r="B637" s="7"/>
      <c r="C637" s="20"/>
      <c r="D637" s="21"/>
      <c r="E637" s="6"/>
      <c r="F637" s="22"/>
      <c r="G637" s="22"/>
      <c r="H637" s="22"/>
      <c r="I637" s="6"/>
    </row>
    <row r="638" spans="2:9">
      <c r="B638" s="7"/>
      <c r="C638" s="20"/>
      <c r="D638" s="21"/>
      <c r="E638" s="6"/>
      <c r="F638" s="22"/>
      <c r="G638" s="22"/>
      <c r="H638" s="22"/>
      <c r="I638" s="6"/>
    </row>
    <row r="639" spans="2:9">
      <c r="B639" s="7"/>
      <c r="C639" s="20"/>
      <c r="D639" s="21"/>
      <c r="E639" s="6"/>
      <c r="F639" s="22"/>
      <c r="G639" s="22"/>
      <c r="H639" s="22"/>
      <c r="I639" s="6"/>
    </row>
    <row r="640" spans="2:9">
      <c r="B640" s="7"/>
      <c r="C640" s="20"/>
      <c r="D640" s="21"/>
      <c r="E640" s="6"/>
      <c r="F640" s="22"/>
      <c r="G640" s="22"/>
      <c r="H640" s="22"/>
      <c r="I640" s="6"/>
    </row>
    <row r="641" spans="2:9">
      <c r="B641" s="7"/>
      <c r="C641" s="20"/>
      <c r="D641" s="21"/>
      <c r="E641" s="6"/>
      <c r="F641" s="22"/>
      <c r="G641" s="22"/>
      <c r="H641" s="22"/>
      <c r="I641" s="6"/>
    </row>
    <row r="642" spans="2:9">
      <c r="B642" s="7"/>
      <c r="C642" s="20"/>
      <c r="D642" s="21"/>
      <c r="E642" s="6"/>
      <c r="F642" s="22"/>
      <c r="G642" s="22"/>
      <c r="H642" s="22"/>
      <c r="I642" s="6"/>
    </row>
    <row r="643" spans="2:9">
      <c r="B643" s="7"/>
      <c r="C643" s="20"/>
      <c r="D643" s="21"/>
      <c r="E643" s="6"/>
      <c r="F643" s="22"/>
      <c r="G643" s="22"/>
      <c r="H643" s="22"/>
      <c r="I643" s="6"/>
    </row>
    <row r="644" spans="2:9">
      <c r="B644" s="7"/>
      <c r="C644" s="20"/>
      <c r="D644" s="21"/>
      <c r="E644" s="6"/>
      <c r="F644" s="22"/>
      <c r="G644" s="22"/>
      <c r="H644" s="22"/>
      <c r="I644" s="6"/>
    </row>
    <row r="645" spans="2:9">
      <c r="B645" s="7"/>
      <c r="C645" s="20"/>
      <c r="D645" s="21"/>
      <c r="E645" s="6"/>
      <c r="F645" s="22"/>
      <c r="G645" s="22"/>
      <c r="H645" s="22"/>
      <c r="I645" s="6"/>
    </row>
    <row r="646" spans="2:9">
      <c r="B646" s="7"/>
      <c r="C646" s="20"/>
      <c r="D646" s="21"/>
      <c r="E646" s="6"/>
      <c r="F646" s="22"/>
      <c r="G646" s="22"/>
      <c r="H646" s="22"/>
      <c r="I646" s="6"/>
    </row>
    <row r="647" spans="2:9">
      <c r="B647" s="7"/>
      <c r="C647" s="20"/>
      <c r="D647" s="21"/>
      <c r="E647" s="6"/>
      <c r="F647" s="22"/>
      <c r="G647" s="22"/>
      <c r="H647" s="22"/>
      <c r="I647" s="6"/>
    </row>
    <row r="648" spans="2:9">
      <c r="B648" s="7"/>
      <c r="C648" s="20"/>
      <c r="D648" s="21"/>
      <c r="E648" s="6"/>
      <c r="F648" s="22"/>
      <c r="G648" s="22"/>
      <c r="H648" s="22"/>
      <c r="I648" s="6"/>
    </row>
    <row r="649" spans="2:9">
      <c r="B649" s="7"/>
      <c r="C649" s="20"/>
      <c r="D649" s="21"/>
      <c r="E649" s="6"/>
      <c r="F649" s="22"/>
      <c r="G649" s="22"/>
      <c r="H649" s="22"/>
      <c r="I649" s="6"/>
    </row>
    <row r="650" spans="2:9">
      <c r="B650" s="7"/>
      <c r="C650" s="20"/>
      <c r="D650" s="21"/>
      <c r="E650" s="6"/>
      <c r="F650" s="22"/>
      <c r="G650" s="22"/>
      <c r="H650" s="22"/>
      <c r="I650" s="6"/>
    </row>
    <row r="651" spans="2:9">
      <c r="B651" s="7"/>
      <c r="C651" s="20"/>
      <c r="D651" s="21"/>
      <c r="E651" s="6"/>
      <c r="F651" s="22"/>
      <c r="G651" s="22"/>
      <c r="H651" s="22"/>
      <c r="I651" s="6"/>
    </row>
    <row r="652" spans="2:9">
      <c r="B652" s="7"/>
      <c r="C652" s="20"/>
      <c r="D652" s="21"/>
      <c r="E652" s="6"/>
      <c r="F652" s="22"/>
      <c r="G652" s="22"/>
      <c r="H652" s="22"/>
      <c r="I652" s="6"/>
    </row>
    <row r="653" spans="2:9">
      <c r="B653" s="7"/>
      <c r="C653" s="20"/>
      <c r="D653" s="21"/>
      <c r="E653" s="6"/>
      <c r="F653" s="22"/>
      <c r="G653" s="22"/>
      <c r="H653" s="22"/>
      <c r="I653" s="6"/>
    </row>
    <row r="654" spans="2:9">
      <c r="B654" s="7"/>
      <c r="C654" s="20"/>
      <c r="D654" s="21"/>
      <c r="E654" s="6"/>
      <c r="F654" s="22"/>
      <c r="G654" s="22"/>
      <c r="H654" s="22"/>
      <c r="I654" s="6"/>
    </row>
    <row r="655" spans="2:9">
      <c r="B655" s="7"/>
      <c r="C655" s="20"/>
      <c r="D655" s="21"/>
      <c r="E655" s="6"/>
      <c r="F655" s="22"/>
      <c r="G655" s="22"/>
      <c r="H655" s="22"/>
      <c r="I655" s="6"/>
    </row>
    <row r="656" spans="2:9">
      <c r="B656" s="7"/>
      <c r="C656" s="20"/>
      <c r="D656" s="21"/>
      <c r="E656" s="6"/>
      <c r="F656" s="22"/>
      <c r="G656" s="22"/>
      <c r="H656" s="22"/>
      <c r="I656" s="6"/>
    </row>
    <row r="657" spans="2:9">
      <c r="B657" s="7"/>
      <c r="C657" s="20"/>
      <c r="D657" s="21"/>
      <c r="E657" s="6"/>
      <c r="F657" s="22"/>
      <c r="G657" s="22"/>
      <c r="H657" s="22"/>
      <c r="I657" s="6"/>
    </row>
    <row r="658" spans="2:9">
      <c r="B658" s="7"/>
      <c r="C658" s="20"/>
      <c r="D658" s="21"/>
      <c r="E658" s="6"/>
      <c r="F658" s="22"/>
      <c r="G658" s="22"/>
      <c r="H658" s="22"/>
      <c r="I658" s="6"/>
    </row>
    <row r="659" spans="2:9">
      <c r="B659" s="7"/>
      <c r="C659" s="20"/>
      <c r="D659" s="21"/>
      <c r="E659" s="6"/>
      <c r="F659" s="22"/>
      <c r="G659" s="22"/>
      <c r="H659" s="22"/>
      <c r="I659" s="6"/>
    </row>
    <row r="660" spans="2:9">
      <c r="B660" s="7"/>
      <c r="C660" s="20"/>
      <c r="D660" s="21"/>
      <c r="E660" s="6"/>
      <c r="F660" s="22"/>
      <c r="G660" s="22"/>
      <c r="H660" s="22"/>
      <c r="I660" s="6"/>
    </row>
    <row r="661" spans="2:9">
      <c r="B661" s="7"/>
      <c r="C661" s="20"/>
      <c r="D661" s="21"/>
      <c r="E661" s="6"/>
      <c r="F661" s="22"/>
      <c r="G661" s="22"/>
      <c r="H661" s="22"/>
      <c r="I661" s="6"/>
    </row>
    <row r="662" spans="2:9">
      <c r="B662" s="7"/>
      <c r="C662" s="20"/>
      <c r="D662" s="21"/>
      <c r="E662" s="6"/>
      <c r="F662" s="22"/>
      <c r="G662" s="22"/>
      <c r="H662" s="22"/>
      <c r="I662" s="6"/>
    </row>
    <row r="663" spans="2:9">
      <c r="B663" s="7"/>
      <c r="C663" s="20"/>
      <c r="D663" s="21"/>
      <c r="E663" s="6"/>
      <c r="F663" s="22"/>
      <c r="G663" s="22"/>
      <c r="H663" s="22"/>
      <c r="I663" s="6"/>
    </row>
    <row r="664" spans="2:9">
      <c r="B664" s="7"/>
      <c r="C664" s="20"/>
      <c r="D664" s="21"/>
      <c r="E664" s="6"/>
      <c r="F664" s="22"/>
      <c r="G664" s="22"/>
      <c r="H664" s="22"/>
      <c r="I664" s="6"/>
    </row>
    <row r="665" spans="2:9">
      <c r="B665" s="7"/>
      <c r="C665" s="20"/>
      <c r="D665" s="21"/>
      <c r="E665" s="6"/>
      <c r="F665" s="22"/>
      <c r="G665" s="22"/>
      <c r="H665" s="22"/>
      <c r="I665" s="6"/>
    </row>
    <row r="666" spans="2:9">
      <c r="B666" s="7"/>
      <c r="C666" s="20"/>
      <c r="D666" s="21"/>
      <c r="E666" s="6"/>
      <c r="F666" s="22"/>
      <c r="G666" s="22"/>
      <c r="H666" s="22"/>
      <c r="I666" s="6"/>
    </row>
    <row r="667" spans="2:9">
      <c r="B667" s="7"/>
      <c r="C667" s="20"/>
      <c r="D667" s="21"/>
      <c r="E667" s="6"/>
      <c r="F667" s="22"/>
      <c r="G667" s="22"/>
      <c r="H667" s="22"/>
      <c r="I667" s="6"/>
    </row>
    <row r="668" spans="2:9">
      <c r="B668" s="7"/>
      <c r="C668" s="20"/>
      <c r="D668" s="21"/>
      <c r="E668" s="6"/>
      <c r="F668" s="22"/>
      <c r="G668" s="22"/>
      <c r="H668" s="22"/>
      <c r="I668" s="6"/>
    </row>
    <row r="669" spans="2:9">
      <c r="B669" s="7"/>
      <c r="C669" s="20"/>
      <c r="D669" s="21"/>
      <c r="E669" s="6"/>
      <c r="F669" s="22"/>
      <c r="G669" s="22"/>
      <c r="H669" s="22"/>
      <c r="I669" s="6"/>
    </row>
    <row r="670" spans="2:9">
      <c r="B670" s="7"/>
      <c r="C670" s="20"/>
      <c r="D670" s="21"/>
      <c r="E670" s="6"/>
      <c r="F670" s="22"/>
      <c r="G670" s="22"/>
      <c r="H670" s="22"/>
      <c r="I670" s="6"/>
    </row>
    <row r="671" spans="2:9">
      <c r="B671" s="7"/>
      <c r="C671" s="20"/>
      <c r="D671" s="21"/>
      <c r="E671" s="6"/>
      <c r="F671" s="22"/>
      <c r="G671" s="22"/>
      <c r="H671" s="22"/>
      <c r="I671" s="6"/>
    </row>
    <row r="672" spans="2:9">
      <c r="B672" s="7"/>
      <c r="C672" s="20"/>
      <c r="D672" s="21"/>
      <c r="E672" s="6"/>
      <c r="F672" s="22"/>
      <c r="G672" s="22"/>
      <c r="H672" s="22"/>
      <c r="I672" s="6"/>
    </row>
    <row r="673" spans="2:9">
      <c r="B673" s="7"/>
      <c r="C673" s="20"/>
      <c r="D673" s="21"/>
      <c r="E673" s="6"/>
      <c r="F673" s="22"/>
      <c r="G673" s="22"/>
      <c r="H673" s="22"/>
      <c r="I673" s="6"/>
    </row>
    <row r="674" spans="2:9">
      <c r="B674" s="7"/>
      <c r="C674" s="20"/>
      <c r="D674" s="21"/>
      <c r="E674" s="6"/>
      <c r="F674" s="22"/>
      <c r="G674" s="22"/>
      <c r="H674" s="22"/>
      <c r="I674" s="6"/>
    </row>
    <row r="675" spans="2:9">
      <c r="B675" s="7"/>
      <c r="C675" s="20"/>
      <c r="D675" s="21"/>
      <c r="E675" s="6"/>
      <c r="F675" s="22"/>
      <c r="G675" s="22"/>
      <c r="H675" s="22"/>
      <c r="I675" s="6"/>
    </row>
    <row r="676" spans="2:9">
      <c r="B676" s="7"/>
      <c r="C676" s="20"/>
      <c r="D676" s="21"/>
      <c r="E676" s="6"/>
      <c r="F676" s="22"/>
      <c r="G676" s="22"/>
      <c r="H676" s="22"/>
      <c r="I676" s="6"/>
    </row>
    <row r="677" spans="2:9">
      <c r="B677" s="7"/>
      <c r="C677" s="20"/>
      <c r="D677" s="21"/>
      <c r="E677" s="6"/>
      <c r="F677" s="22"/>
      <c r="G677" s="22"/>
      <c r="H677" s="22"/>
      <c r="I677" s="6"/>
    </row>
    <row r="678" spans="2:9">
      <c r="B678" s="7"/>
      <c r="C678" s="20"/>
      <c r="D678" s="21"/>
      <c r="E678" s="6"/>
      <c r="F678" s="22"/>
      <c r="G678" s="22"/>
      <c r="H678" s="22"/>
      <c r="I678" s="6"/>
    </row>
    <row r="679" spans="2:9">
      <c r="B679" s="7"/>
      <c r="C679" s="20"/>
      <c r="D679" s="21"/>
      <c r="E679" s="6"/>
      <c r="F679" s="22"/>
      <c r="G679" s="22"/>
      <c r="H679" s="22"/>
      <c r="I679" s="6"/>
    </row>
    <row r="680" spans="2:9">
      <c r="B680" s="7"/>
      <c r="C680" s="20"/>
      <c r="D680" s="21"/>
      <c r="E680" s="6"/>
      <c r="F680" s="22"/>
      <c r="G680" s="22"/>
      <c r="H680" s="22"/>
      <c r="I680" s="6"/>
    </row>
    <row r="681" spans="2:9">
      <c r="B681" s="7"/>
      <c r="C681" s="20"/>
      <c r="D681" s="21"/>
      <c r="E681" s="6"/>
      <c r="F681" s="22"/>
      <c r="G681" s="22"/>
      <c r="H681" s="22"/>
      <c r="I681" s="6"/>
    </row>
    <row r="682" spans="2:9">
      <c r="B682" s="7"/>
      <c r="C682" s="20"/>
      <c r="D682" s="21"/>
      <c r="E682" s="6"/>
      <c r="F682" s="22"/>
      <c r="G682" s="22"/>
      <c r="H682" s="22"/>
      <c r="I682" s="6"/>
    </row>
    <row r="683" spans="2:9">
      <c r="B683" s="7"/>
      <c r="C683" s="20"/>
      <c r="D683" s="21"/>
      <c r="E683" s="6"/>
      <c r="F683" s="22"/>
      <c r="G683" s="22"/>
      <c r="H683" s="22"/>
      <c r="I683" s="6"/>
    </row>
    <row r="684" spans="2:9">
      <c r="B684" s="7"/>
      <c r="C684" s="20"/>
      <c r="D684" s="21"/>
      <c r="E684" s="6"/>
      <c r="F684" s="22"/>
      <c r="G684" s="22"/>
      <c r="H684" s="22"/>
      <c r="I684" s="6"/>
    </row>
    <row r="685" spans="2:9">
      <c r="B685" s="7"/>
      <c r="C685" s="20"/>
      <c r="D685" s="21"/>
      <c r="E685" s="6"/>
      <c r="F685" s="22"/>
      <c r="G685" s="22"/>
      <c r="H685" s="22"/>
      <c r="I685" s="6"/>
    </row>
    <row r="686" spans="2:9">
      <c r="B686" s="7"/>
      <c r="C686" s="20"/>
      <c r="D686" s="21"/>
      <c r="E686" s="6"/>
      <c r="F686" s="22"/>
      <c r="G686" s="22"/>
      <c r="H686" s="22"/>
      <c r="I686" s="6"/>
    </row>
    <row r="687" spans="2:9">
      <c r="B687" s="7"/>
      <c r="C687" s="20"/>
      <c r="D687" s="21"/>
      <c r="E687" s="6"/>
      <c r="F687" s="22"/>
      <c r="G687" s="22"/>
      <c r="H687" s="22"/>
      <c r="I687" s="6"/>
    </row>
    <row r="688" spans="2:9">
      <c r="B688" s="7"/>
      <c r="C688" s="20"/>
      <c r="D688" s="21"/>
      <c r="E688" s="6"/>
      <c r="F688" s="22"/>
      <c r="G688" s="22"/>
      <c r="H688" s="22"/>
      <c r="I688" s="6"/>
    </row>
    <row r="689" spans="2:9">
      <c r="B689" s="7"/>
      <c r="C689" s="20"/>
      <c r="D689" s="21"/>
      <c r="E689" s="6"/>
      <c r="F689" s="22"/>
      <c r="G689" s="22"/>
      <c r="H689" s="22"/>
      <c r="I689" s="6"/>
    </row>
    <row r="690" spans="2:9">
      <c r="B690" s="7"/>
      <c r="C690" s="20"/>
      <c r="D690" s="21"/>
      <c r="E690" s="6"/>
      <c r="F690" s="22"/>
      <c r="G690" s="22"/>
      <c r="H690" s="22"/>
      <c r="I690" s="6"/>
    </row>
    <row r="691" spans="2:9">
      <c r="B691" s="7"/>
      <c r="C691" s="20"/>
      <c r="D691" s="21"/>
      <c r="E691" s="6"/>
      <c r="F691" s="22"/>
      <c r="G691" s="22"/>
      <c r="H691" s="22"/>
      <c r="I691" s="6"/>
    </row>
    <row r="692" spans="2:9">
      <c r="B692" s="7"/>
      <c r="C692" s="20"/>
      <c r="D692" s="21"/>
      <c r="E692" s="6"/>
      <c r="F692" s="22"/>
      <c r="G692" s="22"/>
      <c r="H692" s="22"/>
      <c r="I692" s="6"/>
    </row>
    <row r="693" spans="2:9">
      <c r="B693" s="7"/>
      <c r="C693" s="20"/>
      <c r="D693" s="21"/>
      <c r="E693" s="6"/>
      <c r="F693" s="22"/>
      <c r="G693" s="22"/>
      <c r="H693" s="22"/>
      <c r="I693" s="6"/>
    </row>
    <row r="694" spans="2:9">
      <c r="B694" s="7"/>
      <c r="C694" s="20"/>
      <c r="D694" s="21"/>
      <c r="E694" s="6"/>
      <c r="F694" s="22"/>
      <c r="G694" s="22"/>
      <c r="H694" s="22"/>
      <c r="I694" s="6"/>
    </row>
    <row r="695" spans="2:9">
      <c r="B695" s="7"/>
      <c r="C695" s="20"/>
      <c r="D695" s="21"/>
      <c r="E695" s="6"/>
      <c r="F695" s="22"/>
      <c r="G695" s="22"/>
      <c r="H695" s="22"/>
      <c r="I695" s="6"/>
    </row>
    <row r="696" spans="2:9">
      <c r="B696" s="7"/>
      <c r="C696" s="20"/>
      <c r="D696" s="21"/>
      <c r="E696" s="6"/>
      <c r="F696" s="22"/>
      <c r="G696" s="22"/>
      <c r="H696" s="22"/>
      <c r="I696" s="6"/>
    </row>
    <row r="697" spans="2:9">
      <c r="B697" s="7"/>
      <c r="C697" s="20"/>
      <c r="D697" s="21"/>
      <c r="E697" s="6"/>
      <c r="F697" s="22"/>
      <c r="G697" s="22"/>
      <c r="H697" s="22"/>
      <c r="I697" s="6"/>
    </row>
    <row r="698" spans="2:9">
      <c r="B698" s="7"/>
      <c r="C698" s="20"/>
      <c r="D698" s="21"/>
      <c r="E698" s="6"/>
      <c r="F698" s="22"/>
      <c r="G698" s="22"/>
      <c r="H698" s="22"/>
      <c r="I698" s="6"/>
    </row>
    <row r="699" spans="2:9">
      <c r="B699" s="7"/>
      <c r="C699" s="20"/>
      <c r="D699" s="21"/>
      <c r="E699" s="6"/>
      <c r="F699" s="22"/>
      <c r="G699" s="22"/>
      <c r="H699" s="22"/>
      <c r="I699" s="6"/>
    </row>
    <row r="700" spans="2:9">
      <c r="B700" s="7"/>
      <c r="C700" s="20"/>
      <c r="D700" s="21"/>
      <c r="E700" s="6"/>
      <c r="F700" s="22"/>
      <c r="G700" s="22"/>
      <c r="H700" s="22"/>
      <c r="I700" s="6"/>
    </row>
    <row r="701" spans="2:9">
      <c r="B701" s="7"/>
      <c r="C701" s="20"/>
      <c r="D701" s="21"/>
      <c r="E701" s="6"/>
      <c r="F701" s="22"/>
      <c r="G701" s="22"/>
      <c r="H701" s="22"/>
      <c r="I701" s="6"/>
    </row>
    <row r="702" spans="2:9">
      <c r="B702" s="7"/>
      <c r="C702" s="20"/>
      <c r="D702" s="21"/>
      <c r="E702" s="6"/>
      <c r="F702" s="22"/>
      <c r="G702" s="22"/>
      <c r="H702" s="22"/>
      <c r="I702" s="6"/>
    </row>
    <row r="703" spans="2:9">
      <c r="B703" s="7"/>
      <c r="C703" s="20"/>
      <c r="D703" s="21"/>
      <c r="E703" s="6"/>
      <c r="F703" s="22"/>
      <c r="G703" s="22"/>
      <c r="H703" s="22"/>
      <c r="I703" s="6"/>
    </row>
    <row r="704" spans="2:9">
      <c r="B704" s="7"/>
      <c r="C704" s="20"/>
      <c r="D704" s="21"/>
      <c r="E704" s="6"/>
      <c r="F704" s="22"/>
      <c r="G704" s="22"/>
      <c r="H704" s="22"/>
      <c r="I704" s="6"/>
    </row>
    <row r="705" spans="2:9">
      <c r="B705" s="7"/>
      <c r="C705" s="20"/>
      <c r="D705" s="21"/>
      <c r="E705" s="6"/>
      <c r="F705" s="22"/>
      <c r="G705" s="22"/>
      <c r="H705" s="22"/>
      <c r="I705" s="6"/>
    </row>
    <row r="706" spans="2:9">
      <c r="B706" s="7"/>
      <c r="C706" s="20"/>
      <c r="D706" s="21"/>
      <c r="E706" s="6"/>
      <c r="F706" s="22"/>
      <c r="G706" s="22"/>
      <c r="H706" s="22"/>
      <c r="I706" s="6"/>
    </row>
    <row r="707" spans="2:9">
      <c r="B707" s="7"/>
      <c r="C707" s="20"/>
      <c r="D707" s="21"/>
      <c r="E707" s="6"/>
      <c r="F707" s="22"/>
      <c r="G707" s="22"/>
      <c r="H707" s="22"/>
      <c r="I707" s="6"/>
    </row>
    <row r="708" spans="2:9">
      <c r="B708" s="7"/>
      <c r="C708" s="20"/>
      <c r="D708" s="21"/>
      <c r="E708" s="6"/>
      <c r="F708" s="22"/>
      <c r="G708" s="22"/>
      <c r="H708" s="22"/>
      <c r="I708" s="6"/>
    </row>
    <row r="709" spans="2:9">
      <c r="B709" s="7"/>
      <c r="C709" s="20"/>
      <c r="D709" s="21"/>
      <c r="E709" s="6"/>
      <c r="F709" s="22"/>
      <c r="G709" s="22"/>
      <c r="H709" s="22"/>
      <c r="I709" s="6"/>
    </row>
    <row r="710" spans="2:9">
      <c r="B710" s="7"/>
      <c r="C710" s="20"/>
      <c r="D710" s="21"/>
      <c r="E710" s="6"/>
      <c r="F710" s="22"/>
      <c r="G710" s="22"/>
      <c r="H710" s="22"/>
      <c r="I710" s="6"/>
    </row>
    <row r="711" spans="2:9">
      <c r="B711" s="7"/>
      <c r="C711" s="20"/>
      <c r="D711" s="21"/>
      <c r="E711" s="6"/>
      <c r="F711" s="22"/>
      <c r="G711" s="22"/>
      <c r="H711" s="22"/>
      <c r="I711" s="6"/>
    </row>
    <row r="712" spans="2:9">
      <c r="B712" s="7"/>
      <c r="C712" s="20"/>
      <c r="D712" s="21"/>
      <c r="E712" s="6"/>
      <c r="F712" s="22"/>
      <c r="G712" s="22"/>
      <c r="H712" s="22"/>
      <c r="I712" s="6"/>
    </row>
    <row r="713" spans="2:9">
      <c r="B713" s="7"/>
      <c r="C713" s="20"/>
      <c r="D713" s="21"/>
      <c r="E713" s="6"/>
      <c r="F713" s="22"/>
      <c r="G713" s="22"/>
      <c r="H713" s="22"/>
      <c r="I713" s="6"/>
    </row>
    <row r="714" spans="2:9">
      <c r="B714" s="7"/>
      <c r="C714" s="20"/>
      <c r="D714" s="21"/>
      <c r="E714" s="6"/>
      <c r="F714" s="22"/>
      <c r="G714" s="22"/>
      <c r="H714" s="22"/>
      <c r="I714" s="6"/>
    </row>
    <row r="715" spans="2:9">
      <c r="B715" s="7"/>
      <c r="C715" s="20"/>
      <c r="D715" s="21"/>
      <c r="E715" s="6"/>
      <c r="F715" s="22"/>
      <c r="G715" s="22"/>
      <c r="H715" s="22"/>
      <c r="I715" s="6"/>
    </row>
    <row r="716" spans="2:9">
      <c r="B716" s="7"/>
      <c r="C716" s="20"/>
      <c r="D716" s="21"/>
      <c r="E716" s="6"/>
      <c r="F716" s="22"/>
      <c r="G716" s="22"/>
      <c r="H716" s="22"/>
      <c r="I716" s="6"/>
    </row>
    <row r="717" spans="2:9">
      <c r="B717" s="7"/>
      <c r="C717" s="20"/>
      <c r="D717" s="21"/>
      <c r="E717" s="6"/>
      <c r="F717" s="22"/>
      <c r="G717" s="22"/>
      <c r="H717" s="22"/>
      <c r="I717" s="6"/>
    </row>
    <row r="718" spans="2:9">
      <c r="B718" s="7"/>
      <c r="C718" s="20"/>
      <c r="D718" s="21"/>
      <c r="E718" s="6"/>
      <c r="F718" s="22"/>
      <c r="G718" s="22"/>
      <c r="H718" s="22"/>
      <c r="I718" s="6"/>
    </row>
    <row r="719" spans="2:9">
      <c r="B719" s="7"/>
      <c r="C719" s="20"/>
      <c r="D719" s="21"/>
      <c r="E719" s="6"/>
      <c r="F719" s="22"/>
      <c r="G719" s="22"/>
      <c r="H719" s="22"/>
      <c r="I719" s="6"/>
    </row>
    <row r="720" spans="2:9">
      <c r="B720" s="7"/>
      <c r="C720" s="20"/>
      <c r="D720" s="21"/>
      <c r="E720" s="6"/>
      <c r="F720" s="22"/>
      <c r="G720" s="22"/>
      <c r="H720" s="22"/>
      <c r="I720" s="6"/>
    </row>
    <row r="721" spans="2:9">
      <c r="B721" s="7"/>
      <c r="C721" s="20"/>
      <c r="D721" s="21"/>
      <c r="E721" s="6"/>
      <c r="F721" s="22"/>
      <c r="G721" s="22"/>
      <c r="H721" s="22"/>
      <c r="I721" s="6"/>
    </row>
    <row r="722" spans="2:9">
      <c r="B722" s="7"/>
      <c r="C722" s="20"/>
      <c r="D722" s="21"/>
      <c r="E722" s="6"/>
      <c r="F722" s="22"/>
      <c r="G722" s="22"/>
      <c r="H722" s="22"/>
      <c r="I722" s="6"/>
    </row>
    <row r="723" spans="2:9">
      <c r="B723" s="7"/>
      <c r="C723" s="20"/>
      <c r="D723" s="21"/>
      <c r="E723" s="6"/>
      <c r="F723" s="22"/>
      <c r="G723" s="22"/>
      <c r="H723" s="22"/>
      <c r="I723" s="6"/>
    </row>
    <row r="724" spans="2:9">
      <c r="B724" s="7"/>
      <c r="C724" s="20"/>
      <c r="D724" s="21"/>
      <c r="E724" s="6"/>
      <c r="F724" s="22"/>
      <c r="G724" s="22"/>
      <c r="H724" s="22"/>
      <c r="I724" s="6"/>
    </row>
    <row r="725" spans="2:9">
      <c r="B725" s="7"/>
      <c r="C725" s="20"/>
      <c r="D725" s="21"/>
      <c r="E725" s="6"/>
      <c r="F725" s="22"/>
      <c r="G725" s="22"/>
      <c r="H725" s="22"/>
      <c r="I725" s="6"/>
    </row>
    <row r="726" spans="2:9">
      <c r="B726" s="7"/>
      <c r="C726" s="20"/>
      <c r="D726" s="21"/>
      <c r="E726" s="6"/>
      <c r="F726" s="22"/>
      <c r="G726" s="22"/>
      <c r="H726" s="22"/>
      <c r="I726" s="6"/>
    </row>
    <row r="727" spans="2:9">
      <c r="B727" s="7"/>
      <c r="C727" s="20"/>
      <c r="D727" s="21"/>
      <c r="E727" s="6"/>
      <c r="F727" s="22"/>
      <c r="G727" s="22"/>
      <c r="H727" s="22"/>
      <c r="I727" s="6"/>
    </row>
    <row r="728" spans="2:9">
      <c r="B728" s="7"/>
      <c r="C728" s="20"/>
      <c r="D728" s="21"/>
      <c r="E728" s="6"/>
      <c r="F728" s="22"/>
      <c r="G728" s="22"/>
      <c r="H728" s="22"/>
      <c r="I728" s="6"/>
    </row>
    <row r="729" spans="2:9">
      <c r="B729" s="7"/>
      <c r="C729" s="20"/>
      <c r="D729" s="21"/>
      <c r="E729" s="6"/>
      <c r="F729" s="22"/>
      <c r="G729" s="22"/>
      <c r="H729" s="22"/>
      <c r="I729" s="6"/>
    </row>
    <row r="730" spans="2:9">
      <c r="B730" s="7"/>
      <c r="C730" s="20"/>
      <c r="D730" s="21"/>
      <c r="E730" s="6"/>
      <c r="F730" s="22"/>
      <c r="G730" s="22"/>
      <c r="H730" s="22"/>
      <c r="I730" s="6"/>
    </row>
    <row r="731" spans="2:9">
      <c r="B731" s="7"/>
      <c r="C731" s="20"/>
      <c r="D731" s="21"/>
      <c r="E731" s="6"/>
      <c r="F731" s="22"/>
      <c r="G731" s="22"/>
      <c r="H731" s="22"/>
      <c r="I731" s="6"/>
    </row>
    <row r="732" spans="2:9">
      <c r="B732" s="7"/>
      <c r="C732" s="20"/>
      <c r="D732" s="21"/>
      <c r="E732" s="6"/>
      <c r="F732" s="22"/>
      <c r="G732" s="22"/>
      <c r="H732" s="22"/>
      <c r="I732" s="6"/>
    </row>
    <row r="733" spans="2:9">
      <c r="B733" s="7"/>
      <c r="C733" s="20"/>
      <c r="D733" s="21"/>
      <c r="E733" s="6"/>
      <c r="F733" s="22"/>
      <c r="G733" s="22"/>
      <c r="H733" s="22"/>
      <c r="I733" s="6"/>
    </row>
    <row r="734" spans="2:9">
      <c r="B734" s="7"/>
      <c r="C734" s="20"/>
      <c r="D734" s="21"/>
      <c r="E734" s="6"/>
      <c r="F734" s="22"/>
      <c r="G734" s="22"/>
      <c r="H734" s="22"/>
      <c r="I734" s="6"/>
    </row>
    <row r="735" spans="2:9">
      <c r="B735" s="7"/>
      <c r="C735" s="20"/>
      <c r="D735" s="21"/>
      <c r="E735" s="6"/>
      <c r="F735" s="22"/>
      <c r="G735" s="22"/>
      <c r="H735" s="22"/>
      <c r="I735" s="6"/>
    </row>
    <row r="736" spans="2:9">
      <c r="B736" s="7"/>
      <c r="C736" s="20"/>
      <c r="D736" s="21"/>
      <c r="E736" s="6"/>
      <c r="F736" s="22"/>
      <c r="G736" s="22"/>
      <c r="H736" s="22"/>
      <c r="I736" s="6"/>
    </row>
    <row r="737" spans="2:9">
      <c r="B737" s="7"/>
      <c r="C737" s="20"/>
      <c r="D737" s="21"/>
      <c r="E737" s="6"/>
      <c r="F737" s="22"/>
      <c r="G737" s="22"/>
      <c r="H737" s="22"/>
      <c r="I737" s="6"/>
    </row>
    <row r="738" spans="2:9">
      <c r="B738" s="7"/>
      <c r="C738" s="20"/>
      <c r="D738" s="21"/>
      <c r="E738" s="6"/>
      <c r="F738" s="22"/>
      <c r="G738" s="22"/>
      <c r="H738" s="22"/>
      <c r="I738" s="6"/>
    </row>
    <row r="739" spans="2:9">
      <c r="B739" s="7"/>
      <c r="C739" s="20"/>
      <c r="D739" s="21"/>
      <c r="E739" s="6"/>
      <c r="F739" s="22"/>
      <c r="G739" s="22"/>
      <c r="H739" s="22"/>
      <c r="I739" s="6"/>
    </row>
    <row r="740" spans="2:9">
      <c r="B740" s="7"/>
      <c r="C740" s="20"/>
      <c r="D740" s="21"/>
      <c r="E740" s="6"/>
      <c r="F740" s="22"/>
      <c r="G740" s="22"/>
      <c r="H740" s="22"/>
      <c r="I740" s="6"/>
    </row>
    <row r="741" spans="2:9">
      <c r="B741" s="7"/>
      <c r="C741" s="20"/>
      <c r="D741" s="21"/>
      <c r="E741" s="6"/>
      <c r="F741" s="22"/>
      <c r="G741" s="22"/>
      <c r="H741" s="22"/>
      <c r="I741" s="6"/>
    </row>
    <row r="742" spans="2:9">
      <c r="B742" s="7"/>
      <c r="C742" s="20"/>
      <c r="D742" s="21"/>
      <c r="E742" s="6"/>
      <c r="F742" s="22"/>
      <c r="G742" s="22"/>
      <c r="H742" s="22"/>
      <c r="I742" s="6"/>
    </row>
    <row r="743" spans="2:9">
      <c r="B743" s="7"/>
      <c r="C743" s="20"/>
      <c r="D743" s="21"/>
      <c r="E743" s="6"/>
      <c r="F743" s="22"/>
      <c r="G743" s="22"/>
      <c r="H743" s="22"/>
      <c r="I743" s="6"/>
    </row>
    <row r="744" spans="2:9">
      <c r="B744" s="7"/>
      <c r="C744" s="20"/>
      <c r="D744" s="21"/>
      <c r="E744" s="6"/>
      <c r="F744" s="22"/>
      <c r="G744" s="22"/>
      <c r="H744" s="22"/>
      <c r="I744" s="6"/>
    </row>
    <row r="745" spans="2:9">
      <c r="B745" s="7"/>
      <c r="C745" s="20"/>
      <c r="D745" s="21"/>
      <c r="E745" s="6"/>
      <c r="F745" s="22"/>
      <c r="G745" s="22"/>
      <c r="H745" s="22"/>
      <c r="I745" s="6"/>
    </row>
    <row r="746" spans="2:9">
      <c r="B746" s="7"/>
      <c r="C746" s="20"/>
      <c r="D746" s="21"/>
      <c r="E746" s="6"/>
      <c r="F746" s="22"/>
      <c r="G746" s="22"/>
      <c r="H746" s="22"/>
      <c r="I746" s="6"/>
    </row>
    <row r="747" spans="2:9">
      <c r="B747" s="7"/>
      <c r="C747" s="20"/>
      <c r="D747" s="21"/>
      <c r="E747" s="6"/>
      <c r="F747" s="22"/>
      <c r="G747" s="22"/>
      <c r="H747" s="22"/>
      <c r="I747" s="6"/>
    </row>
    <row r="748" spans="2:9">
      <c r="B748" s="7"/>
      <c r="C748" s="20"/>
      <c r="D748" s="21"/>
      <c r="E748" s="6"/>
      <c r="F748" s="22"/>
      <c r="G748" s="22"/>
      <c r="H748" s="22"/>
      <c r="I748" s="6"/>
    </row>
    <row r="749" spans="2:9">
      <c r="B749" s="7"/>
      <c r="C749" s="20"/>
      <c r="D749" s="21"/>
      <c r="E749" s="6"/>
      <c r="F749" s="22"/>
      <c r="G749" s="22"/>
      <c r="H749" s="22"/>
      <c r="I749" s="6"/>
    </row>
    <row r="750" spans="2:9">
      <c r="B750" s="7"/>
      <c r="C750" s="20"/>
      <c r="D750" s="21"/>
      <c r="E750" s="6"/>
      <c r="F750" s="22"/>
      <c r="G750" s="22"/>
      <c r="H750" s="22"/>
      <c r="I750" s="6"/>
    </row>
    <row r="751" spans="2:9">
      <c r="B751" s="7"/>
      <c r="C751" s="20"/>
      <c r="D751" s="21"/>
      <c r="E751" s="6"/>
      <c r="F751" s="22"/>
      <c r="G751" s="22"/>
      <c r="H751" s="22"/>
      <c r="I751" s="6"/>
    </row>
    <row r="752" spans="2:9">
      <c r="B752" s="7"/>
      <c r="C752" s="20"/>
      <c r="D752" s="21"/>
      <c r="E752" s="6"/>
      <c r="F752" s="22"/>
      <c r="G752" s="22"/>
      <c r="H752" s="22"/>
      <c r="I752" s="6"/>
    </row>
    <row r="753" spans="2:9">
      <c r="B753" s="7"/>
      <c r="C753" s="20"/>
      <c r="D753" s="21"/>
      <c r="E753" s="6"/>
      <c r="F753" s="22"/>
      <c r="G753" s="22"/>
      <c r="H753" s="22"/>
      <c r="I753" s="6"/>
    </row>
    <row r="754" spans="2:9">
      <c r="B754" s="7"/>
      <c r="C754" s="20"/>
      <c r="D754" s="21"/>
      <c r="E754" s="6"/>
      <c r="F754" s="22"/>
      <c r="G754" s="22"/>
      <c r="H754" s="22"/>
      <c r="I754" s="6"/>
    </row>
    <row r="755" spans="2:9">
      <c r="B755" s="7"/>
      <c r="C755" s="20"/>
      <c r="D755" s="21"/>
      <c r="E755" s="6"/>
      <c r="F755" s="22"/>
      <c r="G755" s="22"/>
      <c r="H755" s="22"/>
      <c r="I755" s="6"/>
    </row>
    <row r="756" spans="2:9">
      <c r="B756" s="7"/>
      <c r="C756" s="20"/>
      <c r="D756" s="21"/>
      <c r="E756" s="6"/>
      <c r="F756" s="22"/>
      <c r="G756" s="22"/>
      <c r="H756" s="22"/>
      <c r="I756" s="6"/>
    </row>
    <row r="757" spans="2:9">
      <c r="B757" s="7"/>
      <c r="C757" s="20"/>
      <c r="D757" s="21"/>
      <c r="E757" s="6"/>
      <c r="F757" s="22"/>
      <c r="G757" s="22"/>
      <c r="H757" s="22"/>
      <c r="I757" s="6"/>
    </row>
    <row r="758" spans="2:9">
      <c r="B758" s="7"/>
      <c r="C758" s="20"/>
      <c r="D758" s="21"/>
      <c r="E758" s="6"/>
      <c r="F758" s="22"/>
      <c r="G758" s="22"/>
      <c r="H758" s="22"/>
      <c r="I758" s="6"/>
    </row>
    <row r="759" spans="2:9">
      <c r="B759" s="7"/>
      <c r="C759" s="20"/>
      <c r="D759" s="21"/>
      <c r="E759" s="6"/>
      <c r="F759" s="22"/>
      <c r="G759" s="22"/>
      <c r="H759" s="22"/>
      <c r="I759" s="6"/>
    </row>
    <row r="760" spans="2:9">
      <c r="B760" s="7"/>
      <c r="C760" s="20"/>
      <c r="D760" s="21"/>
      <c r="E760" s="6"/>
      <c r="F760" s="22"/>
      <c r="G760" s="22"/>
      <c r="H760" s="22"/>
      <c r="I760" s="6"/>
    </row>
    <row r="761" spans="2:9">
      <c r="B761" s="7"/>
      <c r="C761" s="20"/>
      <c r="D761" s="21"/>
      <c r="E761" s="6"/>
      <c r="F761" s="22"/>
      <c r="G761" s="22"/>
      <c r="H761" s="22"/>
      <c r="I761" s="6"/>
    </row>
    <row r="762" spans="2:9">
      <c r="B762" s="7"/>
      <c r="C762" s="20"/>
      <c r="D762" s="21"/>
      <c r="E762" s="6"/>
      <c r="F762" s="22"/>
      <c r="G762" s="22"/>
      <c r="H762" s="22"/>
      <c r="I762" s="6"/>
    </row>
    <row r="763" spans="2:9">
      <c r="B763" s="7"/>
      <c r="C763" s="20"/>
      <c r="D763" s="21"/>
      <c r="E763" s="6"/>
      <c r="F763" s="22"/>
      <c r="G763" s="22"/>
      <c r="H763" s="22"/>
      <c r="I763" s="6"/>
    </row>
    <row r="764" spans="2:9">
      <c r="B764" s="7"/>
      <c r="C764" s="20"/>
      <c r="D764" s="21"/>
      <c r="E764" s="6"/>
      <c r="F764" s="22"/>
      <c r="G764" s="22"/>
      <c r="H764" s="22"/>
      <c r="I764" s="6"/>
    </row>
    <row r="765" spans="2:9">
      <c r="B765" s="7"/>
      <c r="C765" s="20"/>
      <c r="D765" s="21"/>
      <c r="E765" s="6"/>
      <c r="F765" s="22"/>
      <c r="G765" s="22"/>
      <c r="H765" s="22"/>
      <c r="I765" s="6"/>
    </row>
    <row r="766" spans="2:9">
      <c r="B766" s="7"/>
      <c r="C766" s="20"/>
      <c r="D766" s="21"/>
      <c r="E766" s="6"/>
      <c r="F766" s="22"/>
      <c r="G766" s="22"/>
      <c r="H766" s="22"/>
      <c r="I766" s="6"/>
    </row>
    <row r="767" spans="2:9">
      <c r="B767" s="7"/>
      <c r="C767" s="20"/>
      <c r="D767" s="21"/>
      <c r="E767" s="6"/>
      <c r="F767" s="22"/>
      <c r="G767" s="22"/>
      <c r="H767" s="22"/>
      <c r="I767" s="6"/>
    </row>
    <row r="768" spans="2:9">
      <c r="B768" s="7"/>
      <c r="C768" s="20"/>
      <c r="D768" s="21"/>
      <c r="E768" s="6"/>
      <c r="F768" s="22"/>
      <c r="G768" s="22"/>
      <c r="H768" s="22"/>
      <c r="I768" s="6"/>
    </row>
    <row r="769" spans="2:9">
      <c r="B769" s="7"/>
      <c r="C769" s="20"/>
      <c r="D769" s="21"/>
      <c r="E769" s="6"/>
      <c r="F769" s="22"/>
      <c r="G769" s="22"/>
      <c r="H769" s="22"/>
      <c r="I769" s="6"/>
    </row>
    <row r="770" spans="2:9">
      <c r="B770" s="7"/>
      <c r="C770" s="20"/>
      <c r="D770" s="21"/>
      <c r="E770" s="6"/>
      <c r="F770" s="22"/>
      <c r="G770" s="22"/>
      <c r="H770" s="22"/>
      <c r="I770" s="6"/>
    </row>
    <row r="771" spans="2:9">
      <c r="B771" s="7"/>
      <c r="C771" s="20"/>
      <c r="D771" s="21"/>
      <c r="E771" s="6"/>
      <c r="F771" s="22"/>
      <c r="G771" s="22"/>
      <c r="H771" s="22"/>
      <c r="I771" s="6"/>
    </row>
    <row r="772" spans="2:9">
      <c r="B772" s="7"/>
      <c r="C772" s="20"/>
      <c r="D772" s="21"/>
      <c r="E772" s="6"/>
      <c r="F772" s="22"/>
      <c r="G772" s="22"/>
      <c r="H772" s="22"/>
      <c r="I772" s="6"/>
    </row>
    <row r="773" spans="2:9">
      <c r="B773" s="7"/>
      <c r="C773" s="20"/>
      <c r="D773" s="21"/>
      <c r="E773" s="6"/>
      <c r="F773" s="22"/>
      <c r="G773" s="22"/>
      <c r="H773" s="22"/>
      <c r="I773" s="6"/>
    </row>
    <row r="774" spans="2:9">
      <c r="B774" s="7"/>
      <c r="C774" s="20"/>
      <c r="D774" s="21"/>
      <c r="E774" s="6"/>
      <c r="F774" s="22"/>
      <c r="G774" s="22"/>
      <c r="H774" s="22"/>
      <c r="I774" s="6"/>
    </row>
    <row r="775" spans="2:9">
      <c r="B775" s="7"/>
      <c r="C775" s="20"/>
      <c r="D775" s="21"/>
      <c r="E775" s="6"/>
      <c r="F775" s="22"/>
      <c r="G775" s="22"/>
      <c r="H775" s="22"/>
      <c r="I775" s="6"/>
    </row>
    <row r="776" spans="2:9">
      <c r="B776" s="7"/>
      <c r="C776" s="20"/>
      <c r="D776" s="21"/>
      <c r="E776" s="6"/>
      <c r="F776" s="22"/>
      <c r="G776" s="22"/>
      <c r="H776" s="22"/>
      <c r="I776" s="6"/>
    </row>
    <row r="777" spans="2:9">
      <c r="B777" s="7"/>
      <c r="C777" s="20"/>
      <c r="D777" s="21"/>
      <c r="E777" s="6"/>
      <c r="F777" s="22"/>
      <c r="G777" s="22"/>
      <c r="H777" s="22"/>
      <c r="I777" s="6"/>
    </row>
    <row r="778" spans="2:9">
      <c r="B778" s="7"/>
      <c r="C778" s="20"/>
      <c r="D778" s="21"/>
      <c r="E778" s="6"/>
      <c r="F778" s="22"/>
      <c r="G778" s="22"/>
      <c r="H778" s="22"/>
      <c r="I778" s="6"/>
    </row>
    <row r="779" spans="2:9">
      <c r="B779" s="7"/>
      <c r="C779" s="20"/>
      <c r="D779" s="21"/>
      <c r="E779" s="6"/>
      <c r="F779" s="22"/>
      <c r="G779" s="22"/>
      <c r="H779" s="22"/>
      <c r="I779" s="6"/>
    </row>
    <row r="780" spans="2:9">
      <c r="B780" s="7"/>
      <c r="C780" s="20"/>
      <c r="D780" s="21"/>
      <c r="E780" s="6"/>
      <c r="F780" s="22"/>
      <c r="G780" s="22"/>
      <c r="H780" s="22"/>
      <c r="I780" s="6"/>
    </row>
    <row r="781" spans="2:9">
      <c r="B781" s="7"/>
      <c r="C781" s="20"/>
      <c r="D781" s="21"/>
      <c r="E781" s="6"/>
      <c r="F781" s="22"/>
      <c r="G781" s="22"/>
      <c r="H781" s="22"/>
      <c r="I781" s="6"/>
    </row>
    <row r="782" spans="2:9">
      <c r="B782" s="7"/>
      <c r="C782" s="20"/>
      <c r="D782" s="21"/>
      <c r="E782" s="6"/>
      <c r="F782" s="22"/>
      <c r="G782" s="22"/>
      <c r="H782" s="22"/>
      <c r="I782" s="6"/>
    </row>
    <row r="783" spans="2:9">
      <c r="B783" s="7"/>
      <c r="C783" s="20"/>
      <c r="D783" s="21"/>
      <c r="E783" s="6"/>
      <c r="F783" s="22"/>
      <c r="G783" s="22"/>
      <c r="H783" s="22"/>
      <c r="I783" s="6"/>
    </row>
    <row r="784" spans="2:9">
      <c r="B784" s="7"/>
      <c r="C784" s="20"/>
      <c r="D784" s="21"/>
      <c r="E784" s="6"/>
      <c r="F784" s="22"/>
      <c r="G784" s="22"/>
      <c r="H784" s="22"/>
      <c r="I784" s="6"/>
    </row>
    <row r="785" spans="2:9">
      <c r="B785" s="7"/>
      <c r="C785" s="20"/>
      <c r="D785" s="21"/>
      <c r="E785" s="6"/>
      <c r="F785" s="22"/>
      <c r="G785" s="22"/>
      <c r="H785" s="22"/>
      <c r="I785" s="6"/>
    </row>
    <row r="786" spans="2:9">
      <c r="B786" s="7"/>
      <c r="C786" s="20"/>
      <c r="D786" s="21"/>
      <c r="E786" s="6"/>
      <c r="F786" s="22"/>
      <c r="G786" s="22"/>
      <c r="H786" s="22"/>
      <c r="I786" s="6"/>
    </row>
    <row r="787" spans="2:9">
      <c r="B787" s="7"/>
      <c r="C787" s="20"/>
      <c r="D787" s="21"/>
      <c r="E787" s="6"/>
      <c r="F787" s="22"/>
      <c r="G787" s="22"/>
      <c r="H787" s="22"/>
      <c r="I787" s="6"/>
    </row>
    <row r="788" spans="2:9">
      <c r="B788" s="7"/>
      <c r="C788" s="20"/>
      <c r="D788" s="21"/>
      <c r="E788" s="6"/>
      <c r="F788" s="22"/>
      <c r="G788" s="22"/>
      <c r="H788" s="22"/>
      <c r="I788" s="6"/>
    </row>
    <row r="789" spans="2:9">
      <c r="B789" s="7"/>
      <c r="C789" s="20"/>
      <c r="D789" s="21"/>
      <c r="E789" s="6"/>
      <c r="F789" s="22"/>
      <c r="G789" s="22"/>
      <c r="H789" s="22"/>
      <c r="I789" s="6"/>
    </row>
    <row r="790" spans="2:9">
      <c r="B790" s="7"/>
      <c r="C790" s="20"/>
      <c r="D790" s="21"/>
      <c r="E790" s="6"/>
      <c r="F790" s="22"/>
      <c r="G790" s="22"/>
      <c r="H790" s="22"/>
      <c r="I790" s="6"/>
    </row>
    <row r="791" spans="2:9">
      <c r="B791" s="7"/>
      <c r="C791" s="20"/>
      <c r="D791" s="21"/>
      <c r="E791" s="6"/>
      <c r="F791" s="22"/>
      <c r="G791" s="22"/>
      <c r="H791" s="22"/>
      <c r="I791" s="6"/>
    </row>
    <row r="792" spans="2:9">
      <c r="B792" s="7"/>
      <c r="C792" s="20"/>
      <c r="D792" s="21"/>
      <c r="E792" s="6"/>
      <c r="F792" s="22"/>
      <c r="G792" s="22"/>
      <c r="H792" s="22"/>
      <c r="I792" s="6"/>
    </row>
    <row r="793" spans="2:9">
      <c r="B793" s="7"/>
      <c r="C793" s="20"/>
      <c r="D793" s="21"/>
      <c r="E793" s="6"/>
      <c r="F793" s="22"/>
      <c r="G793" s="22"/>
      <c r="H793" s="22"/>
      <c r="I793" s="6"/>
    </row>
    <row r="794" spans="2:9">
      <c r="B794" s="7"/>
      <c r="C794" s="20"/>
      <c r="D794" s="21"/>
      <c r="E794" s="6"/>
      <c r="F794" s="22"/>
      <c r="G794" s="22"/>
      <c r="H794" s="22"/>
      <c r="I794" s="6"/>
    </row>
    <row r="795" spans="2:9">
      <c r="B795" s="7"/>
      <c r="C795" s="20"/>
      <c r="D795" s="21"/>
      <c r="E795" s="6"/>
      <c r="F795" s="22"/>
      <c r="G795" s="22"/>
      <c r="H795" s="22"/>
      <c r="I795" s="6"/>
    </row>
    <row r="796" spans="2:9">
      <c r="B796" s="7"/>
      <c r="C796" s="20"/>
      <c r="D796" s="21"/>
      <c r="E796" s="6"/>
      <c r="F796" s="22"/>
      <c r="G796" s="22"/>
      <c r="H796" s="22"/>
      <c r="I796" s="6"/>
    </row>
    <row r="797" spans="2:9">
      <c r="B797" s="7"/>
      <c r="C797" s="20"/>
      <c r="D797" s="21"/>
      <c r="E797" s="6"/>
      <c r="F797" s="22"/>
      <c r="G797" s="22"/>
      <c r="H797" s="22"/>
      <c r="I797" s="6"/>
    </row>
    <row r="798" spans="2:9">
      <c r="B798" s="7"/>
      <c r="C798" s="20"/>
      <c r="D798" s="21"/>
      <c r="E798" s="6"/>
      <c r="F798" s="22"/>
      <c r="G798" s="22"/>
      <c r="H798" s="22"/>
      <c r="I798" s="6"/>
    </row>
    <row r="799" spans="2:9">
      <c r="B799" s="7"/>
      <c r="C799" s="20"/>
      <c r="D799" s="21"/>
      <c r="E799" s="6"/>
      <c r="F799" s="22"/>
      <c r="G799" s="22"/>
      <c r="H799" s="22"/>
      <c r="I799" s="6"/>
    </row>
    <row r="800" spans="2:9">
      <c r="B800" s="7"/>
      <c r="C800" s="20"/>
      <c r="D800" s="21"/>
      <c r="E800" s="6"/>
      <c r="F800" s="22"/>
      <c r="G800" s="22"/>
      <c r="H800" s="22"/>
      <c r="I800" s="6"/>
    </row>
    <row r="801" spans="2:9">
      <c r="B801" s="7"/>
      <c r="C801" s="20"/>
      <c r="D801" s="21"/>
      <c r="E801" s="6"/>
      <c r="F801" s="22"/>
      <c r="G801" s="22"/>
      <c r="H801" s="22"/>
      <c r="I801" s="6"/>
    </row>
    <row r="802" spans="2:9">
      <c r="B802" s="7"/>
      <c r="C802" s="20"/>
      <c r="D802" s="21"/>
      <c r="E802" s="6"/>
      <c r="F802" s="22"/>
      <c r="G802" s="22"/>
      <c r="H802" s="22"/>
      <c r="I802" s="6"/>
    </row>
    <row r="803" spans="2:9">
      <c r="B803" s="7"/>
      <c r="C803" s="20"/>
      <c r="D803" s="21"/>
      <c r="E803" s="6"/>
      <c r="F803" s="22"/>
      <c r="G803" s="22"/>
      <c r="H803" s="22"/>
      <c r="I803" s="6"/>
    </row>
    <row r="804" spans="2:9">
      <c r="B804" s="7"/>
      <c r="C804" s="20"/>
      <c r="D804" s="21"/>
      <c r="E804" s="6"/>
      <c r="F804" s="22"/>
      <c r="G804" s="22"/>
      <c r="H804" s="22"/>
      <c r="I804" s="6"/>
    </row>
    <row r="805" spans="2:9">
      <c r="B805" s="7"/>
      <c r="C805" s="20"/>
      <c r="D805" s="21"/>
      <c r="E805" s="6"/>
      <c r="F805" s="22"/>
      <c r="G805" s="22"/>
      <c r="H805" s="22"/>
      <c r="I805" s="6"/>
    </row>
    <row r="806" spans="2:9">
      <c r="B806" s="7"/>
      <c r="C806" s="20"/>
      <c r="D806" s="21"/>
      <c r="E806" s="6"/>
      <c r="F806" s="22"/>
      <c r="G806" s="22"/>
      <c r="H806" s="22"/>
      <c r="I806" s="6"/>
    </row>
    <row r="807" spans="2:9">
      <c r="B807" s="7"/>
      <c r="C807" s="20"/>
      <c r="D807" s="21"/>
      <c r="E807" s="6"/>
      <c r="F807" s="22"/>
      <c r="G807" s="22"/>
      <c r="H807" s="22"/>
      <c r="I807" s="6"/>
    </row>
    <row r="808" spans="2:9">
      <c r="B808" s="7"/>
      <c r="C808" s="20"/>
      <c r="D808" s="21"/>
      <c r="E808" s="6"/>
      <c r="F808" s="22"/>
      <c r="G808" s="22"/>
      <c r="H808" s="22"/>
      <c r="I808" s="6"/>
    </row>
    <row r="809" spans="2:9">
      <c r="B809" s="7"/>
      <c r="C809" s="20"/>
      <c r="D809" s="21"/>
      <c r="E809" s="6"/>
      <c r="F809" s="22"/>
      <c r="G809" s="22"/>
      <c r="H809" s="22"/>
      <c r="I809" s="6"/>
    </row>
    <row r="810" spans="2:9">
      <c r="B810" s="7"/>
      <c r="C810" s="20"/>
      <c r="D810" s="21"/>
      <c r="E810" s="6"/>
      <c r="F810" s="22"/>
      <c r="G810" s="22"/>
      <c r="H810" s="22"/>
      <c r="I810" s="6"/>
    </row>
    <row r="811" spans="2:9">
      <c r="B811" s="7"/>
      <c r="C811" s="20"/>
      <c r="D811" s="21"/>
      <c r="E811" s="6"/>
      <c r="F811" s="22"/>
      <c r="G811" s="22"/>
      <c r="H811" s="22"/>
      <c r="I811" s="6"/>
    </row>
    <row r="812" spans="2:9">
      <c r="B812" s="7"/>
      <c r="C812" s="20"/>
      <c r="D812" s="21"/>
      <c r="E812" s="6"/>
      <c r="F812" s="22"/>
      <c r="G812" s="22"/>
      <c r="H812" s="22"/>
      <c r="I812" s="6"/>
    </row>
    <row r="813" spans="2:9">
      <c r="B813" s="7"/>
      <c r="C813" s="20"/>
      <c r="D813" s="21"/>
      <c r="E813" s="6"/>
      <c r="F813" s="22"/>
      <c r="G813" s="22"/>
      <c r="H813" s="22"/>
      <c r="I813" s="6"/>
    </row>
    <row r="814" spans="2:9">
      <c r="B814" s="7"/>
      <c r="C814" s="20"/>
      <c r="D814" s="21"/>
      <c r="E814" s="6"/>
      <c r="F814" s="22"/>
      <c r="G814" s="22"/>
      <c r="H814" s="22"/>
      <c r="I814" s="6"/>
    </row>
    <row r="815" spans="2:9">
      <c r="B815" s="7"/>
      <c r="C815" s="20"/>
      <c r="D815" s="21"/>
      <c r="E815" s="6"/>
      <c r="F815" s="22"/>
      <c r="G815" s="22"/>
      <c r="H815" s="22"/>
      <c r="I815" s="6"/>
    </row>
    <row r="816" spans="2:9">
      <c r="B816" s="7"/>
      <c r="C816" s="20"/>
      <c r="D816" s="21"/>
      <c r="E816" s="6"/>
      <c r="F816" s="22"/>
      <c r="G816" s="22"/>
      <c r="H816" s="22"/>
      <c r="I816" s="6"/>
    </row>
    <row r="817" spans="2:9">
      <c r="B817" s="7"/>
      <c r="C817" s="20"/>
      <c r="D817" s="21"/>
      <c r="E817" s="6"/>
      <c r="F817" s="22"/>
      <c r="G817" s="22"/>
      <c r="H817" s="22"/>
      <c r="I817" s="6"/>
    </row>
    <row r="818" spans="2:9">
      <c r="B818" s="7"/>
      <c r="C818" s="20"/>
      <c r="D818" s="21"/>
      <c r="E818" s="6"/>
      <c r="F818" s="22"/>
      <c r="G818" s="22"/>
      <c r="H818" s="22"/>
      <c r="I818" s="6"/>
    </row>
    <row r="819" spans="2:9">
      <c r="B819" s="7"/>
      <c r="C819" s="20"/>
      <c r="D819" s="21"/>
      <c r="E819" s="6"/>
      <c r="F819" s="22"/>
      <c r="G819" s="22"/>
      <c r="H819" s="22"/>
      <c r="I819" s="6"/>
    </row>
    <row r="820" spans="2:9">
      <c r="B820" s="7"/>
      <c r="C820" s="20"/>
      <c r="D820" s="21"/>
      <c r="E820" s="6"/>
      <c r="F820" s="22"/>
      <c r="G820" s="22"/>
      <c r="H820" s="22"/>
      <c r="I820" s="6"/>
    </row>
    <row r="821" spans="2:9">
      <c r="B821" s="7"/>
      <c r="C821" s="20"/>
      <c r="D821" s="21"/>
      <c r="E821" s="6"/>
      <c r="F821" s="22"/>
      <c r="G821" s="22"/>
      <c r="H821" s="22"/>
      <c r="I821" s="6"/>
    </row>
    <row r="822" spans="2:9">
      <c r="B822" s="7"/>
      <c r="C822" s="20"/>
      <c r="D822" s="21"/>
      <c r="E822" s="6"/>
      <c r="F822" s="22"/>
      <c r="G822" s="22"/>
      <c r="H822" s="22"/>
      <c r="I822" s="6"/>
    </row>
    <row r="823" spans="2:9">
      <c r="B823" s="7"/>
      <c r="C823" s="20"/>
      <c r="D823" s="21"/>
      <c r="E823" s="6"/>
      <c r="F823" s="22"/>
      <c r="G823" s="22"/>
      <c r="H823" s="22"/>
      <c r="I823" s="6"/>
    </row>
    <row r="824" spans="2:9">
      <c r="B824" s="7"/>
      <c r="C824" s="20"/>
      <c r="D824" s="21"/>
      <c r="E824" s="6"/>
      <c r="F824" s="22"/>
      <c r="G824" s="22"/>
      <c r="H824" s="22"/>
      <c r="I824" s="6"/>
    </row>
    <row r="825" spans="2:9">
      <c r="B825" s="7"/>
      <c r="C825" s="20"/>
      <c r="D825" s="21"/>
      <c r="E825" s="6"/>
      <c r="F825" s="22"/>
      <c r="G825" s="22"/>
      <c r="H825" s="22"/>
      <c r="I825" s="6"/>
    </row>
    <row r="826" spans="2:9">
      <c r="B826" s="7"/>
      <c r="C826" s="20"/>
      <c r="D826" s="21"/>
      <c r="E826" s="6"/>
      <c r="F826" s="22"/>
      <c r="G826" s="22"/>
      <c r="H826" s="22"/>
      <c r="I826" s="6"/>
    </row>
    <row r="827" spans="2:9">
      <c r="B827" s="7"/>
      <c r="C827" s="20"/>
      <c r="D827" s="21"/>
      <c r="E827" s="6"/>
      <c r="F827" s="22"/>
      <c r="G827" s="22"/>
      <c r="H827" s="22"/>
      <c r="I827" s="6"/>
    </row>
    <row r="828" spans="2:9">
      <c r="B828" s="7"/>
      <c r="C828" s="20"/>
      <c r="D828" s="21"/>
      <c r="E828" s="6"/>
      <c r="F828" s="22"/>
      <c r="G828" s="22"/>
      <c r="H828" s="22"/>
      <c r="I828" s="6"/>
    </row>
    <row r="829" spans="2:9">
      <c r="B829" s="7"/>
      <c r="C829" s="20"/>
      <c r="D829" s="21"/>
      <c r="E829" s="6"/>
      <c r="F829" s="22"/>
      <c r="G829" s="22"/>
      <c r="H829" s="22"/>
      <c r="I829" s="6"/>
    </row>
    <row r="830" spans="2:9">
      <c r="B830" s="7"/>
      <c r="C830" s="20"/>
      <c r="D830" s="21"/>
      <c r="E830" s="6"/>
      <c r="F830" s="22"/>
      <c r="G830" s="22"/>
      <c r="H830" s="22"/>
      <c r="I830" s="6"/>
    </row>
    <row r="831" spans="2:9">
      <c r="B831" s="7"/>
      <c r="C831" s="20"/>
      <c r="D831" s="21"/>
      <c r="E831" s="6"/>
      <c r="F831" s="22"/>
      <c r="G831" s="22"/>
      <c r="H831" s="22"/>
      <c r="I831" s="6"/>
    </row>
    <row r="832" spans="2:9">
      <c r="B832" s="7"/>
      <c r="C832" s="20"/>
      <c r="D832" s="21"/>
      <c r="E832" s="6"/>
      <c r="F832" s="22"/>
      <c r="G832" s="22"/>
      <c r="H832" s="22"/>
      <c r="I832" s="6"/>
    </row>
    <row r="833" spans="2:9">
      <c r="B833" s="7"/>
      <c r="C833" s="20"/>
      <c r="D833" s="21"/>
      <c r="E833" s="6"/>
      <c r="F833" s="22"/>
      <c r="G833" s="22"/>
      <c r="H833" s="22"/>
      <c r="I833" s="6"/>
    </row>
    <row r="834" spans="2:9">
      <c r="B834" s="7"/>
      <c r="C834" s="20"/>
      <c r="D834" s="21"/>
      <c r="E834" s="6"/>
      <c r="F834" s="22"/>
      <c r="G834" s="22"/>
      <c r="H834" s="22"/>
      <c r="I834" s="6"/>
    </row>
    <row r="835" spans="2:9">
      <c r="B835" s="7"/>
      <c r="C835" s="20"/>
      <c r="D835" s="21"/>
      <c r="E835" s="6"/>
      <c r="F835" s="22"/>
      <c r="G835" s="22"/>
      <c r="H835" s="22"/>
      <c r="I835" s="6"/>
    </row>
    <row r="836" spans="2:9">
      <c r="B836" s="7"/>
      <c r="C836" s="20"/>
      <c r="D836" s="21"/>
      <c r="E836" s="6"/>
      <c r="F836" s="22"/>
      <c r="G836" s="22"/>
      <c r="H836" s="22"/>
      <c r="I836" s="6"/>
    </row>
    <row r="837" spans="2:9">
      <c r="B837" s="7"/>
      <c r="C837" s="20"/>
      <c r="D837" s="21"/>
      <c r="E837" s="6"/>
      <c r="F837" s="22"/>
      <c r="G837" s="22"/>
      <c r="H837" s="22"/>
      <c r="I837" s="6"/>
    </row>
    <row r="838" spans="2:9">
      <c r="B838" s="7"/>
      <c r="C838" s="20"/>
      <c r="D838" s="21"/>
      <c r="E838" s="6"/>
      <c r="F838" s="22"/>
      <c r="G838" s="22"/>
      <c r="H838" s="22"/>
      <c r="I838" s="6"/>
    </row>
    <row r="839" spans="2:9">
      <c r="B839" s="7"/>
      <c r="C839" s="20"/>
      <c r="D839" s="21"/>
      <c r="E839" s="6"/>
      <c r="F839" s="22"/>
      <c r="G839" s="22"/>
      <c r="H839" s="22"/>
      <c r="I839" s="6"/>
    </row>
    <row r="840" spans="2:9">
      <c r="B840" s="7"/>
      <c r="C840" s="20"/>
      <c r="D840" s="21"/>
      <c r="E840" s="6"/>
      <c r="F840" s="22"/>
      <c r="G840" s="22"/>
      <c r="H840" s="22"/>
      <c r="I840" s="6"/>
    </row>
    <row r="841" spans="2:9">
      <c r="B841" s="7"/>
      <c r="C841" s="20"/>
      <c r="D841" s="21"/>
      <c r="E841" s="6"/>
      <c r="F841" s="22"/>
      <c r="G841" s="22"/>
      <c r="H841" s="22"/>
      <c r="I841" s="6"/>
    </row>
    <row r="842" spans="2:9">
      <c r="B842" s="7"/>
      <c r="C842" s="20"/>
      <c r="D842" s="21"/>
      <c r="E842" s="6"/>
      <c r="F842" s="22"/>
      <c r="G842" s="22"/>
      <c r="H842" s="22"/>
      <c r="I842" s="6"/>
    </row>
    <row r="843" spans="2:9">
      <c r="B843" s="7"/>
      <c r="C843" s="20"/>
      <c r="D843" s="21"/>
      <c r="E843" s="6"/>
      <c r="F843" s="22"/>
      <c r="G843" s="22"/>
      <c r="H843" s="22"/>
      <c r="I843" s="6"/>
    </row>
    <row r="844" spans="2:9">
      <c r="B844" s="7"/>
      <c r="C844" s="20"/>
      <c r="D844" s="21"/>
      <c r="E844" s="6"/>
      <c r="F844" s="22"/>
      <c r="G844" s="22"/>
      <c r="H844" s="22"/>
      <c r="I844" s="6"/>
    </row>
    <row r="845" spans="2:9">
      <c r="B845" s="7"/>
      <c r="C845" s="20"/>
      <c r="D845" s="21"/>
      <c r="E845" s="6"/>
      <c r="F845" s="22"/>
      <c r="G845" s="22"/>
      <c r="H845" s="22"/>
      <c r="I845" s="6"/>
    </row>
    <row r="846" spans="2:9">
      <c r="B846" s="7"/>
      <c r="C846" s="20"/>
      <c r="D846" s="21"/>
      <c r="E846" s="6"/>
      <c r="F846" s="22"/>
      <c r="G846" s="22"/>
      <c r="H846" s="22"/>
      <c r="I846" s="6"/>
    </row>
    <row r="847" spans="2:9">
      <c r="B847" s="7"/>
      <c r="C847" s="20"/>
      <c r="D847" s="21"/>
      <c r="E847" s="6"/>
      <c r="F847" s="22"/>
      <c r="G847" s="22"/>
      <c r="H847" s="22"/>
      <c r="I847" s="6"/>
    </row>
    <row r="848" spans="2:9">
      <c r="B848" s="7"/>
      <c r="C848" s="20"/>
      <c r="D848" s="21"/>
      <c r="E848" s="6"/>
      <c r="F848" s="22"/>
      <c r="G848" s="22"/>
      <c r="H848" s="22"/>
      <c r="I848" s="6"/>
    </row>
    <row r="849" spans="2:9">
      <c r="B849" s="7"/>
      <c r="C849" s="20"/>
      <c r="D849" s="21"/>
      <c r="E849" s="6"/>
      <c r="F849" s="22"/>
      <c r="G849" s="22"/>
      <c r="H849" s="22"/>
      <c r="I849" s="6"/>
    </row>
    <row r="850" spans="2:9">
      <c r="B850" s="7"/>
      <c r="C850" s="20"/>
      <c r="D850" s="21"/>
      <c r="E850" s="6"/>
      <c r="F850" s="22"/>
      <c r="G850" s="22"/>
      <c r="H850" s="22"/>
      <c r="I850" s="6"/>
    </row>
    <row r="851" spans="2:9">
      <c r="B851" s="7"/>
      <c r="C851" s="20"/>
      <c r="D851" s="21"/>
      <c r="E851" s="6"/>
      <c r="F851" s="22"/>
      <c r="G851" s="22"/>
      <c r="H851" s="22"/>
      <c r="I851" s="6"/>
    </row>
    <row r="852" spans="2:9">
      <c r="B852" s="7"/>
      <c r="C852" s="20"/>
      <c r="D852" s="21"/>
      <c r="E852" s="6"/>
      <c r="F852" s="22"/>
      <c r="G852" s="22"/>
      <c r="H852" s="22"/>
      <c r="I852" s="6"/>
    </row>
    <row r="853" spans="2:9">
      <c r="B853" s="7"/>
      <c r="C853" s="20"/>
      <c r="D853" s="21"/>
      <c r="E853" s="6"/>
      <c r="F853" s="22"/>
      <c r="G853" s="22"/>
      <c r="H853" s="22"/>
      <c r="I853" s="6"/>
    </row>
    <row r="854" spans="2:9">
      <c r="B854" s="7"/>
      <c r="C854" s="20"/>
      <c r="D854" s="21"/>
      <c r="E854" s="6"/>
      <c r="F854" s="22"/>
      <c r="G854" s="22"/>
      <c r="H854" s="22"/>
      <c r="I854" s="6"/>
    </row>
    <row r="855" spans="2:9">
      <c r="B855" s="7"/>
      <c r="C855" s="20"/>
      <c r="D855" s="21"/>
      <c r="E855" s="6"/>
      <c r="F855" s="22"/>
      <c r="G855" s="22"/>
      <c r="H855" s="22"/>
      <c r="I855" s="6"/>
    </row>
    <row r="856" spans="2:9">
      <c r="B856" s="7"/>
      <c r="C856" s="20"/>
      <c r="D856" s="21"/>
      <c r="E856" s="6"/>
      <c r="F856" s="22"/>
      <c r="G856" s="22"/>
      <c r="H856" s="22"/>
      <c r="I856" s="6"/>
    </row>
    <row r="857" spans="2:9">
      <c r="B857" s="7"/>
      <c r="C857" s="20"/>
      <c r="D857" s="21"/>
      <c r="E857" s="6"/>
      <c r="F857" s="22"/>
      <c r="G857" s="22"/>
      <c r="H857" s="22"/>
      <c r="I857" s="6"/>
    </row>
    <row r="858" spans="2:9">
      <c r="B858" s="7"/>
      <c r="C858" s="20"/>
      <c r="D858" s="21"/>
      <c r="E858" s="6"/>
      <c r="F858" s="22"/>
      <c r="G858" s="22"/>
      <c r="H858" s="22"/>
      <c r="I858" s="6"/>
    </row>
    <row r="859" spans="2:9">
      <c r="B859" s="7"/>
      <c r="C859" s="20"/>
      <c r="D859" s="21"/>
      <c r="E859" s="6"/>
      <c r="F859" s="22"/>
      <c r="G859" s="22"/>
      <c r="H859" s="22"/>
      <c r="I859" s="6"/>
    </row>
    <row r="860" spans="2:9">
      <c r="B860" s="7"/>
      <c r="C860" s="20"/>
      <c r="D860" s="21"/>
      <c r="E860" s="6"/>
      <c r="F860" s="22"/>
      <c r="G860" s="22"/>
      <c r="H860" s="22"/>
      <c r="I860" s="6"/>
    </row>
    <row r="861" spans="2:9">
      <c r="B861" s="7"/>
      <c r="C861" s="20"/>
      <c r="D861" s="21"/>
      <c r="E861" s="6"/>
      <c r="F861" s="22"/>
      <c r="G861" s="22"/>
      <c r="H861" s="22"/>
      <c r="I861" s="6"/>
    </row>
    <row r="862" spans="2:9">
      <c r="B862" s="7"/>
      <c r="C862" s="20"/>
      <c r="D862" s="21"/>
      <c r="E862" s="6"/>
      <c r="F862" s="22"/>
      <c r="G862" s="22"/>
      <c r="H862" s="22"/>
      <c r="I862" s="6"/>
    </row>
    <row r="863" spans="2:9">
      <c r="B863" s="7"/>
      <c r="C863" s="20"/>
      <c r="D863" s="21"/>
      <c r="E863" s="6"/>
      <c r="F863" s="22"/>
      <c r="G863" s="22"/>
      <c r="H863" s="22"/>
      <c r="I863" s="6"/>
    </row>
    <row r="864" spans="2:9">
      <c r="B864" s="7"/>
      <c r="C864" s="20"/>
      <c r="D864" s="21"/>
      <c r="E864" s="6"/>
      <c r="F864" s="22"/>
      <c r="G864" s="22"/>
      <c r="H864" s="22"/>
      <c r="I864" s="6"/>
    </row>
    <row r="865" spans="2:9">
      <c r="B865" s="7"/>
      <c r="C865" s="20"/>
      <c r="D865" s="21"/>
      <c r="E865" s="6"/>
      <c r="F865" s="22"/>
      <c r="G865" s="22"/>
      <c r="H865" s="22"/>
      <c r="I865" s="6"/>
    </row>
    <row r="866" spans="2:9">
      <c r="B866" s="7"/>
      <c r="C866" s="20"/>
      <c r="D866" s="21"/>
      <c r="E866" s="6"/>
      <c r="F866" s="22"/>
      <c r="G866" s="22"/>
      <c r="H866" s="22"/>
      <c r="I866" s="6"/>
    </row>
    <row r="867" spans="2:9">
      <c r="B867" s="7"/>
      <c r="C867" s="20"/>
      <c r="D867" s="21"/>
      <c r="E867" s="6"/>
      <c r="F867" s="22"/>
      <c r="G867" s="22"/>
      <c r="H867" s="22"/>
      <c r="I867" s="6"/>
    </row>
    <row r="868" spans="2:9">
      <c r="B868" s="7"/>
      <c r="C868" s="20"/>
      <c r="D868" s="21"/>
      <c r="E868" s="6"/>
      <c r="F868" s="22"/>
      <c r="G868" s="22"/>
      <c r="H868" s="22"/>
      <c r="I868" s="6"/>
    </row>
    <row r="869" spans="2:9">
      <c r="B869" s="7"/>
      <c r="C869" s="20"/>
      <c r="D869" s="21"/>
      <c r="E869" s="6"/>
      <c r="F869" s="22"/>
      <c r="G869" s="22"/>
      <c r="H869" s="22"/>
      <c r="I869" s="6"/>
    </row>
    <row r="870" spans="2:9">
      <c r="B870" s="7"/>
      <c r="C870" s="20"/>
      <c r="D870" s="21"/>
      <c r="E870" s="6"/>
      <c r="F870" s="22"/>
      <c r="G870" s="22"/>
      <c r="H870" s="22"/>
      <c r="I870" s="6"/>
    </row>
    <row r="871" spans="2:9">
      <c r="B871" s="7"/>
      <c r="C871" s="20"/>
      <c r="D871" s="21"/>
      <c r="E871" s="6"/>
      <c r="F871" s="22"/>
      <c r="G871" s="22"/>
      <c r="H871" s="22"/>
      <c r="I871" s="6"/>
    </row>
    <row r="872" spans="2:9">
      <c r="B872" s="7"/>
      <c r="C872" s="20"/>
      <c r="D872" s="21"/>
      <c r="E872" s="6"/>
      <c r="F872" s="22"/>
      <c r="G872" s="22"/>
      <c r="H872" s="22"/>
      <c r="I872" s="6"/>
    </row>
    <row r="873" spans="2:9">
      <c r="B873" s="7"/>
      <c r="C873" s="20"/>
      <c r="D873" s="21"/>
      <c r="E873" s="6"/>
      <c r="F873" s="22"/>
      <c r="G873" s="22"/>
      <c r="H873" s="22"/>
      <c r="I873" s="6"/>
    </row>
    <row r="874" spans="2:9">
      <c r="B874" s="7"/>
      <c r="C874" s="20"/>
      <c r="D874" s="21"/>
      <c r="E874" s="6"/>
      <c r="F874" s="22"/>
      <c r="G874" s="22"/>
      <c r="H874" s="22"/>
      <c r="I874" s="6"/>
    </row>
    <row r="875" spans="2:9">
      <c r="B875" s="7"/>
      <c r="C875" s="20"/>
      <c r="D875" s="21"/>
      <c r="E875" s="6"/>
      <c r="F875" s="22"/>
      <c r="G875" s="22"/>
      <c r="H875" s="22"/>
      <c r="I875" s="6"/>
    </row>
    <row r="876" spans="2:9">
      <c r="B876" s="7"/>
      <c r="C876" s="20"/>
      <c r="D876" s="21"/>
      <c r="E876" s="6"/>
      <c r="F876" s="22"/>
      <c r="G876" s="22"/>
      <c r="H876" s="22"/>
      <c r="I876" s="6"/>
    </row>
    <row r="877" spans="2:9">
      <c r="B877" s="7"/>
      <c r="C877" s="20"/>
      <c r="D877" s="21"/>
      <c r="E877" s="6"/>
      <c r="F877" s="22"/>
      <c r="G877" s="22"/>
      <c r="H877" s="22"/>
      <c r="I877" s="6"/>
    </row>
    <row r="878" spans="2:9">
      <c r="B878" s="7"/>
      <c r="C878" s="20"/>
      <c r="D878" s="21"/>
      <c r="E878" s="6"/>
      <c r="F878" s="22"/>
      <c r="G878" s="22"/>
      <c r="H878" s="22"/>
      <c r="I878" s="6"/>
    </row>
    <row r="879" spans="2:9">
      <c r="B879" s="7"/>
      <c r="C879" s="20"/>
      <c r="D879" s="21"/>
      <c r="E879" s="6"/>
      <c r="F879" s="22"/>
      <c r="G879" s="22"/>
      <c r="H879" s="22"/>
      <c r="I879" s="6"/>
    </row>
    <row r="880" spans="2:9">
      <c r="B880" s="7"/>
      <c r="C880" s="20"/>
      <c r="D880" s="21"/>
      <c r="E880" s="6"/>
      <c r="F880" s="22"/>
      <c r="G880" s="22"/>
      <c r="H880" s="22"/>
      <c r="I880" s="6"/>
    </row>
    <row r="881" spans="2:9">
      <c r="B881" s="7"/>
      <c r="C881" s="20"/>
      <c r="D881" s="21"/>
      <c r="E881" s="6"/>
      <c r="F881" s="22"/>
      <c r="G881" s="22"/>
      <c r="H881" s="22"/>
      <c r="I881" s="6"/>
    </row>
    <row r="882" spans="2:9">
      <c r="B882" s="7"/>
      <c r="C882" s="20"/>
      <c r="D882" s="21"/>
      <c r="E882" s="6"/>
      <c r="F882" s="22"/>
      <c r="G882" s="22"/>
      <c r="H882" s="22"/>
      <c r="I882" s="6"/>
    </row>
    <row r="883" spans="2:9">
      <c r="B883" s="7"/>
      <c r="C883" s="20"/>
      <c r="D883" s="21"/>
      <c r="E883" s="6"/>
      <c r="F883" s="22"/>
      <c r="G883" s="22"/>
      <c r="H883" s="22"/>
      <c r="I883" s="6"/>
    </row>
    <row r="884" spans="2:9">
      <c r="B884" s="7"/>
      <c r="C884" s="20"/>
      <c r="D884" s="21"/>
      <c r="E884" s="6"/>
      <c r="F884" s="22"/>
      <c r="G884" s="22"/>
      <c r="H884" s="22"/>
      <c r="I884" s="6"/>
    </row>
    <row r="885" spans="2:9">
      <c r="B885" s="7"/>
      <c r="C885" s="20"/>
      <c r="D885" s="21"/>
      <c r="E885" s="6"/>
      <c r="F885" s="22"/>
      <c r="G885" s="22"/>
      <c r="H885" s="22"/>
      <c r="I885" s="6"/>
    </row>
    <row r="886" spans="2:9">
      <c r="B886" s="7"/>
      <c r="C886" s="20"/>
      <c r="D886" s="21"/>
      <c r="E886" s="6"/>
      <c r="F886" s="22"/>
      <c r="G886" s="22"/>
      <c r="H886" s="22"/>
      <c r="I886" s="6"/>
    </row>
    <row r="887" spans="2:9">
      <c r="B887" s="7"/>
      <c r="C887" s="20"/>
      <c r="D887" s="21"/>
      <c r="E887" s="6"/>
      <c r="F887" s="22"/>
      <c r="G887" s="22"/>
      <c r="H887" s="22"/>
      <c r="I887" s="6"/>
    </row>
    <row r="888" spans="2:9">
      <c r="B888" s="7"/>
      <c r="C888" s="20"/>
      <c r="D888" s="21"/>
      <c r="E888" s="6"/>
      <c r="F888" s="22"/>
      <c r="G888" s="22"/>
      <c r="H888" s="22"/>
      <c r="I888" s="6"/>
    </row>
    <row r="889" spans="2:9">
      <c r="B889" s="7"/>
      <c r="C889" s="20"/>
      <c r="D889" s="21"/>
      <c r="E889" s="6"/>
      <c r="F889" s="22"/>
      <c r="G889" s="22"/>
      <c r="H889" s="22"/>
      <c r="I889" s="6"/>
    </row>
    <row r="890" spans="2:9">
      <c r="B890" s="7"/>
      <c r="C890" s="20"/>
      <c r="D890" s="21"/>
      <c r="E890" s="6"/>
      <c r="F890" s="22"/>
      <c r="G890" s="22"/>
      <c r="H890" s="22"/>
      <c r="I890" s="6"/>
    </row>
    <row r="891" spans="2:9">
      <c r="B891" s="7"/>
      <c r="C891" s="20"/>
      <c r="D891" s="21"/>
      <c r="E891" s="6"/>
      <c r="F891" s="22"/>
      <c r="G891" s="22"/>
      <c r="H891" s="22"/>
      <c r="I891" s="6"/>
    </row>
    <row r="892" spans="2:9">
      <c r="B892" s="7"/>
      <c r="C892" s="20"/>
      <c r="D892" s="21"/>
      <c r="E892" s="6"/>
      <c r="F892" s="22"/>
      <c r="G892" s="22"/>
      <c r="H892" s="22"/>
      <c r="I892" s="6"/>
    </row>
    <row r="893" spans="2:9">
      <c r="B893" s="7"/>
      <c r="C893" s="20"/>
      <c r="D893" s="21"/>
      <c r="E893" s="6"/>
      <c r="F893" s="22"/>
      <c r="G893" s="22"/>
      <c r="H893" s="22"/>
      <c r="I893" s="6"/>
    </row>
    <row r="894" spans="2:9">
      <c r="B894" s="7"/>
      <c r="C894" s="20"/>
      <c r="D894" s="21"/>
      <c r="E894" s="6"/>
      <c r="F894" s="22"/>
      <c r="G894" s="22"/>
      <c r="H894" s="22"/>
      <c r="I894" s="6"/>
    </row>
    <row r="895" spans="2:9">
      <c r="B895" s="7"/>
      <c r="C895" s="20"/>
      <c r="D895" s="21"/>
      <c r="E895" s="6"/>
      <c r="F895" s="22"/>
      <c r="G895" s="22"/>
      <c r="H895" s="22"/>
      <c r="I895" s="6"/>
    </row>
    <row r="896" spans="2:9">
      <c r="B896" s="7"/>
      <c r="C896" s="20"/>
      <c r="D896" s="21"/>
      <c r="E896" s="6"/>
      <c r="F896" s="22"/>
      <c r="G896" s="22"/>
      <c r="H896" s="22"/>
      <c r="I896" s="6"/>
    </row>
    <row r="897" spans="2:9">
      <c r="B897" s="7"/>
      <c r="C897" s="20"/>
      <c r="D897" s="21"/>
      <c r="E897" s="6"/>
      <c r="F897" s="22"/>
      <c r="G897" s="22"/>
      <c r="H897" s="22"/>
      <c r="I897" s="6"/>
    </row>
    <row r="898" spans="2:9">
      <c r="B898" s="7"/>
      <c r="C898" s="20"/>
      <c r="D898" s="21"/>
      <c r="E898" s="6"/>
      <c r="F898" s="22"/>
      <c r="G898" s="22"/>
      <c r="H898" s="22"/>
      <c r="I898" s="6"/>
    </row>
    <row r="899" spans="2:9">
      <c r="B899" s="7"/>
      <c r="C899" s="20"/>
      <c r="D899" s="21"/>
      <c r="E899" s="6"/>
      <c r="F899" s="22"/>
      <c r="G899" s="22"/>
      <c r="H899" s="22"/>
      <c r="I899" s="6"/>
    </row>
    <row r="900" spans="2:9">
      <c r="B900" s="7"/>
      <c r="C900" s="20"/>
      <c r="D900" s="21"/>
      <c r="E900" s="6"/>
      <c r="F900" s="22"/>
      <c r="G900" s="22"/>
      <c r="H900" s="22"/>
      <c r="I900" s="6"/>
    </row>
    <row r="901" spans="2:9">
      <c r="B901" s="7"/>
      <c r="C901" s="20"/>
      <c r="D901" s="21"/>
      <c r="E901" s="6"/>
      <c r="F901" s="22"/>
      <c r="G901" s="22"/>
      <c r="H901" s="22"/>
      <c r="I901" s="6"/>
    </row>
    <row r="902" spans="2:9">
      <c r="B902" s="7"/>
      <c r="C902" s="20"/>
      <c r="D902" s="21"/>
      <c r="E902" s="6"/>
      <c r="F902" s="22"/>
      <c r="G902" s="22"/>
      <c r="H902" s="22"/>
      <c r="I902" s="6"/>
    </row>
    <row r="903" spans="2:9">
      <c r="B903" s="7"/>
      <c r="C903" s="20"/>
      <c r="D903" s="21"/>
      <c r="E903" s="6"/>
      <c r="F903" s="22"/>
      <c r="G903" s="22"/>
      <c r="H903" s="22"/>
      <c r="I903" s="6"/>
    </row>
    <row r="904" spans="2:9">
      <c r="B904" s="7"/>
      <c r="C904" s="20"/>
      <c r="D904" s="21"/>
      <c r="E904" s="6"/>
      <c r="F904" s="22"/>
      <c r="G904" s="22"/>
      <c r="H904" s="22"/>
      <c r="I904" s="6"/>
    </row>
    <row r="905" spans="2:9">
      <c r="B905" s="7"/>
      <c r="C905" s="20"/>
      <c r="D905" s="21"/>
      <c r="E905" s="6"/>
      <c r="F905" s="22"/>
      <c r="G905" s="22"/>
      <c r="H905" s="22"/>
      <c r="I905" s="6"/>
    </row>
    <row r="906" spans="2:9">
      <c r="B906" s="7"/>
      <c r="C906" s="20"/>
      <c r="D906" s="21"/>
      <c r="E906" s="6"/>
      <c r="F906" s="22"/>
      <c r="G906" s="22"/>
      <c r="H906" s="22"/>
      <c r="I906" s="6"/>
    </row>
    <row r="907" spans="2:9">
      <c r="B907" s="7"/>
      <c r="C907" s="20"/>
      <c r="D907" s="21"/>
      <c r="E907" s="6"/>
      <c r="F907" s="22"/>
      <c r="G907" s="22"/>
      <c r="H907" s="22"/>
      <c r="I907" s="6"/>
    </row>
    <row r="908" spans="2:9">
      <c r="B908" s="7"/>
      <c r="C908" s="20"/>
      <c r="D908" s="21"/>
      <c r="E908" s="6"/>
      <c r="F908" s="22"/>
      <c r="G908" s="22"/>
      <c r="H908" s="22"/>
      <c r="I908" s="6"/>
    </row>
    <row r="909" spans="2:9">
      <c r="B909" s="7"/>
      <c r="C909" s="20"/>
      <c r="D909" s="21"/>
      <c r="E909" s="6"/>
      <c r="F909" s="22"/>
      <c r="G909" s="22"/>
      <c r="H909" s="22"/>
      <c r="I909" s="6"/>
    </row>
    <row r="910" spans="2:9">
      <c r="B910" s="7"/>
      <c r="C910" s="20"/>
      <c r="D910" s="21"/>
      <c r="E910" s="6"/>
      <c r="F910" s="22"/>
      <c r="G910" s="22"/>
      <c r="H910" s="22"/>
      <c r="I910" s="6"/>
    </row>
    <row r="911" spans="2:9">
      <c r="B911" s="7"/>
      <c r="C911" s="20"/>
      <c r="D911" s="21"/>
      <c r="E911" s="6"/>
      <c r="F911" s="22"/>
      <c r="G911" s="22"/>
      <c r="H911" s="22"/>
      <c r="I911" s="6"/>
    </row>
    <row r="912" spans="2:9">
      <c r="B912" s="7"/>
      <c r="C912" s="20"/>
      <c r="D912" s="21"/>
      <c r="E912" s="6"/>
      <c r="F912" s="22"/>
      <c r="G912" s="22"/>
      <c r="H912" s="22"/>
      <c r="I912" s="6"/>
    </row>
    <row r="913" spans="2:9">
      <c r="B913" s="7"/>
      <c r="C913" s="20"/>
      <c r="D913" s="21"/>
      <c r="E913" s="6"/>
      <c r="F913" s="22"/>
      <c r="G913" s="22"/>
      <c r="H913" s="22"/>
      <c r="I913" s="6"/>
    </row>
    <row r="914" spans="2:9">
      <c r="B914" s="7"/>
      <c r="C914" s="20"/>
      <c r="D914" s="21"/>
      <c r="E914" s="6"/>
      <c r="F914" s="22"/>
      <c r="G914" s="22"/>
      <c r="H914" s="22"/>
      <c r="I914" s="6"/>
    </row>
    <row r="915" spans="2:9">
      <c r="B915" s="7"/>
      <c r="C915" s="20"/>
      <c r="D915" s="21"/>
      <c r="E915" s="6"/>
      <c r="F915" s="22"/>
      <c r="G915" s="22"/>
      <c r="H915" s="22"/>
      <c r="I915" s="6"/>
    </row>
    <row r="916" spans="2:9">
      <c r="B916" s="7"/>
      <c r="C916" s="20"/>
      <c r="D916" s="21"/>
      <c r="E916" s="6"/>
      <c r="F916" s="22"/>
      <c r="G916" s="22"/>
      <c r="H916" s="22"/>
      <c r="I916" s="6"/>
    </row>
    <row r="917" spans="2:9">
      <c r="B917" s="7"/>
      <c r="C917" s="20"/>
      <c r="D917" s="21"/>
      <c r="E917" s="6"/>
      <c r="F917" s="22"/>
      <c r="G917" s="22"/>
      <c r="H917" s="22"/>
      <c r="I917" s="6"/>
    </row>
    <row r="918" spans="2:9">
      <c r="B918" s="7"/>
      <c r="C918" s="20"/>
      <c r="D918" s="21"/>
      <c r="E918" s="6"/>
      <c r="F918" s="22"/>
      <c r="G918" s="22"/>
      <c r="H918" s="22"/>
      <c r="I918" s="6"/>
    </row>
    <row r="919" spans="2:9">
      <c r="B919" s="7"/>
      <c r="C919" s="20"/>
      <c r="D919" s="21"/>
      <c r="E919" s="6"/>
      <c r="F919" s="22"/>
      <c r="G919" s="22"/>
      <c r="H919" s="22"/>
      <c r="I919" s="6"/>
    </row>
    <row r="920" spans="2:9">
      <c r="B920" s="7"/>
      <c r="C920" s="20"/>
      <c r="D920" s="21"/>
      <c r="E920" s="6"/>
      <c r="F920" s="22"/>
      <c r="G920" s="22"/>
      <c r="H920" s="22"/>
      <c r="I920" s="6"/>
    </row>
    <row r="921" spans="2:9">
      <c r="B921" s="7"/>
      <c r="C921" s="20"/>
      <c r="D921" s="21"/>
      <c r="E921" s="6"/>
      <c r="F921" s="22"/>
      <c r="G921" s="22"/>
      <c r="H921" s="22"/>
      <c r="I921" s="6"/>
    </row>
    <row r="922" spans="2:9">
      <c r="B922" s="7"/>
      <c r="C922" s="20"/>
      <c r="D922" s="21"/>
      <c r="E922" s="6"/>
      <c r="F922" s="22"/>
      <c r="G922" s="22"/>
      <c r="H922" s="22"/>
      <c r="I922" s="6"/>
    </row>
    <row r="923" spans="2:9">
      <c r="B923" s="7"/>
      <c r="C923" s="20"/>
      <c r="D923" s="21"/>
      <c r="E923" s="6"/>
      <c r="F923" s="22"/>
      <c r="G923" s="22"/>
      <c r="H923" s="22"/>
      <c r="I923" s="6"/>
    </row>
    <row r="924" spans="2:9">
      <c r="B924" s="7"/>
      <c r="C924" s="20"/>
      <c r="D924" s="21"/>
      <c r="E924" s="6"/>
      <c r="F924" s="22"/>
      <c r="G924" s="22"/>
      <c r="H924" s="22"/>
      <c r="I924" s="6"/>
    </row>
    <row r="925" spans="2:9">
      <c r="B925" s="7"/>
      <c r="C925" s="20"/>
      <c r="D925" s="21"/>
      <c r="E925" s="6"/>
      <c r="F925" s="22"/>
      <c r="G925" s="22"/>
      <c r="H925" s="22"/>
      <c r="I925" s="6"/>
    </row>
    <row r="926" spans="2:9">
      <c r="B926" s="7"/>
      <c r="C926" s="20"/>
      <c r="D926" s="21"/>
      <c r="E926" s="6"/>
      <c r="F926" s="22"/>
      <c r="G926" s="22"/>
      <c r="H926" s="22"/>
      <c r="I926" s="6"/>
    </row>
    <row r="927" spans="2:9">
      <c r="B927" s="7"/>
      <c r="C927" s="20"/>
      <c r="D927" s="21"/>
      <c r="E927" s="6"/>
      <c r="F927" s="22"/>
      <c r="G927" s="22"/>
      <c r="H927" s="22"/>
      <c r="I927" s="6"/>
    </row>
    <row r="928" spans="2:9">
      <c r="B928" s="7"/>
      <c r="C928" s="20"/>
      <c r="D928" s="21"/>
      <c r="E928" s="6"/>
      <c r="F928" s="22"/>
      <c r="G928" s="22"/>
      <c r="H928" s="22"/>
      <c r="I928" s="6"/>
    </row>
    <row r="929" spans="2:9">
      <c r="B929" s="7"/>
      <c r="C929" s="20"/>
      <c r="D929" s="21"/>
      <c r="E929" s="6"/>
      <c r="F929" s="22"/>
      <c r="G929" s="22"/>
      <c r="H929" s="22"/>
      <c r="I929" s="6"/>
    </row>
    <row r="930" spans="2:9">
      <c r="B930" s="7"/>
      <c r="C930" s="20"/>
      <c r="D930" s="21"/>
      <c r="E930" s="6"/>
      <c r="F930" s="22"/>
      <c r="G930" s="22"/>
      <c r="H930" s="22"/>
      <c r="I930" s="6"/>
    </row>
    <row r="931" spans="2:9">
      <c r="B931" s="7"/>
      <c r="C931" s="20"/>
      <c r="D931" s="21"/>
      <c r="E931" s="6"/>
      <c r="F931" s="22"/>
      <c r="G931" s="22"/>
      <c r="H931" s="22"/>
      <c r="I931" s="6"/>
    </row>
    <row r="932" spans="2:9">
      <c r="B932" s="7"/>
      <c r="C932" s="20"/>
      <c r="D932" s="21"/>
      <c r="E932" s="6"/>
      <c r="F932" s="22"/>
      <c r="G932" s="22"/>
      <c r="H932" s="22"/>
      <c r="I932" s="6"/>
    </row>
    <row r="933" spans="2:9">
      <c r="B933" s="7"/>
      <c r="C933" s="20"/>
      <c r="D933" s="21"/>
      <c r="E933" s="6"/>
      <c r="F933" s="22"/>
      <c r="G933" s="22"/>
      <c r="H933" s="22"/>
      <c r="I933" s="6"/>
    </row>
    <row r="934" spans="2:9">
      <c r="B934" s="7"/>
      <c r="C934" s="20"/>
      <c r="D934" s="21"/>
      <c r="E934" s="6"/>
      <c r="F934" s="22"/>
      <c r="G934" s="22"/>
      <c r="H934" s="22"/>
      <c r="I934" s="6"/>
    </row>
    <row r="935" spans="2:9">
      <c r="B935" s="7"/>
      <c r="C935" s="20"/>
      <c r="D935" s="21"/>
      <c r="E935" s="6"/>
      <c r="F935" s="22"/>
      <c r="G935" s="22"/>
      <c r="H935" s="22"/>
      <c r="I935" s="6"/>
    </row>
    <row r="936" spans="2:9">
      <c r="B936" s="7"/>
      <c r="C936" s="20"/>
      <c r="D936" s="21"/>
      <c r="E936" s="6"/>
      <c r="F936" s="22"/>
      <c r="G936" s="22"/>
      <c r="H936" s="22"/>
      <c r="I936" s="6"/>
    </row>
    <row r="937" spans="2:9">
      <c r="B937" s="7"/>
      <c r="C937" s="20"/>
      <c r="D937" s="21"/>
      <c r="E937" s="6"/>
      <c r="F937" s="22"/>
      <c r="G937" s="22"/>
      <c r="H937" s="22"/>
      <c r="I937" s="6"/>
    </row>
    <row r="938" spans="2:9">
      <c r="B938" s="7"/>
      <c r="C938" s="20"/>
      <c r="D938" s="21"/>
      <c r="E938" s="6"/>
      <c r="F938" s="22"/>
      <c r="G938" s="22"/>
      <c r="H938" s="22"/>
      <c r="I938" s="6"/>
    </row>
    <row r="939" spans="2:9">
      <c r="B939" s="7"/>
      <c r="C939" s="20"/>
      <c r="D939" s="21"/>
      <c r="E939" s="6"/>
      <c r="F939" s="22"/>
      <c r="G939" s="22"/>
      <c r="H939" s="22"/>
      <c r="I939" s="6"/>
    </row>
    <row r="940" spans="2:9">
      <c r="B940" s="7"/>
      <c r="C940" s="20"/>
      <c r="D940" s="21"/>
      <c r="E940" s="6"/>
      <c r="F940" s="22"/>
      <c r="G940" s="22"/>
      <c r="H940" s="22"/>
      <c r="I940" s="6"/>
    </row>
    <row r="941" spans="2:9">
      <c r="B941" s="7"/>
      <c r="C941" s="20"/>
      <c r="D941" s="21"/>
      <c r="E941" s="6"/>
      <c r="F941" s="22"/>
      <c r="G941" s="22"/>
      <c r="H941" s="22"/>
      <c r="I941" s="6"/>
    </row>
    <row r="942" spans="2:9">
      <c r="B942" s="7"/>
      <c r="C942" s="20"/>
      <c r="D942" s="21"/>
      <c r="E942" s="6"/>
      <c r="F942" s="22"/>
      <c r="G942" s="22"/>
      <c r="H942" s="22"/>
      <c r="I942" s="6"/>
    </row>
    <row r="943" spans="2:9">
      <c r="B943" s="7"/>
      <c r="C943" s="20"/>
      <c r="D943" s="21"/>
      <c r="E943" s="6"/>
      <c r="F943" s="22"/>
      <c r="G943" s="22"/>
      <c r="H943" s="22"/>
      <c r="I943" s="6"/>
    </row>
    <row r="944" spans="2:9">
      <c r="B944" s="7"/>
      <c r="C944" s="20"/>
      <c r="D944" s="21"/>
      <c r="E944" s="6"/>
      <c r="F944" s="22"/>
      <c r="G944" s="22"/>
      <c r="H944" s="22"/>
      <c r="I944" s="6"/>
    </row>
    <row r="945" spans="2:9">
      <c r="B945" s="7"/>
      <c r="C945" s="20"/>
      <c r="D945" s="21"/>
      <c r="E945" s="6"/>
      <c r="F945" s="22"/>
      <c r="G945" s="22"/>
      <c r="H945" s="22"/>
      <c r="I945" s="6"/>
    </row>
    <row r="946" spans="2:9">
      <c r="B946" s="7"/>
      <c r="C946" s="20"/>
      <c r="D946" s="21"/>
      <c r="E946" s="6"/>
      <c r="F946" s="22"/>
      <c r="G946" s="22"/>
      <c r="H946" s="22"/>
      <c r="I946" s="6"/>
    </row>
    <row r="947" spans="2:9">
      <c r="B947" s="7"/>
      <c r="C947" s="20"/>
      <c r="D947" s="21"/>
      <c r="E947" s="6"/>
      <c r="F947" s="22"/>
      <c r="G947" s="22"/>
      <c r="H947" s="22"/>
      <c r="I947" s="6"/>
    </row>
    <row r="948" spans="2:9">
      <c r="B948" s="7"/>
      <c r="C948" s="20"/>
      <c r="D948" s="21"/>
      <c r="E948" s="6"/>
      <c r="F948" s="22"/>
      <c r="G948" s="22"/>
      <c r="H948" s="22"/>
      <c r="I948" s="6"/>
    </row>
    <row r="949" spans="2:9">
      <c r="B949" s="7"/>
      <c r="C949" s="20"/>
      <c r="D949" s="21"/>
      <c r="E949" s="6"/>
      <c r="F949" s="22"/>
      <c r="G949" s="22"/>
      <c r="H949" s="22"/>
      <c r="I949" s="6"/>
    </row>
    <row r="950" spans="2:9">
      <c r="B950" s="7"/>
      <c r="C950" s="20"/>
      <c r="D950" s="21"/>
      <c r="E950" s="6"/>
      <c r="F950" s="22"/>
      <c r="G950" s="22"/>
      <c r="H950" s="22"/>
      <c r="I950" s="6"/>
    </row>
    <row r="951" spans="2:9">
      <c r="B951" s="7"/>
      <c r="C951" s="20"/>
      <c r="D951" s="21"/>
      <c r="E951" s="6"/>
      <c r="F951" s="22"/>
      <c r="G951" s="22"/>
      <c r="H951" s="22"/>
      <c r="I951" s="6"/>
    </row>
    <row r="952" spans="2:9">
      <c r="B952" s="7"/>
      <c r="C952" s="20"/>
      <c r="D952" s="21"/>
      <c r="E952" s="6"/>
      <c r="F952" s="22"/>
      <c r="G952" s="22"/>
      <c r="H952" s="22"/>
      <c r="I952" s="6"/>
    </row>
    <row r="953" spans="2:9">
      <c r="B953" s="7"/>
      <c r="C953" s="20"/>
      <c r="D953" s="21"/>
      <c r="E953" s="6"/>
      <c r="F953" s="22"/>
      <c r="G953" s="22"/>
      <c r="H953" s="22"/>
      <c r="I953" s="6"/>
    </row>
    <row r="954" spans="2:9">
      <c r="B954" s="7"/>
      <c r="C954" s="20"/>
      <c r="D954" s="21"/>
      <c r="E954" s="6"/>
      <c r="F954" s="22"/>
      <c r="G954" s="22"/>
      <c r="H954" s="22"/>
      <c r="I954" s="6"/>
    </row>
    <row r="955" spans="2:9">
      <c r="B955" s="7"/>
      <c r="C955" s="20"/>
      <c r="D955" s="21"/>
      <c r="E955" s="6"/>
      <c r="F955" s="22"/>
      <c r="G955" s="22"/>
      <c r="H955" s="22"/>
      <c r="I955" s="6"/>
    </row>
    <row r="956" spans="2:9">
      <c r="B956" s="7"/>
      <c r="C956" s="20"/>
      <c r="D956" s="21"/>
      <c r="E956" s="6"/>
      <c r="F956" s="22"/>
      <c r="G956" s="22"/>
      <c r="H956" s="22"/>
      <c r="I956" s="6"/>
    </row>
    <row r="957" spans="2:9">
      <c r="B957" s="7"/>
      <c r="C957" s="20"/>
      <c r="D957" s="21"/>
      <c r="E957" s="6"/>
      <c r="F957" s="22"/>
      <c r="G957" s="22"/>
      <c r="H957" s="22"/>
      <c r="I957" s="6"/>
    </row>
    <row r="958" spans="2:9">
      <c r="B958" s="7"/>
      <c r="C958" s="20"/>
      <c r="D958" s="21"/>
      <c r="E958" s="6"/>
      <c r="F958" s="22"/>
      <c r="G958" s="22"/>
      <c r="H958" s="22"/>
      <c r="I958" s="6"/>
    </row>
    <row r="959" spans="2:9">
      <c r="B959" s="7"/>
      <c r="C959" s="20"/>
      <c r="D959" s="21"/>
      <c r="E959" s="6"/>
      <c r="F959" s="22"/>
      <c r="G959" s="22"/>
      <c r="H959" s="22"/>
      <c r="I959" s="6"/>
    </row>
    <row r="960" spans="2:9">
      <c r="B960" s="7"/>
      <c r="C960" s="20"/>
      <c r="D960" s="21"/>
      <c r="E960" s="6"/>
      <c r="F960" s="22"/>
      <c r="G960" s="22"/>
      <c r="H960" s="22"/>
      <c r="I960" s="6"/>
    </row>
    <row r="961" spans="2:9">
      <c r="B961" s="7"/>
      <c r="C961" s="20"/>
      <c r="D961" s="21"/>
      <c r="E961" s="6"/>
      <c r="F961" s="22"/>
      <c r="G961" s="22"/>
      <c r="H961" s="22"/>
      <c r="I961" s="6"/>
    </row>
    <row r="962" spans="2:9">
      <c r="B962" s="7"/>
      <c r="C962" s="20"/>
      <c r="D962" s="21"/>
      <c r="E962" s="6"/>
      <c r="F962" s="22"/>
      <c r="G962" s="22"/>
      <c r="H962" s="22"/>
      <c r="I962" s="6"/>
    </row>
    <row r="963" spans="2:9">
      <c r="B963" s="7"/>
      <c r="C963" s="20"/>
      <c r="D963" s="21"/>
      <c r="E963" s="6"/>
      <c r="F963" s="22"/>
      <c r="G963" s="22"/>
      <c r="H963" s="22"/>
      <c r="I963" s="6"/>
    </row>
    <row r="964" spans="2:9">
      <c r="B964" s="7"/>
      <c r="C964" s="20"/>
      <c r="D964" s="21"/>
      <c r="E964" s="6"/>
      <c r="F964" s="22"/>
      <c r="G964" s="22"/>
      <c r="H964" s="22"/>
      <c r="I964" s="6"/>
    </row>
    <row r="965" spans="2:9">
      <c r="B965" s="7"/>
      <c r="C965" s="20"/>
      <c r="D965" s="21"/>
      <c r="E965" s="6"/>
      <c r="F965" s="22"/>
      <c r="G965" s="22"/>
      <c r="H965" s="22"/>
      <c r="I965" s="6"/>
    </row>
    <row r="966" spans="2:9">
      <c r="B966" s="7"/>
      <c r="C966" s="20"/>
      <c r="D966" s="21"/>
      <c r="E966" s="6"/>
      <c r="F966" s="22"/>
      <c r="G966" s="22"/>
      <c r="H966" s="22"/>
      <c r="I966" s="6"/>
    </row>
    <row r="967" spans="2:9">
      <c r="B967" s="7"/>
      <c r="C967" s="20"/>
      <c r="D967" s="21"/>
      <c r="E967" s="6"/>
      <c r="F967" s="22"/>
      <c r="G967" s="22"/>
      <c r="H967" s="22"/>
      <c r="I967" s="6"/>
    </row>
    <row r="968" spans="2:9">
      <c r="B968" s="7"/>
      <c r="C968" s="20"/>
      <c r="D968" s="21"/>
      <c r="E968" s="6"/>
      <c r="F968" s="22"/>
      <c r="G968" s="22"/>
      <c r="H968" s="22"/>
      <c r="I968" s="6"/>
    </row>
    <row r="969" spans="2:9">
      <c r="B969" s="7"/>
      <c r="C969" s="20"/>
      <c r="D969" s="21"/>
      <c r="E969" s="6"/>
      <c r="F969" s="22"/>
      <c r="G969" s="22"/>
      <c r="H969" s="22"/>
      <c r="I969" s="6"/>
    </row>
    <row r="970" spans="2:9">
      <c r="B970" s="7"/>
      <c r="C970" s="20"/>
      <c r="D970" s="21"/>
      <c r="E970" s="6"/>
      <c r="F970" s="22"/>
      <c r="G970" s="22"/>
      <c r="H970" s="22"/>
      <c r="I970" s="6"/>
    </row>
    <row r="971" spans="2:9">
      <c r="B971" s="7"/>
      <c r="C971" s="20"/>
      <c r="D971" s="21"/>
      <c r="E971" s="6"/>
      <c r="F971" s="22"/>
      <c r="G971" s="22"/>
      <c r="H971" s="22"/>
      <c r="I971" s="6"/>
    </row>
    <row r="972" spans="2:9">
      <c r="B972" s="7"/>
      <c r="C972" s="20"/>
      <c r="D972" s="21"/>
      <c r="E972" s="6"/>
      <c r="F972" s="22"/>
      <c r="G972" s="22"/>
      <c r="H972" s="22"/>
      <c r="I972" s="6"/>
    </row>
    <row r="973" spans="2:9">
      <c r="B973" s="7"/>
      <c r="C973" s="20"/>
      <c r="D973" s="21"/>
      <c r="E973" s="6"/>
      <c r="F973" s="22"/>
      <c r="G973" s="22"/>
      <c r="H973" s="22"/>
      <c r="I973" s="6"/>
    </row>
    <row r="974" spans="2:9">
      <c r="B974" s="7"/>
      <c r="C974" s="20"/>
      <c r="D974" s="21"/>
      <c r="E974" s="6"/>
      <c r="F974" s="22"/>
      <c r="G974" s="22"/>
      <c r="H974" s="22"/>
      <c r="I974" s="6"/>
    </row>
    <row r="975" spans="2:9">
      <c r="B975" s="7"/>
      <c r="C975" s="20"/>
      <c r="D975" s="21"/>
      <c r="E975" s="6"/>
      <c r="F975" s="22"/>
      <c r="G975" s="22"/>
      <c r="H975" s="22"/>
      <c r="I975" s="6"/>
    </row>
    <row r="976" spans="2:9">
      <c r="B976" s="7"/>
      <c r="C976" s="20"/>
      <c r="D976" s="21"/>
      <c r="E976" s="6"/>
      <c r="F976" s="22"/>
      <c r="G976" s="22"/>
      <c r="H976" s="22"/>
      <c r="I976" s="6"/>
    </row>
    <row r="977" spans="2:9">
      <c r="B977" s="7"/>
      <c r="C977" s="20"/>
      <c r="D977" s="21"/>
      <c r="E977" s="6"/>
      <c r="F977" s="22"/>
      <c r="G977" s="22"/>
      <c r="H977" s="22"/>
      <c r="I977" s="6"/>
    </row>
    <row r="978" spans="2:9">
      <c r="B978" s="7"/>
      <c r="C978" s="20"/>
      <c r="D978" s="21"/>
      <c r="E978" s="6"/>
      <c r="F978" s="22"/>
      <c r="G978" s="22"/>
      <c r="H978" s="22"/>
      <c r="I978" s="6"/>
    </row>
    <row r="979" spans="2:9">
      <c r="B979" s="7"/>
      <c r="C979" s="20"/>
      <c r="D979" s="21"/>
      <c r="E979" s="6"/>
      <c r="F979" s="22"/>
      <c r="G979" s="22"/>
      <c r="H979" s="22"/>
      <c r="I979" s="6"/>
    </row>
    <row r="980" spans="2:9">
      <c r="B980" s="7"/>
      <c r="C980" s="20"/>
      <c r="D980" s="21"/>
      <c r="E980" s="6"/>
      <c r="F980" s="22"/>
      <c r="G980" s="22"/>
      <c r="H980" s="22"/>
      <c r="I980" s="6"/>
    </row>
    <row r="981" spans="2:9">
      <c r="B981" s="7"/>
      <c r="C981" s="20"/>
      <c r="D981" s="21"/>
      <c r="E981" s="6"/>
      <c r="F981" s="22"/>
      <c r="G981" s="22"/>
      <c r="H981" s="22"/>
      <c r="I981" s="6"/>
    </row>
    <row r="982" spans="2:9">
      <c r="B982" s="7"/>
      <c r="C982" s="20"/>
      <c r="D982" s="21"/>
      <c r="E982" s="6"/>
      <c r="F982" s="22"/>
      <c r="G982" s="22"/>
      <c r="H982" s="22"/>
      <c r="I982" s="6"/>
    </row>
    <row r="983" spans="2:9">
      <c r="B983" s="7"/>
      <c r="C983" s="20"/>
      <c r="D983" s="21"/>
      <c r="E983" s="6"/>
      <c r="F983" s="22"/>
      <c r="G983" s="22"/>
      <c r="H983" s="22"/>
      <c r="I983" s="6"/>
    </row>
    <row r="984" spans="2:9">
      <c r="B984" s="7"/>
      <c r="C984" s="20"/>
      <c r="D984" s="21"/>
      <c r="E984" s="6"/>
      <c r="F984" s="22"/>
      <c r="G984" s="22"/>
      <c r="H984" s="22"/>
      <c r="I984" s="6"/>
    </row>
    <row r="985" spans="2:9">
      <c r="B985" s="7"/>
      <c r="C985" s="20"/>
      <c r="D985" s="21"/>
      <c r="E985" s="6"/>
      <c r="F985" s="22"/>
      <c r="G985" s="22"/>
      <c r="H985" s="22"/>
      <c r="I985" s="6"/>
    </row>
    <row r="986" spans="2:9">
      <c r="B986" s="7"/>
      <c r="C986" s="20"/>
      <c r="D986" s="21"/>
      <c r="E986" s="6"/>
      <c r="F986" s="22"/>
      <c r="G986" s="22"/>
      <c r="H986" s="22"/>
      <c r="I986" s="6"/>
    </row>
    <row r="987" spans="2:9">
      <c r="B987" s="7"/>
      <c r="C987" s="20"/>
      <c r="D987" s="21"/>
      <c r="E987" s="6"/>
      <c r="F987" s="22"/>
      <c r="G987" s="22"/>
      <c r="H987" s="22"/>
      <c r="I987" s="6"/>
    </row>
    <row r="988" spans="2:9">
      <c r="B988" s="7"/>
      <c r="C988" s="20"/>
      <c r="D988" s="21"/>
      <c r="E988" s="6"/>
      <c r="F988" s="22"/>
      <c r="G988" s="22"/>
      <c r="H988" s="22"/>
      <c r="I988" s="6"/>
    </row>
    <row r="989" spans="2:9">
      <c r="B989" s="7"/>
      <c r="C989" s="20"/>
      <c r="D989" s="21"/>
      <c r="E989" s="6"/>
      <c r="F989" s="22"/>
      <c r="G989" s="22"/>
      <c r="H989" s="22"/>
      <c r="I989" s="6"/>
    </row>
    <row r="990" spans="2:9">
      <c r="B990" s="7"/>
      <c r="C990" s="20"/>
      <c r="D990" s="21"/>
      <c r="E990" s="6"/>
      <c r="F990" s="22"/>
      <c r="G990" s="22"/>
      <c r="H990" s="22"/>
      <c r="I990" s="6"/>
    </row>
    <row r="991" spans="2:9">
      <c r="B991" s="7"/>
      <c r="C991" s="20"/>
      <c r="D991" s="21"/>
      <c r="E991" s="6"/>
      <c r="F991" s="22"/>
      <c r="G991" s="22"/>
      <c r="H991" s="22"/>
      <c r="I991" s="6"/>
    </row>
    <row r="992" spans="2:9">
      <c r="B992" s="7"/>
      <c r="C992" s="20"/>
      <c r="D992" s="21"/>
      <c r="E992" s="6"/>
      <c r="F992" s="22"/>
      <c r="G992" s="22"/>
      <c r="H992" s="22"/>
      <c r="I992" s="6"/>
    </row>
    <row r="993" spans="2:9">
      <c r="B993" s="7"/>
      <c r="C993" s="20"/>
      <c r="D993" s="21"/>
      <c r="E993" s="6"/>
      <c r="F993" s="22"/>
      <c r="G993" s="22"/>
      <c r="H993" s="22"/>
      <c r="I993" s="6"/>
    </row>
    <row r="994" spans="2:9">
      <c r="B994" s="7"/>
      <c r="C994" s="20"/>
      <c r="D994" s="21"/>
      <c r="E994" s="6"/>
      <c r="F994" s="22"/>
      <c r="G994" s="22"/>
      <c r="H994" s="22"/>
      <c r="I994" s="6"/>
    </row>
    <row r="995" spans="2:9">
      <c r="B995" s="7"/>
      <c r="C995" s="20"/>
      <c r="D995" s="21"/>
      <c r="E995" s="6"/>
      <c r="F995" s="22"/>
      <c r="G995" s="22"/>
      <c r="H995" s="22"/>
      <c r="I995" s="6"/>
    </row>
    <row r="996" spans="2:9">
      <c r="B996" s="7"/>
      <c r="C996" s="20"/>
      <c r="D996" s="21"/>
      <c r="E996" s="6"/>
      <c r="F996" s="22"/>
      <c r="G996" s="22"/>
      <c r="H996" s="22"/>
      <c r="I996" s="6"/>
    </row>
    <row r="997" spans="2:9">
      <c r="B997" s="7"/>
      <c r="C997" s="20"/>
      <c r="D997" s="21"/>
      <c r="E997" s="6"/>
      <c r="F997" s="22"/>
      <c r="G997" s="22"/>
      <c r="H997" s="22"/>
      <c r="I997" s="6"/>
    </row>
    <row r="998" spans="2:9">
      <c r="B998" s="7"/>
      <c r="C998" s="20"/>
      <c r="D998" s="21"/>
      <c r="E998" s="6"/>
      <c r="F998" s="22"/>
      <c r="G998" s="22"/>
      <c r="H998" s="22"/>
      <c r="I998" s="6"/>
    </row>
    <row r="999" spans="2:9">
      <c r="B999" s="7"/>
      <c r="C999" s="20"/>
      <c r="D999" s="21"/>
      <c r="E999" s="6"/>
      <c r="F999" s="22"/>
      <c r="G999" s="22"/>
      <c r="H999" s="22"/>
      <c r="I999" s="6"/>
    </row>
    <row r="1000" spans="2:9">
      <c r="B1000" s="7"/>
      <c r="C1000" s="20"/>
      <c r="D1000" s="21"/>
      <c r="E1000" s="6"/>
      <c r="F1000" s="22"/>
      <c r="G1000" s="22"/>
      <c r="H1000" s="22"/>
      <c r="I1000" s="6"/>
    </row>
    <row r="1001" spans="2:9">
      <c r="B1001" s="7"/>
      <c r="C1001" s="20"/>
      <c r="D1001" s="21"/>
      <c r="E1001" s="6"/>
      <c r="F1001" s="22"/>
      <c r="G1001" s="22"/>
      <c r="H1001" s="22"/>
      <c r="I1001" s="6"/>
    </row>
    <row r="1002" spans="2:9">
      <c r="B1002" s="7"/>
      <c r="C1002" s="20"/>
      <c r="D1002" s="21"/>
      <c r="E1002" s="6"/>
      <c r="F1002" s="22"/>
      <c r="G1002" s="22"/>
      <c r="H1002" s="22"/>
      <c r="I1002" s="6"/>
    </row>
    <row r="1003" spans="2:9">
      <c r="B1003" s="7"/>
      <c r="C1003" s="20"/>
      <c r="D1003" s="21"/>
      <c r="E1003" s="6"/>
      <c r="F1003" s="22"/>
      <c r="G1003" s="22"/>
      <c r="H1003" s="22"/>
      <c r="I1003" s="6"/>
    </row>
    <row r="1004" spans="2:9">
      <c r="B1004" s="7"/>
      <c r="C1004" s="20"/>
      <c r="D1004" s="21"/>
      <c r="E1004" s="6"/>
      <c r="F1004" s="22"/>
      <c r="G1004" s="22"/>
      <c r="H1004" s="22"/>
      <c r="I1004" s="6"/>
    </row>
    <row r="1005" spans="2:9">
      <c r="B1005" s="7"/>
      <c r="C1005" s="20"/>
      <c r="D1005" s="21"/>
      <c r="E1005" s="6"/>
      <c r="F1005" s="22"/>
      <c r="G1005" s="22"/>
      <c r="H1005" s="22"/>
      <c r="I1005" s="6"/>
    </row>
    <row r="1006" spans="2:9">
      <c r="B1006" s="7"/>
      <c r="C1006" s="20"/>
      <c r="D1006" s="21"/>
      <c r="E1006" s="6"/>
      <c r="F1006" s="22"/>
      <c r="G1006" s="22"/>
      <c r="H1006" s="22"/>
      <c r="I1006" s="6"/>
    </row>
    <row r="1007" spans="2:9">
      <c r="B1007" s="7"/>
      <c r="C1007" s="20"/>
      <c r="D1007" s="21"/>
      <c r="E1007" s="6"/>
      <c r="F1007" s="22"/>
      <c r="G1007" s="22"/>
      <c r="H1007" s="22"/>
      <c r="I1007" s="6"/>
    </row>
    <row r="1008" spans="2:9">
      <c r="B1008" s="7"/>
      <c r="C1008" s="20"/>
      <c r="D1008" s="21"/>
      <c r="E1008" s="6"/>
      <c r="F1008" s="22"/>
      <c r="G1008" s="22"/>
      <c r="H1008" s="22"/>
      <c r="I1008" s="6"/>
    </row>
    <row r="1009" spans="2:9">
      <c r="B1009" s="7"/>
      <c r="C1009" s="20"/>
      <c r="D1009" s="21"/>
      <c r="E1009" s="6"/>
      <c r="F1009" s="22"/>
      <c r="G1009" s="22"/>
      <c r="H1009" s="22"/>
      <c r="I1009" s="6"/>
    </row>
    <row r="1010" spans="2:9">
      <c r="B1010" s="7"/>
      <c r="C1010" s="20"/>
      <c r="D1010" s="21"/>
      <c r="E1010" s="6"/>
      <c r="F1010" s="22"/>
      <c r="G1010" s="22"/>
      <c r="H1010" s="22"/>
      <c r="I1010" s="6"/>
    </row>
    <row r="1011" spans="2:9">
      <c r="B1011" s="7"/>
      <c r="C1011" s="20"/>
      <c r="D1011" s="21"/>
      <c r="E1011" s="6"/>
      <c r="F1011" s="22"/>
      <c r="G1011" s="22"/>
      <c r="H1011" s="22"/>
      <c r="I1011" s="6"/>
    </row>
    <row r="1012" spans="2:9">
      <c r="B1012" s="7"/>
      <c r="C1012" s="20"/>
      <c r="D1012" s="21"/>
      <c r="E1012" s="6"/>
      <c r="F1012" s="22"/>
      <c r="G1012" s="22"/>
      <c r="H1012" s="22"/>
      <c r="I1012" s="6"/>
    </row>
    <row r="1013" spans="2:9">
      <c r="B1013" s="7"/>
      <c r="C1013" s="20"/>
      <c r="D1013" s="21"/>
      <c r="E1013" s="6"/>
      <c r="F1013" s="22"/>
      <c r="G1013" s="22"/>
      <c r="H1013" s="22"/>
      <c r="I1013" s="6"/>
    </row>
    <row r="1014" spans="2:9">
      <c r="B1014" s="7"/>
      <c r="C1014" s="20"/>
      <c r="D1014" s="21"/>
      <c r="E1014" s="6"/>
      <c r="F1014" s="22"/>
      <c r="G1014" s="22"/>
      <c r="H1014" s="22"/>
      <c r="I1014" s="6"/>
    </row>
    <row r="1015" spans="2:9">
      <c r="B1015" s="7"/>
      <c r="C1015" s="20"/>
      <c r="D1015" s="21"/>
      <c r="E1015" s="6"/>
      <c r="F1015" s="22"/>
      <c r="G1015" s="22"/>
      <c r="H1015" s="22"/>
      <c r="I1015" s="6"/>
    </row>
    <row r="1016" spans="2:9">
      <c r="B1016" s="7"/>
      <c r="C1016" s="20"/>
      <c r="D1016" s="21"/>
      <c r="E1016" s="6"/>
      <c r="F1016" s="22"/>
      <c r="G1016" s="22"/>
      <c r="H1016" s="22"/>
      <c r="I1016" s="6"/>
    </row>
    <row r="1017" spans="2:9">
      <c r="B1017" s="7"/>
      <c r="C1017" s="20"/>
      <c r="D1017" s="21"/>
      <c r="E1017" s="6"/>
      <c r="F1017" s="22"/>
      <c r="G1017" s="22"/>
      <c r="H1017" s="22"/>
      <c r="I1017" s="6"/>
    </row>
    <row r="1018" spans="2:9">
      <c r="B1018" s="7"/>
      <c r="C1018" s="20"/>
      <c r="D1018" s="21"/>
      <c r="E1018" s="6"/>
      <c r="F1018" s="22"/>
      <c r="G1018" s="22"/>
      <c r="H1018" s="22"/>
      <c r="I1018" s="6"/>
    </row>
    <row r="1019" spans="2:9">
      <c r="B1019" s="7"/>
      <c r="C1019" s="20"/>
      <c r="D1019" s="21"/>
      <c r="E1019" s="6"/>
      <c r="F1019" s="22"/>
      <c r="G1019" s="22"/>
      <c r="H1019" s="22"/>
      <c r="I1019" s="6"/>
    </row>
    <row r="1020" spans="2:9">
      <c r="B1020" s="7"/>
      <c r="C1020" s="20"/>
      <c r="D1020" s="21"/>
      <c r="E1020" s="6"/>
      <c r="F1020" s="22"/>
      <c r="G1020" s="22"/>
      <c r="H1020" s="22"/>
      <c r="I1020" s="6"/>
    </row>
    <row r="1021" spans="2:9">
      <c r="B1021" s="7"/>
      <c r="C1021" s="20"/>
      <c r="D1021" s="21"/>
      <c r="E1021" s="6"/>
      <c r="F1021" s="22"/>
      <c r="G1021" s="22"/>
      <c r="H1021" s="22"/>
      <c r="I1021" s="6"/>
    </row>
    <row r="1022" spans="2:9">
      <c r="B1022" s="7"/>
      <c r="C1022" s="20"/>
      <c r="D1022" s="21"/>
      <c r="E1022" s="6"/>
      <c r="F1022" s="22"/>
      <c r="G1022" s="22"/>
      <c r="H1022" s="22"/>
      <c r="I1022" s="6"/>
    </row>
    <row r="1023" spans="2:9">
      <c r="B1023" s="7"/>
      <c r="C1023" s="20"/>
      <c r="D1023" s="21"/>
      <c r="E1023" s="6"/>
      <c r="F1023" s="22"/>
      <c r="G1023" s="22"/>
      <c r="H1023" s="22"/>
      <c r="I1023" s="6"/>
    </row>
    <row r="1024" spans="2:9">
      <c r="B1024" s="7"/>
      <c r="C1024" s="20"/>
      <c r="D1024" s="21"/>
      <c r="E1024" s="6"/>
      <c r="F1024" s="22"/>
      <c r="G1024" s="22"/>
      <c r="H1024" s="22"/>
      <c r="I1024" s="6"/>
    </row>
    <row r="1025" spans="2:9">
      <c r="B1025" s="7"/>
      <c r="C1025" s="20"/>
      <c r="D1025" s="21"/>
      <c r="E1025" s="6"/>
      <c r="F1025" s="22"/>
      <c r="G1025" s="22"/>
      <c r="H1025" s="22"/>
      <c r="I1025" s="6"/>
    </row>
    <row r="1026" spans="2:9">
      <c r="B1026" s="7"/>
      <c r="C1026" s="20"/>
      <c r="D1026" s="21"/>
      <c r="E1026" s="6"/>
      <c r="F1026" s="22"/>
      <c r="G1026" s="22"/>
      <c r="H1026" s="22"/>
      <c r="I1026" s="6"/>
    </row>
    <row r="1027" spans="2:9">
      <c r="B1027" s="7"/>
      <c r="C1027" s="20"/>
      <c r="D1027" s="21"/>
      <c r="E1027" s="6"/>
      <c r="F1027" s="22"/>
      <c r="G1027" s="22"/>
      <c r="H1027" s="22"/>
      <c r="I1027" s="6"/>
    </row>
    <row r="1028" spans="2:9">
      <c r="B1028" s="7"/>
      <c r="C1028" s="20"/>
      <c r="D1028" s="21"/>
      <c r="E1028" s="6"/>
      <c r="F1028" s="22"/>
      <c r="G1028" s="22"/>
      <c r="H1028" s="22"/>
      <c r="I1028" s="6"/>
    </row>
    <row r="1029" spans="2:9">
      <c r="B1029" s="7"/>
      <c r="C1029" s="20"/>
      <c r="D1029" s="21"/>
      <c r="E1029" s="6"/>
      <c r="F1029" s="22"/>
      <c r="G1029" s="22"/>
      <c r="H1029" s="22"/>
      <c r="I1029" s="6"/>
    </row>
    <row r="1030" spans="2:9">
      <c r="B1030" s="7"/>
      <c r="C1030" s="20"/>
      <c r="D1030" s="21"/>
      <c r="E1030" s="6"/>
      <c r="F1030" s="22"/>
      <c r="G1030" s="22"/>
      <c r="H1030" s="22"/>
      <c r="I1030" s="6"/>
    </row>
    <row r="1031" spans="2:9">
      <c r="B1031" s="7"/>
      <c r="C1031" s="20"/>
      <c r="D1031" s="21"/>
      <c r="E1031" s="6"/>
      <c r="F1031" s="22"/>
      <c r="G1031" s="22"/>
      <c r="H1031" s="22"/>
      <c r="I1031" s="6"/>
    </row>
    <row r="1032" spans="2:9">
      <c r="B1032" s="7"/>
      <c r="C1032" s="20"/>
      <c r="D1032" s="21"/>
      <c r="E1032" s="6"/>
      <c r="F1032" s="22"/>
      <c r="G1032" s="22"/>
      <c r="H1032" s="22"/>
      <c r="I1032" s="6"/>
    </row>
    <row r="1033" spans="2:9">
      <c r="B1033" s="7"/>
      <c r="C1033" s="20"/>
      <c r="D1033" s="21"/>
      <c r="E1033" s="6"/>
      <c r="F1033" s="22"/>
      <c r="G1033" s="22"/>
      <c r="H1033" s="22"/>
      <c r="I1033" s="6"/>
    </row>
    <row r="1034" spans="2:9">
      <c r="B1034" s="7"/>
      <c r="C1034" s="20"/>
      <c r="D1034" s="21"/>
      <c r="E1034" s="6"/>
      <c r="F1034" s="22"/>
      <c r="G1034" s="22"/>
      <c r="H1034" s="22"/>
      <c r="I1034" s="6"/>
    </row>
    <row r="1035" spans="2:9">
      <c r="B1035" s="7"/>
      <c r="C1035" s="20"/>
      <c r="D1035" s="21"/>
      <c r="E1035" s="6"/>
      <c r="F1035" s="22"/>
      <c r="G1035" s="22"/>
      <c r="H1035" s="22"/>
      <c r="I1035" s="6"/>
    </row>
    <row r="1036" spans="2:9">
      <c r="B1036" s="7"/>
      <c r="C1036" s="20"/>
      <c r="D1036" s="21"/>
      <c r="E1036" s="6"/>
      <c r="F1036" s="22"/>
      <c r="G1036" s="22"/>
      <c r="H1036" s="22"/>
      <c r="I1036" s="6"/>
    </row>
    <row r="1037" spans="2:9">
      <c r="B1037" s="7"/>
      <c r="C1037" s="20"/>
      <c r="D1037" s="21"/>
      <c r="E1037" s="6"/>
      <c r="F1037" s="22"/>
      <c r="G1037" s="22"/>
      <c r="H1037" s="22"/>
      <c r="I1037" s="6"/>
    </row>
    <row r="1038" spans="2:9">
      <c r="B1038" s="7"/>
      <c r="C1038" s="20"/>
      <c r="D1038" s="21"/>
      <c r="E1038" s="6"/>
      <c r="F1038" s="22"/>
      <c r="G1038" s="22"/>
      <c r="H1038" s="22"/>
      <c r="I1038" s="6"/>
    </row>
    <row r="1039" spans="2:9">
      <c r="B1039" s="7"/>
      <c r="C1039" s="20"/>
      <c r="D1039" s="21"/>
      <c r="E1039" s="6"/>
      <c r="F1039" s="22"/>
      <c r="G1039" s="22"/>
      <c r="H1039" s="22"/>
      <c r="I1039" s="6"/>
    </row>
    <row r="1040" spans="2:9">
      <c r="B1040" s="7"/>
      <c r="C1040" s="20"/>
      <c r="D1040" s="21"/>
      <c r="E1040" s="6"/>
      <c r="F1040" s="22"/>
      <c r="G1040" s="22"/>
      <c r="H1040" s="22"/>
      <c r="I1040" s="6"/>
    </row>
    <row r="1041" spans="2:9">
      <c r="B1041" s="7"/>
      <c r="C1041" s="20"/>
      <c r="D1041" s="21"/>
      <c r="E1041" s="6"/>
      <c r="F1041" s="22"/>
      <c r="G1041" s="22"/>
      <c r="H1041" s="22"/>
      <c r="I1041" s="6"/>
    </row>
    <row r="1042" spans="2:9">
      <c r="B1042" s="7"/>
      <c r="C1042" s="20"/>
      <c r="D1042" s="21"/>
      <c r="E1042" s="6"/>
      <c r="F1042" s="22"/>
      <c r="G1042" s="22"/>
      <c r="H1042" s="22"/>
      <c r="I1042" s="6"/>
    </row>
    <row r="1043" spans="2:9">
      <c r="B1043" s="7"/>
      <c r="C1043" s="20"/>
      <c r="D1043" s="21"/>
      <c r="E1043" s="6"/>
      <c r="F1043" s="22"/>
      <c r="G1043" s="22"/>
      <c r="H1043" s="22"/>
      <c r="I1043" s="6"/>
    </row>
    <row r="1044" spans="2:9">
      <c r="B1044" s="7"/>
      <c r="C1044" s="20"/>
      <c r="D1044" s="21"/>
      <c r="E1044" s="6"/>
      <c r="F1044" s="22"/>
      <c r="G1044" s="22"/>
      <c r="H1044" s="22"/>
      <c r="I1044" s="6"/>
    </row>
    <row r="1045" spans="2:9">
      <c r="B1045" s="7"/>
      <c r="C1045" s="20"/>
      <c r="D1045" s="21"/>
      <c r="E1045" s="6"/>
      <c r="F1045" s="22"/>
      <c r="G1045" s="22"/>
      <c r="H1045" s="22"/>
      <c r="I1045" s="6"/>
    </row>
    <row r="1046" spans="2:9">
      <c r="B1046" s="7"/>
      <c r="C1046" s="20"/>
      <c r="D1046" s="21"/>
      <c r="E1046" s="6"/>
      <c r="F1046" s="22"/>
      <c r="G1046" s="22"/>
      <c r="H1046" s="22"/>
      <c r="I1046" s="6"/>
    </row>
    <row r="1047" spans="2:9">
      <c r="B1047" s="7"/>
      <c r="C1047" s="20"/>
      <c r="D1047" s="21"/>
      <c r="E1047" s="6"/>
      <c r="F1047" s="22"/>
      <c r="G1047" s="22"/>
      <c r="H1047" s="22"/>
      <c r="I1047" s="6"/>
    </row>
    <row r="1048" spans="2:9">
      <c r="B1048" s="7"/>
      <c r="C1048" s="20"/>
      <c r="D1048" s="21"/>
      <c r="E1048" s="6"/>
      <c r="F1048" s="22"/>
      <c r="G1048" s="22"/>
      <c r="H1048" s="22"/>
      <c r="I1048" s="6"/>
    </row>
    <row r="1049" spans="2:9">
      <c r="B1049" s="7"/>
      <c r="C1049" s="20"/>
      <c r="D1049" s="21"/>
      <c r="E1049" s="6"/>
      <c r="F1049" s="22"/>
      <c r="G1049" s="22"/>
      <c r="H1049" s="22"/>
      <c r="I1049" s="6"/>
    </row>
    <row r="1050" spans="2:9">
      <c r="B1050" s="7"/>
      <c r="C1050" s="20"/>
      <c r="D1050" s="21"/>
      <c r="E1050" s="6"/>
      <c r="F1050" s="22"/>
      <c r="G1050" s="22"/>
      <c r="H1050" s="22"/>
      <c r="I1050" s="6"/>
    </row>
    <row r="1051" spans="2:9">
      <c r="B1051" s="7"/>
      <c r="C1051" s="20"/>
      <c r="D1051" s="21"/>
      <c r="E1051" s="6"/>
      <c r="F1051" s="22"/>
      <c r="G1051" s="22"/>
      <c r="H1051" s="22"/>
      <c r="I1051" s="6"/>
    </row>
    <row r="1052" spans="2:9">
      <c r="B1052" s="7"/>
      <c r="C1052" s="20"/>
      <c r="D1052" s="21"/>
      <c r="E1052" s="6"/>
      <c r="F1052" s="22"/>
      <c r="G1052" s="22"/>
      <c r="H1052" s="22"/>
      <c r="I1052" s="6"/>
    </row>
    <row r="1053" spans="2:9">
      <c r="B1053" s="7"/>
      <c r="C1053" s="20"/>
      <c r="D1053" s="21"/>
      <c r="E1053" s="6"/>
      <c r="F1053" s="22"/>
      <c r="G1053" s="22"/>
      <c r="H1053" s="22"/>
      <c r="I1053" s="6"/>
    </row>
    <row r="1054" spans="2:9">
      <c r="B1054" s="7"/>
      <c r="C1054" s="20"/>
      <c r="D1054" s="21"/>
      <c r="E1054" s="6"/>
      <c r="F1054" s="22"/>
      <c r="G1054" s="22"/>
      <c r="H1054" s="22"/>
      <c r="I1054" s="6"/>
    </row>
    <row r="1055" spans="2:9">
      <c r="B1055" s="7"/>
      <c r="C1055" s="20"/>
      <c r="D1055" s="21"/>
      <c r="E1055" s="6"/>
      <c r="F1055" s="22"/>
      <c r="G1055" s="22"/>
      <c r="H1055" s="22"/>
      <c r="I1055" s="6"/>
    </row>
    <row r="1056" spans="2:9">
      <c r="B1056" s="7"/>
      <c r="C1056" s="20"/>
      <c r="D1056" s="21"/>
      <c r="E1056" s="6"/>
      <c r="F1056" s="22"/>
      <c r="G1056" s="22"/>
      <c r="H1056" s="22"/>
      <c r="I1056" s="6"/>
    </row>
    <row r="1057" spans="2:9">
      <c r="B1057" s="7"/>
      <c r="C1057" s="20"/>
      <c r="D1057" s="21"/>
      <c r="E1057" s="6"/>
      <c r="F1057" s="22"/>
      <c r="G1057" s="22"/>
      <c r="H1057" s="22"/>
      <c r="I1057" s="6"/>
    </row>
    <row r="1058" spans="2:9">
      <c r="B1058" s="7"/>
      <c r="C1058" s="20"/>
      <c r="D1058" s="21"/>
      <c r="E1058" s="6"/>
      <c r="F1058" s="22"/>
      <c r="G1058" s="22"/>
      <c r="H1058" s="22"/>
      <c r="I1058" s="6"/>
    </row>
    <row r="1059" spans="2:9">
      <c r="B1059" s="7"/>
      <c r="C1059" s="20"/>
      <c r="D1059" s="21"/>
      <c r="E1059" s="6"/>
      <c r="F1059" s="22"/>
      <c r="G1059" s="22"/>
      <c r="H1059" s="22"/>
      <c r="I1059" s="6"/>
    </row>
    <row r="1060" spans="2:9">
      <c r="B1060" s="7"/>
      <c r="C1060" s="20"/>
      <c r="D1060" s="21"/>
      <c r="E1060" s="6"/>
      <c r="F1060" s="22"/>
      <c r="G1060" s="22"/>
      <c r="H1060" s="22"/>
      <c r="I1060" s="6"/>
    </row>
    <row r="1061" spans="2:9">
      <c r="B1061" s="7"/>
      <c r="C1061" s="20"/>
      <c r="D1061" s="21"/>
      <c r="E1061" s="6"/>
      <c r="F1061" s="22"/>
      <c r="G1061" s="22"/>
      <c r="H1061" s="22"/>
      <c r="I1061" s="6"/>
    </row>
    <row r="1062" spans="2:9">
      <c r="B1062" s="7"/>
      <c r="C1062" s="20"/>
      <c r="D1062" s="21"/>
      <c r="E1062" s="6"/>
      <c r="F1062" s="22"/>
      <c r="G1062" s="22"/>
      <c r="H1062" s="22"/>
      <c r="I1062" s="6"/>
    </row>
    <row r="1063" spans="2:9">
      <c r="B1063" s="7"/>
      <c r="C1063" s="20"/>
      <c r="D1063" s="21"/>
      <c r="E1063" s="6"/>
      <c r="F1063" s="22"/>
      <c r="G1063" s="22"/>
      <c r="H1063" s="22"/>
      <c r="I1063" s="6"/>
    </row>
    <row r="1064" spans="2:9">
      <c r="B1064" s="7"/>
      <c r="C1064" s="20"/>
      <c r="D1064" s="21"/>
      <c r="E1064" s="6"/>
      <c r="F1064" s="22"/>
      <c r="G1064" s="22"/>
      <c r="H1064" s="22"/>
      <c r="I1064" s="6"/>
    </row>
    <row r="1065" spans="2:9">
      <c r="B1065" s="7"/>
      <c r="C1065" s="20"/>
      <c r="D1065" s="21"/>
      <c r="E1065" s="6"/>
      <c r="F1065" s="22"/>
      <c r="G1065" s="22"/>
      <c r="H1065" s="22"/>
      <c r="I1065" s="6"/>
    </row>
    <row r="1066" spans="2:9">
      <c r="B1066" s="7"/>
      <c r="C1066" s="20"/>
      <c r="D1066" s="21"/>
      <c r="E1066" s="6"/>
      <c r="F1066" s="22"/>
      <c r="G1066" s="22"/>
      <c r="H1066" s="22"/>
      <c r="I1066" s="6"/>
    </row>
    <row r="1067" spans="2:9">
      <c r="B1067" s="7"/>
      <c r="C1067" s="20"/>
      <c r="D1067" s="21"/>
      <c r="E1067" s="6"/>
      <c r="F1067" s="22"/>
      <c r="G1067" s="22"/>
      <c r="H1067" s="22"/>
      <c r="I1067" s="6"/>
    </row>
    <row r="1068" spans="2:9">
      <c r="B1068" s="7"/>
      <c r="C1068" s="20"/>
      <c r="D1068" s="21"/>
      <c r="E1068" s="6"/>
      <c r="F1068" s="22"/>
      <c r="G1068" s="22"/>
      <c r="H1068" s="22"/>
      <c r="I1068" s="6"/>
    </row>
    <row r="1069" spans="2:9">
      <c r="B1069" s="7"/>
      <c r="C1069" s="20"/>
      <c r="D1069" s="21"/>
      <c r="E1069" s="6"/>
      <c r="F1069" s="22"/>
      <c r="G1069" s="22"/>
      <c r="H1069" s="22"/>
      <c r="I1069" s="6"/>
    </row>
    <row r="1070" spans="2:9">
      <c r="B1070" s="7"/>
      <c r="C1070" s="20"/>
      <c r="D1070" s="21"/>
      <c r="E1070" s="6"/>
      <c r="F1070" s="22"/>
      <c r="G1070" s="22"/>
      <c r="H1070" s="22"/>
      <c r="I1070" s="6"/>
    </row>
    <row r="1071" spans="2:9">
      <c r="B1071" s="7"/>
      <c r="C1071" s="20"/>
      <c r="D1071" s="21"/>
      <c r="E1071" s="6"/>
      <c r="F1071" s="22"/>
      <c r="G1071" s="22"/>
      <c r="H1071" s="22"/>
      <c r="I1071" s="6"/>
    </row>
    <row r="1072" spans="2:9">
      <c r="B1072" s="7"/>
      <c r="C1072" s="20"/>
      <c r="D1072" s="21"/>
      <c r="E1072" s="6"/>
      <c r="F1072" s="22"/>
      <c r="G1072" s="22"/>
      <c r="H1072" s="22"/>
      <c r="I1072" s="6"/>
    </row>
    <row r="1073" spans="2:9">
      <c r="B1073" s="7"/>
      <c r="C1073" s="20"/>
      <c r="D1073" s="21"/>
      <c r="E1073" s="6"/>
      <c r="F1073" s="22"/>
      <c r="G1073" s="22"/>
      <c r="H1073" s="22"/>
      <c r="I1073" s="6"/>
    </row>
    <row r="1074" spans="2:9">
      <c r="B1074" s="7"/>
      <c r="C1074" s="20"/>
      <c r="D1074" s="21"/>
      <c r="E1074" s="6"/>
      <c r="F1074" s="22"/>
      <c r="G1074" s="22"/>
      <c r="H1074" s="22"/>
      <c r="I1074" s="6"/>
    </row>
    <row r="1075" spans="2:9">
      <c r="B1075" s="7"/>
      <c r="C1075" s="20"/>
      <c r="D1075" s="21"/>
      <c r="E1075" s="6"/>
      <c r="F1075" s="22"/>
      <c r="G1075" s="22"/>
      <c r="H1075" s="22"/>
      <c r="I1075" s="6"/>
    </row>
    <row r="1076" spans="2:9">
      <c r="B1076" s="7"/>
      <c r="C1076" s="20"/>
      <c r="D1076" s="21"/>
      <c r="E1076" s="6"/>
      <c r="F1076" s="22"/>
      <c r="G1076" s="22"/>
      <c r="H1076" s="22"/>
      <c r="I1076" s="6"/>
    </row>
    <row r="1077" spans="2:9">
      <c r="B1077" s="7"/>
      <c r="C1077" s="20"/>
      <c r="D1077" s="21"/>
      <c r="E1077" s="6"/>
      <c r="F1077" s="22"/>
      <c r="G1077" s="22"/>
      <c r="H1077" s="22"/>
      <c r="I1077" s="6"/>
    </row>
    <row r="1078" spans="2:9">
      <c r="B1078" s="7"/>
      <c r="C1078" s="20"/>
      <c r="D1078" s="21"/>
      <c r="E1078" s="6"/>
      <c r="F1078" s="22"/>
      <c r="G1078" s="22"/>
      <c r="H1078" s="22"/>
      <c r="I1078" s="6"/>
    </row>
    <row r="1079" spans="2:9">
      <c r="B1079" s="7"/>
      <c r="C1079" s="20"/>
      <c r="D1079" s="21"/>
      <c r="E1079" s="6"/>
      <c r="F1079" s="22"/>
      <c r="G1079" s="22"/>
      <c r="H1079" s="22"/>
      <c r="I1079" s="6"/>
    </row>
    <row r="1080" spans="2:9">
      <c r="B1080" s="7"/>
      <c r="C1080" s="20"/>
      <c r="D1080" s="21"/>
      <c r="E1080" s="6"/>
      <c r="F1080" s="22"/>
      <c r="G1080" s="22"/>
      <c r="H1080" s="22"/>
      <c r="I1080" s="6"/>
    </row>
    <row r="1081" spans="2:9">
      <c r="B1081" s="7"/>
      <c r="C1081" s="20"/>
      <c r="D1081" s="21"/>
      <c r="E1081" s="6"/>
      <c r="F1081" s="22"/>
      <c r="G1081" s="22"/>
      <c r="H1081" s="22"/>
      <c r="I1081" s="6"/>
    </row>
    <row r="1082" spans="2:9">
      <c r="B1082" s="7"/>
      <c r="C1082" s="20"/>
      <c r="D1082" s="21"/>
      <c r="E1082" s="6"/>
      <c r="F1082" s="22"/>
      <c r="G1082" s="22"/>
      <c r="H1082" s="22"/>
      <c r="I1082" s="6"/>
    </row>
    <row r="1083" spans="2:9">
      <c r="B1083" s="7"/>
      <c r="C1083" s="20"/>
      <c r="D1083" s="21"/>
      <c r="E1083" s="6"/>
      <c r="F1083" s="22"/>
      <c r="G1083" s="22"/>
      <c r="H1083" s="22"/>
      <c r="I1083" s="6"/>
    </row>
    <row r="1084" spans="2:9">
      <c r="B1084" s="7"/>
      <c r="C1084" s="20"/>
      <c r="D1084" s="21"/>
      <c r="E1084" s="6"/>
      <c r="F1084" s="22"/>
      <c r="G1084" s="22"/>
      <c r="H1084" s="22"/>
      <c r="I1084" s="6"/>
    </row>
    <row r="1085" spans="2:9">
      <c r="B1085" s="7"/>
      <c r="C1085" s="20"/>
      <c r="D1085" s="21"/>
      <c r="E1085" s="6"/>
      <c r="F1085" s="22"/>
      <c r="G1085" s="22"/>
      <c r="H1085" s="22"/>
      <c r="I1085" s="6"/>
    </row>
    <row r="1086" spans="2:9">
      <c r="B1086" s="7"/>
      <c r="C1086" s="20"/>
      <c r="D1086" s="21"/>
      <c r="E1086" s="6"/>
      <c r="F1086" s="22"/>
      <c r="G1086" s="22"/>
      <c r="H1086" s="22"/>
      <c r="I1086" s="6"/>
    </row>
    <row r="1087" spans="2:9">
      <c r="B1087" s="7"/>
      <c r="C1087" s="20"/>
      <c r="D1087" s="21"/>
      <c r="E1087" s="6"/>
      <c r="F1087" s="22"/>
      <c r="G1087" s="22"/>
      <c r="H1087" s="22"/>
      <c r="I1087" s="6"/>
    </row>
    <row r="1088" spans="2:9">
      <c r="B1088" s="7"/>
      <c r="C1088" s="20"/>
      <c r="D1088" s="21"/>
      <c r="E1088" s="6"/>
      <c r="F1088" s="22"/>
      <c r="G1088" s="22"/>
      <c r="H1088" s="22"/>
      <c r="I1088" s="6"/>
    </row>
    <row r="1089" spans="2:9">
      <c r="B1089" s="7"/>
      <c r="C1089" s="20"/>
      <c r="D1089" s="21"/>
      <c r="E1089" s="6"/>
      <c r="F1089" s="22"/>
      <c r="G1089" s="22"/>
      <c r="H1089" s="22"/>
      <c r="I1089" s="6"/>
    </row>
    <row r="1090" spans="2:9">
      <c r="B1090" s="7"/>
      <c r="C1090" s="20"/>
      <c r="D1090" s="21"/>
      <c r="E1090" s="6"/>
      <c r="F1090" s="22"/>
      <c r="G1090" s="22"/>
      <c r="H1090" s="22"/>
      <c r="I1090" s="6"/>
    </row>
    <row r="1091" spans="2:9">
      <c r="B1091" s="7"/>
      <c r="C1091" s="20"/>
      <c r="D1091" s="21"/>
      <c r="E1091" s="6"/>
      <c r="F1091" s="22"/>
      <c r="G1091" s="22"/>
      <c r="H1091" s="22"/>
      <c r="I1091" s="6"/>
    </row>
    <row r="1092" spans="2:9">
      <c r="B1092" s="7"/>
      <c r="C1092" s="20"/>
      <c r="D1092" s="21"/>
      <c r="E1092" s="6"/>
      <c r="F1092" s="22"/>
      <c r="G1092" s="22"/>
      <c r="H1092" s="22"/>
      <c r="I1092" s="6"/>
    </row>
    <row r="1093" spans="2:9">
      <c r="B1093" s="7"/>
      <c r="C1093" s="20"/>
      <c r="D1093" s="21"/>
      <c r="E1093" s="6"/>
      <c r="F1093" s="22"/>
      <c r="G1093" s="22"/>
      <c r="H1093" s="22"/>
      <c r="I1093" s="6"/>
    </row>
    <row r="1094" spans="2:9">
      <c r="B1094" s="7"/>
      <c r="C1094" s="20"/>
      <c r="D1094" s="21"/>
      <c r="E1094" s="6"/>
      <c r="F1094" s="22"/>
      <c r="G1094" s="22"/>
      <c r="H1094" s="22"/>
      <c r="I1094" s="6"/>
    </row>
    <row r="1095" spans="2:9">
      <c r="B1095" s="7"/>
      <c r="C1095" s="20"/>
      <c r="D1095" s="21"/>
      <c r="E1095" s="6"/>
      <c r="F1095" s="22"/>
      <c r="G1095" s="22"/>
      <c r="H1095" s="22"/>
      <c r="I1095" s="6"/>
    </row>
    <row r="1096" spans="2:9">
      <c r="B1096" s="7"/>
      <c r="C1096" s="20"/>
      <c r="D1096" s="21"/>
      <c r="E1096" s="6"/>
      <c r="F1096" s="22"/>
      <c r="G1096" s="22"/>
      <c r="H1096" s="22"/>
      <c r="I1096" s="6"/>
    </row>
    <row r="1097" spans="2:9">
      <c r="B1097" s="7"/>
      <c r="C1097" s="20"/>
      <c r="D1097" s="21"/>
      <c r="E1097" s="6"/>
      <c r="F1097" s="22"/>
      <c r="G1097" s="22"/>
      <c r="H1097" s="22"/>
      <c r="I1097" s="6"/>
    </row>
    <row r="1098" spans="2:9">
      <c r="B1098" s="7"/>
      <c r="C1098" s="20"/>
      <c r="D1098" s="21"/>
      <c r="E1098" s="6"/>
      <c r="F1098" s="22"/>
      <c r="G1098" s="22"/>
      <c r="H1098" s="22"/>
      <c r="I1098" s="6"/>
    </row>
    <row r="1099" spans="2:9">
      <c r="B1099" s="7"/>
      <c r="C1099" s="20"/>
      <c r="D1099" s="21"/>
      <c r="E1099" s="6"/>
      <c r="F1099" s="22"/>
      <c r="G1099" s="22"/>
      <c r="H1099" s="22"/>
      <c r="I1099" s="6"/>
    </row>
    <row r="1100" spans="2:9">
      <c r="B1100" s="7"/>
      <c r="C1100" s="20"/>
      <c r="D1100" s="21"/>
      <c r="E1100" s="6"/>
      <c r="F1100" s="22"/>
      <c r="G1100" s="22"/>
      <c r="H1100" s="22"/>
      <c r="I1100" s="6"/>
    </row>
    <row r="1101" spans="2:9">
      <c r="B1101" s="7"/>
      <c r="C1101" s="20"/>
      <c r="D1101" s="21"/>
      <c r="E1101" s="6"/>
      <c r="F1101" s="22"/>
      <c r="G1101" s="22"/>
      <c r="H1101" s="22"/>
      <c r="I1101" s="6"/>
    </row>
    <row r="1102" spans="2:9">
      <c r="B1102" s="7"/>
      <c r="C1102" s="20"/>
      <c r="D1102" s="21"/>
      <c r="E1102" s="6"/>
      <c r="F1102" s="22"/>
      <c r="G1102" s="22"/>
      <c r="H1102" s="22"/>
      <c r="I1102" s="6"/>
    </row>
    <row r="1103" spans="2:9">
      <c r="B1103" s="7"/>
      <c r="C1103" s="20"/>
      <c r="D1103" s="21"/>
      <c r="E1103" s="6"/>
      <c r="F1103" s="22"/>
      <c r="G1103" s="22"/>
      <c r="H1103" s="22"/>
      <c r="I1103" s="6"/>
    </row>
    <row r="1104" spans="2:9">
      <c r="B1104" s="7"/>
      <c r="C1104" s="20"/>
      <c r="D1104" s="21"/>
      <c r="E1104" s="6"/>
      <c r="F1104" s="22"/>
      <c r="G1104" s="22"/>
      <c r="H1104" s="22"/>
      <c r="I1104" s="6"/>
    </row>
    <row r="1105" spans="2:9">
      <c r="B1105" s="7"/>
      <c r="C1105" s="20"/>
      <c r="D1105" s="21"/>
      <c r="E1105" s="6"/>
      <c r="F1105" s="22"/>
      <c r="G1105" s="22"/>
      <c r="H1105" s="22"/>
      <c r="I1105" s="6"/>
    </row>
    <row r="1106" spans="2:9">
      <c r="B1106" s="7"/>
      <c r="C1106" s="20"/>
      <c r="D1106" s="21"/>
      <c r="E1106" s="6"/>
      <c r="F1106" s="22"/>
      <c r="G1106" s="22"/>
      <c r="H1106" s="22"/>
      <c r="I1106" s="6"/>
    </row>
    <row r="1107" spans="2:9">
      <c r="B1107" s="7"/>
      <c r="C1107" s="20"/>
      <c r="D1107" s="21"/>
      <c r="E1107" s="6"/>
      <c r="F1107" s="22"/>
      <c r="G1107" s="22"/>
      <c r="H1107" s="22"/>
      <c r="I1107" s="6"/>
    </row>
    <row r="1108" spans="2:9">
      <c r="B1108" s="7"/>
      <c r="C1108" s="20"/>
      <c r="D1108" s="21"/>
      <c r="E1108" s="6"/>
      <c r="F1108" s="22"/>
      <c r="G1108" s="22"/>
      <c r="H1108" s="22"/>
      <c r="I1108" s="6"/>
    </row>
    <row r="1109" spans="2:9">
      <c r="B1109" s="7"/>
      <c r="C1109" s="20"/>
      <c r="D1109" s="21"/>
      <c r="E1109" s="6"/>
      <c r="F1109" s="22"/>
      <c r="G1109" s="22"/>
      <c r="H1109" s="22"/>
      <c r="I1109" s="6"/>
    </row>
    <row r="1110" spans="2:9">
      <c r="B1110" s="7"/>
      <c r="C1110" s="20"/>
      <c r="D1110" s="21"/>
      <c r="E1110" s="6"/>
      <c r="F1110" s="22"/>
      <c r="G1110" s="22"/>
      <c r="H1110" s="22"/>
      <c r="I1110" s="6"/>
    </row>
    <row r="1111" spans="2:9">
      <c r="B1111" s="7"/>
      <c r="C1111" s="20"/>
      <c r="D1111" s="21"/>
      <c r="E1111" s="6"/>
      <c r="F1111" s="22"/>
      <c r="G1111" s="22"/>
      <c r="H1111" s="22"/>
      <c r="I1111" s="6"/>
    </row>
    <row r="1112" spans="2:9">
      <c r="B1112" s="7"/>
      <c r="C1112" s="20"/>
      <c r="D1112" s="21"/>
      <c r="E1112" s="6"/>
      <c r="F1112" s="22"/>
      <c r="G1112" s="22"/>
      <c r="H1112" s="22"/>
      <c r="I1112" s="6"/>
    </row>
    <row r="1113" spans="2:9">
      <c r="B1113" s="7"/>
      <c r="C1113" s="20"/>
      <c r="D1113" s="21"/>
      <c r="E1113" s="6"/>
      <c r="F1113" s="22"/>
      <c r="G1113" s="22"/>
      <c r="H1113" s="22"/>
      <c r="I1113" s="6"/>
    </row>
    <row r="1114" spans="2:9">
      <c r="B1114" s="7"/>
      <c r="C1114" s="20"/>
      <c r="D1114" s="21"/>
      <c r="E1114" s="6"/>
      <c r="F1114" s="22"/>
      <c r="G1114" s="22"/>
      <c r="H1114" s="22"/>
      <c r="I1114" s="6"/>
    </row>
    <row r="1115" spans="2:9">
      <c r="B1115" s="7"/>
      <c r="C1115" s="20"/>
      <c r="D1115" s="21"/>
      <c r="E1115" s="6"/>
      <c r="F1115" s="22"/>
      <c r="G1115" s="22"/>
      <c r="H1115" s="22"/>
      <c r="I1115" s="6"/>
    </row>
    <row r="1116" spans="2:9">
      <c r="B1116" s="7"/>
      <c r="C1116" s="20"/>
      <c r="D1116" s="21"/>
      <c r="E1116" s="6"/>
      <c r="F1116" s="22"/>
      <c r="G1116" s="22"/>
      <c r="H1116" s="22"/>
      <c r="I1116" s="6"/>
    </row>
    <row r="1117" spans="2:9">
      <c r="B1117" s="7"/>
      <c r="C1117" s="20"/>
      <c r="D1117" s="21"/>
      <c r="E1117" s="6"/>
      <c r="F1117" s="22"/>
      <c r="G1117" s="22"/>
      <c r="H1117" s="22"/>
      <c r="I1117" s="6"/>
    </row>
    <row r="1118" spans="2:9">
      <c r="B1118" s="7"/>
      <c r="C1118" s="20"/>
      <c r="D1118" s="21"/>
      <c r="E1118" s="6"/>
      <c r="F1118" s="22"/>
      <c r="G1118" s="22"/>
      <c r="H1118" s="22"/>
      <c r="I1118" s="6"/>
    </row>
    <row r="1119" spans="2:9">
      <c r="B1119" s="7"/>
      <c r="C1119" s="20"/>
      <c r="D1119" s="21"/>
      <c r="E1119" s="6"/>
      <c r="F1119" s="22"/>
      <c r="G1119" s="22"/>
      <c r="H1119" s="22"/>
      <c r="I1119" s="6"/>
    </row>
    <row r="1120" spans="2:9">
      <c r="B1120" s="7"/>
      <c r="C1120" s="20"/>
      <c r="D1120" s="21"/>
      <c r="E1120" s="6"/>
      <c r="F1120" s="22"/>
      <c r="G1120" s="22"/>
      <c r="H1120" s="22"/>
      <c r="I1120" s="6"/>
    </row>
    <row r="1121" spans="2:9">
      <c r="B1121" s="7"/>
      <c r="C1121" s="20"/>
      <c r="D1121" s="21"/>
      <c r="E1121" s="6"/>
      <c r="F1121" s="22"/>
      <c r="G1121" s="22"/>
      <c r="H1121" s="22"/>
      <c r="I1121" s="6"/>
    </row>
    <row r="1122" spans="2:9">
      <c r="B1122" s="7"/>
      <c r="C1122" s="20"/>
      <c r="D1122" s="21"/>
      <c r="E1122" s="6"/>
      <c r="F1122" s="22"/>
      <c r="G1122" s="22"/>
      <c r="H1122" s="22"/>
      <c r="I1122" s="6"/>
    </row>
    <row r="1123" spans="2:9">
      <c r="B1123" s="7"/>
      <c r="C1123" s="20"/>
      <c r="D1123" s="21"/>
      <c r="E1123" s="6"/>
      <c r="F1123" s="22"/>
      <c r="G1123" s="22"/>
      <c r="H1123" s="22"/>
      <c r="I1123" s="6"/>
    </row>
    <row r="1124" spans="2:9">
      <c r="B1124" s="7"/>
      <c r="C1124" s="20"/>
      <c r="D1124" s="21"/>
      <c r="E1124" s="6"/>
      <c r="F1124" s="22"/>
      <c r="G1124" s="22"/>
      <c r="H1124" s="22"/>
      <c r="I1124" s="6"/>
    </row>
    <row r="1125" spans="2:9">
      <c r="B1125" s="7"/>
      <c r="C1125" s="20"/>
      <c r="D1125" s="21"/>
      <c r="E1125" s="6"/>
      <c r="F1125" s="22"/>
      <c r="G1125" s="22"/>
      <c r="H1125" s="22"/>
      <c r="I1125" s="6"/>
    </row>
    <row r="1126" spans="2:9">
      <c r="B1126" s="7"/>
      <c r="C1126" s="20"/>
      <c r="D1126" s="21"/>
      <c r="E1126" s="6"/>
      <c r="F1126" s="22"/>
      <c r="G1126" s="22"/>
      <c r="H1126" s="22"/>
      <c r="I1126" s="6"/>
    </row>
    <row r="1127" spans="2:9">
      <c r="B1127" s="7"/>
      <c r="C1127" s="20"/>
      <c r="D1127" s="21"/>
      <c r="E1127" s="6"/>
      <c r="F1127" s="22"/>
      <c r="G1127" s="22"/>
      <c r="H1127" s="22"/>
      <c r="I1127" s="6"/>
    </row>
    <row r="1128" spans="2:9">
      <c r="B1128" s="7"/>
      <c r="C1128" s="20"/>
      <c r="D1128" s="21"/>
      <c r="E1128" s="6"/>
      <c r="F1128" s="22"/>
      <c r="G1128" s="22"/>
      <c r="H1128" s="22"/>
      <c r="I1128" s="6"/>
    </row>
    <row r="1129" spans="2:9">
      <c r="B1129" s="7"/>
      <c r="C1129" s="20"/>
      <c r="D1129" s="21"/>
      <c r="E1129" s="6"/>
      <c r="F1129" s="22"/>
      <c r="G1129" s="22"/>
      <c r="H1129" s="22"/>
      <c r="I1129" s="6"/>
    </row>
    <row r="1130" spans="2:9">
      <c r="B1130" s="7"/>
      <c r="C1130" s="20"/>
      <c r="D1130" s="21"/>
      <c r="E1130" s="6"/>
      <c r="F1130" s="22"/>
      <c r="G1130" s="22"/>
      <c r="H1130" s="22"/>
      <c r="I1130" s="6"/>
    </row>
    <row r="1131" spans="2:9">
      <c r="B1131" s="7"/>
      <c r="C1131" s="20"/>
      <c r="D1131" s="21"/>
      <c r="E1131" s="6"/>
      <c r="F1131" s="22"/>
      <c r="G1131" s="22"/>
      <c r="H1131" s="22"/>
      <c r="I1131" s="6"/>
    </row>
    <row r="1132" spans="2:9">
      <c r="B1132" s="7"/>
      <c r="C1132" s="20"/>
      <c r="D1132" s="21"/>
      <c r="E1132" s="6"/>
      <c r="F1132" s="22"/>
      <c r="G1132" s="22"/>
      <c r="H1132" s="22"/>
      <c r="I1132" s="6"/>
    </row>
    <row r="1133" spans="2:9">
      <c r="B1133" s="7"/>
      <c r="C1133" s="20"/>
      <c r="D1133" s="21"/>
      <c r="E1133" s="6"/>
      <c r="F1133" s="22"/>
      <c r="G1133" s="22"/>
      <c r="H1133" s="22"/>
      <c r="I1133" s="6"/>
    </row>
    <row r="1134" spans="2:9">
      <c r="B1134" s="7"/>
      <c r="C1134" s="20"/>
      <c r="D1134" s="21"/>
      <c r="E1134" s="6"/>
      <c r="F1134" s="22"/>
      <c r="G1134" s="22"/>
      <c r="H1134" s="22"/>
      <c r="I1134" s="6"/>
    </row>
    <row r="1135" spans="2:9">
      <c r="B1135" s="7"/>
      <c r="C1135" s="20"/>
      <c r="D1135" s="21"/>
      <c r="E1135" s="6"/>
      <c r="F1135" s="22"/>
      <c r="G1135" s="22"/>
      <c r="H1135" s="22"/>
      <c r="I1135" s="6"/>
    </row>
    <row r="1136" spans="2:9">
      <c r="B1136" s="7"/>
      <c r="C1136" s="20"/>
      <c r="D1136" s="21"/>
      <c r="E1136" s="6"/>
      <c r="F1136" s="22"/>
      <c r="G1136" s="22"/>
      <c r="H1136" s="22"/>
      <c r="I1136" s="6"/>
    </row>
    <row r="1137" spans="2:9">
      <c r="B1137" s="7"/>
      <c r="C1137" s="20"/>
      <c r="D1137" s="21"/>
      <c r="E1137" s="6"/>
      <c r="F1137" s="22"/>
      <c r="G1137" s="22"/>
      <c r="H1137" s="22"/>
      <c r="I1137" s="6"/>
    </row>
    <row r="1138" spans="2:9">
      <c r="B1138" s="7"/>
      <c r="C1138" s="20"/>
      <c r="D1138" s="21"/>
      <c r="E1138" s="6"/>
      <c r="F1138" s="22"/>
      <c r="G1138" s="22"/>
      <c r="H1138" s="22"/>
      <c r="I1138" s="6"/>
    </row>
    <row r="1139" spans="2:9">
      <c r="B1139" s="7"/>
      <c r="C1139" s="20"/>
      <c r="D1139" s="21"/>
      <c r="E1139" s="6"/>
      <c r="F1139" s="22"/>
      <c r="G1139" s="22"/>
      <c r="H1139" s="22"/>
      <c r="I1139" s="6"/>
    </row>
    <row r="1140" spans="2:9">
      <c r="B1140" s="7"/>
      <c r="C1140" s="20"/>
      <c r="D1140" s="21"/>
      <c r="E1140" s="6"/>
      <c r="F1140" s="22"/>
      <c r="G1140" s="22"/>
      <c r="H1140" s="22"/>
      <c r="I1140" s="6"/>
    </row>
    <row r="1141" spans="2:9">
      <c r="B1141" s="7"/>
      <c r="C1141" s="20"/>
      <c r="D1141" s="21"/>
      <c r="E1141" s="6"/>
      <c r="F1141" s="22"/>
      <c r="G1141" s="22"/>
      <c r="H1141" s="22"/>
      <c r="I1141" s="6"/>
    </row>
    <row r="1142" spans="2:9">
      <c r="B1142" s="7"/>
      <c r="C1142" s="20"/>
      <c r="D1142" s="21"/>
      <c r="E1142" s="6"/>
      <c r="F1142" s="22"/>
      <c r="G1142" s="22"/>
      <c r="H1142" s="22"/>
      <c r="I1142" s="6"/>
    </row>
    <row r="1143" spans="2:9">
      <c r="B1143" s="7"/>
      <c r="C1143" s="20"/>
      <c r="D1143" s="21"/>
      <c r="E1143" s="6"/>
      <c r="F1143" s="22"/>
      <c r="G1143" s="22"/>
      <c r="H1143" s="22"/>
      <c r="I1143" s="6"/>
    </row>
    <row r="1144" spans="2:9">
      <c r="B1144" s="7"/>
      <c r="C1144" s="20"/>
      <c r="D1144" s="21"/>
      <c r="E1144" s="6"/>
      <c r="F1144" s="22"/>
      <c r="G1144" s="22"/>
      <c r="H1144" s="22"/>
      <c r="I1144" s="6"/>
    </row>
    <row r="1145" spans="2:9">
      <c r="B1145" s="7"/>
      <c r="C1145" s="20"/>
      <c r="D1145" s="21"/>
      <c r="E1145" s="6"/>
      <c r="F1145" s="22"/>
      <c r="G1145" s="22"/>
      <c r="H1145" s="22"/>
      <c r="I1145" s="6"/>
    </row>
    <row r="1146" spans="2:9">
      <c r="B1146" s="7"/>
      <c r="C1146" s="20"/>
      <c r="D1146" s="21"/>
      <c r="E1146" s="6"/>
      <c r="F1146" s="22"/>
      <c r="G1146" s="22"/>
      <c r="H1146" s="22"/>
      <c r="I1146" s="6"/>
    </row>
    <row r="1147" spans="2:9">
      <c r="B1147" s="7"/>
      <c r="C1147" s="20"/>
      <c r="D1147" s="21"/>
      <c r="E1147" s="6"/>
      <c r="F1147" s="22"/>
      <c r="G1147" s="22"/>
      <c r="H1147" s="22"/>
      <c r="I1147" s="6"/>
    </row>
    <row r="1148" spans="2:9">
      <c r="B1148" s="7"/>
      <c r="C1148" s="20"/>
      <c r="D1148" s="21"/>
      <c r="E1148" s="6"/>
      <c r="F1148" s="22"/>
      <c r="G1148" s="22"/>
      <c r="H1148" s="22"/>
      <c r="I1148" s="6"/>
    </row>
    <row r="1149" spans="2:9">
      <c r="B1149" s="7"/>
      <c r="C1149" s="20"/>
      <c r="D1149" s="21"/>
      <c r="E1149" s="6"/>
      <c r="F1149" s="22"/>
      <c r="G1149" s="22"/>
      <c r="H1149" s="22"/>
      <c r="I1149" s="6"/>
    </row>
    <row r="1150" spans="2:9">
      <c r="B1150" s="7"/>
      <c r="C1150" s="20"/>
      <c r="D1150" s="21"/>
      <c r="E1150" s="6"/>
      <c r="F1150" s="22"/>
      <c r="G1150" s="22"/>
      <c r="H1150" s="22"/>
      <c r="I1150" s="6"/>
    </row>
    <row r="1151" spans="2:9">
      <c r="B1151" s="7"/>
      <c r="C1151" s="20"/>
      <c r="D1151" s="21"/>
      <c r="E1151" s="6"/>
      <c r="F1151" s="22"/>
      <c r="G1151" s="22"/>
      <c r="H1151" s="22"/>
      <c r="I1151" s="6"/>
    </row>
    <row r="1152" spans="2:9">
      <c r="B1152" s="7"/>
      <c r="C1152" s="20"/>
      <c r="D1152" s="21"/>
      <c r="E1152" s="6"/>
      <c r="F1152" s="22"/>
      <c r="G1152" s="22"/>
      <c r="H1152" s="22"/>
      <c r="I1152" s="6"/>
    </row>
    <row r="1153" spans="2:9">
      <c r="B1153" s="7"/>
      <c r="C1153" s="20"/>
      <c r="D1153" s="21"/>
      <c r="E1153" s="6"/>
      <c r="F1153" s="22"/>
      <c r="G1153" s="22"/>
      <c r="H1153" s="22"/>
      <c r="I1153" s="6"/>
    </row>
    <row r="1154" spans="2:9">
      <c r="B1154" s="7"/>
      <c r="C1154" s="20"/>
      <c r="D1154" s="21"/>
      <c r="E1154" s="6"/>
      <c r="F1154" s="22"/>
      <c r="G1154" s="22"/>
      <c r="H1154" s="22"/>
      <c r="I1154" s="6"/>
    </row>
    <row r="1155" spans="2:9">
      <c r="B1155" s="7"/>
      <c r="C1155" s="20"/>
      <c r="D1155" s="21"/>
      <c r="E1155" s="6"/>
      <c r="F1155" s="22"/>
      <c r="G1155" s="22"/>
      <c r="H1155" s="22"/>
      <c r="I1155" s="6"/>
    </row>
    <row r="1156" spans="2:9">
      <c r="B1156" s="7"/>
      <c r="C1156" s="20"/>
      <c r="D1156" s="21"/>
      <c r="E1156" s="6"/>
      <c r="F1156" s="22"/>
      <c r="G1156" s="22"/>
      <c r="H1156" s="22"/>
      <c r="I1156" s="6"/>
    </row>
    <row r="1157" spans="2:9">
      <c r="B1157" s="7"/>
      <c r="C1157" s="20"/>
      <c r="D1157" s="21"/>
      <c r="E1157" s="6"/>
      <c r="F1157" s="22"/>
      <c r="G1157" s="22"/>
      <c r="H1157" s="22"/>
      <c r="I1157" s="6"/>
    </row>
    <row r="1158" spans="2:9">
      <c r="B1158" s="7"/>
      <c r="C1158" s="20"/>
      <c r="D1158" s="21"/>
      <c r="E1158" s="6"/>
      <c r="F1158" s="22"/>
      <c r="G1158" s="22"/>
      <c r="H1158" s="22"/>
      <c r="I1158" s="6"/>
    </row>
    <row r="1159" spans="2:9">
      <c r="B1159" s="7"/>
      <c r="C1159" s="20"/>
      <c r="D1159" s="21"/>
      <c r="E1159" s="6"/>
      <c r="F1159" s="22"/>
      <c r="G1159" s="22"/>
      <c r="H1159" s="22"/>
      <c r="I1159" s="6"/>
    </row>
    <row r="1160" spans="2:9">
      <c r="B1160" s="7"/>
      <c r="C1160" s="20"/>
      <c r="D1160" s="21"/>
      <c r="E1160" s="6"/>
      <c r="F1160" s="22"/>
      <c r="G1160" s="22"/>
      <c r="H1160" s="22"/>
      <c r="I1160" s="6"/>
    </row>
    <row r="1161" spans="2:9">
      <c r="B1161" s="7"/>
      <c r="C1161" s="20"/>
      <c r="D1161" s="21"/>
      <c r="E1161" s="6"/>
      <c r="F1161" s="22"/>
      <c r="G1161" s="22"/>
      <c r="H1161" s="22"/>
      <c r="I1161" s="6"/>
    </row>
    <row r="1162" spans="2:9">
      <c r="B1162" s="7"/>
      <c r="C1162" s="20"/>
      <c r="D1162" s="21"/>
      <c r="E1162" s="6"/>
      <c r="F1162" s="22"/>
      <c r="G1162" s="22"/>
      <c r="H1162" s="22"/>
      <c r="I1162" s="6"/>
    </row>
    <row r="1163" spans="2:9">
      <c r="B1163" s="7"/>
      <c r="C1163" s="20"/>
      <c r="D1163" s="21"/>
      <c r="E1163" s="6"/>
      <c r="F1163" s="22"/>
      <c r="G1163" s="22"/>
      <c r="H1163" s="22"/>
      <c r="I1163" s="6"/>
    </row>
    <row r="1164" spans="2:9">
      <c r="B1164" s="7"/>
      <c r="C1164" s="20"/>
      <c r="D1164" s="21"/>
      <c r="E1164" s="6"/>
      <c r="F1164" s="22"/>
      <c r="G1164" s="22"/>
      <c r="H1164" s="22"/>
      <c r="I1164" s="6"/>
    </row>
    <row r="1165" spans="2:9">
      <c r="B1165" s="7"/>
      <c r="C1165" s="20"/>
      <c r="D1165" s="21"/>
      <c r="E1165" s="6"/>
      <c r="F1165" s="22"/>
      <c r="G1165" s="22"/>
      <c r="H1165" s="22"/>
      <c r="I1165" s="6"/>
    </row>
    <row r="1166" spans="2:9">
      <c r="B1166" s="7"/>
      <c r="C1166" s="20"/>
      <c r="D1166" s="21"/>
      <c r="E1166" s="6"/>
      <c r="F1166" s="22"/>
      <c r="G1166" s="22"/>
      <c r="H1166" s="22"/>
      <c r="I1166" s="6"/>
    </row>
    <row r="1167" spans="2:9">
      <c r="B1167" s="7"/>
      <c r="C1167" s="20"/>
      <c r="D1167" s="21"/>
      <c r="E1167" s="6"/>
      <c r="F1167" s="22"/>
      <c r="G1167" s="22"/>
      <c r="H1167" s="22"/>
      <c r="I1167" s="6"/>
    </row>
    <row r="1168" spans="2:9">
      <c r="B1168" s="7"/>
      <c r="C1168" s="20"/>
      <c r="D1168" s="21"/>
      <c r="E1168" s="6"/>
      <c r="F1168" s="22"/>
      <c r="G1168" s="22"/>
      <c r="H1168" s="22"/>
      <c r="I1168" s="6"/>
    </row>
    <row r="1169" spans="2:9">
      <c r="B1169" s="7"/>
      <c r="C1169" s="20"/>
      <c r="D1169" s="21"/>
      <c r="E1169" s="6"/>
      <c r="F1169" s="22"/>
      <c r="G1169" s="22"/>
      <c r="H1169" s="22"/>
      <c r="I1169" s="6"/>
    </row>
    <row r="1170" spans="2:9">
      <c r="B1170" s="7"/>
      <c r="C1170" s="20"/>
      <c r="D1170" s="21"/>
      <c r="E1170" s="6"/>
      <c r="F1170" s="22"/>
      <c r="G1170" s="22"/>
      <c r="H1170" s="22"/>
      <c r="I1170" s="6"/>
    </row>
    <row r="1171" spans="2:9">
      <c r="B1171" s="7"/>
      <c r="C1171" s="20"/>
      <c r="D1171" s="21"/>
      <c r="E1171" s="6"/>
      <c r="F1171" s="22"/>
      <c r="G1171" s="22"/>
      <c r="H1171" s="22"/>
      <c r="I1171" s="6"/>
    </row>
    <row r="1172" spans="2:9">
      <c r="B1172" s="7"/>
      <c r="C1172" s="20"/>
      <c r="D1172" s="21"/>
      <c r="E1172" s="6"/>
      <c r="F1172" s="22"/>
      <c r="G1172" s="22"/>
      <c r="H1172" s="22"/>
      <c r="I1172" s="6"/>
    </row>
    <row r="1173" spans="2:9">
      <c r="B1173" s="7"/>
      <c r="C1173" s="20"/>
      <c r="D1173" s="21"/>
      <c r="E1173" s="6"/>
      <c r="F1173" s="22"/>
      <c r="G1173" s="22"/>
      <c r="H1173" s="22"/>
      <c r="I1173" s="6"/>
    </row>
    <row r="1174" spans="2:9">
      <c r="B1174" s="7"/>
      <c r="C1174" s="20"/>
      <c r="D1174" s="21"/>
      <c r="E1174" s="6"/>
      <c r="F1174" s="22"/>
      <c r="G1174" s="22"/>
      <c r="H1174" s="22"/>
      <c r="I1174" s="6"/>
    </row>
    <row r="1175" spans="2:9">
      <c r="B1175" s="7"/>
      <c r="C1175" s="20"/>
      <c r="D1175" s="21"/>
      <c r="E1175" s="6"/>
      <c r="F1175" s="22"/>
      <c r="G1175" s="22"/>
      <c r="H1175" s="22"/>
      <c r="I1175" s="6"/>
    </row>
    <row r="1176" spans="2:9">
      <c r="B1176" s="7"/>
      <c r="C1176" s="20"/>
      <c r="D1176" s="21"/>
      <c r="E1176" s="6"/>
      <c r="F1176" s="22"/>
      <c r="G1176" s="22"/>
      <c r="H1176" s="22"/>
      <c r="I1176" s="6"/>
    </row>
    <row r="1177" spans="2:9">
      <c r="B1177" s="7"/>
      <c r="C1177" s="20"/>
      <c r="D1177" s="21"/>
      <c r="E1177" s="6"/>
      <c r="F1177" s="22"/>
      <c r="G1177" s="22"/>
      <c r="H1177" s="22"/>
      <c r="I1177" s="6"/>
    </row>
    <row r="1178" spans="2:9">
      <c r="B1178" s="7"/>
      <c r="C1178" s="20"/>
      <c r="D1178" s="21"/>
      <c r="E1178" s="6"/>
      <c r="F1178" s="22"/>
      <c r="G1178" s="22"/>
      <c r="H1178" s="22"/>
      <c r="I1178" s="6"/>
    </row>
    <row r="1179" spans="2:9">
      <c r="B1179" s="7"/>
      <c r="C1179" s="20"/>
      <c r="D1179" s="21"/>
      <c r="E1179" s="6"/>
      <c r="F1179" s="22"/>
      <c r="G1179" s="22"/>
      <c r="H1179" s="22"/>
      <c r="I1179" s="6"/>
    </row>
    <row r="1180" spans="2:9">
      <c r="B1180" s="7"/>
      <c r="C1180" s="20"/>
      <c r="D1180" s="21"/>
      <c r="E1180" s="6"/>
      <c r="F1180" s="22"/>
      <c r="G1180" s="22"/>
      <c r="H1180" s="22"/>
      <c r="I1180" s="6"/>
    </row>
    <row r="1181" spans="2:9">
      <c r="B1181" s="7"/>
      <c r="C1181" s="20"/>
      <c r="D1181" s="21"/>
      <c r="E1181" s="6"/>
      <c r="F1181" s="22"/>
      <c r="G1181" s="22"/>
      <c r="H1181" s="22"/>
      <c r="I1181" s="6"/>
    </row>
    <row r="1182" spans="2:9">
      <c r="B1182" s="7"/>
      <c r="C1182" s="20"/>
      <c r="D1182" s="21"/>
      <c r="E1182" s="6"/>
      <c r="F1182" s="22"/>
      <c r="G1182" s="22"/>
      <c r="H1182" s="22"/>
      <c r="I1182" s="6"/>
    </row>
    <row r="1183" spans="2:9">
      <c r="B1183" s="7"/>
      <c r="C1183" s="20"/>
      <c r="D1183" s="21"/>
      <c r="E1183" s="6"/>
      <c r="F1183" s="22"/>
      <c r="G1183" s="22"/>
      <c r="H1183" s="22"/>
      <c r="I1183" s="6"/>
    </row>
    <row r="1184" spans="2:9">
      <c r="B1184" s="7"/>
      <c r="C1184" s="20"/>
      <c r="D1184" s="21"/>
      <c r="E1184" s="6"/>
      <c r="F1184" s="22"/>
      <c r="G1184" s="22"/>
      <c r="H1184" s="22"/>
      <c r="I1184" s="6"/>
    </row>
    <row r="1185" spans="2:9">
      <c r="B1185" s="7"/>
      <c r="C1185" s="20"/>
      <c r="D1185" s="21"/>
      <c r="E1185" s="6"/>
      <c r="F1185" s="22"/>
      <c r="G1185" s="22"/>
      <c r="H1185" s="22"/>
      <c r="I1185" s="6"/>
    </row>
    <row r="1186" spans="2:9">
      <c r="B1186" s="7"/>
      <c r="C1186" s="20"/>
      <c r="D1186" s="21"/>
      <c r="E1186" s="6"/>
      <c r="F1186" s="22"/>
      <c r="G1186" s="22"/>
      <c r="H1186" s="22"/>
      <c r="I1186" s="6"/>
    </row>
    <row r="1187" spans="2:9">
      <c r="B1187" s="7"/>
      <c r="C1187" s="20"/>
      <c r="D1187" s="21"/>
      <c r="E1187" s="6"/>
      <c r="F1187" s="22"/>
      <c r="G1187" s="22"/>
      <c r="H1187" s="22"/>
      <c r="I1187" s="6"/>
    </row>
    <row r="1188" spans="2:9">
      <c r="B1188" s="7"/>
      <c r="C1188" s="20"/>
      <c r="D1188" s="21"/>
      <c r="E1188" s="6"/>
      <c r="F1188" s="22"/>
      <c r="G1188" s="22"/>
      <c r="H1188" s="22"/>
      <c r="I1188" s="6"/>
    </row>
    <row r="1189" spans="2:9">
      <c r="B1189" s="7"/>
      <c r="C1189" s="20"/>
      <c r="D1189" s="21"/>
      <c r="E1189" s="6"/>
      <c r="F1189" s="22"/>
      <c r="G1189" s="22"/>
      <c r="H1189" s="22"/>
      <c r="I1189" s="6"/>
    </row>
    <row r="1190" spans="2:9">
      <c r="B1190" s="7"/>
      <c r="C1190" s="20"/>
      <c r="D1190" s="21"/>
      <c r="E1190" s="6"/>
      <c r="F1190" s="22"/>
      <c r="G1190" s="22"/>
      <c r="H1190" s="22"/>
      <c r="I1190" s="6"/>
    </row>
    <row r="1191" spans="2:9">
      <c r="B1191" s="7"/>
      <c r="C1191" s="20"/>
      <c r="D1191" s="21"/>
      <c r="E1191" s="6"/>
      <c r="F1191" s="22"/>
      <c r="G1191" s="22"/>
      <c r="H1191" s="22"/>
      <c r="I1191" s="6"/>
    </row>
    <row r="1192" spans="2:9">
      <c r="B1192" s="7"/>
      <c r="C1192" s="20"/>
      <c r="D1192" s="21"/>
      <c r="E1192" s="6"/>
      <c r="F1192" s="22"/>
      <c r="G1192" s="22"/>
      <c r="H1192" s="22"/>
      <c r="I1192" s="6"/>
    </row>
    <row r="1193" spans="2:9">
      <c r="B1193" s="7"/>
      <c r="C1193" s="20"/>
      <c r="D1193" s="21"/>
      <c r="E1193" s="6"/>
      <c r="F1193" s="22"/>
      <c r="G1193" s="22"/>
      <c r="H1193" s="22"/>
      <c r="I1193" s="6"/>
    </row>
    <row r="1194" spans="2:9">
      <c r="B1194" s="7"/>
      <c r="C1194" s="20"/>
      <c r="D1194" s="21"/>
      <c r="E1194" s="6"/>
      <c r="F1194" s="22"/>
      <c r="G1194" s="22"/>
      <c r="H1194" s="22"/>
      <c r="I1194" s="6"/>
    </row>
    <row r="1195" spans="2:9">
      <c r="B1195" s="7"/>
      <c r="C1195" s="20"/>
      <c r="D1195" s="21"/>
      <c r="E1195" s="6"/>
      <c r="F1195" s="22"/>
      <c r="G1195" s="22"/>
      <c r="H1195" s="22"/>
      <c r="I1195" s="6"/>
    </row>
    <row r="1196" spans="2:9">
      <c r="B1196" s="7"/>
      <c r="C1196" s="20"/>
      <c r="D1196" s="21"/>
      <c r="E1196" s="6"/>
      <c r="F1196" s="22"/>
      <c r="G1196" s="22"/>
      <c r="H1196" s="22"/>
      <c r="I1196" s="6"/>
    </row>
    <row r="1197" spans="2:9">
      <c r="B1197" s="7"/>
      <c r="C1197" s="20"/>
      <c r="D1197" s="21"/>
      <c r="E1197" s="6"/>
      <c r="F1197" s="22"/>
      <c r="G1197" s="22"/>
      <c r="H1197" s="22"/>
      <c r="I1197" s="6"/>
    </row>
    <row r="1198" spans="2:9">
      <c r="B1198" s="7"/>
      <c r="C1198" s="20"/>
      <c r="D1198" s="21"/>
      <c r="E1198" s="6"/>
      <c r="F1198" s="22"/>
      <c r="G1198" s="22"/>
      <c r="H1198" s="22"/>
      <c r="I1198" s="6"/>
    </row>
    <row r="1199" spans="2:9">
      <c r="B1199" s="7"/>
      <c r="C1199" s="20"/>
      <c r="D1199" s="21"/>
      <c r="E1199" s="6"/>
      <c r="F1199" s="22"/>
      <c r="G1199" s="22"/>
      <c r="H1199" s="22"/>
      <c r="I1199" s="6"/>
    </row>
    <row r="1200" spans="2:9">
      <c r="B1200" s="7"/>
      <c r="C1200" s="20"/>
      <c r="D1200" s="21"/>
      <c r="E1200" s="6"/>
      <c r="F1200" s="22"/>
      <c r="G1200" s="22"/>
      <c r="H1200" s="22"/>
      <c r="I1200" s="6"/>
    </row>
    <row r="1201" spans="2:9">
      <c r="B1201" s="7"/>
      <c r="C1201" s="20"/>
      <c r="D1201" s="21"/>
      <c r="E1201" s="6"/>
      <c r="F1201" s="22"/>
      <c r="G1201" s="22"/>
      <c r="H1201" s="22"/>
      <c r="I1201" s="6"/>
    </row>
    <row r="1202" spans="2:9">
      <c r="B1202" s="7"/>
      <c r="C1202" s="20"/>
      <c r="D1202" s="21"/>
      <c r="E1202" s="6"/>
      <c r="F1202" s="22"/>
      <c r="G1202" s="22"/>
      <c r="H1202" s="22"/>
      <c r="I1202" s="6"/>
    </row>
    <row r="1203" spans="2:9">
      <c r="B1203" s="7"/>
      <c r="C1203" s="20"/>
      <c r="D1203" s="21"/>
      <c r="E1203" s="6"/>
      <c r="F1203" s="22"/>
      <c r="G1203" s="22"/>
      <c r="H1203" s="22"/>
      <c r="I1203" s="6"/>
    </row>
    <row r="1204" spans="2:9">
      <c r="B1204" s="7"/>
      <c r="C1204" s="20"/>
      <c r="D1204" s="21"/>
      <c r="E1204" s="6"/>
      <c r="F1204" s="22"/>
      <c r="G1204" s="22"/>
      <c r="H1204" s="22"/>
      <c r="I1204" s="6"/>
    </row>
    <row r="1205" spans="2:9">
      <c r="B1205" s="7"/>
      <c r="C1205" s="20"/>
      <c r="D1205" s="21"/>
      <c r="E1205" s="6"/>
      <c r="F1205" s="22"/>
      <c r="G1205" s="22"/>
      <c r="H1205" s="22"/>
      <c r="I1205" s="6"/>
    </row>
    <row r="1206" spans="2:9">
      <c r="B1206" s="7"/>
      <c r="C1206" s="20"/>
      <c r="D1206" s="21"/>
      <c r="E1206" s="6"/>
      <c r="F1206" s="22"/>
      <c r="G1206" s="22"/>
      <c r="H1206" s="22"/>
      <c r="I1206" s="6"/>
    </row>
    <row r="1207" spans="2:9">
      <c r="B1207" s="7"/>
      <c r="C1207" s="20"/>
      <c r="D1207" s="21"/>
      <c r="E1207" s="6"/>
      <c r="F1207" s="22"/>
      <c r="G1207" s="22"/>
      <c r="H1207" s="22"/>
      <c r="I1207" s="6"/>
    </row>
    <row r="1208" spans="2:9">
      <c r="B1208" s="7"/>
      <c r="C1208" s="20"/>
      <c r="D1208" s="21"/>
      <c r="E1208" s="6"/>
      <c r="F1208" s="22"/>
      <c r="G1208" s="22"/>
      <c r="H1208" s="22"/>
      <c r="I1208" s="6"/>
    </row>
    <row r="1209" spans="2:9">
      <c r="B1209" s="7"/>
      <c r="C1209" s="20"/>
      <c r="D1209" s="21"/>
      <c r="E1209" s="6"/>
      <c r="F1209" s="22"/>
      <c r="G1209" s="22"/>
      <c r="H1209" s="22"/>
      <c r="I1209" s="6"/>
    </row>
    <row r="1210" spans="2:9">
      <c r="B1210" s="7"/>
      <c r="C1210" s="20"/>
      <c r="D1210" s="21"/>
      <c r="E1210" s="6"/>
      <c r="F1210" s="22"/>
      <c r="G1210" s="22"/>
      <c r="H1210" s="22"/>
      <c r="I1210" s="6"/>
    </row>
    <row r="1211" spans="2:9">
      <c r="B1211" s="7"/>
      <c r="C1211" s="20"/>
      <c r="D1211" s="21"/>
      <c r="E1211" s="6"/>
      <c r="F1211" s="22"/>
      <c r="G1211" s="22"/>
      <c r="H1211" s="22"/>
      <c r="I1211" s="6"/>
    </row>
    <row r="1212" spans="2:9">
      <c r="B1212" s="7"/>
      <c r="C1212" s="20"/>
      <c r="D1212" s="21"/>
      <c r="E1212" s="6"/>
      <c r="F1212" s="22"/>
      <c r="G1212" s="22"/>
      <c r="H1212" s="22"/>
      <c r="I1212" s="6"/>
    </row>
    <row r="1213" spans="2:9">
      <c r="B1213" s="7"/>
      <c r="C1213" s="20"/>
      <c r="D1213" s="21"/>
      <c r="E1213" s="6"/>
      <c r="F1213" s="22"/>
      <c r="G1213" s="22"/>
      <c r="H1213" s="22"/>
      <c r="I1213" s="6"/>
    </row>
    <row r="1214" spans="2:9">
      <c r="B1214" s="7"/>
      <c r="C1214" s="20"/>
      <c r="D1214" s="21"/>
      <c r="E1214" s="6"/>
      <c r="F1214" s="22"/>
      <c r="G1214" s="22"/>
      <c r="H1214" s="22"/>
      <c r="I1214" s="6"/>
    </row>
    <row r="1215" spans="2:9">
      <c r="B1215" s="7"/>
      <c r="C1215" s="20"/>
      <c r="D1215" s="21"/>
      <c r="E1215" s="6"/>
      <c r="F1215" s="22"/>
      <c r="G1215" s="22"/>
      <c r="H1215" s="22"/>
      <c r="I1215" s="6"/>
    </row>
    <row r="1216" spans="2:9">
      <c r="B1216" s="7"/>
      <c r="C1216" s="20"/>
      <c r="D1216" s="21"/>
      <c r="E1216" s="6"/>
      <c r="F1216" s="22"/>
      <c r="G1216" s="22"/>
      <c r="H1216" s="22"/>
      <c r="I1216" s="6"/>
    </row>
    <row r="1217" spans="2:9">
      <c r="B1217" s="7"/>
      <c r="C1217" s="20"/>
      <c r="D1217" s="21"/>
      <c r="E1217" s="6"/>
      <c r="F1217" s="22"/>
      <c r="G1217" s="22"/>
      <c r="H1217" s="22"/>
      <c r="I1217" s="6"/>
    </row>
    <row r="1218" spans="2:9">
      <c r="B1218" s="7"/>
      <c r="C1218" s="20"/>
      <c r="D1218" s="21"/>
      <c r="E1218" s="6"/>
      <c r="F1218" s="22"/>
      <c r="G1218" s="22"/>
      <c r="H1218" s="22"/>
      <c r="I1218" s="6"/>
    </row>
    <row r="1219" spans="2:9">
      <c r="B1219" s="7"/>
      <c r="C1219" s="20"/>
      <c r="D1219" s="21"/>
      <c r="E1219" s="6"/>
      <c r="F1219" s="22"/>
      <c r="G1219" s="22"/>
      <c r="H1219" s="22"/>
      <c r="I1219" s="6"/>
    </row>
    <row r="1220" spans="2:9">
      <c r="B1220" s="7"/>
      <c r="C1220" s="20"/>
      <c r="D1220" s="21"/>
      <c r="E1220" s="6"/>
      <c r="F1220" s="22"/>
      <c r="G1220" s="22"/>
      <c r="H1220" s="22"/>
      <c r="I1220" s="6"/>
    </row>
    <row r="1221" spans="2:9">
      <c r="B1221" s="7"/>
      <c r="C1221" s="20"/>
      <c r="D1221" s="21"/>
      <c r="E1221" s="6"/>
      <c r="F1221" s="22"/>
      <c r="G1221" s="22"/>
      <c r="H1221" s="22"/>
      <c r="I1221" s="6"/>
    </row>
    <row r="1222" spans="2:9">
      <c r="B1222" s="7"/>
      <c r="C1222" s="20"/>
      <c r="D1222" s="21"/>
      <c r="E1222" s="6"/>
      <c r="F1222" s="22"/>
      <c r="G1222" s="22"/>
      <c r="H1222" s="22"/>
      <c r="I1222" s="6"/>
    </row>
    <row r="1223" spans="2:9">
      <c r="B1223" s="7"/>
      <c r="C1223" s="20"/>
      <c r="D1223" s="21"/>
      <c r="E1223" s="6"/>
      <c r="F1223" s="22"/>
      <c r="G1223" s="22"/>
      <c r="H1223" s="22"/>
      <c r="I1223" s="6"/>
    </row>
    <row r="1224" spans="2:9">
      <c r="B1224" s="7"/>
      <c r="C1224" s="20"/>
      <c r="D1224" s="21"/>
      <c r="E1224" s="6"/>
      <c r="F1224" s="22"/>
      <c r="G1224" s="22"/>
      <c r="H1224" s="22"/>
      <c r="I1224" s="6"/>
    </row>
    <row r="1225" spans="2:9">
      <c r="B1225" s="7"/>
      <c r="C1225" s="20"/>
      <c r="D1225" s="21"/>
      <c r="E1225" s="6"/>
      <c r="F1225" s="22"/>
      <c r="G1225" s="22"/>
      <c r="H1225" s="22"/>
      <c r="I1225" s="6"/>
    </row>
    <row r="1226" spans="2:9">
      <c r="B1226" s="7"/>
      <c r="C1226" s="20"/>
      <c r="D1226" s="21"/>
      <c r="E1226" s="6"/>
      <c r="F1226" s="22"/>
      <c r="G1226" s="22"/>
      <c r="H1226" s="22"/>
      <c r="I1226" s="6"/>
    </row>
    <row r="1227" spans="2:9">
      <c r="B1227" s="7"/>
      <c r="C1227" s="20"/>
      <c r="D1227" s="21"/>
      <c r="E1227" s="6"/>
      <c r="F1227" s="22"/>
      <c r="G1227" s="22"/>
      <c r="H1227" s="22"/>
      <c r="I1227" s="6"/>
    </row>
    <row r="1228" spans="2:9">
      <c r="B1228" s="7"/>
      <c r="C1228" s="20"/>
      <c r="D1228" s="21"/>
      <c r="E1228" s="6"/>
      <c r="F1228" s="22"/>
      <c r="G1228" s="22"/>
      <c r="H1228" s="22"/>
      <c r="I1228" s="6"/>
    </row>
    <row r="1229" spans="2:9">
      <c r="B1229" s="7"/>
      <c r="C1229" s="20"/>
      <c r="D1229" s="21"/>
      <c r="E1229" s="6"/>
      <c r="F1229" s="22"/>
      <c r="G1229" s="22"/>
      <c r="H1229" s="22"/>
      <c r="I1229" s="6"/>
    </row>
    <row r="1230" spans="2:9">
      <c r="B1230" s="7"/>
      <c r="C1230" s="20"/>
      <c r="D1230" s="21"/>
      <c r="E1230" s="6"/>
      <c r="F1230" s="22"/>
      <c r="G1230" s="22"/>
      <c r="H1230" s="22"/>
      <c r="I1230" s="6"/>
    </row>
    <row r="1231" spans="2:9">
      <c r="B1231" s="7"/>
      <c r="C1231" s="20"/>
      <c r="D1231" s="21"/>
      <c r="E1231" s="6"/>
      <c r="F1231" s="22"/>
      <c r="G1231" s="22"/>
      <c r="H1231" s="22"/>
      <c r="I1231" s="6"/>
    </row>
    <row r="1232" spans="2:9">
      <c r="B1232" s="7"/>
      <c r="C1232" s="20"/>
      <c r="D1232" s="21"/>
      <c r="E1232" s="6"/>
      <c r="F1232" s="22"/>
      <c r="G1232" s="22"/>
      <c r="H1232" s="22"/>
      <c r="I1232" s="6"/>
    </row>
    <row r="1233" spans="2:9">
      <c r="B1233" s="7"/>
      <c r="C1233" s="20"/>
      <c r="D1233" s="21"/>
      <c r="E1233" s="6"/>
      <c r="F1233" s="22"/>
      <c r="G1233" s="22"/>
      <c r="H1233" s="22"/>
      <c r="I1233" s="6"/>
    </row>
    <row r="1234" spans="2:9">
      <c r="B1234" s="7"/>
      <c r="C1234" s="20"/>
      <c r="D1234" s="21"/>
      <c r="E1234" s="6"/>
      <c r="F1234" s="22"/>
      <c r="G1234" s="22"/>
      <c r="H1234" s="22"/>
      <c r="I1234" s="6"/>
    </row>
    <row r="1235" spans="2:9">
      <c r="B1235" s="7"/>
      <c r="C1235" s="20"/>
      <c r="D1235" s="21"/>
      <c r="E1235" s="6"/>
      <c r="F1235" s="22"/>
      <c r="G1235" s="22"/>
      <c r="H1235" s="22"/>
      <c r="I1235" s="6"/>
    </row>
    <row r="1236" spans="2:9">
      <c r="B1236" s="7"/>
      <c r="C1236" s="20"/>
      <c r="D1236" s="21"/>
      <c r="E1236" s="6"/>
      <c r="F1236" s="22"/>
      <c r="G1236" s="22"/>
      <c r="H1236" s="22"/>
      <c r="I1236" s="6"/>
    </row>
    <row r="1237" spans="2:9">
      <c r="B1237" s="7"/>
      <c r="C1237" s="20"/>
      <c r="D1237" s="21"/>
      <c r="E1237" s="6"/>
      <c r="F1237" s="22"/>
      <c r="G1237" s="22"/>
      <c r="H1237" s="22"/>
      <c r="I1237" s="6"/>
    </row>
    <row r="1238" spans="2:9">
      <c r="B1238" s="7"/>
      <c r="C1238" s="20"/>
      <c r="D1238" s="21"/>
      <c r="E1238" s="6"/>
      <c r="F1238" s="22"/>
      <c r="G1238" s="22"/>
      <c r="H1238" s="22"/>
      <c r="I1238" s="6"/>
    </row>
    <row r="1239" spans="2:9">
      <c r="B1239" s="7"/>
      <c r="C1239" s="20"/>
      <c r="D1239" s="21"/>
      <c r="E1239" s="6"/>
      <c r="F1239" s="22"/>
      <c r="G1239" s="22"/>
      <c r="H1239" s="22"/>
      <c r="I1239" s="6"/>
    </row>
    <row r="1240" spans="2:9">
      <c r="B1240" s="7"/>
      <c r="C1240" s="20"/>
      <c r="D1240" s="21"/>
      <c r="E1240" s="6"/>
      <c r="F1240" s="22"/>
      <c r="G1240" s="22"/>
      <c r="H1240" s="22"/>
      <c r="I1240" s="6"/>
    </row>
    <row r="1241" spans="2:9">
      <c r="B1241" s="7"/>
      <c r="C1241" s="20"/>
      <c r="D1241" s="21"/>
      <c r="E1241" s="6"/>
      <c r="F1241" s="22"/>
      <c r="G1241" s="22"/>
      <c r="H1241" s="22"/>
      <c r="I1241" s="6"/>
    </row>
    <row r="1242" spans="2:9">
      <c r="B1242" s="7"/>
      <c r="C1242" s="20"/>
      <c r="D1242" s="21"/>
      <c r="E1242" s="6"/>
      <c r="F1242" s="22"/>
      <c r="G1242" s="22"/>
      <c r="H1242" s="22"/>
      <c r="I1242" s="6"/>
    </row>
    <row r="1243" spans="2:9">
      <c r="B1243" s="7"/>
      <c r="C1243" s="20"/>
      <c r="D1243" s="21"/>
      <c r="E1243" s="6"/>
      <c r="F1243" s="22"/>
      <c r="G1243" s="22"/>
      <c r="H1243" s="22"/>
      <c r="I1243" s="6"/>
    </row>
    <row r="1244" spans="2:9">
      <c r="B1244" s="7"/>
      <c r="C1244" s="20"/>
      <c r="D1244" s="21"/>
      <c r="E1244" s="6"/>
      <c r="F1244" s="22"/>
      <c r="G1244" s="22"/>
      <c r="H1244" s="22"/>
      <c r="I1244" s="6"/>
    </row>
    <row r="1245" spans="2:9">
      <c r="B1245" s="7"/>
      <c r="C1245" s="20"/>
      <c r="D1245" s="21"/>
      <c r="E1245" s="6"/>
      <c r="F1245" s="22"/>
      <c r="G1245" s="22"/>
      <c r="H1245" s="22"/>
      <c r="I1245" s="6"/>
    </row>
    <row r="1246" spans="2:9">
      <c r="B1246" s="7"/>
      <c r="C1246" s="20"/>
      <c r="D1246" s="21"/>
      <c r="E1246" s="6"/>
      <c r="F1246" s="22"/>
      <c r="G1246" s="22"/>
      <c r="H1246" s="22"/>
      <c r="I1246" s="6"/>
    </row>
    <row r="1247" spans="2:9">
      <c r="B1247" s="7"/>
      <c r="C1247" s="20"/>
      <c r="D1247" s="21"/>
      <c r="E1247" s="6"/>
      <c r="F1247" s="22"/>
      <c r="G1247" s="22"/>
      <c r="H1247" s="22"/>
      <c r="I1247" s="6"/>
    </row>
    <row r="1248" spans="2:9">
      <c r="B1248" s="7"/>
      <c r="C1248" s="20"/>
      <c r="D1248" s="21"/>
      <c r="E1248" s="6"/>
      <c r="F1248" s="22"/>
      <c r="G1248" s="22"/>
      <c r="H1248" s="22"/>
      <c r="I1248" s="6"/>
    </row>
    <row r="1249" spans="2:9">
      <c r="B1249" s="7"/>
      <c r="C1249" s="20"/>
      <c r="D1249" s="21"/>
      <c r="E1249" s="6"/>
      <c r="F1249" s="22"/>
      <c r="G1249" s="22"/>
      <c r="H1249" s="22"/>
      <c r="I1249" s="6"/>
    </row>
    <row r="1250" spans="2:9">
      <c r="B1250" s="7"/>
      <c r="C1250" s="20"/>
      <c r="D1250" s="21"/>
      <c r="E1250" s="6"/>
      <c r="F1250" s="22"/>
      <c r="G1250" s="22"/>
      <c r="H1250" s="22"/>
      <c r="I1250" s="6"/>
    </row>
    <row r="1251" spans="2:9">
      <c r="B1251" s="7"/>
      <c r="C1251" s="20"/>
      <c r="D1251" s="21"/>
      <c r="E1251" s="6"/>
      <c r="F1251" s="22"/>
      <c r="G1251" s="22"/>
      <c r="H1251" s="22"/>
      <c r="I1251" s="6"/>
    </row>
    <row r="1252" spans="2:9">
      <c r="B1252" s="7"/>
      <c r="C1252" s="20"/>
      <c r="D1252" s="21"/>
      <c r="E1252" s="6"/>
      <c r="F1252" s="22"/>
      <c r="G1252" s="22"/>
      <c r="H1252" s="22"/>
      <c r="I1252" s="6"/>
    </row>
    <row r="1253" spans="2:9">
      <c r="B1253" s="7"/>
      <c r="C1253" s="20"/>
      <c r="D1253" s="21"/>
      <c r="E1253" s="6"/>
      <c r="F1253" s="22"/>
      <c r="G1253" s="22"/>
      <c r="H1253" s="22"/>
      <c r="I1253" s="6"/>
    </row>
    <row r="1254" spans="2:9">
      <c r="B1254" s="7"/>
      <c r="C1254" s="20"/>
      <c r="D1254" s="21"/>
      <c r="E1254" s="6"/>
      <c r="F1254" s="22"/>
      <c r="G1254" s="22"/>
      <c r="H1254" s="22"/>
      <c r="I1254" s="6"/>
    </row>
    <row r="1255" spans="2:9">
      <c r="B1255" s="7"/>
      <c r="C1255" s="20"/>
      <c r="D1255" s="21"/>
      <c r="E1255" s="6"/>
      <c r="F1255" s="22"/>
      <c r="G1255" s="22"/>
      <c r="H1255" s="22"/>
      <c r="I1255" s="6"/>
    </row>
    <row r="1256" spans="2:9">
      <c r="B1256" s="7"/>
      <c r="C1256" s="20"/>
      <c r="D1256" s="21"/>
      <c r="E1256" s="6"/>
      <c r="F1256" s="22"/>
      <c r="G1256" s="22"/>
      <c r="H1256" s="22"/>
      <c r="I1256" s="6"/>
    </row>
    <row r="1257" spans="2:9">
      <c r="B1257" s="7"/>
      <c r="C1257" s="20"/>
      <c r="D1257" s="21"/>
      <c r="E1257" s="6"/>
      <c r="F1257" s="22"/>
      <c r="G1257" s="22"/>
      <c r="H1257" s="22"/>
      <c r="I1257" s="6"/>
    </row>
    <row r="1258" spans="2:9">
      <c r="B1258" s="7"/>
      <c r="C1258" s="20"/>
      <c r="D1258" s="21"/>
      <c r="E1258" s="6"/>
      <c r="F1258" s="22"/>
      <c r="G1258" s="22"/>
      <c r="H1258" s="22"/>
      <c r="I1258" s="6"/>
    </row>
    <row r="1259" spans="2:9">
      <c r="B1259" s="7"/>
      <c r="C1259" s="20"/>
      <c r="D1259" s="21"/>
      <c r="E1259" s="6"/>
      <c r="F1259" s="22"/>
      <c r="G1259" s="22"/>
      <c r="H1259" s="22"/>
      <c r="I1259" s="6"/>
    </row>
    <row r="1260" spans="2:9">
      <c r="B1260" s="7"/>
      <c r="C1260" s="20"/>
      <c r="D1260" s="21"/>
      <c r="E1260" s="6"/>
      <c r="F1260" s="22"/>
      <c r="G1260" s="22"/>
      <c r="H1260" s="22"/>
      <c r="I1260" s="6"/>
    </row>
    <row r="1261" spans="2:9">
      <c r="B1261" s="7"/>
      <c r="C1261" s="20"/>
      <c r="D1261" s="21"/>
      <c r="E1261" s="6"/>
      <c r="F1261" s="22"/>
      <c r="G1261" s="22"/>
      <c r="H1261" s="22"/>
      <c r="I1261" s="6"/>
    </row>
    <row r="1262" spans="2:9">
      <c r="B1262" s="7"/>
      <c r="C1262" s="20"/>
      <c r="D1262" s="21"/>
      <c r="E1262" s="6"/>
      <c r="F1262" s="22"/>
      <c r="G1262" s="22"/>
      <c r="H1262" s="22"/>
      <c r="I1262" s="6"/>
    </row>
    <row r="1263" spans="2:9">
      <c r="B1263" s="7"/>
      <c r="C1263" s="20"/>
      <c r="D1263" s="21"/>
      <c r="E1263" s="6"/>
      <c r="F1263" s="22"/>
      <c r="G1263" s="22"/>
      <c r="H1263" s="22"/>
      <c r="I1263" s="6"/>
    </row>
    <row r="1264" spans="2:9">
      <c r="B1264" s="7"/>
      <c r="C1264" s="20"/>
      <c r="D1264" s="21"/>
      <c r="E1264" s="6"/>
      <c r="F1264" s="22"/>
      <c r="G1264" s="22"/>
      <c r="H1264" s="22"/>
      <c r="I1264" s="6"/>
    </row>
    <row r="1265" spans="2:9">
      <c r="B1265" s="7"/>
      <c r="C1265" s="20"/>
      <c r="D1265" s="21"/>
      <c r="E1265" s="6"/>
      <c r="F1265" s="22"/>
      <c r="G1265" s="22"/>
      <c r="H1265" s="22"/>
      <c r="I1265" s="6"/>
    </row>
    <row r="1266" spans="2:9">
      <c r="B1266" s="7"/>
      <c r="C1266" s="20"/>
      <c r="D1266" s="21"/>
      <c r="E1266" s="6"/>
      <c r="F1266" s="22"/>
      <c r="G1266" s="22"/>
      <c r="H1266" s="22"/>
      <c r="I1266" s="6"/>
    </row>
    <row r="1267" spans="2:9">
      <c r="B1267" s="7"/>
      <c r="C1267" s="20"/>
      <c r="D1267" s="21"/>
      <c r="E1267" s="6"/>
      <c r="F1267" s="22"/>
      <c r="G1267" s="22"/>
      <c r="H1267" s="22"/>
      <c r="I1267" s="6"/>
    </row>
    <row r="1268" spans="2:9">
      <c r="B1268" s="7"/>
      <c r="C1268" s="20"/>
      <c r="D1268" s="21"/>
      <c r="E1268" s="6"/>
      <c r="F1268" s="22"/>
      <c r="G1268" s="22"/>
      <c r="H1268" s="22"/>
      <c r="I1268" s="6"/>
    </row>
    <row r="1269" spans="2:9">
      <c r="B1269" s="7"/>
      <c r="C1269" s="20"/>
      <c r="D1269" s="21"/>
      <c r="E1269" s="6"/>
      <c r="F1269" s="22"/>
      <c r="G1269" s="22"/>
      <c r="H1269" s="22"/>
      <c r="I1269" s="6"/>
    </row>
    <row r="1270" spans="2:9">
      <c r="B1270" s="7"/>
      <c r="C1270" s="20"/>
      <c r="D1270" s="21"/>
      <c r="E1270" s="6"/>
      <c r="F1270" s="22"/>
      <c r="G1270" s="22"/>
      <c r="H1270" s="22"/>
      <c r="I1270" s="6"/>
    </row>
    <row r="1271" spans="2:9">
      <c r="B1271" s="7"/>
      <c r="C1271" s="20"/>
      <c r="D1271" s="21"/>
      <c r="E1271" s="6"/>
      <c r="F1271" s="22"/>
      <c r="G1271" s="22"/>
      <c r="H1271" s="22"/>
      <c r="I1271" s="6"/>
    </row>
    <row r="1272" spans="2:9">
      <c r="B1272" s="7"/>
      <c r="C1272" s="20"/>
      <c r="D1272" s="21"/>
      <c r="E1272" s="6"/>
      <c r="F1272" s="22"/>
      <c r="G1272" s="22"/>
      <c r="H1272" s="22"/>
      <c r="I1272" s="6"/>
    </row>
    <row r="1273" spans="2:9">
      <c r="B1273" s="7"/>
      <c r="C1273" s="20"/>
      <c r="D1273" s="21"/>
      <c r="E1273" s="6"/>
      <c r="F1273" s="22"/>
      <c r="G1273" s="22"/>
      <c r="H1273" s="22"/>
      <c r="I1273" s="6"/>
    </row>
    <row r="1274" spans="2:9">
      <c r="B1274" s="7"/>
      <c r="C1274" s="20"/>
      <c r="D1274" s="21"/>
      <c r="E1274" s="6"/>
      <c r="F1274" s="22"/>
      <c r="G1274" s="22"/>
      <c r="H1274" s="22"/>
      <c r="I1274" s="6"/>
    </row>
    <row r="1275" spans="2:9">
      <c r="B1275" s="7"/>
      <c r="C1275" s="20"/>
      <c r="D1275" s="21"/>
      <c r="E1275" s="6"/>
      <c r="F1275" s="22"/>
      <c r="G1275" s="22"/>
      <c r="H1275" s="22"/>
      <c r="I1275" s="6"/>
    </row>
    <row r="1276" spans="2:9">
      <c r="B1276" s="7"/>
      <c r="C1276" s="20"/>
      <c r="D1276" s="21"/>
      <c r="E1276" s="6"/>
      <c r="F1276" s="22"/>
      <c r="G1276" s="22"/>
      <c r="H1276" s="22"/>
      <c r="I1276" s="6"/>
    </row>
    <row r="1277" spans="2:9">
      <c r="B1277" s="7"/>
      <c r="C1277" s="20"/>
      <c r="D1277" s="21"/>
      <c r="E1277" s="6"/>
      <c r="F1277" s="22"/>
      <c r="G1277" s="22"/>
      <c r="H1277" s="22"/>
      <c r="I1277" s="6"/>
    </row>
    <row r="1278" spans="2:9">
      <c r="B1278" s="7"/>
      <c r="C1278" s="20"/>
      <c r="D1278" s="21"/>
      <c r="E1278" s="6"/>
      <c r="F1278" s="22"/>
      <c r="G1278" s="22"/>
      <c r="H1278" s="22"/>
      <c r="I1278" s="6"/>
    </row>
    <row r="1279" spans="2:9">
      <c r="B1279" s="7"/>
      <c r="C1279" s="20"/>
      <c r="D1279" s="21"/>
      <c r="E1279" s="6"/>
      <c r="F1279" s="22"/>
      <c r="G1279" s="22"/>
      <c r="H1279" s="22"/>
      <c r="I1279" s="6"/>
    </row>
    <row r="1280" spans="2:9">
      <c r="B1280" s="7"/>
      <c r="C1280" s="20"/>
      <c r="D1280" s="21"/>
      <c r="E1280" s="6"/>
      <c r="F1280" s="22"/>
      <c r="G1280" s="22"/>
      <c r="H1280" s="22"/>
      <c r="I1280" s="6"/>
    </row>
    <row r="1281" spans="2:9">
      <c r="B1281" s="7"/>
      <c r="C1281" s="20"/>
      <c r="D1281" s="21"/>
      <c r="E1281" s="6"/>
      <c r="F1281" s="22"/>
      <c r="G1281" s="22"/>
      <c r="H1281" s="22"/>
      <c r="I1281" s="6"/>
    </row>
    <row r="1282" spans="2:9">
      <c r="B1282" s="7"/>
      <c r="C1282" s="20"/>
      <c r="D1282" s="21"/>
      <c r="E1282" s="6"/>
      <c r="F1282" s="22"/>
      <c r="G1282" s="22"/>
      <c r="H1282" s="22"/>
      <c r="I1282" s="6"/>
    </row>
    <row r="1283" spans="2:9">
      <c r="B1283" s="7"/>
      <c r="C1283" s="20"/>
      <c r="D1283" s="21"/>
      <c r="E1283" s="6"/>
      <c r="F1283" s="22"/>
      <c r="G1283" s="22"/>
      <c r="H1283" s="22"/>
      <c r="I1283" s="6"/>
    </row>
    <row r="1284" spans="2:9">
      <c r="B1284" s="7"/>
      <c r="C1284" s="20"/>
      <c r="D1284" s="21"/>
      <c r="E1284" s="6"/>
      <c r="F1284" s="22"/>
      <c r="G1284" s="22"/>
      <c r="H1284" s="22"/>
      <c r="I1284" s="6"/>
    </row>
    <row r="1285" spans="2:9">
      <c r="B1285" s="7"/>
      <c r="C1285" s="20"/>
      <c r="D1285" s="21"/>
      <c r="E1285" s="6"/>
      <c r="F1285" s="22"/>
      <c r="G1285" s="22"/>
      <c r="H1285" s="22"/>
      <c r="I1285" s="6"/>
    </row>
    <row r="1286" spans="2:9">
      <c r="B1286" s="7"/>
      <c r="C1286" s="20"/>
      <c r="D1286" s="21"/>
      <c r="E1286" s="6"/>
      <c r="F1286" s="22"/>
      <c r="G1286" s="22"/>
      <c r="H1286" s="22"/>
      <c r="I1286" s="6"/>
    </row>
  </sheetData>
  <mergeCells count="1">
    <mergeCell ref="B21:C21"/>
  </mergeCells>
  <phoneticPr fontId="9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0FD3D-0569-40ED-9643-3D70001311AC}">
  <sheetPr codeName="Sheet1"/>
  <dimension ref="B2:N30"/>
  <sheetViews>
    <sheetView showGridLines="0" zoomScale="70" zoomScaleNormal="70" workbookViewId="0">
      <selection activeCell="E10" sqref="E10"/>
    </sheetView>
  </sheetViews>
  <sheetFormatPr defaultColWidth="8.85546875" defaultRowHeight="14.1"/>
  <cols>
    <col min="1" max="3" width="8.85546875" style="3"/>
    <col min="4" max="4" width="11.42578125" style="3" customWidth="1"/>
    <col min="5" max="6" width="8.85546875" style="3"/>
    <col min="7" max="7" width="15.5703125" style="3" customWidth="1"/>
    <col min="8" max="8" width="15" style="3" customWidth="1"/>
    <col min="9" max="14" width="9" style="3" bestFit="1" customWidth="1"/>
    <col min="15" max="16384" width="8.85546875" style="3"/>
  </cols>
  <sheetData>
    <row r="2" spans="2:14" ht="17.45">
      <c r="B2" s="1" t="s">
        <v>68</v>
      </c>
      <c r="C2" s="2"/>
      <c r="D2" s="2"/>
      <c r="E2" s="2"/>
      <c r="F2" s="2"/>
      <c r="G2" s="2"/>
      <c r="H2" s="2"/>
      <c r="I2" s="2"/>
    </row>
    <row r="5" spans="2:14">
      <c r="B5" s="4" t="s">
        <v>3</v>
      </c>
      <c r="C5" s="33">
        <f>'1.Theta Calibration'!C16</f>
        <v>7.0000000000000001E-3</v>
      </c>
    </row>
    <row r="6" spans="2:14">
      <c r="B6" s="4" t="s">
        <v>5</v>
      </c>
      <c r="C6" s="33">
        <f>'1.Theta Calibration'!C17</f>
        <v>4.5199999999999997E-2</v>
      </c>
      <c r="E6" s="32" t="s">
        <v>69</v>
      </c>
      <c r="F6" s="32"/>
      <c r="G6" s="49">
        <f t="array" ref="G6:N6">TRANSPOSE('1.Theta Calibration'!F23:F32)</f>
        <v>8.1666666662503339E-6</v>
      </c>
      <c r="H6" s="49">
        <v>3.8808333333350364E-3</v>
      </c>
      <c r="I6" s="49">
        <v>-6.2833333336394931E-5</v>
      </c>
      <c r="J6" s="49">
        <v>3.8098333333366104E-3</v>
      </c>
      <c r="K6" s="49">
        <v>-1.3383333333602532E-4</v>
      </c>
      <c r="L6" s="49">
        <v>3.7388333333360779E-3</v>
      </c>
      <c r="M6" s="49">
        <v>-2.0483333333631837E-4</v>
      </c>
      <c r="N6" s="49">
        <v>3.6678333333357016E-3</v>
      </c>
    </row>
    <row r="7" spans="2:14">
      <c r="B7" s="4" t="s">
        <v>7</v>
      </c>
      <c r="C7" s="33">
        <f>1/2</f>
        <v>0.5</v>
      </c>
      <c r="D7" s="32"/>
      <c r="E7" s="32" t="s">
        <v>70</v>
      </c>
      <c r="F7" s="42">
        <v>0</v>
      </c>
      <c r="G7" s="42">
        <v>0.5</v>
      </c>
      <c r="H7" s="42">
        <v>1</v>
      </c>
      <c r="I7" s="42">
        <v>1.5</v>
      </c>
      <c r="J7" s="42">
        <v>2</v>
      </c>
      <c r="K7" s="42">
        <v>2.5</v>
      </c>
      <c r="L7" s="42">
        <v>3</v>
      </c>
      <c r="M7" s="42">
        <v>3.5</v>
      </c>
      <c r="N7" s="42">
        <v>4</v>
      </c>
    </row>
    <row r="8" spans="2:14">
      <c r="E8" s="42">
        <v>0</v>
      </c>
      <c r="F8" s="34"/>
      <c r="G8" s="51">
        <f>EXP(-0.5*$C$7^2*G$6+(1/6)*$C$5^2*(G$7-$E8)^3)</f>
        <v>1</v>
      </c>
      <c r="H8" s="50">
        <f t="array" ref="H8">EXP(-0.5*$C$7^2*H$6-0.5*SUMPRODUCT($G$6:G6,((H$7-$F$7:F7)^2-(H$7-$G$7:G7)^2))+(1/6)*$C$5^2*(H$7-$E8)^3)</f>
        <v>0.99952011518157013</v>
      </c>
      <c r="I8" s="34">
        <f t="array" ref="I8">EXP(-0.5*$C$7^2*I$6-0.5*SUMPRODUCT($G$6:H6,((I$7-$F$7:G7)^2-(I$7-$G$7:H7)^2))+(1/6)*$C$5^2*(I$7-$E8)^3)</f>
        <v>0.99857601483039837</v>
      </c>
      <c r="J8" s="34">
        <f t="array" ref="J8">EXP(-0.5*$C$7^2*J$6-0.5*SUMPRODUCT($G$6:I6,((J$7-$F$7:H7)^2-(J$7-$G$7:I7)^2))+(1/6)*$C$5^2*(J$7-$E8)^3)</f>
        <v>0.99718397246500556</v>
      </c>
      <c r="K8" s="34">
        <f t="array" ref="K8">EXP(-0.5*$C$7^2*K$6-0.5*SUMPRODUCT($G$6:J6,((K$7-$F$7:I7)^2-(K$7-$G$7:J7)^2))+(1/6)*$C$5^2*(K$7-$E8)^3)</f>
        <v>0.99536079451202497</v>
      </c>
      <c r="L8" s="34">
        <f t="array" ref="L8">EXP(-0.5*$C$7^2*L$6-0.5*SUMPRODUCT($G$6:K6,((L$7-$F$7:J7)^2-(L$7-$G$7:K7)^2))+(1/6)*$C$5^2*(L$7-$E8)^3)</f>
        <v>0.99312375034281608</v>
      </c>
      <c r="M8" s="34">
        <f t="array" ref="M8">EXP(-0.5*$C$7^2*M$6-0.5*SUMPRODUCT($G$6:L6,((M$7-$F$7:K7)^2-(M$7-$G$7:L7)^2))+(1/6)*$C$5^2*(M$7-$E8)^3)</f>
        <v>0.99049050396703786</v>
      </c>
      <c r="N8" s="34">
        <f t="array" ref="N8">EXP(-0.5*$C$7^2*N$6-0.5*SUMPRODUCT($G$6:M6,((N$7-$F$7:L7)^2-(N$7-$G$7:M7)^2))+(1/6)*$C$5^2*(N$7-$E8)^3)</f>
        <v>0.98747904765155647</v>
      </c>
    </row>
    <row r="9" spans="2:14">
      <c r="E9" s="42">
        <v>0.5</v>
      </c>
      <c r="F9" s="34"/>
      <c r="G9" s="34"/>
      <c r="H9" s="34">
        <f>EXP(-0.5*$C$7^2*H$6+(1/6)*$C$5^2*(H$7-$E9)^3)</f>
        <v>0.9995160338160991</v>
      </c>
      <c r="I9" s="34">
        <f t="array" ref="I9">EXP(-0.5*$C$7^2*I$6-0.5*SUMPRODUCT($H$6:H6,((I$7-$G$7:G7)^2-(I$7-$H$7:H7)^2))+(1/6)*$C$5^2*(I$7-$E9)^3)</f>
        <v>0.9985617436168327</v>
      </c>
      <c r="J9" s="34">
        <f t="array" ref="J9">EXP(-0.5*$C$7^2*J$6-0.5*SUMPRODUCT($H$6:I6,((J$7-$G$7:H7)^2-(J$7-$H$7:I7)^2))+(1/6)*$C$5^2*(J$7-$E9)^3)</f>
        <v>0.99715343417346847</v>
      </c>
      <c r="K9" s="34">
        <f t="array" ref="K9">EXP(-0.5*$C$7^2*K$6-0.5*SUMPRODUCT($H$6:J6,((K$7-$G$7:I7)^2-(K$7-$H$7:J7)^2))+(1/6)*$C$5^2*(K$7-$E9)^3)</f>
        <v>0.99530795884554146</v>
      </c>
      <c r="L9" s="34">
        <f t="array" ref="L9">EXP(-0.5*$C$7^2*L$6-0.5*SUMPRODUCT($H$6:K6,((L$7-$G$7:J7)^2-(L$7-$H$7:K7)^2))+(1/6)*$C$5^2*(L$7-$E9)^3)</f>
        <v>0.9930426485482392</v>
      </c>
      <c r="M9" s="34">
        <f t="array" ref="M9">EXP(-0.5*$C$7^2*M$6-0.5*SUMPRODUCT($H$6:L6,((M$7-$G$7:K7)^2-(M$7-$H$7:L7)^2))+(1/6)*$C$5^2*(M$7-$E9)^3)</f>
        <v>0.99037524234155394</v>
      </c>
      <c r="N9" s="34">
        <f t="array" ref="N9">EXP(-0.5*$C$7^2*N$6-0.5*SUMPRODUCT($H$6:M6,((N$7-$G$7:L7)^2-(N$7-$H$7:M7)^2))+(1/6)*$C$5^2*(N$7-$E9)^3)</f>
        <v>0.98732381991813911</v>
      </c>
    </row>
    <row r="10" spans="2:14">
      <c r="E10" s="42">
        <v>1</v>
      </c>
      <c r="F10" s="34"/>
      <c r="G10" s="34"/>
      <c r="H10" s="34"/>
      <c r="I10" s="34">
        <f>EXP(-0.5*$C$7^2*I$6+(1/6)*$C$5^2*(I$7-$E10)^3)</f>
        <v>1.0000088750393834</v>
      </c>
      <c r="J10" s="34">
        <f t="array" ref="J10">EXP(-0.5*$C$7^2*J$6-0.5*SUMPRODUCT($I$6:I6,((J$7-$H$7:H7)^2-(J$7-$I$7:I7)^2))+(1/6)*$C$5^2*(J$7-$E10)^3)</f>
        <v>0.99955559877548994</v>
      </c>
      <c r="K10" s="34">
        <f t="array" ref="K10">EXP(-0.5*$C$7^2*K$6-0.5*SUMPRODUCT($I$6:J6,((K$7-$H$7:I7)^2-(K$7-$I$7:J7)^2))+(1/6)*$C$5^2*(K$7-$E10)^3)</f>
        <v>0.99865577927513405</v>
      </c>
      <c r="L10" s="34">
        <f t="array" ref="L10">EXP(-0.5*$C$7^2*L$6-0.5*SUMPRODUCT($I$6:K6,((L$7-$H$7:J7)^2-(L$7-$I$7:K7)^2))+(1/6)*$C$5^2*(L$7-$E10)^3)</f>
        <v>0.99732558264318161</v>
      </c>
      <c r="M10" s="34">
        <f t="array" ref="M10">EXP(-0.5*$C$7^2*M$6-0.5*SUMPRODUCT($I$6:L6,((M$7-$H$7:K7)^2-(M$7-$I$7:L7)^2))+(1/6)*$C$5^2*(M$7-$E10)^3)</f>
        <v>0.99558166469018816</v>
      </c>
      <c r="N10" s="34">
        <f t="array" ref="N10">EXP(-0.5*$C$7^2*N$6-0.5*SUMPRODUCT($I$6:M6,((N$7-$H$7:L7)^2-(N$7-$I$7:M7)^2))+(1/6)*$C$5^2*(N$7-$E10)^3)</f>
        <v>0.99344110407561181</v>
      </c>
    </row>
    <row r="11" spans="2:14">
      <c r="E11" s="42">
        <v>1.5</v>
      </c>
      <c r="F11" s="34"/>
      <c r="G11" s="34"/>
      <c r="H11" s="34"/>
      <c r="I11" s="34"/>
      <c r="J11" s="34">
        <f>EXP(-0.5*$C$7^2*J$6+(1/6)*$C$5^2*(J$7-$E11)^3)</f>
        <v>0.99952490456026288</v>
      </c>
      <c r="K11" s="34">
        <f t="array" ref="K11">EXP(-0.5*$C$7^2*K$6-0.5*SUMPRODUCT($J$6:J6,((K$7-$I$7:I7)^2-(K$7-$J$7:J7)^2))+(1/6)*$C$5^2*(K$7-$E11)^3)</f>
        <v>0.9985971931879567</v>
      </c>
      <c r="L11" s="34">
        <f t="array" ref="L11">EXP(-0.5*$C$7^2*L$6-0.5*SUMPRODUCT($J$6:K6,((L$7-$I$7:J7)^2-(L$7-$J$7:K7)^2))+(1/6)*$C$5^2*(L$7-$E11)^3)</f>
        <v>0.99723308498503394</v>
      </c>
      <c r="M11" s="34">
        <f t="array" ref="M11">EXP(-0.5*$C$7^2*M$6-0.5*SUMPRODUCT($J$6:L6,((M$7-$I$7:K7)^2-(M$7-$J$7:L7)^2))+(1/6)*$C$5^2*(M$7-$E11)^3)</f>
        <v>0.99544930261086606</v>
      </c>
      <c r="N11" s="34">
        <f t="array" ref="N11">EXP(-0.5*$C$7^2*N$6-0.5*SUMPRODUCT($J$6:M6,((N$7-$I$7:L7)^2-(N$7-$J$7:M7)^2))+(1/6)*$C$5^2*(N$7-$E11)^3)</f>
        <v>0.99326300433069992</v>
      </c>
    </row>
    <row r="12" spans="2:14">
      <c r="E12" s="42">
        <v>2</v>
      </c>
      <c r="F12" s="34"/>
      <c r="G12" s="34"/>
      <c r="H12" s="34"/>
      <c r="I12" s="34"/>
      <c r="J12" s="34"/>
      <c r="K12" s="34">
        <f>EXP(-0.5*$C$7^2*K$6+(1/6)*$C$5^2*(K$7-$E12)^3)</f>
        <v>1.0000177501575325</v>
      </c>
      <c r="L12" s="34">
        <f t="array" ref="L12">EXP(-0.5*$C$7^2*L$6-0.5*SUMPRODUCT($K$6:K6,((L$7-$J$7:J7)^2-(L$7-$K$7:K7)^2))+(1/6)*$C$5^2*(L$7-$E12)^3)</f>
        <v>0.99959108362909888</v>
      </c>
      <c r="M12" s="34">
        <f t="array" ref="M12">EXP(-0.5*$C$7^2*M$6-0.5*SUMPRODUCT($K$6:L6,((M$7-$J$7:K7)^2-(M$7-$K$7:L7)^2))+(1/6)*$C$5^2*(M$7-$E12)^3)</f>
        <v>0.99873555009130821</v>
      </c>
      <c r="N12" s="34">
        <f t="array" ref="N12">EXP(-0.5*$C$7^2*N$6-0.5*SUMPRODUCT($K$6:M6,((N$7-$J$7:L7)^2-(N$7-$K$7:M7)^2))+(1/6)*$C$5^2*(N$7-$E12)^3)</f>
        <v>0.99746721293142959</v>
      </c>
    </row>
    <row r="13" spans="2:14">
      <c r="E13" s="42">
        <v>2.5</v>
      </c>
      <c r="F13" s="34"/>
      <c r="G13" s="34"/>
      <c r="H13" s="34"/>
      <c r="I13" s="34"/>
      <c r="J13" s="34"/>
      <c r="K13" s="34"/>
      <c r="L13" s="34">
        <f>EXP(-0.5*$C$7^2*L$6+(1/6)*$C$5^2*(L$7-$E13)^3)</f>
        <v>0.99953377538315513</v>
      </c>
      <c r="M13" s="34">
        <f t="array" ref="M13">EXP(-0.5*$C$7^2*M$6-0.5*SUMPRODUCT($L$6:L6,((M$7-$K$7:K7)^2-(M$7-$L$7:L7)^2))+(1/6)*$C$5^2*(M$7-$E13)^3)</f>
        <v>0.99863264401756358</v>
      </c>
      <c r="N13" s="34">
        <f t="array" ref="N13">EXP(-0.5*$C$7^2*N$6-0.5*SUMPRODUCT($L$6:M6,((N$7-$K$7:L7)^2-(N$7-$L$7:M7)^2))+(1/6)*$C$5^2*(N$7-$E13)^3)</f>
        <v>0.99731274215896359</v>
      </c>
    </row>
    <row r="14" spans="2:14">
      <c r="E14" s="42">
        <v>3</v>
      </c>
      <c r="F14" s="34"/>
      <c r="G14" s="34"/>
      <c r="H14" s="34"/>
      <c r="I14" s="34"/>
      <c r="J14" s="34"/>
      <c r="K14" s="34"/>
      <c r="L14" s="34"/>
      <c r="M14" s="34">
        <f>EXP(-0.5*$C$7^2*M$6+(1/6)*$C$5^2*(M$7-$E14)^3)</f>
        <v>1.0000266253544488</v>
      </c>
      <c r="N14" s="34">
        <f t="array" ref="N14">EXP(-0.5*$C$7^2*N$6-0.5*SUMPRODUCT($M$6:M6,((N$7-$L$7:L7)^2-(N$7-$M$7:M7)^2))+(1/6)*$C$5^2*(N$7-$E14)^3)</f>
        <v>0.99962656974244257</v>
      </c>
    </row>
    <row r="15" spans="2:14">
      <c r="E15" s="42">
        <v>3.5</v>
      </c>
      <c r="F15" s="34"/>
      <c r="G15" s="34"/>
      <c r="H15" s="34"/>
      <c r="I15" s="34"/>
      <c r="J15" s="34"/>
      <c r="K15" s="34"/>
      <c r="L15" s="34"/>
      <c r="M15" s="34"/>
      <c r="N15" s="34">
        <f>EXP(-0.5*$C$7^2*N$6+(1/6)*$C$5^2*(N$7-$E15)^3)</f>
        <v>0.99954264628477629</v>
      </c>
    </row>
    <row r="16" spans="2:14">
      <c r="E16" s="42">
        <v>4</v>
      </c>
      <c r="F16" s="34"/>
      <c r="G16" s="34"/>
      <c r="H16" s="34"/>
      <c r="I16" s="34"/>
      <c r="J16" s="34"/>
      <c r="K16" s="34"/>
      <c r="L16" s="34"/>
      <c r="M16" s="34"/>
      <c r="N16" s="34"/>
    </row>
    <row r="21" spans="4:14">
      <c r="D21" s="32"/>
      <c r="E21" s="32" t="s">
        <v>71</v>
      </c>
      <c r="F21" s="42">
        <v>0</v>
      </c>
      <c r="G21" s="42">
        <v>0.5</v>
      </c>
      <c r="H21" s="42">
        <v>1</v>
      </c>
      <c r="I21" s="42">
        <v>1.5</v>
      </c>
      <c r="J21" s="42">
        <v>2</v>
      </c>
      <c r="K21" s="42">
        <v>2.5</v>
      </c>
      <c r="L21" s="42">
        <v>3</v>
      </c>
      <c r="M21" s="42">
        <v>3.5</v>
      </c>
      <c r="N21" s="42">
        <v>4</v>
      </c>
    </row>
    <row r="22" spans="4:14">
      <c r="E22" s="42">
        <v>0</v>
      </c>
      <c r="F22" s="34"/>
      <c r="G22" s="34">
        <f t="shared" ref="G22:N22" si="0">G$21-$E22</f>
        <v>0.5</v>
      </c>
      <c r="H22" s="34">
        <f t="shared" si="0"/>
        <v>1</v>
      </c>
      <c r="I22" s="34">
        <f t="shared" si="0"/>
        <v>1.5</v>
      </c>
      <c r="J22" s="34">
        <f t="shared" si="0"/>
        <v>2</v>
      </c>
      <c r="K22" s="34">
        <f t="shared" si="0"/>
        <v>2.5</v>
      </c>
      <c r="L22" s="34">
        <f t="shared" si="0"/>
        <v>3</v>
      </c>
      <c r="M22" s="34">
        <f t="shared" si="0"/>
        <v>3.5</v>
      </c>
      <c r="N22" s="34">
        <f t="shared" si="0"/>
        <v>4</v>
      </c>
    </row>
    <row r="23" spans="4:14">
      <c r="E23" s="42">
        <v>0.5</v>
      </c>
      <c r="F23" s="34"/>
      <c r="G23" s="34"/>
      <c r="H23" s="34">
        <f t="shared" ref="H23:N23" si="1">H$21-$E23</f>
        <v>0.5</v>
      </c>
      <c r="I23" s="34">
        <f t="shared" si="1"/>
        <v>1</v>
      </c>
      <c r="J23" s="34">
        <f t="shared" si="1"/>
        <v>1.5</v>
      </c>
      <c r="K23" s="34">
        <f t="shared" si="1"/>
        <v>2</v>
      </c>
      <c r="L23" s="34">
        <f t="shared" si="1"/>
        <v>2.5</v>
      </c>
      <c r="M23" s="34">
        <f t="shared" si="1"/>
        <v>3</v>
      </c>
      <c r="N23" s="34">
        <f t="shared" si="1"/>
        <v>3.5</v>
      </c>
    </row>
    <row r="24" spans="4:14">
      <c r="E24" s="42">
        <v>1</v>
      </c>
      <c r="F24" s="34"/>
      <c r="G24" s="34"/>
      <c r="H24" s="34"/>
      <c r="I24" s="34">
        <f t="shared" ref="I24:N24" si="2">I$21-$E24</f>
        <v>0.5</v>
      </c>
      <c r="J24" s="34">
        <f t="shared" si="2"/>
        <v>1</v>
      </c>
      <c r="K24" s="34">
        <f t="shared" si="2"/>
        <v>1.5</v>
      </c>
      <c r="L24" s="34">
        <f t="shared" si="2"/>
        <v>2</v>
      </c>
      <c r="M24" s="34">
        <f t="shared" si="2"/>
        <v>2.5</v>
      </c>
      <c r="N24" s="34">
        <f t="shared" si="2"/>
        <v>3</v>
      </c>
    </row>
    <row r="25" spans="4:14">
      <c r="E25" s="42">
        <v>1.5</v>
      </c>
      <c r="F25" s="34"/>
      <c r="G25" s="34"/>
      <c r="H25" s="34"/>
      <c r="I25" s="34"/>
      <c r="J25" s="34">
        <f>J$21-$E25</f>
        <v>0.5</v>
      </c>
      <c r="K25" s="34">
        <f>K$21-$E25</f>
        <v>1</v>
      </c>
      <c r="L25" s="34">
        <f>L$21-$E25</f>
        <v>1.5</v>
      </c>
      <c r="M25" s="34">
        <f>M$21-$E25</f>
        <v>2</v>
      </c>
      <c r="N25" s="34">
        <f>N$21-$E25</f>
        <v>2.5</v>
      </c>
    </row>
    <row r="26" spans="4:14">
      <c r="E26" s="42">
        <v>2</v>
      </c>
      <c r="F26" s="34"/>
      <c r="G26" s="34"/>
      <c r="H26" s="34"/>
      <c r="I26" s="34"/>
      <c r="J26" s="34"/>
      <c r="K26" s="34">
        <f>K$21-$E26</f>
        <v>0.5</v>
      </c>
      <c r="L26" s="34">
        <f>L$21-$E26</f>
        <v>1</v>
      </c>
      <c r="M26" s="34">
        <f>M$21-$E26</f>
        <v>1.5</v>
      </c>
      <c r="N26" s="34">
        <f>N$21-$E26</f>
        <v>2</v>
      </c>
    </row>
    <row r="27" spans="4:14">
      <c r="E27" s="42">
        <v>2.5</v>
      </c>
      <c r="F27" s="34"/>
      <c r="G27" s="34"/>
      <c r="H27" s="34"/>
      <c r="I27" s="34"/>
      <c r="J27" s="34"/>
      <c r="K27" s="34"/>
      <c r="L27" s="34">
        <f>L$21-$E27</f>
        <v>0.5</v>
      </c>
      <c r="M27" s="34">
        <f>M$21-$E27</f>
        <v>1</v>
      </c>
      <c r="N27" s="34">
        <f>N$21-$E27</f>
        <v>1.5</v>
      </c>
    </row>
    <row r="28" spans="4:14">
      <c r="E28" s="42">
        <v>3</v>
      </c>
      <c r="F28" s="34"/>
      <c r="G28" s="34"/>
      <c r="H28" s="34"/>
      <c r="I28" s="34"/>
      <c r="J28" s="34"/>
      <c r="K28" s="34"/>
      <c r="L28" s="34"/>
      <c r="M28" s="34">
        <f>M$21-$E28</f>
        <v>0.5</v>
      </c>
      <c r="N28" s="34">
        <f>N$21-$E28</f>
        <v>1</v>
      </c>
    </row>
    <row r="29" spans="4:14">
      <c r="E29" s="42">
        <v>3.5</v>
      </c>
      <c r="F29" s="34"/>
      <c r="G29" s="34"/>
      <c r="H29" s="34"/>
      <c r="I29" s="34"/>
      <c r="J29" s="34"/>
      <c r="K29" s="34"/>
      <c r="L29" s="34"/>
      <c r="M29" s="34"/>
      <c r="N29" s="34">
        <f>N$21-$E29</f>
        <v>0.5</v>
      </c>
    </row>
    <row r="30" spans="4:14">
      <c r="E30" s="42">
        <v>4</v>
      </c>
      <c r="F30" s="34"/>
      <c r="G30" s="34"/>
      <c r="H30" s="34"/>
      <c r="I30" s="34"/>
      <c r="J30" s="34"/>
      <c r="K30" s="34"/>
      <c r="L30" s="34"/>
      <c r="M30" s="34"/>
      <c r="N30" s="3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9758F-AB29-400D-8902-82D94CA9C976}">
  <sheetPr codeName="Sheet2"/>
  <dimension ref="B2:ALO1006"/>
  <sheetViews>
    <sheetView showGridLines="0" zoomScale="70" zoomScaleNormal="70" workbookViewId="0">
      <selection activeCell="AB16" sqref="AB16"/>
    </sheetView>
  </sheetViews>
  <sheetFormatPr defaultColWidth="8.85546875" defaultRowHeight="14.1"/>
  <cols>
    <col min="1" max="1" width="8.85546875" style="3"/>
    <col min="2" max="2" width="9.140625" style="3" customWidth="1"/>
    <col min="3" max="4" width="8.85546875" style="3"/>
    <col min="5" max="5" width="14" style="3" bestFit="1" customWidth="1"/>
    <col min="6" max="14" width="8.85546875" style="3"/>
    <col min="15" max="15" width="10.140625" style="3" customWidth="1"/>
    <col min="16" max="16384" width="8.85546875" style="3"/>
  </cols>
  <sheetData>
    <row r="2" spans="2:1003" ht="17.45">
      <c r="C2" s="1" t="s">
        <v>72</v>
      </c>
      <c r="D2" s="2"/>
      <c r="E2" s="2"/>
      <c r="F2" s="2"/>
      <c r="G2" s="2"/>
      <c r="H2" s="2"/>
      <c r="I2" s="2"/>
      <c r="J2" s="2"/>
      <c r="N2" s="4" t="s">
        <v>3</v>
      </c>
      <c r="O2" s="33">
        <f>'1.Theta Calibration'!C16</f>
        <v>7.0000000000000001E-3</v>
      </c>
    </row>
    <row r="3" spans="2:1003">
      <c r="N3" s="4" t="s">
        <v>5</v>
      </c>
      <c r="O3" s="33">
        <f>'2. A(t,T) and B(t,T)'!C6</f>
        <v>4.5199999999999997E-2</v>
      </c>
    </row>
    <row r="4" spans="2:1003">
      <c r="D4" s="7" t="s">
        <v>73</v>
      </c>
      <c r="N4" s="4" t="s">
        <v>7</v>
      </c>
      <c r="O4" s="33">
        <f>1/2</f>
        <v>0.5</v>
      </c>
    </row>
    <row r="5" spans="2:1003">
      <c r="C5" s="32" t="s">
        <v>69</v>
      </c>
      <c r="E5" s="38">
        <f>'2. A(t,T) and B(t,T)'!G6</f>
        <v>8.1666666662503339E-6</v>
      </c>
      <c r="F5" s="38">
        <f>'2. A(t,T) and B(t,T)'!H6</f>
        <v>3.8808333333350364E-3</v>
      </c>
      <c r="G5" s="38">
        <f>'2. A(t,T) and B(t,T)'!I6</f>
        <v>-6.2833333336394931E-5</v>
      </c>
      <c r="H5" s="38">
        <f>'2. A(t,T) and B(t,T)'!J6</f>
        <v>3.8098333333366104E-3</v>
      </c>
      <c r="I5" s="38">
        <f>'2. A(t,T) and B(t,T)'!K6</f>
        <v>-1.3383333333602532E-4</v>
      </c>
      <c r="J5" s="38">
        <f>'2. A(t,T) and B(t,T)'!L6</f>
        <v>3.7388333333360779E-3</v>
      </c>
      <c r="K5" s="38">
        <f>'2. A(t,T) and B(t,T)'!M6</f>
        <v>-2.0483333333631837E-4</v>
      </c>
      <c r="L5" s="38">
        <f>'2. A(t,T) and B(t,T)'!N6</f>
        <v>3.6678333333357016E-3</v>
      </c>
    </row>
    <row r="6" spans="2:1003">
      <c r="C6" s="34" t="s">
        <v>74</v>
      </c>
      <c r="D6" s="41">
        <v>0</v>
      </c>
      <c r="E6" s="41">
        <v>0.5</v>
      </c>
      <c r="F6" s="41">
        <v>1</v>
      </c>
      <c r="G6" s="41">
        <v>1.5</v>
      </c>
      <c r="H6" s="41">
        <v>2</v>
      </c>
      <c r="I6" s="41">
        <v>2.5</v>
      </c>
      <c r="J6" s="41">
        <v>3</v>
      </c>
      <c r="K6" s="41">
        <v>3.5</v>
      </c>
      <c r="L6" s="41">
        <v>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</row>
    <row r="7" spans="2:1003">
      <c r="B7" s="3" t="s">
        <v>75</v>
      </c>
      <c r="C7" s="7">
        <v>1</v>
      </c>
      <c r="D7" s="3">
        <f t="shared" ref="D7:D70" si="0">r0</f>
        <v>4.5199999999999997E-2</v>
      </c>
      <c r="E7" s="3">
        <f t="shared" ref="E7:L16" ca="1" si="1">D7+E$5*dt+sigma*_xlfn.NORM.S.INV(RAND())*SQRT(dt)</f>
        <v>4.9470026371698686E-2</v>
      </c>
      <c r="F7" s="3">
        <f t="shared" ca="1" si="1"/>
        <v>4.7458230139841316E-2</v>
      </c>
      <c r="G7" s="3">
        <f t="shared" ca="1" si="1"/>
        <v>5.3157626541041419E-2</v>
      </c>
      <c r="H7" s="3">
        <f t="shared" ca="1" si="1"/>
        <v>5.4442451257769718E-2</v>
      </c>
      <c r="I7" s="3">
        <f t="shared" ca="1" si="1"/>
        <v>4.984791045910833E-2</v>
      </c>
      <c r="J7" s="3">
        <f t="shared" ca="1" si="1"/>
        <v>4.9381433549083663E-2</v>
      </c>
      <c r="K7" s="3">
        <f t="shared" ca="1" si="1"/>
        <v>4.7834193173705776E-2</v>
      </c>
      <c r="L7" s="3">
        <f t="shared" ca="1" si="1"/>
        <v>4.1509209489255863E-2</v>
      </c>
    </row>
    <row r="8" spans="2:1003">
      <c r="C8" s="7">
        <v>2</v>
      </c>
      <c r="D8" s="3">
        <f t="shared" si="0"/>
        <v>4.5199999999999997E-2</v>
      </c>
      <c r="E8" s="3">
        <f t="shared" ca="1" si="1"/>
        <v>3.8848185643591736E-2</v>
      </c>
      <c r="F8" s="3">
        <f t="shared" ca="1" si="1"/>
        <v>2.9563432564399438E-2</v>
      </c>
      <c r="G8" s="3">
        <f t="shared" ca="1" si="1"/>
        <v>2.4313952354325024E-2</v>
      </c>
      <c r="H8" s="3">
        <f t="shared" ca="1" si="1"/>
        <v>2.6992446925948044E-2</v>
      </c>
      <c r="I8" s="3">
        <f t="shared" ca="1" si="1"/>
        <v>3.1618088739635855E-2</v>
      </c>
      <c r="J8" s="3">
        <f t="shared" ca="1" si="1"/>
        <v>2.8811508795972791E-2</v>
      </c>
      <c r="K8" s="3">
        <f t="shared" ca="1" si="1"/>
        <v>2.923956254286271E-2</v>
      </c>
      <c r="L8" s="3">
        <f t="shared" ca="1" si="1"/>
        <v>3.7312014399903518E-2</v>
      </c>
    </row>
    <row r="9" spans="2:1003">
      <c r="C9" s="7">
        <v>3</v>
      </c>
      <c r="D9" s="3">
        <f t="shared" si="0"/>
        <v>4.5199999999999997E-2</v>
      </c>
      <c r="E9" s="3">
        <f t="shared" ca="1" si="1"/>
        <v>3.4554387852874041E-2</v>
      </c>
      <c r="F9" s="3">
        <f t="shared" ca="1" si="1"/>
        <v>4.1272996729327042E-2</v>
      </c>
      <c r="G9" s="3">
        <f t="shared" ca="1" si="1"/>
        <v>3.6484174281175251E-2</v>
      </c>
      <c r="H9" s="3">
        <f t="shared" ca="1" si="1"/>
        <v>3.2341514430868579E-2</v>
      </c>
      <c r="I9" s="3">
        <f t="shared" ca="1" si="1"/>
        <v>2.7895015026885593E-2</v>
      </c>
      <c r="J9" s="3">
        <f t="shared" ca="1" si="1"/>
        <v>3.1470168681491266E-2</v>
      </c>
      <c r="K9" s="3">
        <f t="shared" ca="1" si="1"/>
        <v>2.8054008535639895E-2</v>
      </c>
      <c r="L9" s="3">
        <f t="shared" ca="1" si="1"/>
        <v>3.1138231055802011E-2</v>
      </c>
    </row>
    <row r="10" spans="2:1003">
      <c r="C10" s="7">
        <v>4</v>
      </c>
      <c r="D10" s="3">
        <f t="shared" si="0"/>
        <v>4.5199999999999997E-2</v>
      </c>
      <c r="E10" s="3">
        <f t="shared" ca="1" si="1"/>
        <v>4.5312979493719256E-2</v>
      </c>
      <c r="F10" s="3">
        <f t="shared" ca="1" si="1"/>
        <v>4.9462928872374891E-2</v>
      </c>
      <c r="G10" s="3">
        <f t="shared" ca="1" si="1"/>
        <v>4.0797897315505385E-2</v>
      </c>
      <c r="H10" s="3">
        <f t="shared" ca="1" si="1"/>
        <v>5.4580289896904194E-2</v>
      </c>
      <c r="I10" s="3">
        <f t="shared" ca="1" si="1"/>
        <v>5.2708675164603487E-2</v>
      </c>
      <c r="J10" s="3">
        <f t="shared" ca="1" si="1"/>
        <v>5.6934238332309331E-2</v>
      </c>
      <c r="K10" s="3">
        <f t="shared" ca="1" si="1"/>
        <v>5.9060277523807686E-2</v>
      </c>
      <c r="L10" s="3">
        <f t="shared" ca="1" si="1"/>
        <v>5.9215417822281714E-2</v>
      </c>
    </row>
    <row r="11" spans="2:1003">
      <c r="C11" s="7">
        <v>5</v>
      </c>
      <c r="D11" s="3">
        <f t="shared" si="0"/>
        <v>4.5199999999999997E-2</v>
      </c>
      <c r="E11" s="3">
        <f t="shared" ca="1" si="1"/>
        <v>5.0049399074286828E-2</v>
      </c>
      <c r="F11" s="3">
        <f t="shared" ca="1" si="1"/>
        <v>5.7812193066580066E-2</v>
      </c>
      <c r="G11" s="3">
        <f t="shared" ca="1" si="1"/>
        <v>5.9388651394988674E-2</v>
      </c>
      <c r="H11" s="3">
        <f t="shared" ca="1" si="1"/>
        <v>6.0969393859335766E-2</v>
      </c>
      <c r="I11" s="3">
        <f t="shared" ca="1" si="1"/>
        <v>5.7221896059708705E-2</v>
      </c>
      <c r="J11" s="3">
        <f t="shared" ca="1" si="1"/>
        <v>6.1263589242515272E-2</v>
      </c>
      <c r="K11" s="3">
        <f t="shared" ca="1" si="1"/>
        <v>5.9588987138651003E-2</v>
      </c>
      <c r="L11" s="3">
        <f t="shared" ca="1" si="1"/>
        <v>5.8683521352275489E-2</v>
      </c>
    </row>
    <row r="12" spans="2:1003">
      <c r="C12" s="7">
        <v>6</v>
      </c>
      <c r="D12" s="3">
        <f t="shared" si="0"/>
        <v>4.5199999999999997E-2</v>
      </c>
      <c r="E12" s="3">
        <f t="shared" ca="1" si="1"/>
        <v>4.9111945877962845E-2</v>
      </c>
      <c r="F12" s="3">
        <f t="shared" ca="1" si="1"/>
        <v>4.6816745370242968E-2</v>
      </c>
      <c r="G12" s="3">
        <f t="shared" ca="1" si="1"/>
        <v>5.3085927931982926E-2</v>
      </c>
      <c r="H12" s="3">
        <f t="shared" ca="1" si="1"/>
        <v>6.1268053687342484E-2</v>
      </c>
      <c r="I12" s="3">
        <f t="shared" ca="1" si="1"/>
        <v>6.4079827417776833E-2</v>
      </c>
      <c r="J12" s="3">
        <f t="shared" ca="1" si="1"/>
        <v>6.4549351570800773E-2</v>
      </c>
      <c r="K12" s="3">
        <f t="shared" ca="1" si="1"/>
        <v>6.2623512353596311E-2</v>
      </c>
      <c r="L12" s="3">
        <f t="shared" ca="1" si="1"/>
        <v>6.1697150700709281E-2</v>
      </c>
    </row>
    <row r="13" spans="2:1003">
      <c r="C13" s="7">
        <v>7</v>
      </c>
      <c r="D13" s="3">
        <f t="shared" si="0"/>
        <v>4.5199999999999997E-2</v>
      </c>
      <c r="E13" s="3">
        <f t="shared" ca="1" si="1"/>
        <v>4.2906531484095921E-2</v>
      </c>
      <c r="F13" s="3">
        <f t="shared" ca="1" si="1"/>
        <v>4.5962397852032773E-2</v>
      </c>
      <c r="G13" s="3">
        <f t="shared" ca="1" si="1"/>
        <v>5.0265335575575443E-2</v>
      </c>
      <c r="H13" s="3">
        <f t="shared" ca="1" si="1"/>
        <v>4.9895994089658828E-2</v>
      </c>
      <c r="I13" s="3">
        <f t="shared" ca="1" si="1"/>
        <v>5.074481395905004E-2</v>
      </c>
      <c r="J13" s="3">
        <f t="shared" ca="1" si="1"/>
        <v>4.6186025563947006E-2</v>
      </c>
      <c r="K13" s="3">
        <f t="shared" ca="1" si="1"/>
        <v>4.675645070912228E-2</v>
      </c>
      <c r="L13" s="3">
        <f t="shared" ca="1" si="1"/>
        <v>4.1875376242232372E-2</v>
      </c>
    </row>
    <row r="14" spans="2:1003">
      <c r="C14" s="7">
        <v>8</v>
      </c>
      <c r="D14" s="3">
        <f t="shared" si="0"/>
        <v>4.5199999999999997E-2</v>
      </c>
      <c r="E14" s="3">
        <f t="shared" ca="1" si="1"/>
        <v>6.1223483137068171E-2</v>
      </c>
      <c r="F14" s="3">
        <f t="shared" ca="1" si="1"/>
        <v>6.2790916394521876E-2</v>
      </c>
      <c r="G14" s="3">
        <f t="shared" ca="1" si="1"/>
        <v>6.8175329302878673E-2</v>
      </c>
      <c r="H14" s="3">
        <f t="shared" ca="1" si="1"/>
        <v>6.4825893887776626E-2</v>
      </c>
      <c r="I14" s="3">
        <f t="shared" ca="1" si="1"/>
        <v>7.0150797123232481E-2</v>
      </c>
      <c r="J14" s="3">
        <f t="shared" ca="1" si="1"/>
        <v>6.7537470054529508E-2</v>
      </c>
      <c r="K14" s="3">
        <f t="shared" ca="1" si="1"/>
        <v>6.5611477298983367E-2</v>
      </c>
      <c r="L14" s="3">
        <f t="shared" ca="1" si="1"/>
        <v>7.3156405546459094E-2</v>
      </c>
    </row>
    <row r="15" spans="2:1003">
      <c r="C15" s="7">
        <v>9</v>
      </c>
      <c r="D15" s="3">
        <f t="shared" si="0"/>
        <v>4.5199999999999997E-2</v>
      </c>
      <c r="E15" s="3">
        <f t="shared" ca="1" si="1"/>
        <v>4.847855878297113E-2</v>
      </c>
      <c r="F15" s="3">
        <f t="shared" ca="1" si="1"/>
        <v>4.5101541085639102E-2</v>
      </c>
      <c r="G15" s="3">
        <f t="shared" ca="1" si="1"/>
        <v>4.0222384826368078E-2</v>
      </c>
      <c r="H15" s="3">
        <f t="shared" ca="1" si="1"/>
        <v>5.2744523705108085E-2</v>
      </c>
      <c r="I15" s="3">
        <f t="shared" ca="1" si="1"/>
        <v>5.570716279585932E-2</v>
      </c>
      <c r="J15" s="3">
        <f t="shared" ca="1" si="1"/>
        <v>5.8851040485095429E-2</v>
      </c>
      <c r="K15" s="3">
        <f t="shared" ca="1" si="1"/>
        <v>5.6157081625837366E-2</v>
      </c>
      <c r="L15" s="3">
        <f t="shared" ca="1" si="1"/>
        <v>6.1681217459002652E-2</v>
      </c>
    </row>
    <row r="16" spans="2:1003">
      <c r="C16" s="7">
        <v>10</v>
      </c>
      <c r="D16" s="3">
        <f t="shared" si="0"/>
        <v>4.5199999999999997E-2</v>
      </c>
      <c r="E16" s="3">
        <f t="shared" ca="1" si="1"/>
        <v>3.8073987866983058E-2</v>
      </c>
      <c r="F16" s="3">
        <f t="shared" ca="1" si="1"/>
        <v>4.1407043843193866E-2</v>
      </c>
      <c r="G16" s="3">
        <f t="shared" ca="1" si="1"/>
        <v>3.3757007634392065E-2</v>
      </c>
      <c r="H16" s="3">
        <f t="shared" ca="1" si="1"/>
        <v>3.9177751262589544E-2</v>
      </c>
      <c r="I16" s="3">
        <f t="shared" ca="1" si="1"/>
        <v>3.0695026276039067E-2</v>
      </c>
      <c r="J16" s="3">
        <f t="shared" ca="1" si="1"/>
        <v>3.700306888093291E-2</v>
      </c>
      <c r="K16" s="3">
        <f t="shared" ca="1" si="1"/>
        <v>4.4189954507029693E-2</v>
      </c>
      <c r="L16" s="3">
        <f t="shared" ca="1" si="1"/>
        <v>5.4715944277944642E-2</v>
      </c>
    </row>
    <row r="17" spans="3:12">
      <c r="C17" s="7">
        <v>11</v>
      </c>
      <c r="D17" s="3">
        <f t="shared" si="0"/>
        <v>4.5199999999999997E-2</v>
      </c>
      <c r="E17" s="3">
        <f t="shared" ref="E17:L26" ca="1" si="2">D17+E$5*dt+sigma*_xlfn.NORM.S.INV(RAND())*SQRT(dt)</f>
        <v>4.7699376824337281E-2</v>
      </c>
      <c r="F17" s="3">
        <f t="shared" ca="1" si="2"/>
        <v>4.9791682925550654E-2</v>
      </c>
      <c r="G17" s="3">
        <f t="shared" ca="1" si="2"/>
        <v>4.5995475830272227E-2</v>
      </c>
      <c r="H17" s="3">
        <f t="shared" ca="1" si="2"/>
        <v>4.4455697327275868E-2</v>
      </c>
      <c r="I17" s="3">
        <f t="shared" ca="1" si="2"/>
        <v>4.6636125004095218E-2</v>
      </c>
      <c r="J17" s="3">
        <f t="shared" ca="1" si="2"/>
        <v>5.6235697366448109E-2</v>
      </c>
      <c r="K17" s="3">
        <f t="shared" ca="1" si="2"/>
        <v>5.5317916373948547E-2</v>
      </c>
      <c r="L17" s="3">
        <f t="shared" ca="1" si="2"/>
        <v>5.7124263480659604E-2</v>
      </c>
    </row>
    <row r="18" spans="3:12">
      <c r="C18" s="7">
        <v>12</v>
      </c>
      <c r="D18" s="3">
        <f t="shared" si="0"/>
        <v>4.5199999999999997E-2</v>
      </c>
      <c r="E18" s="3">
        <f t="shared" ca="1" si="2"/>
        <v>5.9507607189260653E-2</v>
      </c>
      <c r="F18" s="3">
        <f t="shared" ca="1" si="2"/>
        <v>5.6498330050761707E-2</v>
      </c>
      <c r="G18" s="3">
        <f t="shared" ca="1" si="2"/>
        <v>6.3312498717176813E-2</v>
      </c>
      <c r="H18" s="3">
        <f t="shared" ca="1" si="2"/>
        <v>7.0677621572358379E-2</v>
      </c>
      <c r="I18" s="3">
        <f t="shared" ca="1" si="2"/>
        <v>7.1217150779596394E-2</v>
      </c>
      <c r="J18" s="3">
        <f t="shared" ca="1" si="2"/>
        <v>7.9039872033634398E-2</v>
      </c>
      <c r="K18" s="3">
        <f t="shared" ca="1" si="2"/>
        <v>8.5810897150262827E-2</v>
      </c>
      <c r="L18" s="3">
        <f t="shared" ca="1" si="2"/>
        <v>8.9323819839741359E-2</v>
      </c>
    </row>
    <row r="19" spans="3:12">
      <c r="C19" s="7">
        <v>13</v>
      </c>
      <c r="D19" s="3">
        <f t="shared" si="0"/>
        <v>4.5199999999999997E-2</v>
      </c>
      <c r="E19" s="3">
        <f t="shared" ca="1" si="2"/>
        <v>4.5506646065179401E-2</v>
      </c>
      <c r="F19" s="3">
        <f t="shared" ca="1" si="2"/>
        <v>5.3853794713015303E-2</v>
      </c>
      <c r="G19" s="3">
        <f t="shared" ca="1" si="2"/>
        <v>5.1276216114502657E-2</v>
      </c>
      <c r="H19" s="3">
        <f t="shared" ca="1" si="2"/>
        <v>5.5167187458287345E-2</v>
      </c>
      <c r="I19" s="3">
        <f t="shared" ca="1" si="2"/>
        <v>5.6942655927889926E-2</v>
      </c>
      <c r="J19" s="3">
        <f t="shared" ca="1" si="2"/>
        <v>5.8529882805751957E-2</v>
      </c>
      <c r="K19" s="3">
        <f t="shared" ca="1" si="2"/>
        <v>5.2290241313638443E-2</v>
      </c>
      <c r="L19" s="3">
        <f t="shared" ca="1" si="2"/>
        <v>5.3783612633419527E-2</v>
      </c>
    </row>
    <row r="20" spans="3:12">
      <c r="C20" s="7">
        <v>14</v>
      </c>
      <c r="D20" s="3">
        <f t="shared" si="0"/>
        <v>4.5199999999999997E-2</v>
      </c>
      <c r="E20" s="3">
        <f t="shared" ca="1" si="2"/>
        <v>4.4885914513962857E-2</v>
      </c>
      <c r="F20" s="3">
        <f t="shared" ca="1" si="2"/>
        <v>4.4345433131649167E-2</v>
      </c>
      <c r="G20" s="3">
        <f t="shared" ca="1" si="2"/>
        <v>4.5932929955727266E-2</v>
      </c>
      <c r="H20" s="3">
        <f t="shared" ca="1" si="2"/>
        <v>4.9341027823725236E-2</v>
      </c>
      <c r="I20" s="3">
        <f t="shared" ca="1" si="2"/>
        <v>4.2912147284060918E-2</v>
      </c>
      <c r="J20" s="3">
        <f t="shared" ca="1" si="2"/>
        <v>4.5290289709164412E-2</v>
      </c>
      <c r="K20" s="3">
        <f t="shared" ca="1" si="2"/>
        <v>5.073297367507703E-2</v>
      </c>
      <c r="L20" s="3">
        <f t="shared" ca="1" si="2"/>
        <v>5.3485993672054123E-2</v>
      </c>
    </row>
    <row r="21" spans="3:12">
      <c r="C21" s="7">
        <v>15</v>
      </c>
      <c r="D21" s="3">
        <f t="shared" si="0"/>
        <v>4.5199999999999997E-2</v>
      </c>
      <c r="E21" s="3">
        <f t="shared" ca="1" si="2"/>
        <v>5.4123224198792758E-2</v>
      </c>
      <c r="F21" s="3">
        <f t="shared" ca="1" si="2"/>
        <v>5.7071199456577466E-2</v>
      </c>
      <c r="G21" s="3">
        <f t="shared" ca="1" si="2"/>
        <v>6.1247029021879507E-2</v>
      </c>
      <c r="H21" s="3">
        <f t="shared" ca="1" si="2"/>
        <v>6.0968812611600143E-2</v>
      </c>
      <c r="I21" s="3">
        <f t="shared" ca="1" si="2"/>
        <v>5.7534903036782256E-2</v>
      </c>
      <c r="J21" s="3">
        <f t="shared" ca="1" si="2"/>
        <v>5.1617532561086907E-2</v>
      </c>
      <c r="K21" s="3">
        <f t="shared" ca="1" si="2"/>
        <v>4.7573368620502647E-2</v>
      </c>
      <c r="L21" s="3">
        <f t="shared" ca="1" si="2"/>
        <v>3.7388604337322502E-2</v>
      </c>
    </row>
    <row r="22" spans="3:12">
      <c r="C22" s="7">
        <v>16</v>
      </c>
      <c r="D22" s="3">
        <f t="shared" si="0"/>
        <v>4.5199999999999997E-2</v>
      </c>
      <c r="E22" s="3">
        <f t="shared" ca="1" si="2"/>
        <v>5.0572118487399682E-2</v>
      </c>
      <c r="F22" s="3">
        <f t="shared" ca="1" si="2"/>
        <v>5.1990847191771807E-2</v>
      </c>
      <c r="G22" s="3">
        <f t="shared" ca="1" si="2"/>
        <v>5.6394901486073956E-2</v>
      </c>
      <c r="H22" s="3">
        <f t="shared" ca="1" si="2"/>
        <v>4.4121094314561085E-2</v>
      </c>
      <c r="I22" s="3">
        <f t="shared" ca="1" si="2"/>
        <v>4.5195387347949673E-2</v>
      </c>
      <c r="J22" s="3">
        <f t="shared" ca="1" si="2"/>
        <v>4.4277265469435341E-2</v>
      </c>
      <c r="K22" s="3">
        <f t="shared" ca="1" si="2"/>
        <v>3.9971247866398059E-2</v>
      </c>
      <c r="L22" s="3">
        <f t="shared" ca="1" si="2"/>
        <v>4.1968084615080913E-2</v>
      </c>
    </row>
    <row r="23" spans="3:12">
      <c r="C23" s="7">
        <v>17</v>
      </c>
      <c r="D23" s="3">
        <f t="shared" si="0"/>
        <v>4.5199999999999997E-2</v>
      </c>
      <c r="E23" s="3">
        <f t="shared" ca="1" si="2"/>
        <v>5.2048798178895253E-2</v>
      </c>
      <c r="F23" s="3">
        <f t="shared" ca="1" si="2"/>
        <v>7.3560782738593733E-2</v>
      </c>
      <c r="G23" s="3">
        <f t="shared" ca="1" si="2"/>
        <v>7.9589239667814754E-2</v>
      </c>
      <c r="H23" s="3">
        <f t="shared" ca="1" si="2"/>
        <v>8.3373193558038683E-2</v>
      </c>
      <c r="I23" s="3">
        <f t="shared" ca="1" si="2"/>
        <v>7.936481643555017E-2</v>
      </c>
      <c r="J23" s="3">
        <f t="shared" ca="1" si="2"/>
        <v>8.419230359767968E-2</v>
      </c>
      <c r="K23" s="3">
        <f t="shared" ca="1" si="2"/>
        <v>7.9057290891430723E-2</v>
      </c>
      <c r="L23" s="3">
        <f t="shared" ca="1" si="2"/>
        <v>7.7574713803366321E-2</v>
      </c>
    </row>
    <row r="24" spans="3:12">
      <c r="C24" s="7">
        <v>18</v>
      </c>
      <c r="D24" s="3">
        <f t="shared" si="0"/>
        <v>4.5199999999999997E-2</v>
      </c>
      <c r="E24" s="3">
        <f t="shared" ca="1" si="2"/>
        <v>4.126960491733303E-2</v>
      </c>
      <c r="F24" s="3">
        <f t="shared" ca="1" si="2"/>
        <v>3.3309908894374629E-2</v>
      </c>
      <c r="G24" s="3">
        <f t="shared" ca="1" si="2"/>
        <v>3.4337005052654683E-2</v>
      </c>
      <c r="H24" s="3">
        <f t="shared" ca="1" si="2"/>
        <v>3.2376675875219814E-2</v>
      </c>
      <c r="I24" s="3">
        <f t="shared" ca="1" si="2"/>
        <v>3.6878485201506564E-2</v>
      </c>
      <c r="J24" s="3">
        <f t="shared" ca="1" si="2"/>
        <v>3.7508330682417261E-2</v>
      </c>
      <c r="K24" s="3">
        <f t="shared" ca="1" si="2"/>
        <v>3.968358071852212E-2</v>
      </c>
      <c r="L24" s="3">
        <f t="shared" ca="1" si="2"/>
        <v>3.9499453811060396E-2</v>
      </c>
    </row>
    <row r="25" spans="3:12">
      <c r="C25" s="7">
        <v>19</v>
      </c>
      <c r="D25" s="3">
        <f t="shared" si="0"/>
        <v>4.5199999999999997E-2</v>
      </c>
      <c r="E25" s="3">
        <f t="shared" ca="1" si="2"/>
        <v>4.2649555420882626E-2</v>
      </c>
      <c r="F25" s="3">
        <f t="shared" ca="1" si="2"/>
        <v>4.4726167308699466E-2</v>
      </c>
      <c r="G25" s="3">
        <f t="shared" ca="1" si="2"/>
        <v>4.9107922439518129E-2</v>
      </c>
      <c r="H25" s="3">
        <f t="shared" ca="1" si="2"/>
        <v>4.240567092697712E-2</v>
      </c>
      <c r="I25" s="3">
        <f t="shared" ca="1" si="2"/>
        <v>4.6886415854398532E-2</v>
      </c>
      <c r="J25" s="3">
        <f t="shared" ca="1" si="2"/>
        <v>4.4737251457449834E-2</v>
      </c>
      <c r="K25" s="3">
        <f t="shared" ca="1" si="2"/>
        <v>4.7560450394688411E-2</v>
      </c>
      <c r="L25" s="3">
        <f t="shared" ca="1" si="2"/>
        <v>5.035702945421365E-2</v>
      </c>
    </row>
    <row r="26" spans="3:12">
      <c r="C26" s="7">
        <v>20</v>
      </c>
      <c r="D26" s="3">
        <f t="shared" si="0"/>
        <v>4.5199999999999997E-2</v>
      </c>
      <c r="E26" s="3">
        <f t="shared" ca="1" si="2"/>
        <v>4.7998855283693791E-2</v>
      </c>
      <c r="F26" s="3">
        <f t="shared" ca="1" si="2"/>
        <v>5.4292337612553379E-2</v>
      </c>
      <c r="G26" s="3">
        <f t="shared" ca="1" si="2"/>
        <v>5.122374864261646E-2</v>
      </c>
      <c r="H26" s="3">
        <f t="shared" ca="1" si="2"/>
        <v>4.0369451458482294E-2</v>
      </c>
      <c r="I26" s="3">
        <f t="shared" ca="1" si="2"/>
        <v>4.0027367745048004E-2</v>
      </c>
      <c r="J26" s="3">
        <f t="shared" ca="1" si="2"/>
        <v>3.6829191087655977E-2</v>
      </c>
      <c r="K26" s="3">
        <f t="shared" ca="1" si="2"/>
        <v>3.0410630979244718E-2</v>
      </c>
      <c r="L26" s="3">
        <f t="shared" ca="1" si="2"/>
        <v>2.6671842271643601E-2</v>
      </c>
    </row>
    <row r="27" spans="3:12">
      <c r="C27" s="7">
        <v>21</v>
      </c>
      <c r="D27" s="3">
        <f t="shared" si="0"/>
        <v>4.5199999999999997E-2</v>
      </c>
      <c r="E27" s="3">
        <f t="shared" ref="E27:L36" ca="1" si="3">D27+E$5*dt+sigma*_xlfn.NORM.S.INV(RAND())*SQRT(dt)</f>
        <v>4.010003535305022E-2</v>
      </c>
      <c r="F27" s="3">
        <f t="shared" ca="1" si="3"/>
        <v>4.4072630871600779E-2</v>
      </c>
      <c r="G27" s="3">
        <f t="shared" ca="1" si="3"/>
        <v>3.100149300729467E-2</v>
      </c>
      <c r="H27" s="3">
        <f t="shared" ca="1" si="3"/>
        <v>3.9546220050830742E-2</v>
      </c>
      <c r="I27" s="3">
        <f t="shared" ca="1" si="3"/>
        <v>3.3816535464698892E-2</v>
      </c>
      <c r="J27" s="3">
        <f t="shared" ca="1" si="3"/>
        <v>3.3771232934341464E-2</v>
      </c>
      <c r="K27" s="3">
        <f t="shared" ca="1" si="3"/>
        <v>3.4462403726900293E-2</v>
      </c>
      <c r="L27" s="3">
        <f t="shared" ca="1" si="3"/>
        <v>3.6347657765556117E-2</v>
      </c>
    </row>
    <row r="28" spans="3:12">
      <c r="C28" s="7">
        <v>22</v>
      </c>
      <c r="D28" s="3">
        <f t="shared" si="0"/>
        <v>4.5199999999999997E-2</v>
      </c>
      <c r="E28" s="3">
        <f t="shared" ca="1" si="3"/>
        <v>4.2245531081756334E-2</v>
      </c>
      <c r="F28" s="3">
        <f t="shared" ca="1" si="3"/>
        <v>4.8291172582155435E-2</v>
      </c>
      <c r="G28" s="3">
        <f t="shared" ca="1" si="3"/>
        <v>4.9744593704095189E-2</v>
      </c>
      <c r="H28" s="3">
        <f t="shared" ca="1" si="3"/>
        <v>5.0068112077102482E-2</v>
      </c>
      <c r="I28" s="3">
        <f t="shared" ca="1" si="3"/>
        <v>4.3558297038759887E-2</v>
      </c>
      <c r="J28" s="3">
        <f t="shared" ca="1" si="3"/>
        <v>4.7540818088350069E-2</v>
      </c>
      <c r="K28" s="3">
        <f t="shared" ca="1" si="3"/>
        <v>4.3352105131145027E-2</v>
      </c>
      <c r="L28" s="3">
        <f t="shared" ca="1" si="3"/>
        <v>4.2656463448235558E-2</v>
      </c>
    </row>
    <row r="29" spans="3:12">
      <c r="C29" s="7">
        <v>23</v>
      </c>
      <c r="D29" s="3">
        <f t="shared" si="0"/>
        <v>4.5199999999999997E-2</v>
      </c>
      <c r="E29" s="3">
        <f t="shared" ca="1" si="3"/>
        <v>4.9557947433923756E-2</v>
      </c>
      <c r="F29" s="3">
        <f t="shared" ca="1" si="3"/>
        <v>4.9868233976939236E-2</v>
      </c>
      <c r="G29" s="3">
        <f t="shared" ca="1" si="3"/>
        <v>5.0818258592406594E-2</v>
      </c>
      <c r="H29" s="3">
        <f t="shared" ca="1" si="3"/>
        <v>5.5535219844427192E-2</v>
      </c>
      <c r="I29" s="3">
        <f t="shared" ca="1" si="3"/>
        <v>5.9096983681463933E-2</v>
      </c>
      <c r="J29" s="3">
        <f t="shared" ca="1" si="3"/>
        <v>6.4086957274801043E-2</v>
      </c>
      <c r="K29" s="3">
        <f t="shared" ca="1" si="3"/>
        <v>6.4755780947241451E-2</v>
      </c>
      <c r="L29" s="3">
        <f t="shared" ca="1" si="3"/>
        <v>6.7716015799138024E-2</v>
      </c>
    </row>
    <row r="30" spans="3:12">
      <c r="C30" s="7">
        <v>24</v>
      </c>
      <c r="D30" s="3">
        <f t="shared" si="0"/>
        <v>4.5199999999999997E-2</v>
      </c>
      <c r="E30" s="3">
        <f t="shared" ca="1" si="3"/>
        <v>5.0998057327050629E-2</v>
      </c>
      <c r="F30" s="3">
        <f t="shared" ca="1" si="3"/>
        <v>5.240215474609939E-2</v>
      </c>
      <c r="G30" s="3">
        <f t="shared" ca="1" si="3"/>
        <v>5.3543484473298687E-2</v>
      </c>
      <c r="H30" s="3">
        <f t="shared" ca="1" si="3"/>
        <v>6.4049087744740996E-2</v>
      </c>
      <c r="I30" s="3">
        <f t="shared" ca="1" si="3"/>
        <v>6.7202093157695805E-2</v>
      </c>
      <c r="J30" s="3">
        <f t="shared" ca="1" si="3"/>
        <v>6.6451134737876949E-2</v>
      </c>
      <c r="K30" s="3">
        <f t="shared" ca="1" si="3"/>
        <v>6.9341228340368405E-2</v>
      </c>
      <c r="L30" s="3">
        <f t="shared" ca="1" si="3"/>
        <v>7.1966386404822349E-2</v>
      </c>
    </row>
    <row r="31" spans="3:12">
      <c r="C31" s="7">
        <v>25</v>
      </c>
      <c r="D31" s="3">
        <f t="shared" si="0"/>
        <v>4.5199999999999997E-2</v>
      </c>
      <c r="E31" s="3">
        <f t="shared" ca="1" si="3"/>
        <v>3.8032478919076074E-2</v>
      </c>
      <c r="F31" s="3">
        <f t="shared" ca="1" si="3"/>
        <v>4.7222695944767537E-2</v>
      </c>
      <c r="G31" s="3">
        <f t="shared" ca="1" si="3"/>
        <v>4.82931295382521E-2</v>
      </c>
      <c r="H31" s="3">
        <f t="shared" ca="1" si="3"/>
        <v>4.8534205101204646E-2</v>
      </c>
      <c r="I31" s="3">
        <f t="shared" ca="1" si="3"/>
        <v>4.9413185799279467E-2</v>
      </c>
      <c r="J31" s="3">
        <f t="shared" ca="1" si="3"/>
        <v>5.3110921799346261E-2</v>
      </c>
      <c r="K31" s="3">
        <f t="shared" ca="1" si="3"/>
        <v>6.094374512416325E-2</v>
      </c>
      <c r="L31" s="3">
        <f t="shared" ca="1" si="3"/>
        <v>5.4585295621436096E-2</v>
      </c>
    </row>
    <row r="32" spans="3:12">
      <c r="C32" s="7">
        <v>26</v>
      </c>
      <c r="D32" s="3">
        <f t="shared" si="0"/>
        <v>4.5199999999999997E-2</v>
      </c>
      <c r="E32" s="3">
        <f t="shared" ca="1" si="3"/>
        <v>5.4910272617318651E-2</v>
      </c>
      <c r="F32" s="3">
        <f t="shared" ca="1" si="3"/>
        <v>5.8908529934448145E-2</v>
      </c>
      <c r="G32" s="3">
        <f t="shared" ca="1" si="3"/>
        <v>6.6753927771360175E-2</v>
      </c>
      <c r="H32" s="3">
        <f t="shared" ca="1" si="3"/>
        <v>6.1291728794961746E-2</v>
      </c>
      <c r="I32" s="3">
        <f t="shared" ca="1" si="3"/>
        <v>6.2119088936490673E-2</v>
      </c>
      <c r="J32" s="3">
        <f t="shared" ca="1" si="3"/>
        <v>6.1208287553584872E-2</v>
      </c>
      <c r="K32" s="3">
        <f t="shared" ca="1" si="3"/>
        <v>6.3594711977484078E-2</v>
      </c>
      <c r="L32" s="3">
        <f t="shared" ca="1" si="3"/>
        <v>6.8148253269779732E-2</v>
      </c>
    </row>
    <row r="33" spans="3:12">
      <c r="C33" s="7">
        <v>27</v>
      </c>
      <c r="D33" s="3">
        <f t="shared" si="0"/>
        <v>4.5199999999999997E-2</v>
      </c>
      <c r="E33" s="3">
        <f t="shared" ca="1" si="3"/>
        <v>4.466324594265781E-2</v>
      </c>
      <c r="F33" s="3">
        <f t="shared" ca="1" si="3"/>
        <v>4.2898532872570221E-2</v>
      </c>
      <c r="G33" s="3">
        <f t="shared" ca="1" si="3"/>
        <v>4.5408809778647162E-2</v>
      </c>
      <c r="H33" s="3">
        <f t="shared" ca="1" si="3"/>
        <v>4.4573888660981505E-2</v>
      </c>
      <c r="I33" s="3">
        <f t="shared" ca="1" si="3"/>
        <v>4.4270720866378267E-2</v>
      </c>
      <c r="J33" s="3">
        <f t="shared" ca="1" si="3"/>
        <v>4.7542905858585206E-2</v>
      </c>
      <c r="K33" s="3">
        <f t="shared" ca="1" si="3"/>
        <v>5.1011983451707175E-2</v>
      </c>
      <c r="L33" s="3">
        <f t="shared" ca="1" si="3"/>
        <v>5.9959576072185605E-2</v>
      </c>
    </row>
    <row r="34" spans="3:12">
      <c r="C34" s="7">
        <v>28</v>
      </c>
      <c r="D34" s="3">
        <f t="shared" si="0"/>
        <v>4.5199999999999997E-2</v>
      </c>
      <c r="E34" s="3">
        <f t="shared" ca="1" si="3"/>
        <v>4.9891618949624489E-2</v>
      </c>
      <c r="F34" s="3">
        <f t="shared" ca="1" si="3"/>
        <v>5.0333255938620265E-2</v>
      </c>
      <c r="G34" s="3">
        <f t="shared" ca="1" si="3"/>
        <v>4.3296922354511019E-2</v>
      </c>
      <c r="H34" s="3">
        <f t="shared" ca="1" si="3"/>
        <v>4.7845202962337269E-2</v>
      </c>
      <c r="I34" s="3">
        <f t="shared" ca="1" si="3"/>
        <v>5.3286349903854495E-2</v>
      </c>
      <c r="J34" s="3">
        <f t="shared" ca="1" si="3"/>
        <v>5.5599936980502897E-2</v>
      </c>
      <c r="K34" s="3">
        <f t="shared" ca="1" si="3"/>
        <v>6.6037884006067915E-2</v>
      </c>
      <c r="L34" s="3">
        <f t="shared" ca="1" si="3"/>
        <v>7.0299814394114868E-2</v>
      </c>
    </row>
    <row r="35" spans="3:12">
      <c r="C35" s="7">
        <v>29</v>
      </c>
      <c r="D35" s="3">
        <f t="shared" si="0"/>
        <v>4.5199999999999997E-2</v>
      </c>
      <c r="E35" s="3">
        <f t="shared" ca="1" si="3"/>
        <v>4.448874360097E-2</v>
      </c>
      <c r="F35" s="3">
        <f t="shared" ca="1" si="3"/>
        <v>4.7166629940685455E-2</v>
      </c>
      <c r="G35" s="3">
        <f t="shared" ca="1" si="3"/>
        <v>4.3512691500198743E-2</v>
      </c>
      <c r="H35" s="3">
        <f t="shared" ca="1" si="3"/>
        <v>3.8522389361630709E-2</v>
      </c>
      <c r="I35" s="3">
        <f t="shared" ca="1" si="3"/>
        <v>2.937542122363377E-2</v>
      </c>
      <c r="J35" s="3">
        <f t="shared" ca="1" si="3"/>
        <v>3.3367159316018059E-2</v>
      </c>
      <c r="K35" s="3">
        <f t="shared" ca="1" si="3"/>
        <v>3.2136646797126654E-2</v>
      </c>
      <c r="L35" s="3">
        <f t="shared" ca="1" si="3"/>
        <v>3.8800999777321148E-2</v>
      </c>
    </row>
    <row r="36" spans="3:12">
      <c r="C36" s="7">
        <v>30</v>
      </c>
      <c r="D36" s="3">
        <f t="shared" si="0"/>
        <v>4.5199999999999997E-2</v>
      </c>
      <c r="E36" s="3">
        <f t="shared" ca="1" si="3"/>
        <v>4.9387409178095677E-2</v>
      </c>
      <c r="F36" s="3">
        <f t="shared" ca="1" si="3"/>
        <v>5.0530690677187337E-2</v>
      </c>
      <c r="G36" s="3">
        <f t="shared" ca="1" si="3"/>
        <v>4.9990653887039618E-2</v>
      </c>
      <c r="H36" s="3">
        <f t="shared" ca="1" si="3"/>
        <v>5.4698174622588511E-2</v>
      </c>
      <c r="I36" s="3">
        <f t="shared" ca="1" si="3"/>
        <v>5.9783445871964658E-2</v>
      </c>
      <c r="J36" s="3">
        <f t="shared" ca="1" si="3"/>
        <v>5.6932567522351055E-2</v>
      </c>
      <c r="K36" s="3">
        <f t="shared" ca="1" si="3"/>
        <v>5.0827699562414702E-2</v>
      </c>
      <c r="L36" s="3">
        <f t="shared" ca="1" si="3"/>
        <v>5.1337038138761414E-2</v>
      </c>
    </row>
    <row r="37" spans="3:12">
      <c r="C37" s="7">
        <v>31</v>
      </c>
      <c r="D37" s="3">
        <f t="shared" si="0"/>
        <v>4.5199999999999997E-2</v>
      </c>
      <c r="E37" s="3">
        <f t="shared" ref="E37:L46" ca="1" si="4">D37+E$5*dt+sigma*_xlfn.NORM.S.INV(RAND())*SQRT(dt)</f>
        <v>4.1079903933465924E-2</v>
      </c>
      <c r="F37" s="3">
        <f t="shared" ca="1" si="4"/>
        <v>4.4302731588059516E-2</v>
      </c>
      <c r="G37" s="3">
        <f t="shared" ca="1" si="4"/>
        <v>5.506241204634614E-2</v>
      </c>
      <c r="H37" s="3">
        <f t="shared" ca="1" si="4"/>
        <v>5.8862543572343953E-2</v>
      </c>
      <c r="I37" s="3">
        <f t="shared" ca="1" si="4"/>
        <v>6.612484604301215E-2</v>
      </c>
      <c r="J37" s="3">
        <f t="shared" ca="1" si="4"/>
        <v>7.1132333675583428E-2</v>
      </c>
      <c r="K37" s="3">
        <f t="shared" ca="1" si="4"/>
        <v>7.0751679164750711E-2</v>
      </c>
      <c r="L37" s="3">
        <f t="shared" ca="1" si="4"/>
        <v>7.9287710504377176E-2</v>
      </c>
    </row>
    <row r="38" spans="3:12">
      <c r="C38" s="7">
        <v>32</v>
      </c>
      <c r="D38" s="3">
        <f t="shared" si="0"/>
        <v>4.5199999999999997E-2</v>
      </c>
      <c r="E38" s="3">
        <f t="shared" ca="1" si="4"/>
        <v>4.9463363534823099E-2</v>
      </c>
      <c r="F38" s="3">
        <f t="shared" ca="1" si="4"/>
        <v>5.0856681168561173E-2</v>
      </c>
      <c r="G38" s="3">
        <f t="shared" ca="1" si="4"/>
        <v>5.1901422234079064E-2</v>
      </c>
      <c r="H38" s="3">
        <f t="shared" ca="1" si="4"/>
        <v>4.9326759484645925E-2</v>
      </c>
      <c r="I38" s="3">
        <f t="shared" ca="1" si="4"/>
        <v>4.9989553398600582E-2</v>
      </c>
      <c r="J38" s="3">
        <f t="shared" ca="1" si="4"/>
        <v>4.8442593636175674E-2</v>
      </c>
      <c r="K38" s="3">
        <f t="shared" ca="1" si="4"/>
        <v>3.1940973636724407E-2</v>
      </c>
      <c r="L38" s="3">
        <f t="shared" ca="1" si="4"/>
        <v>4.327200159043295E-2</v>
      </c>
    </row>
    <row r="39" spans="3:12">
      <c r="C39" s="7">
        <v>33</v>
      </c>
      <c r="D39" s="3">
        <f t="shared" si="0"/>
        <v>4.5199999999999997E-2</v>
      </c>
      <c r="E39" s="3">
        <f t="shared" ca="1" si="4"/>
        <v>4.3962239893286723E-2</v>
      </c>
      <c r="F39" s="3">
        <f t="shared" ca="1" si="4"/>
        <v>4.0912920136095349E-2</v>
      </c>
      <c r="G39" s="3">
        <f t="shared" ca="1" si="4"/>
        <v>4.3977880035148853E-2</v>
      </c>
      <c r="H39" s="3">
        <f t="shared" ca="1" si="4"/>
        <v>4.4031262374634839E-2</v>
      </c>
      <c r="I39" s="3">
        <f t="shared" ca="1" si="4"/>
        <v>4.6801656086936066E-2</v>
      </c>
      <c r="J39" s="3">
        <f t="shared" ca="1" si="4"/>
        <v>4.9343384829275388E-2</v>
      </c>
      <c r="K39" s="3">
        <f t="shared" ca="1" si="4"/>
        <v>5.2997314799055964E-2</v>
      </c>
      <c r="L39" s="3">
        <f t="shared" ca="1" si="4"/>
        <v>5.8900842130919479E-2</v>
      </c>
    </row>
    <row r="40" spans="3:12">
      <c r="C40" s="7">
        <v>34</v>
      </c>
      <c r="D40" s="3">
        <f t="shared" si="0"/>
        <v>4.5199999999999997E-2</v>
      </c>
      <c r="E40" s="3">
        <f t="shared" ca="1" si="4"/>
        <v>4.311190726355188E-2</v>
      </c>
      <c r="F40" s="3">
        <f t="shared" ca="1" si="4"/>
        <v>3.4879459479018847E-2</v>
      </c>
      <c r="G40" s="3">
        <f t="shared" ca="1" si="4"/>
        <v>3.6033827434801463E-2</v>
      </c>
      <c r="H40" s="3">
        <f t="shared" ca="1" si="4"/>
        <v>4.1766968692670707E-2</v>
      </c>
      <c r="I40" s="3">
        <f t="shared" ca="1" si="4"/>
        <v>4.1931561338350076E-2</v>
      </c>
      <c r="J40" s="3">
        <f t="shared" ca="1" si="4"/>
        <v>3.9843498182088453E-2</v>
      </c>
      <c r="K40" s="3">
        <f t="shared" ca="1" si="4"/>
        <v>4.1803251116104674E-2</v>
      </c>
      <c r="L40" s="3">
        <f t="shared" ca="1" si="4"/>
        <v>4.0443881060712179E-2</v>
      </c>
    </row>
    <row r="41" spans="3:12">
      <c r="C41" s="7">
        <v>35</v>
      </c>
      <c r="D41" s="3">
        <f t="shared" si="0"/>
        <v>4.5199999999999997E-2</v>
      </c>
      <c r="E41" s="3">
        <f t="shared" ca="1" si="4"/>
        <v>4.9469795597966257E-2</v>
      </c>
      <c r="F41" s="3">
        <f t="shared" ca="1" si="4"/>
        <v>5.4044248266662112E-2</v>
      </c>
      <c r="G41" s="3">
        <f t="shared" ca="1" si="4"/>
        <v>5.8439057626616261E-2</v>
      </c>
      <c r="H41" s="3">
        <f t="shared" ca="1" si="4"/>
        <v>5.942346284959231E-2</v>
      </c>
      <c r="I41" s="3">
        <f t="shared" ca="1" si="4"/>
        <v>6.1543353261013657E-2</v>
      </c>
      <c r="J41" s="3">
        <f t="shared" ca="1" si="4"/>
        <v>5.5484853611523909E-2</v>
      </c>
      <c r="K41" s="3">
        <f t="shared" ca="1" si="4"/>
        <v>5.7043088005351406E-2</v>
      </c>
      <c r="L41" s="3">
        <f t="shared" ca="1" si="4"/>
        <v>6.1086190353678807E-2</v>
      </c>
    </row>
    <row r="42" spans="3:12">
      <c r="C42" s="7">
        <v>36</v>
      </c>
      <c r="D42" s="3">
        <f t="shared" si="0"/>
        <v>4.5199999999999997E-2</v>
      </c>
      <c r="E42" s="3">
        <f t="shared" ca="1" si="4"/>
        <v>5.0390227687286279E-2</v>
      </c>
      <c r="F42" s="3">
        <f t="shared" ca="1" si="4"/>
        <v>5.9739220839273813E-2</v>
      </c>
      <c r="G42" s="3">
        <f t="shared" ca="1" si="4"/>
        <v>5.2283741495640426E-2</v>
      </c>
      <c r="H42" s="3">
        <f t="shared" ca="1" si="4"/>
        <v>4.8272759637440647E-2</v>
      </c>
      <c r="I42" s="3">
        <f t="shared" ca="1" si="4"/>
        <v>4.4930272063235445E-2</v>
      </c>
      <c r="J42" s="3">
        <f t="shared" ca="1" si="4"/>
        <v>3.8245082031126677E-2</v>
      </c>
      <c r="K42" s="3">
        <f t="shared" ca="1" si="4"/>
        <v>3.868453021031177E-2</v>
      </c>
      <c r="L42" s="3">
        <f t="shared" ca="1" si="4"/>
        <v>3.2186660441207077E-2</v>
      </c>
    </row>
    <row r="43" spans="3:12">
      <c r="C43" s="7">
        <v>37</v>
      </c>
      <c r="D43" s="3">
        <f t="shared" si="0"/>
        <v>4.5199999999999997E-2</v>
      </c>
      <c r="E43" s="3">
        <f t="shared" ca="1" si="4"/>
        <v>4.7899666099639193E-2</v>
      </c>
      <c r="F43" s="3">
        <f t="shared" ca="1" si="4"/>
        <v>5.6632369895868395E-2</v>
      </c>
      <c r="G43" s="3">
        <f t="shared" ca="1" si="4"/>
        <v>6.9867091452113464E-2</v>
      </c>
      <c r="H43" s="3">
        <f t="shared" ca="1" si="4"/>
        <v>7.3360168718088314E-2</v>
      </c>
      <c r="I43" s="3">
        <f t="shared" ca="1" si="4"/>
        <v>7.0660538747559468E-2</v>
      </c>
      <c r="J43" s="3">
        <f t="shared" ca="1" si="4"/>
        <v>7.4809132165323797E-2</v>
      </c>
      <c r="K43" s="3">
        <f t="shared" ca="1" si="4"/>
        <v>6.8838698031288878E-2</v>
      </c>
      <c r="L43" s="3">
        <f t="shared" ca="1" si="4"/>
        <v>6.9435417517083903E-2</v>
      </c>
    </row>
    <row r="44" spans="3:12">
      <c r="C44" s="7">
        <v>38</v>
      </c>
      <c r="D44" s="3">
        <f t="shared" si="0"/>
        <v>4.5199999999999997E-2</v>
      </c>
      <c r="E44" s="3">
        <f t="shared" ca="1" si="4"/>
        <v>3.7779009418722649E-2</v>
      </c>
      <c r="F44" s="3">
        <f t="shared" ca="1" si="4"/>
        <v>4.8185685996575502E-2</v>
      </c>
      <c r="G44" s="3">
        <f t="shared" ca="1" si="4"/>
        <v>4.2397564855000042E-2</v>
      </c>
      <c r="H44" s="3">
        <f t="shared" ca="1" si="4"/>
        <v>4.8942071257543858E-2</v>
      </c>
      <c r="I44" s="3">
        <f t="shared" ca="1" si="4"/>
        <v>4.88866882537492E-2</v>
      </c>
      <c r="J44" s="3">
        <f t="shared" ca="1" si="4"/>
        <v>4.6879568921185034E-2</v>
      </c>
      <c r="K44" s="3">
        <f t="shared" ca="1" si="4"/>
        <v>4.0168017460666679E-2</v>
      </c>
      <c r="L44" s="3">
        <f t="shared" ca="1" si="4"/>
        <v>4.5935610936022414E-2</v>
      </c>
    </row>
    <row r="45" spans="3:12">
      <c r="C45" s="7">
        <v>39</v>
      </c>
      <c r="D45" s="3">
        <f t="shared" si="0"/>
        <v>4.5199999999999997E-2</v>
      </c>
      <c r="E45" s="3">
        <f t="shared" ca="1" si="4"/>
        <v>5.1046873560553707E-2</v>
      </c>
      <c r="F45" s="3">
        <f t="shared" ca="1" si="4"/>
        <v>5.377681675350203E-2</v>
      </c>
      <c r="G45" s="3">
        <f t="shared" ca="1" si="4"/>
        <v>5.3321455601241165E-2</v>
      </c>
      <c r="H45" s="3">
        <f t="shared" ca="1" si="4"/>
        <v>5.196847518717887E-2</v>
      </c>
      <c r="I45" s="3">
        <f t="shared" ca="1" si="4"/>
        <v>5.3393697283575695E-2</v>
      </c>
      <c r="J45" s="3">
        <f t="shared" ca="1" si="4"/>
        <v>5.6992898419462326E-2</v>
      </c>
      <c r="K45" s="3">
        <f t="shared" ca="1" si="4"/>
        <v>5.5411267323536399E-2</v>
      </c>
      <c r="L45" s="3">
        <f t="shared" ca="1" si="4"/>
        <v>5.4889001674358409E-2</v>
      </c>
    </row>
    <row r="46" spans="3:12">
      <c r="C46" s="7">
        <v>40</v>
      </c>
      <c r="D46" s="3">
        <f t="shared" si="0"/>
        <v>4.5199999999999997E-2</v>
      </c>
      <c r="E46" s="3">
        <f t="shared" ca="1" si="4"/>
        <v>4.5507029155000892E-2</v>
      </c>
      <c r="F46" s="3">
        <f t="shared" ca="1" si="4"/>
        <v>4.8055574456390485E-2</v>
      </c>
      <c r="G46" s="3">
        <f t="shared" ca="1" si="4"/>
        <v>4.4594153982342691E-2</v>
      </c>
      <c r="H46" s="3">
        <f t="shared" ca="1" si="4"/>
        <v>5.5877743577521843E-2</v>
      </c>
      <c r="I46" s="3">
        <f t="shared" ca="1" si="4"/>
        <v>5.7587015296361017E-2</v>
      </c>
      <c r="J46" s="3">
        <f t="shared" ca="1" si="4"/>
        <v>5.543543453741627E-2</v>
      </c>
      <c r="K46" s="3">
        <f t="shared" ca="1" si="4"/>
        <v>5.5161701175068974E-2</v>
      </c>
      <c r="L46" s="3">
        <f t="shared" ca="1" si="4"/>
        <v>5.0702534098248549E-2</v>
      </c>
    </row>
    <row r="47" spans="3:12">
      <c r="C47" s="7">
        <v>41</v>
      </c>
      <c r="D47" s="3">
        <f t="shared" si="0"/>
        <v>4.5199999999999997E-2</v>
      </c>
      <c r="E47" s="3">
        <f t="shared" ref="E47:L56" ca="1" si="5">D47+E$5*dt+sigma*_xlfn.NORM.S.INV(RAND())*SQRT(dt)</f>
        <v>4.5377635599167077E-2</v>
      </c>
      <c r="F47" s="3">
        <f t="shared" ca="1" si="5"/>
        <v>4.853818917684824E-2</v>
      </c>
      <c r="G47" s="3">
        <f t="shared" ca="1" si="5"/>
        <v>4.851639540977206E-2</v>
      </c>
      <c r="H47" s="3">
        <f t="shared" ca="1" si="5"/>
        <v>5.0518327950547399E-2</v>
      </c>
      <c r="I47" s="3">
        <f t="shared" ca="1" si="5"/>
        <v>5.6961293452638707E-2</v>
      </c>
      <c r="J47" s="3">
        <f t="shared" ca="1" si="5"/>
        <v>4.7775957797579621E-2</v>
      </c>
      <c r="K47" s="3">
        <f t="shared" ca="1" si="5"/>
        <v>5.4051011341453972E-2</v>
      </c>
      <c r="L47" s="3">
        <f t="shared" ca="1" si="5"/>
        <v>6.3257249051959119E-2</v>
      </c>
    </row>
    <row r="48" spans="3:12">
      <c r="C48" s="7">
        <v>42</v>
      </c>
      <c r="D48" s="3">
        <f t="shared" si="0"/>
        <v>4.5199999999999997E-2</v>
      </c>
      <c r="E48" s="3">
        <f t="shared" ca="1" si="5"/>
        <v>4.5266512148911899E-2</v>
      </c>
      <c r="F48" s="3">
        <f t="shared" ca="1" si="5"/>
        <v>4.3207251204128189E-2</v>
      </c>
      <c r="G48" s="3">
        <f t="shared" ca="1" si="5"/>
        <v>4.5649021469027974E-2</v>
      </c>
      <c r="H48" s="3">
        <f t="shared" ca="1" si="5"/>
        <v>4.0870047812804275E-2</v>
      </c>
      <c r="I48" s="3">
        <f t="shared" ca="1" si="5"/>
        <v>4.6502919812018581E-2</v>
      </c>
      <c r="J48" s="3">
        <f t="shared" ca="1" si="5"/>
        <v>4.9154512485790877E-2</v>
      </c>
      <c r="K48" s="3">
        <f t="shared" ca="1" si="5"/>
        <v>5.0953865912481217E-2</v>
      </c>
      <c r="L48" s="3">
        <f t="shared" ca="1" si="5"/>
        <v>5.1184516080411017E-2</v>
      </c>
    </row>
    <row r="49" spans="3:12">
      <c r="C49" s="7">
        <v>43</v>
      </c>
      <c r="D49" s="3">
        <f t="shared" si="0"/>
        <v>4.5199999999999997E-2</v>
      </c>
      <c r="E49" s="3">
        <f t="shared" ca="1" si="5"/>
        <v>4.8171458797489929E-2</v>
      </c>
      <c r="F49" s="3">
        <f t="shared" ca="1" si="5"/>
        <v>4.0453105228004084E-2</v>
      </c>
      <c r="G49" s="3">
        <f t="shared" ca="1" si="5"/>
        <v>4.0874603005428715E-2</v>
      </c>
      <c r="H49" s="3">
        <f t="shared" ca="1" si="5"/>
        <v>4.7374046458817466E-2</v>
      </c>
      <c r="I49" s="3">
        <f t="shared" ca="1" si="5"/>
        <v>5.0353603934570251E-2</v>
      </c>
      <c r="J49" s="3">
        <f t="shared" ca="1" si="5"/>
        <v>5.4190765702358569E-2</v>
      </c>
      <c r="K49" s="3">
        <f t="shared" ca="1" si="5"/>
        <v>6.0025587418021567E-2</v>
      </c>
      <c r="L49" s="3">
        <f t="shared" ca="1" si="5"/>
        <v>5.5479800288037874E-2</v>
      </c>
    </row>
    <row r="50" spans="3:12">
      <c r="C50" s="7">
        <v>44</v>
      </c>
      <c r="D50" s="3">
        <f t="shared" si="0"/>
        <v>4.5199999999999997E-2</v>
      </c>
      <c r="E50" s="3">
        <f t="shared" ca="1" si="5"/>
        <v>4.8757926264813234E-2</v>
      </c>
      <c r="F50" s="3">
        <f t="shared" ca="1" si="5"/>
        <v>4.6354898456960045E-2</v>
      </c>
      <c r="G50" s="3">
        <f t="shared" ca="1" si="5"/>
        <v>3.9436696132857267E-2</v>
      </c>
      <c r="H50" s="3">
        <f t="shared" ca="1" si="5"/>
        <v>3.8538767633319815E-2</v>
      </c>
      <c r="I50" s="3">
        <f t="shared" ca="1" si="5"/>
        <v>3.2820542430635313E-2</v>
      </c>
      <c r="J50" s="3">
        <f t="shared" ca="1" si="5"/>
        <v>4.0205281387173816E-2</v>
      </c>
      <c r="K50" s="3">
        <f t="shared" ca="1" si="5"/>
        <v>4.285084680611214E-2</v>
      </c>
      <c r="L50" s="3">
        <f t="shared" ca="1" si="5"/>
        <v>4.2488462028125847E-2</v>
      </c>
    </row>
    <row r="51" spans="3:12">
      <c r="C51" s="7">
        <v>45</v>
      </c>
      <c r="D51" s="3">
        <f t="shared" si="0"/>
        <v>4.5199999999999997E-2</v>
      </c>
      <c r="E51" s="3">
        <f t="shared" ca="1" si="5"/>
        <v>5.0557626077119056E-2</v>
      </c>
      <c r="F51" s="3">
        <f t="shared" ca="1" si="5"/>
        <v>4.6016921662041112E-2</v>
      </c>
      <c r="G51" s="3">
        <f t="shared" ca="1" si="5"/>
        <v>4.6404981019252507E-2</v>
      </c>
      <c r="H51" s="3">
        <f t="shared" ca="1" si="5"/>
        <v>5.1472099499125387E-2</v>
      </c>
      <c r="I51" s="3">
        <f t="shared" ca="1" si="5"/>
        <v>5.4237743188838373E-2</v>
      </c>
      <c r="J51" s="3">
        <f t="shared" ca="1" si="5"/>
        <v>5.9456497160709346E-2</v>
      </c>
      <c r="K51" s="3">
        <f t="shared" ca="1" si="5"/>
        <v>6.1144466431369227E-2</v>
      </c>
      <c r="L51" s="3">
        <f t="shared" ca="1" si="5"/>
        <v>5.633094174234738E-2</v>
      </c>
    </row>
    <row r="52" spans="3:12">
      <c r="C52" s="7">
        <v>46</v>
      </c>
      <c r="D52" s="3">
        <f t="shared" si="0"/>
        <v>4.5199999999999997E-2</v>
      </c>
      <c r="E52" s="3">
        <f t="shared" ca="1" si="5"/>
        <v>4.5304792187386478E-2</v>
      </c>
      <c r="F52" s="3">
        <f t="shared" ca="1" si="5"/>
        <v>5.7551770862624758E-2</v>
      </c>
      <c r="G52" s="3">
        <f t="shared" ca="1" si="5"/>
        <v>3.8397806222489769E-2</v>
      </c>
      <c r="H52" s="3">
        <f t="shared" ca="1" si="5"/>
        <v>3.6626550211458775E-2</v>
      </c>
      <c r="I52" s="3">
        <f t="shared" ca="1" si="5"/>
        <v>3.97994700133062E-2</v>
      </c>
      <c r="J52" s="3">
        <f t="shared" ca="1" si="5"/>
        <v>4.4536446947555958E-2</v>
      </c>
      <c r="K52" s="3">
        <f t="shared" ca="1" si="5"/>
        <v>4.7185767880126281E-2</v>
      </c>
      <c r="L52" s="3">
        <f t="shared" ca="1" si="5"/>
        <v>4.421181591369798E-2</v>
      </c>
    </row>
    <row r="53" spans="3:12">
      <c r="C53" s="7">
        <v>47</v>
      </c>
      <c r="D53" s="3">
        <f t="shared" si="0"/>
        <v>4.5199999999999997E-2</v>
      </c>
      <c r="E53" s="3">
        <f t="shared" ca="1" si="5"/>
        <v>4.4903931879980978E-2</v>
      </c>
      <c r="F53" s="3">
        <f t="shared" ca="1" si="5"/>
        <v>5.3962774658421767E-2</v>
      </c>
      <c r="G53" s="3">
        <f t="shared" ca="1" si="5"/>
        <v>5.4200800803597439E-2</v>
      </c>
      <c r="H53" s="3">
        <f t="shared" ca="1" si="5"/>
        <v>5.991893125787693E-2</v>
      </c>
      <c r="I53" s="3">
        <f t="shared" ca="1" si="5"/>
        <v>6.2399443195476606E-2</v>
      </c>
      <c r="J53" s="3">
        <f t="shared" ca="1" si="5"/>
        <v>6.3850236005756275E-2</v>
      </c>
      <c r="K53" s="3">
        <f t="shared" ca="1" si="5"/>
        <v>6.4517890249203722E-2</v>
      </c>
      <c r="L53" s="3">
        <f t="shared" ca="1" si="5"/>
        <v>6.9149746643274931E-2</v>
      </c>
    </row>
    <row r="54" spans="3:12">
      <c r="C54" s="7">
        <v>48</v>
      </c>
      <c r="D54" s="3">
        <f t="shared" si="0"/>
        <v>4.5199999999999997E-2</v>
      </c>
      <c r="E54" s="3">
        <f t="shared" ca="1" si="5"/>
        <v>4.2372400333083024E-2</v>
      </c>
      <c r="F54" s="3">
        <f t="shared" ca="1" si="5"/>
        <v>4.8876297600633056E-2</v>
      </c>
      <c r="G54" s="3">
        <f t="shared" ca="1" si="5"/>
        <v>4.7921253821840155E-2</v>
      </c>
      <c r="H54" s="3">
        <f t="shared" ca="1" si="5"/>
        <v>4.4768860736059971E-2</v>
      </c>
      <c r="I54" s="3">
        <f t="shared" ca="1" si="5"/>
        <v>4.143954864669399E-2</v>
      </c>
      <c r="J54" s="3">
        <f t="shared" ca="1" si="5"/>
        <v>3.9518999183687148E-2</v>
      </c>
      <c r="K54" s="3">
        <f t="shared" ca="1" si="5"/>
        <v>4.0791865942579018E-2</v>
      </c>
      <c r="L54" s="3">
        <f t="shared" ca="1" si="5"/>
        <v>5.0191204120524385E-2</v>
      </c>
    </row>
    <row r="55" spans="3:12">
      <c r="C55" s="7">
        <v>49</v>
      </c>
      <c r="D55" s="3">
        <f t="shared" si="0"/>
        <v>4.5199999999999997E-2</v>
      </c>
      <c r="E55" s="3">
        <f t="shared" ca="1" si="5"/>
        <v>4.3538353216756642E-2</v>
      </c>
      <c r="F55" s="3">
        <f t="shared" ca="1" si="5"/>
        <v>5.0291662567935505E-2</v>
      </c>
      <c r="G55" s="3">
        <f t="shared" ca="1" si="5"/>
        <v>4.5888551948823533E-2</v>
      </c>
      <c r="H55" s="3">
        <f t="shared" ca="1" si="5"/>
        <v>3.9752994004290408E-2</v>
      </c>
      <c r="I55" s="3">
        <f t="shared" ca="1" si="5"/>
        <v>4.0089181511872303E-2</v>
      </c>
      <c r="J55" s="3">
        <f t="shared" ca="1" si="5"/>
        <v>4.287758604977758E-2</v>
      </c>
      <c r="K55" s="3">
        <f t="shared" ca="1" si="5"/>
        <v>4.5199048741192453E-2</v>
      </c>
      <c r="L55" s="3">
        <f t="shared" ca="1" si="5"/>
        <v>5.3030994296176102E-2</v>
      </c>
    </row>
    <row r="56" spans="3:12">
      <c r="C56" s="7">
        <v>50</v>
      </c>
      <c r="D56" s="3">
        <f t="shared" si="0"/>
        <v>4.5199999999999997E-2</v>
      </c>
      <c r="E56" s="3">
        <f t="shared" ca="1" si="5"/>
        <v>5.0730507176111536E-2</v>
      </c>
      <c r="F56" s="3">
        <f t="shared" ca="1" si="5"/>
        <v>4.6246463328848846E-2</v>
      </c>
      <c r="G56" s="3">
        <f t="shared" ca="1" si="5"/>
        <v>4.7408894412701567E-2</v>
      </c>
      <c r="H56" s="3">
        <f t="shared" ca="1" si="5"/>
        <v>4.6761275936890931E-2</v>
      </c>
      <c r="I56" s="3">
        <f t="shared" ca="1" si="5"/>
        <v>5.6466164850500947E-2</v>
      </c>
      <c r="J56" s="3">
        <f t="shared" ca="1" si="5"/>
        <v>6.196674002036455E-2</v>
      </c>
      <c r="K56" s="3">
        <f t="shared" ca="1" si="5"/>
        <v>6.1967407847488873E-2</v>
      </c>
      <c r="L56" s="3">
        <f t="shared" ca="1" si="5"/>
        <v>6.5332126394944207E-2</v>
      </c>
    </row>
    <row r="57" spans="3:12">
      <c r="C57" s="7">
        <v>51</v>
      </c>
      <c r="D57" s="3">
        <f t="shared" si="0"/>
        <v>4.5199999999999997E-2</v>
      </c>
      <c r="E57" s="3">
        <f t="shared" ref="E57:L66" ca="1" si="6">D57+E$5*dt+sigma*_xlfn.NORM.S.INV(RAND())*SQRT(dt)</f>
        <v>4.5338541396577732E-2</v>
      </c>
      <c r="F57" s="3">
        <f t="shared" ca="1" si="6"/>
        <v>4.2115014943547274E-2</v>
      </c>
      <c r="G57" s="3">
        <f t="shared" ca="1" si="6"/>
        <v>3.9949286867068036E-2</v>
      </c>
      <c r="H57" s="3">
        <f t="shared" ca="1" si="6"/>
        <v>4.550035089005066E-2</v>
      </c>
      <c r="I57" s="3">
        <f t="shared" ca="1" si="6"/>
        <v>4.3038201081253072E-2</v>
      </c>
      <c r="J57" s="3">
        <f t="shared" ca="1" si="6"/>
        <v>4.5274319059553883E-2</v>
      </c>
      <c r="K57" s="3">
        <f t="shared" ca="1" si="6"/>
        <v>4.8438310815201398E-2</v>
      </c>
      <c r="L57" s="3">
        <f t="shared" ca="1" si="6"/>
        <v>4.8729435124686728E-2</v>
      </c>
    </row>
    <row r="58" spans="3:12">
      <c r="C58" s="7">
        <v>52</v>
      </c>
      <c r="D58" s="3">
        <f t="shared" si="0"/>
        <v>4.5199999999999997E-2</v>
      </c>
      <c r="E58" s="3">
        <f t="shared" ca="1" si="6"/>
        <v>4.7251719826867641E-2</v>
      </c>
      <c r="F58" s="3">
        <f t="shared" ca="1" si="6"/>
        <v>4.6691076947251269E-2</v>
      </c>
      <c r="G58" s="3">
        <f t="shared" ca="1" si="6"/>
        <v>4.3883676825478717E-2</v>
      </c>
      <c r="H58" s="3">
        <f t="shared" ca="1" si="6"/>
        <v>3.9427996181725954E-2</v>
      </c>
      <c r="I58" s="3">
        <f t="shared" ca="1" si="6"/>
        <v>3.6770197808949787E-2</v>
      </c>
      <c r="J58" s="3">
        <f t="shared" ca="1" si="6"/>
        <v>2.8304998931285734E-2</v>
      </c>
      <c r="K58" s="3">
        <f t="shared" ca="1" si="6"/>
        <v>2.9654285175545695E-2</v>
      </c>
      <c r="L58" s="3">
        <f t="shared" ca="1" si="6"/>
        <v>4.1721451007911685E-2</v>
      </c>
    </row>
    <row r="59" spans="3:12">
      <c r="C59" s="7">
        <v>53</v>
      </c>
      <c r="D59" s="3">
        <f t="shared" si="0"/>
        <v>4.5199999999999997E-2</v>
      </c>
      <c r="E59" s="3">
        <f t="shared" ca="1" si="6"/>
        <v>5.163078328845859E-2</v>
      </c>
      <c r="F59" s="3">
        <f t="shared" ca="1" si="6"/>
        <v>5.1662228232079513E-2</v>
      </c>
      <c r="G59" s="3">
        <f t="shared" ca="1" si="6"/>
        <v>6.3637323006617202E-2</v>
      </c>
      <c r="H59" s="3">
        <f t="shared" ca="1" si="6"/>
        <v>6.2142737348317531E-2</v>
      </c>
      <c r="I59" s="3">
        <f t="shared" ca="1" si="6"/>
        <v>6.1653201530831724E-2</v>
      </c>
      <c r="J59" s="3">
        <f t="shared" ca="1" si="6"/>
        <v>6.5009802991635307E-2</v>
      </c>
      <c r="K59" s="3">
        <f t="shared" ca="1" si="6"/>
        <v>5.7645171362227202E-2</v>
      </c>
      <c r="L59" s="3">
        <f t="shared" ca="1" si="6"/>
        <v>5.6644814856232115E-2</v>
      </c>
    </row>
    <row r="60" spans="3:12">
      <c r="C60" s="7">
        <v>54</v>
      </c>
      <c r="D60" s="3">
        <f t="shared" si="0"/>
        <v>4.5199999999999997E-2</v>
      </c>
      <c r="E60" s="3">
        <f t="shared" ca="1" si="6"/>
        <v>5.3787204332985429E-2</v>
      </c>
      <c r="F60" s="3">
        <f t="shared" ca="1" si="6"/>
        <v>5.3896324992884895E-2</v>
      </c>
      <c r="G60" s="3">
        <f t="shared" ca="1" si="6"/>
        <v>4.6401310117783028E-2</v>
      </c>
      <c r="H60" s="3">
        <f t="shared" ca="1" si="6"/>
        <v>6.3046903551915001E-2</v>
      </c>
      <c r="I60" s="3">
        <f t="shared" ca="1" si="6"/>
        <v>6.0350627755281293E-2</v>
      </c>
      <c r="J60" s="3">
        <f t="shared" ca="1" si="6"/>
        <v>7.0074454832132899E-2</v>
      </c>
      <c r="K60" s="3">
        <f t="shared" ca="1" si="6"/>
        <v>7.0347559926235106E-2</v>
      </c>
      <c r="L60" s="3">
        <f t="shared" ca="1" si="6"/>
        <v>6.4654344226810698E-2</v>
      </c>
    </row>
    <row r="61" spans="3:12">
      <c r="C61" s="7">
        <v>55</v>
      </c>
      <c r="D61" s="3">
        <f t="shared" si="0"/>
        <v>4.5199999999999997E-2</v>
      </c>
      <c r="E61" s="3">
        <f t="shared" ca="1" si="6"/>
        <v>3.482511262297764E-2</v>
      </c>
      <c r="F61" s="3">
        <f t="shared" ca="1" si="6"/>
        <v>3.4460862049197419E-2</v>
      </c>
      <c r="G61" s="3">
        <f t="shared" ca="1" si="6"/>
        <v>3.5577469966153068E-2</v>
      </c>
      <c r="H61" s="3">
        <f t="shared" ca="1" si="6"/>
        <v>4.1109188771927374E-2</v>
      </c>
      <c r="I61" s="3">
        <f t="shared" ca="1" si="6"/>
        <v>5.1367056952210118E-2</v>
      </c>
      <c r="J61" s="3">
        <f t="shared" ca="1" si="6"/>
        <v>4.8380326000543449E-2</v>
      </c>
      <c r="K61" s="3">
        <f t="shared" ca="1" si="6"/>
        <v>5.8437869049296216E-2</v>
      </c>
      <c r="L61" s="3">
        <f t="shared" ca="1" si="6"/>
        <v>5.3865245406941806E-2</v>
      </c>
    </row>
    <row r="62" spans="3:12">
      <c r="C62" s="7">
        <v>56</v>
      </c>
      <c r="D62" s="3">
        <f t="shared" si="0"/>
        <v>4.5199999999999997E-2</v>
      </c>
      <c r="E62" s="3">
        <f t="shared" ca="1" si="6"/>
        <v>5.131110061104549E-2</v>
      </c>
      <c r="F62" s="3">
        <f t="shared" ca="1" si="6"/>
        <v>5.1702317964708845E-2</v>
      </c>
      <c r="G62" s="3">
        <f t="shared" ca="1" si="6"/>
        <v>5.6347508107309326E-2</v>
      </c>
      <c r="H62" s="3">
        <f t="shared" ca="1" si="6"/>
        <v>5.9309154691367022E-2</v>
      </c>
      <c r="I62" s="3">
        <f t="shared" ca="1" si="6"/>
        <v>5.4197400794308757E-2</v>
      </c>
      <c r="J62" s="3">
        <f t="shared" ca="1" si="6"/>
        <v>5.2962956387973679E-2</v>
      </c>
      <c r="K62" s="3">
        <f t="shared" ca="1" si="6"/>
        <v>5.6352306695989798E-2</v>
      </c>
      <c r="L62" s="3">
        <f t="shared" ca="1" si="6"/>
        <v>5.496762997053032E-2</v>
      </c>
    </row>
    <row r="63" spans="3:12">
      <c r="C63" s="7">
        <v>57</v>
      </c>
      <c r="D63" s="3">
        <f t="shared" si="0"/>
        <v>4.5199999999999997E-2</v>
      </c>
      <c r="E63" s="3">
        <f t="shared" ca="1" si="6"/>
        <v>4.3895521247324674E-2</v>
      </c>
      <c r="F63" s="3">
        <f t="shared" ca="1" si="6"/>
        <v>4.2639086507378021E-2</v>
      </c>
      <c r="G63" s="3">
        <f t="shared" ca="1" si="6"/>
        <v>3.9965065530709977E-2</v>
      </c>
      <c r="H63" s="3">
        <f t="shared" ca="1" si="6"/>
        <v>4.6500560410215323E-2</v>
      </c>
      <c r="I63" s="3">
        <f t="shared" ca="1" si="6"/>
        <v>4.6695834147219319E-2</v>
      </c>
      <c r="J63" s="3">
        <f t="shared" ca="1" si="6"/>
        <v>4.6200229238317909E-2</v>
      </c>
      <c r="K63" s="3">
        <f t="shared" ca="1" si="6"/>
        <v>4.3994955228915014E-2</v>
      </c>
      <c r="L63" s="3">
        <f t="shared" ca="1" si="6"/>
        <v>4.2041531699769097E-2</v>
      </c>
    </row>
    <row r="64" spans="3:12">
      <c r="C64" s="7">
        <v>58</v>
      </c>
      <c r="D64" s="3">
        <f t="shared" si="0"/>
        <v>4.5199999999999997E-2</v>
      </c>
      <c r="E64" s="3">
        <f t="shared" ca="1" si="6"/>
        <v>4.6917001301920142E-2</v>
      </c>
      <c r="F64" s="3">
        <f t="shared" ca="1" si="6"/>
        <v>5.0045196246046517E-2</v>
      </c>
      <c r="G64" s="3">
        <f t="shared" ca="1" si="6"/>
        <v>4.7029305181934482E-2</v>
      </c>
      <c r="H64" s="3">
        <f t="shared" ca="1" si="6"/>
        <v>4.4663568116651592E-2</v>
      </c>
      <c r="I64" s="3">
        <f t="shared" ca="1" si="6"/>
        <v>4.5074877992290437E-2</v>
      </c>
      <c r="J64" s="3">
        <f t="shared" ca="1" si="6"/>
        <v>5.0241990075406619E-2</v>
      </c>
      <c r="K64" s="3">
        <f t="shared" ca="1" si="6"/>
        <v>4.4680097446977596E-2</v>
      </c>
      <c r="L64" s="3">
        <f t="shared" ca="1" si="6"/>
        <v>5.288292688153557E-2</v>
      </c>
    </row>
    <row r="65" spans="3:12">
      <c r="C65" s="7">
        <v>59</v>
      </c>
      <c r="D65" s="3">
        <f t="shared" si="0"/>
        <v>4.5199999999999997E-2</v>
      </c>
      <c r="E65" s="3">
        <f t="shared" ca="1" si="6"/>
        <v>4.5225493106076577E-2</v>
      </c>
      <c r="F65" s="3">
        <f t="shared" ca="1" si="6"/>
        <v>5.1428416305727226E-2</v>
      </c>
      <c r="G65" s="3">
        <f t="shared" ca="1" si="6"/>
        <v>4.9623580448801601E-2</v>
      </c>
      <c r="H65" s="3">
        <f t="shared" ca="1" si="6"/>
        <v>4.5523484480196504E-2</v>
      </c>
      <c r="I65" s="3">
        <f t="shared" ca="1" si="6"/>
        <v>3.8909480645596885E-2</v>
      </c>
      <c r="J65" s="3">
        <f t="shared" ca="1" si="6"/>
        <v>3.415936598603287E-2</v>
      </c>
      <c r="K65" s="3">
        <f t="shared" ca="1" si="6"/>
        <v>3.5195978845505599E-2</v>
      </c>
      <c r="L65" s="3">
        <f t="shared" ca="1" si="6"/>
        <v>2.8390026785724776E-2</v>
      </c>
    </row>
    <row r="66" spans="3:12">
      <c r="C66" s="7">
        <v>60</v>
      </c>
      <c r="D66" s="3">
        <f t="shared" si="0"/>
        <v>4.5199999999999997E-2</v>
      </c>
      <c r="E66" s="3">
        <f t="shared" ca="1" si="6"/>
        <v>4.1557700912732171E-2</v>
      </c>
      <c r="F66" s="3">
        <f t="shared" ca="1" si="6"/>
        <v>4.2076144773673427E-2</v>
      </c>
      <c r="G66" s="3">
        <f t="shared" ca="1" si="6"/>
        <v>3.5016087370330545E-2</v>
      </c>
      <c r="H66" s="3">
        <f t="shared" ca="1" si="6"/>
        <v>3.0508258121834095E-2</v>
      </c>
      <c r="I66" s="3">
        <f t="shared" ca="1" si="6"/>
        <v>3.4345347809323211E-2</v>
      </c>
      <c r="J66" s="3">
        <f t="shared" ca="1" si="6"/>
        <v>3.5477328700569966E-2</v>
      </c>
      <c r="K66" s="3">
        <f t="shared" ca="1" si="6"/>
        <v>3.4060644392419424E-2</v>
      </c>
      <c r="L66" s="3">
        <f t="shared" ca="1" si="6"/>
        <v>3.8358707308126946E-2</v>
      </c>
    </row>
    <row r="67" spans="3:12">
      <c r="C67" s="7">
        <v>61</v>
      </c>
      <c r="D67" s="3">
        <f t="shared" si="0"/>
        <v>4.5199999999999997E-2</v>
      </c>
      <c r="E67" s="3">
        <f t="shared" ref="E67:L76" ca="1" si="7">D67+E$5*dt+sigma*_xlfn.NORM.S.INV(RAND())*SQRT(dt)</f>
        <v>3.5630653598192431E-2</v>
      </c>
      <c r="F67" s="3">
        <f t="shared" ca="1" si="7"/>
        <v>3.3531623756028202E-2</v>
      </c>
      <c r="G67" s="3">
        <f t="shared" ca="1" si="7"/>
        <v>3.2981070275677309E-2</v>
      </c>
      <c r="H67" s="3">
        <f t="shared" ca="1" si="7"/>
        <v>4.0298467418686972E-2</v>
      </c>
      <c r="I67" s="3">
        <f t="shared" ca="1" si="7"/>
        <v>3.8728148871168357E-2</v>
      </c>
      <c r="J67" s="3">
        <f t="shared" ca="1" si="7"/>
        <v>3.5948102979888173E-2</v>
      </c>
      <c r="K67" s="3">
        <f t="shared" ca="1" si="7"/>
        <v>3.620850681013673E-2</v>
      </c>
      <c r="L67" s="3">
        <f t="shared" ca="1" si="7"/>
        <v>3.3370165147561207E-2</v>
      </c>
    </row>
    <row r="68" spans="3:12">
      <c r="C68" s="7">
        <v>62</v>
      </c>
      <c r="D68" s="3">
        <f t="shared" si="0"/>
        <v>4.5199999999999997E-2</v>
      </c>
      <c r="E68" s="3">
        <f t="shared" ca="1" si="7"/>
        <v>5.2025431065919087E-2</v>
      </c>
      <c r="F68" s="3">
        <f t="shared" ca="1" si="7"/>
        <v>4.841174849551648E-2</v>
      </c>
      <c r="G68" s="3">
        <f t="shared" ca="1" si="7"/>
        <v>4.8579836417003822E-2</v>
      </c>
      <c r="H68" s="3">
        <f t="shared" ca="1" si="7"/>
        <v>4.664542593716621E-2</v>
      </c>
      <c r="I68" s="3">
        <f t="shared" ca="1" si="7"/>
        <v>4.9289835228927818E-2</v>
      </c>
      <c r="J68" s="3">
        <f t="shared" ca="1" si="7"/>
        <v>5.210226893551656E-2</v>
      </c>
      <c r="K68" s="3">
        <f t="shared" ca="1" si="7"/>
        <v>5.1911035552211146E-2</v>
      </c>
      <c r="L68" s="3">
        <f t="shared" ca="1" si="7"/>
        <v>5.8337818087440436E-2</v>
      </c>
    </row>
    <row r="69" spans="3:12">
      <c r="C69" s="7">
        <v>63</v>
      </c>
      <c r="D69" s="3">
        <f t="shared" si="0"/>
        <v>4.5199999999999997E-2</v>
      </c>
      <c r="E69" s="3">
        <f t="shared" ca="1" si="7"/>
        <v>4.6415773301176605E-2</v>
      </c>
      <c r="F69" s="3">
        <f t="shared" ca="1" si="7"/>
        <v>4.7471137053633816E-2</v>
      </c>
      <c r="G69" s="3">
        <f t="shared" ca="1" si="7"/>
        <v>4.6233084358744861E-2</v>
      </c>
      <c r="H69" s="3">
        <f t="shared" ca="1" si="7"/>
        <v>4.5495718760289142E-2</v>
      </c>
      <c r="I69" s="3">
        <f t="shared" ca="1" si="7"/>
        <v>4.9642705365158746E-2</v>
      </c>
      <c r="J69" s="3">
        <f t="shared" ca="1" si="7"/>
        <v>5.9010961041692886E-2</v>
      </c>
      <c r="K69" s="3">
        <f t="shared" ca="1" si="7"/>
        <v>5.5009802277665033E-2</v>
      </c>
      <c r="L69" s="3">
        <f t="shared" ca="1" si="7"/>
        <v>5.0164478805976083E-2</v>
      </c>
    </row>
    <row r="70" spans="3:12">
      <c r="C70" s="7">
        <v>64</v>
      </c>
      <c r="D70" s="3">
        <f t="shared" si="0"/>
        <v>4.5199999999999997E-2</v>
      </c>
      <c r="E70" s="3">
        <f t="shared" ca="1" si="7"/>
        <v>4.5201823930834731E-2</v>
      </c>
      <c r="F70" s="3">
        <f t="shared" ca="1" si="7"/>
        <v>4.7751041303964202E-2</v>
      </c>
      <c r="G70" s="3">
        <f t="shared" ca="1" si="7"/>
        <v>4.9291696009803876E-2</v>
      </c>
      <c r="H70" s="3">
        <f t="shared" ca="1" si="7"/>
        <v>4.7761912232453414E-2</v>
      </c>
      <c r="I70" s="3">
        <f t="shared" ca="1" si="7"/>
        <v>4.5219501355957245E-2</v>
      </c>
      <c r="J70" s="3">
        <f t="shared" ca="1" si="7"/>
        <v>5.2860912726901924E-2</v>
      </c>
      <c r="K70" s="3">
        <f t="shared" ca="1" si="7"/>
        <v>5.5411353455917793E-2</v>
      </c>
      <c r="L70" s="3">
        <f t="shared" ca="1" si="7"/>
        <v>4.8888858962577053E-2</v>
      </c>
    </row>
    <row r="71" spans="3:12">
      <c r="C71" s="7">
        <v>65</v>
      </c>
      <c r="D71" s="3">
        <f t="shared" ref="D71:D134" si="8">r0</f>
        <v>4.5199999999999997E-2</v>
      </c>
      <c r="E71" s="3">
        <f t="shared" ca="1" si="7"/>
        <v>4.0909864432655492E-2</v>
      </c>
      <c r="F71" s="3">
        <f t="shared" ca="1" si="7"/>
        <v>4.7455866520674697E-2</v>
      </c>
      <c r="G71" s="3">
        <f t="shared" ca="1" si="7"/>
        <v>4.7368541235745541E-2</v>
      </c>
      <c r="H71" s="3">
        <f t="shared" ca="1" si="7"/>
        <v>5.2290806813135991E-2</v>
      </c>
      <c r="I71" s="3">
        <f t="shared" ca="1" si="7"/>
        <v>4.8106304262570287E-2</v>
      </c>
      <c r="J71" s="3">
        <f t="shared" ca="1" si="7"/>
        <v>3.9784060438160206E-2</v>
      </c>
      <c r="K71" s="3">
        <f t="shared" ca="1" si="7"/>
        <v>3.6603303080473736E-2</v>
      </c>
      <c r="L71" s="3">
        <f t="shared" ca="1" si="7"/>
        <v>4.3028553904075562E-2</v>
      </c>
    </row>
    <row r="72" spans="3:12">
      <c r="C72" s="7">
        <v>66</v>
      </c>
      <c r="D72" s="3">
        <f t="shared" si="8"/>
        <v>4.5199999999999997E-2</v>
      </c>
      <c r="E72" s="3">
        <f t="shared" ca="1" si="7"/>
        <v>4.5871121553365819E-2</v>
      </c>
      <c r="F72" s="3">
        <f t="shared" ca="1" si="7"/>
        <v>4.8129875399644514E-2</v>
      </c>
      <c r="G72" s="3">
        <f t="shared" ca="1" si="7"/>
        <v>4.9924931868906182E-2</v>
      </c>
      <c r="H72" s="3">
        <f t="shared" ca="1" si="7"/>
        <v>5.4098455490505293E-2</v>
      </c>
      <c r="I72" s="3">
        <f t="shared" ca="1" si="7"/>
        <v>5.5239888839156738E-2</v>
      </c>
      <c r="J72" s="3">
        <f t="shared" ca="1" si="7"/>
        <v>6.5554323980927198E-2</v>
      </c>
      <c r="K72" s="3">
        <f t="shared" ca="1" si="7"/>
        <v>6.5997870857983698E-2</v>
      </c>
      <c r="L72" s="3">
        <f t="shared" ca="1" si="7"/>
        <v>6.9439866902206979E-2</v>
      </c>
    </row>
    <row r="73" spans="3:12">
      <c r="C73" s="7">
        <v>67</v>
      </c>
      <c r="D73" s="3">
        <f t="shared" si="8"/>
        <v>4.5199999999999997E-2</v>
      </c>
      <c r="E73" s="3">
        <f t="shared" ca="1" si="7"/>
        <v>3.6628412389455522E-2</v>
      </c>
      <c r="F73" s="3">
        <f t="shared" ca="1" si="7"/>
        <v>3.8513211031088818E-2</v>
      </c>
      <c r="G73" s="3">
        <f t="shared" ca="1" si="7"/>
        <v>3.1257852340632421E-2</v>
      </c>
      <c r="H73" s="3">
        <f t="shared" ca="1" si="7"/>
        <v>2.9785552175708087E-2</v>
      </c>
      <c r="I73" s="3">
        <f t="shared" ca="1" si="7"/>
        <v>3.1244210581610275E-2</v>
      </c>
      <c r="J73" s="3">
        <f t="shared" ca="1" si="7"/>
        <v>3.2469744651291717E-2</v>
      </c>
      <c r="K73" s="3">
        <f t="shared" ca="1" si="7"/>
        <v>4.4233346358854168E-2</v>
      </c>
      <c r="L73" s="3">
        <f t="shared" ca="1" si="7"/>
        <v>4.0520596989900341E-2</v>
      </c>
    </row>
    <row r="74" spans="3:12">
      <c r="C74" s="7">
        <v>68</v>
      </c>
      <c r="D74" s="3">
        <f t="shared" si="8"/>
        <v>4.5199999999999997E-2</v>
      </c>
      <c r="E74" s="3">
        <f t="shared" ca="1" si="7"/>
        <v>4.3352705923353399E-2</v>
      </c>
      <c r="F74" s="3">
        <f t="shared" ca="1" si="7"/>
        <v>5.8116912930318024E-2</v>
      </c>
      <c r="G74" s="3">
        <f t="shared" ca="1" si="7"/>
        <v>5.5726353410217019E-2</v>
      </c>
      <c r="H74" s="3">
        <f t="shared" ca="1" si="7"/>
        <v>6.2076756914886497E-2</v>
      </c>
      <c r="I74" s="3">
        <f t="shared" ca="1" si="7"/>
        <v>6.5048663525941311E-2</v>
      </c>
      <c r="J74" s="3">
        <f t="shared" ca="1" si="7"/>
        <v>6.294069647841434E-2</v>
      </c>
      <c r="K74" s="3">
        <f t="shared" ca="1" si="7"/>
        <v>6.5394708233972157E-2</v>
      </c>
      <c r="L74" s="3">
        <f t="shared" ca="1" si="7"/>
        <v>6.4942371638506302E-2</v>
      </c>
    </row>
    <row r="75" spans="3:12">
      <c r="C75" s="7">
        <v>69</v>
      </c>
      <c r="D75" s="3">
        <f t="shared" si="8"/>
        <v>4.5199999999999997E-2</v>
      </c>
      <c r="E75" s="3">
        <f t="shared" ca="1" si="7"/>
        <v>4.4522019074458602E-2</v>
      </c>
      <c r="F75" s="3">
        <f t="shared" ca="1" si="7"/>
        <v>5.199172097020268E-2</v>
      </c>
      <c r="G75" s="3">
        <f t="shared" ca="1" si="7"/>
        <v>5.576180346196262E-2</v>
      </c>
      <c r="H75" s="3">
        <f t="shared" ca="1" si="7"/>
        <v>4.7953963323410537E-2</v>
      </c>
      <c r="I75" s="3">
        <f t="shared" ca="1" si="7"/>
        <v>4.9172288158738663E-2</v>
      </c>
      <c r="J75" s="3">
        <f t="shared" ca="1" si="7"/>
        <v>5.1719078118579363E-2</v>
      </c>
      <c r="K75" s="3">
        <f t="shared" ca="1" si="7"/>
        <v>4.9895852696336201E-2</v>
      </c>
      <c r="L75" s="3">
        <f t="shared" ca="1" si="7"/>
        <v>6.0310887720332877E-2</v>
      </c>
    </row>
    <row r="76" spans="3:12">
      <c r="C76" s="7">
        <v>70</v>
      </c>
      <c r="D76" s="3">
        <f t="shared" si="8"/>
        <v>4.5199999999999997E-2</v>
      </c>
      <c r="E76" s="3">
        <f t="shared" ca="1" si="7"/>
        <v>3.4916690769030555E-2</v>
      </c>
      <c r="F76" s="3">
        <f t="shared" ca="1" si="7"/>
        <v>4.3555984529201799E-2</v>
      </c>
      <c r="G76" s="3">
        <f t="shared" ca="1" si="7"/>
        <v>4.27471964260943E-2</v>
      </c>
      <c r="H76" s="3">
        <f t="shared" ca="1" si="7"/>
        <v>4.2670920044991595E-2</v>
      </c>
      <c r="I76" s="3">
        <f t="shared" ca="1" si="7"/>
        <v>4.4419696931854241E-2</v>
      </c>
      <c r="J76" s="3">
        <f t="shared" ca="1" si="7"/>
        <v>4.5841312145626818E-2</v>
      </c>
      <c r="K76" s="3">
        <f t="shared" ca="1" si="7"/>
        <v>4.9429093628453123E-2</v>
      </c>
      <c r="L76" s="3">
        <f t="shared" ca="1" si="7"/>
        <v>5.0140648558827189E-2</v>
      </c>
    </row>
    <row r="77" spans="3:12">
      <c r="C77" s="7">
        <v>71</v>
      </c>
      <c r="D77" s="3">
        <f t="shared" si="8"/>
        <v>4.5199999999999997E-2</v>
      </c>
      <c r="E77" s="3">
        <f t="shared" ref="E77:L86" ca="1" si="9">D77+E$5*dt+sigma*_xlfn.NORM.S.INV(RAND())*SQRT(dt)</f>
        <v>3.5927273306417151E-2</v>
      </c>
      <c r="F77" s="3">
        <f t="shared" ca="1" si="9"/>
        <v>4.0499165649461294E-2</v>
      </c>
      <c r="G77" s="3">
        <f t="shared" ca="1" si="9"/>
        <v>3.9519778432644301E-2</v>
      </c>
      <c r="H77" s="3">
        <f t="shared" ca="1" si="9"/>
        <v>4.1191031418172826E-2</v>
      </c>
      <c r="I77" s="3">
        <f t="shared" ca="1" si="9"/>
        <v>3.9055109633921149E-2</v>
      </c>
      <c r="J77" s="3">
        <f t="shared" ca="1" si="9"/>
        <v>3.7873137098359454E-2</v>
      </c>
      <c r="K77" s="3">
        <f t="shared" ca="1" si="9"/>
        <v>4.2975465132161557E-2</v>
      </c>
      <c r="L77" s="3">
        <f t="shared" ca="1" si="9"/>
        <v>4.3341123974315297E-2</v>
      </c>
    </row>
    <row r="78" spans="3:12">
      <c r="C78" s="7">
        <v>72</v>
      </c>
      <c r="D78" s="3">
        <f t="shared" si="8"/>
        <v>4.5199999999999997E-2</v>
      </c>
      <c r="E78" s="3">
        <f t="shared" ca="1" si="9"/>
        <v>4.7743386778182052E-2</v>
      </c>
      <c r="F78" s="3">
        <f t="shared" ca="1" si="9"/>
        <v>5.1329391680298986E-2</v>
      </c>
      <c r="G78" s="3">
        <f t="shared" ca="1" si="9"/>
        <v>5.1762301777760186E-2</v>
      </c>
      <c r="H78" s="3">
        <f t="shared" ca="1" si="9"/>
        <v>6.1083616678769666E-2</v>
      </c>
      <c r="I78" s="3">
        <f t="shared" ca="1" si="9"/>
        <v>5.8987847961071135E-2</v>
      </c>
      <c r="J78" s="3">
        <f t="shared" ca="1" si="9"/>
        <v>5.9264615021969003E-2</v>
      </c>
      <c r="K78" s="3">
        <f t="shared" ca="1" si="9"/>
        <v>6.7857335105163327E-2</v>
      </c>
      <c r="L78" s="3">
        <f t="shared" ca="1" si="9"/>
        <v>7.3276499832252498E-2</v>
      </c>
    </row>
    <row r="79" spans="3:12">
      <c r="C79" s="7">
        <v>73</v>
      </c>
      <c r="D79" s="3">
        <f t="shared" si="8"/>
        <v>4.5199999999999997E-2</v>
      </c>
      <c r="E79" s="3">
        <f t="shared" ca="1" si="9"/>
        <v>4.5694846615421565E-2</v>
      </c>
      <c r="F79" s="3">
        <f t="shared" ca="1" si="9"/>
        <v>4.9420573201595597E-2</v>
      </c>
      <c r="G79" s="3">
        <f t="shared" ca="1" si="9"/>
        <v>4.9746196049464786E-2</v>
      </c>
      <c r="H79" s="3">
        <f t="shared" ca="1" si="9"/>
        <v>5.2527682190562162E-2</v>
      </c>
      <c r="I79" s="3">
        <f t="shared" ca="1" si="9"/>
        <v>5.297141775217977E-2</v>
      </c>
      <c r="J79" s="3">
        <f t="shared" ca="1" si="9"/>
        <v>5.1793103799713809E-2</v>
      </c>
      <c r="K79" s="3">
        <f t="shared" ca="1" si="9"/>
        <v>5.0836558449508226E-2</v>
      </c>
      <c r="L79" s="3">
        <f t="shared" ca="1" si="9"/>
        <v>5.6522813919176809E-2</v>
      </c>
    </row>
    <row r="80" spans="3:12">
      <c r="C80" s="7">
        <v>74</v>
      </c>
      <c r="D80" s="3">
        <f t="shared" si="8"/>
        <v>4.5199999999999997E-2</v>
      </c>
      <c r="E80" s="3">
        <f t="shared" ca="1" si="9"/>
        <v>5.1347993471742057E-2</v>
      </c>
      <c r="F80" s="3">
        <f t="shared" ca="1" si="9"/>
        <v>4.6803187397866909E-2</v>
      </c>
      <c r="G80" s="3">
        <f t="shared" ca="1" si="9"/>
        <v>4.6307056937488648E-2</v>
      </c>
      <c r="H80" s="3">
        <f t="shared" ca="1" si="9"/>
        <v>4.3810310640611069E-2</v>
      </c>
      <c r="I80" s="3">
        <f t="shared" ca="1" si="9"/>
        <v>4.1830736996697045E-2</v>
      </c>
      <c r="J80" s="3">
        <f t="shared" ca="1" si="9"/>
        <v>4.2333687849572352E-2</v>
      </c>
      <c r="K80" s="3">
        <f t="shared" ca="1" si="9"/>
        <v>3.4967544938629046E-2</v>
      </c>
      <c r="L80" s="3">
        <f t="shared" ca="1" si="9"/>
        <v>3.1486384168646193E-2</v>
      </c>
    </row>
    <row r="81" spans="3:12">
      <c r="C81" s="7">
        <v>75</v>
      </c>
      <c r="D81" s="3">
        <f t="shared" si="8"/>
        <v>4.5199999999999997E-2</v>
      </c>
      <c r="E81" s="3">
        <f t="shared" ca="1" si="9"/>
        <v>4.1061907413375266E-2</v>
      </c>
      <c r="F81" s="3">
        <f t="shared" ca="1" si="9"/>
        <v>3.9418702196008473E-2</v>
      </c>
      <c r="G81" s="3">
        <f t="shared" ca="1" si="9"/>
        <v>4.2109124347091187E-2</v>
      </c>
      <c r="H81" s="3">
        <f t="shared" ca="1" si="9"/>
        <v>5.1620690384664776E-2</v>
      </c>
      <c r="I81" s="3">
        <f t="shared" ca="1" si="9"/>
        <v>5.2838978176996225E-2</v>
      </c>
      <c r="J81" s="3">
        <f t="shared" ca="1" si="9"/>
        <v>4.6787850826631006E-2</v>
      </c>
      <c r="K81" s="3">
        <f t="shared" ca="1" si="9"/>
        <v>5.5382642883654902E-2</v>
      </c>
      <c r="L81" s="3">
        <f t="shared" ca="1" si="9"/>
        <v>4.6352222710057955E-2</v>
      </c>
    </row>
    <row r="82" spans="3:12">
      <c r="C82" s="7">
        <v>76</v>
      </c>
      <c r="D82" s="3">
        <f t="shared" si="8"/>
        <v>4.5199999999999997E-2</v>
      </c>
      <c r="E82" s="3">
        <f t="shared" ca="1" si="9"/>
        <v>4.5757913559237771E-2</v>
      </c>
      <c r="F82" s="3">
        <f t="shared" ca="1" si="9"/>
        <v>4.7074025821861036E-2</v>
      </c>
      <c r="G82" s="3">
        <f t="shared" ca="1" si="9"/>
        <v>4.2027982914421474E-2</v>
      </c>
      <c r="H82" s="3">
        <f t="shared" ca="1" si="9"/>
        <v>3.8829188763526028E-2</v>
      </c>
      <c r="I82" s="3">
        <f t="shared" ca="1" si="9"/>
        <v>4.6156842470445769E-2</v>
      </c>
      <c r="J82" s="3">
        <f t="shared" ca="1" si="9"/>
        <v>4.6853832322506311E-2</v>
      </c>
      <c r="K82" s="3">
        <f t="shared" ca="1" si="9"/>
        <v>4.3027600839567748E-2</v>
      </c>
      <c r="L82" s="3">
        <f t="shared" ca="1" si="9"/>
        <v>4.994149050218024E-2</v>
      </c>
    </row>
    <row r="83" spans="3:12">
      <c r="C83" s="7">
        <v>77</v>
      </c>
      <c r="D83" s="3">
        <f t="shared" si="8"/>
        <v>4.5199999999999997E-2</v>
      </c>
      <c r="E83" s="3">
        <f t="shared" ca="1" si="9"/>
        <v>4.1440305532191031E-2</v>
      </c>
      <c r="F83" s="3">
        <f t="shared" ca="1" si="9"/>
        <v>5.0512051257401665E-2</v>
      </c>
      <c r="G83" s="3">
        <f t="shared" ca="1" si="9"/>
        <v>5.2605696464010226E-2</v>
      </c>
      <c r="H83" s="3">
        <f t="shared" ca="1" si="9"/>
        <v>5.8810667149150203E-2</v>
      </c>
      <c r="I83" s="3">
        <f t="shared" ca="1" si="9"/>
        <v>5.305362315253799E-2</v>
      </c>
      <c r="J83" s="3">
        <f t="shared" ca="1" si="9"/>
        <v>5.7775291310088329E-2</v>
      </c>
      <c r="K83" s="3">
        <f t="shared" ca="1" si="9"/>
        <v>6.1447631454773666E-2</v>
      </c>
      <c r="L83" s="3">
        <f t="shared" ca="1" si="9"/>
        <v>6.3125223396235164E-2</v>
      </c>
    </row>
    <row r="84" spans="3:12">
      <c r="C84" s="7">
        <v>78</v>
      </c>
      <c r="D84" s="3">
        <f t="shared" si="8"/>
        <v>4.5199999999999997E-2</v>
      </c>
      <c r="E84" s="3">
        <f t="shared" ca="1" si="9"/>
        <v>4.992966468928383E-2</v>
      </c>
      <c r="F84" s="3">
        <f t="shared" ca="1" si="9"/>
        <v>6.2246333825730235E-2</v>
      </c>
      <c r="G84" s="3">
        <f t="shared" ca="1" si="9"/>
        <v>6.4558934160866749E-2</v>
      </c>
      <c r="H84" s="3">
        <f t="shared" ca="1" si="9"/>
        <v>6.5826138270694501E-2</v>
      </c>
      <c r="I84" s="3">
        <f t="shared" ca="1" si="9"/>
        <v>6.065508786766341E-2</v>
      </c>
      <c r="J84" s="3">
        <f t="shared" ca="1" si="9"/>
        <v>5.8612803821068316E-2</v>
      </c>
      <c r="K84" s="3">
        <f t="shared" ca="1" si="9"/>
        <v>5.1868323183860192E-2</v>
      </c>
      <c r="L84" s="3">
        <f t="shared" ca="1" si="9"/>
        <v>5.2591547482104782E-2</v>
      </c>
    </row>
    <row r="85" spans="3:12">
      <c r="C85" s="7">
        <v>79</v>
      </c>
      <c r="D85" s="3">
        <f t="shared" si="8"/>
        <v>4.5199999999999997E-2</v>
      </c>
      <c r="E85" s="3">
        <f t="shared" ca="1" si="9"/>
        <v>4.1976846195090532E-2</v>
      </c>
      <c r="F85" s="3">
        <f t="shared" ca="1" si="9"/>
        <v>4.3724780639555177E-2</v>
      </c>
      <c r="G85" s="3">
        <f t="shared" ca="1" si="9"/>
        <v>4.2352666745981177E-2</v>
      </c>
      <c r="H85" s="3">
        <f t="shared" ca="1" si="9"/>
        <v>5.2489957371341905E-2</v>
      </c>
      <c r="I85" s="3">
        <f t="shared" ca="1" si="9"/>
        <v>5.8283307130309957E-2</v>
      </c>
      <c r="J85" s="3">
        <f t="shared" ca="1" si="9"/>
        <v>6.3438203277957059E-2</v>
      </c>
      <c r="K85" s="3">
        <f t="shared" ca="1" si="9"/>
        <v>6.8824253340990668E-2</v>
      </c>
      <c r="L85" s="3">
        <f t="shared" ca="1" si="9"/>
        <v>7.0996102866623223E-2</v>
      </c>
    </row>
    <row r="86" spans="3:12">
      <c r="C86" s="7">
        <v>80</v>
      </c>
      <c r="D86" s="3">
        <f t="shared" si="8"/>
        <v>4.5199999999999997E-2</v>
      </c>
      <c r="E86" s="3">
        <f t="shared" ca="1" si="9"/>
        <v>4.9299332429879023E-2</v>
      </c>
      <c r="F86" s="3">
        <f t="shared" ca="1" si="9"/>
        <v>5.0159568472379887E-2</v>
      </c>
      <c r="G86" s="3">
        <f t="shared" ca="1" si="9"/>
        <v>4.7807595938914801E-2</v>
      </c>
      <c r="H86" s="3">
        <f t="shared" ca="1" si="9"/>
        <v>4.2975309023509316E-2</v>
      </c>
      <c r="I86" s="3">
        <f t="shared" ca="1" si="9"/>
        <v>4.5625910494051042E-2</v>
      </c>
      <c r="J86" s="3">
        <f t="shared" ca="1" si="9"/>
        <v>4.4447471543664033E-2</v>
      </c>
      <c r="K86" s="3">
        <f t="shared" ca="1" si="9"/>
        <v>3.5310368201761741E-2</v>
      </c>
      <c r="L86" s="3">
        <f t="shared" ca="1" si="9"/>
        <v>4.1113246404242035E-2</v>
      </c>
    </row>
    <row r="87" spans="3:12">
      <c r="C87" s="7">
        <v>81</v>
      </c>
      <c r="D87" s="3">
        <f t="shared" si="8"/>
        <v>4.5199999999999997E-2</v>
      </c>
      <c r="E87" s="3">
        <f t="shared" ref="E87:L96" ca="1" si="10">D87+E$5*dt+sigma*_xlfn.NORM.S.INV(RAND())*SQRT(dt)</f>
        <v>5.0073148683293933E-2</v>
      </c>
      <c r="F87" s="3">
        <f t="shared" ca="1" si="10"/>
        <v>5.8831277797125055E-2</v>
      </c>
      <c r="G87" s="3">
        <f t="shared" ca="1" si="10"/>
        <v>5.0943194046646795E-2</v>
      </c>
      <c r="H87" s="3">
        <f t="shared" ca="1" si="10"/>
        <v>5.3916082953129794E-2</v>
      </c>
      <c r="I87" s="3">
        <f t="shared" ca="1" si="10"/>
        <v>6.0243291226338029E-2</v>
      </c>
      <c r="J87" s="3">
        <f t="shared" ca="1" si="10"/>
        <v>6.2053322850183577E-2</v>
      </c>
      <c r="K87" s="3">
        <f t="shared" ca="1" si="10"/>
        <v>5.7136408398778461E-2</v>
      </c>
      <c r="L87" s="3">
        <f t="shared" ca="1" si="10"/>
        <v>5.686609837609706E-2</v>
      </c>
    </row>
    <row r="88" spans="3:12">
      <c r="C88" s="7">
        <v>82</v>
      </c>
      <c r="D88" s="3">
        <f t="shared" si="8"/>
        <v>4.5199999999999997E-2</v>
      </c>
      <c r="E88" s="3">
        <f t="shared" ca="1" si="10"/>
        <v>4.2411575533833387E-2</v>
      </c>
      <c r="F88" s="3">
        <f t="shared" ca="1" si="10"/>
        <v>3.9692770468570039E-2</v>
      </c>
      <c r="G88" s="3">
        <f t="shared" ca="1" si="10"/>
        <v>3.8143519909743975E-2</v>
      </c>
      <c r="H88" s="3">
        <f t="shared" ca="1" si="10"/>
        <v>3.3709737013185623E-2</v>
      </c>
      <c r="I88" s="3">
        <f t="shared" ca="1" si="10"/>
        <v>3.2482095574839942E-2</v>
      </c>
      <c r="J88" s="3">
        <f t="shared" ca="1" si="10"/>
        <v>3.9027185884792155E-2</v>
      </c>
      <c r="K88" s="3">
        <f t="shared" ca="1" si="10"/>
        <v>4.0515378672802659E-2</v>
      </c>
      <c r="L88" s="3">
        <f t="shared" ca="1" si="10"/>
        <v>4.7078307974909285E-2</v>
      </c>
    </row>
    <row r="89" spans="3:12">
      <c r="C89" s="7">
        <v>83</v>
      </c>
      <c r="D89" s="3">
        <f t="shared" si="8"/>
        <v>4.5199999999999997E-2</v>
      </c>
      <c r="E89" s="3">
        <f t="shared" ca="1" si="10"/>
        <v>5.9555039595913975E-2</v>
      </c>
      <c r="F89" s="3">
        <f t="shared" ca="1" si="10"/>
        <v>6.7938738017279454E-2</v>
      </c>
      <c r="G89" s="3">
        <f t="shared" ca="1" si="10"/>
        <v>6.7125299997767313E-2</v>
      </c>
      <c r="H89" s="3">
        <f t="shared" ca="1" si="10"/>
        <v>7.2558692412199796E-2</v>
      </c>
      <c r="I89" s="3">
        <f t="shared" ca="1" si="10"/>
        <v>7.8821435867023365E-2</v>
      </c>
      <c r="J89" s="3">
        <f t="shared" ca="1" si="10"/>
        <v>8.058940728180998E-2</v>
      </c>
      <c r="K89" s="3">
        <f t="shared" ca="1" si="10"/>
        <v>7.7932445210250598E-2</v>
      </c>
      <c r="L89" s="3">
        <f t="shared" ca="1" si="10"/>
        <v>7.8405826369884607E-2</v>
      </c>
    </row>
    <row r="90" spans="3:12">
      <c r="C90" s="7">
        <v>84</v>
      </c>
      <c r="D90" s="3">
        <f t="shared" si="8"/>
        <v>4.5199999999999997E-2</v>
      </c>
      <c r="E90" s="3">
        <f t="shared" ca="1" si="10"/>
        <v>4.6437071871013196E-2</v>
      </c>
      <c r="F90" s="3">
        <f t="shared" ca="1" si="10"/>
        <v>4.6846928240054056E-2</v>
      </c>
      <c r="G90" s="3">
        <f t="shared" ca="1" si="10"/>
        <v>4.4985845154614852E-2</v>
      </c>
      <c r="H90" s="3">
        <f t="shared" ca="1" si="10"/>
        <v>3.7491394180416734E-2</v>
      </c>
      <c r="I90" s="3">
        <f t="shared" ca="1" si="10"/>
        <v>3.8856861500254095E-2</v>
      </c>
      <c r="J90" s="3">
        <f t="shared" ca="1" si="10"/>
        <v>3.7267164075862502E-2</v>
      </c>
      <c r="K90" s="3">
        <f t="shared" ca="1" si="10"/>
        <v>3.6699065962394355E-2</v>
      </c>
      <c r="L90" s="3">
        <f t="shared" ca="1" si="10"/>
        <v>4.0334945331666851E-2</v>
      </c>
    </row>
    <row r="91" spans="3:12">
      <c r="C91" s="7">
        <v>85</v>
      </c>
      <c r="D91" s="3">
        <f t="shared" si="8"/>
        <v>4.5199999999999997E-2</v>
      </c>
      <c r="E91" s="3">
        <f t="shared" ca="1" si="10"/>
        <v>4.4263887609081655E-2</v>
      </c>
      <c r="F91" s="3">
        <f t="shared" ca="1" si="10"/>
        <v>5.315678504078223E-2</v>
      </c>
      <c r="G91" s="3">
        <f t="shared" ca="1" si="10"/>
        <v>5.649590420974937E-2</v>
      </c>
      <c r="H91" s="3">
        <f t="shared" ca="1" si="10"/>
        <v>6.7812269509480716E-2</v>
      </c>
      <c r="I91" s="3">
        <f t="shared" ca="1" si="10"/>
        <v>7.1262699213852754E-2</v>
      </c>
      <c r="J91" s="3">
        <f t="shared" ca="1" si="10"/>
        <v>7.5953222365301193E-2</v>
      </c>
      <c r="K91" s="3">
        <f t="shared" ca="1" si="10"/>
        <v>7.1789150432947771E-2</v>
      </c>
      <c r="L91" s="3">
        <f t="shared" ca="1" si="10"/>
        <v>7.7010975199666654E-2</v>
      </c>
    </row>
    <row r="92" spans="3:12">
      <c r="C92" s="7">
        <v>86</v>
      </c>
      <c r="D92" s="3">
        <f t="shared" si="8"/>
        <v>4.5199999999999997E-2</v>
      </c>
      <c r="E92" s="3">
        <f t="shared" ca="1" si="10"/>
        <v>4.8550050926631859E-2</v>
      </c>
      <c r="F92" s="3">
        <f t="shared" ca="1" si="10"/>
        <v>5.3820020906773035E-2</v>
      </c>
      <c r="G92" s="3">
        <f t="shared" ca="1" si="10"/>
        <v>5.5785811136688096E-2</v>
      </c>
      <c r="H92" s="3">
        <f t="shared" ca="1" si="10"/>
        <v>5.3527159887898773E-2</v>
      </c>
      <c r="I92" s="3">
        <f t="shared" ca="1" si="10"/>
        <v>4.5915842345432036E-2</v>
      </c>
      <c r="J92" s="3">
        <f t="shared" ca="1" si="10"/>
        <v>4.7999449027609567E-2</v>
      </c>
      <c r="K92" s="3">
        <f t="shared" ca="1" si="10"/>
        <v>4.846915258627861E-2</v>
      </c>
      <c r="L92" s="3">
        <f t="shared" ca="1" si="10"/>
        <v>5.3426168393602508E-2</v>
      </c>
    </row>
    <row r="93" spans="3:12">
      <c r="C93" s="7">
        <v>87</v>
      </c>
      <c r="D93" s="3">
        <f t="shared" si="8"/>
        <v>4.5199999999999997E-2</v>
      </c>
      <c r="E93" s="3">
        <f t="shared" ca="1" si="10"/>
        <v>3.4226842771850452E-2</v>
      </c>
      <c r="F93" s="3">
        <f t="shared" ca="1" si="10"/>
        <v>3.8884921682023198E-2</v>
      </c>
      <c r="G93" s="3">
        <f t="shared" ca="1" si="10"/>
        <v>4.1320010574622514E-2</v>
      </c>
      <c r="H93" s="3">
        <f t="shared" ca="1" si="10"/>
        <v>4.0244038289125116E-2</v>
      </c>
      <c r="I93" s="3">
        <f t="shared" ca="1" si="10"/>
        <v>3.6700320941794443E-2</v>
      </c>
      <c r="J93" s="3">
        <f t="shared" ca="1" si="10"/>
        <v>4.3446125725495235E-2</v>
      </c>
      <c r="K93" s="3">
        <f t="shared" ca="1" si="10"/>
        <v>4.8359156417835281E-2</v>
      </c>
      <c r="L93" s="3">
        <f t="shared" ca="1" si="10"/>
        <v>4.9117618531509616E-2</v>
      </c>
    </row>
    <row r="94" spans="3:12">
      <c r="C94" s="7">
        <v>88</v>
      </c>
      <c r="D94" s="3">
        <f t="shared" si="8"/>
        <v>4.5199999999999997E-2</v>
      </c>
      <c r="E94" s="3">
        <f t="shared" ca="1" si="10"/>
        <v>4.4329567603793418E-2</v>
      </c>
      <c r="F94" s="3">
        <f t="shared" ca="1" si="10"/>
        <v>4.8923490101917939E-2</v>
      </c>
      <c r="G94" s="3">
        <f t="shared" ca="1" si="10"/>
        <v>4.9463242154058479E-2</v>
      </c>
      <c r="H94" s="3">
        <f t="shared" ca="1" si="10"/>
        <v>5.0845114901018916E-2</v>
      </c>
      <c r="I94" s="3">
        <f t="shared" ca="1" si="10"/>
        <v>5.088783711463226E-2</v>
      </c>
      <c r="J94" s="3">
        <f t="shared" ca="1" si="10"/>
        <v>5.3811579036161572E-2</v>
      </c>
      <c r="K94" s="3">
        <f t="shared" ca="1" si="10"/>
        <v>5.553008810215683E-2</v>
      </c>
      <c r="L94" s="3">
        <f t="shared" ca="1" si="10"/>
        <v>6.1286973930262008E-2</v>
      </c>
    </row>
    <row r="95" spans="3:12">
      <c r="C95" s="7">
        <v>89</v>
      </c>
      <c r="D95" s="3">
        <f t="shared" si="8"/>
        <v>4.5199999999999997E-2</v>
      </c>
      <c r="E95" s="3">
        <f t="shared" ca="1" si="10"/>
        <v>5.1451600525749319E-2</v>
      </c>
      <c r="F95" s="3">
        <f t="shared" ca="1" si="10"/>
        <v>6.4182352929820316E-2</v>
      </c>
      <c r="G95" s="3">
        <f t="shared" ca="1" si="10"/>
        <v>6.8004203827852022E-2</v>
      </c>
      <c r="H95" s="3">
        <f t="shared" ca="1" si="10"/>
        <v>6.9989492529620168E-2</v>
      </c>
      <c r="I95" s="3">
        <f t="shared" ca="1" si="10"/>
        <v>8.015445273370328E-2</v>
      </c>
      <c r="J95" s="3">
        <f t="shared" ca="1" si="10"/>
        <v>8.2601430370921436E-2</v>
      </c>
      <c r="K95" s="3">
        <f t="shared" ca="1" si="10"/>
        <v>8.2031804705774203E-2</v>
      </c>
      <c r="L95" s="3">
        <f t="shared" ca="1" si="10"/>
        <v>7.8795868005409941E-2</v>
      </c>
    </row>
    <row r="96" spans="3:12">
      <c r="C96" s="7">
        <v>90</v>
      </c>
      <c r="D96" s="3">
        <f t="shared" si="8"/>
        <v>4.5199999999999997E-2</v>
      </c>
      <c r="E96" s="3">
        <f t="shared" ca="1" si="10"/>
        <v>5.6688591492208507E-2</v>
      </c>
      <c r="F96" s="3">
        <f t="shared" ca="1" si="10"/>
        <v>6.2481193181469587E-2</v>
      </c>
      <c r="G96" s="3">
        <f t="shared" ca="1" si="10"/>
        <v>5.8928970467769862E-2</v>
      </c>
      <c r="H96" s="3">
        <f t="shared" ca="1" si="10"/>
        <v>6.654724657273775E-2</v>
      </c>
      <c r="I96" s="3">
        <f t="shared" ca="1" si="10"/>
        <v>5.7262976316334445E-2</v>
      </c>
      <c r="J96" s="3">
        <f t="shared" ca="1" si="10"/>
        <v>6.5196618114900046E-2</v>
      </c>
      <c r="K96" s="3">
        <f t="shared" ca="1" si="10"/>
        <v>7.5314016940095971E-2</v>
      </c>
      <c r="L96" s="3">
        <f t="shared" ca="1" si="10"/>
        <v>7.5940678652174853E-2</v>
      </c>
    </row>
    <row r="97" spans="3:12">
      <c r="C97" s="7">
        <v>91</v>
      </c>
      <c r="D97" s="3">
        <f t="shared" si="8"/>
        <v>4.5199999999999997E-2</v>
      </c>
      <c r="E97" s="3">
        <f t="shared" ref="E97:L106" ca="1" si="11">D97+E$5*dt+sigma*_xlfn.NORM.S.INV(RAND())*SQRT(dt)</f>
        <v>4.4744300726984834E-2</v>
      </c>
      <c r="F97" s="3">
        <f t="shared" ca="1" si="11"/>
        <v>4.3953939309714377E-2</v>
      </c>
      <c r="G97" s="3">
        <f t="shared" ca="1" si="11"/>
        <v>4.2387015867203379E-2</v>
      </c>
      <c r="H97" s="3">
        <f t="shared" ca="1" si="11"/>
        <v>4.4820001636676536E-2</v>
      </c>
      <c r="I97" s="3">
        <f t="shared" ca="1" si="11"/>
        <v>4.1027533385358694E-2</v>
      </c>
      <c r="J97" s="3">
        <f t="shared" ca="1" si="11"/>
        <v>3.9458217811990978E-2</v>
      </c>
      <c r="K97" s="3">
        <f t="shared" ca="1" si="11"/>
        <v>3.8765447258535826E-2</v>
      </c>
      <c r="L97" s="3">
        <f t="shared" ca="1" si="11"/>
        <v>4.3289084193472875E-2</v>
      </c>
    </row>
    <row r="98" spans="3:12">
      <c r="C98" s="7">
        <v>92</v>
      </c>
      <c r="D98" s="3">
        <f t="shared" si="8"/>
        <v>4.5199999999999997E-2</v>
      </c>
      <c r="E98" s="3">
        <f t="shared" ca="1" si="11"/>
        <v>3.9646921082280025E-2</v>
      </c>
      <c r="F98" s="3">
        <f t="shared" ca="1" si="11"/>
        <v>3.6923460232661513E-2</v>
      </c>
      <c r="G98" s="3">
        <f t="shared" ca="1" si="11"/>
        <v>4.3578998877561025E-2</v>
      </c>
      <c r="H98" s="3">
        <f t="shared" ca="1" si="11"/>
        <v>4.5833277275045922E-2</v>
      </c>
      <c r="I98" s="3">
        <f t="shared" ca="1" si="11"/>
        <v>4.2542479603087831E-2</v>
      </c>
      <c r="J98" s="3">
        <f t="shared" ca="1" si="11"/>
        <v>4.7110619199850344E-2</v>
      </c>
      <c r="K98" s="3">
        <f t="shared" ca="1" si="11"/>
        <v>4.2460654638338674E-2</v>
      </c>
      <c r="L98" s="3">
        <f t="shared" ca="1" si="11"/>
        <v>4.7034039708237857E-2</v>
      </c>
    </row>
    <row r="99" spans="3:12">
      <c r="C99" s="7">
        <v>93</v>
      </c>
      <c r="D99" s="3">
        <f t="shared" si="8"/>
        <v>4.5199999999999997E-2</v>
      </c>
      <c r="E99" s="3">
        <f t="shared" ca="1" si="11"/>
        <v>4.2874121697894174E-2</v>
      </c>
      <c r="F99" s="3">
        <f t="shared" ca="1" si="11"/>
        <v>4.2724303171678489E-2</v>
      </c>
      <c r="G99" s="3">
        <f t="shared" ca="1" si="11"/>
        <v>3.6855751452374914E-2</v>
      </c>
      <c r="H99" s="3">
        <f t="shared" ca="1" si="11"/>
        <v>4.1978352113369179E-2</v>
      </c>
      <c r="I99" s="3">
        <f t="shared" ca="1" si="11"/>
        <v>3.8478581050099214E-2</v>
      </c>
      <c r="J99" s="3">
        <f t="shared" ca="1" si="11"/>
        <v>4.2446522201176347E-2</v>
      </c>
      <c r="K99" s="3">
        <f t="shared" ca="1" si="11"/>
        <v>3.4178072620725433E-2</v>
      </c>
      <c r="L99" s="3">
        <f t="shared" ca="1" si="11"/>
        <v>3.9211095261430413E-2</v>
      </c>
    </row>
    <row r="100" spans="3:12">
      <c r="C100" s="7">
        <v>94</v>
      </c>
      <c r="D100" s="3">
        <f t="shared" si="8"/>
        <v>4.5199999999999997E-2</v>
      </c>
      <c r="E100" s="3">
        <f t="shared" ca="1" si="11"/>
        <v>4.7536457069989754E-2</v>
      </c>
      <c r="F100" s="3">
        <f t="shared" ca="1" si="11"/>
        <v>4.6109902662753138E-2</v>
      </c>
      <c r="G100" s="3">
        <f t="shared" ca="1" si="11"/>
        <v>4.8561192568926492E-2</v>
      </c>
      <c r="H100" s="3">
        <f t="shared" ca="1" si="11"/>
        <v>4.337561559341227E-2</v>
      </c>
      <c r="I100" s="3">
        <f t="shared" ca="1" si="11"/>
        <v>3.1935190354673175E-2</v>
      </c>
      <c r="J100" s="3">
        <f t="shared" ca="1" si="11"/>
        <v>3.5457257087749099E-2</v>
      </c>
      <c r="K100" s="3">
        <f t="shared" ca="1" si="11"/>
        <v>2.5166669313512594E-2</v>
      </c>
      <c r="L100" s="3">
        <f t="shared" ca="1" si="11"/>
        <v>3.031885270452184E-2</v>
      </c>
    </row>
    <row r="101" spans="3:12">
      <c r="C101" s="7">
        <v>95</v>
      </c>
      <c r="D101" s="3">
        <f t="shared" si="8"/>
        <v>4.5199999999999997E-2</v>
      </c>
      <c r="E101" s="3">
        <f t="shared" ca="1" si="11"/>
        <v>4.7636458130353755E-2</v>
      </c>
      <c r="F101" s="3">
        <f t="shared" ca="1" si="11"/>
        <v>5.2300004488173735E-2</v>
      </c>
      <c r="G101" s="3">
        <f t="shared" ca="1" si="11"/>
        <v>4.3197133286392797E-2</v>
      </c>
      <c r="H101" s="3">
        <f t="shared" ca="1" si="11"/>
        <v>4.6109078664856869E-2</v>
      </c>
      <c r="I101" s="3">
        <f t="shared" ca="1" si="11"/>
        <v>3.7528930072848722E-2</v>
      </c>
      <c r="J101" s="3">
        <f t="shared" ca="1" si="11"/>
        <v>3.6609129476175242E-2</v>
      </c>
      <c r="K101" s="3">
        <f t="shared" ca="1" si="11"/>
        <v>3.0395856844368171E-2</v>
      </c>
      <c r="L101" s="3">
        <f t="shared" ca="1" si="11"/>
        <v>3.5311482975603055E-2</v>
      </c>
    </row>
    <row r="102" spans="3:12">
      <c r="C102" s="7">
        <v>96</v>
      </c>
      <c r="D102" s="3">
        <f t="shared" si="8"/>
        <v>4.5199999999999997E-2</v>
      </c>
      <c r="E102" s="3">
        <f t="shared" ca="1" si="11"/>
        <v>4.1611520834228644E-2</v>
      </c>
      <c r="F102" s="3">
        <f t="shared" ca="1" si="11"/>
        <v>4.7116637379855004E-2</v>
      </c>
      <c r="G102" s="3">
        <f t="shared" ca="1" si="11"/>
        <v>4.5065260595062592E-2</v>
      </c>
      <c r="H102" s="3">
        <f t="shared" ca="1" si="11"/>
        <v>4.7578833668097162E-2</v>
      </c>
      <c r="I102" s="3">
        <f t="shared" ca="1" si="11"/>
        <v>5.6949181723015725E-2</v>
      </c>
      <c r="J102" s="3">
        <f t="shared" ca="1" si="11"/>
        <v>5.8555228622396961E-2</v>
      </c>
      <c r="K102" s="3">
        <f t="shared" ca="1" si="11"/>
        <v>5.1175981640627949E-2</v>
      </c>
      <c r="L102" s="3">
        <f t="shared" ca="1" si="11"/>
        <v>5.8447274830402025E-2</v>
      </c>
    </row>
    <row r="103" spans="3:12">
      <c r="C103" s="7">
        <v>97</v>
      </c>
      <c r="D103" s="3">
        <f t="shared" si="8"/>
        <v>4.5199999999999997E-2</v>
      </c>
      <c r="E103" s="3">
        <f t="shared" ca="1" si="11"/>
        <v>4.073515971893267E-2</v>
      </c>
      <c r="F103" s="3">
        <f t="shared" ca="1" si="11"/>
        <v>3.9409618182125787E-2</v>
      </c>
      <c r="G103" s="3">
        <f t="shared" ca="1" si="11"/>
        <v>4.5208564493049781E-2</v>
      </c>
      <c r="H103" s="3">
        <f t="shared" ca="1" si="11"/>
        <v>4.3775799526904441E-2</v>
      </c>
      <c r="I103" s="3">
        <f t="shared" ca="1" si="11"/>
        <v>4.9290855685659718E-2</v>
      </c>
      <c r="J103" s="3">
        <f t="shared" ca="1" si="11"/>
        <v>5.2367197011390108E-2</v>
      </c>
      <c r="K103" s="3">
        <f t="shared" ca="1" si="11"/>
        <v>5.4439888211802873E-2</v>
      </c>
      <c r="L103" s="3">
        <f t="shared" ca="1" si="11"/>
        <v>6.0726008282798269E-2</v>
      </c>
    </row>
    <row r="104" spans="3:12">
      <c r="C104" s="7">
        <v>98</v>
      </c>
      <c r="D104" s="3">
        <f t="shared" si="8"/>
        <v>4.5199999999999997E-2</v>
      </c>
      <c r="E104" s="3">
        <f t="shared" ca="1" si="11"/>
        <v>4.4104127661840312E-2</v>
      </c>
      <c r="F104" s="3">
        <f t="shared" ca="1" si="11"/>
        <v>5.0940510703655587E-2</v>
      </c>
      <c r="G104" s="3">
        <f t="shared" ca="1" si="11"/>
        <v>5.6785527993245356E-2</v>
      </c>
      <c r="H104" s="3">
        <f t="shared" ca="1" si="11"/>
        <v>6.493994563580846E-2</v>
      </c>
      <c r="I104" s="3">
        <f t="shared" ca="1" si="11"/>
        <v>6.8486438766910046E-2</v>
      </c>
      <c r="J104" s="3">
        <f t="shared" ca="1" si="11"/>
        <v>7.1325890219056706E-2</v>
      </c>
      <c r="K104" s="3">
        <f t="shared" ca="1" si="11"/>
        <v>5.4700921951959948E-2</v>
      </c>
      <c r="L104" s="3">
        <f t="shared" ca="1" si="11"/>
        <v>5.4588528986502259E-2</v>
      </c>
    </row>
    <row r="105" spans="3:12">
      <c r="C105" s="7">
        <v>99</v>
      </c>
      <c r="D105" s="3">
        <f t="shared" si="8"/>
        <v>4.5199999999999997E-2</v>
      </c>
      <c r="E105" s="3">
        <f t="shared" ca="1" si="11"/>
        <v>4.6877326963108167E-2</v>
      </c>
      <c r="F105" s="3">
        <f t="shared" ca="1" si="11"/>
        <v>4.9605693217586129E-2</v>
      </c>
      <c r="G105" s="3">
        <f t="shared" ca="1" si="11"/>
        <v>4.9676840707219456E-2</v>
      </c>
      <c r="H105" s="3">
        <f t="shared" ca="1" si="11"/>
        <v>5.5944461193735445E-2</v>
      </c>
      <c r="I105" s="3">
        <f t="shared" ca="1" si="11"/>
        <v>5.7258330761868148E-2</v>
      </c>
      <c r="J105" s="3">
        <f t="shared" ca="1" si="11"/>
        <v>6.4957468643139157E-2</v>
      </c>
      <c r="K105" s="3">
        <f t="shared" ca="1" si="11"/>
        <v>6.8079903412020012E-2</v>
      </c>
      <c r="L105" s="3">
        <f t="shared" ca="1" si="11"/>
        <v>7.0333918747649965E-2</v>
      </c>
    </row>
    <row r="106" spans="3:12">
      <c r="C106" s="7">
        <v>100</v>
      </c>
      <c r="D106" s="3">
        <f t="shared" si="8"/>
        <v>4.5199999999999997E-2</v>
      </c>
      <c r="E106" s="3">
        <f t="shared" ca="1" si="11"/>
        <v>3.9515672683129437E-2</v>
      </c>
      <c r="F106" s="3">
        <f t="shared" ca="1" si="11"/>
        <v>3.9127687429915181E-2</v>
      </c>
      <c r="G106" s="3">
        <f t="shared" ca="1" si="11"/>
        <v>3.1158047983359118E-2</v>
      </c>
      <c r="H106" s="3">
        <f t="shared" ca="1" si="11"/>
        <v>3.0251040176136425E-2</v>
      </c>
      <c r="I106" s="3">
        <f t="shared" ca="1" si="11"/>
        <v>2.952729222370204E-2</v>
      </c>
      <c r="J106" s="3">
        <f t="shared" ca="1" si="11"/>
        <v>3.9798140111634607E-2</v>
      </c>
      <c r="K106" s="3">
        <f t="shared" ca="1" si="11"/>
        <v>3.6373437160993748E-2</v>
      </c>
      <c r="L106" s="3">
        <f t="shared" ca="1" si="11"/>
        <v>3.0656453723642493E-2</v>
      </c>
    </row>
    <row r="107" spans="3:12">
      <c r="C107" s="7">
        <v>101</v>
      </c>
      <c r="D107" s="3">
        <f t="shared" si="8"/>
        <v>4.5199999999999997E-2</v>
      </c>
      <c r="E107" s="3">
        <f t="shared" ref="E107:L116" ca="1" si="12">D107+E$5*dt+sigma*_xlfn.NORM.S.INV(RAND())*SQRT(dt)</f>
        <v>4.4876813983873769E-2</v>
      </c>
      <c r="F107" s="3">
        <f t="shared" ca="1" si="12"/>
        <v>5.0586692699998007E-2</v>
      </c>
      <c r="G107" s="3">
        <f t="shared" ca="1" si="12"/>
        <v>5.2727623849067588E-2</v>
      </c>
      <c r="H107" s="3">
        <f t="shared" ca="1" si="12"/>
        <v>5.5236822152598661E-2</v>
      </c>
      <c r="I107" s="3">
        <f t="shared" ca="1" si="12"/>
        <v>5.5313992730763886E-2</v>
      </c>
      <c r="J107" s="3">
        <f t="shared" ca="1" si="12"/>
        <v>5.260998024140761E-2</v>
      </c>
      <c r="K107" s="3">
        <f t="shared" ca="1" si="12"/>
        <v>5.7786831354060868E-2</v>
      </c>
      <c r="L107" s="3">
        <f t="shared" ca="1" si="12"/>
        <v>6.5147026316293336E-2</v>
      </c>
    </row>
    <row r="108" spans="3:12">
      <c r="C108" s="7">
        <v>102</v>
      </c>
      <c r="D108" s="3">
        <f t="shared" si="8"/>
        <v>4.5199999999999997E-2</v>
      </c>
      <c r="E108" s="3">
        <f t="shared" ca="1" si="12"/>
        <v>5.1087686429502566E-2</v>
      </c>
      <c r="F108" s="3">
        <f t="shared" ca="1" si="12"/>
        <v>5.6200733771057873E-2</v>
      </c>
      <c r="G108" s="3">
        <f t="shared" ca="1" si="12"/>
        <v>6.1586095824315921E-2</v>
      </c>
      <c r="H108" s="3">
        <f t="shared" ca="1" si="12"/>
        <v>6.3852066293582352E-2</v>
      </c>
      <c r="I108" s="3">
        <f t="shared" ca="1" si="12"/>
        <v>7.0031969774358035E-2</v>
      </c>
      <c r="J108" s="3">
        <f t="shared" ca="1" si="12"/>
        <v>6.545159233356633E-2</v>
      </c>
      <c r="K108" s="3">
        <f t="shared" ca="1" si="12"/>
        <v>6.5076614955646941E-2</v>
      </c>
      <c r="L108" s="3">
        <f t="shared" ca="1" si="12"/>
        <v>5.349330676674819E-2</v>
      </c>
    </row>
    <row r="109" spans="3:12">
      <c r="C109" s="7">
        <v>103</v>
      </c>
      <c r="D109" s="3">
        <f t="shared" si="8"/>
        <v>4.5199999999999997E-2</v>
      </c>
      <c r="E109" s="3">
        <f t="shared" ca="1" si="12"/>
        <v>4.3961037882114633E-2</v>
      </c>
      <c r="F109" s="3">
        <f t="shared" ca="1" si="12"/>
        <v>4.8615837731962139E-2</v>
      </c>
      <c r="G109" s="3">
        <f t="shared" ca="1" si="12"/>
        <v>4.4996607225679879E-2</v>
      </c>
      <c r="H109" s="3">
        <f t="shared" ca="1" si="12"/>
        <v>4.4251373491636756E-2</v>
      </c>
      <c r="I109" s="3">
        <f t="shared" ca="1" si="12"/>
        <v>4.6677733706194303E-2</v>
      </c>
      <c r="J109" s="3">
        <f t="shared" ca="1" si="12"/>
        <v>3.8894778250069394E-2</v>
      </c>
      <c r="K109" s="3">
        <f t="shared" ca="1" si="12"/>
        <v>4.6210546304061961E-2</v>
      </c>
      <c r="L109" s="3">
        <f t="shared" ca="1" si="12"/>
        <v>5.6851143502943874E-2</v>
      </c>
    </row>
    <row r="110" spans="3:12">
      <c r="C110" s="7">
        <v>104</v>
      </c>
      <c r="D110" s="3">
        <f t="shared" si="8"/>
        <v>4.5199999999999997E-2</v>
      </c>
      <c r="E110" s="3">
        <f t="shared" ca="1" si="12"/>
        <v>4.9904726882164768E-2</v>
      </c>
      <c r="F110" s="3">
        <f t="shared" ca="1" si="12"/>
        <v>5.444547753146127E-2</v>
      </c>
      <c r="G110" s="3">
        <f t="shared" ca="1" si="12"/>
        <v>4.6409355230806734E-2</v>
      </c>
      <c r="H110" s="3">
        <f t="shared" ca="1" si="12"/>
        <v>5.1978726637758613E-2</v>
      </c>
      <c r="I110" s="3">
        <f t="shared" ca="1" si="12"/>
        <v>4.7222604556627669E-2</v>
      </c>
      <c r="J110" s="3">
        <f t="shared" ca="1" si="12"/>
        <v>4.2793673245916361E-2</v>
      </c>
      <c r="K110" s="3">
        <f t="shared" ca="1" si="12"/>
        <v>4.5986075157390921E-2</v>
      </c>
      <c r="L110" s="3">
        <f t="shared" ca="1" si="12"/>
        <v>4.8259069139719536E-2</v>
      </c>
    </row>
    <row r="111" spans="3:12">
      <c r="C111" s="7">
        <v>105</v>
      </c>
      <c r="D111" s="3">
        <f t="shared" si="8"/>
        <v>4.5199999999999997E-2</v>
      </c>
      <c r="E111" s="3">
        <f t="shared" ca="1" si="12"/>
        <v>4.5347827941322333E-2</v>
      </c>
      <c r="F111" s="3">
        <f t="shared" ca="1" si="12"/>
        <v>4.4121762405557062E-2</v>
      </c>
      <c r="G111" s="3">
        <f t="shared" ca="1" si="12"/>
        <v>4.8226726250733321E-2</v>
      </c>
      <c r="H111" s="3">
        <f t="shared" ca="1" si="12"/>
        <v>4.5590846398116655E-2</v>
      </c>
      <c r="I111" s="3">
        <f t="shared" ca="1" si="12"/>
        <v>5.5804265120031102E-2</v>
      </c>
      <c r="J111" s="3">
        <f t="shared" ca="1" si="12"/>
        <v>4.944692032396699E-2</v>
      </c>
      <c r="K111" s="3">
        <f t="shared" ca="1" si="12"/>
        <v>5.0788590239263583E-2</v>
      </c>
      <c r="L111" s="3">
        <f t="shared" ca="1" si="12"/>
        <v>4.9790083045533277E-2</v>
      </c>
    </row>
    <row r="112" spans="3:12">
      <c r="C112" s="7">
        <v>106</v>
      </c>
      <c r="D112" s="3">
        <f t="shared" si="8"/>
        <v>4.5199999999999997E-2</v>
      </c>
      <c r="E112" s="3">
        <f t="shared" ca="1" si="12"/>
        <v>5.1195662130717523E-2</v>
      </c>
      <c r="F112" s="3">
        <f t="shared" ca="1" si="12"/>
        <v>5.5500364183754397E-2</v>
      </c>
      <c r="G112" s="3">
        <f t="shared" ca="1" si="12"/>
        <v>5.4222415234349355E-2</v>
      </c>
      <c r="H112" s="3">
        <f t="shared" ca="1" si="12"/>
        <v>5.7493829571991534E-2</v>
      </c>
      <c r="I112" s="3">
        <f t="shared" ca="1" si="12"/>
        <v>7.2315967067322934E-2</v>
      </c>
      <c r="J112" s="3">
        <f t="shared" ca="1" si="12"/>
        <v>6.5647891840329944E-2</v>
      </c>
      <c r="K112" s="3">
        <f t="shared" ca="1" si="12"/>
        <v>6.1152180902724937E-2</v>
      </c>
      <c r="L112" s="3">
        <f t="shared" ca="1" si="12"/>
        <v>6.3719975412874205E-2</v>
      </c>
    </row>
    <row r="113" spans="3:12">
      <c r="C113" s="7">
        <v>107</v>
      </c>
      <c r="D113" s="3">
        <f t="shared" si="8"/>
        <v>4.5199999999999997E-2</v>
      </c>
      <c r="E113" s="3">
        <f t="shared" ca="1" si="12"/>
        <v>4.2872697671247927E-2</v>
      </c>
      <c r="F113" s="3">
        <f t="shared" ca="1" si="12"/>
        <v>5.4360088777332005E-2</v>
      </c>
      <c r="G113" s="3">
        <f t="shared" ca="1" si="12"/>
        <v>5.7587588007275398E-2</v>
      </c>
      <c r="H113" s="3">
        <f t="shared" ca="1" si="12"/>
        <v>6.6665564617521475E-2</v>
      </c>
      <c r="I113" s="3">
        <f t="shared" ca="1" si="12"/>
        <v>6.6499013940688051E-2</v>
      </c>
      <c r="J113" s="3">
        <f t="shared" ca="1" si="12"/>
        <v>6.822753121712892E-2</v>
      </c>
      <c r="K113" s="3">
        <f t="shared" ca="1" si="12"/>
        <v>6.1717949054865197E-2</v>
      </c>
      <c r="L113" s="3">
        <f t="shared" ca="1" si="12"/>
        <v>6.2048174558850332E-2</v>
      </c>
    </row>
    <row r="114" spans="3:12">
      <c r="C114" s="7">
        <v>108</v>
      </c>
      <c r="D114" s="3">
        <f t="shared" si="8"/>
        <v>4.5199999999999997E-2</v>
      </c>
      <c r="E114" s="3">
        <f t="shared" ca="1" si="12"/>
        <v>3.6810431473646044E-2</v>
      </c>
      <c r="F114" s="3">
        <f t="shared" ca="1" si="12"/>
        <v>4.0799822706781647E-2</v>
      </c>
      <c r="G114" s="3">
        <f t="shared" ca="1" si="12"/>
        <v>4.4258867526707789E-2</v>
      </c>
      <c r="H114" s="3">
        <f t="shared" ca="1" si="12"/>
        <v>3.5961214585794543E-2</v>
      </c>
      <c r="I114" s="3">
        <f t="shared" ca="1" si="12"/>
        <v>4.5180435920929532E-2</v>
      </c>
      <c r="J114" s="3">
        <f t="shared" ca="1" si="12"/>
        <v>4.377990142369733E-2</v>
      </c>
      <c r="K114" s="3">
        <f t="shared" ca="1" si="12"/>
        <v>4.2273575873922324E-2</v>
      </c>
      <c r="L114" s="3">
        <f t="shared" ca="1" si="12"/>
        <v>3.7811492301205243E-2</v>
      </c>
    </row>
    <row r="115" spans="3:12">
      <c r="C115" s="7">
        <v>109</v>
      </c>
      <c r="D115" s="3">
        <f t="shared" si="8"/>
        <v>4.5199999999999997E-2</v>
      </c>
      <c r="E115" s="3">
        <f t="shared" ca="1" si="12"/>
        <v>4.1645528517935078E-2</v>
      </c>
      <c r="F115" s="3">
        <f t="shared" ca="1" si="12"/>
        <v>4.1669619754843963E-2</v>
      </c>
      <c r="G115" s="3">
        <f t="shared" ca="1" si="12"/>
        <v>3.6960029746999044E-2</v>
      </c>
      <c r="H115" s="3">
        <f t="shared" ca="1" si="12"/>
        <v>4.2707213921949434E-2</v>
      </c>
      <c r="I115" s="3">
        <f t="shared" ca="1" si="12"/>
        <v>4.3138946768754363E-2</v>
      </c>
      <c r="J115" s="3">
        <f t="shared" ca="1" si="12"/>
        <v>4.094162761138577E-2</v>
      </c>
      <c r="K115" s="3">
        <f t="shared" ca="1" si="12"/>
        <v>3.4767136957465708E-2</v>
      </c>
      <c r="L115" s="3">
        <f t="shared" ca="1" si="12"/>
        <v>3.1946470963536824E-2</v>
      </c>
    </row>
    <row r="116" spans="3:12">
      <c r="C116" s="7">
        <v>110</v>
      </c>
      <c r="D116" s="3">
        <f t="shared" si="8"/>
        <v>4.5199999999999997E-2</v>
      </c>
      <c r="E116" s="3">
        <f t="shared" ca="1" si="12"/>
        <v>4.5797754847517629E-2</v>
      </c>
      <c r="F116" s="3">
        <f t="shared" ca="1" si="12"/>
        <v>4.4840067375226902E-2</v>
      </c>
      <c r="G116" s="3">
        <f t="shared" ca="1" si="12"/>
        <v>4.4358122270299456E-2</v>
      </c>
      <c r="H116" s="3">
        <f t="shared" ca="1" si="12"/>
        <v>4.2610332360184418E-2</v>
      </c>
      <c r="I116" s="3">
        <f t="shared" ca="1" si="12"/>
        <v>3.3711370090888843E-2</v>
      </c>
      <c r="J116" s="3">
        <f t="shared" ca="1" si="12"/>
        <v>3.5404056694355542E-2</v>
      </c>
      <c r="K116" s="3">
        <f t="shared" ca="1" si="12"/>
        <v>3.9807475852270485E-2</v>
      </c>
      <c r="L116" s="3">
        <f t="shared" ca="1" si="12"/>
        <v>3.8591937608922905E-2</v>
      </c>
    </row>
    <row r="117" spans="3:12">
      <c r="C117" s="7">
        <v>111</v>
      </c>
      <c r="D117" s="3">
        <f t="shared" si="8"/>
        <v>4.5199999999999997E-2</v>
      </c>
      <c r="E117" s="3">
        <f t="shared" ref="E117:L126" ca="1" si="13">D117+E$5*dt+sigma*_xlfn.NORM.S.INV(RAND())*SQRT(dt)</f>
        <v>5.5679661031380903E-2</v>
      </c>
      <c r="F117" s="3">
        <f t="shared" ca="1" si="13"/>
        <v>5.8473449737567844E-2</v>
      </c>
      <c r="G117" s="3">
        <f t="shared" ca="1" si="13"/>
        <v>4.9543206363230348E-2</v>
      </c>
      <c r="H117" s="3">
        <f t="shared" ca="1" si="13"/>
        <v>5.7736896073489634E-2</v>
      </c>
      <c r="I117" s="3">
        <f t="shared" ca="1" si="13"/>
        <v>6.1470657259610241E-2</v>
      </c>
      <c r="J117" s="3">
        <f t="shared" ca="1" si="13"/>
        <v>7.0886700754626372E-2</v>
      </c>
      <c r="K117" s="3">
        <f t="shared" ca="1" si="13"/>
        <v>7.5376039733483752E-2</v>
      </c>
      <c r="L117" s="3">
        <f t="shared" ca="1" si="13"/>
        <v>8.0801415204537361E-2</v>
      </c>
    </row>
    <row r="118" spans="3:12">
      <c r="C118" s="7">
        <v>112</v>
      </c>
      <c r="D118" s="3">
        <f t="shared" si="8"/>
        <v>4.5199999999999997E-2</v>
      </c>
      <c r="E118" s="3">
        <f t="shared" ca="1" si="13"/>
        <v>5.1111377316852558E-2</v>
      </c>
      <c r="F118" s="3">
        <f t="shared" ca="1" si="13"/>
        <v>5.3055775067283255E-2</v>
      </c>
      <c r="G118" s="3">
        <f t="shared" ca="1" si="13"/>
        <v>5.9104278115232438E-2</v>
      </c>
      <c r="H118" s="3">
        <f t="shared" ca="1" si="13"/>
        <v>6.2846997045291536E-2</v>
      </c>
      <c r="I118" s="3">
        <f t="shared" ca="1" si="13"/>
        <v>6.8944985735103742E-2</v>
      </c>
      <c r="J118" s="3">
        <f t="shared" ca="1" si="13"/>
        <v>7.3335813699281605E-2</v>
      </c>
      <c r="K118" s="3">
        <f t="shared" ca="1" si="13"/>
        <v>7.1858841277655003E-2</v>
      </c>
      <c r="L118" s="3">
        <f t="shared" ca="1" si="13"/>
        <v>7.4198794120241732E-2</v>
      </c>
    </row>
    <row r="119" spans="3:12">
      <c r="C119" s="7">
        <v>113</v>
      </c>
      <c r="D119" s="3">
        <f t="shared" si="8"/>
        <v>4.5199999999999997E-2</v>
      </c>
      <c r="E119" s="3">
        <f t="shared" ca="1" si="13"/>
        <v>3.6529920925377393E-2</v>
      </c>
      <c r="F119" s="3">
        <f t="shared" ca="1" si="13"/>
        <v>4.6883315766181002E-2</v>
      </c>
      <c r="G119" s="3">
        <f t="shared" ca="1" si="13"/>
        <v>5.2890803603145797E-2</v>
      </c>
      <c r="H119" s="3">
        <f t="shared" ca="1" si="13"/>
        <v>5.6081377946935816E-2</v>
      </c>
      <c r="I119" s="3">
        <f t="shared" ca="1" si="13"/>
        <v>4.9733208536439005E-2</v>
      </c>
      <c r="J119" s="3">
        <f t="shared" ca="1" si="13"/>
        <v>5.2231303346544099E-2</v>
      </c>
      <c r="K119" s="3">
        <f t="shared" ca="1" si="13"/>
        <v>4.9294870269238296E-2</v>
      </c>
      <c r="L119" s="3">
        <f t="shared" ca="1" si="13"/>
        <v>5.8337181223823857E-2</v>
      </c>
    </row>
    <row r="120" spans="3:12">
      <c r="C120" s="7">
        <v>114</v>
      </c>
      <c r="D120" s="3">
        <f t="shared" si="8"/>
        <v>4.5199999999999997E-2</v>
      </c>
      <c r="E120" s="3">
        <f t="shared" ca="1" si="13"/>
        <v>4.3062083264260941E-2</v>
      </c>
      <c r="F120" s="3">
        <f t="shared" ca="1" si="13"/>
        <v>4.2051958650307468E-2</v>
      </c>
      <c r="G120" s="3">
        <f t="shared" ca="1" si="13"/>
        <v>4.3573678156346177E-2</v>
      </c>
      <c r="H120" s="3">
        <f t="shared" ca="1" si="13"/>
        <v>4.764888879792064E-2</v>
      </c>
      <c r="I120" s="3">
        <f t="shared" ca="1" si="13"/>
        <v>4.408696458174062E-2</v>
      </c>
      <c r="J120" s="3">
        <f t="shared" ca="1" si="13"/>
        <v>4.0788687072879769E-2</v>
      </c>
      <c r="K120" s="3">
        <f t="shared" ca="1" si="13"/>
        <v>3.1013042710428484E-2</v>
      </c>
      <c r="L120" s="3">
        <f t="shared" ca="1" si="13"/>
        <v>2.4897483105094077E-2</v>
      </c>
    </row>
    <row r="121" spans="3:12">
      <c r="C121" s="7">
        <v>115</v>
      </c>
      <c r="D121" s="3">
        <f t="shared" si="8"/>
        <v>4.5199999999999997E-2</v>
      </c>
      <c r="E121" s="3">
        <f t="shared" ca="1" si="13"/>
        <v>4.6339523481120241E-2</v>
      </c>
      <c r="F121" s="3">
        <f t="shared" ca="1" si="13"/>
        <v>5.6679694578740572E-2</v>
      </c>
      <c r="G121" s="3">
        <f t="shared" ca="1" si="13"/>
        <v>5.5473984290182111E-2</v>
      </c>
      <c r="H121" s="3">
        <f t="shared" ca="1" si="13"/>
        <v>5.9549840945158972E-2</v>
      </c>
      <c r="I121" s="3">
        <f t="shared" ca="1" si="13"/>
        <v>6.5899487989106206E-2</v>
      </c>
      <c r="J121" s="3">
        <f t="shared" ca="1" si="13"/>
        <v>6.4001848519421894E-2</v>
      </c>
      <c r="K121" s="3">
        <f t="shared" ca="1" si="13"/>
        <v>6.0633345022905384E-2</v>
      </c>
      <c r="L121" s="3">
        <f t="shared" ca="1" si="13"/>
        <v>6.1762448305561352E-2</v>
      </c>
    </row>
    <row r="122" spans="3:12">
      <c r="C122" s="7">
        <v>116</v>
      </c>
      <c r="D122" s="3">
        <f t="shared" si="8"/>
        <v>4.5199999999999997E-2</v>
      </c>
      <c r="E122" s="3">
        <f t="shared" ca="1" si="13"/>
        <v>4.8044187175014533E-2</v>
      </c>
      <c r="F122" s="3">
        <f t="shared" ca="1" si="13"/>
        <v>4.9092178827555073E-2</v>
      </c>
      <c r="G122" s="3">
        <f t="shared" ca="1" si="13"/>
        <v>4.9310794982564292E-2</v>
      </c>
      <c r="H122" s="3">
        <f t="shared" ca="1" si="13"/>
        <v>5.2472021839784805E-2</v>
      </c>
      <c r="I122" s="3">
        <f t="shared" ca="1" si="13"/>
        <v>4.9272824818690761E-2</v>
      </c>
      <c r="J122" s="3">
        <f t="shared" ca="1" si="13"/>
        <v>5.4043579075084676E-2</v>
      </c>
      <c r="K122" s="3">
        <f t="shared" ca="1" si="13"/>
        <v>5.9144064416691566E-2</v>
      </c>
      <c r="L122" s="3">
        <f t="shared" ca="1" si="13"/>
        <v>5.7742727603052872E-2</v>
      </c>
    </row>
    <row r="123" spans="3:12">
      <c r="C123" s="7">
        <v>117</v>
      </c>
      <c r="D123" s="3">
        <f t="shared" si="8"/>
        <v>4.5199999999999997E-2</v>
      </c>
      <c r="E123" s="3">
        <f t="shared" ca="1" si="13"/>
        <v>4.5339582105537402E-2</v>
      </c>
      <c r="F123" s="3">
        <f t="shared" ca="1" si="13"/>
        <v>3.9906041139554559E-2</v>
      </c>
      <c r="G123" s="3">
        <f t="shared" ca="1" si="13"/>
        <v>4.7444774757847752E-2</v>
      </c>
      <c r="H123" s="3">
        <f t="shared" ca="1" si="13"/>
        <v>4.3682082162727828E-2</v>
      </c>
      <c r="I123" s="3">
        <f t="shared" ca="1" si="13"/>
        <v>3.5618335046092367E-2</v>
      </c>
      <c r="J123" s="3">
        <f t="shared" ca="1" si="13"/>
        <v>4.3285908246497189E-2</v>
      </c>
      <c r="K123" s="3">
        <f t="shared" ca="1" si="13"/>
        <v>4.253479569694292E-2</v>
      </c>
      <c r="L123" s="3">
        <f t="shared" ca="1" si="13"/>
        <v>4.4110822062440963E-2</v>
      </c>
    </row>
    <row r="124" spans="3:12">
      <c r="C124" s="7">
        <v>118</v>
      </c>
      <c r="D124" s="3">
        <f t="shared" si="8"/>
        <v>4.5199999999999997E-2</v>
      </c>
      <c r="E124" s="3">
        <f t="shared" ca="1" si="13"/>
        <v>4.5254790472043803E-2</v>
      </c>
      <c r="F124" s="3">
        <f t="shared" ca="1" si="13"/>
        <v>5.3187789840389986E-2</v>
      </c>
      <c r="G124" s="3">
        <f t="shared" ca="1" si="13"/>
        <v>6.0674172819914225E-2</v>
      </c>
      <c r="H124" s="3">
        <f t="shared" ca="1" si="13"/>
        <v>6.2766414003285753E-2</v>
      </c>
      <c r="I124" s="3">
        <f t="shared" ca="1" si="13"/>
        <v>6.9973041822144644E-2</v>
      </c>
      <c r="J124" s="3">
        <f t="shared" ca="1" si="13"/>
        <v>6.4041938648665128E-2</v>
      </c>
      <c r="K124" s="3">
        <f t="shared" ca="1" si="13"/>
        <v>7.0355394621122863E-2</v>
      </c>
      <c r="L124" s="3">
        <f t="shared" ca="1" si="13"/>
        <v>7.1554488611955583E-2</v>
      </c>
    </row>
    <row r="125" spans="3:12">
      <c r="C125" s="7">
        <v>119</v>
      </c>
      <c r="D125" s="3">
        <f t="shared" si="8"/>
        <v>4.5199999999999997E-2</v>
      </c>
      <c r="E125" s="3">
        <f t="shared" ca="1" si="13"/>
        <v>4.2136712773773288E-2</v>
      </c>
      <c r="F125" s="3">
        <f t="shared" ca="1" si="13"/>
        <v>4.3318255720482209E-2</v>
      </c>
      <c r="G125" s="3">
        <f t="shared" ca="1" si="13"/>
        <v>4.6738141543446417E-2</v>
      </c>
      <c r="H125" s="3">
        <f t="shared" ca="1" si="13"/>
        <v>5.109027448822711E-2</v>
      </c>
      <c r="I125" s="3">
        <f t="shared" ca="1" si="13"/>
        <v>5.0990684686148494E-2</v>
      </c>
      <c r="J125" s="3">
        <f t="shared" ca="1" si="13"/>
        <v>5.6228031854705408E-2</v>
      </c>
      <c r="K125" s="3">
        <f t="shared" ca="1" si="13"/>
        <v>5.9091670158619568E-2</v>
      </c>
      <c r="L125" s="3">
        <f t="shared" ca="1" si="13"/>
        <v>6.4513438016142927E-2</v>
      </c>
    </row>
    <row r="126" spans="3:12">
      <c r="C126" s="7">
        <v>120</v>
      </c>
      <c r="D126" s="3">
        <f t="shared" si="8"/>
        <v>4.5199999999999997E-2</v>
      </c>
      <c r="E126" s="3">
        <f t="shared" ca="1" si="13"/>
        <v>4.1335652164490172E-2</v>
      </c>
      <c r="F126" s="3">
        <f t="shared" ca="1" si="13"/>
        <v>4.6072895339063884E-2</v>
      </c>
      <c r="G126" s="3">
        <f t="shared" ca="1" si="13"/>
        <v>5.2172719712387988E-2</v>
      </c>
      <c r="H126" s="3">
        <f t="shared" ca="1" si="13"/>
        <v>4.9358855413714486E-2</v>
      </c>
      <c r="I126" s="3">
        <f t="shared" ca="1" si="13"/>
        <v>4.6620964522470276E-2</v>
      </c>
      <c r="J126" s="3">
        <f t="shared" ca="1" si="13"/>
        <v>4.7602254757503785E-2</v>
      </c>
      <c r="K126" s="3">
        <f t="shared" ca="1" si="13"/>
        <v>4.8924735813286928E-2</v>
      </c>
      <c r="L126" s="3">
        <f t="shared" ca="1" si="13"/>
        <v>5.8121187262629465E-2</v>
      </c>
    </row>
    <row r="127" spans="3:12">
      <c r="C127" s="7">
        <v>121</v>
      </c>
      <c r="D127" s="3">
        <f t="shared" si="8"/>
        <v>4.5199999999999997E-2</v>
      </c>
      <c r="E127" s="3">
        <f t="shared" ref="E127:L136" ca="1" si="14">D127+E$5*dt+sigma*_xlfn.NORM.S.INV(RAND())*SQRT(dt)</f>
        <v>5.0037196384752639E-2</v>
      </c>
      <c r="F127" s="3">
        <f t="shared" ca="1" si="14"/>
        <v>5.806687051883419E-2</v>
      </c>
      <c r="G127" s="3">
        <f t="shared" ca="1" si="14"/>
        <v>5.9570708521147903E-2</v>
      </c>
      <c r="H127" s="3">
        <f t="shared" ca="1" si="14"/>
        <v>6.1629544173032326E-2</v>
      </c>
      <c r="I127" s="3">
        <f t="shared" ca="1" si="14"/>
        <v>6.2614316696882472E-2</v>
      </c>
      <c r="J127" s="3">
        <f t="shared" ca="1" si="14"/>
        <v>6.0982784947403133E-2</v>
      </c>
      <c r="K127" s="3">
        <f t="shared" ca="1" si="14"/>
        <v>5.9909359598383123E-2</v>
      </c>
      <c r="L127" s="3">
        <f t="shared" ca="1" si="14"/>
        <v>6.1366807615679489E-2</v>
      </c>
    </row>
    <row r="128" spans="3:12">
      <c r="C128" s="7">
        <v>122</v>
      </c>
      <c r="D128" s="3">
        <f t="shared" si="8"/>
        <v>4.5199999999999997E-2</v>
      </c>
      <c r="E128" s="3">
        <f t="shared" ca="1" si="14"/>
        <v>5.1404315516176677E-2</v>
      </c>
      <c r="F128" s="3">
        <f t="shared" ca="1" si="14"/>
        <v>4.7609136048165891E-2</v>
      </c>
      <c r="G128" s="3">
        <f t="shared" ca="1" si="14"/>
        <v>5.7246266348610568E-2</v>
      </c>
      <c r="H128" s="3">
        <f t="shared" ca="1" si="14"/>
        <v>5.8821955334013597E-2</v>
      </c>
      <c r="I128" s="3">
        <f t="shared" ca="1" si="14"/>
        <v>5.4914744429958313E-2</v>
      </c>
      <c r="J128" s="3">
        <f t="shared" ca="1" si="14"/>
        <v>5.9864039194483465E-2</v>
      </c>
      <c r="K128" s="3">
        <f t="shared" ca="1" si="14"/>
        <v>7.2526158613952341E-2</v>
      </c>
      <c r="L128" s="3">
        <f t="shared" ca="1" si="14"/>
        <v>7.2031410671174523E-2</v>
      </c>
    </row>
    <row r="129" spans="3:12">
      <c r="C129" s="7">
        <v>123</v>
      </c>
      <c r="D129" s="3">
        <f t="shared" si="8"/>
        <v>4.5199999999999997E-2</v>
      </c>
      <c r="E129" s="3">
        <f t="shared" ca="1" si="14"/>
        <v>3.9479156371922515E-2</v>
      </c>
      <c r="F129" s="3">
        <f t="shared" ca="1" si="14"/>
        <v>4.0442657969794696E-2</v>
      </c>
      <c r="G129" s="3">
        <f t="shared" ca="1" si="14"/>
        <v>3.7915565609376492E-2</v>
      </c>
      <c r="H129" s="3">
        <f t="shared" ca="1" si="14"/>
        <v>3.763560505846221E-2</v>
      </c>
      <c r="I129" s="3">
        <f t="shared" ca="1" si="14"/>
        <v>4.2109184854130038E-2</v>
      </c>
      <c r="J129" s="3">
        <f t="shared" ca="1" si="14"/>
        <v>4.2812473842447532E-2</v>
      </c>
      <c r="K129" s="3">
        <f t="shared" ca="1" si="14"/>
        <v>4.1221427461562238E-2</v>
      </c>
      <c r="L129" s="3">
        <f t="shared" ca="1" si="14"/>
        <v>4.2950716444112975E-2</v>
      </c>
    </row>
    <row r="130" spans="3:12">
      <c r="C130" s="7">
        <v>124</v>
      </c>
      <c r="D130" s="3">
        <f t="shared" si="8"/>
        <v>4.5199999999999997E-2</v>
      </c>
      <c r="E130" s="3">
        <f t="shared" ca="1" si="14"/>
        <v>4.2317511445929976E-2</v>
      </c>
      <c r="F130" s="3">
        <f t="shared" ca="1" si="14"/>
        <v>3.9949602814942142E-2</v>
      </c>
      <c r="G130" s="3">
        <f t="shared" ca="1" si="14"/>
        <v>4.1129635415111464E-2</v>
      </c>
      <c r="H130" s="3">
        <f t="shared" ca="1" si="14"/>
        <v>4.0934163075579066E-2</v>
      </c>
      <c r="I130" s="3">
        <f t="shared" ca="1" si="14"/>
        <v>4.4080098578303438E-2</v>
      </c>
      <c r="J130" s="3">
        <f t="shared" ca="1" si="14"/>
        <v>4.8427067738786793E-2</v>
      </c>
      <c r="K130" s="3">
        <f t="shared" ca="1" si="14"/>
        <v>4.2584014745389288E-2</v>
      </c>
      <c r="L130" s="3">
        <f t="shared" ca="1" si="14"/>
        <v>4.122830781653132E-2</v>
      </c>
    </row>
    <row r="131" spans="3:12">
      <c r="C131" s="7">
        <v>125</v>
      </c>
      <c r="D131" s="3">
        <f t="shared" si="8"/>
        <v>4.5199999999999997E-2</v>
      </c>
      <c r="E131" s="3">
        <f t="shared" ca="1" si="14"/>
        <v>5.4615305789713131E-2</v>
      </c>
      <c r="F131" s="3">
        <f t="shared" ca="1" si="14"/>
        <v>5.1433000492528143E-2</v>
      </c>
      <c r="G131" s="3">
        <f t="shared" ca="1" si="14"/>
        <v>5.2247117077954909E-2</v>
      </c>
      <c r="H131" s="3">
        <f t="shared" ca="1" si="14"/>
        <v>5.6103100287843197E-2</v>
      </c>
      <c r="I131" s="3">
        <f t="shared" ca="1" si="14"/>
        <v>5.5198340270213496E-2</v>
      </c>
      <c r="J131" s="3">
        <f t="shared" ca="1" si="14"/>
        <v>5.1866217527285825E-2</v>
      </c>
      <c r="K131" s="3">
        <f t="shared" ca="1" si="14"/>
        <v>4.7023666174302599E-2</v>
      </c>
      <c r="L131" s="3">
        <f t="shared" ca="1" si="14"/>
        <v>4.8880196323170831E-2</v>
      </c>
    </row>
    <row r="132" spans="3:12">
      <c r="C132" s="7">
        <v>126</v>
      </c>
      <c r="D132" s="3">
        <f t="shared" si="8"/>
        <v>4.5199999999999997E-2</v>
      </c>
      <c r="E132" s="3">
        <f t="shared" ca="1" si="14"/>
        <v>4.6222561710991164E-2</v>
      </c>
      <c r="F132" s="3">
        <f t="shared" ca="1" si="14"/>
        <v>4.8815492022476703E-2</v>
      </c>
      <c r="G132" s="3">
        <f t="shared" ca="1" si="14"/>
        <v>5.1654367517638196E-2</v>
      </c>
      <c r="H132" s="3">
        <f t="shared" ca="1" si="14"/>
        <v>4.8106323106116011E-2</v>
      </c>
      <c r="I132" s="3">
        <f t="shared" ca="1" si="14"/>
        <v>3.8564315557843828E-2</v>
      </c>
      <c r="J132" s="3">
        <f t="shared" ca="1" si="14"/>
        <v>4.5583732895509863E-2</v>
      </c>
      <c r="K132" s="3">
        <f t="shared" ca="1" si="14"/>
        <v>3.617052026131605E-2</v>
      </c>
      <c r="L132" s="3">
        <f t="shared" ca="1" si="14"/>
        <v>4.657692126186723E-2</v>
      </c>
    </row>
    <row r="133" spans="3:12">
      <c r="C133" s="7">
        <v>127</v>
      </c>
      <c r="D133" s="3">
        <f t="shared" si="8"/>
        <v>4.5199999999999997E-2</v>
      </c>
      <c r="E133" s="3">
        <f t="shared" ca="1" si="14"/>
        <v>4.4615148554563777E-2</v>
      </c>
      <c r="F133" s="3">
        <f t="shared" ca="1" si="14"/>
        <v>5.3092513266893182E-2</v>
      </c>
      <c r="G133" s="3">
        <f t="shared" ca="1" si="14"/>
        <v>4.9024565149357685E-2</v>
      </c>
      <c r="H133" s="3">
        <f t="shared" ca="1" si="14"/>
        <v>5.0668015598424716E-2</v>
      </c>
      <c r="I133" s="3">
        <f t="shared" ca="1" si="14"/>
        <v>5.3934027760315084E-2</v>
      </c>
      <c r="J133" s="3">
        <f t="shared" ca="1" si="14"/>
        <v>5.1735633037423179E-2</v>
      </c>
      <c r="K133" s="3">
        <f t="shared" ca="1" si="14"/>
        <v>4.8486300638501505E-2</v>
      </c>
      <c r="L133" s="3">
        <f t="shared" ca="1" si="14"/>
        <v>4.3671631737422986E-2</v>
      </c>
    </row>
    <row r="134" spans="3:12">
      <c r="C134" s="7">
        <v>128</v>
      </c>
      <c r="D134" s="3">
        <f t="shared" si="8"/>
        <v>4.5199999999999997E-2</v>
      </c>
      <c r="E134" s="3">
        <f t="shared" ca="1" si="14"/>
        <v>4.1387749156702854E-2</v>
      </c>
      <c r="F134" s="3">
        <f t="shared" ca="1" si="14"/>
        <v>5.0486719187215895E-2</v>
      </c>
      <c r="G134" s="3">
        <f t="shared" ca="1" si="14"/>
        <v>5.4086268869607712E-2</v>
      </c>
      <c r="H134" s="3">
        <f t="shared" ca="1" si="14"/>
        <v>5.3981379819990349E-2</v>
      </c>
      <c r="I134" s="3">
        <f t="shared" ca="1" si="14"/>
        <v>6.1900140520765631E-2</v>
      </c>
      <c r="J134" s="3">
        <f t="shared" ca="1" si="14"/>
        <v>5.9155432784799622E-2</v>
      </c>
      <c r="K134" s="3">
        <f t="shared" ca="1" si="14"/>
        <v>6.1554110388123223E-2</v>
      </c>
      <c r="L134" s="3">
        <f t="shared" ca="1" si="14"/>
        <v>6.8024363878324084E-2</v>
      </c>
    </row>
    <row r="135" spans="3:12">
      <c r="C135" s="7">
        <v>129</v>
      </c>
      <c r="D135" s="3">
        <f t="shared" ref="D135:D198" si="15">r0</f>
        <v>4.5199999999999997E-2</v>
      </c>
      <c r="E135" s="3">
        <f t="shared" ca="1" si="14"/>
        <v>3.974827595124085E-2</v>
      </c>
      <c r="F135" s="3">
        <f t="shared" ca="1" si="14"/>
        <v>4.2464290716483416E-2</v>
      </c>
      <c r="G135" s="3">
        <f t="shared" ca="1" si="14"/>
        <v>3.8697180319938379E-2</v>
      </c>
      <c r="H135" s="3">
        <f t="shared" ca="1" si="14"/>
        <v>3.9043684445585931E-2</v>
      </c>
      <c r="I135" s="3">
        <f t="shared" ca="1" si="14"/>
        <v>3.2115368876754639E-2</v>
      </c>
      <c r="J135" s="3">
        <f t="shared" ca="1" si="14"/>
        <v>3.5675419709568293E-2</v>
      </c>
      <c r="K135" s="3">
        <f t="shared" ca="1" si="14"/>
        <v>3.1922638679461657E-2</v>
      </c>
      <c r="L135" s="3">
        <f t="shared" ca="1" si="14"/>
        <v>4.2662286176006606E-2</v>
      </c>
    </row>
    <row r="136" spans="3:12">
      <c r="C136" s="7">
        <v>130</v>
      </c>
      <c r="D136" s="3">
        <f t="shared" si="15"/>
        <v>4.5199999999999997E-2</v>
      </c>
      <c r="E136" s="3">
        <f t="shared" ca="1" si="14"/>
        <v>4.8616681126666957E-2</v>
      </c>
      <c r="F136" s="3">
        <f t="shared" ca="1" si="14"/>
        <v>4.8588791690857239E-2</v>
      </c>
      <c r="G136" s="3">
        <f t="shared" ca="1" si="14"/>
        <v>4.8156501388188076E-2</v>
      </c>
      <c r="H136" s="3">
        <f t="shared" ca="1" si="14"/>
        <v>5.1383679533309717E-2</v>
      </c>
      <c r="I136" s="3">
        <f t="shared" ca="1" si="14"/>
        <v>5.2558026831079088E-2</v>
      </c>
      <c r="J136" s="3">
        <f t="shared" ca="1" si="14"/>
        <v>4.9233156179915187E-2</v>
      </c>
      <c r="K136" s="3">
        <f t="shared" ca="1" si="14"/>
        <v>5.2067811980672681E-2</v>
      </c>
      <c r="L136" s="3">
        <f t="shared" ca="1" si="14"/>
        <v>5.8520398549387821E-2</v>
      </c>
    </row>
    <row r="137" spans="3:12">
      <c r="C137" s="7">
        <v>131</v>
      </c>
      <c r="D137" s="3">
        <f t="shared" si="15"/>
        <v>4.5199999999999997E-2</v>
      </c>
      <c r="E137" s="3">
        <f t="shared" ref="E137:L146" ca="1" si="16">D137+E$5*dt+sigma*_xlfn.NORM.S.INV(RAND())*SQRT(dt)</f>
        <v>5.6024818518187539E-2</v>
      </c>
      <c r="F137" s="3">
        <f t="shared" ca="1" si="16"/>
        <v>6.0312083160169588E-2</v>
      </c>
      <c r="G137" s="3">
        <f t="shared" ca="1" si="16"/>
        <v>5.7343550855552636E-2</v>
      </c>
      <c r="H137" s="3">
        <f t="shared" ca="1" si="16"/>
        <v>6.4171201635621233E-2</v>
      </c>
      <c r="I137" s="3">
        <f t="shared" ca="1" si="16"/>
        <v>7.0954748940174103E-2</v>
      </c>
      <c r="J137" s="3">
        <f t="shared" ca="1" si="16"/>
        <v>6.9955184836253126E-2</v>
      </c>
      <c r="K137" s="3">
        <f t="shared" ca="1" si="16"/>
        <v>7.9067710129929525E-2</v>
      </c>
      <c r="L137" s="3">
        <f t="shared" ca="1" si="16"/>
        <v>8.3351936169519858E-2</v>
      </c>
    </row>
    <row r="138" spans="3:12">
      <c r="C138" s="7">
        <v>132</v>
      </c>
      <c r="D138" s="3">
        <f t="shared" si="15"/>
        <v>4.5199999999999997E-2</v>
      </c>
      <c r="E138" s="3">
        <f t="shared" ca="1" si="16"/>
        <v>4.9814994693370508E-2</v>
      </c>
      <c r="F138" s="3">
        <f t="shared" ca="1" si="16"/>
        <v>4.3697181297958701E-2</v>
      </c>
      <c r="G138" s="3">
        <f t="shared" ca="1" si="16"/>
        <v>3.5830978294535937E-2</v>
      </c>
      <c r="H138" s="3">
        <f t="shared" ca="1" si="16"/>
        <v>3.5706864786496685E-2</v>
      </c>
      <c r="I138" s="3">
        <f t="shared" ca="1" si="16"/>
        <v>3.4745671097128714E-2</v>
      </c>
      <c r="J138" s="3">
        <f t="shared" ca="1" si="16"/>
        <v>2.5168231071119276E-2</v>
      </c>
      <c r="K138" s="3">
        <f t="shared" ca="1" si="16"/>
        <v>2.6339502209194759E-2</v>
      </c>
      <c r="L138" s="3">
        <f t="shared" ca="1" si="16"/>
        <v>2.6614561829314536E-2</v>
      </c>
    </row>
    <row r="139" spans="3:12">
      <c r="C139" s="7">
        <v>133</v>
      </c>
      <c r="D139" s="3">
        <f t="shared" si="15"/>
        <v>4.5199999999999997E-2</v>
      </c>
      <c r="E139" s="3">
        <f t="shared" ca="1" si="16"/>
        <v>4.834466004562505E-2</v>
      </c>
      <c r="F139" s="3">
        <f t="shared" ca="1" si="16"/>
        <v>5.0054232524376061E-2</v>
      </c>
      <c r="G139" s="3">
        <f t="shared" ca="1" si="16"/>
        <v>4.7991470925021179E-2</v>
      </c>
      <c r="H139" s="3">
        <f t="shared" ca="1" si="16"/>
        <v>4.8720111236265018E-2</v>
      </c>
      <c r="I139" s="3">
        <f t="shared" ca="1" si="16"/>
        <v>6.2721229153345867E-2</v>
      </c>
      <c r="J139" s="3">
        <f t="shared" ca="1" si="16"/>
        <v>6.4480878984384912E-2</v>
      </c>
      <c r="K139" s="3">
        <f t="shared" ca="1" si="16"/>
        <v>6.5576475441094378E-2</v>
      </c>
      <c r="L139" s="3">
        <f t="shared" ca="1" si="16"/>
        <v>7.45129390270695E-2</v>
      </c>
    </row>
    <row r="140" spans="3:12">
      <c r="C140" s="7">
        <v>134</v>
      </c>
      <c r="D140" s="3">
        <f t="shared" si="15"/>
        <v>4.5199999999999997E-2</v>
      </c>
      <c r="E140" s="3">
        <f t="shared" ca="1" si="16"/>
        <v>4.5451535818862049E-2</v>
      </c>
      <c r="F140" s="3">
        <f t="shared" ca="1" si="16"/>
        <v>4.7043789351030374E-2</v>
      </c>
      <c r="G140" s="3">
        <f t="shared" ca="1" si="16"/>
        <v>4.9316091979528132E-2</v>
      </c>
      <c r="H140" s="3">
        <f t="shared" ca="1" si="16"/>
        <v>5.2319678582346658E-2</v>
      </c>
      <c r="I140" s="3">
        <f t="shared" ca="1" si="16"/>
        <v>5.2774350402288638E-2</v>
      </c>
      <c r="J140" s="3">
        <f t="shared" ca="1" si="16"/>
        <v>6.0722170349505999E-2</v>
      </c>
      <c r="K140" s="3">
        <f t="shared" ca="1" si="16"/>
        <v>6.1516378097779635E-2</v>
      </c>
      <c r="L140" s="3">
        <f t="shared" ca="1" si="16"/>
        <v>7.2322149377304731E-2</v>
      </c>
    </row>
    <row r="141" spans="3:12">
      <c r="C141" s="7">
        <v>135</v>
      </c>
      <c r="D141" s="3">
        <f t="shared" si="15"/>
        <v>4.5199999999999997E-2</v>
      </c>
      <c r="E141" s="3">
        <f t="shared" ca="1" si="16"/>
        <v>5.1143116821800061E-2</v>
      </c>
      <c r="F141" s="3">
        <f t="shared" ca="1" si="16"/>
        <v>5.7985472367519483E-2</v>
      </c>
      <c r="G141" s="3">
        <f t="shared" ca="1" si="16"/>
        <v>5.7343752049944123E-2</v>
      </c>
      <c r="H141" s="3">
        <f t="shared" ca="1" si="16"/>
        <v>6.3901142455332238E-2</v>
      </c>
      <c r="I141" s="3">
        <f t="shared" ca="1" si="16"/>
        <v>6.367932524672737E-2</v>
      </c>
      <c r="J141" s="3">
        <f t="shared" ca="1" si="16"/>
        <v>5.0949692243178232E-2</v>
      </c>
      <c r="K141" s="3">
        <f t="shared" ca="1" si="16"/>
        <v>5.2913664471777422E-2</v>
      </c>
      <c r="L141" s="3">
        <f t="shared" ca="1" si="16"/>
        <v>5.7772720939693975E-2</v>
      </c>
    </row>
    <row r="142" spans="3:12">
      <c r="C142" s="7">
        <v>136</v>
      </c>
      <c r="D142" s="3">
        <f t="shared" si="15"/>
        <v>4.5199999999999997E-2</v>
      </c>
      <c r="E142" s="3">
        <f t="shared" ca="1" si="16"/>
        <v>4.9001144432806169E-2</v>
      </c>
      <c r="F142" s="3">
        <f t="shared" ca="1" si="16"/>
        <v>4.7588256017004907E-2</v>
      </c>
      <c r="G142" s="3">
        <f t="shared" ca="1" si="16"/>
        <v>6.0619956784198625E-2</v>
      </c>
      <c r="H142" s="3">
        <f t="shared" ca="1" si="16"/>
        <v>6.9482087904411793E-2</v>
      </c>
      <c r="I142" s="3">
        <f t="shared" ca="1" si="16"/>
        <v>7.6327867701301677E-2</v>
      </c>
      <c r="J142" s="3">
        <f t="shared" ca="1" si="16"/>
        <v>7.8128151850299477E-2</v>
      </c>
      <c r="K142" s="3">
        <f t="shared" ca="1" si="16"/>
        <v>6.5968098974211326E-2</v>
      </c>
      <c r="L142" s="3">
        <f t="shared" ca="1" si="16"/>
        <v>7.3609377049631761E-2</v>
      </c>
    </row>
    <row r="143" spans="3:12">
      <c r="C143" s="7">
        <v>137</v>
      </c>
      <c r="D143" s="3">
        <f t="shared" si="15"/>
        <v>4.5199999999999997E-2</v>
      </c>
      <c r="E143" s="3">
        <f t="shared" ca="1" si="16"/>
        <v>4.2484341015985722E-2</v>
      </c>
      <c r="F143" s="3">
        <f t="shared" ca="1" si="16"/>
        <v>3.9067636291239841E-2</v>
      </c>
      <c r="G143" s="3">
        <f t="shared" ca="1" si="16"/>
        <v>3.9137269949545674E-2</v>
      </c>
      <c r="H143" s="3">
        <f t="shared" ca="1" si="16"/>
        <v>4.7208598164788201E-2</v>
      </c>
      <c r="I143" s="3">
        <f t="shared" ca="1" si="16"/>
        <v>3.6636887280099957E-2</v>
      </c>
      <c r="J143" s="3">
        <f t="shared" ca="1" si="16"/>
        <v>4.6347262738525845E-2</v>
      </c>
      <c r="K143" s="3">
        <f t="shared" ca="1" si="16"/>
        <v>4.339597493471959E-2</v>
      </c>
      <c r="L143" s="3">
        <f t="shared" ca="1" si="16"/>
        <v>4.7477532847188565E-2</v>
      </c>
    </row>
    <row r="144" spans="3:12">
      <c r="C144" s="7">
        <v>138</v>
      </c>
      <c r="D144" s="3">
        <f t="shared" si="15"/>
        <v>4.5199999999999997E-2</v>
      </c>
      <c r="E144" s="3">
        <f t="shared" ca="1" si="16"/>
        <v>4.1813693686425887E-2</v>
      </c>
      <c r="F144" s="3">
        <f t="shared" ca="1" si="16"/>
        <v>4.1428643599231429E-2</v>
      </c>
      <c r="G144" s="3">
        <f t="shared" ca="1" si="16"/>
        <v>4.2327707962760662E-2</v>
      </c>
      <c r="H144" s="3">
        <f t="shared" ca="1" si="16"/>
        <v>3.1710455387225008E-2</v>
      </c>
      <c r="I144" s="3">
        <f t="shared" ca="1" si="16"/>
        <v>3.5784570173784315E-2</v>
      </c>
      <c r="J144" s="3">
        <f t="shared" ca="1" si="16"/>
        <v>4.2310384831093874E-2</v>
      </c>
      <c r="K144" s="3">
        <f t="shared" ca="1" si="16"/>
        <v>3.7029580701643465E-2</v>
      </c>
      <c r="L144" s="3">
        <f t="shared" ca="1" si="16"/>
        <v>3.5320729668213362E-2</v>
      </c>
    </row>
    <row r="145" spans="3:12">
      <c r="C145" s="7">
        <v>139</v>
      </c>
      <c r="D145" s="3">
        <f t="shared" si="15"/>
        <v>4.5199999999999997E-2</v>
      </c>
      <c r="E145" s="3">
        <f t="shared" ca="1" si="16"/>
        <v>4.9927583244947268E-2</v>
      </c>
      <c r="F145" s="3">
        <f t="shared" ca="1" si="16"/>
        <v>5.4149480114641282E-2</v>
      </c>
      <c r="G145" s="3">
        <f t="shared" ca="1" si="16"/>
        <v>5.9121321219982349E-2</v>
      </c>
      <c r="H145" s="3">
        <f t="shared" ca="1" si="16"/>
        <v>5.9105626337607547E-2</v>
      </c>
      <c r="I145" s="3">
        <f t="shared" ca="1" si="16"/>
        <v>5.7440732806435343E-2</v>
      </c>
      <c r="J145" s="3">
        <f t="shared" ca="1" si="16"/>
        <v>5.5150890098670198E-2</v>
      </c>
      <c r="K145" s="3">
        <f t="shared" ca="1" si="16"/>
        <v>5.9197315089901122E-2</v>
      </c>
      <c r="L145" s="3">
        <f t="shared" ca="1" si="16"/>
        <v>6.5611133567123503E-2</v>
      </c>
    </row>
    <row r="146" spans="3:12">
      <c r="C146" s="7">
        <v>140</v>
      </c>
      <c r="D146" s="3">
        <f t="shared" si="15"/>
        <v>4.5199999999999997E-2</v>
      </c>
      <c r="E146" s="3">
        <f t="shared" ca="1" si="16"/>
        <v>4.400312429479919E-2</v>
      </c>
      <c r="F146" s="3">
        <f t="shared" ca="1" si="16"/>
        <v>4.8744385419929086E-2</v>
      </c>
      <c r="G146" s="3">
        <f t="shared" ca="1" si="16"/>
        <v>4.3297086087903489E-2</v>
      </c>
      <c r="H146" s="3">
        <f t="shared" ca="1" si="16"/>
        <v>4.6140873894918902E-2</v>
      </c>
      <c r="I146" s="3">
        <f t="shared" ca="1" si="16"/>
        <v>4.6843515785170722E-2</v>
      </c>
      <c r="J146" s="3">
        <f t="shared" ca="1" si="16"/>
        <v>4.7666423873264314E-2</v>
      </c>
      <c r="K146" s="3">
        <f t="shared" ca="1" si="16"/>
        <v>4.608171429272799E-2</v>
      </c>
      <c r="L146" s="3">
        <f t="shared" ca="1" si="16"/>
        <v>5.0399758801252942E-2</v>
      </c>
    </row>
    <row r="147" spans="3:12">
      <c r="C147" s="7">
        <v>141</v>
      </c>
      <c r="D147" s="3">
        <f t="shared" si="15"/>
        <v>4.5199999999999997E-2</v>
      </c>
      <c r="E147" s="3">
        <f t="shared" ref="E147:L156" ca="1" si="17">D147+E$5*dt+sigma*_xlfn.NORM.S.INV(RAND())*SQRT(dt)</f>
        <v>3.9651327187880697E-2</v>
      </c>
      <c r="F147" s="3">
        <f t="shared" ca="1" si="17"/>
        <v>3.3259922293969839E-2</v>
      </c>
      <c r="G147" s="3">
        <f t="shared" ca="1" si="17"/>
        <v>2.8204729092348786E-2</v>
      </c>
      <c r="H147" s="3">
        <f t="shared" ca="1" si="17"/>
        <v>2.7244512812557676E-2</v>
      </c>
      <c r="I147" s="3">
        <f t="shared" ca="1" si="17"/>
        <v>2.0533306522899968E-2</v>
      </c>
      <c r="J147" s="3">
        <f t="shared" ca="1" si="17"/>
        <v>2.1927342544942441E-2</v>
      </c>
      <c r="K147" s="3">
        <f t="shared" ca="1" si="17"/>
        <v>1.7747963606105387E-2</v>
      </c>
      <c r="L147" s="3">
        <f t="shared" ca="1" si="17"/>
        <v>2.2807197791273281E-2</v>
      </c>
    </row>
    <row r="148" spans="3:12">
      <c r="C148" s="7">
        <v>142</v>
      </c>
      <c r="D148" s="3">
        <f t="shared" si="15"/>
        <v>4.5199999999999997E-2</v>
      </c>
      <c r="E148" s="3">
        <f t="shared" ca="1" si="17"/>
        <v>4.32944720289168E-2</v>
      </c>
      <c r="F148" s="3">
        <f t="shared" ca="1" si="17"/>
        <v>5.0427220051713309E-2</v>
      </c>
      <c r="G148" s="3">
        <f t="shared" ca="1" si="17"/>
        <v>4.8550582012539457E-2</v>
      </c>
      <c r="H148" s="3">
        <f t="shared" ca="1" si="17"/>
        <v>5.4926275117362006E-2</v>
      </c>
      <c r="I148" s="3">
        <f t="shared" ca="1" si="17"/>
        <v>4.9046993323969959E-2</v>
      </c>
      <c r="J148" s="3">
        <f t="shared" ca="1" si="17"/>
        <v>4.9983996884922555E-2</v>
      </c>
      <c r="K148" s="3">
        <f t="shared" ca="1" si="17"/>
        <v>4.6955617527858581E-2</v>
      </c>
      <c r="L148" s="3">
        <f t="shared" ca="1" si="17"/>
        <v>5.3295276665046298E-2</v>
      </c>
    </row>
    <row r="149" spans="3:12">
      <c r="C149" s="7">
        <v>143</v>
      </c>
      <c r="D149" s="3">
        <f t="shared" si="15"/>
        <v>4.5199999999999997E-2</v>
      </c>
      <c r="E149" s="3">
        <f t="shared" ca="1" si="17"/>
        <v>4.1764343213937974E-2</v>
      </c>
      <c r="F149" s="3">
        <f t="shared" ca="1" si="17"/>
        <v>4.0049817734681636E-2</v>
      </c>
      <c r="G149" s="3">
        <f t="shared" ca="1" si="17"/>
        <v>3.7836208200233194E-2</v>
      </c>
      <c r="H149" s="3">
        <f t="shared" ca="1" si="17"/>
        <v>4.0998703605567843E-2</v>
      </c>
      <c r="I149" s="3">
        <f t="shared" ca="1" si="17"/>
        <v>4.3858113037410003E-2</v>
      </c>
      <c r="J149" s="3">
        <f t="shared" ca="1" si="17"/>
        <v>4.1970253407414775E-2</v>
      </c>
      <c r="K149" s="3">
        <f t="shared" ca="1" si="17"/>
        <v>4.5494632939481167E-2</v>
      </c>
      <c r="L149" s="3">
        <f t="shared" ca="1" si="17"/>
        <v>4.5353399007429171E-2</v>
      </c>
    </row>
    <row r="150" spans="3:12">
      <c r="C150" s="7">
        <v>144</v>
      </c>
      <c r="D150" s="3">
        <f t="shared" si="15"/>
        <v>4.5199999999999997E-2</v>
      </c>
      <c r="E150" s="3">
        <f t="shared" ca="1" si="17"/>
        <v>4.2984482944394498E-2</v>
      </c>
      <c r="F150" s="3">
        <f t="shared" ca="1" si="17"/>
        <v>4.6972148870109559E-2</v>
      </c>
      <c r="G150" s="3">
        <f t="shared" ca="1" si="17"/>
        <v>5.2487009578148169E-2</v>
      </c>
      <c r="H150" s="3">
        <f t="shared" ca="1" si="17"/>
        <v>6.2723814268063754E-2</v>
      </c>
      <c r="I150" s="3">
        <f t="shared" ca="1" si="17"/>
        <v>5.7352428274048156E-2</v>
      </c>
      <c r="J150" s="3">
        <f t="shared" ca="1" si="17"/>
        <v>5.9922620325578518E-2</v>
      </c>
      <c r="K150" s="3">
        <f t="shared" ca="1" si="17"/>
        <v>5.8287135170868296E-2</v>
      </c>
      <c r="L150" s="3">
        <f t="shared" ca="1" si="17"/>
        <v>6.9886765829088787E-2</v>
      </c>
    </row>
    <row r="151" spans="3:12">
      <c r="C151" s="7">
        <v>145</v>
      </c>
      <c r="D151" s="3">
        <f t="shared" si="15"/>
        <v>4.5199999999999997E-2</v>
      </c>
      <c r="E151" s="3">
        <f t="shared" ca="1" si="17"/>
        <v>3.8921001285715635E-2</v>
      </c>
      <c r="F151" s="3">
        <f t="shared" ca="1" si="17"/>
        <v>3.3637452410954317E-2</v>
      </c>
      <c r="G151" s="3">
        <f t="shared" ca="1" si="17"/>
        <v>2.5364007551223255E-2</v>
      </c>
      <c r="H151" s="3">
        <f t="shared" ca="1" si="17"/>
        <v>3.3236905071084656E-2</v>
      </c>
      <c r="I151" s="3">
        <f t="shared" ca="1" si="17"/>
        <v>3.0386129172851734E-2</v>
      </c>
      <c r="J151" s="3">
        <f t="shared" ca="1" si="17"/>
        <v>3.1183341468560066E-2</v>
      </c>
      <c r="K151" s="3">
        <f t="shared" ca="1" si="17"/>
        <v>3.1027732963483365E-2</v>
      </c>
      <c r="L151" s="3">
        <f t="shared" ca="1" si="17"/>
        <v>3.0335002003338891E-2</v>
      </c>
    </row>
    <row r="152" spans="3:12">
      <c r="C152" s="7">
        <v>146</v>
      </c>
      <c r="D152" s="3">
        <f t="shared" si="15"/>
        <v>4.5199999999999997E-2</v>
      </c>
      <c r="E152" s="3">
        <f t="shared" ca="1" si="17"/>
        <v>4.7655318727637577E-2</v>
      </c>
      <c r="F152" s="3">
        <f t="shared" ca="1" si="17"/>
        <v>5.0871875407415265E-2</v>
      </c>
      <c r="G152" s="3">
        <f t="shared" ca="1" si="17"/>
        <v>4.7294466793244491E-2</v>
      </c>
      <c r="H152" s="3">
        <f t="shared" ca="1" si="17"/>
        <v>5.8830300509878183E-2</v>
      </c>
      <c r="I152" s="3">
        <f t="shared" ca="1" si="17"/>
        <v>5.9995344390841629E-2</v>
      </c>
      <c r="J152" s="3">
        <f t="shared" ca="1" si="17"/>
        <v>5.967354033050553E-2</v>
      </c>
      <c r="K152" s="3">
        <f t="shared" ca="1" si="17"/>
        <v>5.5404872962291504E-2</v>
      </c>
      <c r="L152" s="3">
        <f t="shared" ca="1" si="17"/>
        <v>5.5938081677458798E-2</v>
      </c>
    </row>
    <row r="153" spans="3:12">
      <c r="C153" s="7">
        <v>147</v>
      </c>
      <c r="D153" s="3">
        <f t="shared" si="15"/>
        <v>4.5199999999999997E-2</v>
      </c>
      <c r="E153" s="3">
        <f t="shared" ca="1" si="17"/>
        <v>5.3210632030265416E-2</v>
      </c>
      <c r="F153" s="3">
        <f t="shared" ca="1" si="17"/>
        <v>5.7221932575936406E-2</v>
      </c>
      <c r="G153" s="3">
        <f t="shared" ca="1" si="17"/>
        <v>5.5536190148835096E-2</v>
      </c>
      <c r="H153" s="3">
        <f t="shared" ca="1" si="17"/>
        <v>6.1937051214453157E-2</v>
      </c>
      <c r="I153" s="3">
        <f t="shared" ca="1" si="17"/>
        <v>6.3791327610633455E-2</v>
      </c>
      <c r="J153" s="3">
        <f t="shared" ca="1" si="17"/>
        <v>6.1558543136383384E-2</v>
      </c>
      <c r="K153" s="3">
        <f t="shared" ca="1" si="17"/>
        <v>6.4707245019852061E-2</v>
      </c>
      <c r="L153" s="3">
        <f t="shared" ca="1" si="17"/>
        <v>6.3067357863617696E-2</v>
      </c>
    </row>
    <row r="154" spans="3:12">
      <c r="C154" s="7">
        <v>148</v>
      </c>
      <c r="D154" s="3">
        <f t="shared" si="15"/>
        <v>4.5199999999999997E-2</v>
      </c>
      <c r="E154" s="3">
        <f t="shared" ca="1" si="17"/>
        <v>3.9866511653344414E-2</v>
      </c>
      <c r="F154" s="3">
        <f t="shared" ca="1" si="17"/>
        <v>4.1546023890069936E-2</v>
      </c>
      <c r="G154" s="3">
        <f t="shared" ca="1" si="17"/>
        <v>3.4356143959646389E-2</v>
      </c>
      <c r="H154" s="3">
        <f t="shared" ca="1" si="17"/>
        <v>2.9794109104862691E-2</v>
      </c>
      <c r="I154" s="3">
        <f t="shared" ca="1" si="17"/>
        <v>3.7276084963496867E-2</v>
      </c>
      <c r="J154" s="3">
        <f t="shared" ca="1" si="17"/>
        <v>4.345300160377661E-2</v>
      </c>
      <c r="K154" s="3">
        <f t="shared" ca="1" si="17"/>
        <v>3.0867776895092208E-2</v>
      </c>
      <c r="L154" s="3">
        <f t="shared" ca="1" si="17"/>
        <v>2.5873732724181597E-2</v>
      </c>
    </row>
    <row r="155" spans="3:12">
      <c r="C155" s="7">
        <v>149</v>
      </c>
      <c r="D155" s="3">
        <f t="shared" si="15"/>
        <v>4.5199999999999997E-2</v>
      </c>
      <c r="E155" s="3">
        <f t="shared" ca="1" si="17"/>
        <v>4.9880709880406021E-2</v>
      </c>
      <c r="F155" s="3">
        <f t="shared" ca="1" si="17"/>
        <v>4.4611997918598448E-2</v>
      </c>
      <c r="G155" s="3">
        <f t="shared" ca="1" si="17"/>
        <v>4.8816345689041342E-2</v>
      </c>
      <c r="H155" s="3">
        <f t="shared" ca="1" si="17"/>
        <v>4.6074743498096718E-2</v>
      </c>
      <c r="I155" s="3">
        <f t="shared" ca="1" si="17"/>
        <v>4.4708708572377555E-2</v>
      </c>
      <c r="J155" s="3">
        <f t="shared" ca="1" si="17"/>
        <v>4.5755317295738993E-2</v>
      </c>
      <c r="K155" s="3">
        <f t="shared" ca="1" si="17"/>
        <v>4.096434063366397E-2</v>
      </c>
      <c r="L155" s="3">
        <f t="shared" ca="1" si="17"/>
        <v>4.3749397635417381E-2</v>
      </c>
    </row>
    <row r="156" spans="3:12">
      <c r="C156" s="7">
        <v>150</v>
      </c>
      <c r="D156" s="3">
        <f t="shared" si="15"/>
        <v>4.5199999999999997E-2</v>
      </c>
      <c r="E156" s="3">
        <f t="shared" ca="1" si="17"/>
        <v>4.7169437852728577E-2</v>
      </c>
      <c r="F156" s="3">
        <f t="shared" ca="1" si="17"/>
        <v>4.2167810585421205E-2</v>
      </c>
      <c r="G156" s="3">
        <f t="shared" ca="1" si="17"/>
        <v>3.5650292525887063E-2</v>
      </c>
      <c r="H156" s="3">
        <f t="shared" ca="1" si="17"/>
        <v>3.5895653983589092E-2</v>
      </c>
      <c r="I156" s="3">
        <f t="shared" ca="1" si="17"/>
        <v>3.4480634667087201E-2</v>
      </c>
      <c r="J156" s="3">
        <f t="shared" ca="1" si="17"/>
        <v>3.6572841923598616E-2</v>
      </c>
      <c r="K156" s="3">
        <f t="shared" ca="1" si="17"/>
        <v>3.6544204954759622E-2</v>
      </c>
      <c r="L156" s="3">
        <f t="shared" ca="1" si="17"/>
        <v>4.0323983608351183E-2</v>
      </c>
    </row>
    <row r="157" spans="3:12">
      <c r="C157" s="7">
        <v>151</v>
      </c>
      <c r="D157" s="3">
        <f t="shared" si="15"/>
        <v>4.5199999999999997E-2</v>
      </c>
      <c r="E157" s="3">
        <f t="shared" ref="E157:L166" ca="1" si="18">D157+E$5*dt+sigma*_xlfn.NORM.S.INV(RAND())*SQRT(dt)</f>
        <v>5.2753181926589274E-2</v>
      </c>
      <c r="F157" s="3">
        <f t="shared" ca="1" si="18"/>
        <v>5.6663267053479037E-2</v>
      </c>
      <c r="G157" s="3">
        <f t="shared" ca="1" si="18"/>
        <v>5.7488404512758717E-2</v>
      </c>
      <c r="H157" s="3">
        <f t="shared" ca="1" si="18"/>
        <v>6.3131038136036544E-2</v>
      </c>
      <c r="I157" s="3">
        <f t="shared" ca="1" si="18"/>
        <v>6.3967535886620727E-2</v>
      </c>
      <c r="J157" s="3">
        <f t="shared" ca="1" si="18"/>
        <v>6.4798384559207528E-2</v>
      </c>
      <c r="K157" s="3">
        <f t="shared" ca="1" si="18"/>
        <v>7.4212443370531025E-2</v>
      </c>
      <c r="L157" s="3">
        <f t="shared" ca="1" si="18"/>
        <v>7.3092679116272249E-2</v>
      </c>
    </row>
    <row r="158" spans="3:12">
      <c r="C158" s="7">
        <v>152</v>
      </c>
      <c r="D158" s="3">
        <f t="shared" si="15"/>
        <v>4.5199999999999997E-2</v>
      </c>
      <c r="E158" s="3">
        <f t="shared" ca="1" si="18"/>
        <v>4.7982535390474298E-2</v>
      </c>
      <c r="F158" s="3">
        <f t="shared" ca="1" si="18"/>
        <v>4.7146425929050259E-2</v>
      </c>
      <c r="G158" s="3">
        <f t="shared" ca="1" si="18"/>
        <v>4.7368804364290543E-2</v>
      </c>
      <c r="H158" s="3">
        <f t="shared" ca="1" si="18"/>
        <v>5.0994966862045722E-2</v>
      </c>
      <c r="I158" s="3">
        <f t="shared" ca="1" si="18"/>
        <v>5.2170503311452475E-2</v>
      </c>
      <c r="J158" s="3">
        <f t="shared" ca="1" si="18"/>
        <v>5.7731339321006464E-2</v>
      </c>
      <c r="K158" s="3">
        <f t="shared" ca="1" si="18"/>
        <v>5.3616435723039924E-2</v>
      </c>
      <c r="L158" s="3">
        <f t="shared" ca="1" si="18"/>
        <v>5.8178036682248253E-2</v>
      </c>
    </row>
    <row r="159" spans="3:12">
      <c r="C159" s="7">
        <v>153</v>
      </c>
      <c r="D159" s="3">
        <f t="shared" si="15"/>
        <v>4.5199999999999997E-2</v>
      </c>
      <c r="E159" s="3">
        <f t="shared" ca="1" si="18"/>
        <v>4.7528626514380265E-2</v>
      </c>
      <c r="F159" s="3">
        <f t="shared" ca="1" si="18"/>
        <v>5.0277018222242821E-2</v>
      </c>
      <c r="G159" s="3">
        <f t="shared" ca="1" si="18"/>
        <v>5.1479280204282593E-2</v>
      </c>
      <c r="H159" s="3">
        <f t="shared" ca="1" si="18"/>
        <v>5.0643915958293512E-2</v>
      </c>
      <c r="I159" s="3">
        <f t="shared" ca="1" si="18"/>
        <v>5.7448983047180893E-2</v>
      </c>
      <c r="J159" s="3">
        <f t="shared" ca="1" si="18"/>
        <v>6.1312760901741203E-2</v>
      </c>
      <c r="K159" s="3">
        <f t="shared" ca="1" si="18"/>
        <v>6.5987886703840259E-2</v>
      </c>
      <c r="L159" s="3">
        <f t="shared" ca="1" si="18"/>
        <v>7.0961896755622436E-2</v>
      </c>
    </row>
    <row r="160" spans="3:12">
      <c r="C160" s="7">
        <v>154</v>
      </c>
      <c r="D160" s="3">
        <f t="shared" si="15"/>
        <v>4.5199999999999997E-2</v>
      </c>
      <c r="E160" s="3">
        <f t="shared" ca="1" si="18"/>
        <v>4.7352731625173922E-2</v>
      </c>
      <c r="F160" s="3">
        <f t="shared" ca="1" si="18"/>
        <v>5.595266556106207E-2</v>
      </c>
      <c r="G160" s="3">
        <f t="shared" ca="1" si="18"/>
        <v>4.9950866286802162E-2</v>
      </c>
      <c r="H160" s="3">
        <f t="shared" ca="1" si="18"/>
        <v>5.2703227539093483E-2</v>
      </c>
      <c r="I160" s="3">
        <f t="shared" ca="1" si="18"/>
        <v>4.6290312123240654E-2</v>
      </c>
      <c r="J160" s="3">
        <f t="shared" ca="1" si="18"/>
        <v>4.8750251831763493E-2</v>
      </c>
      <c r="K160" s="3">
        <f t="shared" ca="1" si="18"/>
        <v>4.7688499293506326E-2</v>
      </c>
      <c r="L160" s="3">
        <f t="shared" ca="1" si="18"/>
        <v>4.7075347696692839E-2</v>
      </c>
    </row>
    <row r="161" spans="3:12">
      <c r="C161" s="7">
        <v>155</v>
      </c>
      <c r="D161" s="3">
        <f t="shared" si="15"/>
        <v>4.5199999999999997E-2</v>
      </c>
      <c r="E161" s="3">
        <f t="shared" ca="1" si="18"/>
        <v>3.3276311627941667E-2</v>
      </c>
      <c r="F161" s="3">
        <f t="shared" ca="1" si="18"/>
        <v>3.3042895841303217E-2</v>
      </c>
      <c r="G161" s="3">
        <f t="shared" ca="1" si="18"/>
        <v>2.7369663909509779E-2</v>
      </c>
      <c r="H161" s="3">
        <f t="shared" ca="1" si="18"/>
        <v>2.353732427949775E-2</v>
      </c>
      <c r="I161" s="3">
        <f t="shared" ca="1" si="18"/>
        <v>2.6491651011820695E-2</v>
      </c>
      <c r="J161" s="3">
        <f t="shared" ca="1" si="18"/>
        <v>2.4229321903643766E-2</v>
      </c>
      <c r="K161" s="3">
        <f t="shared" ca="1" si="18"/>
        <v>2.6225897208483225E-2</v>
      </c>
      <c r="L161" s="3">
        <f t="shared" ca="1" si="18"/>
        <v>2.2492733109514818E-2</v>
      </c>
    </row>
    <row r="162" spans="3:12">
      <c r="C162" s="7">
        <v>156</v>
      </c>
      <c r="D162" s="3">
        <f t="shared" si="15"/>
        <v>4.5199999999999997E-2</v>
      </c>
      <c r="E162" s="3">
        <f t="shared" ca="1" si="18"/>
        <v>4.3812358495531507E-2</v>
      </c>
      <c r="F162" s="3">
        <f t="shared" ca="1" si="18"/>
        <v>4.5615208904690903E-2</v>
      </c>
      <c r="G162" s="3">
        <f t="shared" ca="1" si="18"/>
        <v>5.0945280828419461E-2</v>
      </c>
      <c r="H162" s="3">
        <f t="shared" ca="1" si="18"/>
        <v>4.8353424459251594E-2</v>
      </c>
      <c r="I162" s="3">
        <f t="shared" ca="1" si="18"/>
        <v>4.2402266561630382E-2</v>
      </c>
      <c r="J162" s="3">
        <f t="shared" ca="1" si="18"/>
        <v>4.2826213297373038E-2</v>
      </c>
      <c r="K162" s="3">
        <f t="shared" ca="1" si="18"/>
        <v>3.7501136675130532E-2</v>
      </c>
      <c r="L162" s="3">
        <f t="shared" ca="1" si="18"/>
        <v>2.222593803450619E-2</v>
      </c>
    </row>
    <row r="163" spans="3:12">
      <c r="C163" s="7">
        <v>157</v>
      </c>
      <c r="D163" s="3">
        <f t="shared" si="15"/>
        <v>4.5199999999999997E-2</v>
      </c>
      <c r="E163" s="3">
        <f t="shared" ca="1" si="18"/>
        <v>5.0479898152259825E-2</v>
      </c>
      <c r="F163" s="3">
        <f t="shared" ca="1" si="18"/>
        <v>5.6797706762919793E-2</v>
      </c>
      <c r="G163" s="3">
        <f t="shared" ca="1" si="18"/>
        <v>5.320284779016201E-2</v>
      </c>
      <c r="H163" s="3">
        <f t="shared" ca="1" si="18"/>
        <v>5.2942843125450868E-2</v>
      </c>
      <c r="I163" s="3">
        <f t="shared" ca="1" si="18"/>
        <v>4.1714440414416257E-2</v>
      </c>
      <c r="J163" s="3">
        <f t="shared" ca="1" si="18"/>
        <v>4.6873046979909343E-2</v>
      </c>
      <c r="K163" s="3">
        <f t="shared" ca="1" si="18"/>
        <v>5.0056470693138892E-2</v>
      </c>
      <c r="L163" s="3">
        <f t="shared" ca="1" si="18"/>
        <v>5.577079426411622E-2</v>
      </c>
    </row>
    <row r="164" spans="3:12">
      <c r="C164" s="7">
        <v>158</v>
      </c>
      <c r="D164" s="3">
        <f t="shared" si="15"/>
        <v>4.5199999999999997E-2</v>
      </c>
      <c r="E164" s="3">
        <f t="shared" ca="1" si="18"/>
        <v>4.3176418151481231E-2</v>
      </c>
      <c r="F164" s="3">
        <f t="shared" ca="1" si="18"/>
        <v>4.029675726929477E-2</v>
      </c>
      <c r="G164" s="3">
        <f t="shared" ca="1" si="18"/>
        <v>3.5001701622453044E-2</v>
      </c>
      <c r="H164" s="3">
        <f t="shared" ca="1" si="18"/>
        <v>3.1755871474993237E-2</v>
      </c>
      <c r="I164" s="3">
        <f t="shared" ca="1" si="18"/>
        <v>2.7780128237782628E-2</v>
      </c>
      <c r="J164" s="3">
        <f t="shared" ca="1" si="18"/>
        <v>3.1715788751543343E-2</v>
      </c>
      <c r="K164" s="3">
        <f t="shared" ca="1" si="18"/>
        <v>3.4635560371937095E-2</v>
      </c>
      <c r="L164" s="3">
        <f t="shared" ca="1" si="18"/>
        <v>4.2346483985760651E-2</v>
      </c>
    </row>
    <row r="165" spans="3:12">
      <c r="C165" s="7">
        <v>159</v>
      </c>
      <c r="D165" s="3">
        <f t="shared" si="15"/>
        <v>4.5199999999999997E-2</v>
      </c>
      <c r="E165" s="3">
        <f t="shared" ca="1" si="18"/>
        <v>4.8004089343583897E-2</v>
      </c>
      <c r="F165" s="3">
        <f t="shared" ca="1" si="18"/>
        <v>4.0932494776528772E-2</v>
      </c>
      <c r="G165" s="3">
        <f t="shared" ca="1" si="18"/>
        <v>4.6738261373704348E-2</v>
      </c>
      <c r="H165" s="3">
        <f t="shared" ca="1" si="18"/>
        <v>5.1587589951499542E-2</v>
      </c>
      <c r="I165" s="3">
        <f t="shared" ca="1" si="18"/>
        <v>4.1850222941657293E-2</v>
      </c>
      <c r="J165" s="3">
        <f t="shared" ca="1" si="18"/>
        <v>4.0838673960740791E-2</v>
      </c>
      <c r="K165" s="3">
        <f t="shared" ca="1" si="18"/>
        <v>4.4537497205255142E-2</v>
      </c>
      <c r="L165" s="3">
        <f t="shared" ca="1" si="18"/>
        <v>5.5617611741449378E-2</v>
      </c>
    </row>
    <row r="166" spans="3:12">
      <c r="C166" s="7">
        <v>160</v>
      </c>
      <c r="D166" s="3">
        <f t="shared" si="15"/>
        <v>4.5199999999999997E-2</v>
      </c>
      <c r="E166" s="3">
        <f t="shared" ca="1" si="18"/>
        <v>5.1146271245793344E-2</v>
      </c>
      <c r="F166" s="3">
        <f t="shared" ca="1" si="18"/>
        <v>5.6867279604880236E-2</v>
      </c>
      <c r="G166" s="3">
        <f t="shared" ca="1" si="18"/>
        <v>5.1606681669600439E-2</v>
      </c>
      <c r="H166" s="3">
        <f t="shared" ca="1" si="18"/>
        <v>5.7943236511202437E-2</v>
      </c>
      <c r="I166" s="3">
        <f t="shared" ca="1" si="18"/>
        <v>5.768998274177712E-2</v>
      </c>
      <c r="J166" s="3">
        <f t="shared" ca="1" si="18"/>
        <v>5.6640387794226588E-2</v>
      </c>
      <c r="K166" s="3">
        <f t="shared" ca="1" si="18"/>
        <v>5.7597643748635095E-2</v>
      </c>
      <c r="L166" s="3">
        <f t="shared" ca="1" si="18"/>
        <v>6.0703790973582465E-2</v>
      </c>
    </row>
    <row r="167" spans="3:12">
      <c r="C167" s="7">
        <v>161</v>
      </c>
      <c r="D167" s="3">
        <f t="shared" si="15"/>
        <v>4.5199999999999997E-2</v>
      </c>
      <c r="E167" s="3">
        <f t="shared" ref="E167:L176" ca="1" si="19">D167+E$5*dt+sigma*_xlfn.NORM.S.INV(RAND())*SQRT(dt)</f>
        <v>3.932875431432354E-2</v>
      </c>
      <c r="F167" s="3">
        <f t="shared" ca="1" si="19"/>
        <v>3.6477403794324487E-2</v>
      </c>
      <c r="G167" s="3">
        <f t="shared" ca="1" si="19"/>
        <v>3.8853179875027941E-2</v>
      </c>
      <c r="H167" s="3">
        <f t="shared" ca="1" si="19"/>
        <v>4.6835812474735533E-2</v>
      </c>
      <c r="I167" s="3">
        <f t="shared" ca="1" si="19"/>
        <v>5.5511782004432381E-2</v>
      </c>
      <c r="J167" s="3">
        <f t="shared" ca="1" si="19"/>
        <v>6.277555183060271E-2</v>
      </c>
      <c r="K167" s="3">
        <f t="shared" ca="1" si="19"/>
        <v>6.4838579131821436E-2</v>
      </c>
      <c r="L167" s="3">
        <f t="shared" ca="1" si="19"/>
        <v>6.2573706280850558E-2</v>
      </c>
    </row>
    <row r="168" spans="3:12">
      <c r="C168" s="7">
        <v>162</v>
      </c>
      <c r="D168" s="3">
        <f t="shared" si="15"/>
        <v>4.5199999999999997E-2</v>
      </c>
      <c r="E168" s="3">
        <f t="shared" ca="1" si="19"/>
        <v>5.7294296706570033E-2</v>
      </c>
      <c r="F168" s="3">
        <f t="shared" ca="1" si="19"/>
        <v>6.271344120150818E-2</v>
      </c>
      <c r="G168" s="3">
        <f t="shared" ca="1" si="19"/>
        <v>6.0224296459831135E-2</v>
      </c>
      <c r="H168" s="3">
        <f t="shared" ca="1" si="19"/>
        <v>5.4629004722450997E-2</v>
      </c>
      <c r="I168" s="3">
        <f t="shared" ca="1" si="19"/>
        <v>5.1411499548447259E-2</v>
      </c>
      <c r="J168" s="3">
        <f t="shared" ca="1" si="19"/>
        <v>6.310645200179224E-2</v>
      </c>
      <c r="K168" s="3">
        <f t="shared" ca="1" si="19"/>
        <v>6.5215792975786002E-2</v>
      </c>
      <c r="L168" s="3">
        <f t="shared" ca="1" si="19"/>
        <v>5.7456129842869928E-2</v>
      </c>
    </row>
    <row r="169" spans="3:12">
      <c r="C169" s="7">
        <v>163</v>
      </c>
      <c r="D169" s="3">
        <f t="shared" si="15"/>
        <v>4.5199999999999997E-2</v>
      </c>
      <c r="E169" s="3">
        <f t="shared" ca="1" si="19"/>
        <v>4.3282383179935303E-2</v>
      </c>
      <c r="F169" s="3">
        <f t="shared" ca="1" si="19"/>
        <v>4.4950728138458101E-2</v>
      </c>
      <c r="G169" s="3">
        <f t="shared" ca="1" si="19"/>
        <v>3.8778795948206435E-2</v>
      </c>
      <c r="H169" s="3">
        <f t="shared" ca="1" si="19"/>
        <v>3.1812965338304654E-2</v>
      </c>
      <c r="I169" s="3">
        <f t="shared" ca="1" si="19"/>
        <v>3.5999808450152805E-2</v>
      </c>
      <c r="J169" s="3">
        <f t="shared" ca="1" si="19"/>
        <v>4.3713605978788338E-2</v>
      </c>
      <c r="K169" s="3">
        <f t="shared" ca="1" si="19"/>
        <v>5.0128486557887639E-2</v>
      </c>
      <c r="L169" s="3">
        <f t="shared" ca="1" si="19"/>
        <v>4.3853052677203186E-2</v>
      </c>
    </row>
    <row r="170" spans="3:12">
      <c r="C170" s="7">
        <v>164</v>
      </c>
      <c r="D170" s="3">
        <f t="shared" si="15"/>
        <v>4.5199999999999997E-2</v>
      </c>
      <c r="E170" s="3">
        <f t="shared" ca="1" si="19"/>
        <v>4.5907346714376678E-2</v>
      </c>
      <c r="F170" s="3">
        <f t="shared" ca="1" si="19"/>
        <v>4.7946767455120075E-2</v>
      </c>
      <c r="G170" s="3">
        <f t="shared" ca="1" si="19"/>
        <v>4.4562965492353522E-2</v>
      </c>
      <c r="H170" s="3">
        <f t="shared" ca="1" si="19"/>
        <v>5.1753841814922652E-2</v>
      </c>
      <c r="I170" s="3">
        <f t="shared" ca="1" si="19"/>
        <v>5.0578548888864414E-2</v>
      </c>
      <c r="J170" s="3">
        <f t="shared" ca="1" si="19"/>
        <v>5.2263064772554824E-2</v>
      </c>
      <c r="K170" s="3">
        <f t="shared" ca="1" si="19"/>
        <v>4.8669681061728712E-2</v>
      </c>
      <c r="L170" s="3">
        <f t="shared" ca="1" si="19"/>
        <v>4.4215020873005467E-2</v>
      </c>
    </row>
    <row r="171" spans="3:12">
      <c r="C171" s="7">
        <v>165</v>
      </c>
      <c r="D171" s="3">
        <f t="shared" si="15"/>
        <v>4.5199999999999997E-2</v>
      </c>
      <c r="E171" s="3">
        <f t="shared" ca="1" si="19"/>
        <v>4.8782788131724111E-2</v>
      </c>
      <c r="F171" s="3">
        <f t="shared" ca="1" si="19"/>
        <v>4.929783401231564E-2</v>
      </c>
      <c r="G171" s="3">
        <f t="shared" ca="1" si="19"/>
        <v>4.3693807269456243E-2</v>
      </c>
      <c r="H171" s="3">
        <f t="shared" ca="1" si="19"/>
        <v>4.3355598320456601E-2</v>
      </c>
      <c r="I171" s="3">
        <f t="shared" ca="1" si="19"/>
        <v>4.1461761119975911E-2</v>
      </c>
      <c r="J171" s="3">
        <f t="shared" ca="1" si="19"/>
        <v>4.542920359678413E-2</v>
      </c>
      <c r="K171" s="3">
        <f t="shared" ca="1" si="19"/>
        <v>4.2572678856974397E-2</v>
      </c>
      <c r="L171" s="3">
        <f t="shared" ca="1" si="19"/>
        <v>4.1499268195744093E-2</v>
      </c>
    </row>
    <row r="172" spans="3:12">
      <c r="C172" s="7">
        <v>166</v>
      </c>
      <c r="D172" s="3">
        <f t="shared" si="15"/>
        <v>4.5199999999999997E-2</v>
      </c>
      <c r="E172" s="3">
        <f t="shared" ca="1" si="19"/>
        <v>5.4231211197583465E-2</v>
      </c>
      <c r="F172" s="3">
        <f t="shared" ca="1" si="19"/>
        <v>6.1812353877620324E-2</v>
      </c>
      <c r="G172" s="3">
        <f t="shared" ca="1" si="19"/>
        <v>6.1369704784872844E-2</v>
      </c>
      <c r="H172" s="3">
        <f t="shared" ca="1" si="19"/>
        <v>5.7866954342247527E-2</v>
      </c>
      <c r="I172" s="3">
        <f t="shared" ca="1" si="19"/>
        <v>5.9126253686196902E-2</v>
      </c>
      <c r="J172" s="3">
        <f t="shared" ca="1" si="19"/>
        <v>6.0740055206092623E-2</v>
      </c>
      <c r="K172" s="3">
        <f t="shared" ca="1" si="19"/>
        <v>5.8777492449947628E-2</v>
      </c>
      <c r="L172" s="3">
        <f t="shared" ca="1" si="19"/>
        <v>6.1247598230688073E-2</v>
      </c>
    </row>
    <row r="173" spans="3:12">
      <c r="C173" s="7">
        <v>167</v>
      </c>
      <c r="D173" s="3">
        <f t="shared" si="15"/>
        <v>4.5199999999999997E-2</v>
      </c>
      <c r="E173" s="3">
        <f t="shared" ca="1" si="19"/>
        <v>5.0486049677741097E-2</v>
      </c>
      <c r="F173" s="3">
        <f t="shared" ca="1" si="19"/>
        <v>5.1763164188030661E-2</v>
      </c>
      <c r="G173" s="3">
        <f t="shared" ca="1" si="19"/>
        <v>5.0952666902740439E-2</v>
      </c>
      <c r="H173" s="3">
        <f t="shared" ca="1" si="19"/>
        <v>4.8395711923856895E-2</v>
      </c>
      <c r="I173" s="3">
        <f t="shared" ca="1" si="19"/>
        <v>4.5284116233573098E-2</v>
      </c>
      <c r="J173" s="3">
        <f t="shared" ca="1" si="19"/>
        <v>5.2549329800539737E-2</v>
      </c>
      <c r="K173" s="3">
        <f t="shared" ca="1" si="19"/>
        <v>5.4002033216991471E-2</v>
      </c>
      <c r="L173" s="3">
        <f t="shared" ca="1" si="19"/>
        <v>5.9814358088428637E-2</v>
      </c>
    </row>
    <row r="174" spans="3:12">
      <c r="C174" s="7">
        <v>168</v>
      </c>
      <c r="D174" s="3">
        <f t="shared" si="15"/>
        <v>4.5199999999999997E-2</v>
      </c>
      <c r="E174" s="3">
        <f t="shared" ca="1" si="19"/>
        <v>4.3295171951157424E-2</v>
      </c>
      <c r="F174" s="3">
        <f t="shared" ca="1" si="19"/>
        <v>3.8239666234811759E-2</v>
      </c>
      <c r="G174" s="3">
        <f t="shared" ca="1" si="19"/>
        <v>3.446423321813219E-2</v>
      </c>
      <c r="H174" s="3">
        <f t="shared" ca="1" si="19"/>
        <v>3.960958955529665E-2</v>
      </c>
      <c r="I174" s="3">
        <f t="shared" ca="1" si="19"/>
        <v>4.5700622302179389E-2</v>
      </c>
      <c r="J174" s="3">
        <f t="shared" ca="1" si="19"/>
        <v>4.2007628604705582E-2</v>
      </c>
      <c r="K174" s="3">
        <f t="shared" ca="1" si="19"/>
        <v>4.0334152458171825E-2</v>
      </c>
      <c r="L174" s="3">
        <f t="shared" ca="1" si="19"/>
        <v>4.2270988955000775E-2</v>
      </c>
    </row>
    <row r="175" spans="3:12">
      <c r="C175" s="7">
        <v>169</v>
      </c>
      <c r="D175" s="3">
        <f t="shared" si="15"/>
        <v>4.5199999999999997E-2</v>
      </c>
      <c r="E175" s="3">
        <f t="shared" ca="1" si="19"/>
        <v>4.4757705233653931E-2</v>
      </c>
      <c r="F175" s="3">
        <f t="shared" ca="1" si="19"/>
        <v>5.2486154902894863E-2</v>
      </c>
      <c r="G175" s="3">
        <f t="shared" ca="1" si="19"/>
        <v>4.1667322755184685E-2</v>
      </c>
      <c r="H175" s="3">
        <f t="shared" ca="1" si="19"/>
        <v>4.2780052341724994E-2</v>
      </c>
      <c r="I175" s="3">
        <f t="shared" ca="1" si="19"/>
        <v>4.3065740001233192E-2</v>
      </c>
      <c r="J175" s="3">
        <f t="shared" ca="1" si="19"/>
        <v>5.3883192155517554E-2</v>
      </c>
      <c r="K175" s="3">
        <f t="shared" ca="1" si="19"/>
        <v>5.3030733558796381E-2</v>
      </c>
      <c r="L175" s="3">
        <f t="shared" ca="1" si="19"/>
        <v>4.3754414354687549E-2</v>
      </c>
    </row>
    <row r="176" spans="3:12">
      <c r="C176" s="7">
        <v>170</v>
      </c>
      <c r="D176" s="3">
        <f t="shared" si="15"/>
        <v>4.5199999999999997E-2</v>
      </c>
      <c r="E176" s="3">
        <f t="shared" ca="1" si="19"/>
        <v>3.9479413900707423E-2</v>
      </c>
      <c r="F176" s="3">
        <f t="shared" ca="1" si="19"/>
        <v>4.8713295312209491E-2</v>
      </c>
      <c r="G176" s="3">
        <f t="shared" ca="1" si="19"/>
        <v>5.1446430148649185E-2</v>
      </c>
      <c r="H176" s="3">
        <f t="shared" ca="1" si="19"/>
        <v>5.0194264698033883E-2</v>
      </c>
      <c r="I176" s="3">
        <f t="shared" ca="1" si="19"/>
        <v>4.6909332347462425E-2</v>
      </c>
      <c r="J176" s="3">
        <f t="shared" ca="1" si="19"/>
        <v>5.7564608021232699E-2</v>
      </c>
      <c r="K176" s="3">
        <f t="shared" ca="1" si="19"/>
        <v>5.2317463085230123E-2</v>
      </c>
      <c r="L176" s="3">
        <f t="shared" ca="1" si="19"/>
        <v>5.0628606909515997E-2</v>
      </c>
    </row>
    <row r="177" spans="3:12">
      <c r="C177" s="7">
        <v>171</v>
      </c>
      <c r="D177" s="3">
        <f t="shared" si="15"/>
        <v>4.5199999999999997E-2</v>
      </c>
      <c r="E177" s="3">
        <f t="shared" ref="E177:L186" ca="1" si="20">D177+E$5*dt+sigma*_xlfn.NORM.S.INV(RAND())*SQRT(dt)</f>
        <v>4.1299936324423581E-2</v>
      </c>
      <c r="F177" s="3">
        <f t="shared" ca="1" si="20"/>
        <v>4.6454170912487387E-2</v>
      </c>
      <c r="G177" s="3">
        <f t="shared" ca="1" si="20"/>
        <v>4.5950853456862437E-2</v>
      </c>
      <c r="H177" s="3">
        <f t="shared" ca="1" si="20"/>
        <v>4.3247463834387101E-2</v>
      </c>
      <c r="I177" s="3">
        <f t="shared" ca="1" si="20"/>
        <v>3.7628633614093354E-2</v>
      </c>
      <c r="J177" s="3">
        <f t="shared" ca="1" si="20"/>
        <v>4.1823429454870074E-2</v>
      </c>
      <c r="K177" s="3">
        <f t="shared" ca="1" si="20"/>
        <v>4.119473619078301E-2</v>
      </c>
      <c r="L177" s="3">
        <f t="shared" ca="1" si="20"/>
        <v>4.2878893690410098E-2</v>
      </c>
    </row>
    <row r="178" spans="3:12">
      <c r="C178" s="7">
        <v>172</v>
      </c>
      <c r="D178" s="3">
        <f t="shared" si="15"/>
        <v>4.5199999999999997E-2</v>
      </c>
      <c r="E178" s="3">
        <f t="shared" ca="1" si="20"/>
        <v>4.1090562471092773E-2</v>
      </c>
      <c r="F178" s="3">
        <f t="shared" ca="1" si="20"/>
        <v>4.8445802278336711E-2</v>
      </c>
      <c r="G178" s="3">
        <f t="shared" ca="1" si="20"/>
        <v>5.163017268344619E-2</v>
      </c>
      <c r="H178" s="3">
        <f t="shared" ca="1" si="20"/>
        <v>5.0727189859626209E-2</v>
      </c>
      <c r="I178" s="3">
        <f t="shared" ca="1" si="20"/>
        <v>5.4956517031694956E-2</v>
      </c>
      <c r="J178" s="3">
        <f t="shared" ca="1" si="20"/>
        <v>5.7803968146916934E-2</v>
      </c>
      <c r="K178" s="3">
        <f t="shared" ca="1" si="20"/>
        <v>5.5387846528452946E-2</v>
      </c>
      <c r="L178" s="3">
        <f t="shared" ca="1" si="20"/>
        <v>5.6882774963349612E-2</v>
      </c>
    </row>
    <row r="179" spans="3:12">
      <c r="C179" s="7">
        <v>173</v>
      </c>
      <c r="D179" s="3">
        <f t="shared" si="15"/>
        <v>4.5199999999999997E-2</v>
      </c>
      <c r="E179" s="3">
        <f t="shared" ca="1" si="20"/>
        <v>4.5250430602329611E-2</v>
      </c>
      <c r="F179" s="3">
        <f t="shared" ca="1" si="20"/>
        <v>5.4435428234015003E-2</v>
      </c>
      <c r="G179" s="3">
        <f t="shared" ca="1" si="20"/>
        <v>5.9730942105121677E-2</v>
      </c>
      <c r="H179" s="3">
        <f t="shared" ca="1" si="20"/>
        <v>6.9087747398663926E-2</v>
      </c>
      <c r="I179" s="3">
        <f t="shared" ca="1" si="20"/>
        <v>6.8022895465083055E-2</v>
      </c>
      <c r="J179" s="3">
        <f t="shared" ca="1" si="20"/>
        <v>7.1220128104505939E-2</v>
      </c>
      <c r="K179" s="3">
        <f t="shared" ca="1" si="20"/>
        <v>7.4882887828425143E-2</v>
      </c>
      <c r="L179" s="3">
        <f t="shared" ca="1" si="20"/>
        <v>8.3429897662375352E-2</v>
      </c>
    </row>
    <row r="180" spans="3:12">
      <c r="C180" s="7">
        <v>174</v>
      </c>
      <c r="D180" s="3">
        <f t="shared" si="15"/>
        <v>4.5199999999999997E-2</v>
      </c>
      <c r="E180" s="3">
        <f t="shared" ca="1" si="20"/>
        <v>5.2479365150113665E-2</v>
      </c>
      <c r="F180" s="3">
        <f t="shared" ca="1" si="20"/>
        <v>4.5649103707154699E-2</v>
      </c>
      <c r="G180" s="3">
        <f t="shared" ca="1" si="20"/>
        <v>3.7455567285241763E-2</v>
      </c>
      <c r="H180" s="3">
        <f t="shared" ca="1" si="20"/>
        <v>3.6305807801135535E-2</v>
      </c>
      <c r="I180" s="3">
        <f t="shared" ca="1" si="20"/>
        <v>4.1085574945204061E-2</v>
      </c>
      <c r="J180" s="3">
        <f t="shared" ca="1" si="20"/>
        <v>4.5620158966251573E-2</v>
      </c>
      <c r="K180" s="3">
        <f t="shared" ca="1" si="20"/>
        <v>4.6438354884987411E-2</v>
      </c>
      <c r="L180" s="3">
        <f t="shared" ca="1" si="20"/>
        <v>5.4394511694994235E-2</v>
      </c>
    </row>
    <row r="181" spans="3:12">
      <c r="C181" s="7">
        <v>175</v>
      </c>
      <c r="D181" s="3">
        <f t="shared" si="15"/>
        <v>4.5199999999999997E-2</v>
      </c>
      <c r="E181" s="3">
        <f t="shared" ca="1" si="20"/>
        <v>4.1955028310691166E-2</v>
      </c>
      <c r="F181" s="3">
        <f t="shared" ca="1" si="20"/>
        <v>4.3679204846527514E-2</v>
      </c>
      <c r="G181" s="3">
        <f t="shared" ca="1" si="20"/>
        <v>3.9359835265061149E-2</v>
      </c>
      <c r="H181" s="3">
        <f t="shared" ca="1" si="20"/>
        <v>3.8132118022614389E-2</v>
      </c>
      <c r="I181" s="3">
        <f t="shared" ca="1" si="20"/>
        <v>5.3313820933734803E-2</v>
      </c>
      <c r="J181" s="3">
        <f t="shared" ca="1" si="20"/>
        <v>5.4745249714867925E-2</v>
      </c>
      <c r="K181" s="3">
        <f t="shared" ca="1" si="20"/>
        <v>5.3098170040419557E-2</v>
      </c>
      <c r="L181" s="3">
        <f t="shared" ca="1" si="20"/>
        <v>5.4215770833360356E-2</v>
      </c>
    </row>
    <row r="182" spans="3:12">
      <c r="C182" s="7">
        <v>176</v>
      </c>
      <c r="D182" s="3">
        <f t="shared" si="15"/>
        <v>4.5199999999999997E-2</v>
      </c>
      <c r="E182" s="3">
        <f t="shared" ca="1" si="20"/>
        <v>4.2109132189545796E-2</v>
      </c>
      <c r="F182" s="3">
        <f t="shared" ca="1" si="20"/>
        <v>4.3681208231046889E-2</v>
      </c>
      <c r="G182" s="3">
        <f t="shared" ca="1" si="20"/>
        <v>4.638704966927306E-2</v>
      </c>
      <c r="H182" s="3">
        <f t="shared" ca="1" si="20"/>
        <v>4.6526752576842807E-2</v>
      </c>
      <c r="I182" s="3">
        <f t="shared" ca="1" si="20"/>
        <v>3.9472987226092882E-2</v>
      </c>
      <c r="J182" s="3">
        <f t="shared" ca="1" si="20"/>
        <v>4.214976404644083E-2</v>
      </c>
      <c r="K182" s="3">
        <f t="shared" ca="1" si="20"/>
        <v>3.6636928603744331E-2</v>
      </c>
      <c r="L182" s="3">
        <f t="shared" ca="1" si="20"/>
        <v>4.1318062732896003E-2</v>
      </c>
    </row>
    <row r="183" spans="3:12">
      <c r="C183" s="7">
        <v>177</v>
      </c>
      <c r="D183" s="3">
        <f t="shared" si="15"/>
        <v>4.5199999999999997E-2</v>
      </c>
      <c r="E183" s="3">
        <f t="shared" ca="1" si="20"/>
        <v>3.7508550166993893E-2</v>
      </c>
      <c r="F183" s="3">
        <f t="shared" ca="1" si="20"/>
        <v>4.2413830252673687E-2</v>
      </c>
      <c r="G183" s="3">
        <f t="shared" ca="1" si="20"/>
        <v>3.9088979076538508E-2</v>
      </c>
      <c r="H183" s="3">
        <f t="shared" ca="1" si="20"/>
        <v>4.9869615871903937E-2</v>
      </c>
      <c r="I183" s="3">
        <f t="shared" ca="1" si="20"/>
        <v>4.7058553681564169E-2</v>
      </c>
      <c r="J183" s="3">
        <f t="shared" ca="1" si="20"/>
        <v>4.5307429650339764E-2</v>
      </c>
      <c r="K183" s="3">
        <f t="shared" ca="1" si="20"/>
        <v>3.349435977049886E-2</v>
      </c>
      <c r="L183" s="3">
        <f t="shared" ca="1" si="20"/>
        <v>3.9463386794629206E-2</v>
      </c>
    </row>
    <row r="184" spans="3:12">
      <c r="C184" s="7">
        <v>178</v>
      </c>
      <c r="D184" s="3">
        <f t="shared" si="15"/>
        <v>4.5199999999999997E-2</v>
      </c>
      <c r="E184" s="3">
        <f t="shared" ca="1" si="20"/>
        <v>4.7190559289364456E-2</v>
      </c>
      <c r="F184" s="3">
        <f t="shared" ca="1" si="20"/>
        <v>5.2118133900428645E-2</v>
      </c>
      <c r="G184" s="3">
        <f t="shared" ca="1" si="20"/>
        <v>4.7172781041504297E-2</v>
      </c>
      <c r="H184" s="3">
        <f t="shared" ca="1" si="20"/>
        <v>5.0844458977491513E-2</v>
      </c>
      <c r="I184" s="3">
        <f t="shared" ca="1" si="20"/>
        <v>4.7447150128393623E-2</v>
      </c>
      <c r="J184" s="3">
        <f t="shared" ca="1" si="20"/>
        <v>4.2852800263165229E-2</v>
      </c>
      <c r="K184" s="3">
        <f t="shared" ca="1" si="20"/>
        <v>4.0053616946965839E-2</v>
      </c>
      <c r="L184" s="3">
        <f t="shared" ca="1" si="20"/>
        <v>4.2753084250803319E-2</v>
      </c>
    </row>
    <row r="185" spans="3:12">
      <c r="C185" s="7">
        <v>179</v>
      </c>
      <c r="D185" s="3">
        <f t="shared" si="15"/>
        <v>4.5199999999999997E-2</v>
      </c>
      <c r="E185" s="3">
        <f t="shared" ca="1" si="20"/>
        <v>4.387630845785373E-2</v>
      </c>
      <c r="F185" s="3">
        <f t="shared" ca="1" si="20"/>
        <v>5.1759439700932504E-2</v>
      </c>
      <c r="G185" s="3">
        <f t="shared" ca="1" si="20"/>
        <v>5.5467694358214657E-2</v>
      </c>
      <c r="H185" s="3">
        <f t="shared" ca="1" si="20"/>
        <v>6.1433488055198722E-2</v>
      </c>
      <c r="I185" s="3">
        <f t="shared" ca="1" si="20"/>
        <v>5.9636672506984734E-2</v>
      </c>
      <c r="J185" s="3">
        <f t="shared" ca="1" si="20"/>
        <v>5.5980407789265621E-2</v>
      </c>
      <c r="K185" s="3">
        <f t="shared" ca="1" si="20"/>
        <v>5.2546504419015053E-2</v>
      </c>
      <c r="L185" s="3">
        <f t="shared" ca="1" si="20"/>
        <v>4.9693623486714633E-2</v>
      </c>
    </row>
    <row r="186" spans="3:12">
      <c r="C186" s="7">
        <v>180</v>
      </c>
      <c r="D186" s="3">
        <f t="shared" si="15"/>
        <v>4.5199999999999997E-2</v>
      </c>
      <c r="E186" s="3">
        <f t="shared" ca="1" si="20"/>
        <v>4.4672079896119057E-2</v>
      </c>
      <c r="F186" s="3">
        <f t="shared" ca="1" si="20"/>
        <v>4.8267292704254484E-2</v>
      </c>
      <c r="G186" s="3">
        <f t="shared" ca="1" si="20"/>
        <v>4.6527832471472241E-2</v>
      </c>
      <c r="H186" s="3">
        <f t="shared" ca="1" si="20"/>
        <v>5.2403123273312258E-2</v>
      </c>
      <c r="I186" s="3">
        <f t="shared" ca="1" si="20"/>
        <v>5.4575302621946799E-2</v>
      </c>
      <c r="J186" s="3">
        <f t="shared" ca="1" si="20"/>
        <v>6.4715675962635166E-2</v>
      </c>
      <c r="K186" s="3">
        <f t="shared" ca="1" si="20"/>
        <v>6.4463272723064097E-2</v>
      </c>
      <c r="L186" s="3">
        <f t="shared" ca="1" si="20"/>
        <v>5.2136000752907065E-2</v>
      </c>
    </row>
    <row r="187" spans="3:12">
      <c r="C187" s="7">
        <v>181</v>
      </c>
      <c r="D187" s="3">
        <f t="shared" si="15"/>
        <v>4.5199999999999997E-2</v>
      </c>
      <c r="E187" s="3">
        <f t="shared" ref="E187:L196" ca="1" si="21">D187+E$5*dt+sigma*_xlfn.NORM.S.INV(RAND())*SQRT(dt)</f>
        <v>4.7557491423623713E-2</v>
      </c>
      <c r="F187" s="3">
        <f t="shared" ca="1" si="21"/>
        <v>4.2503410106245323E-2</v>
      </c>
      <c r="G187" s="3">
        <f t="shared" ca="1" si="21"/>
        <v>4.4866677328821124E-2</v>
      </c>
      <c r="H187" s="3">
        <f t="shared" ca="1" si="21"/>
        <v>3.9812786155459953E-2</v>
      </c>
      <c r="I187" s="3">
        <f t="shared" ca="1" si="21"/>
        <v>3.8802523622206098E-2</v>
      </c>
      <c r="J187" s="3">
        <f t="shared" ca="1" si="21"/>
        <v>4.2215719906453175E-2</v>
      </c>
      <c r="K187" s="3">
        <f t="shared" ca="1" si="21"/>
        <v>3.961001770173208E-2</v>
      </c>
      <c r="L187" s="3">
        <f t="shared" ca="1" si="21"/>
        <v>4.6995572338732257E-2</v>
      </c>
    </row>
    <row r="188" spans="3:12">
      <c r="C188" s="7">
        <v>182</v>
      </c>
      <c r="D188" s="3">
        <f t="shared" si="15"/>
        <v>4.5199999999999997E-2</v>
      </c>
      <c r="E188" s="3">
        <f t="shared" ca="1" si="21"/>
        <v>4.3024908015569623E-2</v>
      </c>
      <c r="F188" s="3">
        <f t="shared" ca="1" si="21"/>
        <v>4.3157952304523274E-2</v>
      </c>
      <c r="G188" s="3">
        <f t="shared" ca="1" si="21"/>
        <v>5.2153246467246624E-2</v>
      </c>
      <c r="H188" s="3">
        <f t="shared" ca="1" si="21"/>
        <v>5.4905488936318629E-2</v>
      </c>
      <c r="I188" s="3">
        <f t="shared" ca="1" si="21"/>
        <v>5.2050525201351831E-2</v>
      </c>
      <c r="J188" s="3">
        <f t="shared" ca="1" si="21"/>
        <v>5.4524732545094608E-2</v>
      </c>
      <c r="K188" s="3">
        <f t="shared" ca="1" si="21"/>
        <v>5.4554914006079362E-2</v>
      </c>
      <c r="L188" s="3">
        <f t="shared" ca="1" si="21"/>
        <v>5.435975055957299E-2</v>
      </c>
    </row>
    <row r="189" spans="3:12">
      <c r="C189" s="7">
        <v>183</v>
      </c>
      <c r="D189" s="3">
        <f t="shared" si="15"/>
        <v>4.5199999999999997E-2</v>
      </c>
      <c r="E189" s="3">
        <f t="shared" ca="1" si="21"/>
        <v>3.7782674375728124E-2</v>
      </c>
      <c r="F189" s="3">
        <f t="shared" ca="1" si="21"/>
        <v>3.9807361380830644E-2</v>
      </c>
      <c r="G189" s="3">
        <f t="shared" ca="1" si="21"/>
        <v>3.4749053679834038E-2</v>
      </c>
      <c r="H189" s="3">
        <f t="shared" ca="1" si="21"/>
        <v>3.5028644940584594E-2</v>
      </c>
      <c r="I189" s="3">
        <f t="shared" ca="1" si="21"/>
        <v>3.0712669075430167E-2</v>
      </c>
      <c r="J189" s="3">
        <f t="shared" ca="1" si="21"/>
        <v>3.8699606634912419E-2</v>
      </c>
      <c r="K189" s="3">
        <f t="shared" ca="1" si="21"/>
        <v>4.0072524667339529E-2</v>
      </c>
      <c r="L189" s="3">
        <f t="shared" ca="1" si="21"/>
        <v>3.8138082225307415E-2</v>
      </c>
    </row>
    <row r="190" spans="3:12">
      <c r="C190" s="7">
        <v>184</v>
      </c>
      <c r="D190" s="3">
        <f t="shared" si="15"/>
        <v>4.5199999999999997E-2</v>
      </c>
      <c r="E190" s="3">
        <f t="shared" ca="1" si="21"/>
        <v>4.6370589079776696E-2</v>
      </c>
      <c r="F190" s="3">
        <f t="shared" ca="1" si="21"/>
        <v>4.8972053871935581E-2</v>
      </c>
      <c r="G190" s="3">
        <f t="shared" ca="1" si="21"/>
        <v>6.3870517123915671E-2</v>
      </c>
      <c r="H190" s="3">
        <f t="shared" ca="1" si="21"/>
        <v>6.5866813038711822E-2</v>
      </c>
      <c r="I190" s="3">
        <f t="shared" ca="1" si="21"/>
        <v>5.4702799091289153E-2</v>
      </c>
      <c r="J190" s="3">
        <f t="shared" ca="1" si="21"/>
        <v>5.1720354024774096E-2</v>
      </c>
      <c r="K190" s="3">
        <f t="shared" ca="1" si="21"/>
        <v>4.7374421760555674E-2</v>
      </c>
      <c r="L190" s="3">
        <f t="shared" ca="1" si="21"/>
        <v>5.1606056190173479E-2</v>
      </c>
    </row>
    <row r="191" spans="3:12">
      <c r="C191" s="7">
        <v>185</v>
      </c>
      <c r="D191" s="3">
        <f t="shared" si="15"/>
        <v>4.5199999999999997E-2</v>
      </c>
      <c r="E191" s="3">
        <f t="shared" ca="1" si="21"/>
        <v>4.714902816601612E-2</v>
      </c>
      <c r="F191" s="3">
        <f t="shared" ca="1" si="21"/>
        <v>4.847887263519194E-2</v>
      </c>
      <c r="G191" s="3">
        <f t="shared" ca="1" si="21"/>
        <v>4.3341772063652202E-2</v>
      </c>
      <c r="H191" s="3">
        <f t="shared" ca="1" si="21"/>
        <v>4.9923520330654482E-2</v>
      </c>
      <c r="I191" s="3">
        <f t="shared" ca="1" si="21"/>
        <v>5.1634913692482687E-2</v>
      </c>
      <c r="J191" s="3">
        <f t="shared" ca="1" si="21"/>
        <v>4.732259605965039E-2</v>
      </c>
      <c r="K191" s="3">
        <f t="shared" ca="1" si="21"/>
        <v>4.0765063606428564E-2</v>
      </c>
      <c r="L191" s="3">
        <f t="shared" ca="1" si="21"/>
        <v>4.9527131087212045E-2</v>
      </c>
    </row>
    <row r="192" spans="3:12">
      <c r="C192" s="7">
        <v>186</v>
      </c>
      <c r="D192" s="3">
        <f t="shared" si="15"/>
        <v>4.5199999999999997E-2</v>
      </c>
      <c r="E192" s="3">
        <f t="shared" ca="1" si="21"/>
        <v>3.9614378736341348E-2</v>
      </c>
      <c r="F192" s="3">
        <f t="shared" ca="1" si="21"/>
        <v>4.1027607723743358E-2</v>
      </c>
      <c r="G192" s="3">
        <f t="shared" ca="1" si="21"/>
        <v>3.4207936565029733E-2</v>
      </c>
      <c r="H192" s="3">
        <f t="shared" ca="1" si="21"/>
        <v>2.77881362724961E-2</v>
      </c>
      <c r="I192" s="3">
        <f t="shared" ca="1" si="21"/>
        <v>2.4547803608873667E-2</v>
      </c>
      <c r="J192" s="3">
        <f t="shared" ca="1" si="21"/>
        <v>3.0031781103238273E-2</v>
      </c>
      <c r="K192" s="3">
        <f t="shared" ca="1" si="21"/>
        <v>3.3266138523084708E-2</v>
      </c>
      <c r="L192" s="3">
        <f t="shared" ca="1" si="21"/>
        <v>3.369192334851942E-2</v>
      </c>
    </row>
    <row r="193" spans="3:12">
      <c r="C193" s="7">
        <v>187</v>
      </c>
      <c r="D193" s="3">
        <f t="shared" si="15"/>
        <v>4.5199999999999997E-2</v>
      </c>
      <c r="E193" s="3">
        <f t="shared" ca="1" si="21"/>
        <v>5.0845602056188391E-2</v>
      </c>
      <c r="F193" s="3">
        <f t="shared" ca="1" si="21"/>
        <v>4.8996047905660881E-2</v>
      </c>
      <c r="G193" s="3">
        <f t="shared" ca="1" si="21"/>
        <v>4.9527411649774498E-2</v>
      </c>
      <c r="H193" s="3">
        <f t="shared" ca="1" si="21"/>
        <v>5.0353687943981908E-2</v>
      </c>
      <c r="I193" s="3">
        <f t="shared" ca="1" si="21"/>
        <v>4.4869363746379273E-2</v>
      </c>
      <c r="J193" s="3">
        <f t="shared" ca="1" si="21"/>
        <v>5.4236521730380481E-2</v>
      </c>
      <c r="K193" s="3">
        <f t="shared" ca="1" si="21"/>
        <v>4.869041572215857E-2</v>
      </c>
      <c r="L193" s="3">
        <f t="shared" ca="1" si="21"/>
        <v>4.5055314354147155E-2</v>
      </c>
    </row>
    <row r="194" spans="3:12">
      <c r="C194" s="7">
        <v>188</v>
      </c>
      <c r="D194" s="3">
        <f t="shared" si="15"/>
        <v>4.5199999999999997E-2</v>
      </c>
      <c r="E194" s="3">
        <f t="shared" ca="1" si="21"/>
        <v>4.0042016550870752E-2</v>
      </c>
      <c r="F194" s="3">
        <f t="shared" ca="1" si="21"/>
        <v>5.2214291663731732E-2</v>
      </c>
      <c r="G194" s="3">
        <f t="shared" ca="1" si="21"/>
        <v>4.7037578492004628E-2</v>
      </c>
      <c r="H194" s="3">
        <f t="shared" ca="1" si="21"/>
        <v>4.8723010108746891E-2</v>
      </c>
      <c r="I194" s="3">
        <f t="shared" ca="1" si="21"/>
        <v>4.7583209640375532E-2</v>
      </c>
      <c r="J194" s="3">
        <f t="shared" ca="1" si="21"/>
        <v>5.2346163761517364E-2</v>
      </c>
      <c r="K194" s="3">
        <f t="shared" ca="1" si="21"/>
        <v>5.4406701832668963E-2</v>
      </c>
      <c r="L194" s="3">
        <f t="shared" ca="1" si="21"/>
        <v>5.8024566560199747E-2</v>
      </c>
    </row>
    <row r="195" spans="3:12">
      <c r="C195" s="7">
        <v>189</v>
      </c>
      <c r="D195" s="3">
        <f t="shared" si="15"/>
        <v>4.5199999999999997E-2</v>
      </c>
      <c r="E195" s="3">
        <f t="shared" ca="1" si="21"/>
        <v>4.2045324835890283E-2</v>
      </c>
      <c r="F195" s="3">
        <f t="shared" ca="1" si="21"/>
        <v>4.360518434467954E-2</v>
      </c>
      <c r="G195" s="3">
        <f t="shared" ca="1" si="21"/>
        <v>4.3260144152517402E-2</v>
      </c>
      <c r="H195" s="3">
        <f t="shared" ca="1" si="21"/>
        <v>3.8956053735353963E-2</v>
      </c>
      <c r="I195" s="3">
        <f t="shared" ca="1" si="21"/>
        <v>3.9183481443094942E-2</v>
      </c>
      <c r="J195" s="3">
        <f t="shared" ca="1" si="21"/>
        <v>4.7466482319303581E-2</v>
      </c>
      <c r="K195" s="3">
        <f t="shared" ca="1" si="21"/>
        <v>5.0965285470370138E-2</v>
      </c>
      <c r="L195" s="3">
        <f t="shared" ca="1" si="21"/>
        <v>5.5867884367665245E-2</v>
      </c>
    </row>
    <row r="196" spans="3:12">
      <c r="C196" s="7">
        <v>190</v>
      </c>
      <c r="D196" s="3">
        <f t="shared" si="15"/>
        <v>4.5199999999999997E-2</v>
      </c>
      <c r="E196" s="3">
        <f t="shared" ca="1" si="21"/>
        <v>4.9383427641551542E-2</v>
      </c>
      <c r="F196" s="3">
        <f t="shared" ca="1" si="21"/>
        <v>5.5029537144811388E-2</v>
      </c>
      <c r="G196" s="3">
        <f t="shared" ca="1" si="21"/>
        <v>4.9056118706503414E-2</v>
      </c>
      <c r="H196" s="3">
        <f t="shared" ca="1" si="21"/>
        <v>5.0018629170715638E-2</v>
      </c>
      <c r="I196" s="3">
        <f t="shared" ca="1" si="21"/>
        <v>6.0529159483608437E-2</v>
      </c>
      <c r="J196" s="3">
        <f t="shared" ca="1" si="21"/>
        <v>6.4021252496847147E-2</v>
      </c>
      <c r="K196" s="3">
        <f t="shared" ca="1" si="21"/>
        <v>5.8269153101322885E-2</v>
      </c>
      <c r="L196" s="3">
        <f t="shared" ca="1" si="21"/>
        <v>5.4230593046281327E-2</v>
      </c>
    </row>
    <row r="197" spans="3:12">
      <c r="C197" s="7">
        <v>191</v>
      </c>
      <c r="D197" s="3">
        <f t="shared" si="15"/>
        <v>4.5199999999999997E-2</v>
      </c>
      <c r="E197" s="3">
        <f t="shared" ref="E197:L206" ca="1" si="22">D197+E$5*dt+sigma*_xlfn.NORM.S.INV(RAND())*SQRT(dt)</f>
        <v>4.991300832092558E-2</v>
      </c>
      <c r="F197" s="3">
        <f t="shared" ca="1" si="22"/>
        <v>4.6881449254650501E-2</v>
      </c>
      <c r="G197" s="3">
        <f t="shared" ca="1" si="22"/>
        <v>3.7162548257324915E-2</v>
      </c>
      <c r="H197" s="3">
        <f t="shared" ca="1" si="22"/>
        <v>4.4568018282677598E-2</v>
      </c>
      <c r="I197" s="3">
        <f t="shared" ca="1" si="22"/>
        <v>4.5781165265371883E-2</v>
      </c>
      <c r="J197" s="3">
        <f t="shared" ca="1" si="22"/>
        <v>4.4277025542060242E-2</v>
      </c>
      <c r="K197" s="3">
        <f t="shared" ca="1" si="22"/>
        <v>4.3577468379371161E-2</v>
      </c>
      <c r="L197" s="3">
        <f t="shared" ca="1" si="22"/>
        <v>5.0199702358102137E-2</v>
      </c>
    </row>
    <row r="198" spans="3:12">
      <c r="C198" s="7">
        <v>192</v>
      </c>
      <c r="D198" s="3">
        <f t="shared" si="15"/>
        <v>4.5199999999999997E-2</v>
      </c>
      <c r="E198" s="3">
        <f t="shared" ca="1" si="22"/>
        <v>4.1996444608655349E-2</v>
      </c>
      <c r="F198" s="3">
        <f t="shared" ca="1" si="22"/>
        <v>4.6748454417097657E-2</v>
      </c>
      <c r="G198" s="3">
        <f t="shared" ca="1" si="22"/>
        <v>5.2391740031013441E-2</v>
      </c>
      <c r="H198" s="3">
        <f t="shared" ca="1" si="22"/>
        <v>4.706467157488544E-2</v>
      </c>
      <c r="I198" s="3">
        <f t="shared" ca="1" si="22"/>
        <v>4.1029946229900464E-2</v>
      </c>
      <c r="J198" s="3">
        <f t="shared" ca="1" si="22"/>
        <v>4.3329008341279188E-2</v>
      </c>
      <c r="K198" s="3">
        <f t="shared" ca="1" si="22"/>
        <v>3.0912571596737465E-2</v>
      </c>
      <c r="L198" s="3">
        <f t="shared" ca="1" si="22"/>
        <v>4.3027131892670836E-2</v>
      </c>
    </row>
    <row r="199" spans="3:12">
      <c r="C199" s="7">
        <v>193</v>
      </c>
      <c r="D199" s="3">
        <f t="shared" ref="D199:D262" si="23">r0</f>
        <v>4.5199999999999997E-2</v>
      </c>
      <c r="E199" s="3">
        <f t="shared" ca="1" si="22"/>
        <v>3.929928264534821E-2</v>
      </c>
      <c r="F199" s="3">
        <f t="shared" ca="1" si="22"/>
        <v>4.1630914979442012E-2</v>
      </c>
      <c r="G199" s="3">
        <f t="shared" ca="1" si="22"/>
        <v>3.921945008682879E-2</v>
      </c>
      <c r="H199" s="3">
        <f t="shared" ca="1" si="22"/>
        <v>3.8826140625832464E-2</v>
      </c>
      <c r="I199" s="3">
        <f t="shared" ca="1" si="22"/>
        <v>3.9914974075965705E-2</v>
      </c>
      <c r="J199" s="3">
        <f t="shared" ca="1" si="22"/>
        <v>5.2272907606122687E-2</v>
      </c>
      <c r="K199" s="3">
        <f t="shared" ca="1" si="22"/>
        <v>5.0713332718603343E-2</v>
      </c>
      <c r="L199" s="3">
        <f t="shared" ca="1" si="22"/>
        <v>5.7680636143335566E-2</v>
      </c>
    </row>
    <row r="200" spans="3:12">
      <c r="C200" s="7">
        <v>194</v>
      </c>
      <c r="D200" s="3">
        <f t="shared" si="23"/>
        <v>4.5199999999999997E-2</v>
      </c>
      <c r="E200" s="3">
        <f t="shared" ca="1" si="22"/>
        <v>4.8501241152909116E-2</v>
      </c>
      <c r="F200" s="3">
        <f t="shared" ca="1" si="22"/>
        <v>5.1843419075331749E-2</v>
      </c>
      <c r="G200" s="3">
        <f t="shared" ca="1" si="22"/>
        <v>4.2871246413544548E-2</v>
      </c>
      <c r="H200" s="3">
        <f t="shared" ca="1" si="22"/>
        <v>4.7948551152017738E-2</v>
      </c>
      <c r="I200" s="3">
        <f t="shared" ca="1" si="22"/>
        <v>5.737163307048411E-2</v>
      </c>
      <c r="J200" s="3">
        <f t="shared" ca="1" si="22"/>
        <v>5.0101148962384975E-2</v>
      </c>
      <c r="K200" s="3">
        <f t="shared" ca="1" si="22"/>
        <v>4.343575207497527E-2</v>
      </c>
      <c r="L200" s="3">
        <f t="shared" ca="1" si="22"/>
        <v>4.1827474431634447E-2</v>
      </c>
    </row>
    <row r="201" spans="3:12">
      <c r="C201" s="7">
        <v>195</v>
      </c>
      <c r="D201" s="3">
        <f t="shared" si="23"/>
        <v>4.5199999999999997E-2</v>
      </c>
      <c r="E201" s="3">
        <f t="shared" ca="1" si="22"/>
        <v>4.1142705911813571E-2</v>
      </c>
      <c r="F201" s="3">
        <f t="shared" ca="1" si="22"/>
        <v>3.9123445020133041E-2</v>
      </c>
      <c r="G201" s="3">
        <f t="shared" ca="1" si="22"/>
        <v>5.0640506646116724E-2</v>
      </c>
      <c r="H201" s="3">
        <f t="shared" ca="1" si="22"/>
        <v>5.9496655492282502E-2</v>
      </c>
      <c r="I201" s="3">
        <f t="shared" ca="1" si="22"/>
        <v>5.7071581181735623E-2</v>
      </c>
      <c r="J201" s="3">
        <f t="shared" ca="1" si="22"/>
        <v>6.1346414533005822E-2</v>
      </c>
      <c r="K201" s="3">
        <f t="shared" ca="1" si="22"/>
        <v>5.8965632210538119E-2</v>
      </c>
      <c r="L201" s="3">
        <f t="shared" ca="1" si="22"/>
        <v>6.4220250735689141E-2</v>
      </c>
    </row>
    <row r="202" spans="3:12">
      <c r="C202" s="7">
        <v>196</v>
      </c>
      <c r="D202" s="3">
        <f t="shared" si="23"/>
        <v>4.5199999999999997E-2</v>
      </c>
      <c r="E202" s="3">
        <f t="shared" ca="1" si="22"/>
        <v>5.1526294766522894E-2</v>
      </c>
      <c r="F202" s="3">
        <f t="shared" ca="1" si="22"/>
        <v>5.1009812393371559E-2</v>
      </c>
      <c r="G202" s="3">
        <f t="shared" ca="1" si="22"/>
        <v>4.6100195526827321E-2</v>
      </c>
      <c r="H202" s="3">
        <f t="shared" ca="1" si="22"/>
        <v>4.6999067296262353E-2</v>
      </c>
      <c r="I202" s="3">
        <f t="shared" ca="1" si="22"/>
        <v>4.5360163211230813E-2</v>
      </c>
      <c r="J202" s="3">
        <f t="shared" ca="1" si="22"/>
        <v>4.6400699373312149E-2</v>
      </c>
      <c r="K202" s="3">
        <f t="shared" ca="1" si="22"/>
        <v>5.3190995572274011E-2</v>
      </c>
      <c r="L202" s="3">
        <f t="shared" ca="1" si="22"/>
        <v>6.0917886976910987E-2</v>
      </c>
    </row>
    <row r="203" spans="3:12">
      <c r="C203" s="7">
        <v>197</v>
      </c>
      <c r="D203" s="3">
        <f t="shared" si="23"/>
        <v>4.5199999999999997E-2</v>
      </c>
      <c r="E203" s="3">
        <f t="shared" ca="1" si="22"/>
        <v>4.6101171960874536E-2</v>
      </c>
      <c r="F203" s="3">
        <f t="shared" ca="1" si="22"/>
        <v>5.480572067251982E-2</v>
      </c>
      <c r="G203" s="3">
        <f t="shared" ca="1" si="22"/>
        <v>5.5698887378274164E-2</v>
      </c>
      <c r="H203" s="3">
        <f t="shared" ca="1" si="22"/>
        <v>5.9834118874472146E-2</v>
      </c>
      <c r="I203" s="3">
        <f t="shared" ca="1" si="22"/>
        <v>6.5677605734048836E-2</v>
      </c>
      <c r="J203" s="3">
        <f t="shared" ca="1" si="22"/>
        <v>6.9419236059376666E-2</v>
      </c>
      <c r="K203" s="3">
        <f t="shared" ca="1" si="22"/>
        <v>7.8979525638906728E-2</v>
      </c>
      <c r="L203" s="3">
        <f t="shared" ca="1" si="22"/>
        <v>8.0983870156533633E-2</v>
      </c>
    </row>
    <row r="204" spans="3:12">
      <c r="C204" s="7">
        <v>198</v>
      </c>
      <c r="D204" s="3">
        <f t="shared" si="23"/>
        <v>4.5199999999999997E-2</v>
      </c>
      <c r="E204" s="3">
        <f t="shared" ca="1" si="22"/>
        <v>4.7134517567860287E-2</v>
      </c>
      <c r="F204" s="3">
        <f t="shared" ca="1" si="22"/>
        <v>4.6710536915329115E-2</v>
      </c>
      <c r="G204" s="3">
        <f t="shared" ca="1" si="22"/>
        <v>4.7763806072185569E-2</v>
      </c>
      <c r="H204" s="3">
        <f t="shared" ca="1" si="22"/>
        <v>4.9246535025402542E-2</v>
      </c>
      <c r="I204" s="3">
        <f t="shared" ca="1" si="22"/>
        <v>4.9357529161448824E-2</v>
      </c>
      <c r="J204" s="3">
        <f t="shared" ca="1" si="22"/>
        <v>5.0675799705987137E-2</v>
      </c>
      <c r="K204" s="3">
        <f t="shared" ca="1" si="22"/>
        <v>5.7326632169866124E-2</v>
      </c>
      <c r="L204" s="3">
        <f t="shared" ca="1" si="22"/>
        <v>6.830925725629193E-2</v>
      </c>
    </row>
    <row r="205" spans="3:12">
      <c r="C205" s="7">
        <v>199</v>
      </c>
      <c r="D205" s="3">
        <f t="shared" si="23"/>
        <v>4.5199999999999997E-2</v>
      </c>
      <c r="E205" s="3">
        <f t="shared" ca="1" si="22"/>
        <v>3.6114548765909631E-2</v>
      </c>
      <c r="F205" s="3">
        <f t="shared" ca="1" si="22"/>
        <v>4.2690738777263648E-2</v>
      </c>
      <c r="G205" s="3">
        <f t="shared" ca="1" si="22"/>
        <v>4.4075527987987688E-2</v>
      </c>
      <c r="H205" s="3">
        <f t="shared" ca="1" si="22"/>
        <v>4.0930771531740913E-2</v>
      </c>
      <c r="I205" s="3">
        <f t="shared" ca="1" si="22"/>
        <v>4.2427926248728244E-2</v>
      </c>
      <c r="J205" s="3">
        <f t="shared" ca="1" si="22"/>
        <v>4.2908929520593102E-2</v>
      </c>
      <c r="K205" s="3">
        <f t="shared" ca="1" si="22"/>
        <v>4.0832633652265624E-2</v>
      </c>
      <c r="L205" s="3">
        <f t="shared" ca="1" si="22"/>
        <v>3.8184258709582218E-2</v>
      </c>
    </row>
    <row r="206" spans="3:12">
      <c r="C206" s="7">
        <v>200</v>
      </c>
      <c r="D206" s="3">
        <f t="shared" si="23"/>
        <v>4.5199999999999997E-2</v>
      </c>
      <c r="E206" s="3">
        <f t="shared" ca="1" si="22"/>
        <v>4.6656655545148668E-2</v>
      </c>
      <c r="F206" s="3">
        <f t="shared" ca="1" si="22"/>
        <v>4.3310805003371762E-2</v>
      </c>
      <c r="G206" s="3">
        <f t="shared" ca="1" si="22"/>
        <v>4.5206752393478405E-2</v>
      </c>
      <c r="H206" s="3">
        <f t="shared" ca="1" si="22"/>
        <v>4.7337740544844673E-2</v>
      </c>
      <c r="I206" s="3">
        <f t="shared" ca="1" si="22"/>
        <v>4.0968220209771505E-2</v>
      </c>
      <c r="J206" s="3">
        <f t="shared" ca="1" si="22"/>
        <v>4.6331724451825082E-2</v>
      </c>
      <c r="K206" s="3">
        <f t="shared" ca="1" si="22"/>
        <v>4.7262245310796244E-2</v>
      </c>
      <c r="L206" s="3">
        <f t="shared" ca="1" si="22"/>
        <v>5.5248134356612008E-2</v>
      </c>
    </row>
    <row r="207" spans="3:12">
      <c r="C207" s="7">
        <v>201</v>
      </c>
      <c r="D207" s="3">
        <f t="shared" si="23"/>
        <v>4.5199999999999997E-2</v>
      </c>
      <c r="E207" s="3">
        <f t="shared" ref="E207:L216" ca="1" si="24">D207+E$5*dt+sigma*_xlfn.NORM.S.INV(RAND())*SQRT(dt)</f>
        <v>4.5094481269191154E-2</v>
      </c>
      <c r="F207" s="3">
        <f t="shared" ca="1" si="24"/>
        <v>5.6345005586089444E-2</v>
      </c>
      <c r="G207" s="3">
        <f t="shared" ca="1" si="24"/>
        <v>5.866944538917903E-2</v>
      </c>
      <c r="H207" s="3">
        <f t="shared" ca="1" si="24"/>
        <v>6.5582057039671002E-2</v>
      </c>
      <c r="I207" s="3">
        <f t="shared" ca="1" si="24"/>
        <v>6.9464834951711255E-2</v>
      </c>
      <c r="J207" s="3">
        <f t="shared" ca="1" si="24"/>
        <v>7.0925386224858403E-2</v>
      </c>
      <c r="K207" s="3">
        <f t="shared" ca="1" si="24"/>
        <v>7.4302547723563359E-2</v>
      </c>
      <c r="L207" s="3">
        <f t="shared" ca="1" si="24"/>
        <v>7.854485118001954E-2</v>
      </c>
    </row>
    <row r="208" spans="3:12">
      <c r="C208" s="7">
        <v>202</v>
      </c>
      <c r="D208" s="3">
        <f t="shared" si="23"/>
        <v>4.5199999999999997E-2</v>
      </c>
      <c r="E208" s="3">
        <f t="shared" ca="1" si="24"/>
        <v>4.6337450560692744E-2</v>
      </c>
      <c r="F208" s="3">
        <f t="shared" ca="1" si="24"/>
        <v>4.4232762891610579E-2</v>
      </c>
      <c r="G208" s="3">
        <f t="shared" ca="1" si="24"/>
        <v>4.2888964881386639E-2</v>
      </c>
      <c r="H208" s="3">
        <f t="shared" ca="1" si="24"/>
        <v>4.2892427416992715E-2</v>
      </c>
      <c r="I208" s="3">
        <f t="shared" ca="1" si="24"/>
        <v>4.1495305340330475E-2</v>
      </c>
      <c r="J208" s="3">
        <f t="shared" ca="1" si="24"/>
        <v>4.1989589219505546E-2</v>
      </c>
      <c r="K208" s="3">
        <f t="shared" ca="1" si="24"/>
        <v>3.6098417290107168E-2</v>
      </c>
      <c r="L208" s="3">
        <f t="shared" ca="1" si="24"/>
        <v>3.8462081365333231E-2</v>
      </c>
    </row>
    <row r="209" spans="3:12">
      <c r="C209" s="7">
        <v>203</v>
      </c>
      <c r="D209" s="3">
        <f t="shared" si="23"/>
        <v>4.5199999999999997E-2</v>
      </c>
      <c r="E209" s="3">
        <f t="shared" ca="1" si="24"/>
        <v>4.3327907721336024E-2</v>
      </c>
      <c r="F209" s="3">
        <f t="shared" ca="1" si="24"/>
        <v>4.1638377424523004E-2</v>
      </c>
      <c r="G209" s="3">
        <f t="shared" ca="1" si="24"/>
        <v>4.0976817721806696E-2</v>
      </c>
      <c r="H209" s="3">
        <f t="shared" ca="1" si="24"/>
        <v>4.041207207559086E-2</v>
      </c>
      <c r="I209" s="3">
        <f t="shared" ca="1" si="24"/>
        <v>4.4068353856331698E-2</v>
      </c>
      <c r="J209" s="3">
        <f t="shared" ca="1" si="24"/>
        <v>4.332037963867498E-2</v>
      </c>
      <c r="K209" s="3">
        <f t="shared" ca="1" si="24"/>
        <v>5.0764214935939189E-2</v>
      </c>
      <c r="L209" s="3">
        <f t="shared" ca="1" si="24"/>
        <v>4.707775240559578E-2</v>
      </c>
    </row>
    <row r="210" spans="3:12">
      <c r="C210" s="7">
        <v>204</v>
      </c>
      <c r="D210" s="3">
        <f t="shared" si="23"/>
        <v>4.5199999999999997E-2</v>
      </c>
      <c r="E210" s="3">
        <f t="shared" ca="1" si="24"/>
        <v>4.1021441826670745E-2</v>
      </c>
      <c r="F210" s="3">
        <f t="shared" ca="1" si="24"/>
        <v>3.5543317261696128E-2</v>
      </c>
      <c r="G210" s="3">
        <f t="shared" ca="1" si="24"/>
        <v>3.4780906174969532E-2</v>
      </c>
      <c r="H210" s="3">
        <f t="shared" ca="1" si="24"/>
        <v>3.437921805662679E-2</v>
      </c>
      <c r="I210" s="3">
        <f t="shared" ca="1" si="24"/>
        <v>4.0615500579368725E-2</v>
      </c>
      <c r="J210" s="3">
        <f t="shared" ca="1" si="24"/>
        <v>3.7934854549891803E-2</v>
      </c>
      <c r="K210" s="3">
        <f t="shared" ca="1" si="24"/>
        <v>3.4157986455434095E-2</v>
      </c>
      <c r="L210" s="3">
        <f t="shared" ca="1" si="24"/>
        <v>4.1119178604672617E-2</v>
      </c>
    </row>
    <row r="211" spans="3:12">
      <c r="C211" s="7">
        <v>205</v>
      </c>
      <c r="D211" s="3">
        <f t="shared" si="23"/>
        <v>4.5199999999999997E-2</v>
      </c>
      <c r="E211" s="3">
        <f t="shared" ca="1" si="24"/>
        <v>3.6727942052502585E-2</v>
      </c>
      <c r="F211" s="3">
        <f t="shared" ca="1" si="24"/>
        <v>3.7700801215149418E-2</v>
      </c>
      <c r="G211" s="3">
        <f t="shared" ca="1" si="24"/>
        <v>4.7380007560234964E-2</v>
      </c>
      <c r="H211" s="3">
        <f t="shared" ca="1" si="24"/>
        <v>4.5889925546980043E-2</v>
      </c>
      <c r="I211" s="3">
        <f t="shared" ca="1" si="24"/>
        <v>4.1195034035735489E-2</v>
      </c>
      <c r="J211" s="3">
        <f t="shared" ca="1" si="24"/>
        <v>4.6847163270747789E-2</v>
      </c>
      <c r="K211" s="3">
        <f t="shared" ca="1" si="24"/>
        <v>4.353900858045142E-2</v>
      </c>
      <c r="L211" s="3">
        <f t="shared" ca="1" si="24"/>
        <v>4.5308166703202035E-2</v>
      </c>
    </row>
    <row r="212" spans="3:12">
      <c r="C212" s="7">
        <v>206</v>
      </c>
      <c r="D212" s="3">
        <f t="shared" si="23"/>
        <v>4.5199999999999997E-2</v>
      </c>
      <c r="E212" s="3">
        <f t="shared" ca="1" si="24"/>
        <v>4.7508225815854004E-2</v>
      </c>
      <c r="F212" s="3">
        <f t="shared" ca="1" si="24"/>
        <v>4.1664366759747093E-2</v>
      </c>
      <c r="G212" s="3">
        <f t="shared" ca="1" si="24"/>
        <v>3.8356169578482292E-2</v>
      </c>
      <c r="H212" s="3">
        <f t="shared" ca="1" si="24"/>
        <v>3.6812900676099714E-2</v>
      </c>
      <c r="I212" s="3">
        <f t="shared" ca="1" si="24"/>
        <v>3.434173819064576E-2</v>
      </c>
      <c r="J212" s="3">
        <f t="shared" ca="1" si="24"/>
        <v>4.1144371074486957E-2</v>
      </c>
      <c r="K212" s="3">
        <f t="shared" ca="1" si="24"/>
        <v>3.9943424542827233E-2</v>
      </c>
      <c r="L212" s="3">
        <f t="shared" ca="1" si="24"/>
        <v>4.3502831455048567E-2</v>
      </c>
    </row>
    <row r="213" spans="3:12">
      <c r="C213" s="7">
        <v>207</v>
      </c>
      <c r="D213" s="3">
        <f t="shared" si="23"/>
        <v>4.5199999999999997E-2</v>
      </c>
      <c r="E213" s="3">
        <f t="shared" ca="1" si="24"/>
        <v>4.0069279257500243E-2</v>
      </c>
      <c r="F213" s="3">
        <f t="shared" ca="1" si="24"/>
        <v>4.8679225113024076E-2</v>
      </c>
      <c r="G213" s="3">
        <f t="shared" ca="1" si="24"/>
        <v>4.5836467651435231E-2</v>
      </c>
      <c r="H213" s="3">
        <f t="shared" ca="1" si="24"/>
        <v>5.0318105359917459E-2</v>
      </c>
      <c r="I213" s="3">
        <f t="shared" ca="1" si="24"/>
        <v>4.8125510161906623E-2</v>
      </c>
      <c r="J213" s="3">
        <f t="shared" ca="1" si="24"/>
        <v>5.6990936653192749E-2</v>
      </c>
      <c r="K213" s="3">
        <f t="shared" ca="1" si="24"/>
        <v>6.0827873450945751E-2</v>
      </c>
      <c r="L213" s="3">
        <f t="shared" ca="1" si="24"/>
        <v>6.8548776861750899E-2</v>
      </c>
    </row>
    <row r="214" spans="3:12">
      <c r="C214" s="7">
        <v>208</v>
      </c>
      <c r="D214" s="3">
        <f t="shared" si="23"/>
        <v>4.5199999999999997E-2</v>
      </c>
      <c r="E214" s="3">
        <f t="shared" ca="1" si="24"/>
        <v>4.2118498615803343E-2</v>
      </c>
      <c r="F214" s="3">
        <f t="shared" ca="1" si="24"/>
        <v>4.0715062086078911E-2</v>
      </c>
      <c r="G214" s="3">
        <f t="shared" ca="1" si="24"/>
        <v>3.9314217391626896E-2</v>
      </c>
      <c r="H214" s="3">
        <f t="shared" ca="1" si="24"/>
        <v>3.4420593526760059E-2</v>
      </c>
      <c r="I214" s="3">
        <f t="shared" ca="1" si="24"/>
        <v>3.9063400295366639E-2</v>
      </c>
      <c r="J214" s="3">
        <f t="shared" ca="1" si="24"/>
        <v>4.0728437954150043E-2</v>
      </c>
      <c r="K214" s="3">
        <f t="shared" ca="1" si="24"/>
        <v>3.4902012912843734E-2</v>
      </c>
      <c r="L214" s="3">
        <f t="shared" ca="1" si="24"/>
        <v>3.5281547818813111E-2</v>
      </c>
    </row>
    <row r="215" spans="3:12">
      <c r="C215" s="7">
        <v>209</v>
      </c>
      <c r="D215" s="3">
        <f t="shared" si="23"/>
        <v>4.5199999999999997E-2</v>
      </c>
      <c r="E215" s="3">
        <f t="shared" ca="1" si="24"/>
        <v>4.0962126466997609E-2</v>
      </c>
      <c r="F215" s="3">
        <f t="shared" ca="1" si="24"/>
        <v>4.4588433480898783E-2</v>
      </c>
      <c r="G215" s="3">
        <f t="shared" ca="1" si="24"/>
        <v>4.1357733600880305E-2</v>
      </c>
      <c r="H215" s="3">
        <f t="shared" ca="1" si="24"/>
        <v>4.1124544007955378E-2</v>
      </c>
      <c r="I215" s="3">
        <f t="shared" ca="1" si="24"/>
        <v>4.2769141248365825E-2</v>
      </c>
      <c r="J215" s="3">
        <f t="shared" ca="1" si="24"/>
        <v>5.0323793294656777E-2</v>
      </c>
      <c r="K215" s="3">
        <f t="shared" ca="1" si="24"/>
        <v>5.8181774774815995E-2</v>
      </c>
      <c r="L215" s="3">
        <f t="shared" ca="1" si="24"/>
        <v>5.7322840923533958E-2</v>
      </c>
    </row>
    <row r="216" spans="3:12">
      <c r="C216" s="7">
        <v>210</v>
      </c>
      <c r="D216" s="3">
        <f t="shared" si="23"/>
        <v>4.5199999999999997E-2</v>
      </c>
      <c r="E216" s="3">
        <f t="shared" ca="1" si="24"/>
        <v>4.5331852373373865E-2</v>
      </c>
      <c r="F216" s="3">
        <f t="shared" ca="1" si="24"/>
        <v>4.4361911195061429E-2</v>
      </c>
      <c r="G216" s="3">
        <f t="shared" ca="1" si="24"/>
        <v>5.0748813062214557E-2</v>
      </c>
      <c r="H216" s="3">
        <f t="shared" ca="1" si="24"/>
        <v>4.7773242543956984E-2</v>
      </c>
      <c r="I216" s="3">
        <f t="shared" ca="1" si="24"/>
        <v>4.6795070646575655E-2</v>
      </c>
      <c r="J216" s="3">
        <f t="shared" ca="1" si="24"/>
        <v>4.0357896530990554E-2</v>
      </c>
      <c r="K216" s="3">
        <f t="shared" ca="1" si="24"/>
        <v>3.8077161947177571E-2</v>
      </c>
      <c r="L216" s="3">
        <f t="shared" ca="1" si="24"/>
        <v>4.9827179195778538E-2</v>
      </c>
    </row>
    <row r="217" spans="3:12">
      <c r="C217" s="7">
        <v>211</v>
      </c>
      <c r="D217" s="3">
        <f t="shared" si="23"/>
        <v>4.5199999999999997E-2</v>
      </c>
      <c r="E217" s="3">
        <f t="shared" ref="E217:L226" ca="1" si="25">D217+E$5*dt+sigma*_xlfn.NORM.S.INV(RAND())*SQRT(dt)</f>
        <v>4.6422197163191313E-2</v>
      </c>
      <c r="F217" s="3">
        <f t="shared" ca="1" si="25"/>
        <v>5.1424477994630936E-2</v>
      </c>
      <c r="G217" s="3">
        <f t="shared" ca="1" si="25"/>
        <v>4.3898617139288852E-2</v>
      </c>
      <c r="H217" s="3">
        <f t="shared" ca="1" si="25"/>
        <v>4.6831816706083211E-2</v>
      </c>
      <c r="I217" s="3">
        <f t="shared" ca="1" si="25"/>
        <v>4.3107150209192313E-2</v>
      </c>
      <c r="J217" s="3">
        <f t="shared" ca="1" si="25"/>
        <v>3.9992542894237371E-2</v>
      </c>
      <c r="K217" s="3">
        <f t="shared" ca="1" si="25"/>
        <v>4.8465202157257699E-2</v>
      </c>
      <c r="L217" s="3">
        <f t="shared" ca="1" si="25"/>
        <v>5.1310953825803682E-2</v>
      </c>
    </row>
    <row r="218" spans="3:12">
      <c r="C218" s="7">
        <v>212</v>
      </c>
      <c r="D218" s="3">
        <f t="shared" si="23"/>
        <v>4.5199999999999997E-2</v>
      </c>
      <c r="E218" s="3">
        <f t="shared" ca="1" si="25"/>
        <v>3.971300773599909E-2</v>
      </c>
      <c r="F218" s="3">
        <f t="shared" ca="1" si="25"/>
        <v>4.5185932941507273E-2</v>
      </c>
      <c r="G218" s="3">
        <f t="shared" ca="1" si="25"/>
        <v>4.1126039569353449E-2</v>
      </c>
      <c r="H218" s="3">
        <f t="shared" ca="1" si="25"/>
        <v>5.6727881958520757E-2</v>
      </c>
      <c r="I218" s="3">
        <f t="shared" ca="1" si="25"/>
        <v>6.6625399860002946E-2</v>
      </c>
      <c r="J218" s="3">
        <f t="shared" ca="1" si="25"/>
        <v>6.3472946993809079E-2</v>
      </c>
      <c r="K218" s="3">
        <f t="shared" ca="1" si="25"/>
        <v>5.5207378212975181E-2</v>
      </c>
      <c r="L218" s="3">
        <f t="shared" ca="1" si="25"/>
        <v>5.9504842165153393E-2</v>
      </c>
    </row>
    <row r="219" spans="3:12">
      <c r="C219" s="7">
        <v>213</v>
      </c>
      <c r="D219" s="3">
        <f t="shared" si="23"/>
        <v>4.5199999999999997E-2</v>
      </c>
      <c r="E219" s="3">
        <f t="shared" ca="1" si="25"/>
        <v>4.573656001726998E-2</v>
      </c>
      <c r="F219" s="3">
        <f t="shared" ca="1" si="25"/>
        <v>3.7089337042105298E-2</v>
      </c>
      <c r="G219" s="3">
        <f t="shared" ca="1" si="25"/>
        <v>3.6053198309904687E-2</v>
      </c>
      <c r="H219" s="3">
        <f t="shared" ca="1" si="25"/>
        <v>3.1685485689029708E-2</v>
      </c>
      <c r="I219" s="3">
        <f t="shared" ca="1" si="25"/>
        <v>3.1019865682766941E-2</v>
      </c>
      <c r="J219" s="3">
        <f t="shared" ca="1" si="25"/>
        <v>3.5829352409732458E-2</v>
      </c>
      <c r="K219" s="3">
        <f t="shared" ca="1" si="25"/>
        <v>3.0712524300706055E-2</v>
      </c>
      <c r="L219" s="3">
        <f t="shared" ca="1" si="25"/>
        <v>3.9211971703375419E-2</v>
      </c>
    </row>
    <row r="220" spans="3:12">
      <c r="C220" s="7">
        <v>214</v>
      </c>
      <c r="D220" s="3">
        <f t="shared" si="23"/>
        <v>4.5199999999999997E-2</v>
      </c>
      <c r="E220" s="3">
        <f t="shared" ca="1" si="25"/>
        <v>5.0199678876913338E-2</v>
      </c>
      <c r="F220" s="3">
        <f t="shared" ca="1" si="25"/>
        <v>5.485564781784974E-2</v>
      </c>
      <c r="G220" s="3">
        <f t="shared" ca="1" si="25"/>
        <v>5.1923757970523107E-2</v>
      </c>
      <c r="H220" s="3">
        <f t="shared" ca="1" si="25"/>
        <v>5.5535164142193873E-2</v>
      </c>
      <c r="I220" s="3">
        <f t="shared" ca="1" si="25"/>
        <v>5.424714606802402E-2</v>
      </c>
      <c r="J220" s="3">
        <f t="shared" ca="1" si="25"/>
        <v>5.3333932217762663E-2</v>
      </c>
      <c r="K220" s="3">
        <f t="shared" ca="1" si="25"/>
        <v>4.7476437929091259E-2</v>
      </c>
      <c r="L220" s="3">
        <f t="shared" ca="1" si="25"/>
        <v>5.7145598301148882E-2</v>
      </c>
    </row>
    <row r="221" spans="3:12">
      <c r="C221" s="7">
        <v>215</v>
      </c>
      <c r="D221" s="3">
        <f t="shared" si="23"/>
        <v>4.5199999999999997E-2</v>
      </c>
      <c r="E221" s="3">
        <f t="shared" ca="1" si="25"/>
        <v>4.4675382073685529E-2</v>
      </c>
      <c r="F221" s="3">
        <f t="shared" ca="1" si="25"/>
        <v>5.6924976497339033E-2</v>
      </c>
      <c r="G221" s="3">
        <f t="shared" ca="1" si="25"/>
        <v>5.7102595585756477E-2</v>
      </c>
      <c r="H221" s="3">
        <f t="shared" ca="1" si="25"/>
        <v>5.1824220727065912E-2</v>
      </c>
      <c r="I221" s="3">
        <f t="shared" ca="1" si="25"/>
        <v>5.2493158901688632E-2</v>
      </c>
      <c r="J221" s="3">
        <f t="shared" ca="1" si="25"/>
        <v>5.4360077799975745E-2</v>
      </c>
      <c r="K221" s="3">
        <f t="shared" ca="1" si="25"/>
        <v>5.0398264398604897E-2</v>
      </c>
      <c r="L221" s="3">
        <f t="shared" ca="1" si="25"/>
        <v>4.4055013876330672E-2</v>
      </c>
    </row>
    <row r="222" spans="3:12">
      <c r="C222" s="7">
        <v>216</v>
      </c>
      <c r="D222" s="3">
        <f t="shared" si="23"/>
        <v>4.5199999999999997E-2</v>
      </c>
      <c r="E222" s="3">
        <f t="shared" ca="1" si="25"/>
        <v>5.0299088581099792E-2</v>
      </c>
      <c r="F222" s="3">
        <f t="shared" ca="1" si="25"/>
        <v>4.7040375281055098E-2</v>
      </c>
      <c r="G222" s="3">
        <f t="shared" ca="1" si="25"/>
        <v>4.9682155038824248E-2</v>
      </c>
      <c r="H222" s="3">
        <f t="shared" ca="1" si="25"/>
        <v>5.863655604843436E-2</v>
      </c>
      <c r="I222" s="3">
        <f t="shared" ca="1" si="25"/>
        <v>6.010767341681391E-2</v>
      </c>
      <c r="J222" s="3">
        <f t="shared" ca="1" si="25"/>
        <v>6.1203250236694665E-2</v>
      </c>
      <c r="K222" s="3">
        <f t="shared" ca="1" si="25"/>
        <v>5.928146645074852E-2</v>
      </c>
      <c r="L222" s="3">
        <f t="shared" ca="1" si="25"/>
        <v>7.2587688121030905E-2</v>
      </c>
    </row>
    <row r="223" spans="3:12">
      <c r="C223" s="7">
        <v>217</v>
      </c>
      <c r="D223" s="3">
        <f t="shared" si="23"/>
        <v>4.5199999999999997E-2</v>
      </c>
      <c r="E223" s="3">
        <f t="shared" ca="1" si="25"/>
        <v>4.675588451344493E-2</v>
      </c>
      <c r="F223" s="3">
        <f t="shared" ca="1" si="25"/>
        <v>5.3233166865269549E-2</v>
      </c>
      <c r="G223" s="3">
        <f t="shared" ca="1" si="25"/>
        <v>5.1764175473779837E-2</v>
      </c>
      <c r="H223" s="3">
        <f t="shared" ca="1" si="25"/>
        <v>5.4585929880119677E-2</v>
      </c>
      <c r="I223" s="3">
        <f t="shared" ca="1" si="25"/>
        <v>5.3137333138758222E-2</v>
      </c>
      <c r="J223" s="3">
        <f t="shared" ca="1" si="25"/>
        <v>5.1480349225818595E-2</v>
      </c>
      <c r="K223" s="3">
        <f t="shared" ca="1" si="25"/>
        <v>4.9204239547657631E-2</v>
      </c>
      <c r="L223" s="3">
        <f t="shared" ca="1" si="25"/>
        <v>3.8273171846153795E-2</v>
      </c>
    </row>
    <row r="224" spans="3:12">
      <c r="C224" s="7">
        <v>218</v>
      </c>
      <c r="D224" s="3">
        <f t="shared" si="23"/>
        <v>4.5199999999999997E-2</v>
      </c>
      <c r="E224" s="3">
        <f t="shared" ca="1" si="25"/>
        <v>4.5072690886757402E-2</v>
      </c>
      <c r="F224" s="3">
        <f t="shared" ca="1" si="25"/>
        <v>4.2757627004745627E-2</v>
      </c>
      <c r="G224" s="3">
        <f t="shared" ca="1" si="25"/>
        <v>4.2872225244506769E-2</v>
      </c>
      <c r="H224" s="3">
        <f t="shared" ca="1" si="25"/>
        <v>4.4293475957033875E-2</v>
      </c>
      <c r="I224" s="3">
        <f t="shared" ca="1" si="25"/>
        <v>5.5377543894162419E-2</v>
      </c>
      <c r="J224" s="3">
        <f t="shared" ca="1" si="25"/>
        <v>5.1651121271728453E-2</v>
      </c>
      <c r="K224" s="3">
        <f t="shared" ca="1" si="25"/>
        <v>5.0831421964545868E-2</v>
      </c>
      <c r="L224" s="3">
        <f t="shared" ca="1" si="25"/>
        <v>5.3814706207940537E-2</v>
      </c>
    </row>
    <row r="225" spans="3:12">
      <c r="C225" s="7">
        <v>219</v>
      </c>
      <c r="D225" s="3">
        <f t="shared" si="23"/>
        <v>4.5199999999999997E-2</v>
      </c>
      <c r="E225" s="3">
        <f t="shared" ca="1" si="25"/>
        <v>5.3404107004982382E-2</v>
      </c>
      <c r="F225" s="3">
        <f t="shared" ca="1" si="25"/>
        <v>5.3826753982424577E-2</v>
      </c>
      <c r="G225" s="3">
        <f t="shared" ca="1" si="25"/>
        <v>5.338644556500019E-2</v>
      </c>
      <c r="H225" s="3">
        <f t="shared" ca="1" si="25"/>
        <v>5.0601142188643256E-2</v>
      </c>
      <c r="I225" s="3">
        <f t="shared" ca="1" si="25"/>
        <v>5.6868572531305658E-2</v>
      </c>
      <c r="J225" s="3">
        <f t="shared" ca="1" si="25"/>
        <v>6.2150249942529663E-2</v>
      </c>
      <c r="K225" s="3">
        <f t="shared" ca="1" si="25"/>
        <v>5.9449797952165116E-2</v>
      </c>
      <c r="L225" s="3">
        <f t="shared" ca="1" si="25"/>
        <v>5.362054381091573E-2</v>
      </c>
    </row>
    <row r="226" spans="3:12">
      <c r="C226" s="7">
        <v>220</v>
      </c>
      <c r="D226" s="3">
        <f t="shared" si="23"/>
        <v>4.5199999999999997E-2</v>
      </c>
      <c r="E226" s="3">
        <f t="shared" ca="1" si="25"/>
        <v>4.4046739198138549E-2</v>
      </c>
      <c r="F226" s="3">
        <f t="shared" ca="1" si="25"/>
        <v>5.2654595892078687E-2</v>
      </c>
      <c r="G226" s="3">
        <f t="shared" ca="1" si="25"/>
        <v>4.6210138619669369E-2</v>
      </c>
      <c r="H226" s="3">
        <f t="shared" ca="1" si="25"/>
        <v>4.8646452144318127E-2</v>
      </c>
      <c r="I226" s="3">
        <f t="shared" ca="1" si="25"/>
        <v>4.7432823720506605E-2</v>
      </c>
      <c r="J226" s="3">
        <f t="shared" ca="1" si="25"/>
        <v>5.4432924443127494E-2</v>
      </c>
      <c r="K226" s="3">
        <f t="shared" ca="1" si="25"/>
        <v>5.7081278737155967E-2</v>
      </c>
      <c r="L226" s="3">
        <f t="shared" ca="1" si="25"/>
        <v>5.8797741007847931E-2</v>
      </c>
    </row>
    <row r="227" spans="3:12">
      <c r="C227" s="7">
        <v>221</v>
      </c>
      <c r="D227" s="3">
        <f t="shared" si="23"/>
        <v>4.5199999999999997E-2</v>
      </c>
      <c r="E227" s="3">
        <f t="shared" ref="E227:L236" ca="1" si="26">D227+E$5*dt+sigma*_xlfn.NORM.S.INV(RAND())*SQRT(dt)</f>
        <v>5.5763823768516865E-2</v>
      </c>
      <c r="F227" s="3">
        <f t="shared" ca="1" si="26"/>
        <v>6.0968482416633253E-2</v>
      </c>
      <c r="G227" s="3">
        <f t="shared" ca="1" si="26"/>
        <v>5.9337274898711018E-2</v>
      </c>
      <c r="H227" s="3">
        <f t="shared" ca="1" si="26"/>
        <v>6.6730800037394622E-2</v>
      </c>
      <c r="I227" s="3">
        <f t="shared" ca="1" si="26"/>
        <v>6.867352040722853E-2</v>
      </c>
      <c r="J227" s="3">
        <f t="shared" ca="1" si="26"/>
        <v>6.8254497938909336E-2</v>
      </c>
      <c r="K227" s="3">
        <f t="shared" ca="1" si="26"/>
        <v>6.4263372162216226E-2</v>
      </c>
      <c r="L227" s="3">
        <f t="shared" ca="1" si="26"/>
        <v>6.5594942840366821E-2</v>
      </c>
    </row>
    <row r="228" spans="3:12">
      <c r="C228" s="7">
        <v>222</v>
      </c>
      <c r="D228" s="3">
        <f t="shared" si="23"/>
        <v>4.5199999999999997E-2</v>
      </c>
      <c r="E228" s="3">
        <f t="shared" ca="1" si="26"/>
        <v>4.9250358312956766E-2</v>
      </c>
      <c r="F228" s="3">
        <f t="shared" ca="1" si="26"/>
        <v>5.9557017501581273E-2</v>
      </c>
      <c r="G228" s="3">
        <f t="shared" ca="1" si="26"/>
        <v>5.776223859598803E-2</v>
      </c>
      <c r="H228" s="3">
        <f t="shared" ca="1" si="26"/>
        <v>6.1833523038531839E-2</v>
      </c>
      <c r="I228" s="3">
        <f t="shared" ca="1" si="26"/>
        <v>5.042488413155409E-2</v>
      </c>
      <c r="J228" s="3">
        <f t="shared" ca="1" si="26"/>
        <v>5.3715405724291773E-2</v>
      </c>
      <c r="K228" s="3">
        <f t="shared" ca="1" si="26"/>
        <v>5.5269783152734932E-2</v>
      </c>
      <c r="L228" s="3">
        <f t="shared" ca="1" si="26"/>
        <v>6.006639043464395E-2</v>
      </c>
    </row>
    <row r="229" spans="3:12">
      <c r="C229" s="7">
        <v>223</v>
      </c>
      <c r="D229" s="3">
        <f t="shared" si="23"/>
        <v>4.5199999999999997E-2</v>
      </c>
      <c r="E229" s="3">
        <f t="shared" ca="1" si="26"/>
        <v>4.754076167592261E-2</v>
      </c>
      <c r="F229" s="3">
        <f t="shared" ca="1" si="26"/>
        <v>5.2098735343205797E-2</v>
      </c>
      <c r="G229" s="3">
        <f t="shared" ca="1" si="26"/>
        <v>5.0511512234115687E-2</v>
      </c>
      <c r="H229" s="3">
        <f t="shared" ca="1" si="26"/>
        <v>5.7027704276047718E-2</v>
      </c>
      <c r="I229" s="3">
        <f t="shared" ca="1" si="26"/>
        <v>5.5120764243729276E-2</v>
      </c>
      <c r="J229" s="3">
        <f t="shared" ca="1" si="26"/>
        <v>4.4102707221040947E-2</v>
      </c>
      <c r="K229" s="3">
        <f t="shared" ca="1" si="26"/>
        <v>4.6716114609860408E-2</v>
      </c>
      <c r="L229" s="3">
        <f t="shared" ca="1" si="26"/>
        <v>4.5789738574502525E-2</v>
      </c>
    </row>
    <row r="230" spans="3:12">
      <c r="C230" s="7">
        <v>224</v>
      </c>
      <c r="D230" s="3">
        <f t="shared" si="23"/>
        <v>4.5199999999999997E-2</v>
      </c>
      <c r="E230" s="3">
        <f t="shared" ca="1" si="26"/>
        <v>5.3338893285489318E-2</v>
      </c>
      <c r="F230" s="3">
        <f t="shared" ca="1" si="26"/>
        <v>6.1595740029400749E-2</v>
      </c>
      <c r="G230" s="3">
        <f t="shared" ca="1" si="26"/>
        <v>6.0309719522214394E-2</v>
      </c>
      <c r="H230" s="3">
        <f t="shared" ca="1" si="26"/>
        <v>6.4953349286067746E-2</v>
      </c>
      <c r="I230" s="3">
        <f t="shared" ca="1" si="26"/>
        <v>6.4030721554694234E-2</v>
      </c>
      <c r="J230" s="3">
        <f t="shared" ca="1" si="26"/>
        <v>6.5275321972306316E-2</v>
      </c>
      <c r="K230" s="3">
        <f t="shared" ca="1" si="26"/>
        <v>6.297199549819589E-2</v>
      </c>
      <c r="L230" s="3">
        <f t="shared" ca="1" si="26"/>
        <v>6.8262288466732282E-2</v>
      </c>
    </row>
    <row r="231" spans="3:12">
      <c r="C231" s="7">
        <v>225</v>
      </c>
      <c r="D231" s="3">
        <f t="shared" si="23"/>
        <v>4.5199999999999997E-2</v>
      </c>
      <c r="E231" s="3">
        <f t="shared" ca="1" si="26"/>
        <v>4.3375788932591454E-2</v>
      </c>
      <c r="F231" s="3">
        <f t="shared" ca="1" si="26"/>
        <v>5.1309685590475058E-2</v>
      </c>
      <c r="G231" s="3">
        <f t="shared" ca="1" si="26"/>
        <v>5.545435185059621E-2</v>
      </c>
      <c r="H231" s="3">
        <f t="shared" ca="1" si="26"/>
        <v>6.484983443968742E-2</v>
      </c>
      <c r="I231" s="3">
        <f t="shared" ca="1" si="26"/>
        <v>6.4780575905101098E-2</v>
      </c>
      <c r="J231" s="3">
        <f t="shared" ca="1" si="26"/>
        <v>6.6392960214000235E-2</v>
      </c>
      <c r="K231" s="3">
        <f t="shared" ca="1" si="26"/>
        <v>5.8528678783151517E-2</v>
      </c>
      <c r="L231" s="3">
        <f t="shared" ca="1" si="26"/>
        <v>5.6878505655690088E-2</v>
      </c>
    </row>
    <row r="232" spans="3:12">
      <c r="C232" s="7">
        <v>226</v>
      </c>
      <c r="D232" s="3">
        <f t="shared" si="23"/>
        <v>4.5199999999999997E-2</v>
      </c>
      <c r="E232" s="3">
        <f t="shared" ca="1" si="26"/>
        <v>3.9877890673492525E-2</v>
      </c>
      <c r="F232" s="3">
        <f t="shared" ca="1" si="26"/>
        <v>4.8984845233761343E-2</v>
      </c>
      <c r="G232" s="3">
        <f t="shared" ca="1" si="26"/>
        <v>5.0270184119846198E-2</v>
      </c>
      <c r="H232" s="3">
        <f t="shared" ca="1" si="26"/>
        <v>5.0617489715453365E-2</v>
      </c>
      <c r="I232" s="3">
        <f t="shared" ca="1" si="26"/>
        <v>5.5434697184082921E-2</v>
      </c>
      <c r="J232" s="3">
        <f t="shared" ca="1" si="26"/>
        <v>5.2199022359627603E-2</v>
      </c>
      <c r="K232" s="3">
        <f t="shared" ca="1" si="26"/>
        <v>4.9021674245308823E-2</v>
      </c>
      <c r="L232" s="3">
        <f t="shared" ca="1" si="26"/>
        <v>5.3071490201343788E-2</v>
      </c>
    </row>
    <row r="233" spans="3:12">
      <c r="C233" s="7">
        <v>227</v>
      </c>
      <c r="D233" s="3">
        <f t="shared" si="23"/>
        <v>4.5199999999999997E-2</v>
      </c>
      <c r="E233" s="3">
        <f t="shared" ca="1" si="26"/>
        <v>4.8875182557219621E-2</v>
      </c>
      <c r="F233" s="3">
        <f t="shared" ca="1" si="26"/>
        <v>5.89682588759326E-2</v>
      </c>
      <c r="G233" s="3">
        <f t="shared" ca="1" si="26"/>
        <v>6.7608262527701746E-2</v>
      </c>
      <c r="H233" s="3">
        <f t="shared" ca="1" si="26"/>
        <v>6.4381366983625163E-2</v>
      </c>
      <c r="I233" s="3">
        <f t="shared" ca="1" si="26"/>
        <v>6.5753259355326124E-2</v>
      </c>
      <c r="J233" s="3">
        <f t="shared" ca="1" si="26"/>
        <v>7.2672250934520552E-2</v>
      </c>
      <c r="K233" s="3">
        <f t="shared" ca="1" si="26"/>
        <v>7.0249890417889968E-2</v>
      </c>
      <c r="L233" s="3">
        <f t="shared" ca="1" si="26"/>
        <v>6.9699188014582122E-2</v>
      </c>
    </row>
    <row r="234" spans="3:12">
      <c r="C234" s="7">
        <v>228</v>
      </c>
      <c r="D234" s="3">
        <f t="shared" si="23"/>
        <v>4.5199999999999997E-2</v>
      </c>
      <c r="E234" s="3">
        <f t="shared" ca="1" si="26"/>
        <v>5.0510385419937534E-2</v>
      </c>
      <c r="F234" s="3">
        <f t="shared" ca="1" si="26"/>
        <v>5.7650588860658908E-2</v>
      </c>
      <c r="G234" s="3">
        <f t="shared" ca="1" si="26"/>
        <v>4.521765618015558E-2</v>
      </c>
      <c r="H234" s="3">
        <f t="shared" ca="1" si="26"/>
        <v>4.4615095356116227E-2</v>
      </c>
      <c r="I234" s="3">
        <f t="shared" ca="1" si="26"/>
        <v>4.5913014642239347E-2</v>
      </c>
      <c r="J234" s="3">
        <f t="shared" ca="1" si="26"/>
        <v>4.961220208139399E-2</v>
      </c>
      <c r="K234" s="3">
        <f t="shared" ca="1" si="26"/>
        <v>5.5285686428884609E-2</v>
      </c>
      <c r="L234" s="3">
        <f t="shared" ca="1" si="26"/>
        <v>5.0976123266647529E-2</v>
      </c>
    </row>
    <row r="235" spans="3:12">
      <c r="C235" s="7">
        <v>229</v>
      </c>
      <c r="D235" s="3">
        <f t="shared" si="23"/>
        <v>4.5199999999999997E-2</v>
      </c>
      <c r="E235" s="3">
        <f t="shared" ca="1" si="26"/>
        <v>4.4504018418253757E-2</v>
      </c>
      <c r="F235" s="3">
        <f t="shared" ca="1" si="26"/>
        <v>5.0091557520891374E-2</v>
      </c>
      <c r="G235" s="3">
        <f t="shared" ca="1" si="26"/>
        <v>5.4519488255819905E-2</v>
      </c>
      <c r="H235" s="3">
        <f t="shared" ca="1" si="26"/>
        <v>4.7113455742929945E-2</v>
      </c>
      <c r="I235" s="3">
        <f t="shared" ca="1" si="26"/>
        <v>3.7832864890693145E-2</v>
      </c>
      <c r="J235" s="3">
        <f t="shared" ca="1" si="26"/>
        <v>4.0788612288857364E-2</v>
      </c>
      <c r="K235" s="3">
        <f t="shared" ca="1" si="26"/>
        <v>4.4701016200225534E-2</v>
      </c>
      <c r="L235" s="3">
        <f t="shared" ca="1" si="26"/>
        <v>4.319139583901227E-2</v>
      </c>
    </row>
    <row r="236" spans="3:12">
      <c r="C236" s="7">
        <v>230</v>
      </c>
      <c r="D236" s="3">
        <f t="shared" si="23"/>
        <v>4.5199999999999997E-2</v>
      </c>
      <c r="E236" s="3">
        <f t="shared" ca="1" si="26"/>
        <v>4.9721345427428863E-2</v>
      </c>
      <c r="F236" s="3">
        <f t="shared" ca="1" si="26"/>
        <v>5.2931847428500815E-2</v>
      </c>
      <c r="G236" s="3">
        <f t="shared" ca="1" si="26"/>
        <v>5.7066738615850765E-2</v>
      </c>
      <c r="H236" s="3">
        <f t="shared" ca="1" si="26"/>
        <v>5.6696361215376752E-2</v>
      </c>
      <c r="I236" s="3">
        <f t="shared" ca="1" si="26"/>
        <v>5.3138692690843516E-2</v>
      </c>
      <c r="J236" s="3">
        <f t="shared" ca="1" si="26"/>
        <v>5.4848950957210624E-2</v>
      </c>
      <c r="K236" s="3">
        <f t="shared" ca="1" si="26"/>
        <v>5.933090608457043E-2</v>
      </c>
      <c r="L236" s="3">
        <f t="shared" ca="1" si="26"/>
        <v>6.4924191735316425E-2</v>
      </c>
    </row>
    <row r="237" spans="3:12">
      <c r="C237" s="7">
        <v>231</v>
      </c>
      <c r="D237" s="3">
        <f t="shared" si="23"/>
        <v>4.5199999999999997E-2</v>
      </c>
      <c r="E237" s="3">
        <f t="shared" ref="E237:L246" ca="1" si="27">D237+E$5*dt+sigma*_xlfn.NORM.S.INV(RAND())*SQRT(dt)</f>
        <v>4.300721729343198E-2</v>
      </c>
      <c r="F237" s="3">
        <f t="shared" ca="1" si="27"/>
        <v>5.1610046535355926E-2</v>
      </c>
      <c r="G237" s="3">
        <f t="shared" ca="1" si="27"/>
        <v>5.0328152804057336E-2</v>
      </c>
      <c r="H237" s="3">
        <f t="shared" ca="1" si="27"/>
        <v>5.0730276147834465E-2</v>
      </c>
      <c r="I237" s="3">
        <f t="shared" ca="1" si="27"/>
        <v>5.2198964411794863E-2</v>
      </c>
      <c r="J237" s="3">
        <f t="shared" ca="1" si="27"/>
        <v>5.1194591057565679E-2</v>
      </c>
      <c r="K237" s="3">
        <f t="shared" ca="1" si="27"/>
        <v>4.704418686702528E-2</v>
      </c>
      <c r="L237" s="3">
        <f t="shared" ca="1" si="27"/>
        <v>5.0925865166820496E-2</v>
      </c>
    </row>
    <row r="238" spans="3:12">
      <c r="C238" s="7">
        <v>232</v>
      </c>
      <c r="D238" s="3">
        <f t="shared" si="23"/>
        <v>4.5199999999999997E-2</v>
      </c>
      <c r="E238" s="3">
        <f t="shared" ca="1" si="27"/>
        <v>4.6610743725852589E-2</v>
      </c>
      <c r="F238" s="3">
        <f t="shared" ca="1" si="27"/>
        <v>4.1108518060081825E-2</v>
      </c>
      <c r="G238" s="3">
        <f t="shared" ca="1" si="27"/>
        <v>4.4972976165950133E-2</v>
      </c>
      <c r="H238" s="3">
        <f t="shared" ca="1" si="27"/>
        <v>5.4600022276104859E-2</v>
      </c>
      <c r="I238" s="3">
        <f t="shared" ca="1" si="27"/>
        <v>5.5024155140269607E-2</v>
      </c>
      <c r="J238" s="3">
        <f t="shared" ca="1" si="27"/>
        <v>5.5435907636124881E-2</v>
      </c>
      <c r="K238" s="3">
        <f t="shared" ca="1" si="27"/>
        <v>5.6056586917378352E-2</v>
      </c>
      <c r="L238" s="3">
        <f t="shared" ca="1" si="27"/>
        <v>5.4701319987785137E-2</v>
      </c>
    </row>
    <row r="239" spans="3:12">
      <c r="C239" s="7">
        <v>233</v>
      </c>
      <c r="D239" s="3">
        <f t="shared" si="23"/>
        <v>4.5199999999999997E-2</v>
      </c>
      <c r="E239" s="3">
        <f t="shared" ca="1" si="27"/>
        <v>5.1302342938628495E-2</v>
      </c>
      <c r="F239" s="3">
        <f t="shared" ca="1" si="27"/>
        <v>4.93445423239448E-2</v>
      </c>
      <c r="G239" s="3">
        <f t="shared" ca="1" si="27"/>
        <v>4.6695704712534612E-2</v>
      </c>
      <c r="H239" s="3">
        <f t="shared" ca="1" si="27"/>
        <v>4.8612360270958083E-2</v>
      </c>
      <c r="I239" s="3">
        <f t="shared" ca="1" si="27"/>
        <v>5.5778498967386632E-2</v>
      </c>
      <c r="J239" s="3">
        <f t="shared" ca="1" si="27"/>
        <v>5.5261563344046298E-2</v>
      </c>
      <c r="K239" s="3">
        <f t="shared" ca="1" si="27"/>
        <v>5.6944322479502277E-2</v>
      </c>
      <c r="L239" s="3">
        <f t="shared" ca="1" si="27"/>
        <v>5.6963248193401442E-2</v>
      </c>
    </row>
    <row r="240" spans="3:12">
      <c r="C240" s="7">
        <v>234</v>
      </c>
      <c r="D240" s="3">
        <f t="shared" si="23"/>
        <v>4.5199999999999997E-2</v>
      </c>
      <c r="E240" s="3">
        <f t="shared" ca="1" si="27"/>
        <v>5.8395281002549114E-2</v>
      </c>
      <c r="F240" s="3">
        <f t="shared" ca="1" si="27"/>
        <v>6.0553086773403549E-2</v>
      </c>
      <c r="G240" s="3">
        <f t="shared" ca="1" si="27"/>
        <v>6.4092253094032159E-2</v>
      </c>
      <c r="H240" s="3">
        <f t="shared" ca="1" si="27"/>
        <v>5.6575102208403116E-2</v>
      </c>
      <c r="I240" s="3">
        <f t="shared" ca="1" si="27"/>
        <v>5.3005844352213935E-2</v>
      </c>
      <c r="J240" s="3">
        <f t="shared" ca="1" si="27"/>
        <v>5.9190726441025673E-2</v>
      </c>
      <c r="K240" s="3">
        <f t="shared" ca="1" si="27"/>
        <v>7.3886644798496548E-2</v>
      </c>
      <c r="L240" s="3">
        <f t="shared" ca="1" si="27"/>
        <v>6.5861849603314593E-2</v>
      </c>
    </row>
    <row r="241" spans="3:12">
      <c r="C241" s="7">
        <v>235</v>
      </c>
      <c r="D241" s="3">
        <f t="shared" si="23"/>
        <v>4.5199999999999997E-2</v>
      </c>
      <c r="E241" s="3">
        <f t="shared" ca="1" si="27"/>
        <v>4.6984632816714396E-2</v>
      </c>
      <c r="F241" s="3">
        <f t="shared" ca="1" si="27"/>
        <v>4.0921309285026297E-2</v>
      </c>
      <c r="G241" s="3">
        <f t="shared" ca="1" si="27"/>
        <v>3.8465009273642006E-2</v>
      </c>
      <c r="H241" s="3">
        <f t="shared" ca="1" si="27"/>
        <v>4.1759671304029043E-2</v>
      </c>
      <c r="I241" s="3">
        <f t="shared" ca="1" si="27"/>
        <v>3.9340889526121546E-2</v>
      </c>
      <c r="J241" s="3">
        <f t="shared" ca="1" si="27"/>
        <v>4.5871858963567783E-2</v>
      </c>
      <c r="K241" s="3">
        <f t="shared" ca="1" si="27"/>
        <v>4.5737177561764208E-2</v>
      </c>
      <c r="L241" s="3">
        <f t="shared" ca="1" si="27"/>
        <v>5.2381408143226282E-2</v>
      </c>
    </row>
    <row r="242" spans="3:12">
      <c r="C242" s="7">
        <v>236</v>
      </c>
      <c r="D242" s="3">
        <f t="shared" si="23"/>
        <v>4.5199999999999997E-2</v>
      </c>
      <c r="E242" s="3">
        <f t="shared" ca="1" si="27"/>
        <v>6.0489867007872976E-2</v>
      </c>
      <c r="F242" s="3">
        <f t="shared" ca="1" si="27"/>
        <v>5.8339002141470489E-2</v>
      </c>
      <c r="G242" s="3">
        <f t="shared" ca="1" si="27"/>
        <v>6.7271355828036658E-2</v>
      </c>
      <c r="H242" s="3">
        <f t="shared" ca="1" si="27"/>
        <v>7.0688235838200483E-2</v>
      </c>
      <c r="I242" s="3">
        <f t="shared" ca="1" si="27"/>
        <v>6.0967342724118453E-2</v>
      </c>
      <c r="J242" s="3">
        <f t="shared" ca="1" si="27"/>
        <v>5.5712084443467126E-2</v>
      </c>
      <c r="K242" s="3">
        <f t="shared" ca="1" si="27"/>
        <v>6.0409701023336891E-2</v>
      </c>
      <c r="L242" s="3">
        <f t="shared" ca="1" si="27"/>
        <v>6.7436236596161825E-2</v>
      </c>
    </row>
    <row r="243" spans="3:12">
      <c r="C243" s="7">
        <v>237</v>
      </c>
      <c r="D243" s="3">
        <f t="shared" si="23"/>
        <v>4.5199999999999997E-2</v>
      </c>
      <c r="E243" s="3">
        <f t="shared" ca="1" si="27"/>
        <v>4.9613255496445595E-2</v>
      </c>
      <c r="F243" s="3">
        <f t="shared" ca="1" si="27"/>
        <v>5.5095045627628958E-2</v>
      </c>
      <c r="G243" s="3">
        <f t="shared" ca="1" si="27"/>
        <v>5.4530942173716887E-2</v>
      </c>
      <c r="H243" s="3">
        <f t="shared" ca="1" si="27"/>
        <v>4.9074925014655511E-2</v>
      </c>
      <c r="I243" s="3">
        <f t="shared" ca="1" si="27"/>
        <v>4.5403999076383719E-2</v>
      </c>
      <c r="J243" s="3">
        <f t="shared" ca="1" si="27"/>
        <v>5.2726667142010825E-2</v>
      </c>
      <c r="K243" s="3">
        <f t="shared" ca="1" si="27"/>
        <v>5.0618393709858489E-2</v>
      </c>
      <c r="L243" s="3">
        <f t="shared" ca="1" si="27"/>
        <v>5.4086039364533975E-2</v>
      </c>
    </row>
    <row r="244" spans="3:12">
      <c r="C244" s="7">
        <v>238</v>
      </c>
      <c r="D244" s="3">
        <f t="shared" si="23"/>
        <v>4.5199999999999997E-2</v>
      </c>
      <c r="E244" s="3">
        <f t="shared" ca="1" si="27"/>
        <v>4.3375167488100684E-2</v>
      </c>
      <c r="F244" s="3">
        <f t="shared" ca="1" si="27"/>
        <v>4.9295286770307027E-2</v>
      </c>
      <c r="G244" s="3">
        <f t="shared" ca="1" si="27"/>
        <v>4.5615770493359423E-2</v>
      </c>
      <c r="H244" s="3">
        <f t="shared" ca="1" si="27"/>
        <v>4.6883554409569261E-2</v>
      </c>
      <c r="I244" s="3">
        <f t="shared" ca="1" si="27"/>
        <v>4.5671521543565768E-2</v>
      </c>
      <c r="J244" s="3">
        <f t="shared" ca="1" si="27"/>
        <v>4.9330790036321695E-2</v>
      </c>
      <c r="K244" s="3">
        <f t="shared" ca="1" si="27"/>
        <v>5.0884771931632114E-2</v>
      </c>
      <c r="L244" s="3">
        <f t="shared" ca="1" si="27"/>
        <v>5.3567787853455895E-2</v>
      </c>
    </row>
    <row r="245" spans="3:12">
      <c r="C245" s="7">
        <v>239</v>
      </c>
      <c r="D245" s="3">
        <f t="shared" si="23"/>
        <v>4.5199999999999997E-2</v>
      </c>
      <c r="E245" s="3">
        <f t="shared" ca="1" si="27"/>
        <v>4.8346501827813845E-2</v>
      </c>
      <c r="F245" s="3">
        <f t="shared" ca="1" si="27"/>
        <v>5.0873520614804421E-2</v>
      </c>
      <c r="G245" s="3">
        <f t="shared" ca="1" si="27"/>
        <v>5.4229990362070768E-2</v>
      </c>
      <c r="H245" s="3">
        <f t="shared" ca="1" si="27"/>
        <v>5.1570199139839713E-2</v>
      </c>
      <c r="I245" s="3">
        <f t="shared" ca="1" si="27"/>
        <v>5.9824118570504986E-2</v>
      </c>
      <c r="J245" s="3">
        <f t="shared" ca="1" si="27"/>
        <v>6.175225674333603E-2</v>
      </c>
      <c r="K245" s="3">
        <f t="shared" ca="1" si="27"/>
        <v>5.9459503182155433E-2</v>
      </c>
      <c r="L245" s="3">
        <f t="shared" ca="1" si="27"/>
        <v>7.3364776343985444E-2</v>
      </c>
    </row>
    <row r="246" spans="3:12">
      <c r="C246" s="7">
        <v>240</v>
      </c>
      <c r="D246" s="3">
        <f t="shared" si="23"/>
        <v>4.5199999999999997E-2</v>
      </c>
      <c r="E246" s="3">
        <f t="shared" ca="1" si="27"/>
        <v>4.1557458569734175E-2</v>
      </c>
      <c r="F246" s="3">
        <f t="shared" ca="1" si="27"/>
        <v>4.2807906091489233E-2</v>
      </c>
      <c r="G246" s="3">
        <f t="shared" ca="1" si="27"/>
        <v>4.8611879661823509E-2</v>
      </c>
      <c r="H246" s="3">
        <f t="shared" ca="1" si="27"/>
        <v>5.718772453610374E-2</v>
      </c>
      <c r="I246" s="3">
        <f t="shared" ca="1" si="27"/>
        <v>5.2265302760159969E-2</v>
      </c>
      <c r="J246" s="3">
        <f t="shared" ca="1" si="27"/>
        <v>6.1622450113256289E-2</v>
      </c>
      <c r="K246" s="3">
        <f t="shared" ca="1" si="27"/>
        <v>5.7513918989556434E-2</v>
      </c>
      <c r="L246" s="3">
        <f t="shared" ca="1" si="27"/>
        <v>5.8550801687527326E-2</v>
      </c>
    </row>
    <row r="247" spans="3:12">
      <c r="C247" s="7">
        <v>241</v>
      </c>
      <c r="D247" s="3">
        <f t="shared" si="23"/>
        <v>4.5199999999999997E-2</v>
      </c>
      <c r="E247" s="3">
        <f t="shared" ref="E247:L256" ca="1" si="28">D247+E$5*dt+sigma*_xlfn.NORM.S.INV(RAND())*SQRT(dt)</f>
        <v>3.68888129705785E-2</v>
      </c>
      <c r="F247" s="3">
        <f t="shared" ca="1" si="28"/>
        <v>3.5153642237762184E-2</v>
      </c>
      <c r="G247" s="3">
        <f t="shared" ca="1" si="28"/>
        <v>3.2739520458716663E-2</v>
      </c>
      <c r="H247" s="3">
        <f t="shared" ca="1" si="28"/>
        <v>4.0784467843547653E-2</v>
      </c>
      <c r="I247" s="3">
        <f t="shared" ca="1" si="28"/>
        <v>3.9358140329273587E-2</v>
      </c>
      <c r="J247" s="3">
        <f t="shared" ca="1" si="28"/>
        <v>2.5663000965939427E-2</v>
      </c>
      <c r="K247" s="3">
        <f t="shared" ca="1" si="28"/>
        <v>2.8124989108972754E-2</v>
      </c>
      <c r="L247" s="3">
        <f t="shared" ca="1" si="28"/>
        <v>3.2572966977782253E-2</v>
      </c>
    </row>
    <row r="248" spans="3:12">
      <c r="C248" s="7">
        <v>242</v>
      </c>
      <c r="D248" s="3">
        <f t="shared" si="23"/>
        <v>4.5199999999999997E-2</v>
      </c>
      <c r="E248" s="3">
        <f t="shared" ca="1" si="28"/>
        <v>4.5900253976691202E-2</v>
      </c>
      <c r="F248" s="3">
        <f t="shared" ca="1" si="28"/>
        <v>4.6402308682364848E-2</v>
      </c>
      <c r="G248" s="3">
        <f t="shared" ca="1" si="28"/>
        <v>4.8515800613842551E-2</v>
      </c>
      <c r="H248" s="3">
        <f t="shared" ca="1" si="28"/>
        <v>4.3542100161279046E-2</v>
      </c>
      <c r="I248" s="3">
        <f t="shared" ca="1" si="28"/>
        <v>4.3271631811903466E-2</v>
      </c>
      <c r="J248" s="3">
        <f t="shared" ca="1" si="28"/>
        <v>3.9250168159884406E-2</v>
      </c>
      <c r="K248" s="3">
        <f t="shared" ca="1" si="28"/>
        <v>3.5716942348604827E-2</v>
      </c>
      <c r="L248" s="3">
        <f t="shared" ca="1" si="28"/>
        <v>4.1876158675410467E-2</v>
      </c>
    </row>
    <row r="249" spans="3:12">
      <c r="C249" s="7">
        <v>243</v>
      </c>
      <c r="D249" s="3">
        <f t="shared" si="23"/>
        <v>4.5199999999999997E-2</v>
      </c>
      <c r="E249" s="3">
        <f t="shared" ca="1" si="28"/>
        <v>4.9636740641770628E-2</v>
      </c>
      <c r="F249" s="3">
        <f t="shared" ca="1" si="28"/>
        <v>5.3516681921324222E-2</v>
      </c>
      <c r="G249" s="3">
        <f t="shared" ca="1" si="28"/>
        <v>5.7801072191399447E-2</v>
      </c>
      <c r="H249" s="3">
        <f t="shared" ca="1" si="28"/>
        <v>6.5662040679735634E-2</v>
      </c>
      <c r="I249" s="3">
        <f t="shared" ca="1" si="28"/>
        <v>6.5128054514439343E-2</v>
      </c>
      <c r="J249" s="3">
        <f t="shared" ca="1" si="28"/>
        <v>7.2369987665611132E-2</v>
      </c>
      <c r="K249" s="3">
        <f t="shared" ca="1" si="28"/>
        <v>7.887906852740792E-2</v>
      </c>
      <c r="L249" s="3">
        <f t="shared" ca="1" si="28"/>
        <v>7.79027141952333E-2</v>
      </c>
    </row>
    <row r="250" spans="3:12">
      <c r="C250" s="7">
        <v>244</v>
      </c>
      <c r="D250" s="3">
        <f t="shared" si="23"/>
        <v>4.5199999999999997E-2</v>
      </c>
      <c r="E250" s="3">
        <f t="shared" ca="1" si="28"/>
        <v>4.0561670855930175E-2</v>
      </c>
      <c r="F250" s="3">
        <f t="shared" ca="1" si="28"/>
        <v>4.3158464086564333E-2</v>
      </c>
      <c r="G250" s="3">
        <f t="shared" ca="1" si="28"/>
        <v>4.1152207353744676E-2</v>
      </c>
      <c r="H250" s="3">
        <f t="shared" ca="1" si="28"/>
        <v>3.4436187955353581E-2</v>
      </c>
      <c r="I250" s="3">
        <f t="shared" ca="1" si="28"/>
        <v>3.6589220762093665E-2</v>
      </c>
      <c r="J250" s="3">
        <f t="shared" ca="1" si="28"/>
        <v>4.1296205561865411E-2</v>
      </c>
      <c r="K250" s="3">
        <f t="shared" ca="1" si="28"/>
        <v>4.6912359800496822E-2</v>
      </c>
      <c r="L250" s="3">
        <f t="shared" ca="1" si="28"/>
        <v>5.3594179329497685E-2</v>
      </c>
    </row>
    <row r="251" spans="3:12">
      <c r="C251" s="7">
        <v>245</v>
      </c>
      <c r="D251" s="3">
        <f t="shared" si="23"/>
        <v>4.5199999999999997E-2</v>
      </c>
      <c r="E251" s="3">
        <f t="shared" ca="1" si="28"/>
        <v>5.1582041483472785E-2</v>
      </c>
      <c r="F251" s="3">
        <f t="shared" ca="1" si="28"/>
        <v>5.1965519760505757E-2</v>
      </c>
      <c r="G251" s="3">
        <f t="shared" ca="1" si="28"/>
        <v>6.1609293229409938E-2</v>
      </c>
      <c r="H251" s="3">
        <f t="shared" ca="1" si="28"/>
        <v>6.2608415692178371E-2</v>
      </c>
      <c r="I251" s="3">
        <f t="shared" ca="1" si="28"/>
        <v>6.7645261216916885E-2</v>
      </c>
      <c r="J251" s="3">
        <f t="shared" ca="1" si="28"/>
        <v>6.6987462446596147E-2</v>
      </c>
      <c r="K251" s="3">
        <f t="shared" ca="1" si="28"/>
        <v>5.1994722477581273E-2</v>
      </c>
      <c r="L251" s="3">
        <f t="shared" ca="1" si="28"/>
        <v>4.9557939369824652E-2</v>
      </c>
    </row>
    <row r="252" spans="3:12">
      <c r="C252" s="7">
        <v>246</v>
      </c>
      <c r="D252" s="3">
        <f t="shared" si="23"/>
        <v>4.5199999999999997E-2</v>
      </c>
      <c r="E252" s="3">
        <f t="shared" ca="1" si="28"/>
        <v>4.894217235922229E-2</v>
      </c>
      <c r="F252" s="3">
        <f t="shared" ca="1" si="28"/>
        <v>5.5945358446060398E-2</v>
      </c>
      <c r="G252" s="3">
        <f t="shared" ca="1" si="28"/>
        <v>4.9971129549379364E-2</v>
      </c>
      <c r="H252" s="3">
        <f t="shared" ca="1" si="28"/>
        <v>4.7378844670438056E-2</v>
      </c>
      <c r="I252" s="3">
        <f t="shared" ca="1" si="28"/>
        <v>4.5703096652657815E-2</v>
      </c>
      <c r="J252" s="3">
        <f t="shared" ca="1" si="28"/>
        <v>5.1318803213799197E-2</v>
      </c>
      <c r="K252" s="3">
        <f t="shared" ca="1" si="28"/>
        <v>4.8012110749018913E-2</v>
      </c>
      <c r="L252" s="3">
        <f t="shared" ca="1" si="28"/>
        <v>4.9972477580143317E-2</v>
      </c>
    </row>
    <row r="253" spans="3:12">
      <c r="C253" s="7">
        <v>247</v>
      </c>
      <c r="D253" s="3">
        <f t="shared" si="23"/>
        <v>4.5199999999999997E-2</v>
      </c>
      <c r="E253" s="3">
        <f t="shared" ca="1" si="28"/>
        <v>4.5459730442216503E-2</v>
      </c>
      <c r="F253" s="3">
        <f t="shared" ca="1" si="28"/>
        <v>4.0413773683102963E-2</v>
      </c>
      <c r="G253" s="3">
        <f t="shared" ca="1" si="28"/>
        <v>4.5265495429139005E-2</v>
      </c>
      <c r="H253" s="3">
        <f t="shared" ca="1" si="28"/>
        <v>5.5358500393428101E-2</v>
      </c>
      <c r="I253" s="3">
        <f t="shared" ca="1" si="28"/>
        <v>5.1712674309472663E-2</v>
      </c>
      <c r="J253" s="3">
        <f t="shared" ca="1" si="28"/>
        <v>5.1768259090241013E-2</v>
      </c>
      <c r="K253" s="3">
        <f t="shared" ca="1" si="28"/>
        <v>5.3755284243073416E-2</v>
      </c>
      <c r="L253" s="3">
        <f t="shared" ca="1" si="28"/>
        <v>4.6902771098641619E-2</v>
      </c>
    </row>
    <row r="254" spans="3:12">
      <c r="C254" s="7">
        <v>248</v>
      </c>
      <c r="D254" s="3">
        <f t="shared" si="23"/>
        <v>4.5199999999999997E-2</v>
      </c>
      <c r="E254" s="3">
        <f t="shared" ca="1" si="28"/>
        <v>4.7569698092559384E-2</v>
      </c>
      <c r="F254" s="3">
        <f t="shared" ca="1" si="28"/>
        <v>4.5990288510336833E-2</v>
      </c>
      <c r="G254" s="3">
        <f t="shared" ca="1" si="28"/>
        <v>4.6757576013662774E-2</v>
      </c>
      <c r="H254" s="3">
        <f t="shared" ca="1" si="28"/>
        <v>4.8246391000337625E-2</v>
      </c>
      <c r="I254" s="3">
        <f t="shared" ca="1" si="28"/>
        <v>4.6804026520616514E-2</v>
      </c>
      <c r="J254" s="3">
        <f t="shared" ca="1" si="28"/>
        <v>5.0179810904709111E-2</v>
      </c>
      <c r="K254" s="3">
        <f t="shared" ca="1" si="28"/>
        <v>4.4527606631954146E-2</v>
      </c>
      <c r="L254" s="3">
        <f t="shared" ca="1" si="28"/>
        <v>5.023656690440978E-2</v>
      </c>
    </row>
    <row r="255" spans="3:12">
      <c r="C255" s="7">
        <v>249</v>
      </c>
      <c r="D255" s="3">
        <f t="shared" si="23"/>
        <v>4.5199999999999997E-2</v>
      </c>
      <c r="E255" s="3">
        <f t="shared" ca="1" si="28"/>
        <v>5.4580205351308482E-2</v>
      </c>
      <c r="F255" s="3">
        <f t="shared" ca="1" si="28"/>
        <v>6.0709595371867139E-2</v>
      </c>
      <c r="G255" s="3">
        <f t="shared" ca="1" si="28"/>
        <v>5.8575253241255988E-2</v>
      </c>
      <c r="H255" s="3">
        <f t="shared" ca="1" si="28"/>
        <v>5.9421511090792425E-2</v>
      </c>
      <c r="I255" s="3">
        <f t="shared" ca="1" si="28"/>
        <v>6.1356171034517508E-2</v>
      </c>
      <c r="J255" s="3">
        <f t="shared" ca="1" si="28"/>
        <v>6.0286625894770789E-2</v>
      </c>
      <c r="K255" s="3">
        <f t="shared" ca="1" si="28"/>
        <v>6.1501453739419391E-2</v>
      </c>
      <c r="L255" s="3">
        <f t="shared" ca="1" si="28"/>
        <v>6.1242759147907735E-2</v>
      </c>
    </row>
    <row r="256" spans="3:12">
      <c r="C256" s="7">
        <v>250</v>
      </c>
      <c r="D256" s="3">
        <f t="shared" si="23"/>
        <v>4.5199999999999997E-2</v>
      </c>
      <c r="E256" s="3">
        <f t="shared" ca="1" si="28"/>
        <v>4.7935739312606376E-2</v>
      </c>
      <c r="F256" s="3">
        <f t="shared" ca="1" si="28"/>
        <v>5.5096390847282968E-2</v>
      </c>
      <c r="G256" s="3">
        <f t="shared" ca="1" si="28"/>
        <v>5.250111074079121E-2</v>
      </c>
      <c r="H256" s="3">
        <f t="shared" ca="1" si="28"/>
        <v>5.6206629486808685E-2</v>
      </c>
      <c r="I256" s="3">
        <f t="shared" ca="1" si="28"/>
        <v>5.52966494418256E-2</v>
      </c>
      <c r="J256" s="3">
        <f t="shared" ca="1" si="28"/>
        <v>6.0256173056185566E-2</v>
      </c>
      <c r="K256" s="3">
        <f t="shared" ca="1" si="28"/>
        <v>5.9344200509904091E-2</v>
      </c>
      <c r="L256" s="3">
        <f t="shared" ca="1" si="28"/>
        <v>6.5010751122633978E-2</v>
      </c>
    </row>
    <row r="257" spans="3:12">
      <c r="C257" s="7">
        <v>251</v>
      </c>
      <c r="D257" s="3">
        <f t="shared" si="23"/>
        <v>4.5199999999999997E-2</v>
      </c>
      <c r="E257" s="3">
        <f t="shared" ref="E257:L266" ca="1" si="29">D257+E$5*dt+sigma*_xlfn.NORM.S.INV(RAND())*SQRT(dt)</f>
        <v>4.0244783498236042E-2</v>
      </c>
      <c r="F257" s="3">
        <f t="shared" ca="1" si="29"/>
        <v>3.986455727577292E-2</v>
      </c>
      <c r="G257" s="3">
        <f t="shared" ca="1" si="29"/>
        <v>3.6126263909761799E-2</v>
      </c>
      <c r="H257" s="3">
        <f t="shared" ca="1" si="29"/>
        <v>4.3751801273855903E-2</v>
      </c>
      <c r="I257" s="3">
        <f t="shared" ca="1" si="29"/>
        <v>4.2082478704829257E-2</v>
      </c>
      <c r="J257" s="3">
        <f t="shared" ca="1" si="29"/>
        <v>4.5964559210610482E-2</v>
      </c>
      <c r="K257" s="3">
        <f t="shared" ca="1" si="29"/>
        <v>5.0698031147892196E-2</v>
      </c>
      <c r="L257" s="3">
        <f t="shared" ca="1" si="29"/>
        <v>4.8210513051750933E-2</v>
      </c>
    </row>
    <row r="258" spans="3:12">
      <c r="C258" s="7">
        <v>252</v>
      </c>
      <c r="D258" s="3">
        <f t="shared" si="23"/>
        <v>4.5199999999999997E-2</v>
      </c>
      <c r="E258" s="3">
        <f t="shared" ca="1" si="29"/>
        <v>5.020469878217089E-2</v>
      </c>
      <c r="F258" s="3">
        <f t="shared" ca="1" si="29"/>
        <v>5.4052383254235371E-2</v>
      </c>
      <c r="G258" s="3">
        <f t="shared" ca="1" si="29"/>
        <v>5.4046077378812306E-2</v>
      </c>
      <c r="H258" s="3">
        <f t="shared" ca="1" si="29"/>
        <v>5.977740866565294E-2</v>
      </c>
      <c r="I258" s="3">
        <f t="shared" ca="1" si="29"/>
        <v>6.1776823505222962E-2</v>
      </c>
      <c r="J258" s="3">
        <f t="shared" ca="1" si="29"/>
        <v>6.421487422916014E-2</v>
      </c>
      <c r="K258" s="3">
        <f t="shared" ca="1" si="29"/>
        <v>5.787677304854276E-2</v>
      </c>
      <c r="L258" s="3">
        <f t="shared" ca="1" si="29"/>
        <v>5.6368764848789499E-2</v>
      </c>
    </row>
    <row r="259" spans="3:12">
      <c r="C259" s="7">
        <v>253</v>
      </c>
      <c r="D259" s="3">
        <f t="shared" si="23"/>
        <v>4.5199999999999997E-2</v>
      </c>
      <c r="E259" s="3">
        <f t="shared" ca="1" si="29"/>
        <v>4.6497256665154918E-2</v>
      </c>
      <c r="F259" s="3">
        <f t="shared" ca="1" si="29"/>
        <v>5.4743547397362258E-2</v>
      </c>
      <c r="G259" s="3">
        <f t="shared" ca="1" si="29"/>
        <v>5.9933075085358931E-2</v>
      </c>
      <c r="H259" s="3">
        <f t="shared" ca="1" si="29"/>
        <v>6.5794649442225697E-2</v>
      </c>
      <c r="I259" s="3">
        <f t="shared" ca="1" si="29"/>
        <v>6.755669659317047E-2</v>
      </c>
      <c r="J259" s="3">
        <f t="shared" ca="1" si="29"/>
        <v>8.0045027951007194E-2</v>
      </c>
      <c r="K259" s="3">
        <f t="shared" ca="1" si="29"/>
        <v>8.0286538521236975E-2</v>
      </c>
      <c r="L259" s="3">
        <f t="shared" ca="1" si="29"/>
        <v>8.3618240729488438E-2</v>
      </c>
    </row>
    <row r="260" spans="3:12">
      <c r="C260" s="7">
        <v>254</v>
      </c>
      <c r="D260" s="3">
        <f t="shared" si="23"/>
        <v>4.5199999999999997E-2</v>
      </c>
      <c r="E260" s="3">
        <f t="shared" ca="1" si="29"/>
        <v>3.9586060770118232E-2</v>
      </c>
      <c r="F260" s="3">
        <f t="shared" ca="1" si="29"/>
        <v>3.5264957082254245E-2</v>
      </c>
      <c r="G260" s="3">
        <f t="shared" ca="1" si="29"/>
        <v>3.0402580697479701E-2</v>
      </c>
      <c r="H260" s="3">
        <f t="shared" ca="1" si="29"/>
        <v>4.6312250507448194E-2</v>
      </c>
      <c r="I260" s="3">
        <f t="shared" ca="1" si="29"/>
        <v>5.3493767960279541E-2</v>
      </c>
      <c r="J260" s="3">
        <f t="shared" ca="1" si="29"/>
        <v>6.0025278375726743E-2</v>
      </c>
      <c r="K260" s="3">
        <f t="shared" ca="1" si="29"/>
        <v>7.0033736004108421E-2</v>
      </c>
      <c r="L260" s="3">
        <f t="shared" ca="1" si="29"/>
        <v>7.8198548913698346E-2</v>
      </c>
    </row>
    <row r="261" spans="3:12">
      <c r="C261" s="7">
        <v>255</v>
      </c>
      <c r="D261" s="3">
        <f t="shared" si="23"/>
        <v>4.5199999999999997E-2</v>
      </c>
      <c r="E261" s="3">
        <f t="shared" ca="1" si="29"/>
        <v>4.5357298541431529E-2</v>
      </c>
      <c r="F261" s="3">
        <f t="shared" ca="1" si="29"/>
        <v>4.2247152894682075E-2</v>
      </c>
      <c r="G261" s="3">
        <f t="shared" ca="1" si="29"/>
        <v>4.2444562144858519E-2</v>
      </c>
      <c r="H261" s="3">
        <f t="shared" ca="1" si="29"/>
        <v>5.3193299555846854E-2</v>
      </c>
      <c r="I261" s="3">
        <f t="shared" ca="1" si="29"/>
        <v>5.4839757388472139E-2</v>
      </c>
      <c r="J261" s="3">
        <f t="shared" ca="1" si="29"/>
        <v>5.0222739204309891E-2</v>
      </c>
      <c r="K261" s="3">
        <f t="shared" ca="1" si="29"/>
        <v>4.9704176329863708E-2</v>
      </c>
      <c r="L261" s="3">
        <f t="shared" ca="1" si="29"/>
        <v>5.7229285277207068E-2</v>
      </c>
    </row>
    <row r="262" spans="3:12">
      <c r="C262" s="7">
        <v>256</v>
      </c>
      <c r="D262" s="3">
        <f t="shared" si="23"/>
        <v>4.5199999999999997E-2</v>
      </c>
      <c r="E262" s="3">
        <f t="shared" ca="1" si="29"/>
        <v>4.4280238865452223E-2</v>
      </c>
      <c r="F262" s="3">
        <f t="shared" ca="1" si="29"/>
        <v>4.5155650652778177E-2</v>
      </c>
      <c r="G262" s="3">
        <f t="shared" ca="1" si="29"/>
        <v>3.4639152673225031E-2</v>
      </c>
      <c r="H262" s="3">
        <f t="shared" ca="1" si="29"/>
        <v>3.2765867173529938E-2</v>
      </c>
      <c r="I262" s="3">
        <f t="shared" ca="1" si="29"/>
        <v>3.5109489864434976E-2</v>
      </c>
      <c r="J262" s="3">
        <f t="shared" ca="1" si="29"/>
        <v>3.8621815018858897E-2</v>
      </c>
      <c r="K262" s="3">
        <f t="shared" ca="1" si="29"/>
        <v>3.2436567944791418E-2</v>
      </c>
      <c r="L262" s="3">
        <f t="shared" ca="1" si="29"/>
        <v>4.0888330084448955E-2</v>
      </c>
    </row>
    <row r="263" spans="3:12">
      <c r="C263" s="7">
        <v>257</v>
      </c>
      <c r="D263" s="3">
        <f t="shared" ref="D263:D326" si="30">r0</f>
        <v>4.5199999999999997E-2</v>
      </c>
      <c r="E263" s="3">
        <f t="shared" ca="1" si="29"/>
        <v>4.1824412502160721E-2</v>
      </c>
      <c r="F263" s="3">
        <f t="shared" ca="1" si="29"/>
        <v>4.9245288813109696E-2</v>
      </c>
      <c r="G263" s="3">
        <f t="shared" ca="1" si="29"/>
        <v>4.9410395556074668E-2</v>
      </c>
      <c r="H263" s="3">
        <f t="shared" ca="1" si="29"/>
        <v>4.2340527846290499E-2</v>
      </c>
      <c r="I263" s="3">
        <f t="shared" ca="1" si="29"/>
        <v>4.0898848403378728E-2</v>
      </c>
      <c r="J263" s="3">
        <f t="shared" ca="1" si="29"/>
        <v>3.9829851589451709E-2</v>
      </c>
      <c r="K263" s="3">
        <f t="shared" ca="1" si="29"/>
        <v>4.8613907908133795E-2</v>
      </c>
      <c r="L263" s="3">
        <f t="shared" ca="1" si="29"/>
        <v>4.8823244445121518E-2</v>
      </c>
    </row>
    <row r="264" spans="3:12">
      <c r="C264" s="7">
        <v>258</v>
      </c>
      <c r="D264" s="3">
        <f t="shared" si="30"/>
        <v>4.5199999999999997E-2</v>
      </c>
      <c r="E264" s="3">
        <f t="shared" ca="1" si="29"/>
        <v>4.5507003511751958E-2</v>
      </c>
      <c r="F264" s="3">
        <f t="shared" ca="1" si="29"/>
        <v>5.7831669374395822E-2</v>
      </c>
      <c r="G264" s="3">
        <f t="shared" ca="1" si="29"/>
        <v>5.3748521607464884E-2</v>
      </c>
      <c r="H264" s="3">
        <f t="shared" ca="1" si="29"/>
        <v>6.0439275072196617E-2</v>
      </c>
      <c r="I264" s="3">
        <f t="shared" ca="1" si="29"/>
        <v>5.6470365751832827E-2</v>
      </c>
      <c r="J264" s="3">
        <f t="shared" ca="1" si="29"/>
        <v>5.064764963377992E-2</v>
      </c>
      <c r="K264" s="3">
        <f t="shared" ca="1" si="29"/>
        <v>4.747835575164825E-2</v>
      </c>
      <c r="L264" s="3">
        <f t="shared" ca="1" si="29"/>
        <v>4.9051838015346801E-2</v>
      </c>
    </row>
    <row r="265" spans="3:12">
      <c r="C265" s="7">
        <v>259</v>
      </c>
      <c r="D265" s="3">
        <f t="shared" si="30"/>
        <v>4.5199999999999997E-2</v>
      </c>
      <c r="E265" s="3">
        <f t="shared" ca="1" si="29"/>
        <v>4.7145237406256334E-2</v>
      </c>
      <c r="F265" s="3">
        <f t="shared" ca="1" si="29"/>
        <v>4.8611394534711617E-2</v>
      </c>
      <c r="G265" s="3">
        <f t="shared" ca="1" si="29"/>
        <v>4.4673973030892399E-2</v>
      </c>
      <c r="H265" s="3">
        <f t="shared" ca="1" si="29"/>
        <v>5.0776817612856601E-2</v>
      </c>
      <c r="I265" s="3">
        <f t="shared" ca="1" si="29"/>
        <v>4.9946933578936592E-2</v>
      </c>
      <c r="J265" s="3">
        <f t="shared" ca="1" si="29"/>
        <v>5.0259465151943947E-2</v>
      </c>
      <c r="K265" s="3">
        <f t="shared" ca="1" si="29"/>
        <v>5.3887589700616897E-2</v>
      </c>
      <c r="L265" s="3">
        <f t="shared" ca="1" si="29"/>
        <v>5.2507000751083402E-2</v>
      </c>
    </row>
    <row r="266" spans="3:12">
      <c r="C266" s="7">
        <v>260</v>
      </c>
      <c r="D266" s="3">
        <f t="shared" si="30"/>
        <v>4.5199999999999997E-2</v>
      </c>
      <c r="E266" s="3">
        <f t="shared" ca="1" si="29"/>
        <v>4.5471464679262899E-2</v>
      </c>
      <c r="F266" s="3">
        <f t="shared" ca="1" si="29"/>
        <v>5.2836427845412363E-2</v>
      </c>
      <c r="G266" s="3">
        <f t="shared" ca="1" si="29"/>
        <v>5.2869682925301954E-2</v>
      </c>
      <c r="H266" s="3">
        <f t="shared" ca="1" si="29"/>
        <v>5.5453513544655511E-2</v>
      </c>
      <c r="I266" s="3">
        <f t="shared" ca="1" si="29"/>
        <v>5.6200430124673149E-2</v>
      </c>
      <c r="J266" s="3">
        <f t="shared" ca="1" si="29"/>
        <v>5.6674641078804266E-2</v>
      </c>
      <c r="K266" s="3">
        <f t="shared" ca="1" si="29"/>
        <v>4.5355599214907123E-2</v>
      </c>
      <c r="L266" s="3">
        <f t="shared" ca="1" si="29"/>
        <v>4.6551035868170595E-2</v>
      </c>
    </row>
    <row r="267" spans="3:12">
      <c r="C267" s="7">
        <v>261</v>
      </c>
      <c r="D267" s="3">
        <f t="shared" si="30"/>
        <v>4.5199999999999997E-2</v>
      </c>
      <c r="E267" s="3">
        <f t="shared" ref="E267:L276" ca="1" si="31">D267+E$5*dt+sigma*_xlfn.NORM.S.INV(RAND())*SQRT(dt)</f>
        <v>5.2497719302514956E-2</v>
      </c>
      <c r="F267" s="3">
        <f t="shared" ca="1" si="31"/>
        <v>6.0909395367223798E-2</v>
      </c>
      <c r="G267" s="3">
        <f t="shared" ca="1" si="31"/>
        <v>6.8559681485705778E-2</v>
      </c>
      <c r="H267" s="3">
        <f t="shared" ca="1" si="31"/>
        <v>7.4886777529860393E-2</v>
      </c>
      <c r="I267" s="3">
        <f t="shared" ca="1" si="31"/>
        <v>6.8135417486031802E-2</v>
      </c>
      <c r="J267" s="3">
        <f t="shared" ca="1" si="31"/>
        <v>5.6609349626916571E-2</v>
      </c>
      <c r="K267" s="3">
        <f t="shared" ca="1" si="31"/>
        <v>5.8068404119559144E-2</v>
      </c>
      <c r="L267" s="3">
        <f t="shared" ca="1" si="31"/>
        <v>6.0726176266460534E-2</v>
      </c>
    </row>
    <row r="268" spans="3:12">
      <c r="C268" s="7">
        <v>262</v>
      </c>
      <c r="D268" s="3">
        <f t="shared" si="30"/>
        <v>4.5199999999999997E-2</v>
      </c>
      <c r="E268" s="3">
        <f t="shared" ca="1" si="31"/>
        <v>5.4323817008393449E-2</v>
      </c>
      <c r="F268" s="3">
        <f t="shared" ca="1" si="31"/>
        <v>5.7754470270728914E-2</v>
      </c>
      <c r="G268" s="3">
        <f t="shared" ca="1" si="31"/>
        <v>5.7180036399004458E-2</v>
      </c>
      <c r="H268" s="3">
        <f t="shared" ca="1" si="31"/>
        <v>6.7585902977530615E-2</v>
      </c>
      <c r="I268" s="3">
        <f t="shared" ca="1" si="31"/>
        <v>6.7105183104358312E-2</v>
      </c>
      <c r="J268" s="3">
        <f t="shared" ca="1" si="31"/>
        <v>6.349828601540658E-2</v>
      </c>
      <c r="K268" s="3">
        <f t="shared" ca="1" si="31"/>
        <v>7.3600211878351668E-2</v>
      </c>
      <c r="L268" s="3">
        <f t="shared" ca="1" si="31"/>
        <v>6.7844662485579299E-2</v>
      </c>
    </row>
    <row r="269" spans="3:12">
      <c r="C269" s="7">
        <v>263</v>
      </c>
      <c r="D269" s="3">
        <f t="shared" si="30"/>
        <v>4.5199999999999997E-2</v>
      </c>
      <c r="E269" s="3">
        <f t="shared" ca="1" si="31"/>
        <v>4.136272743046885E-2</v>
      </c>
      <c r="F269" s="3">
        <f t="shared" ca="1" si="31"/>
        <v>4.7444602329354969E-2</v>
      </c>
      <c r="G269" s="3">
        <f t="shared" ca="1" si="31"/>
        <v>4.5896818136789343E-2</v>
      </c>
      <c r="H269" s="3">
        <f t="shared" ca="1" si="31"/>
        <v>4.7706317943062009E-2</v>
      </c>
      <c r="I269" s="3">
        <f t="shared" ca="1" si="31"/>
        <v>5.1778690967729524E-2</v>
      </c>
      <c r="J269" s="3">
        <f t="shared" ca="1" si="31"/>
        <v>4.9602558894834572E-2</v>
      </c>
      <c r="K269" s="3">
        <f t="shared" ca="1" si="31"/>
        <v>5.7559770952082666E-2</v>
      </c>
      <c r="L269" s="3">
        <f t="shared" ca="1" si="31"/>
        <v>5.9774698453512597E-2</v>
      </c>
    </row>
    <row r="270" spans="3:12">
      <c r="C270" s="7">
        <v>264</v>
      </c>
      <c r="D270" s="3">
        <f t="shared" si="30"/>
        <v>4.5199999999999997E-2</v>
      </c>
      <c r="E270" s="3">
        <f t="shared" ca="1" si="31"/>
        <v>4.131643105918878E-2</v>
      </c>
      <c r="F270" s="3">
        <f t="shared" ca="1" si="31"/>
        <v>4.6587556564898741E-2</v>
      </c>
      <c r="G270" s="3">
        <f t="shared" ca="1" si="31"/>
        <v>4.8632200621165689E-2</v>
      </c>
      <c r="H270" s="3">
        <f t="shared" ca="1" si="31"/>
        <v>5.5114530434951452E-2</v>
      </c>
      <c r="I270" s="3">
        <f t="shared" ca="1" si="31"/>
        <v>5.8930676019679981E-2</v>
      </c>
      <c r="J270" s="3">
        <f t="shared" ca="1" si="31"/>
        <v>6.6246884583994942E-2</v>
      </c>
      <c r="K270" s="3">
        <f t="shared" ca="1" si="31"/>
        <v>6.857483115030362E-2</v>
      </c>
      <c r="L270" s="3">
        <f t="shared" ca="1" si="31"/>
        <v>6.7647929268194906E-2</v>
      </c>
    </row>
    <row r="271" spans="3:12">
      <c r="C271" s="7">
        <v>265</v>
      </c>
      <c r="D271" s="3">
        <f t="shared" si="30"/>
        <v>4.5199999999999997E-2</v>
      </c>
      <c r="E271" s="3">
        <f t="shared" ca="1" si="31"/>
        <v>5.1034258074454698E-2</v>
      </c>
      <c r="F271" s="3">
        <f t="shared" ca="1" si="31"/>
        <v>4.8597627224683589E-2</v>
      </c>
      <c r="G271" s="3">
        <f t="shared" ca="1" si="31"/>
        <v>5.1902113141721842E-2</v>
      </c>
      <c r="H271" s="3">
        <f t="shared" ca="1" si="31"/>
        <v>5.1735905969446223E-2</v>
      </c>
      <c r="I271" s="3">
        <f t="shared" ca="1" si="31"/>
        <v>4.7786298152756486E-2</v>
      </c>
      <c r="J271" s="3">
        <f t="shared" ca="1" si="31"/>
        <v>4.8961219543038205E-2</v>
      </c>
      <c r="K271" s="3">
        <f t="shared" ca="1" si="31"/>
        <v>4.6865763152444742E-2</v>
      </c>
      <c r="L271" s="3">
        <f t="shared" ca="1" si="31"/>
        <v>4.6857248523637672E-2</v>
      </c>
    </row>
    <row r="272" spans="3:12">
      <c r="C272" s="7">
        <v>266</v>
      </c>
      <c r="D272" s="3">
        <f t="shared" si="30"/>
        <v>4.5199999999999997E-2</v>
      </c>
      <c r="E272" s="3">
        <f t="shared" ca="1" si="31"/>
        <v>4.5258432006993352E-2</v>
      </c>
      <c r="F272" s="3">
        <f t="shared" ca="1" si="31"/>
        <v>4.1784984281817289E-2</v>
      </c>
      <c r="G272" s="3">
        <f t="shared" ca="1" si="31"/>
        <v>3.8478719840156599E-2</v>
      </c>
      <c r="H272" s="3">
        <f t="shared" ca="1" si="31"/>
        <v>4.1858695470777738E-2</v>
      </c>
      <c r="I272" s="3">
        <f t="shared" ca="1" si="31"/>
        <v>4.6133646464079546E-2</v>
      </c>
      <c r="J272" s="3">
        <f t="shared" ca="1" si="31"/>
        <v>4.6097549687988806E-2</v>
      </c>
      <c r="K272" s="3">
        <f t="shared" ca="1" si="31"/>
        <v>4.5185228884189944E-2</v>
      </c>
      <c r="L272" s="3">
        <f t="shared" ca="1" si="31"/>
        <v>5.0769422566909812E-2</v>
      </c>
    </row>
    <row r="273" spans="3:12">
      <c r="C273" s="7">
        <v>267</v>
      </c>
      <c r="D273" s="3">
        <f t="shared" si="30"/>
        <v>4.5199999999999997E-2</v>
      </c>
      <c r="E273" s="3">
        <f t="shared" ca="1" si="31"/>
        <v>4.3825480327074125E-2</v>
      </c>
      <c r="F273" s="3">
        <f t="shared" ca="1" si="31"/>
        <v>4.873851408069816E-2</v>
      </c>
      <c r="G273" s="3">
        <f t="shared" ca="1" si="31"/>
        <v>4.5858254043218541E-2</v>
      </c>
      <c r="H273" s="3">
        <f t="shared" ca="1" si="31"/>
        <v>4.4018025450279406E-2</v>
      </c>
      <c r="I273" s="3">
        <f t="shared" ca="1" si="31"/>
        <v>3.9106564966468881E-2</v>
      </c>
      <c r="J273" s="3">
        <f t="shared" ca="1" si="31"/>
        <v>4.8560102067242351E-2</v>
      </c>
      <c r="K273" s="3">
        <f t="shared" ca="1" si="31"/>
        <v>4.5579345490975774E-2</v>
      </c>
      <c r="L273" s="3">
        <f t="shared" ca="1" si="31"/>
        <v>5.2286111385538021E-2</v>
      </c>
    </row>
    <row r="274" spans="3:12">
      <c r="C274" s="7">
        <v>268</v>
      </c>
      <c r="D274" s="3">
        <f t="shared" si="30"/>
        <v>4.5199999999999997E-2</v>
      </c>
      <c r="E274" s="3">
        <f t="shared" ca="1" si="31"/>
        <v>4.81862822282891E-2</v>
      </c>
      <c r="F274" s="3">
        <f t="shared" ca="1" si="31"/>
        <v>4.871739371236454E-2</v>
      </c>
      <c r="G274" s="3">
        <f t="shared" ca="1" si="31"/>
        <v>5.3672443535698257E-2</v>
      </c>
      <c r="H274" s="3">
        <f t="shared" ca="1" si="31"/>
        <v>6.6863715868351256E-2</v>
      </c>
      <c r="I274" s="3">
        <f t="shared" ca="1" si="31"/>
        <v>6.7988441031261865E-2</v>
      </c>
      <c r="J274" s="3">
        <f t="shared" ca="1" si="31"/>
        <v>6.1195572713127873E-2</v>
      </c>
      <c r="K274" s="3">
        <f t="shared" ca="1" si="31"/>
        <v>5.9074141857817224E-2</v>
      </c>
      <c r="L274" s="3">
        <f t="shared" ca="1" si="31"/>
        <v>5.9584194416218608E-2</v>
      </c>
    </row>
    <row r="275" spans="3:12">
      <c r="C275" s="7">
        <v>269</v>
      </c>
      <c r="D275" s="3">
        <f t="shared" si="30"/>
        <v>4.5199999999999997E-2</v>
      </c>
      <c r="E275" s="3">
        <f t="shared" ca="1" si="31"/>
        <v>5.2785446549010219E-2</v>
      </c>
      <c r="F275" s="3">
        <f t="shared" ca="1" si="31"/>
        <v>5.4559437158329199E-2</v>
      </c>
      <c r="G275" s="3">
        <f t="shared" ca="1" si="31"/>
        <v>6.6553098287211232E-2</v>
      </c>
      <c r="H275" s="3">
        <f t="shared" ca="1" si="31"/>
        <v>7.0630371515472218E-2</v>
      </c>
      <c r="I275" s="3">
        <f t="shared" ca="1" si="31"/>
        <v>6.9217113707883277E-2</v>
      </c>
      <c r="J275" s="3">
        <f t="shared" ca="1" si="31"/>
        <v>8.0408368134831237E-2</v>
      </c>
      <c r="K275" s="3">
        <f t="shared" ca="1" si="31"/>
        <v>7.7010531557824988E-2</v>
      </c>
      <c r="L275" s="3">
        <f t="shared" ca="1" si="31"/>
        <v>7.5241626101316614E-2</v>
      </c>
    </row>
    <row r="276" spans="3:12">
      <c r="C276" s="7">
        <v>270</v>
      </c>
      <c r="D276" s="3">
        <f t="shared" si="30"/>
        <v>4.5199999999999997E-2</v>
      </c>
      <c r="E276" s="3">
        <f t="shared" ca="1" si="31"/>
        <v>4.5161121103323348E-2</v>
      </c>
      <c r="F276" s="3">
        <f t="shared" ca="1" si="31"/>
        <v>4.6846848349191367E-2</v>
      </c>
      <c r="G276" s="3">
        <f t="shared" ca="1" si="31"/>
        <v>4.927765061164275E-2</v>
      </c>
      <c r="H276" s="3">
        <f t="shared" ca="1" si="31"/>
        <v>4.7284323242575262E-2</v>
      </c>
      <c r="I276" s="3">
        <f t="shared" ca="1" si="31"/>
        <v>4.6654383800763539E-2</v>
      </c>
      <c r="J276" s="3">
        <f t="shared" ca="1" si="31"/>
        <v>5.2741451010818619E-2</v>
      </c>
      <c r="K276" s="3">
        <f t="shared" ca="1" si="31"/>
        <v>4.9425012067228588E-2</v>
      </c>
      <c r="L276" s="3">
        <f t="shared" ca="1" si="31"/>
        <v>4.7810121618251988E-2</v>
      </c>
    </row>
    <row r="277" spans="3:12">
      <c r="C277" s="7">
        <v>271</v>
      </c>
      <c r="D277" s="3">
        <f t="shared" si="30"/>
        <v>4.5199999999999997E-2</v>
      </c>
      <c r="E277" s="3">
        <f t="shared" ref="E277:L286" ca="1" si="32">D277+E$5*dt+sigma*_xlfn.NORM.S.INV(RAND())*SQRT(dt)</f>
        <v>5.2363322817580486E-2</v>
      </c>
      <c r="F277" s="3">
        <f t="shared" ca="1" si="32"/>
        <v>6.3900193755695375E-2</v>
      </c>
      <c r="G277" s="3">
        <f t="shared" ca="1" si="32"/>
        <v>6.4561506139662009E-2</v>
      </c>
      <c r="H277" s="3">
        <f t="shared" ca="1" si="32"/>
        <v>5.6652103319342111E-2</v>
      </c>
      <c r="I277" s="3">
        <f t="shared" ca="1" si="32"/>
        <v>5.8094154497278533E-2</v>
      </c>
      <c r="J277" s="3">
        <f t="shared" ca="1" si="32"/>
        <v>5.4850332010079203E-2</v>
      </c>
      <c r="K277" s="3">
        <f t="shared" ca="1" si="32"/>
        <v>4.8331413506569221E-2</v>
      </c>
      <c r="L277" s="3">
        <f t="shared" ca="1" si="32"/>
        <v>3.8083422949386429E-2</v>
      </c>
    </row>
    <row r="278" spans="3:12">
      <c r="C278" s="7">
        <v>272</v>
      </c>
      <c r="D278" s="3">
        <f t="shared" si="30"/>
        <v>4.5199999999999997E-2</v>
      </c>
      <c r="E278" s="3">
        <f t="shared" ca="1" si="32"/>
        <v>4.445008981642274E-2</v>
      </c>
      <c r="F278" s="3">
        <f t="shared" ca="1" si="32"/>
        <v>5.2316034338194012E-2</v>
      </c>
      <c r="G278" s="3">
        <f t="shared" ca="1" si="32"/>
        <v>4.4155713425897532E-2</v>
      </c>
      <c r="H278" s="3">
        <f t="shared" ca="1" si="32"/>
        <v>5.8998559939654596E-2</v>
      </c>
      <c r="I278" s="3">
        <f t="shared" ca="1" si="32"/>
        <v>4.9970121665265863E-2</v>
      </c>
      <c r="J278" s="3">
        <f t="shared" ca="1" si="32"/>
        <v>4.5232732548580998E-2</v>
      </c>
      <c r="K278" s="3">
        <f t="shared" ca="1" si="32"/>
        <v>4.1677699060084714E-2</v>
      </c>
      <c r="L278" s="3">
        <f t="shared" ca="1" si="32"/>
        <v>3.732685814311365E-2</v>
      </c>
    </row>
    <row r="279" spans="3:12">
      <c r="C279" s="7">
        <v>273</v>
      </c>
      <c r="D279" s="3">
        <f t="shared" si="30"/>
        <v>4.5199999999999997E-2</v>
      </c>
      <c r="E279" s="3">
        <f t="shared" ca="1" si="32"/>
        <v>4.7126024846377117E-2</v>
      </c>
      <c r="F279" s="3">
        <f t="shared" ca="1" si="32"/>
        <v>4.7503628089483857E-2</v>
      </c>
      <c r="G279" s="3">
        <f t="shared" ca="1" si="32"/>
        <v>5.1395839053112312E-2</v>
      </c>
      <c r="H279" s="3">
        <f t="shared" ca="1" si="32"/>
        <v>5.5135622098303555E-2</v>
      </c>
      <c r="I279" s="3">
        <f t="shared" ca="1" si="32"/>
        <v>5.9217122859638843E-2</v>
      </c>
      <c r="J279" s="3">
        <f t="shared" ca="1" si="32"/>
        <v>5.5508996897080984E-2</v>
      </c>
      <c r="K279" s="3">
        <f t="shared" ca="1" si="32"/>
        <v>5.0005841651009665E-2</v>
      </c>
      <c r="L279" s="3">
        <f t="shared" ca="1" si="32"/>
        <v>5.0886536424211766E-2</v>
      </c>
    </row>
    <row r="280" spans="3:12">
      <c r="C280" s="7">
        <v>274</v>
      </c>
      <c r="D280" s="3">
        <f t="shared" si="30"/>
        <v>4.5199999999999997E-2</v>
      </c>
      <c r="E280" s="3">
        <f t="shared" ca="1" si="32"/>
        <v>4.4481204848624022E-2</v>
      </c>
      <c r="F280" s="3">
        <f t="shared" ca="1" si="32"/>
        <v>4.5657266281040498E-2</v>
      </c>
      <c r="G280" s="3">
        <f t="shared" ca="1" si="32"/>
        <v>4.9594471546293997E-2</v>
      </c>
      <c r="H280" s="3">
        <f t="shared" ca="1" si="32"/>
        <v>5.1315432442222544E-2</v>
      </c>
      <c r="I280" s="3">
        <f t="shared" ca="1" si="32"/>
        <v>5.3417788841130347E-2</v>
      </c>
      <c r="J280" s="3">
        <f t="shared" ca="1" si="32"/>
        <v>6.4586066366748504E-2</v>
      </c>
      <c r="K280" s="3">
        <f t="shared" ca="1" si="32"/>
        <v>6.5321285534317902E-2</v>
      </c>
      <c r="L280" s="3">
        <f t="shared" ca="1" si="32"/>
        <v>6.2007033420119963E-2</v>
      </c>
    </row>
    <row r="281" spans="3:12">
      <c r="C281" s="7">
        <v>275</v>
      </c>
      <c r="D281" s="3">
        <f t="shared" si="30"/>
        <v>4.5199999999999997E-2</v>
      </c>
      <c r="E281" s="3">
        <f t="shared" ca="1" si="32"/>
        <v>4.8199877606534755E-2</v>
      </c>
      <c r="F281" s="3">
        <f t="shared" ca="1" si="32"/>
        <v>4.5892260186009053E-2</v>
      </c>
      <c r="G281" s="3">
        <f t="shared" ca="1" si="32"/>
        <v>4.7388310919765662E-2</v>
      </c>
      <c r="H281" s="3">
        <f t="shared" ca="1" si="32"/>
        <v>5.6227543554138039E-2</v>
      </c>
      <c r="I281" s="3">
        <f t="shared" ca="1" si="32"/>
        <v>5.9284656861380042E-2</v>
      </c>
      <c r="J281" s="3">
        <f t="shared" ca="1" si="32"/>
        <v>6.54227482844255E-2</v>
      </c>
      <c r="K281" s="3">
        <f t="shared" ca="1" si="32"/>
        <v>5.5156891948556455E-2</v>
      </c>
      <c r="L281" s="3">
        <f t="shared" ca="1" si="32"/>
        <v>5.6910513354317203E-2</v>
      </c>
    </row>
    <row r="282" spans="3:12">
      <c r="C282" s="7">
        <v>276</v>
      </c>
      <c r="D282" s="3">
        <f t="shared" si="30"/>
        <v>4.5199999999999997E-2</v>
      </c>
      <c r="E282" s="3">
        <f t="shared" ca="1" si="32"/>
        <v>4.1094625395616209E-2</v>
      </c>
      <c r="F282" s="3">
        <f t="shared" ca="1" si="32"/>
        <v>3.7598484628665337E-2</v>
      </c>
      <c r="G282" s="3">
        <f t="shared" ca="1" si="32"/>
        <v>3.5122244582482413E-2</v>
      </c>
      <c r="H282" s="3">
        <f t="shared" ca="1" si="32"/>
        <v>3.701187121522629E-2</v>
      </c>
      <c r="I282" s="3">
        <f t="shared" ca="1" si="32"/>
        <v>3.3764978257211885E-2</v>
      </c>
      <c r="J282" s="3">
        <f t="shared" ca="1" si="32"/>
        <v>4.3982905858172966E-2</v>
      </c>
      <c r="K282" s="3">
        <f t="shared" ca="1" si="32"/>
        <v>4.6342799618231519E-2</v>
      </c>
      <c r="L282" s="3">
        <f t="shared" ca="1" si="32"/>
        <v>4.5867691536943818E-2</v>
      </c>
    </row>
    <row r="283" spans="3:12">
      <c r="C283" s="7">
        <v>277</v>
      </c>
      <c r="D283" s="3">
        <f t="shared" si="30"/>
        <v>4.5199999999999997E-2</v>
      </c>
      <c r="E283" s="3">
        <f t="shared" ca="1" si="32"/>
        <v>4.477280009215362E-2</v>
      </c>
      <c r="F283" s="3">
        <f t="shared" ca="1" si="32"/>
        <v>4.7671410549653695E-2</v>
      </c>
      <c r="G283" s="3">
        <f t="shared" ca="1" si="32"/>
        <v>5.384842353681956E-2</v>
      </c>
      <c r="H283" s="3">
        <f t="shared" ca="1" si="32"/>
        <v>6.0794080177630043E-2</v>
      </c>
      <c r="I283" s="3">
        <f t="shared" ca="1" si="32"/>
        <v>6.375590081294881E-2</v>
      </c>
      <c r="J283" s="3">
        <f t="shared" ca="1" si="32"/>
        <v>6.5436196462872992E-2</v>
      </c>
      <c r="K283" s="3">
        <f t="shared" ca="1" si="32"/>
        <v>7.3416944197053843E-2</v>
      </c>
      <c r="L283" s="3">
        <f t="shared" ca="1" si="32"/>
        <v>7.5008756489299722E-2</v>
      </c>
    </row>
    <row r="284" spans="3:12">
      <c r="C284" s="7">
        <v>278</v>
      </c>
      <c r="D284" s="3">
        <f t="shared" si="30"/>
        <v>4.5199999999999997E-2</v>
      </c>
      <c r="E284" s="3">
        <f t="shared" ca="1" si="32"/>
        <v>4.7254814803046608E-2</v>
      </c>
      <c r="F284" s="3">
        <f t="shared" ca="1" si="32"/>
        <v>4.8084967577967548E-2</v>
      </c>
      <c r="G284" s="3">
        <f t="shared" ca="1" si="32"/>
        <v>4.6149755001031877E-2</v>
      </c>
      <c r="H284" s="3">
        <f t="shared" ca="1" si="32"/>
        <v>4.3355530941030389E-2</v>
      </c>
      <c r="I284" s="3">
        <f t="shared" ca="1" si="32"/>
        <v>5.017027520694136E-2</v>
      </c>
      <c r="J284" s="3">
        <f t="shared" ca="1" si="32"/>
        <v>4.41397595004729E-2</v>
      </c>
      <c r="K284" s="3">
        <f t="shared" ca="1" si="32"/>
        <v>4.1099909665194362E-2</v>
      </c>
      <c r="L284" s="3">
        <f t="shared" ca="1" si="32"/>
        <v>4.3228476644356868E-2</v>
      </c>
    </row>
    <row r="285" spans="3:12">
      <c r="C285" s="7">
        <v>279</v>
      </c>
      <c r="D285" s="3">
        <f t="shared" si="30"/>
        <v>4.5199999999999997E-2</v>
      </c>
      <c r="E285" s="3">
        <f t="shared" ca="1" si="32"/>
        <v>4.5435410699388348E-2</v>
      </c>
      <c r="F285" s="3">
        <f t="shared" ca="1" si="32"/>
        <v>4.7317732942686208E-2</v>
      </c>
      <c r="G285" s="3">
        <f t="shared" ca="1" si="32"/>
        <v>5.5416903647345334E-2</v>
      </c>
      <c r="H285" s="3">
        <f t="shared" ca="1" si="32"/>
        <v>5.7551248613745908E-2</v>
      </c>
      <c r="I285" s="3">
        <f t="shared" ca="1" si="32"/>
        <v>5.1641835483867367E-2</v>
      </c>
      <c r="J285" s="3">
        <f t="shared" ca="1" si="32"/>
        <v>5.9422166355272366E-2</v>
      </c>
      <c r="K285" s="3">
        <f t="shared" ca="1" si="32"/>
        <v>6.0747041283560163E-2</v>
      </c>
      <c r="L285" s="3">
        <f t="shared" ca="1" si="32"/>
        <v>6.820340761149267E-2</v>
      </c>
    </row>
    <row r="286" spans="3:12">
      <c r="C286" s="7">
        <v>280</v>
      </c>
      <c r="D286" s="3">
        <f t="shared" si="30"/>
        <v>4.5199999999999997E-2</v>
      </c>
      <c r="E286" s="3">
        <f t="shared" ca="1" si="32"/>
        <v>4.242424015484321E-2</v>
      </c>
      <c r="F286" s="3">
        <f t="shared" ca="1" si="32"/>
        <v>4.6807331160973437E-2</v>
      </c>
      <c r="G286" s="3">
        <f t="shared" ca="1" si="32"/>
        <v>4.8247488037468117E-2</v>
      </c>
      <c r="H286" s="3">
        <f t="shared" ca="1" si="32"/>
        <v>4.8793028316239322E-2</v>
      </c>
      <c r="I286" s="3">
        <f t="shared" ca="1" si="32"/>
        <v>5.2118098307246188E-2</v>
      </c>
      <c r="J286" s="3">
        <f t="shared" ca="1" si="32"/>
        <v>5.3215971999429644E-2</v>
      </c>
      <c r="K286" s="3">
        <f t="shared" ca="1" si="32"/>
        <v>5.7951670078846725E-2</v>
      </c>
      <c r="L286" s="3">
        <f t="shared" ca="1" si="32"/>
        <v>5.6337254372632567E-2</v>
      </c>
    </row>
    <row r="287" spans="3:12">
      <c r="C287" s="7">
        <v>281</v>
      </c>
      <c r="D287" s="3">
        <f t="shared" si="30"/>
        <v>4.5199999999999997E-2</v>
      </c>
      <c r="E287" s="3">
        <f t="shared" ref="E287:L296" ca="1" si="33">D287+E$5*dt+sigma*_xlfn.NORM.S.INV(RAND())*SQRT(dt)</f>
        <v>4.469240150067727E-2</v>
      </c>
      <c r="F287" s="3">
        <f t="shared" ca="1" si="33"/>
        <v>4.7391677964724072E-2</v>
      </c>
      <c r="G287" s="3">
        <f t="shared" ca="1" si="33"/>
        <v>4.6341653560018917E-2</v>
      </c>
      <c r="H287" s="3">
        <f t="shared" ca="1" si="33"/>
        <v>4.7243374706220372E-2</v>
      </c>
      <c r="I287" s="3">
        <f t="shared" ca="1" si="33"/>
        <v>5.3230624266000004E-2</v>
      </c>
      <c r="J287" s="3">
        <f t="shared" ca="1" si="33"/>
        <v>5.6498637403651922E-2</v>
      </c>
      <c r="K287" s="3">
        <f t="shared" ca="1" si="33"/>
        <v>5.7989039515112369E-2</v>
      </c>
      <c r="L287" s="3">
        <f t="shared" ca="1" si="33"/>
        <v>6.1633318562233239E-2</v>
      </c>
    </row>
    <row r="288" spans="3:12">
      <c r="C288" s="7">
        <v>282</v>
      </c>
      <c r="D288" s="3">
        <f t="shared" si="30"/>
        <v>4.5199999999999997E-2</v>
      </c>
      <c r="E288" s="3">
        <f t="shared" ca="1" si="33"/>
        <v>5.4801657268556375E-2</v>
      </c>
      <c r="F288" s="3">
        <f t="shared" ca="1" si="33"/>
        <v>4.9446845746595414E-2</v>
      </c>
      <c r="G288" s="3">
        <f t="shared" ca="1" si="33"/>
        <v>4.1699037507940524E-2</v>
      </c>
      <c r="H288" s="3">
        <f t="shared" ca="1" si="33"/>
        <v>4.2615790297716012E-2</v>
      </c>
      <c r="I288" s="3">
        <f t="shared" ca="1" si="33"/>
        <v>4.5481772964361095E-2</v>
      </c>
      <c r="J288" s="3">
        <f t="shared" ca="1" si="33"/>
        <v>4.7244496431877371E-2</v>
      </c>
      <c r="K288" s="3">
        <f t="shared" ca="1" si="33"/>
        <v>4.5729216073696323E-2</v>
      </c>
      <c r="L288" s="3">
        <f t="shared" ca="1" si="33"/>
        <v>4.3007050274573667E-2</v>
      </c>
    </row>
    <row r="289" spans="3:12">
      <c r="C289" s="7">
        <v>283</v>
      </c>
      <c r="D289" s="3">
        <f t="shared" si="30"/>
        <v>4.5199999999999997E-2</v>
      </c>
      <c r="E289" s="3">
        <f t="shared" ca="1" si="33"/>
        <v>4.1131475033744834E-2</v>
      </c>
      <c r="F289" s="3">
        <f t="shared" ca="1" si="33"/>
        <v>3.723758146379598E-2</v>
      </c>
      <c r="G289" s="3">
        <f t="shared" ca="1" si="33"/>
        <v>4.1725145717932545E-2</v>
      </c>
      <c r="H289" s="3">
        <f t="shared" ca="1" si="33"/>
        <v>4.2113850331440751E-2</v>
      </c>
      <c r="I289" s="3">
        <f t="shared" ca="1" si="33"/>
        <v>3.6712632071599423E-2</v>
      </c>
      <c r="J289" s="3">
        <f t="shared" ca="1" si="33"/>
        <v>3.7884706519624257E-2</v>
      </c>
      <c r="K289" s="3">
        <f t="shared" ca="1" si="33"/>
        <v>3.938623587440257E-2</v>
      </c>
      <c r="L289" s="3">
        <f t="shared" ca="1" si="33"/>
        <v>4.5090282139413664E-2</v>
      </c>
    </row>
    <row r="290" spans="3:12">
      <c r="C290" s="7">
        <v>284</v>
      </c>
      <c r="D290" s="3">
        <f t="shared" si="30"/>
        <v>4.5199999999999997E-2</v>
      </c>
      <c r="E290" s="3">
        <f t="shared" ca="1" si="33"/>
        <v>4.1087629646594154E-2</v>
      </c>
      <c r="F290" s="3">
        <f t="shared" ca="1" si="33"/>
        <v>4.884424916707792E-2</v>
      </c>
      <c r="G290" s="3">
        <f t="shared" ca="1" si="33"/>
        <v>4.8695283971837103E-2</v>
      </c>
      <c r="H290" s="3">
        <f t="shared" ca="1" si="33"/>
        <v>4.0119821832762338E-2</v>
      </c>
      <c r="I290" s="3">
        <f t="shared" ca="1" si="33"/>
        <v>4.5788898800694984E-2</v>
      </c>
      <c r="J290" s="3">
        <f t="shared" ca="1" si="33"/>
        <v>5.9564981231713929E-2</v>
      </c>
      <c r="K290" s="3">
        <f t="shared" ca="1" si="33"/>
        <v>5.052932143090319E-2</v>
      </c>
      <c r="L290" s="3">
        <f t="shared" ca="1" si="33"/>
        <v>4.5643391753581258E-2</v>
      </c>
    </row>
    <row r="291" spans="3:12">
      <c r="C291" s="7">
        <v>285</v>
      </c>
      <c r="D291" s="3">
        <f t="shared" si="30"/>
        <v>4.5199999999999997E-2</v>
      </c>
      <c r="E291" s="3">
        <f t="shared" ca="1" si="33"/>
        <v>4.0454504281145158E-2</v>
      </c>
      <c r="F291" s="3">
        <f t="shared" ca="1" si="33"/>
        <v>4.5600692637819303E-2</v>
      </c>
      <c r="G291" s="3">
        <f t="shared" ca="1" si="33"/>
        <v>4.3237548493277281E-2</v>
      </c>
      <c r="H291" s="3">
        <f t="shared" ca="1" si="33"/>
        <v>4.8843997230906225E-2</v>
      </c>
      <c r="I291" s="3">
        <f t="shared" ca="1" si="33"/>
        <v>4.2546057660007623E-2</v>
      </c>
      <c r="J291" s="3">
        <f t="shared" ca="1" si="33"/>
        <v>4.7541692257606141E-2</v>
      </c>
      <c r="K291" s="3">
        <f t="shared" ca="1" si="33"/>
        <v>3.7467398979142044E-2</v>
      </c>
      <c r="L291" s="3">
        <f t="shared" ca="1" si="33"/>
        <v>3.463387672834202E-2</v>
      </c>
    </row>
    <row r="292" spans="3:12">
      <c r="C292" s="7">
        <v>286</v>
      </c>
      <c r="D292" s="3">
        <f t="shared" si="30"/>
        <v>4.5199999999999997E-2</v>
      </c>
      <c r="E292" s="3">
        <f t="shared" ca="1" si="33"/>
        <v>5.4559084449764983E-2</v>
      </c>
      <c r="F292" s="3">
        <f t="shared" ca="1" si="33"/>
        <v>5.866933260561772E-2</v>
      </c>
      <c r="G292" s="3">
        <f t="shared" ca="1" si="33"/>
        <v>5.9953972592240994E-2</v>
      </c>
      <c r="H292" s="3">
        <f t="shared" ca="1" si="33"/>
        <v>5.7722703656846341E-2</v>
      </c>
      <c r="I292" s="3">
        <f t="shared" ca="1" si="33"/>
        <v>5.624448061022036E-2</v>
      </c>
      <c r="J292" s="3">
        <f t="shared" ca="1" si="33"/>
        <v>6.1333326348414985E-2</v>
      </c>
      <c r="K292" s="3">
        <f t="shared" ca="1" si="33"/>
        <v>6.2415214338891058E-2</v>
      </c>
      <c r="L292" s="3">
        <f t="shared" ca="1" si="33"/>
        <v>6.2863060520420677E-2</v>
      </c>
    </row>
    <row r="293" spans="3:12">
      <c r="C293" s="7">
        <v>287</v>
      </c>
      <c r="D293" s="3">
        <f t="shared" si="30"/>
        <v>4.5199999999999997E-2</v>
      </c>
      <c r="E293" s="3">
        <f t="shared" ca="1" si="33"/>
        <v>4.7495340801191208E-2</v>
      </c>
      <c r="F293" s="3">
        <f t="shared" ca="1" si="33"/>
        <v>4.6973706662807646E-2</v>
      </c>
      <c r="G293" s="3">
        <f t="shared" ca="1" si="33"/>
        <v>4.9443471925152749E-2</v>
      </c>
      <c r="H293" s="3">
        <f t="shared" ca="1" si="33"/>
        <v>5.5457370380875733E-2</v>
      </c>
      <c r="I293" s="3">
        <f t="shared" ca="1" si="33"/>
        <v>5.425140546145648E-2</v>
      </c>
      <c r="J293" s="3">
        <f t="shared" ca="1" si="33"/>
        <v>5.6723247243335717E-2</v>
      </c>
      <c r="K293" s="3">
        <f t="shared" ca="1" si="33"/>
        <v>5.145280666389937E-2</v>
      </c>
      <c r="L293" s="3">
        <f t="shared" ca="1" si="33"/>
        <v>5.4505005525877129E-2</v>
      </c>
    </row>
    <row r="294" spans="3:12">
      <c r="C294" s="7">
        <v>288</v>
      </c>
      <c r="D294" s="3">
        <f t="shared" si="30"/>
        <v>4.5199999999999997E-2</v>
      </c>
      <c r="E294" s="3">
        <f t="shared" ca="1" si="33"/>
        <v>4.2338587808576071E-2</v>
      </c>
      <c r="F294" s="3">
        <f t="shared" ca="1" si="33"/>
        <v>5.6076414337416135E-2</v>
      </c>
      <c r="G294" s="3">
        <f t="shared" ca="1" si="33"/>
        <v>6.3711310945745836E-2</v>
      </c>
      <c r="H294" s="3">
        <f t="shared" ca="1" si="33"/>
        <v>6.6512565792909706E-2</v>
      </c>
      <c r="I294" s="3">
        <f t="shared" ca="1" si="33"/>
        <v>6.3227834949135073E-2</v>
      </c>
      <c r="J294" s="3">
        <f t="shared" ca="1" si="33"/>
        <v>6.7698076466510854E-2</v>
      </c>
      <c r="K294" s="3">
        <f t="shared" ca="1" si="33"/>
        <v>6.537477188680399E-2</v>
      </c>
      <c r="L294" s="3">
        <f t="shared" ca="1" si="33"/>
        <v>7.4567108807829491E-2</v>
      </c>
    </row>
    <row r="295" spans="3:12">
      <c r="C295" s="7">
        <v>289</v>
      </c>
      <c r="D295" s="3">
        <f t="shared" si="30"/>
        <v>4.5199999999999997E-2</v>
      </c>
      <c r="E295" s="3">
        <f t="shared" ca="1" si="33"/>
        <v>5.3121533542811981E-2</v>
      </c>
      <c r="F295" s="3">
        <f t="shared" ca="1" si="33"/>
        <v>5.2906062417153232E-2</v>
      </c>
      <c r="G295" s="3">
        <f t="shared" ca="1" si="33"/>
        <v>4.9548265177419275E-2</v>
      </c>
      <c r="H295" s="3">
        <f t="shared" ca="1" si="33"/>
        <v>4.8737087036600332E-2</v>
      </c>
      <c r="I295" s="3">
        <f t="shared" ca="1" si="33"/>
        <v>4.9353702006657008E-2</v>
      </c>
      <c r="J295" s="3">
        <f t="shared" ca="1" si="33"/>
        <v>5.00396563645856E-2</v>
      </c>
      <c r="K295" s="3">
        <f t="shared" ca="1" si="33"/>
        <v>4.6320424274025454E-2</v>
      </c>
      <c r="L295" s="3">
        <f t="shared" ca="1" si="33"/>
        <v>5.3506822215709196E-2</v>
      </c>
    </row>
    <row r="296" spans="3:12">
      <c r="C296" s="7">
        <v>290</v>
      </c>
      <c r="D296" s="3">
        <f t="shared" si="30"/>
        <v>4.5199999999999997E-2</v>
      </c>
      <c r="E296" s="3">
        <f t="shared" ca="1" si="33"/>
        <v>4.4038970631755513E-2</v>
      </c>
      <c r="F296" s="3">
        <f t="shared" ca="1" si="33"/>
        <v>4.3514024973865091E-2</v>
      </c>
      <c r="G296" s="3">
        <f t="shared" ca="1" si="33"/>
        <v>4.8741017666856963E-2</v>
      </c>
      <c r="H296" s="3">
        <f t="shared" ca="1" si="33"/>
        <v>4.8950023025656847E-2</v>
      </c>
      <c r="I296" s="3">
        <f t="shared" ca="1" si="33"/>
        <v>5.1300203677126267E-2</v>
      </c>
      <c r="J296" s="3">
        <f t="shared" ca="1" si="33"/>
        <v>4.953493717102482E-2</v>
      </c>
      <c r="K296" s="3">
        <f t="shared" ca="1" si="33"/>
        <v>5.1376776625681214E-2</v>
      </c>
      <c r="L296" s="3">
        <f t="shared" ca="1" si="33"/>
        <v>5.0761892767359817E-2</v>
      </c>
    </row>
    <row r="297" spans="3:12">
      <c r="C297" s="7">
        <v>291</v>
      </c>
      <c r="D297" s="3">
        <f t="shared" si="30"/>
        <v>4.5199999999999997E-2</v>
      </c>
      <c r="E297" s="3">
        <f t="shared" ref="E297:L306" ca="1" si="34">D297+E$5*dt+sigma*_xlfn.NORM.S.INV(RAND())*SQRT(dt)</f>
        <v>3.8493862826461882E-2</v>
      </c>
      <c r="F297" s="3">
        <f t="shared" ca="1" si="34"/>
        <v>3.3026957435432866E-2</v>
      </c>
      <c r="G297" s="3">
        <f t="shared" ca="1" si="34"/>
        <v>4.4797406899868393E-2</v>
      </c>
      <c r="H297" s="3">
        <f t="shared" ca="1" si="34"/>
        <v>4.8607644680472899E-2</v>
      </c>
      <c r="I297" s="3">
        <f t="shared" ca="1" si="34"/>
        <v>5.7520050738688516E-2</v>
      </c>
      <c r="J297" s="3">
        <f t="shared" ca="1" si="34"/>
        <v>6.3070615508696401E-2</v>
      </c>
      <c r="K297" s="3">
        <f t="shared" ca="1" si="34"/>
        <v>6.7725958050453214E-2</v>
      </c>
      <c r="L297" s="3">
        <f t="shared" ca="1" si="34"/>
        <v>6.4484059915810882E-2</v>
      </c>
    </row>
    <row r="298" spans="3:12">
      <c r="C298" s="7">
        <v>292</v>
      </c>
      <c r="D298" s="3">
        <f t="shared" si="30"/>
        <v>4.5199999999999997E-2</v>
      </c>
      <c r="E298" s="3">
        <f t="shared" ca="1" si="34"/>
        <v>4.1319836738326142E-2</v>
      </c>
      <c r="F298" s="3">
        <f t="shared" ca="1" si="34"/>
        <v>4.605102086943566E-2</v>
      </c>
      <c r="G298" s="3">
        <f t="shared" ca="1" si="34"/>
        <v>3.9593065217889301E-2</v>
      </c>
      <c r="H298" s="3">
        <f t="shared" ca="1" si="34"/>
        <v>2.707687591117339E-2</v>
      </c>
      <c r="I298" s="3">
        <f t="shared" ca="1" si="34"/>
        <v>2.5663248468461016E-2</v>
      </c>
      <c r="J298" s="3">
        <f t="shared" ca="1" si="34"/>
        <v>2.85258935199042E-2</v>
      </c>
      <c r="K298" s="3">
        <f t="shared" ca="1" si="34"/>
        <v>3.1178438925789937E-2</v>
      </c>
      <c r="L298" s="3">
        <f t="shared" ca="1" si="34"/>
        <v>3.8977015199844763E-2</v>
      </c>
    </row>
    <row r="299" spans="3:12">
      <c r="C299" s="7">
        <v>293</v>
      </c>
      <c r="D299" s="3">
        <f t="shared" si="30"/>
        <v>4.5199999999999997E-2</v>
      </c>
      <c r="E299" s="3">
        <f t="shared" ca="1" si="34"/>
        <v>4.7674768902014053E-2</v>
      </c>
      <c r="F299" s="3">
        <f t="shared" ca="1" si="34"/>
        <v>4.7386877783618581E-2</v>
      </c>
      <c r="G299" s="3">
        <f t="shared" ca="1" si="34"/>
        <v>5.2172544558871006E-2</v>
      </c>
      <c r="H299" s="3">
        <f t="shared" ca="1" si="34"/>
        <v>5.9457814433710468E-2</v>
      </c>
      <c r="I299" s="3">
        <f t="shared" ca="1" si="34"/>
        <v>5.5333255753139729E-2</v>
      </c>
      <c r="J299" s="3">
        <f t="shared" ca="1" si="34"/>
        <v>5.2061299459194112E-2</v>
      </c>
      <c r="K299" s="3">
        <f t="shared" ca="1" si="34"/>
        <v>5.506183794956733E-2</v>
      </c>
      <c r="L299" s="3">
        <f t="shared" ca="1" si="34"/>
        <v>6.113440700230087E-2</v>
      </c>
    </row>
    <row r="300" spans="3:12">
      <c r="C300" s="7">
        <v>294</v>
      </c>
      <c r="D300" s="3">
        <f t="shared" si="30"/>
        <v>4.5199999999999997E-2</v>
      </c>
      <c r="E300" s="3">
        <f t="shared" ca="1" si="34"/>
        <v>4.136723211605077E-2</v>
      </c>
      <c r="F300" s="3">
        <f t="shared" ca="1" si="34"/>
        <v>5.23364413431541E-2</v>
      </c>
      <c r="G300" s="3">
        <f t="shared" ca="1" si="34"/>
        <v>5.2955708097241483E-2</v>
      </c>
      <c r="H300" s="3">
        <f t="shared" ca="1" si="34"/>
        <v>5.712208609936207E-2</v>
      </c>
      <c r="I300" s="3">
        <f t="shared" ca="1" si="34"/>
        <v>6.3842150067650691E-2</v>
      </c>
      <c r="J300" s="3">
        <f t="shared" ca="1" si="34"/>
        <v>6.6049709090942557E-2</v>
      </c>
      <c r="K300" s="3">
        <f t="shared" ca="1" si="34"/>
        <v>5.9032590621948385E-2</v>
      </c>
      <c r="L300" s="3">
        <f t="shared" ca="1" si="34"/>
        <v>6.0857838967073856E-2</v>
      </c>
    </row>
    <row r="301" spans="3:12">
      <c r="C301" s="7">
        <v>295</v>
      </c>
      <c r="D301" s="3">
        <f t="shared" si="30"/>
        <v>4.5199999999999997E-2</v>
      </c>
      <c r="E301" s="3">
        <f t="shared" ca="1" si="34"/>
        <v>3.7875239804128158E-2</v>
      </c>
      <c r="F301" s="3">
        <f t="shared" ca="1" si="34"/>
        <v>3.9594080909480703E-2</v>
      </c>
      <c r="G301" s="3">
        <f t="shared" ca="1" si="34"/>
        <v>4.8894364087996703E-2</v>
      </c>
      <c r="H301" s="3">
        <f t="shared" ca="1" si="34"/>
        <v>5.6998778400807644E-2</v>
      </c>
      <c r="I301" s="3">
        <f t="shared" ca="1" si="34"/>
        <v>5.3915086302109901E-2</v>
      </c>
      <c r="J301" s="3">
        <f t="shared" ca="1" si="34"/>
        <v>6.6427116385584503E-2</v>
      </c>
      <c r="K301" s="3">
        <f t="shared" ca="1" si="34"/>
        <v>6.6004977666545006E-2</v>
      </c>
      <c r="L301" s="3">
        <f t="shared" ca="1" si="34"/>
        <v>6.7724654442586879E-2</v>
      </c>
    </row>
    <row r="302" spans="3:12">
      <c r="C302" s="7">
        <v>296</v>
      </c>
      <c r="D302" s="3">
        <f t="shared" si="30"/>
        <v>4.5199999999999997E-2</v>
      </c>
      <c r="E302" s="3">
        <f t="shared" ca="1" si="34"/>
        <v>4.5317597522856655E-2</v>
      </c>
      <c r="F302" s="3">
        <f t="shared" ca="1" si="34"/>
        <v>3.9828682123832219E-2</v>
      </c>
      <c r="G302" s="3">
        <f t="shared" ca="1" si="34"/>
        <v>4.2189607211921186E-2</v>
      </c>
      <c r="H302" s="3">
        <f t="shared" ca="1" si="34"/>
        <v>4.930185624942772E-2</v>
      </c>
      <c r="I302" s="3">
        <f t="shared" ca="1" si="34"/>
        <v>4.5648172073564919E-2</v>
      </c>
      <c r="J302" s="3">
        <f t="shared" ca="1" si="34"/>
        <v>5.1108182466928727E-2</v>
      </c>
      <c r="K302" s="3">
        <f t="shared" ca="1" si="34"/>
        <v>5.1518166249095131E-2</v>
      </c>
      <c r="L302" s="3">
        <f t="shared" ca="1" si="34"/>
        <v>5.4184447286899286E-2</v>
      </c>
    </row>
    <row r="303" spans="3:12">
      <c r="C303" s="7">
        <v>297</v>
      </c>
      <c r="D303" s="3">
        <f t="shared" si="30"/>
        <v>4.5199999999999997E-2</v>
      </c>
      <c r="E303" s="3">
        <f t="shared" ca="1" si="34"/>
        <v>5.6725247354254993E-2</v>
      </c>
      <c r="F303" s="3">
        <f t="shared" ca="1" si="34"/>
        <v>5.7803711872737522E-2</v>
      </c>
      <c r="G303" s="3">
        <f t="shared" ca="1" si="34"/>
        <v>5.8251720366929556E-2</v>
      </c>
      <c r="H303" s="3">
        <f t="shared" ca="1" si="34"/>
        <v>5.5314800069070191E-2</v>
      </c>
      <c r="I303" s="3">
        <f t="shared" ca="1" si="34"/>
        <v>5.5773528954356298E-2</v>
      </c>
      <c r="J303" s="3">
        <f t="shared" ca="1" si="34"/>
        <v>6.5318780418964426E-2</v>
      </c>
      <c r="K303" s="3">
        <f t="shared" ca="1" si="34"/>
        <v>6.7152686885480511E-2</v>
      </c>
      <c r="L303" s="3">
        <f t="shared" ca="1" si="34"/>
        <v>6.5556920814203737E-2</v>
      </c>
    </row>
    <row r="304" spans="3:12">
      <c r="C304" s="7">
        <v>298</v>
      </c>
      <c r="D304" s="3">
        <f t="shared" si="30"/>
        <v>4.5199999999999997E-2</v>
      </c>
      <c r="E304" s="3">
        <f t="shared" ca="1" si="34"/>
        <v>3.0630531115225221E-2</v>
      </c>
      <c r="F304" s="3">
        <f t="shared" ca="1" si="34"/>
        <v>3.1536517480295227E-2</v>
      </c>
      <c r="G304" s="3">
        <f t="shared" ca="1" si="34"/>
        <v>4.1344418073849365E-2</v>
      </c>
      <c r="H304" s="3">
        <f t="shared" ca="1" si="34"/>
        <v>4.1605717154972702E-2</v>
      </c>
      <c r="I304" s="3">
        <f t="shared" ca="1" si="34"/>
        <v>3.3335205067521696E-2</v>
      </c>
      <c r="J304" s="3">
        <f t="shared" ca="1" si="34"/>
        <v>3.309770481512566E-2</v>
      </c>
      <c r="K304" s="3">
        <f t="shared" ca="1" si="34"/>
        <v>3.3852985689344306E-2</v>
      </c>
      <c r="L304" s="3">
        <f t="shared" ca="1" si="34"/>
        <v>3.964668076871198E-2</v>
      </c>
    </row>
    <row r="305" spans="3:12">
      <c r="C305" s="7">
        <v>299</v>
      </c>
      <c r="D305" s="3">
        <f t="shared" si="30"/>
        <v>4.5199999999999997E-2</v>
      </c>
      <c r="E305" s="3">
        <f t="shared" ca="1" si="34"/>
        <v>4.4201341840148851E-2</v>
      </c>
      <c r="F305" s="3">
        <f t="shared" ca="1" si="34"/>
        <v>4.1667415208113262E-2</v>
      </c>
      <c r="G305" s="3">
        <f t="shared" ca="1" si="34"/>
        <v>4.1884507948135391E-2</v>
      </c>
      <c r="H305" s="3">
        <f t="shared" ca="1" si="34"/>
        <v>3.5250688382133161E-2</v>
      </c>
      <c r="I305" s="3">
        <f t="shared" ca="1" si="34"/>
        <v>3.6533418555702732E-2</v>
      </c>
      <c r="J305" s="3">
        <f t="shared" ca="1" si="34"/>
        <v>3.47499843995938E-2</v>
      </c>
      <c r="K305" s="3">
        <f t="shared" ca="1" si="34"/>
        <v>2.404322759166265E-2</v>
      </c>
      <c r="L305" s="3">
        <f t="shared" ca="1" si="34"/>
        <v>2.2999698843875448E-2</v>
      </c>
    </row>
    <row r="306" spans="3:12">
      <c r="C306" s="7">
        <v>300</v>
      </c>
      <c r="D306" s="3">
        <f t="shared" si="30"/>
        <v>4.5199999999999997E-2</v>
      </c>
      <c r="E306" s="3">
        <f t="shared" ca="1" si="34"/>
        <v>4.6083633348437972E-2</v>
      </c>
      <c r="F306" s="3">
        <f t="shared" ca="1" si="34"/>
        <v>5.8500967247621237E-2</v>
      </c>
      <c r="G306" s="3">
        <f t="shared" ca="1" si="34"/>
        <v>6.2624825023035596E-2</v>
      </c>
      <c r="H306" s="3">
        <f t="shared" ca="1" si="34"/>
        <v>7.3713993880830192E-2</v>
      </c>
      <c r="I306" s="3">
        <f t="shared" ca="1" si="34"/>
        <v>7.4848136555841507E-2</v>
      </c>
      <c r="J306" s="3">
        <f t="shared" ca="1" si="34"/>
        <v>8.6732847503328533E-2</v>
      </c>
      <c r="K306" s="3">
        <f t="shared" ca="1" si="34"/>
        <v>9.1170556206662659E-2</v>
      </c>
      <c r="L306" s="3">
        <f t="shared" ca="1" si="34"/>
        <v>9.7274114745340548E-2</v>
      </c>
    </row>
    <row r="307" spans="3:12">
      <c r="C307" s="7">
        <v>301</v>
      </c>
      <c r="D307" s="3">
        <f t="shared" si="30"/>
        <v>4.5199999999999997E-2</v>
      </c>
      <c r="E307" s="3">
        <f t="shared" ref="E307:L316" ca="1" si="35">D307+E$5*dt+sigma*_xlfn.NORM.S.INV(RAND())*SQRT(dt)</f>
        <v>5.2603492444221057E-2</v>
      </c>
      <c r="F307" s="3">
        <f t="shared" ca="1" si="35"/>
        <v>5.464440612819195E-2</v>
      </c>
      <c r="G307" s="3">
        <f t="shared" ca="1" si="35"/>
        <v>5.6069377276250894E-2</v>
      </c>
      <c r="H307" s="3">
        <f t="shared" ca="1" si="35"/>
        <v>6.550358927831236E-2</v>
      </c>
      <c r="I307" s="3">
        <f t="shared" ca="1" si="35"/>
        <v>6.9468605393672875E-2</v>
      </c>
      <c r="J307" s="3">
        <f t="shared" ca="1" si="35"/>
        <v>7.2591193375292865E-2</v>
      </c>
      <c r="K307" s="3">
        <f t="shared" ca="1" si="35"/>
        <v>7.3002124325357243E-2</v>
      </c>
      <c r="L307" s="3">
        <f t="shared" ca="1" si="35"/>
        <v>8.6366953629537571E-2</v>
      </c>
    </row>
    <row r="308" spans="3:12">
      <c r="C308" s="7">
        <v>302</v>
      </c>
      <c r="D308" s="3">
        <f t="shared" si="30"/>
        <v>4.5199999999999997E-2</v>
      </c>
      <c r="E308" s="3">
        <f t="shared" ca="1" si="35"/>
        <v>5.3757351296307709E-2</v>
      </c>
      <c r="F308" s="3">
        <f t="shared" ca="1" si="35"/>
        <v>6.2652342666761757E-2</v>
      </c>
      <c r="G308" s="3">
        <f t="shared" ca="1" si="35"/>
        <v>6.5415478530983562E-2</v>
      </c>
      <c r="H308" s="3">
        <f t="shared" ca="1" si="35"/>
        <v>6.1286194026318158E-2</v>
      </c>
      <c r="I308" s="3">
        <f t="shared" ca="1" si="35"/>
        <v>6.2736328495814897E-2</v>
      </c>
      <c r="J308" s="3">
        <f t="shared" ca="1" si="35"/>
        <v>7.0548903197782911E-2</v>
      </c>
      <c r="K308" s="3">
        <f t="shared" ca="1" si="35"/>
        <v>6.606860154326849E-2</v>
      </c>
      <c r="L308" s="3">
        <f t="shared" ca="1" si="35"/>
        <v>6.7572886164553161E-2</v>
      </c>
    </row>
    <row r="309" spans="3:12">
      <c r="C309" s="7">
        <v>303</v>
      </c>
      <c r="D309" s="3">
        <f t="shared" si="30"/>
        <v>4.5199999999999997E-2</v>
      </c>
      <c r="E309" s="3">
        <f t="shared" ca="1" si="35"/>
        <v>4.9437523676922397E-2</v>
      </c>
      <c r="F309" s="3">
        <f t="shared" ca="1" si="35"/>
        <v>5.0042210312409116E-2</v>
      </c>
      <c r="G309" s="3">
        <f t="shared" ca="1" si="35"/>
        <v>4.9745112038092273E-2</v>
      </c>
      <c r="H309" s="3">
        <f t="shared" ca="1" si="35"/>
        <v>5.4686414173416666E-2</v>
      </c>
      <c r="I309" s="3">
        <f t="shared" ca="1" si="35"/>
        <v>5.0289984559589239E-2</v>
      </c>
      <c r="J309" s="3">
        <f t="shared" ca="1" si="35"/>
        <v>5.4107735423923248E-2</v>
      </c>
      <c r="K309" s="3">
        <f t="shared" ca="1" si="35"/>
        <v>4.7417557360026438E-2</v>
      </c>
      <c r="L309" s="3">
        <f t="shared" ca="1" si="35"/>
        <v>4.3846767823667934E-2</v>
      </c>
    </row>
    <row r="310" spans="3:12">
      <c r="C310" s="7">
        <v>304</v>
      </c>
      <c r="D310" s="3">
        <f t="shared" si="30"/>
        <v>4.5199999999999997E-2</v>
      </c>
      <c r="E310" s="3">
        <f t="shared" ca="1" si="35"/>
        <v>4.7725512300615211E-2</v>
      </c>
      <c r="F310" s="3">
        <f t="shared" ca="1" si="35"/>
        <v>5.281664488727128E-2</v>
      </c>
      <c r="G310" s="3">
        <f t="shared" ca="1" si="35"/>
        <v>5.3419042070150885E-2</v>
      </c>
      <c r="H310" s="3">
        <f t="shared" ca="1" si="35"/>
        <v>5.7725316333182036E-2</v>
      </c>
      <c r="I310" s="3">
        <f t="shared" ca="1" si="35"/>
        <v>6.0729157731821144E-2</v>
      </c>
      <c r="J310" s="3">
        <f t="shared" ca="1" si="35"/>
        <v>5.5846790748301844E-2</v>
      </c>
      <c r="K310" s="3">
        <f t="shared" ca="1" si="35"/>
        <v>5.9223873908502617E-2</v>
      </c>
      <c r="L310" s="3">
        <f t="shared" ca="1" si="35"/>
        <v>5.865036686215204E-2</v>
      </c>
    </row>
    <row r="311" spans="3:12">
      <c r="C311" s="7">
        <v>305</v>
      </c>
      <c r="D311" s="3">
        <f t="shared" si="30"/>
        <v>4.5199999999999997E-2</v>
      </c>
      <c r="E311" s="3">
        <f t="shared" ca="1" si="35"/>
        <v>4.8789854192852034E-2</v>
      </c>
      <c r="F311" s="3">
        <f t="shared" ca="1" si="35"/>
        <v>5.0948011429089016E-2</v>
      </c>
      <c r="G311" s="3">
        <f t="shared" ca="1" si="35"/>
        <v>5.3560902224501099E-2</v>
      </c>
      <c r="H311" s="3">
        <f t="shared" ca="1" si="35"/>
        <v>5.9441497691079537E-2</v>
      </c>
      <c r="I311" s="3">
        <f t="shared" ca="1" si="35"/>
        <v>5.5358369836570429E-2</v>
      </c>
      <c r="J311" s="3">
        <f t="shared" ca="1" si="35"/>
        <v>5.4353731860732661E-2</v>
      </c>
      <c r="K311" s="3">
        <f t="shared" ca="1" si="35"/>
        <v>5.3494480314529191E-2</v>
      </c>
      <c r="L311" s="3">
        <f t="shared" ca="1" si="35"/>
        <v>4.9270495494043796E-2</v>
      </c>
    </row>
    <row r="312" spans="3:12">
      <c r="C312" s="7">
        <v>306</v>
      </c>
      <c r="D312" s="3">
        <f t="shared" si="30"/>
        <v>4.5199999999999997E-2</v>
      </c>
      <c r="E312" s="3">
        <f t="shared" ca="1" si="35"/>
        <v>3.6915736855550552E-2</v>
      </c>
      <c r="F312" s="3">
        <f t="shared" ca="1" si="35"/>
        <v>4.476962385177681E-2</v>
      </c>
      <c r="G312" s="3">
        <f t="shared" ca="1" si="35"/>
        <v>4.2250997648891411E-2</v>
      </c>
      <c r="H312" s="3">
        <f t="shared" ca="1" si="35"/>
        <v>3.6781457745651044E-2</v>
      </c>
      <c r="I312" s="3">
        <f t="shared" ca="1" si="35"/>
        <v>3.7960063261916074E-2</v>
      </c>
      <c r="J312" s="3">
        <f t="shared" ca="1" si="35"/>
        <v>4.0241718275504948E-2</v>
      </c>
      <c r="K312" s="3">
        <f t="shared" ca="1" si="35"/>
        <v>4.0649991364854289E-2</v>
      </c>
      <c r="L312" s="3">
        <f t="shared" ca="1" si="35"/>
        <v>4.6689110302762106E-2</v>
      </c>
    </row>
    <row r="313" spans="3:12">
      <c r="C313" s="7">
        <v>307</v>
      </c>
      <c r="D313" s="3">
        <f t="shared" si="30"/>
        <v>4.5199999999999997E-2</v>
      </c>
      <c r="E313" s="3">
        <f t="shared" ca="1" si="35"/>
        <v>3.9652864077569322E-2</v>
      </c>
      <c r="F313" s="3">
        <f t="shared" ca="1" si="35"/>
        <v>4.695890380515183E-2</v>
      </c>
      <c r="G313" s="3">
        <f t="shared" ca="1" si="35"/>
        <v>4.8228794520754369E-2</v>
      </c>
      <c r="H313" s="3">
        <f t="shared" ca="1" si="35"/>
        <v>5.4160859995082106E-2</v>
      </c>
      <c r="I313" s="3">
        <f t="shared" ca="1" si="35"/>
        <v>6.194350219101076E-2</v>
      </c>
      <c r="J313" s="3">
        <f t="shared" ca="1" si="35"/>
        <v>6.5368069890779631E-2</v>
      </c>
      <c r="K313" s="3">
        <f t="shared" ca="1" si="35"/>
        <v>6.4725614415322957E-2</v>
      </c>
      <c r="L313" s="3">
        <f t="shared" ca="1" si="35"/>
        <v>7.2633094963983735E-2</v>
      </c>
    </row>
    <row r="314" spans="3:12">
      <c r="C314" s="7">
        <v>308</v>
      </c>
      <c r="D314" s="3">
        <f t="shared" si="30"/>
        <v>4.5199999999999997E-2</v>
      </c>
      <c r="E314" s="3">
        <f t="shared" ca="1" si="35"/>
        <v>4.0492816218597016E-2</v>
      </c>
      <c r="F314" s="3">
        <f t="shared" ca="1" si="35"/>
        <v>4.3142095306622316E-2</v>
      </c>
      <c r="G314" s="3">
        <f t="shared" ca="1" si="35"/>
        <v>4.1905431952056336E-2</v>
      </c>
      <c r="H314" s="3">
        <f t="shared" ca="1" si="35"/>
        <v>4.2998492507491694E-2</v>
      </c>
      <c r="I314" s="3">
        <f t="shared" ca="1" si="35"/>
        <v>4.1904357457786319E-2</v>
      </c>
      <c r="J314" s="3">
        <f t="shared" ca="1" si="35"/>
        <v>4.0871682603554824E-2</v>
      </c>
      <c r="K314" s="3">
        <f t="shared" ca="1" si="35"/>
        <v>3.8057171384824659E-2</v>
      </c>
      <c r="L314" s="3">
        <f t="shared" ca="1" si="35"/>
        <v>4.3705070449303648E-2</v>
      </c>
    </row>
    <row r="315" spans="3:12">
      <c r="C315" s="7">
        <v>309</v>
      </c>
      <c r="D315" s="3">
        <f t="shared" si="30"/>
        <v>4.5199999999999997E-2</v>
      </c>
      <c r="E315" s="3">
        <f t="shared" ca="1" si="35"/>
        <v>4.1428553305666985E-2</v>
      </c>
      <c r="F315" s="3">
        <f t="shared" ca="1" si="35"/>
        <v>4.624977045537506E-2</v>
      </c>
      <c r="G315" s="3">
        <f t="shared" ca="1" si="35"/>
        <v>4.5725347815801266E-2</v>
      </c>
      <c r="H315" s="3">
        <f t="shared" ca="1" si="35"/>
        <v>4.590978621525689E-2</v>
      </c>
      <c r="I315" s="3">
        <f t="shared" ca="1" si="35"/>
        <v>4.5427489424891408E-2</v>
      </c>
      <c r="J315" s="3">
        <f t="shared" ca="1" si="35"/>
        <v>4.8323572260575758E-2</v>
      </c>
      <c r="K315" s="3">
        <f t="shared" ca="1" si="35"/>
        <v>4.1095963757942347E-2</v>
      </c>
      <c r="L315" s="3">
        <f t="shared" ca="1" si="35"/>
        <v>3.7259204818849465E-2</v>
      </c>
    </row>
    <row r="316" spans="3:12">
      <c r="C316" s="7">
        <v>310</v>
      </c>
      <c r="D316" s="3">
        <f t="shared" si="30"/>
        <v>4.5199999999999997E-2</v>
      </c>
      <c r="E316" s="3">
        <f t="shared" ca="1" si="35"/>
        <v>4.7170817730481637E-2</v>
      </c>
      <c r="F316" s="3">
        <f t="shared" ca="1" si="35"/>
        <v>5.1366381011260662E-2</v>
      </c>
      <c r="G316" s="3">
        <f t="shared" ca="1" si="35"/>
        <v>4.3431461545473254E-2</v>
      </c>
      <c r="H316" s="3">
        <f t="shared" ca="1" si="35"/>
        <v>4.4681742660912002E-2</v>
      </c>
      <c r="I316" s="3">
        <f t="shared" ca="1" si="35"/>
        <v>4.7084461861513008E-2</v>
      </c>
      <c r="J316" s="3">
        <f t="shared" ca="1" si="35"/>
        <v>4.4810979873404454E-2</v>
      </c>
      <c r="K316" s="3">
        <f t="shared" ca="1" si="35"/>
        <v>4.8558654459342286E-2</v>
      </c>
      <c r="L316" s="3">
        <f t="shared" ca="1" si="35"/>
        <v>5.5988683397777343E-2</v>
      </c>
    </row>
    <row r="317" spans="3:12">
      <c r="C317" s="7">
        <v>311</v>
      </c>
      <c r="D317" s="3">
        <f t="shared" si="30"/>
        <v>4.5199999999999997E-2</v>
      </c>
      <c r="E317" s="3">
        <f t="shared" ref="E317:L326" ca="1" si="36">D317+E$5*dt+sigma*_xlfn.NORM.S.INV(RAND())*SQRT(dt)</f>
        <v>5.0978963513309133E-2</v>
      </c>
      <c r="F317" s="3">
        <f t="shared" ca="1" si="36"/>
        <v>5.6957727353646403E-2</v>
      </c>
      <c r="G317" s="3">
        <f t="shared" ca="1" si="36"/>
        <v>4.9932750152319377E-2</v>
      </c>
      <c r="H317" s="3">
        <f t="shared" ca="1" si="36"/>
        <v>5.5633520495702693E-2</v>
      </c>
      <c r="I317" s="3">
        <f t="shared" ca="1" si="36"/>
        <v>5.5504423125129904E-2</v>
      </c>
      <c r="J317" s="3">
        <f t="shared" ca="1" si="36"/>
        <v>5.1432421266639626E-2</v>
      </c>
      <c r="K317" s="3">
        <f t="shared" ca="1" si="36"/>
        <v>5.2845109315303555E-2</v>
      </c>
      <c r="L317" s="3">
        <f t="shared" ca="1" si="36"/>
        <v>5.1685756203558052E-2</v>
      </c>
    </row>
    <row r="318" spans="3:12">
      <c r="C318" s="7">
        <v>312</v>
      </c>
      <c r="D318" s="3">
        <f t="shared" si="30"/>
        <v>4.5199999999999997E-2</v>
      </c>
      <c r="E318" s="3">
        <f t="shared" ca="1" si="36"/>
        <v>4.4590506599075798E-2</v>
      </c>
      <c r="F318" s="3">
        <f t="shared" ca="1" si="36"/>
        <v>4.9345242468261309E-2</v>
      </c>
      <c r="G318" s="3">
        <f t="shared" ca="1" si="36"/>
        <v>4.7204522770063727E-2</v>
      </c>
      <c r="H318" s="3">
        <f t="shared" ca="1" si="36"/>
        <v>4.6495869203072776E-2</v>
      </c>
      <c r="I318" s="3">
        <f t="shared" ca="1" si="36"/>
        <v>5.3313097404106606E-2</v>
      </c>
      <c r="J318" s="3">
        <f t="shared" ca="1" si="36"/>
        <v>6.134262758741417E-2</v>
      </c>
      <c r="K318" s="3">
        <f t="shared" ca="1" si="36"/>
        <v>5.7821485755549157E-2</v>
      </c>
      <c r="L318" s="3">
        <f t="shared" ca="1" si="36"/>
        <v>6.3612086606640722E-2</v>
      </c>
    </row>
    <row r="319" spans="3:12">
      <c r="C319" s="7">
        <v>313</v>
      </c>
      <c r="D319" s="3">
        <f t="shared" si="30"/>
        <v>4.5199999999999997E-2</v>
      </c>
      <c r="E319" s="3">
        <f t="shared" ca="1" si="36"/>
        <v>4.9860811024721792E-2</v>
      </c>
      <c r="F319" s="3">
        <f t="shared" ca="1" si="36"/>
        <v>4.9130508933690739E-2</v>
      </c>
      <c r="G319" s="3">
        <f t="shared" ca="1" si="36"/>
        <v>5.3806239834378197E-2</v>
      </c>
      <c r="H319" s="3">
        <f t="shared" ca="1" si="36"/>
        <v>5.211670870123248E-2</v>
      </c>
      <c r="I319" s="3">
        <f t="shared" ca="1" si="36"/>
        <v>5.8963616353541706E-2</v>
      </c>
      <c r="J319" s="3">
        <f t="shared" ca="1" si="36"/>
        <v>6.8686251333091683E-2</v>
      </c>
      <c r="K319" s="3">
        <f t="shared" ca="1" si="36"/>
        <v>6.9235025924345259E-2</v>
      </c>
      <c r="L319" s="3">
        <f t="shared" ca="1" si="36"/>
        <v>7.0806762402029558E-2</v>
      </c>
    </row>
    <row r="320" spans="3:12">
      <c r="C320" s="7">
        <v>314</v>
      </c>
      <c r="D320" s="3">
        <f t="shared" si="30"/>
        <v>4.5199999999999997E-2</v>
      </c>
      <c r="E320" s="3">
        <f t="shared" ca="1" si="36"/>
        <v>4.1332381895288546E-2</v>
      </c>
      <c r="F320" s="3">
        <f t="shared" ca="1" si="36"/>
        <v>4.3421669359096013E-2</v>
      </c>
      <c r="G320" s="3">
        <f t="shared" ca="1" si="36"/>
        <v>4.357055608607479E-2</v>
      </c>
      <c r="H320" s="3">
        <f t="shared" ca="1" si="36"/>
        <v>4.7760366772691354E-2</v>
      </c>
      <c r="I320" s="3">
        <f t="shared" ca="1" si="36"/>
        <v>4.5960543419045E-2</v>
      </c>
      <c r="J320" s="3">
        <f t="shared" ca="1" si="36"/>
        <v>4.125958701091665E-2</v>
      </c>
      <c r="K320" s="3">
        <f t="shared" ca="1" si="36"/>
        <v>3.335554153690292E-2</v>
      </c>
      <c r="L320" s="3">
        <f t="shared" ca="1" si="36"/>
        <v>3.6929944393848203E-2</v>
      </c>
    </row>
    <row r="321" spans="3:12">
      <c r="C321" s="7">
        <v>315</v>
      </c>
      <c r="D321" s="3">
        <f t="shared" si="30"/>
        <v>4.5199999999999997E-2</v>
      </c>
      <c r="E321" s="3">
        <f t="shared" ca="1" si="36"/>
        <v>5.2534294499187013E-2</v>
      </c>
      <c r="F321" s="3">
        <f t="shared" ca="1" si="36"/>
        <v>6.0331617352357862E-2</v>
      </c>
      <c r="G321" s="3">
        <f t="shared" ca="1" si="36"/>
        <v>6.351031493264786E-2</v>
      </c>
      <c r="H321" s="3">
        <f t="shared" ca="1" si="36"/>
        <v>6.2718984370354891E-2</v>
      </c>
      <c r="I321" s="3">
        <f t="shared" ca="1" si="36"/>
        <v>6.9809217417552874E-2</v>
      </c>
      <c r="J321" s="3">
        <f t="shared" ca="1" si="36"/>
        <v>6.9168940835749926E-2</v>
      </c>
      <c r="K321" s="3">
        <f t="shared" ca="1" si="36"/>
        <v>7.0588107366583136E-2</v>
      </c>
      <c r="L321" s="3">
        <f t="shared" ca="1" si="36"/>
        <v>7.5255977673038141E-2</v>
      </c>
    </row>
    <row r="322" spans="3:12">
      <c r="C322" s="7">
        <v>316</v>
      </c>
      <c r="D322" s="3">
        <f t="shared" si="30"/>
        <v>4.5199999999999997E-2</v>
      </c>
      <c r="E322" s="3">
        <f t="shared" ca="1" si="36"/>
        <v>4.9723244987217703E-2</v>
      </c>
      <c r="F322" s="3">
        <f t="shared" ca="1" si="36"/>
        <v>4.4151927193419149E-2</v>
      </c>
      <c r="G322" s="3">
        <f t="shared" ca="1" si="36"/>
        <v>5.0975257823338359E-2</v>
      </c>
      <c r="H322" s="3">
        <f t="shared" ca="1" si="36"/>
        <v>5.1833128040077198E-2</v>
      </c>
      <c r="I322" s="3">
        <f t="shared" ca="1" si="36"/>
        <v>4.9226254980007121E-2</v>
      </c>
      <c r="J322" s="3">
        <f t="shared" ca="1" si="36"/>
        <v>4.9423959450015098E-2</v>
      </c>
      <c r="K322" s="3">
        <f t="shared" ca="1" si="36"/>
        <v>5.0895988652430404E-2</v>
      </c>
      <c r="L322" s="3">
        <f t="shared" ca="1" si="36"/>
        <v>4.8491931120856799E-2</v>
      </c>
    </row>
    <row r="323" spans="3:12">
      <c r="C323" s="7">
        <v>317</v>
      </c>
      <c r="D323" s="3">
        <f t="shared" si="30"/>
        <v>4.5199999999999997E-2</v>
      </c>
      <c r="E323" s="3">
        <f t="shared" ca="1" si="36"/>
        <v>4.5293861841038355E-2</v>
      </c>
      <c r="F323" s="3">
        <f t="shared" ca="1" si="36"/>
        <v>4.7618401301419963E-2</v>
      </c>
      <c r="G323" s="3">
        <f t="shared" ca="1" si="36"/>
        <v>4.6226127554098578E-2</v>
      </c>
      <c r="H323" s="3">
        <f t="shared" ca="1" si="36"/>
        <v>3.9593240080345989E-2</v>
      </c>
      <c r="I323" s="3">
        <f t="shared" ca="1" si="36"/>
        <v>3.9781191778042159E-2</v>
      </c>
      <c r="J323" s="3">
        <f t="shared" ca="1" si="36"/>
        <v>4.4688991208436168E-2</v>
      </c>
      <c r="K323" s="3">
        <f t="shared" ca="1" si="36"/>
        <v>4.3397813324325352E-2</v>
      </c>
      <c r="L323" s="3">
        <f t="shared" ca="1" si="36"/>
        <v>5.0178275029814007E-2</v>
      </c>
    </row>
    <row r="324" spans="3:12">
      <c r="C324" s="7">
        <v>318</v>
      </c>
      <c r="D324" s="3">
        <f t="shared" si="30"/>
        <v>4.5199999999999997E-2</v>
      </c>
      <c r="E324" s="3">
        <f t="shared" ca="1" si="36"/>
        <v>4.1931653897030158E-2</v>
      </c>
      <c r="F324" s="3">
        <f t="shared" ca="1" si="36"/>
        <v>3.240994710855908E-2</v>
      </c>
      <c r="G324" s="3">
        <f t="shared" ca="1" si="36"/>
        <v>3.1411467486561193E-2</v>
      </c>
      <c r="H324" s="3">
        <f t="shared" ca="1" si="36"/>
        <v>2.7623798091656236E-2</v>
      </c>
      <c r="I324" s="3">
        <f t="shared" ca="1" si="36"/>
        <v>3.0753685801167271E-2</v>
      </c>
      <c r="J324" s="3">
        <f t="shared" ca="1" si="36"/>
        <v>2.7859712562663036E-2</v>
      </c>
      <c r="K324" s="3">
        <f t="shared" ca="1" si="36"/>
        <v>2.7901629746058244E-2</v>
      </c>
      <c r="L324" s="3">
        <f t="shared" ca="1" si="36"/>
        <v>3.4151657144009306E-2</v>
      </c>
    </row>
    <row r="325" spans="3:12">
      <c r="C325" s="7">
        <v>319</v>
      </c>
      <c r="D325" s="3">
        <f t="shared" si="30"/>
        <v>4.5199999999999997E-2</v>
      </c>
      <c r="E325" s="3">
        <f t="shared" ca="1" si="36"/>
        <v>4.1351234427452678E-2</v>
      </c>
      <c r="F325" s="3">
        <f t="shared" ca="1" si="36"/>
        <v>4.4799097059774924E-2</v>
      </c>
      <c r="G325" s="3">
        <f t="shared" ca="1" si="36"/>
        <v>4.8603289272443166E-2</v>
      </c>
      <c r="H325" s="3">
        <f t="shared" ca="1" si="36"/>
        <v>5.6210976709057572E-2</v>
      </c>
      <c r="I325" s="3">
        <f t="shared" ca="1" si="36"/>
        <v>5.8061638319881662E-2</v>
      </c>
      <c r="J325" s="3">
        <f t="shared" ca="1" si="36"/>
        <v>6.0014890324871159E-2</v>
      </c>
      <c r="K325" s="3">
        <f t="shared" ca="1" si="36"/>
        <v>5.7262068480750918E-2</v>
      </c>
      <c r="L325" s="3">
        <f t="shared" ca="1" si="36"/>
        <v>6.1214852023367954E-2</v>
      </c>
    </row>
    <row r="326" spans="3:12">
      <c r="C326" s="7">
        <v>320</v>
      </c>
      <c r="D326" s="3">
        <f t="shared" si="30"/>
        <v>4.5199999999999997E-2</v>
      </c>
      <c r="E326" s="3">
        <f t="shared" ca="1" si="36"/>
        <v>5.2057352749310323E-2</v>
      </c>
      <c r="F326" s="3">
        <f t="shared" ca="1" si="36"/>
        <v>5.8320250817018623E-2</v>
      </c>
      <c r="G326" s="3">
        <f t="shared" ca="1" si="36"/>
        <v>5.3582753240314945E-2</v>
      </c>
      <c r="H326" s="3">
        <f t="shared" ca="1" si="36"/>
        <v>5.478037926571086E-2</v>
      </c>
      <c r="I326" s="3">
        <f t="shared" ca="1" si="36"/>
        <v>5.0780405779634878E-2</v>
      </c>
      <c r="J326" s="3">
        <f t="shared" ca="1" si="36"/>
        <v>5.2143262839314523E-2</v>
      </c>
      <c r="K326" s="3">
        <f t="shared" ca="1" si="36"/>
        <v>5.458003915311449E-2</v>
      </c>
      <c r="L326" s="3">
        <f t="shared" ca="1" si="36"/>
        <v>5.6760621253459168E-2</v>
      </c>
    </row>
    <row r="327" spans="3:12">
      <c r="C327" s="7">
        <v>321</v>
      </c>
      <c r="D327" s="3">
        <f t="shared" ref="D327:D390" si="37">r0</f>
        <v>4.5199999999999997E-2</v>
      </c>
      <c r="E327" s="3">
        <f t="shared" ref="E327:L336" ca="1" si="38">D327+E$5*dt+sigma*_xlfn.NORM.S.INV(RAND())*SQRT(dt)</f>
        <v>4.9208437380080773E-2</v>
      </c>
      <c r="F327" s="3">
        <f t="shared" ca="1" si="38"/>
        <v>5.5321846696860549E-2</v>
      </c>
      <c r="G327" s="3">
        <f t="shared" ca="1" si="38"/>
        <v>5.740391602414608E-2</v>
      </c>
      <c r="H327" s="3">
        <f t="shared" ca="1" si="38"/>
        <v>5.8362242186917476E-2</v>
      </c>
      <c r="I327" s="3">
        <f t="shared" ca="1" si="38"/>
        <v>5.4484245899335371E-2</v>
      </c>
      <c r="J327" s="3">
        <f t="shared" ca="1" si="38"/>
        <v>4.8867876864396607E-2</v>
      </c>
      <c r="K327" s="3">
        <f t="shared" ca="1" si="38"/>
        <v>4.811816601820515E-2</v>
      </c>
      <c r="L327" s="3">
        <f t="shared" ca="1" si="38"/>
        <v>5.5941093312011261E-2</v>
      </c>
    </row>
    <row r="328" spans="3:12">
      <c r="C328" s="7">
        <v>322</v>
      </c>
      <c r="D328" s="3">
        <f t="shared" si="37"/>
        <v>4.5199999999999997E-2</v>
      </c>
      <c r="E328" s="3">
        <f t="shared" ca="1" si="38"/>
        <v>4.7005839665729923E-2</v>
      </c>
      <c r="F328" s="3">
        <f t="shared" ca="1" si="38"/>
        <v>4.8436791353248992E-2</v>
      </c>
      <c r="G328" s="3">
        <f t="shared" ca="1" si="38"/>
        <v>5.1322959469444256E-2</v>
      </c>
      <c r="H328" s="3">
        <f t="shared" ca="1" si="38"/>
        <v>5.7994567295707226E-2</v>
      </c>
      <c r="I328" s="3">
        <f t="shared" ca="1" si="38"/>
        <v>5.7879427325239097E-2</v>
      </c>
      <c r="J328" s="3">
        <f t="shared" ca="1" si="38"/>
        <v>5.9615790372006899E-2</v>
      </c>
      <c r="K328" s="3">
        <f t="shared" ca="1" si="38"/>
        <v>5.8339040812253939E-2</v>
      </c>
      <c r="L328" s="3">
        <f t="shared" ca="1" si="38"/>
        <v>6.2121621249856908E-2</v>
      </c>
    </row>
    <row r="329" spans="3:12">
      <c r="C329" s="7">
        <v>323</v>
      </c>
      <c r="D329" s="3">
        <f t="shared" si="37"/>
        <v>4.5199999999999997E-2</v>
      </c>
      <c r="E329" s="3">
        <f t="shared" ca="1" si="38"/>
        <v>5.6619327763858099E-2</v>
      </c>
      <c r="F329" s="3">
        <f t="shared" ca="1" si="38"/>
        <v>5.7579064461960434E-2</v>
      </c>
      <c r="G329" s="3">
        <f t="shared" ca="1" si="38"/>
        <v>5.8948328224770391E-2</v>
      </c>
      <c r="H329" s="3">
        <f t="shared" ca="1" si="38"/>
        <v>6.3771160574413788E-2</v>
      </c>
      <c r="I329" s="3">
        <f t="shared" ca="1" si="38"/>
        <v>6.934800192667992E-2</v>
      </c>
      <c r="J329" s="3">
        <f t="shared" ca="1" si="38"/>
        <v>7.0055940908032438E-2</v>
      </c>
      <c r="K329" s="3">
        <f t="shared" ca="1" si="38"/>
        <v>6.9638312249346482E-2</v>
      </c>
      <c r="L329" s="3">
        <f t="shared" ca="1" si="38"/>
        <v>6.7638051965710627E-2</v>
      </c>
    </row>
    <row r="330" spans="3:12">
      <c r="C330" s="7">
        <v>324</v>
      </c>
      <c r="D330" s="3">
        <f t="shared" si="37"/>
        <v>4.5199999999999997E-2</v>
      </c>
      <c r="E330" s="3">
        <f t="shared" ca="1" si="38"/>
        <v>4.3857924710256471E-2</v>
      </c>
      <c r="F330" s="3">
        <f t="shared" ca="1" si="38"/>
        <v>3.6847385218443121E-2</v>
      </c>
      <c r="G330" s="3">
        <f t="shared" ca="1" si="38"/>
        <v>3.7030779420095625E-2</v>
      </c>
      <c r="H330" s="3">
        <f t="shared" ca="1" si="38"/>
        <v>3.9160892893692144E-2</v>
      </c>
      <c r="I330" s="3">
        <f t="shared" ca="1" si="38"/>
        <v>3.4221170137525958E-2</v>
      </c>
      <c r="J330" s="3">
        <f t="shared" ca="1" si="38"/>
        <v>3.6800779046255734E-2</v>
      </c>
      <c r="K330" s="3">
        <f t="shared" ca="1" si="38"/>
        <v>3.2795275383491279E-2</v>
      </c>
      <c r="L330" s="3">
        <f t="shared" ca="1" si="38"/>
        <v>3.9040276221327948E-2</v>
      </c>
    </row>
    <row r="331" spans="3:12">
      <c r="C331" s="7">
        <v>325</v>
      </c>
      <c r="D331" s="3">
        <f t="shared" si="37"/>
        <v>4.5199999999999997E-2</v>
      </c>
      <c r="E331" s="3">
        <f t="shared" ca="1" si="38"/>
        <v>4.8690703638978566E-2</v>
      </c>
      <c r="F331" s="3">
        <f t="shared" ca="1" si="38"/>
        <v>4.4530825874635985E-2</v>
      </c>
      <c r="G331" s="3">
        <f t="shared" ca="1" si="38"/>
        <v>3.9844652395376781E-2</v>
      </c>
      <c r="H331" s="3">
        <f t="shared" ca="1" si="38"/>
        <v>3.9204836572727324E-2</v>
      </c>
      <c r="I331" s="3">
        <f t="shared" ca="1" si="38"/>
        <v>3.9530790678722304E-2</v>
      </c>
      <c r="J331" s="3">
        <f t="shared" ca="1" si="38"/>
        <v>4.0527827272759373E-2</v>
      </c>
      <c r="K331" s="3">
        <f t="shared" ca="1" si="38"/>
        <v>4.0360908132633024E-2</v>
      </c>
      <c r="L331" s="3">
        <f t="shared" ca="1" si="38"/>
        <v>4.0891865931646641E-2</v>
      </c>
    </row>
    <row r="332" spans="3:12">
      <c r="C332" s="7">
        <v>326</v>
      </c>
      <c r="D332" s="3">
        <f t="shared" si="37"/>
        <v>4.5199999999999997E-2</v>
      </c>
      <c r="E332" s="3">
        <f t="shared" ca="1" si="38"/>
        <v>4.4306523246674029E-2</v>
      </c>
      <c r="F332" s="3">
        <f t="shared" ca="1" si="38"/>
        <v>4.5847221457916455E-2</v>
      </c>
      <c r="G332" s="3">
        <f t="shared" ca="1" si="38"/>
        <v>3.7136713813347266E-2</v>
      </c>
      <c r="H332" s="3">
        <f t="shared" ca="1" si="38"/>
        <v>3.4895867386173882E-2</v>
      </c>
      <c r="I332" s="3">
        <f t="shared" ca="1" si="38"/>
        <v>3.2597142909834474E-2</v>
      </c>
      <c r="J332" s="3">
        <f t="shared" ca="1" si="38"/>
        <v>3.5494226272794561E-2</v>
      </c>
      <c r="K332" s="3">
        <f t="shared" ca="1" si="38"/>
        <v>3.8209934499142555E-2</v>
      </c>
      <c r="L332" s="3">
        <f t="shared" ca="1" si="38"/>
        <v>3.7041119784018396E-2</v>
      </c>
    </row>
    <row r="333" spans="3:12">
      <c r="C333" s="7">
        <v>327</v>
      </c>
      <c r="D333" s="3">
        <f t="shared" si="37"/>
        <v>4.5199999999999997E-2</v>
      </c>
      <c r="E333" s="3">
        <f t="shared" ca="1" si="38"/>
        <v>4.1442349241440406E-2</v>
      </c>
      <c r="F333" s="3">
        <f t="shared" ca="1" si="38"/>
        <v>4.4099230548342402E-2</v>
      </c>
      <c r="G333" s="3">
        <f t="shared" ca="1" si="38"/>
        <v>4.6032833405006288E-2</v>
      </c>
      <c r="H333" s="3">
        <f t="shared" ca="1" si="38"/>
        <v>4.2094303588305834E-2</v>
      </c>
      <c r="I333" s="3">
        <f t="shared" ca="1" si="38"/>
        <v>4.4915390555645904E-2</v>
      </c>
      <c r="J333" s="3">
        <f t="shared" ca="1" si="38"/>
        <v>4.5425178102250822E-2</v>
      </c>
      <c r="K333" s="3">
        <f t="shared" ca="1" si="38"/>
        <v>5.5597931682352712E-2</v>
      </c>
      <c r="L333" s="3">
        <f t="shared" ca="1" si="38"/>
        <v>5.9134229600481904E-2</v>
      </c>
    </row>
    <row r="334" spans="3:12">
      <c r="C334" s="7">
        <v>328</v>
      </c>
      <c r="D334" s="3">
        <f t="shared" si="37"/>
        <v>4.5199999999999997E-2</v>
      </c>
      <c r="E334" s="3">
        <f t="shared" ca="1" si="38"/>
        <v>4.6231797206061916E-2</v>
      </c>
      <c r="F334" s="3">
        <f t="shared" ca="1" si="38"/>
        <v>3.9407570383499554E-2</v>
      </c>
      <c r="G334" s="3">
        <f t="shared" ca="1" si="38"/>
        <v>4.4437877839184362E-2</v>
      </c>
      <c r="H334" s="3">
        <f t="shared" ca="1" si="38"/>
        <v>5.0372041426685901E-2</v>
      </c>
      <c r="I334" s="3">
        <f t="shared" ca="1" si="38"/>
        <v>4.6718226006422836E-2</v>
      </c>
      <c r="J334" s="3">
        <f t="shared" ca="1" si="38"/>
        <v>5.0733244645752879E-2</v>
      </c>
      <c r="K334" s="3">
        <f t="shared" ca="1" si="38"/>
        <v>5.1359945904056181E-2</v>
      </c>
      <c r="L334" s="3">
        <f t="shared" ca="1" si="38"/>
        <v>6.0372805542153657E-2</v>
      </c>
    </row>
    <row r="335" spans="3:12">
      <c r="C335" s="7">
        <v>329</v>
      </c>
      <c r="D335" s="3">
        <f t="shared" si="37"/>
        <v>4.5199999999999997E-2</v>
      </c>
      <c r="E335" s="3">
        <f t="shared" ca="1" si="38"/>
        <v>5.4239905060573863E-2</v>
      </c>
      <c r="F335" s="3">
        <f t="shared" ca="1" si="38"/>
        <v>4.8111116277763911E-2</v>
      </c>
      <c r="G335" s="3">
        <f t="shared" ca="1" si="38"/>
        <v>5.3095221541102203E-2</v>
      </c>
      <c r="H335" s="3">
        <f t="shared" ca="1" si="38"/>
        <v>5.8878888759768454E-2</v>
      </c>
      <c r="I335" s="3">
        <f t="shared" ca="1" si="38"/>
        <v>6.1092447985888691E-2</v>
      </c>
      <c r="J335" s="3">
        <f t="shared" ca="1" si="38"/>
        <v>6.2355567440919676E-2</v>
      </c>
      <c r="K335" s="3">
        <f t="shared" ca="1" si="38"/>
        <v>6.3526879530694622E-2</v>
      </c>
      <c r="L335" s="3">
        <f t="shared" ca="1" si="38"/>
        <v>5.9933962992489598E-2</v>
      </c>
    </row>
    <row r="336" spans="3:12">
      <c r="C336" s="7">
        <v>330</v>
      </c>
      <c r="D336" s="3">
        <f t="shared" si="37"/>
        <v>4.5199999999999997E-2</v>
      </c>
      <c r="E336" s="3">
        <f t="shared" ca="1" si="38"/>
        <v>3.9648422606415316E-2</v>
      </c>
      <c r="F336" s="3">
        <f t="shared" ca="1" si="38"/>
        <v>4.2608039417113872E-2</v>
      </c>
      <c r="G336" s="3">
        <f t="shared" ca="1" si="38"/>
        <v>3.6353358399429929E-2</v>
      </c>
      <c r="H336" s="3">
        <f t="shared" ca="1" si="38"/>
        <v>4.3736602381471257E-2</v>
      </c>
      <c r="I336" s="3">
        <f t="shared" ca="1" si="38"/>
        <v>4.9206529574255857E-2</v>
      </c>
      <c r="J336" s="3">
        <f t="shared" ca="1" si="38"/>
        <v>4.7019394982637144E-2</v>
      </c>
      <c r="K336" s="3">
        <f t="shared" ca="1" si="38"/>
        <v>3.8568508799185559E-2</v>
      </c>
      <c r="L336" s="3">
        <f t="shared" ca="1" si="38"/>
        <v>5.0953977745360604E-2</v>
      </c>
    </row>
    <row r="337" spans="3:12">
      <c r="C337" s="7">
        <v>331</v>
      </c>
      <c r="D337" s="3">
        <f t="shared" si="37"/>
        <v>4.5199999999999997E-2</v>
      </c>
      <c r="E337" s="3">
        <f t="shared" ref="E337:L346" ca="1" si="39">D337+E$5*dt+sigma*_xlfn.NORM.S.INV(RAND())*SQRT(dt)</f>
        <v>3.4883450041552327E-2</v>
      </c>
      <c r="F337" s="3">
        <f t="shared" ca="1" si="39"/>
        <v>3.7435757200272812E-2</v>
      </c>
      <c r="G337" s="3">
        <f t="shared" ca="1" si="39"/>
        <v>3.0432875348120614E-2</v>
      </c>
      <c r="H337" s="3">
        <f t="shared" ca="1" si="39"/>
        <v>3.5503112416406732E-2</v>
      </c>
      <c r="I337" s="3">
        <f t="shared" ca="1" si="39"/>
        <v>3.124357503325512E-2</v>
      </c>
      <c r="J337" s="3">
        <f t="shared" ca="1" si="39"/>
        <v>3.6947139333284348E-2</v>
      </c>
      <c r="K337" s="3">
        <f t="shared" ca="1" si="39"/>
        <v>3.538215998136425E-2</v>
      </c>
      <c r="L337" s="3">
        <f t="shared" ca="1" si="39"/>
        <v>2.7947933366902045E-2</v>
      </c>
    </row>
    <row r="338" spans="3:12">
      <c r="C338" s="7">
        <v>332</v>
      </c>
      <c r="D338" s="3">
        <f t="shared" si="37"/>
        <v>4.5199999999999997E-2</v>
      </c>
      <c r="E338" s="3">
        <f t="shared" ca="1" si="39"/>
        <v>5.0885437898101162E-2</v>
      </c>
      <c r="F338" s="3">
        <f t="shared" ca="1" si="39"/>
        <v>4.2885233280776716E-2</v>
      </c>
      <c r="G338" s="3">
        <f t="shared" ca="1" si="39"/>
        <v>4.3324613374394298E-2</v>
      </c>
      <c r="H338" s="3">
        <f t="shared" ca="1" si="39"/>
        <v>5.3618373327991881E-2</v>
      </c>
      <c r="I338" s="3">
        <f t="shared" ca="1" si="39"/>
        <v>5.5460442856060922E-2</v>
      </c>
      <c r="J338" s="3">
        <f t="shared" ca="1" si="39"/>
        <v>5.706551893001436E-2</v>
      </c>
      <c r="K338" s="3">
        <f t="shared" ca="1" si="39"/>
        <v>6.8298422292819724E-2</v>
      </c>
      <c r="L338" s="3">
        <f t="shared" ca="1" si="39"/>
        <v>6.8461528134138541E-2</v>
      </c>
    </row>
    <row r="339" spans="3:12">
      <c r="C339" s="7">
        <v>333</v>
      </c>
      <c r="D339" s="3">
        <f t="shared" si="37"/>
        <v>4.5199999999999997E-2</v>
      </c>
      <c r="E339" s="3">
        <f t="shared" ca="1" si="39"/>
        <v>4.522851347429227E-2</v>
      </c>
      <c r="F339" s="3">
        <f t="shared" ca="1" si="39"/>
        <v>4.816443865248609E-2</v>
      </c>
      <c r="G339" s="3">
        <f t="shared" ca="1" si="39"/>
        <v>4.4757754542709215E-2</v>
      </c>
      <c r="H339" s="3">
        <f t="shared" ca="1" si="39"/>
        <v>4.5367950300297707E-2</v>
      </c>
      <c r="I339" s="3">
        <f t="shared" ca="1" si="39"/>
        <v>5.8408814593809533E-2</v>
      </c>
      <c r="J339" s="3">
        <f t="shared" ca="1" si="39"/>
        <v>5.9017259690943312E-2</v>
      </c>
      <c r="K339" s="3">
        <f t="shared" ca="1" si="39"/>
        <v>5.3687637608360456E-2</v>
      </c>
      <c r="L339" s="3">
        <f t="shared" ca="1" si="39"/>
        <v>5.9183479092181711E-2</v>
      </c>
    </row>
    <row r="340" spans="3:12">
      <c r="C340" s="7">
        <v>334</v>
      </c>
      <c r="D340" s="3">
        <f t="shared" si="37"/>
        <v>4.5199999999999997E-2</v>
      </c>
      <c r="E340" s="3">
        <f t="shared" ca="1" si="39"/>
        <v>4.5665981823864985E-2</v>
      </c>
      <c r="F340" s="3">
        <f t="shared" ca="1" si="39"/>
        <v>4.7274192108095886E-2</v>
      </c>
      <c r="G340" s="3">
        <f t="shared" ca="1" si="39"/>
        <v>4.9943961263379757E-2</v>
      </c>
      <c r="H340" s="3">
        <f t="shared" ca="1" si="39"/>
        <v>5.0424981766383319E-2</v>
      </c>
      <c r="I340" s="3">
        <f t="shared" ca="1" si="39"/>
        <v>4.4936754389971474E-2</v>
      </c>
      <c r="J340" s="3">
        <f t="shared" ca="1" si="39"/>
        <v>4.8398309847956678E-2</v>
      </c>
      <c r="K340" s="3">
        <f t="shared" ca="1" si="39"/>
        <v>5.6258211292270668E-2</v>
      </c>
      <c r="L340" s="3">
        <f t="shared" ca="1" si="39"/>
        <v>5.2268587865283739E-2</v>
      </c>
    </row>
    <row r="341" spans="3:12">
      <c r="C341" s="7">
        <v>335</v>
      </c>
      <c r="D341" s="3">
        <f t="shared" si="37"/>
        <v>4.5199999999999997E-2</v>
      </c>
      <c r="E341" s="3">
        <f t="shared" ca="1" si="39"/>
        <v>4.5076785898402368E-2</v>
      </c>
      <c r="F341" s="3">
        <f t="shared" ca="1" si="39"/>
        <v>5.612903259320022E-2</v>
      </c>
      <c r="G341" s="3">
        <f t="shared" ca="1" si="39"/>
        <v>5.9548765470370017E-2</v>
      </c>
      <c r="H341" s="3">
        <f t="shared" ca="1" si="39"/>
        <v>6.1578603196732702E-2</v>
      </c>
      <c r="I341" s="3">
        <f t="shared" ca="1" si="39"/>
        <v>5.7104159835342373E-2</v>
      </c>
      <c r="J341" s="3">
        <f t="shared" ca="1" si="39"/>
        <v>5.8919182650316489E-2</v>
      </c>
      <c r="K341" s="3">
        <f t="shared" ca="1" si="39"/>
        <v>5.9585843055943888E-2</v>
      </c>
      <c r="L341" s="3">
        <f t="shared" ca="1" si="39"/>
        <v>6.1422731823203326E-2</v>
      </c>
    </row>
    <row r="342" spans="3:12">
      <c r="C342" s="7">
        <v>336</v>
      </c>
      <c r="D342" s="3">
        <f t="shared" si="37"/>
        <v>4.5199999999999997E-2</v>
      </c>
      <c r="E342" s="3">
        <f t="shared" ca="1" si="39"/>
        <v>4.466571863786363E-2</v>
      </c>
      <c r="F342" s="3">
        <f t="shared" ca="1" si="39"/>
        <v>4.4556606648308149E-2</v>
      </c>
      <c r="G342" s="3">
        <f t="shared" ca="1" si="39"/>
        <v>5.0525495825323147E-2</v>
      </c>
      <c r="H342" s="3">
        <f t="shared" ca="1" si="39"/>
        <v>4.0208157261943461E-2</v>
      </c>
      <c r="I342" s="3">
        <f t="shared" ca="1" si="39"/>
        <v>4.8704270048410089E-2</v>
      </c>
      <c r="J342" s="3">
        <f t="shared" ca="1" si="39"/>
        <v>4.6095960532165803E-2</v>
      </c>
      <c r="K342" s="3">
        <f t="shared" ca="1" si="39"/>
        <v>5.0835954090680792E-2</v>
      </c>
      <c r="L342" s="3">
        <f t="shared" ca="1" si="39"/>
        <v>5.8495919333597664E-2</v>
      </c>
    </row>
    <row r="343" spans="3:12">
      <c r="C343" s="7">
        <v>337</v>
      </c>
      <c r="D343" s="3">
        <f t="shared" si="37"/>
        <v>4.5199999999999997E-2</v>
      </c>
      <c r="E343" s="3">
        <f t="shared" ca="1" si="39"/>
        <v>3.8192593777719518E-2</v>
      </c>
      <c r="F343" s="3">
        <f t="shared" ca="1" si="39"/>
        <v>4.001123988849762E-2</v>
      </c>
      <c r="G343" s="3">
        <f t="shared" ca="1" si="39"/>
        <v>4.2356793674524065E-2</v>
      </c>
      <c r="H343" s="3">
        <f t="shared" ca="1" si="39"/>
        <v>3.8512873141297484E-2</v>
      </c>
      <c r="I343" s="3">
        <f t="shared" ca="1" si="39"/>
        <v>3.806129795775462E-2</v>
      </c>
      <c r="J343" s="3">
        <f t="shared" ca="1" si="39"/>
        <v>4.078440889517871E-2</v>
      </c>
      <c r="K343" s="3">
        <f t="shared" ca="1" si="39"/>
        <v>5.1343217917690594E-2</v>
      </c>
      <c r="L343" s="3">
        <f t="shared" ca="1" si="39"/>
        <v>5.1982082549254197E-2</v>
      </c>
    </row>
    <row r="344" spans="3:12">
      <c r="C344" s="7">
        <v>338</v>
      </c>
      <c r="D344" s="3">
        <f t="shared" si="37"/>
        <v>4.5199999999999997E-2</v>
      </c>
      <c r="E344" s="3">
        <f t="shared" ca="1" si="39"/>
        <v>4.3143792525373266E-2</v>
      </c>
      <c r="F344" s="3">
        <f t="shared" ca="1" si="39"/>
        <v>3.9101698853594567E-2</v>
      </c>
      <c r="G344" s="3">
        <f t="shared" ca="1" si="39"/>
        <v>3.764990869636068E-2</v>
      </c>
      <c r="H344" s="3">
        <f t="shared" ca="1" si="39"/>
        <v>3.8496405275614161E-2</v>
      </c>
      <c r="I344" s="3">
        <f t="shared" ca="1" si="39"/>
        <v>3.9884648066077361E-2</v>
      </c>
      <c r="J344" s="3">
        <f t="shared" ca="1" si="39"/>
        <v>4.8503188649019827E-2</v>
      </c>
      <c r="K344" s="3">
        <f t="shared" ca="1" si="39"/>
        <v>4.788400912716493E-2</v>
      </c>
      <c r="L344" s="3">
        <f t="shared" ca="1" si="39"/>
        <v>6.4949559911158902E-2</v>
      </c>
    </row>
    <row r="345" spans="3:12">
      <c r="C345" s="7">
        <v>339</v>
      </c>
      <c r="D345" s="3">
        <f t="shared" si="37"/>
        <v>4.5199999999999997E-2</v>
      </c>
      <c r="E345" s="3">
        <f t="shared" ca="1" si="39"/>
        <v>4.0578084431871463E-2</v>
      </c>
      <c r="F345" s="3">
        <f t="shared" ca="1" si="39"/>
        <v>3.6847740599949511E-2</v>
      </c>
      <c r="G345" s="3">
        <f t="shared" ca="1" si="39"/>
        <v>3.978704939466314E-2</v>
      </c>
      <c r="H345" s="3">
        <f t="shared" ca="1" si="39"/>
        <v>4.181038963399656E-2</v>
      </c>
      <c r="I345" s="3">
        <f t="shared" ca="1" si="39"/>
        <v>4.7587918391611729E-2</v>
      </c>
      <c r="J345" s="3">
        <f t="shared" ca="1" si="39"/>
        <v>4.2145168067820524E-2</v>
      </c>
      <c r="K345" s="3">
        <f t="shared" ca="1" si="39"/>
        <v>4.9806585257618288E-2</v>
      </c>
      <c r="L345" s="3">
        <f t="shared" ca="1" si="39"/>
        <v>4.2339941362148595E-2</v>
      </c>
    </row>
    <row r="346" spans="3:12">
      <c r="C346" s="7">
        <v>340</v>
      </c>
      <c r="D346" s="3">
        <f t="shared" si="37"/>
        <v>4.5199999999999997E-2</v>
      </c>
      <c r="E346" s="3">
        <f t="shared" ca="1" si="39"/>
        <v>4.7422153072951612E-2</v>
      </c>
      <c r="F346" s="3">
        <f t="shared" ca="1" si="39"/>
        <v>4.7815183863704883E-2</v>
      </c>
      <c r="G346" s="3">
        <f t="shared" ca="1" si="39"/>
        <v>3.8623807024250167E-2</v>
      </c>
      <c r="H346" s="3">
        <f t="shared" ca="1" si="39"/>
        <v>3.9896344421222231E-2</v>
      </c>
      <c r="I346" s="3">
        <f t="shared" ca="1" si="39"/>
        <v>3.8162209210348991E-2</v>
      </c>
      <c r="J346" s="3">
        <f t="shared" ca="1" si="39"/>
        <v>3.2935616792498366E-2</v>
      </c>
      <c r="K346" s="3">
        <f t="shared" ca="1" si="39"/>
        <v>2.1944772492388409E-2</v>
      </c>
      <c r="L346" s="3">
        <f t="shared" ca="1" si="39"/>
        <v>2.4518851455987607E-2</v>
      </c>
    </row>
    <row r="347" spans="3:12">
      <c r="C347" s="7">
        <v>341</v>
      </c>
      <c r="D347" s="3">
        <f t="shared" si="37"/>
        <v>4.5199999999999997E-2</v>
      </c>
      <c r="E347" s="3">
        <f t="shared" ref="E347:L356" ca="1" si="40">D347+E$5*dt+sigma*_xlfn.NORM.S.INV(RAND())*SQRT(dt)</f>
        <v>5.2323619993867684E-2</v>
      </c>
      <c r="F347" s="3">
        <f t="shared" ca="1" si="40"/>
        <v>6.0328320660720719E-2</v>
      </c>
      <c r="G347" s="3">
        <f t="shared" ca="1" si="40"/>
        <v>6.852879483893734E-2</v>
      </c>
      <c r="H347" s="3">
        <f t="shared" ca="1" si="40"/>
        <v>7.0696390943798565E-2</v>
      </c>
      <c r="I347" s="3">
        <f t="shared" ca="1" si="40"/>
        <v>7.0309531484062146E-2</v>
      </c>
      <c r="J347" s="3">
        <f t="shared" ca="1" si="40"/>
        <v>7.0713090073047075E-2</v>
      </c>
      <c r="K347" s="3">
        <f t="shared" ca="1" si="40"/>
        <v>7.0213402347661963E-2</v>
      </c>
      <c r="L347" s="3">
        <f t="shared" ca="1" si="40"/>
        <v>7.2667674722027856E-2</v>
      </c>
    </row>
    <row r="348" spans="3:12">
      <c r="C348" s="7">
        <v>342</v>
      </c>
      <c r="D348" s="3">
        <f t="shared" si="37"/>
        <v>4.5199999999999997E-2</v>
      </c>
      <c r="E348" s="3">
        <f t="shared" ca="1" si="40"/>
        <v>4.600621822601212E-2</v>
      </c>
      <c r="F348" s="3">
        <f t="shared" ca="1" si="40"/>
        <v>5.2904887758376526E-2</v>
      </c>
      <c r="G348" s="3">
        <f t="shared" ca="1" si="40"/>
        <v>4.3538993013650953E-2</v>
      </c>
      <c r="H348" s="3">
        <f t="shared" ca="1" si="40"/>
        <v>4.5887710900691527E-2</v>
      </c>
      <c r="I348" s="3">
        <f t="shared" ca="1" si="40"/>
        <v>4.840328391031809E-2</v>
      </c>
      <c r="J348" s="3">
        <f t="shared" ca="1" si="40"/>
        <v>5.34754918725538E-2</v>
      </c>
      <c r="K348" s="3">
        <f t="shared" ca="1" si="40"/>
        <v>5.8999728534390929E-2</v>
      </c>
      <c r="L348" s="3">
        <f t="shared" ca="1" si="40"/>
        <v>5.829035916679956E-2</v>
      </c>
    </row>
    <row r="349" spans="3:12">
      <c r="C349" s="7">
        <v>343</v>
      </c>
      <c r="D349" s="3">
        <f t="shared" si="37"/>
        <v>4.5199999999999997E-2</v>
      </c>
      <c r="E349" s="3">
        <f t="shared" ca="1" si="40"/>
        <v>3.9932195443806308E-2</v>
      </c>
      <c r="F349" s="3">
        <f t="shared" ca="1" si="40"/>
        <v>3.7202807592255006E-2</v>
      </c>
      <c r="G349" s="3">
        <f t="shared" ca="1" si="40"/>
        <v>3.7148770329339942E-2</v>
      </c>
      <c r="H349" s="3">
        <f t="shared" ca="1" si="40"/>
        <v>2.7967299399598043E-2</v>
      </c>
      <c r="I349" s="3">
        <f t="shared" ca="1" si="40"/>
        <v>2.4686881193274147E-2</v>
      </c>
      <c r="J349" s="3">
        <f t="shared" ca="1" si="40"/>
        <v>2.5789158591963554E-2</v>
      </c>
      <c r="K349" s="3">
        <f t="shared" ca="1" si="40"/>
        <v>3.3405264360125107E-2</v>
      </c>
      <c r="L349" s="3">
        <f t="shared" ca="1" si="40"/>
        <v>2.803433115428813E-2</v>
      </c>
    </row>
    <row r="350" spans="3:12">
      <c r="C350" s="7">
        <v>344</v>
      </c>
      <c r="D350" s="3">
        <f t="shared" si="37"/>
        <v>4.5199999999999997E-2</v>
      </c>
      <c r="E350" s="3">
        <f t="shared" ca="1" si="40"/>
        <v>4.9213846616595204E-2</v>
      </c>
      <c r="F350" s="3">
        <f t="shared" ca="1" si="40"/>
        <v>4.9453762470166286E-2</v>
      </c>
      <c r="G350" s="3">
        <f t="shared" ca="1" si="40"/>
        <v>5.2296357766847434E-2</v>
      </c>
      <c r="H350" s="3">
        <f t="shared" ca="1" si="40"/>
        <v>5.07053066010427E-2</v>
      </c>
      <c r="I350" s="3">
        <f t="shared" ca="1" si="40"/>
        <v>5.7512738058874156E-2</v>
      </c>
      <c r="J350" s="3">
        <f t="shared" ca="1" si="40"/>
        <v>6.0104050358607213E-2</v>
      </c>
      <c r="K350" s="3">
        <f t="shared" ca="1" si="40"/>
        <v>5.6766299001562263E-2</v>
      </c>
      <c r="L350" s="3">
        <f t="shared" ca="1" si="40"/>
        <v>5.5835700755542242E-2</v>
      </c>
    </row>
    <row r="351" spans="3:12">
      <c r="C351" s="7">
        <v>345</v>
      </c>
      <c r="D351" s="3">
        <f t="shared" si="37"/>
        <v>4.5199999999999997E-2</v>
      </c>
      <c r="E351" s="3">
        <f t="shared" ca="1" si="40"/>
        <v>4.1431880676890728E-2</v>
      </c>
      <c r="F351" s="3">
        <f t="shared" ca="1" si="40"/>
        <v>3.5548118999904156E-2</v>
      </c>
      <c r="G351" s="3">
        <f t="shared" ca="1" si="40"/>
        <v>2.4219753681652759E-2</v>
      </c>
      <c r="H351" s="3">
        <f t="shared" ca="1" si="40"/>
        <v>2.1901001694449321E-2</v>
      </c>
      <c r="I351" s="3">
        <f t="shared" ca="1" si="40"/>
        <v>2.3750566360321839E-2</v>
      </c>
      <c r="J351" s="3">
        <f t="shared" ca="1" si="40"/>
        <v>1.8645621388367846E-2</v>
      </c>
      <c r="K351" s="3">
        <f t="shared" ca="1" si="40"/>
        <v>2.0258167612489178E-2</v>
      </c>
      <c r="L351" s="3">
        <f t="shared" ca="1" si="40"/>
        <v>2.7753910863652649E-2</v>
      </c>
    </row>
    <row r="352" spans="3:12">
      <c r="C352" s="7">
        <v>346</v>
      </c>
      <c r="D352" s="3">
        <f t="shared" si="37"/>
        <v>4.5199999999999997E-2</v>
      </c>
      <c r="E352" s="3">
        <f t="shared" ca="1" si="40"/>
        <v>4.8976791359251093E-2</v>
      </c>
      <c r="F352" s="3">
        <f t="shared" ca="1" si="40"/>
        <v>4.1660157742089352E-2</v>
      </c>
      <c r="G352" s="3">
        <f t="shared" ca="1" si="40"/>
        <v>4.8182180313549122E-2</v>
      </c>
      <c r="H352" s="3">
        <f t="shared" ca="1" si="40"/>
        <v>4.560157022506911E-2</v>
      </c>
      <c r="I352" s="3">
        <f t="shared" ca="1" si="40"/>
        <v>4.7297141206614504E-2</v>
      </c>
      <c r="J352" s="3">
        <f t="shared" ca="1" si="40"/>
        <v>4.4650613123411204E-2</v>
      </c>
      <c r="K352" s="3">
        <f t="shared" ca="1" si="40"/>
        <v>3.5489629180601036E-2</v>
      </c>
      <c r="L352" s="3">
        <f t="shared" ca="1" si="40"/>
        <v>3.8858413301475617E-2</v>
      </c>
    </row>
    <row r="353" spans="3:12">
      <c r="C353" s="7">
        <v>347</v>
      </c>
      <c r="D353" s="3">
        <f t="shared" si="37"/>
        <v>4.5199999999999997E-2</v>
      </c>
      <c r="E353" s="3">
        <f t="shared" ca="1" si="40"/>
        <v>4.5366401856192007E-2</v>
      </c>
      <c r="F353" s="3">
        <f t="shared" ca="1" si="40"/>
        <v>4.5226170365588139E-2</v>
      </c>
      <c r="G353" s="3">
        <f t="shared" ca="1" si="40"/>
        <v>4.5028154415867792E-2</v>
      </c>
      <c r="H353" s="3">
        <f t="shared" ca="1" si="40"/>
        <v>4.4154345304509166E-2</v>
      </c>
      <c r="I353" s="3">
        <f t="shared" ca="1" si="40"/>
        <v>4.236134872237015E-2</v>
      </c>
      <c r="J353" s="3">
        <f t="shared" ca="1" si="40"/>
        <v>4.1427619125031456E-2</v>
      </c>
      <c r="K353" s="3">
        <f t="shared" ca="1" si="40"/>
        <v>3.5489205025237266E-2</v>
      </c>
      <c r="L353" s="3">
        <f t="shared" ca="1" si="40"/>
        <v>3.3924342533211423E-2</v>
      </c>
    </row>
    <row r="354" spans="3:12">
      <c r="C354" s="7">
        <v>348</v>
      </c>
      <c r="D354" s="3">
        <f t="shared" si="37"/>
        <v>4.5199999999999997E-2</v>
      </c>
      <c r="E354" s="3">
        <f t="shared" ca="1" si="40"/>
        <v>4.5452862551974518E-2</v>
      </c>
      <c r="F354" s="3">
        <f t="shared" ca="1" si="40"/>
        <v>4.8888320934343844E-2</v>
      </c>
      <c r="G354" s="3">
        <f t="shared" ca="1" si="40"/>
        <v>5.7813029155957762E-2</v>
      </c>
      <c r="H354" s="3">
        <f t="shared" ca="1" si="40"/>
        <v>6.5545856385394785E-2</v>
      </c>
      <c r="I354" s="3">
        <f t="shared" ca="1" si="40"/>
        <v>6.2787318313487162E-2</v>
      </c>
      <c r="J354" s="3">
        <f t="shared" ca="1" si="40"/>
        <v>6.9406063236156876E-2</v>
      </c>
      <c r="K354" s="3">
        <f t="shared" ca="1" si="40"/>
        <v>6.6770891606015709E-2</v>
      </c>
      <c r="L354" s="3">
        <f t="shared" ca="1" si="40"/>
        <v>7.3309284945127479E-2</v>
      </c>
    </row>
    <row r="355" spans="3:12">
      <c r="C355" s="7">
        <v>349</v>
      </c>
      <c r="D355" s="3">
        <f t="shared" si="37"/>
        <v>4.5199999999999997E-2</v>
      </c>
      <c r="E355" s="3">
        <f t="shared" ca="1" si="40"/>
        <v>4.4471481673989705E-2</v>
      </c>
      <c r="F355" s="3">
        <f t="shared" ca="1" si="40"/>
        <v>4.5269206552708233E-2</v>
      </c>
      <c r="G355" s="3">
        <f t="shared" ca="1" si="40"/>
        <v>5.1106128803010006E-2</v>
      </c>
      <c r="H355" s="3">
        <f t="shared" ca="1" si="40"/>
        <v>5.450619918592424E-2</v>
      </c>
      <c r="I355" s="3">
        <f t="shared" ca="1" si="40"/>
        <v>4.9759516029560316E-2</v>
      </c>
      <c r="J355" s="3">
        <f t="shared" ca="1" si="40"/>
        <v>6.0408105387034589E-2</v>
      </c>
      <c r="K355" s="3">
        <f t="shared" ca="1" si="40"/>
        <v>6.0798166270814642E-2</v>
      </c>
      <c r="L355" s="3">
        <f t="shared" ca="1" si="40"/>
        <v>6.0401499867700152E-2</v>
      </c>
    </row>
    <row r="356" spans="3:12">
      <c r="C356" s="7">
        <v>350</v>
      </c>
      <c r="D356" s="3">
        <f t="shared" si="37"/>
        <v>4.5199999999999997E-2</v>
      </c>
      <c r="E356" s="3">
        <f t="shared" ca="1" si="40"/>
        <v>5.6213688779163627E-2</v>
      </c>
      <c r="F356" s="3">
        <f t="shared" ca="1" si="40"/>
        <v>6.6045094244290198E-2</v>
      </c>
      <c r="G356" s="3">
        <f t="shared" ca="1" si="40"/>
        <v>6.7319341234371458E-2</v>
      </c>
      <c r="H356" s="3">
        <f t="shared" ca="1" si="40"/>
        <v>7.3839302770467671E-2</v>
      </c>
      <c r="I356" s="3">
        <f t="shared" ca="1" si="40"/>
        <v>7.1390059999466376E-2</v>
      </c>
      <c r="J356" s="3">
        <f t="shared" ca="1" si="40"/>
        <v>6.300974069508003E-2</v>
      </c>
      <c r="K356" s="3">
        <f t="shared" ca="1" si="40"/>
        <v>6.3966590295126427E-2</v>
      </c>
      <c r="L356" s="3">
        <f t="shared" ca="1" si="40"/>
        <v>6.9322136833593798E-2</v>
      </c>
    </row>
    <row r="357" spans="3:12">
      <c r="C357" s="7">
        <v>351</v>
      </c>
      <c r="D357" s="3">
        <f t="shared" si="37"/>
        <v>4.5199999999999997E-2</v>
      </c>
      <c r="E357" s="3">
        <f t="shared" ref="E357:L366" ca="1" si="41">D357+E$5*dt+sigma*_xlfn.NORM.S.INV(RAND())*SQRT(dt)</f>
        <v>4.6851138097883015E-2</v>
      </c>
      <c r="F357" s="3">
        <f t="shared" ca="1" si="41"/>
        <v>6.0992223176048369E-2</v>
      </c>
      <c r="G357" s="3">
        <f t="shared" ca="1" si="41"/>
        <v>6.6627814717730549E-2</v>
      </c>
      <c r="H357" s="3">
        <f t="shared" ca="1" si="41"/>
        <v>6.1031543988328579E-2</v>
      </c>
      <c r="I357" s="3">
        <f t="shared" ca="1" si="41"/>
        <v>6.6555072208887442E-2</v>
      </c>
      <c r="J357" s="3">
        <f t="shared" ca="1" si="41"/>
        <v>7.2061841428190235E-2</v>
      </c>
      <c r="K357" s="3">
        <f t="shared" ca="1" si="41"/>
        <v>7.0548604966851919E-2</v>
      </c>
      <c r="L357" s="3">
        <f t="shared" ca="1" si="41"/>
        <v>7.0483875717038999E-2</v>
      </c>
    </row>
    <row r="358" spans="3:12">
      <c r="C358" s="7">
        <v>352</v>
      </c>
      <c r="D358" s="3">
        <f t="shared" si="37"/>
        <v>4.5199999999999997E-2</v>
      </c>
      <c r="E358" s="3">
        <f t="shared" ca="1" si="41"/>
        <v>4.1468262015534323E-2</v>
      </c>
      <c r="F358" s="3">
        <f t="shared" ca="1" si="41"/>
        <v>4.2352808916443128E-2</v>
      </c>
      <c r="G358" s="3">
        <f t="shared" ca="1" si="41"/>
        <v>4.7756519084154611E-2</v>
      </c>
      <c r="H358" s="3">
        <f t="shared" ca="1" si="41"/>
        <v>4.8549126998680879E-2</v>
      </c>
      <c r="I358" s="3">
        <f t="shared" ca="1" si="41"/>
        <v>4.2647503150813476E-2</v>
      </c>
      <c r="J358" s="3">
        <f t="shared" ca="1" si="41"/>
        <v>4.1401232698951199E-2</v>
      </c>
      <c r="K358" s="3">
        <f t="shared" ca="1" si="41"/>
        <v>4.6882896205457991E-2</v>
      </c>
      <c r="L358" s="3">
        <f t="shared" ca="1" si="41"/>
        <v>4.1016729853105616E-2</v>
      </c>
    </row>
    <row r="359" spans="3:12">
      <c r="C359" s="7">
        <v>353</v>
      </c>
      <c r="D359" s="3">
        <f t="shared" si="37"/>
        <v>4.5199999999999997E-2</v>
      </c>
      <c r="E359" s="3">
        <f t="shared" ca="1" si="41"/>
        <v>4.1601767722788403E-2</v>
      </c>
      <c r="F359" s="3">
        <f t="shared" ca="1" si="41"/>
        <v>4.2633326545989496E-2</v>
      </c>
      <c r="G359" s="3">
        <f t="shared" ca="1" si="41"/>
        <v>3.5282507738860124E-2</v>
      </c>
      <c r="H359" s="3">
        <f t="shared" ca="1" si="41"/>
        <v>3.5230097307219661E-2</v>
      </c>
      <c r="I359" s="3">
        <f t="shared" ca="1" si="41"/>
        <v>3.7464273289412521E-2</v>
      </c>
      <c r="J359" s="3">
        <f t="shared" ca="1" si="41"/>
        <v>4.8287526053046051E-2</v>
      </c>
      <c r="K359" s="3">
        <f t="shared" ca="1" si="41"/>
        <v>5.3627978510941407E-2</v>
      </c>
      <c r="L359" s="3">
        <f t="shared" ca="1" si="41"/>
        <v>6.403359343515086E-2</v>
      </c>
    </row>
    <row r="360" spans="3:12">
      <c r="C360" s="7">
        <v>354</v>
      </c>
      <c r="D360" s="3">
        <f t="shared" si="37"/>
        <v>4.5199999999999997E-2</v>
      </c>
      <c r="E360" s="3">
        <f t="shared" ca="1" si="41"/>
        <v>4.3924476325103455E-2</v>
      </c>
      <c r="F360" s="3">
        <f t="shared" ca="1" si="41"/>
        <v>5.0704982241250238E-2</v>
      </c>
      <c r="G360" s="3">
        <f t="shared" ca="1" si="41"/>
        <v>4.4467666944754444E-2</v>
      </c>
      <c r="H360" s="3">
        <f t="shared" ca="1" si="41"/>
        <v>4.3536053057071533E-2</v>
      </c>
      <c r="I360" s="3">
        <f t="shared" ca="1" si="41"/>
        <v>4.0911819635202018E-2</v>
      </c>
      <c r="J360" s="3">
        <f t="shared" ca="1" si="41"/>
        <v>5.0156538360692074E-2</v>
      </c>
      <c r="K360" s="3">
        <f t="shared" ca="1" si="41"/>
        <v>4.3783101790012137E-2</v>
      </c>
      <c r="L360" s="3">
        <f t="shared" ca="1" si="41"/>
        <v>4.4432494574953636E-2</v>
      </c>
    </row>
    <row r="361" spans="3:12">
      <c r="C361" s="7">
        <v>355</v>
      </c>
      <c r="D361" s="3">
        <f t="shared" si="37"/>
        <v>4.5199999999999997E-2</v>
      </c>
      <c r="E361" s="3">
        <f t="shared" ca="1" si="41"/>
        <v>4.248553291239518E-2</v>
      </c>
      <c r="F361" s="3">
        <f t="shared" ca="1" si="41"/>
        <v>4.5462180211415751E-2</v>
      </c>
      <c r="G361" s="3">
        <f t="shared" ca="1" si="41"/>
        <v>4.6666684586245753E-2</v>
      </c>
      <c r="H361" s="3">
        <f t="shared" ca="1" si="41"/>
        <v>4.4367724544531577E-2</v>
      </c>
      <c r="I361" s="3">
        <f t="shared" ca="1" si="41"/>
        <v>4.5885723958197171E-2</v>
      </c>
      <c r="J361" s="3">
        <f t="shared" ca="1" si="41"/>
        <v>4.7035033501669425E-2</v>
      </c>
      <c r="K361" s="3">
        <f t="shared" ca="1" si="41"/>
        <v>4.4413145743494975E-2</v>
      </c>
      <c r="L361" s="3">
        <f t="shared" ca="1" si="41"/>
        <v>5.0621430152427677E-2</v>
      </c>
    </row>
    <row r="362" spans="3:12">
      <c r="C362" s="7">
        <v>356</v>
      </c>
      <c r="D362" s="3">
        <f t="shared" si="37"/>
        <v>4.5199999999999997E-2</v>
      </c>
      <c r="E362" s="3">
        <f t="shared" ca="1" si="41"/>
        <v>4.39728040476823E-2</v>
      </c>
      <c r="F362" s="3">
        <f t="shared" ca="1" si="41"/>
        <v>4.3116053646076132E-2</v>
      </c>
      <c r="G362" s="3">
        <f t="shared" ca="1" si="41"/>
        <v>4.3520334372051425E-2</v>
      </c>
      <c r="H362" s="3">
        <f t="shared" ca="1" si="41"/>
        <v>3.4125082716068483E-2</v>
      </c>
      <c r="I362" s="3">
        <f t="shared" ca="1" si="41"/>
        <v>3.911128538995285E-2</v>
      </c>
      <c r="J362" s="3">
        <f t="shared" ca="1" si="41"/>
        <v>3.655488792707632E-2</v>
      </c>
      <c r="K362" s="3">
        <f t="shared" ca="1" si="41"/>
        <v>2.8931524552478771E-2</v>
      </c>
      <c r="L362" s="3">
        <f t="shared" ca="1" si="41"/>
        <v>2.4932336103438389E-2</v>
      </c>
    </row>
    <row r="363" spans="3:12">
      <c r="C363" s="7">
        <v>357</v>
      </c>
      <c r="D363" s="3">
        <f t="shared" si="37"/>
        <v>4.5199999999999997E-2</v>
      </c>
      <c r="E363" s="3">
        <f t="shared" ca="1" si="41"/>
        <v>3.2817976001047793E-2</v>
      </c>
      <c r="F363" s="3">
        <f t="shared" ca="1" si="41"/>
        <v>3.1568516142831946E-2</v>
      </c>
      <c r="G363" s="3">
        <f t="shared" ca="1" si="41"/>
        <v>2.6956955384712475E-2</v>
      </c>
      <c r="H363" s="3">
        <f t="shared" ca="1" si="41"/>
        <v>3.2978019106661503E-2</v>
      </c>
      <c r="I363" s="3">
        <f t="shared" ca="1" si="41"/>
        <v>3.0841623305519202E-2</v>
      </c>
      <c r="J363" s="3">
        <f t="shared" ca="1" si="41"/>
        <v>3.6199094436782979E-2</v>
      </c>
      <c r="K363" s="3">
        <f t="shared" ca="1" si="41"/>
        <v>3.8323398875483035E-2</v>
      </c>
      <c r="L363" s="3">
        <f t="shared" ca="1" si="41"/>
        <v>4.5777349007212038E-2</v>
      </c>
    </row>
    <row r="364" spans="3:12">
      <c r="C364" s="7">
        <v>358</v>
      </c>
      <c r="D364" s="3">
        <f t="shared" si="37"/>
        <v>4.5199999999999997E-2</v>
      </c>
      <c r="E364" s="3">
        <f t="shared" ca="1" si="41"/>
        <v>3.4171398300324077E-2</v>
      </c>
      <c r="F364" s="3">
        <f t="shared" ca="1" si="41"/>
        <v>3.6741138964960597E-2</v>
      </c>
      <c r="G364" s="3">
        <f t="shared" ca="1" si="41"/>
        <v>3.8841994848046513E-2</v>
      </c>
      <c r="H364" s="3">
        <f t="shared" ca="1" si="41"/>
        <v>3.6183653025680357E-2</v>
      </c>
      <c r="I364" s="3">
        <f t="shared" ca="1" si="41"/>
        <v>2.9294189474480328E-2</v>
      </c>
      <c r="J364" s="3">
        <f t="shared" ca="1" si="41"/>
        <v>2.9166980140444981E-2</v>
      </c>
      <c r="K364" s="3">
        <f t="shared" ca="1" si="41"/>
        <v>2.0806672458643399E-2</v>
      </c>
      <c r="L364" s="3">
        <f t="shared" ca="1" si="41"/>
        <v>2.2308310133476606E-2</v>
      </c>
    </row>
    <row r="365" spans="3:12">
      <c r="C365" s="7">
        <v>359</v>
      </c>
      <c r="D365" s="3">
        <f t="shared" si="37"/>
        <v>4.5199999999999997E-2</v>
      </c>
      <c r="E365" s="3">
        <f t="shared" ca="1" si="41"/>
        <v>4.6818082092021686E-2</v>
      </c>
      <c r="F365" s="3">
        <f t="shared" ca="1" si="41"/>
        <v>4.947175639462173E-2</v>
      </c>
      <c r="G365" s="3">
        <f t="shared" ca="1" si="41"/>
        <v>4.5052192572149895E-2</v>
      </c>
      <c r="H365" s="3">
        <f t="shared" ca="1" si="41"/>
        <v>4.553260297786843E-2</v>
      </c>
      <c r="I365" s="3">
        <f t="shared" ca="1" si="41"/>
        <v>4.3874630150764538E-2</v>
      </c>
      <c r="J365" s="3">
        <f t="shared" ca="1" si="41"/>
        <v>3.871493337104593E-2</v>
      </c>
      <c r="K365" s="3">
        <f t="shared" ca="1" si="41"/>
        <v>4.5971608904123315E-2</v>
      </c>
      <c r="L365" s="3">
        <f t="shared" ca="1" si="41"/>
        <v>4.8651642418767488E-2</v>
      </c>
    </row>
    <row r="366" spans="3:12">
      <c r="C366" s="7">
        <v>360</v>
      </c>
      <c r="D366" s="3">
        <f t="shared" si="37"/>
        <v>4.5199999999999997E-2</v>
      </c>
      <c r="E366" s="3">
        <f t="shared" ca="1" si="41"/>
        <v>4.848480074946375E-2</v>
      </c>
      <c r="F366" s="3">
        <f t="shared" ca="1" si="41"/>
        <v>4.4526212311589534E-2</v>
      </c>
      <c r="G366" s="3">
        <f t="shared" ca="1" si="41"/>
        <v>4.0899036421345847E-2</v>
      </c>
      <c r="H366" s="3">
        <f t="shared" ca="1" si="41"/>
        <v>3.9343680023168882E-2</v>
      </c>
      <c r="I366" s="3">
        <f t="shared" ca="1" si="41"/>
        <v>3.424498503587256E-2</v>
      </c>
      <c r="J366" s="3">
        <f t="shared" ca="1" si="41"/>
        <v>3.4033779327740085E-2</v>
      </c>
      <c r="K366" s="3">
        <f t="shared" ca="1" si="41"/>
        <v>3.1324105698811104E-2</v>
      </c>
      <c r="L366" s="3">
        <f t="shared" ca="1" si="41"/>
        <v>3.7981151318015827E-2</v>
      </c>
    </row>
    <row r="367" spans="3:12">
      <c r="C367" s="7">
        <v>361</v>
      </c>
      <c r="D367" s="3">
        <f t="shared" si="37"/>
        <v>4.5199999999999997E-2</v>
      </c>
      <c r="E367" s="3">
        <f t="shared" ref="E367:L376" ca="1" si="42">D367+E$5*dt+sigma*_xlfn.NORM.S.INV(RAND())*SQRT(dt)</f>
        <v>4.1880679309301547E-2</v>
      </c>
      <c r="F367" s="3">
        <f t="shared" ca="1" si="42"/>
        <v>4.7688207371080905E-2</v>
      </c>
      <c r="G367" s="3">
        <f t="shared" ca="1" si="42"/>
        <v>4.7858862767300274E-2</v>
      </c>
      <c r="H367" s="3">
        <f t="shared" ca="1" si="42"/>
        <v>4.589163910749474E-2</v>
      </c>
      <c r="I367" s="3">
        <f t="shared" ca="1" si="42"/>
        <v>4.4339909050151373E-2</v>
      </c>
      <c r="J367" s="3">
        <f t="shared" ca="1" si="42"/>
        <v>4.29382655317136E-2</v>
      </c>
      <c r="K367" s="3">
        <f t="shared" ca="1" si="42"/>
        <v>4.9417333104845459E-2</v>
      </c>
      <c r="L367" s="3">
        <f t="shared" ca="1" si="42"/>
        <v>5.0935822432317091E-2</v>
      </c>
    </row>
    <row r="368" spans="3:12">
      <c r="C368" s="7">
        <v>362</v>
      </c>
      <c r="D368" s="3">
        <f t="shared" si="37"/>
        <v>4.5199999999999997E-2</v>
      </c>
      <c r="E368" s="3">
        <f t="shared" ca="1" si="42"/>
        <v>4.8118642898791475E-2</v>
      </c>
      <c r="F368" s="3">
        <f t="shared" ca="1" si="42"/>
        <v>4.4814169778864148E-2</v>
      </c>
      <c r="G368" s="3">
        <f t="shared" ca="1" si="42"/>
        <v>4.7169817805791492E-2</v>
      </c>
      <c r="H368" s="3">
        <f t="shared" ca="1" si="42"/>
        <v>4.8797894612676737E-2</v>
      </c>
      <c r="I368" s="3">
        <f t="shared" ca="1" si="42"/>
        <v>4.8726098853112756E-2</v>
      </c>
      <c r="J368" s="3">
        <f t="shared" ca="1" si="42"/>
        <v>4.8095531315037209E-2</v>
      </c>
      <c r="K368" s="3">
        <f t="shared" ca="1" si="42"/>
        <v>4.6479167477277782E-2</v>
      </c>
      <c r="L368" s="3">
        <f t="shared" ca="1" si="42"/>
        <v>5.3364760854991304E-2</v>
      </c>
    </row>
    <row r="369" spans="3:12">
      <c r="C369" s="7">
        <v>363</v>
      </c>
      <c r="D369" s="3">
        <f t="shared" si="37"/>
        <v>4.5199999999999997E-2</v>
      </c>
      <c r="E369" s="3">
        <f t="shared" ca="1" si="42"/>
        <v>3.9508323037867173E-2</v>
      </c>
      <c r="F369" s="3">
        <f t="shared" ca="1" si="42"/>
        <v>4.1368684173022814E-2</v>
      </c>
      <c r="G369" s="3">
        <f t="shared" ca="1" si="42"/>
        <v>4.1918239947846561E-2</v>
      </c>
      <c r="H369" s="3">
        <f t="shared" ca="1" si="42"/>
        <v>4.6423040196737479E-2</v>
      </c>
      <c r="I369" s="3">
        <f t="shared" ca="1" si="42"/>
        <v>4.9450045661369992E-2</v>
      </c>
      <c r="J369" s="3">
        <f t="shared" ca="1" si="42"/>
        <v>5.7324126054659169E-2</v>
      </c>
      <c r="K369" s="3">
        <f t="shared" ca="1" si="42"/>
        <v>5.9119053417237423E-2</v>
      </c>
      <c r="L369" s="3">
        <f t="shared" ca="1" si="42"/>
        <v>6.2722696289509716E-2</v>
      </c>
    </row>
    <row r="370" spans="3:12">
      <c r="C370" s="7">
        <v>364</v>
      </c>
      <c r="D370" s="3">
        <f t="shared" si="37"/>
        <v>4.5199999999999997E-2</v>
      </c>
      <c r="E370" s="3">
        <f t="shared" ca="1" si="42"/>
        <v>4.1649035249238124E-2</v>
      </c>
      <c r="F370" s="3">
        <f t="shared" ca="1" si="42"/>
        <v>4.5462637654135739E-2</v>
      </c>
      <c r="G370" s="3">
        <f t="shared" ca="1" si="42"/>
        <v>4.346791096429229E-2</v>
      </c>
      <c r="H370" s="3">
        <f t="shared" ca="1" si="42"/>
        <v>4.2398956464840876E-2</v>
      </c>
      <c r="I370" s="3">
        <f t="shared" ca="1" si="42"/>
        <v>4.1945234580348274E-2</v>
      </c>
      <c r="J370" s="3">
        <f t="shared" ca="1" si="42"/>
        <v>5.0304796344173598E-2</v>
      </c>
      <c r="K370" s="3">
        <f t="shared" ca="1" si="42"/>
        <v>4.796124731759531E-2</v>
      </c>
      <c r="L370" s="3">
        <f t="shared" ca="1" si="42"/>
        <v>5.2428248432034849E-2</v>
      </c>
    </row>
    <row r="371" spans="3:12">
      <c r="C371" s="7">
        <v>365</v>
      </c>
      <c r="D371" s="3">
        <f t="shared" si="37"/>
        <v>4.5199999999999997E-2</v>
      </c>
      <c r="E371" s="3">
        <f t="shared" ca="1" si="42"/>
        <v>4.4903686766756844E-2</v>
      </c>
      <c r="F371" s="3">
        <f t="shared" ca="1" si="42"/>
        <v>4.7750817456729024E-2</v>
      </c>
      <c r="G371" s="3">
        <f t="shared" ca="1" si="42"/>
        <v>5.2011342548255075E-2</v>
      </c>
      <c r="H371" s="3">
        <f t="shared" ca="1" si="42"/>
        <v>5.0417957052642466E-2</v>
      </c>
      <c r="I371" s="3">
        <f t="shared" ca="1" si="42"/>
        <v>4.9909112999279553E-2</v>
      </c>
      <c r="J371" s="3">
        <f t="shared" ca="1" si="42"/>
        <v>5.3146237108910081E-2</v>
      </c>
      <c r="K371" s="3">
        <f t="shared" ca="1" si="42"/>
        <v>4.4029902420590857E-2</v>
      </c>
      <c r="L371" s="3">
        <f t="shared" ca="1" si="42"/>
        <v>4.6387075783648986E-2</v>
      </c>
    </row>
    <row r="372" spans="3:12">
      <c r="C372" s="7">
        <v>366</v>
      </c>
      <c r="D372" s="3">
        <f t="shared" si="37"/>
        <v>4.5199999999999997E-2</v>
      </c>
      <c r="E372" s="3">
        <f t="shared" ca="1" si="42"/>
        <v>4.2586220805660241E-2</v>
      </c>
      <c r="F372" s="3">
        <f t="shared" ca="1" si="42"/>
        <v>3.8587817369135344E-2</v>
      </c>
      <c r="G372" s="3">
        <f t="shared" ca="1" si="42"/>
        <v>3.8019156295668988E-2</v>
      </c>
      <c r="H372" s="3">
        <f t="shared" ca="1" si="42"/>
        <v>3.8732328102879791E-2</v>
      </c>
      <c r="I372" s="3">
        <f t="shared" ca="1" si="42"/>
        <v>4.052659861043395E-2</v>
      </c>
      <c r="J372" s="3">
        <f t="shared" ca="1" si="42"/>
        <v>4.5650936963526415E-2</v>
      </c>
      <c r="K372" s="3">
        <f t="shared" ca="1" si="42"/>
        <v>3.7758022079547697E-2</v>
      </c>
      <c r="L372" s="3">
        <f t="shared" ca="1" si="42"/>
        <v>3.506543591905921E-2</v>
      </c>
    </row>
    <row r="373" spans="3:12">
      <c r="C373" s="7">
        <v>367</v>
      </c>
      <c r="D373" s="3">
        <f t="shared" si="37"/>
        <v>4.5199999999999997E-2</v>
      </c>
      <c r="E373" s="3">
        <f t="shared" ca="1" si="42"/>
        <v>4.3685469026676589E-2</v>
      </c>
      <c r="F373" s="3">
        <f t="shared" ca="1" si="42"/>
        <v>4.439085298760196E-2</v>
      </c>
      <c r="G373" s="3">
        <f t="shared" ca="1" si="42"/>
        <v>4.4139663546844052E-2</v>
      </c>
      <c r="H373" s="3">
        <f t="shared" ca="1" si="42"/>
        <v>4.0977280302828642E-2</v>
      </c>
      <c r="I373" s="3">
        <f t="shared" ca="1" si="42"/>
        <v>4.301584139385798E-2</v>
      </c>
      <c r="J373" s="3">
        <f t="shared" ca="1" si="42"/>
        <v>5.050387784067379E-2</v>
      </c>
      <c r="K373" s="3">
        <f t="shared" ca="1" si="42"/>
        <v>5.2593303008292999E-2</v>
      </c>
      <c r="L373" s="3">
        <f t="shared" ca="1" si="42"/>
        <v>5.7131267388532053E-2</v>
      </c>
    </row>
    <row r="374" spans="3:12">
      <c r="C374" s="7">
        <v>368</v>
      </c>
      <c r="D374" s="3">
        <f t="shared" si="37"/>
        <v>4.5199999999999997E-2</v>
      </c>
      <c r="E374" s="3">
        <f t="shared" ca="1" si="42"/>
        <v>3.8735927010524598E-2</v>
      </c>
      <c r="F374" s="3">
        <f t="shared" ca="1" si="42"/>
        <v>4.2104018420809949E-2</v>
      </c>
      <c r="G374" s="3">
        <f t="shared" ca="1" si="42"/>
        <v>3.9587952026886412E-2</v>
      </c>
      <c r="H374" s="3">
        <f t="shared" ca="1" si="42"/>
        <v>5.0880293494154308E-2</v>
      </c>
      <c r="I374" s="3">
        <f t="shared" ca="1" si="42"/>
        <v>5.013236655892727E-2</v>
      </c>
      <c r="J374" s="3">
        <f t="shared" ca="1" si="42"/>
        <v>5.8043074022654406E-2</v>
      </c>
      <c r="K374" s="3">
        <f t="shared" ca="1" si="42"/>
        <v>5.4694349581429602E-2</v>
      </c>
      <c r="L374" s="3">
        <f t="shared" ca="1" si="42"/>
        <v>5.6652682134053875E-2</v>
      </c>
    </row>
    <row r="375" spans="3:12">
      <c r="C375" s="7">
        <v>369</v>
      </c>
      <c r="D375" s="3">
        <f t="shared" si="37"/>
        <v>4.5199999999999997E-2</v>
      </c>
      <c r="E375" s="3">
        <f t="shared" ca="1" si="42"/>
        <v>4.8972128603588162E-2</v>
      </c>
      <c r="F375" s="3">
        <f t="shared" ca="1" si="42"/>
        <v>5.4301723772203409E-2</v>
      </c>
      <c r="G375" s="3">
        <f t="shared" ca="1" si="42"/>
        <v>5.1207350750577356E-2</v>
      </c>
      <c r="H375" s="3">
        <f t="shared" ca="1" si="42"/>
        <v>5.7397257388997654E-2</v>
      </c>
      <c r="I375" s="3">
        <f t="shared" ca="1" si="42"/>
        <v>5.1839252372648068E-2</v>
      </c>
      <c r="J375" s="3">
        <f t="shared" ca="1" si="42"/>
        <v>5.0761968449081568E-2</v>
      </c>
      <c r="K375" s="3">
        <f t="shared" ca="1" si="42"/>
        <v>5.1119543444936043E-2</v>
      </c>
      <c r="L375" s="3">
        <f t="shared" ca="1" si="42"/>
        <v>5.3779732584878837E-2</v>
      </c>
    </row>
    <row r="376" spans="3:12">
      <c r="C376" s="7">
        <v>370</v>
      </c>
      <c r="D376" s="3">
        <f t="shared" si="37"/>
        <v>4.5199999999999997E-2</v>
      </c>
      <c r="E376" s="3">
        <f t="shared" ca="1" si="42"/>
        <v>4.1071799823934836E-2</v>
      </c>
      <c r="F376" s="3">
        <f t="shared" ca="1" si="42"/>
        <v>5.0579273326753799E-2</v>
      </c>
      <c r="G376" s="3">
        <f t="shared" ca="1" si="42"/>
        <v>5.5988217781586858E-2</v>
      </c>
      <c r="H376" s="3">
        <f t="shared" ca="1" si="42"/>
        <v>6.2938328242526792E-2</v>
      </c>
      <c r="I376" s="3">
        <f t="shared" ca="1" si="42"/>
        <v>6.1060663329432191E-2</v>
      </c>
      <c r="J376" s="3">
        <f t="shared" ca="1" si="42"/>
        <v>6.2902936949161603E-2</v>
      </c>
      <c r="K376" s="3">
        <f t="shared" ca="1" si="42"/>
        <v>7.1836860111441664E-2</v>
      </c>
      <c r="L376" s="3">
        <f t="shared" ca="1" si="42"/>
        <v>7.4627108662003144E-2</v>
      </c>
    </row>
    <row r="377" spans="3:12">
      <c r="C377" s="7">
        <v>371</v>
      </c>
      <c r="D377" s="3">
        <f t="shared" si="37"/>
        <v>4.5199999999999997E-2</v>
      </c>
      <c r="E377" s="3">
        <f t="shared" ref="E377:L386" ca="1" si="43">D377+E$5*dt+sigma*_xlfn.NORM.S.INV(RAND())*SQRT(dt)</f>
        <v>5.2355002122660234E-2</v>
      </c>
      <c r="F377" s="3">
        <f t="shared" ca="1" si="43"/>
        <v>5.1681062645866332E-2</v>
      </c>
      <c r="G377" s="3">
        <f t="shared" ca="1" si="43"/>
        <v>5.1657723822288643E-2</v>
      </c>
      <c r="H377" s="3">
        <f t="shared" ca="1" si="43"/>
        <v>5.8218216538140598E-2</v>
      </c>
      <c r="I377" s="3">
        <f t="shared" ca="1" si="43"/>
        <v>5.0913734881872272E-2</v>
      </c>
      <c r="J377" s="3">
        <f t="shared" ca="1" si="43"/>
        <v>5.092273187190486E-2</v>
      </c>
      <c r="K377" s="3">
        <f t="shared" ca="1" si="43"/>
        <v>4.9443723395854934E-2</v>
      </c>
      <c r="L377" s="3">
        <f t="shared" ca="1" si="43"/>
        <v>4.6136535183091312E-2</v>
      </c>
    </row>
    <row r="378" spans="3:12">
      <c r="C378" s="7">
        <v>372</v>
      </c>
      <c r="D378" s="3">
        <f t="shared" si="37"/>
        <v>4.5199999999999997E-2</v>
      </c>
      <c r="E378" s="3">
        <f t="shared" ca="1" si="43"/>
        <v>5.1999401301237022E-2</v>
      </c>
      <c r="F378" s="3">
        <f t="shared" ca="1" si="43"/>
        <v>5.1243692981407005E-2</v>
      </c>
      <c r="G378" s="3">
        <f t="shared" ca="1" si="43"/>
        <v>4.8833863912034252E-2</v>
      </c>
      <c r="H378" s="3">
        <f t="shared" ca="1" si="43"/>
        <v>4.8959719655366309E-2</v>
      </c>
      <c r="I378" s="3">
        <f t="shared" ca="1" si="43"/>
        <v>4.944506380862726E-2</v>
      </c>
      <c r="J378" s="3">
        <f t="shared" ca="1" si="43"/>
        <v>5.0172208445251498E-2</v>
      </c>
      <c r="K378" s="3">
        <f t="shared" ca="1" si="43"/>
        <v>5.30178855721593E-2</v>
      </c>
      <c r="L378" s="3">
        <f t="shared" ca="1" si="43"/>
        <v>6.3451460692648634E-2</v>
      </c>
    </row>
    <row r="379" spans="3:12">
      <c r="C379" s="7">
        <v>373</v>
      </c>
      <c r="D379" s="3">
        <f t="shared" si="37"/>
        <v>4.5199999999999997E-2</v>
      </c>
      <c r="E379" s="3">
        <f t="shared" ca="1" si="43"/>
        <v>3.8616323469682717E-2</v>
      </c>
      <c r="F379" s="3">
        <f t="shared" ca="1" si="43"/>
        <v>3.9097785593488296E-2</v>
      </c>
      <c r="G379" s="3">
        <f t="shared" ca="1" si="43"/>
        <v>3.6770539014407119E-2</v>
      </c>
      <c r="H379" s="3">
        <f t="shared" ca="1" si="43"/>
        <v>4.1448416110753158E-2</v>
      </c>
      <c r="I379" s="3">
        <f t="shared" ca="1" si="43"/>
        <v>4.1254675201938644E-2</v>
      </c>
      <c r="J379" s="3">
        <f t="shared" ca="1" si="43"/>
        <v>4.7310176827249625E-2</v>
      </c>
      <c r="K379" s="3">
        <f t="shared" ca="1" si="43"/>
        <v>4.6536375856673001E-2</v>
      </c>
      <c r="L379" s="3">
        <f t="shared" ca="1" si="43"/>
        <v>4.5337375950314132E-2</v>
      </c>
    </row>
    <row r="380" spans="3:12">
      <c r="C380" s="7">
        <v>374</v>
      </c>
      <c r="D380" s="3">
        <f t="shared" si="37"/>
        <v>4.5199999999999997E-2</v>
      </c>
      <c r="E380" s="3">
        <f t="shared" ca="1" si="43"/>
        <v>4.5979660069266355E-2</v>
      </c>
      <c r="F380" s="3">
        <f t="shared" ca="1" si="43"/>
        <v>5.4279575713006553E-2</v>
      </c>
      <c r="G380" s="3">
        <f t="shared" ca="1" si="43"/>
        <v>5.5643163296238578E-2</v>
      </c>
      <c r="H380" s="3">
        <f t="shared" ca="1" si="43"/>
        <v>6.8084428968850835E-2</v>
      </c>
      <c r="I380" s="3">
        <f t="shared" ca="1" si="43"/>
        <v>6.6028254933786404E-2</v>
      </c>
      <c r="J380" s="3">
        <f t="shared" ca="1" si="43"/>
        <v>7.5801418416579239E-2</v>
      </c>
      <c r="K380" s="3">
        <f t="shared" ca="1" si="43"/>
        <v>6.4401633951005566E-2</v>
      </c>
      <c r="L380" s="3">
        <f t="shared" ca="1" si="43"/>
        <v>6.8395658618427377E-2</v>
      </c>
    </row>
    <row r="381" spans="3:12">
      <c r="C381" s="7">
        <v>375</v>
      </c>
      <c r="D381" s="3">
        <f t="shared" si="37"/>
        <v>4.5199999999999997E-2</v>
      </c>
      <c r="E381" s="3">
        <f t="shared" ca="1" si="43"/>
        <v>4.0728940178162795E-2</v>
      </c>
      <c r="F381" s="3">
        <f t="shared" ca="1" si="43"/>
        <v>5.0610044862389021E-2</v>
      </c>
      <c r="G381" s="3">
        <f t="shared" ca="1" si="43"/>
        <v>5.5555613453484184E-2</v>
      </c>
      <c r="H381" s="3">
        <f t="shared" ca="1" si="43"/>
        <v>5.3130688430236904E-2</v>
      </c>
      <c r="I381" s="3">
        <f t="shared" ca="1" si="43"/>
        <v>5.9038497652094117E-2</v>
      </c>
      <c r="J381" s="3">
        <f t="shared" ca="1" si="43"/>
        <v>6.1794366417249474E-2</v>
      </c>
      <c r="K381" s="3">
        <f t="shared" ca="1" si="43"/>
        <v>6.9784356557357291E-2</v>
      </c>
      <c r="L381" s="3">
        <f t="shared" ca="1" si="43"/>
        <v>7.4595352169364373E-2</v>
      </c>
    </row>
    <row r="382" spans="3:12">
      <c r="C382" s="7">
        <v>376</v>
      </c>
      <c r="D382" s="3">
        <f t="shared" si="37"/>
        <v>4.5199999999999997E-2</v>
      </c>
      <c r="E382" s="3">
        <f t="shared" ca="1" si="43"/>
        <v>4.6488581479837789E-2</v>
      </c>
      <c r="F382" s="3">
        <f t="shared" ca="1" si="43"/>
        <v>5.2836265197584144E-2</v>
      </c>
      <c r="G382" s="3">
        <f t="shared" ca="1" si="43"/>
        <v>4.5149386798445289E-2</v>
      </c>
      <c r="H382" s="3">
        <f t="shared" ca="1" si="43"/>
        <v>5.6795879416538735E-2</v>
      </c>
      <c r="I382" s="3">
        <f t="shared" ca="1" si="43"/>
        <v>6.2877750139708893E-2</v>
      </c>
      <c r="J382" s="3">
        <f t="shared" ca="1" si="43"/>
        <v>6.5593008936030206E-2</v>
      </c>
      <c r="K382" s="3">
        <f t="shared" ca="1" si="43"/>
        <v>7.3070347062391808E-2</v>
      </c>
      <c r="L382" s="3">
        <f t="shared" ca="1" si="43"/>
        <v>6.7223090443513878E-2</v>
      </c>
    </row>
    <row r="383" spans="3:12">
      <c r="C383" s="7">
        <v>377</v>
      </c>
      <c r="D383" s="3">
        <f t="shared" si="37"/>
        <v>4.5199999999999997E-2</v>
      </c>
      <c r="E383" s="3">
        <f t="shared" ca="1" si="43"/>
        <v>4.7523941369525438E-2</v>
      </c>
      <c r="F383" s="3">
        <f t="shared" ca="1" si="43"/>
        <v>4.5679219526103154E-2</v>
      </c>
      <c r="G383" s="3">
        <f t="shared" ca="1" si="43"/>
        <v>3.9367464964240734E-2</v>
      </c>
      <c r="H383" s="3">
        <f t="shared" ca="1" si="43"/>
        <v>5.0329083152174825E-2</v>
      </c>
      <c r="I383" s="3">
        <f t="shared" ca="1" si="43"/>
        <v>5.0482627734229221E-2</v>
      </c>
      <c r="J383" s="3">
        <f t="shared" ca="1" si="43"/>
        <v>4.9567531765764755E-2</v>
      </c>
      <c r="K383" s="3">
        <f t="shared" ca="1" si="43"/>
        <v>6.0193305153308133E-2</v>
      </c>
      <c r="L383" s="3">
        <f t="shared" ca="1" si="43"/>
        <v>5.9625024099640628E-2</v>
      </c>
    </row>
    <row r="384" spans="3:12">
      <c r="C384" s="7">
        <v>378</v>
      </c>
      <c r="D384" s="3">
        <f t="shared" si="37"/>
        <v>4.5199999999999997E-2</v>
      </c>
      <c r="E384" s="3">
        <f t="shared" ca="1" si="43"/>
        <v>4.5379836875409717E-2</v>
      </c>
      <c r="F384" s="3">
        <f t="shared" ca="1" si="43"/>
        <v>4.5527688988738678E-2</v>
      </c>
      <c r="G384" s="3">
        <f t="shared" ca="1" si="43"/>
        <v>4.399558628149336E-2</v>
      </c>
      <c r="H384" s="3">
        <f t="shared" ca="1" si="43"/>
        <v>4.8715931202914349E-2</v>
      </c>
      <c r="I384" s="3">
        <f t="shared" ca="1" si="43"/>
        <v>4.5161154350279883E-2</v>
      </c>
      <c r="J384" s="3">
        <f t="shared" ca="1" si="43"/>
        <v>4.6160186017625872E-2</v>
      </c>
      <c r="K384" s="3">
        <f t="shared" ca="1" si="43"/>
        <v>4.9805688900738741E-2</v>
      </c>
      <c r="L384" s="3">
        <f t="shared" ca="1" si="43"/>
        <v>5.7117326832100655E-2</v>
      </c>
    </row>
    <row r="385" spans="3:12">
      <c r="C385" s="7">
        <v>379</v>
      </c>
      <c r="D385" s="3">
        <f t="shared" si="37"/>
        <v>4.5199999999999997E-2</v>
      </c>
      <c r="E385" s="3">
        <f t="shared" ca="1" si="43"/>
        <v>4.2095908340494752E-2</v>
      </c>
      <c r="F385" s="3">
        <f t="shared" ca="1" si="43"/>
        <v>4.5226490260917976E-2</v>
      </c>
      <c r="G385" s="3">
        <f t="shared" ca="1" si="43"/>
        <v>4.5366003202324673E-2</v>
      </c>
      <c r="H385" s="3">
        <f t="shared" ca="1" si="43"/>
        <v>5.0050039759085944E-2</v>
      </c>
      <c r="I385" s="3">
        <f t="shared" ca="1" si="43"/>
        <v>5.0416607425089036E-2</v>
      </c>
      <c r="J385" s="3">
        <f t="shared" ca="1" si="43"/>
        <v>4.5419730425870358E-2</v>
      </c>
      <c r="K385" s="3">
        <f t="shared" ca="1" si="43"/>
        <v>5.0639975723871383E-2</v>
      </c>
      <c r="L385" s="3">
        <f t="shared" ca="1" si="43"/>
        <v>5.1074132208627276E-2</v>
      </c>
    </row>
    <row r="386" spans="3:12">
      <c r="C386" s="7">
        <v>380</v>
      </c>
      <c r="D386" s="3">
        <f t="shared" si="37"/>
        <v>4.5199999999999997E-2</v>
      </c>
      <c r="E386" s="3">
        <f t="shared" ca="1" si="43"/>
        <v>4.3484067055686797E-2</v>
      </c>
      <c r="F386" s="3">
        <f t="shared" ca="1" si="43"/>
        <v>6.254028751069815E-2</v>
      </c>
      <c r="G386" s="3">
        <f t="shared" ca="1" si="43"/>
        <v>5.8576060317361123E-2</v>
      </c>
      <c r="H386" s="3">
        <f t="shared" ca="1" si="43"/>
        <v>6.6669389572229509E-2</v>
      </c>
      <c r="I386" s="3">
        <f t="shared" ca="1" si="43"/>
        <v>6.931442543242046E-2</v>
      </c>
      <c r="J386" s="3">
        <f t="shared" ca="1" si="43"/>
        <v>7.9414530436938816E-2</v>
      </c>
      <c r="K386" s="3">
        <f t="shared" ca="1" si="43"/>
        <v>7.2362203533227504E-2</v>
      </c>
      <c r="L386" s="3">
        <f t="shared" ca="1" si="43"/>
        <v>7.4980453857963661E-2</v>
      </c>
    </row>
    <row r="387" spans="3:12">
      <c r="C387" s="7">
        <v>381</v>
      </c>
      <c r="D387" s="3">
        <f t="shared" si="37"/>
        <v>4.5199999999999997E-2</v>
      </c>
      <c r="E387" s="3">
        <f t="shared" ref="E387:L396" ca="1" si="44">D387+E$5*dt+sigma*_xlfn.NORM.S.INV(RAND())*SQRT(dt)</f>
        <v>4.6764007230418757E-2</v>
      </c>
      <c r="F387" s="3">
        <f t="shared" ca="1" si="44"/>
        <v>4.9548752129693091E-2</v>
      </c>
      <c r="G387" s="3">
        <f t="shared" ca="1" si="44"/>
        <v>5.219510423757931E-2</v>
      </c>
      <c r="H387" s="3">
        <f t="shared" ca="1" si="44"/>
        <v>5.5217612055786673E-2</v>
      </c>
      <c r="I387" s="3">
        <f t="shared" ca="1" si="44"/>
        <v>5.4083227707032271E-2</v>
      </c>
      <c r="J387" s="3">
        <f t="shared" ca="1" si="44"/>
        <v>6.1770307649987456E-2</v>
      </c>
      <c r="K387" s="3">
        <f t="shared" ca="1" si="44"/>
        <v>5.8274858560057839E-2</v>
      </c>
      <c r="L387" s="3">
        <f t="shared" ca="1" si="44"/>
        <v>5.3974821155067722E-2</v>
      </c>
    </row>
    <row r="388" spans="3:12">
      <c r="C388" s="7">
        <v>382</v>
      </c>
      <c r="D388" s="3">
        <f t="shared" si="37"/>
        <v>4.5199999999999997E-2</v>
      </c>
      <c r="E388" s="3">
        <f t="shared" ca="1" si="44"/>
        <v>4.9329718038715442E-2</v>
      </c>
      <c r="F388" s="3">
        <f t="shared" ca="1" si="44"/>
        <v>3.9603978255644316E-2</v>
      </c>
      <c r="G388" s="3">
        <f t="shared" ca="1" si="44"/>
        <v>4.2371255485417737E-2</v>
      </c>
      <c r="H388" s="3">
        <f t="shared" ca="1" si="44"/>
        <v>4.8584087452920005E-2</v>
      </c>
      <c r="I388" s="3">
        <f t="shared" ca="1" si="44"/>
        <v>5.1419687114068496E-2</v>
      </c>
      <c r="J388" s="3">
        <f t="shared" ca="1" si="44"/>
        <v>5.2298992056601573E-2</v>
      </c>
      <c r="K388" s="3">
        <f t="shared" ca="1" si="44"/>
        <v>5.6030869379348119E-2</v>
      </c>
      <c r="L388" s="3">
        <f t="shared" ca="1" si="44"/>
        <v>5.4763302285289188E-2</v>
      </c>
    </row>
    <row r="389" spans="3:12">
      <c r="C389" s="7">
        <v>383</v>
      </c>
      <c r="D389" s="3">
        <f t="shared" si="37"/>
        <v>4.5199999999999997E-2</v>
      </c>
      <c r="E389" s="3">
        <f t="shared" ca="1" si="44"/>
        <v>4.2701303675079606E-2</v>
      </c>
      <c r="F389" s="3">
        <f t="shared" ca="1" si="44"/>
        <v>4.1292087813275133E-2</v>
      </c>
      <c r="G389" s="3">
        <f t="shared" ca="1" si="44"/>
        <v>3.374000227793969E-2</v>
      </c>
      <c r="H389" s="3">
        <f t="shared" ca="1" si="44"/>
        <v>3.1025280439429852E-2</v>
      </c>
      <c r="I389" s="3">
        <f t="shared" ca="1" si="44"/>
        <v>2.6769971821473903E-2</v>
      </c>
      <c r="J389" s="3">
        <f t="shared" ca="1" si="44"/>
        <v>2.9531146157917625E-2</v>
      </c>
      <c r="K389" s="3">
        <f t="shared" ca="1" si="44"/>
        <v>3.5653189699576503E-2</v>
      </c>
      <c r="L389" s="3">
        <f t="shared" ca="1" si="44"/>
        <v>3.4965694765538291E-2</v>
      </c>
    </row>
    <row r="390" spans="3:12">
      <c r="C390" s="7">
        <v>384</v>
      </c>
      <c r="D390" s="3">
        <f t="shared" si="37"/>
        <v>4.5199999999999997E-2</v>
      </c>
      <c r="E390" s="3">
        <f t="shared" ca="1" si="44"/>
        <v>4.6893269992839451E-2</v>
      </c>
      <c r="F390" s="3">
        <f t="shared" ca="1" si="44"/>
        <v>4.7794572061149496E-2</v>
      </c>
      <c r="G390" s="3">
        <f t="shared" ca="1" si="44"/>
        <v>4.4849218748353417E-2</v>
      </c>
      <c r="H390" s="3">
        <f t="shared" ca="1" si="44"/>
        <v>4.2954078593916763E-2</v>
      </c>
      <c r="I390" s="3">
        <f t="shared" ca="1" si="44"/>
        <v>3.6270039166337684E-2</v>
      </c>
      <c r="J390" s="3">
        <f t="shared" ca="1" si="44"/>
        <v>3.886147456342768E-2</v>
      </c>
      <c r="K390" s="3">
        <f t="shared" ca="1" si="44"/>
        <v>4.8147924651699127E-2</v>
      </c>
      <c r="L390" s="3">
        <f t="shared" ca="1" si="44"/>
        <v>5.3209832965243418E-2</v>
      </c>
    </row>
    <row r="391" spans="3:12">
      <c r="C391" s="7">
        <v>385</v>
      </c>
      <c r="D391" s="3">
        <f t="shared" ref="D391:D454" si="45">r0</f>
        <v>4.5199999999999997E-2</v>
      </c>
      <c r="E391" s="3">
        <f t="shared" ca="1" si="44"/>
        <v>4.2755812566268481E-2</v>
      </c>
      <c r="F391" s="3">
        <f t="shared" ca="1" si="44"/>
        <v>4.6233324233357333E-2</v>
      </c>
      <c r="G391" s="3">
        <f t="shared" ca="1" si="44"/>
        <v>4.4812068493819315E-2</v>
      </c>
      <c r="H391" s="3">
        <f t="shared" ca="1" si="44"/>
        <v>4.5595966626544332E-2</v>
      </c>
      <c r="I391" s="3">
        <f t="shared" ca="1" si="44"/>
        <v>4.1171862151584616E-2</v>
      </c>
      <c r="J391" s="3">
        <f t="shared" ca="1" si="44"/>
        <v>4.7733965484439679E-2</v>
      </c>
      <c r="K391" s="3">
        <f t="shared" ca="1" si="44"/>
        <v>4.2553791620095718E-2</v>
      </c>
      <c r="L391" s="3">
        <f t="shared" ca="1" si="44"/>
        <v>3.7258025229764249E-2</v>
      </c>
    </row>
    <row r="392" spans="3:12">
      <c r="C392" s="7">
        <v>386</v>
      </c>
      <c r="D392" s="3">
        <f t="shared" si="45"/>
        <v>4.5199999999999997E-2</v>
      </c>
      <c r="E392" s="3">
        <f t="shared" ca="1" si="44"/>
        <v>4.8345118646797386E-2</v>
      </c>
      <c r="F392" s="3">
        <f t="shared" ca="1" si="44"/>
        <v>4.1842112326190742E-2</v>
      </c>
      <c r="G392" s="3">
        <f t="shared" ca="1" si="44"/>
        <v>4.6053130333243666E-2</v>
      </c>
      <c r="H392" s="3">
        <f t="shared" ca="1" si="44"/>
        <v>5.0329022195037182E-2</v>
      </c>
      <c r="I392" s="3">
        <f t="shared" ca="1" si="44"/>
        <v>5.1700692394180667E-2</v>
      </c>
      <c r="J392" s="3">
        <f t="shared" ca="1" si="44"/>
        <v>5.5523995753925803E-2</v>
      </c>
      <c r="K392" s="3">
        <f t="shared" ca="1" si="44"/>
        <v>4.926981386929026E-2</v>
      </c>
      <c r="L392" s="3">
        <f t="shared" ca="1" si="44"/>
        <v>5.1864451866566713E-2</v>
      </c>
    </row>
    <row r="393" spans="3:12">
      <c r="C393" s="7">
        <v>387</v>
      </c>
      <c r="D393" s="3">
        <f t="shared" si="45"/>
        <v>4.5199999999999997E-2</v>
      </c>
      <c r="E393" s="3">
        <f t="shared" ca="1" si="44"/>
        <v>4.7869374136499498E-2</v>
      </c>
      <c r="F393" s="3">
        <f t="shared" ca="1" si="44"/>
        <v>4.5594797752063335E-2</v>
      </c>
      <c r="G393" s="3">
        <f t="shared" ca="1" si="44"/>
        <v>3.9147356212195603E-2</v>
      </c>
      <c r="H393" s="3">
        <f t="shared" ca="1" si="44"/>
        <v>4.5227590562756832E-2</v>
      </c>
      <c r="I393" s="3">
        <f t="shared" ca="1" si="44"/>
        <v>4.6571177879725638E-2</v>
      </c>
      <c r="J393" s="3">
        <f t="shared" ca="1" si="44"/>
        <v>5.6439939334896209E-2</v>
      </c>
      <c r="K393" s="3">
        <f t="shared" ca="1" si="44"/>
        <v>5.972278321433399E-2</v>
      </c>
      <c r="L393" s="3">
        <f t="shared" ca="1" si="44"/>
        <v>6.2307717439678639E-2</v>
      </c>
    </row>
    <row r="394" spans="3:12">
      <c r="C394" s="7">
        <v>388</v>
      </c>
      <c r="D394" s="3">
        <f t="shared" si="45"/>
        <v>4.5199999999999997E-2</v>
      </c>
      <c r="E394" s="3">
        <f t="shared" ca="1" si="44"/>
        <v>4.3452299333701497E-2</v>
      </c>
      <c r="F394" s="3">
        <f t="shared" ca="1" si="44"/>
        <v>3.8731779038973811E-2</v>
      </c>
      <c r="G394" s="3">
        <f t="shared" ca="1" si="44"/>
        <v>3.2508768451395199E-2</v>
      </c>
      <c r="H394" s="3">
        <f t="shared" ca="1" si="44"/>
        <v>2.6283014647580573E-2</v>
      </c>
      <c r="I394" s="3">
        <f t="shared" ca="1" si="44"/>
        <v>2.7868349731400233E-2</v>
      </c>
      <c r="J394" s="3">
        <f t="shared" ca="1" si="44"/>
        <v>3.022840019868113E-2</v>
      </c>
      <c r="K394" s="3">
        <f t="shared" ca="1" si="44"/>
        <v>2.6994786082816212E-2</v>
      </c>
      <c r="L394" s="3">
        <f t="shared" ca="1" si="44"/>
        <v>2.6910328512136615E-2</v>
      </c>
    </row>
    <row r="395" spans="3:12">
      <c r="C395" s="7">
        <v>389</v>
      </c>
      <c r="D395" s="3">
        <f t="shared" si="45"/>
        <v>4.5199999999999997E-2</v>
      </c>
      <c r="E395" s="3">
        <f t="shared" ca="1" si="44"/>
        <v>4.5547402253472181E-2</v>
      </c>
      <c r="F395" s="3">
        <f t="shared" ca="1" si="44"/>
        <v>4.6206073983270236E-2</v>
      </c>
      <c r="G395" s="3">
        <f t="shared" ca="1" si="44"/>
        <v>4.4695429752421981E-2</v>
      </c>
      <c r="H395" s="3">
        <f t="shared" ca="1" si="44"/>
        <v>5.4504520253386674E-2</v>
      </c>
      <c r="I395" s="3">
        <f t="shared" ca="1" si="44"/>
        <v>5.984326773767152E-2</v>
      </c>
      <c r="J395" s="3">
        <f t="shared" ca="1" si="44"/>
        <v>6.1119386763517719E-2</v>
      </c>
      <c r="K395" s="3">
        <f t="shared" ca="1" si="44"/>
        <v>6.4747126499768493E-2</v>
      </c>
      <c r="L395" s="3">
        <f t="shared" ca="1" si="44"/>
        <v>6.0431733939757766E-2</v>
      </c>
    </row>
    <row r="396" spans="3:12">
      <c r="C396" s="7">
        <v>390</v>
      </c>
      <c r="D396" s="3">
        <f t="shared" si="45"/>
        <v>4.5199999999999997E-2</v>
      </c>
      <c r="E396" s="3">
        <f t="shared" ca="1" si="44"/>
        <v>4.5432301730451971E-2</v>
      </c>
      <c r="F396" s="3">
        <f t="shared" ca="1" si="44"/>
        <v>4.8077210747143218E-2</v>
      </c>
      <c r="G396" s="3">
        <f t="shared" ca="1" si="44"/>
        <v>4.2715733490607671E-2</v>
      </c>
      <c r="H396" s="3">
        <f t="shared" ca="1" si="44"/>
        <v>3.3290635572159666E-2</v>
      </c>
      <c r="I396" s="3">
        <f t="shared" ca="1" si="44"/>
        <v>3.7079366263974796E-2</v>
      </c>
      <c r="J396" s="3">
        <f t="shared" ca="1" si="44"/>
        <v>4.0420171592894918E-2</v>
      </c>
      <c r="K396" s="3">
        <f t="shared" ca="1" si="44"/>
        <v>4.7253069505751082E-2</v>
      </c>
      <c r="L396" s="3">
        <f t="shared" ca="1" si="44"/>
        <v>5.1019512657554084E-2</v>
      </c>
    </row>
    <row r="397" spans="3:12">
      <c r="C397" s="7">
        <v>391</v>
      </c>
      <c r="D397" s="3">
        <f t="shared" si="45"/>
        <v>4.5199999999999997E-2</v>
      </c>
      <c r="E397" s="3">
        <f t="shared" ref="E397:L406" ca="1" si="46">D397+E$5*dt+sigma*_xlfn.NORM.S.INV(RAND())*SQRT(dt)</f>
        <v>4.4235640215447049E-2</v>
      </c>
      <c r="F397" s="3">
        <f t="shared" ca="1" si="46"/>
        <v>4.5514669515925407E-2</v>
      </c>
      <c r="G397" s="3">
        <f t="shared" ca="1" si="46"/>
        <v>4.6281911695738365E-2</v>
      </c>
      <c r="H397" s="3">
        <f t="shared" ca="1" si="46"/>
        <v>5.7114172581226912E-2</v>
      </c>
      <c r="I397" s="3">
        <f t="shared" ca="1" si="46"/>
        <v>5.3668558398422009E-2</v>
      </c>
      <c r="J397" s="3">
        <f t="shared" ca="1" si="46"/>
        <v>5.6204898668217221E-2</v>
      </c>
      <c r="K397" s="3">
        <f t="shared" ca="1" si="46"/>
        <v>5.1094861586175246E-2</v>
      </c>
      <c r="L397" s="3">
        <f t="shared" ca="1" si="46"/>
        <v>5.2540284786778239E-2</v>
      </c>
    </row>
    <row r="398" spans="3:12">
      <c r="C398" s="7">
        <v>392</v>
      </c>
      <c r="D398" s="3">
        <f t="shared" si="45"/>
        <v>4.5199999999999997E-2</v>
      </c>
      <c r="E398" s="3">
        <f t="shared" ca="1" si="46"/>
        <v>4.1825036558785632E-2</v>
      </c>
      <c r="F398" s="3">
        <f t="shared" ca="1" si="46"/>
        <v>4.7244574176913211E-2</v>
      </c>
      <c r="G398" s="3">
        <f t="shared" ca="1" si="46"/>
        <v>5.1488345147803961E-2</v>
      </c>
      <c r="H398" s="3">
        <f t="shared" ca="1" si="46"/>
        <v>5.0981326683295039E-2</v>
      </c>
      <c r="I398" s="3">
        <f t="shared" ca="1" si="46"/>
        <v>5.2653148113251648E-2</v>
      </c>
      <c r="J398" s="3">
        <f t="shared" ca="1" si="46"/>
        <v>4.6047387323778763E-2</v>
      </c>
      <c r="K398" s="3">
        <f t="shared" ca="1" si="46"/>
        <v>3.9607361895237017E-2</v>
      </c>
      <c r="L398" s="3">
        <f t="shared" ca="1" si="46"/>
        <v>4.8175747143467951E-2</v>
      </c>
    </row>
    <row r="399" spans="3:12">
      <c r="C399" s="7">
        <v>393</v>
      </c>
      <c r="D399" s="3">
        <f t="shared" si="45"/>
        <v>4.5199999999999997E-2</v>
      </c>
      <c r="E399" s="3">
        <f t="shared" ca="1" si="46"/>
        <v>5.2336177883130074E-2</v>
      </c>
      <c r="F399" s="3">
        <f t="shared" ca="1" si="46"/>
        <v>4.9946480745333581E-2</v>
      </c>
      <c r="G399" s="3">
        <f t="shared" ca="1" si="46"/>
        <v>5.88514296666564E-2</v>
      </c>
      <c r="H399" s="3">
        <f t="shared" ca="1" si="46"/>
        <v>5.2050691234150848E-2</v>
      </c>
      <c r="I399" s="3">
        <f t="shared" ca="1" si="46"/>
        <v>5.8066569561486682E-2</v>
      </c>
      <c r="J399" s="3">
        <f t="shared" ca="1" si="46"/>
        <v>6.2555367158373051E-2</v>
      </c>
      <c r="K399" s="3">
        <f t="shared" ca="1" si="46"/>
        <v>6.9931405417644407E-2</v>
      </c>
      <c r="L399" s="3">
        <f t="shared" ca="1" si="46"/>
        <v>7.7956173753014543E-2</v>
      </c>
    </row>
    <row r="400" spans="3:12">
      <c r="C400" s="7">
        <v>394</v>
      </c>
      <c r="D400" s="3">
        <f t="shared" si="45"/>
        <v>4.5199999999999997E-2</v>
      </c>
      <c r="E400" s="3">
        <f t="shared" ca="1" si="46"/>
        <v>5.1685179700105659E-2</v>
      </c>
      <c r="F400" s="3">
        <f t="shared" ca="1" si="46"/>
        <v>5.2550417588021134E-2</v>
      </c>
      <c r="G400" s="3">
        <f t="shared" ca="1" si="46"/>
        <v>5.5861835101473696E-2</v>
      </c>
      <c r="H400" s="3">
        <f t="shared" ca="1" si="46"/>
        <v>6.3696362354888014E-2</v>
      </c>
      <c r="I400" s="3">
        <f t="shared" ca="1" si="46"/>
        <v>6.4269911477957187E-2</v>
      </c>
      <c r="J400" s="3">
        <f t="shared" ca="1" si="46"/>
        <v>5.4010837533394439E-2</v>
      </c>
      <c r="K400" s="3">
        <f t="shared" ca="1" si="46"/>
        <v>4.7863661268310091E-2</v>
      </c>
      <c r="L400" s="3">
        <f t="shared" ca="1" si="46"/>
        <v>4.1118183731072538E-2</v>
      </c>
    </row>
    <row r="401" spans="3:12">
      <c r="C401" s="7">
        <v>395</v>
      </c>
      <c r="D401" s="3">
        <f t="shared" si="45"/>
        <v>4.5199999999999997E-2</v>
      </c>
      <c r="E401" s="3">
        <f t="shared" ca="1" si="46"/>
        <v>4.3296487344442067E-2</v>
      </c>
      <c r="F401" s="3">
        <f t="shared" ca="1" si="46"/>
        <v>4.8809359585851295E-2</v>
      </c>
      <c r="G401" s="3">
        <f t="shared" ca="1" si="46"/>
        <v>4.5893964046539844E-2</v>
      </c>
      <c r="H401" s="3">
        <f t="shared" ca="1" si="46"/>
        <v>4.8182664456732166E-2</v>
      </c>
      <c r="I401" s="3">
        <f t="shared" ca="1" si="46"/>
        <v>4.5971628296409689E-2</v>
      </c>
      <c r="J401" s="3">
        <f t="shared" ca="1" si="46"/>
        <v>5.198921164538671E-2</v>
      </c>
      <c r="K401" s="3">
        <f t="shared" ca="1" si="46"/>
        <v>4.9233488740466937E-2</v>
      </c>
      <c r="L401" s="3">
        <f t="shared" ca="1" si="46"/>
        <v>4.6728868180736891E-2</v>
      </c>
    </row>
    <row r="402" spans="3:12">
      <c r="C402" s="7">
        <v>396</v>
      </c>
      <c r="D402" s="3">
        <f t="shared" si="45"/>
        <v>4.5199999999999997E-2</v>
      </c>
      <c r="E402" s="3">
        <f t="shared" ca="1" si="46"/>
        <v>5.1772496867010305E-2</v>
      </c>
      <c r="F402" s="3">
        <f t="shared" ca="1" si="46"/>
        <v>6.0505751853453346E-2</v>
      </c>
      <c r="G402" s="3">
        <f t="shared" ca="1" si="46"/>
        <v>5.6459249003529006E-2</v>
      </c>
      <c r="H402" s="3">
        <f t="shared" ca="1" si="46"/>
        <v>5.8794087298389974E-2</v>
      </c>
      <c r="I402" s="3">
        <f t="shared" ca="1" si="46"/>
        <v>5.3673506448158166E-2</v>
      </c>
      <c r="J402" s="3">
        <f t="shared" ca="1" si="46"/>
        <v>4.5387983696686375E-2</v>
      </c>
      <c r="K402" s="3">
        <f t="shared" ca="1" si="46"/>
        <v>4.6500856301938009E-2</v>
      </c>
      <c r="L402" s="3">
        <f t="shared" ca="1" si="46"/>
        <v>5.0892819232952496E-2</v>
      </c>
    </row>
    <row r="403" spans="3:12">
      <c r="C403" s="7">
        <v>397</v>
      </c>
      <c r="D403" s="3">
        <f t="shared" si="45"/>
        <v>4.5199999999999997E-2</v>
      </c>
      <c r="E403" s="3">
        <f t="shared" ca="1" si="46"/>
        <v>5.2767218892901965E-2</v>
      </c>
      <c r="F403" s="3">
        <f t="shared" ca="1" si="46"/>
        <v>5.1346788646360171E-2</v>
      </c>
      <c r="G403" s="3">
        <f t="shared" ca="1" si="46"/>
        <v>5.2629887663435029E-2</v>
      </c>
      <c r="H403" s="3">
        <f t="shared" ca="1" si="46"/>
        <v>4.6344391241122954E-2</v>
      </c>
      <c r="I403" s="3">
        <f t="shared" ca="1" si="46"/>
        <v>5.0936171213223733E-2</v>
      </c>
      <c r="J403" s="3">
        <f t="shared" ca="1" si="46"/>
        <v>6.1583082530095187E-2</v>
      </c>
      <c r="K403" s="3">
        <f t="shared" ca="1" si="46"/>
        <v>6.5735369425469731E-2</v>
      </c>
      <c r="L403" s="3">
        <f t="shared" ca="1" si="46"/>
        <v>6.9068827723847648E-2</v>
      </c>
    </row>
    <row r="404" spans="3:12">
      <c r="C404" s="7">
        <v>398</v>
      </c>
      <c r="D404" s="3">
        <f t="shared" si="45"/>
        <v>4.5199999999999997E-2</v>
      </c>
      <c r="E404" s="3">
        <f t="shared" ca="1" si="46"/>
        <v>4.1930938287058503E-2</v>
      </c>
      <c r="F404" s="3">
        <f t="shared" ca="1" si="46"/>
        <v>4.2792706936323983E-2</v>
      </c>
      <c r="G404" s="3">
        <f t="shared" ca="1" si="46"/>
        <v>4.0236794633929762E-2</v>
      </c>
      <c r="H404" s="3">
        <f t="shared" ca="1" si="46"/>
        <v>3.6067777878583472E-2</v>
      </c>
      <c r="I404" s="3">
        <f t="shared" ca="1" si="46"/>
        <v>3.6748972042836281E-2</v>
      </c>
      <c r="J404" s="3">
        <f t="shared" ca="1" si="46"/>
        <v>3.6228073558986856E-2</v>
      </c>
      <c r="K404" s="3">
        <f t="shared" ca="1" si="46"/>
        <v>3.6369969618454304E-2</v>
      </c>
      <c r="L404" s="3">
        <f t="shared" ca="1" si="46"/>
        <v>3.6406882421585018E-2</v>
      </c>
    </row>
    <row r="405" spans="3:12">
      <c r="C405" s="7">
        <v>399</v>
      </c>
      <c r="D405" s="3">
        <f t="shared" si="45"/>
        <v>4.5199999999999997E-2</v>
      </c>
      <c r="E405" s="3">
        <f t="shared" ca="1" si="46"/>
        <v>4.1621309586716636E-2</v>
      </c>
      <c r="F405" s="3">
        <f t="shared" ca="1" si="46"/>
        <v>4.5086236864713157E-2</v>
      </c>
      <c r="G405" s="3">
        <f t="shared" ca="1" si="46"/>
        <v>5.150070326087107E-2</v>
      </c>
      <c r="H405" s="3">
        <f t="shared" ca="1" si="46"/>
        <v>5.051496770662673E-2</v>
      </c>
      <c r="I405" s="3">
        <f t="shared" ca="1" si="46"/>
        <v>5.1641839584653668E-2</v>
      </c>
      <c r="J405" s="3">
        <f t="shared" ca="1" si="46"/>
        <v>5.5778292817518969E-2</v>
      </c>
      <c r="K405" s="3">
        <f t="shared" ca="1" si="46"/>
        <v>5.8275829686593797E-2</v>
      </c>
      <c r="L405" s="3">
        <f t="shared" ca="1" si="46"/>
        <v>6.0265334235103434E-2</v>
      </c>
    </row>
    <row r="406" spans="3:12">
      <c r="C406" s="7">
        <v>400</v>
      </c>
      <c r="D406" s="3">
        <f t="shared" si="45"/>
        <v>4.5199999999999997E-2</v>
      </c>
      <c r="E406" s="3">
        <f t="shared" ca="1" si="46"/>
        <v>4.2020638424291545E-2</v>
      </c>
      <c r="F406" s="3">
        <f t="shared" ca="1" si="46"/>
        <v>4.9171430247767996E-2</v>
      </c>
      <c r="G406" s="3">
        <f t="shared" ca="1" si="46"/>
        <v>5.1358598316083089E-2</v>
      </c>
      <c r="H406" s="3">
        <f t="shared" ca="1" si="46"/>
        <v>6.4241806006165428E-2</v>
      </c>
      <c r="I406" s="3">
        <f t="shared" ca="1" si="46"/>
        <v>7.0296690716933952E-2</v>
      </c>
      <c r="J406" s="3">
        <f t="shared" ca="1" si="46"/>
        <v>7.8934773442041514E-2</v>
      </c>
      <c r="K406" s="3">
        <f t="shared" ca="1" si="46"/>
        <v>8.4384911909116747E-2</v>
      </c>
      <c r="L406" s="3">
        <f t="shared" ca="1" si="46"/>
        <v>9.5958699050394836E-2</v>
      </c>
    </row>
    <row r="407" spans="3:12">
      <c r="C407" s="7">
        <v>401</v>
      </c>
      <c r="D407" s="3">
        <f t="shared" si="45"/>
        <v>4.5199999999999997E-2</v>
      </c>
      <c r="E407" s="3">
        <f t="shared" ref="E407:L416" ca="1" si="47">D407+E$5*dt+sigma*_xlfn.NORM.S.INV(RAND())*SQRT(dt)</f>
        <v>4.8407970077250229E-2</v>
      </c>
      <c r="F407" s="3">
        <f t="shared" ca="1" si="47"/>
        <v>4.8517065578823425E-2</v>
      </c>
      <c r="G407" s="3">
        <f t="shared" ca="1" si="47"/>
        <v>5.0636718353751525E-2</v>
      </c>
      <c r="H407" s="3">
        <f t="shared" ca="1" si="47"/>
        <v>4.8100790305045785E-2</v>
      </c>
      <c r="I407" s="3">
        <f t="shared" ca="1" si="47"/>
        <v>4.578577625551887E-2</v>
      </c>
      <c r="J407" s="3">
        <f t="shared" ca="1" si="47"/>
        <v>4.7468330228007082E-2</v>
      </c>
      <c r="K407" s="3">
        <f t="shared" ca="1" si="47"/>
        <v>4.6367320245314786E-2</v>
      </c>
      <c r="L407" s="3">
        <f t="shared" ca="1" si="47"/>
        <v>4.6107314417121167E-2</v>
      </c>
    </row>
    <row r="408" spans="3:12">
      <c r="C408" s="7">
        <v>402</v>
      </c>
      <c r="D408" s="3">
        <f t="shared" si="45"/>
        <v>4.5199999999999997E-2</v>
      </c>
      <c r="E408" s="3">
        <f t="shared" ca="1" si="47"/>
        <v>4.9385221340138688E-2</v>
      </c>
      <c r="F408" s="3">
        <f t="shared" ca="1" si="47"/>
        <v>5.1703438340868747E-2</v>
      </c>
      <c r="G408" s="3">
        <f t="shared" ca="1" si="47"/>
        <v>5.1032765307705605E-2</v>
      </c>
      <c r="H408" s="3">
        <f t="shared" ca="1" si="47"/>
        <v>5.3999541299505634E-2</v>
      </c>
      <c r="I408" s="3">
        <f t="shared" ca="1" si="47"/>
        <v>5.7859763931907449E-2</v>
      </c>
      <c r="J408" s="3">
        <f t="shared" ca="1" si="47"/>
        <v>6.6172847693467526E-2</v>
      </c>
      <c r="K408" s="3">
        <f t="shared" ca="1" si="47"/>
        <v>7.5035947418594623E-2</v>
      </c>
      <c r="L408" s="3">
        <f t="shared" ca="1" si="47"/>
        <v>7.8773306063976409E-2</v>
      </c>
    </row>
    <row r="409" spans="3:12">
      <c r="C409" s="7">
        <v>403</v>
      </c>
      <c r="D409" s="3">
        <f t="shared" si="45"/>
        <v>4.5199999999999997E-2</v>
      </c>
      <c r="E409" s="3">
        <f t="shared" ca="1" si="47"/>
        <v>3.1723259228640853E-2</v>
      </c>
      <c r="F409" s="3">
        <f t="shared" ca="1" si="47"/>
        <v>3.4930733959013013E-2</v>
      </c>
      <c r="G409" s="3">
        <f t="shared" ca="1" si="47"/>
        <v>3.6302839885080304E-2</v>
      </c>
      <c r="H409" s="3">
        <f t="shared" ca="1" si="47"/>
        <v>4.1426311700688445E-2</v>
      </c>
      <c r="I409" s="3">
        <f t="shared" ca="1" si="47"/>
        <v>3.8001467794119122E-2</v>
      </c>
      <c r="J409" s="3">
        <f t="shared" ca="1" si="47"/>
        <v>3.660195321875883E-2</v>
      </c>
      <c r="K409" s="3">
        <f t="shared" ca="1" si="47"/>
        <v>3.6841294851883429E-2</v>
      </c>
      <c r="L409" s="3">
        <f t="shared" ca="1" si="47"/>
        <v>3.3734133836153583E-2</v>
      </c>
    </row>
    <row r="410" spans="3:12">
      <c r="C410" s="7">
        <v>404</v>
      </c>
      <c r="D410" s="3">
        <f t="shared" si="45"/>
        <v>4.5199999999999997E-2</v>
      </c>
      <c r="E410" s="3">
        <f t="shared" ca="1" si="47"/>
        <v>4.7455653814528861E-2</v>
      </c>
      <c r="F410" s="3">
        <f t="shared" ca="1" si="47"/>
        <v>4.5005352502533319E-2</v>
      </c>
      <c r="G410" s="3">
        <f t="shared" ca="1" si="47"/>
        <v>5.34426429171087E-2</v>
      </c>
      <c r="H410" s="3">
        <f t="shared" ca="1" si="47"/>
        <v>5.9063830905079912E-2</v>
      </c>
      <c r="I410" s="3">
        <f t="shared" ca="1" si="47"/>
        <v>5.9765003736457482E-2</v>
      </c>
      <c r="J410" s="3">
        <f t="shared" ca="1" si="47"/>
        <v>6.798096927994772E-2</v>
      </c>
      <c r="K410" s="3">
        <f t="shared" ca="1" si="47"/>
        <v>6.790771273219888E-2</v>
      </c>
      <c r="L410" s="3">
        <f t="shared" ca="1" si="47"/>
        <v>6.1357470433330154E-2</v>
      </c>
    </row>
    <row r="411" spans="3:12">
      <c r="C411" s="7">
        <v>405</v>
      </c>
      <c r="D411" s="3">
        <f t="shared" si="45"/>
        <v>4.5199999999999997E-2</v>
      </c>
      <c r="E411" s="3">
        <f t="shared" ca="1" si="47"/>
        <v>4.8167468516224804E-2</v>
      </c>
      <c r="F411" s="3">
        <f t="shared" ca="1" si="47"/>
        <v>4.9802792747177159E-2</v>
      </c>
      <c r="G411" s="3">
        <f t="shared" ca="1" si="47"/>
        <v>5.3394349322994139E-2</v>
      </c>
      <c r="H411" s="3">
        <f t="shared" ca="1" si="47"/>
        <v>5.3205486825829124E-2</v>
      </c>
      <c r="I411" s="3">
        <f t="shared" ca="1" si="47"/>
        <v>5.244182421777345E-2</v>
      </c>
      <c r="J411" s="3">
        <f t="shared" ca="1" si="47"/>
        <v>4.7340245325621803E-2</v>
      </c>
      <c r="K411" s="3">
        <f t="shared" ca="1" si="47"/>
        <v>5.4270975908900426E-2</v>
      </c>
      <c r="L411" s="3">
        <f t="shared" ca="1" si="47"/>
        <v>5.5405964981386363E-2</v>
      </c>
    </row>
    <row r="412" spans="3:12">
      <c r="C412" s="7">
        <v>406</v>
      </c>
      <c r="D412" s="3">
        <f t="shared" si="45"/>
        <v>4.5199999999999997E-2</v>
      </c>
      <c r="E412" s="3">
        <f t="shared" ca="1" si="47"/>
        <v>4.8421161766954858E-2</v>
      </c>
      <c r="F412" s="3">
        <f t="shared" ca="1" si="47"/>
        <v>4.7292916282762776E-2</v>
      </c>
      <c r="G412" s="3">
        <f t="shared" ca="1" si="47"/>
        <v>4.7758859791590502E-2</v>
      </c>
      <c r="H412" s="3">
        <f t="shared" ca="1" si="47"/>
        <v>4.5336786910251753E-2</v>
      </c>
      <c r="I412" s="3">
        <f t="shared" ca="1" si="47"/>
        <v>4.3120642227693053E-2</v>
      </c>
      <c r="J412" s="3">
        <f t="shared" ca="1" si="47"/>
        <v>4.0461625553669542E-2</v>
      </c>
      <c r="K412" s="3">
        <f t="shared" ca="1" si="47"/>
        <v>3.9647745683379039E-2</v>
      </c>
      <c r="L412" s="3">
        <f t="shared" ca="1" si="47"/>
        <v>3.5208543973060981E-2</v>
      </c>
    </row>
    <row r="413" spans="3:12">
      <c r="C413" s="7">
        <v>407</v>
      </c>
      <c r="D413" s="3">
        <f t="shared" si="45"/>
        <v>4.5199999999999997E-2</v>
      </c>
      <c r="E413" s="3">
        <f t="shared" ca="1" si="47"/>
        <v>3.9600539434239114E-2</v>
      </c>
      <c r="F413" s="3">
        <f t="shared" ca="1" si="47"/>
        <v>3.518837708367531E-2</v>
      </c>
      <c r="G413" s="3">
        <f t="shared" ca="1" si="47"/>
        <v>2.9936444314686509E-2</v>
      </c>
      <c r="H413" s="3">
        <f t="shared" ca="1" si="47"/>
        <v>2.9955240627581932E-2</v>
      </c>
      <c r="I413" s="3">
        <f t="shared" ca="1" si="47"/>
        <v>2.8134347900659312E-2</v>
      </c>
      <c r="J413" s="3">
        <f t="shared" ca="1" si="47"/>
        <v>2.7023288138340477E-2</v>
      </c>
      <c r="K413" s="3">
        <f t="shared" ca="1" si="47"/>
        <v>4.1287932562492385E-2</v>
      </c>
      <c r="L413" s="3">
        <f t="shared" ca="1" si="47"/>
        <v>4.5889331091594487E-2</v>
      </c>
    </row>
    <row r="414" spans="3:12">
      <c r="C414" s="7">
        <v>408</v>
      </c>
      <c r="D414" s="3">
        <f t="shared" si="45"/>
        <v>4.5199999999999997E-2</v>
      </c>
      <c r="E414" s="3">
        <f t="shared" ca="1" si="47"/>
        <v>4.6282393267902462E-2</v>
      </c>
      <c r="F414" s="3">
        <f t="shared" ca="1" si="47"/>
        <v>3.8486332698675643E-2</v>
      </c>
      <c r="G414" s="3">
        <f t="shared" ca="1" si="47"/>
        <v>4.1577213301331566E-2</v>
      </c>
      <c r="H414" s="3">
        <f t="shared" ca="1" si="47"/>
        <v>3.5838183751523707E-2</v>
      </c>
      <c r="I414" s="3">
        <f t="shared" ca="1" si="47"/>
        <v>3.3429298257363529E-2</v>
      </c>
      <c r="J414" s="3">
        <f t="shared" ca="1" si="47"/>
        <v>3.591038045060161E-2</v>
      </c>
      <c r="K414" s="3">
        <f t="shared" ca="1" si="47"/>
        <v>3.5186439870478911E-2</v>
      </c>
      <c r="L414" s="3">
        <f t="shared" ca="1" si="47"/>
        <v>4.3276912328236425E-2</v>
      </c>
    </row>
    <row r="415" spans="3:12">
      <c r="C415" s="7">
        <v>409</v>
      </c>
      <c r="D415" s="3">
        <f t="shared" si="45"/>
        <v>4.5199999999999997E-2</v>
      </c>
      <c r="E415" s="3">
        <f t="shared" ca="1" si="47"/>
        <v>4.4515861076997086E-2</v>
      </c>
      <c r="F415" s="3">
        <f t="shared" ca="1" si="47"/>
        <v>5.2367495157386715E-2</v>
      </c>
      <c r="G415" s="3">
        <f t="shared" ca="1" si="47"/>
        <v>4.9427457916680469E-2</v>
      </c>
      <c r="H415" s="3">
        <f t="shared" ca="1" si="47"/>
        <v>5.909738452886612E-2</v>
      </c>
      <c r="I415" s="3">
        <f t="shared" ca="1" si="47"/>
        <v>6.2174282079876714E-2</v>
      </c>
      <c r="J415" s="3">
        <f t="shared" ca="1" si="47"/>
        <v>5.8641403317767564E-2</v>
      </c>
      <c r="K415" s="3">
        <f t="shared" ca="1" si="47"/>
        <v>6.0017196602235701E-2</v>
      </c>
      <c r="L415" s="3">
        <f t="shared" ca="1" si="47"/>
        <v>6.4646591015664917E-2</v>
      </c>
    </row>
    <row r="416" spans="3:12">
      <c r="C416" s="7">
        <v>410</v>
      </c>
      <c r="D416" s="3">
        <f t="shared" si="45"/>
        <v>4.5199999999999997E-2</v>
      </c>
      <c r="E416" s="3">
        <f t="shared" ca="1" si="47"/>
        <v>4.1776048790509619E-2</v>
      </c>
      <c r="F416" s="3">
        <f t="shared" ca="1" si="47"/>
        <v>5.1263401777125364E-2</v>
      </c>
      <c r="G416" s="3">
        <f t="shared" ca="1" si="47"/>
        <v>4.3192704941235865E-2</v>
      </c>
      <c r="H416" s="3">
        <f t="shared" ca="1" si="47"/>
        <v>3.9215098453543581E-2</v>
      </c>
      <c r="I416" s="3">
        <f t="shared" ca="1" si="47"/>
        <v>3.5317592152842019E-2</v>
      </c>
      <c r="J416" s="3">
        <f t="shared" ca="1" si="47"/>
        <v>2.9519862761967643E-2</v>
      </c>
      <c r="K416" s="3">
        <f t="shared" ca="1" si="47"/>
        <v>3.1527463569544584E-2</v>
      </c>
      <c r="L416" s="3">
        <f t="shared" ca="1" si="47"/>
        <v>3.2786074917249254E-2</v>
      </c>
    </row>
    <row r="417" spans="3:12">
      <c r="C417" s="7">
        <v>411</v>
      </c>
      <c r="D417" s="3">
        <f t="shared" si="45"/>
        <v>4.5199999999999997E-2</v>
      </c>
      <c r="E417" s="3">
        <f t="shared" ref="E417:L426" ca="1" si="48">D417+E$5*dt+sigma*_xlfn.NORM.S.INV(RAND())*SQRT(dt)</f>
        <v>3.5931110559723159E-2</v>
      </c>
      <c r="F417" s="3">
        <f t="shared" ca="1" si="48"/>
        <v>4.3447109731669452E-2</v>
      </c>
      <c r="G417" s="3">
        <f t="shared" ca="1" si="48"/>
        <v>4.2056734515990978E-2</v>
      </c>
      <c r="H417" s="3">
        <f t="shared" ca="1" si="48"/>
        <v>3.5689563532050626E-2</v>
      </c>
      <c r="I417" s="3">
        <f t="shared" ca="1" si="48"/>
        <v>3.5887386492022402E-2</v>
      </c>
      <c r="J417" s="3">
        <f t="shared" ca="1" si="48"/>
        <v>4.3645666466007815E-2</v>
      </c>
      <c r="K417" s="3">
        <f t="shared" ca="1" si="48"/>
        <v>3.8971521516649711E-2</v>
      </c>
      <c r="L417" s="3">
        <f t="shared" ca="1" si="48"/>
        <v>4.445325026332389E-2</v>
      </c>
    </row>
    <row r="418" spans="3:12">
      <c r="C418" s="7">
        <v>412</v>
      </c>
      <c r="D418" s="3">
        <f t="shared" si="45"/>
        <v>4.5199999999999997E-2</v>
      </c>
      <c r="E418" s="3">
        <f t="shared" ca="1" si="48"/>
        <v>3.5609758837157952E-2</v>
      </c>
      <c r="F418" s="3">
        <f t="shared" ca="1" si="48"/>
        <v>3.8365010986035231E-2</v>
      </c>
      <c r="G418" s="3">
        <f t="shared" ca="1" si="48"/>
        <v>3.2369436127479029E-2</v>
      </c>
      <c r="H418" s="3">
        <f t="shared" ca="1" si="48"/>
        <v>3.2637042299808482E-2</v>
      </c>
      <c r="I418" s="3">
        <f t="shared" ca="1" si="48"/>
        <v>2.5011552563484384E-2</v>
      </c>
      <c r="J418" s="3">
        <f t="shared" ca="1" si="48"/>
        <v>3.0276036634698831E-2</v>
      </c>
      <c r="K418" s="3">
        <f t="shared" ca="1" si="48"/>
        <v>3.7009523184114407E-2</v>
      </c>
      <c r="L418" s="3">
        <f t="shared" ca="1" si="48"/>
        <v>3.1650090097711227E-2</v>
      </c>
    </row>
    <row r="419" spans="3:12">
      <c r="C419" s="7">
        <v>413</v>
      </c>
      <c r="D419" s="3">
        <f t="shared" si="45"/>
        <v>4.5199999999999997E-2</v>
      </c>
      <c r="E419" s="3">
        <f t="shared" ca="1" si="48"/>
        <v>5.4798634236612395E-2</v>
      </c>
      <c r="F419" s="3">
        <f t="shared" ca="1" si="48"/>
        <v>4.9801973034613256E-2</v>
      </c>
      <c r="G419" s="3">
        <f t="shared" ca="1" si="48"/>
        <v>4.3066570286414155E-2</v>
      </c>
      <c r="H419" s="3">
        <f t="shared" ca="1" si="48"/>
        <v>4.7371937789085578E-2</v>
      </c>
      <c r="I419" s="3">
        <f t="shared" ca="1" si="48"/>
        <v>5.0905890537391155E-2</v>
      </c>
      <c r="J419" s="3">
        <f t="shared" ca="1" si="48"/>
        <v>4.4842617894900384E-2</v>
      </c>
      <c r="K419" s="3">
        <f t="shared" ca="1" si="48"/>
        <v>4.0796604999939069E-2</v>
      </c>
      <c r="L419" s="3">
        <f t="shared" ca="1" si="48"/>
        <v>3.7558399939674733E-2</v>
      </c>
    </row>
    <row r="420" spans="3:12">
      <c r="C420" s="7">
        <v>414</v>
      </c>
      <c r="D420" s="3">
        <f t="shared" si="45"/>
        <v>4.5199999999999997E-2</v>
      </c>
      <c r="E420" s="3">
        <f t="shared" ca="1" si="48"/>
        <v>4.8697424585898146E-2</v>
      </c>
      <c r="F420" s="3">
        <f t="shared" ca="1" si="48"/>
        <v>5.6233553831578291E-2</v>
      </c>
      <c r="G420" s="3">
        <f t="shared" ca="1" si="48"/>
        <v>4.7138536221958648E-2</v>
      </c>
      <c r="H420" s="3">
        <f t="shared" ca="1" si="48"/>
        <v>4.8724867847340522E-2</v>
      </c>
      <c r="I420" s="3">
        <f t="shared" ca="1" si="48"/>
        <v>4.3130195213971725E-2</v>
      </c>
      <c r="J420" s="3">
        <f t="shared" ca="1" si="48"/>
        <v>5.6745700010830381E-2</v>
      </c>
      <c r="K420" s="3">
        <f t="shared" ca="1" si="48"/>
        <v>4.9785549522961201E-2</v>
      </c>
      <c r="L420" s="3">
        <f t="shared" ca="1" si="48"/>
        <v>5.7695152758765744E-2</v>
      </c>
    </row>
    <row r="421" spans="3:12">
      <c r="C421" s="7">
        <v>415</v>
      </c>
      <c r="D421" s="3">
        <f t="shared" si="45"/>
        <v>4.5199999999999997E-2</v>
      </c>
      <c r="E421" s="3">
        <f t="shared" ca="1" si="48"/>
        <v>5.0458282027141171E-2</v>
      </c>
      <c r="F421" s="3">
        <f t="shared" ca="1" si="48"/>
        <v>5.1163886007256971E-2</v>
      </c>
      <c r="G421" s="3">
        <f t="shared" ca="1" si="48"/>
        <v>4.7783500127458522E-2</v>
      </c>
      <c r="H421" s="3">
        <f t="shared" ca="1" si="48"/>
        <v>4.7056600607612367E-2</v>
      </c>
      <c r="I421" s="3">
        <f t="shared" ca="1" si="48"/>
        <v>4.5901745229336238E-2</v>
      </c>
      <c r="J421" s="3">
        <f t="shared" ca="1" si="48"/>
        <v>4.7897173243930377E-2</v>
      </c>
      <c r="K421" s="3">
        <f t="shared" ca="1" si="48"/>
        <v>4.5004422134658578E-2</v>
      </c>
      <c r="L421" s="3">
        <f t="shared" ca="1" si="48"/>
        <v>4.6733343895498797E-2</v>
      </c>
    </row>
    <row r="422" spans="3:12">
      <c r="C422" s="7">
        <v>416</v>
      </c>
      <c r="D422" s="3">
        <f t="shared" si="45"/>
        <v>4.5199999999999997E-2</v>
      </c>
      <c r="E422" s="3">
        <f t="shared" ca="1" si="48"/>
        <v>5.1800734654001708E-2</v>
      </c>
      <c r="F422" s="3">
        <f t="shared" ca="1" si="48"/>
        <v>5.2224791560394238E-2</v>
      </c>
      <c r="G422" s="3">
        <f t="shared" ca="1" si="48"/>
        <v>4.9984986658888786E-2</v>
      </c>
      <c r="H422" s="3">
        <f t="shared" ca="1" si="48"/>
        <v>5.1365304220905995E-2</v>
      </c>
      <c r="I422" s="3">
        <f t="shared" ca="1" si="48"/>
        <v>5.1945762434083581E-2</v>
      </c>
      <c r="J422" s="3">
        <f t="shared" ca="1" si="48"/>
        <v>4.7945118303125006E-2</v>
      </c>
      <c r="K422" s="3">
        <f t="shared" ca="1" si="48"/>
        <v>4.857490106847364E-2</v>
      </c>
      <c r="L422" s="3">
        <f t="shared" ca="1" si="48"/>
        <v>5.6113406556811254E-2</v>
      </c>
    </row>
    <row r="423" spans="3:12">
      <c r="C423" s="7">
        <v>417</v>
      </c>
      <c r="D423" s="3">
        <f t="shared" si="45"/>
        <v>4.5199999999999997E-2</v>
      </c>
      <c r="E423" s="3">
        <f t="shared" ca="1" si="48"/>
        <v>4.3271402058002145E-2</v>
      </c>
      <c r="F423" s="3">
        <f t="shared" ca="1" si="48"/>
        <v>4.4425010080189287E-2</v>
      </c>
      <c r="G423" s="3">
        <f t="shared" ca="1" si="48"/>
        <v>4.1453400368642181E-2</v>
      </c>
      <c r="H423" s="3">
        <f t="shared" ca="1" si="48"/>
        <v>3.5115509174558912E-2</v>
      </c>
      <c r="I423" s="3">
        <f t="shared" ca="1" si="48"/>
        <v>3.0068348877118449E-2</v>
      </c>
      <c r="J423" s="3">
        <f t="shared" ca="1" si="48"/>
        <v>3.9856444481722382E-2</v>
      </c>
      <c r="K423" s="3">
        <f t="shared" ca="1" si="48"/>
        <v>3.7387514266785771E-2</v>
      </c>
      <c r="L423" s="3">
        <f t="shared" ca="1" si="48"/>
        <v>3.4688801174203407E-2</v>
      </c>
    </row>
    <row r="424" spans="3:12">
      <c r="C424" s="7">
        <v>418</v>
      </c>
      <c r="D424" s="3">
        <f t="shared" si="45"/>
        <v>4.5199999999999997E-2</v>
      </c>
      <c r="E424" s="3">
        <f t="shared" ca="1" si="48"/>
        <v>4.7574500450079701E-2</v>
      </c>
      <c r="F424" s="3">
        <f t="shared" ca="1" si="48"/>
        <v>5.1314620912157653E-2</v>
      </c>
      <c r="G424" s="3">
        <f t="shared" ca="1" si="48"/>
        <v>5.2486427945650331E-2</v>
      </c>
      <c r="H424" s="3">
        <f t="shared" ca="1" si="48"/>
        <v>5.0802066919418333E-2</v>
      </c>
      <c r="I424" s="3">
        <f t="shared" ca="1" si="48"/>
        <v>4.8745709846201017E-2</v>
      </c>
      <c r="J424" s="3">
        <f t="shared" ca="1" si="48"/>
        <v>4.9803052144251632E-2</v>
      </c>
      <c r="K424" s="3">
        <f t="shared" ca="1" si="48"/>
        <v>4.8464019166102289E-2</v>
      </c>
      <c r="L424" s="3">
        <f t="shared" ca="1" si="48"/>
        <v>5.212844324014982E-2</v>
      </c>
    </row>
    <row r="425" spans="3:12">
      <c r="C425" s="7">
        <v>419</v>
      </c>
      <c r="D425" s="3">
        <f t="shared" si="45"/>
        <v>4.5199999999999997E-2</v>
      </c>
      <c r="E425" s="3">
        <f t="shared" ca="1" si="48"/>
        <v>4.4778183469836669E-2</v>
      </c>
      <c r="F425" s="3">
        <f t="shared" ca="1" si="48"/>
        <v>4.3289503109986853E-2</v>
      </c>
      <c r="G425" s="3">
        <f t="shared" ca="1" si="48"/>
        <v>5.0541107416319848E-2</v>
      </c>
      <c r="H425" s="3">
        <f t="shared" ca="1" si="48"/>
        <v>5.1723807650490547E-2</v>
      </c>
      <c r="I425" s="3">
        <f t="shared" ca="1" si="48"/>
        <v>5.3475497795772521E-2</v>
      </c>
      <c r="J425" s="3">
        <f t="shared" ca="1" si="48"/>
        <v>5.7764928186301349E-2</v>
      </c>
      <c r="K425" s="3">
        <f t="shared" ca="1" si="48"/>
        <v>6.0705656710610748E-2</v>
      </c>
      <c r="L425" s="3">
        <f t="shared" ca="1" si="48"/>
        <v>6.2884332445612423E-2</v>
      </c>
    </row>
    <row r="426" spans="3:12">
      <c r="C426" s="7">
        <v>420</v>
      </c>
      <c r="D426" s="3">
        <f t="shared" si="45"/>
        <v>4.5199999999999997E-2</v>
      </c>
      <c r="E426" s="3">
        <f t="shared" ca="1" si="48"/>
        <v>4.9724571367063278E-2</v>
      </c>
      <c r="F426" s="3">
        <f t="shared" ca="1" si="48"/>
        <v>5.0564192928431513E-2</v>
      </c>
      <c r="G426" s="3">
        <f t="shared" ca="1" si="48"/>
        <v>4.6476842984988304E-2</v>
      </c>
      <c r="H426" s="3">
        <f t="shared" ca="1" si="48"/>
        <v>5.058456831973749E-2</v>
      </c>
      <c r="I426" s="3">
        <f t="shared" ca="1" si="48"/>
        <v>4.3723280227081898E-2</v>
      </c>
      <c r="J426" s="3">
        <f t="shared" ca="1" si="48"/>
        <v>4.1780460258889825E-2</v>
      </c>
      <c r="K426" s="3">
        <f t="shared" ca="1" si="48"/>
        <v>4.0729727487594042E-2</v>
      </c>
      <c r="L426" s="3">
        <f t="shared" ca="1" si="48"/>
        <v>3.1566141106220143E-2</v>
      </c>
    </row>
    <row r="427" spans="3:12">
      <c r="C427" s="7">
        <v>421</v>
      </c>
      <c r="D427" s="3">
        <f t="shared" si="45"/>
        <v>4.5199999999999997E-2</v>
      </c>
      <c r="E427" s="3">
        <f t="shared" ref="E427:L436" ca="1" si="49">D427+E$5*dt+sigma*_xlfn.NORM.S.INV(RAND())*SQRT(dt)</f>
        <v>4.5698155148052276E-2</v>
      </c>
      <c r="F427" s="3">
        <f t="shared" ca="1" si="49"/>
        <v>4.8594568651266032E-2</v>
      </c>
      <c r="G427" s="3">
        <f t="shared" ca="1" si="49"/>
        <v>5.0741598950007218E-2</v>
      </c>
      <c r="H427" s="3">
        <f t="shared" ca="1" si="49"/>
        <v>4.7634098105101032E-2</v>
      </c>
      <c r="I427" s="3">
        <f t="shared" ca="1" si="49"/>
        <v>5.2134821064407554E-2</v>
      </c>
      <c r="J427" s="3">
        <f t="shared" ca="1" si="49"/>
        <v>5.2518975996657155E-2</v>
      </c>
      <c r="K427" s="3">
        <f t="shared" ca="1" si="49"/>
        <v>5.3897094164651826E-2</v>
      </c>
      <c r="L427" s="3">
        <f t="shared" ca="1" si="49"/>
        <v>5.4130829667648102E-2</v>
      </c>
    </row>
    <row r="428" spans="3:12">
      <c r="C428" s="7">
        <v>422</v>
      </c>
      <c r="D428" s="3">
        <f t="shared" si="45"/>
        <v>4.5199999999999997E-2</v>
      </c>
      <c r="E428" s="3">
        <f t="shared" ca="1" si="49"/>
        <v>4.4584166606337954E-2</v>
      </c>
      <c r="F428" s="3">
        <f t="shared" ca="1" si="49"/>
        <v>4.1460409687360297E-2</v>
      </c>
      <c r="G428" s="3">
        <f t="shared" ca="1" si="49"/>
        <v>3.984422102595201E-2</v>
      </c>
      <c r="H428" s="3">
        <f t="shared" ca="1" si="49"/>
        <v>4.2625324688804186E-2</v>
      </c>
      <c r="I428" s="3">
        <f t="shared" ca="1" si="49"/>
        <v>4.5651850654863081E-2</v>
      </c>
      <c r="J428" s="3">
        <f t="shared" ca="1" si="49"/>
        <v>4.8201351477080948E-2</v>
      </c>
      <c r="K428" s="3">
        <f t="shared" ca="1" si="49"/>
        <v>4.0660790960017443E-2</v>
      </c>
      <c r="L428" s="3">
        <f t="shared" ca="1" si="49"/>
        <v>5.158460977979841E-2</v>
      </c>
    </row>
    <row r="429" spans="3:12">
      <c r="C429" s="7">
        <v>423</v>
      </c>
      <c r="D429" s="3">
        <f t="shared" si="45"/>
        <v>4.5199999999999997E-2</v>
      </c>
      <c r="E429" s="3">
        <f t="shared" ca="1" si="49"/>
        <v>4.085512986650363E-2</v>
      </c>
      <c r="F429" s="3">
        <f t="shared" ca="1" si="49"/>
        <v>3.7747371056608275E-2</v>
      </c>
      <c r="G429" s="3">
        <f t="shared" ca="1" si="49"/>
        <v>3.6957990813242518E-2</v>
      </c>
      <c r="H429" s="3">
        <f t="shared" ca="1" si="49"/>
        <v>3.2939533038726022E-2</v>
      </c>
      <c r="I429" s="3">
        <f t="shared" ca="1" si="49"/>
        <v>3.8013072951038118E-2</v>
      </c>
      <c r="J429" s="3">
        <f t="shared" ca="1" si="49"/>
        <v>4.2337524490332318E-2</v>
      </c>
      <c r="K429" s="3">
        <f t="shared" ca="1" si="49"/>
        <v>4.6326504696027865E-2</v>
      </c>
      <c r="L429" s="3">
        <f t="shared" ca="1" si="49"/>
        <v>3.9357017742742348E-2</v>
      </c>
    </row>
    <row r="430" spans="3:12">
      <c r="C430" s="7">
        <v>424</v>
      </c>
      <c r="D430" s="3">
        <f t="shared" si="45"/>
        <v>4.5199999999999997E-2</v>
      </c>
      <c r="E430" s="3">
        <f t="shared" ca="1" si="49"/>
        <v>4.9303963456261563E-2</v>
      </c>
      <c r="F430" s="3">
        <f t="shared" ca="1" si="49"/>
        <v>5.0300217496244234E-2</v>
      </c>
      <c r="G430" s="3">
        <f t="shared" ca="1" si="49"/>
        <v>4.836692019546697E-2</v>
      </c>
      <c r="H430" s="3">
        <f t="shared" ca="1" si="49"/>
        <v>4.3610743763999073E-2</v>
      </c>
      <c r="I430" s="3">
        <f t="shared" ca="1" si="49"/>
        <v>4.3233252053928382E-2</v>
      </c>
      <c r="J430" s="3">
        <f t="shared" ca="1" si="49"/>
        <v>4.2425907941379147E-2</v>
      </c>
      <c r="K430" s="3">
        <f t="shared" ca="1" si="49"/>
        <v>4.4232891804568721E-2</v>
      </c>
      <c r="L430" s="3">
        <f t="shared" ca="1" si="49"/>
        <v>4.1264548245483375E-2</v>
      </c>
    </row>
    <row r="431" spans="3:12">
      <c r="C431" s="7">
        <v>425</v>
      </c>
      <c r="D431" s="3">
        <f t="shared" si="45"/>
        <v>4.5199999999999997E-2</v>
      </c>
      <c r="E431" s="3">
        <f t="shared" ca="1" si="49"/>
        <v>4.857765932126229E-2</v>
      </c>
      <c r="F431" s="3">
        <f t="shared" ca="1" si="49"/>
        <v>4.824130247690691E-2</v>
      </c>
      <c r="G431" s="3">
        <f t="shared" ca="1" si="49"/>
        <v>4.9171294388800892E-2</v>
      </c>
      <c r="H431" s="3">
        <f t="shared" ca="1" si="49"/>
        <v>5.1979266927873663E-2</v>
      </c>
      <c r="I431" s="3">
        <f t="shared" ca="1" si="49"/>
        <v>5.2700603042240286E-2</v>
      </c>
      <c r="J431" s="3">
        <f t="shared" ca="1" si="49"/>
        <v>6.0076437401658245E-2</v>
      </c>
      <c r="K431" s="3">
        <f t="shared" ca="1" si="49"/>
        <v>5.461173285558274E-2</v>
      </c>
      <c r="L431" s="3">
        <f t="shared" ca="1" si="49"/>
        <v>5.7650413344594448E-2</v>
      </c>
    </row>
    <row r="432" spans="3:12">
      <c r="C432" s="7">
        <v>426</v>
      </c>
      <c r="D432" s="3">
        <f t="shared" si="45"/>
        <v>4.5199999999999997E-2</v>
      </c>
      <c r="E432" s="3">
        <f t="shared" ca="1" si="49"/>
        <v>4.1701496379485628E-2</v>
      </c>
      <c r="F432" s="3">
        <f t="shared" ca="1" si="49"/>
        <v>4.0637030281349219E-2</v>
      </c>
      <c r="G432" s="3">
        <f t="shared" ca="1" si="49"/>
        <v>3.6057313474039801E-2</v>
      </c>
      <c r="H432" s="3">
        <f t="shared" ca="1" si="49"/>
        <v>3.8190761469357841E-2</v>
      </c>
      <c r="I432" s="3">
        <f t="shared" ca="1" si="49"/>
        <v>4.2757029087453831E-2</v>
      </c>
      <c r="J432" s="3">
        <f t="shared" ca="1" si="49"/>
        <v>4.1823624430972227E-2</v>
      </c>
      <c r="K432" s="3">
        <f t="shared" ca="1" si="49"/>
        <v>3.7264092847178742E-2</v>
      </c>
      <c r="L432" s="3">
        <f t="shared" ca="1" si="49"/>
        <v>3.1793460864026742E-2</v>
      </c>
    </row>
    <row r="433" spans="3:12">
      <c r="C433" s="7">
        <v>427</v>
      </c>
      <c r="D433" s="3">
        <f t="shared" si="45"/>
        <v>4.5199999999999997E-2</v>
      </c>
      <c r="E433" s="3">
        <f t="shared" ca="1" si="49"/>
        <v>5.1122429328874272E-2</v>
      </c>
      <c r="F433" s="3">
        <f t="shared" ca="1" si="49"/>
        <v>5.6660967483669007E-2</v>
      </c>
      <c r="G433" s="3">
        <f t="shared" ca="1" si="49"/>
        <v>5.930939792096037E-2</v>
      </c>
      <c r="H433" s="3">
        <f t="shared" ca="1" si="49"/>
        <v>6.1906342584729664E-2</v>
      </c>
      <c r="I433" s="3">
        <f t="shared" ca="1" si="49"/>
        <v>5.9153386304438234E-2</v>
      </c>
      <c r="J433" s="3">
        <f t="shared" ca="1" si="49"/>
        <v>5.4248218410651992E-2</v>
      </c>
      <c r="K433" s="3">
        <f t="shared" ca="1" si="49"/>
        <v>5.467745735198816E-2</v>
      </c>
      <c r="L433" s="3">
        <f t="shared" ca="1" si="49"/>
        <v>5.2976444638019829E-2</v>
      </c>
    </row>
    <row r="434" spans="3:12">
      <c r="C434" s="7">
        <v>428</v>
      </c>
      <c r="D434" s="3">
        <f t="shared" si="45"/>
        <v>4.5199999999999997E-2</v>
      </c>
      <c r="E434" s="3">
        <f t="shared" ca="1" si="49"/>
        <v>3.3465133806008462E-2</v>
      </c>
      <c r="F434" s="3">
        <f t="shared" ca="1" si="49"/>
        <v>3.624351402343496E-2</v>
      </c>
      <c r="G434" s="3">
        <f t="shared" ca="1" si="49"/>
        <v>3.4216042062262322E-2</v>
      </c>
      <c r="H434" s="3">
        <f t="shared" ca="1" si="49"/>
        <v>3.1247060128267841E-2</v>
      </c>
      <c r="I434" s="3">
        <f t="shared" ca="1" si="49"/>
        <v>3.2475695471486508E-2</v>
      </c>
      <c r="J434" s="3">
        <f t="shared" ca="1" si="49"/>
        <v>4.2389948700059008E-2</v>
      </c>
      <c r="K434" s="3">
        <f t="shared" ca="1" si="49"/>
        <v>3.5855867863035983E-2</v>
      </c>
      <c r="L434" s="3">
        <f t="shared" ca="1" si="49"/>
        <v>3.7555278273211326E-2</v>
      </c>
    </row>
    <row r="435" spans="3:12">
      <c r="C435" s="7">
        <v>429</v>
      </c>
      <c r="D435" s="3">
        <f t="shared" si="45"/>
        <v>4.5199999999999997E-2</v>
      </c>
      <c r="E435" s="3">
        <f t="shared" ca="1" si="49"/>
        <v>4.109102310265559E-2</v>
      </c>
      <c r="F435" s="3">
        <f t="shared" ca="1" si="49"/>
        <v>4.1516647844435775E-2</v>
      </c>
      <c r="G435" s="3">
        <f t="shared" ca="1" si="49"/>
        <v>4.4617932415424041E-2</v>
      </c>
      <c r="H435" s="3">
        <f t="shared" ca="1" si="49"/>
        <v>5.3245644586098539E-2</v>
      </c>
      <c r="I435" s="3">
        <f t="shared" ca="1" si="49"/>
        <v>5.0419582262647103E-2</v>
      </c>
      <c r="J435" s="3">
        <f t="shared" ca="1" si="49"/>
        <v>5.5228291399789027E-2</v>
      </c>
      <c r="K435" s="3">
        <f t="shared" ca="1" si="49"/>
        <v>5.106017358579492E-2</v>
      </c>
      <c r="L435" s="3">
        <f t="shared" ca="1" si="49"/>
        <v>5.6277449316767057E-2</v>
      </c>
    </row>
    <row r="436" spans="3:12">
      <c r="C436" s="7">
        <v>430</v>
      </c>
      <c r="D436" s="3">
        <f t="shared" si="45"/>
        <v>4.5199999999999997E-2</v>
      </c>
      <c r="E436" s="3">
        <f t="shared" ca="1" si="49"/>
        <v>3.6762157425433581E-2</v>
      </c>
      <c r="F436" s="3">
        <f t="shared" ca="1" si="49"/>
        <v>3.7362442358834236E-2</v>
      </c>
      <c r="G436" s="3">
        <f t="shared" ca="1" si="49"/>
        <v>4.0445247596983792E-2</v>
      </c>
      <c r="H436" s="3">
        <f t="shared" ca="1" si="49"/>
        <v>3.7324978148498202E-2</v>
      </c>
      <c r="I436" s="3">
        <f t="shared" ca="1" si="49"/>
        <v>4.2903465014598414E-2</v>
      </c>
      <c r="J436" s="3">
        <f t="shared" ca="1" si="49"/>
        <v>4.2460584678342711E-2</v>
      </c>
      <c r="K436" s="3">
        <f t="shared" ca="1" si="49"/>
        <v>3.9361711248156413E-2</v>
      </c>
      <c r="L436" s="3">
        <f t="shared" ca="1" si="49"/>
        <v>4.5096454242783794E-2</v>
      </c>
    </row>
    <row r="437" spans="3:12">
      <c r="C437" s="7">
        <v>431</v>
      </c>
      <c r="D437" s="3">
        <f t="shared" si="45"/>
        <v>4.5199999999999997E-2</v>
      </c>
      <c r="E437" s="3">
        <f t="shared" ref="E437:L446" ca="1" si="50">D437+E$5*dt+sigma*_xlfn.NORM.S.INV(RAND())*SQRT(dt)</f>
        <v>4.2804004904291544E-2</v>
      </c>
      <c r="F437" s="3">
        <f t="shared" ca="1" si="50"/>
        <v>4.6883721048417655E-2</v>
      </c>
      <c r="G437" s="3">
        <f t="shared" ca="1" si="50"/>
        <v>4.0220128271395039E-2</v>
      </c>
      <c r="H437" s="3">
        <f t="shared" ca="1" si="50"/>
        <v>5.2179806710306448E-2</v>
      </c>
      <c r="I437" s="3">
        <f t="shared" ca="1" si="50"/>
        <v>4.1030971594805517E-2</v>
      </c>
      <c r="J437" s="3">
        <f t="shared" ca="1" si="50"/>
        <v>5.3578374892273142E-2</v>
      </c>
      <c r="K437" s="3">
        <f t="shared" ca="1" si="50"/>
        <v>5.4759754603124877E-2</v>
      </c>
      <c r="L437" s="3">
        <f t="shared" ca="1" si="50"/>
        <v>4.9721758282524613E-2</v>
      </c>
    </row>
    <row r="438" spans="3:12">
      <c r="C438" s="7">
        <v>432</v>
      </c>
      <c r="D438" s="3">
        <f t="shared" si="45"/>
        <v>4.5199999999999997E-2</v>
      </c>
      <c r="E438" s="3">
        <f t="shared" ca="1" si="50"/>
        <v>4.0704913385870838E-2</v>
      </c>
      <c r="F438" s="3">
        <f t="shared" ca="1" si="50"/>
        <v>5.5561096752496743E-2</v>
      </c>
      <c r="G438" s="3">
        <f t="shared" ca="1" si="50"/>
        <v>5.2527550329708142E-2</v>
      </c>
      <c r="H438" s="3">
        <f t="shared" ca="1" si="50"/>
        <v>4.9991107809306802E-2</v>
      </c>
      <c r="I438" s="3">
        <f t="shared" ca="1" si="50"/>
        <v>3.8867045640733996E-2</v>
      </c>
      <c r="J438" s="3">
        <f t="shared" ca="1" si="50"/>
        <v>3.5219020540097852E-2</v>
      </c>
      <c r="K438" s="3">
        <f t="shared" ca="1" si="50"/>
        <v>4.0672022914420985E-2</v>
      </c>
      <c r="L438" s="3">
        <f t="shared" ca="1" si="50"/>
        <v>4.2720614964113876E-2</v>
      </c>
    </row>
    <row r="439" spans="3:12">
      <c r="C439" s="7">
        <v>433</v>
      </c>
      <c r="D439" s="3">
        <f t="shared" si="45"/>
        <v>4.5199999999999997E-2</v>
      </c>
      <c r="E439" s="3">
        <f t="shared" ca="1" si="50"/>
        <v>4.6318323225612704E-2</v>
      </c>
      <c r="F439" s="3">
        <f t="shared" ca="1" si="50"/>
        <v>4.5034649545731227E-2</v>
      </c>
      <c r="G439" s="3">
        <f t="shared" ca="1" si="50"/>
        <v>5.1237605577273436E-2</v>
      </c>
      <c r="H439" s="3">
        <f t="shared" ca="1" si="50"/>
        <v>5.3896816505725087E-2</v>
      </c>
      <c r="I439" s="3">
        <f t="shared" ca="1" si="50"/>
        <v>5.3198893476912576E-2</v>
      </c>
      <c r="J439" s="3">
        <f t="shared" ca="1" si="50"/>
        <v>5.2796272221139369E-2</v>
      </c>
      <c r="K439" s="3">
        <f t="shared" ca="1" si="50"/>
        <v>5.5716953382779731E-2</v>
      </c>
      <c r="L439" s="3">
        <f t="shared" ca="1" si="50"/>
        <v>6.547780879636389E-2</v>
      </c>
    </row>
    <row r="440" spans="3:12">
      <c r="C440" s="7">
        <v>434</v>
      </c>
      <c r="D440" s="3">
        <f t="shared" si="45"/>
        <v>4.5199999999999997E-2</v>
      </c>
      <c r="E440" s="3">
        <f t="shared" ca="1" si="50"/>
        <v>4.3188237908091044E-2</v>
      </c>
      <c r="F440" s="3">
        <f t="shared" ca="1" si="50"/>
        <v>3.797855964411008E-2</v>
      </c>
      <c r="G440" s="3">
        <f t="shared" ca="1" si="50"/>
        <v>4.5813546689914657E-2</v>
      </c>
      <c r="H440" s="3">
        <f t="shared" ca="1" si="50"/>
        <v>5.1735034055140058E-2</v>
      </c>
      <c r="I440" s="3">
        <f t="shared" ca="1" si="50"/>
        <v>5.6211937309123751E-2</v>
      </c>
      <c r="J440" s="3">
        <f t="shared" ca="1" si="50"/>
        <v>5.5311289352438724E-2</v>
      </c>
      <c r="K440" s="3">
        <f t="shared" ca="1" si="50"/>
        <v>5.0212527743654645E-2</v>
      </c>
      <c r="L440" s="3">
        <f t="shared" ca="1" si="50"/>
        <v>5.15579714793769E-2</v>
      </c>
    </row>
    <row r="441" spans="3:12">
      <c r="C441" s="7">
        <v>435</v>
      </c>
      <c r="D441" s="3">
        <f t="shared" si="45"/>
        <v>4.5199999999999997E-2</v>
      </c>
      <c r="E441" s="3">
        <f t="shared" ca="1" si="50"/>
        <v>4.0902250659415121E-2</v>
      </c>
      <c r="F441" s="3">
        <f t="shared" ca="1" si="50"/>
        <v>5.2458750702301597E-2</v>
      </c>
      <c r="G441" s="3">
        <f t="shared" ca="1" si="50"/>
        <v>4.852651802391425E-2</v>
      </c>
      <c r="H441" s="3">
        <f t="shared" ca="1" si="50"/>
        <v>5.601520266844319E-2</v>
      </c>
      <c r="I441" s="3">
        <f t="shared" ca="1" si="50"/>
        <v>5.8512141965791825E-2</v>
      </c>
      <c r="J441" s="3">
        <f t="shared" ca="1" si="50"/>
        <v>6.2177172110497204E-2</v>
      </c>
      <c r="K441" s="3">
        <f t="shared" ca="1" si="50"/>
        <v>6.2331746012690148E-2</v>
      </c>
      <c r="L441" s="3">
        <f t="shared" ca="1" si="50"/>
        <v>7.0197825146496709E-2</v>
      </c>
    </row>
    <row r="442" spans="3:12">
      <c r="C442" s="7">
        <v>436</v>
      </c>
      <c r="D442" s="3">
        <f t="shared" si="45"/>
        <v>4.5199999999999997E-2</v>
      </c>
      <c r="E442" s="3">
        <f t="shared" ca="1" si="50"/>
        <v>4.2082341435684761E-2</v>
      </c>
      <c r="F442" s="3">
        <f t="shared" ca="1" si="50"/>
        <v>4.5975202551536962E-2</v>
      </c>
      <c r="G442" s="3">
        <f t="shared" ca="1" si="50"/>
        <v>4.421628795648392E-2</v>
      </c>
      <c r="H442" s="3">
        <f t="shared" ca="1" si="50"/>
        <v>4.9559760040005542E-2</v>
      </c>
      <c r="I442" s="3">
        <f t="shared" ca="1" si="50"/>
        <v>5.0500513880022302E-2</v>
      </c>
      <c r="J442" s="3">
        <f t="shared" ca="1" si="50"/>
        <v>5.9656985024850354E-2</v>
      </c>
      <c r="K442" s="3">
        <f t="shared" ca="1" si="50"/>
        <v>5.696324465297864E-2</v>
      </c>
      <c r="L442" s="3">
        <f t="shared" ca="1" si="50"/>
        <v>6.3926248922833231E-2</v>
      </c>
    </row>
    <row r="443" spans="3:12">
      <c r="C443" s="7">
        <v>437</v>
      </c>
      <c r="D443" s="3">
        <f t="shared" si="45"/>
        <v>4.5199999999999997E-2</v>
      </c>
      <c r="E443" s="3">
        <f t="shared" ca="1" si="50"/>
        <v>4.9382030373963284E-2</v>
      </c>
      <c r="F443" s="3">
        <f t="shared" ca="1" si="50"/>
        <v>5.8526373042068432E-2</v>
      </c>
      <c r="G443" s="3">
        <f t="shared" ca="1" si="50"/>
        <v>5.7891702202331641E-2</v>
      </c>
      <c r="H443" s="3">
        <f t="shared" ca="1" si="50"/>
        <v>6.0475010709380488E-2</v>
      </c>
      <c r="I443" s="3">
        <f t="shared" ca="1" si="50"/>
        <v>6.8612240198623192E-2</v>
      </c>
      <c r="J443" s="3">
        <f t="shared" ca="1" si="50"/>
        <v>6.4558727488527215E-2</v>
      </c>
      <c r="K443" s="3">
        <f t="shared" ca="1" si="50"/>
        <v>6.8856545807557096E-2</v>
      </c>
      <c r="L443" s="3">
        <f t="shared" ca="1" si="50"/>
        <v>7.5706186827748073E-2</v>
      </c>
    </row>
    <row r="444" spans="3:12">
      <c r="C444" s="7">
        <v>438</v>
      </c>
      <c r="D444" s="3">
        <f t="shared" si="45"/>
        <v>4.5199999999999997E-2</v>
      </c>
      <c r="E444" s="3">
        <f t="shared" ca="1" si="50"/>
        <v>4.333142044980462E-2</v>
      </c>
      <c r="F444" s="3">
        <f t="shared" ca="1" si="50"/>
        <v>5.1994558280302437E-2</v>
      </c>
      <c r="G444" s="3">
        <f t="shared" ca="1" si="50"/>
        <v>5.1741866900137518E-2</v>
      </c>
      <c r="H444" s="3">
        <f t="shared" ca="1" si="50"/>
        <v>4.883269277305393E-2</v>
      </c>
      <c r="I444" s="3">
        <f t="shared" ca="1" si="50"/>
        <v>4.2443131012775054E-2</v>
      </c>
      <c r="J444" s="3">
        <f t="shared" ca="1" si="50"/>
        <v>3.3088289565215298E-2</v>
      </c>
      <c r="K444" s="3">
        <f t="shared" ca="1" si="50"/>
        <v>2.5153319684505848E-2</v>
      </c>
      <c r="L444" s="3">
        <f t="shared" ca="1" si="50"/>
        <v>2.9691250647524085E-2</v>
      </c>
    </row>
    <row r="445" spans="3:12">
      <c r="C445" s="7">
        <v>439</v>
      </c>
      <c r="D445" s="3">
        <f t="shared" si="45"/>
        <v>4.5199999999999997E-2</v>
      </c>
      <c r="E445" s="3">
        <f t="shared" ca="1" si="50"/>
        <v>3.5811511567708856E-2</v>
      </c>
      <c r="F445" s="3">
        <f t="shared" ca="1" si="50"/>
        <v>4.2293276925173706E-2</v>
      </c>
      <c r="G445" s="3">
        <f t="shared" ca="1" si="50"/>
        <v>4.2289814481909049E-2</v>
      </c>
      <c r="H445" s="3">
        <f t="shared" ca="1" si="50"/>
        <v>4.2304579463533526E-2</v>
      </c>
      <c r="I445" s="3">
        <f t="shared" ca="1" si="50"/>
        <v>4.7119327963463013E-2</v>
      </c>
      <c r="J445" s="3">
        <f t="shared" ca="1" si="50"/>
        <v>4.3273037890244684E-2</v>
      </c>
      <c r="K445" s="3">
        <f t="shared" ca="1" si="50"/>
        <v>4.3085836127203424E-2</v>
      </c>
      <c r="L445" s="3">
        <f t="shared" ca="1" si="50"/>
        <v>4.1586954855265076E-2</v>
      </c>
    </row>
    <row r="446" spans="3:12">
      <c r="C446" s="7">
        <v>440</v>
      </c>
      <c r="D446" s="3">
        <f t="shared" si="45"/>
        <v>4.5199999999999997E-2</v>
      </c>
      <c r="E446" s="3">
        <f t="shared" ca="1" si="50"/>
        <v>4.8366867655490621E-2</v>
      </c>
      <c r="F446" s="3">
        <f t="shared" ca="1" si="50"/>
        <v>5.0639141519744822E-2</v>
      </c>
      <c r="G446" s="3">
        <f t="shared" ca="1" si="50"/>
        <v>5.3206478507776184E-2</v>
      </c>
      <c r="H446" s="3">
        <f t="shared" ca="1" si="50"/>
        <v>4.6515338391827678E-2</v>
      </c>
      <c r="I446" s="3">
        <f t="shared" ca="1" si="50"/>
        <v>5.0746904614263011E-2</v>
      </c>
      <c r="J446" s="3">
        <f t="shared" ca="1" si="50"/>
        <v>5.1408011897280788E-2</v>
      </c>
      <c r="K446" s="3">
        <f t="shared" ca="1" si="50"/>
        <v>4.413619049836371E-2</v>
      </c>
      <c r="L446" s="3">
        <f t="shared" ca="1" si="50"/>
        <v>5.2678605467943548E-2</v>
      </c>
    </row>
    <row r="447" spans="3:12">
      <c r="C447" s="7">
        <v>441</v>
      </c>
      <c r="D447" s="3">
        <f t="shared" si="45"/>
        <v>4.5199999999999997E-2</v>
      </c>
      <c r="E447" s="3">
        <f t="shared" ref="E447:L456" ca="1" si="51">D447+E$5*dt+sigma*_xlfn.NORM.S.INV(RAND())*SQRT(dt)</f>
        <v>4.6791673025831461E-2</v>
      </c>
      <c r="F447" s="3">
        <f t="shared" ca="1" si="51"/>
        <v>4.3028459645714723E-2</v>
      </c>
      <c r="G447" s="3">
        <f t="shared" ca="1" si="51"/>
        <v>4.1321201408188249E-2</v>
      </c>
      <c r="H447" s="3">
        <f t="shared" ca="1" si="51"/>
        <v>4.476672425151014E-2</v>
      </c>
      <c r="I447" s="3">
        <f t="shared" ca="1" si="51"/>
        <v>4.484783764193026E-2</v>
      </c>
      <c r="J447" s="3">
        <f t="shared" ca="1" si="51"/>
        <v>4.7066557592104472E-2</v>
      </c>
      <c r="K447" s="3">
        <f t="shared" ca="1" si="51"/>
        <v>4.7684581941550397E-2</v>
      </c>
      <c r="L447" s="3">
        <f t="shared" ca="1" si="51"/>
        <v>5.0642003380060155E-2</v>
      </c>
    </row>
    <row r="448" spans="3:12">
      <c r="C448" s="7">
        <v>442</v>
      </c>
      <c r="D448" s="3">
        <f t="shared" si="45"/>
        <v>4.5199999999999997E-2</v>
      </c>
      <c r="E448" s="3">
        <f t="shared" ca="1" si="51"/>
        <v>5.0755828512753558E-2</v>
      </c>
      <c r="F448" s="3">
        <f t="shared" ca="1" si="51"/>
        <v>5.3087875806035308E-2</v>
      </c>
      <c r="G448" s="3">
        <f t="shared" ca="1" si="51"/>
        <v>5.138283406841427E-2</v>
      </c>
      <c r="H448" s="3">
        <f t="shared" ca="1" si="51"/>
        <v>5.3169912399081289E-2</v>
      </c>
      <c r="I448" s="3">
        <f t="shared" ca="1" si="51"/>
        <v>4.4797667580422598E-2</v>
      </c>
      <c r="J448" s="3">
        <f t="shared" ca="1" si="51"/>
        <v>4.5150038585277989E-2</v>
      </c>
      <c r="K448" s="3">
        <f t="shared" ca="1" si="51"/>
        <v>4.6599595164057463E-2</v>
      </c>
      <c r="L448" s="3">
        <f t="shared" ca="1" si="51"/>
        <v>4.9955400295470666E-2</v>
      </c>
    </row>
    <row r="449" spans="3:12">
      <c r="C449" s="7">
        <v>443</v>
      </c>
      <c r="D449" s="3">
        <f t="shared" si="45"/>
        <v>4.5199999999999997E-2</v>
      </c>
      <c r="E449" s="3">
        <f t="shared" ca="1" si="51"/>
        <v>3.2661460562337742E-2</v>
      </c>
      <c r="F449" s="3">
        <f t="shared" ca="1" si="51"/>
        <v>3.4138064816938769E-2</v>
      </c>
      <c r="G449" s="3">
        <f t="shared" ca="1" si="51"/>
        <v>4.3354399769897405E-2</v>
      </c>
      <c r="H449" s="3">
        <f t="shared" ca="1" si="51"/>
        <v>5.4619666423630905E-2</v>
      </c>
      <c r="I449" s="3">
        <f t="shared" ca="1" si="51"/>
        <v>5.3473369765928647E-2</v>
      </c>
      <c r="J449" s="3">
        <f t="shared" ca="1" si="51"/>
        <v>5.747033249104791E-2</v>
      </c>
      <c r="K449" s="3">
        <f t="shared" ca="1" si="51"/>
        <v>5.288172270270159E-2</v>
      </c>
      <c r="L449" s="3">
        <f t="shared" ca="1" si="51"/>
        <v>6.3485785421492955E-2</v>
      </c>
    </row>
    <row r="450" spans="3:12">
      <c r="C450" s="7">
        <v>444</v>
      </c>
      <c r="D450" s="3">
        <f t="shared" si="45"/>
        <v>4.5199999999999997E-2</v>
      </c>
      <c r="E450" s="3">
        <f t="shared" ca="1" si="51"/>
        <v>5.0313130673067023E-2</v>
      </c>
      <c r="F450" s="3">
        <f t="shared" ca="1" si="51"/>
        <v>5.1231283062984578E-2</v>
      </c>
      <c r="G450" s="3">
        <f t="shared" ca="1" si="51"/>
        <v>4.9583840621030481E-2</v>
      </c>
      <c r="H450" s="3">
        <f t="shared" ca="1" si="51"/>
        <v>4.5018200298020845E-2</v>
      </c>
      <c r="I450" s="3">
        <f t="shared" ca="1" si="51"/>
        <v>4.6170424219593546E-2</v>
      </c>
      <c r="J450" s="3">
        <f t="shared" ca="1" si="51"/>
        <v>4.665798338708245E-2</v>
      </c>
      <c r="K450" s="3">
        <f t="shared" ca="1" si="51"/>
        <v>4.5385734134272514E-2</v>
      </c>
      <c r="L450" s="3">
        <f t="shared" ca="1" si="51"/>
        <v>5.1855793048576848E-2</v>
      </c>
    </row>
    <row r="451" spans="3:12">
      <c r="C451" s="7">
        <v>445</v>
      </c>
      <c r="D451" s="3">
        <f t="shared" si="45"/>
        <v>4.5199999999999997E-2</v>
      </c>
      <c r="E451" s="3">
        <f t="shared" ca="1" si="51"/>
        <v>4.4143456216089408E-2</v>
      </c>
      <c r="F451" s="3">
        <f t="shared" ca="1" si="51"/>
        <v>5.2391741307647802E-2</v>
      </c>
      <c r="G451" s="3">
        <f t="shared" ca="1" si="51"/>
        <v>5.3664402496387313E-2</v>
      </c>
      <c r="H451" s="3">
        <f t="shared" ca="1" si="51"/>
        <v>5.9168959359484873E-2</v>
      </c>
      <c r="I451" s="3">
        <f t="shared" ca="1" si="51"/>
        <v>5.4702990883206369E-2</v>
      </c>
      <c r="J451" s="3">
        <f t="shared" ca="1" si="51"/>
        <v>5.8728623693694443E-2</v>
      </c>
      <c r="K451" s="3">
        <f t="shared" ca="1" si="51"/>
        <v>5.4833131623736556E-2</v>
      </c>
      <c r="L451" s="3">
        <f t="shared" ca="1" si="51"/>
        <v>6.2745728378736668E-2</v>
      </c>
    </row>
    <row r="452" spans="3:12">
      <c r="C452" s="7">
        <v>446</v>
      </c>
      <c r="D452" s="3">
        <f t="shared" si="45"/>
        <v>4.5199999999999997E-2</v>
      </c>
      <c r="E452" s="3">
        <f t="shared" ca="1" si="51"/>
        <v>4.2770078734813949E-2</v>
      </c>
      <c r="F452" s="3">
        <f t="shared" ca="1" si="51"/>
        <v>4.5812284419004742E-2</v>
      </c>
      <c r="G452" s="3">
        <f t="shared" ca="1" si="51"/>
        <v>4.8612477853391026E-2</v>
      </c>
      <c r="H452" s="3">
        <f t="shared" ca="1" si="51"/>
        <v>4.3403565524190599E-2</v>
      </c>
      <c r="I452" s="3">
        <f t="shared" ca="1" si="51"/>
        <v>4.0045388022671873E-2</v>
      </c>
      <c r="J452" s="3">
        <f t="shared" ca="1" si="51"/>
        <v>3.6628950991927367E-2</v>
      </c>
      <c r="K452" s="3">
        <f t="shared" ca="1" si="51"/>
        <v>3.1195836594696907E-2</v>
      </c>
      <c r="L452" s="3">
        <f t="shared" ca="1" si="51"/>
        <v>3.7935597461084922E-2</v>
      </c>
    </row>
    <row r="453" spans="3:12">
      <c r="C453" s="7">
        <v>447</v>
      </c>
      <c r="D453" s="3">
        <f t="shared" si="45"/>
        <v>4.5199999999999997E-2</v>
      </c>
      <c r="E453" s="3">
        <f t="shared" ca="1" si="51"/>
        <v>4.5204343325862296E-2</v>
      </c>
      <c r="F453" s="3">
        <f t="shared" ca="1" si="51"/>
        <v>6.6285081514133551E-2</v>
      </c>
      <c r="G453" s="3">
        <f t="shared" ca="1" si="51"/>
        <v>6.0632397704307978E-2</v>
      </c>
      <c r="H453" s="3">
        <f t="shared" ca="1" si="51"/>
        <v>6.2439767840970613E-2</v>
      </c>
      <c r="I453" s="3">
        <f t="shared" ca="1" si="51"/>
        <v>6.3437066695086836E-2</v>
      </c>
      <c r="J453" s="3">
        <f t="shared" ca="1" si="51"/>
        <v>7.0150091590407609E-2</v>
      </c>
      <c r="K453" s="3">
        <f t="shared" ca="1" si="51"/>
        <v>7.0396971896417901E-2</v>
      </c>
      <c r="L453" s="3">
        <f t="shared" ca="1" si="51"/>
        <v>6.801567919997728E-2</v>
      </c>
    </row>
    <row r="454" spans="3:12">
      <c r="C454" s="7">
        <v>448</v>
      </c>
      <c r="D454" s="3">
        <f t="shared" si="45"/>
        <v>4.5199999999999997E-2</v>
      </c>
      <c r="E454" s="3">
        <f t="shared" ca="1" si="51"/>
        <v>4.7306213918614698E-2</v>
      </c>
      <c r="F454" s="3">
        <f t="shared" ca="1" si="51"/>
        <v>4.5553041649358167E-2</v>
      </c>
      <c r="G454" s="3">
        <f t="shared" ca="1" si="51"/>
        <v>4.0704720221349376E-2</v>
      </c>
      <c r="H454" s="3">
        <f t="shared" ca="1" si="51"/>
        <v>3.9623312082542432E-2</v>
      </c>
      <c r="I454" s="3">
        <f t="shared" ca="1" si="51"/>
        <v>3.9399107919114822E-2</v>
      </c>
      <c r="J454" s="3">
        <f t="shared" ca="1" si="51"/>
        <v>4.9544813590513791E-2</v>
      </c>
      <c r="K454" s="3">
        <f t="shared" ca="1" si="51"/>
        <v>4.6622689556693631E-2</v>
      </c>
      <c r="L454" s="3">
        <f t="shared" ca="1" si="51"/>
        <v>5.8598786568807917E-2</v>
      </c>
    </row>
    <row r="455" spans="3:12">
      <c r="C455" s="7">
        <v>449</v>
      </c>
      <c r="D455" s="3">
        <f t="shared" ref="D455:D518" si="52">r0</f>
        <v>4.5199999999999997E-2</v>
      </c>
      <c r="E455" s="3">
        <f t="shared" ca="1" si="51"/>
        <v>4.1303036567415186E-2</v>
      </c>
      <c r="F455" s="3">
        <f t="shared" ca="1" si="51"/>
        <v>4.2286419552398209E-2</v>
      </c>
      <c r="G455" s="3">
        <f t="shared" ca="1" si="51"/>
        <v>4.1509746646104392E-2</v>
      </c>
      <c r="H455" s="3">
        <f t="shared" ca="1" si="51"/>
        <v>4.6575831193952116E-2</v>
      </c>
      <c r="I455" s="3">
        <f t="shared" ca="1" si="51"/>
        <v>5.0250983782931406E-2</v>
      </c>
      <c r="J455" s="3">
        <f t="shared" ca="1" si="51"/>
        <v>5.9344695309739216E-2</v>
      </c>
      <c r="K455" s="3">
        <f t="shared" ca="1" si="51"/>
        <v>6.3508841716389097E-2</v>
      </c>
      <c r="L455" s="3">
        <f t="shared" ca="1" si="51"/>
        <v>5.9243525861747172E-2</v>
      </c>
    </row>
    <row r="456" spans="3:12">
      <c r="C456" s="7">
        <v>450</v>
      </c>
      <c r="D456" s="3">
        <f t="shared" si="52"/>
        <v>4.5199999999999997E-2</v>
      </c>
      <c r="E456" s="3">
        <f t="shared" ca="1" si="51"/>
        <v>4.2133887751525829E-2</v>
      </c>
      <c r="F456" s="3">
        <f t="shared" ca="1" si="51"/>
        <v>4.2737152189389442E-2</v>
      </c>
      <c r="G456" s="3">
        <f t="shared" ca="1" si="51"/>
        <v>4.7918065228301714E-2</v>
      </c>
      <c r="H456" s="3">
        <f t="shared" ca="1" si="51"/>
        <v>4.7449914397170556E-2</v>
      </c>
      <c r="I456" s="3">
        <f t="shared" ca="1" si="51"/>
        <v>3.9447967210277761E-2</v>
      </c>
      <c r="J456" s="3">
        <f t="shared" ca="1" si="51"/>
        <v>4.8591015957684502E-2</v>
      </c>
      <c r="K456" s="3">
        <f t="shared" ca="1" si="51"/>
        <v>5.4216499855320351E-2</v>
      </c>
      <c r="L456" s="3">
        <f t="shared" ca="1" si="51"/>
        <v>5.849518625897647E-2</v>
      </c>
    </row>
    <row r="457" spans="3:12">
      <c r="C457" s="7">
        <v>451</v>
      </c>
      <c r="D457" s="3">
        <f t="shared" si="52"/>
        <v>4.5199999999999997E-2</v>
      </c>
      <c r="E457" s="3">
        <f t="shared" ref="E457:L466" ca="1" si="53">D457+E$5*dt+sigma*_xlfn.NORM.S.INV(RAND())*SQRT(dt)</f>
        <v>4.4896667927169058E-2</v>
      </c>
      <c r="F457" s="3">
        <f t="shared" ca="1" si="53"/>
        <v>4.9676723014207828E-2</v>
      </c>
      <c r="G457" s="3">
        <f t="shared" ca="1" si="53"/>
        <v>5.3929268104817935E-2</v>
      </c>
      <c r="H457" s="3">
        <f t="shared" ca="1" si="53"/>
        <v>5.0751484451392118E-2</v>
      </c>
      <c r="I457" s="3">
        <f t="shared" ca="1" si="53"/>
        <v>4.3971623100877211E-2</v>
      </c>
      <c r="J457" s="3">
        <f t="shared" ca="1" si="53"/>
        <v>4.8384241479139667E-2</v>
      </c>
      <c r="K457" s="3">
        <f t="shared" ca="1" si="53"/>
        <v>5.3565693210350533E-2</v>
      </c>
      <c r="L457" s="3">
        <f t="shared" ca="1" si="53"/>
        <v>6.3355099064204903E-2</v>
      </c>
    </row>
    <row r="458" spans="3:12">
      <c r="C458" s="7">
        <v>452</v>
      </c>
      <c r="D458" s="3">
        <f t="shared" si="52"/>
        <v>4.5199999999999997E-2</v>
      </c>
      <c r="E458" s="3">
        <f t="shared" ca="1" si="53"/>
        <v>4.3699161498470016E-2</v>
      </c>
      <c r="F458" s="3">
        <f t="shared" ca="1" si="53"/>
        <v>5.4681363419492354E-2</v>
      </c>
      <c r="G458" s="3">
        <f t="shared" ca="1" si="53"/>
        <v>5.7891756896309328E-2</v>
      </c>
      <c r="H458" s="3">
        <f t="shared" ca="1" si="53"/>
        <v>5.1420410233836283E-2</v>
      </c>
      <c r="I458" s="3">
        <f t="shared" ca="1" si="53"/>
        <v>5.8829116170112772E-2</v>
      </c>
      <c r="J458" s="3">
        <f t="shared" ca="1" si="53"/>
        <v>6.0290738052138852E-2</v>
      </c>
      <c r="K458" s="3">
        <f t="shared" ca="1" si="53"/>
        <v>6.8368304248925177E-2</v>
      </c>
      <c r="L458" s="3">
        <f t="shared" ca="1" si="53"/>
        <v>7.3993770816976653E-2</v>
      </c>
    </row>
    <row r="459" spans="3:12">
      <c r="C459" s="7">
        <v>453</v>
      </c>
      <c r="D459" s="3">
        <f t="shared" si="52"/>
        <v>4.5199999999999997E-2</v>
      </c>
      <c r="E459" s="3">
        <f t="shared" ca="1" si="53"/>
        <v>5.035614366482187E-2</v>
      </c>
      <c r="F459" s="3">
        <f t="shared" ca="1" si="53"/>
        <v>6.1779863353027438E-2</v>
      </c>
      <c r="G459" s="3">
        <f t="shared" ca="1" si="53"/>
        <v>5.8900308457198486E-2</v>
      </c>
      <c r="H459" s="3">
        <f t="shared" ca="1" si="53"/>
        <v>6.7605318200789771E-2</v>
      </c>
      <c r="I459" s="3">
        <f t="shared" ca="1" si="53"/>
        <v>6.7648374717633866E-2</v>
      </c>
      <c r="J459" s="3">
        <f t="shared" ca="1" si="53"/>
        <v>7.6065652972374928E-2</v>
      </c>
      <c r="K459" s="3">
        <f t="shared" ca="1" si="53"/>
        <v>7.0540435742565771E-2</v>
      </c>
      <c r="L459" s="3">
        <f t="shared" ca="1" si="53"/>
        <v>7.132420626329225E-2</v>
      </c>
    </row>
    <row r="460" spans="3:12">
      <c r="C460" s="7">
        <v>454</v>
      </c>
      <c r="D460" s="3">
        <f t="shared" si="52"/>
        <v>4.5199999999999997E-2</v>
      </c>
      <c r="E460" s="3">
        <f t="shared" ca="1" si="53"/>
        <v>5.216191723259448E-2</v>
      </c>
      <c r="F460" s="3">
        <f t="shared" ca="1" si="53"/>
        <v>6.3483363721044642E-2</v>
      </c>
      <c r="G460" s="3">
        <f t="shared" ca="1" si="53"/>
        <v>6.5656242423748748E-2</v>
      </c>
      <c r="H460" s="3">
        <f t="shared" ca="1" si="53"/>
        <v>7.1548462707810109E-2</v>
      </c>
      <c r="I460" s="3">
        <f t="shared" ca="1" si="53"/>
        <v>6.860804941419972E-2</v>
      </c>
      <c r="J460" s="3">
        <f t="shared" ca="1" si="53"/>
        <v>7.7502788536064182E-2</v>
      </c>
      <c r="K460" s="3">
        <f t="shared" ca="1" si="53"/>
        <v>6.5947620422380906E-2</v>
      </c>
      <c r="L460" s="3">
        <f t="shared" ca="1" si="53"/>
        <v>7.0199335973601257E-2</v>
      </c>
    </row>
    <row r="461" spans="3:12">
      <c r="C461" s="7">
        <v>455</v>
      </c>
      <c r="D461" s="3">
        <f t="shared" si="52"/>
        <v>4.5199999999999997E-2</v>
      </c>
      <c r="E461" s="3">
        <f t="shared" ca="1" si="53"/>
        <v>5.1107264844818277E-2</v>
      </c>
      <c r="F461" s="3">
        <f t="shared" ca="1" si="53"/>
        <v>4.87176733709044E-2</v>
      </c>
      <c r="G461" s="3">
        <f t="shared" ca="1" si="53"/>
        <v>5.2903361248593531E-2</v>
      </c>
      <c r="H461" s="3">
        <f t="shared" ca="1" si="53"/>
        <v>5.5321680269972556E-2</v>
      </c>
      <c r="I461" s="3">
        <f t="shared" ca="1" si="53"/>
        <v>4.9677707298076801E-2</v>
      </c>
      <c r="J461" s="3">
        <f t="shared" ca="1" si="53"/>
        <v>5.7070977969089783E-2</v>
      </c>
      <c r="K461" s="3">
        <f t="shared" ca="1" si="53"/>
        <v>4.3834119212119792E-2</v>
      </c>
      <c r="L461" s="3">
        <f t="shared" ca="1" si="53"/>
        <v>4.468655075867186E-2</v>
      </c>
    </row>
    <row r="462" spans="3:12">
      <c r="C462" s="7">
        <v>456</v>
      </c>
      <c r="D462" s="3">
        <f t="shared" si="52"/>
        <v>4.5199999999999997E-2</v>
      </c>
      <c r="E462" s="3">
        <f t="shared" ca="1" si="53"/>
        <v>4.7707693006104938E-2</v>
      </c>
      <c r="F462" s="3">
        <f t="shared" ca="1" si="53"/>
        <v>4.5902301530095738E-2</v>
      </c>
      <c r="G462" s="3">
        <f t="shared" ca="1" si="53"/>
        <v>4.6228456113399263E-2</v>
      </c>
      <c r="H462" s="3">
        <f t="shared" ca="1" si="53"/>
        <v>3.9125538819353926E-2</v>
      </c>
      <c r="I462" s="3">
        <f t="shared" ca="1" si="53"/>
        <v>2.8819515807797957E-2</v>
      </c>
      <c r="J462" s="3">
        <f t="shared" ca="1" si="53"/>
        <v>2.6596153506030309E-2</v>
      </c>
      <c r="K462" s="3">
        <f t="shared" ca="1" si="53"/>
        <v>1.8729040472317566E-2</v>
      </c>
      <c r="L462" s="3">
        <f t="shared" ca="1" si="53"/>
        <v>1.7999075899743512E-2</v>
      </c>
    </row>
    <row r="463" spans="3:12">
      <c r="C463" s="7">
        <v>457</v>
      </c>
      <c r="D463" s="3">
        <f t="shared" si="52"/>
        <v>4.5199999999999997E-2</v>
      </c>
      <c r="E463" s="3">
        <f t="shared" ca="1" si="53"/>
        <v>4.482411024678358E-2</v>
      </c>
      <c r="F463" s="3">
        <f t="shared" ca="1" si="53"/>
        <v>4.8932814088046457E-2</v>
      </c>
      <c r="G463" s="3">
        <f t="shared" ca="1" si="53"/>
        <v>5.0767860962876644E-2</v>
      </c>
      <c r="H463" s="3">
        <f t="shared" ca="1" si="53"/>
        <v>5.1178571509412157E-2</v>
      </c>
      <c r="I463" s="3">
        <f t="shared" ca="1" si="53"/>
        <v>5.1140279596218363E-2</v>
      </c>
      <c r="J463" s="3">
        <f t="shared" ca="1" si="53"/>
        <v>4.8581604998647665E-2</v>
      </c>
      <c r="K463" s="3">
        <f t="shared" ca="1" si="53"/>
        <v>4.3584467607947992E-2</v>
      </c>
      <c r="L463" s="3">
        <f t="shared" ca="1" si="53"/>
        <v>4.5454116554809049E-2</v>
      </c>
    </row>
    <row r="464" spans="3:12">
      <c r="C464" s="7">
        <v>458</v>
      </c>
      <c r="D464" s="3">
        <f t="shared" si="52"/>
        <v>4.5199999999999997E-2</v>
      </c>
      <c r="E464" s="3">
        <f t="shared" ca="1" si="53"/>
        <v>3.259078810606738E-2</v>
      </c>
      <c r="F464" s="3">
        <f t="shared" ca="1" si="53"/>
        <v>3.4466634652428316E-2</v>
      </c>
      <c r="G464" s="3">
        <f t="shared" ca="1" si="53"/>
        <v>3.1779502029063648E-2</v>
      </c>
      <c r="H464" s="3">
        <f t="shared" ca="1" si="53"/>
        <v>4.3676903674848125E-2</v>
      </c>
      <c r="I464" s="3">
        <f t="shared" ca="1" si="53"/>
        <v>5.2423284165196579E-2</v>
      </c>
      <c r="J464" s="3">
        <f t="shared" ca="1" si="53"/>
        <v>4.7656728090688917E-2</v>
      </c>
      <c r="K464" s="3">
        <f t="shared" ca="1" si="53"/>
        <v>5.0489976780976401E-2</v>
      </c>
      <c r="L464" s="3">
        <f t="shared" ca="1" si="53"/>
        <v>5.94743630987625E-2</v>
      </c>
    </row>
    <row r="465" spans="3:12">
      <c r="C465" s="7">
        <v>459</v>
      </c>
      <c r="D465" s="3">
        <f t="shared" si="52"/>
        <v>4.5199999999999997E-2</v>
      </c>
      <c r="E465" s="3">
        <f t="shared" ca="1" si="53"/>
        <v>4.0696630244916154E-2</v>
      </c>
      <c r="F465" s="3">
        <f t="shared" ca="1" si="53"/>
        <v>5.1037209508403569E-2</v>
      </c>
      <c r="G465" s="3">
        <f t="shared" ca="1" si="53"/>
        <v>5.1558444018644359E-2</v>
      </c>
      <c r="H465" s="3">
        <f t="shared" ca="1" si="53"/>
        <v>5.7025030055785388E-2</v>
      </c>
      <c r="I465" s="3">
        <f t="shared" ca="1" si="53"/>
        <v>5.6134529042833697E-2</v>
      </c>
      <c r="J465" s="3">
        <f t="shared" ca="1" si="53"/>
        <v>6.2388846958834052E-2</v>
      </c>
      <c r="K465" s="3">
        <f t="shared" ca="1" si="53"/>
        <v>5.4212125604181684E-2</v>
      </c>
      <c r="L465" s="3">
        <f t="shared" ca="1" si="53"/>
        <v>5.1290869286327243E-2</v>
      </c>
    </row>
    <row r="466" spans="3:12">
      <c r="C466" s="7">
        <v>460</v>
      </c>
      <c r="D466" s="3">
        <f t="shared" si="52"/>
        <v>4.5199999999999997E-2</v>
      </c>
      <c r="E466" s="3">
        <f t="shared" ca="1" si="53"/>
        <v>4.3818050204373835E-2</v>
      </c>
      <c r="F466" s="3">
        <f t="shared" ca="1" si="53"/>
        <v>4.6170622062461898E-2</v>
      </c>
      <c r="G466" s="3">
        <f t="shared" ca="1" si="53"/>
        <v>4.7238381404087794E-2</v>
      </c>
      <c r="H466" s="3">
        <f t="shared" ca="1" si="53"/>
        <v>5.183612838366846E-2</v>
      </c>
      <c r="I466" s="3">
        <f t="shared" ca="1" si="53"/>
        <v>4.8244812122864821E-2</v>
      </c>
      <c r="J466" s="3">
        <f t="shared" ca="1" si="53"/>
        <v>5.1182759681239601E-2</v>
      </c>
      <c r="K466" s="3">
        <f t="shared" ca="1" si="53"/>
        <v>4.8855026497624091E-2</v>
      </c>
      <c r="L466" s="3">
        <f t="shared" ca="1" si="53"/>
        <v>5.926603234106851E-2</v>
      </c>
    </row>
    <row r="467" spans="3:12">
      <c r="C467" s="7">
        <v>461</v>
      </c>
      <c r="D467" s="3">
        <f t="shared" si="52"/>
        <v>4.5199999999999997E-2</v>
      </c>
      <c r="E467" s="3">
        <f t="shared" ref="E467:L476" ca="1" si="54">D467+E$5*dt+sigma*_xlfn.NORM.S.INV(RAND())*SQRT(dt)</f>
        <v>4.9380131036217939E-2</v>
      </c>
      <c r="F467" s="3">
        <f t="shared" ca="1" si="54"/>
        <v>5.1248409142383503E-2</v>
      </c>
      <c r="G467" s="3">
        <f t="shared" ca="1" si="54"/>
        <v>5.3485534179987491E-2</v>
      </c>
      <c r="H467" s="3">
        <f t="shared" ca="1" si="54"/>
        <v>5.7345885264282824E-2</v>
      </c>
      <c r="I467" s="3">
        <f t="shared" ca="1" si="54"/>
        <v>5.668485115277315E-2</v>
      </c>
      <c r="J467" s="3">
        <f t="shared" ca="1" si="54"/>
        <v>6.2047655507993536E-2</v>
      </c>
      <c r="K467" s="3">
        <f t="shared" ca="1" si="54"/>
        <v>6.7972668117223314E-2</v>
      </c>
      <c r="L467" s="3">
        <f t="shared" ca="1" si="54"/>
        <v>6.5627908757804859E-2</v>
      </c>
    </row>
    <row r="468" spans="3:12">
      <c r="C468" s="7">
        <v>462</v>
      </c>
      <c r="D468" s="3">
        <f t="shared" si="52"/>
        <v>4.5199999999999997E-2</v>
      </c>
      <c r="E468" s="3">
        <f t="shared" ca="1" si="54"/>
        <v>4.3055463636789713E-2</v>
      </c>
      <c r="F468" s="3">
        <f t="shared" ca="1" si="54"/>
        <v>5.4014484426996329E-2</v>
      </c>
      <c r="G468" s="3">
        <f t="shared" ca="1" si="54"/>
        <v>5.7204560187033002E-2</v>
      </c>
      <c r="H468" s="3">
        <f t="shared" ca="1" si="54"/>
        <v>5.3882347264221586E-2</v>
      </c>
      <c r="I468" s="3">
        <f t="shared" ca="1" si="54"/>
        <v>5.6128895522970644E-2</v>
      </c>
      <c r="J468" s="3">
        <f t="shared" ca="1" si="54"/>
        <v>5.735507860970121E-2</v>
      </c>
      <c r="K468" s="3">
        <f t="shared" ca="1" si="54"/>
        <v>5.5298042841217435E-2</v>
      </c>
      <c r="L468" s="3">
        <f t="shared" ca="1" si="54"/>
        <v>5.727320830517315E-2</v>
      </c>
    </row>
    <row r="469" spans="3:12">
      <c r="C469" s="7">
        <v>463</v>
      </c>
      <c r="D469" s="3">
        <f t="shared" si="52"/>
        <v>4.5199999999999997E-2</v>
      </c>
      <c r="E469" s="3">
        <f t="shared" ca="1" si="54"/>
        <v>5.018394677641954E-2</v>
      </c>
      <c r="F469" s="3">
        <f t="shared" ca="1" si="54"/>
        <v>6.0351912190223372E-2</v>
      </c>
      <c r="G469" s="3">
        <f t="shared" ca="1" si="54"/>
        <v>7.4437853466686119E-2</v>
      </c>
      <c r="H469" s="3">
        <f t="shared" ca="1" si="54"/>
        <v>7.8725156464433232E-2</v>
      </c>
      <c r="I469" s="3">
        <f t="shared" ca="1" si="54"/>
        <v>7.9440647564867059E-2</v>
      </c>
      <c r="J469" s="3">
        <f t="shared" ca="1" si="54"/>
        <v>8.4707573602206779E-2</v>
      </c>
      <c r="K469" s="3">
        <f t="shared" ca="1" si="54"/>
        <v>8.6461728606940791E-2</v>
      </c>
      <c r="L469" s="3">
        <f t="shared" ca="1" si="54"/>
        <v>8.6540967031768071E-2</v>
      </c>
    </row>
    <row r="470" spans="3:12">
      <c r="C470" s="7">
        <v>464</v>
      </c>
      <c r="D470" s="3">
        <f t="shared" si="52"/>
        <v>4.5199999999999997E-2</v>
      </c>
      <c r="E470" s="3">
        <f t="shared" ca="1" si="54"/>
        <v>5.0729709169674571E-2</v>
      </c>
      <c r="F470" s="3">
        <f t="shared" ca="1" si="54"/>
        <v>5.5369551772931375E-2</v>
      </c>
      <c r="G470" s="3">
        <f t="shared" ca="1" si="54"/>
        <v>5.8381992957505416E-2</v>
      </c>
      <c r="H470" s="3">
        <f t="shared" ca="1" si="54"/>
        <v>6.7074722623028646E-2</v>
      </c>
      <c r="I470" s="3">
        <f t="shared" ca="1" si="54"/>
        <v>6.4668935137242561E-2</v>
      </c>
      <c r="J470" s="3">
        <f t="shared" ca="1" si="54"/>
        <v>6.7076564797254837E-2</v>
      </c>
      <c r="K470" s="3">
        <f t="shared" ca="1" si="54"/>
        <v>6.3962624585480535E-2</v>
      </c>
      <c r="L470" s="3">
        <f t="shared" ca="1" si="54"/>
        <v>6.4799428516224791E-2</v>
      </c>
    </row>
    <row r="471" spans="3:12">
      <c r="C471" s="7">
        <v>465</v>
      </c>
      <c r="D471" s="3">
        <f t="shared" si="52"/>
        <v>4.5199999999999997E-2</v>
      </c>
      <c r="E471" s="3">
        <f t="shared" ca="1" si="54"/>
        <v>4.520404978631954E-2</v>
      </c>
      <c r="F471" s="3">
        <f t="shared" ca="1" si="54"/>
        <v>4.3701163684053669E-2</v>
      </c>
      <c r="G471" s="3">
        <f t="shared" ca="1" si="54"/>
        <v>3.389981162617297E-2</v>
      </c>
      <c r="H471" s="3">
        <f t="shared" ca="1" si="54"/>
        <v>3.7298031051696032E-2</v>
      </c>
      <c r="I471" s="3">
        <f t="shared" ca="1" si="54"/>
        <v>3.6804213867146489E-2</v>
      </c>
      <c r="J471" s="3">
        <f t="shared" ca="1" si="54"/>
        <v>4.0523876947470158E-2</v>
      </c>
      <c r="K471" s="3">
        <f t="shared" ca="1" si="54"/>
        <v>4.9409316138896653E-2</v>
      </c>
      <c r="L471" s="3">
        <f t="shared" ca="1" si="54"/>
        <v>5.0367684020344319E-2</v>
      </c>
    </row>
    <row r="472" spans="3:12">
      <c r="C472" s="7">
        <v>466</v>
      </c>
      <c r="D472" s="3">
        <f t="shared" si="52"/>
        <v>4.5199999999999997E-2</v>
      </c>
      <c r="E472" s="3">
        <f t="shared" ca="1" si="54"/>
        <v>5.5504955585047422E-2</v>
      </c>
      <c r="F472" s="3">
        <f t="shared" ca="1" si="54"/>
        <v>5.8052094214755087E-2</v>
      </c>
      <c r="G472" s="3">
        <f t="shared" ca="1" si="54"/>
        <v>5.9592140471272162E-2</v>
      </c>
      <c r="H472" s="3">
        <f t="shared" ca="1" si="54"/>
        <v>5.4675443577534968E-2</v>
      </c>
      <c r="I472" s="3">
        <f t="shared" ca="1" si="54"/>
        <v>5.3076098437172738E-2</v>
      </c>
      <c r="J472" s="3">
        <f t="shared" ca="1" si="54"/>
        <v>6.0166995629558927E-2</v>
      </c>
      <c r="K472" s="3">
        <f t="shared" ca="1" si="54"/>
        <v>6.3942954649192543E-2</v>
      </c>
      <c r="L472" s="3">
        <f t="shared" ca="1" si="54"/>
        <v>6.8766516656328824E-2</v>
      </c>
    </row>
    <row r="473" spans="3:12">
      <c r="C473" s="7">
        <v>467</v>
      </c>
      <c r="D473" s="3">
        <f t="shared" si="52"/>
        <v>4.5199999999999997E-2</v>
      </c>
      <c r="E473" s="3">
        <f t="shared" ca="1" si="54"/>
        <v>3.9858958295038757E-2</v>
      </c>
      <c r="F473" s="3">
        <f t="shared" ca="1" si="54"/>
        <v>4.0456077310143723E-2</v>
      </c>
      <c r="G473" s="3">
        <f t="shared" ca="1" si="54"/>
        <v>4.0264046408113603E-2</v>
      </c>
      <c r="H473" s="3">
        <f t="shared" ca="1" si="54"/>
        <v>3.7674315427014549E-2</v>
      </c>
      <c r="I473" s="3">
        <f t="shared" ca="1" si="54"/>
        <v>3.2765041721075659E-2</v>
      </c>
      <c r="J473" s="3">
        <f t="shared" ca="1" si="54"/>
        <v>3.932809549506093E-2</v>
      </c>
      <c r="K473" s="3">
        <f t="shared" ca="1" si="54"/>
        <v>3.7988261164625961E-2</v>
      </c>
      <c r="L473" s="3">
        <f t="shared" ca="1" si="54"/>
        <v>4.3431155779882061E-2</v>
      </c>
    </row>
    <row r="474" spans="3:12">
      <c r="C474" s="7">
        <v>468</v>
      </c>
      <c r="D474" s="3">
        <f t="shared" si="52"/>
        <v>4.5199999999999997E-2</v>
      </c>
      <c r="E474" s="3">
        <f t="shared" ca="1" si="54"/>
        <v>4.1167812682377534E-2</v>
      </c>
      <c r="F474" s="3">
        <f t="shared" ca="1" si="54"/>
        <v>4.6955358091651127E-2</v>
      </c>
      <c r="G474" s="3">
        <f t="shared" ca="1" si="54"/>
        <v>4.8508788891342629E-2</v>
      </c>
      <c r="H474" s="3">
        <f t="shared" ca="1" si="54"/>
        <v>5.5796625639195539E-2</v>
      </c>
      <c r="I474" s="3">
        <f t="shared" ca="1" si="54"/>
        <v>5.6624935971842358E-2</v>
      </c>
      <c r="J474" s="3">
        <f t="shared" ca="1" si="54"/>
        <v>6.2338241417778509E-2</v>
      </c>
      <c r="K474" s="3">
        <f t="shared" ca="1" si="54"/>
        <v>6.0772526146134015E-2</v>
      </c>
      <c r="L474" s="3">
        <f t="shared" ca="1" si="54"/>
        <v>6.7334262679816237E-2</v>
      </c>
    </row>
    <row r="475" spans="3:12">
      <c r="C475" s="7">
        <v>469</v>
      </c>
      <c r="D475" s="3">
        <f t="shared" si="52"/>
        <v>4.5199999999999997E-2</v>
      </c>
      <c r="E475" s="3">
        <f t="shared" ca="1" si="54"/>
        <v>4.6149637112143281E-2</v>
      </c>
      <c r="F475" s="3">
        <f t="shared" ca="1" si="54"/>
        <v>4.0197093663194364E-2</v>
      </c>
      <c r="G475" s="3">
        <f t="shared" ca="1" si="54"/>
        <v>4.5163136158173738E-2</v>
      </c>
      <c r="H475" s="3">
        <f t="shared" ca="1" si="54"/>
        <v>4.8491634128838494E-2</v>
      </c>
      <c r="I475" s="3">
        <f t="shared" ca="1" si="54"/>
        <v>5.0984752505306104E-2</v>
      </c>
      <c r="J475" s="3">
        <f t="shared" ca="1" si="54"/>
        <v>5.0171290265205747E-2</v>
      </c>
      <c r="K475" s="3">
        <f t="shared" ca="1" si="54"/>
        <v>5.2301575002481906E-2</v>
      </c>
      <c r="L475" s="3">
        <f t="shared" ca="1" si="54"/>
        <v>4.9532117764235023E-2</v>
      </c>
    </row>
    <row r="476" spans="3:12">
      <c r="C476" s="7">
        <v>470</v>
      </c>
      <c r="D476" s="3">
        <f t="shared" si="52"/>
        <v>4.5199999999999997E-2</v>
      </c>
      <c r="E476" s="3">
        <f t="shared" ca="1" si="54"/>
        <v>4.222266132142305E-2</v>
      </c>
      <c r="F476" s="3">
        <f t="shared" ca="1" si="54"/>
        <v>4.9892183156444822E-2</v>
      </c>
      <c r="G476" s="3">
        <f t="shared" ca="1" si="54"/>
        <v>5.1683371849743899E-2</v>
      </c>
      <c r="H476" s="3">
        <f t="shared" ca="1" si="54"/>
        <v>5.5097327328046931E-2</v>
      </c>
      <c r="I476" s="3">
        <f t="shared" ca="1" si="54"/>
        <v>6.2696469465677793E-2</v>
      </c>
      <c r="J476" s="3">
        <f t="shared" ca="1" si="54"/>
        <v>6.8220160252672024E-2</v>
      </c>
      <c r="K476" s="3">
        <f t="shared" ca="1" si="54"/>
        <v>5.8430780508682431E-2</v>
      </c>
      <c r="L476" s="3">
        <f t="shared" ca="1" si="54"/>
        <v>5.2817335962903687E-2</v>
      </c>
    </row>
    <row r="477" spans="3:12">
      <c r="C477" s="7">
        <v>471</v>
      </c>
      <c r="D477" s="3">
        <f t="shared" si="52"/>
        <v>4.5199999999999997E-2</v>
      </c>
      <c r="E477" s="3">
        <f t="shared" ref="E477:L486" ca="1" si="55">D477+E$5*dt+sigma*_xlfn.NORM.S.INV(RAND())*SQRT(dt)</f>
        <v>4.0482345535120978E-2</v>
      </c>
      <c r="F477" s="3">
        <f t="shared" ca="1" si="55"/>
        <v>4.1581328616063305E-2</v>
      </c>
      <c r="G477" s="3">
        <f t="shared" ca="1" si="55"/>
        <v>4.1634345150858475E-2</v>
      </c>
      <c r="H477" s="3">
        <f t="shared" ca="1" si="55"/>
        <v>4.9395959372558966E-2</v>
      </c>
      <c r="I477" s="3">
        <f t="shared" ca="1" si="55"/>
        <v>5.4337245781852055E-2</v>
      </c>
      <c r="J477" s="3">
        <f t="shared" ca="1" si="55"/>
        <v>5.6457781782587299E-2</v>
      </c>
      <c r="K477" s="3">
        <f t="shared" ca="1" si="55"/>
        <v>5.6287677113246185E-2</v>
      </c>
      <c r="L477" s="3">
        <f t="shared" ca="1" si="55"/>
        <v>5.657239722159927E-2</v>
      </c>
    </row>
    <row r="478" spans="3:12">
      <c r="C478" s="7">
        <v>472</v>
      </c>
      <c r="D478" s="3">
        <f t="shared" si="52"/>
        <v>4.5199999999999997E-2</v>
      </c>
      <c r="E478" s="3">
        <f t="shared" ca="1" si="55"/>
        <v>5.4228515248981167E-2</v>
      </c>
      <c r="F478" s="3">
        <f t="shared" ca="1" si="55"/>
        <v>6.4617430579097371E-2</v>
      </c>
      <c r="G478" s="3">
        <f t="shared" ca="1" si="55"/>
        <v>6.1285303400728297E-2</v>
      </c>
      <c r="H478" s="3">
        <f t="shared" ca="1" si="55"/>
        <v>5.8465744348095691E-2</v>
      </c>
      <c r="I478" s="3">
        <f t="shared" ca="1" si="55"/>
        <v>5.0904212403906329E-2</v>
      </c>
      <c r="J478" s="3">
        <f t="shared" ca="1" si="55"/>
        <v>5.2283775170346262E-2</v>
      </c>
      <c r="K478" s="3">
        <f t="shared" ca="1" si="55"/>
        <v>5.0242328110348178E-2</v>
      </c>
      <c r="L478" s="3">
        <f t="shared" ca="1" si="55"/>
        <v>5.4278248963334594E-2</v>
      </c>
    </row>
    <row r="479" spans="3:12">
      <c r="C479" s="7">
        <v>473</v>
      </c>
      <c r="D479" s="3">
        <f t="shared" si="52"/>
        <v>4.5199999999999997E-2</v>
      </c>
      <c r="E479" s="3">
        <f t="shared" ca="1" si="55"/>
        <v>4.4621546705385172E-2</v>
      </c>
      <c r="F479" s="3">
        <f t="shared" ca="1" si="55"/>
        <v>4.6318785549825832E-2</v>
      </c>
      <c r="G479" s="3">
        <f t="shared" ca="1" si="55"/>
        <v>4.811791840699816E-2</v>
      </c>
      <c r="H479" s="3">
        <f t="shared" ca="1" si="55"/>
        <v>4.6871900295125231E-2</v>
      </c>
      <c r="I479" s="3">
        <f t="shared" ca="1" si="55"/>
        <v>3.4089553971563762E-2</v>
      </c>
      <c r="J479" s="3">
        <f t="shared" ca="1" si="55"/>
        <v>3.500918870402743E-2</v>
      </c>
      <c r="K479" s="3">
        <f t="shared" ca="1" si="55"/>
        <v>3.8671304920268212E-2</v>
      </c>
      <c r="L479" s="3">
        <f t="shared" ca="1" si="55"/>
        <v>3.7941696626702562E-2</v>
      </c>
    </row>
    <row r="480" spans="3:12">
      <c r="C480" s="7">
        <v>474</v>
      </c>
      <c r="D480" s="3">
        <f t="shared" si="52"/>
        <v>4.5199999999999997E-2</v>
      </c>
      <c r="E480" s="3">
        <f t="shared" ca="1" si="55"/>
        <v>4.1561827131580513E-2</v>
      </c>
      <c r="F480" s="3">
        <f t="shared" ca="1" si="55"/>
        <v>3.3438299228806222E-2</v>
      </c>
      <c r="G480" s="3">
        <f t="shared" ca="1" si="55"/>
        <v>3.3119378652964777E-2</v>
      </c>
      <c r="H480" s="3">
        <f t="shared" ca="1" si="55"/>
        <v>2.9735932049378275E-2</v>
      </c>
      <c r="I480" s="3">
        <f t="shared" ca="1" si="55"/>
        <v>3.4218518863552538E-2</v>
      </c>
      <c r="J480" s="3">
        <f t="shared" ca="1" si="55"/>
        <v>3.5936140606243103E-2</v>
      </c>
      <c r="K480" s="3">
        <f t="shared" ca="1" si="55"/>
        <v>4.4293996047263549E-2</v>
      </c>
      <c r="L480" s="3">
        <f t="shared" ca="1" si="55"/>
        <v>3.5278283284310555E-2</v>
      </c>
    </row>
    <row r="481" spans="3:12">
      <c r="C481" s="7">
        <v>475</v>
      </c>
      <c r="D481" s="3">
        <f t="shared" si="52"/>
        <v>4.5199999999999997E-2</v>
      </c>
      <c r="E481" s="3">
        <f t="shared" ca="1" si="55"/>
        <v>5.2661671945801486E-2</v>
      </c>
      <c r="F481" s="3">
        <f t="shared" ca="1" si="55"/>
        <v>5.0274912551739243E-2</v>
      </c>
      <c r="G481" s="3">
        <f t="shared" ca="1" si="55"/>
        <v>5.0222014724883988E-2</v>
      </c>
      <c r="H481" s="3">
        <f t="shared" ca="1" si="55"/>
        <v>4.5886751002398314E-2</v>
      </c>
      <c r="I481" s="3">
        <f t="shared" ca="1" si="55"/>
        <v>5.1143111108393487E-2</v>
      </c>
      <c r="J481" s="3">
        <f t="shared" ca="1" si="55"/>
        <v>5.861194050481263E-2</v>
      </c>
      <c r="K481" s="3">
        <f t="shared" ca="1" si="55"/>
        <v>6.8863681669387777E-2</v>
      </c>
      <c r="L481" s="3">
        <f t="shared" ca="1" si="55"/>
        <v>6.8566137964899618E-2</v>
      </c>
    </row>
    <row r="482" spans="3:12">
      <c r="C482" s="7">
        <v>476</v>
      </c>
      <c r="D482" s="3">
        <f t="shared" si="52"/>
        <v>4.5199999999999997E-2</v>
      </c>
      <c r="E482" s="3">
        <f t="shared" ca="1" si="55"/>
        <v>5.2403871691282237E-2</v>
      </c>
      <c r="F482" s="3">
        <f t="shared" ca="1" si="55"/>
        <v>5.146662122418471E-2</v>
      </c>
      <c r="G482" s="3">
        <f t="shared" ca="1" si="55"/>
        <v>5.067399044792157E-2</v>
      </c>
      <c r="H482" s="3">
        <f t="shared" ca="1" si="55"/>
        <v>5.2201330065595963E-2</v>
      </c>
      <c r="I482" s="3">
        <f t="shared" ca="1" si="55"/>
        <v>5.2917718596306514E-2</v>
      </c>
      <c r="J482" s="3">
        <f t="shared" ca="1" si="55"/>
        <v>5.2248211087949241E-2</v>
      </c>
      <c r="K482" s="3">
        <f t="shared" ca="1" si="55"/>
        <v>5.6721523597070909E-2</v>
      </c>
      <c r="L482" s="3">
        <f t="shared" ca="1" si="55"/>
        <v>5.4233422415835293E-2</v>
      </c>
    </row>
    <row r="483" spans="3:12">
      <c r="C483" s="7">
        <v>477</v>
      </c>
      <c r="D483" s="3">
        <f t="shared" si="52"/>
        <v>4.5199999999999997E-2</v>
      </c>
      <c r="E483" s="3">
        <f t="shared" ca="1" si="55"/>
        <v>4.4769714304261979E-2</v>
      </c>
      <c r="F483" s="3">
        <f t="shared" ca="1" si="55"/>
        <v>4.2629260056616117E-2</v>
      </c>
      <c r="G483" s="3">
        <f t="shared" ca="1" si="55"/>
        <v>4.24730310217072E-2</v>
      </c>
      <c r="H483" s="3">
        <f t="shared" ca="1" si="55"/>
        <v>3.9481917484771062E-2</v>
      </c>
      <c r="I483" s="3">
        <f t="shared" ca="1" si="55"/>
        <v>4.6329124708702603E-2</v>
      </c>
      <c r="J483" s="3">
        <f t="shared" ca="1" si="55"/>
        <v>4.3860672590024075E-2</v>
      </c>
      <c r="K483" s="3">
        <f t="shared" ca="1" si="55"/>
        <v>4.359790039598406E-2</v>
      </c>
      <c r="L483" s="3">
        <f t="shared" ca="1" si="55"/>
        <v>4.5166670131428825E-2</v>
      </c>
    </row>
    <row r="484" spans="3:12">
      <c r="C484" s="7">
        <v>478</v>
      </c>
      <c r="D484" s="3">
        <f t="shared" si="52"/>
        <v>4.5199999999999997E-2</v>
      </c>
      <c r="E484" s="3">
        <f t="shared" ca="1" si="55"/>
        <v>4.0274667260924629E-2</v>
      </c>
      <c r="F484" s="3">
        <f t="shared" ca="1" si="55"/>
        <v>4.4893667846264369E-2</v>
      </c>
      <c r="G484" s="3">
        <f t="shared" ca="1" si="55"/>
        <v>4.0421426434261803E-2</v>
      </c>
      <c r="H484" s="3">
        <f t="shared" ca="1" si="55"/>
        <v>5.3710238000447538E-2</v>
      </c>
      <c r="I484" s="3">
        <f t="shared" ca="1" si="55"/>
        <v>5.6552848105973955E-2</v>
      </c>
      <c r="J484" s="3">
        <f t="shared" ca="1" si="55"/>
        <v>5.9751068734171839E-2</v>
      </c>
      <c r="K484" s="3">
        <f t="shared" ca="1" si="55"/>
        <v>5.5244080506549442E-2</v>
      </c>
      <c r="L484" s="3">
        <f t="shared" ca="1" si="55"/>
        <v>4.7063682396336855E-2</v>
      </c>
    </row>
    <row r="485" spans="3:12">
      <c r="C485" s="7">
        <v>479</v>
      </c>
      <c r="D485" s="3">
        <f t="shared" si="52"/>
        <v>4.5199999999999997E-2</v>
      </c>
      <c r="E485" s="3">
        <f t="shared" ca="1" si="55"/>
        <v>4.2628742319339878E-2</v>
      </c>
      <c r="F485" s="3">
        <f t="shared" ca="1" si="55"/>
        <v>4.5163089253308676E-2</v>
      </c>
      <c r="G485" s="3">
        <f t="shared" ca="1" si="55"/>
        <v>4.5033374201107687E-2</v>
      </c>
      <c r="H485" s="3">
        <f t="shared" ca="1" si="55"/>
        <v>4.4925654243660032E-2</v>
      </c>
      <c r="I485" s="3">
        <f t="shared" ca="1" si="55"/>
        <v>3.7700433896334165E-2</v>
      </c>
      <c r="J485" s="3">
        <f t="shared" ca="1" si="55"/>
        <v>3.1956864360681299E-2</v>
      </c>
      <c r="K485" s="3">
        <f t="shared" ca="1" si="55"/>
        <v>4.2135107517722148E-2</v>
      </c>
      <c r="L485" s="3">
        <f t="shared" ca="1" si="55"/>
        <v>5.3209066339173397E-2</v>
      </c>
    </row>
    <row r="486" spans="3:12">
      <c r="C486" s="7">
        <v>480</v>
      </c>
      <c r="D486" s="3">
        <f t="shared" si="52"/>
        <v>4.5199999999999997E-2</v>
      </c>
      <c r="E486" s="3">
        <f t="shared" ca="1" si="55"/>
        <v>4.5236275171076937E-2</v>
      </c>
      <c r="F486" s="3">
        <f t="shared" ca="1" si="55"/>
        <v>4.9243410870988158E-2</v>
      </c>
      <c r="G486" s="3">
        <f t="shared" ca="1" si="55"/>
        <v>4.6679601070773069E-2</v>
      </c>
      <c r="H486" s="3">
        <f t="shared" ca="1" si="55"/>
        <v>4.2331729638454489E-2</v>
      </c>
      <c r="I486" s="3">
        <f t="shared" ca="1" si="55"/>
        <v>4.0819507081337136E-2</v>
      </c>
      <c r="J486" s="3">
        <f t="shared" ca="1" si="55"/>
        <v>4.2856660435303694E-2</v>
      </c>
      <c r="K486" s="3">
        <f t="shared" ca="1" si="55"/>
        <v>4.265391912297431E-2</v>
      </c>
      <c r="L486" s="3">
        <f t="shared" ca="1" si="55"/>
        <v>3.9161219849903117E-2</v>
      </c>
    </row>
    <row r="487" spans="3:12">
      <c r="C487" s="7">
        <v>481</v>
      </c>
      <c r="D487" s="3">
        <f t="shared" si="52"/>
        <v>4.5199999999999997E-2</v>
      </c>
      <c r="E487" s="3">
        <f t="shared" ref="E487:L496" ca="1" si="56">D487+E$5*dt+sigma*_xlfn.NORM.S.INV(RAND())*SQRT(dt)</f>
        <v>4.2891017797759501E-2</v>
      </c>
      <c r="F487" s="3">
        <f t="shared" ca="1" si="56"/>
        <v>4.9396190494213434E-2</v>
      </c>
      <c r="G487" s="3">
        <f t="shared" ca="1" si="56"/>
        <v>5.5381376322451499E-2</v>
      </c>
      <c r="H487" s="3">
        <f t="shared" ca="1" si="56"/>
        <v>6.3503607892255204E-2</v>
      </c>
      <c r="I487" s="3">
        <f t="shared" ca="1" si="56"/>
        <v>5.4455307390456398E-2</v>
      </c>
      <c r="J487" s="3">
        <f t="shared" ca="1" si="56"/>
        <v>5.7897163423992509E-2</v>
      </c>
      <c r="K487" s="3">
        <f t="shared" ca="1" si="56"/>
        <v>5.5985964172805304E-2</v>
      </c>
      <c r="L487" s="3">
        <f t="shared" ca="1" si="56"/>
        <v>5.9290388788540885E-2</v>
      </c>
    </row>
    <row r="488" spans="3:12">
      <c r="C488" s="7">
        <v>482</v>
      </c>
      <c r="D488" s="3">
        <f t="shared" si="52"/>
        <v>4.5199999999999997E-2</v>
      </c>
      <c r="E488" s="3">
        <f t="shared" ca="1" si="56"/>
        <v>5.0209707815046363E-2</v>
      </c>
      <c r="F488" s="3">
        <f t="shared" ca="1" si="56"/>
        <v>5.017567663696932E-2</v>
      </c>
      <c r="G488" s="3">
        <f t="shared" ca="1" si="56"/>
        <v>4.7530699409170277E-2</v>
      </c>
      <c r="H488" s="3">
        <f t="shared" ca="1" si="56"/>
        <v>4.536425455933913E-2</v>
      </c>
      <c r="I488" s="3">
        <f t="shared" ca="1" si="56"/>
        <v>4.7907282317893221E-2</v>
      </c>
      <c r="J488" s="3">
        <f t="shared" ca="1" si="56"/>
        <v>5.4065524875883633E-2</v>
      </c>
      <c r="K488" s="3">
        <f t="shared" ca="1" si="56"/>
        <v>5.7042820428493339E-2</v>
      </c>
      <c r="L488" s="3">
        <f t="shared" ca="1" si="56"/>
        <v>6.168460960133184E-2</v>
      </c>
    </row>
    <row r="489" spans="3:12">
      <c r="C489" s="7">
        <v>483</v>
      </c>
      <c r="D489" s="3">
        <f t="shared" si="52"/>
        <v>4.5199999999999997E-2</v>
      </c>
      <c r="E489" s="3">
        <f t="shared" ca="1" si="56"/>
        <v>4.5082194030522514E-2</v>
      </c>
      <c r="F489" s="3">
        <f t="shared" ca="1" si="56"/>
        <v>4.3962547372282439E-2</v>
      </c>
      <c r="G489" s="3">
        <f t="shared" ca="1" si="56"/>
        <v>4.5684990326167262E-2</v>
      </c>
      <c r="H489" s="3">
        <f t="shared" ca="1" si="56"/>
        <v>4.8886354547359269E-2</v>
      </c>
      <c r="I489" s="3">
        <f t="shared" ca="1" si="56"/>
        <v>4.4972655576016804E-2</v>
      </c>
      <c r="J489" s="3">
        <f t="shared" ca="1" si="56"/>
        <v>4.1219438252664567E-2</v>
      </c>
      <c r="K489" s="3">
        <f t="shared" ca="1" si="56"/>
        <v>3.2935163944950697E-2</v>
      </c>
      <c r="L489" s="3">
        <f t="shared" ca="1" si="56"/>
        <v>3.7410974916665472E-2</v>
      </c>
    </row>
    <row r="490" spans="3:12">
      <c r="C490" s="7">
        <v>484</v>
      </c>
      <c r="D490" s="3">
        <f t="shared" si="52"/>
        <v>4.5199999999999997E-2</v>
      </c>
      <c r="E490" s="3">
        <f t="shared" ca="1" si="56"/>
        <v>4.6028085230225509E-2</v>
      </c>
      <c r="F490" s="3">
        <f t="shared" ca="1" si="56"/>
        <v>4.7105449149929882E-2</v>
      </c>
      <c r="G490" s="3">
        <f t="shared" ca="1" si="56"/>
        <v>4.6557627766365482E-2</v>
      </c>
      <c r="H490" s="3">
        <f t="shared" ca="1" si="56"/>
        <v>5.098452475289901E-2</v>
      </c>
      <c r="I490" s="3">
        <f t="shared" ca="1" si="56"/>
        <v>5.7002283848317063E-2</v>
      </c>
      <c r="J490" s="3">
        <f t="shared" ca="1" si="56"/>
        <v>5.7594829369849734E-2</v>
      </c>
      <c r="K490" s="3">
        <f t="shared" ca="1" si="56"/>
        <v>5.0396012785931477E-2</v>
      </c>
      <c r="L490" s="3">
        <f t="shared" ca="1" si="56"/>
        <v>6.3824261196725268E-2</v>
      </c>
    </row>
    <row r="491" spans="3:12">
      <c r="C491" s="7">
        <v>485</v>
      </c>
      <c r="D491" s="3">
        <f t="shared" si="52"/>
        <v>4.5199999999999997E-2</v>
      </c>
      <c r="E491" s="3">
        <f t="shared" ca="1" si="56"/>
        <v>4.8888021411866933E-2</v>
      </c>
      <c r="F491" s="3">
        <f t="shared" ca="1" si="56"/>
        <v>5.2093161872586828E-2</v>
      </c>
      <c r="G491" s="3">
        <f t="shared" ca="1" si="56"/>
        <v>4.3236578247448178E-2</v>
      </c>
      <c r="H491" s="3">
        <f t="shared" ca="1" si="56"/>
        <v>4.8817060270103775E-2</v>
      </c>
      <c r="I491" s="3">
        <f t="shared" ca="1" si="56"/>
        <v>4.8811233104869046E-2</v>
      </c>
      <c r="J491" s="3">
        <f t="shared" ca="1" si="56"/>
        <v>4.830607789286253E-2</v>
      </c>
      <c r="K491" s="3">
        <f t="shared" ca="1" si="56"/>
        <v>5.952726719468289E-2</v>
      </c>
      <c r="L491" s="3">
        <f t="shared" ca="1" si="56"/>
        <v>5.9487738216985928E-2</v>
      </c>
    </row>
    <row r="492" spans="3:12">
      <c r="C492" s="7">
        <v>486</v>
      </c>
      <c r="D492" s="3">
        <f t="shared" si="52"/>
        <v>4.5199999999999997E-2</v>
      </c>
      <c r="E492" s="3">
        <f t="shared" ca="1" si="56"/>
        <v>3.911333059657085E-2</v>
      </c>
      <c r="F492" s="3">
        <f t="shared" ca="1" si="56"/>
        <v>3.4330283713548994E-2</v>
      </c>
      <c r="G492" s="3">
        <f t="shared" ca="1" si="56"/>
        <v>2.9548929871017923E-2</v>
      </c>
      <c r="H492" s="3">
        <f t="shared" ca="1" si="56"/>
        <v>2.7601710206788827E-2</v>
      </c>
      <c r="I492" s="3">
        <f t="shared" ca="1" si="56"/>
        <v>2.651436119771923E-2</v>
      </c>
      <c r="J492" s="3">
        <f t="shared" ca="1" si="56"/>
        <v>3.0270123181761182E-2</v>
      </c>
      <c r="K492" s="3">
        <f t="shared" ca="1" si="56"/>
        <v>3.5236064309759348E-2</v>
      </c>
      <c r="L492" s="3">
        <f t="shared" ca="1" si="56"/>
        <v>4.0990130627056136E-2</v>
      </c>
    </row>
    <row r="493" spans="3:12">
      <c r="C493" s="7">
        <v>487</v>
      </c>
      <c r="D493" s="3">
        <f t="shared" si="52"/>
        <v>4.5199999999999997E-2</v>
      </c>
      <c r="E493" s="3">
        <f t="shared" ca="1" si="56"/>
        <v>4.7427478404288265E-2</v>
      </c>
      <c r="F493" s="3">
        <f t="shared" ca="1" si="56"/>
        <v>5.1801974658848143E-2</v>
      </c>
      <c r="G493" s="3">
        <f t="shared" ca="1" si="56"/>
        <v>4.6823520130654127E-2</v>
      </c>
      <c r="H493" s="3">
        <f t="shared" ca="1" si="56"/>
        <v>5.9749562537800102E-2</v>
      </c>
      <c r="I493" s="3">
        <f t="shared" ca="1" si="56"/>
        <v>5.3426304011882975E-2</v>
      </c>
      <c r="J493" s="3">
        <f t="shared" ca="1" si="56"/>
        <v>5.3751167108270076E-2</v>
      </c>
      <c r="K493" s="3">
        <f t="shared" ca="1" si="56"/>
        <v>4.8251238422047912E-2</v>
      </c>
      <c r="L493" s="3">
        <f t="shared" ca="1" si="56"/>
        <v>4.8809780061609805E-2</v>
      </c>
    </row>
    <row r="494" spans="3:12">
      <c r="C494" s="7">
        <v>488</v>
      </c>
      <c r="D494" s="3">
        <f t="shared" si="52"/>
        <v>4.5199999999999997E-2</v>
      </c>
      <c r="E494" s="3">
        <f t="shared" ca="1" si="56"/>
        <v>4.3347967952082594E-2</v>
      </c>
      <c r="F494" s="3">
        <f t="shared" ca="1" si="56"/>
        <v>4.6359531824405609E-2</v>
      </c>
      <c r="G494" s="3">
        <f t="shared" ca="1" si="56"/>
        <v>4.8821269718738729E-2</v>
      </c>
      <c r="H494" s="3">
        <f t="shared" ca="1" si="56"/>
        <v>5.2949747931957142E-2</v>
      </c>
      <c r="I494" s="3">
        <f t="shared" ca="1" si="56"/>
        <v>4.8429787647355352E-2</v>
      </c>
      <c r="J494" s="3">
        <f t="shared" ca="1" si="56"/>
        <v>5.3400809017248696E-2</v>
      </c>
      <c r="K494" s="3">
        <f t="shared" ca="1" si="56"/>
        <v>5.7320010093529952E-2</v>
      </c>
      <c r="L494" s="3">
        <f t="shared" ca="1" si="56"/>
        <v>5.6970057830528255E-2</v>
      </c>
    </row>
    <row r="495" spans="3:12">
      <c r="C495" s="7">
        <v>489</v>
      </c>
      <c r="D495" s="3">
        <f t="shared" si="52"/>
        <v>4.5199999999999997E-2</v>
      </c>
      <c r="E495" s="3">
        <f t="shared" ca="1" si="56"/>
        <v>4.9204163459955944E-2</v>
      </c>
      <c r="F495" s="3">
        <f t="shared" ca="1" si="56"/>
        <v>5.2284856539581169E-2</v>
      </c>
      <c r="G495" s="3">
        <f t="shared" ca="1" si="56"/>
        <v>5.0360274809454784E-2</v>
      </c>
      <c r="H495" s="3">
        <f t="shared" ca="1" si="56"/>
        <v>4.9988530525077395E-2</v>
      </c>
      <c r="I495" s="3">
        <f t="shared" ca="1" si="56"/>
        <v>4.1172342268163471E-2</v>
      </c>
      <c r="J495" s="3">
        <f t="shared" ca="1" si="56"/>
        <v>3.6263667513862168E-2</v>
      </c>
      <c r="K495" s="3">
        <f t="shared" ca="1" si="56"/>
        <v>2.988959554062497E-2</v>
      </c>
      <c r="L495" s="3">
        <f t="shared" ca="1" si="56"/>
        <v>3.235960628320815E-2</v>
      </c>
    </row>
    <row r="496" spans="3:12">
      <c r="C496" s="7">
        <v>490</v>
      </c>
      <c r="D496" s="3">
        <f t="shared" si="52"/>
        <v>4.5199999999999997E-2</v>
      </c>
      <c r="E496" s="3">
        <f t="shared" ca="1" si="56"/>
        <v>5.1298385376580262E-2</v>
      </c>
      <c r="F496" s="3">
        <f t="shared" ca="1" si="56"/>
        <v>5.0486354804582967E-2</v>
      </c>
      <c r="G496" s="3">
        <f t="shared" ca="1" si="56"/>
        <v>4.8325026326375919E-2</v>
      </c>
      <c r="H496" s="3">
        <f t="shared" ca="1" si="56"/>
        <v>5.4798605453253373E-2</v>
      </c>
      <c r="I496" s="3">
        <f t="shared" ca="1" si="56"/>
        <v>5.9724299547806857E-2</v>
      </c>
      <c r="J496" s="3">
        <f t="shared" ca="1" si="56"/>
        <v>5.9777849710241256E-2</v>
      </c>
      <c r="K496" s="3">
        <f t="shared" ca="1" si="56"/>
        <v>5.8437135933224013E-2</v>
      </c>
      <c r="L496" s="3">
        <f t="shared" ca="1" si="56"/>
        <v>6.8251348111925375E-2</v>
      </c>
    </row>
    <row r="497" spans="3:12">
      <c r="C497" s="7">
        <v>491</v>
      </c>
      <c r="D497" s="3">
        <f t="shared" si="52"/>
        <v>4.5199999999999997E-2</v>
      </c>
      <c r="E497" s="3">
        <f t="shared" ref="E497:L506" ca="1" si="57">D497+E$5*dt+sigma*_xlfn.NORM.S.INV(RAND())*SQRT(dt)</f>
        <v>2.9959083019547583E-2</v>
      </c>
      <c r="F497" s="3">
        <f t="shared" ca="1" si="57"/>
        <v>3.5302114133395596E-2</v>
      </c>
      <c r="G497" s="3">
        <f t="shared" ca="1" si="57"/>
        <v>3.2129375044183027E-2</v>
      </c>
      <c r="H497" s="3">
        <f t="shared" ca="1" si="57"/>
        <v>2.6456816450660333E-2</v>
      </c>
      <c r="I497" s="3">
        <f t="shared" ca="1" si="57"/>
        <v>2.9477418903013489E-2</v>
      </c>
      <c r="J497" s="3">
        <f t="shared" ca="1" si="57"/>
        <v>2.35165868550496E-2</v>
      </c>
      <c r="K497" s="3">
        <f t="shared" ca="1" si="57"/>
        <v>2.8850562722596368E-2</v>
      </c>
      <c r="L497" s="3">
        <f t="shared" ca="1" si="57"/>
        <v>2.7485431319149222E-2</v>
      </c>
    </row>
    <row r="498" spans="3:12">
      <c r="C498" s="7">
        <v>492</v>
      </c>
      <c r="D498" s="3">
        <f t="shared" si="52"/>
        <v>4.5199999999999997E-2</v>
      </c>
      <c r="E498" s="3">
        <f t="shared" ca="1" si="57"/>
        <v>4.5032427918104176E-2</v>
      </c>
      <c r="F498" s="3">
        <f t="shared" ca="1" si="57"/>
        <v>5.3872823520942047E-2</v>
      </c>
      <c r="G498" s="3">
        <f t="shared" ca="1" si="57"/>
        <v>3.9072033730515252E-2</v>
      </c>
      <c r="H498" s="3">
        <f t="shared" ca="1" si="57"/>
        <v>3.5171619271106236E-2</v>
      </c>
      <c r="I498" s="3">
        <f t="shared" ca="1" si="57"/>
        <v>3.0429407460687424E-2</v>
      </c>
      <c r="J498" s="3">
        <f t="shared" ca="1" si="57"/>
        <v>3.0150366510236878E-2</v>
      </c>
      <c r="K498" s="3">
        <f t="shared" ca="1" si="57"/>
        <v>3.2723804350058366E-2</v>
      </c>
      <c r="L498" s="3">
        <f t="shared" ca="1" si="57"/>
        <v>3.4140881867940003E-2</v>
      </c>
    </row>
    <row r="499" spans="3:12">
      <c r="C499" s="7">
        <v>493</v>
      </c>
      <c r="D499" s="3">
        <f t="shared" si="52"/>
        <v>4.5199999999999997E-2</v>
      </c>
      <c r="E499" s="3">
        <f t="shared" ca="1" si="57"/>
        <v>3.6668883680571647E-2</v>
      </c>
      <c r="F499" s="3">
        <f t="shared" ca="1" si="57"/>
        <v>3.7606351362054452E-2</v>
      </c>
      <c r="G499" s="3">
        <f t="shared" ca="1" si="57"/>
        <v>3.4338608616916344E-2</v>
      </c>
      <c r="H499" s="3">
        <f t="shared" ca="1" si="57"/>
        <v>3.4909980830597778E-2</v>
      </c>
      <c r="I499" s="3">
        <f t="shared" ca="1" si="57"/>
        <v>2.84887129415381E-2</v>
      </c>
      <c r="J499" s="3">
        <f t="shared" ca="1" si="57"/>
        <v>3.1179525432524016E-2</v>
      </c>
      <c r="K499" s="3">
        <f t="shared" ca="1" si="57"/>
        <v>3.1371629520166727E-2</v>
      </c>
      <c r="L499" s="3">
        <f t="shared" ca="1" si="57"/>
        <v>2.9463227018399787E-2</v>
      </c>
    </row>
    <row r="500" spans="3:12">
      <c r="C500" s="7">
        <v>494</v>
      </c>
      <c r="D500" s="3">
        <f t="shared" si="52"/>
        <v>4.5199999999999997E-2</v>
      </c>
      <c r="E500" s="3">
        <f t="shared" ca="1" si="57"/>
        <v>4.4261645410707158E-2</v>
      </c>
      <c r="F500" s="3">
        <f t="shared" ca="1" si="57"/>
        <v>4.9235797197359495E-2</v>
      </c>
      <c r="G500" s="3">
        <f t="shared" ca="1" si="57"/>
        <v>4.6219270455551804E-2</v>
      </c>
      <c r="H500" s="3">
        <f t="shared" ca="1" si="57"/>
        <v>5.4564136565194939E-2</v>
      </c>
      <c r="I500" s="3">
        <f t="shared" ca="1" si="57"/>
        <v>5.2447196223871555E-2</v>
      </c>
      <c r="J500" s="3">
        <f t="shared" ca="1" si="57"/>
        <v>6.4143474175361495E-2</v>
      </c>
      <c r="K500" s="3">
        <f t="shared" ca="1" si="57"/>
        <v>6.0492492940741653E-2</v>
      </c>
      <c r="L500" s="3">
        <f t="shared" ca="1" si="57"/>
        <v>5.9569011923631635E-2</v>
      </c>
    </row>
    <row r="501" spans="3:12">
      <c r="C501" s="7">
        <v>495</v>
      </c>
      <c r="D501" s="3">
        <f t="shared" si="52"/>
        <v>4.5199999999999997E-2</v>
      </c>
      <c r="E501" s="3">
        <f t="shared" ca="1" si="57"/>
        <v>4.0575312571265253E-2</v>
      </c>
      <c r="F501" s="3">
        <f t="shared" ca="1" si="57"/>
        <v>4.1694574995413007E-2</v>
      </c>
      <c r="G501" s="3">
        <f t="shared" ca="1" si="57"/>
        <v>4.9426621738452657E-2</v>
      </c>
      <c r="H501" s="3">
        <f t="shared" ca="1" si="57"/>
        <v>5.9890403655337855E-2</v>
      </c>
      <c r="I501" s="3">
        <f t="shared" ca="1" si="57"/>
        <v>6.5983016763486779E-2</v>
      </c>
      <c r="J501" s="3">
        <f t="shared" ca="1" si="57"/>
        <v>6.6218238101832957E-2</v>
      </c>
      <c r="K501" s="3">
        <f t="shared" ca="1" si="57"/>
        <v>7.1346319339822217E-2</v>
      </c>
      <c r="L501" s="3">
        <f t="shared" ca="1" si="57"/>
        <v>7.186861906112324E-2</v>
      </c>
    </row>
    <row r="502" spans="3:12">
      <c r="C502" s="7">
        <v>496</v>
      </c>
      <c r="D502" s="3">
        <f t="shared" si="52"/>
        <v>4.5199999999999997E-2</v>
      </c>
      <c r="E502" s="3">
        <f t="shared" ca="1" si="57"/>
        <v>4.7814877721443293E-2</v>
      </c>
      <c r="F502" s="3">
        <f t="shared" ca="1" si="57"/>
        <v>4.4743442191466767E-2</v>
      </c>
      <c r="G502" s="3">
        <f t="shared" ca="1" si="57"/>
        <v>4.2485770003089222E-2</v>
      </c>
      <c r="H502" s="3">
        <f t="shared" ca="1" si="57"/>
        <v>4.5675650058806305E-2</v>
      </c>
      <c r="I502" s="3">
        <f t="shared" ca="1" si="57"/>
        <v>4.3709547290844218E-2</v>
      </c>
      <c r="J502" s="3">
        <f t="shared" ca="1" si="57"/>
        <v>4.2052885829086534E-2</v>
      </c>
      <c r="K502" s="3">
        <f t="shared" ca="1" si="57"/>
        <v>3.6786985676118752E-2</v>
      </c>
      <c r="L502" s="3">
        <f t="shared" ca="1" si="57"/>
        <v>3.4433741576147564E-2</v>
      </c>
    </row>
    <row r="503" spans="3:12">
      <c r="C503" s="7">
        <v>497</v>
      </c>
      <c r="D503" s="3">
        <f t="shared" si="52"/>
        <v>4.5199999999999997E-2</v>
      </c>
      <c r="E503" s="3">
        <f t="shared" ca="1" si="57"/>
        <v>5.408680253644732E-2</v>
      </c>
      <c r="F503" s="3">
        <f t="shared" ca="1" si="57"/>
        <v>5.72265647279704E-2</v>
      </c>
      <c r="G503" s="3">
        <f t="shared" ca="1" si="57"/>
        <v>5.6632502302732805E-2</v>
      </c>
      <c r="H503" s="3">
        <f t="shared" ca="1" si="57"/>
        <v>5.8346288055018347E-2</v>
      </c>
      <c r="I503" s="3">
        <f t="shared" ca="1" si="57"/>
        <v>5.4115511942109916E-2</v>
      </c>
      <c r="J503" s="3">
        <f t="shared" ca="1" si="57"/>
        <v>6.2397977250944273E-2</v>
      </c>
      <c r="K503" s="3">
        <f t="shared" ca="1" si="57"/>
        <v>6.5215502626090757E-2</v>
      </c>
      <c r="L503" s="3">
        <f t="shared" ca="1" si="57"/>
        <v>7.0985719566428407E-2</v>
      </c>
    </row>
    <row r="504" spans="3:12">
      <c r="C504" s="7">
        <v>498</v>
      </c>
      <c r="D504" s="3">
        <f t="shared" si="52"/>
        <v>4.5199999999999997E-2</v>
      </c>
      <c r="E504" s="3">
        <f t="shared" ca="1" si="57"/>
        <v>4.6302881626997111E-2</v>
      </c>
      <c r="F504" s="3">
        <f t="shared" ca="1" si="57"/>
        <v>5.1770417215464798E-2</v>
      </c>
      <c r="G504" s="3">
        <f t="shared" ca="1" si="57"/>
        <v>5.0597504043636554E-2</v>
      </c>
      <c r="H504" s="3">
        <f t="shared" ca="1" si="57"/>
        <v>5.7720022746980147E-2</v>
      </c>
      <c r="I504" s="3">
        <f t="shared" ca="1" si="57"/>
        <v>5.653618291336699E-2</v>
      </c>
      <c r="J504" s="3">
        <f t="shared" ca="1" si="57"/>
        <v>6.3348574036074412E-2</v>
      </c>
      <c r="K504" s="3">
        <f t="shared" ca="1" si="57"/>
        <v>6.0249260235066278E-2</v>
      </c>
      <c r="L504" s="3">
        <f t="shared" ca="1" si="57"/>
        <v>5.9379210063926893E-2</v>
      </c>
    </row>
    <row r="505" spans="3:12">
      <c r="C505" s="7">
        <v>499</v>
      </c>
      <c r="D505" s="3">
        <f t="shared" si="52"/>
        <v>4.5199999999999997E-2</v>
      </c>
      <c r="E505" s="3">
        <f t="shared" ca="1" si="57"/>
        <v>4.4570151543262444E-2</v>
      </c>
      <c r="F505" s="3">
        <f t="shared" ca="1" si="57"/>
        <v>4.8000992276274593E-2</v>
      </c>
      <c r="G505" s="3">
        <f t="shared" ca="1" si="57"/>
        <v>5.484020977881357E-2</v>
      </c>
      <c r="H505" s="3">
        <f t="shared" ca="1" si="57"/>
        <v>5.0954538278487796E-2</v>
      </c>
      <c r="I505" s="3">
        <f t="shared" ca="1" si="57"/>
        <v>4.7736543906988331E-2</v>
      </c>
      <c r="J505" s="3">
        <f t="shared" ca="1" si="57"/>
        <v>4.6216876400870043E-2</v>
      </c>
      <c r="K505" s="3">
        <f t="shared" ca="1" si="57"/>
        <v>5.1001316980229652E-2</v>
      </c>
      <c r="L505" s="3">
        <f t="shared" ca="1" si="57"/>
        <v>6.0987670457944856E-2</v>
      </c>
    </row>
    <row r="506" spans="3:12">
      <c r="C506" s="7">
        <v>500</v>
      </c>
      <c r="D506" s="3">
        <f t="shared" si="52"/>
        <v>4.5199999999999997E-2</v>
      </c>
      <c r="E506" s="3">
        <f t="shared" ca="1" si="57"/>
        <v>3.5477048210924622E-2</v>
      </c>
      <c r="F506" s="3">
        <f t="shared" ca="1" si="57"/>
        <v>3.5810166149345443E-2</v>
      </c>
      <c r="G506" s="3">
        <f t="shared" ca="1" si="57"/>
        <v>3.4514342036875617E-2</v>
      </c>
      <c r="H506" s="3">
        <f t="shared" ca="1" si="57"/>
        <v>3.843784697058928E-2</v>
      </c>
      <c r="I506" s="3">
        <f t="shared" ca="1" si="57"/>
        <v>3.4871468231532012E-2</v>
      </c>
      <c r="J506" s="3">
        <f t="shared" ca="1" si="57"/>
        <v>3.0170011164803241E-2</v>
      </c>
      <c r="K506" s="3">
        <f t="shared" ca="1" si="57"/>
        <v>2.6874571015925091E-2</v>
      </c>
      <c r="L506" s="3">
        <f t="shared" ca="1" si="57"/>
        <v>3.447998729554861E-2</v>
      </c>
    </row>
    <row r="507" spans="3:12">
      <c r="C507" s="7">
        <v>501</v>
      </c>
      <c r="D507" s="3">
        <f t="shared" si="52"/>
        <v>4.5199999999999997E-2</v>
      </c>
      <c r="E507" s="3">
        <f t="shared" ref="E507:L516" ca="1" si="58">D507+E$5*dt+sigma*_xlfn.NORM.S.INV(RAND())*SQRT(dt)</f>
        <v>4.6984030402821911E-2</v>
      </c>
      <c r="F507" s="3">
        <f t="shared" ca="1" si="58"/>
        <v>4.5252669369975088E-2</v>
      </c>
      <c r="G507" s="3">
        <f t="shared" ca="1" si="58"/>
        <v>4.9077563101316633E-2</v>
      </c>
      <c r="H507" s="3">
        <f t="shared" ca="1" si="58"/>
        <v>5.0967436805590099E-2</v>
      </c>
      <c r="I507" s="3">
        <f t="shared" ca="1" si="58"/>
        <v>4.8033417286649886E-2</v>
      </c>
      <c r="J507" s="3">
        <f t="shared" ca="1" si="58"/>
        <v>5.1214065828494297E-2</v>
      </c>
      <c r="K507" s="3">
        <f t="shared" ca="1" si="58"/>
        <v>5.5782571611085671E-2</v>
      </c>
      <c r="L507" s="3">
        <f t="shared" ca="1" si="58"/>
        <v>6.1544940201150304E-2</v>
      </c>
    </row>
    <row r="508" spans="3:12">
      <c r="C508" s="7">
        <v>502</v>
      </c>
      <c r="D508" s="3">
        <f t="shared" si="52"/>
        <v>4.5199999999999997E-2</v>
      </c>
      <c r="E508" s="3">
        <f t="shared" ca="1" si="58"/>
        <v>5.1112347098379571E-2</v>
      </c>
      <c r="F508" s="3">
        <f t="shared" ca="1" si="58"/>
        <v>5.1594259611645391E-2</v>
      </c>
      <c r="G508" s="3">
        <f t="shared" ca="1" si="58"/>
        <v>5.0557421540008453E-2</v>
      </c>
      <c r="H508" s="3">
        <f t="shared" ca="1" si="58"/>
        <v>4.764143419890271E-2</v>
      </c>
      <c r="I508" s="3">
        <f t="shared" ca="1" si="58"/>
        <v>4.8069281510432632E-2</v>
      </c>
      <c r="J508" s="3">
        <f t="shared" ca="1" si="58"/>
        <v>5.1461273794560093E-2</v>
      </c>
      <c r="K508" s="3">
        <f t="shared" ca="1" si="58"/>
        <v>4.9615600298271098E-2</v>
      </c>
      <c r="L508" s="3">
        <f t="shared" ca="1" si="58"/>
        <v>5.4728346144747836E-2</v>
      </c>
    </row>
    <row r="509" spans="3:12">
      <c r="C509" s="7">
        <v>503</v>
      </c>
      <c r="D509" s="3">
        <f t="shared" si="52"/>
        <v>4.5199999999999997E-2</v>
      </c>
      <c r="E509" s="3">
        <f t="shared" ca="1" si="58"/>
        <v>4.5606812642597729E-2</v>
      </c>
      <c r="F509" s="3">
        <f t="shared" ca="1" si="58"/>
        <v>4.7645225836148226E-2</v>
      </c>
      <c r="G509" s="3">
        <f t="shared" ca="1" si="58"/>
        <v>4.7084101456359315E-2</v>
      </c>
      <c r="H509" s="3">
        <f t="shared" ca="1" si="58"/>
        <v>5.2841842851947533E-2</v>
      </c>
      <c r="I509" s="3">
        <f t="shared" ca="1" si="58"/>
        <v>5.5030653396526408E-2</v>
      </c>
      <c r="J509" s="3">
        <f t="shared" ca="1" si="58"/>
        <v>5.3566713416444769E-2</v>
      </c>
      <c r="K509" s="3">
        <f t="shared" ca="1" si="58"/>
        <v>5.9967488427627072E-2</v>
      </c>
      <c r="L509" s="3">
        <f t="shared" ca="1" si="58"/>
        <v>6.0869383145833081E-2</v>
      </c>
    </row>
    <row r="510" spans="3:12">
      <c r="C510" s="7">
        <v>504</v>
      </c>
      <c r="D510" s="3">
        <f t="shared" si="52"/>
        <v>4.5199999999999997E-2</v>
      </c>
      <c r="E510" s="3">
        <f t="shared" ca="1" si="58"/>
        <v>5.0916679102273085E-2</v>
      </c>
      <c r="F510" s="3">
        <f t="shared" ca="1" si="58"/>
        <v>5.3155996792398214E-2</v>
      </c>
      <c r="G510" s="3">
        <f t="shared" ca="1" si="58"/>
        <v>5.5778467556427791E-2</v>
      </c>
      <c r="H510" s="3">
        <f t="shared" ca="1" si="58"/>
        <v>6.7918365726078789E-2</v>
      </c>
      <c r="I510" s="3">
        <f t="shared" ca="1" si="58"/>
        <v>7.0625669132320115E-2</v>
      </c>
      <c r="J510" s="3">
        <f t="shared" ca="1" si="58"/>
        <v>8.0404735234376967E-2</v>
      </c>
      <c r="K510" s="3">
        <f t="shared" ca="1" si="58"/>
        <v>7.4377820451857618E-2</v>
      </c>
      <c r="L510" s="3">
        <f t="shared" ca="1" si="58"/>
        <v>8.1143611445684855E-2</v>
      </c>
    </row>
    <row r="511" spans="3:12">
      <c r="C511" s="7">
        <v>505</v>
      </c>
      <c r="D511" s="3">
        <f t="shared" si="52"/>
        <v>4.5199999999999997E-2</v>
      </c>
      <c r="E511" s="3">
        <f t="shared" ca="1" si="58"/>
        <v>3.8726923393624213E-2</v>
      </c>
      <c r="F511" s="3">
        <f t="shared" ca="1" si="58"/>
        <v>4.6751239502966439E-2</v>
      </c>
      <c r="G511" s="3">
        <f t="shared" ca="1" si="58"/>
        <v>4.5378956116948158E-2</v>
      </c>
      <c r="H511" s="3">
        <f t="shared" ca="1" si="58"/>
        <v>5.5701355241350864E-2</v>
      </c>
      <c r="I511" s="3">
        <f t="shared" ca="1" si="58"/>
        <v>5.9037659672661079E-2</v>
      </c>
      <c r="J511" s="3">
        <f t="shared" ca="1" si="58"/>
        <v>4.9260708546068531E-2</v>
      </c>
      <c r="K511" s="3">
        <f t="shared" ca="1" si="58"/>
        <v>5.2814477986134298E-2</v>
      </c>
      <c r="L511" s="3">
        <f t="shared" ca="1" si="58"/>
        <v>5.7197683656390302E-2</v>
      </c>
    </row>
    <row r="512" spans="3:12">
      <c r="C512" s="7">
        <v>506</v>
      </c>
      <c r="D512" s="3">
        <f t="shared" si="52"/>
        <v>4.5199999999999997E-2</v>
      </c>
      <c r="E512" s="3">
        <f t="shared" ca="1" si="58"/>
        <v>5.0132682886998292E-2</v>
      </c>
      <c r="F512" s="3">
        <f t="shared" ca="1" si="58"/>
        <v>5.2537889624429332E-2</v>
      </c>
      <c r="G512" s="3">
        <f t="shared" ca="1" si="58"/>
        <v>5.6111327661238927E-2</v>
      </c>
      <c r="H512" s="3">
        <f t="shared" ca="1" si="58"/>
        <v>5.7835673026441971E-2</v>
      </c>
      <c r="I512" s="3">
        <f t="shared" ca="1" si="58"/>
        <v>6.5175401560429516E-2</v>
      </c>
      <c r="J512" s="3">
        <f t="shared" ca="1" si="58"/>
        <v>6.919616876634789E-2</v>
      </c>
      <c r="K512" s="3">
        <f t="shared" ca="1" si="58"/>
        <v>7.0875266583821261E-2</v>
      </c>
      <c r="L512" s="3">
        <f t="shared" ca="1" si="58"/>
        <v>6.6274514060324308E-2</v>
      </c>
    </row>
    <row r="513" spans="3:12">
      <c r="C513" s="7">
        <v>507</v>
      </c>
      <c r="D513" s="3">
        <f t="shared" si="52"/>
        <v>4.5199999999999997E-2</v>
      </c>
      <c r="E513" s="3">
        <f t="shared" ca="1" si="58"/>
        <v>4.6964177897901235E-2</v>
      </c>
      <c r="F513" s="3">
        <f t="shared" ca="1" si="58"/>
        <v>5.5583335305766701E-2</v>
      </c>
      <c r="G513" s="3">
        <f t="shared" ca="1" si="58"/>
        <v>5.5875938549146215E-2</v>
      </c>
      <c r="H513" s="3">
        <f t="shared" ca="1" si="58"/>
        <v>5.1377845989472808E-2</v>
      </c>
      <c r="I513" s="3">
        <f t="shared" ca="1" si="58"/>
        <v>5.5225291613769309E-2</v>
      </c>
      <c r="J513" s="3">
        <f t="shared" ca="1" si="58"/>
        <v>5.9335751417897202E-2</v>
      </c>
      <c r="K513" s="3">
        <f t="shared" ca="1" si="58"/>
        <v>6.0060864805356697E-2</v>
      </c>
      <c r="L513" s="3">
        <f t="shared" ca="1" si="58"/>
        <v>6.4194354850293539E-2</v>
      </c>
    </row>
    <row r="514" spans="3:12">
      <c r="C514" s="7">
        <v>508</v>
      </c>
      <c r="D514" s="3">
        <f t="shared" si="52"/>
        <v>4.5199999999999997E-2</v>
      </c>
      <c r="E514" s="3">
        <f t="shared" ca="1" si="58"/>
        <v>3.9337440681237158E-2</v>
      </c>
      <c r="F514" s="3">
        <f t="shared" ca="1" si="58"/>
        <v>3.5322421657052613E-2</v>
      </c>
      <c r="G514" s="3">
        <f t="shared" ca="1" si="58"/>
        <v>3.5069688470848577E-2</v>
      </c>
      <c r="H514" s="3">
        <f t="shared" ca="1" si="58"/>
        <v>4.3404650086738841E-2</v>
      </c>
      <c r="I514" s="3">
        <f t="shared" ca="1" si="58"/>
        <v>3.9234252285088693E-2</v>
      </c>
      <c r="J514" s="3">
        <f t="shared" ca="1" si="58"/>
        <v>3.4954192837982997E-2</v>
      </c>
      <c r="K514" s="3">
        <f t="shared" ca="1" si="58"/>
        <v>3.7980113921847476E-2</v>
      </c>
      <c r="L514" s="3">
        <f t="shared" ca="1" si="58"/>
        <v>4.1613790881859812E-2</v>
      </c>
    </row>
    <row r="515" spans="3:12">
      <c r="C515" s="7">
        <v>509</v>
      </c>
      <c r="D515" s="3">
        <f t="shared" si="52"/>
        <v>4.5199999999999997E-2</v>
      </c>
      <c r="E515" s="3">
        <f t="shared" ca="1" si="58"/>
        <v>3.9900589918017801E-2</v>
      </c>
      <c r="F515" s="3">
        <f t="shared" ca="1" si="58"/>
        <v>4.1175897818724883E-2</v>
      </c>
      <c r="G515" s="3">
        <f t="shared" ca="1" si="58"/>
        <v>3.8629254148807864E-2</v>
      </c>
      <c r="H515" s="3">
        <f t="shared" ca="1" si="58"/>
        <v>3.4426032461081543E-2</v>
      </c>
      <c r="I515" s="3">
        <f t="shared" ca="1" si="58"/>
        <v>4.2238876524913933E-2</v>
      </c>
      <c r="J515" s="3">
        <f t="shared" ca="1" si="58"/>
        <v>4.6053844073151218E-2</v>
      </c>
      <c r="K515" s="3">
        <f t="shared" ca="1" si="58"/>
        <v>4.3076693835547963E-2</v>
      </c>
      <c r="L515" s="3">
        <f t="shared" ca="1" si="58"/>
        <v>4.3607157336721443E-2</v>
      </c>
    </row>
    <row r="516" spans="3:12">
      <c r="C516" s="7">
        <v>510</v>
      </c>
      <c r="D516" s="3">
        <f t="shared" si="52"/>
        <v>4.5199999999999997E-2</v>
      </c>
      <c r="E516" s="3">
        <f t="shared" ca="1" si="58"/>
        <v>3.9914504672369046E-2</v>
      </c>
      <c r="F516" s="3">
        <f t="shared" ca="1" si="58"/>
        <v>4.5631682954741203E-2</v>
      </c>
      <c r="G516" s="3">
        <f t="shared" ca="1" si="58"/>
        <v>4.7556710986482696E-2</v>
      </c>
      <c r="H516" s="3">
        <f t="shared" ca="1" si="58"/>
        <v>5.4983471431545201E-2</v>
      </c>
      <c r="I516" s="3">
        <f t="shared" ca="1" si="58"/>
        <v>5.6225239657164069E-2</v>
      </c>
      <c r="J516" s="3">
        <f t="shared" ca="1" si="58"/>
        <v>5.7624800231253603E-2</v>
      </c>
      <c r="K516" s="3">
        <f t="shared" ca="1" si="58"/>
        <v>5.9767331903792534E-2</v>
      </c>
      <c r="L516" s="3">
        <f t="shared" ca="1" si="58"/>
        <v>6.1408822002566463E-2</v>
      </c>
    </row>
    <row r="517" spans="3:12">
      <c r="C517" s="7">
        <v>511</v>
      </c>
      <c r="D517" s="3">
        <f t="shared" si="52"/>
        <v>4.5199999999999997E-2</v>
      </c>
      <c r="E517" s="3">
        <f t="shared" ref="E517:L526" ca="1" si="59">D517+E$5*dt+sigma*_xlfn.NORM.S.INV(RAND())*SQRT(dt)</f>
        <v>4.4618515518367409E-2</v>
      </c>
      <c r="F517" s="3">
        <f t="shared" ca="1" si="59"/>
        <v>4.7581663753567184E-2</v>
      </c>
      <c r="G517" s="3">
        <f t="shared" ca="1" si="59"/>
        <v>5.2377712588335894E-2</v>
      </c>
      <c r="H517" s="3">
        <f t="shared" ca="1" si="59"/>
        <v>5.5974117190694651E-2</v>
      </c>
      <c r="I517" s="3">
        <f t="shared" ca="1" si="59"/>
        <v>4.9285706632614237E-2</v>
      </c>
      <c r="J517" s="3">
        <f t="shared" ca="1" si="59"/>
        <v>5.3136928581034901E-2</v>
      </c>
      <c r="K517" s="3">
        <f t="shared" ca="1" si="59"/>
        <v>4.6969558606483122E-2</v>
      </c>
      <c r="L517" s="3">
        <f t="shared" ca="1" si="59"/>
        <v>4.4438363052401439E-2</v>
      </c>
    </row>
    <row r="518" spans="3:12">
      <c r="C518" s="7">
        <v>512</v>
      </c>
      <c r="D518" s="3">
        <f t="shared" si="52"/>
        <v>4.5199999999999997E-2</v>
      </c>
      <c r="E518" s="3">
        <f t="shared" ca="1" si="59"/>
        <v>4.5567541984856914E-2</v>
      </c>
      <c r="F518" s="3">
        <f t="shared" ca="1" si="59"/>
        <v>4.535721742439186E-2</v>
      </c>
      <c r="G518" s="3">
        <f t="shared" ca="1" si="59"/>
        <v>4.069054897408645E-2</v>
      </c>
      <c r="H518" s="3">
        <f t="shared" ca="1" si="59"/>
        <v>4.2429990773848743E-2</v>
      </c>
      <c r="I518" s="3">
        <f t="shared" ca="1" si="59"/>
        <v>3.8082074408846908E-2</v>
      </c>
      <c r="J518" s="3">
        <f t="shared" ca="1" si="59"/>
        <v>3.6412751534621098E-2</v>
      </c>
      <c r="K518" s="3">
        <f t="shared" ca="1" si="59"/>
        <v>3.0299064272205283E-2</v>
      </c>
      <c r="L518" s="3">
        <f t="shared" ca="1" si="59"/>
        <v>3.5750428978149326E-2</v>
      </c>
    </row>
    <row r="519" spans="3:12">
      <c r="C519" s="7">
        <v>513</v>
      </c>
      <c r="D519" s="3">
        <f t="shared" ref="D519:D582" si="60">r0</f>
        <v>4.5199999999999997E-2</v>
      </c>
      <c r="E519" s="3">
        <f t="shared" ca="1" si="59"/>
        <v>4.432555541247081E-2</v>
      </c>
      <c r="F519" s="3">
        <f t="shared" ca="1" si="59"/>
        <v>4.6540945239746098E-2</v>
      </c>
      <c r="G519" s="3">
        <f t="shared" ca="1" si="59"/>
        <v>5.3833255385433057E-2</v>
      </c>
      <c r="H519" s="3">
        <f t="shared" ca="1" si="59"/>
        <v>5.839053681328827E-2</v>
      </c>
      <c r="I519" s="3">
        <f t="shared" ca="1" si="59"/>
        <v>5.4410442192508818E-2</v>
      </c>
      <c r="J519" s="3">
        <f t="shared" ca="1" si="59"/>
        <v>5.8412439525795536E-2</v>
      </c>
      <c r="K519" s="3">
        <f t="shared" ca="1" si="59"/>
        <v>5.9228637006639842E-2</v>
      </c>
      <c r="L519" s="3">
        <f t="shared" ca="1" si="59"/>
        <v>6.7900143482528152E-2</v>
      </c>
    </row>
    <row r="520" spans="3:12">
      <c r="C520" s="7">
        <v>514</v>
      </c>
      <c r="D520" s="3">
        <f t="shared" si="60"/>
        <v>4.5199999999999997E-2</v>
      </c>
      <c r="E520" s="3">
        <f t="shared" ca="1" si="59"/>
        <v>5.0089951737587908E-2</v>
      </c>
      <c r="F520" s="3">
        <f t="shared" ca="1" si="59"/>
        <v>5.2041807049549513E-2</v>
      </c>
      <c r="G520" s="3">
        <f t="shared" ca="1" si="59"/>
        <v>5.0257434324490639E-2</v>
      </c>
      <c r="H520" s="3">
        <f t="shared" ca="1" si="59"/>
        <v>4.7629897132922837E-2</v>
      </c>
      <c r="I520" s="3">
        <f t="shared" ca="1" si="59"/>
        <v>4.6026040250274715E-2</v>
      </c>
      <c r="J520" s="3">
        <f t="shared" ca="1" si="59"/>
        <v>4.9638863240120935E-2</v>
      </c>
      <c r="K520" s="3">
        <f t="shared" ca="1" si="59"/>
        <v>4.5468533043282446E-2</v>
      </c>
      <c r="L520" s="3">
        <f t="shared" ca="1" si="59"/>
        <v>5.0122963546061279E-2</v>
      </c>
    </row>
    <row r="521" spans="3:12">
      <c r="C521" s="7">
        <v>515</v>
      </c>
      <c r="D521" s="3">
        <f t="shared" si="60"/>
        <v>4.5199999999999997E-2</v>
      </c>
      <c r="E521" s="3">
        <f t="shared" ca="1" si="59"/>
        <v>4.3687233130298944E-2</v>
      </c>
      <c r="F521" s="3">
        <f t="shared" ca="1" si="59"/>
        <v>4.0239049642146994E-2</v>
      </c>
      <c r="G521" s="3">
        <f t="shared" ca="1" si="59"/>
        <v>3.8057292535184056E-2</v>
      </c>
      <c r="H521" s="3">
        <f t="shared" ca="1" si="59"/>
        <v>3.9503905840297789E-2</v>
      </c>
      <c r="I521" s="3">
        <f t="shared" ca="1" si="59"/>
        <v>3.7334952078655288E-2</v>
      </c>
      <c r="J521" s="3">
        <f t="shared" ca="1" si="59"/>
        <v>3.6744715193349153E-2</v>
      </c>
      <c r="K521" s="3">
        <f t="shared" ca="1" si="59"/>
        <v>2.9583038973469641E-2</v>
      </c>
      <c r="L521" s="3">
        <f t="shared" ca="1" si="59"/>
        <v>3.2355632891018345E-2</v>
      </c>
    </row>
    <row r="522" spans="3:12">
      <c r="C522" s="7">
        <v>516</v>
      </c>
      <c r="D522" s="3">
        <f t="shared" si="60"/>
        <v>4.5199999999999997E-2</v>
      </c>
      <c r="E522" s="3">
        <f t="shared" ca="1" si="59"/>
        <v>4.0437662338875205E-2</v>
      </c>
      <c r="F522" s="3">
        <f t="shared" ca="1" si="59"/>
        <v>3.9972770808251311E-2</v>
      </c>
      <c r="G522" s="3">
        <f t="shared" ca="1" si="59"/>
        <v>3.0584653141026159E-2</v>
      </c>
      <c r="H522" s="3">
        <f t="shared" ca="1" si="59"/>
        <v>3.1038894268677186E-2</v>
      </c>
      <c r="I522" s="3">
        <f t="shared" ca="1" si="59"/>
        <v>2.5189613535304772E-2</v>
      </c>
      <c r="J522" s="3">
        <f t="shared" ca="1" si="59"/>
        <v>2.9108922895948117E-2</v>
      </c>
      <c r="K522" s="3">
        <f t="shared" ca="1" si="59"/>
        <v>2.7954150949428627E-2</v>
      </c>
      <c r="L522" s="3">
        <f t="shared" ca="1" si="59"/>
        <v>2.679808030283086E-2</v>
      </c>
    </row>
    <row r="523" spans="3:12">
      <c r="C523" s="7">
        <v>517</v>
      </c>
      <c r="D523" s="3">
        <f t="shared" si="60"/>
        <v>4.5199999999999997E-2</v>
      </c>
      <c r="E523" s="3">
        <f t="shared" ca="1" si="59"/>
        <v>5.0708889571143584E-2</v>
      </c>
      <c r="F523" s="3">
        <f t="shared" ca="1" si="59"/>
        <v>5.6003930003688751E-2</v>
      </c>
      <c r="G523" s="3">
        <f t="shared" ca="1" si="59"/>
        <v>6.1200163924081064E-2</v>
      </c>
      <c r="H523" s="3">
        <f t="shared" ca="1" si="59"/>
        <v>6.9965389960544702E-2</v>
      </c>
      <c r="I523" s="3">
        <f t="shared" ca="1" si="59"/>
        <v>7.236984153006519E-2</v>
      </c>
      <c r="J523" s="3">
        <f t="shared" ca="1" si="59"/>
        <v>8.3028508849989122E-2</v>
      </c>
      <c r="K523" s="3">
        <f t="shared" ca="1" si="59"/>
        <v>8.500775095373643E-2</v>
      </c>
      <c r="L523" s="3">
        <f t="shared" ca="1" si="59"/>
        <v>9.3145211282359003E-2</v>
      </c>
    </row>
    <row r="524" spans="3:12">
      <c r="C524" s="7">
        <v>518</v>
      </c>
      <c r="D524" s="3">
        <f t="shared" si="60"/>
        <v>4.5199999999999997E-2</v>
      </c>
      <c r="E524" s="3">
        <f t="shared" ca="1" si="59"/>
        <v>4.8098365795304257E-2</v>
      </c>
      <c r="F524" s="3">
        <f t="shared" ca="1" si="59"/>
        <v>4.8923734615542759E-2</v>
      </c>
      <c r="G524" s="3">
        <f t="shared" ca="1" si="59"/>
        <v>5.1344169024712269E-2</v>
      </c>
      <c r="H524" s="3">
        <f t="shared" ca="1" si="59"/>
        <v>5.2213285867926451E-2</v>
      </c>
      <c r="I524" s="3">
        <f t="shared" ca="1" si="59"/>
        <v>4.7723655191061184E-2</v>
      </c>
      <c r="J524" s="3">
        <f t="shared" ca="1" si="59"/>
        <v>5.0935944329201788E-2</v>
      </c>
      <c r="K524" s="3">
        <f t="shared" ca="1" si="59"/>
        <v>5.0590075814613729E-2</v>
      </c>
      <c r="L524" s="3">
        <f t="shared" ca="1" si="59"/>
        <v>5.5104166568413132E-2</v>
      </c>
    </row>
    <row r="525" spans="3:12">
      <c r="C525" s="7">
        <v>519</v>
      </c>
      <c r="D525" s="3">
        <f t="shared" si="60"/>
        <v>4.5199999999999997E-2</v>
      </c>
      <c r="E525" s="3">
        <f t="shared" ca="1" si="59"/>
        <v>4.1192954934374963E-2</v>
      </c>
      <c r="F525" s="3">
        <f t="shared" ca="1" si="59"/>
        <v>4.7485691390012102E-2</v>
      </c>
      <c r="G525" s="3">
        <f t="shared" ca="1" si="59"/>
        <v>4.1298557639422848E-2</v>
      </c>
      <c r="H525" s="3">
        <f t="shared" ca="1" si="59"/>
        <v>5.0730832411765597E-2</v>
      </c>
      <c r="I525" s="3">
        <f t="shared" ca="1" si="59"/>
        <v>5.0129955764317453E-2</v>
      </c>
      <c r="J525" s="3">
        <f t="shared" ca="1" si="59"/>
        <v>5.1887344174428709E-2</v>
      </c>
      <c r="K525" s="3">
        <f t="shared" ca="1" si="59"/>
        <v>5.6114772825048551E-2</v>
      </c>
      <c r="L525" s="3">
        <f t="shared" ca="1" si="59"/>
        <v>6.9832052568796654E-2</v>
      </c>
    </row>
    <row r="526" spans="3:12">
      <c r="C526" s="7">
        <v>520</v>
      </c>
      <c r="D526" s="3">
        <f t="shared" si="60"/>
        <v>4.5199999999999997E-2</v>
      </c>
      <c r="E526" s="3">
        <f t="shared" ca="1" si="59"/>
        <v>5.0139844132883415E-2</v>
      </c>
      <c r="F526" s="3">
        <f t="shared" ca="1" si="59"/>
        <v>5.2379890175302438E-2</v>
      </c>
      <c r="G526" s="3">
        <f t="shared" ca="1" si="59"/>
        <v>4.4568317886216444E-2</v>
      </c>
      <c r="H526" s="3">
        <f t="shared" ca="1" si="59"/>
        <v>4.6358930718054837E-2</v>
      </c>
      <c r="I526" s="3">
        <f t="shared" ca="1" si="59"/>
        <v>4.7631446821849902E-2</v>
      </c>
      <c r="J526" s="3">
        <f t="shared" ca="1" si="59"/>
        <v>4.3775720897299975E-2</v>
      </c>
      <c r="K526" s="3">
        <f t="shared" ca="1" si="59"/>
        <v>4.6238298612669558E-2</v>
      </c>
      <c r="L526" s="3">
        <f t="shared" ca="1" si="59"/>
        <v>4.6468893772631789E-2</v>
      </c>
    </row>
    <row r="527" spans="3:12">
      <c r="C527" s="7">
        <v>521</v>
      </c>
      <c r="D527" s="3">
        <f t="shared" si="60"/>
        <v>4.5199999999999997E-2</v>
      </c>
      <c r="E527" s="3">
        <f t="shared" ref="E527:L536" ca="1" si="61">D527+E$5*dt+sigma*_xlfn.NORM.S.INV(RAND())*SQRT(dt)</f>
        <v>3.7795262432651078E-2</v>
      </c>
      <c r="F527" s="3">
        <f t="shared" ca="1" si="61"/>
        <v>4.9841204097165831E-2</v>
      </c>
      <c r="G527" s="3">
        <f t="shared" ca="1" si="61"/>
        <v>4.7163769921661575E-2</v>
      </c>
      <c r="H527" s="3">
        <f t="shared" ca="1" si="61"/>
        <v>5.0808183987155808E-2</v>
      </c>
      <c r="I527" s="3">
        <f t="shared" ca="1" si="61"/>
        <v>4.9433020501668784E-2</v>
      </c>
      <c r="J527" s="3">
        <f t="shared" ca="1" si="61"/>
        <v>5.2945551478002874E-2</v>
      </c>
      <c r="K527" s="3">
        <f t="shared" ca="1" si="61"/>
        <v>6.2351393595479691E-2</v>
      </c>
      <c r="L527" s="3">
        <f t="shared" ca="1" si="61"/>
        <v>6.739313681164201E-2</v>
      </c>
    </row>
    <row r="528" spans="3:12">
      <c r="C528" s="7">
        <v>522</v>
      </c>
      <c r="D528" s="3">
        <f t="shared" si="60"/>
        <v>4.5199999999999997E-2</v>
      </c>
      <c r="E528" s="3">
        <f t="shared" ca="1" si="61"/>
        <v>4.2185438513035065E-2</v>
      </c>
      <c r="F528" s="3">
        <f t="shared" ca="1" si="61"/>
        <v>3.9122759311591072E-2</v>
      </c>
      <c r="G528" s="3">
        <f t="shared" ca="1" si="61"/>
        <v>3.8726996273407727E-2</v>
      </c>
      <c r="H528" s="3">
        <f t="shared" ca="1" si="61"/>
        <v>3.9002578592977184E-2</v>
      </c>
      <c r="I528" s="3">
        <f t="shared" ca="1" si="61"/>
        <v>4.2824527419869501E-2</v>
      </c>
      <c r="J528" s="3">
        <f t="shared" ca="1" si="61"/>
        <v>4.1918273530627347E-2</v>
      </c>
      <c r="K528" s="3">
        <f t="shared" ca="1" si="61"/>
        <v>3.6996124924474981E-2</v>
      </c>
      <c r="L528" s="3">
        <f t="shared" ca="1" si="61"/>
        <v>3.8749853062506653E-2</v>
      </c>
    </row>
    <row r="529" spans="3:12">
      <c r="C529" s="7">
        <v>523</v>
      </c>
      <c r="D529" s="3">
        <f t="shared" si="60"/>
        <v>4.5199999999999997E-2</v>
      </c>
      <c r="E529" s="3">
        <f t="shared" ca="1" si="61"/>
        <v>4.9092029335643848E-2</v>
      </c>
      <c r="F529" s="3">
        <f t="shared" ca="1" si="61"/>
        <v>3.1145732605655077E-2</v>
      </c>
      <c r="G529" s="3">
        <f t="shared" ca="1" si="61"/>
        <v>3.7053465394019672E-2</v>
      </c>
      <c r="H529" s="3">
        <f t="shared" ca="1" si="61"/>
        <v>3.764431876223219E-2</v>
      </c>
      <c r="I529" s="3">
        <f t="shared" ca="1" si="61"/>
        <v>3.5082125326235086E-2</v>
      </c>
      <c r="J529" s="3">
        <f t="shared" ca="1" si="61"/>
        <v>3.4911381690170239E-2</v>
      </c>
      <c r="K529" s="3">
        <f t="shared" ca="1" si="61"/>
        <v>4.2934377740222601E-2</v>
      </c>
      <c r="L529" s="3">
        <f t="shared" ca="1" si="61"/>
        <v>4.2813852535770948E-2</v>
      </c>
    </row>
    <row r="530" spans="3:12">
      <c r="C530" s="7">
        <v>524</v>
      </c>
      <c r="D530" s="3">
        <f t="shared" si="60"/>
        <v>4.5199999999999997E-2</v>
      </c>
      <c r="E530" s="3">
        <f t="shared" ca="1" si="61"/>
        <v>3.9395195118012212E-2</v>
      </c>
      <c r="F530" s="3">
        <f t="shared" ca="1" si="61"/>
        <v>4.0458280136187665E-2</v>
      </c>
      <c r="G530" s="3">
        <f t="shared" ca="1" si="61"/>
        <v>3.3051929483156162E-2</v>
      </c>
      <c r="H530" s="3">
        <f t="shared" ca="1" si="61"/>
        <v>3.6715469237283409E-2</v>
      </c>
      <c r="I530" s="3">
        <f t="shared" ca="1" si="61"/>
        <v>3.8622416893983658E-2</v>
      </c>
      <c r="J530" s="3">
        <f t="shared" ca="1" si="61"/>
        <v>4.7550069110585631E-2</v>
      </c>
      <c r="K530" s="3">
        <f t="shared" ca="1" si="61"/>
        <v>4.0043795277004496E-2</v>
      </c>
      <c r="L530" s="3">
        <f t="shared" ca="1" si="61"/>
        <v>3.7097132969486302E-2</v>
      </c>
    </row>
    <row r="531" spans="3:12">
      <c r="C531" s="7">
        <v>525</v>
      </c>
      <c r="D531" s="3">
        <f t="shared" si="60"/>
        <v>4.5199999999999997E-2</v>
      </c>
      <c r="E531" s="3">
        <f t="shared" ca="1" si="61"/>
        <v>3.984399099520837E-2</v>
      </c>
      <c r="F531" s="3">
        <f t="shared" ca="1" si="61"/>
        <v>4.4960641889214122E-2</v>
      </c>
      <c r="G531" s="3">
        <f t="shared" ca="1" si="61"/>
        <v>5.3185541268421566E-2</v>
      </c>
      <c r="H531" s="3">
        <f t="shared" ca="1" si="61"/>
        <v>5.3415526059987936E-2</v>
      </c>
      <c r="I531" s="3">
        <f t="shared" ca="1" si="61"/>
        <v>5.1431743371206658E-2</v>
      </c>
      <c r="J531" s="3">
        <f t="shared" ca="1" si="61"/>
        <v>4.9257723920599551E-2</v>
      </c>
      <c r="K531" s="3">
        <f t="shared" ca="1" si="61"/>
        <v>5.3720065685232972E-2</v>
      </c>
      <c r="L531" s="3">
        <f t="shared" ca="1" si="61"/>
        <v>4.9308507328301554E-2</v>
      </c>
    </row>
    <row r="532" spans="3:12">
      <c r="C532" s="7">
        <v>526</v>
      </c>
      <c r="D532" s="3">
        <f t="shared" si="60"/>
        <v>4.5199999999999997E-2</v>
      </c>
      <c r="E532" s="3">
        <f t="shared" ca="1" si="61"/>
        <v>4.4532099587035363E-2</v>
      </c>
      <c r="F532" s="3">
        <f t="shared" ca="1" si="61"/>
        <v>5.5114475786726361E-2</v>
      </c>
      <c r="G532" s="3">
        <f t="shared" ca="1" si="61"/>
        <v>5.759357759932239E-2</v>
      </c>
      <c r="H532" s="3">
        <f t="shared" ca="1" si="61"/>
        <v>5.519201931399207E-2</v>
      </c>
      <c r="I532" s="3">
        <f t="shared" ca="1" si="61"/>
        <v>5.0779657721803297E-2</v>
      </c>
      <c r="J532" s="3">
        <f t="shared" ca="1" si="61"/>
        <v>5.0613496875408663E-2</v>
      </c>
      <c r="K532" s="3">
        <f t="shared" ca="1" si="61"/>
        <v>6.1752109984756845E-2</v>
      </c>
      <c r="L532" s="3">
        <f t="shared" ca="1" si="61"/>
        <v>6.631251094957738E-2</v>
      </c>
    </row>
    <row r="533" spans="3:12">
      <c r="C533" s="7">
        <v>527</v>
      </c>
      <c r="D533" s="3">
        <f t="shared" si="60"/>
        <v>4.5199999999999997E-2</v>
      </c>
      <c r="E533" s="3">
        <f t="shared" ca="1" si="61"/>
        <v>4.1374663843292289E-2</v>
      </c>
      <c r="F533" s="3">
        <f t="shared" ca="1" si="61"/>
        <v>4.7808048792703034E-2</v>
      </c>
      <c r="G533" s="3">
        <f t="shared" ca="1" si="61"/>
        <v>4.2889965215412461E-2</v>
      </c>
      <c r="H533" s="3">
        <f t="shared" ca="1" si="61"/>
        <v>4.0546485630075749E-2</v>
      </c>
      <c r="I533" s="3">
        <f t="shared" ca="1" si="61"/>
        <v>4.6621003801073743E-2</v>
      </c>
      <c r="J533" s="3">
        <f t="shared" ca="1" si="61"/>
        <v>4.9712091575432507E-2</v>
      </c>
      <c r="K533" s="3">
        <f t="shared" ca="1" si="61"/>
        <v>5.3738089286256806E-2</v>
      </c>
      <c r="L533" s="3">
        <f t="shared" ca="1" si="61"/>
        <v>5.1975430692445722E-2</v>
      </c>
    </row>
    <row r="534" spans="3:12">
      <c r="C534" s="7">
        <v>528</v>
      </c>
      <c r="D534" s="3">
        <f t="shared" si="60"/>
        <v>4.5199999999999997E-2</v>
      </c>
      <c r="E534" s="3">
        <f t="shared" ca="1" si="61"/>
        <v>5.0554509800752816E-2</v>
      </c>
      <c r="F534" s="3">
        <f t="shared" ca="1" si="61"/>
        <v>4.82209157844561E-2</v>
      </c>
      <c r="G534" s="3">
        <f t="shared" ca="1" si="61"/>
        <v>4.5820726850837191E-2</v>
      </c>
      <c r="H534" s="3">
        <f t="shared" ca="1" si="61"/>
        <v>4.6428634546876457E-2</v>
      </c>
      <c r="I534" s="3">
        <f t="shared" ca="1" si="61"/>
        <v>4.4772729549761879E-2</v>
      </c>
      <c r="J534" s="3">
        <f t="shared" ca="1" si="61"/>
        <v>5.2033504179569839E-2</v>
      </c>
      <c r="K534" s="3">
        <f t="shared" ca="1" si="61"/>
        <v>5.4704647081934413E-2</v>
      </c>
      <c r="L534" s="3">
        <f t="shared" ca="1" si="61"/>
        <v>4.700427193706537E-2</v>
      </c>
    </row>
    <row r="535" spans="3:12">
      <c r="C535" s="7">
        <v>529</v>
      </c>
      <c r="D535" s="3">
        <f t="shared" si="60"/>
        <v>4.5199999999999997E-2</v>
      </c>
      <c r="E535" s="3">
        <f t="shared" ca="1" si="61"/>
        <v>4.6487135780310426E-2</v>
      </c>
      <c r="F535" s="3">
        <f t="shared" ca="1" si="61"/>
        <v>5.4838471385582815E-2</v>
      </c>
      <c r="G535" s="3">
        <f t="shared" ca="1" si="61"/>
        <v>6.1757885453016255E-2</v>
      </c>
      <c r="H535" s="3">
        <f t="shared" ca="1" si="61"/>
        <v>5.512586576043664E-2</v>
      </c>
      <c r="I535" s="3">
        <f t="shared" ca="1" si="61"/>
        <v>5.1508094205198113E-2</v>
      </c>
      <c r="J535" s="3">
        <f t="shared" ca="1" si="61"/>
        <v>4.7298722996824534E-2</v>
      </c>
      <c r="K535" s="3">
        <f t="shared" ca="1" si="61"/>
        <v>4.7246981111660195E-2</v>
      </c>
      <c r="L535" s="3">
        <f t="shared" ca="1" si="61"/>
        <v>3.4775552750966887E-2</v>
      </c>
    </row>
    <row r="536" spans="3:12">
      <c r="C536" s="7">
        <v>530</v>
      </c>
      <c r="D536" s="3">
        <f t="shared" si="60"/>
        <v>4.5199999999999997E-2</v>
      </c>
      <c r="E536" s="3">
        <f t="shared" ca="1" si="61"/>
        <v>4.396171860774898E-2</v>
      </c>
      <c r="F536" s="3">
        <f t="shared" ca="1" si="61"/>
        <v>4.9636901577871387E-2</v>
      </c>
      <c r="G536" s="3">
        <f t="shared" ca="1" si="61"/>
        <v>5.1762142077083857E-2</v>
      </c>
      <c r="H536" s="3">
        <f t="shared" ca="1" si="61"/>
        <v>4.3885105253541987E-2</v>
      </c>
      <c r="I536" s="3">
        <f t="shared" ca="1" si="61"/>
        <v>4.1122621231167278E-2</v>
      </c>
      <c r="J536" s="3">
        <f t="shared" ca="1" si="61"/>
        <v>4.8088148841640664E-2</v>
      </c>
      <c r="K536" s="3">
        <f t="shared" ca="1" si="61"/>
        <v>5.2895336409135157E-2</v>
      </c>
      <c r="L536" s="3">
        <f t="shared" ca="1" si="61"/>
        <v>5.7402127998586919E-2</v>
      </c>
    </row>
    <row r="537" spans="3:12">
      <c r="C537" s="7">
        <v>531</v>
      </c>
      <c r="D537" s="3">
        <f t="shared" si="60"/>
        <v>4.5199999999999997E-2</v>
      </c>
      <c r="E537" s="3">
        <f t="shared" ref="E537:L546" ca="1" si="62">D537+E$5*dt+sigma*_xlfn.NORM.S.INV(RAND())*SQRT(dt)</f>
        <v>4.5178026747958629E-2</v>
      </c>
      <c r="F537" s="3">
        <f t="shared" ca="1" si="62"/>
        <v>4.530637441849994E-2</v>
      </c>
      <c r="G537" s="3">
        <f t="shared" ca="1" si="62"/>
        <v>4.3789858803271763E-2</v>
      </c>
      <c r="H537" s="3">
        <f t="shared" ca="1" si="62"/>
        <v>4.7027473382116429E-2</v>
      </c>
      <c r="I537" s="3">
        <f t="shared" ca="1" si="62"/>
        <v>5.0018050881376348E-2</v>
      </c>
      <c r="J537" s="3">
        <f t="shared" ca="1" si="62"/>
        <v>5.0037113432517231E-2</v>
      </c>
      <c r="K537" s="3">
        <f t="shared" ca="1" si="62"/>
        <v>5.2274773474228028E-2</v>
      </c>
      <c r="L537" s="3">
        <f t="shared" ca="1" si="62"/>
        <v>5.0663870260824993E-2</v>
      </c>
    </row>
    <row r="538" spans="3:12">
      <c r="C538" s="7">
        <v>532</v>
      </c>
      <c r="D538" s="3">
        <f t="shared" si="60"/>
        <v>4.5199999999999997E-2</v>
      </c>
      <c r="E538" s="3">
        <f t="shared" ca="1" si="62"/>
        <v>3.2168265905111432E-2</v>
      </c>
      <c r="F538" s="3">
        <f t="shared" ca="1" si="62"/>
        <v>2.6137753681665259E-2</v>
      </c>
      <c r="G538" s="3">
        <f t="shared" ca="1" si="62"/>
        <v>2.301172036967504E-2</v>
      </c>
      <c r="H538" s="3">
        <f t="shared" ca="1" si="62"/>
        <v>2.3531075708014982E-2</v>
      </c>
      <c r="I538" s="3">
        <f t="shared" ca="1" si="62"/>
        <v>1.5210044265883727E-2</v>
      </c>
      <c r="J538" s="3">
        <f t="shared" ca="1" si="62"/>
        <v>1.6966139145928288E-2</v>
      </c>
      <c r="K538" s="3">
        <f t="shared" ca="1" si="62"/>
        <v>1.3000303674713248E-2</v>
      </c>
      <c r="L538" s="3">
        <f t="shared" ca="1" si="62"/>
        <v>1.8744210555839236E-2</v>
      </c>
    </row>
    <row r="539" spans="3:12">
      <c r="C539" s="7">
        <v>533</v>
      </c>
      <c r="D539" s="3">
        <f t="shared" si="60"/>
        <v>4.5199999999999997E-2</v>
      </c>
      <c r="E539" s="3">
        <f t="shared" ca="1" si="62"/>
        <v>4.0226662657364895E-2</v>
      </c>
      <c r="F539" s="3">
        <f t="shared" ca="1" si="62"/>
        <v>4.4317859827959785E-2</v>
      </c>
      <c r="G539" s="3">
        <f t="shared" ca="1" si="62"/>
        <v>4.9330198550240983E-2</v>
      </c>
      <c r="H539" s="3">
        <f t="shared" ca="1" si="62"/>
        <v>5.3118879385848715E-2</v>
      </c>
      <c r="I539" s="3">
        <f t="shared" ca="1" si="62"/>
        <v>6.0332451703164397E-2</v>
      </c>
      <c r="J539" s="3">
        <f t="shared" ca="1" si="62"/>
        <v>6.4608340542470277E-2</v>
      </c>
      <c r="K539" s="3">
        <f t="shared" ca="1" si="62"/>
        <v>6.5285685487027914E-2</v>
      </c>
      <c r="L539" s="3">
        <f t="shared" ca="1" si="62"/>
        <v>6.1291281953645707E-2</v>
      </c>
    </row>
    <row r="540" spans="3:12">
      <c r="C540" s="7">
        <v>534</v>
      </c>
      <c r="D540" s="3">
        <f t="shared" si="60"/>
        <v>4.5199999999999997E-2</v>
      </c>
      <c r="E540" s="3">
        <f t="shared" ca="1" si="62"/>
        <v>4.9569799688326435E-2</v>
      </c>
      <c r="F540" s="3">
        <f t="shared" ca="1" si="62"/>
        <v>5.1226059190008395E-2</v>
      </c>
      <c r="G540" s="3">
        <f t="shared" ca="1" si="62"/>
        <v>5.1035858008644401E-2</v>
      </c>
      <c r="H540" s="3">
        <f t="shared" ca="1" si="62"/>
        <v>5.6436935405527647E-2</v>
      </c>
      <c r="I540" s="3">
        <f t="shared" ca="1" si="62"/>
        <v>5.0763316874595697E-2</v>
      </c>
      <c r="J540" s="3">
        <f t="shared" ca="1" si="62"/>
        <v>5.8867308950069058E-2</v>
      </c>
      <c r="K540" s="3">
        <f t="shared" ca="1" si="62"/>
        <v>5.9705894171106319E-2</v>
      </c>
      <c r="L540" s="3">
        <f t="shared" ca="1" si="62"/>
        <v>5.7721383414226744E-2</v>
      </c>
    </row>
    <row r="541" spans="3:12">
      <c r="C541" s="7">
        <v>535</v>
      </c>
      <c r="D541" s="3">
        <f t="shared" si="60"/>
        <v>4.5199999999999997E-2</v>
      </c>
      <c r="E541" s="3">
        <f t="shared" ca="1" si="62"/>
        <v>3.5504612852691582E-2</v>
      </c>
      <c r="F541" s="3">
        <f t="shared" ca="1" si="62"/>
        <v>4.8944731312415973E-2</v>
      </c>
      <c r="G541" s="3">
        <f t="shared" ca="1" si="62"/>
        <v>5.7954242479503572E-2</v>
      </c>
      <c r="H541" s="3">
        <f t="shared" ca="1" si="62"/>
        <v>5.1050724472041745E-2</v>
      </c>
      <c r="I541" s="3">
        <f t="shared" ca="1" si="62"/>
        <v>4.5770296274061512E-2</v>
      </c>
      <c r="J541" s="3">
        <f t="shared" ca="1" si="62"/>
        <v>5.8704030845395022E-2</v>
      </c>
      <c r="K541" s="3">
        <f t="shared" ca="1" si="62"/>
        <v>5.9784396902353529E-2</v>
      </c>
      <c r="L541" s="3">
        <f t="shared" ca="1" si="62"/>
        <v>6.1517825500138505E-2</v>
      </c>
    </row>
    <row r="542" spans="3:12">
      <c r="C542" s="7">
        <v>536</v>
      </c>
      <c r="D542" s="3">
        <f t="shared" si="60"/>
        <v>4.5199999999999997E-2</v>
      </c>
      <c r="E542" s="3">
        <f t="shared" ca="1" si="62"/>
        <v>4.2338206735348889E-2</v>
      </c>
      <c r="F542" s="3">
        <f t="shared" ca="1" si="62"/>
        <v>5.0806345809403984E-2</v>
      </c>
      <c r="G542" s="3">
        <f t="shared" ca="1" si="62"/>
        <v>4.765479703698889E-2</v>
      </c>
      <c r="H542" s="3">
        <f t="shared" ca="1" si="62"/>
        <v>4.9406725137591617E-2</v>
      </c>
      <c r="I542" s="3">
        <f t="shared" ca="1" si="62"/>
        <v>4.5904976485538609E-2</v>
      </c>
      <c r="J542" s="3">
        <f t="shared" ca="1" si="62"/>
        <v>4.0203635845447262E-2</v>
      </c>
      <c r="K542" s="3">
        <f t="shared" ca="1" si="62"/>
        <v>3.4707198387585035E-2</v>
      </c>
      <c r="L542" s="3">
        <f t="shared" ca="1" si="62"/>
        <v>2.9613265349217797E-2</v>
      </c>
    </row>
    <row r="543" spans="3:12">
      <c r="C543" s="7">
        <v>537</v>
      </c>
      <c r="D543" s="3">
        <f t="shared" si="60"/>
        <v>4.5199999999999997E-2</v>
      </c>
      <c r="E543" s="3">
        <f t="shared" ca="1" si="62"/>
        <v>5.0395130266936851E-2</v>
      </c>
      <c r="F543" s="3">
        <f t="shared" ca="1" si="62"/>
        <v>5.4797692973434682E-2</v>
      </c>
      <c r="G543" s="3">
        <f t="shared" ca="1" si="62"/>
        <v>4.6166918766962731E-2</v>
      </c>
      <c r="H543" s="3">
        <f t="shared" ca="1" si="62"/>
        <v>5.1205279828556743E-2</v>
      </c>
      <c r="I543" s="3">
        <f t="shared" ca="1" si="62"/>
        <v>5.1920799613929425E-2</v>
      </c>
      <c r="J543" s="3">
        <f t="shared" ca="1" si="62"/>
        <v>4.6593754339013735E-2</v>
      </c>
      <c r="K543" s="3">
        <f t="shared" ca="1" si="62"/>
        <v>4.8415402372350577E-2</v>
      </c>
      <c r="L543" s="3">
        <f t="shared" ca="1" si="62"/>
        <v>5.2448420248272391E-2</v>
      </c>
    </row>
    <row r="544" spans="3:12">
      <c r="C544" s="7">
        <v>538</v>
      </c>
      <c r="D544" s="3">
        <f t="shared" si="60"/>
        <v>4.5199999999999997E-2</v>
      </c>
      <c r="E544" s="3">
        <f t="shared" ca="1" si="62"/>
        <v>3.600379820379989E-2</v>
      </c>
      <c r="F544" s="3">
        <f t="shared" ca="1" si="62"/>
        <v>3.1878972837120705E-2</v>
      </c>
      <c r="G544" s="3">
        <f t="shared" ca="1" si="62"/>
        <v>2.9871948956377528E-2</v>
      </c>
      <c r="H544" s="3">
        <f t="shared" ca="1" si="62"/>
        <v>2.6022618538368777E-2</v>
      </c>
      <c r="I544" s="3">
        <f t="shared" ca="1" si="62"/>
        <v>3.139483521615255E-2</v>
      </c>
      <c r="J544" s="3">
        <f t="shared" ca="1" si="62"/>
        <v>2.2138620279767044E-2</v>
      </c>
      <c r="K544" s="3">
        <f t="shared" ca="1" si="62"/>
        <v>2.3636415776660962E-2</v>
      </c>
      <c r="L544" s="3">
        <f t="shared" ca="1" si="62"/>
        <v>2.3699511683224476E-2</v>
      </c>
    </row>
    <row r="545" spans="3:12">
      <c r="C545" s="7">
        <v>539</v>
      </c>
      <c r="D545" s="3">
        <f t="shared" si="60"/>
        <v>4.5199999999999997E-2</v>
      </c>
      <c r="E545" s="3">
        <f t="shared" ca="1" si="62"/>
        <v>4.7287703664690484E-2</v>
      </c>
      <c r="F545" s="3">
        <f t="shared" ca="1" si="62"/>
        <v>4.593324522793165E-2</v>
      </c>
      <c r="G545" s="3">
        <f t="shared" ca="1" si="62"/>
        <v>4.0578260293996998E-2</v>
      </c>
      <c r="H545" s="3">
        <f t="shared" ca="1" si="62"/>
        <v>5.3187317192525285E-2</v>
      </c>
      <c r="I545" s="3">
        <f t="shared" ca="1" si="62"/>
        <v>5.3256666838782094E-2</v>
      </c>
      <c r="J545" s="3">
        <f t="shared" ca="1" si="62"/>
        <v>5.2107294610527183E-2</v>
      </c>
      <c r="K545" s="3">
        <f t="shared" ca="1" si="62"/>
        <v>4.7711019109010967E-2</v>
      </c>
      <c r="L545" s="3">
        <f t="shared" ca="1" si="62"/>
        <v>5.6259146933223259E-2</v>
      </c>
    </row>
    <row r="546" spans="3:12">
      <c r="C546" s="7">
        <v>540</v>
      </c>
      <c r="D546" s="3">
        <f t="shared" si="60"/>
        <v>4.5199999999999997E-2</v>
      </c>
      <c r="E546" s="3">
        <f t="shared" ca="1" si="62"/>
        <v>4.8084039359385669E-2</v>
      </c>
      <c r="F546" s="3">
        <f t="shared" ca="1" si="62"/>
        <v>4.9348986119301406E-2</v>
      </c>
      <c r="G546" s="3">
        <f t="shared" ca="1" si="62"/>
        <v>5.1494754471494958E-2</v>
      </c>
      <c r="H546" s="3">
        <f t="shared" ca="1" si="62"/>
        <v>4.7301219362452823E-2</v>
      </c>
      <c r="I546" s="3">
        <f t="shared" ca="1" si="62"/>
        <v>4.7979066383657391E-2</v>
      </c>
      <c r="J546" s="3">
        <f t="shared" ca="1" si="62"/>
        <v>4.6273754917187757E-2</v>
      </c>
      <c r="K546" s="3">
        <f t="shared" ca="1" si="62"/>
        <v>4.2499272281355568E-2</v>
      </c>
      <c r="L546" s="3">
        <f t="shared" ca="1" si="62"/>
        <v>4.6563575272701871E-2</v>
      </c>
    </row>
    <row r="547" spans="3:12">
      <c r="C547" s="7">
        <v>541</v>
      </c>
      <c r="D547" s="3">
        <f t="shared" si="60"/>
        <v>4.5199999999999997E-2</v>
      </c>
      <c r="E547" s="3">
        <f t="shared" ref="E547:L556" ca="1" si="63">D547+E$5*dt+sigma*_xlfn.NORM.S.INV(RAND())*SQRT(dt)</f>
        <v>4.1916959582537286E-2</v>
      </c>
      <c r="F547" s="3">
        <f t="shared" ca="1" si="63"/>
        <v>4.3040145358854608E-2</v>
      </c>
      <c r="G547" s="3">
        <f t="shared" ca="1" si="63"/>
        <v>4.8358907722625154E-2</v>
      </c>
      <c r="H547" s="3">
        <f t="shared" ca="1" si="63"/>
        <v>4.8561612866722205E-2</v>
      </c>
      <c r="I547" s="3">
        <f t="shared" ca="1" si="63"/>
        <v>4.4049198949547452E-2</v>
      </c>
      <c r="J547" s="3">
        <f t="shared" ca="1" si="63"/>
        <v>4.7080900107619228E-2</v>
      </c>
      <c r="K547" s="3">
        <f t="shared" ca="1" si="63"/>
        <v>5.0328090867527091E-2</v>
      </c>
      <c r="L547" s="3">
        <f t="shared" ca="1" si="63"/>
        <v>4.7888428668630086E-2</v>
      </c>
    </row>
    <row r="548" spans="3:12">
      <c r="C548" s="7">
        <v>542</v>
      </c>
      <c r="D548" s="3">
        <f t="shared" si="60"/>
        <v>4.5199999999999997E-2</v>
      </c>
      <c r="E548" s="3">
        <f t="shared" ca="1" si="63"/>
        <v>5.012549876413773E-2</v>
      </c>
      <c r="F548" s="3">
        <f t="shared" ca="1" si="63"/>
        <v>4.698830650793747E-2</v>
      </c>
      <c r="G548" s="3">
        <f t="shared" ca="1" si="63"/>
        <v>5.3007121077267821E-2</v>
      </c>
      <c r="H548" s="3">
        <f t="shared" ca="1" si="63"/>
        <v>5.1641997087012927E-2</v>
      </c>
      <c r="I548" s="3">
        <f t="shared" ca="1" si="63"/>
        <v>5.2364124418187358E-2</v>
      </c>
      <c r="J548" s="3">
        <f t="shared" ca="1" si="63"/>
        <v>5.4751364729858462E-2</v>
      </c>
      <c r="K548" s="3">
        <f t="shared" ca="1" si="63"/>
        <v>4.7564536290536245E-2</v>
      </c>
      <c r="L548" s="3">
        <f t="shared" ca="1" si="63"/>
        <v>6.0107446750644881E-2</v>
      </c>
    </row>
    <row r="549" spans="3:12">
      <c r="C549" s="7">
        <v>543</v>
      </c>
      <c r="D549" s="3">
        <f t="shared" si="60"/>
        <v>4.5199999999999997E-2</v>
      </c>
      <c r="E549" s="3">
        <f t="shared" ca="1" si="63"/>
        <v>4.8620494636095891E-2</v>
      </c>
      <c r="F549" s="3">
        <f t="shared" ca="1" si="63"/>
        <v>5.5536508897259113E-2</v>
      </c>
      <c r="G549" s="3">
        <f t="shared" ca="1" si="63"/>
        <v>5.8752587609794064E-2</v>
      </c>
      <c r="H549" s="3">
        <f t="shared" ca="1" si="63"/>
        <v>6.8588758423592688E-2</v>
      </c>
      <c r="I549" s="3">
        <f t="shared" ca="1" si="63"/>
        <v>6.1679241733069573E-2</v>
      </c>
      <c r="J549" s="3">
        <f t="shared" ca="1" si="63"/>
        <v>6.592932146221947E-2</v>
      </c>
      <c r="K549" s="3">
        <f t="shared" ca="1" si="63"/>
        <v>7.0976198202300556E-2</v>
      </c>
      <c r="L549" s="3">
        <f t="shared" ca="1" si="63"/>
        <v>6.9884611799367946E-2</v>
      </c>
    </row>
    <row r="550" spans="3:12">
      <c r="C550" s="7">
        <v>544</v>
      </c>
      <c r="D550" s="3">
        <f t="shared" si="60"/>
        <v>4.5199999999999997E-2</v>
      </c>
      <c r="E550" s="3">
        <f t="shared" ca="1" si="63"/>
        <v>4.646530202646558E-2</v>
      </c>
      <c r="F550" s="3">
        <f t="shared" ca="1" si="63"/>
        <v>4.7739016338711075E-2</v>
      </c>
      <c r="G550" s="3">
        <f t="shared" ca="1" si="63"/>
        <v>5.1624854757708602E-2</v>
      </c>
      <c r="H550" s="3">
        <f t="shared" ca="1" si="63"/>
        <v>4.8774573392647132E-2</v>
      </c>
      <c r="I550" s="3">
        <f t="shared" ca="1" si="63"/>
        <v>5.9163338129384319E-2</v>
      </c>
      <c r="J550" s="3">
        <f t="shared" ca="1" si="63"/>
        <v>6.5888737021909685E-2</v>
      </c>
      <c r="K550" s="3">
        <f t="shared" ca="1" si="63"/>
        <v>6.4753121530104374E-2</v>
      </c>
      <c r="L550" s="3">
        <f t="shared" ca="1" si="63"/>
        <v>6.3232923512659939E-2</v>
      </c>
    </row>
    <row r="551" spans="3:12">
      <c r="C551" s="7">
        <v>545</v>
      </c>
      <c r="D551" s="3">
        <f t="shared" si="60"/>
        <v>4.5199999999999997E-2</v>
      </c>
      <c r="E551" s="3">
        <f t="shared" ca="1" si="63"/>
        <v>3.9638182150878984E-2</v>
      </c>
      <c r="F551" s="3">
        <f t="shared" ca="1" si="63"/>
        <v>4.691192514274279E-2</v>
      </c>
      <c r="G551" s="3">
        <f t="shared" ca="1" si="63"/>
        <v>5.0063424415688479E-2</v>
      </c>
      <c r="H551" s="3">
        <f t="shared" ca="1" si="63"/>
        <v>4.7687613888790788E-2</v>
      </c>
      <c r="I551" s="3">
        <f t="shared" ca="1" si="63"/>
        <v>4.3681739738436129E-2</v>
      </c>
      <c r="J551" s="3">
        <f t="shared" ca="1" si="63"/>
        <v>4.14865286725963E-2</v>
      </c>
      <c r="K551" s="3">
        <f t="shared" ca="1" si="63"/>
        <v>4.3181409171924943E-2</v>
      </c>
      <c r="L551" s="3">
        <f t="shared" ca="1" si="63"/>
        <v>3.9690054817536E-2</v>
      </c>
    </row>
    <row r="552" spans="3:12">
      <c r="C552" s="7">
        <v>546</v>
      </c>
      <c r="D552" s="3">
        <f t="shared" si="60"/>
        <v>4.5199999999999997E-2</v>
      </c>
      <c r="E552" s="3">
        <f t="shared" ca="1" si="63"/>
        <v>4.3629521729306141E-2</v>
      </c>
      <c r="F552" s="3">
        <f t="shared" ca="1" si="63"/>
        <v>4.7273779430657845E-2</v>
      </c>
      <c r="G552" s="3">
        <f t="shared" ca="1" si="63"/>
        <v>4.847085814411884E-2</v>
      </c>
      <c r="H552" s="3">
        <f t="shared" ca="1" si="63"/>
        <v>5.1031498134517253E-2</v>
      </c>
      <c r="I552" s="3">
        <f t="shared" ca="1" si="63"/>
        <v>4.8646639968817969E-2</v>
      </c>
      <c r="J552" s="3">
        <f t="shared" ca="1" si="63"/>
        <v>5.2152967896428648E-2</v>
      </c>
      <c r="K552" s="3">
        <f t="shared" ca="1" si="63"/>
        <v>5.1445322377464624E-2</v>
      </c>
      <c r="L552" s="3">
        <f t="shared" ca="1" si="63"/>
        <v>4.7815550047510195E-2</v>
      </c>
    </row>
    <row r="553" spans="3:12">
      <c r="C553" s="7">
        <v>547</v>
      </c>
      <c r="D553" s="3">
        <f t="shared" si="60"/>
        <v>4.5199999999999997E-2</v>
      </c>
      <c r="E553" s="3">
        <f t="shared" ca="1" si="63"/>
        <v>4.9645332974505622E-2</v>
      </c>
      <c r="F553" s="3">
        <f t="shared" ca="1" si="63"/>
        <v>5.097777461274542E-2</v>
      </c>
      <c r="G553" s="3">
        <f t="shared" ca="1" si="63"/>
        <v>5.0518561821039462E-2</v>
      </c>
      <c r="H553" s="3">
        <f t="shared" ca="1" si="63"/>
        <v>5.1074668361868622E-2</v>
      </c>
      <c r="I553" s="3">
        <f t="shared" ca="1" si="63"/>
        <v>4.4161273547148099E-2</v>
      </c>
      <c r="J553" s="3">
        <f t="shared" ca="1" si="63"/>
        <v>4.8838953247353399E-2</v>
      </c>
      <c r="K553" s="3">
        <f t="shared" ca="1" si="63"/>
        <v>5.2172798698539705E-2</v>
      </c>
      <c r="L553" s="3">
        <f t="shared" ca="1" si="63"/>
        <v>6.06372628707861E-2</v>
      </c>
    </row>
    <row r="554" spans="3:12">
      <c r="C554" s="7">
        <v>548</v>
      </c>
      <c r="D554" s="3">
        <f t="shared" si="60"/>
        <v>4.5199999999999997E-2</v>
      </c>
      <c r="E554" s="3">
        <f t="shared" ca="1" si="63"/>
        <v>4.8633265425495308E-2</v>
      </c>
      <c r="F554" s="3">
        <f t="shared" ca="1" si="63"/>
        <v>5.2477948533005019E-2</v>
      </c>
      <c r="G554" s="3">
        <f t="shared" ca="1" si="63"/>
        <v>5.379333471534669E-2</v>
      </c>
      <c r="H554" s="3">
        <f t="shared" ca="1" si="63"/>
        <v>6.0365373358554179E-2</v>
      </c>
      <c r="I554" s="3">
        <f t="shared" ca="1" si="63"/>
        <v>6.1465557404644634E-2</v>
      </c>
      <c r="J554" s="3">
        <f t="shared" ca="1" si="63"/>
        <v>5.8655798255262466E-2</v>
      </c>
      <c r="K554" s="3">
        <f t="shared" ca="1" si="63"/>
        <v>6.1356274806925182E-2</v>
      </c>
      <c r="L554" s="3">
        <f t="shared" ca="1" si="63"/>
        <v>6.0873724918307309E-2</v>
      </c>
    </row>
    <row r="555" spans="3:12">
      <c r="C555" s="7">
        <v>549</v>
      </c>
      <c r="D555" s="3">
        <f t="shared" si="60"/>
        <v>4.5199999999999997E-2</v>
      </c>
      <c r="E555" s="3">
        <f t="shared" ca="1" si="63"/>
        <v>4.689268564351938E-2</v>
      </c>
      <c r="F555" s="3">
        <f t="shared" ca="1" si="63"/>
        <v>4.2725747650601956E-2</v>
      </c>
      <c r="G555" s="3">
        <f t="shared" ca="1" si="63"/>
        <v>4.6443322744730196E-2</v>
      </c>
      <c r="H555" s="3">
        <f t="shared" ca="1" si="63"/>
        <v>4.7929374295154183E-2</v>
      </c>
      <c r="I555" s="3">
        <f t="shared" ca="1" si="63"/>
        <v>3.6560237556763048E-2</v>
      </c>
      <c r="J555" s="3">
        <f t="shared" ca="1" si="63"/>
        <v>3.82226133867197E-2</v>
      </c>
      <c r="K555" s="3">
        <f t="shared" ca="1" si="63"/>
        <v>4.0991134010379925E-2</v>
      </c>
      <c r="L555" s="3">
        <f t="shared" ca="1" si="63"/>
        <v>4.9778859062363963E-2</v>
      </c>
    </row>
    <row r="556" spans="3:12">
      <c r="C556" s="7">
        <v>550</v>
      </c>
      <c r="D556" s="3">
        <f t="shared" si="60"/>
        <v>4.5199999999999997E-2</v>
      </c>
      <c r="E556" s="3">
        <f t="shared" ca="1" si="63"/>
        <v>4.4909229620421903E-2</v>
      </c>
      <c r="F556" s="3">
        <f t="shared" ca="1" si="63"/>
        <v>5.9920895875050333E-2</v>
      </c>
      <c r="G556" s="3">
        <f t="shared" ca="1" si="63"/>
        <v>5.5266313399728505E-2</v>
      </c>
      <c r="H556" s="3">
        <f t="shared" ca="1" si="63"/>
        <v>5.5241779618084373E-2</v>
      </c>
      <c r="I556" s="3">
        <f t="shared" ca="1" si="63"/>
        <v>5.1992150942474245E-2</v>
      </c>
      <c r="J556" s="3">
        <f t="shared" ca="1" si="63"/>
        <v>4.4547609735229907E-2</v>
      </c>
      <c r="K556" s="3">
        <f t="shared" ca="1" si="63"/>
        <v>5.115737423796704E-2</v>
      </c>
      <c r="L556" s="3">
        <f t="shared" ca="1" si="63"/>
        <v>4.7330973269973049E-2</v>
      </c>
    </row>
    <row r="557" spans="3:12">
      <c r="C557" s="7">
        <v>551</v>
      </c>
      <c r="D557" s="3">
        <f t="shared" si="60"/>
        <v>4.5199999999999997E-2</v>
      </c>
      <c r="E557" s="3">
        <f t="shared" ref="E557:L566" ca="1" si="64">D557+E$5*dt+sigma*_xlfn.NORM.S.INV(RAND())*SQRT(dt)</f>
        <v>4.1566293308049833E-2</v>
      </c>
      <c r="F557" s="3">
        <f t="shared" ca="1" si="64"/>
        <v>4.3391936740839708E-2</v>
      </c>
      <c r="G557" s="3">
        <f t="shared" ca="1" si="64"/>
        <v>4.7396562059266609E-2</v>
      </c>
      <c r="H557" s="3">
        <f t="shared" ca="1" si="64"/>
        <v>5.5336900369696712E-2</v>
      </c>
      <c r="I557" s="3">
        <f t="shared" ca="1" si="64"/>
        <v>5.5233420037165526E-2</v>
      </c>
      <c r="J557" s="3">
        <f t="shared" ca="1" si="64"/>
        <v>5.7446526821324895E-2</v>
      </c>
      <c r="K557" s="3">
        <f t="shared" ca="1" si="64"/>
        <v>5.6820084055434004E-2</v>
      </c>
      <c r="L557" s="3">
        <f t="shared" ca="1" si="64"/>
        <v>5.0977870946788968E-2</v>
      </c>
    </row>
    <row r="558" spans="3:12">
      <c r="C558" s="7">
        <v>552</v>
      </c>
      <c r="D558" s="3">
        <f t="shared" si="60"/>
        <v>4.5199999999999997E-2</v>
      </c>
      <c r="E558" s="3">
        <f t="shared" ca="1" si="64"/>
        <v>4.1984532223548983E-2</v>
      </c>
      <c r="F558" s="3">
        <f t="shared" ca="1" si="64"/>
        <v>4.4932759997137667E-2</v>
      </c>
      <c r="G558" s="3">
        <f t="shared" ca="1" si="64"/>
        <v>3.8668919601373634E-2</v>
      </c>
      <c r="H558" s="3">
        <f t="shared" ca="1" si="64"/>
        <v>4.0156753846908318E-2</v>
      </c>
      <c r="I558" s="3">
        <f t="shared" ca="1" si="64"/>
        <v>4.6440911907752867E-2</v>
      </c>
      <c r="J558" s="3">
        <f t="shared" ca="1" si="64"/>
        <v>5.2551767804338047E-2</v>
      </c>
      <c r="K558" s="3">
        <f t="shared" ca="1" si="64"/>
        <v>5.327411799808137E-2</v>
      </c>
      <c r="L558" s="3">
        <f t="shared" ca="1" si="64"/>
        <v>5.8056461980574237E-2</v>
      </c>
    </row>
    <row r="559" spans="3:12">
      <c r="C559" s="7">
        <v>553</v>
      </c>
      <c r="D559" s="3">
        <f t="shared" si="60"/>
        <v>4.5199999999999997E-2</v>
      </c>
      <c r="E559" s="3">
        <f t="shared" ca="1" si="64"/>
        <v>4.9886433477793882E-2</v>
      </c>
      <c r="F559" s="3">
        <f t="shared" ca="1" si="64"/>
        <v>5.3664306848009137E-2</v>
      </c>
      <c r="G559" s="3">
        <f t="shared" ca="1" si="64"/>
        <v>4.9632676298946361E-2</v>
      </c>
      <c r="H559" s="3">
        <f t="shared" ca="1" si="64"/>
        <v>5.1801572723384898E-2</v>
      </c>
      <c r="I559" s="3">
        <f t="shared" ca="1" si="64"/>
        <v>5.3170392933525469E-2</v>
      </c>
      <c r="J559" s="3">
        <f t="shared" ca="1" si="64"/>
        <v>5.5705073561816823E-2</v>
      </c>
      <c r="K559" s="3">
        <f t="shared" ca="1" si="64"/>
        <v>5.8884235366579156E-2</v>
      </c>
      <c r="L559" s="3">
        <f t="shared" ca="1" si="64"/>
        <v>4.9238281940458838E-2</v>
      </c>
    </row>
    <row r="560" spans="3:12">
      <c r="C560" s="7">
        <v>554</v>
      </c>
      <c r="D560" s="3">
        <f t="shared" si="60"/>
        <v>4.5199999999999997E-2</v>
      </c>
      <c r="E560" s="3">
        <f t="shared" ca="1" si="64"/>
        <v>3.8972012376418438E-2</v>
      </c>
      <c r="F560" s="3">
        <f t="shared" ca="1" si="64"/>
        <v>3.9056018791519834E-2</v>
      </c>
      <c r="G560" s="3">
        <f t="shared" ca="1" si="64"/>
        <v>3.8212423230555202E-2</v>
      </c>
      <c r="H560" s="3">
        <f t="shared" ca="1" si="64"/>
        <v>3.1197144285434471E-2</v>
      </c>
      <c r="I560" s="3">
        <f t="shared" ca="1" si="64"/>
        <v>3.0204709580691845E-2</v>
      </c>
      <c r="J560" s="3">
        <f t="shared" ca="1" si="64"/>
        <v>3.2542962634447566E-2</v>
      </c>
      <c r="K560" s="3">
        <f t="shared" ca="1" si="64"/>
        <v>3.7111362483533014E-2</v>
      </c>
      <c r="L560" s="3">
        <f t="shared" ca="1" si="64"/>
        <v>4.0750040881222277E-2</v>
      </c>
    </row>
    <row r="561" spans="3:12">
      <c r="C561" s="7">
        <v>555</v>
      </c>
      <c r="D561" s="3">
        <f t="shared" si="60"/>
        <v>4.5199999999999997E-2</v>
      </c>
      <c r="E561" s="3">
        <f t="shared" ca="1" si="64"/>
        <v>4.1374575676380788E-2</v>
      </c>
      <c r="F561" s="3">
        <f t="shared" ca="1" si="64"/>
        <v>4.2675721904946992E-2</v>
      </c>
      <c r="G561" s="3">
        <f t="shared" ca="1" si="64"/>
        <v>5.3515428422411193E-2</v>
      </c>
      <c r="H561" s="3">
        <f t="shared" ca="1" si="64"/>
        <v>5.3258266536361801E-2</v>
      </c>
      <c r="I561" s="3">
        <f t="shared" ca="1" si="64"/>
        <v>5.3986500927198297E-2</v>
      </c>
      <c r="J561" s="3">
        <f t="shared" ca="1" si="64"/>
        <v>5.1230445325302292E-2</v>
      </c>
      <c r="K561" s="3">
        <f t="shared" ca="1" si="64"/>
        <v>5.1375554391394407E-2</v>
      </c>
      <c r="L561" s="3">
        <f t="shared" ca="1" si="64"/>
        <v>4.7151478046600678E-2</v>
      </c>
    </row>
    <row r="562" spans="3:12">
      <c r="C562" s="7">
        <v>556</v>
      </c>
      <c r="D562" s="3">
        <f t="shared" si="60"/>
        <v>4.5199999999999997E-2</v>
      </c>
      <c r="E562" s="3">
        <f t="shared" ca="1" si="64"/>
        <v>4.1900689486014497E-2</v>
      </c>
      <c r="F562" s="3">
        <f t="shared" ca="1" si="64"/>
        <v>4.2122818170210033E-2</v>
      </c>
      <c r="G562" s="3">
        <f t="shared" ca="1" si="64"/>
        <v>4.8116262852814409E-2</v>
      </c>
      <c r="H562" s="3">
        <f t="shared" ca="1" si="64"/>
        <v>5.4341573898833151E-2</v>
      </c>
      <c r="I562" s="3">
        <f t="shared" ca="1" si="64"/>
        <v>5.4599006086552659E-2</v>
      </c>
      <c r="J562" s="3">
        <f t="shared" ca="1" si="64"/>
        <v>4.296534918971659E-2</v>
      </c>
      <c r="K562" s="3">
        <f t="shared" ca="1" si="64"/>
        <v>4.4158538874671485E-2</v>
      </c>
      <c r="L562" s="3">
        <f t="shared" ca="1" si="64"/>
        <v>3.0867914804547356E-2</v>
      </c>
    </row>
    <row r="563" spans="3:12">
      <c r="C563" s="7">
        <v>557</v>
      </c>
      <c r="D563" s="3">
        <f t="shared" si="60"/>
        <v>4.5199999999999997E-2</v>
      </c>
      <c r="E563" s="3">
        <f t="shared" ca="1" si="64"/>
        <v>4.2257871483891839E-2</v>
      </c>
      <c r="F563" s="3">
        <f t="shared" ca="1" si="64"/>
        <v>4.2735217101123622E-2</v>
      </c>
      <c r="G563" s="3">
        <f t="shared" ca="1" si="64"/>
        <v>4.3850173787498711E-2</v>
      </c>
      <c r="H563" s="3">
        <f t="shared" ca="1" si="64"/>
        <v>5.5862978181599077E-2</v>
      </c>
      <c r="I563" s="3">
        <f t="shared" ca="1" si="64"/>
        <v>5.7047510393275665E-2</v>
      </c>
      <c r="J563" s="3">
        <f t="shared" ca="1" si="64"/>
        <v>5.9205785397916197E-2</v>
      </c>
      <c r="K563" s="3">
        <f t="shared" ca="1" si="64"/>
        <v>5.8799375000922235E-2</v>
      </c>
      <c r="L563" s="3">
        <f t="shared" ca="1" si="64"/>
        <v>6.358554036398803E-2</v>
      </c>
    </row>
    <row r="564" spans="3:12">
      <c r="C564" s="7">
        <v>558</v>
      </c>
      <c r="D564" s="3">
        <f t="shared" si="60"/>
        <v>4.5199999999999997E-2</v>
      </c>
      <c r="E564" s="3">
        <f t="shared" ca="1" si="64"/>
        <v>3.9451089502490544E-2</v>
      </c>
      <c r="F564" s="3">
        <f t="shared" ca="1" si="64"/>
        <v>3.3894822651681755E-2</v>
      </c>
      <c r="G564" s="3">
        <f t="shared" ca="1" si="64"/>
        <v>3.5537280423913846E-2</v>
      </c>
      <c r="H564" s="3">
        <f t="shared" ca="1" si="64"/>
        <v>3.4196509215864611E-2</v>
      </c>
      <c r="I564" s="3">
        <f t="shared" ca="1" si="64"/>
        <v>3.8912675634277548E-2</v>
      </c>
      <c r="J564" s="3">
        <f t="shared" ca="1" si="64"/>
        <v>3.4522707543879094E-2</v>
      </c>
      <c r="K564" s="3">
        <f t="shared" ca="1" si="64"/>
        <v>3.8225325680912234E-2</v>
      </c>
      <c r="L564" s="3">
        <f t="shared" ca="1" si="64"/>
        <v>2.8505291473404911E-2</v>
      </c>
    </row>
    <row r="565" spans="3:12">
      <c r="C565" s="7">
        <v>559</v>
      </c>
      <c r="D565" s="3">
        <f t="shared" si="60"/>
        <v>4.5199999999999997E-2</v>
      </c>
      <c r="E565" s="3">
        <f t="shared" ca="1" si="64"/>
        <v>4.038071695154264E-2</v>
      </c>
      <c r="F565" s="3">
        <f t="shared" ca="1" si="64"/>
        <v>3.767416141878073E-2</v>
      </c>
      <c r="G565" s="3">
        <f t="shared" ca="1" si="64"/>
        <v>4.7742316698550447E-2</v>
      </c>
      <c r="H565" s="3">
        <f t="shared" ca="1" si="64"/>
        <v>6.1780208459286515E-2</v>
      </c>
      <c r="I565" s="3">
        <f t="shared" ca="1" si="64"/>
        <v>6.8941397275202251E-2</v>
      </c>
      <c r="J565" s="3">
        <f t="shared" ca="1" si="64"/>
        <v>6.9314215060008746E-2</v>
      </c>
      <c r="K565" s="3">
        <f t="shared" ca="1" si="64"/>
        <v>6.504446946283618E-2</v>
      </c>
      <c r="L565" s="3">
        <f t="shared" ca="1" si="64"/>
        <v>6.5634639115670773E-2</v>
      </c>
    </row>
    <row r="566" spans="3:12">
      <c r="C566" s="7">
        <v>560</v>
      </c>
      <c r="D566" s="3">
        <f t="shared" si="60"/>
        <v>4.5199999999999997E-2</v>
      </c>
      <c r="E566" s="3">
        <f t="shared" ca="1" si="64"/>
        <v>4.3721418989003773E-2</v>
      </c>
      <c r="F566" s="3">
        <f t="shared" ca="1" si="64"/>
        <v>4.0690951130667605E-2</v>
      </c>
      <c r="G566" s="3">
        <f t="shared" ca="1" si="64"/>
        <v>5.3272310094798506E-2</v>
      </c>
      <c r="H566" s="3">
        <f t="shared" ca="1" si="64"/>
        <v>5.3361689868781932E-2</v>
      </c>
      <c r="I566" s="3">
        <f t="shared" ca="1" si="64"/>
        <v>5.2038558969643385E-2</v>
      </c>
      <c r="J566" s="3">
        <f t="shared" ca="1" si="64"/>
        <v>5.883656476354051E-2</v>
      </c>
      <c r="K566" s="3">
        <f t="shared" ca="1" si="64"/>
        <v>5.9761366642973004E-2</v>
      </c>
      <c r="L566" s="3">
        <f t="shared" ca="1" si="64"/>
        <v>5.8763842770741176E-2</v>
      </c>
    </row>
    <row r="567" spans="3:12">
      <c r="C567" s="7">
        <v>561</v>
      </c>
      <c r="D567" s="3">
        <f t="shared" si="60"/>
        <v>4.5199999999999997E-2</v>
      </c>
      <c r="E567" s="3">
        <f t="shared" ref="E567:L576" ca="1" si="65">D567+E$5*dt+sigma*_xlfn.NORM.S.INV(RAND())*SQRT(dt)</f>
        <v>5.4754595037448783E-2</v>
      </c>
      <c r="F567" s="3">
        <f t="shared" ca="1" si="65"/>
        <v>5.4577258371244088E-2</v>
      </c>
      <c r="G567" s="3">
        <f t="shared" ca="1" si="65"/>
        <v>5.7945315854585143E-2</v>
      </c>
      <c r="H567" s="3">
        <f t="shared" ca="1" si="65"/>
        <v>6.1307881479554141E-2</v>
      </c>
      <c r="I567" s="3">
        <f t="shared" ca="1" si="65"/>
        <v>5.7258828897039302E-2</v>
      </c>
      <c r="J567" s="3">
        <f t="shared" ca="1" si="65"/>
        <v>6.04893603036573E-2</v>
      </c>
      <c r="K567" s="3">
        <f t="shared" ca="1" si="65"/>
        <v>5.9884283429427976E-2</v>
      </c>
      <c r="L567" s="3">
        <f t="shared" ca="1" si="65"/>
        <v>5.5775591613393821E-2</v>
      </c>
    </row>
    <row r="568" spans="3:12">
      <c r="C568" s="7">
        <v>562</v>
      </c>
      <c r="D568" s="3">
        <f t="shared" si="60"/>
        <v>4.5199999999999997E-2</v>
      </c>
      <c r="E568" s="3">
        <f t="shared" ca="1" si="65"/>
        <v>5.3453366342145654E-2</v>
      </c>
      <c r="F568" s="3">
        <f t="shared" ca="1" si="65"/>
        <v>5.0624130633335228E-2</v>
      </c>
      <c r="G568" s="3">
        <f t="shared" ca="1" si="65"/>
        <v>5.0727525910304563E-2</v>
      </c>
      <c r="H568" s="3">
        <f t="shared" ca="1" si="65"/>
        <v>6.6431194025418139E-2</v>
      </c>
      <c r="I568" s="3">
        <f t="shared" ca="1" si="65"/>
        <v>6.3573573779004827E-2</v>
      </c>
      <c r="J568" s="3">
        <f t="shared" ca="1" si="65"/>
        <v>7.2558482229061319E-2</v>
      </c>
      <c r="K568" s="3">
        <f t="shared" ca="1" si="65"/>
        <v>7.9213960333281791E-2</v>
      </c>
      <c r="L568" s="3">
        <f t="shared" ca="1" si="65"/>
        <v>7.8998573479372669E-2</v>
      </c>
    </row>
    <row r="569" spans="3:12">
      <c r="C569" s="7">
        <v>563</v>
      </c>
      <c r="D569" s="3">
        <f t="shared" si="60"/>
        <v>4.5199999999999997E-2</v>
      </c>
      <c r="E569" s="3">
        <f t="shared" ca="1" si="65"/>
        <v>5.2115118973320537E-2</v>
      </c>
      <c r="F569" s="3">
        <f t="shared" ca="1" si="65"/>
        <v>4.9502660908328111E-2</v>
      </c>
      <c r="G569" s="3">
        <f t="shared" ca="1" si="65"/>
        <v>5.122811212289026E-2</v>
      </c>
      <c r="H569" s="3">
        <f t="shared" ca="1" si="65"/>
        <v>5.063150699736868E-2</v>
      </c>
      <c r="I569" s="3">
        <f t="shared" ca="1" si="65"/>
        <v>4.8120795140157102E-2</v>
      </c>
      <c r="J569" s="3">
        <f t="shared" ca="1" si="65"/>
        <v>4.9458651951783512E-2</v>
      </c>
      <c r="K569" s="3">
        <f t="shared" ca="1" si="65"/>
        <v>4.5636551130144046E-2</v>
      </c>
      <c r="L569" s="3">
        <f t="shared" ca="1" si="65"/>
        <v>4.5619083672257754E-2</v>
      </c>
    </row>
    <row r="570" spans="3:12">
      <c r="C570" s="7">
        <v>564</v>
      </c>
      <c r="D570" s="3">
        <f t="shared" si="60"/>
        <v>4.5199999999999997E-2</v>
      </c>
      <c r="E570" s="3">
        <f t="shared" ca="1" si="65"/>
        <v>4.7128006750608908E-2</v>
      </c>
      <c r="F570" s="3">
        <f t="shared" ca="1" si="65"/>
        <v>4.9375127474060955E-2</v>
      </c>
      <c r="G570" s="3">
        <f t="shared" ca="1" si="65"/>
        <v>6.1049889295799534E-2</v>
      </c>
      <c r="H570" s="3">
        <f t="shared" ca="1" si="65"/>
        <v>5.9927730115067419E-2</v>
      </c>
      <c r="I570" s="3">
        <f t="shared" ca="1" si="65"/>
        <v>5.8630405389210077E-2</v>
      </c>
      <c r="J570" s="3">
        <f t="shared" ca="1" si="65"/>
        <v>6.5900343884129173E-2</v>
      </c>
      <c r="K570" s="3">
        <f t="shared" ca="1" si="65"/>
        <v>6.2113684654667066E-2</v>
      </c>
      <c r="L570" s="3">
        <f t="shared" ca="1" si="65"/>
        <v>6.5323836528597828E-2</v>
      </c>
    </row>
    <row r="571" spans="3:12">
      <c r="C571" s="7">
        <v>565</v>
      </c>
      <c r="D571" s="3">
        <f t="shared" si="60"/>
        <v>4.5199999999999997E-2</v>
      </c>
      <c r="E571" s="3">
        <f t="shared" ca="1" si="65"/>
        <v>5.104961754910025E-2</v>
      </c>
      <c r="F571" s="3">
        <f t="shared" ca="1" si="65"/>
        <v>6.0167998406914211E-2</v>
      </c>
      <c r="G571" s="3">
        <f t="shared" ca="1" si="65"/>
        <v>6.1527544573541676E-2</v>
      </c>
      <c r="H571" s="3">
        <f t="shared" ca="1" si="65"/>
        <v>5.873900956124084E-2</v>
      </c>
      <c r="I571" s="3">
        <f t="shared" ca="1" si="65"/>
        <v>5.8599601111472971E-2</v>
      </c>
      <c r="J571" s="3">
        <f t="shared" ca="1" si="65"/>
        <v>6.4013831310542141E-2</v>
      </c>
      <c r="K571" s="3">
        <f t="shared" ca="1" si="65"/>
        <v>6.765841401034399E-2</v>
      </c>
      <c r="L571" s="3">
        <f t="shared" ca="1" si="65"/>
        <v>6.8334797375958545E-2</v>
      </c>
    </row>
    <row r="572" spans="3:12">
      <c r="C572" s="7">
        <v>566</v>
      </c>
      <c r="D572" s="3">
        <f t="shared" si="60"/>
        <v>4.5199999999999997E-2</v>
      </c>
      <c r="E572" s="3">
        <f t="shared" ca="1" si="65"/>
        <v>4.803470918258524E-2</v>
      </c>
      <c r="F572" s="3">
        <f t="shared" ca="1" si="65"/>
        <v>5.5209120857304388E-2</v>
      </c>
      <c r="G572" s="3">
        <f t="shared" ca="1" si="65"/>
        <v>5.2590654155236075E-2</v>
      </c>
      <c r="H572" s="3">
        <f t="shared" ca="1" si="65"/>
        <v>5.6542938402814998E-2</v>
      </c>
      <c r="I572" s="3">
        <f t="shared" ca="1" si="65"/>
        <v>5.2838620894157987E-2</v>
      </c>
      <c r="J572" s="3">
        <f t="shared" ca="1" si="65"/>
        <v>6.0198997685535265E-2</v>
      </c>
      <c r="K572" s="3">
        <f t="shared" ca="1" si="65"/>
        <v>4.95195470557169E-2</v>
      </c>
      <c r="L572" s="3">
        <f t="shared" ca="1" si="65"/>
        <v>4.9985325877209115E-2</v>
      </c>
    </row>
    <row r="573" spans="3:12">
      <c r="C573" s="7">
        <v>567</v>
      </c>
      <c r="D573" s="3">
        <f t="shared" si="60"/>
        <v>4.5199999999999997E-2</v>
      </c>
      <c r="E573" s="3">
        <f t="shared" ca="1" si="65"/>
        <v>4.8070349802244138E-2</v>
      </c>
      <c r="F573" s="3">
        <f t="shared" ca="1" si="65"/>
        <v>5.1990098454631303E-2</v>
      </c>
      <c r="G573" s="3">
        <f t="shared" ca="1" si="65"/>
        <v>5.7216573816733687E-2</v>
      </c>
      <c r="H573" s="3">
        <f t="shared" ca="1" si="65"/>
        <v>6.8903540134529623E-2</v>
      </c>
      <c r="I573" s="3">
        <f t="shared" ca="1" si="65"/>
        <v>7.135330247559081E-2</v>
      </c>
      <c r="J573" s="3">
        <f t="shared" ca="1" si="65"/>
        <v>6.8171998715124041E-2</v>
      </c>
      <c r="K573" s="3">
        <f t="shared" ca="1" si="65"/>
        <v>8.0255295774084356E-2</v>
      </c>
      <c r="L573" s="3">
        <f t="shared" ca="1" si="65"/>
        <v>8.4994686945506312E-2</v>
      </c>
    </row>
    <row r="574" spans="3:12">
      <c r="C574" s="7">
        <v>568</v>
      </c>
      <c r="D574" s="3">
        <f t="shared" si="60"/>
        <v>4.5199999999999997E-2</v>
      </c>
      <c r="E574" s="3">
        <f t="shared" ca="1" si="65"/>
        <v>4.4456758299775676E-2</v>
      </c>
      <c r="F574" s="3">
        <f t="shared" ca="1" si="65"/>
        <v>4.098927987613879E-2</v>
      </c>
      <c r="G574" s="3">
        <f t="shared" ca="1" si="65"/>
        <v>3.6236555909251081E-2</v>
      </c>
      <c r="H574" s="3">
        <f t="shared" ca="1" si="65"/>
        <v>3.6241673978741951E-2</v>
      </c>
      <c r="I574" s="3">
        <f t="shared" ca="1" si="65"/>
        <v>3.6115839942597629E-2</v>
      </c>
      <c r="J574" s="3">
        <f t="shared" ca="1" si="65"/>
        <v>3.8947082398971905E-2</v>
      </c>
      <c r="K574" s="3">
        <f t="shared" ca="1" si="65"/>
        <v>3.8880339905029745E-2</v>
      </c>
      <c r="L574" s="3">
        <f t="shared" ca="1" si="65"/>
        <v>4.6699713480112412E-2</v>
      </c>
    </row>
    <row r="575" spans="3:12">
      <c r="C575" s="7">
        <v>569</v>
      </c>
      <c r="D575" s="3">
        <f t="shared" si="60"/>
        <v>4.5199999999999997E-2</v>
      </c>
      <c r="E575" s="3">
        <f t="shared" ca="1" si="65"/>
        <v>4.1435869489658994E-2</v>
      </c>
      <c r="F575" s="3">
        <f t="shared" ca="1" si="65"/>
        <v>4.3968028523551639E-2</v>
      </c>
      <c r="G575" s="3">
        <f t="shared" ca="1" si="65"/>
        <v>4.2443302522725317E-2</v>
      </c>
      <c r="H575" s="3">
        <f t="shared" ca="1" si="65"/>
        <v>4.9860128263022573E-2</v>
      </c>
      <c r="I575" s="3">
        <f t="shared" ca="1" si="65"/>
        <v>4.7193658220556906E-2</v>
      </c>
      <c r="J575" s="3">
        <f t="shared" ca="1" si="65"/>
        <v>4.7405755226018378E-2</v>
      </c>
      <c r="K575" s="3">
        <f t="shared" ca="1" si="65"/>
        <v>4.8194405982754603E-2</v>
      </c>
      <c r="L575" s="3">
        <f t="shared" ca="1" si="65"/>
        <v>4.4372572419949845E-2</v>
      </c>
    </row>
    <row r="576" spans="3:12">
      <c r="C576" s="7">
        <v>570</v>
      </c>
      <c r="D576" s="3">
        <f t="shared" si="60"/>
        <v>4.5199999999999997E-2</v>
      </c>
      <c r="E576" s="3">
        <f t="shared" ca="1" si="65"/>
        <v>4.3624631375030018E-2</v>
      </c>
      <c r="F576" s="3">
        <f t="shared" ca="1" si="65"/>
        <v>4.6495713995984435E-2</v>
      </c>
      <c r="G576" s="3">
        <f t="shared" ca="1" si="65"/>
        <v>4.5606377593117843E-2</v>
      </c>
      <c r="H576" s="3">
        <f t="shared" ca="1" si="65"/>
        <v>4.2034688232541174E-2</v>
      </c>
      <c r="I576" s="3">
        <f t="shared" ca="1" si="65"/>
        <v>3.2217086312225203E-2</v>
      </c>
      <c r="J576" s="3">
        <f t="shared" ca="1" si="65"/>
        <v>3.0240188136971657E-2</v>
      </c>
      <c r="K576" s="3">
        <f t="shared" ca="1" si="65"/>
        <v>3.0971195504209258E-2</v>
      </c>
      <c r="L576" s="3">
        <f t="shared" ca="1" si="65"/>
        <v>3.1994725875943437E-2</v>
      </c>
    </row>
    <row r="577" spans="3:12">
      <c r="C577" s="7">
        <v>571</v>
      </c>
      <c r="D577" s="3">
        <f t="shared" si="60"/>
        <v>4.5199999999999997E-2</v>
      </c>
      <c r="E577" s="3">
        <f t="shared" ref="E577:L586" ca="1" si="66">D577+E$5*dt+sigma*_xlfn.NORM.S.INV(RAND())*SQRT(dt)</f>
        <v>3.9411576709053917E-2</v>
      </c>
      <c r="F577" s="3">
        <f t="shared" ca="1" si="66"/>
        <v>3.6804984691042777E-2</v>
      </c>
      <c r="G577" s="3">
        <f t="shared" ca="1" si="66"/>
        <v>3.9433155581331827E-2</v>
      </c>
      <c r="H577" s="3">
        <f t="shared" ca="1" si="66"/>
        <v>3.7941012646593504E-2</v>
      </c>
      <c r="I577" s="3">
        <f t="shared" ca="1" si="66"/>
        <v>4.0119508127955325E-2</v>
      </c>
      <c r="J577" s="3">
        <f t="shared" ca="1" si="66"/>
        <v>4.3477020671506557E-2</v>
      </c>
      <c r="K577" s="3">
        <f t="shared" ca="1" si="66"/>
        <v>4.0611055144158546E-2</v>
      </c>
      <c r="L577" s="3">
        <f t="shared" ca="1" si="66"/>
        <v>4.9593164599008643E-2</v>
      </c>
    </row>
    <row r="578" spans="3:12">
      <c r="C578" s="7">
        <v>572</v>
      </c>
      <c r="D578" s="3">
        <f t="shared" si="60"/>
        <v>4.5199999999999997E-2</v>
      </c>
      <c r="E578" s="3">
        <f t="shared" ca="1" si="66"/>
        <v>4.3891112982415346E-2</v>
      </c>
      <c r="F578" s="3">
        <f t="shared" ca="1" si="66"/>
        <v>4.6279945564033774E-2</v>
      </c>
      <c r="G578" s="3">
        <f t="shared" ca="1" si="66"/>
        <v>4.4628467597942652E-2</v>
      </c>
      <c r="H578" s="3">
        <f t="shared" ca="1" si="66"/>
        <v>4.4520851163523785E-2</v>
      </c>
      <c r="I578" s="3">
        <f t="shared" ca="1" si="66"/>
        <v>4.8485301637531113E-2</v>
      </c>
      <c r="J578" s="3">
        <f t="shared" ca="1" si="66"/>
        <v>5.0926529913125504E-2</v>
      </c>
      <c r="K578" s="3">
        <f t="shared" ca="1" si="66"/>
        <v>4.8097508792735041E-2</v>
      </c>
      <c r="L578" s="3">
        <f t="shared" ca="1" si="66"/>
        <v>4.6347075741707024E-2</v>
      </c>
    </row>
    <row r="579" spans="3:12">
      <c r="C579" s="7">
        <v>573</v>
      </c>
      <c r="D579" s="3">
        <f t="shared" si="60"/>
        <v>4.5199999999999997E-2</v>
      </c>
      <c r="E579" s="3">
        <f t="shared" ca="1" si="66"/>
        <v>4.8508080511034377E-2</v>
      </c>
      <c r="F579" s="3">
        <f t="shared" ca="1" si="66"/>
        <v>5.0903155419652873E-2</v>
      </c>
      <c r="G579" s="3">
        <f t="shared" ca="1" si="66"/>
        <v>5.8853092295909126E-2</v>
      </c>
      <c r="H579" s="3">
        <f t="shared" ca="1" si="66"/>
        <v>6.5285982217264033E-2</v>
      </c>
      <c r="I579" s="3">
        <f t="shared" ca="1" si="66"/>
        <v>6.4558800610376207E-2</v>
      </c>
      <c r="J579" s="3">
        <f t="shared" ca="1" si="66"/>
        <v>6.9587316607449962E-2</v>
      </c>
      <c r="K579" s="3">
        <f t="shared" ca="1" si="66"/>
        <v>6.8863411734553792E-2</v>
      </c>
      <c r="L579" s="3">
        <f t="shared" ca="1" si="66"/>
        <v>6.9572338599406328E-2</v>
      </c>
    </row>
    <row r="580" spans="3:12">
      <c r="C580" s="7">
        <v>574</v>
      </c>
      <c r="D580" s="3">
        <f t="shared" si="60"/>
        <v>4.5199999999999997E-2</v>
      </c>
      <c r="E580" s="3">
        <f t="shared" ca="1" si="66"/>
        <v>5.3903220698795509E-2</v>
      </c>
      <c r="F580" s="3">
        <f t="shared" ca="1" si="66"/>
        <v>6.2489416658048316E-2</v>
      </c>
      <c r="G580" s="3">
        <f t="shared" ca="1" si="66"/>
        <v>5.6779501457201356E-2</v>
      </c>
      <c r="H580" s="3">
        <f t="shared" ca="1" si="66"/>
        <v>5.7933540280889761E-2</v>
      </c>
      <c r="I580" s="3">
        <f t="shared" ca="1" si="66"/>
        <v>5.9916853837386361E-2</v>
      </c>
      <c r="J580" s="3">
        <f t="shared" ca="1" si="66"/>
        <v>5.9819349890177093E-2</v>
      </c>
      <c r="K580" s="3">
        <f t="shared" ca="1" si="66"/>
        <v>6.5825194880395121E-2</v>
      </c>
      <c r="L580" s="3">
        <f t="shared" ca="1" si="66"/>
        <v>6.86782691416159E-2</v>
      </c>
    </row>
    <row r="581" spans="3:12">
      <c r="C581" s="7">
        <v>575</v>
      </c>
      <c r="D581" s="3">
        <f t="shared" si="60"/>
        <v>4.5199999999999997E-2</v>
      </c>
      <c r="E581" s="3">
        <f t="shared" ca="1" si="66"/>
        <v>4.4024003093277884E-2</v>
      </c>
      <c r="F581" s="3">
        <f t="shared" ca="1" si="66"/>
        <v>4.5525163883120896E-2</v>
      </c>
      <c r="G581" s="3">
        <f t="shared" ca="1" si="66"/>
        <v>2.961599531999053E-2</v>
      </c>
      <c r="H581" s="3">
        <f t="shared" ca="1" si="66"/>
        <v>3.5350064976552631E-2</v>
      </c>
      <c r="I581" s="3">
        <f t="shared" ca="1" si="66"/>
        <v>3.8405029710068365E-2</v>
      </c>
      <c r="J581" s="3">
        <f t="shared" ca="1" si="66"/>
        <v>4.345977110281652E-2</v>
      </c>
      <c r="K581" s="3">
        <f t="shared" ca="1" si="66"/>
        <v>4.2771567055880241E-2</v>
      </c>
      <c r="L581" s="3">
        <f t="shared" ca="1" si="66"/>
        <v>4.5170026881406131E-2</v>
      </c>
    </row>
    <row r="582" spans="3:12">
      <c r="C582" s="7">
        <v>576</v>
      </c>
      <c r="D582" s="3">
        <f t="shared" si="60"/>
        <v>4.5199999999999997E-2</v>
      </c>
      <c r="E582" s="3">
        <f t="shared" ca="1" si="66"/>
        <v>2.8245587599055245E-2</v>
      </c>
      <c r="F582" s="3">
        <f t="shared" ca="1" si="66"/>
        <v>3.1446242805378076E-2</v>
      </c>
      <c r="G582" s="3">
        <f t="shared" ca="1" si="66"/>
        <v>3.2576384737238076E-2</v>
      </c>
      <c r="H582" s="3">
        <f t="shared" ca="1" si="66"/>
        <v>2.2154879650349683E-2</v>
      </c>
      <c r="I582" s="3">
        <f t="shared" ca="1" si="66"/>
        <v>2.3127898184974984E-2</v>
      </c>
      <c r="J582" s="3">
        <f t="shared" ca="1" si="66"/>
        <v>2.7610665804737058E-2</v>
      </c>
      <c r="K582" s="3">
        <f t="shared" ca="1" si="66"/>
        <v>2.3264767045440584E-2</v>
      </c>
      <c r="L582" s="3">
        <f t="shared" ca="1" si="66"/>
        <v>1.480348331235878E-2</v>
      </c>
    </row>
    <row r="583" spans="3:12">
      <c r="C583" s="7">
        <v>577</v>
      </c>
      <c r="D583" s="3">
        <f t="shared" ref="D583:D646" si="67">r0</f>
        <v>4.5199999999999997E-2</v>
      </c>
      <c r="E583" s="3">
        <f t="shared" ca="1" si="66"/>
        <v>4.5054013509863065E-2</v>
      </c>
      <c r="F583" s="3">
        <f t="shared" ca="1" si="66"/>
        <v>5.0709869291973457E-2</v>
      </c>
      <c r="G583" s="3">
        <f t="shared" ca="1" si="66"/>
        <v>5.4057985548385437E-2</v>
      </c>
      <c r="H583" s="3">
        <f t="shared" ca="1" si="66"/>
        <v>5.3219443891082727E-2</v>
      </c>
      <c r="I583" s="3">
        <f t="shared" ca="1" si="66"/>
        <v>5.5054799166278943E-2</v>
      </c>
      <c r="J583" s="3">
        <f t="shared" ca="1" si="66"/>
        <v>5.4608308317183968E-2</v>
      </c>
      <c r="K583" s="3">
        <f t="shared" ca="1" si="66"/>
        <v>3.9944942428667113E-2</v>
      </c>
      <c r="L583" s="3">
        <f t="shared" ca="1" si="66"/>
        <v>3.9899566531474459E-2</v>
      </c>
    </row>
    <row r="584" spans="3:12">
      <c r="C584" s="7">
        <v>578</v>
      </c>
      <c r="D584" s="3">
        <f t="shared" si="67"/>
        <v>4.5199999999999997E-2</v>
      </c>
      <c r="E584" s="3">
        <f t="shared" ca="1" si="66"/>
        <v>4.2766827287209881E-2</v>
      </c>
      <c r="F584" s="3">
        <f t="shared" ca="1" si="66"/>
        <v>4.8687894837800817E-2</v>
      </c>
      <c r="G584" s="3">
        <f t="shared" ca="1" si="66"/>
        <v>5.6185492017322203E-2</v>
      </c>
      <c r="H584" s="3">
        <f t="shared" ca="1" si="66"/>
        <v>5.9958757433163347E-2</v>
      </c>
      <c r="I584" s="3">
        <f t="shared" ca="1" si="66"/>
        <v>6.0950529828146402E-2</v>
      </c>
      <c r="J584" s="3">
        <f t="shared" ca="1" si="66"/>
        <v>7.0356161597522893E-2</v>
      </c>
      <c r="K584" s="3">
        <f t="shared" ca="1" si="66"/>
        <v>7.2320733892124706E-2</v>
      </c>
      <c r="L584" s="3">
        <f t="shared" ca="1" si="66"/>
        <v>7.6960791107999596E-2</v>
      </c>
    </row>
    <row r="585" spans="3:12">
      <c r="C585" s="7">
        <v>579</v>
      </c>
      <c r="D585" s="3">
        <f t="shared" si="67"/>
        <v>4.5199999999999997E-2</v>
      </c>
      <c r="E585" s="3">
        <f t="shared" ca="1" si="66"/>
        <v>4.3051951274059336E-2</v>
      </c>
      <c r="F585" s="3">
        <f t="shared" ca="1" si="66"/>
        <v>4.8303341657797157E-2</v>
      </c>
      <c r="G585" s="3">
        <f t="shared" ca="1" si="66"/>
        <v>5.0168369066551408E-2</v>
      </c>
      <c r="H585" s="3">
        <f t="shared" ca="1" si="66"/>
        <v>4.6450773927003766E-2</v>
      </c>
      <c r="I585" s="3">
        <f t="shared" ca="1" si="66"/>
        <v>4.1190454579564856E-2</v>
      </c>
      <c r="J585" s="3">
        <f t="shared" ca="1" si="66"/>
        <v>4.0012897061220923E-2</v>
      </c>
      <c r="K585" s="3">
        <f t="shared" ca="1" si="66"/>
        <v>3.0310339471518406E-2</v>
      </c>
      <c r="L585" s="3">
        <f t="shared" ca="1" si="66"/>
        <v>3.0322028133207533E-2</v>
      </c>
    </row>
    <row r="586" spans="3:12">
      <c r="C586" s="7">
        <v>580</v>
      </c>
      <c r="D586" s="3">
        <f t="shared" si="67"/>
        <v>4.5199999999999997E-2</v>
      </c>
      <c r="E586" s="3">
        <f t="shared" ca="1" si="66"/>
        <v>5.0637810866017915E-2</v>
      </c>
      <c r="F586" s="3">
        <f t="shared" ca="1" si="66"/>
        <v>5.2911182432951266E-2</v>
      </c>
      <c r="G586" s="3">
        <f t="shared" ca="1" si="66"/>
        <v>4.8201064372274741E-2</v>
      </c>
      <c r="H586" s="3">
        <f t="shared" ca="1" si="66"/>
        <v>4.4880596107072575E-2</v>
      </c>
      <c r="I586" s="3">
        <f t="shared" ca="1" si="66"/>
        <v>5.4469189758672654E-2</v>
      </c>
      <c r="J586" s="3">
        <f t="shared" ca="1" si="66"/>
        <v>5.4192155763236514E-2</v>
      </c>
      <c r="K586" s="3">
        <f t="shared" ca="1" si="66"/>
        <v>5.2097843302145848E-2</v>
      </c>
      <c r="L586" s="3">
        <f t="shared" ca="1" si="66"/>
        <v>4.49472516512473E-2</v>
      </c>
    </row>
    <row r="587" spans="3:12">
      <c r="C587" s="7">
        <v>581</v>
      </c>
      <c r="D587" s="3">
        <f t="shared" si="67"/>
        <v>4.5199999999999997E-2</v>
      </c>
      <c r="E587" s="3">
        <f t="shared" ref="E587:L596" ca="1" si="68">D587+E$5*dt+sigma*_xlfn.NORM.S.INV(RAND())*SQRT(dt)</f>
        <v>4.5546629375444424E-2</v>
      </c>
      <c r="F587" s="3">
        <f t="shared" ca="1" si="68"/>
        <v>5.0366773950601705E-2</v>
      </c>
      <c r="G587" s="3">
        <f t="shared" ca="1" si="68"/>
        <v>4.9600095290300954E-2</v>
      </c>
      <c r="H587" s="3">
        <f t="shared" ca="1" si="68"/>
        <v>5.7268036271525755E-2</v>
      </c>
      <c r="I587" s="3">
        <f t="shared" ca="1" si="68"/>
        <v>5.2970685637635462E-2</v>
      </c>
      <c r="J587" s="3">
        <f t="shared" ca="1" si="68"/>
        <v>5.6291738368834603E-2</v>
      </c>
      <c r="K587" s="3">
        <f t="shared" ca="1" si="68"/>
        <v>5.4695189364192577E-2</v>
      </c>
      <c r="L587" s="3">
        <f t="shared" ca="1" si="68"/>
        <v>6.6230030542778234E-2</v>
      </c>
    </row>
    <row r="588" spans="3:12">
      <c r="C588" s="7">
        <v>582</v>
      </c>
      <c r="D588" s="3">
        <f t="shared" si="67"/>
        <v>4.5199999999999997E-2</v>
      </c>
      <c r="E588" s="3">
        <f t="shared" ca="1" si="68"/>
        <v>5.2100590018858917E-2</v>
      </c>
      <c r="F588" s="3">
        <f t="shared" ca="1" si="68"/>
        <v>4.7811547526900033E-2</v>
      </c>
      <c r="G588" s="3">
        <f t="shared" ca="1" si="68"/>
        <v>4.3519094715984995E-2</v>
      </c>
      <c r="H588" s="3">
        <f t="shared" ca="1" si="68"/>
        <v>4.2046683899628685E-2</v>
      </c>
      <c r="I588" s="3">
        <f t="shared" ca="1" si="68"/>
        <v>4.5674362535066952E-2</v>
      </c>
      <c r="J588" s="3">
        <f t="shared" ca="1" si="68"/>
        <v>5.1935023573598152E-2</v>
      </c>
      <c r="K588" s="3">
        <f t="shared" ca="1" si="68"/>
        <v>3.8806443530474868E-2</v>
      </c>
      <c r="L588" s="3">
        <f t="shared" ca="1" si="68"/>
        <v>3.0970449873849695E-2</v>
      </c>
    </row>
    <row r="589" spans="3:12">
      <c r="C589" s="7">
        <v>583</v>
      </c>
      <c r="D589" s="3">
        <f t="shared" si="67"/>
        <v>4.5199999999999997E-2</v>
      </c>
      <c r="E589" s="3">
        <f t="shared" ca="1" si="68"/>
        <v>5.0792255073628438E-2</v>
      </c>
      <c r="F589" s="3">
        <f t="shared" ca="1" si="68"/>
        <v>6.2724722820953191E-2</v>
      </c>
      <c r="G589" s="3">
        <f t="shared" ca="1" si="68"/>
        <v>6.4453504682705637E-2</v>
      </c>
      <c r="H589" s="3">
        <f t="shared" ca="1" si="68"/>
        <v>7.2194522885556611E-2</v>
      </c>
      <c r="I589" s="3">
        <f t="shared" ca="1" si="68"/>
        <v>7.0881281971345175E-2</v>
      </c>
      <c r="J589" s="3">
        <f t="shared" ca="1" si="68"/>
        <v>7.7516166600789208E-2</v>
      </c>
      <c r="K589" s="3">
        <f t="shared" ca="1" si="68"/>
        <v>7.9616366612328515E-2</v>
      </c>
      <c r="L589" s="3">
        <f t="shared" ca="1" si="68"/>
        <v>8.8567848645521086E-2</v>
      </c>
    </row>
    <row r="590" spans="3:12">
      <c r="C590" s="7">
        <v>584</v>
      </c>
      <c r="D590" s="3">
        <f t="shared" si="67"/>
        <v>4.5199999999999997E-2</v>
      </c>
      <c r="E590" s="3">
        <f t="shared" ca="1" si="68"/>
        <v>4.6873906508044967E-2</v>
      </c>
      <c r="F590" s="3">
        <f t="shared" ca="1" si="68"/>
        <v>4.559440162746449E-2</v>
      </c>
      <c r="G590" s="3">
        <f t="shared" ca="1" si="68"/>
        <v>3.5718897017156775E-2</v>
      </c>
      <c r="H590" s="3">
        <f t="shared" ca="1" si="68"/>
        <v>3.513240119191828E-2</v>
      </c>
      <c r="I590" s="3">
        <f t="shared" ca="1" si="68"/>
        <v>3.4096421510815156E-2</v>
      </c>
      <c r="J590" s="3">
        <f t="shared" ca="1" si="68"/>
        <v>3.9727390380896808E-2</v>
      </c>
      <c r="K590" s="3">
        <f t="shared" ca="1" si="68"/>
        <v>3.8654093180941713E-2</v>
      </c>
      <c r="L590" s="3">
        <f t="shared" ca="1" si="68"/>
        <v>3.5465673202981877E-2</v>
      </c>
    </row>
    <row r="591" spans="3:12">
      <c r="C591" s="7">
        <v>585</v>
      </c>
      <c r="D591" s="3">
        <f t="shared" si="67"/>
        <v>4.5199999999999997E-2</v>
      </c>
      <c r="E591" s="3">
        <f t="shared" ca="1" si="68"/>
        <v>5.3429618083280818E-2</v>
      </c>
      <c r="F591" s="3">
        <f t="shared" ca="1" si="68"/>
        <v>5.9823121454617732E-2</v>
      </c>
      <c r="G591" s="3">
        <f t="shared" ca="1" si="68"/>
        <v>5.7876295729472345E-2</v>
      </c>
      <c r="H591" s="3">
        <f t="shared" ca="1" si="68"/>
        <v>5.9517349767108235E-2</v>
      </c>
      <c r="I591" s="3">
        <f t="shared" ca="1" si="68"/>
        <v>6.0028236770381188E-2</v>
      </c>
      <c r="J591" s="3">
        <f t="shared" ca="1" si="68"/>
        <v>5.3524774512505813E-2</v>
      </c>
      <c r="K591" s="3">
        <f t="shared" ca="1" si="68"/>
        <v>6.0352076309634184E-2</v>
      </c>
      <c r="L591" s="3">
        <f t="shared" ca="1" si="68"/>
        <v>5.4286529544981942E-2</v>
      </c>
    </row>
    <row r="592" spans="3:12">
      <c r="C592" s="7">
        <v>586</v>
      </c>
      <c r="D592" s="3">
        <f t="shared" si="67"/>
        <v>4.5199999999999997E-2</v>
      </c>
      <c r="E592" s="3">
        <f t="shared" ca="1" si="68"/>
        <v>4.4977895040241675E-2</v>
      </c>
      <c r="F592" s="3">
        <f t="shared" ca="1" si="68"/>
        <v>5.1665340964778213E-2</v>
      </c>
      <c r="G592" s="3">
        <f t="shared" ca="1" si="68"/>
        <v>5.6208547528523986E-2</v>
      </c>
      <c r="H592" s="3">
        <f t="shared" ca="1" si="68"/>
        <v>6.9238741082186722E-2</v>
      </c>
      <c r="I592" s="3">
        <f t="shared" ca="1" si="68"/>
        <v>6.2967657316462394E-2</v>
      </c>
      <c r="J592" s="3">
        <f t="shared" ca="1" si="68"/>
        <v>7.231645322182205E-2</v>
      </c>
      <c r="K592" s="3">
        <f t="shared" ca="1" si="68"/>
        <v>7.1702400182373907E-2</v>
      </c>
      <c r="L592" s="3">
        <f t="shared" ca="1" si="68"/>
        <v>7.3123986735720028E-2</v>
      </c>
    </row>
    <row r="593" spans="3:12">
      <c r="C593" s="7">
        <v>587</v>
      </c>
      <c r="D593" s="3">
        <f t="shared" si="67"/>
        <v>4.5199999999999997E-2</v>
      </c>
      <c r="E593" s="3">
        <f t="shared" ca="1" si="68"/>
        <v>4.3078239155033463E-2</v>
      </c>
      <c r="F593" s="3">
        <f t="shared" ca="1" si="68"/>
        <v>4.5170684715246212E-2</v>
      </c>
      <c r="G593" s="3">
        <f t="shared" ca="1" si="68"/>
        <v>4.5967990884486533E-2</v>
      </c>
      <c r="H593" s="3">
        <f t="shared" ca="1" si="68"/>
        <v>3.6493484565432985E-2</v>
      </c>
      <c r="I593" s="3">
        <f t="shared" ca="1" si="68"/>
        <v>3.7685910581840072E-2</v>
      </c>
      <c r="J593" s="3">
        <f t="shared" ca="1" si="68"/>
        <v>3.9261395376218151E-2</v>
      </c>
      <c r="K593" s="3">
        <f t="shared" ca="1" si="68"/>
        <v>4.4110717975329262E-2</v>
      </c>
      <c r="L593" s="3">
        <f t="shared" ca="1" si="68"/>
        <v>4.1684006911109531E-2</v>
      </c>
    </row>
    <row r="594" spans="3:12">
      <c r="C594" s="7">
        <v>588</v>
      </c>
      <c r="D594" s="3">
        <f t="shared" si="67"/>
        <v>4.5199999999999997E-2</v>
      </c>
      <c r="E594" s="3">
        <f t="shared" ca="1" si="68"/>
        <v>4.4227215729327488E-2</v>
      </c>
      <c r="F594" s="3">
        <f t="shared" ca="1" si="68"/>
        <v>4.3351073397032466E-2</v>
      </c>
      <c r="G594" s="3">
        <f t="shared" ca="1" si="68"/>
        <v>3.8933071889712061E-2</v>
      </c>
      <c r="H594" s="3">
        <f t="shared" ca="1" si="68"/>
        <v>3.7779471240392042E-2</v>
      </c>
      <c r="I594" s="3">
        <f t="shared" ca="1" si="68"/>
        <v>3.924335997381629E-2</v>
      </c>
      <c r="J594" s="3">
        <f t="shared" ca="1" si="68"/>
        <v>4.8127037996406344E-2</v>
      </c>
      <c r="K594" s="3">
        <f t="shared" ca="1" si="68"/>
        <v>5.1418721237941487E-2</v>
      </c>
      <c r="L594" s="3">
        <f t="shared" ca="1" si="68"/>
        <v>4.8266482175002623E-2</v>
      </c>
    </row>
    <row r="595" spans="3:12">
      <c r="C595" s="7">
        <v>589</v>
      </c>
      <c r="D595" s="3">
        <f t="shared" si="67"/>
        <v>4.5199999999999997E-2</v>
      </c>
      <c r="E595" s="3">
        <f t="shared" ca="1" si="68"/>
        <v>4.8135753728708541E-2</v>
      </c>
      <c r="F595" s="3">
        <f t="shared" ca="1" si="68"/>
        <v>4.4183942215048823E-2</v>
      </c>
      <c r="G595" s="3">
        <f t="shared" ca="1" si="68"/>
        <v>3.9588532854749718E-2</v>
      </c>
      <c r="H595" s="3">
        <f t="shared" ca="1" si="68"/>
        <v>3.6934509890045375E-2</v>
      </c>
      <c r="I595" s="3">
        <f t="shared" ca="1" si="68"/>
        <v>3.0161050553392361E-2</v>
      </c>
      <c r="J595" s="3">
        <f t="shared" ca="1" si="68"/>
        <v>4.4509329466206046E-2</v>
      </c>
      <c r="K595" s="3">
        <f t="shared" ca="1" si="68"/>
        <v>3.8474039104691507E-2</v>
      </c>
      <c r="L595" s="3">
        <f t="shared" ca="1" si="68"/>
        <v>4.4543031511013985E-2</v>
      </c>
    </row>
    <row r="596" spans="3:12">
      <c r="C596" s="7">
        <v>590</v>
      </c>
      <c r="D596" s="3">
        <f t="shared" si="67"/>
        <v>4.5199999999999997E-2</v>
      </c>
      <c r="E596" s="3">
        <f t="shared" ca="1" si="68"/>
        <v>5.5521051165606579E-2</v>
      </c>
      <c r="F596" s="3">
        <f t="shared" ca="1" si="68"/>
        <v>5.8548349363611654E-2</v>
      </c>
      <c r="G596" s="3">
        <f t="shared" ca="1" si="68"/>
        <v>5.3465993592439087E-2</v>
      </c>
      <c r="H596" s="3">
        <f t="shared" ca="1" si="68"/>
        <v>5.7356045347960793E-2</v>
      </c>
      <c r="I596" s="3">
        <f t="shared" ca="1" si="68"/>
        <v>5.168781609333109E-2</v>
      </c>
      <c r="J596" s="3">
        <f t="shared" ca="1" si="68"/>
        <v>4.9033626524768913E-2</v>
      </c>
      <c r="K596" s="3">
        <f t="shared" ca="1" si="68"/>
        <v>5.2829172527810497E-2</v>
      </c>
      <c r="L596" s="3">
        <f t="shared" ca="1" si="68"/>
        <v>4.9977639156231955E-2</v>
      </c>
    </row>
    <row r="597" spans="3:12">
      <c r="C597" s="7">
        <v>591</v>
      </c>
      <c r="D597" s="3">
        <f t="shared" si="67"/>
        <v>4.5199999999999997E-2</v>
      </c>
      <c r="E597" s="3">
        <f t="shared" ref="E597:L606" ca="1" si="69">D597+E$5*dt+sigma*_xlfn.NORM.S.INV(RAND())*SQRT(dt)</f>
        <v>3.6652181050481972E-2</v>
      </c>
      <c r="F597" s="3">
        <f t="shared" ca="1" si="69"/>
        <v>3.525694003946106E-2</v>
      </c>
      <c r="G597" s="3">
        <f t="shared" ca="1" si="69"/>
        <v>4.1745489224015428E-2</v>
      </c>
      <c r="H597" s="3">
        <f t="shared" ca="1" si="69"/>
        <v>4.6042853970732892E-2</v>
      </c>
      <c r="I597" s="3">
        <f t="shared" ca="1" si="69"/>
        <v>5.1167525243578448E-2</v>
      </c>
      <c r="J597" s="3">
        <f t="shared" ca="1" si="69"/>
        <v>5.1582691844102274E-2</v>
      </c>
      <c r="K597" s="3">
        <f t="shared" ca="1" si="69"/>
        <v>4.7417483749333952E-2</v>
      </c>
      <c r="L597" s="3">
        <f t="shared" ca="1" si="69"/>
        <v>4.4257020326560904E-2</v>
      </c>
    </row>
    <row r="598" spans="3:12">
      <c r="C598" s="7">
        <v>592</v>
      </c>
      <c r="D598" s="3">
        <f t="shared" si="67"/>
        <v>4.5199999999999997E-2</v>
      </c>
      <c r="E598" s="3">
        <f t="shared" ca="1" si="69"/>
        <v>3.7883921458014835E-2</v>
      </c>
      <c r="F598" s="3">
        <f t="shared" ca="1" si="69"/>
        <v>4.6196683859437072E-2</v>
      </c>
      <c r="G598" s="3">
        <f t="shared" ca="1" si="69"/>
        <v>3.7528625180740294E-2</v>
      </c>
      <c r="H598" s="3">
        <f t="shared" ca="1" si="69"/>
        <v>3.4367757834225618E-2</v>
      </c>
      <c r="I598" s="3">
        <f t="shared" ca="1" si="69"/>
        <v>3.9765499633554462E-2</v>
      </c>
      <c r="J598" s="3">
        <f t="shared" ca="1" si="69"/>
        <v>3.1581858007292157E-2</v>
      </c>
      <c r="K598" s="3">
        <f t="shared" ca="1" si="69"/>
        <v>4.0852502064916224E-2</v>
      </c>
      <c r="L598" s="3">
        <f t="shared" ca="1" si="69"/>
        <v>3.9045093007955313E-2</v>
      </c>
    </row>
    <row r="599" spans="3:12">
      <c r="C599" s="7">
        <v>593</v>
      </c>
      <c r="D599" s="3">
        <f t="shared" si="67"/>
        <v>4.5199999999999997E-2</v>
      </c>
      <c r="E599" s="3">
        <f t="shared" ca="1" si="69"/>
        <v>4.5219289556882404E-2</v>
      </c>
      <c r="F599" s="3">
        <f t="shared" ca="1" si="69"/>
        <v>4.9645269144203488E-2</v>
      </c>
      <c r="G599" s="3">
        <f t="shared" ca="1" si="69"/>
        <v>4.9367971602349084E-2</v>
      </c>
      <c r="H599" s="3">
        <f t="shared" ca="1" si="69"/>
        <v>5.6237712048532548E-2</v>
      </c>
      <c r="I599" s="3">
        <f t="shared" ca="1" si="69"/>
        <v>6.0465589183694136E-2</v>
      </c>
      <c r="J599" s="3">
        <f t="shared" ca="1" si="69"/>
        <v>6.0217817558998292E-2</v>
      </c>
      <c r="K599" s="3">
        <f t="shared" ca="1" si="69"/>
        <v>6.0796449784262484E-2</v>
      </c>
      <c r="L599" s="3">
        <f t="shared" ca="1" si="69"/>
        <v>5.9633188995470099E-2</v>
      </c>
    </row>
    <row r="600" spans="3:12">
      <c r="C600" s="7">
        <v>594</v>
      </c>
      <c r="D600" s="3">
        <f t="shared" si="67"/>
        <v>4.5199999999999997E-2</v>
      </c>
      <c r="E600" s="3">
        <f t="shared" ca="1" si="69"/>
        <v>4.7594802878619363E-2</v>
      </c>
      <c r="F600" s="3">
        <f t="shared" ca="1" si="69"/>
        <v>4.6258478635000974E-2</v>
      </c>
      <c r="G600" s="3">
        <f t="shared" ca="1" si="69"/>
        <v>4.6463672706396016E-2</v>
      </c>
      <c r="H600" s="3">
        <f t="shared" ca="1" si="69"/>
        <v>5.0084851670908544E-2</v>
      </c>
      <c r="I600" s="3">
        <f t="shared" ca="1" si="69"/>
        <v>6.1272487917938684E-2</v>
      </c>
      <c r="J600" s="3">
        <f t="shared" ca="1" si="69"/>
        <v>6.0025850441387689E-2</v>
      </c>
      <c r="K600" s="3">
        <f t="shared" ca="1" si="69"/>
        <v>6.4763251055252324E-2</v>
      </c>
      <c r="L600" s="3">
        <f t="shared" ca="1" si="69"/>
        <v>7.049478456092112E-2</v>
      </c>
    </row>
    <row r="601" spans="3:12">
      <c r="C601" s="7">
        <v>595</v>
      </c>
      <c r="D601" s="3">
        <f t="shared" si="67"/>
        <v>4.5199999999999997E-2</v>
      </c>
      <c r="E601" s="3">
        <f t="shared" ca="1" si="69"/>
        <v>4.5576138849451137E-2</v>
      </c>
      <c r="F601" s="3">
        <f t="shared" ca="1" si="69"/>
        <v>4.8560207355850107E-2</v>
      </c>
      <c r="G601" s="3">
        <f t="shared" ca="1" si="69"/>
        <v>4.9976724130630187E-2</v>
      </c>
      <c r="H601" s="3">
        <f t="shared" ca="1" si="69"/>
        <v>5.0304429725565959E-2</v>
      </c>
      <c r="I601" s="3">
        <f t="shared" ca="1" si="69"/>
        <v>5.9139111255347127E-2</v>
      </c>
      <c r="J601" s="3">
        <f t="shared" ca="1" si="69"/>
        <v>6.1117719705918484E-2</v>
      </c>
      <c r="K601" s="3">
        <f t="shared" ca="1" si="69"/>
        <v>6.2506145356055587E-2</v>
      </c>
      <c r="L601" s="3">
        <f t="shared" ca="1" si="69"/>
        <v>6.587368893194577E-2</v>
      </c>
    </row>
    <row r="602" spans="3:12">
      <c r="C602" s="7">
        <v>596</v>
      </c>
      <c r="D602" s="3">
        <f t="shared" si="67"/>
        <v>4.5199999999999997E-2</v>
      </c>
      <c r="E602" s="3">
        <f t="shared" ca="1" si="69"/>
        <v>4.3761975733144741E-2</v>
      </c>
      <c r="F602" s="3">
        <f t="shared" ca="1" si="69"/>
        <v>4.4341569566848579E-2</v>
      </c>
      <c r="G602" s="3">
        <f t="shared" ca="1" si="69"/>
        <v>3.6163078786022013E-2</v>
      </c>
      <c r="H602" s="3">
        <f t="shared" ca="1" si="69"/>
        <v>4.1071527513758699E-2</v>
      </c>
      <c r="I602" s="3">
        <f t="shared" ca="1" si="69"/>
        <v>4.5832991099429052E-2</v>
      </c>
      <c r="J602" s="3">
        <f t="shared" ca="1" si="69"/>
        <v>6.3314989789753959E-2</v>
      </c>
      <c r="K602" s="3">
        <f t="shared" ca="1" si="69"/>
        <v>6.8808539516972772E-2</v>
      </c>
      <c r="L602" s="3">
        <f t="shared" ca="1" si="69"/>
        <v>6.2993481676247853E-2</v>
      </c>
    </row>
    <row r="603" spans="3:12">
      <c r="C603" s="7">
        <v>597</v>
      </c>
      <c r="D603" s="3">
        <f t="shared" si="67"/>
        <v>4.5199999999999997E-2</v>
      </c>
      <c r="E603" s="3">
        <f t="shared" ca="1" si="69"/>
        <v>4.2903271310472432E-2</v>
      </c>
      <c r="F603" s="3">
        <f t="shared" ca="1" si="69"/>
        <v>5.883513283068114E-2</v>
      </c>
      <c r="G603" s="3">
        <f t="shared" ca="1" si="69"/>
        <v>6.5383750915211925E-2</v>
      </c>
      <c r="H603" s="3">
        <f t="shared" ca="1" si="69"/>
        <v>6.5339271136601512E-2</v>
      </c>
      <c r="I603" s="3">
        <f t="shared" ca="1" si="69"/>
        <v>6.5226945694095623E-2</v>
      </c>
      <c r="J603" s="3">
        <f t="shared" ca="1" si="69"/>
        <v>6.5808178546435836E-2</v>
      </c>
      <c r="K603" s="3">
        <f t="shared" ca="1" si="69"/>
        <v>6.2280042147234864E-2</v>
      </c>
      <c r="L603" s="3">
        <f t="shared" ca="1" si="69"/>
        <v>6.2216377394720301E-2</v>
      </c>
    </row>
    <row r="604" spans="3:12">
      <c r="C604" s="7">
        <v>598</v>
      </c>
      <c r="D604" s="3">
        <f t="shared" si="67"/>
        <v>4.5199999999999997E-2</v>
      </c>
      <c r="E604" s="3">
        <f t="shared" ca="1" si="69"/>
        <v>4.1685924774022706E-2</v>
      </c>
      <c r="F604" s="3">
        <f t="shared" ca="1" si="69"/>
        <v>4.6625054538938733E-2</v>
      </c>
      <c r="G604" s="3">
        <f t="shared" ca="1" si="69"/>
        <v>5.4272543311849858E-2</v>
      </c>
      <c r="H604" s="3">
        <f t="shared" ca="1" si="69"/>
        <v>5.1470964194096927E-2</v>
      </c>
      <c r="I604" s="3">
        <f t="shared" ca="1" si="69"/>
        <v>5.7605289291857362E-2</v>
      </c>
      <c r="J604" s="3">
        <f t="shared" ca="1" si="69"/>
        <v>5.3304045365368466E-2</v>
      </c>
      <c r="K604" s="3">
        <f t="shared" ca="1" si="69"/>
        <v>6.0561776348462909E-2</v>
      </c>
      <c r="L604" s="3">
        <f t="shared" ca="1" si="69"/>
        <v>6.0831839452468645E-2</v>
      </c>
    </row>
    <row r="605" spans="3:12">
      <c r="C605" s="7">
        <v>599</v>
      </c>
      <c r="D605" s="3">
        <f t="shared" si="67"/>
        <v>4.5199999999999997E-2</v>
      </c>
      <c r="E605" s="3">
        <f t="shared" ca="1" si="69"/>
        <v>4.4760836603202736E-2</v>
      </c>
      <c r="F605" s="3">
        <f t="shared" ca="1" si="69"/>
        <v>4.3039260353230503E-2</v>
      </c>
      <c r="G605" s="3">
        <f t="shared" ca="1" si="69"/>
        <v>3.7058392855858137E-2</v>
      </c>
      <c r="H605" s="3">
        <f t="shared" ca="1" si="69"/>
        <v>3.6127113631814783E-2</v>
      </c>
      <c r="I605" s="3">
        <f t="shared" ca="1" si="69"/>
        <v>3.3393516366997812E-2</v>
      </c>
      <c r="J605" s="3">
        <f t="shared" ca="1" si="69"/>
        <v>4.567898552403369E-2</v>
      </c>
      <c r="K605" s="3">
        <f t="shared" ca="1" si="69"/>
        <v>4.1185243456161959E-2</v>
      </c>
      <c r="L605" s="3">
        <f t="shared" ca="1" si="69"/>
        <v>4.3618942238528566E-2</v>
      </c>
    </row>
    <row r="606" spans="3:12">
      <c r="C606" s="7">
        <v>600</v>
      </c>
      <c r="D606" s="3">
        <f t="shared" si="67"/>
        <v>4.5199999999999997E-2</v>
      </c>
      <c r="E606" s="3">
        <f t="shared" ca="1" si="69"/>
        <v>4.0723402201366235E-2</v>
      </c>
      <c r="F606" s="3">
        <f t="shared" ca="1" si="69"/>
        <v>4.2428540655382006E-2</v>
      </c>
      <c r="G606" s="3">
        <f t="shared" ca="1" si="69"/>
        <v>4.0753074316732044E-2</v>
      </c>
      <c r="H606" s="3">
        <f t="shared" ca="1" si="69"/>
        <v>4.4556730762378691E-2</v>
      </c>
      <c r="I606" s="3">
        <f t="shared" ca="1" si="69"/>
        <v>3.7603796852836525E-2</v>
      </c>
      <c r="J606" s="3">
        <f t="shared" ca="1" si="69"/>
        <v>3.9629614476962803E-2</v>
      </c>
      <c r="K606" s="3">
        <f t="shared" ca="1" si="69"/>
        <v>4.5381942561502207E-2</v>
      </c>
      <c r="L606" s="3">
        <f t="shared" ca="1" si="69"/>
        <v>5.4580958736568055E-2</v>
      </c>
    </row>
    <row r="607" spans="3:12">
      <c r="C607" s="7">
        <v>601</v>
      </c>
      <c r="D607" s="3">
        <f t="shared" si="67"/>
        <v>4.5199999999999997E-2</v>
      </c>
      <c r="E607" s="3">
        <f t="shared" ref="E607:L616" ca="1" si="70">D607+E$5*dt+sigma*_xlfn.NORM.S.INV(RAND())*SQRT(dt)</f>
        <v>3.9354060117298195E-2</v>
      </c>
      <c r="F607" s="3">
        <f t="shared" ca="1" si="70"/>
        <v>4.0796244104171958E-2</v>
      </c>
      <c r="G607" s="3">
        <f t="shared" ca="1" si="70"/>
        <v>4.404350200268739E-2</v>
      </c>
      <c r="H607" s="3">
        <f t="shared" ca="1" si="70"/>
        <v>5.2394025734490285E-2</v>
      </c>
      <c r="I607" s="3">
        <f t="shared" ca="1" si="70"/>
        <v>5.0543623223576598E-2</v>
      </c>
      <c r="J607" s="3">
        <f t="shared" ca="1" si="70"/>
        <v>4.1706843757719693E-2</v>
      </c>
      <c r="K607" s="3">
        <f t="shared" ca="1" si="70"/>
        <v>4.5403488173404838E-2</v>
      </c>
      <c r="L607" s="3">
        <f t="shared" ca="1" si="70"/>
        <v>5.5185904570543703E-2</v>
      </c>
    </row>
    <row r="608" spans="3:12">
      <c r="C608" s="7">
        <v>602</v>
      </c>
      <c r="D608" s="3">
        <f t="shared" si="67"/>
        <v>4.5199999999999997E-2</v>
      </c>
      <c r="E608" s="3">
        <f t="shared" ca="1" si="70"/>
        <v>3.7345952340164718E-2</v>
      </c>
      <c r="F608" s="3">
        <f t="shared" ca="1" si="70"/>
        <v>3.5059351521322196E-2</v>
      </c>
      <c r="G608" s="3">
        <f t="shared" ca="1" si="70"/>
        <v>2.5906643238244494E-2</v>
      </c>
      <c r="H608" s="3">
        <f t="shared" ca="1" si="70"/>
        <v>2.7802832926931396E-2</v>
      </c>
      <c r="I608" s="3">
        <f t="shared" ca="1" si="70"/>
        <v>3.2899038959305245E-2</v>
      </c>
      <c r="J608" s="3">
        <f t="shared" ca="1" si="70"/>
        <v>3.2666594307309504E-2</v>
      </c>
      <c r="K608" s="3">
        <f t="shared" ca="1" si="70"/>
        <v>2.1502760198389547E-2</v>
      </c>
      <c r="L608" s="3">
        <f t="shared" ca="1" si="70"/>
        <v>1.7201696473039773E-2</v>
      </c>
    </row>
    <row r="609" spans="3:12">
      <c r="C609" s="7">
        <v>603</v>
      </c>
      <c r="D609" s="3">
        <f t="shared" si="67"/>
        <v>4.5199999999999997E-2</v>
      </c>
      <c r="E609" s="3">
        <f t="shared" ca="1" si="70"/>
        <v>4.8913882850871677E-2</v>
      </c>
      <c r="F609" s="3">
        <f t="shared" ca="1" si="70"/>
        <v>4.7839190317082586E-2</v>
      </c>
      <c r="G609" s="3">
        <f t="shared" ca="1" si="70"/>
        <v>4.8713040212493279E-2</v>
      </c>
      <c r="H609" s="3">
        <f t="shared" ca="1" si="70"/>
        <v>5.1436741492704649E-2</v>
      </c>
      <c r="I609" s="3">
        <f t="shared" ca="1" si="70"/>
        <v>4.2550009809518619E-2</v>
      </c>
      <c r="J609" s="3">
        <f t="shared" ca="1" si="70"/>
        <v>4.3918247309304971E-2</v>
      </c>
      <c r="K609" s="3">
        <f t="shared" ca="1" si="70"/>
        <v>4.3360214736876512E-2</v>
      </c>
      <c r="L609" s="3">
        <f t="shared" ca="1" si="70"/>
        <v>4.0974968700510449E-2</v>
      </c>
    </row>
    <row r="610" spans="3:12">
      <c r="C610" s="7">
        <v>604</v>
      </c>
      <c r="D610" s="3">
        <f t="shared" si="67"/>
        <v>4.5199999999999997E-2</v>
      </c>
      <c r="E610" s="3">
        <f t="shared" ca="1" si="70"/>
        <v>3.9195247152270858E-2</v>
      </c>
      <c r="F610" s="3">
        <f t="shared" ca="1" si="70"/>
        <v>3.1792814003283765E-2</v>
      </c>
      <c r="G610" s="3">
        <f t="shared" ca="1" si="70"/>
        <v>3.9367416979311717E-2</v>
      </c>
      <c r="H610" s="3">
        <f t="shared" ca="1" si="70"/>
        <v>4.3757014480115201E-2</v>
      </c>
      <c r="I610" s="3">
        <f t="shared" ca="1" si="70"/>
        <v>4.7456342081439562E-2</v>
      </c>
      <c r="J610" s="3">
        <f t="shared" ca="1" si="70"/>
        <v>4.629667220998112E-2</v>
      </c>
      <c r="K610" s="3">
        <f t="shared" ca="1" si="70"/>
        <v>5.080981618493724E-2</v>
      </c>
      <c r="L610" s="3">
        <f t="shared" ca="1" si="70"/>
        <v>4.7610222279319554E-2</v>
      </c>
    </row>
    <row r="611" spans="3:12">
      <c r="C611" s="7">
        <v>605</v>
      </c>
      <c r="D611" s="3">
        <f t="shared" si="67"/>
        <v>4.5199999999999997E-2</v>
      </c>
      <c r="E611" s="3">
        <f t="shared" ca="1" si="70"/>
        <v>3.9378635436380031E-2</v>
      </c>
      <c r="F611" s="3">
        <f t="shared" ca="1" si="70"/>
        <v>3.3966818277767354E-2</v>
      </c>
      <c r="G611" s="3">
        <f t="shared" ca="1" si="70"/>
        <v>3.0716802800133131E-2</v>
      </c>
      <c r="H611" s="3">
        <f t="shared" ca="1" si="70"/>
        <v>3.3525241945442256E-2</v>
      </c>
      <c r="I611" s="3">
        <f t="shared" ca="1" si="70"/>
        <v>3.2363804820461237E-2</v>
      </c>
      <c r="J611" s="3">
        <f t="shared" ca="1" si="70"/>
        <v>4.2544809287904405E-2</v>
      </c>
      <c r="K611" s="3">
        <f t="shared" ca="1" si="70"/>
        <v>5.3706764506981537E-2</v>
      </c>
      <c r="L611" s="3">
        <f t="shared" ca="1" si="70"/>
        <v>5.4906805673011282E-2</v>
      </c>
    </row>
    <row r="612" spans="3:12">
      <c r="C612" s="7">
        <v>606</v>
      </c>
      <c r="D612" s="3">
        <f t="shared" si="67"/>
        <v>4.5199999999999997E-2</v>
      </c>
      <c r="E612" s="3">
        <f t="shared" ca="1" si="70"/>
        <v>4.0764871174100728E-2</v>
      </c>
      <c r="F612" s="3">
        <f t="shared" ca="1" si="70"/>
        <v>4.4158515792751839E-2</v>
      </c>
      <c r="G612" s="3">
        <f t="shared" ca="1" si="70"/>
        <v>4.4748117347747876E-2</v>
      </c>
      <c r="H612" s="3">
        <f t="shared" ca="1" si="70"/>
        <v>5.4605308992611942E-2</v>
      </c>
      <c r="I612" s="3">
        <f t="shared" ca="1" si="70"/>
        <v>4.616751054094731E-2</v>
      </c>
      <c r="J612" s="3">
        <f t="shared" ca="1" si="70"/>
        <v>4.8519060648029778E-2</v>
      </c>
      <c r="K612" s="3">
        <f t="shared" ca="1" si="70"/>
        <v>4.5130472498469694E-2</v>
      </c>
      <c r="L612" s="3">
        <f t="shared" ca="1" si="70"/>
        <v>5.0133321612481616E-2</v>
      </c>
    </row>
    <row r="613" spans="3:12">
      <c r="C613" s="7">
        <v>607</v>
      </c>
      <c r="D613" s="3">
        <f t="shared" si="67"/>
        <v>4.5199999999999997E-2</v>
      </c>
      <c r="E613" s="3">
        <f t="shared" ca="1" si="70"/>
        <v>4.3492220091591462E-2</v>
      </c>
      <c r="F613" s="3">
        <f t="shared" ca="1" si="70"/>
        <v>4.4692468298004197E-2</v>
      </c>
      <c r="G613" s="3">
        <f t="shared" ca="1" si="70"/>
        <v>4.5372097733659925E-2</v>
      </c>
      <c r="H613" s="3">
        <f t="shared" ca="1" si="70"/>
        <v>4.1056991732514807E-2</v>
      </c>
      <c r="I613" s="3">
        <f t="shared" ca="1" si="70"/>
        <v>4.5923169896691762E-2</v>
      </c>
      <c r="J613" s="3">
        <f t="shared" ca="1" si="70"/>
        <v>4.8159660926854884E-2</v>
      </c>
      <c r="K613" s="3">
        <f t="shared" ca="1" si="70"/>
        <v>5.8561332979972736E-2</v>
      </c>
      <c r="L613" s="3">
        <f t="shared" ca="1" si="70"/>
        <v>5.8242775533078106E-2</v>
      </c>
    </row>
    <row r="614" spans="3:12">
      <c r="C614" s="7">
        <v>608</v>
      </c>
      <c r="D614" s="3">
        <f t="shared" si="67"/>
        <v>4.5199999999999997E-2</v>
      </c>
      <c r="E614" s="3">
        <f t="shared" ca="1" si="70"/>
        <v>4.0537534516558713E-2</v>
      </c>
      <c r="F614" s="3">
        <f t="shared" ca="1" si="70"/>
        <v>5.6865521378411804E-2</v>
      </c>
      <c r="G614" s="3">
        <f t="shared" ca="1" si="70"/>
        <v>5.8864857526895617E-2</v>
      </c>
      <c r="H614" s="3">
        <f t="shared" ca="1" si="70"/>
        <v>5.7777371644477979E-2</v>
      </c>
      <c r="I614" s="3">
        <f t="shared" ca="1" si="70"/>
        <v>6.5838211120716209E-2</v>
      </c>
      <c r="J614" s="3">
        <f t="shared" ca="1" si="70"/>
        <v>7.2124778608640375E-2</v>
      </c>
      <c r="K614" s="3">
        <f t="shared" ca="1" si="70"/>
        <v>7.3865721977663529E-2</v>
      </c>
      <c r="L614" s="3">
        <f t="shared" ca="1" si="70"/>
        <v>6.575759799810578E-2</v>
      </c>
    </row>
    <row r="615" spans="3:12">
      <c r="C615" s="7">
        <v>609</v>
      </c>
      <c r="D615" s="3">
        <f t="shared" si="67"/>
        <v>4.5199999999999997E-2</v>
      </c>
      <c r="E615" s="3">
        <f t="shared" ca="1" si="70"/>
        <v>4.5193573816890154E-2</v>
      </c>
      <c r="F615" s="3">
        <f t="shared" ca="1" si="70"/>
        <v>4.6803825676769613E-2</v>
      </c>
      <c r="G615" s="3">
        <f t="shared" ca="1" si="70"/>
        <v>5.3530443488078124E-2</v>
      </c>
      <c r="H615" s="3">
        <f t="shared" ca="1" si="70"/>
        <v>5.7257917892483079E-2</v>
      </c>
      <c r="I615" s="3">
        <f t="shared" ca="1" si="70"/>
        <v>5.7921220439258257E-2</v>
      </c>
      <c r="J615" s="3">
        <f t="shared" ca="1" si="70"/>
        <v>6.2631309868727073E-2</v>
      </c>
      <c r="K615" s="3">
        <f t="shared" ca="1" si="70"/>
        <v>5.9279295879742816E-2</v>
      </c>
      <c r="L615" s="3">
        <f t="shared" ca="1" si="70"/>
        <v>6.5891474935332178E-2</v>
      </c>
    </row>
    <row r="616" spans="3:12">
      <c r="C616" s="7">
        <v>610</v>
      </c>
      <c r="D616" s="3">
        <f t="shared" si="67"/>
        <v>4.5199999999999997E-2</v>
      </c>
      <c r="E616" s="3">
        <f t="shared" ca="1" si="70"/>
        <v>3.9849678721993284E-2</v>
      </c>
      <c r="F616" s="3">
        <f t="shared" ca="1" si="70"/>
        <v>3.6490201621228541E-2</v>
      </c>
      <c r="G616" s="3">
        <f t="shared" ca="1" si="70"/>
        <v>3.2141679229093105E-2</v>
      </c>
      <c r="H616" s="3">
        <f t="shared" ca="1" si="70"/>
        <v>3.2611965805456229E-2</v>
      </c>
      <c r="I616" s="3">
        <f t="shared" ca="1" si="70"/>
        <v>4.3551716017104128E-2</v>
      </c>
      <c r="J616" s="3">
        <f t="shared" ca="1" si="70"/>
        <v>5.1857228153118919E-2</v>
      </c>
      <c r="K616" s="3">
        <f t="shared" ca="1" si="70"/>
        <v>5.443046301862025E-2</v>
      </c>
      <c r="L616" s="3">
        <f t="shared" ca="1" si="70"/>
        <v>5.4917944069028182E-2</v>
      </c>
    </row>
    <row r="617" spans="3:12">
      <c r="C617" s="7">
        <v>611</v>
      </c>
      <c r="D617" s="3">
        <f t="shared" si="67"/>
        <v>4.5199999999999997E-2</v>
      </c>
      <c r="E617" s="3">
        <f t="shared" ref="E617:L626" ca="1" si="71">D617+E$5*dt+sigma*_xlfn.NORM.S.INV(RAND())*SQRT(dt)</f>
        <v>5.2104684231517061E-2</v>
      </c>
      <c r="F617" s="3">
        <f t="shared" ca="1" si="71"/>
        <v>5.1319410169830985E-2</v>
      </c>
      <c r="G617" s="3">
        <f t="shared" ca="1" si="71"/>
        <v>4.8764856078329678E-2</v>
      </c>
      <c r="H617" s="3">
        <f t="shared" ca="1" si="71"/>
        <v>5.4283863564683482E-2</v>
      </c>
      <c r="I617" s="3">
        <f t="shared" ca="1" si="71"/>
        <v>5.8606085821824666E-2</v>
      </c>
      <c r="J617" s="3">
        <f t="shared" ca="1" si="71"/>
        <v>6.2150593407748617E-2</v>
      </c>
      <c r="K617" s="3">
        <f t="shared" ca="1" si="71"/>
        <v>6.18519625382946E-2</v>
      </c>
      <c r="L617" s="3">
        <f t="shared" ca="1" si="71"/>
        <v>5.5711985560472764E-2</v>
      </c>
    </row>
    <row r="618" spans="3:12">
      <c r="C618" s="7">
        <v>612</v>
      </c>
      <c r="D618" s="3">
        <f t="shared" si="67"/>
        <v>4.5199999999999997E-2</v>
      </c>
      <c r="E618" s="3">
        <f t="shared" ca="1" si="71"/>
        <v>4.1297045525075071E-2</v>
      </c>
      <c r="F618" s="3">
        <f t="shared" ca="1" si="71"/>
        <v>3.7448989388134041E-2</v>
      </c>
      <c r="G618" s="3">
        <f t="shared" ca="1" si="71"/>
        <v>2.7552595866817672E-2</v>
      </c>
      <c r="H618" s="3">
        <f t="shared" ca="1" si="71"/>
        <v>2.7652193709062783E-2</v>
      </c>
      <c r="I618" s="3">
        <f t="shared" ca="1" si="71"/>
        <v>2.1799809256707436E-2</v>
      </c>
      <c r="J618" s="3">
        <f t="shared" ca="1" si="71"/>
        <v>2.0680847548139831E-2</v>
      </c>
      <c r="K618" s="3">
        <f t="shared" ca="1" si="71"/>
        <v>1.9994121729903672E-2</v>
      </c>
      <c r="L618" s="3">
        <f t="shared" ca="1" si="71"/>
        <v>2.4365052604217022E-2</v>
      </c>
    </row>
    <row r="619" spans="3:12">
      <c r="C619" s="7">
        <v>613</v>
      </c>
      <c r="D619" s="3">
        <f t="shared" si="67"/>
        <v>4.5199999999999997E-2</v>
      </c>
      <c r="E619" s="3">
        <f t="shared" ca="1" si="71"/>
        <v>4.3311640462368545E-2</v>
      </c>
      <c r="F619" s="3">
        <f t="shared" ca="1" si="71"/>
        <v>5.0890671012393127E-2</v>
      </c>
      <c r="G619" s="3">
        <f t="shared" ca="1" si="71"/>
        <v>4.7638524102024342E-2</v>
      </c>
      <c r="H619" s="3">
        <f t="shared" ca="1" si="71"/>
        <v>4.5420804163940898E-2</v>
      </c>
      <c r="I619" s="3">
        <f t="shared" ca="1" si="71"/>
        <v>3.2031780499538046E-2</v>
      </c>
      <c r="J619" s="3">
        <f t="shared" ca="1" si="71"/>
        <v>3.2222246501441336E-2</v>
      </c>
      <c r="K619" s="3">
        <f t="shared" ca="1" si="71"/>
        <v>2.8861804074766663E-2</v>
      </c>
      <c r="L619" s="3">
        <f t="shared" ca="1" si="71"/>
        <v>3.7641542940622261E-2</v>
      </c>
    </row>
    <row r="620" spans="3:12">
      <c r="C620" s="7">
        <v>614</v>
      </c>
      <c r="D620" s="3">
        <f t="shared" si="67"/>
        <v>4.5199999999999997E-2</v>
      </c>
      <c r="E620" s="3">
        <f t="shared" ca="1" si="71"/>
        <v>5.1578031810381286E-2</v>
      </c>
      <c r="F620" s="3">
        <f t="shared" ca="1" si="71"/>
        <v>6.2972098550874142E-2</v>
      </c>
      <c r="G620" s="3">
        <f t="shared" ca="1" si="71"/>
        <v>6.5732433570748927E-2</v>
      </c>
      <c r="H620" s="3">
        <f t="shared" ca="1" si="71"/>
        <v>7.8467954490273231E-2</v>
      </c>
      <c r="I620" s="3">
        <f t="shared" ca="1" si="71"/>
        <v>7.393715856543924E-2</v>
      </c>
      <c r="J620" s="3">
        <f t="shared" ca="1" si="71"/>
        <v>7.3789974583402584E-2</v>
      </c>
      <c r="K620" s="3">
        <f t="shared" ca="1" si="71"/>
        <v>7.2604221309717554E-2</v>
      </c>
      <c r="L620" s="3">
        <f t="shared" ca="1" si="71"/>
        <v>7.5819122384765555E-2</v>
      </c>
    </row>
    <row r="621" spans="3:12">
      <c r="C621" s="7">
        <v>615</v>
      </c>
      <c r="D621" s="3">
        <f t="shared" si="67"/>
        <v>4.5199999999999997E-2</v>
      </c>
      <c r="E621" s="3">
        <f t="shared" ca="1" si="71"/>
        <v>5.0601597912403477E-2</v>
      </c>
      <c r="F621" s="3">
        <f t="shared" ca="1" si="71"/>
        <v>5.0790243739685582E-2</v>
      </c>
      <c r="G621" s="3">
        <f t="shared" ca="1" si="71"/>
        <v>4.4788281679525845E-2</v>
      </c>
      <c r="H621" s="3">
        <f t="shared" ca="1" si="71"/>
        <v>4.0187425935196447E-2</v>
      </c>
      <c r="I621" s="3">
        <f t="shared" ca="1" si="71"/>
        <v>3.8139555119370859E-2</v>
      </c>
      <c r="J621" s="3">
        <f t="shared" ca="1" si="71"/>
        <v>3.941976210152328E-2</v>
      </c>
      <c r="K621" s="3">
        <f t="shared" ca="1" si="71"/>
        <v>3.5418014057633909E-2</v>
      </c>
      <c r="L621" s="3">
        <f t="shared" ca="1" si="71"/>
        <v>3.6152504936045979E-2</v>
      </c>
    </row>
    <row r="622" spans="3:12">
      <c r="C622" s="7">
        <v>616</v>
      </c>
      <c r="D622" s="3">
        <f t="shared" si="67"/>
        <v>4.5199999999999997E-2</v>
      </c>
      <c r="E622" s="3">
        <f t="shared" ca="1" si="71"/>
        <v>4.2392098206293374E-2</v>
      </c>
      <c r="F622" s="3">
        <f t="shared" ca="1" si="71"/>
        <v>4.776009955945227E-2</v>
      </c>
      <c r="G622" s="3">
        <f t="shared" ca="1" si="71"/>
        <v>5.463344263333119E-2</v>
      </c>
      <c r="H622" s="3">
        <f t="shared" ca="1" si="71"/>
        <v>5.4653058063466167E-2</v>
      </c>
      <c r="I622" s="3">
        <f t="shared" ca="1" si="71"/>
        <v>5.6843783171369622E-2</v>
      </c>
      <c r="J622" s="3">
        <f t="shared" ca="1" si="71"/>
        <v>5.5640839053235476E-2</v>
      </c>
      <c r="K622" s="3">
        <f t="shared" ca="1" si="71"/>
        <v>5.210883483592392E-2</v>
      </c>
      <c r="L622" s="3">
        <f t="shared" ca="1" si="71"/>
        <v>5.0332657719889221E-2</v>
      </c>
    </row>
    <row r="623" spans="3:12">
      <c r="C623" s="7">
        <v>617</v>
      </c>
      <c r="D623" s="3">
        <f t="shared" si="67"/>
        <v>4.5199999999999997E-2</v>
      </c>
      <c r="E623" s="3">
        <f t="shared" ca="1" si="71"/>
        <v>4.2278892233851909E-2</v>
      </c>
      <c r="F623" s="3">
        <f t="shared" ca="1" si="71"/>
        <v>4.8387632408057969E-2</v>
      </c>
      <c r="G623" s="3">
        <f t="shared" ca="1" si="71"/>
        <v>5.1089634462802257E-2</v>
      </c>
      <c r="H623" s="3">
        <f t="shared" ca="1" si="71"/>
        <v>5.7709481162495226E-2</v>
      </c>
      <c r="I623" s="3">
        <f t="shared" ca="1" si="71"/>
        <v>5.431196340125459E-2</v>
      </c>
      <c r="J623" s="3">
        <f t="shared" ca="1" si="71"/>
        <v>5.6827104927893869E-2</v>
      </c>
      <c r="K623" s="3">
        <f t="shared" ca="1" si="71"/>
        <v>5.6887192749081252E-2</v>
      </c>
      <c r="L623" s="3">
        <f t="shared" ca="1" si="71"/>
        <v>4.7939045748787115E-2</v>
      </c>
    </row>
    <row r="624" spans="3:12">
      <c r="C624" s="7">
        <v>618</v>
      </c>
      <c r="D624" s="3">
        <f t="shared" si="67"/>
        <v>4.5199999999999997E-2</v>
      </c>
      <c r="E624" s="3">
        <f t="shared" ca="1" si="71"/>
        <v>4.3585659924591659E-2</v>
      </c>
      <c r="F624" s="3">
        <f t="shared" ca="1" si="71"/>
        <v>4.4925824128586152E-2</v>
      </c>
      <c r="G624" s="3">
        <f t="shared" ca="1" si="71"/>
        <v>5.0994115938284408E-2</v>
      </c>
      <c r="H624" s="3">
        <f t="shared" ca="1" si="71"/>
        <v>5.7331154340832219E-2</v>
      </c>
      <c r="I624" s="3">
        <f t="shared" ca="1" si="71"/>
        <v>6.0813045164700805E-2</v>
      </c>
      <c r="J624" s="3">
        <f t="shared" ca="1" si="71"/>
        <v>6.7148742540060813E-2</v>
      </c>
      <c r="K624" s="3">
        <f t="shared" ca="1" si="71"/>
        <v>6.5118612407054535E-2</v>
      </c>
      <c r="L624" s="3">
        <f t="shared" ca="1" si="71"/>
        <v>6.7204507930504129E-2</v>
      </c>
    </row>
    <row r="625" spans="3:12">
      <c r="C625" s="7">
        <v>619</v>
      </c>
      <c r="D625" s="3">
        <f t="shared" si="67"/>
        <v>4.5199999999999997E-2</v>
      </c>
      <c r="E625" s="3">
        <f t="shared" ca="1" si="71"/>
        <v>4.180420128848359E-2</v>
      </c>
      <c r="F625" s="3">
        <f t="shared" ca="1" si="71"/>
        <v>4.24594529624156E-2</v>
      </c>
      <c r="G625" s="3">
        <f t="shared" ca="1" si="71"/>
        <v>3.4642884158669306E-2</v>
      </c>
      <c r="H625" s="3">
        <f t="shared" ca="1" si="71"/>
        <v>3.6443009475649872E-2</v>
      </c>
      <c r="I625" s="3">
        <f t="shared" ca="1" si="71"/>
        <v>3.5215264908750751E-2</v>
      </c>
      <c r="J625" s="3">
        <f t="shared" ca="1" si="71"/>
        <v>3.492788296334353E-2</v>
      </c>
      <c r="K625" s="3">
        <f t="shared" ca="1" si="71"/>
        <v>3.9083855393346155E-2</v>
      </c>
      <c r="L625" s="3">
        <f t="shared" ca="1" si="71"/>
        <v>3.9614050660867588E-2</v>
      </c>
    </row>
    <row r="626" spans="3:12">
      <c r="C626" s="7">
        <v>620</v>
      </c>
      <c r="D626" s="3">
        <f t="shared" si="67"/>
        <v>4.5199999999999997E-2</v>
      </c>
      <c r="E626" s="3">
        <f t="shared" ca="1" si="71"/>
        <v>4.3815846113438736E-2</v>
      </c>
      <c r="F626" s="3">
        <f t="shared" ca="1" si="71"/>
        <v>4.5374353972564813E-2</v>
      </c>
      <c r="G626" s="3">
        <f t="shared" ca="1" si="71"/>
        <v>4.7061998543707684E-2</v>
      </c>
      <c r="H626" s="3">
        <f t="shared" ca="1" si="71"/>
        <v>4.8822740768378052E-2</v>
      </c>
      <c r="I626" s="3">
        <f t="shared" ca="1" si="71"/>
        <v>4.7238028025380803E-2</v>
      </c>
      <c r="J626" s="3">
        <f t="shared" ca="1" si="71"/>
        <v>5.7182103074996396E-2</v>
      </c>
      <c r="K626" s="3">
        <f t="shared" ca="1" si="71"/>
        <v>6.4930715432601815E-2</v>
      </c>
      <c r="L626" s="3">
        <f t="shared" ca="1" si="71"/>
        <v>6.6520081026588337E-2</v>
      </c>
    </row>
    <row r="627" spans="3:12">
      <c r="C627" s="7">
        <v>621</v>
      </c>
      <c r="D627" s="3">
        <f t="shared" si="67"/>
        <v>4.5199999999999997E-2</v>
      </c>
      <c r="E627" s="3">
        <f t="shared" ref="E627:L636" ca="1" si="72">D627+E$5*dt+sigma*_xlfn.NORM.S.INV(RAND())*SQRT(dt)</f>
        <v>4.7246480529498175E-2</v>
      </c>
      <c r="F627" s="3">
        <f t="shared" ca="1" si="72"/>
        <v>6.2250759806115552E-2</v>
      </c>
      <c r="G627" s="3">
        <f t="shared" ca="1" si="72"/>
        <v>7.4103543543924427E-2</v>
      </c>
      <c r="H627" s="3">
        <f t="shared" ca="1" si="72"/>
        <v>8.0663586661391423E-2</v>
      </c>
      <c r="I627" s="3">
        <f t="shared" ca="1" si="72"/>
        <v>8.0743624049854773E-2</v>
      </c>
      <c r="J627" s="3">
        <f t="shared" ca="1" si="72"/>
        <v>8.8644699319651479E-2</v>
      </c>
      <c r="K627" s="3">
        <f t="shared" ca="1" si="72"/>
        <v>8.3522301791780273E-2</v>
      </c>
      <c r="L627" s="3">
        <f t="shared" ca="1" si="72"/>
        <v>8.0208112671346102E-2</v>
      </c>
    </row>
    <row r="628" spans="3:12">
      <c r="C628" s="7">
        <v>622</v>
      </c>
      <c r="D628" s="3">
        <f t="shared" si="67"/>
        <v>4.5199999999999997E-2</v>
      </c>
      <c r="E628" s="3">
        <f t="shared" ca="1" si="72"/>
        <v>4.1463013308409409E-2</v>
      </c>
      <c r="F628" s="3">
        <f t="shared" ca="1" si="72"/>
        <v>3.8074447558418052E-2</v>
      </c>
      <c r="G628" s="3">
        <f t="shared" ca="1" si="72"/>
        <v>3.6865399201473192E-2</v>
      </c>
      <c r="H628" s="3">
        <f t="shared" ca="1" si="72"/>
        <v>3.4429931787961693E-2</v>
      </c>
      <c r="I628" s="3">
        <f t="shared" ca="1" si="72"/>
        <v>3.6645232882280873E-2</v>
      </c>
      <c r="J628" s="3">
        <f t="shared" ca="1" si="72"/>
        <v>4.0457306437539628E-2</v>
      </c>
      <c r="K628" s="3">
        <f t="shared" ca="1" si="72"/>
        <v>4.5220258446697525E-2</v>
      </c>
      <c r="L628" s="3">
        <f t="shared" ca="1" si="72"/>
        <v>4.8585894756818085E-2</v>
      </c>
    </row>
    <row r="629" spans="3:12">
      <c r="C629" s="7">
        <v>623</v>
      </c>
      <c r="D629" s="3">
        <f t="shared" si="67"/>
        <v>4.5199999999999997E-2</v>
      </c>
      <c r="E629" s="3">
        <f t="shared" ca="1" si="72"/>
        <v>5.0586147805445202E-2</v>
      </c>
      <c r="F629" s="3">
        <f t="shared" ca="1" si="72"/>
        <v>4.4405855989094696E-2</v>
      </c>
      <c r="G629" s="3">
        <f t="shared" ca="1" si="72"/>
        <v>4.6858502408191005E-2</v>
      </c>
      <c r="H629" s="3">
        <f t="shared" ca="1" si="72"/>
        <v>4.4685102208972247E-2</v>
      </c>
      <c r="I629" s="3">
        <f t="shared" ca="1" si="72"/>
        <v>4.7524843188642668E-2</v>
      </c>
      <c r="J629" s="3">
        <f t="shared" ca="1" si="72"/>
        <v>5.7375775590344236E-2</v>
      </c>
      <c r="K629" s="3">
        <f t="shared" ca="1" si="72"/>
        <v>5.2696170829604733E-2</v>
      </c>
      <c r="L629" s="3">
        <f t="shared" ca="1" si="72"/>
        <v>5.8711376898524389E-2</v>
      </c>
    </row>
    <row r="630" spans="3:12">
      <c r="C630" s="7">
        <v>624</v>
      </c>
      <c r="D630" s="3">
        <f t="shared" si="67"/>
        <v>4.5199999999999997E-2</v>
      </c>
      <c r="E630" s="3">
        <f t="shared" ca="1" si="72"/>
        <v>4.6686044920609258E-2</v>
      </c>
      <c r="F630" s="3">
        <f t="shared" ca="1" si="72"/>
        <v>5.2448580196026433E-2</v>
      </c>
      <c r="G630" s="3">
        <f t="shared" ca="1" si="72"/>
        <v>5.8567521450288096E-2</v>
      </c>
      <c r="H630" s="3">
        <f t="shared" ca="1" si="72"/>
        <v>6.0076348671298456E-2</v>
      </c>
      <c r="I630" s="3">
        <f t="shared" ca="1" si="72"/>
        <v>6.3727753245514093E-2</v>
      </c>
      <c r="J630" s="3">
        <f t="shared" ca="1" si="72"/>
        <v>6.7198052180904397E-2</v>
      </c>
      <c r="K630" s="3">
        <f t="shared" ca="1" si="72"/>
        <v>6.1895702658653427E-2</v>
      </c>
      <c r="L630" s="3">
        <f t="shared" ca="1" si="72"/>
        <v>6.0630817240998877E-2</v>
      </c>
    </row>
    <row r="631" spans="3:12">
      <c r="C631" s="7">
        <v>625</v>
      </c>
      <c r="D631" s="3">
        <f t="shared" si="67"/>
        <v>4.5199999999999997E-2</v>
      </c>
      <c r="E631" s="3">
        <f t="shared" ca="1" si="72"/>
        <v>4.7816561427769272E-2</v>
      </c>
      <c r="F631" s="3">
        <f t="shared" ca="1" si="72"/>
        <v>4.815535261979819E-2</v>
      </c>
      <c r="G631" s="3">
        <f t="shared" ca="1" si="72"/>
        <v>5.0105459124386131E-2</v>
      </c>
      <c r="H631" s="3">
        <f t="shared" ca="1" si="72"/>
        <v>5.5498917649830462E-2</v>
      </c>
      <c r="I631" s="3">
        <f t="shared" ca="1" si="72"/>
        <v>5.5591943171873263E-2</v>
      </c>
      <c r="J631" s="3">
        <f t="shared" ca="1" si="72"/>
        <v>6.0157334716112287E-2</v>
      </c>
      <c r="K631" s="3">
        <f t="shared" ca="1" si="72"/>
        <v>5.7981109362423622E-2</v>
      </c>
      <c r="L631" s="3">
        <f t="shared" ca="1" si="72"/>
        <v>5.2513323847690876E-2</v>
      </c>
    </row>
    <row r="632" spans="3:12">
      <c r="C632" s="7">
        <v>626</v>
      </c>
      <c r="D632" s="3">
        <f t="shared" si="67"/>
        <v>4.5199999999999997E-2</v>
      </c>
      <c r="E632" s="3">
        <f t="shared" ca="1" si="72"/>
        <v>4.3224581172789767E-2</v>
      </c>
      <c r="F632" s="3">
        <f t="shared" ca="1" si="72"/>
        <v>4.3593528442599068E-2</v>
      </c>
      <c r="G632" s="3">
        <f t="shared" ca="1" si="72"/>
        <v>4.7098262735218173E-2</v>
      </c>
      <c r="H632" s="3">
        <f t="shared" ca="1" si="72"/>
        <v>4.8185500500434589E-2</v>
      </c>
      <c r="I632" s="3">
        <f t="shared" ca="1" si="72"/>
        <v>4.3228628041670658E-2</v>
      </c>
      <c r="J632" s="3">
        <f t="shared" ca="1" si="72"/>
        <v>4.6146143151185516E-2</v>
      </c>
      <c r="K632" s="3">
        <f t="shared" ca="1" si="72"/>
        <v>5.1037278211055241E-2</v>
      </c>
      <c r="L632" s="3">
        <f t="shared" ca="1" si="72"/>
        <v>5.7321884337972188E-2</v>
      </c>
    </row>
    <row r="633" spans="3:12">
      <c r="C633" s="7">
        <v>627</v>
      </c>
      <c r="D633" s="3">
        <f t="shared" si="67"/>
        <v>4.5199999999999997E-2</v>
      </c>
      <c r="E633" s="3">
        <f t="shared" ca="1" si="72"/>
        <v>4.1404426485421801E-2</v>
      </c>
      <c r="F633" s="3">
        <f t="shared" ca="1" si="72"/>
        <v>3.9707785987420877E-2</v>
      </c>
      <c r="G633" s="3">
        <f t="shared" ca="1" si="72"/>
        <v>3.1935823295976336E-2</v>
      </c>
      <c r="H633" s="3">
        <f t="shared" ca="1" si="72"/>
        <v>3.6125020276097354E-2</v>
      </c>
      <c r="I633" s="3">
        <f t="shared" ca="1" si="72"/>
        <v>3.6870141616719587E-2</v>
      </c>
      <c r="J633" s="3">
        <f t="shared" ca="1" si="72"/>
        <v>3.1122495095573945E-2</v>
      </c>
      <c r="K633" s="3">
        <f t="shared" ca="1" si="72"/>
        <v>3.0187792622691518E-2</v>
      </c>
      <c r="L633" s="3">
        <f t="shared" ca="1" si="72"/>
        <v>3.0038438397844824E-2</v>
      </c>
    </row>
    <row r="634" spans="3:12">
      <c r="C634" s="7">
        <v>628</v>
      </c>
      <c r="D634" s="3">
        <f t="shared" si="67"/>
        <v>4.5199999999999997E-2</v>
      </c>
      <c r="E634" s="3">
        <f t="shared" ca="1" si="72"/>
        <v>4.0983568610863975E-2</v>
      </c>
      <c r="F634" s="3">
        <f t="shared" ca="1" si="72"/>
        <v>4.3087452628941363E-2</v>
      </c>
      <c r="G634" s="3">
        <f t="shared" ca="1" si="72"/>
        <v>4.1736949001826097E-2</v>
      </c>
      <c r="H634" s="3">
        <f t="shared" ca="1" si="72"/>
        <v>4.3505971712799407E-2</v>
      </c>
      <c r="I634" s="3">
        <f t="shared" ca="1" si="72"/>
        <v>4.4338137586561237E-2</v>
      </c>
      <c r="J634" s="3">
        <f t="shared" ca="1" si="72"/>
        <v>4.7385840430112583E-2</v>
      </c>
      <c r="K634" s="3">
        <f t="shared" ca="1" si="72"/>
        <v>3.9097560864857245E-2</v>
      </c>
      <c r="L634" s="3">
        <f t="shared" ca="1" si="72"/>
        <v>3.7759577661871283E-2</v>
      </c>
    </row>
    <row r="635" spans="3:12">
      <c r="C635" s="7">
        <v>629</v>
      </c>
      <c r="D635" s="3">
        <f t="shared" si="67"/>
        <v>4.5199999999999997E-2</v>
      </c>
      <c r="E635" s="3">
        <f t="shared" ca="1" si="72"/>
        <v>4.3002293527167855E-2</v>
      </c>
      <c r="F635" s="3">
        <f t="shared" ca="1" si="72"/>
        <v>5.096094153773166E-2</v>
      </c>
      <c r="G635" s="3">
        <f t="shared" ca="1" si="72"/>
        <v>4.6250112957996505E-2</v>
      </c>
      <c r="H635" s="3">
        <f t="shared" ca="1" si="72"/>
        <v>4.5374505508002899E-2</v>
      </c>
      <c r="I635" s="3">
        <f t="shared" ca="1" si="72"/>
        <v>3.4603125053908709E-2</v>
      </c>
      <c r="J635" s="3">
        <f t="shared" ca="1" si="72"/>
        <v>3.767280937745475E-2</v>
      </c>
      <c r="K635" s="3">
        <f t="shared" ca="1" si="72"/>
        <v>3.3606274454068732E-2</v>
      </c>
      <c r="L635" s="3">
        <f t="shared" ca="1" si="72"/>
        <v>3.5188645596679335E-2</v>
      </c>
    </row>
    <row r="636" spans="3:12">
      <c r="C636" s="7">
        <v>630</v>
      </c>
      <c r="D636" s="3">
        <f t="shared" si="67"/>
        <v>4.5199999999999997E-2</v>
      </c>
      <c r="E636" s="3">
        <f t="shared" ca="1" si="72"/>
        <v>4.8547307644182955E-2</v>
      </c>
      <c r="F636" s="3">
        <f t="shared" ca="1" si="72"/>
        <v>5.7224168378035803E-2</v>
      </c>
      <c r="G636" s="3">
        <f t="shared" ca="1" si="72"/>
        <v>5.8860776353109101E-2</v>
      </c>
      <c r="H636" s="3">
        <f t="shared" ca="1" si="72"/>
        <v>6.15528350905803E-2</v>
      </c>
      <c r="I636" s="3">
        <f t="shared" ca="1" si="72"/>
        <v>6.1672227541586459E-2</v>
      </c>
      <c r="J636" s="3">
        <f t="shared" ca="1" si="72"/>
        <v>6.4121167798737472E-2</v>
      </c>
      <c r="K636" s="3">
        <f t="shared" ca="1" si="72"/>
        <v>6.5744231724261623E-2</v>
      </c>
      <c r="L636" s="3">
        <f t="shared" ca="1" si="72"/>
        <v>6.9912365732715448E-2</v>
      </c>
    </row>
    <row r="637" spans="3:12">
      <c r="C637" s="7">
        <v>631</v>
      </c>
      <c r="D637" s="3">
        <f t="shared" si="67"/>
        <v>4.5199999999999997E-2</v>
      </c>
      <c r="E637" s="3">
        <f t="shared" ref="E637:L646" ca="1" si="73">D637+E$5*dt+sigma*_xlfn.NORM.S.INV(RAND())*SQRT(dt)</f>
        <v>4.3057704389246679E-2</v>
      </c>
      <c r="F637" s="3">
        <f t="shared" ca="1" si="73"/>
        <v>3.7307092669144039E-2</v>
      </c>
      <c r="G637" s="3">
        <f t="shared" ca="1" si="73"/>
        <v>3.6703373515900757E-2</v>
      </c>
      <c r="H637" s="3">
        <f t="shared" ca="1" si="73"/>
        <v>2.8671801725167236E-2</v>
      </c>
      <c r="I637" s="3">
        <f t="shared" ca="1" si="73"/>
        <v>2.7781988365011816E-2</v>
      </c>
      <c r="J637" s="3">
        <f t="shared" ca="1" si="73"/>
        <v>2.9258658655520919E-2</v>
      </c>
      <c r="K637" s="3">
        <f t="shared" ca="1" si="73"/>
        <v>3.4475168827692096E-2</v>
      </c>
      <c r="L637" s="3">
        <f t="shared" ca="1" si="73"/>
        <v>4.1000907608918905E-2</v>
      </c>
    </row>
    <row r="638" spans="3:12">
      <c r="C638" s="7">
        <v>632</v>
      </c>
      <c r="D638" s="3">
        <f t="shared" si="67"/>
        <v>4.5199999999999997E-2</v>
      </c>
      <c r="E638" s="3">
        <f t="shared" ca="1" si="73"/>
        <v>4.9451833320219837E-2</v>
      </c>
      <c r="F638" s="3">
        <f t="shared" ca="1" si="73"/>
        <v>5.0262412365852292E-2</v>
      </c>
      <c r="G638" s="3">
        <f t="shared" ca="1" si="73"/>
        <v>4.8478149248083163E-2</v>
      </c>
      <c r="H638" s="3">
        <f t="shared" ca="1" si="73"/>
        <v>4.9858224531833945E-2</v>
      </c>
      <c r="I638" s="3">
        <f t="shared" ca="1" si="73"/>
        <v>5.2986294364422051E-2</v>
      </c>
      <c r="J638" s="3">
        <f t="shared" ca="1" si="73"/>
        <v>5.3675552640736243E-2</v>
      </c>
      <c r="K638" s="3">
        <f t="shared" ca="1" si="73"/>
        <v>5.3070428246550644E-2</v>
      </c>
      <c r="L638" s="3">
        <f t="shared" ca="1" si="73"/>
        <v>6.097524675886596E-2</v>
      </c>
    </row>
    <row r="639" spans="3:12">
      <c r="C639" s="7">
        <v>633</v>
      </c>
      <c r="D639" s="3">
        <f t="shared" si="67"/>
        <v>4.5199999999999997E-2</v>
      </c>
      <c r="E639" s="3">
        <f t="shared" ca="1" si="73"/>
        <v>4.3863396785636638E-2</v>
      </c>
      <c r="F639" s="3">
        <f t="shared" ca="1" si="73"/>
        <v>4.937475257906386E-2</v>
      </c>
      <c r="G639" s="3">
        <f t="shared" ca="1" si="73"/>
        <v>5.2744560346933186E-2</v>
      </c>
      <c r="H639" s="3">
        <f t="shared" ca="1" si="73"/>
        <v>5.3889201215324742E-2</v>
      </c>
      <c r="I639" s="3">
        <f t="shared" ca="1" si="73"/>
        <v>5.45186231094405E-2</v>
      </c>
      <c r="J639" s="3">
        <f t="shared" ca="1" si="73"/>
        <v>5.173874454217367E-2</v>
      </c>
      <c r="K639" s="3">
        <f t="shared" ca="1" si="73"/>
        <v>4.9461831355725711E-2</v>
      </c>
      <c r="L639" s="3">
        <f t="shared" ca="1" si="73"/>
        <v>4.5307940039454014E-2</v>
      </c>
    </row>
    <row r="640" spans="3:12">
      <c r="C640" s="7">
        <v>634</v>
      </c>
      <c r="D640" s="3">
        <f t="shared" si="67"/>
        <v>4.5199999999999997E-2</v>
      </c>
      <c r="E640" s="3">
        <f t="shared" ca="1" si="73"/>
        <v>4.3769652258533388E-2</v>
      </c>
      <c r="F640" s="3">
        <f t="shared" ca="1" si="73"/>
        <v>4.4542303523912169E-2</v>
      </c>
      <c r="G640" s="3">
        <f t="shared" ca="1" si="73"/>
        <v>5.6422423193758175E-2</v>
      </c>
      <c r="H640" s="3">
        <f t="shared" ca="1" si="73"/>
        <v>6.0196497044339478E-2</v>
      </c>
      <c r="I640" s="3">
        <f t="shared" ca="1" si="73"/>
        <v>6.0604912177485114E-2</v>
      </c>
      <c r="J640" s="3">
        <f t="shared" ca="1" si="73"/>
        <v>6.2792704407321792E-2</v>
      </c>
      <c r="K640" s="3">
        <f t="shared" ca="1" si="73"/>
        <v>5.3609504437161615E-2</v>
      </c>
      <c r="L640" s="3">
        <f t="shared" ca="1" si="73"/>
        <v>5.7370535549182984E-2</v>
      </c>
    </row>
    <row r="641" spans="3:12">
      <c r="C641" s="7">
        <v>635</v>
      </c>
      <c r="D641" s="3">
        <f t="shared" si="67"/>
        <v>4.5199999999999997E-2</v>
      </c>
      <c r="E641" s="3">
        <f t="shared" ca="1" si="73"/>
        <v>4.9026191638581469E-2</v>
      </c>
      <c r="F641" s="3">
        <f t="shared" ca="1" si="73"/>
        <v>5.1335002653881995E-2</v>
      </c>
      <c r="G641" s="3">
        <f t="shared" ca="1" si="73"/>
        <v>4.9279180094127482E-2</v>
      </c>
      <c r="H641" s="3">
        <f t="shared" ca="1" si="73"/>
        <v>5.0555692378749718E-2</v>
      </c>
      <c r="I641" s="3">
        <f t="shared" ca="1" si="73"/>
        <v>5.3392784224385356E-2</v>
      </c>
      <c r="J641" s="3">
        <f t="shared" ca="1" si="73"/>
        <v>5.4677371631386362E-2</v>
      </c>
      <c r="K641" s="3">
        <f t="shared" ca="1" si="73"/>
        <v>4.5316017992372372E-2</v>
      </c>
      <c r="L641" s="3">
        <f t="shared" ca="1" si="73"/>
        <v>5.0280724130573398E-2</v>
      </c>
    </row>
    <row r="642" spans="3:12">
      <c r="C642" s="7">
        <v>636</v>
      </c>
      <c r="D642" s="3">
        <f t="shared" si="67"/>
        <v>4.5199999999999997E-2</v>
      </c>
      <c r="E642" s="3">
        <f t="shared" ca="1" si="73"/>
        <v>4.0905204617907934E-2</v>
      </c>
      <c r="F642" s="3">
        <f t="shared" ca="1" si="73"/>
        <v>3.8224811944925552E-2</v>
      </c>
      <c r="G642" s="3">
        <f t="shared" ca="1" si="73"/>
        <v>2.959915931401013E-2</v>
      </c>
      <c r="H642" s="3">
        <f t="shared" ca="1" si="73"/>
        <v>3.203034459592545E-2</v>
      </c>
      <c r="I642" s="3">
        <f t="shared" ca="1" si="73"/>
        <v>3.0199702512790853E-2</v>
      </c>
      <c r="J642" s="3">
        <f t="shared" ca="1" si="73"/>
        <v>3.8011265269683979E-2</v>
      </c>
      <c r="K642" s="3">
        <f t="shared" ca="1" si="73"/>
        <v>4.7939813619798578E-2</v>
      </c>
      <c r="L642" s="3">
        <f t="shared" ca="1" si="73"/>
        <v>4.8253971689925609E-2</v>
      </c>
    </row>
    <row r="643" spans="3:12">
      <c r="C643" s="7">
        <v>637</v>
      </c>
      <c r="D643" s="3">
        <f t="shared" si="67"/>
        <v>4.5199999999999997E-2</v>
      </c>
      <c r="E643" s="3">
        <f t="shared" ca="1" si="73"/>
        <v>5.0465459865554597E-2</v>
      </c>
      <c r="F643" s="3">
        <f t="shared" ca="1" si="73"/>
        <v>5.5586683918274787E-2</v>
      </c>
      <c r="G643" s="3">
        <f t="shared" ca="1" si="73"/>
        <v>5.1767257256385799E-2</v>
      </c>
      <c r="H643" s="3">
        <f t="shared" ca="1" si="73"/>
        <v>5.5407709121802026E-2</v>
      </c>
      <c r="I643" s="3">
        <f t="shared" ca="1" si="73"/>
        <v>5.4629665091254574E-2</v>
      </c>
      <c r="J643" s="3">
        <f t="shared" ca="1" si="73"/>
        <v>6.4241392588262516E-2</v>
      </c>
      <c r="K643" s="3">
        <f t="shared" ca="1" si="73"/>
        <v>7.2290171116107235E-2</v>
      </c>
      <c r="L643" s="3">
        <f t="shared" ca="1" si="73"/>
        <v>6.807832653592058E-2</v>
      </c>
    </row>
    <row r="644" spans="3:12">
      <c r="C644" s="7">
        <v>638</v>
      </c>
      <c r="D644" s="3">
        <f t="shared" si="67"/>
        <v>4.5199999999999997E-2</v>
      </c>
      <c r="E644" s="3">
        <f t="shared" ca="1" si="73"/>
        <v>4.3861278809420402E-2</v>
      </c>
      <c r="F644" s="3">
        <f t="shared" ca="1" si="73"/>
        <v>4.9526106276478667E-2</v>
      </c>
      <c r="G644" s="3">
        <f t="shared" ca="1" si="73"/>
        <v>4.8701876622857958E-2</v>
      </c>
      <c r="H644" s="3">
        <f t="shared" ca="1" si="73"/>
        <v>5.8071087324501801E-2</v>
      </c>
      <c r="I644" s="3">
        <f t="shared" ca="1" si="73"/>
        <v>5.5375385675892293E-2</v>
      </c>
      <c r="J644" s="3">
        <f t="shared" ca="1" si="73"/>
        <v>4.7796314995855294E-2</v>
      </c>
      <c r="K644" s="3">
        <f t="shared" ca="1" si="73"/>
        <v>5.0308640390117725E-2</v>
      </c>
      <c r="L644" s="3">
        <f t="shared" ca="1" si="73"/>
        <v>5.8042048384805242E-2</v>
      </c>
    </row>
    <row r="645" spans="3:12">
      <c r="C645" s="7">
        <v>639</v>
      </c>
      <c r="D645" s="3">
        <f t="shared" si="67"/>
        <v>4.5199999999999997E-2</v>
      </c>
      <c r="E645" s="3">
        <f t="shared" ca="1" si="73"/>
        <v>4.3628923814941968E-2</v>
      </c>
      <c r="F645" s="3">
        <f t="shared" ca="1" si="73"/>
        <v>3.8360035905063643E-2</v>
      </c>
      <c r="G645" s="3">
        <f t="shared" ca="1" si="73"/>
        <v>3.7583042597580642E-2</v>
      </c>
      <c r="H645" s="3">
        <f t="shared" ca="1" si="73"/>
        <v>4.1749187351661908E-2</v>
      </c>
      <c r="I645" s="3">
        <f t="shared" ca="1" si="73"/>
        <v>4.8146692401242024E-2</v>
      </c>
      <c r="J645" s="3">
        <f t="shared" ca="1" si="73"/>
        <v>5.3180162077604856E-2</v>
      </c>
      <c r="K645" s="3">
        <f t="shared" ca="1" si="73"/>
        <v>5.3875127798901981E-2</v>
      </c>
      <c r="L645" s="3">
        <f t="shared" ca="1" si="73"/>
        <v>5.7130314939002107E-2</v>
      </c>
    </row>
    <row r="646" spans="3:12">
      <c r="C646" s="7">
        <v>640</v>
      </c>
      <c r="D646" s="3">
        <f t="shared" si="67"/>
        <v>4.5199999999999997E-2</v>
      </c>
      <c r="E646" s="3">
        <f t="shared" ca="1" si="73"/>
        <v>5.1100266536002234E-2</v>
      </c>
      <c r="F646" s="3">
        <f t="shared" ca="1" si="73"/>
        <v>5.2799133402411151E-2</v>
      </c>
      <c r="G646" s="3">
        <f t="shared" ca="1" si="73"/>
        <v>5.3024545165917703E-2</v>
      </c>
      <c r="H646" s="3">
        <f t="shared" ca="1" si="73"/>
        <v>6.126113168299295E-2</v>
      </c>
      <c r="I646" s="3">
        <f t="shared" ca="1" si="73"/>
        <v>4.5998041262536413E-2</v>
      </c>
      <c r="J646" s="3">
        <f t="shared" ca="1" si="73"/>
        <v>4.2686700347328924E-2</v>
      </c>
      <c r="K646" s="3">
        <f t="shared" ca="1" si="73"/>
        <v>4.8206062910866036E-2</v>
      </c>
      <c r="L646" s="3">
        <f t="shared" ca="1" si="73"/>
        <v>4.4356908382875128E-2</v>
      </c>
    </row>
    <row r="647" spans="3:12">
      <c r="C647" s="7">
        <v>641</v>
      </c>
      <c r="D647" s="3">
        <f t="shared" ref="D647:D710" si="74">r0</f>
        <v>4.5199999999999997E-2</v>
      </c>
      <c r="E647" s="3">
        <f t="shared" ref="E647:L656" ca="1" si="75">D647+E$5*dt+sigma*_xlfn.NORM.S.INV(RAND())*SQRT(dt)</f>
        <v>3.6871438342614332E-2</v>
      </c>
      <c r="F647" s="3">
        <f t="shared" ca="1" si="75"/>
        <v>3.997569788804034E-2</v>
      </c>
      <c r="G647" s="3">
        <f t="shared" ca="1" si="75"/>
        <v>4.0000730599564001E-2</v>
      </c>
      <c r="H647" s="3">
        <f t="shared" ca="1" si="75"/>
        <v>4.1426557862459752E-2</v>
      </c>
      <c r="I647" s="3">
        <f t="shared" ca="1" si="75"/>
        <v>4.5341044562561564E-2</v>
      </c>
      <c r="J647" s="3">
        <f t="shared" ca="1" si="75"/>
        <v>4.2251277496385305E-2</v>
      </c>
      <c r="K647" s="3">
        <f t="shared" ca="1" si="75"/>
        <v>4.1564315129202105E-2</v>
      </c>
      <c r="L647" s="3">
        <f t="shared" ca="1" si="75"/>
        <v>4.2835089014270952E-2</v>
      </c>
    </row>
    <row r="648" spans="3:12">
      <c r="C648" s="7">
        <v>642</v>
      </c>
      <c r="D648" s="3">
        <f t="shared" si="74"/>
        <v>4.5199999999999997E-2</v>
      </c>
      <c r="E648" s="3">
        <f t="shared" ca="1" si="75"/>
        <v>3.7214775183324736E-2</v>
      </c>
      <c r="F648" s="3">
        <f t="shared" ca="1" si="75"/>
        <v>4.9660726222912739E-2</v>
      </c>
      <c r="G648" s="3">
        <f t="shared" ca="1" si="75"/>
        <v>5.2751246115028155E-2</v>
      </c>
      <c r="H648" s="3">
        <f t="shared" ca="1" si="75"/>
        <v>5.0638832885629911E-2</v>
      </c>
      <c r="I648" s="3">
        <f t="shared" ca="1" si="75"/>
        <v>4.5929032218492628E-2</v>
      </c>
      <c r="J648" s="3">
        <f t="shared" ca="1" si="75"/>
        <v>4.7127019228435936E-2</v>
      </c>
      <c r="K648" s="3">
        <f t="shared" ca="1" si="75"/>
        <v>4.6444880629427969E-2</v>
      </c>
      <c r="L648" s="3">
        <f t="shared" ca="1" si="75"/>
        <v>4.9917719466305285E-2</v>
      </c>
    </row>
    <row r="649" spans="3:12">
      <c r="C649" s="7">
        <v>643</v>
      </c>
      <c r="D649" s="3">
        <f t="shared" si="74"/>
        <v>4.5199999999999997E-2</v>
      </c>
      <c r="E649" s="3">
        <f t="shared" ca="1" si="75"/>
        <v>4.3917805110402247E-2</v>
      </c>
      <c r="F649" s="3">
        <f t="shared" ca="1" si="75"/>
        <v>4.8714068570930275E-2</v>
      </c>
      <c r="G649" s="3">
        <f t="shared" ca="1" si="75"/>
        <v>4.4277959638278248E-2</v>
      </c>
      <c r="H649" s="3">
        <f t="shared" ca="1" si="75"/>
        <v>5.2635641057629814E-2</v>
      </c>
      <c r="I649" s="3">
        <f t="shared" ca="1" si="75"/>
        <v>4.2851711743745427E-2</v>
      </c>
      <c r="J649" s="3">
        <f t="shared" ca="1" si="75"/>
        <v>4.2960208772700272E-2</v>
      </c>
      <c r="K649" s="3">
        <f t="shared" ca="1" si="75"/>
        <v>3.9269450816711626E-2</v>
      </c>
      <c r="L649" s="3">
        <f t="shared" ca="1" si="75"/>
        <v>4.9121033415711349E-2</v>
      </c>
    </row>
    <row r="650" spans="3:12">
      <c r="C650" s="7">
        <v>644</v>
      </c>
      <c r="D650" s="3">
        <f t="shared" si="74"/>
        <v>4.5199999999999997E-2</v>
      </c>
      <c r="E650" s="3">
        <f t="shared" ca="1" si="75"/>
        <v>4.4775052914879897E-2</v>
      </c>
      <c r="F650" s="3">
        <f t="shared" ca="1" si="75"/>
        <v>4.7694952169234237E-2</v>
      </c>
      <c r="G650" s="3">
        <f t="shared" ca="1" si="75"/>
        <v>5.1477251648323431E-2</v>
      </c>
      <c r="H650" s="3">
        <f t="shared" ca="1" si="75"/>
        <v>6.226842657992375E-2</v>
      </c>
      <c r="I650" s="3">
        <f t="shared" ca="1" si="75"/>
        <v>5.4755499137486292E-2</v>
      </c>
      <c r="J650" s="3">
        <f t="shared" ca="1" si="75"/>
        <v>5.2298703443522741E-2</v>
      </c>
      <c r="K650" s="3">
        <f t="shared" ca="1" si="75"/>
        <v>5.5993627512997794E-2</v>
      </c>
      <c r="L650" s="3">
        <f t="shared" ca="1" si="75"/>
        <v>5.9780015799801245E-2</v>
      </c>
    </row>
    <row r="651" spans="3:12">
      <c r="C651" s="7">
        <v>645</v>
      </c>
      <c r="D651" s="3">
        <f t="shared" si="74"/>
        <v>4.5199999999999997E-2</v>
      </c>
      <c r="E651" s="3">
        <f t="shared" ca="1" si="75"/>
        <v>5.5982858372571526E-2</v>
      </c>
      <c r="F651" s="3">
        <f t="shared" ca="1" si="75"/>
        <v>5.8521179584210166E-2</v>
      </c>
      <c r="G651" s="3">
        <f t="shared" ca="1" si="75"/>
        <v>6.5234166601120344E-2</v>
      </c>
      <c r="H651" s="3">
        <f t="shared" ca="1" si="75"/>
        <v>6.6996825915532729E-2</v>
      </c>
      <c r="I651" s="3">
        <f t="shared" ca="1" si="75"/>
        <v>7.0544353293237938E-2</v>
      </c>
      <c r="J651" s="3">
        <f t="shared" ca="1" si="75"/>
        <v>7.2603571918674462E-2</v>
      </c>
      <c r="K651" s="3">
        <f t="shared" ca="1" si="75"/>
        <v>7.2514822722838906E-2</v>
      </c>
      <c r="L651" s="3">
        <f t="shared" ca="1" si="75"/>
        <v>8.024140878810461E-2</v>
      </c>
    </row>
    <row r="652" spans="3:12">
      <c r="C652" s="7">
        <v>646</v>
      </c>
      <c r="D652" s="3">
        <f t="shared" si="74"/>
        <v>4.5199999999999997E-2</v>
      </c>
      <c r="E652" s="3">
        <f t="shared" ca="1" si="75"/>
        <v>4.207268620791077E-2</v>
      </c>
      <c r="F652" s="3">
        <f t="shared" ca="1" si="75"/>
        <v>3.6745584544405852E-2</v>
      </c>
      <c r="G652" s="3">
        <f t="shared" ca="1" si="75"/>
        <v>3.9123495949333752E-2</v>
      </c>
      <c r="H652" s="3">
        <f t="shared" ca="1" si="75"/>
        <v>3.7886178863966086E-2</v>
      </c>
      <c r="I652" s="3">
        <f t="shared" ca="1" si="75"/>
        <v>3.8551741842276194E-2</v>
      </c>
      <c r="J652" s="3">
        <f t="shared" ca="1" si="75"/>
        <v>4.6923427981936439E-2</v>
      </c>
      <c r="K652" s="3">
        <f t="shared" ca="1" si="75"/>
        <v>5.3589552064337194E-2</v>
      </c>
      <c r="L652" s="3">
        <f t="shared" ca="1" si="75"/>
        <v>5.4742796999842927E-2</v>
      </c>
    </row>
    <row r="653" spans="3:12">
      <c r="C653" s="7">
        <v>647</v>
      </c>
      <c r="D653" s="3">
        <f t="shared" si="74"/>
        <v>4.5199999999999997E-2</v>
      </c>
      <c r="E653" s="3">
        <f t="shared" ca="1" si="75"/>
        <v>4.1928659103912802E-2</v>
      </c>
      <c r="F653" s="3">
        <f t="shared" ca="1" si="75"/>
        <v>5.5716660878075648E-2</v>
      </c>
      <c r="G653" s="3">
        <f t="shared" ca="1" si="75"/>
        <v>6.3539825923486476E-2</v>
      </c>
      <c r="H653" s="3">
        <f t="shared" ca="1" si="75"/>
        <v>6.8422438896456064E-2</v>
      </c>
      <c r="I653" s="3">
        <f t="shared" ca="1" si="75"/>
        <v>7.3139844949220351E-2</v>
      </c>
      <c r="J653" s="3">
        <f t="shared" ca="1" si="75"/>
        <v>7.4425684940119502E-2</v>
      </c>
      <c r="K653" s="3">
        <f t="shared" ca="1" si="75"/>
        <v>7.164052136367606E-2</v>
      </c>
      <c r="L653" s="3">
        <f t="shared" ca="1" si="75"/>
        <v>7.0396987364098926E-2</v>
      </c>
    </row>
    <row r="654" spans="3:12">
      <c r="C654" s="7">
        <v>648</v>
      </c>
      <c r="D654" s="3">
        <f t="shared" si="74"/>
        <v>4.5199999999999997E-2</v>
      </c>
      <c r="E654" s="3">
        <f t="shared" ca="1" si="75"/>
        <v>5.100405646203017E-2</v>
      </c>
      <c r="F654" s="3">
        <f t="shared" ca="1" si="75"/>
        <v>6.391993134121178E-2</v>
      </c>
      <c r="G654" s="3">
        <f t="shared" ca="1" si="75"/>
        <v>6.4741917911490823E-2</v>
      </c>
      <c r="H654" s="3">
        <f t="shared" ca="1" si="75"/>
        <v>6.6179900445843862E-2</v>
      </c>
      <c r="I654" s="3">
        <f t="shared" ca="1" si="75"/>
        <v>6.1119147282692084E-2</v>
      </c>
      <c r="J654" s="3">
        <f t="shared" ca="1" si="75"/>
        <v>7.2728044552038393E-2</v>
      </c>
      <c r="K654" s="3">
        <f t="shared" ca="1" si="75"/>
        <v>7.5179410843891903E-2</v>
      </c>
      <c r="L654" s="3">
        <f t="shared" ca="1" si="75"/>
        <v>7.9675543058395901E-2</v>
      </c>
    </row>
    <row r="655" spans="3:12">
      <c r="C655" s="7">
        <v>649</v>
      </c>
      <c r="D655" s="3">
        <f t="shared" si="74"/>
        <v>4.5199999999999997E-2</v>
      </c>
      <c r="E655" s="3">
        <f t="shared" ca="1" si="75"/>
        <v>4.2372393075290636E-2</v>
      </c>
      <c r="F655" s="3">
        <f t="shared" ca="1" si="75"/>
        <v>4.1821854033574406E-2</v>
      </c>
      <c r="G655" s="3">
        <f t="shared" ca="1" si="75"/>
        <v>4.1802161279316477E-2</v>
      </c>
      <c r="H655" s="3">
        <f t="shared" ca="1" si="75"/>
        <v>3.9367707799911986E-2</v>
      </c>
      <c r="I655" s="3">
        <f t="shared" ca="1" si="75"/>
        <v>4.5896519026341349E-2</v>
      </c>
      <c r="J655" s="3">
        <f t="shared" ca="1" si="75"/>
        <v>4.8926481469743328E-2</v>
      </c>
      <c r="K655" s="3">
        <f t="shared" ca="1" si="75"/>
        <v>4.7127501175462556E-2</v>
      </c>
      <c r="L655" s="3">
        <f t="shared" ca="1" si="75"/>
        <v>4.7674766073368381E-2</v>
      </c>
    </row>
    <row r="656" spans="3:12">
      <c r="C656" s="7">
        <v>650</v>
      </c>
      <c r="D656" s="3">
        <f t="shared" si="74"/>
        <v>4.5199999999999997E-2</v>
      </c>
      <c r="E656" s="3">
        <f t="shared" ca="1" si="75"/>
        <v>5.3695177897149213E-2</v>
      </c>
      <c r="F656" s="3">
        <f t="shared" ca="1" si="75"/>
        <v>4.7842206527663786E-2</v>
      </c>
      <c r="G656" s="3">
        <f t="shared" ca="1" si="75"/>
        <v>4.726506774863215E-2</v>
      </c>
      <c r="H656" s="3">
        <f t="shared" ca="1" si="75"/>
        <v>4.3716380726915208E-2</v>
      </c>
      <c r="I656" s="3">
        <f t="shared" ca="1" si="75"/>
        <v>4.4767009939080088E-2</v>
      </c>
      <c r="J656" s="3">
        <f t="shared" ca="1" si="75"/>
        <v>4.0652930681832761E-2</v>
      </c>
      <c r="K656" s="3">
        <f t="shared" ca="1" si="75"/>
        <v>2.9649354569782085E-2</v>
      </c>
      <c r="L656" s="3">
        <f t="shared" ca="1" si="75"/>
        <v>3.6405394529311338E-2</v>
      </c>
    </row>
    <row r="657" spans="3:12">
      <c r="C657" s="7">
        <v>651</v>
      </c>
      <c r="D657" s="3">
        <f t="shared" si="74"/>
        <v>4.5199999999999997E-2</v>
      </c>
      <c r="E657" s="3">
        <f t="shared" ref="E657:L666" ca="1" si="76">D657+E$5*dt+sigma*_xlfn.NORM.S.INV(RAND())*SQRT(dt)</f>
        <v>4.1722880613475358E-2</v>
      </c>
      <c r="F657" s="3">
        <f t="shared" ca="1" si="76"/>
        <v>3.9275216111608759E-2</v>
      </c>
      <c r="G657" s="3">
        <f t="shared" ca="1" si="76"/>
        <v>3.4820467409797148E-2</v>
      </c>
      <c r="H657" s="3">
        <f t="shared" ca="1" si="76"/>
        <v>4.2613497135498238E-2</v>
      </c>
      <c r="I657" s="3">
        <f t="shared" ca="1" si="76"/>
        <v>4.2760812393015719E-2</v>
      </c>
      <c r="J657" s="3">
        <f t="shared" ca="1" si="76"/>
        <v>4.9838829202642855E-2</v>
      </c>
      <c r="K657" s="3">
        <f t="shared" ca="1" si="76"/>
        <v>5.0189519181921119E-2</v>
      </c>
      <c r="L657" s="3">
        <f t="shared" ca="1" si="76"/>
        <v>5.0787390713808882E-2</v>
      </c>
    </row>
    <row r="658" spans="3:12">
      <c r="C658" s="7">
        <v>652</v>
      </c>
      <c r="D658" s="3">
        <f t="shared" si="74"/>
        <v>4.5199999999999997E-2</v>
      </c>
      <c r="E658" s="3">
        <f t="shared" ca="1" si="76"/>
        <v>3.8906148267409922E-2</v>
      </c>
      <c r="F658" s="3">
        <f t="shared" ca="1" si="76"/>
        <v>3.7743232328570971E-2</v>
      </c>
      <c r="G658" s="3">
        <f t="shared" ca="1" si="76"/>
        <v>3.05231740000598E-2</v>
      </c>
      <c r="H658" s="3">
        <f t="shared" ca="1" si="76"/>
        <v>3.2258998761104031E-2</v>
      </c>
      <c r="I658" s="3">
        <f t="shared" ca="1" si="76"/>
        <v>2.3789898087965958E-2</v>
      </c>
      <c r="J658" s="3">
        <f t="shared" ca="1" si="76"/>
        <v>3.0672393752504599E-2</v>
      </c>
      <c r="K658" s="3">
        <f t="shared" ca="1" si="76"/>
        <v>3.0574567857798031E-2</v>
      </c>
      <c r="L658" s="3">
        <f t="shared" ca="1" si="76"/>
        <v>2.6042729010806294E-2</v>
      </c>
    </row>
    <row r="659" spans="3:12">
      <c r="C659" s="7">
        <v>653</v>
      </c>
      <c r="D659" s="3">
        <f t="shared" si="74"/>
        <v>4.5199999999999997E-2</v>
      </c>
      <c r="E659" s="3">
        <f t="shared" ca="1" si="76"/>
        <v>4.3715773519094531E-2</v>
      </c>
      <c r="F659" s="3">
        <f t="shared" ca="1" si="76"/>
        <v>4.1547667697757362E-2</v>
      </c>
      <c r="G659" s="3">
        <f t="shared" ca="1" si="76"/>
        <v>4.6544485942994776E-2</v>
      </c>
      <c r="H659" s="3">
        <f t="shared" ca="1" si="76"/>
        <v>4.7944473353880274E-2</v>
      </c>
      <c r="I659" s="3">
        <f t="shared" ca="1" si="76"/>
        <v>5.3095328351228245E-2</v>
      </c>
      <c r="J659" s="3">
        <f t="shared" ca="1" si="76"/>
        <v>4.8163706112698178E-2</v>
      </c>
      <c r="K659" s="3">
        <f t="shared" ca="1" si="76"/>
        <v>4.6695362943330314E-2</v>
      </c>
      <c r="L659" s="3">
        <f t="shared" ca="1" si="76"/>
        <v>5.0200439995953944E-2</v>
      </c>
    </row>
    <row r="660" spans="3:12">
      <c r="C660" s="7">
        <v>654</v>
      </c>
      <c r="D660" s="3">
        <f t="shared" si="74"/>
        <v>4.5199999999999997E-2</v>
      </c>
      <c r="E660" s="3">
        <f t="shared" ca="1" si="76"/>
        <v>4.0545910224168112E-2</v>
      </c>
      <c r="F660" s="3">
        <f t="shared" ca="1" si="76"/>
        <v>4.5976634235635874E-2</v>
      </c>
      <c r="G660" s="3">
        <f t="shared" ca="1" si="76"/>
        <v>3.9650592452107891E-2</v>
      </c>
      <c r="H660" s="3">
        <f t="shared" ca="1" si="76"/>
        <v>3.6118212199308865E-2</v>
      </c>
      <c r="I660" s="3">
        <f t="shared" ca="1" si="76"/>
        <v>3.3957914939272825E-2</v>
      </c>
      <c r="J660" s="3">
        <f t="shared" ca="1" si="76"/>
        <v>4.1105601702027157E-2</v>
      </c>
      <c r="K660" s="3">
        <f t="shared" ca="1" si="76"/>
        <v>4.0635329452704379E-2</v>
      </c>
      <c r="L660" s="3">
        <f t="shared" ca="1" si="76"/>
        <v>4.1912201654654382E-2</v>
      </c>
    </row>
    <row r="661" spans="3:12">
      <c r="C661" s="7">
        <v>655</v>
      </c>
      <c r="D661" s="3">
        <f t="shared" si="74"/>
        <v>4.5199999999999997E-2</v>
      </c>
      <c r="E661" s="3">
        <f t="shared" ca="1" si="76"/>
        <v>5.2780973975882217E-2</v>
      </c>
      <c r="F661" s="3">
        <f t="shared" ca="1" si="76"/>
        <v>5.9529475518178325E-2</v>
      </c>
      <c r="G661" s="3">
        <f t="shared" ca="1" si="76"/>
        <v>5.362099596103112E-2</v>
      </c>
      <c r="H661" s="3">
        <f t="shared" ca="1" si="76"/>
        <v>5.2433314465902638E-2</v>
      </c>
      <c r="I661" s="3">
        <f t="shared" ca="1" si="76"/>
        <v>5.0707759489031473E-2</v>
      </c>
      <c r="J661" s="3">
        <f t="shared" ca="1" si="76"/>
        <v>5.1662028135016608E-2</v>
      </c>
      <c r="K661" s="3">
        <f t="shared" ca="1" si="76"/>
        <v>6.0488222531107472E-2</v>
      </c>
      <c r="L661" s="3">
        <f t="shared" ca="1" si="76"/>
        <v>5.6001300980083248E-2</v>
      </c>
    </row>
    <row r="662" spans="3:12">
      <c r="C662" s="7">
        <v>656</v>
      </c>
      <c r="D662" s="3">
        <f t="shared" si="74"/>
        <v>4.5199999999999997E-2</v>
      </c>
      <c r="E662" s="3">
        <f t="shared" ca="1" si="76"/>
        <v>4.5838367344190036E-2</v>
      </c>
      <c r="F662" s="3">
        <f t="shared" ca="1" si="76"/>
        <v>4.935792546990235E-2</v>
      </c>
      <c r="G662" s="3">
        <f t="shared" ca="1" si="76"/>
        <v>4.3156253488533122E-2</v>
      </c>
      <c r="H662" s="3">
        <f t="shared" ca="1" si="76"/>
        <v>4.7983466877768617E-2</v>
      </c>
      <c r="I662" s="3">
        <f t="shared" ca="1" si="76"/>
        <v>4.3141659045345102E-2</v>
      </c>
      <c r="J662" s="3">
        <f t="shared" ca="1" si="76"/>
        <v>5.3133390397117515E-2</v>
      </c>
      <c r="K662" s="3">
        <f t="shared" ca="1" si="76"/>
        <v>5.6553287974919271E-2</v>
      </c>
      <c r="L662" s="3">
        <f t="shared" ca="1" si="76"/>
        <v>5.6968055087882732E-2</v>
      </c>
    </row>
    <row r="663" spans="3:12">
      <c r="C663" s="7">
        <v>657</v>
      </c>
      <c r="D663" s="3">
        <f t="shared" si="74"/>
        <v>4.5199999999999997E-2</v>
      </c>
      <c r="E663" s="3">
        <f t="shared" ca="1" si="76"/>
        <v>5.0097403655348031E-2</v>
      </c>
      <c r="F663" s="3">
        <f t="shared" ca="1" si="76"/>
        <v>6.171482361603068E-2</v>
      </c>
      <c r="G663" s="3">
        <f t="shared" ca="1" si="76"/>
        <v>5.6359565160759899E-2</v>
      </c>
      <c r="H663" s="3">
        <f t="shared" ca="1" si="76"/>
        <v>5.0860903064166733E-2</v>
      </c>
      <c r="I663" s="3">
        <f t="shared" ca="1" si="76"/>
        <v>5.7824495850694192E-2</v>
      </c>
      <c r="J663" s="3">
        <f t="shared" ca="1" si="76"/>
        <v>7.0042129718796295E-2</v>
      </c>
      <c r="K663" s="3">
        <f t="shared" ca="1" si="76"/>
        <v>7.7440386912516465E-2</v>
      </c>
      <c r="L663" s="3">
        <f t="shared" ca="1" si="76"/>
        <v>8.5694759057924688E-2</v>
      </c>
    </row>
    <row r="664" spans="3:12">
      <c r="C664" s="7">
        <v>658</v>
      </c>
      <c r="D664" s="3">
        <f t="shared" si="74"/>
        <v>4.5199999999999997E-2</v>
      </c>
      <c r="E664" s="3">
        <f t="shared" ca="1" si="76"/>
        <v>3.8246018695133603E-2</v>
      </c>
      <c r="F664" s="3">
        <f t="shared" ca="1" si="76"/>
        <v>4.2766469053777276E-2</v>
      </c>
      <c r="G664" s="3">
        <f t="shared" ca="1" si="76"/>
        <v>4.5689884837680973E-2</v>
      </c>
      <c r="H664" s="3">
        <f t="shared" ca="1" si="76"/>
        <v>4.8205142294072606E-2</v>
      </c>
      <c r="I664" s="3">
        <f t="shared" ca="1" si="76"/>
        <v>4.8642131220135908E-2</v>
      </c>
      <c r="J664" s="3">
        <f t="shared" ca="1" si="76"/>
        <v>4.9714386708004883E-2</v>
      </c>
      <c r="K664" s="3">
        <f t="shared" ca="1" si="76"/>
        <v>6.4336952341269432E-2</v>
      </c>
      <c r="L664" s="3">
        <f t="shared" ca="1" si="76"/>
        <v>5.9900231946938921E-2</v>
      </c>
    </row>
    <row r="665" spans="3:12">
      <c r="C665" s="7">
        <v>659</v>
      </c>
      <c r="D665" s="3">
        <f t="shared" si="74"/>
        <v>4.5199999999999997E-2</v>
      </c>
      <c r="E665" s="3">
        <f t="shared" ca="1" si="76"/>
        <v>5.2565917769422814E-2</v>
      </c>
      <c r="F665" s="3">
        <f t="shared" ca="1" si="76"/>
        <v>5.744593615715933E-2</v>
      </c>
      <c r="G665" s="3">
        <f t="shared" ca="1" si="76"/>
        <v>5.7404599318915672E-2</v>
      </c>
      <c r="H665" s="3">
        <f t="shared" ca="1" si="76"/>
        <v>6.002145413197521E-2</v>
      </c>
      <c r="I665" s="3">
        <f t="shared" ca="1" si="76"/>
        <v>5.8707648964345188E-2</v>
      </c>
      <c r="J665" s="3">
        <f t="shared" ca="1" si="76"/>
        <v>6.4179939592495613E-2</v>
      </c>
      <c r="K665" s="3">
        <f t="shared" ca="1" si="76"/>
        <v>6.6169712805108832E-2</v>
      </c>
      <c r="L665" s="3">
        <f t="shared" ca="1" si="76"/>
        <v>7.5373435530578792E-2</v>
      </c>
    </row>
    <row r="666" spans="3:12">
      <c r="C666" s="7">
        <v>660</v>
      </c>
      <c r="D666" s="3">
        <f t="shared" si="74"/>
        <v>4.5199999999999997E-2</v>
      </c>
      <c r="E666" s="3">
        <f t="shared" ca="1" si="76"/>
        <v>4.6991238134398081E-2</v>
      </c>
      <c r="F666" s="3">
        <f t="shared" ca="1" si="76"/>
        <v>4.5706673491763369E-2</v>
      </c>
      <c r="G666" s="3">
        <f t="shared" ca="1" si="76"/>
        <v>4.5335941371272462E-2</v>
      </c>
      <c r="H666" s="3">
        <f t="shared" ca="1" si="76"/>
        <v>4.3259214852507014E-2</v>
      </c>
      <c r="I666" s="3">
        <f t="shared" ca="1" si="76"/>
        <v>4.762439878767169E-2</v>
      </c>
      <c r="J666" s="3">
        <f t="shared" ca="1" si="76"/>
        <v>5.1948100340092597E-2</v>
      </c>
      <c r="K666" s="3">
        <f t="shared" ca="1" si="76"/>
        <v>4.5676169655420373E-2</v>
      </c>
      <c r="L666" s="3">
        <f t="shared" ca="1" si="76"/>
        <v>4.6360443242442734E-2</v>
      </c>
    </row>
    <row r="667" spans="3:12">
      <c r="C667" s="7">
        <v>661</v>
      </c>
      <c r="D667" s="3">
        <f t="shared" si="74"/>
        <v>4.5199999999999997E-2</v>
      </c>
      <c r="E667" s="3">
        <f t="shared" ref="E667:L676" ca="1" si="77">D667+E$5*dt+sigma*_xlfn.NORM.S.INV(RAND())*SQRT(dt)</f>
        <v>4.8752228816382713E-2</v>
      </c>
      <c r="F667" s="3">
        <f t="shared" ca="1" si="77"/>
        <v>5.2832612023774705E-2</v>
      </c>
      <c r="G667" s="3">
        <f t="shared" ca="1" si="77"/>
        <v>6.1134928573050543E-2</v>
      </c>
      <c r="H667" s="3">
        <f t="shared" ca="1" si="77"/>
        <v>6.4461384091682311E-2</v>
      </c>
      <c r="I667" s="3">
        <f t="shared" ca="1" si="77"/>
        <v>6.4518874598049336E-2</v>
      </c>
      <c r="J667" s="3">
        <f t="shared" ca="1" si="77"/>
        <v>6.3941251290940096E-2</v>
      </c>
      <c r="K667" s="3">
        <f t="shared" ca="1" si="77"/>
        <v>6.612405496187064E-2</v>
      </c>
      <c r="L667" s="3">
        <f t="shared" ca="1" si="77"/>
        <v>7.6034684716617479E-2</v>
      </c>
    </row>
    <row r="668" spans="3:12">
      <c r="C668" s="7">
        <v>662</v>
      </c>
      <c r="D668" s="3">
        <f t="shared" si="74"/>
        <v>4.5199999999999997E-2</v>
      </c>
      <c r="E668" s="3">
        <f t="shared" ca="1" si="77"/>
        <v>5.0751908039928954E-2</v>
      </c>
      <c r="F668" s="3">
        <f t="shared" ca="1" si="77"/>
        <v>4.9518637295772591E-2</v>
      </c>
      <c r="G668" s="3">
        <f t="shared" ca="1" si="77"/>
        <v>5.5777263615296391E-2</v>
      </c>
      <c r="H668" s="3">
        <f t="shared" ca="1" si="77"/>
        <v>5.6106604074256564E-2</v>
      </c>
      <c r="I668" s="3">
        <f t="shared" ca="1" si="77"/>
        <v>4.8573345439840959E-2</v>
      </c>
      <c r="J668" s="3">
        <f t="shared" ca="1" si="77"/>
        <v>4.3493818711708813E-2</v>
      </c>
      <c r="K668" s="3">
        <f t="shared" ca="1" si="77"/>
        <v>3.9023431348416515E-2</v>
      </c>
      <c r="L668" s="3">
        <f t="shared" ca="1" si="77"/>
        <v>3.7734904063097763E-2</v>
      </c>
    </row>
    <row r="669" spans="3:12">
      <c r="C669" s="7">
        <v>663</v>
      </c>
      <c r="D669" s="3">
        <f t="shared" si="74"/>
        <v>4.5199999999999997E-2</v>
      </c>
      <c r="E669" s="3">
        <f t="shared" ca="1" si="77"/>
        <v>4.7311328691959767E-2</v>
      </c>
      <c r="F669" s="3">
        <f t="shared" ca="1" si="77"/>
        <v>3.9642796234721417E-2</v>
      </c>
      <c r="G669" s="3">
        <f t="shared" ca="1" si="77"/>
        <v>3.9795893660041395E-2</v>
      </c>
      <c r="H669" s="3">
        <f t="shared" ca="1" si="77"/>
        <v>4.2560664604404261E-2</v>
      </c>
      <c r="I669" s="3">
        <f t="shared" ca="1" si="77"/>
        <v>5.1947993389985382E-2</v>
      </c>
      <c r="J669" s="3">
        <f t="shared" ca="1" si="77"/>
        <v>5.7271629524723908E-2</v>
      </c>
      <c r="K669" s="3">
        <f t="shared" ca="1" si="77"/>
        <v>5.8538921622475051E-2</v>
      </c>
      <c r="L669" s="3">
        <f t="shared" ca="1" si="77"/>
        <v>5.7410840520573436E-2</v>
      </c>
    </row>
    <row r="670" spans="3:12">
      <c r="C670" s="7">
        <v>664</v>
      </c>
      <c r="D670" s="3">
        <f t="shared" si="74"/>
        <v>4.5199999999999997E-2</v>
      </c>
      <c r="E670" s="3">
        <f t="shared" ca="1" si="77"/>
        <v>5.0886469344070498E-2</v>
      </c>
      <c r="F670" s="3">
        <f t="shared" ca="1" si="77"/>
        <v>4.9253670786412275E-2</v>
      </c>
      <c r="G670" s="3">
        <f t="shared" ca="1" si="77"/>
        <v>4.969899213151683E-2</v>
      </c>
      <c r="H670" s="3">
        <f t="shared" ca="1" si="77"/>
        <v>4.9403237028382292E-2</v>
      </c>
      <c r="I670" s="3">
        <f t="shared" ca="1" si="77"/>
        <v>4.8849451686688916E-2</v>
      </c>
      <c r="J670" s="3">
        <f t="shared" ca="1" si="77"/>
        <v>4.0392851216750451E-2</v>
      </c>
      <c r="K670" s="3">
        <f t="shared" ca="1" si="77"/>
        <v>3.5991442299299653E-2</v>
      </c>
      <c r="L670" s="3">
        <f t="shared" ca="1" si="77"/>
        <v>3.5457033646316E-2</v>
      </c>
    </row>
    <row r="671" spans="3:12">
      <c r="C671" s="7">
        <v>665</v>
      </c>
      <c r="D671" s="3">
        <f t="shared" si="74"/>
        <v>4.5199999999999997E-2</v>
      </c>
      <c r="E671" s="3">
        <f t="shared" ca="1" si="77"/>
        <v>5.2921172851696743E-2</v>
      </c>
      <c r="F671" s="3">
        <f t="shared" ca="1" si="77"/>
        <v>4.9012338330751498E-2</v>
      </c>
      <c r="G671" s="3">
        <f t="shared" ca="1" si="77"/>
        <v>4.416619706187954E-2</v>
      </c>
      <c r="H671" s="3">
        <f t="shared" ca="1" si="77"/>
        <v>4.8324763708306712E-2</v>
      </c>
      <c r="I671" s="3">
        <f t="shared" ca="1" si="77"/>
        <v>5.4583539366618486E-2</v>
      </c>
      <c r="J671" s="3">
        <f t="shared" ca="1" si="77"/>
        <v>5.6018298255404088E-2</v>
      </c>
      <c r="K671" s="3">
        <f t="shared" ca="1" si="77"/>
        <v>6.7913345694535138E-2</v>
      </c>
      <c r="L671" s="3">
        <f t="shared" ca="1" si="77"/>
        <v>7.4963366212646265E-2</v>
      </c>
    </row>
    <row r="672" spans="3:12">
      <c r="C672" s="7">
        <v>666</v>
      </c>
      <c r="D672" s="3">
        <f t="shared" si="74"/>
        <v>4.5199999999999997E-2</v>
      </c>
      <c r="E672" s="3">
        <f t="shared" ca="1" si="77"/>
        <v>4.4864816997505455E-2</v>
      </c>
      <c r="F672" s="3">
        <f t="shared" ca="1" si="77"/>
        <v>4.6507680660827673E-2</v>
      </c>
      <c r="G672" s="3">
        <f t="shared" ca="1" si="77"/>
        <v>3.9061647748331013E-2</v>
      </c>
      <c r="H672" s="3">
        <f t="shared" ca="1" si="77"/>
        <v>3.3573806019955868E-2</v>
      </c>
      <c r="I672" s="3">
        <f t="shared" ca="1" si="77"/>
        <v>3.447500214434663E-2</v>
      </c>
      <c r="J672" s="3">
        <f t="shared" ca="1" si="77"/>
        <v>3.8613759279386907E-2</v>
      </c>
      <c r="K672" s="3">
        <f t="shared" ca="1" si="77"/>
        <v>2.8457000313884789E-2</v>
      </c>
      <c r="L672" s="3">
        <f t="shared" ca="1" si="77"/>
        <v>3.2811723173532724E-2</v>
      </c>
    </row>
    <row r="673" spans="3:12">
      <c r="C673" s="7">
        <v>667</v>
      </c>
      <c r="D673" s="3">
        <f t="shared" si="74"/>
        <v>4.5199999999999997E-2</v>
      </c>
      <c r="E673" s="3">
        <f t="shared" ca="1" si="77"/>
        <v>4.4574115658183325E-2</v>
      </c>
      <c r="F673" s="3">
        <f t="shared" ca="1" si="77"/>
        <v>5.7937839856358156E-2</v>
      </c>
      <c r="G673" s="3">
        <f t="shared" ca="1" si="77"/>
        <v>5.2041082552867338E-2</v>
      </c>
      <c r="H673" s="3">
        <f t="shared" ca="1" si="77"/>
        <v>4.9327614237447213E-2</v>
      </c>
      <c r="I673" s="3">
        <f t="shared" ca="1" si="77"/>
        <v>4.6704820983299034E-2</v>
      </c>
      <c r="J673" s="3">
        <f t="shared" ca="1" si="77"/>
        <v>5.2021888055530513E-2</v>
      </c>
      <c r="K673" s="3">
        <f t="shared" ca="1" si="77"/>
        <v>5.7289103662411078E-2</v>
      </c>
      <c r="L673" s="3">
        <f t="shared" ca="1" si="77"/>
        <v>6.4523130945516691E-2</v>
      </c>
    </row>
    <row r="674" spans="3:12">
      <c r="C674" s="7">
        <v>668</v>
      </c>
      <c r="D674" s="3">
        <f t="shared" si="74"/>
        <v>4.5199999999999997E-2</v>
      </c>
      <c r="E674" s="3">
        <f t="shared" ca="1" si="77"/>
        <v>4.5601846536956252E-2</v>
      </c>
      <c r="F674" s="3">
        <f t="shared" ca="1" si="77"/>
        <v>5.9132602246888204E-2</v>
      </c>
      <c r="G674" s="3">
        <f t="shared" ca="1" si="77"/>
        <v>5.5888296482439301E-2</v>
      </c>
      <c r="H674" s="3">
        <f t="shared" ca="1" si="77"/>
        <v>5.1747868073250984E-2</v>
      </c>
      <c r="I674" s="3">
        <f t="shared" ca="1" si="77"/>
        <v>4.7383562650214033E-2</v>
      </c>
      <c r="J674" s="3">
        <f t="shared" ca="1" si="77"/>
        <v>5.2533345761006357E-2</v>
      </c>
      <c r="K674" s="3">
        <f t="shared" ca="1" si="77"/>
        <v>4.9816217365781026E-2</v>
      </c>
      <c r="L674" s="3">
        <f t="shared" ca="1" si="77"/>
        <v>5.0586023911314504E-2</v>
      </c>
    </row>
    <row r="675" spans="3:12">
      <c r="C675" s="7">
        <v>669</v>
      </c>
      <c r="D675" s="3">
        <f t="shared" si="74"/>
        <v>4.5199999999999997E-2</v>
      </c>
      <c r="E675" s="3">
        <f t="shared" ca="1" si="77"/>
        <v>4.789315060805692E-2</v>
      </c>
      <c r="F675" s="3">
        <f t="shared" ca="1" si="77"/>
        <v>5.9004858512914177E-2</v>
      </c>
      <c r="G675" s="3">
        <f t="shared" ca="1" si="77"/>
        <v>5.9622421370976737E-2</v>
      </c>
      <c r="H675" s="3">
        <f t="shared" ca="1" si="77"/>
        <v>6.5674300876472219E-2</v>
      </c>
      <c r="I675" s="3">
        <f t="shared" ca="1" si="77"/>
        <v>6.8647321696458194E-2</v>
      </c>
      <c r="J675" s="3">
        <f t="shared" ca="1" si="77"/>
        <v>5.9937189767352073E-2</v>
      </c>
      <c r="K675" s="3">
        <f t="shared" ca="1" si="77"/>
        <v>5.7691668805452602E-2</v>
      </c>
      <c r="L675" s="3">
        <f t="shared" ca="1" si="77"/>
        <v>5.707072143874771E-2</v>
      </c>
    </row>
    <row r="676" spans="3:12">
      <c r="C676" s="7">
        <v>670</v>
      </c>
      <c r="D676" s="3">
        <f t="shared" si="74"/>
        <v>4.5199999999999997E-2</v>
      </c>
      <c r="E676" s="3">
        <f t="shared" ca="1" si="77"/>
        <v>4.6747937445089462E-2</v>
      </c>
      <c r="F676" s="3">
        <f t="shared" ca="1" si="77"/>
        <v>4.6213745282880657E-2</v>
      </c>
      <c r="G676" s="3">
        <f t="shared" ca="1" si="77"/>
        <v>5.0680318314791979E-2</v>
      </c>
      <c r="H676" s="3">
        <f t="shared" ca="1" si="77"/>
        <v>5.6483865132930799E-2</v>
      </c>
      <c r="I676" s="3">
        <f t="shared" ca="1" si="77"/>
        <v>5.9163914207028351E-2</v>
      </c>
      <c r="J676" s="3">
        <f t="shared" ca="1" si="77"/>
        <v>6.8448683116167655E-2</v>
      </c>
      <c r="K676" s="3">
        <f t="shared" ca="1" si="77"/>
        <v>7.0425246269251368E-2</v>
      </c>
      <c r="L676" s="3">
        <f t="shared" ca="1" si="77"/>
        <v>7.4936588369573634E-2</v>
      </c>
    </row>
    <row r="677" spans="3:12">
      <c r="C677" s="7">
        <v>671</v>
      </c>
      <c r="D677" s="3">
        <f t="shared" si="74"/>
        <v>4.5199999999999997E-2</v>
      </c>
      <c r="E677" s="3">
        <f t="shared" ref="E677:L686" ca="1" si="78">D677+E$5*dt+sigma*_xlfn.NORM.S.INV(RAND())*SQRT(dt)</f>
        <v>3.4849692700427856E-2</v>
      </c>
      <c r="F677" s="3">
        <f t="shared" ca="1" si="78"/>
        <v>4.5429967619558802E-2</v>
      </c>
      <c r="G677" s="3">
        <f t="shared" ca="1" si="78"/>
        <v>4.5071652647837253E-2</v>
      </c>
      <c r="H677" s="3">
        <f t="shared" ca="1" si="78"/>
        <v>4.7778593883977011E-2</v>
      </c>
      <c r="I677" s="3">
        <f t="shared" ca="1" si="78"/>
        <v>4.8338142490789937E-2</v>
      </c>
      <c r="J677" s="3">
        <f t="shared" ca="1" si="78"/>
        <v>4.773017832433378E-2</v>
      </c>
      <c r="K677" s="3">
        <f t="shared" ca="1" si="78"/>
        <v>5.1341661478348649E-2</v>
      </c>
      <c r="L677" s="3">
        <f t="shared" ca="1" si="78"/>
        <v>4.9612841108522931E-2</v>
      </c>
    </row>
    <row r="678" spans="3:12">
      <c r="C678" s="7">
        <v>672</v>
      </c>
      <c r="D678" s="3">
        <f t="shared" si="74"/>
        <v>4.5199999999999997E-2</v>
      </c>
      <c r="E678" s="3">
        <f t="shared" ca="1" si="78"/>
        <v>4.5945372675863433E-2</v>
      </c>
      <c r="F678" s="3">
        <f t="shared" ca="1" si="78"/>
        <v>5.0358773009000546E-2</v>
      </c>
      <c r="G678" s="3">
        <f t="shared" ca="1" si="78"/>
        <v>4.7667667181431526E-2</v>
      </c>
      <c r="H678" s="3">
        <f t="shared" ca="1" si="78"/>
        <v>4.1284445703640857E-2</v>
      </c>
      <c r="I678" s="3">
        <f t="shared" ca="1" si="78"/>
        <v>5.1255630540020206E-2</v>
      </c>
      <c r="J678" s="3">
        <f t="shared" ca="1" si="78"/>
        <v>5.8578830665108064E-2</v>
      </c>
      <c r="K678" s="3">
        <f t="shared" ca="1" si="78"/>
        <v>6.6495829676701743E-2</v>
      </c>
      <c r="L678" s="3">
        <f t="shared" ca="1" si="78"/>
        <v>6.3358347260498354E-2</v>
      </c>
    </row>
    <row r="679" spans="3:12">
      <c r="C679" s="7">
        <v>673</v>
      </c>
      <c r="D679" s="3">
        <f t="shared" si="74"/>
        <v>4.5199999999999997E-2</v>
      </c>
      <c r="E679" s="3">
        <f t="shared" ca="1" si="78"/>
        <v>5.5246221434747264E-2</v>
      </c>
      <c r="F679" s="3">
        <f t="shared" ca="1" si="78"/>
        <v>4.6871925223110816E-2</v>
      </c>
      <c r="G679" s="3">
        <f t="shared" ca="1" si="78"/>
        <v>5.1420703955661722E-2</v>
      </c>
      <c r="H679" s="3">
        <f t="shared" ca="1" si="78"/>
        <v>4.8403862209488321E-2</v>
      </c>
      <c r="I679" s="3">
        <f t="shared" ca="1" si="78"/>
        <v>3.9949140756332512E-2</v>
      </c>
      <c r="J679" s="3">
        <f t="shared" ca="1" si="78"/>
        <v>4.4083259131527892E-2</v>
      </c>
      <c r="K679" s="3">
        <f t="shared" ca="1" si="78"/>
        <v>4.513812115746061E-2</v>
      </c>
      <c r="L679" s="3">
        <f t="shared" ca="1" si="78"/>
        <v>4.0518371955670519E-2</v>
      </c>
    </row>
    <row r="680" spans="3:12">
      <c r="C680" s="7">
        <v>674</v>
      </c>
      <c r="D680" s="3">
        <f t="shared" si="74"/>
        <v>4.5199999999999997E-2</v>
      </c>
      <c r="E680" s="3">
        <f t="shared" ca="1" si="78"/>
        <v>4.9128669009721772E-2</v>
      </c>
      <c r="F680" s="3">
        <f t="shared" ca="1" si="78"/>
        <v>4.7430629368316199E-2</v>
      </c>
      <c r="G680" s="3">
        <f t="shared" ca="1" si="78"/>
        <v>4.6265265068316387E-2</v>
      </c>
      <c r="H680" s="3">
        <f t="shared" ca="1" si="78"/>
        <v>4.8497212569244129E-2</v>
      </c>
      <c r="I680" s="3">
        <f t="shared" ca="1" si="78"/>
        <v>5.0121906021594581E-2</v>
      </c>
      <c r="J680" s="3">
        <f t="shared" ca="1" si="78"/>
        <v>4.4622645117836778E-2</v>
      </c>
      <c r="K680" s="3">
        <f t="shared" ca="1" si="78"/>
        <v>4.5446318143504402E-2</v>
      </c>
      <c r="L680" s="3">
        <f t="shared" ca="1" si="78"/>
        <v>5.198936142007992E-2</v>
      </c>
    </row>
    <row r="681" spans="3:12">
      <c r="C681" s="7">
        <v>675</v>
      </c>
      <c r="D681" s="3">
        <f t="shared" si="74"/>
        <v>4.5199999999999997E-2</v>
      </c>
      <c r="E681" s="3">
        <f t="shared" ca="1" si="78"/>
        <v>4.5627421195694066E-2</v>
      </c>
      <c r="F681" s="3">
        <f t="shared" ca="1" si="78"/>
        <v>5.4617544884861001E-2</v>
      </c>
      <c r="G681" s="3">
        <f t="shared" ca="1" si="78"/>
        <v>4.2729164296373523E-2</v>
      </c>
      <c r="H681" s="3">
        <f t="shared" ca="1" si="78"/>
        <v>4.3269913418648644E-2</v>
      </c>
      <c r="I681" s="3">
        <f t="shared" ca="1" si="78"/>
        <v>4.2790075764976336E-2</v>
      </c>
      <c r="J681" s="3">
        <f t="shared" ca="1" si="78"/>
        <v>3.4235936097641695E-2</v>
      </c>
      <c r="K681" s="3">
        <f t="shared" ca="1" si="78"/>
        <v>3.3860979268508756E-2</v>
      </c>
      <c r="L681" s="3">
        <f t="shared" ca="1" si="78"/>
        <v>3.1018431338541257E-2</v>
      </c>
    </row>
    <row r="682" spans="3:12">
      <c r="C682" s="7">
        <v>676</v>
      </c>
      <c r="D682" s="3">
        <f t="shared" si="74"/>
        <v>4.5199999999999997E-2</v>
      </c>
      <c r="E682" s="3">
        <f t="shared" ca="1" si="78"/>
        <v>3.7239738084958243E-2</v>
      </c>
      <c r="F682" s="3">
        <f t="shared" ca="1" si="78"/>
        <v>4.1658410562131459E-2</v>
      </c>
      <c r="G682" s="3">
        <f t="shared" ca="1" si="78"/>
        <v>3.930543041421742E-2</v>
      </c>
      <c r="H682" s="3">
        <f t="shared" ca="1" si="78"/>
        <v>4.5428913864190956E-2</v>
      </c>
      <c r="I682" s="3">
        <f t="shared" ca="1" si="78"/>
        <v>4.5611920659986378E-2</v>
      </c>
      <c r="J682" s="3">
        <f t="shared" ca="1" si="78"/>
        <v>4.8558418862976988E-2</v>
      </c>
      <c r="K682" s="3">
        <f t="shared" ca="1" si="78"/>
        <v>4.7787190361731083E-2</v>
      </c>
      <c r="L682" s="3">
        <f t="shared" ca="1" si="78"/>
        <v>5.5961956942143266E-2</v>
      </c>
    </row>
    <row r="683" spans="3:12">
      <c r="C683" s="7">
        <v>677</v>
      </c>
      <c r="D683" s="3">
        <f t="shared" si="74"/>
        <v>4.5199999999999997E-2</v>
      </c>
      <c r="E683" s="3">
        <f t="shared" ca="1" si="78"/>
        <v>4.1181601064276645E-2</v>
      </c>
      <c r="F683" s="3">
        <f t="shared" ca="1" si="78"/>
        <v>3.9673331119871716E-2</v>
      </c>
      <c r="G683" s="3">
        <f t="shared" ca="1" si="78"/>
        <v>4.1116593756722754E-2</v>
      </c>
      <c r="H683" s="3">
        <f t="shared" ca="1" si="78"/>
        <v>4.0857599915881115E-2</v>
      </c>
      <c r="I683" s="3">
        <f t="shared" ca="1" si="78"/>
        <v>3.9848816367878619E-2</v>
      </c>
      <c r="J683" s="3">
        <f t="shared" ca="1" si="78"/>
        <v>4.6784518829606284E-2</v>
      </c>
      <c r="K683" s="3">
        <f t="shared" ca="1" si="78"/>
        <v>4.6165496198014321E-2</v>
      </c>
      <c r="L683" s="3">
        <f t="shared" ca="1" si="78"/>
        <v>4.6871438671233931E-2</v>
      </c>
    </row>
    <row r="684" spans="3:12">
      <c r="C684" s="7">
        <v>678</v>
      </c>
      <c r="D684" s="3">
        <f t="shared" si="74"/>
        <v>4.5199999999999997E-2</v>
      </c>
      <c r="E684" s="3">
        <f t="shared" ca="1" si="78"/>
        <v>4.4273102382358029E-2</v>
      </c>
      <c r="F684" s="3">
        <f t="shared" ca="1" si="78"/>
        <v>4.6188391201161701E-2</v>
      </c>
      <c r="G684" s="3">
        <f t="shared" ca="1" si="78"/>
        <v>4.0700927914318077E-2</v>
      </c>
      <c r="H684" s="3">
        <f t="shared" ca="1" si="78"/>
        <v>4.4704266306328705E-2</v>
      </c>
      <c r="I684" s="3">
        <f t="shared" ca="1" si="78"/>
        <v>5.814115414175601E-2</v>
      </c>
      <c r="J684" s="3">
        <f t="shared" ca="1" si="78"/>
        <v>5.6845851792065007E-2</v>
      </c>
      <c r="K684" s="3">
        <f t="shared" ca="1" si="78"/>
        <v>5.5790071027392286E-2</v>
      </c>
      <c r="L684" s="3">
        <f t="shared" ca="1" si="78"/>
        <v>5.8538590631232096E-2</v>
      </c>
    </row>
    <row r="685" spans="3:12">
      <c r="C685" s="7">
        <v>679</v>
      </c>
      <c r="D685" s="3">
        <f t="shared" si="74"/>
        <v>4.5199999999999997E-2</v>
      </c>
      <c r="E685" s="3">
        <f t="shared" ca="1" si="78"/>
        <v>5.5452430011014325E-2</v>
      </c>
      <c r="F685" s="3">
        <f t="shared" ca="1" si="78"/>
        <v>5.4818143135517416E-2</v>
      </c>
      <c r="G685" s="3">
        <f t="shared" ca="1" si="78"/>
        <v>5.6574284486701605E-2</v>
      </c>
      <c r="H685" s="3">
        <f t="shared" ca="1" si="78"/>
        <v>6.3072112377071818E-2</v>
      </c>
      <c r="I685" s="3">
        <f t="shared" ca="1" si="78"/>
        <v>6.3923280962979154E-2</v>
      </c>
      <c r="J685" s="3">
        <f t="shared" ca="1" si="78"/>
        <v>6.7503653423700863E-2</v>
      </c>
      <c r="K685" s="3">
        <f t="shared" ca="1" si="78"/>
        <v>6.3227723384583157E-2</v>
      </c>
      <c r="L685" s="3">
        <f t="shared" ca="1" si="78"/>
        <v>5.6179646726571594E-2</v>
      </c>
    </row>
    <row r="686" spans="3:12">
      <c r="C686" s="7">
        <v>680</v>
      </c>
      <c r="D686" s="3">
        <f t="shared" si="74"/>
        <v>4.5199999999999997E-2</v>
      </c>
      <c r="E686" s="3">
        <f t="shared" ca="1" si="78"/>
        <v>3.9993224994335372E-2</v>
      </c>
      <c r="F686" s="3">
        <f t="shared" ca="1" si="78"/>
        <v>4.2386898840821828E-2</v>
      </c>
      <c r="G686" s="3">
        <f t="shared" ca="1" si="78"/>
        <v>3.3361613270565214E-2</v>
      </c>
      <c r="H686" s="3">
        <f t="shared" ca="1" si="78"/>
        <v>4.6214162438457086E-2</v>
      </c>
      <c r="I686" s="3">
        <f t="shared" ca="1" si="78"/>
        <v>5.1635220494868808E-2</v>
      </c>
      <c r="J686" s="3">
        <f t="shared" ca="1" si="78"/>
        <v>5.1160082227836051E-2</v>
      </c>
      <c r="K686" s="3">
        <f t="shared" ca="1" si="78"/>
        <v>5.3709265793412848E-2</v>
      </c>
      <c r="L686" s="3">
        <f t="shared" ca="1" si="78"/>
        <v>5.63434521568889E-2</v>
      </c>
    </row>
    <row r="687" spans="3:12">
      <c r="C687" s="7">
        <v>681</v>
      </c>
      <c r="D687" s="3">
        <f t="shared" si="74"/>
        <v>4.5199999999999997E-2</v>
      </c>
      <c r="E687" s="3">
        <f t="shared" ref="E687:L696" ca="1" si="79">D687+E$5*dt+sigma*_xlfn.NORM.S.INV(RAND())*SQRT(dt)</f>
        <v>4.6050783285815793E-2</v>
      </c>
      <c r="F687" s="3">
        <f t="shared" ca="1" si="79"/>
        <v>5.0015120957055348E-2</v>
      </c>
      <c r="G687" s="3">
        <f t="shared" ca="1" si="79"/>
        <v>4.7977414140563397E-2</v>
      </c>
      <c r="H687" s="3">
        <f t="shared" ca="1" si="79"/>
        <v>4.5317096275483984E-2</v>
      </c>
      <c r="I687" s="3">
        <f t="shared" ca="1" si="79"/>
        <v>3.9084548576477494E-2</v>
      </c>
      <c r="J687" s="3">
        <f t="shared" ca="1" si="79"/>
        <v>3.4553885092190609E-2</v>
      </c>
      <c r="K687" s="3">
        <f t="shared" ca="1" si="79"/>
        <v>3.5244136695156178E-2</v>
      </c>
      <c r="L687" s="3">
        <f t="shared" ca="1" si="79"/>
        <v>3.4431217493352859E-2</v>
      </c>
    </row>
    <row r="688" spans="3:12">
      <c r="C688" s="7">
        <v>682</v>
      </c>
      <c r="D688" s="3">
        <f t="shared" si="74"/>
        <v>4.5199999999999997E-2</v>
      </c>
      <c r="E688" s="3">
        <f t="shared" ca="1" si="79"/>
        <v>5.276703122598591E-2</v>
      </c>
      <c r="F688" s="3">
        <f t="shared" ca="1" si="79"/>
        <v>4.9325823611977279E-2</v>
      </c>
      <c r="G688" s="3">
        <f t="shared" ca="1" si="79"/>
        <v>5.1705063737334973E-2</v>
      </c>
      <c r="H688" s="3">
        <f t="shared" ca="1" si="79"/>
        <v>5.3755613427337805E-2</v>
      </c>
      <c r="I688" s="3">
        <f t="shared" ca="1" si="79"/>
        <v>5.9480533606224982E-2</v>
      </c>
      <c r="J688" s="3">
        <f t="shared" ca="1" si="79"/>
        <v>4.9151565769048527E-2</v>
      </c>
      <c r="K688" s="3">
        <f t="shared" ca="1" si="79"/>
        <v>5.5974018021964327E-2</v>
      </c>
      <c r="L688" s="3">
        <f t="shared" ca="1" si="79"/>
        <v>5.7156769477088684E-2</v>
      </c>
    </row>
    <row r="689" spans="3:12">
      <c r="C689" s="7">
        <v>683</v>
      </c>
      <c r="D689" s="3">
        <f t="shared" si="74"/>
        <v>4.5199999999999997E-2</v>
      </c>
      <c r="E689" s="3">
        <f t="shared" ca="1" si="79"/>
        <v>4.8085319931904055E-2</v>
      </c>
      <c r="F689" s="3">
        <f t="shared" ca="1" si="79"/>
        <v>4.7852756894999376E-2</v>
      </c>
      <c r="G689" s="3">
        <f t="shared" ca="1" si="79"/>
        <v>5.1368868448720947E-2</v>
      </c>
      <c r="H689" s="3">
        <f t="shared" ca="1" si="79"/>
        <v>5.7250114628898473E-2</v>
      </c>
      <c r="I689" s="3">
        <f t="shared" ca="1" si="79"/>
        <v>4.6973172236724557E-2</v>
      </c>
      <c r="J689" s="3">
        <f t="shared" ca="1" si="79"/>
        <v>5.1042867049004799E-2</v>
      </c>
      <c r="K689" s="3">
        <f t="shared" ca="1" si="79"/>
        <v>4.9499351613829852E-2</v>
      </c>
      <c r="L689" s="3">
        <f t="shared" ca="1" si="79"/>
        <v>5.0857422732061897E-2</v>
      </c>
    </row>
    <row r="690" spans="3:12">
      <c r="C690" s="7">
        <v>684</v>
      </c>
      <c r="D690" s="3">
        <f t="shared" si="74"/>
        <v>4.5199999999999997E-2</v>
      </c>
      <c r="E690" s="3">
        <f t="shared" ca="1" si="79"/>
        <v>5.2571153789337681E-2</v>
      </c>
      <c r="F690" s="3">
        <f t="shared" ca="1" si="79"/>
        <v>5.6174971032955337E-2</v>
      </c>
      <c r="G690" s="3">
        <f t="shared" ca="1" si="79"/>
        <v>5.4328658638297042E-2</v>
      </c>
      <c r="H690" s="3">
        <f t="shared" ca="1" si="79"/>
        <v>5.7779868717824985E-2</v>
      </c>
      <c r="I690" s="3">
        <f t="shared" ca="1" si="79"/>
        <v>6.4876025125012629E-2</v>
      </c>
      <c r="J690" s="3">
        <f t="shared" ca="1" si="79"/>
        <v>6.5496000235444607E-2</v>
      </c>
      <c r="K690" s="3">
        <f t="shared" ca="1" si="79"/>
        <v>6.6011041023869829E-2</v>
      </c>
      <c r="L690" s="3">
        <f t="shared" ca="1" si="79"/>
        <v>6.5994204635686934E-2</v>
      </c>
    </row>
    <row r="691" spans="3:12">
      <c r="C691" s="7">
        <v>685</v>
      </c>
      <c r="D691" s="3">
        <f t="shared" si="74"/>
        <v>4.5199999999999997E-2</v>
      </c>
      <c r="E691" s="3">
        <f t="shared" ca="1" si="79"/>
        <v>4.7187493866068762E-2</v>
      </c>
      <c r="F691" s="3">
        <f t="shared" ca="1" si="79"/>
        <v>4.3181443920068396E-2</v>
      </c>
      <c r="G691" s="3">
        <f t="shared" ca="1" si="79"/>
        <v>3.9408235279997754E-2</v>
      </c>
      <c r="H691" s="3">
        <f t="shared" ca="1" si="79"/>
        <v>3.8520630599360756E-2</v>
      </c>
      <c r="I691" s="3">
        <f t="shared" ca="1" si="79"/>
        <v>3.8365019967250717E-2</v>
      </c>
      <c r="J691" s="3">
        <f t="shared" ca="1" si="79"/>
        <v>3.7310327304349356E-2</v>
      </c>
      <c r="K691" s="3">
        <f t="shared" ca="1" si="79"/>
        <v>3.8475649118111424E-2</v>
      </c>
      <c r="L691" s="3">
        <f t="shared" ca="1" si="79"/>
        <v>3.9035551720248418E-2</v>
      </c>
    </row>
    <row r="692" spans="3:12">
      <c r="C692" s="7">
        <v>686</v>
      </c>
      <c r="D692" s="3">
        <f t="shared" si="74"/>
        <v>4.5199999999999997E-2</v>
      </c>
      <c r="E692" s="3">
        <f t="shared" ca="1" si="79"/>
        <v>4.7729117517499808E-2</v>
      </c>
      <c r="F692" s="3">
        <f t="shared" ca="1" si="79"/>
        <v>5.4814112926547538E-2</v>
      </c>
      <c r="G692" s="3">
        <f t="shared" ca="1" si="79"/>
        <v>4.6418209372992195E-2</v>
      </c>
      <c r="H692" s="3">
        <f t="shared" ca="1" si="79"/>
        <v>4.1487931815561603E-2</v>
      </c>
      <c r="I692" s="3">
        <f t="shared" ca="1" si="79"/>
        <v>4.9386367211979219E-2</v>
      </c>
      <c r="J692" s="3">
        <f t="shared" ca="1" si="79"/>
        <v>6.0269344519149989E-2</v>
      </c>
      <c r="K692" s="3">
        <f t="shared" ca="1" si="79"/>
        <v>6.6234168489786943E-2</v>
      </c>
      <c r="L692" s="3">
        <f t="shared" ca="1" si="79"/>
        <v>6.939654865118712E-2</v>
      </c>
    </row>
    <row r="693" spans="3:12">
      <c r="C693" s="7">
        <v>687</v>
      </c>
      <c r="D693" s="3">
        <f t="shared" si="74"/>
        <v>4.5199999999999997E-2</v>
      </c>
      <c r="E693" s="3">
        <f t="shared" ca="1" si="79"/>
        <v>4.9166274642977258E-2</v>
      </c>
      <c r="F693" s="3">
        <f t="shared" ca="1" si="79"/>
        <v>4.9039223785937398E-2</v>
      </c>
      <c r="G693" s="3">
        <f t="shared" ca="1" si="79"/>
        <v>5.5199263832513688E-2</v>
      </c>
      <c r="H693" s="3">
        <f t="shared" ca="1" si="79"/>
        <v>6.0297844227213099E-2</v>
      </c>
      <c r="I693" s="3">
        <f t="shared" ca="1" si="79"/>
        <v>5.5418211932657606E-2</v>
      </c>
      <c r="J693" s="3">
        <f t="shared" ca="1" si="79"/>
        <v>6.9741051229230883E-2</v>
      </c>
      <c r="K693" s="3">
        <f t="shared" ca="1" si="79"/>
        <v>7.8040407273619064E-2</v>
      </c>
      <c r="L693" s="3">
        <f t="shared" ca="1" si="79"/>
        <v>8.2386623697900771E-2</v>
      </c>
    </row>
    <row r="694" spans="3:12">
      <c r="C694" s="7">
        <v>688</v>
      </c>
      <c r="D694" s="3">
        <f t="shared" si="74"/>
        <v>4.5199999999999997E-2</v>
      </c>
      <c r="E694" s="3">
        <f t="shared" ca="1" si="79"/>
        <v>3.904307789598721E-2</v>
      </c>
      <c r="F694" s="3">
        <f t="shared" ca="1" si="79"/>
        <v>3.8896633354260551E-2</v>
      </c>
      <c r="G694" s="3">
        <f t="shared" ca="1" si="79"/>
        <v>4.1443741140875977E-2</v>
      </c>
      <c r="H694" s="3">
        <f t="shared" ca="1" si="79"/>
        <v>4.6988690043066793E-2</v>
      </c>
      <c r="I694" s="3">
        <f t="shared" ca="1" si="79"/>
        <v>5.0913277122631585E-2</v>
      </c>
      <c r="J694" s="3">
        <f t="shared" ca="1" si="79"/>
        <v>4.8901694704468181E-2</v>
      </c>
      <c r="K694" s="3">
        <f t="shared" ca="1" si="79"/>
        <v>5.5597816907855799E-2</v>
      </c>
      <c r="L694" s="3">
        <f t="shared" ca="1" si="79"/>
        <v>5.776791358075313E-2</v>
      </c>
    </row>
    <row r="695" spans="3:12">
      <c r="C695" s="7">
        <v>689</v>
      </c>
      <c r="D695" s="3">
        <f t="shared" si="74"/>
        <v>4.5199999999999997E-2</v>
      </c>
      <c r="E695" s="3">
        <f t="shared" ca="1" si="79"/>
        <v>4.4998361684168646E-2</v>
      </c>
      <c r="F695" s="3">
        <f t="shared" ca="1" si="79"/>
        <v>4.6654595156791545E-2</v>
      </c>
      <c r="G695" s="3">
        <f t="shared" ca="1" si="79"/>
        <v>4.494954606721132E-2</v>
      </c>
      <c r="H695" s="3">
        <f t="shared" ca="1" si="79"/>
        <v>5.4900920921440319E-2</v>
      </c>
      <c r="I695" s="3">
        <f t="shared" ca="1" si="79"/>
        <v>5.8437241918577972E-2</v>
      </c>
      <c r="J695" s="3">
        <f t="shared" ca="1" si="79"/>
        <v>4.8780536514696216E-2</v>
      </c>
      <c r="K695" s="3">
        <f t="shared" ca="1" si="79"/>
        <v>4.6539404300438576E-2</v>
      </c>
      <c r="L695" s="3">
        <f t="shared" ca="1" si="79"/>
        <v>4.9599005038017646E-2</v>
      </c>
    </row>
    <row r="696" spans="3:12">
      <c r="C696" s="7">
        <v>690</v>
      </c>
      <c r="D696" s="3">
        <f t="shared" si="74"/>
        <v>4.5199999999999997E-2</v>
      </c>
      <c r="E696" s="3">
        <f t="shared" ca="1" si="79"/>
        <v>4.7436766001428939E-2</v>
      </c>
      <c r="F696" s="3">
        <f t="shared" ca="1" si="79"/>
        <v>4.1044898783832183E-2</v>
      </c>
      <c r="G696" s="3">
        <f t="shared" ca="1" si="79"/>
        <v>3.7299570867979893E-2</v>
      </c>
      <c r="H696" s="3">
        <f t="shared" ca="1" si="79"/>
        <v>4.9405671672527296E-2</v>
      </c>
      <c r="I696" s="3">
        <f t="shared" ca="1" si="79"/>
        <v>5.0038947751508522E-2</v>
      </c>
      <c r="J696" s="3">
        <f t="shared" ca="1" si="79"/>
        <v>4.5584208509416746E-2</v>
      </c>
      <c r="K696" s="3">
        <f t="shared" ca="1" si="79"/>
        <v>3.8936655561809128E-2</v>
      </c>
      <c r="L696" s="3">
        <f t="shared" ca="1" si="79"/>
        <v>4.3915306336908044E-2</v>
      </c>
    </row>
    <row r="697" spans="3:12">
      <c r="C697" s="7">
        <v>691</v>
      </c>
      <c r="D697" s="3">
        <f t="shared" si="74"/>
        <v>4.5199999999999997E-2</v>
      </c>
      <c r="E697" s="3">
        <f t="shared" ref="E697:L706" ca="1" si="80">D697+E$5*dt+sigma*_xlfn.NORM.S.INV(RAND())*SQRT(dt)</f>
        <v>3.9384241505497131E-2</v>
      </c>
      <c r="F697" s="3">
        <f t="shared" ca="1" si="80"/>
        <v>4.3816862517507896E-2</v>
      </c>
      <c r="G697" s="3">
        <f t="shared" ca="1" si="80"/>
        <v>3.3730282306873943E-2</v>
      </c>
      <c r="H697" s="3">
        <f t="shared" ca="1" si="80"/>
        <v>4.0254492453886556E-2</v>
      </c>
      <c r="I697" s="3">
        <f t="shared" ca="1" si="80"/>
        <v>3.6948914198236725E-2</v>
      </c>
      <c r="J697" s="3">
        <f t="shared" ca="1" si="80"/>
        <v>4.1920849750767028E-2</v>
      </c>
      <c r="K697" s="3">
        <f t="shared" ca="1" si="80"/>
        <v>3.752387321064693E-2</v>
      </c>
      <c r="L697" s="3">
        <f t="shared" ca="1" si="80"/>
        <v>3.5694449324823178E-2</v>
      </c>
    </row>
    <row r="698" spans="3:12">
      <c r="C698" s="7">
        <v>692</v>
      </c>
      <c r="D698" s="3">
        <f t="shared" si="74"/>
        <v>4.5199999999999997E-2</v>
      </c>
      <c r="E698" s="3">
        <f t="shared" ca="1" si="80"/>
        <v>5.4205526950237948E-2</v>
      </c>
      <c r="F698" s="3">
        <f t="shared" ca="1" si="80"/>
        <v>5.6178073070098609E-2</v>
      </c>
      <c r="G698" s="3">
        <f t="shared" ca="1" si="80"/>
        <v>5.6093396421764377E-2</v>
      </c>
      <c r="H698" s="3">
        <f t="shared" ca="1" si="80"/>
        <v>5.5495612406387812E-2</v>
      </c>
      <c r="I698" s="3">
        <f t="shared" ca="1" si="80"/>
        <v>5.880232774435698E-2</v>
      </c>
      <c r="J698" s="3">
        <f t="shared" ca="1" si="80"/>
        <v>6.2738626528273486E-2</v>
      </c>
      <c r="K698" s="3">
        <f t="shared" ca="1" si="80"/>
        <v>5.8909167019693023E-2</v>
      </c>
      <c r="L698" s="3">
        <f t="shared" ca="1" si="80"/>
        <v>6.0293511003779728E-2</v>
      </c>
    </row>
    <row r="699" spans="3:12">
      <c r="C699" s="7">
        <v>693</v>
      </c>
      <c r="D699" s="3">
        <f t="shared" si="74"/>
        <v>4.5199999999999997E-2</v>
      </c>
      <c r="E699" s="3">
        <f t="shared" ca="1" si="80"/>
        <v>3.5605977768692974E-2</v>
      </c>
      <c r="F699" s="3">
        <f t="shared" ca="1" si="80"/>
        <v>3.4697692854365129E-2</v>
      </c>
      <c r="G699" s="3">
        <f t="shared" ca="1" si="80"/>
        <v>3.7674105098211681E-2</v>
      </c>
      <c r="H699" s="3">
        <f t="shared" ca="1" si="80"/>
        <v>4.1137961239508157E-2</v>
      </c>
      <c r="I699" s="3">
        <f t="shared" ca="1" si="80"/>
        <v>4.674592416617597E-2</v>
      </c>
      <c r="J699" s="3">
        <f t="shared" ca="1" si="80"/>
        <v>5.7458708904051414E-2</v>
      </c>
      <c r="K699" s="3">
        <f t="shared" ca="1" si="80"/>
        <v>5.9550401680146262E-2</v>
      </c>
      <c r="L699" s="3">
        <f t="shared" ca="1" si="80"/>
        <v>6.7375237526477963E-2</v>
      </c>
    </row>
    <row r="700" spans="3:12">
      <c r="C700" s="7">
        <v>694</v>
      </c>
      <c r="D700" s="3">
        <f t="shared" si="74"/>
        <v>4.5199999999999997E-2</v>
      </c>
      <c r="E700" s="3">
        <f t="shared" ca="1" si="80"/>
        <v>4.8968969916169988E-2</v>
      </c>
      <c r="F700" s="3">
        <f t="shared" ca="1" si="80"/>
        <v>4.8854388784050046E-2</v>
      </c>
      <c r="G700" s="3">
        <f t="shared" ca="1" si="80"/>
        <v>4.2867609440253647E-2</v>
      </c>
      <c r="H700" s="3">
        <f t="shared" ca="1" si="80"/>
        <v>5.4358909092321446E-2</v>
      </c>
      <c r="I700" s="3">
        <f t="shared" ca="1" si="80"/>
        <v>5.724894846608667E-2</v>
      </c>
      <c r="J700" s="3">
        <f t="shared" ca="1" si="80"/>
        <v>5.1948113441887163E-2</v>
      </c>
      <c r="K700" s="3">
        <f t="shared" ca="1" si="80"/>
        <v>4.6392828827192097E-2</v>
      </c>
      <c r="L700" s="3">
        <f t="shared" ca="1" si="80"/>
        <v>4.6203288999692053E-2</v>
      </c>
    </row>
    <row r="701" spans="3:12">
      <c r="C701" s="7">
        <v>695</v>
      </c>
      <c r="D701" s="3">
        <f t="shared" si="74"/>
        <v>4.5199999999999997E-2</v>
      </c>
      <c r="E701" s="3">
        <f t="shared" ca="1" si="80"/>
        <v>4.3761346405547588E-2</v>
      </c>
      <c r="F701" s="3">
        <f t="shared" ca="1" si="80"/>
        <v>3.8040168946922984E-2</v>
      </c>
      <c r="G701" s="3">
        <f t="shared" ca="1" si="80"/>
        <v>4.1737618933670416E-2</v>
      </c>
      <c r="H701" s="3">
        <f t="shared" ca="1" si="80"/>
        <v>4.6462955894238482E-2</v>
      </c>
      <c r="I701" s="3">
        <f t="shared" ca="1" si="80"/>
        <v>5.7239163440506328E-2</v>
      </c>
      <c r="J701" s="3">
        <f t="shared" ca="1" si="80"/>
        <v>6.5831679197427273E-2</v>
      </c>
      <c r="K701" s="3">
        <f t="shared" ca="1" si="80"/>
        <v>5.9251728224091513E-2</v>
      </c>
      <c r="L701" s="3">
        <f t="shared" ca="1" si="80"/>
        <v>6.1256844152092538E-2</v>
      </c>
    </row>
    <row r="702" spans="3:12">
      <c r="C702" s="7">
        <v>696</v>
      </c>
      <c r="D702" s="3">
        <f t="shared" si="74"/>
        <v>4.5199999999999997E-2</v>
      </c>
      <c r="E702" s="3">
        <f t="shared" ca="1" si="80"/>
        <v>4.2639717178944346E-2</v>
      </c>
      <c r="F702" s="3">
        <f t="shared" ca="1" si="80"/>
        <v>4.2667350307338044E-2</v>
      </c>
      <c r="G702" s="3">
        <f t="shared" ca="1" si="80"/>
        <v>3.9248723606929145E-2</v>
      </c>
      <c r="H702" s="3">
        <f t="shared" ca="1" si="80"/>
        <v>4.4667265339138555E-2</v>
      </c>
      <c r="I702" s="3">
        <f t="shared" ca="1" si="80"/>
        <v>4.2452701663222167E-2</v>
      </c>
      <c r="J702" s="3">
        <f t="shared" ca="1" si="80"/>
        <v>5.3418472974288721E-2</v>
      </c>
      <c r="K702" s="3">
        <f t="shared" ca="1" si="80"/>
        <v>5.2171259743698163E-2</v>
      </c>
      <c r="L702" s="3">
        <f t="shared" ca="1" si="80"/>
        <v>5.0247859731462716E-2</v>
      </c>
    </row>
    <row r="703" spans="3:12">
      <c r="C703" s="7">
        <v>697</v>
      </c>
      <c r="D703" s="3">
        <f t="shared" si="74"/>
        <v>4.5199999999999997E-2</v>
      </c>
      <c r="E703" s="3">
        <f t="shared" ca="1" si="80"/>
        <v>5.0780185484411308E-2</v>
      </c>
      <c r="F703" s="3">
        <f t="shared" ca="1" si="80"/>
        <v>5.397438624546342E-2</v>
      </c>
      <c r="G703" s="3">
        <f t="shared" ca="1" si="80"/>
        <v>5.7860851529236521E-2</v>
      </c>
      <c r="H703" s="3">
        <f t="shared" ca="1" si="80"/>
        <v>5.6048083707998353E-2</v>
      </c>
      <c r="I703" s="3">
        <f t="shared" ca="1" si="80"/>
        <v>6.2801031867085036E-2</v>
      </c>
      <c r="J703" s="3">
        <f t="shared" ca="1" si="80"/>
        <v>7.1072164854661501E-2</v>
      </c>
      <c r="K703" s="3">
        <f t="shared" ca="1" si="80"/>
        <v>7.6363512992296462E-2</v>
      </c>
      <c r="L703" s="3">
        <f t="shared" ca="1" si="80"/>
        <v>7.3827409053007761E-2</v>
      </c>
    </row>
    <row r="704" spans="3:12">
      <c r="C704" s="7">
        <v>698</v>
      </c>
      <c r="D704" s="3">
        <f t="shared" si="74"/>
        <v>4.5199999999999997E-2</v>
      </c>
      <c r="E704" s="3">
        <f t="shared" ca="1" si="80"/>
        <v>4.4115305091369565E-2</v>
      </c>
      <c r="F704" s="3">
        <f t="shared" ca="1" si="80"/>
        <v>4.0627324721185659E-2</v>
      </c>
      <c r="G704" s="3">
        <f t="shared" ca="1" si="80"/>
        <v>3.6435356755115743E-2</v>
      </c>
      <c r="H704" s="3">
        <f t="shared" ca="1" si="80"/>
        <v>3.5754226900524072E-2</v>
      </c>
      <c r="I704" s="3">
        <f t="shared" ca="1" si="80"/>
        <v>4.1948189771791794E-2</v>
      </c>
      <c r="J704" s="3">
        <f t="shared" ca="1" si="80"/>
        <v>4.6892136178049361E-2</v>
      </c>
      <c r="K704" s="3">
        <f t="shared" ca="1" si="80"/>
        <v>4.0019642164190405E-2</v>
      </c>
      <c r="L704" s="3">
        <f t="shared" ca="1" si="80"/>
        <v>3.6045341189227476E-2</v>
      </c>
    </row>
    <row r="705" spans="3:12">
      <c r="C705" s="7">
        <v>699</v>
      </c>
      <c r="D705" s="3">
        <f t="shared" si="74"/>
        <v>4.5199999999999997E-2</v>
      </c>
      <c r="E705" s="3">
        <f t="shared" ca="1" si="80"/>
        <v>4.9189874913138767E-2</v>
      </c>
      <c r="F705" s="3">
        <f t="shared" ca="1" si="80"/>
        <v>5.3806419515027043E-2</v>
      </c>
      <c r="G705" s="3">
        <f t="shared" ca="1" si="80"/>
        <v>5.1976543848636793E-2</v>
      </c>
      <c r="H705" s="3">
        <f t="shared" ca="1" si="80"/>
        <v>5.1960305554172678E-2</v>
      </c>
      <c r="I705" s="3">
        <f t="shared" ca="1" si="80"/>
        <v>4.9978942280355612E-2</v>
      </c>
      <c r="J705" s="3">
        <f t="shared" ca="1" si="80"/>
        <v>4.6324644428508699E-2</v>
      </c>
      <c r="K705" s="3">
        <f t="shared" ca="1" si="80"/>
        <v>4.4583404521039205E-2</v>
      </c>
      <c r="L705" s="3">
        <f t="shared" ca="1" si="80"/>
        <v>3.865450777619478E-2</v>
      </c>
    </row>
    <row r="706" spans="3:12">
      <c r="C706" s="7">
        <v>700</v>
      </c>
      <c r="D706" s="3">
        <f t="shared" si="74"/>
        <v>4.5199999999999997E-2</v>
      </c>
      <c r="E706" s="3">
        <f t="shared" ca="1" si="80"/>
        <v>4.1129040043419135E-2</v>
      </c>
      <c r="F706" s="3">
        <f t="shared" ca="1" si="80"/>
        <v>4.7311600134900253E-2</v>
      </c>
      <c r="G706" s="3">
        <f t="shared" ca="1" si="80"/>
        <v>4.5708704638313356E-2</v>
      </c>
      <c r="H706" s="3">
        <f t="shared" ca="1" si="80"/>
        <v>4.6042947285980525E-2</v>
      </c>
      <c r="I706" s="3">
        <f t="shared" ca="1" si="80"/>
        <v>4.4185696884073228E-2</v>
      </c>
      <c r="J706" s="3">
        <f t="shared" ca="1" si="80"/>
        <v>3.5048823460055514E-2</v>
      </c>
      <c r="K706" s="3">
        <f t="shared" ca="1" si="80"/>
        <v>3.3746996889578759E-2</v>
      </c>
      <c r="L706" s="3">
        <f t="shared" ca="1" si="80"/>
        <v>3.2424658744075976E-2</v>
      </c>
    </row>
    <row r="707" spans="3:12">
      <c r="C707" s="7">
        <v>701</v>
      </c>
      <c r="D707" s="3">
        <f t="shared" si="74"/>
        <v>4.5199999999999997E-2</v>
      </c>
      <c r="E707" s="3">
        <f t="shared" ref="E707:L716" ca="1" si="81">D707+E$5*dt+sigma*_xlfn.NORM.S.INV(RAND())*SQRT(dt)</f>
        <v>4.7812912120738064E-2</v>
      </c>
      <c r="F707" s="3">
        <f t="shared" ca="1" si="81"/>
        <v>4.7702297786337597E-2</v>
      </c>
      <c r="G707" s="3">
        <f t="shared" ca="1" si="81"/>
        <v>4.818855177672636E-2</v>
      </c>
      <c r="H707" s="3">
        <f t="shared" ca="1" si="81"/>
        <v>4.4709008040972831E-2</v>
      </c>
      <c r="I707" s="3">
        <f t="shared" ca="1" si="81"/>
        <v>4.3794953325365364E-2</v>
      </c>
      <c r="J707" s="3">
        <f t="shared" ca="1" si="81"/>
        <v>4.8493473875462725E-2</v>
      </c>
      <c r="K707" s="3">
        <f t="shared" ca="1" si="81"/>
        <v>4.2967826407021348E-2</v>
      </c>
      <c r="L707" s="3">
        <f t="shared" ca="1" si="81"/>
        <v>5.1321959605836749E-2</v>
      </c>
    </row>
    <row r="708" spans="3:12">
      <c r="C708" s="7">
        <v>702</v>
      </c>
      <c r="D708" s="3">
        <f t="shared" si="74"/>
        <v>4.5199999999999997E-2</v>
      </c>
      <c r="E708" s="3">
        <f t="shared" ca="1" si="81"/>
        <v>3.1249067067313334E-2</v>
      </c>
      <c r="F708" s="3">
        <f t="shared" ca="1" si="81"/>
        <v>3.4859665648626505E-2</v>
      </c>
      <c r="G708" s="3">
        <f t="shared" ca="1" si="81"/>
        <v>3.7937515021108405E-2</v>
      </c>
      <c r="H708" s="3">
        <f t="shared" ca="1" si="81"/>
        <v>3.9667415548205777E-2</v>
      </c>
      <c r="I708" s="3">
        <f t="shared" ca="1" si="81"/>
        <v>4.3385832564956116E-2</v>
      </c>
      <c r="J708" s="3">
        <f t="shared" ca="1" si="81"/>
        <v>5.4047362159534471E-2</v>
      </c>
      <c r="K708" s="3">
        <f t="shared" ca="1" si="81"/>
        <v>5.6859036493562706E-2</v>
      </c>
      <c r="L708" s="3">
        <f t="shared" ca="1" si="81"/>
        <v>5.7223835356539472E-2</v>
      </c>
    </row>
    <row r="709" spans="3:12">
      <c r="C709" s="7">
        <v>703</v>
      </c>
      <c r="D709" s="3">
        <f t="shared" si="74"/>
        <v>4.5199999999999997E-2</v>
      </c>
      <c r="E709" s="3">
        <f t="shared" ca="1" si="81"/>
        <v>4.2385078265294154E-2</v>
      </c>
      <c r="F709" s="3">
        <f t="shared" ca="1" si="81"/>
        <v>5.3317452270308478E-2</v>
      </c>
      <c r="G709" s="3">
        <f t="shared" ca="1" si="81"/>
        <v>5.3856827670374752E-2</v>
      </c>
      <c r="H709" s="3">
        <f t="shared" ca="1" si="81"/>
        <v>5.9102072842666019E-2</v>
      </c>
      <c r="I709" s="3">
        <f t="shared" ca="1" si="81"/>
        <v>5.7827133373442897E-2</v>
      </c>
      <c r="J709" s="3">
        <f t="shared" ca="1" si="81"/>
        <v>5.6384524613882173E-2</v>
      </c>
      <c r="K709" s="3">
        <f t="shared" ca="1" si="81"/>
        <v>5.9880854600029107E-2</v>
      </c>
      <c r="L709" s="3">
        <f t="shared" ca="1" si="81"/>
        <v>5.4179186888923189E-2</v>
      </c>
    </row>
    <row r="710" spans="3:12">
      <c r="C710" s="7">
        <v>704</v>
      </c>
      <c r="D710" s="3">
        <f t="shared" si="74"/>
        <v>4.5199999999999997E-2</v>
      </c>
      <c r="E710" s="3">
        <f t="shared" ca="1" si="81"/>
        <v>4.0886310406004933E-2</v>
      </c>
      <c r="F710" s="3">
        <f t="shared" ca="1" si="81"/>
        <v>4.9931166316922224E-2</v>
      </c>
      <c r="G710" s="3">
        <f t="shared" ca="1" si="81"/>
        <v>4.7749087888823857E-2</v>
      </c>
      <c r="H710" s="3">
        <f t="shared" ca="1" si="81"/>
        <v>6.0151284974021522E-2</v>
      </c>
      <c r="I710" s="3">
        <f t="shared" ca="1" si="81"/>
        <v>6.3963779458368397E-2</v>
      </c>
      <c r="J710" s="3">
        <f t="shared" ca="1" si="81"/>
        <v>6.9572177623059436E-2</v>
      </c>
      <c r="K710" s="3">
        <f t="shared" ca="1" si="81"/>
        <v>6.5186355572749516E-2</v>
      </c>
      <c r="L710" s="3">
        <f t="shared" ca="1" si="81"/>
        <v>6.9974615871035845E-2</v>
      </c>
    </row>
    <row r="711" spans="3:12">
      <c r="C711" s="7">
        <v>705</v>
      </c>
      <c r="D711" s="3">
        <f t="shared" ref="D711:D774" si="82">r0</f>
        <v>4.5199999999999997E-2</v>
      </c>
      <c r="E711" s="3">
        <f t="shared" ca="1" si="81"/>
        <v>4.5228322705891444E-2</v>
      </c>
      <c r="F711" s="3">
        <f t="shared" ca="1" si="81"/>
        <v>4.9402498786390484E-2</v>
      </c>
      <c r="G711" s="3">
        <f t="shared" ca="1" si="81"/>
        <v>4.8246418860763161E-2</v>
      </c>
      <c r="H711" s="3">
        <f t="shared" ca="1" si="81"/>
        <v>5.0656475053051681E-2</v>
      </c>
      <c r="I711" s="3">
        <f t="shared" ca="1" si="81"/>
        <v>5.7009587605195498E-2</v>
      </c>
      <c r="J711" s="3">
        <f t="shared" ca="1" si="81"/>
        <v>5.7347029026778504E-2</v>
      </c>
      <c r="K711" s="3">
        <f t="shared" ca="1" si="81"/>
        <v>5.6357143651266206E-2</v>
      </c>
      <c r="L711" s="3">
        <f t="shared" ca="1" si="81"/>
        <v>6.8550634234603947E-2</v>
      </c>
    </row>
    <row r="712" spans="3:12">
      <c r="C712" s="7">
        <v>706</v>
      </c>
      <c r="D712" s="3">
        <f t="shared" si="82"/>
        <v>4.5199999999999997E-2</v>
      </c>
      <c r="E712" s="3">
        <f t="shared" ca="1" si="81"/>
        <v>4.8994098375670862E-2</v>
      </c>
      <c r="F712" s="3">
        <f t="shared" ca="1" si="81"/>
        <v>5.913007740369685E-2</v>
      </c>
      <c r="G712" s="3">
        <f t="shared" ca="1" si="81"/>
        <v>5.5247881415922857E-2</v>
      </c>
      <c r="H712" s="3">
        <f t="shared" ca="1" si="81"/>
        <v>5.7095549376888571E-2</v>
      </c>
      <c r="I712" s="3">
        <f t="shared" ca="1" si="81"/>
        <v>5.8029974253510447E-2</v>
      </c>
      <c r="J712" s="3">
        <f t="shared" ca="1" si="81"/>
        <v>5.5837333660685703E-2</v>
      </c>
      <c r="K712" s="3">
        <f t="shared" ca="1" si="81"/>
        <v>6.2603061913762678E-2</v>
      </c>
      <c r="L712" s="3">
        <f t="shared" ca="1" si="81"/>
        <v>6.7485031156745659E-2</v>
      </c>
    </row>
    <row r="713" spans="3:12">
      <c r="C713" s="7">
        <v>707</v>
      </c>
      <c r="D713" s="3">
        <f t="shared" si="82"/>
        <v>4.5199999999999997E-2</v>
      </c>
      <c r="E713" s="3">
        <f t="shared" ca="1" si="81"/>
        <v>4.7468972285659189E-2</v>
      </c>
      <c r="F713" s="3">
        <f t="shared" ca="1" si="81"/>
        <v>5.3648485339578021E-2</v>
      </c>
      <c r="G713" s="3">
        <f t="shared" ca="1" si="81"/>
        <v>4.7645337464681414E-2</v>
      </c>
      <c r="H713" s="3">
        <f t="shared" ca="1" si="81"/>
        <v>5.3212627573713693E-2</v>
      </c>
      <c r="I713" s="3">
        <f t="shared" ca="1" si="81"/>
        <v>4.5598378558757327E-2</v>
      </c>
      <c r="J713" s="3">
        <f t="shared" ca="1" si="81"/>
        <v>4.4265523426693959E-2</v>
      </c>
      <c r="K713" s="3">
        <f t="shared" ca="1" si="81"/>
        <v>4.5661034861938718E-2</v>
      </c>
      <c r="L713" s="3">
        <f t="shared" ca="1" si="81"/>
        <v>4.6154776331574936E-2</v>
      </c>
    </row>
    <row r="714" spans="3:12">
      <c r="C714" s="7">
        <v>708</v>
      </c>
      <c r="D714" s="3">
        <f t="shared" si="82"/>
        <v>4.5199999999999997E-2</v>
      </c>
      <c r="E714" s="3">
        <f t="shared" ca="1" si="81"/>
        <v>5.3234139036543143E-2</v>
      </c>
      <c r="F714" s="3">
        <f t="shared" ca="1" si="81"/>
        <v>6.2883769960269037E-2</v>
      </c>
      <c r="G714" s="3">
        <f t="shared" ca="1" si="81"/>
        <v>6.0465773779712899E-2</v>
      </c>
      <c r="H714" s="3">
        <f t="shared" ca="1" si="81"/>
        <v>6.4097812615346153E-2</v>
      </c>
      <c r="I714" s="3">
        <f t="shared" ca="1" si="81"/>
        <v>5.7230813610790625E-2</v>
      </c>
      <c r="J714" s="3">
        <f t="shared" ca="1" si="81"/>
        <v>6.1799860051026625E-2</v>
      </c>
      <c r="K714" s="3">
        <f t="shared" ca="1" si="81"/>
        <v>6.6654193353519658E-2</v>
      </c>
      <c r="L714" s="3">
        <f t="shared" ca="1" si="81"/>
        <v>6.8827443298320759E-2</v>
      </c>
    </row>
    <row r="715" spans="3:12">
      <c r="C715" s="7">
        <v>709</v>
      </c>
      <c r="D715" s="3">
        <f t="shared" si="82"/>
        <v>4.5199999999999997E-2</v>
      </c>
      <c r="E715" s="3">
        <f t="shared" ca="1" si="81"/>
        <v>5.0594383319180945E-2</v>
      </c>
      <c r="F715" s="3">
        <f t="shared" ca="1" si="81"/>
        <v>5.0443544393502814E-2</v>
      </c>
      <c r="G715" s="3">
        <f t="shared" ca="1" si="81"/>
        <v>5.2700922526454641E-2</v>
      </c>
      <c r="H715" s="3">
        <f t="shared" ca="1" si="81"/>
        <v>5.7002969468100066E-2</v>
      </c>
      <c r="I715" s="3">
        <f t="shared" ca="1" si="81"/>
        <v>4.8886247915780917E-2</v>
      </c>
      <c r="J715" s="3">
        <f t="shared" ca="1" si="81"/>
        <v>5.5172150332320952E-2</v>
      </c>
      <c r="K715" s="3">
        <f t="shared" ca="1" si="81"/>
        <v>5.3562723029504447E-2</v>
      </c>
      <c r="L715" s="3">
        <f t="shared" ca="1" si="81"/>
        <v>5.2621984707220695E-2</v>
      </c>
    </row>
    <row r="716" spans="3:12">
      <c r="C716" s="7">
        <v>710</v>
      </c>
      <c r="D716" s="3">
        <f t="shared" si="82"/>
        <v>4.5199999999999997E-2</v>
      </c>
      <c r="E716" s="3">
        <f t="shared" ca="1" si="81"/>
        <v>4.8814747098321926E-2</v>
      </c>
      <c r="F716" s="3">
        <f t="shared" ca="1" si="81"/>
        <v>4.6723394021768547E-2</v>
      </c>
      <c r="G716" s="3">
        <f t="shared" ca="1" si="81"/>
        <v>5.1123446079390525E-2</v>
      </c>
      <c r="H716" s="3">
        <f t="shared" ca="1" si="81"/>
        <v>5.1353180085465029E-2</v>
      </c>
      <c r="I716" s="3">
        <f t="shared" ca="1" si="81"/>
        <v>4.7989063559353229E-2</v>
      </c>
      <c r="J716" s="3">
        <f t="shared" ca="1" si="81"/>
        <v>5.0844646178823165E-2</v>
      </c>
      <c r="K716" s="3">
        <f t="shared" ca="1" si="81"/>
        <v>4.9765804396109954E-2</v>
      </c>
      <c r="L716" s="3">
        <f t="shared" ca="1" si="81"/>
        <v>4.8005985542416446E-2</v>
      </c>
    </row>
    <row r="717" spans="3:12">
      <c r="C717" s="7">
        <v>711</v>
      </c>
      <c r="D717" s="3">
        <f t="shared" si="82"/>
        <v>4.5199999999999997E-2</v>
      </c>
      <c r="E717" s="3">
        <f t="shared" ref="E717:L726" ca="1" si="83">D717+E$5*dt+sigma*_xlfn.NORM.S.INV(RAND())*SQRT(dt)</f>
        <v>4.0188068759877245E-2</v>
      </c>
      <c r="F717" s="3">
        <f t="shared" ca="1" si="83"/>
        <v>4.7471449329350046E-2</v>
      </c>
      <c r="G717" s="3">
        <f t="shared" ca="1" si="83"/>
        <v>3.4222981944981461E-2</v>
      </c>
      <c r="H717" s="3">
        <f t="shared" ca="1" si="83"/>
        <v>3.9225355563387417E-2</v>
      </c>
      <c r="I717" s="3">
        <f t="shared" ca="1" si="83"/>
        <v>4.2627426522265054E-2</v>
      </c>
      <c r="J717" s="3">
        <f t="shared" ca="1" si="83"/>
        <v>4.8548023786139524E-2</v>
      </c>
      <c r="K717" s="3">
        <f t="shared" ca="1" si="83"/>
        <v>4.1734045732873856E-2</v>
      </c>
      <c r="L717" s="3">
        <f t="shared" ca="1" si="83"/>
        <v>4.1519709622035716E-2</v>
      </c>
    </row>
    <row r="718" spans="3:12">
      <c r="C718" s="7">
        <v>712</v>
      </c>
      <c r="D718" s="3">
        <f t="shared" si="82"/>
        <v>4.5199999999999997E-2</v>
      </c>
      <c r="E718" s="3">
        <f t="shared" ca="1" si="83"/>
        <v>4.1850692505444445E-2</v>
      </c>
      <c r="F718" s="3">
        <f t="shared" ca="1" si="83"/>
        <v>4.099352052194468E-2</v>
      </c>
      <c r="G718" s="3">
        <f t="shared" ca="1" si="83"/>
        <v>3.6309050291276457E-2</v>
      </c>
      <c r="H718" s="3">
        <f t="shared" ca="1" si="83"/>
        <v>3.3525233622068253E-2</v>
      </c>
      <c r="I718" s="3">
        <f t="shared" ca="1" si="83"/>
        <v>3.4297602645225841E-2</v>
      </c>
      <c r="J718" s="3">
        <f t="shared" ca="1" si="83"/>
        <v>4.4464946959771705E-2</v>
      </c>
      <c r="K718" s="3">
        <f t="shared" ca="1" si="83"/>
        <v>4.3184275169329177E-2</v>
      </c>
      <c r="L718" s="3">
        <f t="shared" ca="1" si="83"/>
        <v>5.0471022084932531E-2</v>
      </c>
    </row>
    <row r="719" spans="3:12">
      <c r="C719" s="7">
        <v>713</v>
      </c>
      <c r="D719" s="3">
        <f t="shared" si="82"/>
        <v>4.5199999999999997E-2</v>
      </c>
      <c r="E719" s="3">
        <f t="shared" ca="1" si="83"/>
        <v>4.7925637357120722E-2</v>
      </c>
      <c r="F719" s="3">
        <f t="shared" ca="1" si="83"/>
        <v>4.8298748180834537E-2</v>
      </c>
      <c r="G719" s="3">
        <f t="shared" ca="1" si="83"/>
        <v>5.0957057435206003E-2</v>
      </c>
      <c r="H719" s="3">
        <f t="shared" ca="1" si="83"/>
        <v>5.7882178775357528E-2</v>
      </c>
      <c r="I719" s="3">
        <f t="shared" ca="1" si="83"/>
        <v>6.2390569328756064E-2</v>
      </c>
      <c r="J719" s="3">
        <f t="shared" ca="1" si="83"/>
        <v>5.8879755589220976E-2</v>
      </c>
      <c r="K719" s="3">
        <f t="shared" ca="1" si="83"/>
        <v>5.5220286167737227E-2</v>
      </c>
      <c r="L719" s="3">
        <f t="shared" ca="1" si="83"/>
        <v>6.1042182809538013E-2</v>
      </c>
    </row>
    <row r="720" spans="3:12">
      <c r="C720" s="7">
        <v>714</v>
      </c>
      <c r="D720" s="3">
        <f t="shared" si="82"/>
        <v>4.5199999999999997E-2</v>
      </c>
      <c r="E720" s="3">
        <f t="shared" ca="1" si="83"/>
        <v>3.7576438635957991E-2</v>
      </c>
      <c r="F720" s="3">
        <f t="shared" ca="1" si="83"/>
        <v>4.1623449940728093E-2</v>
      </c>
      <c r="G720" s="3">
        <f t="shared" ca="1" si="83"/>
        <v>4.2025097369934004E-2</v>
      </c>
      <c r="H720" s="3">
        <f t="shared" ca="1" si="83"/>
        <v>4.8316498902781398E-2</v>
      </c>
      <c r="I720" s="3">
        <f t="shared" ca="1" si="83"/>
        <v>4.9700887764139015E-2</v>
      </c>
      <c r="J720" s="3">
        <f t="shared" ca="1" si="83"/>
        <v>5.8470626540077605E-2</v>
      </c>
      <c r="K720" s="3">
        <f t="shared" ca="1" si="83"/>
        <v>5.3710777356081429E-2</v>
      </c>
      <c r="L720" s="3">
        <f t="shared" ca="1" si="83"/>
        <v>5.1901519924433877E-2</v>
      </c>
    </row>
    <row r="721" spans="3:12">
      <c r="C721" s="7">
        <v>715</v>
      </c>
      <c r="D721" s="3">
        <f t="shared" si="82"/>
        <v>4.5199999999999997E-2</v>
      </c>
      <c r="E721" s="3">
        <f t="shared" ca="1" si="83"/>
        <v>4.584241202176214E-2</v>
      </c>
      <c r="F721" s="3">
        <f t="shared" ca="1" si="83"/>
        <v>3.990862544704861E-2</v>
      </c>
      <c r="G721" s="3">
        <f t="shared" ca="1" si="83"/>
        <v>3.5404203211694234E-2</v>
      </c>
      <c r="H721" s="3">
        <f t="shared" ca="1" si="83"/>
        <v>4.0585903546211985E-2</v>
      </c>
      <c r="I721" s="3">
        <f t="shared" ca="1" si="83"/>
        <v>4.4605420789983703E-2</v>
      </c>
      <c r="J721" s="3">
        <f t="shared" ca="1" si="83"/>
        <v>4.7619363406010778E-2</v>
      </c>
      <c r="K721" s="3">
        <f t="shared" ca="1" si="83"/>
        <v>4.3636313367778061E-2</v>
      </c>
      <c r="L721" s="3">
        <f t="shared" ca="1" si="83"/>
        <v>4.8409784236597579E-2</v>
      </c>
    </row>
    <row r="722" spans="3:12">
      <c r="C722" s="7">
        <v>716</v>
      </c>
      <c r="D722" s="3">
        <f t="shared" si="82"/>
        <v>4.5199999999999997E-2</v>
      </c>
      <c r="E722" s="3">
        <f t="shared" ca="1" si="83"/>
        <v>4.6757952531979591E-2</v>
      </c>
      <c r="F722" s="3">
        <f t="shared" ca="1" si="83"/>
        <v>4.7510474188299234E-2</v>
      </c>
      <c r="G722" s="3">
        <f t="shared" ca="1" si="83"/>
        <v>4.6281518692471678E-2</v>
      </c>
      <c r="H722" s="3">
        <f t="shared" ca="1" si="83"/>
        <v>4.6462725851237507E-2</v>
      </c>
      <c r="I722" s="3">
        <f t="shared" ca="1" si="83"/>
        <v>4.4887525162395164E-2</v>
      </c>
      <c r="J722" s="3">
        <f t="shared" ca="1" si="83"/>
        <v>5.82502314441493E-2</v>
      </c>
      <c r="K722" s="3">
        <f t="shared" ca="1" si="83"/>
        <v>5.3539969964160578E-2</v>
      </c>
      <c r="L722" s="3">
        <f t="shared" ca="1" si="83"/>
        <v>5.3621175403890241E-2</v>
      </c>
    </row>
    <row r="723" spans="3:12">
      <c r="C723" s="7">
        <v>717</v>
      </c>
      <c r="D723" s="3">
        <f t="shared" si="82"/>
        <v>4.5199999999999997E-2</v>
      </c>
      <c r="E723" s="3">
        <f t="shared" ca="1" si="83"/>
        <v>3.8166942080048991E-2</v>
      </c>
      <c r="F723" s="3">
        <f t="shared" ca="1" si="83"/>
        <v>3.8411124508219346E-2</v>
      </c>
      <c r="G723" s="3">
        <f t="shared" ca="1" si="83"/>
        <v>3.4908657636924328E-2</v>
      </c>
      <c r="H723" s="3">
        <f t="shared" ca="1" si="83"/>
        <v>3.5183367700815302E-2</v>
      </c>
      <c r="I723" s="3">
        <f t="shared" ca="1" si="83"/>
        <v>2.8786148354546133E-2</v>
      </c>
      <c r="J723" s="3">
        <f t="shared" ca="1" si="83"/>
        <v>2.9570835901337161E-2</v>
      </c>
      <c r="K723" s="3">
        <f t="shared" ca="1" si="83"/>
        <v>2.9158118391803056E-2</v>
      </c>
      <c r="L723" s="3">
        <f t="shared" ca="1" si="83"/>
        <v>2.9619706958035504E-2</v>
      </c>
    </row>
    <row r="724" spans="3:12">
      <c r="C724" s="7">
        <v>718</v>
      </c>
      <c r="D724" s="3">
        <f t="shared" si="82"/>
        <v>4.5199999999999997E-2</v>
      </c>
      <c r="E724" s="3">
        <f t="shared" ca="1" si="83"/>
        <v>4.2724574960636016E-2</v>
      </c>
      <c r="F724" s="3">
        <f t="shared" ca="1" si="83"/>
        <v>5.3691705684899504E-2</v>
      </c>
      <c r="G724" s="3">
        <f t="shared" ca="1" si="83"/>
        <v>5.1434909637102233E-2</v>
      </c>
      <c r="H724" s="3">
        <f t="shared" ca="1" si="83"/>
        <v>5.0823906028172883E-2</v>
      </c>
      <c r="I724" s="3">
        <f t="shared" ca="1" si="83"/>
        <v>4.862977032135108E-2</v>
      </c>
      <c r="J724" s="3">
        <f t="shared" ca="1" si="83"/>
        <v>5.6402681965698406E-2</v>
      </c>
      <c r="K724" s="3">
        <f t="shared" ca="1" si="83"/>
        <v>5.9514553786098455E-2</v>
      </c>
      <c r="L724" s="3">
        <f t="shared" ca="1" si="83"/>
        <v>6.2205141830301368E-2</v>
      </c>
    </row>
    <row r="725" spans="3:12">
      <c r="C725" s="7">
        <v>719</v>
      </c>
      <c r="D725" s="3">
        <f t="shared" si="82"/>
        <v>4.5199999999999997E-2</v>
      </c>
      <c r="E725" s="3">
        <f t="shared" ca="1" si="83"/>
        <v>4.6908989610470186E-2</v>
      </c>
      <c r="F725" s="3">
        <f t="shared" ca="1" si="83"/>
        <v>5.1467313700463445E-2</v>
      </c>
      <c r="G725" s="3">
        <f t="shared" ca="1" si="83"/>
        <v>5.1118131455194865E-2</v>
      </c>
      <c r="H725" s="3">
        <f t="shared" ca="1" si="83"/>
        <v>5.7698439707841595E-2</v>
      </c>
      <c r="I725" s="3">
        <f t="shared" ca="1" si="83"/>
        <v>5.6848089173951948E-2</v>
      </c>
      <c r="J725" s="3">
        <f t="shared" ca="1" si="83"/>
        <v>5.9741005118908307E-2</v>
      </c>
      <c r="K725" s="3">
        <f t="shared" ca="1" si="83"/>
        <v>5.6627520483589461E-2</v>
      </c>
      <c r="L725" s="3">
        <f t="shared" ca="1" si="83"/>
        <v>6.1054524105180585E-2</v>
      </c>
    </row>
    <row r="726" spans="3:12">
      <c r="C726" s="7">
        <v>720</v>
      </c>
      <c r="D726" s="3">
        <f t="shared" si="82"/>
        <v>4.5199999999999997E-2</v>
      </c>
      <c r="E726" s="3">
        <f t="shared" ca="1" si="83"/>
        <v>4.9205406048258168E-2</v>
      </c>
      <c r="F726" s="3">
        <f t="shared" ca="1" si="83"/>
        <v>4.6126207125387182E-2</v>
      </c>
      <c r="G726" s="3">
        <f t="shared" ca="1" si="83"/>
        <v>4.0727541960928655E-2</v>
      </c>
      <c r="H726" s="3">
        <f t="shared" ca="1" si="83"/>
        <v>4.2173944043493734E-2</v>
      </c>
      <c r="I726" s="3">
        <f t="shared" ca="1" si="83"/>
        <v>3.5480323785037647E-2</v>
      </c>
      <c r="J726" s="3">
        <f t="shared" ca="1" si="83"/>
        <v>4.1874722155331855E-2</v>
      </c>
      <c r="K726" s="3">
        <f t="shared" ca="1" si="83"/>
        <v>4.1754136050959609E-2</v>
      </c>
      <c r="L726" s="3">
        <f t="shared" ca="1" si="83"/>
        <v>5.0464238114908785E-2</v>
      </c>
    </row>
    <row r="727" spans="3:12">
      <c r="C727" s="7">
        <v>721</v>
      </c>
      <c r="D727" s="3">
        <f t="shared" si="82"/>
        <v>4.5199999999999997E-2</v>
      </c>
      <c r="E727" s="3">
        <f t="shared" ref="E727:L736" ca="1" si="84">D727+E$5*dt+sigma*_xlfn.NORM.S.INV(RAND())*SQRT(dt)</f>
        <v>5.0190843745807887E-2</v>
      </c>
      <c r="F727" s="3">
        <f t="shared" ca="1" si="84"/>
        <v>4.9602366082084522E-2</v>
      </c>
      <c r="G727" s="3">
        <f t="shared" ca="1" si="84"/>
        <v>4.5576519013331901E-2</v>
      </c>
      <c r="H727" s="3">
        <f t="shared" ca="1" si="84"/>
        <v>4.5519102750899348E-2</v>
      </c>
      <c r="I727" s="3">
        <f t="shared" ca="1" si="84"/>
        <v>4.8108824363166165E-2</v>
      </c>
      <c r="J727" s="3">
        <f t="shared" ca="1" si="84"/>
        <v>3.7040567500459087E-2</v>
      </c>
      <c r="K727" s="3">
        <f t="shared" ca="1" si="84"/>
        <v>3.7867466719830739E-2</v>
      </c>
      <c r="L727" s="3">
        <f t="shared" ca="1" si="84"/>
        <v>3.6437407462755582E-2</v>
      </c>
    </row>
    <row r="728" spans="3:12">
      <c r="C728" s="7">
        <v>722</v>
      </c>
      <c r="D728" s="3">
        <f t="shared" si="82"/>
        <v>4.5199999999999997E-2</v>
      </c>
      <c r="E728" s="3">
        <f t="shared" ca="1" si="84"/>
        <v>3.7798316233868604E-2</v>
      </c>
      <c r="F728" s="3">
        <f t="shared" ca="1" si="84"/>
        <v>4.9804021332400611E-2</v>
      </c>
      <c r="G728" s="3">
        <f t="shared" ca="1" si="84"/>
        <v>5.4056938142436055E-2</v>
      </c>
      <c r="H728" s="3">
        <f t="shared" ca="1" si="84"/>
        <v>4.9505881750400861E-2</v>
      </c>
      <c r="I728" s="3">
        <f t="shared" ca="1" si="84"/>
        <v>5.4326928042568418E-2</v>
      </c>
      <c r="J728" s="3">
        <f t="shared" ca="1" si="84"/>
        <v>5.8335299071009719E-2</v>
      </c>
      <c r="K728" s="3">
        <f t="shared" ca="1" si="84"/>
        <v>6.0777721578783056E-2</v>
      </c>
      <c r="L728" s="3">
        <f t="shared" ca="1" si="84"/>
        <v>6.2996346228843828E-2</v>
      </c>
    </row>
    <row r="729" spans="3:12">
      <c r="C729" s="7">
        <v>723</v>
      </c>
      <c r="D729" s="3">
        <f t="shared" si="82"/>
        <v>4.5199999999999997E-2</v>
      </c>
      <c r="E729" s="3">
        <f t="shared" ca="1" si="84"/>
        <v>5.1177432989789225E-2</v>
      </c>
      <c r="F729" s="3">
        <f t="shared" ca="1" si="84"/>
        <v>5.0709448805846928E-2</v>
      </c>
      <c r="G729" s="3">
        <f t="shared" ca="1" si="84"/>
        <v>5.2379648744244701E-2</v>
      </c>
      <c r="H729" s="3">
        <f t="shared" ca="1" si="84"/>
        <v>4.8633655505119396E-2</v>
      </c>
      <c r="I729" s="3">
        <f t="shared" ca="1" si="84"/>
        <v>4.984867950836587E-2</v>
      </c>
      <c r="J729" s="3">
        <f t="shared" ca="1" si="84"/>
        <v>4.5412217731501822E-2</v>
      </c>
      <c r="K729" s="3">
        <f t="shared" ca="1" si="84"/>
        <v>4.597126478215767E-2</v>
      </c>
      <c r="L729" s="3">
        <f t="shared" ca="1" si="84"/>
        <v>4.7054833017131981E-2</v>
      </c>
    </row>
    <row r="730" spans="3:12">
      <c r="C730" s="7">
        <v>724</v>
      </c>
      <c r="D730" s="3">
        <f t="shared" si="82"/>
        <v>4.5199999999999997E-2</v>
      </c>
      <c r="E730" s="3">
        <f t="shared" ca="1" si="84"/>
        <v>4.4470850219331684E-2</v>
      </c>
      <c r="F730" s="3">
        <f t="shared" ca="1" si="84"/>
        <v>4.1543963097362566E-2</v>
      </c>
      <c r="G730" s="3">
        <f t="shared" ca="1" si="84"/>
        <v>4.4739073102040568E-2</v>
      </c>
      <c r="H730" s="3">
        <f t="shared" ca="1" si="84"/>
        <v>4.8512030383853842E-2</v>
      </c>
      <c r="I730" s="3">
        <f t="shared" ca="1" si="84"/>
        <v>4.264662528171085E-2</v>
      </c>
      <c r="J730" s="3">
        <f t="shared" ca="1" si="84"/>
        <v>4.1118767352997555E-2</v>
      </c>
      <c r="K730" s="3">
        <f t="shared" ca="1" si="84"/>
        <v>5.0602534846452288E-2</v>
      </c>
      <c r="L730" s="3">
        <f t="shared" ca="1" si="84"/>
        <v>4.9437735014242395E-2</v>
      </c>
    </row>
    <row r="731" spans="3:12">
      <c r="C731" s="7">
        <v>725</v>
      </c>
      <c r="D731" s="3">
        <f t="shared" si="82"/>
        <v>4.5199999999999997E-2</v>
      </c>
      <c r="E731" s="3">
        <f t="shared" ca="1" si="84"/>
        <v>4.3430231626174723E-2</v>
      </c>
      <c r="F731" s="3">
        <f t="shared" ca="1" si="84"/>
        <v>5.0584323666462372E-2</v>
      </c>
      <c r="G731" s="3">
        <f t="shared" ca="1" si="84"/>
        <v>5.321622000315377E-2</v>
      </c>
      <c r="H731" s="3">
        <f t="shared" ca="1" si="84"/>
        <v>5.8393399675784885E-2</v>
      </c>
      <c r="I731" s="3">
        <f t="shared" ca="1" si="84"/>
        <v>5.5697850311095247E-2</v>
      </c>
      <c r="J731" s="3">
        <f t="shared" ca="1" si="84"/>
        <v>5.8081089493140843E-2</v>
      </c>
      <c r="K731" s="3">
        <f t="shared" ca="1" si="84"/>
        <v>5.7825648806079336E-2</v>
      </c>
      <c r="L731" s="3">
        <f t="shared" ca="1" si="84"/>
        <v>6.8938790105756029E-2</v>
      </c>
    </row>
    <row r="732" spans="3:12">
      <c r="C732" s="7">
        <v>726</v>
      </c>
      <c r="D732" s="3">
        <f t="shared" si="82"/>
        <v>4.5199999999999997E-2</v>
      </c>
      <c r="E732" s="3">
        <f t="shared" ca="1" si="84"/>
        <v>4.9364446823269723E-2</v>
      </c>
      <c r="F732" s="3">
        <f t="shared" ca="1" si="84"/>
        <v>5.9846588842278566E-2</v>
      </c>
      <c r="G732" s="3">
        <f t="shared" ca="1" si="84"/>
        <v>6.3332563573956946E-2</v>
      </c>
      <c r="H732" s="3">
        <f t="shared" ca="1" si="84"/>
        <v>7.1215419501496666E-2</v>
      </c>
      <c r="I732" s="3">
        <f t="shared" ca="1" si="84"/>
        <v>7.052941989711474E-2</v>
      </c>
      <c r="J732" s="3">
        <f t="shared" ca="1" si="84"/>
        <v>6.1672784783760148E-2</v>
      </c>
      <c r="K732" s="3">
        <f t="shared" ca="1" si="84"/>
        <v>7.6175987640546741E-2</v>
      </c>
      <c r="L732" s="3">
        <f t="shared" ca="1" si="84"/>
        <v>7.7900858413062296E-2</v>
      </c>
    </row>
    <row r="733" spans="3:12">
      <c r="C733" s="7">
        <v>727</v>
      </c>
      <c r="D733" s="3">
        <f t="shared" si="82"/>
        <v>4.5199999999999997E-2</v>
      </c>
      <c r="E733" s="3">
        <f t="shared" ca="1" si="84"/>
        <v>3.6869277451019151E-2</v>
      </c>
      <c r="F733" s="3">
        <f t="shared" ca="1" si="84"/>
        <v>3.7768388668832212E-2</v>
      </c>
      <c r="G733" s="3">
        <f t="shared" ca="1" si="84"/>
        <v>4.4736290002519177E-2</v>
      </c>
      <c r="H733" s="3">
        <f t="shared" ca="1" si="84"/>
        <v>4.8360414316487195E-2</v>
      </c>
      <c r="I733" s="3">
        <f t="shared" ca="1" si="84"/>
        <v>4.9660463151888122E-2</v>
      </c>
      <c r="J733" s="3">
        <f t="shared" ca="1" si="84"/>
        <v>4.5989981970302692E-2</v>
      </c>
      <c r="K733" s="3">
        <f t="shared" ca="1" si="84"/>
        <v>3.969624372367777E-2</v>
      </c>
      <c r="L733" s="3">
        <f t="shared" ca="1" si="84"/>
        <v>3.5677868630287435E-2</v>
      </c>
    </row>
    <row r="734" spans="3:12">
      <c r="C734" s="7">
        <v>728</v>
      </c>
      <c r="D734" s="3">
        <f t="shared" si="82"/>
        <v>4.5199999999999997E-2</v>
      </c>
      <c r="E734" s="3">
        <f t="shared" ca="1" si="84"/>
        <v>4.624410601265623E-2</v>
      </c>
      <c r="F734" s="3">
        <f t="shared" ca="1" si="84"/>
        <v>4.3432382333997849E-2</v>
      </c>
      <c r="G734" s="3">
        <f t="shared" ca="1" si="84"/>
        <v>4.6112986808406559E-2</v>
      </c>
      <c r="H734" s="3">
        <f t="shared" ca="1" si="84"/>
        <v>4.9839612857411612E-2</v>
      </c>
      <c r="I734" s="3">
        <f t="shared" ca="1" si="84"/>
        <v>5.8986423388074707E-2</v>
      </c>
      <c r="J734" s="3">
        <f t="shared" ca="1" si="84"/>
        <v>5.6031782887149571E-2</v>
      </c>
      <c r="K734" s="3">
        <f t="shared" ca="1" si="84"/>
        <v>5.6484169891281757E-2</v>
      </c>
      <c r="L734" s="3">
        <f t="shared" ca="1" si="84"/>
        <v>5.7992818274190658E-2</v>
      </c>
    </row>
    <row r="735" spans="3:12">
      <c r="C735" s="7">
        <v>729</v>
      </c>
      <c r="D735" s="3">
        <f t="shared" si="82"/>
        <v>4.5199999999999997E-2</v>
      </c>
      <c r="E735" s="3">
        <f t="shared" ca="1" si="84"/>
        <v>5.1826678299757234E-2</v>
      </c>
      <c r="F735" s="3">
        <f t="shared" ca="1" si="84"/>
        <v>5.8617582011896929E-2</v>
      </c>
      <c r="G735" s="3">
        <f t="shared" ca="1" si="84"/>
        <v>6.0325678903919586E-2</v>
      </c>
      <c r="H735" s="3">
        <f t="shared" ca="1" si="84"/>
        <v>6.251324728417483E-2</v>
      </c>
      <c r="I735" s="3">
        <f t="shared" ca="1" si="84"/>
        <v>6.4394729508105236E-2</v>
      </c>
      <c r="J735" s="3">
        <f t="shared" ca="1" si="84"/>
        <v>7.1713998093663731E-2</v>
      </c>
      <c r="K735" s="3">
        <f t="shared" ca="1" si="84"/>
        <v>6.9643472249046642E-2</v>
      </c>
      <c r="L735" s="3">
        <f t="shared" ca="1" si="84"/>
        <v>7.9558255382398566E-2</v>
      </c>
    </row>
    <row r="736" spans="3:12">
      <c r="C736" s="7">
        <v>730</v>
      </c>
      <c r="D736" s="3">
        <f t="shared" si="82"/>
        <v>4.5199999999999997E-2</v>
      </c>
      <c r="E736" s="3">
        <f t="shared" ca="1" si="84"/>
        <v>4.619398294280961E-2</v>
      </c>
      <c r="F736" s="3">
        <f t="shared" ca="1" si="84"/>
        <v>5.6519620409052278E-2</v>
      </c>
      <c r="G736" s="3">
        <f t="shared" ca="1" si="84"/>
        <v>6.0694605888209664E-2</v>
      </c>
      <c r="H736" s="3">
        <f t="shared" ca="1" si="84"/>
        <v>6.2560676792542694E-2</v>
      </c>
      <c r="I736" s="3">
        <f t="shared" ca="1" si="84"/>
        <v>5.7874007837500623E-2</v>
      </c>
      <c r="J736" s="3">
        <f t="shared" ca="1" si="84"/>
        <v>5.6649824375456077E-2</v>
      </c>
      <c r="K736" s="3">
        <f t="shared" ca="1" si="84"/>
        <v>5.5238924585230498E-2</v>
      </c>
      <c r="L736" s="3">
        <f t="shared" ca="1" si="84"/>
        <v>5.5030762928501016E-2</v>
      </c>
    </row>
    <row r="737" spans="3:12">
      <c r="C737" s="7">
        <v>731</v>
      </c>
      <c r="D737" s="3">
        <f t="shared" si="82"/>
        <v>4.5199999999999997E-2</v>
      </c>
      <c r="E737" s="3">
        <f t="shared" ref="E737:L746" ca="1" si="85">D737+E$5*dt+sigma*_xlfn.NORM.S.INV(RAND())*SQRT(dt)</f>
        <v>4.6977082167563966E-2</v>
      </c>
      <c r="F737" s="3">
        <f t="shared" ca="1" si="85"/>
        <v>4.2282346630537357E-2</v>
      </c>
      <c r="G737" s="3">
        <f t="shared" ca="1" si="85"/>
        <v>4.9763190327146448E-2</v>
      </c>
      <c r="H737" s="3">
        <f t="shared" ca="1" si="85"/>
        <v>4.9142040048823346E-2</v>
      </c>
      <c r="I737" s="3">
        <f t="shared" ca="1" si="85"/>
        <v>5.7519093221077282E-2</v>
      </c>
      <c r="J737" s="3">
        <f t="shared" ca="1" si="85"/>
        <v>5.4981991424306501E-2</v>
      </c>
      <c r="K737" s="3">
        <f t="shared" ca="1" si="85"/>
        <v>5.5622723680107886E-2</v>
      </c>
      <c r="L737" s="3">
        <f t="shared" ca="1" si="85"/>
        <v>6.3240979572097275E-2</v>
      </c>
    </row>
    <row r="738" spans="3:12">
      <c r="C738" s="7">
        <v>732</v>
      </c>
      <c r="D738" s="3">
        <f t="shared" si="82"/>
        <v>4.5199999999999997E-2</v>
      </c>
      <c r="E738" s="3">
        <f t="shared" ca="1" si="85"/>
        <v>4.2071691330236381E-2</v>
      </c>
      <c r="F738" s="3">
        <f t="shared" ca="1" si="85"/>
        <v>4.42048576553341E-2</v>
      </c>
      <c r="G738" s="3">
        <f t="shared" ca="1" si="85"/>
        <v>4.4216571234721939E-2</v>
      </c>
      <c r="H738" s="3">
        <f t="shared" ca="1" si="85"/>
        <v>4.9191320956269879E-2</v>
      </c>
      <c r="I738" s="3">
        <f t="shared" ca="1" si="85"/>
        <v>5.2976137592326764E-2</v>
      </c>
      <c r="J738" s="3">
        <f t="shared" ca="1" si="85"/>
        <v>4.7467026794658501E-2</v>
      </c>
      <c r="K738" s="3">
        <f t="shared" ca="1" si="85"/>
        <v>5.1035945135556766E-2</v>
      </c>
      <c r="L738" s="3">
        <f t="shared" ca="1" si="85"/>
        <v>5.3288514688019817E-2</v>
      </c>
    </row>
    <row r="739" spans="3:12">
      <c r="C739" s="7">
        <v>733</v>
      </c>
      <c r="D739" s="3">
        <f t="shared" si="82"/>
        <v>4.5199999999999997E-2</v>
      </c>
      <c r="E739" s="3">
        <f t="shared" ca="1" si="85"/>
        <v>4.1105644273551775E-2</v>
      </c>
      <c r="F739" s="3">
        <f t="shared" ca="1" si="85"/>
        <v>3.269368659858457E-2</v>
      </c>
      <c r="G739" s="3">
        <f t="shared" ca="1" si="85"/>
        <v>4.1425023293933237E-2</v>
      </c>
      <c r="H739" s="3">
        <f t="shared" ca="1" si="85"/>
        <v>3.916948472652914E-2</v>
      </c>
      <c r="I739" s="3">
        <f t="shared" ca="1" si="85"/>
        <v>4.0942314280246229E-2</v>
      </c>
      <c r="J739" s="3">
        <f t="shared" ca="1" si="85"/>
        <v>4.0706713921764642E-2</v>
      </c>
      <c r="K739" s="3">
        <f t="shared" ca="1" si="85"/>
        <v>4.0715207415119893E-2</v>
      </c>
      <c r="L739" s="3">
        <f t="shared" ca="1" si="85"/>
        <v>4.1227476936436865E-2</v>
      </c>
    </row>
    <row r="740" spans="3:12">
      <c r="C740" s="7">
        <v>734</v>
      </c>
      <c r="D740" s="3">
        <f t="shared" si="82"/>
        <v>4.5199999999999997E-2</v>
      </c>
      <c r="E740" s="3">
        <f t="shared" ca="1" si="85"/>
        <v>4.8036856656052666E-2</v>
      </c>
      <c r="F740" s="3">
        <f t="shared" ca="1" si="85"/>
        <v>4.523908188488493E-2</v>
      </c>
      <c r="G740" s="3">
        <f t="shared" ca="1" si="85"/>
        <v>3.733043939273796E-2</v>
      </c>
      <c r="H740" s="3">
        <f t="shared" ca="1" si="85"/>
        <v>4.3321434818315498E-2</v>
      </c>
      <c r="I740" s="3">
        <f t="shared" ca="1" si="85"/>
        <v>3.5277160699161536E-2</v>
      </c>
      <c r="J740" s="3">
        <f t="shared" ca="1" si="85"/>
        <v>3.2554886574167372E-2</v>
      </c>
      <c r="K740" s="3">
        <f t="shared" ca="1" si="85"/>
        <v>3.4598988091548821E-2</v>
      </c>
      <c r="L740" s="3">
        <f t="shared" ca="1" si="85"/>
        <v>3.5066064029166802E-2</v>
      </c>
    </row>
    <row r="741" spans="3:12">
      <c r="C741" s="7">
        <v>735</v>
      </c>
      <c r="D741" s="3">
        <f t="shared" si="82"/>
        <v>4.5199999999999997E-2</v>
      </c>
      <c r="E741" s="3">
        <f t="shared" ca="1" si="85"/>
        <v>4.4790048517407387E-2</v>
      </c>
      <c r="F741" s="3">
        <f t="shared" ca="1" si="85"/>
        <v>3.4098182289382828E-2</v>
      </c>
      <c r="G741" s="3">
        <f t="shared" ca="1" si="85"/>
        <v>3.4629492233251152E-2</v>
      </c>
      <c r="H741" s="3">
        <f t="shared" ca="1" si="85"/>
        <v>3.5780966281968161E-2</v>
      </c>
      <c r="I741" s="3">
        <f t="shared" ca="1" si="85"/>
        <v>3.990120179280366E-2</v>
      </c>
      <c r="J741" s="3">
        <f t="shared" ca="1" si="85"/>
        <v>3.2271628638473507E-2</v>
      </c>
      <c r="K741" s="3">
        <f t="shared" ca="1" si="85"/>
        <v>3.0413608917760106E-2</v>
      </c>
      <c r="L741" s="3">
        <f t="shared" ca="1" si="85"/>
        <v>3.9712020358325155E-2</v>
      </c>
    </row>
    <row r="742" spans="3:12">
      <c r="C742" s="7">
        <v>736</v>
      </c>
      <c r="D742" s="3">
        <f t="shared" si="82"/>
        <v>4.5199999999999997E-2</v>
      </c>
      <c r="E742" s="3">
        <f t="shared" ca="1" si="85"/>
        <v>4.3561284785776803E-2</v>
      </c>
      <c r="F742" s="3">
        <f t="shared" ca="1" si="85"/>
        <v>3.7281161820510167E-2</v>
      </c>
      <c r="G742" s="3">
        <f t="shared" ca="1" si="85"/>
        <v>4.4341993164266624E-2</v>
      </c>
      <c r="H742" s="3">
        <f t="shared" ca="1" si="85"/>
        <v>4.441676616373514E-2</v>
      </c>
      <c r="I742" s="3">
        <f t="shared" ca="1" si="85"/>
        <v>4.6087203188445135E-2</v>
      </c>
      <c r="J742" s="3">
        <f t="shared" ca="1" si="85"/>
        <v>4.7653515887045805E-2</v>
      </c>
      <c r="K742" s="3">
        <f t="shared" ca="1" si="85"/>
        <v>4.6959910177938748E-2</v>
      </c>
      <c r="L742" s="3">
        <f t="shared" ca="1" si="85"/>
        <v>4.7563039028294084E-2</v>
      </c>
    </row>
    <row r="743" spans="3:12">
      <c r="C743" s="7">
        <v>737</v>
      </c>
      <c r="D743" s="3">
        <f t="shared" si="82"/>
        <v>4.5199999999999997E-2</v>
      </c>
      <c r="E743" s="3">
        <f t="shared" ca="1" si="85"/>
        <v>5.4174184035271314E-2</v>
      </c>
      <c r="F743" s="3">
        <f t="shared" ca="1" si="85"/>
        <v>5.6213216593322658E-2</v>
      </c>
      <c r="G743" s="3">
        <f t="shared" ca="1" si="85"/>
        <v>6.246787982977553E-2</v>
      </c>
      <c r="H743" s="3">
        <f t="shared" ca="1" si="85"/>
        <v>6.5929881139008717E-2</v>
      </c>
      <c r="I743" s="3">
        <f t="shared" ca="1" si="85"/>
        <v>6.3220906759714771E-2</v>
      </c>
      <c r="J743" s="3">
        <f t="shared" ca="1" si="85"/>
        <v>6.6470132372895119E-2</v>
      </c>
      <c r="K743" s="3">
        <f t="shared" ca="1" si="85"/>
        <v>6.6600198822639844E-2</v>
      </c>
      <c r="L743" s="3">
        <f t="shared" ca="1" si="85"/>
        <v>6.8885363986868661E-2</v>
      </c>
    </row>
    <row r="744" spans="3:12">
      <c r="C744" s="7">
        <v>738</v>
      </c>
      <c r="D744" s="3">
        <f t="shared" si="82"/>
        <v>4.5199999999999997E-2</v>
      </c>
      <c r="E744" s="3">
        <f t="shared" ca="1" si="85"/>
        <v>3.668377094717179E-2</v>
      </c>
      <c r="F744" s="3">
        <f t="shared" ca="1" si="85"/>
        <v>3.2772268212328211E-2</v>
      </c>
      <c r="G744" s="3">
        <f t="shared" ca="1" si="85"/>
        <v>3.1403852240829346E-2</v>
      </c>
      <c r="H744" s="3">
        <f t="shared" ca="1" si="85"/>
        <v>4.1335510119341209E-2</v>
      </c>
      <c r="I744" s="3">
        <f t="shared" ca="1" si="85"/>
        <v>3.9545564420801933E-2</v>
      </c>
      <c r="J744" s="3">
        <f t="shared" ca="1" si="85"/>
        <v>4.2395429264354342E-2</v>
      </c>
      <c r="K744" s="3">
        <f t="shared" ca="1" si="85"/>
        <v>4.4989924421066523E-2</v>
      </c>
      <c r="L744" s="3">
        <f t="shared" ca="1" si="85"/>
        <v>4.3347277105908501E-2</v>
      </c>
    </row>
    <row r="745" spans="3:12">
      <c r="C745" s="7">
        <v>739</v>
      </c>
      <c r="D745" s="3">
        <f t="shared" si="82"/>
        <v>4.5199999999999997E-2</v>
      </c>
      <c r="E745" s="3">
        <f t="shared" ca="1" si="85"/>
        <v>4.3716416322467713E-2</v>
      </c>
      <c r="F745" s="3">
        <f t="shared" ca="1" si="85"/>
        <v>4.8893624056495347E-2</v>
      </c>
      <c r="G745" s="3">
        <f t="shared" ca="1" si="85"/>
        <v>5.4386157271176246E-2</v>
      </c>
      <c r="H745" s="3">
        <f t="shared" ca="1" si="85"/>
        <v>6.0218327104362757E-2</v>
      </c>
      <c r="I745" s="3">
        <f t="shared" ca="1" si="85"/>
        <v>6.5449303481285928E-2</v>
      </c>
      <c r="J745" s="3">
        <f t="shared" ca="1" si="85"/>
        <v>7.9312877302044782E-2</v>
      </c>
      <c r="K745" s="3">
        <f t="shared" ca="1" si="85"/>
        <v>7.932351391001119E-2</v>
      </c>
      <c r="L745" s="3">
        <f t="shared" ca="1" si="85"/>
        <v>7.2180125218312158E-2</v>
      </c>
    </row>
    <row r="746" spans="3:12">
      <c r="C746" s="7">
        <v>740</v>
      </c>
      <c r="D746" s="3">
        <f t="shared" si="82"/>
        <v>4.5199999999999997E-2</v>
      </c>
      <c r="E746" s="3">
        <f t="shared" ca="1" si="85"/>
        <v>4.9312376680737444E-2</v>
      </c>
      <c r="F746" s="3">
        <f t="shared" ca="1" si="85"/>
        <v>5.5536754004561317E-2</v>
      </c>
      <c r="G746" s="3">
        <f t="shared" ca="1" si="85"/>
        <v>5.8011799025642158E-2</v>
      </c>
      <c r="H746" s="3">
        <f t="shared" ca="1" si="85"/>
        <v>7.2062640688363808E-2</v>
      </c>
      <c r="I746" s="3">
        <f t="shared" ca="1" si="85"/>
        <v>7.1415699224514365E-2</v>
      </c>
      <c r="J746" s="3">
        <f t="shared" ca="1" si="85"/>
        <v>7.3867063869267002E-2</v>
      </c>
      <c r="K746" s="3">
        <f t="shared" ca="1" si="85"/>
        <v>7.8110847677706124E-2</v>
      </c>
      <c r="L746" s="3">
        <f t="shared" ca="1" si="85"/>
        <v>7.1907127309908558E-2</v>
      </c>
    </row>
    <row r="747" spans="3:12">
      <c r="C747" s="7">
        <v>741</v>
      </c>
      <c r="D747" s="3">
        <f t="shared" si="82"/>
        <v>4.5199999999999997E-2</v>
      </c>
      <c r="E747" s="3">
        <f t="shared" ref="E747:L756" ca="1" si="86">D747+E$5*dt+sigma*_xlfn.NORM.S.INV(RAND())*SQRT(dt)</f>
        <v>5.4247637138225932E-2</v>
      </c>
      <c r="F747" s="3">
        <f t="shared" ca="1" si="86"/>
        <v>5.2334604347976814E-2</v>
      </c>
      <c r="G747" s="3">
        <f t="shared" ca="1" si="86"/>
        <v>5.8833369997398702E-2</v>
      </c>
      <c r="H747" s="3">
        <f t="shared" ca="1" si="86"/>
        <v>5.6871450257628881E-2</v>
      </c>
      <c r="I747" s="3">
        <f t="shared" ca="1" si="86"/>
        <v>6.6344376942865102E-2</v>
      </c>
      <c r="J747" s="3">
        <f t="shared" ca="1" si="86"/>
        <v>7.1324866581987251E-2</v>
      </c>
      <c r="K747" s="3">
        <f t="shared" ca="1" si="86"/>
        <v>6.6814090112972832E-2</v>
      </c>
      <c r="L747" s="3">
        <f t="shared" ca="1" si="86"/>
        <v>7.2070110228186254E-2</v>
      </c>
    </row>
    <row r="748" spans="3:12">
      <c r="C748" s="7">
        <v>742</v>
      </c>
      <c r="D748" s="3">
        <f t="shared" si="82"/>
        <v>4.5199999999999997E-2</v>
      </c>
      <c r="E748" s="3">
        <f t="shared" ca="1" si="86"/>
        <v>3.4230040827400401E-2</v>
      </c>
      <c r="F748" s="3">
        <f t="shared" ca="1" si="86"/>
        <v>3.4819125283297038E-2</v>
      </c>
      <c r="G748" s="3">
        <f t="shared" ca="1" si="86"/>
        <v>2.7066562885937402E-2</v>
      </c>
      <c r="H748" s="3">
        <f t="shared" ca="1" si="86"/>
        <v>3.0260534934420685E-2</v>
      </c>
      <c r="I748" s="3">
        <f t="shared" ca="1" si="86"/>
        <v>3.7243681908983042E-2</v>
      </c>
      <c r="J748" s="3">
        <f t="shared" ca="1" si="86"/>
        <v>3.250316536876191E-2</v>
      </c>
      <c r="K748" s="3">
        <f t="shared" ca="1" si="86"/>
        <v>3.8559238242832583E-2</v>
      </c>
      <c r="L748" s="3">
        <f t="shared" ca="1" si="86"/>
        <v>3.8708014034356822E-2</v>
      </c>
    </row>
    <row r="749" spans="3:12">
      <c r="C749" s="7">
        <v>743</v>
      </c>
      <c r="D749" s="3">
        <f t="shared" si="82"/>
        <v>4.5199999999999997E-2</v>
      </c>
      <c r="E749" s="3">
        <f t="shared" ca="1" si="86"/>
        <v>4.6041646133824075E-2</v>
      </c>
      <c r="F749" s="3">
        <f t="shared" ca="1" si="86"/>
        <v>4.167660805676239E-2</v>
      </c>
      <c r="G749" s="3">
        <f t="shared" ca="1" si="86"/>
        <v>3.9886990451717577E-2</v>
      </c>
      <c r="H749" s="3">
        <f t="shared" ca="1" si="86"/>
        <v>3.8320416301737582E-2</v>
      </c>
      <c r="I749" s="3">
        <f t="shared" ca="1" si="86"/>
        <v>4.3343396511490682E-2</v>
      </c>
      <c r="J749" s="3">
        <f t="shared" ca="1" si="86"/>
        <v>4.2889857755725833E-2</v>
      </c>
      <c r="K749" s="3">
        <f t="shared" ca="1" si="86"/>
        <v>4.2010254080341446E-2</v>
      </c>
      <c r="L749" s="3">
        <f t="shared" ca="1" si="86"/>
        <v>4.3673952727826558E-2</v>
      </c>
    </row>
    <row r="750" spans="3:12">
      <c r="C750" s="7">
        <v>744</v>
      </c>
      <c r="D750" s="3">
        <f t="shared" si="82"/>
        <v>4.5199999999999997E-2</v>
      </c>
      <c r="E750" s="3">
        <f t="shared" ca="1" si="86"/>
        <v>5.217147022241006E-2</v>
      </c>
      <c r="F750" s="3">
        <f t="shared" ca="1" si="86"/>
        <v>6.1169579981099481E-2</v>
      </c>
      <c r="G750" s="3">
        <f t="shared" ca="1" si="86"/>
        <v>6.9089933051326213E-2</v>
      </c>
      <c r="H750" s="3">
        <f t="shared" ca="1" si="86"/>
        <v>7.8661094280718463E-2</v>
      </c>
      <c r="I750" s="3">
        <f t="shared" ca="1" si="86"/>
        <v>8.1741192118368888E-2</v>
      </c>
      <c r="J750" s="3">
        <f t="shared" ca="1" si="86"/>
        <v>8.1189859837504749E-2</v>
      </c>
      <c r="K750" s="3">
        <f t="shared" ca="1" si="86"/>
        <v>6.9574179230436795E-2</v>
      </c>
      <c r="L750" s="3">
        <f t="shared" ca="1" si="86"/>
        <v>7.8057144051552008E-2</v>
      </c>
    </row>
    <row r="751" spans="3:12">
      <c r="C751" s="7">
        <v>745</v>
      </c>
      <c r="D751" s="3">
        <f t="shared" si="82"/>
        <v>4.5199999999999997E-2</v>
      </c>
      <c r="E751" s="3">
        <f t="shared" ca="1" si="86"/>
        <v>5.0987158478415069E-2</v>
      </c>
      <c r="F751" s="3">
        <f t="shared" ca="1" si="86"/>
        <v>5.1516903915913473E-2</v>
      </c>
      <c r="G751" s="3">
        <f t="shared" ca="1" si="86"/>
        <v>5.0721736750551617E-2</v>
      </c>
      <c r="H751" s="3">
        <f t="shared" ca="1" si="86"/>
        <v>4.5129127928199078E-2</v>
      </c>
      <c r="I751" s="3">
        <f t="shared" ca="1" si="86"/>
        <v>4.1290446561345583E-2</v>
      </c>
      <c r="J751" s="3">
        <f t="shared" ca="1" si="86"/>
        <v>4.0699863071555785E-2</v>
      </c>
      <c r="K751" s="3">
        <f t="shared" ca="1" si="86"/>
        <v>3.9200075083485553E-2</v>
      </c>
      <c r="L751" s="3">
        <f t="shared" ca="1" si="86"/>
        <v>3.9087318180583135E-2</v>
      </c>
    </row>
    <row r="752" spans="3:12">
      <c r="C752" s="7">
        <v>746</v>
      </c>
      <c r="D752" s="3">
        <f t="shared" si="82"/>
        <v>4.5199999999999997E-2</v>
      </c>
      <c r="E752" s="3">
        <f t="shared" ca="1" si="86"/>
        <v>3.494918556897568E-2</v>
      </c>
      <c r="F752" s="3">
        <f t="shared" ca="1" si="86"/>
        <v>3.9927677853930379E-2</v>
      </c>
      <c r="G752" s="3">
        <f t="shared" ca="1" si="86"/>
        <v>3.5742488426518414E-2</v>
      </c>
      <c r="H752" s="3">
        <f t="shared" ca="1" si="86"/>
        <v>4.0703366855954388E-2</v>
      </c>
      <c r="I752" s="3">
        <f t="shared" ca="1" si="86"/>
        <v>4.973700298541766E-2</v>
      </c>
      <c r="J752" s="3">
        <f t="shared" ca="1" si="86"/>
        <v>5.1375997002537734E-2</v>
      </c>
      <c r="K752" s="3">
        <f t="shared" ca="1" si="86"/>
        <v>4.4418615719576282E-2</v>
      </c>
      <c r="L752" s="3">
        <f t="shared" ca="1" si="86"/>
        <v>4.2098483250375324E-2</v>
      </c>
    </row>
    <row r="753" spans="3:12">
      <c r="C753" s="7">
        <v>747</v>
      </c>
      <c r="D753" s="3">
        <f t="shared" si="82"/>
        <v>4.5199999999999997E-2</v>
      </c>
      <c r="E753" s="3">
        <f t="shared" ca="1" si="86"/>
        <v>4.2252344382805646E-2</v>
      </c>
      <c r="F753" s="3">
        <f t="shared" ca="1" si="86"/>
        <v>4.9513213906087802E-2</v>
      </c>
      <c r="G753" s="3">
        <f t="shared" ca="1" si="86"/>
        <v>5.544675003644637E-2</v>
      </c>
      <c r="H753" s="3">
        <f t="shared" ca="1" si="86"/>
        <v>5.0256793610887945E-2</v>
      </c>
      <c r="I753" s="3">
        <f t="shared" ca="1" si="86"/>
        <v>5.5820091250054195E-2</v>
      </c>
      <c r="J753" s="3">
        <f t="shared" ca="1" si="86"/>
        <v>5.6704447644904843E-2</v>
      </c>
      <c r="K753" s="3">
        <f t="shared" ca="1" si="86"/>
        <v>5.893435187206799E-2</v>
      </c>
      <c r="L753" s="3">
        <f t="shared" ca="1" si="86"/>
        <v>6.4709635757632278E-2</v>
      </c>
    </row>
    <row r="754" spans="3:12">
      <c r="C754" s="7">
        <v>748</v>
      </c>
      <c r="D754" s="3">
        <f t="shared" si="82"/>
        <v>4.5199999999999997E-2</v>
      </c>
      <c r="E754" s="3">
        <f t="shared" ca="1" si="86"/>
        <v>4.7908615851019076E-2</v>
      </c>
      <c r="F754" s="3">
        <f t="shared" ca="1" si="86"/>
        <v>5.2889517902457765E-2</v>
      </c>
      <c r="G754" s="3">
        <f t="shared" ca="1" si="86"/>
        <v>5.7932070891698335E-2</v>
      </c>
      <c r="H754" s="3">
        <f t="shared" ca="1" si="86"/>
        <v>5.2615597004094718E-2</v>
      </c>
      <c r="I754" s="3">
        <f t="shared" ca="1" si="86"/>
        <v>5.0156833458278503E-2</v>
      </c>
      <c r="J754" s="3">
        <f t="shared" ca="1" si="86"/>
        <v>5.2682127613997855E-2</v>
      </c>
      <c r="K754" s="3">
        <f t="shared" ca="1" si="86"/>
        <v>4.5927129900385777E-2</v>
      </c>
      <c r="L754" s="3">
        <f t="shared" ca="1" si="86"/>
        <v>4.517489948554939E-2</v>
      </c>
    </row>
    <row r="755" spans="3:12">
      <c r="C755" s="7">
        <v>749</v>
      </c>
      <c r="D755" s="3">
        <f t="shared" si="82"/>
        <v>4.5199999999999997E-2</v>
      </c>
      <c r="E755" s="3">
        <f t="shared" ca="1" si="86"/>
        <v>4.4804034906813818E-2</v>
      </c>
      <c r="F755" s="3">
        <f t="shared" ca="1" si="86"/>
        <v>5.6223586281734669E-2</v>
      </c>
      <c r="G755" s="3">
        <f t="shared" ca="1" si="86"/>
        <v>5.9119436740816919E-2</v>
      </c>
      <c r="H755" s="3">
        <f t="shared" ca="1" si="86"/>
        <v>5.9114898015069021E-2</v>
      </c>
      <c r="I755" s="3">
        <f t="shared" ca="1" si="86"/>
        <v>5.1695347445314968E-2</v>
      </c>
      <c r="J755" s="3">
        <f t="shared" ca="1" si="86"/>
        <v>5.0233157632079993E-2</v>
      </c>
      <c r="K755" s="3">
        <f t="shared" ca="1" si="86"/>
        <v>5.9590000720606287E-2</v>
      </c>
      <c r="L755" s="3">
        <f t="shared" ca="1" si="86"/>
        <v>6.2617313136349426E-2</v>
      </c>
    </row>
    <row r="756" spans="3:12">
      <c r="C756" s="7">
        <v>750</v>
      </c>
      <c r="D756" s="3">
        <f t="shared" si="82"/>
        <v>4.5199999999999997E-2</v>
      </c>
      <c r="E756" s="3">
        <f t="shared" ca="1" si="86"/>
        <v>3.2133885770316305E-2</v>
      </c>
      <c r="F756" s="3">
        <f t="shared" ca="1" si="86"/>
        <v>3.9878734472679978E-2</v>
      </c>
      <c r="G756" s="3">
        <f t="shared" ca="1" si="86"/>
        <v>3.9573588899169489E-2</v>
      </c>
      <c r="H756" s="3">
        <f t="shared" ca="1" si="86"/>
        <v>4.0415808070595638E-2</v>
      </c>
      <c r="I756" s="3">
        <f t="shared" ca="1" si="86"/>
        <v>3.6942617312269103E-2</v>
      </c>
      <c r="J756" s="3">
        <f t="shared" ca="1" si="86"/>
        <v>5.1553663061900554E-2</v>
      </c>
      <c r="K756" s="3">
        <f t="shared" ca="1" si="86"/>
        <v>4.8873315536219215E-2</v>
      </c>
      <c r="L756" s="3">
        <f t="shared" ca="1" si="86"/>
        <v>5.2858323862272322E-2</v>
      </c>
    </row>
    <row r="757" spans="3:12">
      <c r="C757" s="7">
        <v>751</v>
      </c>
      <c r="D757" s="3">
        <f t="shared" si="82"/>
        <v>4.5199999999999997E-2</v>
      </c>
      <c r="E757" s="3">
        <f t="shared" ref="E757:L766" ca="1" si="87">D757+E$5*dt+sigma*_xlfn.NORM.S.INV(RAND())*SQRT(dt)</f>
        <v>4.2242926776892196E-2</v>
      </c>
      <c r="F757" s="3">
        <f t="shared" ca="1" si="87"/>
        <v>4.4867917846813904E-2</v>
      </c>
      <c r="G757" s="3">
        <f t="shared" ca="1" si="87"/>
        <v>5.2313284256409541E-2</v>
      </c>
      <c r="H757" s="3">
        <f t="shared" ca="1" si="87"/>
        <v>5.6614440541247694E-2</v>
      </c>
      <c r="I757" s="3">
        <f t="shared" ca="1" si="87"/>
        <v>6.0751724340910793E-2</v>
      </c>
      <c r="J757" s="3">
        <f t="shared" ca="1" si="87"/>
        <v>5.61045484450204E-2</v>
      </c>
      <c r="K757" s="3">
        <f t="shared" ca="1" si="87"/>
        <v>6.853509325703698E-2</v>
      </c>
      <c r="L757" s="3">
        <f t="shared" ca="1" si="87"/>
        <v>6.0300468233059304E-2</v>
      </c>
    </row>
    <row r="758" spans="3:12">
      <c r="C758" s="7">
        <v>752</v>
      </c>
      <c r="D758" s="3">
        <f t="shared" si="82"/>
        <v>4.5199999999999997E-2</v>
      </c>
      <c r="E758" s="3">
        <f t="shared" ca="1" si="87"/>
        <v>3.6517838242695867E-2</v>
      </c>
      <c r="F758" s="3">
        <f t="shared" ca="1" si="87"/>
        <v>4.1097121413912599E-2</v>
      </c>
      <c r="G758" s="3">
        <f t="shared" ca="1" si="87"/>
        <v>3.386112023332255E-2</v>
      </c>
      <c r="H758" s="3">
        <f t="shared" ca="1" si="87"/>
        <v>4.1893809396762238E-2</v>
      </c>
      <c r="I758" s="3">
        <f t="shared" ca="1" si="87"/>
        <v>3.7459919333478538E-2</v>
      </c>
      <c r="J758" s="3">
        <f t="shared" ca="1" si="87"/>
        <v>4.0256045680881571E-2</v>
      </c>
      <c r="K758" s="3">
        <f t="shared" ca="1" si="87"/>
        <v>4.4897350480507629E-2</v>
      </c>
      <c r="L758" s="3">
        <f t="shared" ca="1" si="87"/>
        <v>5.7184112463315825E-2</v>
      </c>
    </row>
    <row r="759" spans="3:12">
      <c r="C759" s="7">
        <v>753</v>
      </c>
      <c r="D759" s="3">
        <f t="shared" si="82"/>
        <v>4.5199999999999997E-2</v>
      </c>
      <c r="E759" s="3">
        <f t="shared" ca="1" si="87"/>
        <v>4.5893382332119627E-2</v>
      </c>
      <c r="F759" s="3">
        <f t="shared" ca="1" si="87"/>
        <v>4.2840287277806352E-2</v>
      </c>
      <c r="G759" s="3">
        <f t="shared" ca="1" si="87"/>
        <v>3.82635200143513E-2</v>
      </c>
      <c r="H759" s="3">
        <f t="shared" ca="1" si="87"/>
        <v>3.9015730153130902E-2</v>
      </c>
      <c r="I759" s="3">
        <f t="shared" ca="1" si="87"/>
        <v>3.7958044390686348E-2</v>
      </c>
      <c r="J759" s="3">
        <f t="shared" ca="1" si="87"/>
        <v>4.3685901492439366E-2</v>
      </c>
      <c r="K759" s="3">
        <f t="shared" ca="1" si="87"/>
        <v>4.6935144440938541E-2</v>
      </c>
      <c r="L759" s="3">
        <f t="shared" ca="1" si="87"/>
        <v>5.3046157613660723E-2</v>
      </c>
    </row>
    <row r="760" spans="3:12">
      <c r="C760" s="7">
        <v>754</v>
      </c>
      <c r="D760" s="3">
        <f t="shared" si="82"/>
        <v>4.5199999999999997E-2</v>
      </c>
      <c r="E760" s="3">
        <f t="shared" ca="1" si="87"/>
        <v>3.9682937907535666E-2</v>
      </c>
      <c r="F760" s="3">
        <f t="shared" ca="1" si="87"/>
        <v>4.0868707256760832E-2</v>
      </c>
      <c r="G760" s="3">
        <f t="shared" ca="1" si="87"/>
        <v>3.9642865708570944E-2</v>
      </c>
      <c r="H760" s="3">
        <f t="shared" ca="1" si="87"/>
        <v>3.3315819521690777E-2</v>
      </c>
      <c r="I760" s="3">
        <f t="shared" ca="1" si="87"/>
        <v>3.3378287607590262E-2</v>
      </c>
      <c r="J760" s="3">
        <f t="shared" ca="1" si="87"/>
        <v>3.3436582841533821E-2</v>
      </c>
      <c r="K760" s="3">
        <f t="shared" ca="1" si="87"/>
        <v>3.8785113843370182E-2</v>
      </c>
      <c r="L760" s="3">
        <f t="shared" ca="1" si="87"/>
        <v>3.7187279532274069E-2</v>
      </c>
    </row>
    <row r="761" spans="3:12">
      <c r="C761" s="7">
        <v>755</v>
      </c>
      <c r="D761" s="3">
        <f t="shared" si="82"/>
        <v>4.5199999999999997E-2</v>
      </c>
      <c r="E761" s="3">
        <f t="shared" ca="1" si="87"/>
        <v>4.2586259918107661E-2</v>
      </c>
      <c r="F761" s="3">
        <f t="shared" ca="1" si="87"/>
        <v>4.1882336942424041E-2</v>
      </c>
      <c r="G761" s="3">
        <f t="shared" ca="1" si="87"/>
        <v>4.4729689249431707E-2</v>
      </c>
      <c r="H761" s="3">
        <f t="shared" ca="1" si="87"/>
        <v>4.8233127374915245E-2</v>
      </c>
      <c r="I761" s="3">
        <f t="shared" ca="1" si="87"/>
        <v>5.4147351496228471E-2</v>
      </c>
      <c r="J761" s="3">
        <f t="shared" ca="1" si="87"/>
        <v>6.0988683917254337E-2</v>
      </c>
      <c r="K761" s="3">
        <f t="shared" ca="1" si="87"/>
        <v>6.3649598725549206E-2</v>
      </c>
      <c r="L761" s="3">
        <f t="shared" ca="1" si="87"/>
        <v>6.0227539841805601E-2</v>
      </c>
    </row>
    <row r="762" spans="3:12">
      <c r="C762" s="7">
        <v>756</v>
      </c>
      <c r="D762" s="3">
        <f t="shared" si="82"/>
        <v>4.5199999999999997E-2</v>
      </c>
      <c r="E762" s="3">
        <f t="shared" ca="1" si="87"/>
        <v>4.3329054665166809E-2</v>
      </c>
      <c r="F762" s="3">
        <f t="shared" ca="1" si="87"/>
        <v>5.1110355872523563E-2</v>
      </c>
      <c r="G762" s="3">
        <f t="shared" ca="1" si="87"/>
        <v>5.7087394594922979E-2</v>
      </c>
      <c r="H762" s="3">
        <f t="shared" ca="1" si="87"/>
        <v>5.8037751595606077E-2</v>
      </c>
      <c r="I762" s="3">
        <f t="shared" ca="1" si="87"/>
        <v>5.7650843092358801E-2</v>
      </c>
      <c r="J762" s="3">
        <f t="shared" ca="1" si="87"/>
        <v>5.5667387953131441E-2</v>
      </c>
      <c r="K762" s="3">
        <f t="shared" ca="1" si="87"/>
        <v>5.1981783464916193E-2</v>
      </c>
      <c r="L762" s="3">
        <f t="shared" ca="1" si="87"/>
        <v>5.326275708940046E-2</v>
      </c>
    </row>
    <row r="763" spans="3:12">
      <c r="C763" s="7">
        <v>757</v>
      </c>
      <c r="D763" s="3">
        <f t="shared" si="82"/>
        <v>4.5199999999999997E-2</v>
      </c>
      <c r="E763" s="3">
        <f t="shared" ca="1" si="87"/>
        <v>3.9538396709124284E-2</v>
      </c>
      <c r="F763" s="3">
        <f t="shared" ca="1" si="87"/>
        <v>3.5394011832385247E-2</v>
      </c>
      <c r="G763" s="3">
        <f t="shared" ca="1" si="87"/>
        <v>3.4893737077261712E-2</v>
      </c>
      <c r="H763" s="3">
        <f t="shared" ca="1" si="87"/>
        <v>4.3637292543847149E-2</v>
      </c>
      <c r="I763" s="3">
        <f t="shared" ca="1" si="87"/>
        <v>3.621344081416597E-2</v>
      </c>
      <c r="J763" s="3">
        <f t="shared" ca="1" si="87"/>
        <v>3.6747428984945041E-2</v>
      </c>
      <c r="K763" s="3">
        <f t="shared" ca="1" si="87"/>
        <v>4.6278033518882683E-2</v>
      </c>
      <c r="L763" s="3">
        <f t="shared" ca="1" si="87"/>
        <v>4.8609590160265746E-2</v>
      </c>
    </row>
    <row r="764" spans="3:12">
      <c r="C764" s="7">
        <v>758</v>
      </c>
      <c r="D764" s="3">
        <f t="shared" si="82"/>
        <v>4.5199999999999997E-2</v>
      </c>
      <c r="E764" s="3">
        <f t="shared" ca="1" si="87"/>
        <v>4.64040231075444E-2</v>
      </c>
      <c r="F764" s="3">
        <f t="shared" ca="1" si="87"/>
        <v>4.6538842476600999E-2</v>
      </c>
      <c r="G764" s="3">
        <f t="shared" ca="1" si="87"/>
        <v>5.0536532465234901E-2</v>
      </c>
      <c r="H764" s="3">
        <f t="shared" ca="1" si="87"/>
        <v>4.7414372700179154E-2</v>
      </c>
      <c r="I764" s="3">
        <f t="shared" ca="1" si="87"/>
        <v>5.1071038435538771E-2</v>
      </c>
      <c r="J764" s="3">
        <f t="shared" ca="1" si="87"/>
        <v>6.0737263136199787E-2</v>
      </c>
      <c r="K764" s="3">
        <f t="shared" ca="1" si="87"/>
        <v>6.0126467489981475E-2</v>
      </c>
      <c r="L764" s="3">
        <f t="shared" ca="1" si="87"/>
        <v>6.1881919953660887E-2</v>
      </c>
    </row>
    <row r="765" spans="3:12">
      <c r="C765" s="7">
        <v>759</v>
      </c>
      <c r="D765" s="3">
        <f t="shared" si="82"/>
        <v>4.5199999999999997E-2</v>
      </c>
      <c r="E765" s="3">
        <f t="shared" ca="1" si="87"/>
        <v>4.2375725506567166E-2</v>
      </c>
      <c r="F765" s="3">
        <f t="shared" ca="1" si="87"/>
        <v>4.4957826843042788E-2</v>
      </c>
      <c r="G765" s="3">
        <f t="shared" ca="1" si="87"/>
        <v>4.2097764780359759E-2</v>
      </c>
      <c r="H765" s="3">
        <f t="shared" ca="1" si="87"/>
        <v>3.6779982104856897E-2</v>
      </c>
      <c r="I765" s="3">
        <f t="shared" ca="1" si="87"/>
        <v>4.7408789646651552E-2</v>
      </c>
      <c r="J765" s="3">
        <f t="shared" ca="1" si="87"/>
        <v>4.6141780855373113E-2</v>
      </c>
      <c r="K765" s="3">
        <f t="shared" ca="1" si="87"/>
        <v>4.4615944082599716E-2</v>
      </c>
      <c r="L765" s="3">
        <f t="shared" ca="1" si="87"/>
        <v>5.1039826220870416E-2</v>
      </c>
    </row>
    <row r="766" spans="3:12">
      <c r="C766" s="7">
        <v>760</v>
      </c>
      <c r="D766" s="3">
        <f t="shared" si="82"/>
        <v>4.5199999999999997E-2</v>
      </c>
      <c r="E766" s="3">
        <f t="shared" ca="1" si="87"/>
        <v>3.8029063132898007E-2</v>
      </c>
      <c r="F766" s="3">
        <f t="shared" ca="1" si="87"/>
        <v>3.8551489603621668E-2</v>
      </c>
      <c r="G766" s="3">
        <f t="shared" ca="1" si="87"/>
        <v>4.4897399762033774E-2</v>
      </c>
      <c r="H766" s="3">
        <f t="shared" ca="1" si="87"/>
        <v>4.261808709296902E-2</v>
      </c>
      <c r="I766" s="3">
        <f t="shared" ca="1" si="87"/>
        <v>3.8764616626613208E-2</v>
      </c>
      <c r="J766" s="3">
        <f t="shared" ca="1" si="87"/>
        <v>3.5838161451776984E-2</v>
      </c>
      <c r="K766" s="3">
        <f t="shared" ca="1" si="87"/>
        <v>4.6651739306502807E-2</v>
      </c>
      <c r="L766" s="3">
        <f t="shared" ca="1" si="87"/>
        <v>5.4233797167544069E-2</v>
      </c>
    </row>
    <row r="767" spans="3:12">
      <c r="C767" s="7">
        <v>761</v>
      </c>
      <c r="D767" s="3">
        <f t="shared" si="82"/>
        <v>4.5199999999999997E-2</v>
      </c>
      <c r="E767" s="3">
        <f t="shared" ref="E767:L776" ca="1" si="88">D767+E$5*dt+sigma*_xlfn.NORM.S.INV(RAND())*SQRT(dt)</f>
        <v>4.5923962141020971E-2</v>
      </c>
      <c r="F767" s="3">
        <f t="shared" ca="1" si="88"/>
        <v>4.3712065916314172E-2</v>
      </c>
      <c r="G767" s="3">
        <f t="shared" ca="1" si="88"/>
        <v>4.3503805864910573E-2</v>
      </c>
      <c r="H767" s="3">
        <f t="shared" ca="1" si="88"/>
        <v>4.8534997813664001E-2</v>
      </c>
      <c r="I767" s="3">
        <f t="shared" ca="1" si="88"/>
        <v>5.0055634717206941E-2</v>
      </c>
      <c r="J767" s="3">
        <f t="shared" ca="1" si="88"/>
        <v>4.373708249854124E-2</v>
      </c>
      <c r="K767" s="3">
        <f t="shared" ca="1" si="88"/>
        <v>3.9880104451242022E-2</v>
      </c>
      <c r="L767" s="3">
        <f t="shared" ca="1" si="88"/>
        <v>4.1596367745052945E-2</v>
      </c>
    </row>
    <row r="768" spans="3:12">
      <c r="C768" s="7">
        <v>762</v>
      </c>
      <c r="D768" s="3">
        <f t="shared" si="82"/>
        <v>4.5199999999999997E-2</v>
      </c>
      <c r="E768" s="3">
        <f t="shared" ca="1" si="88"/>
        <v>5.0493983405736263E-2</v>
      </c>
      <c r="F768" s="3">
        <f t="shared" ca="1" si="88"/>
        <v>6.1183010723818029E-2</v>
      </c>
      <c r="G768" s="3">
        <f t="shared" ca="1" si="88"/>
        <v>5.7090989630543071E-2</v>
      </c>
      <c r="H768" s="3">
        <f t="shared" ca="1" si="88"/>
        <v>4.8609736995593435E-2</v>
      </c>
      <c r="I768" s="3">
        <f t="shared" ca="1" si="88"/>
        <v>5.1723819647878908E-2</v>
      </c>
      <c r="J768" s="3">
        <f t="shared" ca="1" si="88"/>
        <v>6.1165413232747767E-2</v>
      </c>
      <c r="K768" s="3">
        <f t="shared" ca="1" si="88"/>
        <v>6.5993524562840175E-2</v>
      </c>
      <c r="L768" s="3">
        <f t="shared" ca="1" si="88"/>
        <v>6.2861365476984343E-2</v>
      </c>
    </row>
    <row r="769" spans="3:12">
      <c r="C769" s="7">
        <v>763</v>
      </c>
      <c r="D769" s="3">
        <f t="shared" si="82"/>
        <v>4.5199999999999997E-2</v>
      </c>
      <c r="E769" s="3">
        <f t="shared" ca="1" si="88"/>
        <v>5.1344587429424632E-2</v>
      </c>
      <c r="F769" s="3">
        <f t="shared" ca="1" si="88"/>
        <v>5.3594538448806225E-2</v>
      </c>
      <c r="G769" s="3">
        <f t="shared" ca="1" si="88"/>
        <v>5.2847380753196949E-2</v>
      </c>
      <c r="H769" s="3">
        <f t="shared" ca="1" si="88"/>
        <v>5.2166877840191361E-2</v>
      </c>
      <c r="I769" s="3">
        <f t="shared" ca="1" si="88"/>
        <v>5.4668083348465416E-2</v>
      </c>
      <c r="J769" s="3">
        <f t="shared" ca="1" si="88"/>
        <v>6.0063329541539708E-2</v>
      </c>
      <c r="K769" s="3">
        <f t="shared" ca="1" si="88"/>
        <v>6.3784238970006485E-2</v>
      </c>
      <c r="L769" s="3">
        <f t="shared" ca="1" si="88"/>
        <v>6.3841480156432387E-2</v>
      </c>
    </row>
    <row r="770" spans="3:12">
      <c r="C770" s="7">
        <v>764</v>
      </c>
      <c r="D770" s="3">
        <f t="shared" si="82"/>
        <v>4.5199999999999997E-2</v>
      </c>
      <c r="E770" s="3">
        <f t="shared" ca="1" si="88"/>
        <v>4.2754566741566025E-2</v>
      </c>
      <c r="F770" s="3">
        <f t="shared" ca="1" si="88"/>
        <v>4.6324455657435669E-2</v>
      </c>
      <c r="G770" s="3">
        <f t="shared" ca="1" si="88"/>
        <v>3.8501365345419793E-2</v>
      </c>
      <c r="H770" s="3">
        <f t="shared" ca="1" si="88"/>
        <v>4.4961595492181865E-2</v>
      </c>
      <c r="I770" s="3">
        <f t="shared" ca="1" si="88"/>
        <v>4.7015589261463438E-2</v>
      </c>
      <c r="J770" s="3">
        <f t="shared" ca="1" si="88"/>
        <v>5.0343607979833359E-2</v>
      </c>
      <c r="K770" s="3">
        <f t="shared" ca="1" si="88"/>
        <v>4.7524765186846007E-2</v>
      </c>
      <c r="L770" s="3">
        <f t="shared" ca="1" si="88"/>
        <v>5.3676693668448329E-2</v>
      </c>
    </row>
    <row r="771" spans="3:12">
      <c r="C771" s="7">
        <v>765</v>
      </c>
      <c r="D771" s="3">
        <f t="shared" si="82"/>
        <v>4.5199999999999997E-2</v>
      </c>
      <c r="E771" s="3">
        <f t="shared" ca="1" si="88"/>
        <v>5.1391780878852072E-2</v>
      </c>
      <c r="F771" s="3">
        <f t="shared" ca="1" si="88"/>
        <v>5.7182654703579847E-2</v>
      </c>
      <c r="G771" s="3">
        <f t="shared" ca="1" si="88"/>
        <v>5.9402424014518659E-2</v>
      </c>
      <c r="H771" s="3">
        <f t="shared" ca="1" si="88"/>
        <v>6.3822577052814383E-2</v>
      </c>
      <c r="I771" s="3">
        <f t="shared" ca="1" si="88"/>
        <v>5.2943327596456508E-2</v>
      </c>
      <c r="J771" s="3">
        <f t="shared" ca="1" si="88"/>
        <v>5.5855473768853262E-2</v>
      </c>
      <c r="K771" s="3">
        <f t="shared" ca="1" si="88"/>
        <v>4.8159654137000248E-2</v>
      </c>
      <c r="L771" s="3">
        <f t="shared" ca="1" si="88"/>
        <v>5.0001112341426714E-2</v>
      </c>
    </row>
    <row r="772" spans="3:12">
      <c r="C772" s="7">
        <v>766</v>
      </c>
      <c r="D772" s="3">
        <f t="shared" si="82"/>
        <v>4.5199999999999997E-2</v>
      </c>
      <c r="E772" s="3">
        <f t="shared" ca="1" si="88"/>
        <v>5.6742448946521973E-2</v>
      </c>
      <c r="F772" s="3">
        <f t="shared" ca="1" si="88"/>
        <v>5.7619567569329531E-2</v>
      </c>
      <c r="G772" s="3">
        <f t="shared" ca="1" si="88"/>
        <v>5.6983617090249766E-2</v>
      </c>
      <c r="H772" s="3">
        <f t="shared" ca="1" si="88"/>
        <v>5.2617963094838675E-2</v>
      </c>
      <c r="I772" s="3">
        <f t="shared" ca="1" si="88"/>
        <v>5.1726030570514836E-2</v>
      </c>
      <c r="J772" s="3">
        <f t="shared" ca="1" si="88"/>
        <v>6.009102727999046E-2</v>
      </c>
      <c r="K772" s="3">
        <f t="shared" ca="1" si="88"/>
        <v>6.0350037837797313E-2</v>
      </c>
      <c r="L772" s="3">
        <f t="shared" ca="1" si="88"/>
        <v>6.5654703617745197E-2</v>
      </c>
    </row>
    <row r="773" spans="3:12">
      <c r="C773" s="7">
        <v>767</v>
      </c>
      <c r="D773" s="3">
        <f t="shared" si="82"/>
        <v>4.5199999999999997E-2</v>
      </c>
      <c r="E773" s="3">
        <f t="shared" ca="1" si="88"/>
        <v>4.104633873177238E-2</v>
      </c>
      <c r="F773" s="3">
        <f t="shared" ca="1" si="88"/>
        <v>3.3619178662374065E-2</v>
      </c>
      <c r="G773" s="3">
        <f t="shared" ca="1" si="88"/>
        <v>4.4297897724504556E-2</v>
      </c>
      <c r="H773" s="3">
        <f t="shared" ca="1" si="88"/>
        <v>4.4938881967354023E-2</v>
      </c>
      <c r="I773" s="3">
        <f t="shared" ca="1" si="88"/>
        <v>4.2923164139374942E-2</v>
      </c>
      <c r="J773" s="3">
        <f t="shared" ca="1" si="88"/>
        <v>5.115357825231006E-2</v>
      </c>
      <c r="K773" s="3">
        <f t="shared" ca="1" si="88"/>
        <v>4.6609396186620078E-2</v>
      </c>
      <c r="L773" s="3">
        <f t="shared" ca="1" si="88"/>
        <v>4.481543490322653E-2</v>
      </c>
    </row>
    <row r="774" spans="3:12">
      <c r="C774" s="7">
        <v>768</v>
      </c>
      <c r="D774" s="3">
        <f t="shared" si="82"/>
        <v>4.5199999999999997E-2</v>
      </c>
      <c r="E774" s="3">
        <f t="shared" ca="1" si="88"/>
        <v>4.1952908842266698E-2</v>
      </c>
      <c r="F774" s="3">
        <f t="shared" ca="1" si="88"/>
        <v>4.7847770680941468E-2</v>
      </c>
      <c r="G774" s="3">
        <f t="shared" ca="1" si="88"/>
        <v>4.6280411336735411E-2</v>
      </c>
      <c r="H774" s="3">
        <f t="shared" ca="1" si="88"/>
        <v>4.217335460772547E-2</v>
      </c>
      <c r="I774" s="3">
        <f t="shared" ca="1" si="88"/>
        <v>3.3289833739383393E-2</v>
      </c>
      <c r="J774" s="3">
        <f t="shared" ca="1" si="88"/>
        <v>2.6764064212529769E-2</v>
      </c>
      <c r="K774" s="3">
        <f t="shared" ca="1" si="88"/>
        <v>3.5367616663810324E-2</v>
      </c>
      <c r="L774" s="3">
        <f t="shared" ca="1" si="88"/>
        <v>3.3767903939658499E-2</v>
      </c>
    </row>
    <row r="775" spans="3:12">
      <c r="C775" s="7">
        <v>769</v>
      </c>
      <c r="D775" s="3">
        <f t="shared" ref="D775:D838" si="89">r0</f>
        <v>4.5199999999999997E-2</v>
      </c>
      <c r="E775" s="3">
        <f t="shared" ca="1" si="88"/>
        <v>3.760098890608584E-2</v>
      </c>
      <c r="F775" s="3">
        <f t="shared" ca="1" si="88"/>
        <v>3.5162984156407527E-2</v>
      </c>
      <c r="G775" s="3">
        <f t="shared" ca="1" si="88"/>
        <v>3.304688372075093E-2</v>
      </c>
      <c r="H775" s="3">
        <f t="shared" ca="1" si="88"/>
        <v>3.0778828172077277E-2</v>
      </c>
      <c r="I775" s="3">
        <f t="shared" ca="1" si="88"/>
        <v>2.6601568398919077E-2</v>
      </c>
      <c r="J775" s="3">
        <f t="shared" ca="1" si="88"/>
        <v>2.6249932912393442E-2</v>
      </c>
      <c r="K775" s="3">
        <f t="shared" ca="1" si="88"/>
        <v>2.8362225509114953E-2</v>
      </c>
      <c r="L775" s="3">
        <f t="shared" ca="1" si="88"/>
        <v>2.396528103184711E-2</v>
      </c>
    </row>
    <row r="776" spans="3:12">
      <c r="C776" s="7">
        <v>770</v>
      </c>
      <c r="D776" s="3">
        <f t="shared" si="89"/>
        <v>4.5199999999999997E-2</v>
      </c>
      <c r="E776" s="3">
        <f t="shared" ca="1" si="88"/>
        <v>4.0301060987524548E-2</v>
      </c>
      <c r="F776" s="3">
        <f t="shared" ca="1" si="88"/>
        <v>4.8390996362201656E-2</v>
      </c>
      <c r="G776" s="3">
        <f t="shared" ca="1" si="88"/>
        <v>5.3210970171441725E-2</v>
      </c>
      <c r="H776" s="3">
        <f t="shared" ca="1" si="88"/>
        <v>6.1624638748140885E-2</v>
      </c>
      <c r="I776" s="3">
        <f t="shared" ca="1" si="88"/>
        <v>6.3497819779022815E-2</v>
      </c>
      <c r="J776" s="3">
        <f t="shared" ca="1" si="88"/>
        <v>6.6706856536346573E-2</v>
      </c>
      <c r="K776" s="3">
        <f t="shared" ca="1" si="88"/>
        <v>6.9758671208206099E-2</v>
      </c>
      <c r="L776" s="3">
        <f t="shared" ca="1" si="88"/>
        <v>6.457970350556097E-2</v>
      </c>
    </row>
    <row r="777" spans="3:12">
      <c r="C777" s="7">
        <v>771</v>
      </c>
      <c r="D777" s="3">
        <f t="shared" si="89"/>
        <v>4.5199999999999997E-2</v>
      </c>
      <c r="E777" s="3">
        <f t="shared" ref="E777:L786" ca="1" si="90">D777+E$5*dt+sigma*_xlfn.NORM.S.INV(RAND())*SQRT(dt)</f>
        <v>4.2410222267743047E-2</v>
      </c>
      <c r="F777" s="3">
        <f t="shared" ca="1" si="90"/>
        <v>4.8013904855449423E-2</v>
      </c>
      <c r="G777" s="3">
        <f t="shared" ca="1" si="90"/>
        <v>4.9697931368982158E-2</v>
      </c>
      <c r="H777" s="3">
        <f t="shared" ca="1" si="90"/>
        <v>5.5669835087998776E-2</v>
      </c>
      <c r="I777" s="3">
        <f t="shared" ca="1" si="90"/>
        <v>4.4731472171868618E-2</v>
      </c>
      <c r="J777" s="3">
        <f t="shared" ca="1" si="90"/>
        <v>4.6017742033808109E-2</v>
      </c>
      <c r="K777" s="3">
        <f t="shared" ca="1" si="90"/>
        <v>4.5080040627789683E-2</v>
      </c>
      <c r="L777" s="3">
        <f t="shared" ca="1" si="90"/>
        <v>5.2497970172668211E-2</v>
      </c>
    </row>
    <row r="778" spans="3:12">
      <c r="C778" s="7">
        <v>772</v>
      </c>
      <c r="D778" s="3">
        <f t="shared" si="89"/>
        <v>4.5199999999999997E-2</v>
      </c>
      <c r="E778" s="3">
        <f t="shared" ca="1" si="90"/>
        <v>4.4475866241130556E-2</v>
      </c>
      <c r="F778" s="3">
        <f t="shared" ca="1" si="90"/>
        <v>5.0752238975103545E-2</v>
      </c>
      <c r="G778" s="3">
        <f t="shared" ca="1" si="90"/>
        <v>5.0297194407110869E-2</v>
      </c>
      <c r="H778" s="3">
        <f t="shared" ca="1" si="90"/>
        <v>5.1730586631612591E-2</v>
      </c>
      <c r="I778" s="3">
        <f t="shared" ca="1" si="90"/>
        <v>5.3993504604689095E-2</v>
      </c>
      <c r="J778" s="3">
        <f t="shared" ca="1" si="90"/>
        <v>6.5561693129726012E-2</v>
      </c>
      <c r="K778" s="3">
        <f t="shared" ca="1" si="90"/>
        <v>5.9623411674184806E-2</v>
      </c>
      <c r="L778" s="3">
        <f t="shared" ca="1" si="90"/>
        <v>6.2421198602369249E-2</v>
      </c>
    </row>
    <row r="779" spans="3:12">
      <c r="C779" s="7">
        <v>773</v>
      </c>
      <c r="D779" s="3">
        <f t="shared" si="89"/>
        <v>4.5199999999999997E-2</v>
      </c>
      <c r="E779" s="3">
        <f t="shared" ca="1" si="90"/>
        <v>4.2374645895073462E-2</v>
      </c>
      <c r="F779" s="3">
        <f t="shared" ca="1" si="90"/>
        <v>3.5639318220268432E-2</v>
      </c>
      <c r="G779" s="3">
        <f t="shared" ca="1" si="90"/>
        <v>3.602524599700084E-2</v>
      </c>
      <c r="H779" s="3">
        <f t="shared" ca="1" si="90"/>
        <v>4.1790958570127171E-2</v>
      </c>
      <c r="I779" s="3">
        <f t="shared" ca="1" si="90"/>
        <v>4.6606989396700597E-2</v>
      </c>
      <c r="J779" s="3">
        <f t="shared" ca="1" si="90"/>
        <v>5.4150048953004737E-2</v>
      </c>
      <c r="K779" s="3">
        <f t="shared" ca="1" si="90"/>
        <v>5.4137972918325665E-2</v>
      </c>
      <c r="L779" s="3">
        <f t="shared" ca="1" si="90"/>
        <v>6.4490343377758122E-2</v>
      </c>
    </row>
    <row r="780" spans="3:12">
      <c r="C780" s="7">
        <v>774</v>
      </c>
      <c r="D780" s="3">
        <f t="shared" si="89"/>
        <v>4.5199999999999997E-2</v>
      </c>
      <c r="E780" s="3">
        <f t="shared" ca="1" si="90"/>
        <v>4.3632080757383146E-2</v>
      </c>
      <c r="F780" s="3">
        <f t="shared" ca="1" si="90"/>
        <v>4.4925938328302079E-2</v>
      </c>
      <c r="G780" s="3">
        <f t="shared" ca="1" si="90"/>
        <v>4.5644604277620647E-2</v>
      </c>
      <c r="H780" s="3">
        <f t="shared" ca="1" si="90"/>
        <v>4.9988314879484158E-2</v>
      </c>
      <c r="I780" s="3">
        <f t="shared" ca="1" si="90"/>
        <v>4.4481029876915996E-2</v>
      </c>
      <c r="J780" s="3">
        <f t="shared" ca="1" si="90"/>
        <v>4.3664712398596282E-2</v>
      </c>
      <c r="K780" s="3">
        <f t="shared" ca="1" si="90"/>
        <v>4.5623835826035665E-2</v>
      </c>
      <c r="L780" s="3">
        <f t="shared" ca="1" si="90"/>
        <v>4.9173019069624874E-2</v>
      </c>
    </row>
    <row r="781" spans="3:12">
      <c r="C781" s="7">
        <v>775</v>
      </c>
      <c r="D781" s="3">
        <f t="shared" si="89"/>
        <v>4.5199999999999997E-2</v>
      </c>
      <c r="E781" s="3">
        <f t="shared" ca="1" si="90"/>
        <v>5.3900354372367336E-2</v>
      </c>
      <c r="F781" s="3">
        <f t="shared" ca="1" si="90"/>
        <v>5.3867421361868152E-2</v>
      </c>
      <c r="G781" s="3">
        <f t="shared" ca="1" si="90"/>
        <v>5.1721773508698984E-2</v>
      </c>
      <c r="H781" s="3">
        <f t="shared" ca="1" si="90"/>
        <v>5.9280230963314175E-2</v>
      </c>
      <c r="I781" s="3">
        <f t="shared" ca="1" si="90"/>
        <v>5.8475171866608874E-2</v>
      </c>
      <c r="J781" s="3">
        <f t="shared" ca="1" si="90"/>
        <v>6.7725907746600325E-2</v>
      </c>
      <c r="K781" s="3">
        <f t="shared" ca="1" si="90"/>
        <v>6.2529933003828947E-2</v>
      </c>
      <c r="L781" s="3">
        <f t="shared" ca="1" si="90"/>
        <v>6.9439466940963687E-2</v>
      </c>
    </row>
    <row r="782" spans="3:12">
      <c r="C782" s="7">
        <v>776</v>
      </c>
      <c r="D782" s="3">
        <f t="shared" si="89"/>
        <v>4.5199999999999997E-2</v>
      </c>
      <c r="E782" s="3">
        <f t="shared" ca="1" si="90"/>
        <v>4.2763935255818508E-2</v>
      </c>
      <c r="F782" s="3">
        <f t="shared" ca="1" si="90"/>
        <v>3.834087144687387E-2</v>
      </c>
      <c r="G782" s="3">
        <f t="shared" ca="1" si="90"/>
        <v>3.8010428650279829E-2</v>
      </c>
      <c r="H782" s="3">
        <f t="shared" ca="1" si="90"/>
        <v>3.6764388073035295E-2</v>
      </c>
      <c r="I782" s="3">
        <f t="shared" ca="1" si="90"/>
        <v>3.0987952363096125E-2</v>
      </c>
      <c r="J782" s="3">
        <f t="shared" ca="1" si="90"/>
        <v>2.8552457458207881E-2</v>
      </c>
      <c r="K782" s="3">
        <f t="shared" ca="1" si="90"/>
        <v>2.6189585011873556E-2</v>
      </c>
      <c r="L782" s="3">
        <f t="shared" ca="1" si="90"/>
        <v>3.1583408222178658E-2</v>
      </c>
    </row>
    <row r="783" spans="3:12">
      <c r="C783" s="7">
        <v>777</v>
      </c>
      <c r="D783" s="3">
        <f t="shared" si="89"/>
        <v>4.5199999999999997E-2</v>
      </c>
      <c r="E783" s="3">
        <f t="shared" ca="1" si="90"/>
        <v>5.1387990579403638E-2</v>
      </c>
      <c r="F783" s="3">
        <f t="shared" ca="1" si="90"/>
        <v>5.9169651814919115E-2</v>
      </c>
      <c r="G783" s="3">
        <f t="shared" ca="1" si="90"/>
        <v>6.2686921536351595E-2</v>
      </c>
      <c r="H783" s="3">
        <f t="shared" ca="1" si="90"/>
        <v>6.285573281271549E-2</v>
      </c>
      <c r="I783" s="3">
        <f t="shared" ca="1" si="90"/>
        <v>6.1892543454358122E-2</v>
      </c>
      <c r="J783" s="3">
        <f t="shared" ca="1" si="90"/>
        <v>7.1489033754338627E-2</v>
      </c>
      <c r="K783" s="3">
        <f t="shared" ca="1" si="90"/>
        <v>7.3137877967168918E-2</v>
      </c>
      <c r="L783" s="3">
        <f t="shared" ca="1" si="90"/>
        <v>7.508348096909509E-2</v>
      </c>
    </row>
    <row r="784" spans="3:12">
      <c r="C784" s="7">
        <v>778</v>
      </c>
      <c r="D784" s="3">
        <f t="shared" si="89"/>
        <v>4.5199999999999997E-2</v>
      </c>
      <c r="E784" s="3">
        <f t="shared" ca="1" si="90"/>
        <v>4.341609675913044E-2</v>
      </c>
      <c r="F784" s="3">
        <f t="shared" ca="1" si="90"/>
        <v>4.2892061023815695E-2</v>
      </c>
      <c r="G784" s="3">
        <f t="shared" ca="1" si="90"/>
        <v>4.1744673747047663E-2</v>
      </c>
      <c r="H784" s="3">
        <f t="shared" ca="1" si="90"/>
        <v>5.3664160361637819E-2</v>
      </c>
      <c r="I784" s="3">
        <f t="shared" ca="1" si="90"/>
        <v>4.4489092355348828E-2</v>
      </c>
      <c r="J784" s="3">
        <f t="shared" ca="1" si="90"/>
        <v>4.8281187329795978E-2</v>
      </c>
      <c r="K784" s="3">
        <f t="shared" ca="1" si="90"/>
        <v>4.7526098491408653E-2</v>
      </c>
      <c r="L784" s="3">
        <f t="shared" ca="1" si="90"/>
        <v>5.4068053211519605E-2</v>
      </c>
    </row>
    <row r="785" spans="3:12">
      <c r="C785" s="7">
        <v>779</v>
      </c>
      <c r="D785" s="3">
        <f t="shared" si="89"/>
        <v>4.5199999999999997E-2</v>
      </c>
      <c r="E785" s="3">
        <f t="shared" ca="1" si="90"/>
        <v>4.567677195189427E-2</v>
      </c>
      <c r="F785" s="3">
        <f t="shared" ca="1" si="90"/>
        <v>5.7359136803903144E-2</v>
      </c>
      <c r="G785" s="3">
        <f t="shared" ca="1" si="90"/>
        <v>5.1969764229109462E-2</v>
      </c>
      <c r="H785" s="3">
        <f t="shared" ca="1" si="90"/>
        <v>4.4321523099415054E-2</v>
      </c>
      <c r="I785" s="3">
        <f t="shared" ca="1" si="90"/>
        <v>4.5537694596325701E-2</v>
      </c>
      <c r="J785" s="3">
        <f t="shared" ca="1" si="90"/>
        <v>4.6074547468214835E-2</v>
      </c>
      <c r="K785" s="3">
        <f t="shared" ca="1" si="90"/>
        <v>4.746388813170941E-2</v>
      </c>
      <c r="L785" s="3">
        <f t="shared" ca="1" si="90"/>
        <v>5.0292796348783302E-2</v>
      </c>
    </row>
    <row r="786" spans="3:12">
      <c r="C786" s="7">
        <v>780</v>
      </c>
      <c r="D786" s="3">
        <f t="shared" si="89"/>
        <v>4.5199999999999997E-2</v>
      </c>
      <c r="E786" s="3">
        <f t="shared" ca="1" si="90"/>
        <v>3.9780853947685324E-2</v>
      </c>
      <c r="F786" s="3">
        <f t="shared" ca="1" si="90"/>
        <v>4.6410180803012527E-2</v>
      </c>
      <c r="G786" s="3">
        <f t="shared" ca="1" si="90"/>
        <v>4.780576903039347E-2</v>
      </c>
      <c r="H786" s="3">
        <f t="shared" ca="1" si="90"/>
        <v>4.6392587588416086E-2</v>
      </c>
      <c r="I786" s="3">
        <f t="shared" ca="1" si="90"/>
        <v>4.641380427531179E-2</v>
      </c>
      <c r="J786" s="3">
        <f t="shared" ca="1" si="90"/>
        <v>5.0272940275650255E-2</v>
      </c>
      <c r="K786" s="3">
        <f t="shared" ca="1" si="90"/>
        <v>4.9749782137793221E-2</v>
      </c>
      <c r="L786" s="3">
        <f t="shared" ca="1" si="90"/>
        <v>4.5201070395207606E-2</v>
      </c>
    </row>
    <row r="787" spans="3:12">
      <c r="C787" s="7">
        <v>781</v>
      </c>
      <c r="D787" s="3">
        <f t="shared" si="89"/>
        <v>4.5199999999999997E-2</v>
      </c>
      <c r="E787" s="3">
        <f t="shared" ref="E787:L796" ca="1" si="91">D787+E$5*dt+sigma*_xlfn.NORM.S.INV(RAND())*SQRT(dt)</f>
        <v>3.7212239273260825E-2</v>
      </c>
      <c r="F787" s="3">
        <f t="shared" ca="1" si="91"/>
        <v>4.1934342427116612E-2</v>
      </c>
      <c r="G787" s="3">
        <f t="shared" ca="1" si="91"/>
        <v>5.3464236401246666E-2</v>
      </c>
      <c r="H787" s="3">
        <f t="shared" ca="1" si="91"/>
        <v>5.5901233770038632E-2</v>
      </c>
      <c r="I787" s="3">
        <f t="shared" ca="1" si="91"/>
        <v>4.5012984560041311E-2</v>
      </c>
      <c r="J787" s="3">
        <f t="shared" ca="1" si="91"/>
        <v>4.6017086008317082E-2</v>
      </c>
      <c r="K787" s="3">
        <f t="shared" ca="1" si="91"/>
        <v>4.725291799265538E-2</v>
      </c>
      <c r="L787" s="3">
        <f t="shared" ca="1" si="91"/>
        <v>4.3726769436455426E-2</v>
      </c>
    </row>
    <row r="788" spans="3:12">
      <c r="C788" s="7">
        <v>782</v>
      </c>
      <c r="D788" s="3">
        <f t="shared" si="89"/>
        <v>4.5199999999999997E-2</v>
      </c>
      <c r="E788" s="3">
        <f t="shared" ca="1" si="91"/>
        <v>4.6491404943625331E-2</v>
      </c>
      <c r="F788" s="3">
        <f t="shared" ca="1" si="91"/>
        <v>5.1101042021422592E-2</v>
      </c>
      <c r="G788" s="3">
        <f t="shared" ca="1" si="91"/>
        <v>5.5135473426310519E-2</v>
      </c>
      <c r="H788" s="3">
        <f t="shared" ca="1" si="91"/>
        <v>4.9349122255739779E-2</v>
      </c>
      <c r="I788" s="3">
        <f t="shared" ca="1" si="91"/>
        <v>4.502345066015747E-2</v>
      </c>
      <c r="J788" s="3">
        <f t="shared" ca="1" si="91"/>
        <v>5.6943785847750769E-2</v>
      </c>
      <c r="K788" s="3">
        <f t="shared" ca="1" si="91"/>
        <v>5.9001190322725411E-2</v>
      </c>
      <c r="L788" s="3">
        <f t="shared" ca="1" si="91"/>
        <v>5.5833096302955458E-2</v>
      </c>
    </row>
    <row r="789" spans="3:12">
      <c r="C789" s="7">
        <v>783</v>
      </c>
      <c r="D789" s="3">
        <f t="shared" si="89"/>
        <v>4.5199999999999997E-2</v>
      </c>
      <c r="E789" s="3">
        <f t="shared" ca="1" si="91"/>
        <v>4.5841998205015902E-2</v>
      </c>
      <c r="F789" s="3">
        <f t="shared" ca="1" si="91"/>
        <v>3.789696559152176E-2</v>
      </c>
      <c r="G789" s="3">
        <f t="shared" ca="1" si="91"/>
        <v>4.377104796807163E-2</v>
      </c>
      <c r="H789" s="3">
        <f t="shared" ca="1" si="91"/>
        <v>4.865577604713122E-2</v>
      </c>
      <c r="I789" s="3">
        <f t="shared" ca="1" si="91"/>
        <v>5.8671313068363179E-2</v>
      </c>
      <c r="J789" s="3">
        <f t="shared" ca="1" si="91"/>
        <v>5.7638123450598426E-2</v>
      </c>
      <c r="K789" s="3">
        <f t="shared" ca="1" si="91"/>
        <v>6.0575640392287432E-2</v>
      </c>
      <c r="L789" s="3">
        <f t="shared" ca="1" si="91"/>
        <v>6.6161827385848929E-2</v>
      </c>
    </row>
    <row r="790" spans="3:12">
      <c r="C790" s="7">
        <v>784</v>
      </c>
      <c r="D790" s="3">
        <f t="shared" si="89"/>
        <v>4.5199999999999997E-2</v>
      </c>
      <c r="E790" s="3">
        <f t="shared" ca="1" si="91"/>
        <v>4.5451449068270901E-2</v>
      </c>
      <c r="F790" s="3">
        <f t="shared" ca="1" si="91"/>
        <v>4.3323329800398873E-2</v>
      </c>
      <c r="G790" s="3">
        <f t="shared" ca="1" si="91"/>
        <v>4.2208185478578436E-2</v>
      </c>
      <c r="H790" s="3">
        <f t="shared" ca="1" si="91"/>
        <v>4.4744273405307483E-2</v>
      </c>
      <c r="I790" s="3">
        <f t="shared" ca="1" si="91"/>
        <v>4.575390813764852E-2</v>
      </c>
      <c r="J790" s="3">
        <f t="shared" ca="1" si="91"/>
        <v>4.566661362826583E-2</v>
      </c>
      <c r="K790" s="3">
        <f t="shared" ca="1" si="91"/>
        <v>5.3201660304652662E-2</v>
      </c>
      <c r="L790" s="3">
        <f t="shared" ca="1" si="91"/>
        <v>5.8211063893945175E-2</v>
      </c>
    </row>
    <row r="791" spans="3:12">
      <c r="C791" s="7">
        <v>785</v>
      </c>
      <c r="D791" s="3">
        <f t="shared" si="89"/>
        <v>4.5199999999999997E-2</v>
      </c>
      <c r="E791" s="3">
        <f t="shared" ca="1" si="91"/>
        <v>4.8428019458259912E-2</v>
      </c>
      <c r="F791" s="3">
        <f t="shared" ca="1" si="91"/>
        <v>5.1842162844080358E-2</v>
      </c>
      <c r="G791" s="3">
        <f t="shared" ca="1" si="91"/>
        <v>5.1321432533017582E-2</v>
      </c>
      <c r="H791" s="3">
        <f t="shared" ca="1" si="91"/>
        <v>5.228358629181723E-2</v>
      </c>
      <c r="I791" s="3">
        <f t="shared" ca="1" si="91"/>
        <v>5.676538982701182E-2</v>
      </c>
      <c r="J791" s="3">
        <f t="shared" ca="1" si="91"/>
        <v>6.5222770340063893E-2</v>
      </c>
      <c r="K791" s="3">
        <f t="shared" ca="1" si="91"/>
        <v>7.1611435729364861E-2</v>
      </c>
      <c r="L791" s="3">
        <f t="shared" ca="1" si="91"/>
        <v>6.7911554796318996E-2</v>
      </c>
    </row>
    <row r="792" spans="3:12">
      <c r="C792" s="7">
        <v>786</v>
      </c>
      <c r="D792" s="3">
        <f t="shared" si="89"/>
        <v>4.5199999999999997E-2</v>
      </c>
      <c r="E792" s="3">
        <f t="shared" ca="1" si="91"/>
        <v>4.687317320855551E-2</v>
      </c>
      <c r="F792" s="3">
        <f t="shared" ca="1" si="91"/>
        <v>4.7299789637995804E-2</v>
      </c>
      <c r="G792" s="3">
        <f t="shared" ca="1" si="91"/>
        <v>5.3752083107885623E-2</v>
      </c>
      <c r="H792" s="3">
        <f t="shared" ca="1" si="91"/>
        <v>6.2240015495410063E-2</v>
      </c>
      <c r="I792" s="3">
        <f t="shared" ca="1" si="91"/>
        <v>5.9120224340591714E-2</v>
      </c>
      <c r="J792" s="3">
        <f t="shared" ca="1" si="91"/>
        <v>5.4253416535179719E-2</v>
      </c>
      <c r="K792" s="3">
        <f t="shared" ca="1" si="91"/>
        <v>5.4708475618543487E-2</v>
      </c>
      <c r="L792" s="3">
        <f t="shared" ca="1" si="91"/>
        <v>5.1980799404355363E-2</v>
      </c>
    </row>
    <row r="793" spans="3:12">
      <c r="C793" s="7">
        <v>787</v>
      </c>
      <c r="D793" s="3">
        <f t="shared" si="89"/>
        <v>4.5199999999999997E-2</v>
      </c>
      <c r="E793" s="3">
        <f t="shared" ca="1" si="91"/>
        <v>4.3827778267677392E-2</v>
      </c>
      <c r="F793" s="3">
        <f t="shared" ca="1" si="91"/>
        <v>3.8011172371191573E-2</v>
      </c>
      <c r="G793" s="3">
        <f t="shared" ca="1" si="91"/>
        <v>3.7216286639228435E-2</v>
      </c>
      <c r="H793" s="3">
        <f t="shared" ca="1" si="91"/>
        <v>4.5142517615440816E-2</v>
      </c>
      <c r="I793" s="3">
        <f t="shared" ca="1" si="91"/>
        <v>5.2046597187526335E-2</v>
      </c>
      <c r="J793" s="3">
        <f t="shared" ca="1" si="91"/>
        <v>6.0707841435946645E-2</v>
      </c>
      <c r="K793" s="3">
        <f t="shared" ca="1" si="91"/>
        <v>5.62357992024516E-2</v>
      </c>
      <c r="L793" s="3">
        <f t="shared" ca="1" si="91"/>
        <v>6.1991652322598373E-2</v>
      </c>
    </row>
    <row r="794" spans="3:12">
      <c r="C794" s="7">
        <v>788</v>
      </c>
      <c r="D794" s="3">
        <f t="shared" si="89"/>
        <v>4.5199999999999997E-2</v>
      </c>
      <c r="E794" s="3">
        <f t="shared" ca="1" si="91"/>
        <v>4.7971558152185366E-2</v>
      </c>
      <c r="F794" s="3">
        <f t="shared" ca="1" si="91"/>
        <v>4.3333327249681433E-2</v>
      </c>
      <c r="G794" s="3">
        <f t="shared" ca="1" si="91"/>
        <v>4.2564628992312122E-2</v>
      </c>
      <c r="H794" s="3">
        <f t="shared" ca="1" si="91"/>
        <v>4.8270891534705554E-2</v>
      </c>
      <c r="I794" s="3">
        <f t="shared" ca="1" si="91"/>
        <v>4.7926166328546446E-2</v>
      </c>
      <c r="J794" s="3">
        <f t="shared" ca="1" si="91"/>
        <v>5.3531707035757416E-2</v>
      </c>
      <c r="K794" s="3">
        <f t="shared" ca="1" si="91"/>
        <v>4.540001043410382E-2</v>
      </c>
      <c r="L794" s="3">
        <f t="shared" ca="1" si="91"/>
        <v>4.1547762707070869E-2</v>
      </c>
    </row>
    <row r="795" spans="3:12">
      <c r="C795" s="7">
        <v>789</v>
      </c>
      <c r="D795" s="3">
        <f t="shared" si="89"/>
        <v>4.5199999999999997E-2</v>
      </c>
      <c r="E795" s="3">
        <f t="shared" ca="1" si="91"/>
        <v>3.7441556692950413E-2</v>
      </c>
      <c r="F795" s="3">
        <f t="shared" ca="1" si="91"/>
        <v>3.932077570543361E-2</v>
      </c>
      <c r="G795" s="3">
        <f t="shared" ca="1" si="91"/>
        <v>4.2214814537087891E-2</v>
      </c>
      <c r="H795" s="3">
        <f t="shared" ca="1" si="91"/>
        <v>4.0950126134747487E-2</v>
      </c>
      <c r="I795" s="3">
        <f t="shared" ca="1" si="91"/>
        <v>4.2984819414028111E-2</v>
      </c>
      <c r="J795" s="3">
        <f t="shared" ca="1" si="91"/>
        <v>4.927685506140609E-2</v>
      </c>
      <c r="K795" s="3">
        <f t="shared" ca="1" si="91"/>
        <v>5.0115576196583883E-2</v>
      </c>
      <c r="L795" s="3">
        <f t="shared" ca="1" si="91"/>
        <v>6.1793472563557508E-2</v>
      </c>
    </row>
    <row r="796" spans="3:12">
      <c r="C796" s="7">
        <v>790</v>
      </c>
      <c r="D796" s="3">
        <f t="shared" si="89"/>
        <v>4.5199999999999997E-2</v>
      </c>
      <c r="E796" s="3">
        <f t="shared" ca="1" si="91"/>
        <v>4.3184096471959803E-2</v>
      </c>
      <c r="F796" s="3">
        <f t="shared" ca="1" si="91"/>
        <v>5.4909264428876274E-2</v>
      </c>
      <c r="G796" s="3">
        <f t="shared" ca="1" si="91"/>
        <v>5.7310848764198563E-2</v>
      </c>
      <c r="H796" s="3">
        <f t="shared" ca="1" si="91"/>
        <v>6.0102638387249788E-2</v>
      </c>
      <c r="I796" s="3">
        <f t="shared" ca="1" si="91"/>
        <v>6.0576175248672301E-2</v>
      </c>
      <c r="J796" s="3">
        <f t="shared" ca="1" si="91"/>
        <v>6.4637339201556829E-2</v>
      </c>
      <c r="K796" s="3">
        <f t="shared" ca="1" si="91"/>
        <v>6.4069752146151335E-2</v>
      </c>
      <c r="L796" s="3">
        <f t="shared" ca="1" si="91"/>
        <v>5.9886118459660381E-2</v>
      </c>
    </row>
    <row r="797" spans="3:12">
      <c r="C797" s="7">
        <v>791</v>
      </c>
      <c r="D797" s="3">
        <f t="shared" si="89"/>
        <v>4.5199999999999997E-2</v>
      </c>
      <c r="E797" s="3">
        <f t="shared" ref="E797:L806" ca="1" si="92">D797+E$5*dt+sigma*_xlfn.NORM.S.INV(RAND())*SQRT(dt)</f>
        <v>3.9011498886795185E-2</v>
      </c>
      <c r="F797" s="3">
        <f t="shared" ca="1" si="92"/>
        <v>3.6355930974216362E-2</v>
      </c>
      <c r="G797" s="3">
        <f t="shared" ca="1" si="92"/>
        <v>3.2694311521436821E-2</v>
      </c>
      <c r="H797" s="3">
        <f t="shared" ca="1" si="92"/>
        <v>3.4102141037483442E-2</v>
      </c>
      <c r="I797" s="3">
        <f t="shared" ca="1" si="92"/>
        <v>3.7323212471696829E-2</v>
      </c>
      <c r="J797" s="3">
        <f t="shared" ca="1" si="92"/>
        <v>4.0262736260635736E-2</v>
      </c>
      <c r="K797" s="3">
        <f t="shared" ca="1" si="92"/>
        <v>4.1356370120665377E-2</v>
      </c>
      <c r="L797" s="3">
        <f t="shared" ca="1" si="92"/>
        <v>4.0592867885416148E-2</v>
      </c>
    </row>
    <row r="798" spans="3:12">
      <c r="C798" s="7">
        <v>792</v>
      </c>
      <c r="D798" s="3">
        <f t="shared" si="89"/>
        <v>4.5199999999999997E-2</v>
      </c>
      <c r="E798" s="3">
        <f t="shared" ca="1" si="92"/>
        <v>4.5423442384443832E-2</v>
      </c>
      <c r="F798" s="3">
        <f t="shared" ca="1" si="92"/>
        <v>5.6547720151906095E-2</v>
      </c>
      <c r="G798" s="3">
        <f t="shared" ca="1" si="92"/>
        <v>6.2635988359604211E-2</v>
      </c>
      <c r="H798" s="3">
        <f t="shared" ca="1" si="92"/>
        <v>6.2934689345223782E-2</v>
      </c>
      <c r="I798" s="3">
        <f t="shared" ca="1" si="92"/>
        <v>6.8116924363648079E-2</v>
      </c>
      <c r="J798" s="3">
        <f t="shared" ca="1" si="92"/>
        <v>7.7905027744561525E-2</v>
      </c>
      <c r="K798" s="3">
        <f t="shared" ca="1" si="92"/>
        <v>8.1696113415548763E-2</v>
      </c>
      <c r="L798" s="3">
        <f t="shared" ca="1" si="92"/>
        <v>9.1464998843997697E-2</v>
      </c>
    </row>
    <row r="799" spans="3:12">
      <c r="C799" s="7">
        <v>793</v>
      </c>
      <c r="D799" s="3">
        <f t="shared" si="89"/>
        <v>4.5199999999999997E-2</v>
      </c>
      <c r="E799" s="3">
        <f t="shared" ca="1" si="92"/>
        <v>4.8978542776615328E-2</v>
      </c>
      <c r="F799" s="3">
        <f t="shared" ca="1" si="92"/>
        <v>5.0719856791867919E-2</v>
      </c>
      <c r="G799" s="3">
        <f t="shared" ca="1" si="92"/>
        <v>5.2798697182640041E-2</v>
      </c>
      <c r="H799" s="3">
        <f t="shared" ca="1" si="92"/>
        <v>5.4469572528098385E-2</v>
      </c>
      <c r="I799" s="3">
        <f t="shared" ca="1" si="92"/>
        <v>4.6908824113522131E-2</v>
      </c>
      <c r="J799" s="3">
        <f t="shared" ca="1" si="92"/>
        <v>5.5512260195661356E-2</v>
      </c>
      <c r="K799" s="3">
        <f t="shared" ca="1" si="92"/>
        <v>5.6790672902963392E-2</v>
      </c>
      <c r="L799" s="3">
        <f t="shared" ca="1" si="92"/>
        <v>6.1030266233094661E-2</v>
      </c>
    </row>
    <row r="800" spans="3:12">
      <c r="C800" s="7">
        <v>794</v>
      </c>
      <c r="D800" s="3">
        <f t="shared" si="89"/>
        <v>4.5199999999999997E-2</v>
      </c>
      <c r="E800" s="3">
        <f t="shared" ca="1" si="92"/>
        <v>4.0857575505877507E-2</v>
      </c>
      <c r="F800" s="3">
        <f t="shared" ca="1" si="92"/>
        <v>4.4845825330906253E-2</v>
      </c>
      <c r="G800" s="3">
        <f t="shared" ca="1" si="92"/>
        <v>3.9759156858068051E-2</v>
      </c>
      <c r="H800" s="3">
        <f t="shared" ca="1" si="92"/>
        <v>4.2939051952878123E-2</v>
      </c>
      <c r="I800" s="3">
        <f t="shared" ca="1" si="92"/>
        <v>4.1055287991436255E-2</v>
      </c>
      <c r="J800" s="3">
        <f t="shared" ca="1" si="92"/>
        <v>4.6852963246045341E-2</v>
      </c>
      <c r="K800" s="3">
        <f t="shared" ca="1" si="92"/>
        <v>4.9727588875524302E-2</v>
      </c>
      <c r="L800" s="3">
        <f t="shared" ca="1" si="92"/>
        <v>5.4828794289427177E-2</v>
      </c>
    </row>
    <row r="801" spans="3:12">
      <c r="C801" s="7">
        <v>795</v>
      </c>
      <c r="D801" s="3">
        <f t="shared" si="89"/>
        <v>4.5199999999999997E-2</v>
      </c>
      <c r="E801" s="3">
        <f t="shared" ca="1" si="92"/>
        <v>4.8075084104812552E-2</v>
      </c>
      <c r="F801" s="3">
        <f t="shared" ca="1" si="92"/>
        <v>5.1869701036641576E-2</v>
      </c>
      <c r="G801" s="3">
        <f t="shared" ca="1" si="92"/>
        <v>4.3909370895741519E-2</v>
      </c>
      <c r="H801" s="3">
        <f t="shared" ca="1" si="92"/>
        <v>4.8851572669544291E-2</v>
      </c>
      <c r="I801" s="3">
        <f t="shared" ca="1" si="92"/>
        <v>4.5254915639773095E-2</v>
      </c>
      <c r="J801" s="3">
        <f t="shared" ca="1" si="92"/>
        <v>4.4166977608034001E-2</v>
      </c>
      <c r="K801" s="3">
        <f t="shared" ca="1" si="92"/>
        <v>4.7278012310170675E-2</v>
      </c>
      <c r="L801" s="3">
        <f t="shared" ca="1" si="92"/>
        <v>5.0323812448367748E-2</v>
      </c>
    </row>
    <row r="802" spans="3:12">
      <c r="C802" s="7">
        <v>796</v>
      </c>
      <c r="D802" s="3">
        <f t="shared" si="89"/>
        <v>4.5199999999999997E-2</v>
      </c>
      <c r="E802" s="3">
        <f t="shared" ca="1" si="92"/>
        <v>4.4131235635131966E-2</v>
      </c>
      <c r="F802" s="3">
        <f t="shared" ca="1" si="92"/>
        <v>4.6389041418882705E-2</v>
      </c>
      <c r="G802" s="3">
        <f t="shared" ca="1" si="92"/>
        <v>5.2547277574437418E-2</v>
      </c>
      <c r="H802" s="3">
        <f t="shared" ca="1" si="92"/>
        <v>4.8810316538354701E-2</v>
      </c>
      <c r="I802" s="3">
        <f t="shared" ca="1" si="92"/>
        <v>4.861037685059099E-2</v>
      </c>
      <c r="J802" s="3">
        <f t="shared" ca="1" si="92"/>
        <v>4.3055804535136022E-2</v>
      </c>
      <c r="K802" s="3">
        <f t="shared" ca="1" si="92"/>
        <v>4.0529220900200842E-2</v>
      </c>
      <c r="L802" s="3">
        <f t="shared" ca="1" si="92"/>
        <v>4.6619299857661917E-2</v>
      </c>
    </row>
    <row r="803" spans="3:12">
      <c r="C803" s="7">
        <v>797</v>
      </c>
      <c r="D803" s="3">
        <f t="shared" si="89"/>
        <v>4.5199999999999997E-2</v>
      </c>
      <c r="E803" s="3">
        <f t="shared" ca="1" si="92"/>
        <v>3.4368817620255836E-2</v>
      </c>
      <c r="F803" s="3">
        <f t="shared" ca="1" si="92"/>
        <v>2.9847658991116792E-2</v>
      </c>
      <c r="G803" s="3">
        <f t="shared" ca="1" si="92"/>
        <v>2.7544897303211677E-2</v>
      </c>
      <c r="H803" s="3">
        <f t="shared" ca="1" si="92"/>
        <v>2.387788033054836E-2</v>
      </c>
      <c r="I803" s="3">
        <f t="shared" ca="1" si="92"/>
        <v>2.8637552189971459E-2</v>
      </c>
      <c r="J803" s="3">
        <f t="shared" ca="1" si="92"/>
        <v>3.682379577083892E-2</v>
      </c>
      <c r="K803" s="3">
        <f t="shared" ca="1" si="92"/>
        <v>3.3989162140991319E-2</v>
      </c>
      <c r="L803" s="3">
        <f t="shared" ca="1" si="92"/>
        <v>4.0531114737432983E-2</v>
      </c>
    </row>
    <row r="804" spans="3:12">
      <c r="C804" s="7">
        <v>798</v>
      </c>
      <c r="D804" s="3">
        <f t="shared" si="89"/>
        <v>4.5199999999999997E-2</v>
      </c>
      <c r="E804" s="3">
        <f t="shared" ca="1" si="92"/>
        <v>4.5882023974124025E-2</v>
      </c>
      <c r="F804" s="3">
        <f t="shared" ca="1" si="92"/>
        <v>4.1204690324794922E-2</v>
      </c>
      <c r="G804" s="3">
        <f t="shared" ca="1" si="92"/>
        <v>4.7869183271348502E-2</v>
      </c>
      <c r="H804" s="3">
        <f t="shared" ca="1" si="92"/>
        <v>4.7352544330196943E-2</v>
      </c>
      <c r="I804" s="3">
        <f t="shared" ca="1" si="92"/>
        <v>4.7793715167736436E-2</v>
      </c>
      <c r="J804" s="3">
        <f t="shared" ca="1" si="92"/>
        <v>4.4377548588197396E-2</v>
      </c>
      <c r="K804" s="3">
        <f t="shared" ca="1" si="92"/>
        <v>4.0285669250539703E-2</v>
      </c>
      <c r="L804" s="3">
        <f t="shared" ca="1" si="92"/>
        <v>4.7384768398955925E-2</v>
      </c>
    </row>
    <row r="805" spans="3:12">
      <c r="C805" s="7">
        <v>799</v>
      </c>
      <c r="D805" s="3">
        <f t="shared" si="89"/>
        <v>4.5199999999999997E-2</v>
      </c>
      <c r="E805" s="3">
        <f t="shared" ca="1" si="92"/>
        <v>4.3436564282109687E-2</v>
      </c>
      <c r="F805" s="3">
        <f t="shared" ca="1" si="92"/>
        <v>4.6314390593786676E-2</v>
      </c>
      <c r="G805" s="3">
        <f t="shared" ca="1" si="92"/>
        <v>4.0175581278514144E-2</v>
      </c>
      <c r="H805" s="3">
        <f t="shared" ca="1" si="92"/>
        <v>5.1528318940307107E-2</v>
      </c>
      <c r="I805" s="3">
        <f t="shared" ca="1" si="92"/>
        <v>5.179483745000197E-2</v>
      </c>
      <c r="J805" s="3">
        <f t="shared" ca="1" si="92"/>
        <v>5.4147247432854782E-2</v>
      </c>
      <c r="K805" s="3">
        <f t="shared" ca="1" si="92"/>
        <v>5.0219772254511845E-2</v>
      </c>
      <c r="L805" s="3">
        <f t="shared" ca="1" si="92"/>
        <v>5.1603725043673838E-2</v>
      </c>
    </row>
    <row r="806" spans="3:12">
      <c r="C806" s="7">
        <v>800</v>
      </c>
      <c r="D806" s="3">
        <f t="shared" si="89"/>
        <v>4.5199999999999997E-2</v>
      </c>
      <c r="E806" s="3">
        <f t="shared" ca="1" si="92"/>
        <v>4.2861124038336772E-2</v>
      </c>
      <c r="F806" s="3">
        <f t="shared" ca="1" si="92"/>
        <v>4.4477775448891824E-2</v>
      </c>
      <c r="G806" s="3">
        <f t="shared" ca="1" si="92"/>
        <v>4.2474346145390321E-2</v>
      </c>
      <c r="H806" s="3">
        <f t="shared" ca="1" si="92"/>
        <v>4.8955051944713675E-2</v>
      </c>
      <c r="I806" s="3">
        <f t="shared" ca="1" si="92"/>
        <v>5.7560976902772946E-2</v>
      </c>
      <c r="J806" s="3">
        <f t="shared" ca="1" si="92"/>
        <v>5.5971871914441362E-2</v>
      </c>
      <c r="K806" s="3">
        <f t="shared" ca="1" si="92"/>
        <v>6.0016068224717445E-2</v>
      </c>
      <c r="L806" s="3">
        <f t="shared" ca="1" si="92"/>
        <v>5.6002466141903399E-2</v>
      </c>
    </row>
    <row r="807" spans="3:12">
      <c r="C807" s="7">
        <v>801</v>
      </c>
      <c r="D807" s="3">
        <f t="shared" si="89"/>
        <v>4.5199999999999997E-2</v>
      </c>
      <c r="E807" s="3">
        <f t="shared" ref="E807:L816" ca="1" si="93">D807+E$5*dt+sigma*_xlfn.NORM.S.INV(RAND())*SQRT(dt)</f>
        <v>4.1293989030435761E-2</v>
      </c>
      <c r="F807" s="3">
        <f t="shared" ca="1" si="93"/>
        <v>4.3729700901968663E-2</v>
      </c>
      <c r="G807" s="3">
        <f t="shared" ca="1" si="93"/>
        <v>3.9317318611474514E-2</v>
      </c>
      <c r="H807" s="3">
        <f t="shared" ca="1" si="93"/>
        <v>5.0121609107724271E-2</v>
      </c>
      <c r="I807" s="3">
        <f t="shared" ca="1" si="93"/>
        <v>4.3171097876176075E-2</v>
      </c>
      <c r="J807" s="3">
        <f t="shared" ca="1" si="93"/>
        <v>4.1096812636798367E-2</v>
      </c>
      <c r="K807" s="3">
        <f t="shared" ca="1" si="93"/>
        <v>3.9915885224897349E-2</v>
      </c>
      <c r="L807" s="3">
        <f t="shared" ca="1" si="93"/>
        <v>4.5760318024028371E-2</v>
      </c>
    </row>
    <row r="808" spans="3:12">
      <c r="C808" s="7">
        <v>802</v>
      </c>
      <c r="D808" s="3">
        <f t="shared" si="89"/>
        <v>4.5199999999999997E-2</v>
      </c>
      <c r="E808" s="3">
        <f t="shared" ca="1" si="93"/>
        <v>4.2868138969762021E-2</v>
      </c>
      <c r="F808" s="3">
        <f t="shared" ca="1" si="93"/>
        <v>4.6225749141057329E-2</v>
      </c>
      <c r="G808" s="3">
        <f t="shared" ca="1" si="93"/>
        <v>4.6261511892222336E-2</v>
      </c>
      <c r="H808" s="3">
        <f t="shared" ca="1" si="93"/>
        <v>5.1020944270165347E-2</v>
      </c>
      <c r="I808" s="3">
        <f t="shared" ca="1" si="93"/>
        <v>5.3280419350268629E-2</v>
      </c>
      <c r="J808" s="3">
        <f t="shared" ca="1" si="93"/>
        <v>6.7299427833321573E-2</v>
      </c>
      <c r="K808" s="3">
        <f t="shared" ca="1" si="93"/>
        <v>7.0403903366563367E-2</v>
      </c>
      <c r="L808" s="3">
        <f t="shared" ca="1" si="93"/>
        <v>7.2243684734285912E-2</v>
      </c>
    </row>
    <row r="809" spans="3:12">
      <c r="C809" s="7">
        <v>803</v>
      </c>
      <c r="D809" s="3">
        <f t="shared" si="89"/>
        <v>4.5199999999999997E-2</v>
      </c>
      <c r="E809" s="3">
        <f t="shared" ca="1" si="93"/>
        <v>4.0301748819795986E-2</v>
      </c>
      <c r="F809" s="3">
        <f t="shared" ca="1" si="93"/>
        <v>3.8246629933848551E-2</v>
      </c>
      <c r="G809" s="3">
        <f t="shared" ca="1" si="93"/>
        <v>3.8585694288743144E-2</v>
      </c>
      <c r="H809" s="3">
        <f t="shared" ca="1" si="93"/>
        <v>3.8872349716514341E-2</v>
      </c>
      <c r="I809" s="3">
        <f t="shared" ca="1" si="93"/>
        <v>3.5165908981467028E-2</v>
      </c>
      <c r="J809" s="3">
        <f t="shared" ca="1" si="93"/>
        <v>4.0017998703402842E-2</v>
      </c>
      <c r="K809" s="3">
        <f t="shared" ca="1" si="93"/>
        <v>4.6901306645746474E-2</v>
      </c>
      <c r="L809" s="3">
        <f t="shared" ca="1" si="93"/>
        <v>4.6625228525226381E-2</v>
      </c>
    </row>
    <row r="810" spans="3:12">
      <c r="C810" s="7">
        <v>804</v>
      </c>
      <c r="D810" s="3">
        <f t="shared" si="89"/>
        <v>4.5199999999999997E-2</v>
      </c>
      <c r="E810" s="3">
        <f t="shared" ca="1" si="93"/>
        <v>5.0712752700368804E-2</v>
      </c>
      <c r="F810" s="3">
        <f t="shared" ca="1" si="93"/>
        <v>5.2158128978713511E-2</v>
      </c>
      <c r="G810" s="3">
        <f t="shared" ca="1" si="93"/>
        <v>4.897954868720869E-2</v>
      </c>
      <c r="H810" s="3">
        <f t="shared" ca="1" si="93"/>
        <v>5.5302996911817073E-2</v>
      </c>
      <c r="I810" s="3">
        <f t="shared" ca="1" si="93"/>
        <v>5.3406336378314059E-2</v>
      </c>
      <c r="J810" s="3">
        <f t="shared" ca="1" si="93"/>
        <v>5.4281591810158979E-2</v>
      </c>
      <c r="K810" s="3">
        <f t="shared" ca="1" si="93"/>
        <v>6.1734107736474877E-2</v>
      </c>
      <c r="L810" s="3">
        <f t="shared" ca="1" si="93"/>
        <v>5.889717904779021E-2</v>
      </c>
    </row>
    <row r="811" spans="3:12">
      <c r="C811" s="7">
        <v>805</v>
      </c>
      <c r="D811" s="3">
        <f t="shared" si="89"/>
        <v>4.5199999999999997E-2</v>
      </c>
      <c r="E811" s="3">
        <f t="shared" ca="1" si="93"/>
        <v>4.6799490795843897E-2</v>
      </c>
      <c r="F811" s="3">
        <f t="shared" ca="1" si="93"/>
        <v>5.0181370997031731E-2</v>
      </c>
      <c r="G811" s="3">
        <f t="shared" ca="1" si="93"/>
        <v>4.8184129294632262E-2</v>
      </c>
      <c r="H811" s="3">
        <f t="shared" ca="1" si="93"/>
        <v>4.3346890957549795E-2</v>
      </c>
      <c r="I811" s="3">
        <f t="shared" ca="1" si="93"/>
        <v>4.2033753084504098E-2</v>
      </c>
      <c r="J811" s="3">
        <f t="shared" ca="1" si="93"/>
        <v>4.5139131231692622E-2</v>
      </c>
      <c r="K811" s="3">
        <f t="shared" ca="1" si="93"/>
        <v>3.4603819021746828E-2</v>
      </c>
      <c r="L811" s="3">
        <f t="shared" ca="1" si="93"/>
        <v>4.460843393262582E-2</v>
      </c>
    </row>
    <row r="812" spans="3:12">
      <c r="C812" s="7">
        <v>806</v>
      </c>
      <c r="D812" s="3">
        <f t="shared" si="89"/>
        <v>4.5199999999999997E-2</v>
      </c>
      <c r="E812" s="3">
        <f t="shared" ca="1" si="93"/>
        <v>4.7801376826227891E-2</v>
      </c>
      <c r="F812" s="3">
        <f t="shared" ca="1" si="93"/>
        <v>4.9342405355746806E-2</v>
      </c>
      <c r="G812" s="3">
        <f t="shared" ca="1" si="93"/>
        <v>5.4038175115303497E-2</v>
      </c>
      <c r="H812" s="3">
        <f t="shared" ca="1" si="93"/>
        <v>6.616241608917324E-2</v>
      </c>
      <c r="I812" s="3">
        <f t="shared" ca="1" si="93"/>
        <v>5.6298422408080612E-2</v>
      </c>
      <c r="J812" s="3">
        <f t="shared" ca="1" si="93"/>
        <v>6.0891947828334833E-2</v>
      </c>
      <c r="K812" s="3">
        <f t="shared" ca="1" si="93"/>
        <v>6.0053765360681709E-2</v>
      </c>
      <c r="L812" s="3">
        <f t="shared" ca="1" si="93"/>
        <v>5.8851456532633024E-2</v>
      </c>
    </row>
    <row r="813" spans="3:12">
      <c r="C813" s="7">
        <v>807</v>
      </c>
      <c r="D813" s="3">
        <f t="shared" si="89"/>
        <v>4.5199999999999997E-2</v>
      </c>
      <c r="E813" s="3">
        <f t="shared" ca="1" si="93"/>
        <v>4.9310277329922284E-2</v>
      </c>
      <c r="F813" s="3">
        <f t="shared" ca="1" si="93"/>
        <v>4.5871466070683681E-2</v>
      </c>
      <c r="G813" s="3">
        <f t="shared" ca="1" si="93"/>
        <v>4.8007594777818303E-2</v>
      </c>
      <c r="H813" s="3">
        <f t="shared" ca="1" si="93"/>
        <v>4.5225373551304099E-2</v>
      </c>
      <c r="I813" s="3">
        <f t="shared" ca="1" si="93"/>
        <v>4.1141380443111844E-2</v>
      </c>
      <c r="J813" s="3">
        <f t="shared" ca="1" si="93"/>
        <v>5.1475531099356694E-2</v>
      </c>
      <c r="K813" s="3">
        <f t="shared" ca="1" si="93"/>
        <v>4.4895258906218441E-2</v>
      </c>
      <c r="L813" s="3">
        <f t="shared" ca="1" si="93"/>
        <v>5.0293092015236962E-2</v>
      </c>
    </row>
    <row r="814" spans="3:12">
      <c r="C814" s="7">
        <v>808</v>
      </c>
      <c r="D814" s="3">
        <f t="shared" si="89"/>
        <v>4.5199999999999997E-2</v>
      </c>
      <c r="E814" s="3">
        <f t="shared" ca="1" si="93"/>
        <v>4.7731817019524649E-2</v>
      </c>
      <c r="F814" s="3">
        <f t="shared" ca="1" si="93"/>
        <v>5.2294635422341369E-2</v>
      </c>
      <c r="G814" s="3">
        <f t="shared" ca="1" si="93"/>
        <v>5.3071526852111896E-2</v>
      </c>
      <c r="H814" s="3">
        <f t="shared" ca="1" si="93"/>
        <v>4.8555332827188567E-2</v>
      </c>
      <c r="I814" s="3">
        <f t="shared" ca="1" si="93"/>
        <v>4.3162155604974585E-2</v>
      </c>
      <c r="J814" s="3">
        <f t="shared" ca="1" si="93"/>
        <v>3.8188989042733601E-2</v>
      </c>
      <c r="K814" s="3">
        <f t="shared" ca="1" si="93"/>
        <v>3.7443864396982218E-2</v>
      </c>
      <c r="L814" s="3">
        <f t="shared" ca="1" si="93"/>
        <v>4.9810581865540118E-2</v>
      </c>
    </row>
    <row r="815" spans="3:12">
      <c r="C815" s="7">
        <v>809</v>
      </c>
      <c r="D815" s="3">
        <f t="shared" si="89"/>
        <v>4.5199999999999997E-2</v>
      </c>
      <c r="E815" s="3">
        <f t="shared" ca="1" si="93"/>
        <v>4.4459302607444809E-2</v>
      </c>
      <c r="F815" s="3">
        <f t="shared" ca="1" si="93"/>
        <v>4.5775964509462364E-2</v>
      </c>
      <c r="G815" s="3">
        <f t="shared" ca="1" si="93"/>
        <v>4.2076210266044099E-2</v>
      </c>
      <c r="H815" s="3">
        <f t="shared" ca="1" si="93"/>
        <v>4.7078117725894562E-2</v>
      </c>
      <c r="I815" s="3">
        <f t="shared" ca="1" si="93"/>
        <v>5.5440415814637829E-2</v>
      </c>
      <c r="J815" s="3">
        <f t="shared" ca="1" si="93"/>
        <v>5.5675539862831462E-2</v>
      </c>
      <c r="K815" s="3">
        <f t="shared" ca="1" si="93"/>
        <v>5.3452354787633334E-2</v>
      </c>
      <c r="L815" s="3">
        <f t="shared" ca="1" si="93"/>
        <v>4.939879040166513E-2</v>
      </c>
    </row>
    <row r="816" spans="3:12">
      <c r="C816" s="7">
        <v>810</v>
      </c>
      <c r="D816" s="3">
        <f t="shared" si="89"/>
        <v>4.5199999999999997E-2</v>
      </c>
      <c r="E816" s="3">
        <f t="shared" ca="1" si="93"/>
        <v>4.3722697339093501E-2</v>
      </c>
      <c r="F816" s="3">
        <f t="shared" ca="1" si="93"/>
        <v>4.8019326773134308E-2</v>
      </c>
      <c r="G816" s="3">
        <f t="shared" ca="1" si="93"/>
        <v>4.9159654690537249E-2</v>
      </c>
      <c r="H816" s="3">
        <f t="shared" ca="1" si="93"/>
        <v>5.3796152117726342E-2</v>
      </c>
      <c r="I816" s="3">
        <f t="shared" ca="1" si="93"/>
        <v>5.6278819211168923E-2</v>
      </c>
      <c r="J816" s="3">
        <f t="shared" ca="1" si="93"/>
        <v>5.4742505644000974E-2</v>
      </c>
      <c r="K816" s="3">
        <f t="shared" ca="1" si="93"/>
        <v>5.2585768412069279E-2</v>
      </c>
      <c r="L816" s="3">
        <f t="shared" ca="1" si="93"/>
        <v>5.3841525241481149E-2</v>
      </c>
    </row>
    <row r="817" spans="3:12">
      <c r="C817" s="7">
        <v>811</v>
      </c>
      <c r="D817" s="3">
        <f t="shared" si="89"/>
        <v>4.5199999999999997E-2</v>
      </c>
      <c r="E817" s="3">
        <f t="shared" ref="E817:L826" ca="1" si="94">D817+E$5*dt+sigma*_xlfn.NORM.S.INV(RAND())*SQRT(dt)</f>
        <v>4.9959678497428939E-2</v>
      </c>
      <c r="F817" s="3">
        <f t="shared" ca="1" si="94"/>
        <v>5.5230373142907976E-2</v>
      </c>
      <c r="G817" s="3">
        <f t="shared" ca="1" si="94"/>
        <v>5.9890627890185441E-2</v>
      </c>
      <c r="H817" s="3">
        <f t="shared" ca="1" si="94"/>
        <v>6.3511121552787403E-2</v>
      </c>
      <c r="I817" s="3">
        <f t="shared" ca="1" si="94"/>
        <v>6.3916133602665959E-2</v>
      </c>
      <c r="J817" s="3">
        <f t="shared" ca="1" si="94"/>
        <v>6.9426813614415939E-2</v>
      </c>
      <c r="K817" s="3">
        <f t="shared" ca="1" si="94"/>
        <v>6.1926136983814009E-2</v>
      </c>
      <c r="L817" s="3">
        <f t="shared" ca="1" si="94"/>
        <v>6.01164201477715E-2</v>
      </c>
    </row>
    <row r="818" spans="3:12">
      <c r="C818" s="7">
        <v>812</v>
      </c>
      <c r="D818" s="3">
        <f t="shared" si="89"/>
        <v>4.5199999999999997E-2</v>
      </c>
      <c r="E818" s="3">
        <f t="shared" ca="1" si="94"/>
        <v>4.6243269969886008E-2</v>
      </c>
      <c r="F818" s="3">
        <f t="shared" ca="1" si="94"/>
        <v>5.3495975784120027E-2</v>
      </c>
      <c r="G818" s="3">
        <f t="shared" ca="1" si="94"/>
        <v>5.2977447784276092E-2</v>
      </c>
      <c r="H818" s="3">
        <f t="shared" ca="1" si="94"/>
        <v>3.6687543111588269E-2</v>
      </c>
      <c r="I818" s="3">
        <f t="shared" ca="1" si="94"/>
        <v>4.1804499299951503E-2</v>
      </c>
      <c r="J818" s="3">
        <f t="shared" ca="1" si="94"/>
        <v>5.115655622057802E-2</v>
      </c>
      <c r="K818" s="3">
        <f t="shared" ca="1" si="94"/>
        <v>4.6684591846839985E-2</v>
      </c>
      <c r="L818" s="3">
        <f t="shared" ca="1" si="94"/>
        <v>5.2269249903819801E-2</v>
      </c>
    </row>
    <row r="819" spans="3:12">
      <c r="C819" s="7">
        <v>813</v>
      </c>
      <c r="D819" s="3">
        <f t="shared" si="89"/>
        <v>4.5199999999999997E-2</v>
      </c>
      <c r="E819" s="3">
        <f t="shared" ca="1" si="94"/>
        <v>4.8453707716903445E-2</v>
      </c>
      <c r="F819" s="3">
        <f t="shared" ca="1" si="94"/>
        <v>5.5268994114425762E-2</v>
      </c>
      <c r="G819" s="3">
        <f t="shared" ca="1" si="94"/>
        <v>5.4696342707587546E-2</v>
      </c>
      <c r="H819" s="3">
        <f t="shared" ca="1" si="94"/>
        <v>5.2950556679078553E-2</v>
      </c>
      <c r="I819" s="3">
        <f t="shared" ca="1" si="94"/>
        <v>5.3815429139301679E-2</v>
      </c>
      <c r="J819" s="3">
        <f t="shared" ca="1" si="94"/>
        <v>6.4031494232388214E-2</v>
      </c>
      <c r="K819" s="3">
        <f t="shared" ca="1" si="94"/>
        <v>5.7222953947555194E-2</v>
      </c>
      <c r="L819" s="3">
        <f t="shared" ca="1" si="94"/>
        <v>6.4032014943843335E-2</v>
      </c>
    </row>
    <row r="820" spans="3:12">
      <c r="C820" s="7">
        <v>814</v>
      </c>
      <c r="D820" s="3">
        <f t="shared" si="89"/>
        <v>4.5199999999999997E-2</v>
      </c>
      <c r="E820" s="3">
        <f t="shared" ca="1" si="94"/>
        <v>4.6347510543249905E-2</v>
      </c>
      <c r="F820" s="3">
        <f t="shared" ca="1" si="94"/>
        <v>4.8529767929455438E-2</v>
      </c>
      <c r="G820" s="3">
        <f t="shared" ca="1" si="94"/>
        <v>3.9764368542720099E-2</v>
      </c>
      <c r="H820" s="3">
        <f t="shared" ca="1" si="94"/>
        <v>3.7960156787783257E-2</v>
      </c>
      <c r="I820" s="3">
        <f t="shared" ca="1" si="94"/>
        <v>3.046959535024759E-2</v>
      </c>
      <c r="J820" s="3">
        <f t="shared" ca="1" si="94"/>
        <v>3.4310260535521664E-2</v>
      </c>
      <c r="K820" s="3">
        <f t="shared" ca="1" si="94"/>
        <v>2.8468177325882749E-2</v>
      </c>
      <c r="L820" s="3">
        <f t="shared" ca="1" si="94"/>
        <v>3.1566352370140341E-2</v>
      </c>
    </row>
    <row r="821" spans="3:12">
      <c r="C821" s="7">
        <v>815</v>
      </c>
      <c r="D821" s="3">
        <f t="shared" si="89"/>
        <v>4.5199999999999997E-2</v>
      </c>
      <c r="E821" s="3">
        <f t="shared" ca="1" si="94"/>
        <v>4.8711385374796204E-2</v>
      </c>
      <c r="F821" s="3">
        <f t="shared" ca="1" si="94"/>
        <v>4.7340958314162254E-2</v>
      </c>
      <c r="G821" s="3">
        <f t="shared" ca="1" si="94"/>
        <v>5.3572531501020156E-2</v>
      </c>
      <c r="H821" s="3">
        <f t="shared" ca="1" si="94"/>
        <v>5.2854630611886909E-2</v>
      </c>
      <c r="I821" s="3">
        <f t="shared" ca="1" si="94"/>
        <v>5.2661438917978864E-2</v>
      </c>
      <c r="J821" s="3">
        <f t="shared" ca="1" si="94"/>
        <v>5.8843561725623481E-2</v>
      </c>
      <c r="K821" s="3">
        <f t="shared" ca="1" si="94"/>
        <v>5.8369590227854443E-2</v>
      </c>
      <c r="L821" s="3">
        <f t="shared" ca="1" si="94"/>
        <v>6.4183674130456031E-2</v>
      </c>
    </row>
    <row r="822" spans="3:12">
      <c r="C822" s="7">
        <v>816</v>
      </c>
      <c r="D822" s="3">
        <f t="shared" si="89"/>
        <v>4.5199999999999997E-2</v>
      </c>
      <c r="E822" s="3">
        <f t="shared" ca="1" si="94"/>
        <v>4.3986689198519315E-2</v>
      </c>
      <c r="F822" s="3">
        <f t="shared" ca="1" si="94"/>
        <v>5.1959242651381139E-2</v>
      </c>
      <c r="G822" s="3">
        <f t="shared" ca="1" si="94"/>
        <v>5.2334419272032869E-2</v>
      </c>
      <c r="H822" s="3">
        <f t="shared" ca="1" si="94"/>
        <v>5.2880100365479091E-2</v>
      </c>
      <c r="I822" s="3">
        <f t="shared" ca="1" si="94"/>
        <v>5.0834929547315139E-2</v>
      </c>
      <c r="J822" s="3">
        <f t="shared" ca="1" si="94"/>
        <v>5.2127072710336293E-2</v>
      </c>
      <c r="K822" s="3">
        <f t="shared" ca="1" si="94"/>
        <v>5.5075447397867884E-2</v>
      </c>
      <c r="L822" s="3">
        <f t="shared" ca="1" si="94"/>
        <v>6.0842368544709036E-2</v>
      </c>
    </row>
    <row r="823" spans="3:12">
      <c r="C823" s="7">
        <v>817</v>
      </c>
      <c r="D823" s="3">
        <f t="shared" si="89"/>
        <v>4.5199999999999997E-2</v>
      </c>
      <c r="E823" s="3">
        <f t="shared" ca="1" si="94"/>
        <v>4.4009136239707008E-2</v>
      </c>
      <c r="F823" s="3">
        <f t="shared" ca="1" si="94"/>
        <v>4.3348490656310988E-2</v>
      </c>
      <c r="G823" s="3">
        <f t="shared" ca="1" si="94"/>
        <v>4.3000794351910364E-2</v>
      </c>
      <c r="H823" s="3">
        <f t="shared" ca="1" si="94"/>
        <v>4.1521420058485692E-2</v>
      </c>
      <c r="I823" s="3">
        <f t="shared" ca="1" si="94"/>
        <v>3.246151034079419E-2</v>
      </c>
      <c r="J823" s="3">
        <f t="shared" ca="1" si="94"/>
        <v>3.4880725608888732E-2</v>
      </c>
      <c r="K823" s="3">
        <f t="shared" ca="1" si="94"/>
        <v>3.0695417946797834E-2</v>
      </c>
      <c r="L823" s="3">
        <f t="shared" ca="1" si="94"/>
        <v>3.4856680985605112E-2</v>
      </c>
    </row>
    <row r="824" spans="3:12">
      <c r="C824" s="7">
        <v>818</v>
      </c>
      <c r="D824" s="3">
        <f t="shared" si="89"/>
        <v>4.5199999999999997E-2</v>
      </c>
      <c r="E824" s="3">
        <f t="shared" ca="1" si="94"/>
        <v>4.0100131857894412E-2</v>
      </c>
      <c r="F824" s="3">
        <f t="shared" ca="1" si="94"/>
        <v>4.2321345659763351E-2</v>
      </c>
      <c r="G824" s="3">
        <f t="shared" ca="1" si="94"/>
        <v>3.8560138142674068E-2</v>
      </c>
      <c r="H824" s="3">
        <f t="shared" ca="1" si="94"/>
        <v>3.5000559136041852E-2</v>
      </c>
      <c r="I824" s="3">
        <f t="shared" ca="1" si="94"/>
        <v>3.9209101974800022E-2</v>
      </c>
      <c r="J824" s="3">
        <f t="shared" ca="1" si="94"/>
        <v>3.9432393488051366E-2</v>
      </c>
      <c r="K824" s="3">
        <f t="shared" ca="1" si="94"/>
        <v>3.8431150466633347E-2</v>
      </c>
      <c r="L824" s="3">
        <f t="shared" ca="1" si="94"/>
        <v>4.4020160341984048E-2</v>
      </c>
    </row>
    <row r="825" spans="3:12">
      <c r="C825" s="7">
        <v>819</v>
      </c>
      <c r="D825" s="3">
        <f t="shared" si="89"/>
        <v>4.5199999999999997E-2</v>
      </c>
      <c r="E825" s="3">
        <f t="shared" ca="1" si="94"/>
        <v>3.6578886215584111E-2</v>
      </c>
      <c r="F825" s="3">
        <f t="shared" ca="1" si="94"/>
        <v>3.7423758131626766E-2</v>
      </c>
      <c r="G825" s="3">
        <f t="shared" ca="1" si="94"/>
        <v>3.7381040238478817E-2</v>
      </c>
      <c r="H825" s="3">
        <f t="shared" ca="1" si="94"/>
        <v>4.0403766407907181E-2</v>
      </c>
      <c r="I825" s="3">
        <f t="shared" ca="1" si="94"/>
        <v>3.8537128052873536E-2</v>
      </c>
      <c r="J825" s="3">
        <f t="shared" ca="1" si="94"/>
        <v>4.4175671324513555E-2</v>
      </c>
      <c r="K825" s="3">
        <f t="shared" ca="1" si="94"/>
        <v>4.7174717763432766E-2</v>
      </c>
      <c r="L825" s="3">
        <f t="shared" ca="1" si="94"/>
        <v>4.9051973260742184E-2</v>
      </c>
    </row>
    <row r="826" spans="3:12">
      <c r="C826" s="7">
        <v>820</v>
      </c>
      <c r="D826" s="3">
        <f t="shared" si="89"/>
        <v>4.5199999999999997E-2</v>
      </c>
      <c r="E826" s="3">
        <f t="shared" ca="1" si="94"/>
        <v>3.935365929086232E-2</v>
      </c>
      <c r="F826" s="3">
        <f t="shared" ca="1" si="94"/>
        <v>3.5707234550946897E-2</v>
      </c>
      <c r="G826" s="3">
        <f t="shared" ca="1" si="94"/>
        <v>3.219036534316503E-2</v>
      </c>
      <c r="H826" s="3">
        <f t="shared" ca="1" si="94"/>
        <v>2.7561524671677082E-2</v>
      </c>
      <c r="I826" s="3">
        <f t="shared" ca="1" si="94"/>
        <v>2.0418883480220199E-2</v>
      </c>
      <c r="J826" s="3">
        <f t="shared" ca="1" si="94"/>
        <v>2.977994072997342E-2</v>
      </c>
      <c r="K826" s="3">
        <f t="shared" ca="1" si="94"/>
        <v>2.762373932539966E-2</v>
      </c>
      <c r="L826" s="3">
        <f t="shared" ca="1" si="94"/>
        <v>3.1291859900404867E-2</v>
      </c>
    </row>
    <row r="827" spans="3:12">
      <c r="C827" s="7">
        <v>821</v>
      </c>
      <c r="D827" s="3">
        <f t="shared" si="89"/>
        <v>4.5199999999999997E-2</v>
      </c>
      <c r="E827" s="3">
        <f t="shared" ref="E827:L836" ca="1" si="95">D827+E$5*dt+sigma*_xlfn.NORM.S.INV(RAND())*SQRT(dt)</f>
        <v>4.3986646209044106E-2</v>
      </c>
      <c r="F827" s="3">
        <f t="shared" ca="1" si="95"/>
        <v>4.7286827477445406E-2</v>
      </c>
      <c r="G827" s="3">
        <f t="shared" ca="1" si="95"/>
        <v>5.0622712077637182E-2</v>
      </c>
      <c r="H827" s="3">
        <f t="shared" ca="1" si="95"/>
        <v>5.3018063870155278E-2</v>
      </c>
      <c r="I827" s="3">
        <f t="shared" ca="1" si="95"/>
        <v>5.4391757276170558E-2</v>
      </c>
      <c r="J827" s="3">
        <f t="shared" ca="1" si="95"/>
        <v>5.8367874084184132E-2</v>
      </c>
      <c r="K827" s="3">
        <f t="shared" ca="1" si="95"/>
        <v>6.3003315717338346E-2</v>
      </c>
      <c r="L827" s="3">
        <f t="shared" ca="1" si="95"/>
        <v>6.9680862393734819E-2</v>
      </c>
    </row>
    <row r="828" spans="3:12">
      <c r="C828" s="7">
        <v>822</v>
      </c>
      <c r="D828" s="3">
        <f t="shared" si="89"/>
        <v>4.5199999999999997E-2</v>
      </c>
      <c r="E828" s="3">
        <f t="shared" ca="1" si="95"/>
        <v>4.7709085840504761E-2</v>
      </c>
      <c r="F828" s="3">
        <f t="shared" ca="1" si="95"/>
        <v>4.4731880808533797E-2</v>
      </c>
      <c r="G828" s="3">
        <f t="shared" ca="1" si="95"/>
        <v>4.6242254020751911E-2</v>
      </c>
      <c r="H828" s="3">
        <f t="shared" ca="1" si="95"/>
        <v>4.7994518042595205E-2</v>
      </c>
      <c r="I828" s="3">
        <f t="shared" ca="1" si="95"/>
        <v>4.6304723051181898E-2</v>
      </c>
      <c r="J828" s="3">
        <f t="shared" ca="1" si="95"/>
        <v>3.8426672500104092E-2</v>
      </c>
      <c r="K828" s="3">
        <f t="shared" ca="1" si="95"/>
        <v>4.2854147730391957E-2</v>
      </c>
      <c r="L828" s="3">
        <f t="shared" ca="1" si="95"/>
        <v>5.0727483172693592E-2</v>
      </c>
    </row>
    <row r="829" spans="3:12">
      <c r="C829" s="7">
        <v>823</v>
      </c>
      <c r="D829" s="3">
        <f t="shared" si="89"/>
        <v>4.5199999999999997E-2</v>
      </c>
      <c r="E829" s="3">
        <f t="shared" ca="1" si="95"/>
        <v>5.4316239408264515E-2</v>
      </c>
      <c r="F829" s="3">
        <f t="shared" ca="1" si="95"/>
        <v>5.4226574702950663E-2</v>
      </c>
      <c r="G829" s="3">
        <f t="shared" ca="1" si="95"/>
        <v>5.7200535856563983E-2</v>
      </c>
      <c r="H829" s="3">
        <f t="shared" ca="1" si="95"/>
        <v>5.6075697642844327E-2</v>
      </c>
      <c r="I829" s="3">
        <f t="shared" ca="1" si="95"/>
        <v>5.4434526120248711E-2</v>
      </c>
      <c r="J829" s="3">
        <f t="shared" ca="1" si="95"/>
        <v>5.3198193079993072E-2</v>
      </c>
      <c r="K829" s="3">
        <f t="shared" ca="1" si="95"/>
        <v>5.3403752152410999E-2</v>
      </c>
      <c r="L829" s="3">
        <f t="shared" ca="1" si="95"/>
        <v>4.9263824003256344E-2</v>
      </c>
    </row>
    <row r="830" spans="3:12">
      <c r="C830" s="7">
        <v>824</v>
      </c>
      <c r="D830" s="3">
        <f t="shared" si="89"/>
        <v>4.5199999999999997E-2</v>
      </c>
      <c r="E830" s="3">
        <f t="shared" ca="1" si="95"/>
        <v>5.1977564883968756E-2</v>
      </c>
      <c r="F830" s="3">
        <f t="shared" ca="1" si="95"/>
        <v>5.3954778352058044E-2</v>
      </c>
      <c r="G830" s="3">
        <f t="shared" ca="1" si="95"/>
        <v>5.9822711666384157E-2</v>
      </c>
      <c r="H830" s="3">
        <f t="shared" ca="1" si="95"/>
        <v>5.4922807860602309E-2</v>
      </c>
      <c r="I830" s="3">
        <f t="shared" ca="1" si="95"/>
        <v>5.3920456001535604E-2</v>
      </c>
      <c r="J830" s="3">
        <f t="shared" ca="1" si="95"/>
        <v>4.8099533049253358E-2</v>
      </c>
      <c r="K830" s="3">
        <f t="shared" ca="1" si="95"/>
        <v>4.855778923011346E-2</v>
      </c>
      <c r="L830" s="3">
        <f t="shared" ca="1" si="95"/>
        <v>5.4384265804765526E-2</v>
      </c>
    </row>
    <row r="831" spans="3:12">
      <c r="C831" s="7">
        <v>825</v>
      </c>
      <c r="D831" s="3">
        <f t="shared" si="89"/>
        <v>4.5199999999999997E-2</v>
      </c>
      <c r="E831" s="3">
        <f t="shared" ca="1" si="95"/>
        <v>3.8425202482775207E-2</v>
      </c>
      <c r="F831" s="3">
        <f t="shared" ca="1" si="95"/>
        <v>4.707059429790765E-2</v>
      </c>
      <c r="G831" s="3">
        <f t="shared" ca="1" si="95"/>
        <v>4.6991699027732821E-2</v>
      </c>
      <c r="H831" s="3">
        <f t="shared" ca="1" si="95"/>
        <v>4.3866848051641386E-2</v>
      </c>
      <c r="I831" s="3">
        <f t="shared" ca="1" si="95"/>
        <v>4.7117533380617742E-2</v>
      </c>
      <c r="J831" s="3">
        <f t="shared" ca="1" si="95"/>
        <v>3.9662239631206492E-2</v>
      </c>
      <c r="K831" s="3">
        <f t="shared" ca="1" si="95"/>
        <v>3.8426538738244483E-2</v>
      </c>
      <c r="L831" s="3">
        <f t="shared" ca="1" si="95"/>
        <v>3.649757550563533E-2</v>
      </c>
    </row>
    <row r="832" spans="3:12">
      <c r="C832" s="7">
        <v>826</v>
      </c>
      <c r="D832" s="3">
        <f t="shared" si="89"/>
        <v>4.5199999999999997E-2</v>
      </c>
      <c r="E832" s="3">
        <f t="shared" ca="1" si="95"/>
        <v>4.6467149144851956E-2</v>
      </c>
      <c r="F832" s="3">
        <f t="shared" ca="1" si="95"/>
        <v>4.4355696638088374E-2</v>
      </c>
      <c r="G832" s="3">
        <f t="shared" ca="1" si="95"/>
        <v>5.1975118928728636E-2</v>
      </c>
      <c r="H832" s="3">
        <f t="shared" ca="1" si="95"/>
        <v>6.2855089423103666E-2</v>
      </c>
      <c r="I832" s="3">
        <f t="shared" ca="1" si="95"/>
        <v>6.7392534622194328E-2</v>
      </c>
      <c r="J832" s="3">
        <f t="shared" ca="1" si="95"/>
        <v>7.6224687906835495E-2</v>
      </c>
      <c r="K832" s="3">
        <f t="shared" ca="1" si="95"/>
        <v>8.1763656618382918E-2</v>
      </c>
      <c r="L832" s="3">
        <f t="shared" ca="1" si="95"/>
        <v>8.0277377695913602E-2</v>
      </c>
    </row>
    <row r="833" spans="3:12">
      <c r="C833" s="7">
        <v>827</v>
      </c>
      <c r="D833" s="3">
        <f t="shared" si="89"/>
        <v>4.5199999999999997E-2</v>
      </c>
      <c r="E833" s="3">
        <f t="shared" ca="1" si="95"/>
        <v>3.7897054592512337E-2</v>
      </c>
      <c r="F833" s="3">
        <f t="shared" ca="1" si="95"/>
        <v>4.1110147995431168E-2</v>
      </c>
      <c r="G833" s="3">
        <f t="shared" ca="1" si="95"/>
        <v>3.6764865744371406E-2</v>
      </c>
      <c r="H833" s="3">
        <f t="shared" ca="1" si="95"/>
        <v>3.559450666740499E-2</v>
      </c>
      <c r="I833" s="3">
        <f t="shared" ca="1" si="95"/>
        <v>3.1490432812626624E-2</v>
      </c>
      <c r="J833" s="3">
        <f t="shared" ca="1" si="95"/>
        <v>4.7234687078641049E-2</v>
      </c>
      <c r="K833" s="3">
        <f t="shared" ca="1" si="95"/>
        <v>4.8170295431519822E-2</v>
      </c>
      <c r="L833" s="3">
        <f t="shared" ca="1" si="95"/>
        <v>4.8391264023884079E-2</v>
      </c>
    </row>
    <row r="834" spans="3:12">
      <c r="C834" s="7">
        <v>828</v>
      </c>
      <c r="D834" s="3">
        <f t="shared" si="89"/>
        <v>4.5199999999999997E-2</v>
      </c>
      <c r="E834" s="3">
        <f t="shared" ca="1" si="95"/>
        <v>4.257548429055634E-2</v>
      </c>
      <c r="F834" s="3">
        <f t="shared" ca="1" si="95"/>
        <v>4.9776978712619102E-2</v>
      </c>
      <c r="G834" s="3">
        <f t="shared" ca="1" si="95"/>
        <v>5.999482932891706E-2</v>
      </c>
      <c r="H834" s="3">
        <f t="shared" ca="1" si="95"/>
        <v>6.1490162923721801E-2</v>
      </c>
      <c r="I834" s="3">
        <f t="shared" ca="1" si="95"/>
        <v>5.1341674563567641E-2</v>
      </c>
      <c r="J834" s="3">
        <f t="shared" ca="1" si="95"/>
        <v>5.9992936148494741E-2</v>
      </c>
      <c r="K834" s="3">
        <f t="shared" ca="1" si="95"/>
        <v>5.2465376971146505E-2</v>
      </c>
      <c r="L834" s="3">
        <f t="shared" ca="1" si="95"/>
        <v>5.1174195990671606E-2</v>
      </c>
    </row>
    <row r="835" spans="3:12">
      <c r="C835" s="7">
        <v>829</v>
      </c>
      <c r="D835" s="3">
        <f t="shared" si="89"/>
        <v>4.5199999999999997E-2</v>
      </c>
      <c r="E835" s="3">
        <f t="shared" ca="1" si="95"/>
        <v>4.2646297498828839E-2</v>
      </c>
      <c r="F835" s="3">
        <f t="shared" ca="1" si="95"/>
        <v>5.0941422298797716E-2</v>
      </c>
      <c r="G835" s="3">
        <f t="shared" ca="1" si="95"/>
        <v>5.3947179559264306E-2</v>
      </c>
      <c r="H835" s="3">
        <f t="shared" ca="1" si="95"/>
        <v>5.3390183064273761E-2</v>
      </c>
      <c r="I835" s="3">
        <f t="shared" ca="1" si="95"/>
        <v>5.7829590315086533E-2</v>
      </c>
      <c r="J835" s="3">
        <f t="shared" ca="1" si="95"/>
        <v>6.0873812987861244E-2</v>
      </c>
      <c r="K835" s="3">
        <f t="shared" ca="1" si="95"/>
        <v>6.1888657429191932E-2</v>
      </c>
      <c r="L835" s="3">
        <f t="shared" ca="1" si="95"/>
        <v>5.7233824711338407E-2</v>
      </c>
    </row>
    <row r="836" spans="3:12">
      <c r="C836" s="7">
        <v>830</v>
      </c>
      <c r="D836" s="3">
        <f t="shared" si="89"/>
        <v>4.5199999999999997E-2</v>
      </c>
      <c r="E836" s="3">
        <f t="shared" ca="1" si="95"/>
        <v>4.3575442377822959E-2</v>
      </c>
      <c r="F836" s="3">
        <f t="shared" ca="1" si="95"/>
        <v>4.541314294726928E-2</v>
      </c>
      <c r="G836" s="3">
        <f t="shared" ca="1" si="95"/>
        <v>4.6875529474589984E-2</v>
      </c>
      <c r="H836" s="3">
        <f t="shared" ca="1" si="95"/>
        <v>5.0995896404137007E-2</v>
      </c>
      <c r="I836" s="3">
        <f t="shared" ca="1" si="95"/>
        <v>5.1318501996957859E-2</v>
      </c>
      <c r="J836" s="3">
        <f t="shared" ca="1" si="95"/>
        <v>5.5759994532051306E-2</v>
      </c>
      <c r="K836" s="3">
        <f t="shared" ca="1" si="95"/>
        <v>5.6394451121953314E-2</v>
      </c>
      <c r="L836" s="3">
        <f t="shared" ca="1" si="95"/>
        <v>5.8067911499887756E-2</v>
      </c>
    </row>
    <row r="837" spans="3:12">
      <c r="C837" s="7">
        <v>831</v>
      </c>
      <c r="D837" s="3">
        <f t="shared" si="89"/>
        <v>4.5199999999999997E-2</v>
      </c>
      <c r="E837" s="3">
        <f t="shared" ref="E837:L846" ca="1" si="96">D837+E$5*dt+sigma*_xlfn.NORM.S.INV(RAND())*SQRT(dt)</f>
        <v>4.0294939452088521E-2</v>
      </c>
      <c r="F837" s="3">
        <f t="shared" ca="1" si="96"/>
        <v>3.8562775933546928E-2</v>
      </c>
      <c r="G837" s="3">
        <f t="shared" ca="1" si="96"/>
        <v>3.2646695232539165E-2</v>
      </c>
      <c r="H837" s="3">
        <f t="shared" ca="1" si="96"/>
        <v>2.9433054710398279E-2</v>
      </c>
      <c r="I837" s="3">
        <f t="shared" ca="1" si="96"/>
        <v>2.604248982704235E-2</v>
      </c>
      <c r="J837" s="3">
        <f t="shared" ca="1" si="96"/>
        <v>2.8470836862777002E-2</v>
      </c>
      <c r="K837" s="3">
        <f t="shared" ca="1" si="96"/>
        <v>2.239867705026001E-2</v>
      </c>
      <c r="L837" s="3">
        <f t="shared" ca="1" si="96"/>
        <v>2.6910337173826036E-2</v>
      </c>
    </row>
    <row r="838" spans="3:12">
      <c r="C838" s="7">
        <v>832</v>
      </c>
      <c r="D838" s="3">
        <f t="shared" si="89"/>
        <v>4.5199999999999997E-2</v>
      </c>
      <c r="E838" s="3">
        <f t="shared" ca="1" si="96"/>
        <v>4.8301632973371242E-2</v>
      </c>
      <c r="F838" s="3">
        <f t="shared" ca="1" si="96"/>
        <v>5.4845390977239748E-2</v>
      </c>
      <c r="G838" s="3">
        <f t="shared" ca="1" si="96"/>
        <v>4.9249062389126193E-2</v>
      </c>
      <c r="H838" s="3">
        <f t="shared" ca="1" si="96"/>
        <v>5.0327156014198654E-2</v>
      </c>
      <c r="I838" s="3">
        <f t="shared" ca="1" si="96"/>
        <v>5.17384555315352E-2</v>
      </c>
      <c r="J838" s="3">
        <f t="shared" ca="1" si="96"/>
        <v>4.7849293652540849E-2</v>
      </c>
      <c r="K838" s="3">
        <f t="shared" ca="1" si="96"/>
        <v>4.9161843996148362E-2</v>
      </c>
      <c r="L838" s="3">
        <f t="shared" ca="1" si="96"/>
        <v>5.612169554509315E-2</v>
      </c>
    </row>
    <row r="839" spans="3:12">
      <c r="C839" s="7">
        <v>833</v>
      </c>
      <c r="D839" s="3">
        <f t="shared" ref="D839:D902" si="97">r0</f>
        <v>4.5199999999999997E-2</v>
      </c>
      <c r="E839" s="3">
        <f t="shared" ca="1" si="96"/>
        <v>3.8893979610646959E-2</v>
      </c>
      <c r="F839" s="3">
        <f t="shared" ca="1" si="96"/>
        <v>3.3600753231223898E-2</v>
      </c>
      <c r="G839" s="3">
        <f t="shared" ca="1" si="96"/>
        <v>3.7559655545827499E-2</v>
      </c>
      <c r="H839" s="3">
        <f t="shared" ca="1" si="96"/>
        <v>3.708878148240604E-2</v>
      </c>
      <c r="I839" s="3">
        <f t="shared" ca="1" si="96"/>
        <v>3.2289556956427372E-2</v>
      </c>
      <c r="J839" s="3">
        <f t="shared" ca="1" si="96"/>
        <v>4.1851174298139046E-2</v>
      </c>
      <c r="K839" s="3">
        <f t="shared" ca="1" si="96"/>
        <v>4.1741916701362305E-2</v>
      </c>
      <c r="L839" s="3">
        <f t="shared" ca="1" si="96"/>
        <v>5.5585782215334931E-2</v>
      </c>
    </row>
    <row r="840" spans="3:12">
      <c r="C840" s="7">
        <v>834</v>
      </c>
      <c r="D840" s="3">
        <f t="shared" si="97"/>
        <v>4.5199999999999997E-2</v>
      </c>
      <c r="E840" s="3">
        <f t="shared" ca="1" si="96"/>
        <v>4.8722807243273047E-2</v>
      </c>
      <c r="F840" s="3">
        <f t="shared" ca="1" si="96"/>
        <v>5.4799320587904682E-2</v>
      </c>
      <c r="G840" s="3">
        <f t="shared" ca="1" si="96"/>
        <v>5.8381646727027191E-2</v>
      </c>
      <c r="H840" s="3">
        <f t="shared" ca="1" si="96"/>
        <v>6.4533726536877292E-2</v>
      </c>
      <c r="I840" s="3">
        <f t="shared" ca="1" si="96"/>
        <v>7.0165018782873692E-2</v>
      </c>
      <c r="J840" s="3">
        <f t="shared" ca="1" si="96"/>
        <v>7.6108497044357959E-2</v>
      </c>
      <c r="K840" s="3">
        <f t="shared" ca="1" si="96"/>
        <v>7.2300197457871418E-2</v>
      </c>
      <c r="L840" s="3">
        <f t="shared" ca="1" si="96"/>
        <v>6.4852763223984936E-2</v>
      </c>
    </row>
    <row r="841" spans="3:12">
      <c r="C841" s="7">
        <v>835</v>
      </c>
      <c r="D841" s="3">
        <f t="shared" si="97"/>
        <v>4.5199999999999997E-2</v>
      </c>
      <c r="E841" s="3">
        <f t="shared" ca="1" si="96"/>
        <v>4.6841042619466651E-2</v>
      </c>
      <c r="F841" s="3">
        <f t="shared" ca="1" si="96"/>
        <v>4.7003424768928173E-2</v>
      </c>
      <c r="G841" s="3">
        <f t="shared" ca="1" si="96"/>
        <v>4.0864280924169293E-2</v>
      </c>
      <c r="H841" s="3">
        <f t="shared" ca="1" si="96"/>
        <v>5.4123004051790921E-2</v>
      </c>
      <c r="I841" s="3">
        <f t="shared" ca="1" si="96"/>
        <v>5.3981385126418424E-2</v>
      </c>
      <c r="J841" s="3">
        <f t="shared" ca="1" si="96"/>
        <v>4.9898430388365944E-2</v>
      </c>
      <c r="K841" s="3">
        <f t="shared" ca="1" si="96"/>
        <v>4.4491149558884655E-2</v>
      </c>
      <c r="L841" s="3">
        <f t="shared" ca="1" si="96"/>
        <v>4.7593923982061977E-2</v>
      </c>
    </row>
    <row r="842" spans="3:12">
      <c r="C842" s="7">
        <v>836</v>
      </c>
      <c r="D842" s="3">
        <f t="shared" si="97"/>
        <v>4.5199999999999997E-2</v>
      </c>
      <c r="E842" s="3">
        <f t="shared" ca="1" si="96"/>
        <v>3.9050870633443556E-2</v>
      </c>
      <c r="F842" s="3">
        <f t="shared" ca="1" si="96"/>
        <v>2.6822454239748023E-2</v>
      </c>
      <c r="G842" s="3">
        <f t="shared" ca="1" si="96"/>
        <v>3.6145128945243105E-2</v>
      </c>
      <c r="H842" s="3">
        <f t="shared" ca="1" si="96"/>
        <v>3.4189050517391253E-2</v>
      </c>
      <c r="I842" s="3">
        <f t="shared" ca="1" si="96"/>
        <v>2.6458284850059542E-2</v>
      </c>
      <c r="J842" s="3">
        <f t="shared" ca="1" si="96"/>
        <v>2.9808992660741267E-2</v>
      </c>
      <c r="K842" s="3">
        <f t="shared" ca="1" si="96"/>
        <v>2.2676222796372346E-2</v>
      </c>
      <c r="L842" s="3">
        <f t="shared" ca="1" si="96"/>
        <v>2.2462901635351612E-2</v>
      </c>
    </row>
    <row r="843" spans="3:12">
      <c r="C843" s="7">
        <v>837</v>
      </c>
      <c r="D843" s="3">
        <f t="shared" si="97"/>
        <v>4.5199999999999997E-2</v>
      </c>
      <c r="E843" s="3">
        <f t="shared" ca="1" si="96"/>
        <v>4.4843288360359598E-2</v>
      </c>
      <c r="F843" s="3">
        <f t="shared" ca="1" si="96"/>
        <v>5.0942414933958791E-2</v>
      </c>
      <c r="G843" s="3">
        <f t="shared" ca="1" si="96"/>
        <v>5.3866382972531331E-2</v>
      </c>
      <c r="H843" s="3">
        <f t="shared" ca="1" si="96"/>
        <v>5.5887573923555617E-2</v>
      </c>
      <c r="I843" s="3">
        <f t="shared" ca="1" si="96"/>
        <v>6.3445002851237345E-2</v>
      </c>
      <c r="J843" s="3">
        <f t="shared" ca="1" si="96"/>
        <v>6.1854263959020113E-2</v>
      </c>
      <c r="K843" s="3">
        <f t="shared" ca="1" si="96"/>
        <v>5.9542428630857826E-2</v>
      </c>
      <c r="L843" s="3">
        <f t="shared" ca="1" si="96"/>
        <v>6.4544880399945687E-2</v>
      </c>
    </row>
    <row r="844" spans="3:12">
      <c r="C844" s="7">
        <v>838</v>
      </c>
      <c r="D844" s="3">
        <f t="shared" si="97"/>
        <v>4.5199999999999997E-2</v>
      </c>
      <c r="E844" s="3">
        <f t="shared" ca="1" si="96"/>
        <v>4.6703572321295898E-2</v>
      </c>
      <c r="F844" s="3">
        <f t="shared" ca="1" si="96"/>
        <v>5.2798149107423524E-2</v>
      </c>
      <c r="G844" s="3">
        <f t="shared" ca="1" si="96"/>
        <v>5.1093826046219405E-2</v>
      </c>
      <c r="H844" s="3">
        <f t="shared" ca="1" si="96"/>
        <v>5.3816026028514923E-2</v>
      </c>
      <c r="I844" s="3">
        <f t="shared" ca="1" si="96"/>
        <v>6.1157553483573941E-2</v>
      </c>
      <c r="J844" s="3">
        <f t="shared" ca="1" si="96"/>
        <v>7.2671272654255006E-2</v>
      </c>
      <c r="K844" s="3">
        <f t="shared" ca="1" si="96"/>
        <v>6.4382950658823906E-2</v>
      </c>
      <c r="L844" s="3">
        <f t="shared" ca="1" si="96"/>
        <v>6.6098131471566804E-2</v>
      </c>
    </row>
    <row r="845" spans="3:12">
      <c r="C845" s="7">
        <v>839</v>
      </c>
      <c r="D845" s="3">
        <f t="shared" si="97"/>
        <v>4.5199999999999997E-2</v>
      </c>
      <c r="E845" s="3">
        <f t="shared" ca="1" si="96"/>
        <v>4.0638138948810409E-2</v>
      </c>
      <c r="F845" s="3">
        <f t="shared" ca="1" si="96"/>
        <v>4.6299285355220113E-2</v>
      </c>
      <c r="G845" s="3">
        <f t="shared" ca="1" si="96"/>
        <v>4.8202207831897936E-2</v>
      </c>
      <c r="H845" s="3">
        <f t="shared" ca="1" si="96"/>
        <v>5.3509775833585196E-2</v>
      </c>
      <c r="I845" s="3">
        <f t="shared" ca="1" si="96"/>
        <v>4.9703066816825188E-2</v>
      </c>
      <c r="J845" s="3">
        <f t="shared" ca="1" si="96"/>
        <v>4.5608105209788051E-2</v>
      </c>
      <c r="K845" s="3">
        <f t="shared" ca="1" si="96"/>
        <v>4.6078526316546332E-2</v>
      </c>
      <c r="L845" s="3">
        <f t="shared" ca="1" si="96"/>
        <v>4.7255050410684257E-2</v>
      </c>
    </row>
    <row r="846" spans="3:12">
      <c r="C846" s="7">
        <v>840</v>
      </c>
      <c r="D846" s="3">
        <f t="shared" si="97"/>
        <v>4.5199999999999997E-2</v>
      </c>
      <c r="E846" s="3">
        <f t="shared" ca="1" si="96"/>
        <v>5.3188835286385648E-2</v>
      </c>
      <c r="F846" s="3">
        <f t="shared" ca="1" si="96"/>
        <v>4.6400731733930556E-2</v>
      </c>
      <c r="G846" s="3">
        <f t="shared" ca="1" si="96"/>
        <v>4.0369227468994719E-2</v>
      </c>
      <c r="H846" s="3">
        <f t="shared" ca="1" si="96"/>
        <v>4.6156849983210978E-2</v>
      </c>
      <c r="I846" s="3">
        <f t="shared" ca="1" si="96"/>
        <v>4.7382829184675061E-2</v>
      </c>
      <c r="J846" s="3">
        <f t="shared" ca="1" si="96"/>
        <v>4.0487521068335384E-2</v>
      </c>
      <c r="K846" s="3">
        <f t="shared" ca="1" si="96"/>
        <v>3.8351397110224839E-2</v>
      </c>
      <c r="L846" s="3">
        <f t="shared" ca="1" si="96"/>
        <v>4.6949136757196711E-2</v>
      </c>
    </row>
    <row r="847" spans="3:12">
      <c r="C847" s="7">
        <v>841</v>
      </c>
      <c r="D847" s="3">
        <f t="shared" si="97"/>
        <v>4.5199999999999997E-2</v>
      </c>
      <c r="E847" s="3">
        <f t="shared" ref="E847:L856" ca="1" si="98">D847+E$5*dt+sigma*_xlfn.NORM.S.INV(RAND())*SQRT(dt)</f>
        <v>3.8213946922381753E-2</v>
      </c>
      <c r="F847" s="3">
        <f t="shared" ca="1" si="98"/>
        <v>4.0096992535275447E-2</v>
      </c>
      <c r="G847" s="3">
        <f t="shared" ca="1" si="98"/>
        <v>4.0519999941443903E-2</v>
      </c>
      <c r="H847" s="3">
        <f t="shared" ca="1" si="98"/>
        <v>4.5972353450281798E-2</v>
      </c>
      <c r="I847" s="3">
        <f t="shared" ca="1" si="98"/>
        <v>5.1288492076427709E-2</v>
      </c>
      <c r="J847" s="3">
        <f t="shared" ca="1" si="98"/>
        <v>4.971819472482375E-2</v>
      </c>
      <c r="K847" s="3">
        <f t="shared" ca="1" si="98"/>
        <v>5.0880591393830429E-2</v>
      </c>
      <c r="L847" s="3">
        <f t="shared" ca="1" si="98"/>
        <v>6.2161446719072547E-2</v>
      </c>
    </row>
    <row r="848" spans="3:12">
      <c r="C848" s="7">
        <v>842</v>
      </c>
      <c r="D848" s="3">
        <f t="shared" si="97"/>
        <v>4.5199999999999997E-2</v>
      </c>
      <c r="E848" s="3">
        <f t="shared" ca="1" si="98"/>
        <v>4.4423691160672477E-2</v>
      </c>
      <c r="F848" s="3">
        <f t="shared" ca="1" si="98"/>
        <v>4.3239895371301726E-2</v>
      </c>
      <c r="G848" s="3">
        <f t="shared" ca="1" si="98"/>
        <v>4.3019493316965099E-2</v>
      </c>
      <c r="H848" s="3">
        <f t="shared" ca="1" si="98"/>
        <v>3.5623508195033626E-2</v>
      </c>
      <c r="I848" s="3">
        <f t="shared" ca="1" si="98"/>
        <v>3.2824986784677566E-2</v>
      </c>
      <c r="J848" s="3">
        <f t="shared" ca="1" si="98"/>
        <v>3.6909242635153175E-2</v>
      </c>
      <c r="K848" s="3">
        <f t="shared" ca="1" si="98"/>
        <v>3.3382668151766583E-2</v>
      </c>
      <c r="L848" s="3">
        <f t="shared" ca="1" si="98"/>
        <v>3.6313332907225979E-2</v>
      </c>
    </row>
    <row r="849" spans="3:12">
      <c r="C849" s="7">
        <v>843</v>
      </c>
      <c r="D849" s="3">
        <f t="shared" si="97"/>
        <v>4.5199999999999997E-2</v>
      </c>
      <c r="E849" s="3">
        <f t="shared" ca="1" si="98"/>
        <v>3.5380192070893907E-2</v>
      </c>
      <c r="F849" s="3">
        <f t="shared" ca="1" si="98"/>
        <v>3.7919591480635381E-2</v>
      </c>
      <c r="G849" s="3">
        <f t="shared" ca="1" si="98"/>
        <v>3.366813273248407E-2</v>
      </c>
      <c r="H849" s="3">
        <f t="shared" ca="1" si="98"/>
        <v>3.0187825192956281E-2</v>
      </c>
      <c r="I849" s="3">
        <f t="shared" ca="1" si="98"/>
        <v>2.6321834750656369E-2</v>
      </c>
      <c r="J849" s="3">
        <f t="shared" ca="1" si="98"/>
        <v>2.9818373050012874E-2</v>
      </c>
      <c r="K849" s="3">
        <f t="shared" ca="1" si="98"/>
        <v>3.5502027443742569E-2</v>
      </c>
      <c r="L849" s="3">
        <f t="shared" ca="1" si="98"/>
        <v>3.7618527372076958E-2</v>
      </c>
    </row>
    <row r="850" spans="3:12">
      <c r="C850" s="7">
        <v>844</v>
      </c>
      <c r="D850" s="3">
        <f t="shared" si="97"/>
        <v>4.5199999999999997E-2</v>
      </c>
      <c r="E850" s="3">
        <f t="shared" ca="1" si="98"/>
        <v>4.4818947708904579E-2</v>
      </c>
      <c r="F850" s="3">
        <f t="shared" ca="1" si="98"/>
        <v>5.1655258862931132E-2</v>
      </c>
      <c r="G850" s="3">
        <f t="shared" ca="1" si="98"/>
        <v>4.9464207521705522E-2</v>
      </c>
      <c r="H850" s="3">
        <f t="shared" ca="1" si="98"/>
        <v>4.2140255376314939E-2</v>
      </c>
      <c r="I850" s="3">
        <f t="shared" ca="1" si="98"/>
        <v>3.9314999662737216E-2</v>
      </c>
      <c r="J850" s="3">
        <f t="shared" ca="1" si="98"/>
        <v>3.502420145882016E-2</v>
      </c>
      <c r="K850" s="3">
        <f t="shared" ca="1" si="98"/>
        <v>3.6729780129953316E-2</v>
      </c>
      <c r="L850" s="3">
        <f t="shared" ca="1" si="98"/>
        <v>3.801503714685512E-2</v>
      </c>
    </row>
    <row r="851" spans="3:12">
      <c r="C851" s="7">
        <v>845</v>
      </c>
      <c r="D851" s="3">
        <f t="shared" si="97"/>
        <v>4.5199999999999997E-2</v>
      </c>
      <c r="E851" s="3">
        <f t="shared" ca="1" si="98"/>
        <v>5.3485933903623009E-2</v>
      </c>
      <c r="F851" s="3">
        <f t="shared" ca="1" si="98"/>
        <v>4.2980911005962019E-2</v>
      </c>
      <c r="G851" s="3">
        <f t="shared" ca="1" si="98"/>
        <v>3.1451042258025932E-2</v>
      </c>
      <c r="H851" s="3">
        <f t="shared" ca="1" si="98"/>
        <v>3.2063878045434639E-2</v>
      </c>
      <c r="I851" s="3">
        <f t="shared" ca="1" si="98"/>
        <v>2.6338546054222652E-2</v>
      </c>
      <c r="J851" s="3">
        <f t="shared" ca="1" si="98"/>
        <v>2.4867766244898396E-2</v>
      </c>
      <c r="K851" s="3">
        <f t="shared" ca="1" si="98"/>
        <v>2.5385726336690454E-2</v>
      </c>
      <c r="L851" s="3">
        <f t="shared" ca="1" si="98"/>
        <v>2.9283971496162763E-2</v>
      </c>
    </row>
    <row r="852" spans="3:12">
      <c r="C852" s="7">
        <v>846</v>
      </c>
      <c r="D852" s="3">
        <f t="shared" si="97"/>
        <v>4.5199999999999997E-2</v>
      </c>
      <c r="E852" s="3">
        <f t="shared" ca="1" si="98"/>
        <v>4.1510461187045225E-2</v>
      </c>
      <c r="F852" s="3">
        <f t="shared" ca="1" si="98"/>
        <v>3.0794470575010356E-2</v>
      </c>
      <c r="G852" s="3">
        <f t="shared" ca="1" si="98"/>
        <v>3.6430054999366961E-2</v>
      </c>
      <c r="H852" s="3">
        <f t="shared" ca="1" si="98"/>
        <v>3.670616564161705E-2</v>
      </c>
      <c r="I852" s="3">
        <f t="shared" ca="1" si="98"/>
        <v>3.1330618771333758E-2</v>
      </c>
      <c r="J852" s="3">
        <f t="shared" ca="1" si="98"/>
        <v>3.0182066304572198E-2</v>
      </c>
      <c r="K852" s="3">
        <f t="shared" ca="1" si="98"/>
        <v>2.7061296727893765E-2</v>
      </c>
      <c r="L852" s="3">
        <f t="shared" ca="1" si="98"/>
        <v>3.0958506321741939E-2</v>
      </c>
    </row>
    <row r="853" spans="3:12">
      <c r="C853" s="7">
        <v>847</v>
      </c>
      <c r="D853" s="3">
        <f t="shared" si="97"/>
        <v>4.5199999999999997E-2</v>
      </c>
      <c r="E853" s="3">
        <f t="shared" ca="1" si="98"/>
        <v>4.9351098262723922E-2</v>
      </c>
      <c r="F853" s="3">
        <f t="shared" ca="1" si="98"/>
        <v>4.7523460862928059E-2</v>
      </c>
      <c r="G853" s="3">
        <f t="shared" ca="1" si="98"/>
        <v>4.1648729678965588E-2</v>
      </c>
      <c r="H853" s="3">
        <f t="shared" ca="1" si="98"/>
        <v>4.0899529083125573E-2</v>
      </c>
      <c r="I853" s="3">
        <f t="shared" ca="1" si="98"/>
        <v>4.214292170687587E-2</v>
      </c>
      <c r="J853" s="3">
        <f t="shared" ca="1" si="98"/>
        <v>4.2573434588767022E-2</v>
      </c>
      <c r="K853" s="3">
        <f t="shared" ca="1" si="98"/>
        <v>5.1298107395031836E-2</v>
      </c>
      <c r="L853" s="3">
        <f t="shared" ca="1" si="98"/>
        <v>3.9444542728394955E-2</v>
      </c>
    </row>
    <row r="854" spans="3:12">
      <c r="C854" s="7">
        <v>848</v>
      </c>
      <c r="D854" s="3">
        <f t="shared" si="97"/>
        <v>4.5199999999999997E-2</v>
      </c>
      <c r="E854" s="3">
        <f t="shared" ca="1" si="98"/>
        <v>3.9772747834516224E-2</v>
      </c>
      <c r="F854" s="3">
        <f t="shared" ca="1" si="98"/>
        <v>4.2351086434973984E-2</v>
      </c>
      <c r="G854" s="3">
        <f t="shared" ca="1" si="98"/>
        <v>4.4607319124566128E-2</v>
      </c>
      <c r="H854" s="3">
        <f t="shared" ca="1" si="98"/>
        <v>4.3345805822687246E-2</v>
      </c>
      <c r="I854" s="3">
        <f t="shared" ca="1" si="98"/>
        <v>3.9843184860521956E-2</v>
      </c>
      <c r="J854" s="3">
        <f t="shared" ca="1" si="98"/>
        <v>3.5808043806272637E-2</v>
      </c>
      <c r="K854" s="3">
        <f t="shared" ca="1" si="98"/>
        <v>3.3851604343350161E-2</v>
      </c>
      <c r="L854" s="3">
        <f t="shared" ca="1" si="98"/>
        <v>2.5568140441054196E-2</v>
      </c>
    </row>
    <row r="855" spans="3:12">
      <c r="C855" s="7">
        <v>849</v>
      </c>
      <c r="D855" s="3">
        <f t="shared" si="97"/>
        <v>4.5199999999999997E-2</v>
      </c>
      <c r="E855" s="3">
        <f t="shared" ca="1" si="98"/>
        <v>4.4252338065614495E-2</v>
      </c>
      <c r="F855" s="3">
        <f t="shared" ca="1" si="98"/>
        <v>4.2934844771957026E-2</v>
      </c>
      <c r="G855" s="3">
        <f t="shared" ca="1" si="98"/>
        <v>4.6684761156893212E-2</v>
      </c>
      <c r="H855" s="3">
        <f t="shared" ca="1" si="98"/>
        <v>4.9821248273529843E-2</v>
      </c>
      <c r="I855" s="3">
        <f t="shared" ca="1" si="98"/>
        <v>4.7622710547573804E-2</v>
      </c>
      <c r="J855" s="3">
        <f t="shared" ca="1" si="98"/>
        <v>4.8089356212684078E-2</v>
      </c>
      <c r="K855" s="3">
        <f t="shared" ca="1" si="98"/>
        <v>4.1879087034128328E-2</v>
      </c>
      <c r="L855" s="3">
        <f t="shared" ca="1" si="98"/>
        <v>4.7524183308411634E-2</v>
      </c>
    </row>
    <row r="856" spans="3:12">
      <c r="C856" s="7">
        <v>850</v>
      </c>
      <c r="D856" s="3">
        <f t="shared" si="97"/>
        <v>4.5199999999999997E-2</v>
      </c>
      <c r="E856" s="3">
        <f t="shared" ca="1" si="98"/>
        <v>4.1622998062421923E-2</v>
      </c>
      <c r="F856" s="3">
        <f t="shared" ca="1" si="98"/>
        <v>4.2975618669224544E-2</v>
      </c>
      <c r="G856" s="3">
        <f t="shared" ca="1" si="98"/>
        <v>4.2999644445727243E-2</v>
      </c>
      <c r="H856" s="3">
        <f t="shared" ca="1" si="98"/>
        <v>4.3259432543841368E-2</v>
      </c>
      <c r="I856" s="3">
        <f t="shared" ca="1" si="98"/>
        <v>3.9403602606300825E-2</v>
      </c>
      <c r="J856" s="3">
        <f t="shared" ca="1" si="98"/>
        <v>4.0477739713387466E-2</v>
      </c>
      <c r="K856" s="3">
        <f t="shared" ca="1" si="98"/>
        <v>3.7677838239697975E-2</v>
      </c>
      <c r="L856" s="3">
        <f t="shared" ca="1" si="98"/>
        <v>3.8662846123929631E-2</v>
      </c>
    </row>
    <row r="857" spans="3:12">
      <c r="C857" s="7">
        <v>851</v>
      </c>
      <c r="D857" s="3">
        <f t="shared" si="97"/>
        <v>4.5199999999999997E-2</v>
      </c>
      <c r="E857" s="3">
        <f t="shared" ref="E857:L866" ca="1" si="99">D857+E$5*dt+sigma*_xlfn.NORM.S.INV(RAND())*SQRT(dt)</f>
        <v>4.7214057642139998E-2</v>
      </c>
      <c r="F857" s="3">
        <f t="shared" ca="1" si="99"/>
        <v>4.6674198759629991E-2</v>
      </c>
      <c r="G857" s="3">
        <f t="shared" ca="1" si="99"/>
        <v>5.5485687702170369E-2</v>
      </c>
      <c r="H857" s="3">
        <f t="shared" ca="1" si="99"/>
        <v>5.6578658330419661E-2</v>
      </c>
      <c r="I857" s="3">
        <f t="shared" ca="1" si="99"/>
        <v>5.6227451168554793E-2</v>
      </c>
      <c r="J857" s="3">
        <f t="shared" ca="1" si="99"/>
        <v>6.4533060120028796E-2</v>
      </c>
      <c r="K857" s="3">
        <f t="shared" ca="1" si="99"/>
        <v>6.0636324947801308E-2</v>
      </c>
      <c r="L857" s="3">
        <f t="shared" ca="1" si="99"/>
        <v>5.4632870115249532E-2</v>
      </c>
    </row>
    <row r="858" spans="3:12">
      <c r="C858" s="7">
        <v>852</v>
      </c>
      <c r="D858" s="3">
        <f t="shared" si="97"/>
        <v>4.5199999999999997E-2</v>
      </c>
      <c r="E858" s="3">
        <f t="shared" ca="1" si="99"/>
        <v>5.0109051191614469E-2</v>
      </c>
      <c r="F858" s="3">
        <f t="shared" ca="1" si="99"/>
        <v>4.8954514648061442E-2</v>
      </c>
      <c r="G858" s="3">
        <f t="shared" ca="1" si="99"/>
        <v>4.7229932373383049E-2</v>
      </c>
      <c r="H858" s="3">
        <f t="shared" ca="1" si="99"/>
        <v>4.1863218810513005E-2</v>
      </c>
      <c r="I858" s="3">
        <f t="shared" ca="1" si="99"/>
        <v>4.1752562138593075E-2</v>
      </c>
      <c r="J858" s="3">
        <f t="shared" ca="1" si="99"/>
        <v>4.8318949487289431E-2</v>
      </c>
      <c r="K858" s="3">
        <f t="shared" ca="1" si="99"/>
        <v>5.0089325420998698E-2</v>
      </c>
      <c r="L858" s="3">
        <f t="shared" ca="1" si="99"/>
        <v>4.5477219587956801E-2</v>
      </c>
    </row>
    <row r="859" spans="3:12">
      <c r="C859" s="7">
        <v>853</v>
      </c>
      <c r="D859" s="3">
        <f t="shared" si="97"/>
        <v>4.5199999999999997E-2</v>
      </c>
      <c r="E859" s="3">
        <f t="shared" ca="1" si="99"/>
        <v>5.2961393979996538E-2</v>
      </c>
      <c r="F859" s="3">
        <f t="shared" ca="1" si="99"/>
        <v>5.7522201514101839E-2</v>
      </c>
      <c r="G859" s="3">
        <f t="shared" ca="1" si="99"/>
        <v>5.5560270339995145E-2</v>
      </c>
      <c r="H859" s="3">
        <f t="shared" ca="1" si="99"/>
        <v>5.7226777900685963E-2</v>
      </c>
      <c r="I859" s="3">
        <f t="shared" ca="1" si="99"/>
        <v>5.7803229273490457E-2</v>
      </c>
      <c r="J859" s="3">
        <f t="shared" ca="1" si="99"/>
        <v>5.5759735331973523E-2</v>
      </c>
      <c r="K859" s="3">
        <f t="shared" ca="1" si="99"/>
        <v>4.832887768303986E-2</v>
      </c>
      <c r="L859" s="3">
        <f t="shared" ca="1" si="99"/>
        <v>4.7517980638541943E-2</v>
      </c>
    </row>
    <row r="860" spans="3:12">
      <c r="C860" s="7">
        <v>854</v>
      </c>
      <c r="D860" s="3">
        <f t="shared" si="97"/>
        <v>4.5199999999999997E-2</v>
      </c>
      <c r="E860" s="3">
        <f t="shared" ca="1" si="99"/>
        <v>4.9755113211836913E-2</v>
      </c>
      <c r="F860" s="3">
        <f t="shared" ca="1" si="99"/>
        <v>5.4632182945425732E-2</v>
      </c>
      <c r="G860" s="3">
        <f t="shared" ca="1" si="99"/>
        <v>5.7568945273088687E-2</v>
      </c>
      <c r="H860" s="3">
        <f t="shared" ca="1" si="99"/>
        <v>5.8898993607879875E-2</v>
      </c>
      <c r="I860" s="3">
        <f t="shared" ca="1" si="99"/>
        <v>6.7440893888493156E-2</v>
      </c>
      <c r="J860" s="3">
        <f t="shared" ca="1" si="99"/>
        <v>7.5412055763285815E-2</v>
      </c>
      <c r="K860" s="3">
        <f t="shared" ca="1" si="99"/>
        <v>8.4644222297695179E-2</v>
      </c>
      <c r="L860" s="3">
        <f t="shared" ca="1" si="99"/>
        <v>8.7564657893456771E-2</v>
      </c>
    </row>
    <row r="861" spans="3:12">
      <c r="C861" s="7">
        <v>855</v>
      </c>
      <c r="D861" s="3">
        <f t="shared" si="97"/>
        <v>4.5199999999999997E-2</v>
      </c>
      <c r="E861" s="3">
        <f t="shared" ca="1" si="99"/>
        <v>4.9367826099568628E-2</v>
      </c>
      <c r="F861" s="3">
        <f t="shared" ca="1" si="99"/>
        <v>4.4418823900243772E-2</v>
      </c>
      <c r="G861" s="3">
        <f t="shared" ca="1" si="99"/>
        <v>4.9465867632111228E-2</v>
      </c>
      <c r="H861" s="3">
        <f t="shared" ca="1" si="99"/>
        <v>5.5047955551091675E-2</v>
      </c>
      <c r="I861" s="3">
        <f t="shared" ca="1" si="99"/>
        <v>4.930341564537602E-2</v>
      </c>
      <c r="J861" s="3">
        <f t="shared" ca="1" si="99"/>
        <v>4.9577768252381846E-2</v>
      </c>
      <c r="K861" s="3">
        <f t="shared" ca="1" si="99"/>
        <v>6.053058736373567E-2</v>
      </c>
      <c r="L861" s="3">
        <f t="shared" ca="1" si="99"/>
        <v>5.9923059029394189E-2</v>
      </c>
    </row>
    <row r="862" spans="3:12">
      <c r="C862" s="7">
        <v>856</v>
      </c>
      <c r="D862" s="3">
        <f t="shared" si="97"/>
        <v>4.5199999999999997E-2</v>
      </c>
      <c r="E862" s="3">
        <f t="shared" ca="1" si="99"/>
        <v>5.2633323011875177E-2</v>
      </c>
      <c r="F862" s="3">
        <f t="shared" ca="1" si="99"/>
        <v>5.9501338940605143E-2</v>
      </c>
      <c r="G862" s="3">
        <f t="shared" ca="1" si="99"/>
        <v>5.68817762717342E-2</v>
      </c>
      <c r="H862" s="3">
        <f t="shared" ca="1" si="99"/>
        <v>5.8992710726563272E-2</v>
      </c>
      <c r="I862" s="3">
        <f t="shared" ca="1" si="99"/>
        <v>6.5716534672097968E-2</v>
      </c>
      <c r="J862" s="3">
        <f t="shared" ca="1" si="99"/>
        <v>7.4635923708358407E-2</v>
      </c>
      <c r="K862" s="3">
        <f t="shared" ca="1" si="99"/>
        <v>7.8115441904585275E-2</v>
      </c>
      <c r="L862" s="3">
        <f t="shared" ca="1" si="99"/>
        <v>7.6484222015220954E-2</v>
      </c>
    </row>
    <row r="863" spans="3:12">
      <c r="C863" s="7">
        <v>857</v>
      </c>
      <c r="D863" s="3">
        <f t="shared" si="97"/>
        <v>4.5199999999999997E-2</v>
      </c>
      <c r="E863" s="3">
        <f t="shared" ca="1" si="99"/>
        <v>4.9387844229085001E-2</v>
      </c>
      <c r="F863" s="3">
        <f t="shared" ca="1" si="99"/>
        <v>4.9077053737220447E-2</v>
      </c>
      <c r="G863" s="3">
        <f t="shared" ca="1" si="99"/>
        <v>4.8292815721377468E-2</v>
      </c>
      <c r="H863" s="3">
        <f t="shared" ca="1" si="99"/>
        <v>4.8074959760490844E-2</v>
      </c>
      <c r="I863" s="3">
        <f t="shared" ca="1" si="99"/>
        <v>5.1167103012476678E-2</v>
      </c>
      <c r="J863" s="3">
        <f t="shared" ca="1" si="99"/>
        <v>4.7765271386946161E-2</v>
      </c>
      <c r="K863" s="3">
        <f t="shared" ca="1" si="99"/>
        <v>4.0502282671203843E-2</v>
      </c>
      <c r="L863" s="3">
        <f t="shared" ca="1" si="99"/>
        <v>3.5932343612154152E-2</v>
      </c>
    </row>
    <row r="864" spans="3:12">
      <c r="C864" s="7">
        <v>858</v>
      </c>
      <c r="D864" s="3">
        <f t="shared" si="97"/>
        <v>4.5199999999999997E-2</v>
      </c>
      <c r="E864" s="3">
        <f t="shared" ca="1" si="99"/>
        <v>4.4793330571347163E-2</v>
      </c>
      <c r="F864" s="3">
        <f t="shared" ca="1" si="99"/>
        <v>4.4695472877983214E-2</v>
      </c>
      <c r="G864" s="3">
        <f t="shared" ca="1" si="99"/>
        <v>4.5642596537493446E-2</v>
      </c>
      <c r="H864" s="3">
        <f t="shared" ca="1" si="99"/>
        <v>4.0639829319135165E-2</v>
      </c>
      <c r="I864" s="3">
        <f t="shared" ca="1" si="99"/>
        <v>4.5319808803473055E-2</v>
      </c>
      <c r="J864" s="3">
        <f t="shared" ca="1" si="99"/>
        <v>4.1460869134007025E-2</v>
      </c>
      <c r="K864" s="3">
        <f t="shared" ca="1" si="99"/>
        <v>4.4469987831869166E-2</v>
      </c>
      <c r="L864" s="3">
        <f t="shared" ca="1" si="99"/>
        <v>5.3585906297603569E-2</v>
      </c>
    </row>
    <row r="865" spans="3:12">
      <c r="C865" s="7">
        <v>859</v>
      </c>
      <c r="D865" s="3">
        <f t="shared" si="97"/>
        <v>4.5199999999999997E-2</v>
      </c>
      <c r="E865" s="3">
        <f t="shared" ca="1" si="99"/>
        <v>4.6351585402690611E-2</v>
      </c>
      <c r="F865" s="3">
        <f t="shared" ca="1" si="99"/>
        <v>4.5028707009060386E-2</v>
      </c>
      <c r="G865" s="3">
        <f t="shared" ca="1" si="99"/>
        <v>3.9988712548358681E-2</v>
      </c>
      <c r="H865" s="3">
        <f t="shared" ca="1" si="99"/>
        <v>3.6577429939572213E-2</v>
      </c>
      <c r="I865" s="3">
        <f t="shared" ca="1" si="99"/>
        <v>4.2225742690339095E-2</v>
      </c>
      <c r="J865" s="3">
        <f t="shared" ca="1" si="99"/>
        <v>4.4328351154798253E-2</v>
      </c>
      <c r="K865" s="3">
        <f t="shared" ca="1" si="99"/>
        <v>4.2608210848961096E-2</v>
      </c>
      <c r="L865" s="3">
        <f t="shared" ca="1" si="99"/>
        <v>4.768790520117179E-2</v>
      </c>
    </row>
    <row r="866" spans="3:12">
      <c r="C866" s="7">
        <v>860</v>
      </c>
      <c r="D866" s="3">
        <f t="shared" si="97"/>
        <v>4.5199999999999997E-2</v>
      </c>
      <c r="E866" s="3">
        <f t="shared" ca="1" si="99"/>
        <v>3.5097228578991023E-2</v>
      </c>
      <c r="F866" s="3">
        <f t="shared" ca="1" si="99"/>
        <v>3.9372608523065719E-2</v>
      </c>
      <c r="G866" s="3">
        <f t="shared" ca="1" si="99"/>
        <v>4.1016887680988171E-2</v>
      </c>
      <c r="H866" s="3">
        <f t="shared" ca="1" si="99"/>
        <v>4.9760847347172371E-2</v>
      </c>
      <c r="I866" s="3">
        <f t="shared" ca="1" si="99"/>
        <v>4.9042714619689932E-2</v>
      </c>
      <c r="J866" s="3">
        <f t="shared" ca="1" si="99"/>
        <v>5.0741762964948915E-2</v>
      </c>
      <c r="K866" s="3">
        <f t="shared" ca="1" si="99"/>
        <v>5.0020032414858862E-2</v>
      </c>
      <c r="L866" s="3">
        <f t="shared" ca="1" si="99"/>
        <v>5.0339881397588021E-2</v>
      </c>
    </row>
    <row r="867" spans="3:12">
      <c r="C867" s="7">
        <v>861</v>
      </c>
      <c r="D867" s="3">
        <f t="shared" si="97"/>
        <v>4.5199999999999997E-2</v>
      </c>
      <c r="E867" s="3">
        <f t="shared" ref="E867:L876" ca="1" si="100">D867+E$5*dt+sigma*_xlfn.NORM.S.INV(RAND())*SQRT(dt)</f>
        <v>4.6761197793498056E-2</v>
      </c>
      <c r="F867" s="3">
        <f t="shared" ca="1" si="100"/>
        <v>4.3549822494821602E-2</v>
      </c>
      <c r="G867" s="3">
        <f t="shared" ca="1" si="100"/>
        <v>4.0369350274157188E-2</v>
      </c>
      <c r="H867" s="3">
        <f t="shared" ca="1" si="100"/>
        <v>3.6649506483805327E-2</v>
      </c>
      <c r="I867" s="3">
        <f t="shared" ca="1" si="100"/>
        <v>3.4022291025603925E-2</v>
      </c>
      <c r="J867" s="3">
        <f t="shared" ca="1" si="100"/>
        <v>3.7236680851301107E-2</v>
      </c>
      <c r="K867" s="3">
        <f t="shared" ca="1" si="100"/>
        <v>3.0862231807364488E-2</v>
      </c>
      <c r="L867" s="3">
        <f t="shared" ca="1" si="100"/>
        <v>4.4815943242784553E-2</v>
      </c>
    </row>
    <row r="868" spans="3:12">
      <c r="C868" s="7">
        <v>862</v>
      </c>
      <c r="D868" s="3">
        <f t="shared" si="97"/>
        <v>4.5199999999999997E-2</v>
      </c>
      <c r="E868" s="3">
        <f t="shared" ca="1" si="100"/>
        <v>4.8993364029527822E-2</v>
      </c>
      <c r="F868" s="3">
        <f t="shared" ca="1" si="100"/>
        <v>5.393338877311446E-2</v>
      </c>
      <c r="G868" s="3">
        <f t="shared" ca="1" si="100"/>
        <v>5.0545556831052274E-2</v>
      </c>
      <c r="H868" s="3">
        <f t="shared" ca="1" si="100"/>
        <v>4.4956815101907147E-2</v>
      </c>
      <c r="I868" s="3">
        <f t="shared" ca="1" si="100"/>
        <v>4.2405101365000093E-2</v>
      </c>
      <c r="J868" s="3">
        <f t="shared" ca="1" si="100"/>
        <v>3.9619594475340622E-2</v>
      </c>
      <c r="K868" s="3">
        <f t="shared" ca="1" si="100"/>
        <v>4.5375541006646182E-2</v>
      </c>
      <c r="L868" s="3">
        <f t="shared" ca="1" si="100"/>
        <v>5.0982444741217339E-2</v>
      </c>
    </row>
    <row r="869" spans="3:12">
      <c r="C869" s="7">
        <v>863</v>
      </c>
      <c r="D869" s="3">
        <f t="shared" si="97"/>
        <v>4.5199999999999997E-2</v>
      </c>
      <c r="E869" s="3">
        <f t="shared" ca="1" si="100"/>
        <v>4.7121930359609702E-2</v>
      </c>
      <c r="F869" s="3">
        <f t="shared" ca="1" si="100"/>
        <v>4.6041175496638859E-2</v>
      </c>
      <c r="G869" s="3">
        <f t="shared" ca="1" si="100"/>
        <v>4.9287541780397348E-2</v>
      </c>
      <c r="H869" s="3">
        <f t="shared" ca="1" si="100"/>
        <v>4.8842955281229249E-2</v>
      </c>
      <c r="I869" s="3">
        <f t="shared" ca="1" si="100"/>
        <v>4.6090954607458885E-2</v>
      </c>
      <c r="J869" s="3">
        <f t="shared" ca="1" si="100"/>
        <v>3.8319424658582284E-2</v>
      </c>
      <c r="K869" s="3">
        <f t="shared" ca="1" si="100"/>
        <v>4.0191792807776412E-2</v>
      </c>
      <c r="L869" s="3">
        <f t="shared" ca="1" si="100"/>
        <v>4.4446536532048837E-2</v>
      </c>
    </row>
    <row r="870" spans="3:12">
      <c r="C870" s="7">
        <v>864</v>
      </c>
      <c r="D870" s="3">
        <f t="shared" si="97"/>
        <v>4.5199999999999997E-2</v>
      </c>
      <c r="E870" s="3">
        <f t="shared" ca="1" si="100"/>
        <v>4.1233692046358919E-2</v>
      </c>
      <c r="F870" s="3">
        <f t="shared" ca="1" si="100"/>
        <v>3.4527569415459355E-2</v>
      </c>
      <c r="G870" s="3">
        <f t="shared" ca="1" si="100"/>
        <v>3.009900197230421E-2</v>
      </c>
      <c r="H870" s="3">
        <f t="shared" ca="1" si="100"/>
        <v>2.8689054565801366E-2</v>
      </c>
      <c r="I870" s="3">
        <f t="shared" ca="1" si="100"/>
        <v>3.1568679408680363E-2</v>
      </c>
      <c r="J870" s="3">
        <f t="shared" ca="1" si="100"/>
        <v>3.2147703704908111E-2</v>
      </c>
      <c r="K870" s="3">
        <f t="shared" ca="1" si="100"/>
        <v>3.7530133228262305E-2</v>
      </c>
      <c r="L870" s="3">
        <f t="shared" ca="1" si="100"/>
        <v>4.1179784815815648E-2</v>
      </c>
    </row>
    <row r="871" spans="3:12">
      <c r="C871" s="7">
        <v>865</v>
      </c>
      <c r="D871" s="3">
        <f t="shared" si="97"/>
        <v>4.5199999999999997E-2</v>
      </c>
      <c r="E871" s="3">
        <f t="shared" ca="1" si="100"/>
        <v>4.0050179766822999E-2</v>
      </c>
      <c r="F871" s="3">
        <f t="shared" ca="1" si="100"/>
        <v>3.8608306593767738E-2</v>
      </c>
      <c r="G871" s="3">
        <f t="shared" ca="1" si="100"/>
        <v>3.6887681891463998E-2</v>
      </c>
      <c r="H871" s="3">
        <f t="shared" ca="1" si="100"/>
        <v>4.5900506290521031E-2</v>
      </c>
      <c r="I871" s="3">
        <f t="shared" ca="1" si="100"/>
        <v>4.4206593455872994E-2</v>
      </c>
      <c r="J871" s="3">
        <f t="shared" ca="1" si="100"/>
        <v>4.9475578219989838E-2</v>
      </c>
      <c r="K871" s="3">
        <f t="shared" ca="1" si="100"/>
        <v>5.2595522762882499E-2</v>
      </c>
      <c r="L871" s="3">
        <f t="shared" ca="1" si="100"/>
        <v>5.1806652326092308E-2</v>
      </c>
    </row>
    <row r="872" spans="3:12">
      <c r="C872" s="7">
        <v>866</v>
      </c>
      <c r="D872" s="3">
        <f t="shared" si="97"/>
        <v>4.5199999999999997E-2</v>
      </c>
      <c r="E872" s="3">
        <f t="shared" ca="1" si="100"/>
        <v>4.0334319105503086E-2</v>
      </c>
      <c r="F872" s="3">
        <f t="shared" ca="1" si="100"/>
        <v>4.2879347518699838E-2</v>
      </c>
      <c r="G872" s="3">
        <f t="shared" ca="1" si="100"/>
        <v>4.2156894240463892E-2</v>
      </c>
      <c r="H872" s="3">
        <f t="shared" ca="1" si="100"/>
        <v>4.7097834468369473E-2</v>
      </c>
      <c r="I872" s="3">
        <f t="shared" ca="1" si="100"/>
        <v>4.2230443792257835E-2</v>
      </c>
      <c r="J872" s="3">
        <f t="shared" ca="1" si="100"/>
        <v>4.7254895874457713E-2</v>
      </c>
      <c r="K872" s="3">
        <f t="shared" ca="1" si="100"/>
        <v>4.8828799447478734E-2</v>
      </c>
      <c r="L872" s="3">
        <f t="shared" ca="1" si="100"/>
        <v>5.1750328144618794E-2</v>
      </c>
    </row>
    <row r="873" spans="3:12">
      <c r="C873" s="7">
        <v>867</v>
      </c>
      <c r="D873" s="3">
        <f t="shared" si="97"/>
        <v>4.5199999999999997E-2</v>
      </c>
      <c r="E873" s="3">
        <f t="shared" ca="1" si="100"/>
        <v>3.9800729982809847E-2</v>
      </c>
      <c r="F873" s="3">
        <f t="shared" ca="1" si="100"/>
        <v>4.5549744019223848E-2</v>
      </c>
      <c r="G873" s="3">
        <f t="shared" ca="1" si="100"/>
        <v>5.0131313395391799E-2</v>
      </c>
      <c r="H873" s="3">
        <f t="shared" ca="1" si="100"/>
        <v>4.9016491121821937E-2</v>
      </c>
      <c r="I873" s="3">
        <f t="shared" ca="1" si="100"/>
        <v>5.4252202114304926E-2</v>
      </c>
      <c r="J873" s="3">
        <f t="shared" ca="1" si="100"/>
        <v>5.8788987819848579E-2</v>
      </c>
      <c r="K873" s="3">
        <f t="shared" ca="1" si="100"/>
        <v>6.6316696611918191E-2</v>
      </c>
      <c r="L873" s="3">
        <f t="shared" ca="1" si="100"/>
        <v>6.3446832920802013E-2</v>
      </c>
    </row>
    <row r="874" spans="3:12">
      <c r="C874" s="7">
        <v>868</v>
      </c>
      <c r="D874" s="3">
        <f t="shared" si="97"/>
        <v>4.5199999999999997E-2</v>
      </c>
      <c r="E874" s="3">
        <f t="shared" ca="1" si="100"/>
        <v>4.2422808572141646E-2</v>
      </c>
      <c r="F874" s="3">
        <f t="shared" ca="1" si="100"/>
        <v>4.8512438508623752E-2</v>
      </c>
      <c r="G874" s="3">
        <f t="shared" ca="1" si="100"/>
        <v>4.7426049949815821E-2</v>
      </c>
      <c r="H874" s="3">
        <f t="shared" ca="1" si="100"/>
        <v>4.6205678284790434E-2</v>
      </c>
      <c r="I874" s="3">
        <f t="shared" ca="1" si="100"/>
        <v>5.0718992728003093E-2</v>
      </c>
      <c r="J874" s="3">
        <f t="shared" ca="1" si="100"/>
        <v>6.3824162652910452E-2</v>
      </c>
      <c r="K874" s="3">
        <f t="shared" ca="1" si="100"/>
        <v>6.3268225077635035E-2</v>
      </c>
      <c r="L874" s="3">
        <f t="shared" ca="1" si="100"/>
        <v>6.4003006808915797E-2</v>
      </c>
    </row>
    <row r="875" spans="3:12">
      <c r="C875" s="7">
        <v>869</v>
      </c>
      <c r="D875" s="3">
        <f t="shared" si="97"/>
        <v>4.5199999999999997E-2</v>
      </c>
      <c r="E875" s="3">
        <f t="shared" ca="1" si="100"/>
        <v>5.2351445381520645E-2</v>
      </c>
      <c r="F875" s="3">
        <f t="shared" ca="1" si="100"/>
        <v>5.6593310287187108E-2</v>
      </c>
      <c r="G875" s="3">
        <f t="shared" ca="1" si="100"/>
        <v>5.9112273537878957E-2</v>
      </c>
      <c r="H875" s="3">
        <f t="shared" ca="1" si="100"/>
        <v>5.337812694615876E-2</v>
      </c>
      <c r="I875" s="3">
        <f t="shared" ca="1" si="100"/>
        <v>5.5952076546907162E-2</v>
      </c>
      <c r="J875" s="3">
        <f t="shared" ca="1" si="100"/>
        <v>6.4467624713890934E-2</v>
      </c>
      <c r="K875" s="3">
        <f t="shared" ca="1" si="100"/>
        <v>7.0269625567013119E-2</v>
      </c>
      <c r="L875" s="3">
        <f t="shared" ca="1" si="100"/>
        <v>7.0765966380025275E-2</v>
      </c>
    </row>
    <row r="876" spans="3:12">
      <c r="C876" s="7">
        <v>870</v>
      </c>
      <c r="D876" s="3">
        <f t="shared" si="97"/>
        <v>4.5199999999999997E-2</v>
      </c>
      <c r="E876" s="3">
        <f t="shared" ca="1" si="100"/>
        <v>4.9620687258263109E-2</v>
      </c>
      <c r="F876" s="3">
        <f t="shared" ca="1" si="100"/>
        <v>5.071829591292195E-2</v>
      </c>
      <c r="G876" s="3">
        <f t="shared" ca="1" si="100"/>
        <v>4.4631105388718041E-2</v>
      </c>
      <c r="H876" s="3">
        <f t="shared" ca="1" si="100"/>
        <v>4.0813455229123767E-2</v>
      </c>
      <c r="I876" s="3">
        <f t="shared" ca="1" si="100"/>
        <v>3.8793930954011985E-2</v>
      </c>
      <c r="J876" s="3">
        <f t="shared" ca="1" si="100"/>
        <v>4.4795034297553993E-2</v>
      </c>
      <c r="K876" s="3">
        <f t="shared" ca="1" si="100"/>
        <v>3.9677088799067201E-2</v>
      </c>
      <c r="L876" s="3">
        <f t="shared" ca="1" si="100"/>
        <v>3.4526578066063511E-2</v>
      </c>
    </row>
    <row r="877" spans="3:12">
      <c r="C877" s="7">
        <v>871</v>
      </c>
      <c r="D877" s="3">
        <f t="shared" si="97"/>
        <v>4.5199999999999997E-2</v>
      </c>
      <c r="E877" s="3">
        <f t="shared" ref="E877:L886" ca="1" si="101">D877+E$5*dt+sigma*_xlfn.NORM.S.INV(RAND())*SQRT(dt)</f>
        <v>4.7198185585749855E-2</v>
      </c>
      <c r="F877" s="3">
        <f t="shared" ca="1" si="101"/>
        <v>5.3318561773949065E-2</v>
      </c>
      <c r="G877" s="3">
        <f t="shared" ca="1" si="101"/>
        <v>5.6907326900067765E-2</v>
      </c>
      <c r="H877" s="3">
        <f t="shared" ca="1" si="101"/>
        <v>6.7323420244000801E-2</v>
      </c>
      <c r="I877" s="3">
        <f t="shared" ca="1" si="101"/>
        <v>5.9932612876276367E-2</v>
      </c>
      <c r="J877" s="3">
        <f t="shared" ca="1" si="101"/>
        <v>6.2747650156685361E-2</v>
      </c>
      <c r="K877" s="3">
        <f t="shared" ca="1" si="101"/>
        <v>5.4202307618762803E-2</v>
      </c>
      <c r="L877" s="3">
        <f t="shared" ca="1" si="101"/>
        <v>6.0756036859431914E-2</v>
      </c>
    </row>
    <row r="878" spans="3:12">
      <c r="C878" s="7">
        <v>872</v>
      </c>
      <c r="D878" s="3">
        <f t="shared" si="97"/>
        <v>4.5199999999999997E-2</v>
      </c>
      <c r="E878" s="3">
        <f t="shared" ca="1" si="101"/>
        <v>4.0089135201343162E-2</v>
      </c>
      <c r="F878" s="3">
        <f t="shared" ca="1" si="101"/>
        <v>4.0737952865216025E-2</v>
      </c>
      <c r="G878" s="3">
        <f t="shared" ca="1" si="101"/>
        <v>4.1652920227088962E-2</v>
      </c>
      <c r="H878" s="3">
        <f t="shared" ca="1" si="101"/>
        <v>4.6548828233807286E-2</v>
      </c>
      <c r="I878" s="3">
        <f t="shared" ca="1" si="101"/>
        <v>5.0268805158271798E-2</v>
      </c>
      <c r="J878" s="3">
        <f t="shared" ca="1" si="101"/>
        <v>5.122166021507954E-2</v>
      </c>
      <c r="K878" s="3">
        <f t="shared" ca="1" si="101"/>
        <v>5.8857611283329475E-2</v>
      </c>
      <c r="L878" s="3">
        <f t="shared" ca="1" si="101"/>
        <v>5.8907033238022828E-2</v>
      </c>
    </row>
    <row r="879" spans="3:12">
      <c r="C879" s="7">
        <v>873</v>
      </c>
      <c r="D879" s="3">
        <f t="shared" si="97"/>
        <v>4.5199999999999997E-2</v>
      </c>
      <c r="E879" s="3">
        <f t="shared" ca="1" si="101"/>
        <v>4.4606239955827812E-2</v>
      </c>
      <c r="F879" s="3">
        <f t="shared" ca="1" si="101"/>
        <v>4.8634669994897718E-2</v>
      </c>
      <c r="G879" s="3">
        <f t="shared" ca="1" si="101"/>
        <v>5.0354137318957298E-2</v>
      </c>
      <c r="H879" s="3">
        <f t="shared" ca="1" si="101"/>
        <v>5.6033865403948072E-2</v>
      </c>
      <c r="I879" s="3">
        <f t="shared" ca="1" si="101"/>
        <v>4.7244818448037129E-2</v>
      </c>
      <c r="J879" s="3">
        <f t="shared" ca="1" si="101"/>
        <v>4.5324495171261643E-2</v>
      </c>
      <c r="K879" s="3">
        <f t="shared" ca="1" si="101"/>
        <v>4.2164035148814873E-2</v>
      </c>
      <c r="L879" s="3">
        <f t="shared" ca="1" si="101"/>
        <v>4.2273048764929086E-2</v>
      </c>
    </row>
    <row r="880" spans="3:12">
      <c r="C880" s="7">
        <v>874</v>
      </c>
      <c r="D880" s="3">
        <f t="shared" si="97"/>
        <v>4.5199999999999997E-2</v>
      </c>
      <c r="E880" s="3">
        <f t="shared" ca="1" si="101"/>
        <v>4.5068250923499031E-2</v>
      </c>
      <c r="F880" s="3">
        <f t="shared" ca="1" si="101"/>
        <v>5.1035606193985818E-2</v>
      </c>
      <c r="G880" s="3">
        <f t="shared" ca="1" si="101"/>
        <v>5.2727648642512025E-2</v>
      </c>
      <c r="H880" s="3">
        <f t="shared" ca="1" si="101"/>
        <v>5.4969013805824786E-2</v>
      </c>
      <c r="I880" s="3">
        <f t="shared" ca="1" si="101"/>
        <v>6.2113771450633723E-2</v>
      </c>
      <c r="J880" s="3">
        <f t="shared" ca="1" si="101"/>
        <v>6.6803529840546508E-2</v>
      </c>
      <c r="K880" s="3">
        <f t="shared" ca="1" si="101"/>
        <v>6.4921867747022868E-2</v>
      </c>
      <c r="L880" s="3">
        <f t="shared" ca="1" si="101"/>
        <v>6.9141355910561073E-2</v>
      </c>
    </row>
    <row r="881" spans="3:12">
      <c r="C881" s="7">
        <v>875</v>
      </c>
      <c r="D881" s="3">
        <f t="shared" si="97"/>
        <v>4.5199999999999997E-2</v>
      </c>
      <c r="E881" s="3">
        <f t="shared" ca="1" si="101"/>
        <v>4.3979185849542364E-2</v>
      </c>
      <c r="F881" s="3">
        <f t="shared" ca="1" si="101"/>
        <v>4.4381664193283162E-2</v>
      </c>
      <c r="G881" s="3">
        <f t="shared" ca="1" si="101"/>
        <v>4.5600832376285594E-2</v>
      </c>
      <c r="H881" s="3">
        <f t="shared" ca="1" si="101"/>
        <v>3.6784597192601867E-2</v>
      </c>
      <c r="I881" s="3">
        <f t="shared" ca="1" si="101"/>
        <v>4.0220624592610915E-2</v>
      </c>
      <c r="J881" s="3">
        <f t="shared" ca="1" si="101"/>
        <v>5.087460937692475E-2</v>
      </c>
      <c r="K881" s="3">
        <f t="shared" ca="1" si="101"/>
        <v>5.0861954410214301E-2</v>
      </c>
      <c r="L881" s="3">
        <f t="shared" ca="1" si="101"/>
        <v>5.3144025468981539E-2</v>
      </c>
    </row>
    <row r="882" spans="3:12">
      <c r="C882" s="7">
        <v>876</v>
      </c>
      <c r="D882" s="3">
        <f t="shared" si="97"/>
        <v>4.5199999999999997E-2</v>
      </c>
      <c r="E882" s="3">
        <f t="shared" ca="1" si="101"/>
        <v>4.419402710598954E-2</v>
      </c>
      <c r="F882" s="3">
        <f t="shared" ca="1" si="101"/>
        <v>5.0550464138130927E-2</v>
      </c>
      <c r="G882" s="3">
        <f t="shared" ca="1" si="101"/>
        <v>4.5416727014161121E-2</v>
      </c>
      <c r="H882" s="3">
        <f t="shared" ca="1" si="101"/>
        <v>4.8336497776115844E-2</v>
      </c>
      <c r="I882" s="3">
        <f t="shared" ca="1" si="101"/>
        <v>4.4431130540866157E-2</v>
      </c>
      <c r="J882" s="3">
        <f t="shared" ca="1" si="101"/>
        <v>4.5081651362676022E-2</v>
      </c>
      <c r="K882" s="3">
        <f t="shared" ca="1" si="101"/>
        <v>5.0159422499858164E-2</v>
      </c>
      <c r="L882" s="3">
        <f t="shared" ca="1" si="101"/>
        <v>5.448779864225383E-2</v>
      </c>
    </row>
    <row r="883" spans="3:12">
      <c r="C883" s="7">
        <v>877</v>
      </c>
      <c r="D883" s="3">
        <f t="shared" si="97"/>
        <v>4.5199999999999997E-2</v>
      </c>
      <c r="E883" s="3">
        <f t="shared" ca="1" si="101"/>
        <v>4.7453042635157462E-2</v>
      </c>
      <c r="F883" s="3">
        <f t="shared" ca="1" si="101"/>
        <v>4.1302149878953968E-2</v>
      </c>
      <c r="G883" s="3">
        <f t="shared" ca="1" si="101"/>
        <v>4.4296774744861343E-2</v>
      </c>
      <c r="H883" s="3">
        <f t="shared" ca="1" si="101"/>
        <v>4.6542055635596928E-2</v>
      </c>
      <c r="I883" s="3">
        <f t="shared" ca="1" si="101"/>
        <v>3.4380418910040476E-2</v>
      </c>
      <c r="J883" s="3">
        <f t="shared" ca="1" si="101"/>
        <v>3.1715367616996622E-2</v>
      </c>
      <c r="K883" s="3">
        <f t="shared" ca="1" si="101"/>
        <v>3.5655948218861436E-2</v>
      </c>
      <c r="L883" s="3">
        <f t="shared" ca="1" si="101"/>
        <v>3.0918911211522897E-2</v>
      </c>
    </row>
    <row r="884" spans="3:12">
      <c r="C884" s="7">
        <v>878</v>
      </c>
      <c r="D884" s="3">
        <f t="shared" si="97"/>
        <v>4.5199999999999997E-2</v>
      </c>
      <c r="E884" s="3">
        <f t="shared" ca="1" si="101"/>
        <v>4.4401413400603523E-2</v>
      </c>
      <c r="F884" s="3">
        <f t="shared" ca="1" si="101"/>
        <v>4.7430544060913682E-2</v>
      </c>
      <c r="G884" s="3">
        <f t="shared" ca="1" si="101"/>
        <v>5.4280192968141905E-2</v>
      </c>
      <c r="H884" s="3">
        <f t="shared" ca="1" si="101"/>
        <v>5.2653586025580353E-2</v>
      </c>
      <c r="I884" s="3">
        <f t="shared" ca="1" si="101"/>
        <v>4.5372062909882514E-2</v>
      </c>
      <c r="J884" s="3">
        <f t="shared" ca="1" si="101"/>
        <v>4.899736729686667E-2</v>
      </c>
      <c r="K884" s="3">
        <f t="shared" ca="1" si="101"/>
        <v>5.0165616226454428E-2</v>
      </c>
      <c r="L884" s="3">
        <f t="shared" ca="1" si="101"/>
        <v>4.9659631358116442E-2</v>
      </c>
    </row>
    <row r="885" spans="3:12">
      <c r="C885" s="7">
        <v>879</v>
      </c>
      <c r="D885" s="3">
        <f t="shared" si="97"/>
        <v>4.5199999999999997E-2</v>
      </c>
      <c r="E885" s="3">
        <f t="shared" ca="1" si="101"/>
        <v>5.0100007920220332E-2</v>
      </c>
      <c r="F885" s="3">
        <f t="shared" ca="1" si="101"/>
        <v>5.1396762411022159E-2</v>
      </c>
      <c r="G885" s="3">
        <f t="shared" ca="1" si="101"/>
        <v>5.3608675767494722E-2</v>
      </c>
      <c r="H885" s="3">
        <f t="shared" ca="1" si="101"/>
        <v>6.7413326387773989E-2</v>
      </c>
      <c r="I885" s="3">
        <f t="shared" ca="1" si="101"/>
        <v>6.7530734855549404E-2</v>
      </c>
      <c r="J885" s="3">
        <f t="shared" ca="1" si="101"/>
        <v>5.9921548708595687E-2</v>
      </c>
      <c r="K885" s="3">
        <f t="shared" ca="1" si="101"/>
        <v>5.2898359958926049E-2</v>
      </c>
      <c r="L885" s="3">
        <f t="shared" ca="1" si="101"/>
        <v>5.5861131836776996E-2</v>
      </c>
    </row>
    <row r="886" spans="3:12">
      <c r="C886" s="7">
        <v>880</v>
      </c>
      <c r="D886" s="3">
        <f t="shared" si="97"/>
        <v>4.5199999999999997E-2</v>
      </c>
      <c r="E886" s="3">
        <f t="shared" ca="1" si="101"/>
        <v>4.5992694555075049E-2</v>
      </c>
      <c r="F886" s="3">
        <f t="shared" ca="1" si="101"/>
        <v>4.6761170488019893E-2</v>
      </c>
      <c r="G886" s="3">
        <f t="shared" ca="1" si="101"/>
        <v>4.8562364216098962E-2</v>
      </c>
      <c r="H886" s="3">
        <f t="shared" ca="1" si="101"/>
        <v>5.2712012674366593E-2</v>
      </c>
      <c r="I886" s="3">
        <f t="shared" ca="1" si="101"/>
        <v>6.251315512127234E-2</v>
      </c>
      <c r="J886" s="3">
        <f t="shared" ca="1" si="101"/>
        <v>6.3940814487556757E-2</v>
      </c>
      <c r="K886" s="3">
        <f t="shared" ca="1" si="101"/>
        <v>5.4146365970697823E-2</v>
      </c>
      <c r="L886" s="3">
        <f t="shared" ca="1" si="101"/>
        <v>5.0632252208773529E-2</v>
      </c>
    </row>
    <row r="887" spans="3:12">
      <c r="C887" s="7">
        <v>881</v>
      </c>
      <c r="D887" s="3">
        <f t="shared" si="97"/>
        <v>4.5199999999999997E-2</v>
      </c>
      <c r="E887" s="3">
        <f t="shared" ref="E887:L896" ca="1" si="102">D887+E$5*dt+sigma*_xlfn.NORM.S.INV(RAND())*SQRT(dt)</f>
        <v>3.7663860546840323E-2</v>
      </c>
      <c r="F887" s="3">
        <f t="shared" ca="1" si="102"/>
        <v>4.100588339677496E-2</v>
      </c>
      <c r="G887" s="3">
        <f t="shared" ca="1" si="102"/>
        <v>4.4296315849860032E-2</v>
      </c>
      <c r="H887" s="3">
        <f t="shared" ca="1" si="102"/>
        <v>3.4976907230072865E-2</v>
      </c>
      <c r="I887" s="3">
        <f t="shared" ca="1" si="102"/>
        <v>3.3170435852902122E-2</v>
      </c>
      <c r="J887" s="3">
        <f t="shared" ca="1" si="102"/>
        <v>3.2231981849381516E-2</v>
      </c>
      <c r="K887" s="3">
        <f t="shared" ca="1" si="102"/>
        <v>3.1880055126785101E-2</v>
      </c>
      <c r="L887" s="3">
        <f t="shared" ca="1" si="102"/>
        <v>3.4441783935762353E-2</v>
      </c>
    </row>
    <row r="888" spans="3:12">
      <c r="C888" s="7">
        <v>882</v>
      </c>
      <c r="D888" s="3">
        <f t="shared" si="97"/>
        <v>4.5199999999999997E-2</v>
      </c>
      <c r="E888" s="3">
        <f t="shared" ca="1" si="102"/>
        <v>4.5616560668085525E-2</v>
      </c>
      <c r="F888" s="3">
        <f t="shared" ca="1" si="102"/>
        <v>5.4112768602283173E-2</v>
      </c>
      <c r="G888" s="3">
        <f t="shared" ca="1" si="102"/>
        <v>5.5514561081320524E-2</v>
      </c>
      <c r="H888" s="3">
        <f t="shared" ca="1" si="102"/>
        <v>5.6732296213816036E-2</v>
      </c>
      <c r="I888" s="3">
        <f t="shared" ca="1" si="102"/>
        <v>5.7520271200819276E-2</v>
      </c>
      <c r="J888" s="3">
        <f t="shared" ca="1" si="102"/>
        <v>5.1786516089363389E-2</v>
      </c>
      <c r="K888" s="3">
        <f t="shared" ca="1" si="102"/>
        <v>4.7703703788641832E-2</v>
      </c>
      <c r="L888" s="3">
        <f t="shared" ca="1" si="102"/>
        <v>5.1125343441958342E-2</v>
      </c>
    </row>
    <row r="889" spans="3:12">
      <c r="C889" s="7">
        <v>883</v>
      </c>
      <c r="D889" s="3">
        <f t="shared" si="97"/>
        <v>4.5199999999999997E-2</v>
      </c>
      <c r="E889" s="3">
        <f t="shared" ca="1" si="102"/>
        <v>4.8717094799668077E-2</v>
      </c>
      <c r="F889" s="3">
        <f t="shared" ca="1" si="102"/>
        <v>4.8645965735058715E-2</v>
      </c>
      <c r="G889" s="3">
        <f t="shared" ca="1" si="102"/>
        <v>3.9586052976344765E-2</v>
      </c>
      <c r="H889" s="3">
        <f t="shared" ca="1" si="102"/>
        <v>4.5159246023686699E-2</v>
      </c>
      <c r="I889" s="3">
        <f t="shared" ca="1" si="102"/>
        <v>3.3695291609211156E-2</v>
      </c>
      <c r="J889" s="3">
        <f t="shared" ca="1" si="102"/>
        <v>3.0327488196061854E-2</v>
      </c>
      <c r="K889" s="3">
        <f t="shared" ca="1" si="102"/>
        <v>1.9173863432814471E-2</v>
      </c>
      <c r="L889" s="3">
        <f t="shared" ca="1" si="102"/>
        <v>1.9026107287427686E-2</v>
      </c>
    </row>
    <row r="890" spans="3:12">
      <c r="C890" s="7">
        <v>884</v>
      </c>
      <c r="D890" s="3">
        <f t="shared" si="97"/>
        <v>4.5199999999999997E-2</v>
      </c>
      <c r="E890" s="3">
        <f t="shared" ca="1" si="102"/>
        <v>4.059905133774587E-2</v>
      </c>
      <c r="F890" s="3">
        <f t="shared" ca="1" si="102"/>
        <v>4.5833745576963424E-2</v>
      </c>
      <c r="G890" s="3">
        <f t="shared" ca="1" si="102"/>
        <v>3.898525763089309E-2</v>
      </c>
      <c r="H890" s="3">
        <f t="shared" ca="1" si="102"/>
        <v>4.0787080597984901E-2</v>
      </c>
      <c r="I890" s="3">
        <f t="shared" ca="1" si="102"/>
        <v>4.2530627367922687E-2</v>
      </c>
      <c r="J890" s="3">
        <f t="shared" ca="1" si="102"/>
        <v>3.5715303596485157E-2</v>
      </c>
      <c r="K890" s="3">
        <f t="shared" ca="1" si="102"/>
        <v>4.288772345300236E-2</v>
      </c>
      <c r="L890" s="3">
        <f t="shared" ca="1" si="102"/>
        <v>4.5551579216852225E-2</v>
      </c>
    </row>
    <row r="891" spans="3:12">
      <c r="C891" s="7">
        <v>885</v>
      </c>
      <c r="D891" s="3">
        <f t="shared" si="97"/>
        <v>4.5199999999999997E-2</v>
      </c>
      <c r="E891" s="3">
        <f t="shared" ca="1" si="102"/>
        <v>3.893922580262052E-2</v>
      </c>
      <c r="F891" s="3">
        <f t="shared" ca="1" si="102"/>
        <v>3.2680298640914748E-2</v>
      </c>
      <c r="G891" s="3">
        <f t="shared" ca="1" si="102"/>
        <v>2.7982283981431752E-2</v>
      </c>
      <c r="H891" s="3">
        <f t="shared" ca="1" si="102"/>
        <v>3.8503007350450973E-2</v>
      </c>
      <c r="I891" s="3">
        <f t="shared" ca="1" si="102"/>
        <v>4.1918498638627795E-2</v>
      </c>
      <c r="J891" s="3">
        <f t="shared" ca="1" si="102"/>
        <v>4.3010481265689383E-2</v>
      </c>
      <c r="K891" s="3">
        <f t="shared" ca="1" si="102"/>
        <v>4.4418435463802995E-2</v>
      </c>
      <c r="L891" s="3">
        <f t="shared" ca="1" si="102"/>
        <v>4.4082189601233862E-2</v>
      </c>
    </row>
    <row r="892" spans="3:12">
      <c r="C892" s="7">
        <v>886</v>
      </c>
      <c r="D892" s="3">
        <f t="shared" si="97"/>
        <v>4.5199999999999997E-2</v>
      </c>
      <c r="E892" s="3">
        <f t="shared" ca="1" si="102"/>
        <v>4.4948565726682502E-2</v>
      </c>
      <c r="F892" s="3">
        <f t="shared" ca="1" si="102"/>
        <v>4.8114570663869642E-2</v>
      </c>
      <c r="G892" s="3">
        <f t="shared" ca="1" si="102"/>
        <v>4.6667882001137057E-2</v>
      </c>
      <c r="H892" s="3">
        <f t="shared" ca="1" si="102"/>
        <v>5.2709077384417248E-2</v>
      </c>
      <c r="I892" s="3">
        <f t="shared" ca="1" si="102"/>
        <v>5.3855053893380911E-2</v>
      </c>
      <c r="J892" s="3">
        <f t="shared" ca="1" si="102"/>
        <v>5.7366177194906255E-2</v>
      </c>
      <c r="K892" s="3">
        <f t="shared" ca="1" si="102"/>
        <v>5.5536562237130882E-2</v>
      </c>
      <c r="L892" s="3">
        <f t="shared" ca="1" si="102"/>
        <v>5.5515098681402773E-2</v>
      </c>
    </row>
    <row r="893" spans="3:12">
      <c r="C893" s="7">
        <v>887</v>
      </c>
      <c r="D893" s="3">
        <f t="shared" si="97"/>
        <v>4.5199999999999997E-2</v>
      </c>
      <c r="E893" s="3">
        <f t="shared" ca="1" si="102"/>
        <v>4.1337370941006861E-2</v>
      </c>
      <c r="F893" s="3">
        <f t="shared" ca="1" si="102"/>
        <v>5.0653107125687213E-2</v>
      </c>
      <c r="G893" s="3">
        <f t="shared" ca="1" si="102"/>
        <v>5.1828877892243136E-2</v>
      </c>
      <c r="H893" s="3">
        <f t="shared" ca="1" si="102"/>
        <v>4.9934290127746563E-2</v>
      </c>
      <c r="I893" s="3">
        <f t="shared" ca="1" si="102"/>
        <v>5.0298791640696901E-2</v>
      </c>
      <c r="J893" s="3">
        <f t="shared" ca="1" si="102"/>
        <v>5.634321749154457E-2</v>
      </c>
      <c r="K893" s="3">
        <f t="shared" ca="1" si="102"/>
        <v>6.550735877060114E-2</v>
      </c>
      <c r="L893" s="3">
        <f t="shared" ca="1" si="102"/>
        <v>6.4546279880859023E-2</v>
      </c>
    </row>
    <row r="894" spans="3:12">
      <c r="C894" s="7">
        <v>888</v>
      </c>
      <c r="D894" s="3">
        <f t="shared" si="97"/>
        <v>4.5199999999999997E-2</v>
      </c>
      <c r="E894" s="3">
        <f t="shared" ca="1" si="102"/>
        <v>4.7712662285485707E-2</v>
      </c>
      <c r="F894" s="3">
        <f t="shared" ca="1" si="102"/>
        <v>4.2852334697377613E-2</v>
      </c>
      <c r="G894" s="3">
        <f t="shared" ca="1" si="102"/>
        <v>3.7740317715704637E-2</v>
      </c>
      <c r="H894" s="3">
        <f t="shared" ca="1" si="102"/>
        <v>3.5762451522955381E-2</v>
      </c>
      <c r="I894" s="3">
        <f t="shared" ca="1" si="102"/>
        <v>3.6014658726688256E-2</v>
      </c>
      <c r="J894" s="3">
        <f t="shared" ca="1" si="102"/>
        <v>4.4472276054476019E-2</v>
      </c>
      <c r="K894" s="3">
        <f t="shared" ca="1" si="102"/>
        <v>3.9968841426538525E-2</v>
      </c>
      <c r="L894" s="3">
        <f t="shared" ca="1" si="102"/>
        <v>4.2201861648281831E-2</v>
      </c>
    </row>
    <row r="895" spans="3:12">
      <c r="C895" s="7">
        <v>889</v>
      </c>
      <c r="D895" s="3">
        <f t="shared" si="97"/>
        <v>4.5199999999999997E-2</v>
      </c>
      <c r="E895" s="3">
        <f t="shared" ca="1" si="102"/>
        <v>4.8507867374003623E-2</v>
      </c>
      <c r="F895" s="3">
        <f t="shared" ca="1" si="102"/>
        <v>5.6251637918289445E-2</v>
      </c>
      <c r="G895" s="3">
        <f t="shared" ca="1" si="102"/>
        <v>5.7977585374473707E-2</v>
      </c>
      <c r="H895" s="3">
        <f t="shared" ca="1" si="102"/>
        <v>4.7908223881173946E-2</v>
      </c>
      <c r="I895" s="3">
        <f t="shared" ca="1" si="102"/>
        <v>5.5544591363318935E-2</v>
      </c>
      <c r="J895" s="3">
        <f t="shared" ca="1" si="102"/>
        <v>5.840412235377155E-2</v>
      </c>
      <c r="K895" s="3">
        <f t="shared" ca="1" si="102"/>
        <v>5.7392196509953322E-2</v>
      </c>
      <c r="L895" s="3">
        <f t="shared" ca="1" si="102"/>
        <v>5.9226931217173505E-2</v>
      </c>
    </row>
    <row r="896" spans="3:12">
      <c r="C896" s="7">
        <v>890</v>
      </c>
      <c r="D896" s="3">
        <f t="shared" si="97"/>
        <v>4.5199999999999997E-2</v>
      </c>
      <c r="E896" s="3">
        <f t="shared" ca="1" si="102"/>
        <v>4.0444041871850453E-2</v>
      </c>
      <c r="F896" s="3">
        <f t="shared" ca="1" si="102"/>
        <v>4.0388434458712978E-2</v>
      </c>
      <c r="G896" s="3">
        <f t="shared" ca="1" si="102"/>
        <v>3.2707812467658401E-2</v>
      </c>
      <c r="H896" s="3">
        <f t="shared" ca="1" si="102"/>
        <v>2.4417000184845307E-2</v>
      </c>
      <c r="I896" s="3">
        <f t="shared" ca="1" si="102"/>
        <v>1.9737262482768358E-2</v>
      </c>
      <c r="J896" s="3">
        <f t="shared" ca="1" si="102"/>
        <v>2.1938048348338263E-2</v>
      </c>
      <c r="K896" s="3">
        <f t="shared" ca="1" si="102"/>
        <v>2.3576919699462882E-2</v>
      </c>
      <c r="L896" s="3">
        <f t="shared" ca="1" si="102"/>
        <v>2.7323803597362497E-2</v>
      </c>
    </row>
    <row r="897" spans="3:12">
      <c r="C897" s="7">
        <v>891</v>
      </c>
      <c r="D897" s="3">
        <f t="shared" si="97"/>
        <v>4.5199999999999997E-2</v>
      </c>
      <c r="E897" s="3">
        <f t="shared" ref="E897:L906" ca="1" si="103">D897+E$5*dt+sigma*_xlfn.NORM.S.INV(RAND())*SQRT(dt)</f>
        <v>4.7848049583320611E-2</v>
      </c>
      <c r="F897" s="3">
        <f t="shared" ca="1" si="103"/>
        <v>5.0369003994524451E-2</v>
      </c>
      <c r="G897" s="3">
        <f t="shared" ca="1" si="103"/>
        <v>5.171165409043274E-2</v>
      </c>
      <c r="H897" s="3">
        <f t="shared" ca="1" si="103"/>
        <v>4.6540176430342174E-2</v>
      </c>
      <c r="I897" s="3">
        <f t="shared" ca="1" si="103"/>
        <v>5.4477086935648768E-2</v>
      </c>
      <c r="J897" s="3">
        <f t="shared" ca="1" si="103"/>
        <v>4.8635332481487908E-2</v>
      </c>
      <c r="K897" s="3">
        <f t="shared" ca="1" si="103"/>
        <v>4.909700753893239E-2</v>
      </c>
      <c r="L897" s="3">
        <f t="shared" ca="1" si="103"/>
        <v>5.01815320888205E-2</v>
      </c>
    </row>
    <row r="898" spans="3:12">
      <c r="C898" s="7">
        <v>892</v>
      </c>
      <c r="D898" s="3">
        <f t="shared" si="97"/>
        <v>4.5199999999999997E-2</v>
      </c>
      <c r="E898" s="3">
        <f t="shared" ca="1" si="103"/>
        <v>4.8373677380538986E-2</v>
      </c>
      <c r="F898" s="3">
        <f t="shared" ca="1" si="103"/>
        <v>4.4283328919511082E-2</v>
      </c>
      <c r="G898" s="3">
        <f t="shared" ca="1" si="103"/>
        <v>4.879604588851371E-2</v>
      </c>
      <c r="H898" s="3">
        <f t="shared" ca="1" si="103"/>
        <v>5.5525036355538945E-2</v>
      </c>
      <c r="I898" s="3">
        <f t="shared" ca="1" si="103"/>
        <v>5.9441653569448992E-2</v>
      </c>
      <c r="J898" s="3">
        <f t="shared" ca="1" si="103"/>
        <v>5.7333753660585754E-2</v>
      </c>
      <c r="K898" s="3">
        <f t="shared" ca="1" si="103"/>
        <v>5.6555529958865265E-2</v>
      </c>
      <c r="L898" s="3">
        <f t="shared" ca="1" si="103"/>
        <v>5.8397398574654133E-2</v>
      </c>
    </row>
    <row r="899" spans="3:12">
      <c r="C899" s="7">
        <v>893</v>
      </c>
      <c r="D899" s="3">
        <f t="shared" si="97"/>
        <v>4.5199999999999997E-2</v>
      </c>
      <c r="E899" s="3">
        <f t="shared" ca="1" si="103"/>
        <v>4.0059726467229599E-2</v>
      </c>
      <c r="F899" s="3">
        <f t="shared" ca="1" si="103"/>
        <v>4.3366482436684041E-2</v>
      </c>
      <c r="G899" s="3">
        <f t="shared" ca="1" si="103"/>
        <v>4.3721613886967825E-2</v>
      </c>
      <c r="H899" s="3">
        <f t="shared" ca="1" si="103"/>
        <v>4.8716621555519417E-2</v>
      </c>
      <c r="I899" s="3">
        <f t="shared" ca="1" si="103"/>
        <v>3.3540508909709443E-2</v>
      </c>
      <c r="J899" s="3">
        <f t="shared" ca="1" si="103"/>
        <v>3.1944272842880796E-2</v>
      </c>
      <c r="K899" s="3">
        <f t="shared" ca="1" si="103"/>
        <v>3.3056139828840994E-2</v>
      </c>
      <c r="L899" s="3">
        <f t="shared" ca="1" si="103"/>
        <v>4.39573861576842E-2</v>
      </c>
    </row>
    <row r="900" spans="3:12">
      <c r="C900" s="7">
        <v>894</v>
      </c>
      <c r="D900" s="3">
        <f t="shared" si="97"/>
        <v>4.5199999999999997E-2</v>
      </c>
      <c r="E900" s="3">
        <f t="shared" ca="1" si="103"/>
        <v>4.2324744960576463E-2</v>
      </c>
      <c r="F900" s="3">
        <f t="shared" ca="1" si="103"/>
        <v>4.0348190787664336E-2</v>
      </c>
      <c r="G900" s="3">
        <f t="shared" ca="1" si="103"/>
        <v>4.3622766240422335E-2</v>
      </c>
      <c r="H900" s="3">
        <f t="shared" ca="1" si="103"/>
        <v>4.5553775431548579E-2</v>
      </c>
      <c r="I900" s="3">
        <f t="shared" ca="1" si="103"/>
        <v>4.1958471368289778E-2</v>
      </c>
      <c r="J900" s="3">
        <f t="shared" ca="1" si="103"/>
        <v>4.2662717427640502E-2</v>
      </c>
      <c r="K900" s="3">
        <f t="shared" ca="1" si="103"/>
        <v>4.7162382030146936E-2</v>
      </c>
      <c r="L900" s="3">
        <f t="shared" ca="1" si="103"/>
        <v>4.627977978576344E-2</v>
      </c>
    </row>
    <row r="901" spans="3:12">
      <c r="C901" s="7">
        <v>895</v>
      </c>
      <c r="D901" s="3">
        <f t="shared" si="97"/>
        <v>4.5199999999999997E-2</v>
      </c>
      <c r="E901" s="3">
        <f t="shared" ca="1" si="103"/>
        <v>5.4135611686219769E-2</v>
      </c>
      <c r="F901" s="3">
        <f t="shared" ca="1" si="103"/>
        <v>5.7972843639993478E-2</v>
      </c>
      <c r="G901" s="3">
        <f t="shared" ca="1" si="103"/>
        <v>5.5609689668897025E-2</v>
      </c>
      <c r="H901" s="3">
        <f t="shared" ca="1" si="103"/>
        <v>5.3315532119780698E-2</v>
      </c>
      <c r="I901" s="3">
        <f t="shared" ca="1" si="103"/>
        <v>5.2202599912829738E-2</v>
      </c>
      <c r="J901" s="3">
        <f t="shared" ca="1" si="103"/>
        <v>4.6916903351766265E-2</v>
      </c>
      <c r="K901" s="3">
        <f t="shared" ca="1" si="103"/>
        <v>4.7375922847705351E-2</v>
      </c>
      <c r="L901" s="3">
        <f t="shared" ca="1" si="103"/>
        <v>4.2920076465078096E-2</v>
      </c>
    </row>
    <row r="902" spans="3:12">
      <c r="C902" s="7">
        <v>896</v>
      </c>
      <c r="D902" s="3">
        <f t="shared" si="97"/>
        <v>4.5199999999999997E-2</v>
      </c>
      <c r="E902" s="3">
        <f t="shared" ca="1" si="103"/>
        <v>5.2792994260788026E-2</v>
      </c>
      <c r="F902" s="3">
        <f t="shared" ca="1" si="103"/>
        <v>4.8402195624556332E-2</v>
      </c>
      <c r="G902" s="3">
        <f t="shared" ca="1" si="103"/>
        <v>5.2835492947923335E-2</v>
      </c>
      <c r="H902" s="3">
        <f t="shared" ca="1" si="103"/>
        <v>5.2829122016175296E-2</v>
      </c>
      <c r="I902" s="3">
        <f t="shared" ca="1" si="103"/>
        <v>4.8860685460751369E-2</v>
      </c>
      <c r="J902" s="3">
        <f t="shared" ca="1" si="103"/>
        <v>4.4052838001373239E-2</v>
      </c>
      <c r="K902" s="3">
        <f t="shared" ca="1" si="103"/>
        <v>4.4430211628670564E-2</v>
      </c>
      <c r="L902" s="3">
        <f t="shared" ca="1" si="103"/>
        <v>4.3109160488657025E-2</v>
      </c>
    </row>
    <row r="903" spans="3:12">
      <c r="C903" s="7">
        <v>897</v>
      </c>
      <c r="D903" s="3">
        <f t="shared" ref="D903:D966" si="104">r0</f>
        <v>4.5199999999999997E-2</v>
      </c>
      <c r="E903" s="3">
        <f t="shared" ca="1" si="103"/>
        <v>5.2551918843310473E-2</v>
      </c>
      <c r="F903" s="3">
        <f t="shared" ca="1" si="103"/>
        <v>4.8938191500613924E-2</v>
      </c>
      <c r="G903" s="3">
        <f t="shared" ca="1" si="103"/>
        <v>5.7663914272885364E-2</v>
      </c>
      <c r="H903" s="3">
        <f t="shared" ca="1" si="103"/>
        <v>6.5484525921448974E-2</v>
      </c>
      <c r="I903" s="3">
        <f t="shared" ca="1" si="103"/>
        <v>6.8057537891604375E-2</v>
      </c>
      <c r="J903" s="3">
        <f t="shared" ca="1" si="103"/>
        <v>6.6269340226727119E-2</v>
      </c>
      <c r="K903" s="3">
        <f t="shared" ca="1" si="103"/>
        <v>6.0954823664229933E-2</v>
      </c>
      <c r="L903" s="3">
        <f t="shared" ca="1" si="103"/>
        <v>5.6610663635454986E-2</v>
      </c>
    </row>
    <row r="904" spans="3:12">
      <c r="C904" s="7">
        <v>898</v>
      </c>
      <c r="D904" s="3">
        <f t="shared" si="104"/>
        <v>4.5199999999999997E-2</v>
      </c>
      <c r="E904" s="3">
        <f t="shared" ca="1" si="103"/>
        <v>4.0110074629122736E-2</v>
      </c>
      <c r="F904" s="3">
        <f t="shared" ca="1" si="103"/>
        <v>4.156721306660232E-2</v>
      </c>
      <c r="G904" s="3">
        <f t="shared" ca="1" si="103"/>
        <v>4.8228491920143286E-2</v>
      </c>
      <c r="H904" s="3">
        <f t="shared" ca="1" si="103"/>
        <v>4.4259100262103682E-2</v>
      </c>
      <c r="I904" s="3">
        <f t="shared" ca="1" si="103"/>
        <v>4.9760896535117699E-2</v>
      </c>
      <c r="J904" s="3">
        <f t="shared" ca="1" si="103"/>
        <v>5.0397821527234599E-2</v>
      </c>
      <c r="K904" s="3">
        <f t="shared" ca="1" si="103"/>
        <v>5.7676429259281951E-2</v>
      </c>
      <c r="L904" s="3">
        <f t="shared" ca="1" si="103"/>
        <v>6.6531051424253723E-2</v>
      </c>
    </row>
    <row r="905" spans="3:12">
      <c r="C905" s="7">
        <v>899</v>
      </c>
      <c r="D905" s="3">
        <f t="shared" si="104"/>
        <v>4.5199999999999997E-2</v>
      </c>
      <c r="E905" s="3">
        <f t="shared" ca="1" si="103"/>
        <v>4.5707975199233516E-2</v>
      </c>
      <c r="F905" s="3">
        <f t="shared" ca="1" si="103"/>
        <v>4.9280822255689048E-2</v>
      </c>
      <c r="G905" s="3">
        <f t="shared" ca="1" si="103"/>
        <v>4.4048737958869891E-2</v>
      </c>
      <c r="H905" s="3">
        <f t="shared" ca="1" si="103"/>
        <v>4.1589127991622933E-2</v>
      </c>
      <c r="I905" s="3">
        <f t="shared" ca="1" si="103"/>
        <v>4.1579725554947211E-2</v>
      </c>
      <c r="J905" s="3">
        <f t="shared" ca="1" si="103"/>
        <v>4.9212997641796659E-2</v>
      </c>
      <c r="K905" s="3">
        <f t="shared" ca="1" si="103"/>
        <v>4.2681282570005169E-2</v>
      </c>
      <c r="L905" s="3">
        <f t="shared" ca="1" si="103"/>
        <v>4.6425484873801236E-2</v>
      </c>
    </row>
    <row r="906" spans="3:12">
      <c r="C906" s="7">
        <v>900</v>
      </c>
      <c r="D906" s="3">
        <f t="shared" si="104"/>
        <v>4.5199999999999997E-2</v>
      </c>
      <c r="E906" s="3">
        <f t="shared" ca="1" si="103"/>
        <v>5.1182790256415457E-2</v>
      </c>
      <c r="F906" s="3">
        <f t="shared" ca="1" si="103"/>
        <v>4.9744767489200523E-2</v>
      </c>
      <c r="G906" s="3">
        <f t="shared" ca="1" si="103"/>
        <v>4.7064452204298765E-2</v>
      </c>
      <c r="H906" s="3">
        <f t="shared" ca="1" si="103"/>
        <v>4.6964022280113663E-2</v>
      </c>
      <c r="I906" s="3">
        <f t="shared" ca="1" si="103"/>
        <v>4.7651167412668817E-2</v>
      </c>
      <c r="J906" s="3">
        <f t="shared" ca="1" si="103"/>
        <v>5.2719883378840926E-2</v>
      </c>
      <c r="K906" s="3">
        <f t="shared" ca="1" si="103"/>
        <v>5.1556495820797611E-2</v>
      </c>
      <c r="L906" s="3">
        <f t="shared" ca="1" si="103"/>
        <v>5.4109565843416293E-2</v>
      </c>
    </row>
    <row r="907" spans="3:12">
      <c r="C907" s="7">
        <v>901</v>
      </c>
      <c r="D907" s="3">
        <f t="shared" si="104"/>
        <v>4.5199999999999997E-2</v>
      </c>
      <c r="E907" s="3">
        <f t="shared" ref="E907:L916" ca="1" si="105">D907+E$5*dt+sigma*_xlfn.NORM.S.INV(RAND())*SQRT(dt)</f>
        <v>4.0001491080979251E-2</v>
      </c>
      <c r="F907" s="3">
        <f t="shared" ca="1" si="105"/>
        <v>3.8609903930895521E-2</v>
      </c>
      <c r="G907" s="3">
        <f t="shared" ca="1" si="105"/>
        <v>2.9104751569950897E-2</v>
      </c>
      <c r="H907" s="3">
        <f t="shared" ca="1" si="105"/>
        <v>3.1587930391654306E-2</v>
      </c>
      <c r="I907" s="3">
        <f t="shared" ca="1" si="105"/>
        <v>2.1022219324969466E-2</v>
      </c>
      <c r="J907" s="3">
        <f t="shared" ca="1" si="105"/>
        <v>2.0951519462336244E-2</v>
      </c>
      <c r="K907" s="3">
        <f t="shared" ca="1" si="105"/>
        <v>1.0490216166334781E-2</v>
      </c>
      <c r="L907" s="3">
        <f t="shared" ca="1" si="105"/>
        <v>1.0546847284806321E-2</v>
      </c>
    </row>
    <row r="908" spans="3:12">
      <c r="C908" s="7">
        <v>902</v>
      </c>
      <c r="D908" s="3">
        <f t="shared" si="104"/>
        <v>4.5199999999999997E-2</v>
      </c>
      <c r="E908" s="3">
        <f t="shared" ca="1" si="105"/>
        <v>4.1537410683220879E-2</v>
      </c>
      <c r="F908" s="3">
        <f t="shared" ca="1" si="105"/>
        <v>3.4756940954510658E-2</v>
      </c>
      <c r="G908" s="3">
        <f t="shared" ca="1" si="105"/>
        <v>2.9726135155170905E-2</v>
      </c>
      <c r="H908" s="3">
        <f t="shared" ca="1" si="105"/>
        <v>3.5367230157491034E-2</v>
      </c>
      <c r="I908" s="3">
        <f t="shared" ca="1" si="105"/>
        <v>2.6825981263926262E-2</v>
      </c>
      <c r="J908" s="3">
        <f t="shared" ca="1" si="105"/>
        <v>2.972342772274171E-2</v>
      </c>
      <c r="K908" s="3">
        <f t="shared" ca="1" si="105"/>
        <v>3.2267420389977236E-2</v>
      </c>
      <c r="L908" s="3">
        <f t="shared" ca="1" si="105"/>
        <v>3.7353769317640124E-2</v>
      </c>
    </row>
    <row r="909" spans="3:12">
      <c r="C909" s="7">
        <v>903</v>
      </c>
      <c r="D909" s="3">
        <f t="shared" si="104"/>
        <v>4.5199999999999997E-2</v>
      </c>
      <c r="E909" s="3">
        <f t="shared" ca="1" si="105"/>
        <v>4.9722282850352066E-2</v>
      </c>
      <c r="F909" s="3">
        <f t="shared" ca="1" si="105"/>
        <v>4.3160459494389659E-2</v>
      </c>
      <c r="G909" s="3">
        <f t="shared" ca="1" si="105"/>
        <v>4.2046059874693571E-2</v>
      </c>
      <c r="H909" s="3">
        <f t="shared" ca="1" si="105"/>
        <v>4.6058073199267191E-2</v>
      </c>
      <c r="I909" s="3">
        <f t="shared" ca="1" si="105"/>
        <v>3.3378699965627853E-2</v>
      </c>
      <c r="J909" s="3">
        <f t="shared" ca="1" si="105"/>
        <v>4.6982874708950413E-2</v>
      </c>
      <c r="K909" s="3">
        <f t="shared" ca="1" si="105"/>
        <v>4.0588450251176196E-2</v>
      </c>
      <c r="L909" s="3">
        <f t="shared" ca="1" si="105"/>
        <v>4.6991530993026706E-2</v>
      </c>
    </row>
    <row r="910" spans="3:12">
      <c r="C910" s="7">
        <v>904</v>
      </c>
      <c r="D910" s="3">
        <f t="shared" si="104"/>
        <v>4.5199999999999997E-2</v>
      </c>
      <c r="E910" s="3">
        <f t="shared" ca="1" si="105"/>
        <v>5.2998941138052848E-2</v>
      </c>
      <c r="F910" s="3">
        <f t="shared" ca="1" si="105"/>
        <v>4.4961674055759973E-2</v>
      </c>
      <c r="G910" s="3">
        <f t="shared" ca="1" si="105"/>
        <v>4.0098634566967772E-2</v>
      </c>
      <c r="H910" s="3">
        <f t="shared" ca="1" si="105"/>
        <v>4.6149660357378962E-2</v>
      </c>
      <c r="I910" s="3">
        <f t="shared" ca="1" si="105"/>
        <v>4.0401274012032591E-2</v>
      </c>
      <c r="J910" s="3">
        <f t="shared" ca="1" si="105"/>
        <v>4.7365183400090903E-2</v>
      </c>
      <c r="K910" s="3">
        <f t="shared" ca="1" si="105"/>
        <v>4.3796090720128564E-2</v>
      </c>
      <c r="L910" s="3">
        <f t="shared" ca="1" si="105"/>
        <v>4.5172737817612593E-2</v>
      </c>
    </row>
    <row r="911" spans="3:12">
      <c r="C911" s="7">
        <v>905</v>
      </c>
      <c r="D911" s="3">
        <f t="shared" si="104"/>
        <v>4.5199999999999997E-2</v>
      </c>
      <c r="E911" s="3">
        <f t="shared" ca="1" si="105"/>
        <v>4.2307732819958067E-2</v>
      </c>
      <c r="F911" s="3">
        <f t="shared" ca="1" si="105"/>
        <v>4.3843231483243206E-2</v>
      </c>
      <c r="G911" s="3">
        <f t="shared" ca="1" si="105"/>
        <v>4.4836253063317434E-2</v>
      </c>
      <c r="H911" s="3">
        <f t="shared" ca="1" si="105"/>
        <v>4.8299148331156623E-2</v>
      </c>
      <c r="I911" s="3">
        <f t="shared" ca="1" si="105"/>
        <v>5.1793733682499066E-2</v>
      </c>
      <c r="J911" s="3">
        <f t="shared" ca="1" si="105"/>
        <v>5.4285267941602343E-2</v>
      </c>
      <c r="K911" s="3">
        <f t="shared" ca="1" si="105"/>
        <v>4.9428642550138846E-2</v>
      </c>
      <c r="L911" s="3">
        <f t="shared" ca="1" si="105"/>
        <v>5.7771053762394296E-2</v>
      </c>
    </row>
    <row r="912" spans="3:12">
      <c r="C912" s="7">
        <v>906</v>
      </c>
      <c r="D912" s="3">
        <f t="shared" si="104"/>
        <v>4.5199999999999997E-2</v>
      </c>
      <c r="E912" s="3">
        <f t="shared" ca="1" si="105"/>
        <v>4.3481975660332371E-2</v>
      </c>
      <c r="F912" s="3">
        <f t="shared" ca="1" si="105"/>
        <v>4.9249211289121325E-2</v>
      </c>
      <c r="G912" s="3">
        <f t="shared" ca="1" si="105"/>
        <v>4.6395554661303226E-2</v>
      </c>
      <c r="H912" s="3">
        <f t="shared" ca="1" si="105"/>
        <v>5.1845742134453747E-2</v>
      </c>
      <c r="I912" s="3">
        <f t="shared" ca="1" si="105"/>
        <v>4.7214131313051223E-2</v>
      </c>
      <c r="J912" s="3">
        <f t="shared" ca="1" si="105"/>
        <v>5.1132285481073514E-2</v>
      </c>
      <c r="K912" s="3">
        <f t="shared" ca="1" si="105"/>
        <v>5.5571704869504107E-2</v>
      </c>
      <c r="L912" s="3">
        <f t="shared" ca="1" si="105"/>
        <v>5.9785330144375891E-2</v>
      </c>
    </row>
    <row r="913" spans="3:12">
      <c r="C913" s="7">
        <v>907</v>
      </c>
      <c r="D913" s="3">
        <f t="shared" si="104"/>
        <v>4.5199999999999997E-2</v>
      </c>
      <c r="E913" s="3">
        <f t="shared" ca="1" si="105"/>
        <v>4.7455973740294831E-2</v>
      </c>
      <c r="F913" s="3">
        <f t="shared" ca="1" si="105"/>
        <v>5.6172904163024499E-2</v>
      </c>
      <c r="G913" s="3">
        <f t="shared" ca="1" si="105"/>
        <v>5.9020729924106279E-2</v>
      </c>
      <c r="H913" s="3">
        <f t="shared" ca="1" si="105"/>
        <v>6.0943450250402917E-2</v>
      </c>
      <c r="I913" s="3">
        <f t="shared" ca="1" si="105"/>
        <v>6.7858758270063296E-2</v>
      </c>
      <c r="J913" s="3">
        <f t="shared" ca="1" si="105"/>
        <v>6.6573247927141241E-2</v>
      </c>
      <c r="K913" s="3">
        <f t="shared" ca="1" si="105"/>
        <v>6.8062507763908764E-2</v>
      </c>
      <c r="L913" s="3">
        <f t="shared" ca="1" si="105"/>
        <v>7.6689456151221955E-2</v>
      </c>
    </row>
    <row r="914" spans="3:12">
      <c r="C914" s="7">
        <v>908</v>
      </c>
      <c r="D914" s="3">
        <f t="shared" si="104"/>
        <v>4.5199999999999997E-2</v>
      </c>
      <c r="E914" s="3">
        <f t="shared" ca="1" si="105"/>
        <v>4.3839013660396567E-2</v>
      </c>
      <c r="F914" s="3">
        <f t="shared" ca="1" si="105"/>
        <v>5.2178980812644653E-2</v>
      </c>
      <c r="G914" s="3">
        <f t="shared" ca="1" si="105"/>
        <v>5.7386666223086823E-2</v>
      </c>
      <c r="H914" s="3">
        <f t="shared" ca="1" si="105"/>
        <v>6.4435175321713778E-2</v>
      </c>
      <c r="I914" s="3">
        <f t="shared" ca="1" si="105"/>
        <v>6.4217987162973056E-2</v>
      </c>
      <c r="J914" s="3">
        <f t="shared" ca="1" si="105"/>
        <v>6.4911699021741251E-2</v>
      </c>
      <c r="K914" s="3">
        <f t="shared" ca="1" si="105"/>
        <v>6.1850020500835608E-2</v>
      </c>
      <c r="L914" s="3">
        <f t="shared" ca="1" si="105"/>
        <v>6.9224965868144472E-2</v>
      </c>
    </row>
    <row r="915" spans="3:12">
      <c r="C915" s="7">
        <v>909</v>
      </c>
      <c r="D915" s="3">
        <f t="shared" si="104"/>
        <v>4.5199999999999997E-2</v>
      </c>
      <c r="E915" s="3">
        <f t="shared" ca="1" si="105"/>
        <v>5.1948454043611203E-2</v>
      </c>
      <c r="F915" s="3">
        <f t="shared" ca="1" si="105"/>
        <v>5.3087159489806052E-2</v>
      </c>
      <c r="G915" s="3">
        <f t="shared" ca="1" si="105"/>
        <v>5.6905941197597641E-2</v>
      </c>
      <c r="H915" s="3">
        <f t="shared" ca="1" si="105"/>
        <v>5.4579968935049038E-2</v>
      </c>
      <c r="I915" s="3">
        <f t="shared" ca="1" si="105"/>
        <v>5.0578080792283008E-2</v>
      </c>
      <c r="J915" s="3">
        <f t="shared" ca="1" si="105"/>
        <v>5.3002969672916705E-2</v>
      </c>
      <c r="K915" s="3">
        <f t="shared" ca="1" si="105"/>
        <v>5.4963983568240088E-2</v>
      </c>
      <c r="L915" s="3">
        <f t="shared" ca="1" si="105"/>
        <v>6.6208326141648996E-2</v>
      </c>
    </row>
    <row r="916" spans="3:12">
      <c r="C916" s="7">
        <v>910</v>
      </c>
      <c r="D916" s="3">
        <f t="shared" si="104"/>
        <v>4.5199999999999997E-2</v>
      </c>
      <c r="E916" s="3">
        <f t="shared" ca="1" si="105"/>
        <v>4.5830043965492763E-2</v>
      </c>
      <c r="F916" s="3">
        <f t="shared" ca="1" si="105"/>
        <v>5.5416148265684993E-2</v>
      </c>
      <c r="G916" s="3">
        <f t="shared" ca="1" si="105"/>
        <v>5.5684022656669233E-2</v>
      </c>
      <c r="H916" s="3">
        <f t="shared" ca="1" si="105"/>
        <v>5.6895805424527865E-2</v>
      </c>
      <c r="I916" s="3">
        <f t="shared" ca="1" si="105"/>
        <v>5.4315839054563622E-2</v>
      </c>
      <c r="J916" s="3">
        <f t="shared" ca="1" si="105"/>
        <v>4.1541355046205874E-2</v>
      </c>
      <c r="K916" s="3">
        <f t="shared" ca="1" si="105"/>
        <v>3.6100825062773088E-2</v>
      </c>
      <c r="L916" s="3">
        <f t="shared" ca="1" si="105"/>
        <v>4.5188464643159544E-2</v>
      </c>
    </row>
    <row r="917" spans="3:12">
      <c r="C917" s="7">
        <v>911</v>
      </c>
      <c r="D917" s="3">
        <f t="shared" si="104"/>
        <v>4.5199999999999997E-2</v>
      </c>
      <c r="E917" s="3">
        <f t="shared" ref="E917:L926" ca="1" si="106">D917+E$5*dt+sigma*_xlfn.NORM.S.INV(RAND())*SQRT(dt)</f>
        <v>4.1279173931132458E-2</v>
      </c>
      <c r="F917" s="3">
        <f t="shared" ca="1" si="106"/>
        <v>4.1335602280688118E-2</v>
      </c>
      <c r="G917" s="3">
        <f t="shared" ca="1" si="106"/>
        <v>3.6281724810962875E-2</v>
      </c>
      <c r="H917" s="3">
        <f t="shared" ca="1" si="106"/>
        <v>2.6288348915343318E-2</v>
      </c>
      <c r="I917" s="3">
        <f t="shared" ca="1" si="106"/>
        <v>3.1700180625909638E-2</v>
      </c>
      <c r="J917" s="3">
        <f t="shared" ca="1" si="106"/>
        <v>2.6818301396729711E-2</v>
      </c>
      <c r="K917" s="3">
        <f t="shared" ca="1" si="106"/>
        <v>2.6255457034803337E-2</v>
      </c>
      <c r="L917" s="3">
        <f t="shared" ca="1" si="106"/>
        <v>2.6012234405705294E-2</v>
      </c>
    </row>
    <row r="918" spans="3:12">
      <c r="C918" s="7">
        <v>912</v>
      </c>
      <c r="D918" s="3">
        <f t="shared" si="104"/>
        <v>4.5199999999999997E-2</v>
      </c>
      <c r="E918" s="3">
        <f t="shared" ca="1" si="106"/>
        <v>3.9782685636627881E-2</v>
      </c>
      <c r="F918" s="3">
        <f t="shared" ca="1" si="106"/>
        <v>4.8339055459741251E-2</v>
      </c>
      <c r="G918" s="3">
        <f t="shared" ca="1" si="106"/>
        <v>5.1650679195713901E-2</v>
      </c>
      <c r="H918" s="3">
        <f t="shared" ca="1" si="106"/>
        <v>6.3507269255861698E-2</v>
      </c>
      <c r="I918" s="3">
        <f t="shared" ca="1" si="106"/>
        <v>6.5896278297552194E-2</v>
      </c>
      <c r="J918" s="3">
        <f t="shared" ca="1" si="106"/>
        <v>7.2576128066019985E-2</v>
      </c>
      <c r="K918" s="3">
        <f t="shared" ca="1" si="106"/>
        <v>7.0616281637884651E-2</v>
      </c>
      <c r="L918" s="3">
        <f t="shared" ca="1" si="106"/>
        <v>8.1277900853498425E-2</v>
      </c>
    </row>
    <row r="919" spans="3:12">
      <c r="C919" s="7">
        <v>913</v>
      </c>
      <c r="D919" s="3">
        <f t="shared" si="104"/>
        <v>4.5199999999999997E-2</v>
      </c>
      <c r="E919" s="3">
        <f t="shared" ca="1" si="106"/>
        <v>4.4222907719108757E-2</v>
      </c>
      <c r="F919" s="3">
        <f t="shared" ca="1" si="106"/>
        <v>4.6247761391899275E-2</v>
      </c>
      <c r="G919" s="3">
        <f t="shared" ca="1" si="106"/>
        <v>4.901974343665283E-2</v>
      </c>
      <c r="H919" s="3">
        <f t="shared" ca="1" si="106"/>
        <v>4.9872885505055739E-2</v>
      </c>
      <c r="I919" s="3">
        <f t="shared" ca="1" si="106"/>
        <v>5.023863670382904E-2</v>
      </c>
      <c r="J919" s="3">
        <f t="shared" ca="1" si="106"/>
        <v>5.9120983400215238E-2</v>
      </c>
      <c r="K919" s="3">
        <f t="shared" ca="1" si="106"/>
        <v>6.2978519247082865E-2</v>
      </c>
      <c r="L919" s="3">
        <f t="shared" ca="1" si="106"/>
        <v>6.4281909580132607E-2</v>
      </c>
    </row>
    <row r="920" spans="3:12">
      <c r="C920" s="7">
        <v>914</v>
      </c>
      <c r="D920" s="3">
        <f t="shared" si="104"/>
        <v>4.5199999999999997E-2</v>
      </c>
      <c r="E920" s="3">
        <f t="shared" ca="1" si="106"/>
        <v>3.1181137745373642E-2</v>
      </c>
      <c r="F920" s="3">
        <f t="shared" ca="1" si="106"/>
        <v>4.6002360194072896E-2</v>
      </c>
      <c r="G920" s="3">
        <f t="shared" ca="1" si="106"/>
        <v>4.6204132839581968E-2</v>
      </c>
      <c r="H920" s="3">
        <f t="shared" ca="1" si="106"/>
        <v>3.796610813289901E-2</v>
      </c>
      <c r="I920" s="3">
        <f t="shared" ca="1" si="106"/>
        <v>3.2667517116854221E-2</v>
      </c>
      <c r="J920" s="3">
        <f t="shared" ca="1" si="106"/>
        <v>3.8395155488310025E-2</v>
      </c>
      <c r="K920" s="3">
        <f t="shared" ca="1" si="106"/>
        <v>4.4382726207736839E-2</v>
      </c>
      <c r="L920" s="3">
        <f t="shared" ca="1" si="106"/>
        <v>3.7170292608294776E-2</v>
      </c>
    </row>
    <row r="921" spans="3:12">
      <c r="C921" s="7">
        <v>915</v>
      </c>
      <c r="D921" s="3">
        <f t="shared" si="104"/>
        <v>4.5199999999999997E-2</v>
      </c>
      <c r="E921" s="3">
        <f t="shared" ca="1" si="106"/>
        <v>4.2758595688473275E-2</v>
      </c>
      <c r="F921" s="3">
        <f t="shared" ca="1" si="106"/>
        <v>4.5869884766849299E-2</v>
      </c>
      <c r="G921" s="3">
        <f t="shared" ca="1" si="106"/>
        <v>4.2711631689990669E-2</v>
      </c>
      <c r="H921" s="3">
        <f t="shared" ca="1" si="106"/>
        <v>4.8514691252736039E-2</v>
      </c>
      <c r="I921" s="3">
        <f t="shared" ca="1" si="106"/>
        <v>5.2842588908295442E-2</v>
      </c>
      <c r="J921" s="3">
        <f t="shared" ca="1" si="106"/>
        <v>5.4139566644506171E-2</v>
      </c>
      <c r="K921" s="3">
        <f t="shared" ca="1" si="106"/>
        <v>5.9368113252572671E-2</v>
      </c>
      <c r="L921" s="3">
        <f t="shared" ca="1" si="106"/>
        <v>5.6455448347346823E-2</v>
      </c>
    </row>
    <row r="922" spans="3:12">
      <c r="C922" s="7">
        <v>916</v>
      </c>
      <c r="D922" s="3">
        <f t="shared" si="104"/>
        <v>4.5199999999999997E-2</v>
      </c>
      <c r="E922" s="3">
        <f t="shared" ca="1" si="106"/>
        <v>4.7882605121197915E-2</v>
      </c>
      <c r="F922" s="3">
        <f t="shared" ca="1" si="106"/>
        <v>5.2189467106083777E-2</v>
      </c>
      <c r="G922" s="3">
        <f t="shared" ca="1" si="106"/>
        <v>5.1960377219753287E-2</v>
      </c>
      <c r="H922" s="3">
        <f t="shared" ca="1" si="106"/>
        <v>5.7733309192051302E-2</v>
      </c>
      <c r="I922" s="3">
        <f t="shared" ca="1" si="106"/>
        <v>6.4123312597512458E-2</v>
      </c>
      <c r="J922" s="3">
        <f t="shared" ca="1" si="106"/>
        <v>6.7026939884435602E-2</v>
      </c>
      <c r="K922" s="3">
        <f t="shared" ca="1" si="106"/>
        <v>6.5773519100620445E-2</v>
      </c>
      <c r="L922" s="3">
        <f t="shared" ca="1" si="106"/>
        <v>6.9145220607005578E-2</v>
      </c>
    </row>
    <row r="923" spans="3:12">
      <c r="C923" s="7">
        <v>917</v>
      </c>
      <c r="D923" s="3">
        <f t="shared" si="104"/>
        <v>4.5199999999999997E-2</v>
      </c>
      <c r="E923" s="3">
        <f t="shared" ca="1" si="106"/>
        <v>3.4112050065359098E-2</v>
      </c>
      <c r="F923" s="3">
        <f t="shared" ca="1" si="106"/>
        <v>3.9563094218449002E-2</v>
      </c>
      <c r="G923" s="3">
        <f t="shared" ca="1" si="106"/>
        <v>3.4665774752501731E-2</v>
      </c>
      <c r="H923" s="3">
        <f t="shared" ca="1" si="106"/>
        <v>3.8865784196432954E-2</v>
      </c>
      <c r="I923" s="3">
        <f t="shared" ca="1" si="106"/>
        <v>3.0358424222007126E-2</v>
      </c>
      <c r="J923" s="3">
        <f t="shared" ca="1" si="106"/>
        <v>2.9833957527198827E-2</v>
      </c>
      <c r="K923" s="3">
        <f t="shared" ca="1" si="106"/>
        <v>2.9054326262493987E-2</v>
      </c>
      <c r="L923" s="3">
        <f t="shared" ca="1" si="106"/>
        <v>3.4748499700747622E-2</v>
      </c>
    </row>
    <row r="924" spans="3:12">
      <c r="C924" s="7">
        <v>918</v>
      </c>
      <c r="D924" s="3">
        <f t="shared" si="104"/>
        <v>4.5199999999999997E-2</v>
      </c>
      <c r="E924" s="3">
        <f t="shared" ca="1" si="106"/>
        <v>4.3787666321283794E-2</v>
      </c>
      <c r="F924" s="3">
        <f t="shared" ca="1" si="106"/>
        <v>4.7707323223809599E-2</v>
      </c>
      <c r="G924" s="3">
        <f t="shared" ca="1" si="106"/>
        <v>5.6366571827868001E-2</v>
      </c>
      <c r="H924" s="3">
        <f t="shared" ca="1" si="106"/>
        <v>6.3241171492181156E-2</v>
      </c>
      <c r="I924" s="3">
        <f t="shared" ca="1" si="106"/>
        <v>6.1589011089490199E-2</v>
      </c>
      <c r="J924" s="3">
        <f t="shared" ca="1" si="106"/>
        <v>6.1115505633215571E-2</v>
      </c>
      <c r="K924" s="3">
        <f t="shared" ca="1" si="106"/>
        <v>6.207676245477408E-2</v>
      </c>
      <c r="L924" s="3">
        <f t="shared" ca="1" si="106"/>
        <v>5.8787251002631415E-2</v>
      </c>
    </row>
    <row r="925" spans="3:12">
      <c r="C925" s="7">
        <v>919</v>
      </c>
      <c r="D925" s="3">
        <f t="shared" si="104"/>
        <v>4.5199999999999997E-2</v>
      </c>
      <c r="E925" s="3">
        <f t="shared" ca="1" si="106"/>
        <v>4.3554440212191521E-2</v>
      </c>
      <c r="F925" s="3">
        <f t="shared" ca="1" si="106"/>
        <v>4.9765342223101604E-2</v>
      </c>
      <c r="G925" s="3">
        <f t="shared" ca="1" si="106"/>
        <v>5.5271495421110116E-2</v>
      </c>
      <c r="H925" s="3">
        <f t="shared" ca="1" si="106"/>
        <v>5.424404409455158E-2</v>
      </c>
      <c r="I925" s="3">
        <f t="shared" ca="1" si="106"/>
        <v>5.4860317030967991E-2</v>
      </c>
      <c r="J925" s="3">
        <f t="shared" ca="1" si="106"/>
        <v>5.3210342739325373E-2</v>
      </c>
      <c r="K925" s="3">
        <f t="shared" ca="1" si="106"/>
        <v>5.3115127719658727E-2</v>
      </c>
      <c r="L925" s="3">
        <f t="shared" ca="1" si="106"/>
        <v>5.3682443839484714E-2</v>
      </c>
    </row>
    <row r="926" spans="3:12">
      <c r="C926" s="7">
        <v>920</v>
      </c>
      <c r="D926" s="3">
        <f t="shared" si="104"/>
        <v>4.5199999999999997E-2</v>
      </c>
      <c r="E926" s="3">
        <f t="shared" ca="1" si="106"/>
        <v>4.2963933628990425E-2</v>
      </c>
      <c r="F926" s="3">
        <f t="shared" ca="1" si="106"/>
        <v>5.3129665608813673E-2</v>
      </c>
      <c r="G926" s="3">
        <f t="shared" ca="1" si="106"/>
        <v>5.8503078739706171E-2</v>
      </c>
      <c r="H926" s="3">
        <f t="shared" ca="1" si="106"/>
        <v>6.7120107159059819E-2</v>
      </c>
      <c r="I926" s="3">
        <f t="shared" ca="1" si="106"/>
        <v>7.1301588449544831E-2</v>
      </c>
      <c r="J926" s="3">
        <f t="shared" ca="1" si="106"/>
        <v>7.3865655500122376E-2</v>
      </c>
      <c r="K926" s="3">
        <f t="shared" ca="1" si="106"/>
        <v>7.5299595666711794E-2</v>
      </c>
      <c r="L926" s="3">
        <f t="shared" ca="1" si="106"/>
        <v>7.3317562880375053E-2</v>
      </c>
    </row>
    <row r="927" spans="3:12">
      <c r="C927" s="7">
        <v>921</v>
      </c>
      <c r="D927" s="3">
        <f t="shared" si="104"/>
        <v>4.5199999999999997E-2</v>
      </c>
      <c r="E927" s="3">
        <f t="shared" ref="E927:L936" ca="1" si="107">D927+E$5*dt+sigma*_xlfn.NORM.S.INV(RAND())*SQRT(dt)</f>
        <v>4.0227903785375801E-2</v>
      </c>
      <c r="F927" s="3">
        <f t="shared" ca="1" si="107"/>
        <v>4.4533546080720673E-2</v>
      </c>
      <c r="G927" s="3">
        <f t="shared" ca="1" si="107"/>
        <v>4.3696044469501483E-2</v>
      </c>
      <c r="H927" s="3">
        <f t="shared" ca="1" si="107"/>
        <v>3.8540313382466981E-2</v>
      </c>
      <c r="I927" s="3">
        <f t="shared" ca="1" si="107"/>
        <v>3.6877786454581098E-2</v>
      </c>
      <c r="J927" s="3">
        <f t="shared" ca="1" si="107"/>
        <v>4.1525423323446685E-2</v>
      </c>
      <c r="K927" s="3">
        <f t="shared" ca="1" si="107"/>
        <v>3.8684091043419154E-2</v>
      </c>
      <c r="L927" s="3">
        <f t="shared" ca="1" si="107"/>
        <v>4.2662098642809218E-2</v>
      </c>
    </row>
    <row r="928" spans="3:12">
      <c r="C928" s="7">
        <v>922</v>
      </c>
      <c r="D928" s="3">
        <f t="shared" si="104"/>
        <v>4.5199999999999997E-2</v>
      </c>
      <c r="E928" s="3">
        <f t="shared" ca="1" si="107"/>
        <v>5.1282388629852196E-2</v>
      </c>
      <c r="F928" s="3">
        <f t="shared" ca="1" si="107"/>
        <v>5.7666892003505249E-2</v>
      </c>
      <c r="G928" s="3">
        <f t="shared" ca="1" si="107"/>
        <v>6.1012902220685734E-2</v>
      </c>
      <c r="H928" s="3">
        <f t="shared" ca="1" si="107"/>
        <v>6.147968945146387E-2</v>
      </c>
      <c r="I928" s="3">
        <f t="shared" ca="1" si="107"/>
        <v>5.6851690788161484E-2</v>
      </c>
      <c r="J928" s="3">
        <f t="shared" ca="1" si="107"/>
        <v>5.3810436735860875E-2</v>
      </c>
      <c r="K928" s="3">
        <f t="shared" ca="1" si="107"/>
        <v>4.684674493533781E-2</v>
      </c>
      <c r="L928" s="3">
        <f t="shared" ca="1" si="107"/>
        <v>4.6276931866032545E-2</v>
      </c>
    </row>
    <row r="929" spans="3:12">
      <c r="C929" s="7">
        <v>923</v>
      </c>
      <c r="D929" s="3">
        <f t="shared" si="104"/>
        <v>4.5199999999999997E-2</v>
      </c>
      <c r="E929" s="3">
        <f t="shared" ca="1" si="107"/>
        <v>4.1891302452699501E-2</v>
      </c>
      <c r="F929" s="3">
        <f t="shared" ca="1" si="107"/>
        <v>4.0949739435422385E-2</v>
      </c>
      <c r="G929" s="3">
        <f t="shared" ca="1" si="107"/>
        <v>3.6480261654627935E-2</v>
      </c>
      <c r="H929" s="3">
        <f t="shared" ca="1" si="107"/>
        <v>3.8631873520625408E-2</v>
      </c>
      <c r="I929" s="3">
        <f t="shared" ca="1" si="107"/>
        <v>4.3868371906966935E-2</v>
      </c>
      <c r="J929" s="3">
        <f t="shared" ca="1" si="107"/>
        <v>4.9035870752091995E-2</v>
      </c>
      <c r="K929" s="3">
        <f t="shared" ca="1" si="107"/>
        <v>4.6952538936146808E-2</v>
      </c>
      <c r="L929" s="3">
        <f t="shared" ca="1" si="107"/>
        <v>5.5059731555940135E-2</v>
      </c>
    </row>
    <row r="930" spans="3:12">
      <c r="C930" s="7">
        <v>924</v>
      </c>
      <c r="D930" s="3">
        <f t="shared" si="104"/>
        <v>4.5199999999999997E-2</v>
      </c>
      <c r="E930" s="3">
        <f t="shared" ca="1" si="107"/>
        <v>4.1720956348192555E-2</v>
      </c>
      <c r="F930" s="3">
        <f t="shared" ca="1" si="107"/>
        <v>4.2282031159760654E-2</v>
      </c>
      <c r="G930" s="3">
        <f t="shared" ca="1" si="107"/>
        <v>3.2147795341677533E-2</v>
      </c>
      <c r="H930" s="3">
        <f t="shared" ca="1" si="107"/>
        <v>3.3295366534199636E-2</v>
      </c>
      <c r="I930" s="3">
        <f t="shared" ca="1" si="107"/>
        <v>3.4526418660498867E-2</v>
      </c>
      <c r="J930" s="3">
        <f t="shared" ca="1" si="107"/>
        <v>3.8232967109282132E-2</v>
      </c>
      <c r="K930" s="3">
        <f t="shared" ca="1" si="107"/>
        <v>3.9733205095910815E-2</v>
      </c>
      <c r="L930" s="3">
        <f t="shared" ca="1" si="107"/>
        <v>4.5059537613605843E-2</v>
      </c>
    </row>
    <row r="931" spans="3:12">
      <c r="C931" s="7">
        <v>925</v>
      </c>
      <c r="D931" s="3">
        <f t="shared" si="104"/>
        <v>4.5199999999999997E-2</v>
      </c>
      <c r="E931" s="3">
        <f t="shared" ca="1" si="107"/>
        <v>5.1634089704395113E-2</v>
      </c>
      <c r="F931" s="3">
        <f t="shared" ca="1" si="107"/>
        <v>4.660246507083815E-2</v>
      </c>
      <c r="G931" s="3">
        <f t="shared" ca="1" si="107"/>
        <v>5.4687254746553067E-2</v>
      </c>
      <c r="H931" s="3">
        <f t="shared" ca="1" si="107"/>
        <v>6.202093924984986E-2</v>
      </c>
      <c r="I931" s="3">
        <f t="shared" ca="1" si="107"/>
        <v>6.098202268914929E-2</v>
      </c>
      <c r="J931" s="3">
        <f t="shared" ca="1" si="107"/>
        <v>6.5457344882894772E-2</v>
      </c>
      <c r="K931" s="3">
        <f t="shared" ca="1" si="107"/>
        <v>6.6536449174675077E-2</v>
      </c>
      <c r="L931" s="3">
        <f t="shared" ca="1" si="107"/>
        <v>7.1280325153289609E-2</v>
      </c>
    </row>
    <row r="932" spans="3:12">
      <c r="C932" s="7">
        <v>926</v>
      </c>
      <c r="D932" s="3">
        <f t="shared" si="104"/>
        <v>4.5199999999999997E-2</v>
      </c>
      <c r="E932" s="3">
        <f t="shared" ca="1" si="107"/>
        <v>5.3283583567664619E-2</v>
      </c>
      <c r="F932" s="3">
        <f t="shared" ca="1" si="107"/>
        <v>6.3472422188701305E-2</v>
      </c>
      <c r="G932" s="3">
        <f t="shared" ca="1" si="107"/>
        <v>6.2606934471412842E-2</v>
      </c>
      <c r="H932" s="3">
        <f t="shared" ca="1" si="107"/>
        <v>7.0799997465186212E-2</v>
      </c>
      <c r="I932" s="3">
        <f t="shared" ca="1" si="107"/>
        <v>7.3551461848502336E-2</v>
      </c>
      <c r="J932" s="3">
        <f t="shared" ca="1" si="107"/>
        <v>7.1512795309824156E-2</v>
      </c>
      <c r="K932" s="3">
        <f t="shared" ca="1" si="107"/>
        <v>6.4232804581300623E-2</v>
      </c>
      <c r="L932" s="3">
        <f t="shared" ca="1" si="107"/>
        <v>6.7788660644917537E-2</v>
      </c>
    </row>
    <row r="933" spans="3:12">
      <c r="C933" s="7">
        <v>927</v>
      </c>
      <c r="D933" s="3">
        <f t="shared" si="104"/>
        <v>4.5199999999999997E-2</v>
      </c>
      <c r="E933" s="3">
        <f t="shared" ca="1" si="107"/>
        <v>5.3428610531485371E-2</v>
      </c>
      <c r="F933" s="3">
        <f t="shared" ca="1" si="107"/>
        <v>5.483305587112023E-2</v>
      </c>
      <c r="G933" s="3">
        <f t="shared" ca="1" si="107"/>
        <v>5.9698962985508683E-2</v>
      </c>
      <c r="H933" s="3">
        <f t="shared" ca="1" si="107"/>
        <v>6.4250472456357427E-2</v>
      </c>
      <c r="I933" s="3">
        <f t="shared" ca="1" si="107"/>
        <v>5.6197472557416445E-2</v>
      </c>
      <c r="J933" s="3">
        <f t="shared" ca="1" si="107"/>
        <v>5.9175051910761521E-2</v>
      </c>
      <c r="K933" s="3">
        <f t="shared" ca="1" si="107"/>
        <v>6.7440250293201276E-2</v>
      </c>
      <c r="L933" s="3">
        <f t="shared" ca="1" si="107"/>
        <v>6.5722567076696381E-2</v>
      </c>
    </row>
    <row r="934" spans="3:12">
      <c r="C934" s="7">
        <v>928</v>
      </c>
      <c r="D934" s="3">
        <f t="shared" si="104"/>
        <v>4.5199999999999997E-2</v>
      </c>
      <c r="E934" s="3">
        <f t="shared" ca="1" si="107"/>
        <v>3.8636555297071204E-2</v>
      </c>
      <c r="F934" s="3">
        <f t="shared" ca="1" si="107"/>
        <v>4.0366420212500191E-2</v>
      </c>
      <c r="G934" s="3">
        <f t="shared" ca="1" si="107"/>
        <v>3.7813963738509461E-2</v>
      </c>
      <c r="H934" s="3">
        <f t="shared" ca="1" si="107"/>
        <v>4.7058755076297601E-2</v>
      </c>
      <c r="I934" s="3">
        <f t="shared" ca="1" si="107"/>
        <v>4.4759957387602169E-2</v>
      </c>
      <c r="J934" s="3">
        <f t="shared" ca="1" si="107"/>
        <v>4.4269812772631222E-2</v>
      </c>
      <c r="K934" s="3">
        <f t="shared" ca="1" si="107"/>
        <v>4.4400960188485217E-2</v>
      </c>
      <c r="L934" s="3">
        <f t="shared" ca="1" si="107"/>
        <v>4.4567796180070209E-2</v>
      </c>
    </row>
    <row r="935" spans="3:12">
      <c r="C935" s="7">
        <v>929</v>
      </c>
      <c r="D935" s="3">
        <f t="shared" si="104"/>
        <v>4.5199999999999997E-2</v>
      </c>
      <c r="E935" s="3">
        <f t="shared" ca="1" si="107"/>
        <v>3.3870038990101409E-2</v>
      </c>
      <c r="F935" s="3">
        <f t="shared" ca="1" si="107"/>
        <v>4.0926417197185781E-2</v>
      </c>
      <c r="G935" s="3">
        <f t="shared" ca="1" si="107"/>
        <v>4.1890557860833857E-2</v>
      </c>
      <c r="H935" s="3">
        <f t="shared" ca="1" si="107"/>
        <v>4.320907681974407E-2</v>
      </c>
      <c r="I935" s="3">
        <f t="shared" ca="1" si="107"/>
        <v>4.4685677881699512E-2</v>
      </c>
      <c r="J935" s="3">
        <f t="shared" ca="1" si="107"/>
        <v>4.9256614440748726E-2</v>
      </c>
      <c r="K935" s="3">
        <f t="shared" ca="1" si="107"/>
        <v>5.3946358992859038E-2</v>
      </c>
      <c r="L935" s="3">
        <f t="shared" ca="1" si="107"/>
        <v>5.5991160594508947E-2</v>
      </c>
    </row>
    <row r="936" spans="3:12">
      <c r="C936" s="7">
        <v>930</v>
      </c>
      <c r="D936" s="3">
        <f t="shared" si="104"/>
        <v>4.5199999999999997E-2</v>
      </c>
      <c r="E936" s="3">
        <f t="shared" ca="1" si="107"/>
        <v>4.639815103987234E-2</v>
      </c>
      <c r="F936" s="3">
        <f t="shared" ca="1" si="107"/>
        <v>4.1177810557169688E-2</v>
      </c>
      <c r="G936" s="3">
        <f t="shared" ca="1" si="107"/>
        <v>4.1478978848883165E-2</v>
      </c>
      <c r="H936" s="3">
        <f t="shared" ca="1" si="107"/>
        <v>3.8679429840533526E-2</v>
      </c>
      <c r="I936" s="3">
        <f t="shared" ca="1" si="107"/>
        <v>4.7163834540202759E-2</v>
      </c>
      <c r="J936" s="3">
        <f t="shared" ca="1" si="107"/>
        <v>4.8114227200230092E-2</v>
      </c>
      <c r="K936" s="3">
        <f t="shared" ca="1" si="107"/>
        <v>5.0444429023250428E-2</v>
      </c>
      <c r="L936" s="3">
        <f t="shared" ca="1" si="107"/>
        <v>5.551774494464827E-2</v>
      </c>
    </row>
    <row r="937" spans="3:12">
      <c r="C937" s="7">
        <v>931</v>
      </c>
      <c r="D937" s="3">
        <f t="shared" si="104"/>
        <v>4.5199999999999997E-2</v>
      </c>
      <c r="E937" s="3">
        <f t="shared" ref="E937:L946" ca="1" si="108">D937+E$5*dt+sigma*_xlfn.NORM.S.INV(RAND())*SQRT(dt)</f>
        <v>5.1410174325373786E-2</v>
      </c>
      <c r="F937" s="3">
        <f t="shared" ca="1" si="108"/>
        <v>4.8136467425079349E-2</v>
      </c>
      <c r="G937" s="3">
        <f t="shared" ca="1" si="108"/>
        <v>4.7938711267272643E-2</v>
      </c>
      <c r="H937" s="3">
        <f t="shared" ca="1" si="108"/>
        <v>4.5329070990272995E-2</v>
      </c>
      <c r="I937" s="3">
        <f t="shared" ca="1" si="108"/>
        <v>5.1323080306220827E-2</v>
      </c>
      <c r="J937" s="3">
        <f t="shared" ca="1" si="108"/>
        <v>4.9807547012297421E-2</v>
      </c>
      <c r="K937" s="3">
        <f t="shared" ca="1" si="108"/>
        <v>5.496852210360758E-2</v>
      </c>
      <c r="L937" s="3">
        <f t="shared" ca="1" si="108"/>
        <v>5.3551671282095384E-2</v>
      </c>
    </row>
    <row r="938" spans="3:12">
      <c r="C938" s="7">
        <v>932</v>
      </c>
      <c r="D938" s="3">
        <f t="shared" si="104"/>
        <v>4.5199999999999997E-2</v>
      </c>
      <c r="E938" s="3">
        <f t="shared" ca="1" si="108"/>
        <v>3.5570368985315459E-2</v>
      </c>
      <c r="F938" s="3">
        <f t="shared" ca="1" si="108"/>
        <v>3.442739601262234E-2</v>
      </c>
      <c r="G938" s="3">
        <f t="shared" ca="1" si="108"/>
        <v>2.8031365998867939E-2</v>
      </c>
      <c r="H938" s="3">
        <f t="shared" ca="1" si="108"/>
        <v>2.8518993997160035E-2</v>
      </c>
      <c r="I938" s="3">
        <f t="shared" ca="1" si="108"/>
        <v>3.1529006691366539E-2</v>
      </c>
      <c r="J938" s="3">
        <f t="shared" ca="1" si="108"/>
        <v>3.9850035908636047E-2</v>
      </c>
      <c r="K938" s="3">
        <f t="shared" ca="1" si="108"/>
        <v>3.8957161646770419E-2</v>
      </c>
      <c r="L938" s="3">
        <f t="shared" ca="1" si="108"/>
        <v>3.6461471698276127E-2</v>
      </c>
    </row>
    <row r="939" spans="3:12">
      <c r="C939" s="7">
        <v>933</v>
      </c>
      <c r="D939" s="3">
        <f t="shared" si="104"/>
        <v>4.5199999999999997E-2</v>
      </c>
      <c r="E939" s="3">
        <f t="shared" ca="1" si="108"/>
        <v>3.8624339678237765E-2</v>
      </c>
      <c r="F939" s="3">
        <f t="shared" ca="1" si="108"/>
        <v>4.0235182029014299E-2</v>
      </c>
      <c r="G939" s="3">
        <f t="shared" ca="1" si="108"/>
        <v>4.631205258922811E-2</v>
      </c>
      <c r="H939" s="3">
        <f t="shared" ca="1" si="108"/>
        <v>4.3013645386208471E-2</v>
      </c>
      <c r="I939" s="3">
        <f t="shared" ca="1" si="108"/>
        <v>5.0520610407669891E-2</v>
      </c>
      <c r="J939" s="3">
        <f t="shared" ca="1" si="108"/>
        <v>5.6064724513299732E-2</v>
      </c>
      <c r="K939" s="3">
        <f t="shared" ca="1" si="108"/>
        <v>4.5779286776488792E-2</v>
      </c>
      <c r="L939" s="3">
        <f t="shared" ca="1" si="108"/>
        <v>5.9161634509780431E-2</v>
      </c>
    </row>
    <row r="940" spans="3:12">
      <c r="C940" s="7">
        <v>934</v>
      </c>
      <c r="D940" s="3">
        <f t="shared" si="104"/>
        <v>4.5199999999999997E-2</v>
      </c>
      <c r="E940" s="3">
        <f t="shared" ca="1" si="108"/>
        <v>3.9308911555161419E-2</v>
      </c>
      <c r="F940" s="3">
        <f t="shared" ca="1" si="108"/>
        <v>3.4063479616424239E-2</v>
      </c>
      <c r="G940" s="3">
        <f t="shared" ca="1" si="108"/>
        <v>3.6545883123115866E-2</v>
      </c>
      <c r="H940" s="3">
        <f t="shared" ca="1" si="108"/>
        <v>2.5752166240503215E-2</v>
      </c>
      <c r="I940" s="3">
        <f t="shared" ca="1" si="108"/>
        <v>2.4827184457856866E-2</v>
      </c>
      <c r="J940" s="3">
        <f t="shared" ca="1" si="108"/>
        <v>2.746010978916405E-2</v>
      </c>
      <c r="K940" s="3">
        <f t="shared" ca="1" si="108"/>
        <v>2.8816117868752419E-2</v>
      </c>
      <c r="L940" s="3">
        <f t="shared" ca="1" si="108"/>
        <v>3.3508204629328811E-2</v>
      </c>
    </row>
    <row r="941" spans="3:12">
      <c r="C941" s="7">
        <v>935</v>
      </c>
      <c r="D941" s="3">
        <f t="shared" si="104"/>
        <v>4.5199999999999997E-2</v>
      </c>
      <c r="E941" s="3">
        <f t="shared" ca="1" si="108"/>
        <v>4.9055754501844469E-2</v>
      </c>
      <c r="F941" s="3">
        <f t="shared" ca="1" si="108"/>
        <v>5.3802951055246781E-2</v>
      </c>
      <c r="G941" s="3">
        <f t="shared" ca="1" si="108"/>
        <v>5.5024970932836356E-2</v>
      </c>
      <c r="H941" s="3">
        <f t="shared" ca="1" si="108"/>
        <v>5.8805066207721246E-2</v>
      </c>
      <c r="I941" s="3">
        <f t="shared" ca="1" si="108"/>
        <v>6.3019585492506733E-2</v>
      </c>
      <c r="J941" s="3">
        <f t="shared" ca="1" si="108"/>
        <v>7.298871266431721E-2</v>
      </c>
      <c r="K941" s="3">
        <f t="shared" ca="1" si="108"/>
        <v>7.3573634082246625E-2</v>
      </c>
      <c r="L941" s="3">
        <f t="shared" ca="1" si="108"/>
        <v>7.2698675045544781E-2</v>
      </c>
    </row>
    <row r="942" spans="3:12">
      <c r="C942" s="7">
        <v>936</v>
      </c>
      <c r="D942" s="3">
        <f t="shared" si="104"/>
        <v>4.5199999999999997E-2</v>
      </c>
      <c r="E942" s="3">
        <f t="shared" ca="1" si="108"/>
        <v>4.4745519846868413E-2</v>
      </c>
      <c r="F942" s="3">
        <f t="shared" ca="1" si="108"/>
        <v>4.6394397400272222E-2</v>
      </c>
      <c r="G942" s="3">
        <f t="shared" ca="1" si="108"/>
        <v>3.7723933925358992E-2</v>
      </c>
      <c r="H942" s="3">
        <f t="shared" ca="1" si="108"/>
        <v>3.0646081545862385E-2</v>
      </c>
      <c r="I942" s="3">
        <f t="shared" ca="1" si="108"/>
        <v>2.3805226717632369E-2</v>
      </c>
      <c r="J942" s="3">
        <f t="shared" ca="1" si="108"/>
        <v>2.4051620548549677E-2</v>
      </c>
      <c r="K942" s="3">
        <f t="shared" ca="1" si="108"/>
        <v>2.2534747551591506E-2</v>
      </c>
      <c r="L942" s="3">
        <f t="shared" ca="1" si="108"/>
        <v>2.8363764411551792E-2</v>
      </c>
    </row>
    <row r="943" spans="3:12">
      <c r="C943" s="7">
        <v>937</v>
      </c>
      <c r="D943" s="3">
        <f t="shared" si="104"/>
        <v>4.5199999999999997E-2</v>
      </c>
      <c r="E943" s="3">
        <f t="shared" ca="1" si="108"/>
        <v>5.2586625318485403E-2</v>
      </c>
      <c r="F943" s="3">
        <f t="shared" ca="1" si="108"/>
        <v>6.61210267633279E-2</v>
      </c>
      <c r="G943" s="3">
        <f t="shared" ca="1" si="108"/>
        <v>6.5494959094825236E-2</v>
      </c>
      <c r="H943" s="3">
        <f t="shared" ca="1" si="108"/>
        <v>5.9639962080133183E-2</v>
      </c>
      <c r="I943" s="3">
        <f t="shared" ca="1" si="108"/>
        <v>6.0606994879215968E-2</v>
      </c>
      <c r="J943" s="3">
        <f t="shared" ca="1" si="108"/>
        <v>6.0388511698021813E-2</v>
      </c>
      <c r="K943" s="3">
        <f t="shared" ca="1" si="108"/>
        <v>6.3718351526076911E-2</v>
      </c>
      <c r="L943" s="3">
        <f t="shared" ca="1" si="108"/>
        <v>7.3133577943987324E-2</v>
      </c>
    </row>
    <row r="944" spans="3:12">
      <c r="C944" s="7">
        <v>938</v>
      </c>
      <c r="D944" s="3">
        <f t="shared" si="104"/>
        <v>4.5199999999999997E-2</v>
      </c>
      <c r="E944" s="3">
        <f t="shared" ca="1" si="108"/>
        <v>4.5355003719607531E-2</v>
      </c>
      <c r="F944" s="3">
        <f t="shared" ca="1" si="108"/>
        <v>4.2208878050297279E-2</v>
      </c>
      <c r="G944" s="3">
        <f t="shared" ca="1" si="108"/>
        <v>4.7346627481074474E-2</v>
      </c>
      <c r="H944" s="3">
        <f t="shared" ca="1" si="108"/>
        <v>5.5954471282130366E-2</v>
      </c>
      <c r="I944" s="3">
        <f t="shared" ca="1" si="108"/>
        <v>5.4385898576472191E-2</v>
      </c>
      <c r="J944" s="3">
        <f t="shared" ca="1" si="108"/>
        <v>6.9370746878056583E-2</v>
      </c>
      <c r="K944" s="3">
        <f t="shared" ca="1" si="108"/>
        <v>6.6157084936759591E-2</v>
      </c>
      <c r="L944" s="3">
        <f t="shared" ca="1" si="108"/>
        <v>7.3647476765433734E-2</v>
      </c>
    </row>
    <row r="945" spans="3:12">
      <c r="C945" s="7">
        <v>939</v>
      </c>
      <c r="D945" s="3">
        <f t="shared" si="104"/>
        <v>4.5199999999999997E-2</v>
      </c>
      <c r="E945" s="3">
        <f t="shared" ca="1" si="108"/>
        <v>4.1273794516563322E-2</v>
      </c>
      <c r="F945" s="3">
        <f t="shared" ca="1" si="108"/>
        <v>3.8066174864113192E-2</v>
      </c>
      <c r="G945" s="3">
        <f t="shared" ca="1" si="108"/>
        <v>3.959991273625417E-2</v>
      </c>
      <c r="H945" s="3">
        <f t="shared" ca="1" si="108"/>
        <v>3.9715979835790984E-2</v>
      </c>
      <c r="I945" s="3">
        <f t="shared" ca="1" si="108"/>
        <v>3.2533157450865456E-2</v>
      </c>
      <c r="J945" s="3">
        <f t="shared" ca="1" si="108"/>
        <v>3.3576932282331107E-2</v>
      </c>
      <c r="K945" s="3">
        <f t="shared" ca="1" si="108"/>
        <v>2.7235533143727203E-2</v>
      </c>
      <c r="L945" s="3">
        <f t="shared" ca="1" si="108"/>
        <v>3.3978393758668124E-2</v>
      </c>
    </row>
    <row r="946" spans="3:12">
      <c r="C946" s="7">
        <v>940</v>
      </c>
      <c r="D946" s="3">
        <f t="shared" si="104"/>
        <v>4.5199999999999997E-2</v>
      </c>
      <c r="E946" s="3">
        <f t="shared" ca="1" si="108"/>
        <v>4.9307401781362115E-2</v>
      </c>
      <c r="F946" s="3">
        <f t="shared" ca="1" si="108"/>
        <v>4.7180723193915822E-2</v>
      </c>
      <c r="G946" s="3">
        <f t="shared" ca="1" si="108"/>
        <v>5.559044946266168E-2</v>
      </c>
      <c r="H946" s="3">
        <f t="shared" ca="1" si="108"/>
        <v>6.561135165406369E-2</v>
      </c>
      <c r="I946" s="3">
        <f t="shared" ca="1" si="108"/>
        <v>6.5039782882961195E-2</v>
      </c>
      <c r="J946" s="3">
        <f t="shared" ca="1" si="108"/>
        <v>6.5747584536306233E-2</v>
      </c>
      <c r="K946" s="3">
        <f t="shared" ca="1" si="108"/>
        <v>6.909448246681435E-2</v>
      </c>
      <c r="L946" s="3">
        <f t="shared" ca="1" si="108"/>
        <v>7.0328435639429115E-2</v>
      </c>
    </row>
    <row r="947" spans="3:12">
      <c r="C947" s="7">
        <v>941</v>
      </c>
      <c r="D947" s="3">
        <f t="shared" si="104"/>
        <v>4.5199999999999997E-2</v>
      </c>
      <c r="E947" s="3">
        <f t="shared" ref="E947:L956" ca="1" si="109">D947+E$5*dt+sigma*_xlfn.NORM.S.INV(RAND())*SQRT(dt)</f>
        <v>4.8069176980597358E-2</v>
      </c>
      <c r="F947" s="3">
        <f t="shared" ca="1" si="109"/>
        <v>4.9332155962414935E-2</v>
      </c>
      <c r="G947" s="3">
        <f t="shared" ca="1" si="109"/>
        <v>4.2423593584847569E-2</v>
      </c>
      <c r="H947" s="3">
        <f t="shared" ca="1" si="109"/>
        <v>4.7515436047252745E-2</v>
      </c>
      <c r="I947" s="3">
        <f t="shared" ca="1" si="109"/>
        <v>4.8223332359419752E-2</v>
      </c>
      <c r="J947" s="3">
        <f t="shared" ca="1" si="109"/>
        <v>5.3054188753785439E-2</v>
      </c>
      <c r="K947" s="3">
        <f t="shared" ca="1" si="109"/>
        <v>5.4471762686560239E-2</v>
      </c>
      <c r="L947" s="3">
        <f t="shared" ca="1" si="109"/>
        <v>5.368672917504163E-2</v>
      </c>
    </row>
    <row r="948" spans="3:12">
      <c r="C948" s="7">
        <v>942</v>
      </c>
      <c r="D948" s="3">
        <f t="shared" si="104"/>
        <v>4.5199999999999997E-2</v>
      </c>
      <c r="E948" s="3">
        <f t="shared" ca="1" si="109"/>
        <v>4.8653229810446834E-2</v>
      </c>
      <c r="F948" s="3">
        <f t="shared" ca="1" si="109"/>
        <v>4.8960574483291767E-2</v>
      </c>
      <c r="G948" s="3">
        <f t="shared" ca="1" si="109"/>
        <v>5.2208724365612892E-2</v>
      </c>
      <c r="H948" s="3">
        <f t="shared" ca="1" si="109"/>
        <v>5.7591730303550422E-2</v>
      </c>
      <c r="I948" s="3">
        <f t="shared" ca="1" si="109"/>
        <v>6.2614800533070628E-2</v>
      </c>
      <c r="J948" s="3">
        <f t="shared" ca="1" si="109"/>
        <v>6.5277468123791996E-2</v>
      </c>
      <c r="K948" s="3">
        <f t="shared" ca="1" si="109"/>
        <v>6.571336574070448E-2</v>
      </c>
      <c r="L948" s="3">
        <f t="shared" ca="1" si="109"/>
        <v>6.9749365848872091E-2</v>
      </c>
    </row>
    <row r="949" spans="3:12">
      <c r="C949" s="7">
        <v>943</v>
      </c>
      <c r="D949" s="3">
        <f t="shared" si="104"/>
        <v>4.5199999999999997E-2</v>
      </c>
      <c r="E949" s="3">
        <f t="shared" ca="1" si="109"/>
        <v>4.1910614876267571E-2</v>
      </c>
      <c r="F949" s="3">
        <f t="shared" ca="1" si="109"/>
        <v>4.4501126708858557E-2</v>
      </c>
      <c r="G949" s="3">
        <f t="shared" ca="1" si="109"/>
        <v>4.14144652844467E-2</v>
      </c>
      <c r="H949" s="3">
        <f t="shared" ca="1" si="109"/>
        <v>4.016249269555467E-2</v>
      </c>
      <c r="I949" s="3">
        <f t="shared" ca="1" si="109"/>
        <v>3.2906108596687633E-2</v>
      </c>
      <c r="J949" s="3">
        <f t="shared" ca="1" si="109"/>
        <v>2.6234052080607785E-2</v>
      </c>
      <c r="K949" s="3">
        <f t="shared" ca="1" si="109"/>
        <v>1.6767199612113065E-2</v>
      </c>
      <c r="L949" s="3">
        <f t="shared" ca="1" si="109"/>
        <v>2.760437653957562E-2</v>
      </c>
    </row>
    <row r="950" spans="3:12">
      <c r="C950" s="7">
        <v>944</v>
      </c>
      <c r="D950" s="3">
        <f t="shared" si="104"/>
        <v>4.5199999999999997E-2</v>
      </c>
      <c r="E950" s="3">
        <f t="shared" ca="1" si="109"/>
        <v>4.7451270737282399E-2</v>
      </c>
      <c r="F950" s="3">
        <f t="shared" ca="1" si="109"/>
        <v>4.6524021625351089E-2</v>
      </c>
      <c r="G950" s="3">
        <f t="shared" ca="1" si="109"/>
        <v>4.7852308042071239E-2</v>
      </c>
      <c r="H950" s="3">
        <f t="shared" ca="1" si="109"/>
        <v>5.1480500200888436E-2</v>
      </c>
      <c r="I950" s="3">
        <f t="shared" ca="1" si="109"/>
        <v>6.2378718035483838E-2</v>
      </c>
      <c r="J950" s="3">
        <f t="shared" ca="1" si="109"/>
        <v>5.187468752807247E-2</v>
      </c>
      <c r="K950" s="3">
        <f t="shared" ca="1" si="109"/>
        <v>4.6905626611303028E-2</v>
      </c>
      <c r="L950" s="3">
        <f t="shared" ca="1" si="109"/>
        <v>5.198387377760319E-2</v>
      </c>
    </row>
    <row r="951" spans="3:12">
      <c r="C951" s="7">
        <v>945</v>
      </c>
      <c r="D951" s="3">
        <f t="shared" si="104"/>
        <v>4.5199999999999997E-2</v>
      </c>
      <c r="E951" s="3">
        <f t="shared" ca="1" si="109"/>
        <v>5.3871193487166638E-2</v>
      </c>
      <c r="F951" s="3">
        <f t="shared" ca="1" si="109"/>
        <v>6.4861043783422098E-2</v>
      </c>
      <c r="G951" s="3">
        <f t="shared" ca="1" si="109"/>
        <v>6.6284950808474144E-2</v>
      </c>
      <c r="H951" s="3">
        <f t="shared" ca="1" si="109"/>
        <v>6.7940352426553191E-2</v>
      </c>
      <c r="I951" s="3">
        <f t="shared" ca="1" si="109"/>
        <v>5.7592995778968578E-2</v>
      </c>
      <c r="J951" s="3">
        <f t="shared" ca="1" si="109"/>
        <v>6.1750446593346872E-2</v>
      </c>
      <c r="K951" s="3">
        <f t="shared" ca="1" si="109"/>
        <v>5.9880012151145412E-2</v>
      </c>
      <c r="L951" s="3">
        <f t="shared" ca="1" si="109"/>
        <v>6.2149413385082793E-2</v>
      </c>
    </row>
    <row r="952" spans="3:12">
      <c r="C952" s="7">
        <v>946</v>
      </c>
      <c r="D952" s="3">
        <f t="shared" si="104"/>
        <v>4.5199999999999997E-2</v>
      </c>
      <c r="E952" s="3">
        <f t="shared" ca="1" si="109"/>
        <v>4.1100223339087819E-2</v>
      </c>
      <c r="F952" s="3">
        <f t="shared" ca="1" si="109"/>
        <v>4.8763966444494239E-2</v>
      </c>
      <c r="G952" s="3">
        <f t="shared" ca="1" si="109"/>
        <v>4.84585932995042E-2</v>
      </c>
      <c r="H952" s="3">
        <f t="shared" ca="1" si="109"/>
        <v>5.1612137877689E-2</v>
      </c>
      <c r="I952" s="3">
        <f t="shared" ca="1" si="109"/>
        <v>4.3599535806692791E-2</v>
      </c>
      <c r="J952" s="3">
        <f t="shared" ca="1" si="109"/>
        <v>4.9195984877553264E-2</v>
      </c>
      <c r="K952" s="3">
        <f t="shared" ca="1" si="109"/>
        <v>3.912702990423908E-2</v>
      </c>
      <c r="L952" s="3">
        <f t="shared" ca="1" si="109"/>
        <v>3.7977736913785476E-2</v>
      </c>
    </row>
    <row r="953" spans="3:12">
      <c r="C953" s="7">
        <v>947</v>
      </c>
      <c r="D953" s="3">
        <f t="shared" si="104"/>
        <v>4.5199999999999997E-2</v>
      </c>
      <c r="E953" s="3">
        <f t="shared" ca="1" si="109"/>
        <v>4.0591868078614528E-2</v>
      </c>
      <c r="F953" s="3">
        <f t="shared" ca="1" si="109"/>
        <v>3.4633724223685852E-2</v>
      </c>
      <c r="G953" s="3">
        <f t="shared" ca="1" si="109"/>
        <v>3.1622641297744003E-2</v>
      </c>
      <c r="H953" s="3">
        <f t="shared" ca="1" si="109"/>
        <v>3.7774223132158044E-2</v>
      </c>
      <c r="I953" s="3">
        <f t="shared" ca="1" si="109"/>
        <v>3.554658506207857E-2</v>
      </c>
      <c r="J953" s="3">
        <f t="shared" ca="1" si="109"/>
        <v>4.0834546413010583E-2</v>
      </c>
      <c r="K953" s="3">
        <f t="shared" ca="1" si="109"/>
        <v>3.7872748675005521E-2</v>
      </c>
      <c r="L953" s="3">
        <f t="shared" ca="1" si="109"/>
        <v>4.5156553174167793E-2</v>
      </c>
    </row>
    <row r="954" spans="3:12">
      <c r="C954" s="7">
        <v>948</v>
      </c>
      <c r="D954" s="3">
        <f t="shared" si="104"/>
        <v>4.5199999999999997E-2</v>
      </c>
      <c r="E954" s="3">
        <f t="shared" ca="1" si="109"/>
        <v>5.0857238142337058E-2</v>
      </c>
      <c r="F954" s="3">
        <f t="shared" ca="1" si="109"/>
        <v>5.2763869128106003E-2</v>
      </c>
      <c r="G954" s="3">
        <f t="shared" ca="1" si="109"/>
        <v>4.290857507437057E-2</v>
      </c>
      <c r="H954" s="3">
        <f t="shared" ca="1" si="109"/>
        <v>5.0186111916285824E-2</v>
      </c>
      <c r="I954" s="3">
        <f t="shared" ca="1" si="109"/>
        <v>5.8740082430064192E-2</v>
      </c>
      <c r="J954" s="3">
        <f t="shared" ca="1" si="109"/>
        <v>6.1881538861090067E-2</v>
      </c>
      <c r="K954" s="3">
        <f t="shared" ca="1" si="109"/>
        <v>6.8003059060443766E-2</v>
      </c>
      <c r="L954" s="3">
        <f t="shared" ca="1" si="109"/>
        <v>6.7327420003230609E-2</v>
      </c>
    </row>
    <row r="955" spans="3:12">
      <c r="C955" s="7">
        <v>949</v>
      </c>
      <c r="D955" s="3">
        <f t="shared" si="104"/>
        <v>4.5199999999999997E-2</v>
      </c>
      <c r="E955" s="3">
        <f t="shared" ca="1" si="109"/>
        <v>3.7678216755975047E-2</v>
      </c>
      <c r="F955" s="3">
        <f t="shared" ca="1" si="109"/>
        <v>4.1143157400221543E-2</v>
      </c>
      <c r="G955" s="3">
        <f t="shared" ca="1" si="109"/>
        <v>3.5293099911975642E-2</v>
      </c>
      <c r="H955" s="3">
        <f t="shared" ca="1" si="109"/>
        <v>3.691598049474501E-2</v>
      </c>
      <c r="I955" s="3">
        <f t="shared" ca="1" si="109"/>
        <v>4.4010819517305573E-2</v>
      </c>
      <c r="J955" s="3">
        <f t="shared" ca="1" si="109"/>
        <v>4.3591940308634822E-2</v>
      </c>
      <c r="K955" s="3">
        <f t="shared" ca="1" si="109"/>
        <v>3.8394439612312085E-2</v>
      </c>
      <c r="L955" s="3">
        <f t="shared" ca="1" si="109"/>
        <v>3.3386367643572265E-2</v>
      </c>
    </row>
    <row r="956" spans="3:12">
      <c r="C956" s="7">
        <v>950</v>
      </c>
      <c r="D956" s="3">
        <f t="shared" si="104"/>
        <v>4.5199999999999997E-2</v>
      </c>
      <c r="E956" s="3">
        <f t="shared" ca="1" si="109"/>
        <v>4.7686071914092826E-2</v>
      </c>
      <c r="F956" s="3">
        <f t="shared" ca="1" si="109"/>
        <v>5.1521821164457138E-2</v>
      </c>
      <c r="G956" s="3">
        <f t="shared" ca="1" si="109"/>
        <v>5.453897832041156E-2</v>
      </c>
      <c r="H956" s="3">
        <f t="shared" ca="1" si="109"/>
        <v>5.2334526159615334E-2</v>
      </c>
      <c r="I956" s="3">
        <f t="shared" ca="1" si="109"/>
        <v>4.9915364276736734E-2</v>
      </c>
      <c r="J956" s="3">
        <f t="shared" ca="1" si="109"/>
        <v>4.7500706096142264E-2</v>
      </c>
      <c r="K956" s="3">
        <f t="shared" ca="1" si="109"/>
        <v>4.3343727221967145E-2</v>
      </c>
      <c r="L956" s="3">
        <f t="shared" ca="1" si="109"/>
        <v>4.4834207724112785E-2</v>
      </c>
    </row>
    <row r="957" spans="3:12">
      <c r="C957" s="7">
        <v>951</v>
      </c>
      <c r="D957" s="3">
        <f t="shared" si="104"/>
        <v>4.5199999999999997E-2</v>
      </c>
      <c r="E957" s="3">
        <f t="shared" ref="E957:L966" ca="1" si="110">D957+E$5*dt+sigma*_xlfn.NORM.S.INV(RAND())*SQRT(dt)</f>
        <v>4.2540474306281412E-2</v>
      </c>
      <c r="F957" s="3">
        <f t="shared" ca="1" si="110"/>
        <v>4.7146786880294299E-2</v>
      </c>
      <c r="G957" s="3">
        <f t="shared" ca="1" si="110"/>
        <v>4.1085900061875597E-2</v>
      </c>
      <c r="H957" s="3">
        <f t="shared" ca="1" si="110"/>
        <v>3.8740129228643901E-2</v>
      </c>
      <c r="I957" s="3">
        <f t="shared" ca="1" si="110"/>
        <v>3.2295053205567317E-2</v>
      </c>
      <c r="J957" s="3">
        <f t="shared" ca="1" si="110"/>
        <v>3.7942758700217981E-2</v>
      </c>
      <c r="K957" s="3">
        <f t="shared" ca="1" si="110"/>
        <v>3.7348424095645261E-2</v>
      </c>
      <c r="L957" s="3">
        <f t="shared" ca="1" si="110"/>
        <v>3.754059582044008E-2</v>
      </c>
    </row>
    <row r="958" spans="3:12">
      <c r="C958" s="7">
        <v>952</v>
      </c>
      <c r="D958" s="3">
        <f t="shared" si="104"/>
        <v>4.5199999999999997E-2</v>
      </c>
      <c r="E958" s="3">
        <f t="shared" ca="1" si="110"/>
        <v>3.8698192806802249E-2</v>
      </c>
      <c r="F958" s="3">
        <f t="shared" ca="1" si="110"/>
        <v>4.4542559742831368E-2</v>
      </c>
      <c r="G958" s="3">
        <f t="shared" ca="1" si="110"/>
        <v>4.4622341792537878E-2</v>
      </c>
      <c r="H958" s="3">
        <f t="shared" ca="1" si="110"/>
        <v>5.0845066478028271E-2</v>
      </c>
      <c r="I958" s="3">
        <f t="shared" ca="1" si="110"/>
        <v>4.8261591459766606E-2</v>
      </c>
      <c r="J958" s="3">
        <f t="shared" ca="1" si="110"/>
        <v>4.7500931090836626E-2</v>
      </c>
      <c r="K958" s="3">
        <f t="shared" ca="1" si="110"/>
        <v>5.3099656318477802E-2</v>
      </c>
      <c r="L958" s="3">
        <f t="shared" ca="1" si="110"/>
        <v>5.567541492703975E-2</v>
      </c>
    </row>
    <row r="959" spans="3:12">
      <c r="C959" s="7">
        <v>953</v>
      </c>
      <c r="D959" s="3">
        <f t="shared" si="104"/>
        <v>4.5199999999999997E-2</v>
      </c>
      <c r="E959" s="3">
        <f t="shared" ca="1" si="110"/>
        <v>4.8912139531592347E-2</v>
      </c>
      <c r="F959" s="3">
        <f t="shared" ca="1" si="110"/>
        <v>5.4923684050085769E-2</v>
      </c>
      <c r="G959" s="3">
        <f t="shared" ca="1" si="110"/>
        <v>5.6940814488900003E-2</v>
      </c>
      <c r="H959" s="3">
        <f t="shared" ca="1" si="110"/>
        <v>5.7416503716828722E-2</v>
      </c>
      <c r="I959" s="3">
        <f t="shared" ca="1" si="110"/>
        <v>5.2381650989272742E-2</v>
      </c>
      <c r="J959" s="3">
        <f t="shared" ca="1" si="110"/>
        <v>5.8008175218302836E-2</v>
      </c>
      <c r="K959" s="3">
        <f t="shared" ca="1" si="110"/>
        <v>5.968505496558571E-2</v>
      </c>
      <c r="L959" s="3">
        <f t="shared" ca="1" si="110"/>
        <v>6.6534993047957777E-2</v>
      </c>
    </row>
    <row r="960" spans="3:12">
      <c r="C960" s="7">
        <v>954</v>
      </c>
      <c r="D960" s="3">
        <f t="shared" si="104"/>
        <v>4.5199999999999997E-2</v>
      </c>
      <c r="E960" s="3">
        <f t="shared" ca="1" si="110"/>
        <v>4.0003269590317928E-2</v>
      </c>
      <c r="F960" s="3">
        <f t="shared" ca="1" si="110"/>
        <v>3.9458019879904327E-2</v>
      </c>
      <c r="G960" s="3">
        <f t="shared" ca="1" si="110"/>
        <v>4.2640436935674139E-2</v>
      </c>
      <c r="H960" s="3">
        <f t="shared" ca="1" si="110"/>
        <v>4.5749119566391466E-2</v>
      </c>
      <c r="I960" s="3">
        <f t="shared" ca="1" si="110"/>
        <v>4.4022576691906935E-2</v>
      </c>
      <c r="J960" s="3">
        <f t="shared" ca="1" si="110"/>
        <v>4.1729363536779758E-2</v>
      </c>
      <c r="K960" s="3">
        <f t="shared" ca="1" si="110"/>
        <v>3.4734838723947052E-2</v>
      </c>
      <c r="L960" s="3">
        <f t="shared" ca="1" si="110"/>
        <v>3.8108641418856934E-2</v>
      </c>
    </row>
    <row r="961" spans="3:12">
      <c r="C961" s="7">
        <v>955</v>
      </c>
      <c r="D961" s="3">
        <f t="shared" si="104"/>
        <v>4.5199999999999997E-2</v>
      </c>
      <c r="E961" s="3">
        <f t="shared" ca="1" si="110"/>
        <v>4.5440628851656187E-2</v>
      </c>
      <c r="F961" s="3">
        <f t="shared" ca="1" si="110"/>
        <v>4.7696313409455786E-2</v>
      </c>
      <c r="G961" s="3">
        <f t="shared" ca="1" si="110"/>
        <v>5.3084717407401422E-2</v>
      </c>
      <c r="H961" s="3">
        <f t="shared" ca="1" si="110"/>
        <v>5.2304361350424253E-2</v>
      </c>
      <c r="I961" s="3">
        <f t="shared" ca="1" si="110"/>
        <v>5.2947316111053445E-2</v>
      </c>
      <c r="J961" s="3">
        <f t="shared" ca="1" si="110"/>
        <v>5.3537428158031843E-2</v>
      </c>
      <c r="K961" s="3">
        <f t="shared" ca="1" si="110"/>
        <v>5.3280992357553784E-2</v>
      </c>
      <c r="L961" s="3">
        <f t="shared" ca="1" si="110"/>
        <v>5.1043342761176405E-2</v>
      </c>
    </row>
    <row r="962" spans="3:12">
      <c r="C962" s="7">
        <v>956</v>
      </c>
      <c r="D962" s="3">
        <f t="shared" si="104"/>
        <v>4.5199999999999997E-2</v>
      </c>
      <c r="E962" s="3">
        <f t="shared" ca="1" si="110"/>
        <v>4.3514115137453555E-2</v>
      </c>
      <c r="F962" s="3">
        <f t="shared" ca="1" si="110"/>
        <v>4.6024610748548217E-2</v>
      </c>
      <c r="G962" s="3">
        <f t="shared" ca="1" si="110"/>
        <v>5.4728629416907516E-2</v>
      </c>
      <c r="H962" s="3">
        <f t="shared" ca="1" si="110"/>
        <v>5.6006762243889896E-2</v>
      </c>
      <c r="I962" s="3">
        <f t="shared" ca="1" si="110"/>
        <v>5.7999818366389636E-2</v>
      </c>
      <c r="J962" s="3">
        <f t="shared" ca="1" si="110"/>
        <v>5.2945576647977957E-2</v>
      </c>
      <c r="K962" s="3">
        <f t="shared" ca="1" si="110"/>
        <v>5.8900946367205435E-2</v>
      </c>
      <c r="L962" s="3">
        <f t="shared" ca="1" si="110"/>
        <v>6.0863938061595645E-2</v>
      </c>
    </row>
    <row r="963" spans="3:12">
      <c r="C963" s="7">
        <v>957</v>
      </c>
      <c r="D963" s="3">
        <f t="shared" si="104"/>
        <v>4.5199999999999997E-2</v>
      </c>
      <c r="E963" s="3">
        <f t="shared" ca="1" si="110"/>
        <v>4.7232281477229701E-2</v>
      </c>
      <c r="F963" s="3">
        <f t="shared" ca="1" si="110"/>
        <v>3.8824815838353267E-2</v>
      </c>
      <c r="G963" s="3">
        <f t="shared" ca="1" si="110"/>
        <v>3.6522010285254702E-2</v>
      </c>
      <c r="H963" s="3">
        <f t="shared" ca="1" si="110"/>
        <v>3.6423182668153475E-2</v>
      </c>
      <c r="I963" s="3">
        <f t="shared" ca="1" si="110"/>
        <v>3.6684101692995651E-2</v>
      </c>
      <c r="J963" s="3">
        <f t="shared" ca="1" si="110"/>
        <v>3.3014194955039315E-2</v>
      </c>
      <c r="K963" s="3">
        <f t="shared" ca="1" si="110"/>
        <v>2.408258767714206E-2</v>
      </c>
      <c r="L963" s="3">
        <f t="shared" ca="1" si="110"/>
        <v>2.1449551355594947E-2</v>
      </c>
    </row>
    <row r="964" spans="3:12">
      <c r="C964" s="7">
        <v>958</v>
      </c>
      <c r="D964" s="3">
        <f t="shared" si="104"/>
        <v>4.5199999999999997E-2</v>
      </c>
      <c r="E964" s="3">
        <f t="shared" ca="1" si="110"/>
        <v>5.4651953638183669E-2</v>
      </c>
      <c r="F964" s="3">
        <f t="shared" ca="1" si="110"/>
        <v>5.1400467306747633E-2</v>
      </c>
      <c r="G964" s="3">
        <f t="shared" ca="1" si="110"/>
        <v>4.9742921240344573E-2</v>
      </c>
      <c r="H964" s="3">
        <f t="shared" ca="1" si="110"/>
        <v>6.1222190433576879E-2</v>
      </c>
      <c r="I964" s="3">
        <f t="shared" ca="1" si="110"/>
        <v>6.5451291939358169E-2</v>
      </c>
      <c r="J964" s="3">
        <f t="shared" ca="1" si="110"/>
        <v>6.4910951807912037E-2</v>
      </c>
      <c r="K964" s="3">
        <f t="shared" ca="1" si="110"/>
        <v>6.2290417259633385E-2</v>
      </c>
      <c r="L964" s="3">
        <f t="shared" ca="1" si="110"/>
        <v>7.0334522329725729E-2</v>
      </c>
    </row>
    <row r="965" spans="3:12">
      <c r="C965" s="7">
        <v>959</v>
      </c>
      <c r="D965" s="3">
        <f t="shared" si="104"/>
        <v>4.5199999999999997E-2</v>
      </c>
      <c r="E965" s="3">
        <f t="shared" ca="1" si="110"/>
        <v>4.1489679504555697E-2</v>
      </c>
      <c r="F965" s="3">
        <f t="shared" ca="1" si="110"/>
        <v>4.0898871625272004E-2</v>
      </c>
      <c r="G965" s="3">
        <f t="shared" ca="1" si="110"/>
        <v>3.8006436346078309E-2</v>
      </c>
      <c r="H965" s="3">
        <f t="shared" ca="1" si="110"/>
        <v>3.6483027927992781E-2</v>
      </c>
      <c r="I965" s="3">
        <f t="shared" ca="1" si="110"/>
        <v>2.8823896786157419E-2</v>
      </c>
      <c r="J965" s="3">
        <f t="shared" ca="1" si="110"/>
        <v>3.1435376605275019E-2</v>
      </c>
      <c r="K965" s="3">
        <f t="shared" ca="1" si="110"/>
        <v>3.035041784533888E-2</v>
      </c>
      <c r="L965" s="3">
        <f t="shared" ca="1" si="110"/>
        <v>3.289461234291826E-2</v>
      </c>
    </row>
    <row r="966" spans="3:12">
      <c r="C966" s="7">
        <v>960</v>
      </c>
      <c r="D966" s="3">
        <f t="shared" si="104"/>
        <v>4.5199999999999997E-2</v>
      </c>
      <c r="E966" s="3">
        <f t="shared" ca="1" si="110"/>
        <v>4.0543850603151049E-2</v>
      </c>
      <c r="F966" s="3">
        <f t="shared" ca="1" si="110"/>
        <v>4.6492535613746631E-2</v>
      </c>
      <c r="G966" s="3">
        <f t="shared" ca="1" si="110"/>
        <v>4.1898576838740223E-2</v>
      </c>
      <c r="H966" s="3">
        <f t="shared" ca="1" si="110"/>
        <v>4.5907461252974333E-2</v>
      </c>
      <c r="I966" s="3">
        <f t="shared" ca="1" si="110"/>
        <v>4.7809159677509261E-2</v>
      </c>
      <c r="J966" s="3">
        <f t="shared" ca="1" si="110"/>
        <v>5.2911004946703324E-2</v>
      </c>
      <c r="K966" s="3">
        <f t="shared" ca="1" si="110"/>
        <v>5.0209734718742377E-2</v>
      </c>
      <c r="L966" s="3">
        <f t="shared" ca="1" si="110"/>
        <v>5.0102247186664645E-2</v>
      </c>
    </row>
    <row r="967" spans="3:12">
      <c r="C967" s="7">
        <v>961</v>
      </c>
      <c r="D967" s="3">
        <f t="shared" ref="D967:D1006" si="111">r0</f>
        <v>4.5199999999999997E-2</v>
      </c>
      <c r="E967" s="3">
        <f t="shared" ref="E967:L976" ca="1" si="112">D967+E$5*dt+sigma*_xlfn.NORM.S.INV(RAND())*SQRT(dt)</f>
        <v>4.5590313302216759E-2</v>
      </c>
      <c r="F967" s="3">
        <f t="shared" ca="1" si="112"/>
        <v>4.4766509310375506E-2</v>
      </c>
      <c r="G967" s="3">
        <f t="shared" ca="1" si="112"/>
        <v>3.9713304293161486E-2</v>
      </c>
      <c r="H967" s="3">
        <f t="shared" ca="1" si="112"/>
        <v>4.0072843116765136E-2</v>
      </c>
      <c r="I967" s="3">
        <f t="shared" ca="1" si="112"/>
        <v>3.7337403159568537E-2</v>
      </c>
      <c r="J967" s="3">
        <f t="shared" ca="1" si="112"/>
        <v>3.3672331217043126E-2</v>
      </c>
      <c r="K967" s="3">
        <f t="shared" ca="1" si="112"/>
        <v>3.5006285356726966E-2</v>
      </c>
      <c r="L967" s="3">
        <f t="shared" ca="1" si="112"/>
        <v>3.9887148470255193E-2</v>
      </c>
    </row>
    <row r="968" spans="3:12">
      <c r="C968" s="7">
        <v>962</v>
      </c>
      <c r="D968" s="3">
        <f t="shared" si="111"/>
        <v>4.5199999999999997E-2</v>
      </c>
      <c r="E968" s="3">
        <f t="shared" ca="1" si="112"/>
        <v>5.2690140596421964E-2</v>
      </c>
      <c r="F968" s="3">
        <f t="shared" ca="1" si="112"/>
        <v>5.5980179015647627E-2</v>
      </c>
      <c r="G968" s="3">
        <f t="shared" ca="1" si="112"/>
        <v>5.2072836966904831E-2</v>
      </c>
      <c r="H968" s="3">
        <f t="shared" ca="1" si="112"/>
        <v>4.694235744009833E-2</v>
      </c>
      <c r="I968" s="3">
        <f t="shared" ca="1" si="112"/>
        <v>4.4388015435845078E-2</v>
      </c>
      <c r="J968" s="3">
        <f t="shared" ca="1" si="112"/>
        <v>4.5340605639156872E-2</v>
      </c>
      <c r="K968" s="3">
        <f t="shared" ca="1" si="112"/>
        <v>4.6182015336156769E-2</v>
      </c>
      <c r="L968" s="3">
        <f t="shared" ca="1" si="112"/>
        <v>3.5518354843259888E-2</v>
      </c>
    </row>
    <row r="969" spans="3:12">
      <c r="C969" s="7">
        <v>963</v>
      </c>
      <c r="D969" s="3">
        <f t="shared" si="111"/>
        <v>4.5199999999999997E-2</v>
      </c>
      <c r="E969" s="3">
        <f t="shared" ca="1" si="112"/>
        <v>4.8107605760903255E-2</v>
      </c>
      <c r="F969" s="3">
        <f t="shared" ca="1" si="112"/>
        <v>6.426453061364007E-2</v>
      </c>
      <c r="G969" s="3">
        <f t="shared" ca="1" si="112"/>
        <v>6.7833094641902875E-2</v>
      </c>
      <c r="H969" s="3">
        <f t="shared" ca="1" si="112"/>
        <v>7.1409197528938109E-2</v>
      </c>
      <c r="I969" s="3">
        <f t="shared" ca="1" si="112"/>
        <v>7.2958197710640271E-2</v>
      </c>
      <c r="J969" s="3">
        <f t="shared" ca="1" si="112"/>
        <v>7.3935038814233245E-2</v>
      </c>
      <c r="K969" s="3">
        <f t="shared" ca="1" si="112"/>
        <v>7.5301613478205867E-2</v>
      </c>
      <c r="L969" s="3">
        <f t="shared" ca="1" si="112"/>
        <v>7.803139697676123E-2</v>
      </c>
    </row>
    <row r="970" spans="3:12">
      <c r="C970" s="7">
        <v>964</v>
      </c>
      <c r="D970" s="3">
        <f t="shared" si="111"/>
        <v>4.5199999999999997E-2</v>
      </c>
      <c r="E970" s="3">
        <f t="shared" ca="1" si="112"/>
        <v>4.8073984086644664E-2</v>
      </c>
      <c r="F970" s="3">
        <f t="shared" ca="1" si="112"/>
        <v>4.846294077670843E-2</v>
      </c>
      <c r="G970" s="3">
        <f t="shared" ca="1" si="112"/>
        <v>5.0049710821385832E-2</v>
      </c>
      <c r="H970" s="3">
        <f t="shared" ca="1" si="112"/>
        <v>5.0927683303356217E-2</v>
      </c>
      <c r="I970" s="3">
        <f t="shared" ca="1" si="112"/>
        <v>4.9519540676983158E-2</v>
      </c>
      <c r="J970" s="3">
        <f t="shared" ca="1" si="112"/>
        <v>5.7685511996714706E-2</v>
      </c>
      <c r="K970" s="3">
        <f t="shared" ca="1" si="112"/>
        <v>5.3536480083197995E-2</v>
      </c>
      <c r="L970" s="3">
        <f t="shared" ca="1" si="112"/>
        <v>5.3382965384971018E-2</v>
      </c>
    </row>
    <row r="971" spans="3:12">
      <c r="C971" s="7">
        <v>965</v>
      </c>
      <c r="D971" s="3">
        <f t="shared" si="111"/>
        <v>4.5199999999999997E-2</v>
      </c>
      <c r="E971" s="3">
        <f t="shared" ca="1" si="112"/>
        <v>4.8317526928381406E-2</v>
      </c>
      <c r="F971" s="3">
        <f t="shared" ca="1" si="112"/>
        <v>5.6261163861216441E-2</v>
      </c>
      <c r="G971" s="3">
        <f t="shared" ca="1" si="112"/>
        <v>5.4626280525498248E-2</v>
      </c>
      <c r="H971" s="3">
        <f t="shared" ca="1" si="112"/>
        <v>6.210377876447587E-2</v>
      </c>
      <c r="I971" s="3">
        <f t="shared" ca="1" si="112"/>
        <v>7.6046255771837629E-2</v>
      </c>
      <c r="J971" s="3">
        <f t="shared" ca="1" si="112"/>
        <v>7.1515406729602785E-2</v>
      </c>
      <c r="K971" s="3">
        <f t="shared" ca="1" si="112"/>
        <v>7.6329735432241169E-2</v>
      </c>
      <c r="L971" s="3">
        <f t="shared" ca="1" si="112"/>
        <v>6.8665262408626179E-2</v>
      </c>
    </row>
    <row r="972" spans="3:12">
      <c r="C972" s="7">
        <v>966</v>
      </c>
      <c r="D972" s="3">
        <f t="shared" si="111"/>
        <v>4.5199999999999997E-2</v>
      </c>
      <c r="E972" s="3">
        <f t="shared" ca="1" si="112"/>
        <v>4.4010344665430579E-2</v>
      </c>
      <c r="F972" s="3">
        <f t="shared" ca="1" si="112"/>
        <v>4.5587278601746821E-2</v>
      </c>
      <c r="G972" s="3">
        <f t="shared" ca="1" si="112"/>
        <v>4.615596028161769E-2</v>
      </c>
      <c r="H972" s="3">
        <f t="shared" ca="1" si="112"/>
        <v>4.9310157122358186E-2</v>
      </c>
      <c r="I972" s="3">
        <f t="shared" ca="1" si="112"/>
        <v>5.7072867644554964E-2</v>
      </c>
      <c r="J972" s="3">
        <f t="shared" ca="1" si="112"/>
        <v>5.5928452679315607E-2</v>
      </c>
      <c r="K972" s="3">
        <f t="shared" ca="1" si="112"/>
        <v>6.0760534634239693E-2</v>
      </c>
      <c r="L972" s="3">
        <f t="shared" ca="1" si="112"/>
        <v>6.3320805210381415E-2</v>
      </c>
    </row>
    <row r="973" spans="3:12">
      <c r="C973" s="7">
        <v>967</v>
      </c>
      <c r="D973" s="3">
        <f t="shared" si="111"/>
        <v>4.5199999999999997E-2</v>
      </c>
      <c r="E973" s="3">
        <f t="shared" ca="1" si="112"/>
        <v>4.7146651328214224E-2</v>
      </c>
      <c r="F973" s="3">
        <f t="shared" ca="1" si="112"/>
        <v>5.1123696181254348E-2</v>
      </c>
      <c r="G973" s="3">
        <f t="shared" ca="1" si="112"/>
        <v>5.3617648253595454E-2</v>
      </c>
      <c r="H973" s="3">
        <f t="shared" ca="1" si="112"/>
        <v>5.1083840314333211E-2</v>
      </c>
      <c r="I973" s="3">
        <f t="shared" ca="1" si="112"/>
        <v>5.242052224534783E-2</v>
      </c>
      <c r="J973" s="3">
        <f t="shared" ca="1" si="112"/>
        <v>4.8016561472175923E-2</v>
      </c>
      <c r="K973" s="3">
        <f t="shared" ca="1" si="112"/>
        <v>4.2753726102004501E-2</v>
      </c>
      <c r="L973" s="3">
        <f t="shared" ca="1" si="112"/>
        <v>4.4105153952478604E-2</v>
      </c>
    </row>
    <row r="974" spans="3:12">
      <c r="C974" s="7">
        <v>968</v>
      </c>
      <c r="D974" s="3">
        <f t="shared" si="111"/>
        <v>4.5199999999999997E-2</v>
      </c>
      <c r="E974" s="3">
        <f t="shared" ca="1" si="112"/>
        <v>4.6064452733961279E-2</v>
      </c>
      <c r="F974" s="3">
        <f t="shared" ca="1" si="112"/>
        <v>4.4972310738753872E-2</v>
      </c>
      <c r="G974" s="3">
        <f t="shared" ca="1" si="112"/>
        <v>5.185125005061901E-2</v>
      </c>
      <c r="H974" s="3">
        <f t="shared" ca="1" si="112"/>
        <v>4.9709737986965832E-2</v>
      </c>
      <c r="I974" s="3">
        <f t="shared" ca="1" si="112"/>
        <v>4.9738821276228348E-2</v>
      </c>
      <c r="J974" s="3">
        <f t="shared" ca="1" si="112"/>
        <v>5.5886074504809154E-2</v>
      </c>
      <c r="K974" s="3">
        <f t="shared" ca="1" si="112"/>
        <v>5.3694659843783576E-2</v>
      </c>
      <c r="L974" s="3">
        <f t="shared" ca="1" si="112"/>
        <v>6.2251691276378827E-2</v>
      </c>
    </row>
    <row r="975" spans="3:12">
      <c r="C975" s="7">
        <v>969</v>
      </c>
      <c r="D975" s="3">
        <f t="shared" si="111"/>
        <v>4.5199999999999997E-2</v>
      </c>
      <c r="E975" s="3">
        <f t="shared" ca="1" si="112"/>
        <v>4.9217317862201501E-2</v>
      </c>
      <c r="F975" s="3">
        <f t="shared" ca="1" si="112"/>
        <v>5.3772322229886461E-2</v>
      </c>
      <c r="G975" s="3">
        <f t="shared" ca="1" si="112"/>
        <v>5.7359899872857854E-2</v>
      </c>
      <c r="H975" s="3">
        <f t="shared" ca="1" si="112"/>
        <v>6.2725468803334641E-2</v>
      </c>
      <c r="I975" s="3">
        <f t="shared" ca="1" si="112"/>
        <v>6.6157231551093751E-2</v>
      </c>
      <c r="J975" s="3">
        <f t="shared" ca="1" si="112"/>
        <v>6.7064172980336526E-2</v>
      </c>
      <c r="K975" s="3">
        <f t="shared" ca="1" si="112"/>
        <v>6.585966240308562E-2</v>
      </c>
      <c r="L975" s="3">
        <f t="shared" ca="1" si="112"/>
        <v>6.4097027255686653E-2</v>
      </c>
    </row>
    <row r="976" spans="3:12">
      <c r="C976" s="7">
        <v>970</v>
      </c>
      <c r="D976" s="3">
        <f t="shared" si="111"/>
        <v>4.5199999999999997E-2</v>
      </c>
      <c r="E976" s="3">
        <f t="shared" ca="1" si="112"/>
        <v>4.7988121674457193E-2</v>
      </c>
      <c r="F976" s="3">
        <f t="shared" ca="1" si="112"/>
        <v>5.2230615429771941E-2</v>
      </c>
      <c r="G976" s="3">
        <f t="shared" ca="1" si="112"/>
        <v>4.6103253315046507E-2</v>
      </c>
      <c r="H976" s="3">
        <f t="shared" ca="1" si="112"/>
        <v>5.8888015008014119E-2</v>
      </c>
      <c r="I976" s="3">
        <f t="shared" ca="1" si="112"/>
        <v>6.0510572227256428E-2</v>
      </c>
      <c r="J976" s="3">
        <f t="shared" ca="1" si="112"/>
        <v>5.7954655316571659E-2</v>
      </c>
      <c r="K976" s="3">
        <f t="shared" ca="1" si="112"/>
        <v>5.1006161708838704E-2</v>
      </c>
      <c r="L976" s="3">
        <f t="shared" ca="1" si="112"/>
        <v>5.3625203482100155E-2</v>
      </c>
    </row>
    <row r="977" spans="3:12">
      <c r="C977" s="7">
        <v>971</v>
      </c>
      <c r="D977" s="3">
        <f t="shared" si="111"/>
        <v>4.5199999999999997E-2</v>
      </c>
      <c r="E977" s="3">
        <f t="shared" ref="E977:L986" ca="1" si="113">D977+E$5*dt+sigma*_xlfn.NORM.S.INV(RAND())*SQRT(dt)</f>
        <v>5.3352013916275309E-2</v>
      </c>
      <c r="F977" s="3">
        <f t="shared" ca="1" si="113"/>
        <v>6.1019219600899344E-2</v>
      </c>
      <c r="G977" s="3">
        <f t="shared" ca="1" si="113"/>
        <v>6.1214267726327237E-2</v>
      </c>
      <c r="H977" s="3">
        <f t="shared" ca="1" si="113"/>
        <v>6.3589511176426083E-2</v>
      </c>
      <c r="I977" s="3">
        <f t="shared" ca="1" si="113"/>
        <v>6.1752568515813108E-2</v>
      </c>
      <c r="J977" s="3">
        <f t="shared" ca="1" si="113"/>
        <v>6.3491925535745786E-2</v>
      </c>
      <c r="K977" s="3">
        <f t="shared" ca="1" si="113"/>
        <v>6.9825363967591259E-2</v>
      </c>
      <c r="L977" s="3">
        <f t="shared" ca="1" si="113"/>
        <v>7.3008565991708116E-2</v>
      </c>
    </row>
    <row r="978" spans="3:12">
      <c r="C978" s="7">
        <v>972</v>
      </c>
      <c r="D978" s="3">
        <f t="shared" si="111"/>
        <v>4.5199999999999997E-2</v>
      </c>
      <c r="E978" s="3">
        <f t="shared" ca="1" si="113"/>
        <v>5.388131244620404E-2</v>
      </c>
      <c r="F978" s="3">
        <f t="shared" ca="1" si="113"/>
        <v>5.348220923767092E-2</v>
      </c>
      <c r="G978" s="3">
        <f t="shared" ca="1" si="113"/>
        <v>5.8926319352930891E-2</v>
      </c>
      <c r="H978" s="3">
        <f t="shared" ca="1" si="113"/>
        <v>6.1689419574826966E-2</v>
      </c>
      <c r="I978" s="3">
        <f t="shared" ca="1" si="113"/>
        <v>6.3887330363663827E-2</v>
      </c>
      <c r="J978" s="3">
        <f t="shared" ca="1" si="113"/>
        <v>6.8854726269825348E-2</v>
      </c>
      <c r="K978" s="3">
        <f t="shared" ca="1" si="113"/>
        <v>6.0301992516852677E-2</v>
      </c>
      <c r="L978" s="3">
        <f t="shared" ca="1" si="113"/>
        <v>6.3445914669701994E-2</v>
      </c>
    </row>
    <row r="979" spans="3:12">
      <c r="C979" s="7">
        <v>973</v>
      </c>
      <c r="D979" s="3">
        <f t="shared" si="111"/>
        <v>4.5199999999999997E-2</v>
      </c>
      <c r="E979" s="3">
        <f t="shared" ca="1" si="113"/>
        <v>4.2749337772787117E-2</v>
      </c>
      <c r="F979" s="3">
        <f t="shared" ca="1" si="113"/>
        <v>4.4209700044367868E-2</v>
      </c>
      <c r="G979" s="3">
        <f t="shared" ca="1" si="113"/>
        <v>3.8069583047942328E-2</v>
      </c>
      <c r="H979" s="3">
        <f t="shared" ca="1" si="113"/>
        <v>4.3389196324535473E-2</v>
      </c>
      <c r="I979" s="3">
        <f t="shared" ca="1" si="113"/>
        <v>4.1821823577158926E-2</v>
      </c>
      <c r="J979" s="3">
        <f t="shared" ca="1" si="113"/>
        <v>4.8740362257169226E-2</v>
      </c>
      <c r="K979" s="3">
        <f t="shared" ca="1" si="113"/>
        <v>5.8883258554566983E-2</v>
      </c>
      <c r="L979" s="3">
        <f t="shared" ca="1" si="113"/>
        <v>5.316587777526216E-2</v>
      </c>
    </row>
    <row r="980" spans="3:12">
      <c r="C980" s="7">
        <v>974</v>
      </c>
      <c r="D980" s="3">
        <f t="shared" si="111"/>
        <v>4.5199999999999997E-2</v>
      </c>
      <c r="E980" s="3">
        <f t="shared" ca="1" si="113"/>
        <v>4.6332566116835651E-2</v>
      </c>
      <c r="F980" s="3">
        <f t="shared" ca="1" si="113"/>
        <v>5.1216017256755009E-2</v>
      </c>
      <c r="G980" s="3">
        <f t="shared" ca="1" si="113"/>
        <v>5.5648433687749667E-2</v>
      </c>
      <c r="H980" s="3">
        <f t="shared" ca="1" si="113"/>
        <v>6.2518633954526573E-2</v>
      </c>
      <c r="I980" s="3">
        <f t="shared" ca="1" si="113"/>
        <v>6.8073140844563701E-2</v>
      </c>
      <c r="J980" s="3">
        <f t="shared" ca="1" si="113"/>
        <v>7.1559467379445921E-2</v>
      </c>
      <c r="K980" s="3">
        <f t="shared" ca="1" si="113"/>
        <v>7.4281582688437625E-2</v>
      </c>
      <c r="L980" s="3">
        <f t="shared" ca="1" si="113"/>
        <v>7.4260551589576645E-2</v>
      </c>
    </row>
    <row r="981" spans="3:12">
      <c r="C981" s="7">
        <v>975</v>
      </c>
      <c r="D981" s="3">
        <f t="shared" si="111"/>
        <v>4.5199999999999997E-2</v>
      </c>
      <c r="E981" s="3">
        <f t="shared" ca="1" si="113"/>
        <v>5.3640446623034285E-2</v>
      </c>
      <c r="F981" s="3">
        <f t="shared" ca="1" si="113"/>
        <v>5.2950939966699272E-2</v>
      </c>
      <c r="G981" s="3">
        <f t="shared" ca="1" si="113"/>
        <v>5.5325389560386899E-2</v>
      </c>
      <c r="H981" s="3">
        <f t="shared" ca="1" si="113"/>
        <v>5.6372516343346508E-2</v>
      </c>
      <c r="I981" s="3">
        <f t="shared" ca="1" si="113"/>
        <v>5.4801048007633267E-2</v>
      </c>
      <c r="J981" s="3">
        <f t="shared" ca="1" si="113"/>
        <v>6.2047916877582397E-2</v>
      </c>
      <c r="K981" s="3">
        <f t="shared" ca="1" si="113"/>
        <v>5.8901631759638425E-2</v>
      </c>
      <c r="L981" s="3">
        <f t="shared" ca="1" si="113"/>
        <v>5.8810174411987881E-2</v>
      </c>
    </row>
    <row r="982" spans="3:12">
      <c r="C982" s="7">
        <v>976</v>
      </c>
      <c r="D982" s="3">
        <f t="shared" si="111"/>
        <v>4.5199999999999997E-2</v>
      </c>
      <c r="E982" s="3">
        <f t="shared" ca="1" si="113"/>
        <v>4.742629466972776E-2</v>
      </c>
      <c r="F982" s="3">
        <f t="shared" ca="1" si="113"/>
        <v>4.6944242647306067E-2</v>
      </c>
      <c r="G982" s="3">
        <f t="shared" ca="1" si="113"/>
        <v>4.8485084006432179E-2</v>
      </c>
      <c r="H982" s="3">
        <f t="shared" ca="1" si="113"/>
        <v>4.6303230081760668E-2</v>
      </c>
      <c r="I982" s="3">
        <f t="shared" ca="1" si="113"/>
        <v>4.0358085006590778E-2</v>
      </c>
      <c r="J982" s="3">
        <f t="shared" ca="1" si="113"/>
        <v>3.1060449739991933E-2</v>
      </c>
      <c r="K982" s="3">
        <f t="shared" ca="1" si="113"/>
        <v>2.9812685907044108E-2</v>
      </c>
      <c r="L982" s="3">
        <f t="shared" ca="1" si="113"/>
        <v>2.5540041056854226E-2</v>
      </c>
    </row>
    <row r="983" spans="3:12">
      <c r="C983" s="7">
        <v>977</v>
      </c>
      <c r="D983" s="3">
        <f t="shared" si="111"/>
        <v>4.5199999999999997E-2</v>
      </c>
      <c r="E983" s="3">
        <f t="shared" ca="1" si="113"/>
        <v>4.1631420020300597E-2</v>
      </c>
      <c r="F983" s="3">
        <f t="shared" ca="1" si="113"/>
        <v>3.6807571782177979E-2</v>
      </c>
      <c r="G983" s="3">
        <f t="shared" ca="1" si="113"/>
        <v>3.9829061844586955E-2</v>
      </c>
      <c r="H983" s="3">
        <f t="shared" ca="1" si="113"/>
        <v>4.0367391892261413E-2</v>
      </c>
      <c r="I983" s="3">
        <f t="shared" ca="1" si="113"/>
        <v>4.3634289886547641E-2</v>
      </c>
      <c r="J983" s="3">
        <f t="shared" ca="1" si="113"/>
        <v>4.1208646451770442E-2</v>
      </c>
      <c r="K983" s="3">
        <f t="shared" ca="1" si="113"/>
        <v>4.9341912072573657E-2</v>
      </c>
      <c r="L983" s="3">
        <f t="shared" ca="1" si="113"/>
        <v>4.8723502396703644E-2</v>
      </c>
    </row>
    <row r="984" spans="3:12">
      <c r="C984" s="7">
        <v>978</v>
      </c>
      <c r="D984" s="3">
        <f t="shared" si="111"/>
        <v>4.5199999999999997E-2</v>
      </c>
      <c r="E984" s="3">
        <f t="shared" ca="1" si="113"/>
        <v>3.8462258157543873E-2</v>
      </c>
      <c r="F984" s="3">
        <f t="shared" ca="1" si="113"/>
        <v>3.7479070851159264E-2</v>
      </c>
      <c r="G984" s="3">
        <f t="shared" ca="1" si="113"/>
        <v>4.0793465010387046E-2</v>
      </c>
      <c r="H984" s="3">
        <f t="shared" ca="1" si="113"/>
        <v>4.6487002402597746E-2</v>
      </c>
      <c r="I984" s="3">
        <f t="shared" ca="1" si="113"/>
        <v>4.7369832082837855E-2</v>
      </c>
      <c r="J984" s="3">
        <f t="shared" ca="1" si="113"/>
        <v>5.451587813938736E-2</v>
      </c>
      <c r="K984" s="3">
        <f t="shared" ca="1" si="113"/>
        <v>6.5214752234915449E-2</v>
      </c>
      <c r="L984" s="3">
        <f t="shared" ca="1" si="113"/>
        <v>5.9969377955376817E-2</v>
      </c>
    </row>
    <row r="985" spans="3:12">
      <c r="C985" s="7">
        <v>979</v>
      </c>
      <c r="D985" s="3">
        <f t="shared" si="111"/>
        <v>4.5199999999999997E-2</v>
      </c>
      <c r="E985" s="3">
        <f t="shared" ca="1" si="113"/>
        <v>4.5763151609600532E-2</v>
      </c>
      <c r="F985" s="3">
        <f t="shared" ca="1" si="113"/>
        <v>4.55241878967357E-2</v>
      </c>
      <c r="G985" s="3">
        <f t="shared" ca="1" si="113"/>
        <v>4.1625613628753395E-2</v>
      </c>
      <c r="H985" s="3">
        <f t="shared" ca="1" si="113"/>
        <v>4.2775288759730141E-2</v>
      </c>
      <c r="I985" s="3">
        <f t="shared" ca="1" si="113"/>
        <v>5.0917572143724693E-2</v>
      </c>
      <c r="J985" s="3">
        <f t="shared" ca="1" si="113"/>
        <v>4.609301112212346E-2</v>
      </c>
      <c r="K985" s="3">
        <f t="shared" ca="1" si="113"/>
        <v>4.120404094495269E-2</v>
      </c>
      <c r="L985" s="3">
        <f t="shared" ca="1" si="113"/>
        <v>3.4693129553346615E-2</v>
      </c>
    </row>
    <row r="986" spans="3:12">
      <c r="C986" s="7">
        <v>980</v>
      </c>
      <c r="D986" s="3">
        <f t="shared" si="111"/>
        <v>4.5199999999999997E-2</v>
      </c>
      <c r="E986" s="3">
        <f t="shared" ca="1" si="113"/>
        <v>4.0333154698650009E-2</v>
      </c>
      <c r="F986" s="3">
        <f t="shared" ca="1" si="113"/>
        <v>3.618655060384704E-2</v>
      </c>
      <c r="G986" s="3">
        <f t="shared" ca="1" si="113"/>
        <v>4.1988062946315796E-2</v>
      </c>
      <c r="H986" s="3">
        <f t="shared" ca="1" si="113"/>
        <v>4.5132698158404753E-2</v>
      </c>
      <c r="I986" s="3">
        <f t="shared" ca="1" si="113"/>
        <v>4.4192746980778908E-2</v>
      </c>
      <c r="J986" s="3">
        <f t="shared" ca="1" si="113"/>
        <v>4.9108149472651512E-2</v>
      </c>
      <c r="K986" s="3">
        <f t="shared" ca="1" si="113"/>
        <v>6.0696607167237994E-2</v>
      </c>
      <c r="L986" s="3">
        <f t="shared" ca="1" si="113"/>
        <v>5.2517563110527438E-2</v>
      </c>
    </row>
    <row r="987" spans="3:12">
      <c r="C987" s="7">
        <v>981</v>
      </c>
      <c r="D987" s="3">
        <f t="shared" si="111"/>
        <v>4.5199999999999997E-2</v>
      </c>
      <c r="E987" s="3">
        <f t="shared" ref="E987:L996" ca="1" si="114">D987+E$5*dt+sigma*_xlfn.NORM.S.INV(RAND())*SQRT(dt)</f>
        <v>4.9666144755998544E-2</v>
      </c>
      <c r="F987" s="3">
        <f t="shared" ca="1" si="114"/>
        <v>5.5161941386031942E-2</v>
      </c>
      <c r="G987" s="3">
        <f t="shared" ca="1" si="114"/>
        <v>5.4002710593159253E-2</v>
      </c>
      <c r="H987" s="3">
        <f t="shared" ca="1" si="114"/>
        <v>5.1460373541120555E-2</v>
      </c>
      <c r="I987" s="3">
        <f t="shared" ca="1" si="114"/>
        <v>5.4780006522308751E-2</v>
      </c>
      <c r="J987" s="3">
        <f t="shared" ca="1" si="114"/>
        <v>5.847899807317114E-2</v>
      </c>
      <c r="K987" s="3">
        <f t="shared" ca="1" si="114"/>
        <v>6.0769459301842084E-2</v>
      </c>
      <c r="L987" s="3">
        <f t="shared" ca="1" si="114"/>
        <v>6.1280527212114619E-2</v>
      </c>
    </row>
    <row r="988" spans="3:12">
      <c r="C988" s="7">
        <v>982</v>
      </c>
      <c r="D988" s="3">
        <f t="shared" si="111"/>
        <v>4.5199999999999997E-2</v>
      </c>
      <c r="E988" s="3">
        <f t="shared" ca="1" si="114"/>
        <v>4.4824171975616701E-2</v>
      </c>
      <c r="F988" s="3">
        <f t="shared" ca="1" si="114"/>
        <v>5.0000660681751657E-2</v>
      </c>
      <c r="G988" s="3">
        <f t="shared" ca="1" si="114"/>
        <v>5.1011252330856988E-2</v>
      </c>
      <c r="H988" s="3">
        <f t="shared" ca="1" si="114"/>
        <v>5.3802724521508263E-2</v>
      </c>
      <c r="I988" s="3">
        <f t="shared" ca="1" si="114"/>
        <v>5.0492858927295277E-2</v>
      </c>
      <c r="J988" s="3">
        <f t="shared" ca="1" si="114"/>
        <v>4.8536862092992052E-2</v>
      </c>
      <c r="K988" s="3">
        <f t="shared" ca="1" si="114"/>
        <v>4.8293297668091643E-2</v>
      </c>
      <c r="L988" s="3">
        <f t="shared" ca="1" si="114"/>
        <v>4.5293537639692918E-2</v>
      </c>
    </row>
    <row r="989" spans="3:12">
      <c r="C989" s="7">
        <v>983</v>
      </c>
      <c r="D989" s="3">
        <f t="shared" si="111"/>
        <v>4.5199999999999997E-2</v>
      </c>
      <c r="E989" s="3">
        <f t="shared" ca="1" si="114"/>
        <v>5.5550851363729774E-2</v>
      </c>
      <c r="F989" s="3">
        <f t="shared" ca="1" si="114"/>
        <v>4.6569208166355042E-2</v>
      </c>
      <c r="G989" s="3">
        <f t="shared" ca="1" si="114"/>
        <v>4.7782442481595737E-2</v>
      </c>
      <c r="H989" s="3">
        <f t="shared" ca="1" si="114"/>
        <v>4.5335628873040323E-2</v>
      </c>
      <c r="I989" s="3">
        <f t="shared" ca="1" si="114"/>
        <v>3.8128091366885317E-2</v>
      </c>
      <c r="J989" s="3">
        <f t="shared" ca="1" si="114"/>
        <v>4.486366701692323E-2</v>
      </c>
      <c r="K989" s="3">
        <f t="shared" ca="1" si="114"/>
        <v>5.3838314534683379E-2</v>
      </c>
      <c r="L989" s="3">
        <f t="shared" ca="1" si="114"/>
        <v>5.4162216390574738E-2</v>
      </c>
    </row>
    <row r="990" spans="3:12">
      <c r="C990" s="7">
        <v>984</v>
      </c>
      <c r="D990" s="3">
        <f t="shared" si="111"/>
        <v>4.5199999999999997E-2</v>
      </c>
      <c r="E990" s="3">
        <f t="shared" ca="1" si="114"/>
        <v>4.5546580920017551E-2</v>
      </c>
      <c r="F990" s="3">
        <f t="shared" ca="1" si="114"/>
        <v>4.1490660694350839E-2</v>
      </c>
      <c r="G990" s="3">
        <f t="shared" ca="1" si="114"/>
        <v>4.0213384148655711E-2</v>
      </c>
      <c r="H990" s="3">
        <f t="shared" ca="1" si="114"/>
        <v>3.8396864749956523E-2</v>
      </c>
      <c r="I990" s="3">
        <f t="shared" ca="1" si="114"/>
        <v>4.2665641494000317E-2</v>
      </c>
      <c r="J990" s="3">
        <f t="shared" ca="1" si="114"/>
        <v>4.4257526555016094E-2</v>
      </c>
      <c r="K990" s="3">
        <f t="shared" ca="1" si="114"/>
        <v>4.4195948161532057E-2</v>
      </c>
      <c r="L990" s="3">
        <f t="shared" ca="1" si="114"/>
        <v>5.3257178730790208E-2</v>
      </c>
    </row>
    <row r="991" spans="3:12">
      <c r="C991" s="7">
        <v>985</v>
      </c>
      <c r="D991" s="3">
        <f t="shared" si="111"/>
        <v>4.5199999999999997E-2</v>
      </c>
      <c r="E991" s="3">
        <f t="shared" ca="1" si="114"/>
        <v>3.9275202576295333E-2</v>
      </c>
      <c r="F991" s="3">
        <f t="shared" ca="1" si="114"/>
        <v>4.6279049673159808E-2</v>
      </c>
      <c r="G991" s="3">
        <f t="shared" ca="1" si="114"/>
        <v>4.1328073476867982E-2</v>
      </c>
      <c r="H991" s="3">
        <f t="shared" ca="1" si="114"/>
        <v>4.0723582369264211E-2</v>
      </c>
      <c r="I991" s="3">
        <f t="shared" ca="1" si="114"/>
        <v>3.319829714452717E-2</v>
      </c>
      <c r="J991" s="3">
        <f t="shared" ca="1" si="114"/>
        <v>3.4880092463211242E-2</v>
      </c>
      <c r="K991" s="3">
        <f t="shared" ca="1" si="114"/>
        <v>3.380159209925962E-2</v>
      </c>
      <c r="L991" s="3">
        <f t="shared" ca="1" si="114"/>
        <v>2.9530812487458265E-2</v>
      </c>
    </row>
    <row r="992" spans="3:12">
      <c r="C992" s="7">
        <v>986</v>
      </c>
      <c r="D992" s="3">
        <f t="shared" si="111"/>
        <v>4.5199999999999997E-2</v>
      </c>
      <c r="E992" s="3">
        <f t="shared" ca="1" si="114"/>
        <v>4.6419341384857885E-2</v>
      </c>
      <c r="F992" s="3">
        <f t="shared" ca="1" si="114"/>
        <v>3.9024744552200862E-2</v>
      </c>
      <c r="G992" s="3">
        <f t="shared" ca="1" si="114"/>
        <v>4.9451020551985206E-2</v>
      </c>
      <c r="H992" s="3">
        <f t="shared" ca="1" si="114"/>
        <v>4.8041914552995814E-2</v>
      </c>
      <c r="I992" s="3">
        <f t="shared" ca="1" si="114"/>
        <v>5.0713477295749397E-2</v>
      </c>
      <c r="J992" s="3">
        <f t="shared" ca="1" si="114"/>
        <v>5.944804468218965E-2</v>
      </c>
      <c r="K992" s="3">
        <f t="shared" ca="1" si="114"/>
        <v>6.0429601013485275E-2</v>
      </c>
      <c r="L992" s="3">
        <f t="shared" ca="1" si="114"/>
        <v>5.597207441449556E-2</v>
      </c>
    </row>
    <row r="993" spans="3:12">
      <c r="C993" s="7">
        <v>987</v>
      </c>
      <c r="D993" s="3">
        <f t="shared" si="111"/>
        <v>4.5199999999999997E-2</v>
      </c>
      <c r="E993" s="3">
        <f t="shared" ca="1" si="114"/>
        <v>4.0954596443142435E-2</v>
      </c>
      <c r="F993" s="3">
        <f t="shared" ca="1" si="114"/>
        <v>3.8049083181789158E-2</v>
      </c>
      <c r="G993" s="3">
        <f t="shared" ca="1" si="114"/>
        <v>3.3873390062800483E-2</v>
      </c>
      <c r="H993" s="3">
        <f t="shared" ca="1" si="114"/>
        <v>3.6011767996480079E-2</v>
      </c>
      <c r="I993" s="3">
        <f t="shared" ca="1" si="114"/>
        <v>2.834456427780516E-2</v>
      </c>
      <c r="J993" s="3">
        <f t="shared" ca="1" si="114"/>
        <v>3.0786462312936885E-2</v>
      </c>
      <c r="K993" s="3">
        <f t="shared" ca="1" si="114"/>
        <v>2.5927069210039268E-2</v>
      </c>
      <c r="L993" s="3">
        <f t="shared" ca="1" si="114"/>
        <v>3.3451844305690009E-2</v>
      </c>
    </row>
    <row r="994" spans="3:12">
      <c r="C994" s="7">
        <v>988</v>
      </c>
      <c r="D994" s="3">
        <f t="shared" si="111"/>
        <v>4.5199999999999997E-2</v>
      </c>
      <c r="E994" s="3">
        <f t="shared" ca="1" si="114"/>
        <v>5.0801087279561341E-2</v>
      </c>
      <c r="F994" s="3">
        <f t="shared" ca="1" si="114"/>
        <v>5.4711250835050317E-2</v>
      </c>
      <c r="G994" s="3">
        <f t="shared" ca="1" si="114"/>
        <v>5.1964635487364415E-2</v>
      </c>
      <c r="H994" s="3">
        <f t="shared" ca="1" si="114"/>
        <v>5.3482518339025953E-2</v>
      </c>
      <c r="I994" s="3">
        <f t="shared" ca="1" si="114"/>
        <v>5.25329610837195E-2</v>
      </c>
      <c r="J994" s="3">
        <f t="shared" ca="1" si="114"/>
        <v>5.2895957378780764E-2</v>
      </c>
      <c r="K994" s="3">
        <f t="shared" ca="1" si="114"/>
        <v>5.8632247790280097E-2</v>
      </c>
      <c r="L994" s="3">
        <f t="shared" ca="1" si="114"/>
        <v>5.59949829097596E-2</v>
      </c>
    </row>
    <row r="995" spans="3:12">
      <c r="C995" s="7">
        <v>989</v>
      </c>
      <c r="D995" s="3">
        <f t="shared" si="111"/>
        <v>4.5199999999999997E-2</v>
      </c>
      <c r="E995" s="3">
        <f t="shared" ca="1" si="114"/>
        <v>4.9332768185003623E-2</v>
      </c>
      <c r="F995" s="3">
        <f t="shared" ca="1" si="114"/>
        <v>5.7445986698543852E-2</v>
      </c>
      <c r="G995" s="3">
        <f t="shared" ca="1" si="114"/>
        <v>5.2415002722901075E-2</v>
      </c>
      <c r="H995" s="3">
        <f t="shared" ca="1" si="114"/>
        <v>5.3301927744925738E-2</v>
      </c>
      <c r="I995" s="3">
        <f t="shared" ca="1" si="114"/>
        <v>4.7000313703521333E-2</v>
      </c>
      <c r="J995" s="3">
        <f t="shared" ca="1" si="114"/>
        <v>4.9821242199652477E-2</v>
      </c>
      <c r="K995" s="3">
        <f t="shared" ca="1" si="114"/>
        <v>5.6078024530444588E-2</v>
      </c>
      <c r="L995" s="3">
        <f t="shared" ca="1" si="114"/>
        <v>5.2219229917546739E-2</v>
      </c>
    </row>
    <row r="996" spans="3:12">
      <c r="C996" s="7">
        <v>990</v>
      </c>
      <c r="D996" s="3">
        <f t="shared" si="111"/>
        <v>4.5199999999999997E-2</v>
      </c>
      <c r="E996" s="3">
        <f t="shared" ca="1" si="114"/>
        <v>4.8113708407827173E-2</v>
      </c>
      <c r="F996" s="3">
        <f t="shared" ca="1" si="114"/>
        <v>4.5388087985042347E-2</v>
      </c>
      <c r="G996" s="3">
        <f t="shared" ca="1" si="114"/>
        <v>3.6653202510322197E-2</v>
      </c>
      <c r="H996" s="3">
        <f t="shared" ca="1" si="114"/>
        <v>3.4751762726958721E-2</v>
      </c>
      <c r="I996" s="3">
        <f t="shared" ca="1" si="114"/>
        <v>3.6824430390786429E-2</v>
      </c>
      <c r="J996" s="3">
        <f t="shared" ca="1" si="114"/>
        <v>4.0316818609659001E-2</v>
      </c>
      <c r="K996" s="3">
        <f t="shared" ca="1" si="114"/>
        <v>4.2626982489598626E-2</v>
      </c>
      <c r="L996" s="3">
        <f t="shared" ca="1" si="114"/>
        <v>3.5793833492281137E-2</v>
      </c>
    </row>
    <row r="997" spans="3:12">
      <c r="C997" s="7">
        <v>991</v>
      </c>
      <c r="D997" s="3">
        <f t="shared" si="111"/>
        <v>4.5199999999999997E-2</v>
      </c>
      <c r="E997" s="3">
        <f t="shared" ref="E997:L1006" ca="1" si="115">D997+E$5*dt+sigma*_xlfn.NORM.S.INV(RAND())*SQRT(dt)</f>
        <v>4.2136495245713904E-2</v>
      </c>
      <c r="F997" s="3">
        <f t="shared" ca="1" si="115"/>
        <v>3.7030495636607735E-2</v>
      </c>
      <c r="G997" s="3">
        <f t="shared" ca="1" si="115"/>
        <v>3.510612602450424E-2</v>
      </c>
      <c r="H997" s="3">
        <f t="shared" ca="1" si="115"/>
        <v>4.1036092161302981E-2</v>
      </c>
      <c r="I997" s="3">
        <f t="shared" ca="1" si="115"/>
        <v>3.9534479505326632E-2</v>
      </c>
      <c r="J997" s="3">
        <f t="shared" ca="1" si="115"/>
        <v>5.2366786493394143E-2</v>
      </c>
      <c r="K997" s="3">
        <f t="shared" ca="1" si="115"/>
        <v>5.6400154395504568E-2</v>
      </c>
      <c r="L997" s="3">
        <f t="shared" ca="1" si="115"/>
        <v>5.5731034575397402E-2</v>
      </c>
    </row>
    <row r="998" spans="3:12">
      <c r="C998" s="7">
        <v>992</v>
      </c>
      <c r="D998" s="3">
        <f t="shared" si="111"/>
        <v>4.5199999999999997E-2</v>
      </c>
      <c r="E998" s="3">
        <f t="shared" ca="1" si="115"/>
        <v>4.1525856390490855E-2</v>
      </c>
      <c r="F998" s="3">
        <f t="shared" ca="1" si="115"/>
        <v>5.2052135192909979E-2</v>
      </c>
      <c r="G998" s="3">
        <f t="shared" ca="1" si="115"/>
        <v>4.9287501617172949E-2</v>
      </c>
      <c r="H998" s="3">
        <f t="shared" ca="1" si="115"/>
        <v>4.9679887441108121E-2</v>
      </c>
      <c r="I998" s="3">
        <f t="shared" ca="1" si="115"/>
        <v>4.5501023327265314E-2</v>
      </c>
      <c r="J998" s="3">
        <f t="shared" ca="1" si="115"/>
        <v>4.3336851217152736E-2</v>
      </c>
      <c r="K998" s="3">
        <f t="shared" ca="1" si="115"/>
        <v>3.9514716918656365E-2</v>
      </c>
      <c r="L998" s="3">
        <f t="shared" ca="1" si="115"/>
        <v>4.6630107898099959E-2</v>
      </c>
    </row>
    <row r="999" spans="3:12">
      <c r="C999" s="7">
        <v>993</v>
      </c>
      <c r="D999" s="3">
        <f t="shared" si="111"/>
        <v>4.5199999999999997E-2</v>
      </c>
      <c r="E999" s="3">
        <f t="shared" ca="1" si="115"/>
        <v>3.9708720077944952E-2</v>
      </c>
      <c r="F999" s="3">
        <f t="shared" ca="1" si="115"/>
        <v>3.6581444210512258E-2</v>
      </c>
      <c r="G999" s="3">
        <f t="shared" ca="1" si="115"/>
        <v>2.8578334739808049E-2</v>
      </c>
      <c r="H999" s="3">
        <f t="shared" ca="1" si="115"/>
        <v>2.4347119943730639E-2</v>
      </c>
      <c r="I999" s="3">
        <f t="shared" ca="1" si="115"/>
        <v>2.5620945869480487E-2</v>
      </c>
      <c r="J999" s="3">
        <f t="shared" ca="1" si="115"/>
        <v>2.9683116415261206E-2</v>
      </c>
      <c r="K999" s="3">
        <f t="shared" ca="1" si="115"/>
        <v>3.0441111097718743E-2</v>
      </c>
      <c r="L999" s="3">
        <f t="shared" ca="1" si="115"/>
        <v>2.3444684515413768E-2</v>
      </c>
    </row>
    <row r="1000" spans="3:12">
      <c r="C1000" s="7">
        <v>994</v>
      </c>
      <c r="D1000" s="3">
        <f t="shared" si="111"/>
        <v>4.5199999999999997E-2</v>
      </c>
      <c r="E1000" s="3">
        <f t="shared" ca="1" si="115"/>
        <v>4.9619287045999286E-2</v>
      </c>
      <c r="F1000" s="3">
        <f t="shared" ca="1" si="115"/>
        <v>5.2220158640433154E-2</v>
      </c>
      <c r="G1000" s="3">
        <f t="shared" ca="1" si="115"/>
        <v>5.5991549518529818E-2</v>
      </c>
      <c r="H1000" s="3">
        <f t="shared" ca="1" si="115"/>
        <v>6.5658978447364194E-2</v>
      </c>
      <c r="I1000" s="3">
        <f t="shared" ca="1" si="115"/>
        <v>7.2593267178905629E-2</v>
      </c>
      <c r="J1000" s="3">
        <f t="shared" ca="1" si="115"/>
        <v>7.2634819961109487E-2</v>
      </c>
      <c r="K1000" s="3">
        <f t="shared" ca="1" si="115"/>
        <v>7.5876829801895432E-2</v>
      </c>
      <c r="L1000" s="3">
        <f t="shared" ca="1" si="115"/>
        <v>7.925509886920161E-2</v>
      </c>
    </row>
    <row r="1001" spans="3:12">
      <c r="C1001" s="7">
        <v>995</v>
      </c>
      <c r="D1001" s="3">
        <f t="shared" si="111"/>
        <v>4.5199999999999997E-2</v>
      </c>
      <c r="E1001" s="3">
        <f t="shared" ca="1" si="115"/>
        <v>4.6794641224382559E-2</v>
      </c>
      <c r="F1001" s="3">
        <f t="shared" ca="1" si="115"/>
        <v>5.1676333920264467E-2</v>
      </c>
      <c r="G1001" s="3">
        <f t="shared" ca="1" si="115"/>
        <v>5.3756357692454619E-2</v>
      </c>
      <c r="H1001" s="3">
        <f t="shared" ca="1" si="115"/>
        <v>5.3676855675444883E-2</v>
      </c>
      <c r="I1001" s="3">
        <f t="shared" ca="1" si="115"/>
        <v>6.1030702937500583E-2</v>
      </c>
      <c r="J1001" s="3">
        <f t="shared" ca="1" si="115"/>
        <v>5.7079871664798311E-2</v>
      </c>
      <c r="K1001" s="3">
        <f t="shared" ca="1" si="115"/>
        <v>6.0691271374069294E-2</v>
      </c>
      <c r="L1001" s="3">
        <f t="shared" ca="1" si="115"/>
        <v>5.8229989385854261E-2</v>
      </c>
    </row>
    <row r="1002" spans="3:12">
      <c r="C1002" s="7">
        <v>996</v>
      </c>
      <c r="D1002" s="3">
        <f t="shared" si="111"/>
        <v>4.5199999999999997E-2</v>
      </c>
      <c r="E1002" s="3">
        <f t="shared" ca="1" si="115"/>
        <v>4.7988672071044541E-2</v>
      </c>
      <c r="F1002" s="3">
        <f t="shared" ca="1" si="115"/>
        <v>4.4864191435428788E-2</v>
      </c>
      <c r="G1002" s="3">
        <f t="shared" ca="1" si="115"/>
        <v>3.4385856466271486E-2</v>
      </c>
      <c r="H1002" s="3">
        <f t="shared" ca="1" si="115"/>
        <v>3.1095592156016948E-2</v>
      </c>
      <c r="I1002" s="3">
        <f t="shared" ca="1" si="115"/>
        <v>2.578422058245227E-2</v>
      </c>
      <c r="J1002" s="3">
        <f t="shared" ca="1" si="115"/>
        <v>1.601502851557509E-2</v>
      </c>
      <c r="K1002" s="3">
        <f t="shared" ca="1" si="115"/>
        <v>2.0299334938275813E-2</v>
      </c>
      <c r="L1002" s="3">
        <f t="shared" ca="1" si="115"/>
        <v>1.6311733506041544E-2</v>
      </c>
    </row>
    <row r="1003" spans="3:12">
      <c r="C1003" s="7">
        <v>997</v>
      </c>
      <c r="D1003" s="3">
        <f t="shared" si="111"/>
        <v>4.5199999999999997E-2</v>
      </c>
      <c r="E1003" s="3">
        <f t="shared" ca="1" si="115"/>
        <v>4.5981018086149329E-2</v>
      </c>
      <c r="F1003" s="3">
        <f t="shared" ca="1" si="115"/>
        <v>4.482112112308196E-2</v>
      </c>
      <c r="G1003" s="3">
        <f t="shared" ca="1" si="115"/>
        <v>4.4488395205463514E-2</v>
      </c>
      <c r="H1003" s="3">
        <f t="shared" ca="1" si="115"/>
        <v>4.4383045234901407E-2</v>
      </c>
      <c r="I1003" s="3">
        <f t="shared" ca="1" si="115"/>
        <v>4.9233803642644104E-2</v>
      </c>
      <c r="J1003" s="3">
        <f t="shared" ca="1" si="115"/>
        <v>5.4609700707737401E-2</v>
      </c>
      <c r="K1003" s="3">
        <f t="shared" ca="1" si="115"/>
        <v>4.9826811517016886E-2</v>
      </c>
      <c r="L1003" s="3">
        <f t="shared" ca="1" si="115"/>
        <v>5.6206007378186887E-2</v>
      </c>
    </row>
    <row r="1004" spans="3:12">
      <c r="C1004" s="7">
        <v>998</v>
      </c>
      <c r="D1004" s="3">
        <f t="shared" si="111"/>
        <v>4.5199999999999997E-2</v>
      </c>
      <c r="E1004" s="3">
        <f t="shared" ca="1" si="115"/>
        <v>5.1050662091241088E-2</v>
      </c>
      <c r="F1004" s="3">
        <f t="shared" ca="1" si="115"/>
        <v>5.2490179100076632E-2</v>
      </c>
      <c r="G1004" s="3">
        <f t="shared" ca="1" si="115"/>
        <v>4.6114272644081217E-2</v>
      </c>
      <c r="H1004" s="3">
        <f t="shared" ca="1" si="115"/>
        <v>4.0817696393095217E-2</v>
      </c>
      <c r="I1004" s="3">
        <f t="shared" ca="1" si="115"/>
        <v>3.583346835495782E-2</v>
      </c>
      <c r="J1004" s="3">
        <f t="shared" ca="1" si="115"/>
        <v>3.2973328774056843E-2</v>
      </c>
      <c r="K1004" s="3">
        <f t="shared" ca="1" si="115"/>
        <v>2.9478942455124751E-2</v>
      </c>
      <c r="L1004" s="3">
        <f t="shared" ca="1" si="115"/>
        <v>3.4249986363399439E-2</v>
      </c>
    </row>
    <row r="1005" spans="3:12">
      <c r="C1005" s="7">
        <v>999</v>
      </c>
      <c r="D1005" s="3">
        <f t="shared" si="111"/>
        <v>4.5199999999999997E-2</v>
      </c>
      <c r="E1005" s="3">
        <f t="shared" ca="1" si="115"/>
        <v>5.4147619083441442E-2</v>
      </c>
      <c r="F1005" s="3">
        <f t="shared" ca="1" si="115"/>
        <v>6.135566706319584E-2</v>
      </c>
      <c r="G1005" s="3">
        <f t="shared" ca="1" si="115"/>
        <v>6.4797741426502228E-2</v>
      </c>
      <c r="H1005" s="3">
        <f t="shared" ca="1" si="115"/>
        <v>6.9588559919734047E-2</v>
      </c>
      <c r="I1005" s="3">
        <f t="shared" ca="1" si="115"/>
        <v>6.4972932442333722E-2</v>
      </c>
      <c r="J1005" s="3">
        <f t="shared" ca="1" si="115"/>
        <v>6.0280151684023592E-2</v>
      </c>
      <c r="K1005" s="3">
        <f t="shared" ca="1" si="115"/>
        <v>6.178108367971475E-2</v>
      </c>
      <c r="L1005" s="3">
        <f t="shared" ca="1" si="115"/>
        <v>5.8995141207087765E-2</v>
      </c>
    </row>
    <row r="1006" spans="3:12">
      <c r="C1006" s="7">
        <v>1000</v>
      </c>
      <c r="D1006" s="3">
        <f t="shared" si="111"/>
        <v>4.5199999999999997E-2</v>
      </c>
      <c r="E1006" s="3">
        <f t="shared" ca="1" si="115"/>
        <v>4.8407075326179223E-2</v>
      </c>
      <c r="F1006" s="3">
        <f t="shared" ca="1" si="115"/>
        <v>5.3289345089610932E-2</v>
      </c>
      <c r="G1006" s="3">
        <f t="shared" ca="1" si="115"/>
        <v>5.7495316862566398E-2</v>
      </c>
      <c r="H1006" s="3">
        <f t="shared" ca="1" si="115"/>
        <v>6.201303718884188E-2</v>
      </c>
      <c r="I1006" s="3">
        <f t="shared" ca="1" si="115"/>
        <v>5.6652756885330703E-2</v>
      </c>
      <c r="J1006" s="3">
        <f t="shared" ca="1" si="115"/>
        <v>5.4859391933392253E-2</v>
      </c>
      <c r="K1006" s="3">
        <f t="shared" ca="1" si="115"/>
        <v>5.257122944646684E-2</v>
      </c>
      <c r="L1006" s="3">
        <f t="shared" ca="1" si="115"/>
        <v>5.1295894958335017E-2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9AE96-0C21-4C1F-866F-B9CAD69A666D}">
  <sheetPr codeName="Sheet3"/>
  <dimension ref="B3:BA1013"/>
  <sheetViews>
    <sheetView showGridLines="0" zoomScale="70" zoomScaleNormal="70" workbookViewId="0">
      <selection activeCell="M4" sqref="M4"/>
    </sheetView>
  </sheetViews>
  <sheetFormatPr defaultColWidth="8.85546875" defaultRowHeight="14.1"/>
  <cols>
    <col min="1" max="2" width="8.85546875" style="3"/>
    <col min="3" max="3" width="11.85546875" style="3" customWidth="1"/>
    <col min="4" max="6" width="8.85546875" style="3"/>
    <col min="7" max="7" width="17.5703125" style="3" customWidth="1"/>
    <col min="8" max="11" width="8.85546875" style="3"/>
    <col min="12" max="12" width="12.5703125" style="3" customWidth="1"/>
    <col min="13" max="18" width="8.85546875" style="3"/>
    <col min="19" max="19" width="12.85546875" style="3" customWidth="1"/>
    <col min="20" max="32" width="8.85546875" style="3"/>
    <col min="33" max="33" width="10.5703125" style="3" customWidth="1"/>
    <col min="34" max="43" width="8.85546875" style="3"/>
    <col min="44" max="44" width="10" style="3" customWidth="1"/>
    <col min="45" max="16384" width="8.85546875" style="3"/>
  </cols>
  <sheetData>
    <row r="3" spans="2:51" ht="17.45">
      <c r="B3" s="1" t="s">
        <v>76</v>
      </c>
      <c r="C3" s="2"/>
      <c r="D3" s="2"/>
      <c r="E3" s="2"/>
      <c r="F3" s="2"/>
      <c r="G3" s="2"/>
      <c r="H3" s="2"/>
      <c r="I3" s="2"/>
    </row>
    <row r="5" spans="2:51">
      <c r="AP5" s="32" t="s">
        <v>69</v>
      </c>
      <c r="AQ5" s="32"/>
      <c r="AR5" s="49">
        <f>'2. A(t,T) and B(t,T)'!G6</f>
        <v>8.1666666662503339E-6</v>
      </c>
      <c r="AS5" s="35">
        <f>'2. A(t,T) and B(t,T)'!H6</f>
        <v>3.8808333333350364E-3</v>
      </c>
      <c r="AT5" s="35">
        <f>'2. A(t,T) and B(t,T)'!I6</f>
        <v>-6.2833333336394931E-5</v>
      </c>
      <c r="AU5" s="35">
        <f>'2. A(t,T) and B(t,T)'!J6</f>
        <v>3.8098333333366104E-3</v>
      </c>
      <c r="AV5" s="35">
        <f>'2. A(t,T) and B(t,T)'!K6</f>
        <v>-1.3383333333602532E-4</v>
      </c>
      <c r="AW5" s="35">
        <f>'2. A(t,T) and B(t,T)'!L6</f>
        <v>3.7388333333360779E-3</v>
      </c>
      <c r="AX5" s="35">
        <f>'2. A(t,T) and B(t,T)'!M6</f>
        <v>-2.0483333333631837E-4</v>
      </c>
      <c r="AY5" s="35">
        <f>'2. A(t,T) and B(t,T)'!N6</f>
        <v>3.6678333333357016E-3</v>
      </c>
    </row>
    <row r="6" spans="2:51">
      <c r="B6" s="40" t="s">
        <v>77</v>
      </c>
      <c r="F6" s="40" t="s">
        <v>78</v>
      </c>
      <c r="K6" s="40" t="s">
        <v>79</v>
      </c>
      <c r="Q6" s="40" t="s">
        <v>80</v>
      </c>
      <c r="X6" s="40" t="s">
        <v>81</v>
      </c>
      <c r="AF6" s="40" t="s">
        <v>82</v>
      </c>
      <c r="AP6" s="32" t="s">
        <v>70</v>
      </c>
      <c r="AQ6" s="7">
        <v>0</v>
      </c>
      <c r="AR6" s="7">
        <v>0.5</v>
      </c>
      <c r="AS6" s="7">
        <v>1</v>
      </c>
      <c r="AT6" s="7">
        <v>1.5</v>
      </c>
      <c r="AU6" s="7">
        <v>2</v>
      </c>
      <c r="AV6" s="7">
        <v>2.5</v>
      </c>
      <c r="AW6" s="7">
        <v>3</v>
      </c>
      <c r="AX6" s="7">
        <v>3.5</v>
      </c>
      <c r="AY6" s="7">
        <v>4</v>
      </c>
    </row>
    <row r="7" spans="2:51">
      <c r="B7" s="7" t="s">
        <v>73</v>
      </c>
      <c r="F7" s="7" t="s">
        <v>73</v>
      </c>
      <c r="K7" s="7" t="s">
        <v>73</v>
      </c>
      <c r="Q7" s="7" t="s">
        <v>73</v>
      </c>
      <c r="X7" s="7" t="s">
        <v>73</v>
      </c>
      <c r="AF7" s="7" t="s">
        <v>73</v>
      </c>
      <c r="AP7" s="7">
        <v>0</v>
      </c>
      <c r="AQ7" s="34" t="str">
        <f>IF('2. A(t,T) and B(t,T)'!F8="","",'2. A(t,T) and B(t,T)'!F8)</f>
        <v/>
      </c>
      <c r="AR7" s="52">
        <f>IF('2. A(t,T) and B(t,T)'!G8="","",'2. A(t,T) and B(t,T)'!G8)</f>
        <v>1</v>
      </c>
      <c r="AS7" s="37">
        <f>IF('2. A(t,T) and B(t,T)'!H8="","",'2. A(t,T) and B(t,T)'!H8)</f>
        <v>0.99952011518157013</v>
      </c>
      <c r="AT7" s="37">
        <f>IF('2. A(t,T) and B(t,T)'!I8="","",'2. A(t,T) and B(t,T)'!I8)</f>
        <v>0.99857601483039837</v>
      </c>
      <c r="AU7" s="37">
        <f>IF('2. A(t,T) and B(t,T)'!J8="","",'2. A(t,T) and B(t,T)'!J8)</f>
        <v>0.99718397246500556</v>
      </c>
      <c r="AV7" s="37">
        <f>IF('2. A(t,T) and B(t,T)'!K8="","",'2. A(t,T) and B(t,T)'!K8)</f>
        <v>0.99536079451202497</v>
      </c>
      <c r="AW7" s="37">
        <f>IF('2. A(t,T) and B(t,T)'!L8="","",'2. A(t,T) and B(t,T)'!L8)</f>
        <v>0.99312375034281608</v>
      </c>
      <c r="AX7" s="34">
        <f>IF('2. A(t,T) and B(t,T)'!M8="","",'2. A(t,T) and B(t,T)'!M8)</f>
        <v>0.99049050396703786</v>
      </c>
      <c r="AY7" s="34">
        <f>IF('2. A(t,T) and B(t,T)'!N8="","",'2. A(t,T) and B(t,T)'!N8)</f>
        <v>0.98747904765155647</v>
      </c>
    </row>
    <row r="8" spans="2:51">
      <c r="B8" s="34" t="s">
        <v>74</v>
      </c>
      <c r="C8" s="41">
        <v>0</v>
      </c>
      <c r="D8" s="41">
        <v>0.5</v>
      </c>
      <c r="E8" s="7"/>
      <c r="F8" s="34" t="s">
        <v>74</v>
      </c>
      <c r="G8" s="41">
        <v>0</v>
      </c>
      <c r="H8" s="41">
        <v>0.5</v>
      </c>
      <c r="I8" s="41">
        <v>1</v>
      </c>
      <c r="J8" s="7"/>
      <c r="K8" s="34" t="s">
        <v>74</v>
      </c>
      <c r="L8" s="41">
        <v>0</v>
      </c>
      <c r="M8" s="41">
        <v>0.5</v>
      </c>
      <c r="N8" s="41">
        <v>1</v>
      </c>
      <c r="O8" s="41">
        <v>1.5</v>
      </c>
      <c r="P8" s="7"/>
      <c r="Q8" s="34" t="s">
        <v>74</v>
      </c>
      <c r="R8" s="41">
        <v>0</v>
      </c>
      <c r="S8" s="41">
        <v>0.5</v>
      </c>
      <c r="T8" s="41">
        <v>1</v>
      </c>
      <c r="U8" s="41">
        <v>1.5</v>
      </c>
      <c r="V8" s="41">
        <v>2</v>
      </c>
      <c r="W8" s="7"/>
      <c r="X8" s="34" t="s">
        <v>74</v>
      </c>
      <c r="Y8" s="41">
        <v>0</v>
      </c>
      <c r="Z8" s="41">
        <v>0.5</v>
      </c>
      <c r="AA8" s="41">
        <v>1</v>
      </c>
      <c r="AB8" s="41">
        <v>1.5</v>
      </c>
      <c r="AC8" s="41">
        <v>2</v>
      </c>
      <c r="AD8" s="41">
        <v>2.5</v>
      </c>
      <c r="AF8" s="34" t="s">
        <v>74</v>
      </c>
      <c r="AG8" s="41">
        <v>0</v>
      </c>
      <c r="AH8" s="41">
        <v>0.5</v>
      </c>
      <c r="AI8" s="41">
        <v>1</v>
      </c>
      <c r="AJ8" s="41">
        <v>1.5</v>
      </c>
      <c r="AK8" s="41">
        <v>2</v>
      </c>
      <c r="AL8" s="41">
        <v>2.5</v>
      </c>
      <c r="AM8" s="41">
        <v>3</v>
      </c>
      <c r="AO8" s="32"/>
      <c r="AP8" s="7">
        <v>0.5</v>
      </c>
      <c r="AQ8" s="34" t="str">
        <f>IF('2. A(t,T) and B(t,T)'!F9="","",'2. A(t,T) and B(t,T)'!F9)</f>
        <v/>
      </c>
      <c r="AR8" s="34" t="str">
        <f>IF('2. A(t,T) and B(t,T)'!G9="","",'2. A(t,T) and B(t,T)'!G9)</f>
        <v/>
      </c>
      <c r="AS8" s="37">
        <f>IF('2. A(t,T) and B(t,T)'!H9="","",'2. A(t,T) and B(t,T)'!H9)</f>
        <v>0.9995160338160991</v>
      </c>
      <c r="AT8" s="37">
        <f>IF('2. A(t,T) and B(t,T)'!I9="","",'2. A(t,T) and B(t,T)'!I9)</f>
        <v>0.9985617436168327</v>
      </c>
      <c r="AU8" s="37">
        <f>IF('2. A(t,T) and B(t,T)'!J9="","",'2. A(t,T) and B(t,T)'!J9)</f>
        <v>0.99715343417346847</v>
      </c>
      <c r="AV8" s="37">
        <f>IF('2. A(t,T) and B(t,T)'!K9="","",'2. A(t,T) and B(t,T)'!K9)</f>
        <v>0.99530795884554146</v>
      </c>
      <c r="AW8" s="37">
        <f>IF('2. A(t,T) and B(t,T)'!L9="","",'2. A(t,T) and B(t,T)'!L9)</f>
        <v>0.9930426485482392</v>
      </c>
      <c r="AX8" s="34">
        <f>IF('2. A(t,T) and B(t,T)'!M9="","",'2. A(t,T) and B(t,T)'!M9)</f>
        <v>0.99037524234155394</v>
      </c>
      <c r="AY8" s="34">
        <f>IF('2. A(t,T) and B(t,T)'!N9="","",'2. A(t,T) and B(t,T)'!N9)</f>
        <v>0.98732381991813911</v>
      </c>
    </row>
    <row r="9" spans="2:51">
      <c r="B9" s="7">
        <v>1</v>
      </c>
      <c r="C9" s="7">
        <f>$AR$7*EXP(-'3.r(t)'!D7*$AR$21)</f>
        <v>0.97765346695821032</v>
      </c>
      <c r="D9" s="7">
        <v>1</v>
      </c>
      <c r="E9" s="7"/>
      <c r="F9" s="7">
        <v>1</v>
      </c>
      <c r="G9" s="48">
        <f>$AS$7*EXP(-'3.r(t)'!D7*$AS$21)</f>
        <v>0.9553476245219803</v>
      </c>
      <c r="H9" s="7">
        <f ca="1">$AS$8*EXP(-'3.r(t)'!E7*$AS$22)</f>
        <v>0.97509624842881282</v>
      </c>
      <c r="I9" s="7">
        <v>1</v>
      </c>
      <c r="J9" s="7"/>
      <c r="K9" s="7">
        <v>1</v>
      </c>
      <c r="L9" s="7">
        <f>$AT$7*EXP(-'3.r(t)'!D7*$AT$21)</f>
        <v>0.93311670519824419</v>
      </c>
      <c r="M9" s="7">
        <f ca="1">$AT$8*EXP(-'3.r(t)'!E7*$AT$22)</f>
        <v>0.95036484757366257</v>
      </c>
      <c r="N9" s="7">
        <f ca="1">$AT$9*EXP(-'3.r(t)'!F7*$AT$23)</f>
        <v>0.9765588735881745</v>
      </c>
      <c r="O9" s="7">
        <v>1</v>
      </c>
      <c r="P9" s="7"/>
      <c r="Q9" s="7">
        <v>1</v>
      </c>
      <c r="R9" s="7">
        <f>$AU$7*EXP(-'3.r(t)'!D7*$AU$21)</f>
        <v>0.91099305977534117</v>
      </c>
      <c r="S9" s="7">
        <f ca="1">$AU$8*EXP(-'3.r(t)'!E7*$AU$22)</f>
        <v>0.92583831579188403</v>
      </c>
      <c r="T9" s="7">
        <f ca="1">$AU$9*EXP(-'3.r(t)'!F7*$AU$23)</f>
        <v>0.9532265027768354</v>
      </c>
      <c r="U9" s="7">
        <f ca="1">$AU$10*EXP(-'3.r(t)'!G7*$AU$24)</f>
        <v>0.97330866040921071</v>
      </c>
      <c r="V9" s="7">
        <v>1</v>
      </c>
      <c r="W9" s="7"/>
      <c r="X9" s="7">
        <v>1</v>
      </c>
      <c r="Y9" s="7">
        <f>$AV$7*EXP(-'3.r(t)'!D7*$AV$21)</f>
        <v>0.88900715067201674</v>
      </c>
      <c r="Z9" s="7">
        <f ca="1">$AV$8*EXP(-'3.r(t)'!E7*$AV$22)</f>
        <v>0.90154696960977743</v>
      </c>
      <c r="AA9" s="7">
        <f ca="1">$AV$9*EXP(-'3.r(t)'!F7*$AV$23)</f>
        <v>0.93003554772067853</v>
      </c>
      <c r="AB9" s="7">
        <f ca="1">$AV$10*EXP(-'3.r(t)'!G7*$AV$24)</f>
        <v>0.94690035014945628</v>
      </c>
      <c r="AC9" s="7">
        <f ca="1">$AV$11*EXP(-'3.r(t)'!H7*$AV$25)</f>
        <v>0.97316320638193154</v>
      </c>
      <c r="AD9" s="7">
        <v>1</v>
      </c>
      <c r="AF9" s="7">
        <v>1</v>
      </c>
      <c r="AG9" s="7">
        <f>$AW$7*EXP(-'3.r(t)'!D7*$AW$21)</f>
        <v>0.86718755429225491</v>
      </c>
      <c r="AH9" s="7">
        <f ca="1">$AW$8*EXP(-'3.r(t)'!E7*$AW$22)</f>
        <v>0.87751894634757743</v>
      </c>
      <c r="AI9" s="7">
        <f ca="1">$AW$9*EXP(-'3.r(t)'!F7*$AW$23)</f>
        <v>0.90701666046171259</v>
      </c>
      <c r="AJ9" s="7">
        <f ca="1">$AW$10*EXP(-'3.r(t)'!G7*$AW$24)</f>
        <v>0.92080481741988074</v>
      </c>
      <c r="AK9" s="7">
        <f ca="1">$AW$11*EXP(-'3.r(t)'!H7*$AW$25)</f>
        <v>0.94662575757518541</v>
      </c>
      <c r="AL9" s="7">
        <f ca="1">$AW$12*EXP(-'3.r(t)'!I7*$AW$26)</f>
        <v>0.97492933399685422</v>
      </c>
      <c r="AM9" s="7">
        <v>1</v>
      </c>
      <c r="AP9" s="7">
        <v>1</v>
      </c>
      <c r="AQ9" s="34" t="str">
        <f>IF('2. A(t,T) and B(t,T)'!F10="","",'2. A(t,T) and B(t,T)'!F10)</f>
        <v/>
      </c>
      <c r="AR9" s="34" t="str">
        <f>IF('2. A(t,T) and B(t,T)'!G10="","",'2. A(t,T) and B(t,T)'!G10)</f>
        <v/>
      </c>
      <c r="AS9" s="34" t="str">
        <f>IF('2. A(t,T) and B(t,T)'!H10="","",'2. A(t,T) and B(t,T)'!H10)</f>
        <v/>
      </c>
      <c r="AT9" s="37">
        <f>IF('2. A(t,T) and B(t,T)'!I10="","",'2. A(t,T) and B(t,T)'!I10)</f>
        <v>1.0000088750393834</v>
      </c>
      <c r="AU9" s="37">
        <f>IF('2. A(t,T) and B(t,T)'!J10="","",'2. A(t,T) and B(t,T)'!J10)</f>
        <v>0.99955559877548994</v>
      </c>
      <c r="AV9" s="37">
        <f>IF('2. A(t,T) and B(t,T)'!K10="","",'2. A(t,T) and B(t,T)'!K10)</f>
        <v>0.99865577927513405</v>
      </c>
      <c r="AW9" s="37">
        <f>IF('2. A(t,T) and B(t,T)'!L10="","",'2. A(t,T) and B(t,T)'!L10)</f>
        <v>0.99732558264318161</v>
      </c>
      <c r="AX9" s="34">
        <f>IF('2. A(t,T) and B(t,T)'!M10="","",'2. A(t,T) and B(t,T)'!M10)</f>
        <v>0.99558166469018816</v>
      </c>
      <c r="AY9" s="34">
        <f>IF('2. A(t,T) and B(t,T)'!N10="","",'2. A(t,T) and B(t,T)'!N10)</f>
        <v>0.99344110407561181</v>
      </c>
    </row>
    <row r="10" spans="2:51">
      <c r="B10" s="7">
        <v>2</v>
      </c>
      <c r="C10" s="7">
        <f>$AR$7*EXP(-'3.r(t)'!D8*$AR$21)</f>
        <v>0.97765346695821032</v>
      </c>
      <c r="D10" s="7">
        <v>1</v>
      </c>
      <c r="E10" s="7"/>
      <c r="F10" s="7">
        <v>2</v>
      </c>
      <c r="G10" s="48">
        <f>$AS$7*EXP(-'3.r(t)'!D8*$AS$21)</f>
        <v>0.9553476245219803</v>
      </c>
      <c r="H10" s="7">
        <f ca="1">$AS$8*EXP(-'3.r(t)'!E8*$AS$22)</f>
        <v>0.98028868305013239</v>
      </c>
      <c r="I10" s="7">
        <v>1</v>
      </c>
      <c r="J10" s="7"/>
      <c r="K10" s="7">
        <v>2</v>
      </c>
      <c r="L10" s="7">
        <f>$AT$7*EXP(-'3.r(t)'!D8*$AT$21)</f>
        <v>0.93311670519824419</v>
      </c>
      <c r="M10" s="7">
        <f ca="1">$AT$8*EXP(-'3.r(t)'!E8*$AT$22)</f>
        <v>0.96051327368618533</v>
      </c>
      <c r="N10" s="7">
        <f ca="1">$AT$9*EXP(-'3.r(t)'!F8*$AT$23)</f>
        <v>0.98533574178649919</v>
      </c>
      <c r="O10" s="7">
        <v>1</v>
      </c>
      <c r="P10" s="7"/>
      <c r="Q10" s="7">
        <v>2</v>
      </c>
      <c r="R10" s="7">
        <f>$AU$7*EXP(-'3.r(t)'!D8*$AU$21)</f>
        <v>0.91099305977534117</v>
      </c>
      <c r="S10" s="7">
        <f ca="1">$AU$8*EXP(-'3.r(t)'!E8*$AU$22)</f>
        <v>0.94070761644492329</v>
      </c>
      <c r="T10" s="7">
        <f ca="1">$AU$9*EXP(-'3.r(t)'!F8*$AU$23)</f>
        <v>0.97043783545735074</v>
      </c>
      <c r="U10" s="7">
        <f ca="1">$AU$10*EXP(-'3.r(t)'!G8*$AU$24)</f>
        <v>0.98744726663321336</v>
      </c>
      <c r="V10" s="7">
        <v>1</v>
      </c>
      <c r="W10" s="7"/>
      <c r="X10" s="7">
        <v>2</v>
      </c>
      <c r="Y10" s="7">
        <f>$AV$7*EXP(-'3.r(t)'!D8*$AV$21)</f>
        <v>0.88900715067201674</v>
      </c>
      <c r="Z10" s="7">
        <f ca="1">$AV$8*EXP(-'3.r(t)'!E8*$AV$22)</f>
        <v>0.92090402584682518</v>
      </c>
      <c r="AA10" s="7">
        <f ca="1">$AV$9*EXP(-'3.r(t)'!F8*$AV$23)</f>
        <v>0.95533780947745739</v>
      </c>
      <c r="AB10" s="7">
        <f ca="1">$AV$10*EXP(-'3.r(t)'!G8*$AV$24)</f>
        <v>0.97461014032887727</v>
      </c>
      <c r="AC10" s="7">
        <f ca="1">$AV$11*EXP(-'3.r(t)'!H8*$AV$25)</f>
        <v>0.98661195442790783</v>
      </c>
      <c r="AD10" s="7">
        <v>1</v>
      </c>
      <c r="AF10" s="7">
        <v>2</v>
      </c>
      <c r="AG10" s="7">
        <f>$AW$7*EXP(-'3.r(t)'!D8*$AW$21)</f>
        <v>0.86718755429225491</v>
      </c>
      <c r="AH10" s="7">
        <f ca="1">$AW$8*EXP(-'3.r(t)'!E8*$AW$22)</f>
        <v>0.90113325928258992</v>
      </c>
      <c r="AI10" s="7">
        <f ca="1">$AW$9*EXP(-'3.r(t)'!F8*$AW$23)</f>
        <v>0.94006630861256302</v>
      </c>
      <c r="AJ10" s="7">
        <f ca="1">$AW$10*EXP(-'3.r(t)'!G8*$AW$24)</f>
        <v>0.96151830273227346</v>
      </c>
      <c r="AK10" s="7">
        <f ca="1">$AW$11*EXP(-'3.r(t)'!H8*$AW$25)</f>
        <v>0.97297056706886687</v>
      </c>
      <c r="AL10" s="7">
        <f ca="1">$AW$12*EXP(-'3.r(t)'!I8*$AW$26)</f>
        <v>0.98385635064545873</v>
      </c>
      <c r="AM10" s="7">
        <v>1</v>
      </c>
      <c r="AP10" s="7">
        <v>1.5</v>
      </c>
      <c r="AQ10" s="34" t="str">
        <f>IF('2. A(t,T) and B(t,T)'!F11="","",'2. A(t,T) and B(t,T)'!F11)</f>
        <v/>
      </c>
      <c r="AR10" s="34" t="str">
        <f>IF('2. A(t,T) and B(t,T)'!G11="","",'2. A(t,T) and B(t,T)'!G11)</f>
        <v/>
      </c>
      <c r="AS10" s="34" t="str">
        <f>IF('2. A(t,T) and B(t,T)'!H11="","",'2. A(t,T) and B(t,T)'!H11)</f>
        <v/>
      </c>
      <c r="AT10" s="34" t="str">
        <f>IF('2. A(t,T) and B(t,T)'!I11="","",'2. A(t,T) and B(t,T)'!I11)</f>
        <v/>
      </c>
      <c r="AU10" s="37">
        <f>IF('2. A(t,T) and B(t,T)'!J11="","",'2. A(t,T) and B(t,T)'!J11)</f>
        <v>0.99952490456026288</v>
      </c>
      <c r="AV10" s="37">
        <f>IF('2. A(t,T) and B(t,T)'!K11="","",'2. A(t,T) and B(t,T)'!K11)</f>
        <v>0.9985971931879567</v>
      </c>
      <c r="AW10" s="37">
        <f>IF('2. A(t,T) and B(t,T)'!L11="","",'2. A(t,T) and B(t,T)'!L11)</f>
        <v>0.99723308498503394</v>
      </c>
      <c r="AX10" s="34">
        <f>IF('2. A(t,T) and B(t,T)'!M11="","",'2. A(t,T) and B(t,T)'!M11)</f>
        <v>0.99544930261086606</v>
      </c>
      <c r="AY10" s="34">
        <f>IF('2. A(t,T) and B(t,T)'!N11="","",'2. A(t,T) and B(t,T)'!N11)</f>
        <v>0.99326300433069992</v>
      </c>
    </row>
    <row r="11" spans="2:51">
      <c r="B11" s="7">
        <v>3</v>
      </c>
      <c r="C11" s="7">
        <f>$AR$7*EXP(-'3.r(t)'!D9*$AR$21)</f>
        <v>0.97765346695821032</v>
      </c>
      <c r="D11" s="7">
        <v>1</v>
      </c>
      <c r="E11" s="7"/>
      <c r="F11" s="7">
        <v>3</v>
      </c>
      <c r="G11" s="48">
        <f>$AS$7*EXP(-'3.r(t)'!D9*$AS$21)</f>
        <v>0.9553476245219803</v>
      </c>
      <c r="H11" s="7">
        <f ca="1">$AS$8*EXP(-'3.r(t)'!E9*$AS$22)</f>
        <v>0.98239552451948375</v>
      </c>
      <c r="I11" s="7">
        <v>1</v>
      </c>
      <c r="J11" s="7"/>
      <c r="K11" s="7">
        <v>3</v>
      </c>
      <c r="L11" s="7">
        <f>$AT$7*EXP(-'3.r(t)'!D9*$AT$21)</f>
        <v>0.93311670519824419</v>
      </c>
      <c r="M11" s="7">
        <f ca="1">$AT$8*EXP(-'3.r(t)'!E9*$AT$22)</f>
        <v>0.96464639049251588</v>
      </c>
      <c r="N11" s="7">
        <f ca="1">$AT$9*EXP(-'3.r(t)'!F9*$AT$23)</f>
        <v>0.97958367073255681</v>
      </c>
      <c r="O11" s="7">
        <v>1</v>
      </c>
      <c r="P11" s="7"/>
      <c r="Q11" s="7">
        <v>3</v>
      </c>
      <c r="R11" s="7">
        <f>$AU$7*EXP(-'3.r(t)'!D9*$AU$21)</f>
        <v>0.91099305977534117</v>
      </c>
      <c r="S11" s="7">
        <f ca="1">$AU$8*EXP(-'3.r(t)'!E9*$AU$22)</f>
        <v>0.94678598231601463</v>
      </c>
      <c r="T11" s="7">
        <f ca="1">$AU$9*EXP(-'3.r(t)'!F9*$AU$23)</f>
        <v>0.95914070268803642</v>
      </c>
      <c r="U11" s="7">
        <f ca="1">$AU$10*EXP(-'3.r(t)'!G9*$AU$24)</f>
        <v>0.98145678530193647</v>
      </c>
      <c r="V11" s="7">
        <v>1</v>
      </c>
      <c r="W11" s="7"/>
      <c r="X11" s="7">
        <v>3</v>
      </c>
      <c r="Y11" s="7">
        <f>$AV$7*EXP(-'3.r(t)'!D9*$AV$21)</f>
        <v>0.88900715067201674</v>
      </c>
      <c r="Z11" s="7">
        <f ca="1">$AV$8*EXP(-'3.r(t)'!E9*$AV$22)</f>
        <v>0.92884643146328061</v>
      </c>
      <c r="AA11" s="7">
        <f ca="1">$AV$9*EXP(-'3.r(t)'!F9*$AV$23)</f>
        <v>0.93870443024753492</v>
      </c>
      <c r="AB11" s="7">
        <f ca="1">$AV$10*EXP(-'3.r(t)'!G9*$AV$24)</f>
        <v>0.96282080356506516</v>
      </c>
      <c r="AC11" s="7">
        <f ca="1">$AV$11*EXP(-'3.r(t)'!H9*$AV$25)</f>
        <v>0.98397675299362808</v>
      </c>
      <c r="AD11" s="7">
        <v>1</v>
      </c>
      <c r="AF11" s="7">
        <v>3</v>
      </c>
      <c r="AG11" s="7">
        <f>$AW$7*EXP(-'3.r(t)'!D9*$AW$21)</f>
        <v>0.86718755429225491</v>
      </c>
      <c r="AH11" s="7">
        <f ca="1">$AW$8*EXP(-'3.r(t)'!E9*$AW$22)</f>
        <v>0.91085857405944659</v>
      </c>
      <c r="AI11" s="7">
        <f ca="1">$AW$9*EXP(-'3.r(t)'!F9*$AW$23)</f>
        <v>0.9183065666986292</v>
      </c>
      <c r="AJ11" s="7">
        <f ca="1">$AW$10*EXP(-'3.r(t)'!G9*$AW$24)</f>
        <v>0.94412471197277203</v>
      </c>
      <c r="AK11" s="7">
        <f ca="1">$AW$11*EXP(-'3.r(t)'!H9*$AW$25)</f>
        <v>0.96777997661100779</v>
      </c>
      <c r="AL11" s="7">
        <f ca="1">$AW$12*EXP(-'3.r(t)'!I9*$AW$26)</f>
        <v>0.98568954125011909</v>
      </c>
      <c r="AM11" s="7">
        <v>1</v>
      </c>
      <c r="AP11" s="7">
        <v>2</v>
      </c>
      <c r="AQ11" s="34" t="str">
        <f>IF('2. A(t,T) and B(t,T)'!F12="","",'2. A(t,T) and B(t,T)'!F12)</f>
        <v/>
      </c>
      <c r="AR11" s="34" t="str">
        <f>IF('2. A(t,T) and B(t,T)'!G12="","",'2. A(t,T) and B(t,T)'!G12)</f>
        <v/>
      </c>
      <c r="AS11" s="34" t="str">
        <f>IF('2. A(t,T) and B(t,T)'!H12="","",'2. A(t,T) and B(t,T)'!H12)</f>
        <v/>
      </c>
      <c r="AT11" s="34" t="str">
        <f>IF('2. A(t,T) and B(t,T)'!I12="","",'2. A(t,T) and B(t,T)'!I12)</f>
        <v/>
      </c>
      <c r="AU11" s="34" t="str">
        <f>IF('2. A(t,T) and B(t,T)'!J12="","",'2. A(t,T) and B(t,T)'!J12)</f>
        <v/>
      </c>
      <c r="AV11" s="37">
        <f>IF('2. A(t,T) and B(t,T)'!K12="","",'2. A(t,T) and B(t,T)'!K12)</f>
        <v>1.0000177501575325</v>
      </c>
      <c r="AW11" s="37">
        <f>IF('2. A(t,T) and B(t,T)'!L12="","",'2. A(t,T) and B(t,T)'!L12)</f>
        <v>0.99959108362909888</v>
      </c>
      <c r="AX11" s="34">
        <f>IF('2. A(t,T) and B(t,T)'!M12="","",'2. A(t,T) and B(t,T)'!M12)</f>
        <v>0.99873555009130821</v>
      </c>
      <c r="AY11" s="34">
        <f>IF('2. A(t,T) and B(t,T)'!N12="","",'2. A(t,T) and B(t,T)'!N12)</f>
        <v>0.99746721293142959</v>
      </c>
    </row>
    <row r="12" spans="2:51">
      <c r="B12" s="7">
        <v>4</v>
      </c>
      <c r="C12" s="7">
        <f>$AR$7*EXP(-'3.r(t)'!D10*$AR$21)</f>
        <v>0.97765346695821032</v>
      </c>
      <c r="D12" s="7">
        <v>1</v>
      </c>
      <c r="E12" s="7"/>
      <c r="F12" s="7">
        <v>4</v>
      </c>
      <c r="G12" s="48">
        <f>$AS$7*EXP(-'3.r(t)'!D10*$AS$21)</f>
        <v>0.9553476245219803</v>
      </c>
      <c r="H12" s="7">
        <f ca="1">$AS$8*EXP(-'3.r(t)'!E10*$AS$22)</f>
        <v>0.97712511663106316</v>
      </c>
      <c r="I12" s="7">
        <v>1</v>
      </c>
      <c r="J12" s="7"/>
      <c r="K12" s="7">
        <v>4</v>
      </c>
      <c r="L12" s="7">
        <f>$AT$7*EXP(-'3.r(t)'!D10*$AT$21)</f>
        <v>0.93311670519824419</v>
      </c>
      <c r="M12" s="7">
        <f ca="1">$AT$8*EXP(-'3.r(t)'!E10*$AT$22)</f>
        <v>0.95432378183265443</v>
      </c>
      <c r="N12" s="7">
        <f ca="1">$AT$9*EXP(-'3.r(t)'!F10*$AT$23)</f>
        <v>0.97558051083266895</v>
      </c>
      <c r="O12" s="7">
        <v>1</v>
      </c>
      <c r="P12" s="7"/>
      <c r="Q12" s="7">
        <v>4</v>
      </c>
      <c r="R12" s="7">
        <f>$AU$7*EXP(-'3.r(t)'!D10*$AU$21)</f>
        <v>0.91099305977534117</v>
      </c>
      <c r="S12" s="7">
        <f ca="1">$AU$8*EXP(-'3.r(t)'!E10*$AU$22)</f>
        <v>0.93162948256145695</v>
      </c>
      <c r="T12" s="7">
        <f ca="1">$AU$9*EXP(-'3.r(t)'!F10*$AU$23)</f>
        <v>0.95131748495703594</v>
      </c>
      <c r="U12" s="7">
        <f ca="1">$AU$10*EXP(-'3.r(t)'!G10*$AU$24)</f>
        <v>0.97934220018435381</v>
      </c>
      <c r="V12" s="7">
        <v>1</v>
      </c>
      <c r="W12" s="7"/>
      <c r="X12" s="7">
        <v>4</v>
      </c>
      <c r="Y12" s="7">
        <f>$AV$7*EXP(-'3.r(t)'!D10*$AV$21)</f>
        <v>0.88900715067201674</v>
      </c>
      <c r="Z12" s="7">
        <f ca="1">$AV$8*EXP(-'3.r(t)'!E10*$AV$22)</f>
        <v>0.90907376151040786</v>
      </c>
      <c r="AA12" s="7">
        <f ca="1">$AV$9*EXP(-'3.r(t)'!F10*$AV$23)</f>
        <v>0.92724308673154032</v>
      </c>
      <c r="AB12" s="7">
        <f ca="1">$AV$10*EXP(-'3.r(t)'!G10*$AV$24)</f>
        <v>0.95867640660375952</v>
      </c>
      <c r="AC12" s="7">
        <f ca="1">$AV$11*EXP(-'3.r(t)'!H10*$AV$25)</f>
        <v>0.97309613894706748</v>
      </c>
      <c r="AD12" s="7">
        <v>1</v>
      </c>
      <c r="AF12" s="7">
        <v>4</v>
      </c>
      <c r="AG12" s="7">
        <f>$AW$7*EXP(-'3.r(t)'!D10*$AW$21)</f>
        <v>0.86718755429225491</v>
      </c>
      <c r="AH12" s="7">
        <f ca="1">$AW$8*EXP(-'3.r(t)'!E10*$AW$22)</f>
        <v>0.88668621830209637</v>
      </c>
      <c r="AI12" s="7">
        <f ca="1">$AW$9*EXP(-'3.r(t)'!F10*$AW$23)</f>
        <v>0.90338735069701159</v>
      </c>
      <c r="AJ12" s="7">
        <f ca="1">$AW$10*EXP(-'3.r(t)'!G10*$AW$24)</f>
        <v>0.93803539516228474</v>
      </c>
      <c r="AK12" s="7">
        <f ca="1">$AW$11*EXP(-'3.r(t)'!H10*$AW$25)</f>
        <v>0.94649528496128188</v>
      </c>
      <c r="AL12" s="7">
        <f ca="1">$AW$12*EXP(-'3.r(t)'!I10*$AW$26)</f>
        <v>0.97353580915659421</v>
      </c>
      <c r="AM12" s="7">
        <v>1</v>
      </c>
      <c r="AP12" s="7">
        <v>2.5</v>
      </c>
      <c r="AQ12" s="34" t="str">
        <f>IF('2. A(t,T) and B(t,T)'!F13="","",'2. A(t,T) and B(t,T)'!F13)</f>
        <v/>
      </c>
      <c r="AR12" s="34" t="str">
        <f>IF('2. A(t,T) and B(t,T)'!G13="","",'2. A(t,T) and B(t,T)'!G13)</f>
        <v/>
      </c>
      <c r="AS12" s="34" t="str">
        <f>IF('2. A(t,T) and B(t,T)'!H13="","",'2. A(t,T) and B(t,T)'!H13)</f>
        <v/>
      </c>
      <c r="AT12" s="34" t="str">
        <f>IF('2. A(t,T) and B(t,T)'!I13="","",'2. A(t,T) and B(t,T)'!I13)</f>
        <v/>
      </c>
      <c r="AU12" s="34" t="str">
        <f>IF('2. A(t,T) and B(t,T)'!J13="","",'2. A(t,T) and B(t,T)'!J13)</f>
        <v/>
      </c>
      <c r="AV12" s="34" t="str">
        <f>IF('2. A(t,T) and B(t,T)'!K13="","",'2. A(t,T) and B(t,T)'!K13)</f>
        <v/>
      </c>
      <c r="AW12" s="37">
        <f>IF('2. A(t,T) and B(t,T)'!L13="","",'2. A(t,T) and B(t,T)'!L13)</f>
        <v>0.99953377538315513</v>
      </c>
      <c r="AX12" s="34">
        <f>IF('2. A(t,T) and B(t,T)'!M13="","",'2. A(t,T) and B(t,T)'!M13)</f>
        <v>0.99863264401756358</v>
      </c>
      <c r="AY12" s="34">
        <f>IF('2. A(t,T) and B(t,T)'!N13="","",'2. A(t,T) and B(t,T)'!N13)</f>
        <v>0.99731274215896359</v>
      </c>
    </row>
    <row r="13" spans="2:51">
      <c r="B13" s="7">
        <v>5</v>
      </c>
      <c r="C13" s="7">
        <f>$AR$7*EXP(-'3.r(t)'!D11*$AR$21)</f>
        <v>0.97765346695821032</v>
      </c>
      <c r="D13" s="7">
        <v>1</v>
      </c>
      <c r="E13" s="7"/>
      <c r="F13" s="7">
        <v>5</v>
      </c>
      <c r="G13" s="48">
        <f>$AS$7*EXP(-'3.r(t)'!D11*$AS$21)</f>
        <v>0.9553476245219803</v>
      </c>
      <c r="H13" s="7">
        <f ca="1">$AS$8*EXP(-'3.r(t)'!E11*$AS$22)</f>
        <v>0.97481381726464678</v>
      </c>
      <c r="I13" s="7">
        <v>1</v>
      </c>
      <c r="J13" s="7"/>
      <c r="K13" s="7">
        <v>5</v>
      </c>
      <c r="L13" s="7">
        <f>$AT$7*EXP(-'3.r(t)'!D11*$AT$21)</f>
        <v>0.93311670519824419</v>
      </c>
      <c r="M13" s="7">
        <f ca="1">$AT$8*EXP(-'3.r(t)'!E11*$AT$22)</f>
        <v>0.94981439159845982</v>
      </c>
      <c r="N13" s="7">
        <f ca="1">$AT$9*EXP(-'3.r(t)'!F11*$AT$23)</f>
        <v>0.97151631029227248</v>
      </c>
      <c r="O13" s="7">
        <v>1</v>
      </c>
      <c r="P13" s="7"/>
      <c r="Q13" s="7">
        <v>5</v>
      </c>
      <c r="R13" s="7">
        <f>$AU$7*EXP(-'3.r(t)'!D11*$AU$21)</f>
        <v>0.91099305977534117</v>
      </c>
      <c r="S13" s="7">
        <f ca="1">$AU$8*EXP(-'3.r(t)'!E11*$AU$22)</f>
        <v>0.92503405714586184</v>
      </c>
      <c r="T13" s="7">
        <f ca="1">$AU$9*EXP(-'3.r(t)'!F11*$AU$23)</f>
        <v>0.94340775012452882</v>
      </c>
      <c r="U13" s="7">
        <f ca="1">$AU$10*EXP(-'3.r(t)'!G11*$AU$24)</f>
        <v>0.97028102395088822</v>
      </c>
      <c r="V13" s="7">
        <v>1</v>
      </c>
      <c r="W13" s="7"/>
      <c r="X13" s="7">
        <v>5</v>
      </c>
      <c r="Y13" s="7">
        <f>$AV$7*EXP(-'3.r(t)'!D11*$AV$21)</f>
        <v>0.88900715067201674</v>
      </c>
      <c r="Z13" s="7">
        <f ca="1">$AV$8*EXP(-'3.r(t)'!E11*$AV$22)</f>
        <v>0.90050291121694492</v>
      </c>
      <c r="AA13" s="7">
        <f ca="1">$AV$9*EXP(-'3.r(t)'!F11*$AV$23)</f>
        <v>0.91570280595503928</v>
      </c>
      <c r="AB13" s="7">
        <f ca="1">$AV$10*EXP(-'3.r(t)'!G11*$AV$24)</f>
        <v>0.94101853443385985</v>
      </c>
      <c r="AC13" s="7">
        <f ca="1">$AV$11*EXP(-'3.r(t)'!H11*$AV$25)</f>
        <v>0.9699924927674406</v>
      </c>
      <c r="AD13" s="7">
        <v>1</v>
      </c>
      <c r="AE13" s="7"/>
      <c r="AF13" s="7">
        <v>5</v>
      </c>
      <c r="AG13" s="7">
        <f>$AW$7*EXP(-'3.r(t)'!D11*$AW$21)</f>
        <v>0.86718755429225491</v>
      </c>
      <c r="AH13" s="7">
        <f ca="1">$AW$8*EXP(-'3.r(t)'!E11*$AW$22)</f>
        <v>0.87624884009195259</v>
      </c>
      <c r="AI13" s="7">
        <f ca="1">$AW$9*EXP(-'3.r(t)'!F11*$AW$23)</f>
        <v>0.8884273638776351</v>
      </c>
      <c r="AJ13" s="7">
        <f ca="1">$AW$10*EXP(-'3.r(t)'!G11*$AW$24)</f>
        <v>0.91223857557534316</v>
      </c>
      <c r="AK13" s="7">
        <f ca="1">$AW$11*EXP(-'3.r(t)'!H11*$AW$25)</f>
        <v>0.94046730538529966</v>
      </c>
      <c r="AL13" s="7">
        <f ca="1">$AW$12*EXP(-'3.r(t)'!I11*$AW$26)</f>
        <v>0.97134139497878103</v>
      </c>
      <c r="AM13" s="7">
        <v>1</v>
      </c>
      <c r="AN13" s="7"/>
      <c r="AP13" s="7">
        <v>3</v>
      </c>
      <c r="AQ13" s="34" t="str">
        <f>IF('2. A(t,T) and B(t,T)'!F14="","",'2. A(t,T) and B(t,T)'!F14)</f>
        <v/>
      </c>
      <c r="AR13" s="34" t="str">
        <f>IF('2. A(t,T) and B(t,T)'!G14="","",'2. A(t,T) and B(t,T)'!G14)</f>
        <v/>
      </c>
      <c r="AS13" s="34" t="str">
        <f>IF('2. A(t,T) and B(t,T)'!H14="","",'2. A(t,T) and B(t,T)'!H14)</f>
        <v/>
      </c>
      <c r="AT13" s="34" t="str">
        <f>IF('2. A(t,T) and B(t,T)'!I14="","",'2. A(t,T) and B(t,T)'!I14)</f>
        <v/>
      </c>
      <c r="AU13" s="34" t="str">
        <f>IF('2. A(t,T) and B(t,T)'!J14="","",'2. A(t,T) and B(t,T)'!J14)</f>
        <v/>
      </c>
      <c r="AV13" s="34" t="str">
        <f>IF('2. A(t,T) and B(t,T)'!K14="","",'2. A(t,T) and B(t,T)'!K14)</f>
        <v/>
      </c>
      <c r="AW13" s="34" t="str">
        <f>IF('2. A(t,T) and B(t,T)'!L14="","",'2. A(t,T) and B(t,T)'!L14)</f>
        <v/>
      </c>
      <c r="AX13" s="34">
        <f>IF('2. A(t,T) and B(t,T)'!M14="","",'2. A(t,T) and B(t,T)'!M14)</f>
        <v>1.0000266253544488</v>
      </c>
      <c r="AY13" s="34">
        <f>IF('2. A(t,T) and B(t,T)'!N14="","",'2. A(t,T) and B(t,T)'!N14)</f>
        <v>0.99962656974244257</v>
      </c>
    </row>
    <row r="14" spans="2:51">
      <c r="B14" s="7">
        <v>6</v>
      </c>
      <c r="C14" s="7">
        <f>$AR$7*EXP(-'3.r(t)'!D12*$AR$21)</f>
        <v>0.97765346695821032</v>
      </c>
      <c r="D14" s="7">
        <v>1</v>
      </c>
      <c r="E14" s="7"/>
      <c r="F14" s="7">
        <v>6</v>
      </c>
      <c r="G14" s="48">
        <f>$AS$7*EXP(-'3.r(t)'!D12*$AS$21)</f>
        <v>0.9553476245219803</v>
      </c>
      <c r="H14" s="7">
        <f ca="1">$AS$8*EXP(-'3.r(t)'!E12*$AS$22)</f>
        <v>0.97527084553133925</v>
      </c>
      <c r="I14" s="7">
        <v>1</v>
      </c>
      <c r="J14" s="7"/>
      <c r="K14" s="7">
        <v>6</v>
      </c>
      <c r="L14" s="7">
        <f>$AT$7*EXP(-'3.r(t)'!D12*$AT$21)</f>
        <v>0.93311670519824419</v>
      </c>
      <c r="M14" s="7">
        <f ca="1">$AT$8*EXP(-'3.r(t)'!E12*$AT$22)</f>
        <v>0.95070521562345378</v>
      </c>
      <c r="N14" s="7">
        <f ca="1">$AT$9*EXP(-'3.r(t)'!F12*$AT$23)</f>
        <v>0.97687214764763475</v>
      </c>
      <c r="O14" s="7">
        <v>1</v>
      </c>
      <c r="P14" s="7"/>
      <c r="Q14" s="7">
        <v>6</v>
      </c>
      <c r="R14" s="7">
        <f>$AU$7*EXP(-'3.r(t)'!D12*$AU$21)</f>
        <v>0.91099305977534117</v>
      </c>
      <c r="S14" s="7">
        <f ca="1">$AU$8*EXP(-'3.r(t)'!E12*$AU$22)</f>
        <v>0.92633573632922639</v>
      </c>
      <c r="T14" s="7">
        <f ca="1">$AU$9*EXP(-'3.r(t)'!F12*$AU$23)</f>
        <v>0.95383817922993297</v>
      </c>
      <c r="U14" s="7">
        <f ca="1">$AU$10*EXP(-'3.r(t)'!G12*$AU$24)</f>
        <v>0.97334355347322088</v>
      </c>
      <c r="V14" s="7">
        <v>1</v>
      </c>
      <c r="W14" s="7"/>
      <c r="X14" s="7">
        <v>6</v>
      </c>
      <c r="Y14" s="7">
        <f>$AV$7*EXP(-'3.r(t)'!D12*$AV$21)</f>
        <v>0.88900715067201674</v>
      </c>
      <c r="Z14" s="7">
        <f ca="1">$AV$8*EXP(-'3.r(t)'!E12*$AV$22)</f>
        <v>0.90219285362864821</v>
      </c>
      <c r="AA14" s="7">
        <f ca="1">$AV$9*EXP(-'3.r(t)'!F12*$AV$23)</f>
        <v>0.93093088386854606</v>
      </c>
      <c r="AB14" s="7">
        <f ca="1">$AV$10*EXP(-'3.r(t)'!G12*$AV$24)</f>
        <v>0.94696824402139801</v>
      </c>
      <c r="AC14" s="7">
        <f ca="1">$AV$11*EXP(-'3.r(t)'!H12*$AV$25)</f>
        <v>0.96984765468651002</v>
      </c>
      <c r="AD14" s="7">
        <v>1</v>
      </c>
      <c r="AE14" s="7"/>
      <c r="AF14" s="7">
        <v>6</v>
      </c>
      <c r="AG14" s="7">
        <f>$AW$7*EXP(-'3.r(t)'!D12*$AW$21)</f>
        <v>0.86718755429225491</v>
      </c>
      <c r="AH14" s="7">
        <f ca="1">$AW$8*EXP(-'3.r(t)'!E12*$AW$22)</f>
        <v>0.87830485411181991</v>
      </c>
      <c r="AI14" s="7">
        <f ca="1">$AW$9*EXP(-'3.r(t)'!F12*$AW$23)</f>
        <v>0.90818108200759518</v>
      </c>
      <c r="AJ14" s="7">
        <f ca="1">$AW$10*EXP(-'3.r(t)'!G12*$AW$24)</f>
        <v>0.92090385338227587</v>
      </c>
      <c r="AK14" s="7">
        <f ca="1">$AW$11*EXP(-'3.r(t)'!H12*$AW$25)</f>
        <v>0.94018646752120894</v>
      </c>
      <c r="AL14" s="7">
        <f ca="1">$AW$12*EXP(-'3.r(t)'!I12*$AW$26)</f>
        <v>0.96801640257307875</v>
      </c>
      <c r="AM14" s="7">
        <v>1</v>
      </c>
      <c r="AN14" s="7"/>
      <c r="AP14" s="7">
        <v>3.5</v>
      </c>
      <c r="AQ14" s="34" t="str">
        <f>IF('2. A(t,T) and B(t,T)'!F15="","",'2. A(t,T) and B(t,T)'!F15)</f>
        <v/>
      </c>
      <c r="AR14" s="34" t="str">
        <f>IF('2. A(t,T) and B(t,T)'!G15="","",'2. A(t,T) and B(t,T)'!G15)</f>
        <v/>
      </c>
      <c r="AS14" s="34" t="str">
        <f>IF('2. A(t,T) and B(t,T)'!H15="","",'2. A(t,T) and B(t,T)'!H15)</f>
        <v/>
      </c>
      <c r="AT14" s="34" t="str">
        <f>IF('2. A(t,T) and B(t,T)'!I15="","",'2. A(t,T) and B(t,T)'!I15)</f>
        <v/>
      </c>
      <c r="AU14" s="34" t="str">
        <f>IF('2. A(t,T) and B(t,T)'!J15="","",'2. A(t,T) and B(t,T)'!J15)</f>
        <v/>
      </c>
      <c r="AV14" s="34" t="str">
        <f>IF('2. A(t,T) and B(t,T)'!K15="","",'2. A(t,T) and B(t,T)'!K15)</f>
        <v/>
      </c>
      <c r="AW14" s="34" t="str">
        <f>IF('2. A(t,T) and B(t,T)'!L15="","",'2. A(t,T) and B(t,T)'!L15)</f>
        <v/>
      </c>
      <c r="AX14" s="34" t="str">
        <f>IF('2. A(t,T) and B(t,T)'!M15="","",'2. A(t,T) and B(t,T)'!M15)</f>
        <v/>
      </c>
      <c r="AY14" s="34">
        <f>IF('2. A(t,T) and B(t,T)'!N15="","",'2. A(t,T) and B(t,T)'!N15)</f>
        <v>0.99954264628477629</v>
      </c>
    </row>
    <row r="15" spans="2:51">
      <c r="B15" s="7">
        <v>7</v>
      </c>
      <c r="C15" s="7">
        <f>$AR$7*EXP(-'3.r(t)'!D13*$AR$21)</f>
        <v>0.97765346695821032</v>
      </c>
      <c r="D15" s="7">
        <v>1</v>
      </c>
      <c r="E15" s="7"/>
      <c r="F15" s="7">
        <v>7</v>
      </c>
      <c r="G15" s="48">
        <f>$AS$7*EXP(-'3.r(t)'!D13*$AS$21)</f>
        <v>0.9553476245219803</v>
      </c>
      <c r="H15" s="7">
        <f ca="1">$AS$8*EXP(-'3.r(t)'!E13*$AS$22)</f>
        <v>0.97830152462633924</v>
      </c>
      <c r="I15" s="7">
        <v>1</v>
      </c>
      <c r="J15" s="7"/>
      <c r="K15" s="7">
        <v>7</v>
      </c>
      <c r="L15" s="7">
        <f>$AT$7*EXP(-'3.r(t)'!D13*$AT$21)</f>
        <v>0.93311670519824419</v>
      </c>
      <c r="M15" s="7">
        <f ca="1">$AT$8*EXP(-'3.r(t)'!E13*$AT$22)</f>
        <v>0.95662307785655165</v>
      </c>
      <c r="N15" s="7">
        <f ca="1">$AT$9*EXP(-'3.r(t)'!F13*$AT$23)</f>
        <v>0.97728953093635773</v>
      </c>
      <c r="O15" s="7">
        <v>1</v>
      </c>
      <c r="P15" s="7"/>
      <c r="Q15" s="7">
        <v>7</v>
      </c>
      <c r="R15" s="7">
        <f>$AU$7*EXP(-'3.r(t)'!D13*$AU$21)</f>
        <v>0.91099305977534117</v>
      </c>
      <c r="S15" s="7">
        <f ca="1">$AU$8*EXP(-'3.r(t)'!E13*$AU$22)</f>
        <v>0.93499843618323875</v>
      </c>
      <c r="T15" s="7">
        <f ca="1">$AU$9*EXP(-'3.r(t)'!F13*$AU$23)</f>
        <v>0.9546534367181494</v>
      </c>
      <c r="U15" s="7">
        <f ca="1">$AU$10*EXP(-'3.r(t)'!G13*$AU$24)</f>
        <v>0.97471722458064147</v>
      </c>
      <c r="V15" s="7">
        <v>1</v>
      </c>
      <c r="W15" s="7"/>
      <c r="X15" s="7">
        <v>7</v>
      </c>
      <c r="Y15" s="7">
        <f>$AV$7*EXP(-'3.r(t)'!D13*$AV$21)</f>
        <v>0.88900715067201674</v>
      </c>
      <c r="Z15" s="7">
        <f ca="1">$AV$8*EXP(-'3.r(t)'!E13*$AV$22)</f>
        <v>0.91345958478799394</v>
      </c>
      <c r="AA15" s="7">
        <f ca="1">$AV$9*EXP(-'3.r(t)'!F13*$AV$23)</f>
        <v>0.93212465636298214</v>
      </c>
      <c r="AB15" s="7">
        <f ca="1">$AV$10*EXP(-'3.r(t)'!G13*$AV$24)</f>
        <v>0.94964302587354665</v>
      </c>
      <c r="AC15" s="7">
        <f ca="1">$AV$11*EXP(-'3.r(t)'!H13*$AV$25)</f>
        <v>0.97537794514963205</v>
      </c>
      <c r="AD15" s="7">
        <v>1</v>
      </c>
      <c r="AE15" s="7"/>
      <c r="AF15" s="7">
        <v>7</v>
      </c>
      <c r="AG15" s="7">
        <f>$AW$7*EXP(-'3.r(t)'!D13*$AW$21)</f>
        <v>0.86718755429225491</v>
      </c>
      <c r="AH15" s="7">
        <f ca="1">$AW$8*EXP(-'3.r(t)'!E13*$AW$22)</f>
        <v>0.8920367074697666</v>
      </c>
      <c r="AI15" s="7">
        <f ca="1">$AW$9*EXP(-'3.r(t)'!F13*$AW$23)</f>
        <v>0.90973421305036239</v>
      </c>
      <c r="AJ15" s="7">
        <f ca="1">$AW$10*EXP(-'3.r(t)'!G13*$AW$24)</f>
        <v>0.92480834885525531</v>
      </c>
      <c r="AK15" s="7">
        <f ca="1">$AW$11*EXP(-'3.r(t)'!H13*$AW$25)</f>
        <v>0.95093934938617874</v>
      </c>
      <c r="AL15" s="7">
        <f ca="1">$AW$12*EXP(-'3.r(t)'!I13*$AW$26)</f>
        <v>0.97449222324979079</v>
      </c>
      <c r="AM15" s="7">
        <v>1</v>
      </c>
      <c r="AN15" s="7"/>
      <c r="AP15" s="7">
        <v>4</v>
      </c>
      <c r="AQ15" s="34" t="str">
        <f>IF('2. A(t,T) and B(t,T)'!F16="","",'2. A(t,T) and B(t,T)'!F16)</f>
        <v/>
      </c>
      <c r="AR15" s="34" t="str">
        <f>IF('2. A(t,T) and B(t,T)'!G16="","",'2. A(t,T) and B(t,T)'!G16)</f>
        <v/>
      </c>
      <c r="AS15" s="34" t="str">
        <f>IF('2. A(t,T) and B(t,T)'!H16="","",'2. A(t,T) and B(t,T)'!H16)</f>
        <v/>
      </c>
      <c r="AT15" s="34" t="str">
        <f>IF('2. A(t,T) and B(t,T)'!I16="","",'2. A(t,T) and B(t,T)'!I16)</f>
        <v/>
      </c>
      <c r="AU15" s="34" t="str">
        <f>IF('2. A(t,T) and B(t,T)'!J16="","",'2. A(t,T) and B(t,T)'!J16)</f>
        <v/>
      </c>
      <c r="AV15" s="34" t="str">
        <f>IF('2. A(t,T) and B(t,T)'!K16="","",'2. A(t,T) and B(t,T)'!K16)</f>
        <v/>
      </c>
      <c r="AW15" s="34" t="str">
        <f>IF('2. A(t,T) and B(t,T)'!L16="","",'2. A(t,T) and B(t,T)'!L16)</f>
        <v/>
      </c>
      <c r="AX15" s="34" t="str">
        <f>IF('2. A(t,T) and B(t,T)'!M16="","",'2. A(t,T) and B(t,T)'!M16)</f>
        <v/>
      </c>
      <c r="AY15" s="34" t="str">
        <f>IF('2. A(t,T) and B(t,T)'!N16="","",'2. A(t,T) and B(t,T)'!N16)</f>
        <v/>
      </c>
    </row>
    <row r="16" spans="2:51">
      <c r="B16" s="7">
        <v>8</v>
      </c>
      <c r="C16" s="7">
        <f>$AR$7*EXP(-'3.r(t)'!D14*$AR$21)</f>
        <v>0.97765346695821032</v>
      </c>
      <c r="D16" s="7">
        <v>1</v>
      </c>
      <c r="E16" s="7"/>
      <c r="F16" s="7">
        <v>8</v>
      </c>
      <c r="G16" s="48">
        <f>$AS$7*EXP(-'3.r(t)'!D14*$AS$21)</f>
        <v>0.9553476245219803</v>
      </c>
      <c r="H16" s="7">
        <f ca="1">$AS$8*EXP(-'3.r(t)'!E14*$AS$22)</f>
        <v>0.96938267762529262</v>
      </c>
      <c r="I16" s="7">
        <v>1</v>
      </c>
      <c r="J16" s="7"/>
      <c r="K16" s="7">
        <v>8</v>
      </c>
      <c r="L16" s="7">
        <f>$AT$7*EXP(-'3.r(t)'!D14*$AT$21)</f>
        <v>0.93311670519824419</v>
      </c>
      <c r="M16" s="7">
        <f ca="1">$AT$8*EXP(-'3.r(t)'!E14*$AT$22)</f>
        <v>0.93926016248104849</v>
      </c>
      <c r="N16" s="7">
        <f ca="1">$AT$9*EXP(-'3.r(t)'!F14*$AT$23)</f>
        <v>0.96910086254238492</v>
      </c>
      <c r="O16" s="7">
        <v>1</v>
      </c>
      <c r="P16" s="7"/>
      <c r="Q16" s="7">
        <v>8</v>
      </c>
      <c r="R16" s="7">
        <f>$AU$7*EXP(-'3.r(t)'!D14*$AU$21)</f>
        <v>0.91099305977534117</v>
      </c>
      <c r="S16" s="7">
        <f ca="1">$AU$8*EXP(-'3.r(t)'!E14*$AU$22)</f>
        <v>0.90965865912120369</v>
      </c>
      <c r="T16" s="7">
        <f ca="1">$AU$9*EXP(-'3.r(t)'!F14*$AU$23)</f>
        <v>0.93872245701839285</v>
      </c>
      <c r="U16" s="7">
        <f ca="1">$AU$10*EXP(-'3.r(t)'!G14*$AU$24)</f>
        <v>0.96602760073846039</v>
      </c>
      <c r="V16" s="7">
        <v>1</v>
      </c>
      <c r="W16" s="7"/>
      <c r="X16" s="7">
        <v>8</v>
      </c>
      <c r="Y16" s="7">
        <f>$AV$7*EXP(-'3.r(t)'!D14*$AV$21)</f>
        <v>0.88900715067201674</v>
      </c>
      <c r="Z16" s="7">
        <f ca="1">$AV$8*EXP(-'3.r(t)'!E14*$AV$22)</f>
        <v>0.88060152876961062</v>
      </c>
      <c r="AA16" s="7">
        <f ca="1">$AV$9*EXP(-'3.r(t)'!F14*$AV$23)</f>
        <v>0.90888973154723685</v>
      </c>
      <c r="AB16" s="7">
        <f ca="1">$AV$10*EXP(-'3.r(t)'!G14*$AV$24)</f>
        <v>0.9327863275061864</v>
      </c>
      <c r="AC16" s="7">
        <f ca="1">$AV$11*EXP(-'3.r(t)'!H14*$AV$25)</f>
        <v>0.96812390685884375</v>
      </c>
      <c r="AD16" s="7">
        <v>1</v>
      </c>
      <c r="AE16" s="7"/>
      <c r="AF16" s="7">
        <v>8</v>
      </c>
      <c r="AG16" s="7">
        <f>$AW$7*EXP(-'3.r(t)'!D14*$AW$21)</f>
        <v>0.86718755429225491</v>
      </c>
      <c r="AH16" s="7">
        <f ca="1">$AW$8*EXP(-'3.r(t)'!E14*$AW$22)</f>
        <v>0.8521093847733775</v>
      </c>
      <c r="AI16" s="7">
        <f ca="1">$AW$9*EXP(-'3.r(t)'!F14*$AW$23)</f>
        <v>0.87962479408542504</v>
      </c>
      <c r="AJ16" s="7">
        <f ca="1">$AW$10*EXP(-'3.r(t)'!G14*$AW$24)</f>
        <v>0.90029414258927631</v>
      </c>
      <c r="AK16" s="7">
        <f ca="1">$AW$11*EXP(-'3.r(t)'!H14*$AW$25)</f>
        <v>0.93684737780721195</v>
      </c>
      <c r="AL16" s="7">
        <f ca="1">$AW$12*EXP(-'3.r(t)'!I14*$AW$26)</f>
        <v>0.96508245866983522</v>
      </c>
      <c r="AM16" s="7">
        <v>1</v>
      </c>
      <c r="AN16" s="7"/>
    </row>
    <row r="17" spans="2:53">
      <c r="B17" s="7">
        <v>9</v>
      </c>
      <c r="C17" s="7">
        <f>$AR$7*EXP(-'3.r(t)'!D15*$AR$21)</f>
        <v>0.97765346695821032</v>
      </c>
      <c r="D17" s="7">
        <v>1</v>
      </c>
      <c r="E17" s="7"/>
      <c r="F17" s="7">
        <v>9</v>
      </c>
      <c r="G17" s="48">
        <f>$AS$7*EXP(-'3.r(t)'!D15*$AS$21)</f>
        <v>0.9553476245219803</v>
      </c>
      <c r="H17" s="7">
        <f ca="1">$AS$8*EXP(-'3.r(t)'!E15*$AS$22)</f>
        <v>0.97557975642764183</v>
      </c>
      <c r="I17" s="7">
        <v>1</v>
      </c>
      <c r="J17" s="7"/>
      <c r="K17" s="7">
        <v>9</v>
      </c>
      <c r="L17" s="7">
        <f>$AT$7*EXP(-'3.r(t)'!D15*$AT$21)</f>
        <v>0.93311670519824419</v>
      </c>
      <c r="M17" s="7">
        <f ca="1">$AT$8*EXP(-'3.r(t)'!E15*$AT$22)</f>
        <v>0.95130757078002459</v>
      </c>
      <c r="N17" s="7">
        <f ca="1">$AT$9*EXP(-'3.r(t)'!F15*$AT$23)</f>
        <v>0.97771027463259241</v>
      </c>
      <c r="O17" s="7">
        <v>1</v>
      </c>
      <c r="P17" s="7"/>
      <c r="Q17" s="7">
        <v>9</v>
      </c>
      <c r="R17" s="7">
        <f>$AU$7*EXP(-'3.r(t)'!D15*$AU$21)</f>
        <v>0.91099305977534117</v>
      </c>
      <c r="S17" s="7">
        <f ca="1">$AU$8*EXP(-'3.r(t)'!E15*$AU$22)</f>
        <v>0.92721624819316295</v>
      </c>
      <c r="T17" s="7">
        <f ca="1">$AU$9*EXP(-'3.r(t)'!F15*$AU$23)</f>
        <v>0.9554756104248342</v>
      </c>
      <c r="U17" s="7">
        <f ca="1">$AU$10*EXP(-'3.r(t)'!G15*$AU$24)</f>
        <v>0.9796240525684734</v>
      </c>
      <c r="V17" s="7">
        <v>1</v>
      </c>
      <c r="W17" s="7"/>
      <c r="X17" s="7">
        <v>9</v>
      </c>
      <c r="Y17" s="7">
        <f>$AV$7*EXP(-'3.r(t)'!D15*$AV$21)</f>
        <v>0.88900715067201674</v>
      </c>
      <c r="Z17" s="7">
        <f ca="1">$AV$8*EXP(-'3.r(t)'!E15*$AV$22)</f>
        <v>0.90333645243781069</v>
      </c>
      <c r="AA17" s="7">
        <f ca="1">$AV$9*EXP(-'3.r(t)'!F15*$AV$23)</f>
        <v>0.93332907254431985</v>
      </c>
      <c r="AB17" s="7">
        <f ca="1">$AV$10*EXP(-'3.r(t)'!G15*$AV$24)</f>
        <v>0.95922829564308576</v>
      </c>
      <c r="AC17" s="7">
        <f ca="1">$AV$11*EXP(-'3.r(t)'!H15*$AV$25)</f>
        <v>0.97398973749045059</v>
      </c>
      <c r="AD17" s="7">
        <v>1</v>
      </c>
      <c r="AE17" s="7"/>
      <c r="AF17" s="7">
        <v>9</v>
      </c>
      <c r="AG17" s="7">
        <f>$AW$7*EXP(-'3.r(t)'!D15*$AW$21)</f>
        <v>0.86718755429225491</v>
      </c>
      <c r="AH17" s="7">
        <f ca="1">$AW$8*EXP(-'3.r(t)'!E15*$AW$22)</f>
        <v>0.87969672321105652</v>
      </c>
      <c r="AI17" s="7">
        <f ca="1">$AW$9*EXP(-'3.r(t)'!F15*$AW$23)</f>
        <v>0.91130186389179646</v>
      </c>
      <c r="AJ17" s="7">
        <f ca="1">$AW$10*EXP(-'3.r(t)'!G15*$AW$24)</f>
        <v>0.93884552141806032</v>
      </c>
      <c r="AK17" s="7">
        <f ca="1">$AW$11*EXP(-'3.r(t)'!H15*$AW$25)</f>
        <v>0.94823442484479481</v>
      </c>
      <c r="AL17" s="7">
        <f ca="1">$AW$12*EXP(-'3.r(t)'!I15*$AW$26)</f>
        <v>0.97207733519264738</v>
      </c>
      <c r="AM17" s="7">
        <v>1</v>
      </c>
      <c r="AN17" s="7"/>
    </row>
    <row r="18" spans="2:53">
      <c r="B18" s="7">
        <v>10</v>
      </c>
      <c r="C18" s="7">
        <f>$AR$7*EXP(-'3.r(t)'!D16*$AR$21)</f>
        <v>0.97765346695821032</v>
      </c>
      <c r="D18" s="7">
        <v>1</v>
      </c>
      <c r="E18" s="7"/>
      <c r="F18" s="7">
        <v>10</v>
      </c>
      <c r="G18" s="48">
        <f>$AS$7*EXP(-'3.r(t)'!D16*$AS$21)</f>
        <v>0.9553476245219803</v>
      </c>
      <c r="H18" s="7">
        <f ca="1">$AS$8*EXP(-'3.r(t)'!E16*$AS$22)</f>
        <v>0.98066822516498453</v>
      </c>
      <c r="I18" s="7">
        <v>1</v>
      </c>
      <c r="J18" s="7"/>
      <c r="K18" s="7">
        <v>10</v>
      </c>
      <c r="L18" s="7">
        <f>$AT$7*EXP(-'3.r(t)'!D16*$AT$21)</f>
        <v>0.93311670519824419</v>
      </c>
      <c r="M18" s="7">
        <f ca="1">$AT$8*EXP(-'3.r(t)'!E16*$AT$22)</f>
        <v>0.96125718885865519</v>
      </c>
      <c r="N18" s="7">
        <f ca="1">$AT$9*EXP(-'3.r(t)'!F16*$AT$23)</f>
        <v>0.97951801775080305</v>
      </c>
      <c r="O18" s="7">
        <v>1</v>
      </c>
      <c r="P18" s="7"/>
      <c r="Q18" s="7">
        <v>10</v>
      </c>
      <c r="R18" s="7">
        <f>$AU$7*EXP(-'3.r(t)'!D16*$AU$21)</f>
        <v>0.91099305977534117</v>
      </c>
      <c r="S18" s="7">
        <f ca="1">$AU$8*EXP(-'3.r(t)'!E16*$AU$22)</f>
        <v>0.94180069163199931</v>
      </c>
      <c r="T18" s="7">
        <f ca="1">$AU$9*EXP(-'3.r(t)'!F16*$AU$23)</f>
        <v>0.9590121412618855</v>
      </c>
      <c r="U18" s="7">
        <f ca="1">$AU$10*EXP(-'3.r(t)'!G16*$AU$24)</f>
        <v>0.98279599626236358</v>
      </c>
      <c r="V18" s="7">
        <v>1</v>
      </c>
      <c r="W18" s="7"/>
      <c r="X18" s="7">
        <v>10</v>
      </c>
      <c r="Y18" s="7">
        <f>$AV$7*EXP(-'3.r(t)'!D16*$AV$21)</f>
        <v>0.88900715067201674</v>
      </c>
      <c r="Z18" s="7">
        <f ca="1">$AV$8*EXP(-'3.r(t)'!E16*$AV$22)</f>
        <v>0.92233105406234617</v>
      </c>
      <c r="AA18" s="7">
        <f ca="1">$AV$9*EXP(-'3.r(t)'!F16*$AV$23)</f>
        <v>0.9385157032924254</v>
      </c>
      <c r="AB18" s="7">
        <f ca="1">$AV$10*EXP(-'3.r(t)'!G16*$AV$24)</f>
        <v>0.96545016006441109</v>
      </c>
      <c r="AC18" s="7">
        <f ca="1">$AV$11*EXP(-'3.r(t)'!H16*$AV$25)</f>
        <v>0.98061914555241525</v>
      </c>
      <c r="AD18" s="7">
        <v>1</v>
      </c>
      <c r="AE18" s="7"/>
      <c r="AF18" s="7">
        <v>10</v>
      </c>
      <c r="AG18" s="7">
        <f>$AW$7*EXP(-'3.r(t)'!D16*$AW$21)</f>
        <v>0.86718755429225491</v>
      </c>
      <c r="AH18" s="7">
        <f ca="1">$AW$8*EXP(-'3.r(t)'!E16*$AW$22)</f>
        <v>0.90287908667159611</v>
      </c>
      <c r="AI18" s="7">
        <f ca="1">$AW$9*EXP(-'3.r(t)'!F16*$AW$23)</f>
        <v>0.91806040700727798</v>
      </c>
      <c r="AJ18" s="7">
        <f ca="1">$AW$10*EXP(-'3.r(t)'!G16*$AW$24)</f>
        <v>0.94799480049545737</v>
      </c>
      <c r="AK18" s="7">
        <f ca="1">$AW$11*EXP(-'3.r(t)'!H16*$AW$25)</f>
        <v>0.96118656622545007</v>
      </c>
      <c r="AL18" s="7">
        <f ca="1">$AW$12*EXP(-'3.r(t)'!I16*$AW$26)</f>
        <v>0.98431053588115824</v>
      </c>
      <c r="AM18" s="7">
        <v>1</v>
      </c>
      <c r="AN18" s="7"/>
    </row>
    <row r="19" spans="2:53">
      <c r="B19" s="7">
        <v>11</v>
      </c>
      <c r="C19" s="7">
        <f>$AR$7*EXP(-'3.r(t)'!D17*$AR$21)</f>
        <v>0.97765346695821032</v>
      </c>
      <c r="D19" s="7">
        <v>1</v>
      </c>
      <c r="E19" s="7"/>
      <c r="F19" s="7">
        <v>11</v>
      </c>
      <c r="G19" s="48">
        <f>$AS$7*EXP(-'3.r(t)'!D17*$AS$21)</f>
        <v>0.9553476245219803</v>
      </c>
      <c r="H19" s="7">
        <f ca="1">$AS$8*EXP(-'3.r(t)'!E17*$AS$22)</f>
        <v>0.97595990754726536</v>
      </c>
      <c r="I19" s="7">
        <v>1</v>
      </c>
      <c r="J19" s="7"/>
      <c r="K19" s="7">
        <v>11</v>
      </c>
      <c r="L19" s="7">
        <f>$AT$7*EXP(-'3.r(t)'!D17*$AT$21)</f>
        <v>0.93311670519824419</v>
      </c>
      <c r="M19" s="7">
        <f ca="1">$AT$8*EXP(-'3.r(t)'!E17*$AT$22)</f>
        <v>0.95204910133238552</v>
      </c>
      <c r="N19" s="7">
        <f ca="1">$AT$9*EXP(-'3.r(t)'!F17*$AT$23)</f>
        <v>0.97542016098837758</v>
      </c>
      <c r="O19" s="7">
        <v>1</v>
      </c>
      <c r="P19" s="7"/>
      <c r="Q19" s="7">
        <v>11</v>
      </c>
      <c r="R19" s="7">
        <f>$AU$7*EXP(-'3.r(t)'!D17*$AU$21)</f>
        <v>0.91099305977534117</v>
      </c>
      <c r="S19" s="7">
        <f ca="1">$AU$8*EXP(-'3.r(t)'!E17*$AU$22)</f>
        <v>0.92830058700116991</v>
      </c>
      <c r="T19" s="7">
        <f ca="1">$AU$9*EXP(-'3.r(t)'!F17*$AU$23)</f>
        <v>0.95100478688119561</v>
      </c>
      <c r="U19" s="7">
        <f ca="1">$AU$10*EXP(-'3.r(t)'!G17*$AU$24)</f>
        <v>0.9768004004267119</v>
      </c>
      <c r="V19" s="7">
        <v>1</v>
      </c>
      <c r="W19" s="7"/>
      <c r="X19" s="7">
        <v>11</v>
      </c>
      <c r="Y19" s="7">
        <f>$AV$7*EXP(-'3.r(t)'!D17*$AV$21)</f>
        <v>0.88900715067201674</v>
      </c>
      <c r="Z19" s="7">
        <f ca="1">$AV$8*EXP(-'3.r(t)'!E17*$AV$22)</f>
        <v>0.90474527681587003</v>
      </c>
      <c r="AA19" s="7">
        <f ca="1">$AV$9*EXP(-'3.r(t)'!F17*$AV$23)</f>
        <v>0.92678594707112805</v>
      </c>
      <c r="AB19" s="7">
        <f ca="1">$AV$10*EXP(-'3.r(t)'!G17*$AV$24)</f>
        <v>0.95370653754085233</v>
      </c>
      <c r="AC19" s="7">
        <f ca="1">$AV$11*EXP(-'3.r(t)'!H17*$AV$25)</f>
        <v>0.97803472967406768</v>
      </c>
      <c r="AD19" s="7">
        <v>1</v>
      </c>
      <c r="AE19" s="7"/>
      <c r="AF19" s="7">
        <v>11</v>
      </c>
      <c r="AG19" s="7">
        <f>$AW$7*EXP(-'3.r(t)'!D17*$AW$21)</f>
        <v>0.86718755429225491</v>
      </c>
      <c r="AH19" s="7">
        <f ca="1">$AW$8*EXP(-'3.r(t)'!E17*$AW$22)</f>
        <v>0.88141200285184296</v>
      </c>
      <c r="AI19" s="7">
        <f ca="1">$AW$9*EXP(-'3.r(t)'!F17*$AW$23)</f>
        <v>0.90279356142277567</v>
      </c>
      <c r="AJ19" s="7">
        <f ca="1">$AW$10*EXP(-'3.r(t)'!G17*$AW$24)</f>
        <v>0.93075056076205986</v>
      </c>
      <c r="AK19" s="7">
        <f ca="1">$AW$11*EXP(-'3.r(t)'!H17*$AW$25)</f>
        <v>0.9561268395985385</v>
      </c>
      <c r="AL19" s="7">
        <f ca="1">$AW$12*EXP(-'3.r(t)'!I17*$AW$26)</f>
        <v>0.97649622371581835</v>
      </c>
      <c r="AM19" s="7">
        <v>1</v>
      </c>
      <c r="AN19" s="7"/>
    </row>
    <row r="20" spans="2:53">
      <c r="B20" s="7">
        <v>12</v>
      </c>
      <c r="C20" s="7">
        <f>$AR$7*EXP(-'3.r(t)'!D18*$AR$21)</f>
        <v>0.97765346695821032</v>
      </c>
      <c r="D20" s="7">
        <v>1</v>
      </c>
      <c r="E20" s="7"/>
      <c r="F20" s="7">
        <v>12</v>
      </c>
      <c r="G20" s="48">
        <f>$AS$7*EXP(-'3.r(t)'!D18*$AS$21)</f>
        <v>0.9553476245219803</v>
      </c>
      <c r="H20" s="7">
        <f ca="1">$AS$8*EXP(-'3.r(t)'!E18*$AS$22)</f>
        <v>0.97021470469844762</v>
      </c>
      <c r="I20" s="7">
        <v>1</v>
      </c>
      <c r="J20" s="7"/>
      <c r="K20" s="7">
        <v>12</v>
      </c>
      <c r="L20" s="7">
        <f>$AT$7*EXP(-'3.r(t)'!D18*$AT$21)</f>
        <v>0.93311670519824419</v>
      </c>
      <c r="M20" s="7">
        <f ca="1">$AT$8*EXP(-'3.r(t)'!E18*$AT$22)</f>
        <v>0.94087319989286966</v>
      </c>
      <c r="N20" s="7">
        <f ca="1">$AT$9*EXP(-'3.r(t)'!F18*$AT$23)</f>
        <v>0.97215473964617027</v>
      </c>
      <c r="O20" s="7">
        <v>1</v>
      </c>
      <c r="P20" s="7"/>
      <c r="Q20" s="7">
        <v>12</v>
      </c>
      <c r="R20" s="7">
        <f>$AU$7*EXP(-'3.r(t)'!D18*$AU$21)</f>
        <v>0.91099305977534117</v>
      </c>
      <c r="S20" s="7">
        <f ca="1">$AU$8*EXP(-'3.r(t)'!E18*$AU$22)</f>
        <v>0.91200296685383575</v>
      </c>
      <c r="T20" s="7">
        <f ca="1">$AU$9*EXP(-'3.r(t)'!F18*$AU$23)</f>
        <v>0.94464807330520706</v>
      </c>
      <c r="U20" s="7">
        <f ca="1">$AU$10*EXP(-'3.r(t)'!G18*$AU$24)</f>
        <v>0.9683792728073809</v>
      </c>
      <c r="V20" s="7">
        <v>1</v>
      </c>
      <c r="W20" s="7"/>
      <c r="X20" s="7">
        <v>12</v>
      </c>
      <c r="Y20" s="7">
        <f>$AV$7*EXP(-'3.r(t)'!D18*$AV$21)</f>
        <v>0.88900715067201674</v>
      </c>
      <c r="Z20" s="7">
        <f ca="1">$AV$8*EXP(-'3.r(t)'!E18*$AV$22)</f>
        <v>0.88362872605934462</v>
      </c>
      <c r="AA20" s="7">
        <f ca="1">$AV$9*EXP(-'3.r(t)'!F18*$AV$23)</f>
        <v>0.91750924750824803</v>
      </c>
      <c r="AB20" s="7">
        <f ca="1">$AV$10*EXP(-'3.r(t)'!G18*$AV$24)</f>
        <v>0.93733335614413416</v>
      </c>
      <c r="AC20" s="7">
        <f ca="1">$AV$11*EXP(-'3.r(t)'!H18*$AV$25)</f>
        <v>0.9652954479854754</v>
      </c>
      <c r="AD20" s="7">
        <v>1</v>
      </c>
      <c r="AE20" s="7"/>
      <c r="AF20" s="7">
        <v>12</v>
      </c>
      <c r="AG20" s="7">
        <f>$AW$7*EXP(-'3.r(t)'!D18*$AW$21)</f>
        <v>0.86718755429225491</v>
      </c>
      <c r="AH20" s="7">
        <f ca="1">$AW$8*EXP(-'3.r(t)'!E18*$AW$22)</f>
        <v>0.85577252101091972</v>
      </c>
      <c r="AI20" s="7">
        <f ca="1">$AW$9*EXP(-'3.r(t)'!F18*$AW$23)</f>
        <v>0.89076497754797068</v>
      </c>
      <c r="AJ20" s="7">
        <f ca="1">$AW$10*EXP(-'3.r(t)'!G18*$AW$24)</f>
        <v>0.90688511830378948</v>
      </c>
      <c r="AK20" s="7">
        <f ca="1">$AW$11*EXP(-'3.r(t)'!H18*$AW$25)</f>
        <v>0.93138121092832138</v>
      </c>
      <c r="AL20" s="7">
        <f ca="1">$AW$12*EXP(-'3.r(t)'!I18*$AW$26)</f>
        <v>0.96456803621684017</v>
      </c>
      <c r="AM20" s="7">
        <v>1</v>
      </c>
      <c r="AN20" s="7"/>
      <c r="AP20" s="32" t="s">
        <v>71</v>
      </c>
      <c r="AQ20" s="7">
        <v>0</v>
      </c>
      <c r="AR20" s="7">
        <v>0.5</v>
      </c>
      <c r="AS20" s="7">
        <v>1</v>
      </c>
      <c r="AT20" s="7">
        <v>1.5</v>
      </c>
      <c r="AU20" s="7">
        <v>2</v>
      </c>
      <c r="AV20" s="7">
        <v>2.5</v>
      </c>
      <c r="AW20" s="7">
        <v>3</v>
      </c>
      <c r="AX20" s="7">
        <v>3.5</v>
      </c>
      <c r="AY20" s="7">
        <v>4</v>
      </c>
    </row>
    <row r="21" spans="2:53">
      <c r="B21" s="7">
        <v>13</v>
      </c>
      <c r="C21" s="7">
        <f>$AR$7*EXP(-'3.r(t)'!D19*$AR$21)</f>
        <v>0.97765346695821032</v>
      </c>
      <c r="D21" s="7">
        <v>1</v>
      </c>
      <c r="E21" s="7"/>
      <c r="F21" s="7">
        <v>13</v>
      </c>
      <c r="G21" s="48">
        <f>$AS$7*EXP(-'3.r(t)'!D19*$AS$21)</f>
        <v>0.9553476245219803</v>
      </c>
      <c r="H21" s="7">
        <f ca="1">$AS$8*EXP(-'3.r(t)'!E19*$AS$22)</f>
        <v>0.97703050297639982</v>
      </c>
      <c r="I21" s="7">
        <v>1</v>
      </c>
      <c r="J21" s="7"/>
      <c r="K21" s="7">
        <v>13</v>
      </c>
      <c r="L21" s="7">
        <f>$AT$7*EXP(-'3.r(t)'!D19*$AT$21)</f>
        <v>0.93311670519824419</v>
      </c>
      <c r="M21" s="7">
        <f ca="1">$AT$8*EXP(-'3.r(t)'!E19*$AT$22)</f>
        <v>0.95413897911339618</v>
      </c>
      <c r="N21" s="7">
        <f ca="1">$AT$9*EXP(-'3.r(t)'!F19*$AT$23)</f>
        <v>0.9734410386559299</v>
      </c>
      <c r="O21" s="7">
        <v>1</v>
      </c>
      <c r="P21" s="7"/>
      <c r="Q21" s="7">
        <v>13</v>
      </c>
      <c r="R21" s="7">
        <f>$AU$7*EXP(-'3.r(t)'!D19*$AU$21)</f>
        <v>0.91099305977534117</v>
      </c>
      <c r="S21" s="7">
        <f ca="1">$AU$8*EXP(-'3.r(t)'!E19*$AU$22)</f>
        <v>0.93135888363619623</v>
      </c>
      <c r="T21" s="7">
        <f ca="1">$AU$9*EXP(-'3.r(t)'!F19*$AU$23)</f>
        <v>0.94714953466042695</v>
      </c>
      <c r="U21" s="7">
        <f ca="1">$AU$10*EXP(-'3.r(t)'!G19*$AU$24)</f>
        <v>0.97422468772846382</v>
      </c>
      <c r="V21" s="7">
        <v>1</v>
      </c>
      <c r="W21" s="7"/>
      <c r="X21" s="7">
        <v>13</v>
      </c>
      <c r="Y21" s="7">
        <f>$AV$7*EXP(-'3.r(t)'!D19*$AV$21)</f>
        <v>0.88900715067201674</v>
      </c>
      <c r="Z21" s="7">
        <f ca="1">$AV$8*EXP(-'3.r(t)'!E19*$AV$22)</f>
        <v>0.90872171529720025</v>
      </c>
      <c r="AA21" s="7">
        <f ca="1">$AV$9*EXP(-'3.r(t)'!F19*$AV$23)</f>
        <v>0.92115605424980462</v>
      </c>
      <c r="AB21" s="7">
        <f ca="1">$AV$10*EXP(-'3.r(t)'!G19*$AV$24)</f>
        <v>0.94868353526666094</v>
      </c>
      <c r="AC21" s="7">
        <f ca="1">$AV$11*EXP(-'3.r(t)'!H19*$AV$25)</f>
        <v>0.97281062696521803</v>
      </c>
      <c r="AD21" s="7">
        <v>1</v>
      </c>
      <c r="AE21" s="7"/>
      <c r="AF21" s="7">
        <v>13</v>
      </c>
      <c r="AG21" s="7">
        <f>$AW$7*EXP(-'3.r(t)'!D19*$AW$21)</f>
        <v>0.86718755429225491</v>
      </c>
      <c r="AH21" s="7">
        <f ca="1">$AW$8*EXP(-'3.r(t)'!E19*$AW$22)</f>
        <v>0.8862570185128964</v>
      </c>
      <c r="AI21" s="7">
        <f ca="1">$AW$9*EXP(-'3.r(t)'!F19*$AW$23)</f>
        <v>0.89548877771387692</v>
      </c>
      <c r="AJ21" s="7">
        <f ca="1">$AW$10*EXP(-'3.r(t)'!G19*$AW$24)</f>
        <v>0.92340710534793802</v>
      </c>
      <c r="AK21" s="7">
        <f ca="1">$AW$11*EXP(-'3.r(t)'!H19*$AW$25)</f>
        <v>0.9459399521643499</v>
      </c>
      <c r="AL21" s="7">
        <f ca="1">$AW$12*EXP(-'3.r(t)'!I19*$AW$26)</f>
        <v>0.97147702319635854</v>
      </c>
      <c r="AM21" s="7">
        <v>1</v>
      </c>
      <c r="AN21" s="7"/>
      <c r="AP21" s="7">
        <v>0</v>
      </c>
      <c r="AQ21" s="34"/>
      <c r="AR21" s="37">
        <v>0.5</v>
      </c>
      <c r="AS21" s="37">
        <v>1</v>
      </c>
      <c r="AT21" s="37">
        <v>1.5</v>
      </c>
      <c r="AU21" s="37">
        <v>2</v>
      </c>
      <c r="AV21" s="37">
        <v>2.5</v>
      </c>
      <c r="AW21" s="37">
        <v>3</v>
      </c>
      <c r="AX21" s="34">
        <v>3.5</v>
      </c>
      <c r="AY21" s="34">
        <v>4</v>
      </c>
    </row>
    <row r="22" spans="2:53">
      <c r="B22" s="7">
        <v>14</v>
      </c>
      <c r="C22" s="7">
        <f>$AR$7*EXP(-'3.r(t)'!D20*$AR$21)</f>
        <v>0.97765346695821032</v>
      </c>
      <c r="D22" s="7">
        <v>1</v>
      </c>
      <c r="E22" s="7"/>
      <c r="F22" s="7">
        <v>14</v>
      </c>
      <c r="G22" s="48">
        <f>$AS$7*EXP(-'3.r(t)'!D20*$AS$21)</f>
        <v>0.9553476245219803</v>
      </c>
      <c r="H22" s="7">
        <f ca="1">$AS$8*EXP(-'3.r(t)'!E20*$AS$22)</f>
        <v>0.97733378686828476</v>
      </c>
      <c r="I22" s="7">
        <v>1</v>
      </c>
      <c r="J22" s="7"/>
      <c r="K22" s="7">
        <v>14</v>
      </c>
      <c r="L22" s="7">
        <f>$AT$7*EXP(-'3.r(t)'!D20*$AT$21)</f>
        <v>0.93311670519824419</v>
      </c>
      <c r="M22" s="7">
        <f ca="1">$AT$8*EXP(-'3.r(t)'!E20*$AT$22)</f>
        <v>0.95473142713854531</v>
      </c>
      <c r="N22" s="7">
        <f ca="1">$AT$9*EXP(-'3.r(t)'!F20*$AT$23)</f>
        <v>0.97807997176859918</v>
      </c>
      <c r="O22" s="7">
        <v>1</v>
      </c>
      <c r="P22" s="7"/>
      <c r="Q22" s="7">
        <v>14</v>
      </c>
      <c r="R22" s="7">
        <f>$AU$7*EXP(-'3.r(t)'!D20*$AU$21)</f>
        <v>0.91099305977534117</v>
      </c>
      <c r="S22" s="7">
        <f ca="1">$AU$8*EXP(-'3.r(t)'!E20*$AU$22)</f>
        <v>0.93222647324556829</v>
      </c>
      <c r="T22" s="7">
        <f ca="1">$AU$9*EXP(-'3.r(t)'!F20*$AU$23)</f>
        <v>0.95619832632490875</v>
      </c>
      <c r="U22" s="7">
        <f ca="1">$AU$10*EXP(-'3.r(t)'!G20*$AU$24)</f>
        <v>0.97683094832202089</v>
      </c>
      <c r="V22" s="7">
        <v>1</v>
      </c>
      <c r="W22" s="7"/>
      <c r="X22" s="7">
        <v>14</v>
      </c>
      <c r="Y22" s="7">
        <f>$AV$7*EXP(-'3.r(t)'!D20*$AV$21)</f>
        <v>0.88900715067201674</v>
      </c>
      <c r="Z22" s="7">
        <f ca="1">$AV$8*EXP(-'3.r(t)'!E20*$AV$22)</f>
        <v>0.90985056034187284</v>
      </c>
      <c r="AA22" s="7">
        <f ca="1">$AV$9*EXP(-'3.r(t)'!F20*$AV$23)</f>
        <v>0.93438821935594374</v>
      </c>
      <c r="AB22" s="7">
        <f ca="1">$AV$10*EXP(-'3.r(t)'!G20*$AV$24)</f>
        <v>0.95376618981578454</v>
      </c>
      <c r="AC22" s="7">
        <f ca="1">$AV$11*EXP(-'3.r(t)'!H20*$AV$25)</f>
        <v>0.97564863363168619</v>
      </c>
      <c r="AD22" s="7">
        <v>1</v>
      </c>
      <c r="AE22" s="7"/>
      <c r="AF22" s="7">
        <v>14</v>
      </c>
      <c r="AG22" s="7">
        <f>$AW$7*EXP(-'3.r(t)'!D20*$AW$21)</f>
        <v>0.86718755429225491</v>
      </c>
      <c r="AH22" s="7">
        <f ca="1">$AW$8*EXP(-'3.r(t)'!E20*$AW$22)</f>
        <v>0.88763340542985925</v>
      </c>
      <c r="AI22" s="7">
        <f ca="1">$AW$9*EXP(-'3.r(t)'!F20*$AW$23)</f>
        <v>0.91268099157394</v>
      </c>
      <c r="AJ22" s="7">
        <f ca="1">$AW$10*EXP(-'3.r(t)'!G20*$AW$24)</f>
        <v>0.93083788677011603</v>
      </c>
      <c r="AK22" s="7">
        <f ca="1">$AW$11*EXP(-'3.r(t)'!H20*$AW$25)</f>
        <v>0.95146723511187337</v>
      </c>
      <c r="AL22" s="7">
        <f ca="1">$AW$12*EXP(-'3.r(t)'!I20*$AW$26)</f>
        <v>0.97831614261477884</v>
      </c>
      <c r="AM22" s="7">
        <v>1</v>
      </c>
      <c r="AN22" s="7"/>
      <c r="AO22" s="32"/>
      <c r="AP22" s="7">
        <v>0.5</v>
      </c>
      <c r="AQ22" s="34"/>
      <c r="AR22" s="34"/>
      <c r="AS22" s="37">
        <v>0.5</v>
      </c>
      <c r="AT22" s="37">
        <v>1</v>
      </c>
      <c r="AU22" s="37">
        <v>1.5</v>
      </c>
      <c r="AV22" s="37">
        <v>2</v>
      </c>
      <c r="AW22" s="37">
        <v>2.5</v>
      </c>
      <c r="AX22" s="34">
        <v>3</v>
      </c>
      <c r="AY22" s="34">
        <v>3.5</v>
      </c>
      <c r="BA22" s="39"/>
    </row>
    <row r="23" spans="2:53">
      <c r="B23" s="7">
        <v>15</v>
      </c>
      <c r="C23" s="7">
        <f>$AR$7*EXP(-'3.r(t)'!D21*$AR$21)</f>
        <v>0.97765346695821032</v>
      </c>
      <c r="D23" s="7">
        <v>1</v>
      </c>
      <c r="E23" s="7"/>
      <c r="F23" s="7">
        <v>15</v>
      </c>
      <c r="G23" s="48">
        <f>$AS$7*EXP(-'3.r(t)'!D21*$AS$21)</f>
        <v>0.9553476245219803</v>
      </c>
      <c r="H23" s="7">
        <f ca="1">$AS$8*EXP(-'3.r(t)'!E21*$AS$22)</f>
        <v>0.97283022763954363</v>
      </c>
      <c r="I23" s="7">
        <v>1</v>
      </c>
      <c r="J23" s="7"/>
      <c r="K23" s="7">
        <v>15</v>
      </c>
      <c r="L23" s="7">
        <f>$AT$7*EXP(-'3.r(t)'!D21*$AT$21)</f>
        <v>0.93311670519824419</v>
      </c>
      <c r="M23" s="7">
        <f ca="1">$AT$8*EXP(-'3.r(t)'!E21*$AT$22)</f>
        <v>0.94595288475861894</v>
      </c>
      <c r="N23" s="7">
        <f ca="1">$AT$9*EXP(-'3.r(t)'!F21*$AT$23)</f>
        <v>0.97187632066847141</v>
      </c>
      <c r="O23" s="7">
        <v>1</v>
      </c>
      <c r="P23" s="7"/>
      <c r="Q23" s="7">
        <v>15</v>
      </c>
      <c r="R23" s="7">
        <f>$AU$7*EXP(-'3.r(t)'!D21*$AU$21)</f>
        <v>0.91099305977534117</v>
      </c>
      <c r="S23" s="7">
        <f ca="1">$AU$8*EXP(-'3.r(t)'!E21*$AU$22)</f>
        <v>0.91939865244727481</v>
      </c>
      <c r="T23" s="7">
        <f ca="1">$AU$9*EXP(-'3.r(t)'!F21*$AU$23)</f>
        <v>0.94410706830215052</v>
      </c>
      <c r="U23" s="7">
        <f ca="1">$AU$10*EXP(-'3.r(t)'!G21*$AU$24)</f>
        <v>0.96937986841419421</v>
      </c>
      <c r="V23" s="7">
        <v>1</v>
      </c>
      <c r="W23" s="7"/>
      <c r="X23" s="7">
        <v>15</v>
      </c>
      <c r="Y23" s="7">
        <f>$AV$7*EXP(-'3.r(t)'!D21*$AV$21)</f>
        <v>0.88900715067201674</v>
      </c>
      <c r="Z23" s="7">
        <f ca="1">$AV$8*EXP(-'3.r(t)'!E21*$AV$22)</f>
        <v>0.89319573702132693</v>
      </c>
      <c r="AA23" s="7">
        <f ca="1">$AV$9*EXP(-'3.r(t)'!F21*$AV$23)</f>
        <v>0.91672116669110781</v>
      </c>
      <c r="AB23" s="7">
        <f ca="1">$AV$10*EXP(-'3.r(t)'!G21*$AV$24)</f>
        <v>0.93927139057233322</v>
      </c>
      <c r="AC23" s="7">
        <f ca="1">$AV$11*EXP(-'3.r(t)'!H21*$AV$25)</f>
        <v>0.96999277467045164</v>
      </c>
      <c r="AD23" s="7">
        <v>1</v>
      </c>
      <c r="AE23" s="7"/>
      <c r="AF23" s="7">
        <v>15</v>
      </c>
      <c r="AG23" s="7">
        <f>$AW$7*EXP(-'3.r(t)'!D21*$AW$21)</f>
        <v>0.86718755429225491</v>
      </c>
      <c r="AH23" s="7">
        <f ca="1">$AW$8*EXP(-'3.r(t)'!E21*$AW$22)</f>
        <v>0.86736991945149178</v>
      </c>
      <c r="AI23" s="7">
        <f ca="1">$AW$9*EXP(-'3.r(t)'!F21*$AW$23)</f>
        <v>0.88974497797927976</v>
      </c>
      <c r="AJ23" s="7">
        <f ca="1">$AW$10*EXP(-'3.r(t)'!G21*$AW$24)</f>
        <v>0.90969919093255658</v>
      </c>
      <c r="AK23" s="7">
        <f ca="1">$AW$11*EXP(-'3.r(t)'!H21*$AW$25)</f>
        <v>0.94046785202995009</v>
      </c>
      <c r="AL23" s="7">
        <f ca="1">$AW$12*EXP(-'3.r(t)'!I21*$AW$26)</f>
        <v>0.97118938855698467</v>
      </c>
      <c r="AM23" s="7">
        <v>1</v>
      </c>
      <c r="AN23" s="7"/>
      <c r="AP23" s="7">
        <v>1</v>
      </c>
      <c r="AQ23" s="34"/>
      <c r="AR23" s="34"/>
      <c r="AS23" s="34"/>
      <c r="AT23" s="37">
        <v>0.5</v>
      </c>
      <c r="AU23" s="37">
        <v>1</v>
      </c>
      <c r="AV23" s="37">
        <v>1.5</v>
      </c>
      <c r="AW23" s="37">
        <v>2</v>
      </c>
      <c r="AX23" s="34">
        <v>2.5</v>
      </c>
      <c r="AY23" s="34">
        <v>3</v>
      </c>
    </row>
    <row r="24" spans="2:53">
      <c r="B24" s="7">
        <v>16</v>
      </c>
      <c r="C24" s="7">
        <f>$AR$7*EXP(-'3.r(t)'!D22*$AR$21)</f>
        <v>0.97765346695821032</v>
      </c>
      <c r="D24" s="7">
        <v>1</v>
      </c>
      <c r="E24" s="7"/>
      <c r="F24" s="7">
        <v>16</v>
      </c>
      <c r="G24" s="48">
        <f>$AS$7*EXP(-'3.r(t)'!D22*$AS$21)</f>
        <v>0.9553476245219803</v>
      </c>
      <c r="H24" s="7">
        <f ca="1">$AS$8*EXP(-'3.r(t)'!E22*$AS$22)</f>
        <v>0.97455907350274684</v>
      </c>
      <c r="I24" s="7">
        <v>1</v>
      </c>
      <c r="J24" s="7"/>
      <c r="K24" s="7">
        <v>16</v>
      </c>
      <c r="L24" s="7">
        <f>$AT$7*EXP(-'3.r(t)'!D22*$AT$21)</f>
        <v>0.93311670519824419</v>
      </c>
      <c r="M24" s="7">
        <f ca="1">$AT$8*EXP(-'3.r(t)'!E22*$AT$22)</f>
        <v>0.94931803491605604</v>
      </c>
      <c r="N24" s="7">
        <f ca="1">$AT$9*EXP(-'3.r(t)'!F22*$AT$23)</f>
        <v>0.97434819587193122</v>
      </c>
      <c r="O24" s="7">
        <v>1</v>
      </c>
      <c r="P24" s="7"/>
      <c r="Q24" s="7">
        <v>16</v>
      </c>
      <c r="R24" s="7">
        <f>$AU$7*EXP(-'3.r(t)'!D22*$AU$21)</f>
        <v>0.91099305977534117</v>
      </c>
      <c r="S24" s="7">
        <f ca="1">$AU$8*EXP(-'3.r(t)'!E22*$AU$22)</f>
        <v>0.92430904152861815</v>
      </c>
      <c r="T24" s="7">
        <f ca="1">$AU$9*EXP(-'3.r(t)'!F22*$AU$23)</f>
        <v>0.94891566913539904</v>
      </c>
      <c r="U24" s="7">
        <f ca="1">$AU$10*EXP(-'3.r(t)'!G22*$AU$24)</f>
        <v>0.97173450087963875</v>
      </c>
      <c r="V24" s="7">
        <v>1</v>
      </c>
      <c r="W24" s="7"/>
      <c r="X24" s="7">
        <v>16</v>
      </c>
      <c r="Y24" s="7">
        <f>$AV$7*EXP(-'3.r(t)'!D22*$AV$21)</f>
        <v>0.88900715067201674</v>
      </c>
      <c r="Z24" s="7">
        <f ca="1">$AV$8*EXP(-'3.r(t)'!E22*$AV$22)</f>
        <v>0.899561982437867</v>
      </c>
      <c r="AA24" s="7">
        <f ca="1">$AV$9*EXP(-'3.r(t)'!F22*$AV$23)</f>
        <v>0.92373375224139043</v>
      </c>
      <c r="AB24" s="7">
        <f ca="1">$AV$10*EXP(-'3.r(t)'!G22*$AV$24)</f>
        <v>0.94383992975436171</v>
      </c>
      <c r="AC24" s="7">
        <f ca="1">$AV$11*EXP(-'3.r(t)'!H22*$AV$25)</f>
        <v>0.97819837004587074</v>
      </c>
      <c r="AD24" s="7">
        <v>1</v>
      </c>
      <c r="AE24" s="7"/>
      <c r="AF24" s="7">
        <v>16</v>
      </c>
      <c r="AG24" s="7">
        <f>$AW$7*EXP(-'3.r(t)'!D22*$AW$21)</f>
        <v>0.86718755429225491</v>
      </c>
      <c r="AH24" s="7">
        <f ca="1">$AW$8*EXP(-'3.r(t)'!E22*$AW$22)</f>
        <v>0.87510450726244993</v>
      </c>
      <c r="AI24" s="7">
        <f ca="1">$AW$9*EXP(-'3.r(t)'!F22*$AW$23)</f>
        <v>0.89883149835744924</v>
      </c>
      <c r="AJ24" s="7">
        <f ca="1">$AW$10*EXP(-'3.r(t)'!G22*$AW$24)</f>
        <v>0.91634430855787241</v>
      </c>
      <c r="AK24" s="7">
        <f ca="1">$AW$11*EXP(-'3.r(t)'!H22*$AW$25)</f>
        <v>0.95644681604916248</v>
      </c>
      <c r="AL24" s="7">
        <f ca="1">$AW$12*EXP(-'3.r(t)'!I22*$AW$26)</f>
        <v>0.97719991458416644</v>
      </c>
      <c r="AM24" s="7">
        <v>1</v>
      </c>
      <c r="AN24" s="7"/>
      <c r="AP24" s="7">
        <v>1.5</v>
      </c>
      <c r="AQ24" s="34"/>
      <c r="AR24" s="34"/>
      <c r="AS24" s="34"/>
      <c r="AT24" s="34"/>
      <c r="AU24" s="37">
        <v>0.5</v>
      </c>
      <c r="AV24" s="37">
        <v>1</v>
      </c>
      <c r="AW24" s="37">
        <v>1.5</v>
      </c>
      <c r="AX24" s="34">
        <v>2</v>
      </c>
      <c r="AY24" s="34">
        <v>2.5</v>
      </c>
    </row>
    <row r="25" spans="2:53">
      <c r="B25" s="7">
        <v>17</v>
      </c>
      <c r="C25" s="7">
        <f>$AR$7*EXP(-'3.r(t)'!D23*$AR$21)</f>
        <v>0.97765346695821032</v>
      </c>
      <c r="D25" s="7">
        <v>1</v>
      </c>
      <c r="E25" s="7"/>
      <c r="F25" s="7">
        <v>17</v>
      </c>
      <c r="G25" s="48">
        <f>$AS$7*EXP(-'3.r(t)'!D23*$AS$21)</f>
        <v>0.9553476245219803</v>
      </c>
      <c r="H25" s="7">
        <f ca="1">$AS$8*EXP(-'3.r(t)'!E23*$AS$22)</f>
        <v>0.97383978327973741</v>
      </c>
      <c r="I25" s="7">
        <v>1</v>
      </c>
      <c r="J25" s="7"/>
      <c r="K25" s="7">
        <v>17</v>
      </c>
      <c r="L25" s="7">
        <f>$AT$7*EXP(-'3.r(t)'!D23*$AT$21)</f>
        <v>0.93311670519824419</v>
      </c>
      <c r="M25" s="7">
        <f ca="1">$AT$8*EXP(-'3.r(t)'!E23*$AT$22)</f>
        <v>0.94791723077718426</v>
      </c>
      <c r="N25" s="7">
        <f ca="1">$AT$9*EXP(-'3.r(t)'!F23*$AT$23)</f>
        <v>0.96389634472744157</v>
      </c>
      <c r="O25" s="7">
        <v>1</v>
      </c>
      <c r="P25" s="7"/>
      <c r="Q25" s="7">
        <v>17</v>
      </c>
      <c r="R25" s="7">
        <f>$AU$7*EXP(-'3.r(t)'!D23*$AU$21)</f>
        <v>0.91099305977534117</v>
      </c>
      <c r="S25" s="7">
        <f ca="1">$AU$8*EXP(-'3.r(t)'!E23*$AU$22)</f>
        <v>0.92226394474400508</v>
      </c>
      <c r="T25" s="7">
        <f ca="1">$AU$9*EXP(-'3.r(t)'!F23*$AU$23)</f>
        <v>0.92866678792444823</v>
      </c>
      <c r="U25" s="7">
        <f ca="1">$AU$10*EXP(-'3.r(t)'!G23*$AU$24)</f>
        <v>0.96053022607192007</v>
      </c>
      <c r="V25" s="7">
        <v>1</v>
      </c>
      <c r="W25" s="7"/>
      <c r="X25" s="7">
        <v>17</v>
      </c>
      <c r="Y25" s="7">
        <f>$AV$7*EXP(-'3.r(t)'!D23*$AV$21)</f>
        <v>0.88900715067201674</v>
      </c>
      <c r="Z25" s="7">
        <f ca="1">$AV$8*EXP(-'3.r(t)'!E23*$AV$22)</f>
        <v>0.89690917189612851</v>
      </c>
      <c r="AA25" s="7">
        <f ca="1">$AV$9*EXP(-'3.r(t)'!F23*$AV$23)</f>
        <v>0.89432476397678695</v>
      </c>
      <c r="AB25" s="7">
        <f ca="1">$AV$10*EXP(-'3.r(t)'!G23*$AV$24)</f>
        <v>0.92220011792637824</v>
      </c>
      <c r="AC25" s="7">
        <f ca="1">$AV$11*EXP(-'3.r(t)'!H23*$AV$25)</f>
        <v>0.95918736597063392</v>
      </c>
      <c r="AD25" s="7">
        <v>1</v>
      </c>
      <c r="AE25" s="7"/>
      <c r="AF25" s="7">
        <v>17</v>
      </c>
      <c r="AG25" s="7">
        <f>$AW$7*EXP(-'3.r(t)'!D23*$AW$21)</f>
        <v>0.86718755429225491</v>
      </c>
      <c r="AH25" s="7">
        <f ca="1">$AW$8*EXP(-'3.r(t)'!E23*$AW$22)</f>
        <v>0.87187984054006762</v>
      </c>
      <c r="AI25" s="7">
        <f ca="1">$AW$9*EXP(-'3.r(t)'!F23*$AW$23)</f>
        <v>0.86088050930779014</v>
      </c>
      <c r="AJ25" s="7">
        <f ca="1">$AW$10*EXP(-'3.r(t)'!G23*$AW$24)</f>
        <v>0.88501152673321293</v>
      </c>
      <c r="AK25" s="7">
        <f ca="1">$AW$11*EXP(-'3.r(t)'!H23*$AW$25)</f>
        <v>0.91963153595597369</v>
      </c>
      <c r="AL25" s="7">
        <f ca="1">$AW$12*EXP(-'3.r(t)'!I23*$AW$26)</f>
        <v>0.96064654046860409</v>
      </c>
      <c r="AM25" s="7">
        <v>1</v>
      </c>
      <c r="AN25" s="7"/>
      <c r="AP25" s="7">
        <v>2</v>
      </c>
      <c r="AQ25" s="34"/>
      <c r="AR25" s="34"/>
      <c r="AS25" s="34"/>
      <c r="AT25" s="34"/>
      <c r="AU25" s="34"/>
      <c r="AV25" s="37">
        <v>0.5</v>
      </c>
      <c r="AW25" s="37">
        <v>1</v>
      </c>
      <c r="AX25" s="34">
        <v>1.5</v>
      </c>
      <c r="AY25" s="34">
        <v>2</v>
      </c>
    </row>
    <row r="26" spans="2:53">
      <c r="B26" s="7">
        <v>18</v>
      </c>
      <c r="C26" s="7">
        <f>$AR$7*EXP(-'3.r(t)'!D24*$AR$21)</f>
        <v>0.97765346695821032</v>
      </c>
      <c r="D26" s="7">
        <v>1</v>
      </c>
      <c r="E26" s="7"/>
      <c r="F26" s="7">
        <v>18</v>
      </c>
      <c r="G26" s="48">
        <f>$AS$7*EXP(-'3.r(t)'!D24*$AS$21)</f>
        <v>0.9553476245219803</v>
      </c>
      <c r="H26" s="7">
        <f ca="1">$AS$8*EXP(-'3.r(t)'!E24*$AS$22)</f>
        <v>0.97910255626709897</v>
      </c>
      <c r="I26" s="7">
        <v>1</v>
      </c>
      <c r="J26" s="7"/>
      <c r="K26" s="7">
        <v>18</v>
      </c>
      <c r="L26" s="7">
        <f>$AT$7*EXP(-'3.r(t)'!D24*$AT$21)</f>
        <v>0.93311670519824419</v>
      </c>
      <c r="M26" s="7">
        <f ca="1">$AT$8*EXP(-'3.r(t)'!E24*$AT$22)</f>
        <v>0.95819028193612299</v>
      </c>
      <c r="N26" s="7">
        <f ca="1">$AT$9*EXP(-'3.r(t)'!F24*$AT$23)</f>
        <v>0.983491700972705</v>
      </c>
      <c r="O26" s="7">
        <v>1</v>
      </c>
      <c r="P26" s="7"/>
      <c r="Q26" s="7">
        <v>18</v>
      </c>
      <c r="R26" s="7">
        <f>$AU$7*EXP(-'3.r(t)'!D24*$AU$21)</f>
        <v>0.91099305977534117</v>
      </c>
      <c r="S26" s="7">
        <f ca="1">$AU$8*EXP(-'3.r(t)'!E24*$AU$22)</f>
        <v>0.93729704268603564</v>
      </c>
      <c r="T26" s="7">
        <f ca="1">$AU$9*EXP(-'3.r(t)'!F24*$AU$23)</f>
        <v>0.96680891515375955</v>
      </c>
      <c r="U26" s="7">
        <f ca="1">$AU$10*EXP(-'3.r(t)'!G24*$AU$24)</f>
        <v>0.98251102801431733</v>
      </c>
      <c r="V26" s="7">
        <v>1</v>
      </c>
      <c r="W26" s="7"/>
      <c r="X26" s="7">
        <v>18</v>
      </c>
      <c r="Y26" s="7">
        <f>$AV$7*EXP(-'3.r(t)'!D24*$AV$21)</f>
        <v>0.88900715067201674</v>
      </c>
      <c r="Z26" s="7">
        <f ca="1">$AV$8*EXP(-'3.r(t)'!E24*$AV$22)</f>
        <v>0.91645501794065864</v>
      </c>
      <c r="AA26" s="7">
        <f ca="1">$AV$9*EXP(-'3.r(t)'!F24*$AV$23)</f>
        <v>0.94998414087606631</v>
      </c>
      <c r="AB26" s="7">
        <f ca="1">$AV$10*EXP(-'3.r(t)'!G24*$AV$24)</f>
        <v>0.9648903638199936</v>
      </c>
      <c r="AC26" s="7">
        <f ca="1">$AV$11*EXP(-'3.r(t)'!H24*$AV$25)</f>
        <v>0.98395945412377017</v>
      </c>
      <c r="AD26" s="7">
        <v>1</v>
      </c>
      <c r="AE26" s="7"/>
      <c r="AF26" s="7">
        <v>18</v>
      </c>
      <c r="AG26" s="7">
        <f>$AW$7*EXP(-'3.r(t)'!D24*$AW$21)</f>
        <v>0.86718755429225491</v>
      </c>
      <c r="AH26" s="7">
        <f ca="1">$AW$8*EXP(-'3.r(t)'!E24*$AW$22)</f>
        <v>0.89569468362514015</v>
      </c>
      <c r="AI26" s="7">
        <f ca="1">$AW$9*EXP(-'3.r(t)'!F24*$AW$23)</f>
        <v>0.93304876017696103</v>
      </c>
      <c r="AJ26" s="7">
        <f ca="1">$AW$10*EXP(-'3.r(t)'!G24*$AW$24)</f>
        <v>0.94717040735165614</v>
      </c>
      <c r="AK26" s="7">
        <f ca="1">$AW$11*EXP(-'3.r(t)'!H24*$AW$25)</f>
        <v>0.96774594866745522</v>
      </c>
      <c r="AL26" s="7">
        <f ca="1">$AW$12*EXP(-'3.r(t)'!I24*$AW$26)</f>
        <v>0.98127201356176719</v>
      </c>
      <c r="AM26" s="7">
        <v>1</v>
      </c>
      <c r="AN26" s="7"/>
      <c r="AP26" s="7">
        <v>2.5</v>
      </c>
      <c r="AQ26" s="34"/>
      <c r="AR26" s="34"/>
      <c r="AS26" s="34"/>
      <c r="AT26" s="34"/>
      <c r="AU26" s="34"/>
      <c r="AV26" s="34"/>
      <c r="AW26" s="37">
        <v>0.5</v>
      </c>
      <c r="AX26" s="34">
        <v>1</v>
      </c>
      <c r="AY26" s="34">
        <v>1.5</v>
      </c>
    </row>
    <row r="27" spans="2:53">
      <c r="B27" s="7">
        <v>19</v>
      </c>
      <c r="C27" s="7">
        <f>$AR$7*EXP(-'3.r(t)'!D25*$AR$21)</f>
        <v>0.97765346695821032</v>
      </c>
      <c r="D27" s="7">
        <v>1</v>
      </c>
      <c r="E27" s="7"/>
      <c r="F27" s="7">
        <v>19</v>
      </c>
      <c r="G27" s="48">
        <f>$AS$7*EXP(-'3.r(t)'!D25*$AS$21)</f>
        <v>0.9553476245219803</v>
      </c>
      <c r="H27" s="7">
        <f ca="1">$AS$8*EXP(-'3.r(t)'!E25*$AS$22)</f>
        <v>0.97842723273937737</v>
      </c>
      <c r="I27" s="7">
        <v>1</v>
      </c>
      <c r="J27" s="7"/>
      <c r="K27" s="7">
        <v>19</v>
      </c>
      <c r="L27" s="7">
        <f>$AT$7*EXP(-'3.r(t)'!D25*$AT$21)</f>
        <v>0.93311670519824419</v>
      </c>
      <c r="M27" s="7">
        <f ca="1">$AT$8*EXP(-'3.r(t)'!E25*$AT$22)</f>
        <v>0.95686893867789824</v>
      </c>
      <c r="N27" s="7">
        <f ca="1">$AT$9*EXP(-'3.r(t)'!F25*$AT$23)</f>
        <v>0.97789379525353171</v>
      </c>
      <c r="O27" s="7">
        <v>1</v>
      </c>
      <c r="P27" s="7"/>
      <c r="Q27" s="7">
        <v>19</v>
      </c>
      <c r="R27" s="7">
        <f>$AU$7*EXP(-'3.r(t)'!D25*$AU$21)</f>
        <v>0.91099305977534117</v>
      </c>
      <c r="S27" s="7">
        <f ca="1">$AU$8*EXP(-'3.r(t)'!E25*$AU$22)</f>
        <v>0.93535891398026072</v>
      </c>
      <c r="T27" s="7">
        <f ca="1">$AU$9*EXP(-'3.r(t)'!F25*$AU$23)</f>
        <v>0.95583433823778785</v>
      </c>
      <c r="U27" s="7">
        <f ca="1">$AU$10*EXP(-'3.r(t)'!G25*$AU$24)</f>
        <v>0.97528146308899522</v>
      </c>
      <c r="V27" s="7">
        <v>1</v>
      </c>
      <c r="W27" s="7"/>
      <c r="X27" s="7">
        <v>19</v>
      </c>
      <c r="Y27" s="7">
        <f>$AV$7*EXP(-'3.r(t)'!D25*$AV$21)</f>
        <v>0.88900715067201674</v>
      </c>
      <c r="Z27" s="7">
        <f ca="1">$AV$8*EXP(-'3.r(t)'!E25*$AV$22)</f>
        <v>0.91392917994837919</v>
      </c>
      <c r="AA27" s="7">
        <f ca="1">$AV$9*EXP(-'3.r(t)'!F25*$AV$23)</f>
        <v>0.9338547414107955</v>
      </c>
      <c r="AB27" s="7">
        <f ca="1">$AV$10*EXP(-'3.r(t)'!G25*$AV$24)</f>
        <v>0.95074279150508112</v>
      </c>
      <c r="AC27" s="7">
        <f ca="1">$AV$11*EXP(-'3.r(t)'!H25*$AV$25)</f>
        <v>0.97903774214488126</v>
      </c>
      <c r="AD27" s="7">
        <v>1</v>
      </c>
      <c r="AE27" s="7"/>
      <c r="AF27" s="7">
        <v>19</v>
      </c>
      <c r="AG27" s="7">
        <f>$AW$7*EXP(-'3.r(t)'!D25*$AW$21)</f>
        <v>0.86718755429225491</v>
      </c>
      <c r="AH27" s="7">
        <f ca="1">$AW$8*EXP(-'3.r(t)'!E25*$AW$22)</f>
        <v>0.89260997179738055</v>
      </c>
      <c r="AI27" s="7">
        <f ca="1">$AW$9*EXP(-'3.r(t)'!F25*$AW$23)</f>
        <v>0.91198627841607782</v>
      </c>
      <c r="AJ27" s="7">
        <f ca="1">$AW$10*EXP(-'3.r(t)'!G25*$AW$24)</f>
        <v>0.92641532139691996</v>
      </c>
      <c r="AK27" s="7">
        <f ca="1">$AW$11*EXP(-'3.r(t)'!H25*$AW$25)</f>
        <v>0.9580889353486336</v>
      </c>
      <c r="AL27" s="7">
        <f ca="1">$AW$12*EXP(-'3.r(t)'!I25*$AW$26)</f>
        <v>0.97637402732706136</v>
      </c>
      <c r="AM27" s="7">
        <v>1</v>
      </c>
      <c r="AN27" s="7"/>
      <c r="AP27" s="7">
        <v>3</v>
      </c>
      <c r="AQ27" s="34"/>
      <c r="AR27" s="34"/>
      <c r="AS27" s="34"/>
      <c r="AT27" s="34"/>
      <c r="AU27" s="34"/>
      <c r="AV27" s="34"/>
      <c r="AW27" s="34"/>
      <c r="AX27" s="34">
        <v>0.5</v>
      </c>
      <c r="AY27" s="34">
        <v>1</v>
      </c>
    </row>
    <row r="28" spans="2:53">
      <c r="B28" s="7">
        <v>20</v>
      </c>
      <c r="C28" s="7">
        <f>$AR$7*EXP(-'3.r(t)'!D26*$AR$21)</f>
        <v>0.97765346695821032</v>
      </c>
      <c r="D28" s="7">
        <v>1</v>
      </c>
      <c r="E28" s="7"/>
      <c r="F28" s="7">
        <v>20</v>
      </c>
      <c r="G28" s="48">
        <f>$AS$7*EXP(-'3.r(t)'!D26*$AS$21)</f>
        <v>0.9553476245219803</v>
      </c>
      <c r="H28" s="7">
        <f ca="1">$AS$8*EXP(-'3.r(t)'!E26*$AS$22)</f>
        <v>0.97581377900337329</v>
      </c>
      <c r="I28" s="7">
        <v>1</v>
      </c>
      <c r="J28" s="7"/>
      <c r="K28" s="7">
        <v>20</v>
      </c>
      <c r="L28" s="7">
        <f>$AT$7*EXP(-'3.r(t)'!D26*$AT$21)</f>
        <v>0.93311670519824419</v>
      </c>
      <c r="M28" s="7">
        <f ca="1">$AT$8*EXP(-'3.r(t)'!E26*$AT$22)</f>
        <v>0.95176402582340447</v>
      </c>
      <c r="N28" s="7">
        <f ca="1">$AT$9*EXP(-'3.r(t)'!F26*$AT$23)</f>
        <v>0.97322761422791615</v>
      </c>
      <c r="O28" s="7">
        <v>1</v>
      </c>
      <c r="P28" s="7"/>
      <c r="Q28" s="7">
        <v>20</v>
      </c>
      <c r="R28" s="7">
        <f>$AU$7*EXP(-'3.r(t)'!D26*$AU$21)</f>
        <v>0.91099305977534117</v>
      </c>
      <c r="S28" s="7">
        <f ca="1">$AU$8*EXP(-'3.r(t)'!E26*$AU$22)</f>
        <v>0.92788367160664365</v>
      </c>
      <c r="T28" s="7">
        <f ca="1">$AU$9*EXP(-'3.r(t)'!F26*$AU$23)</f>
        <v>0.94673426002172845</v>
      </c>
      <c r="U28" s="7">
        <f ca="1">$AU$10*EXP(-'3.r(t)'!G26*$AU$24)</f>
        <v>0.97425024561690898</v>
      </c>
      <c r="V28" s="7">
        <v>1</v>
      </c>
      <c r="W28" s="7"/>
      <c r="X28" s="7">
        <v>20</v>
      </c>
      <c r="Y28" s="7">
        <f>$AV$7*EXP(-'3.r(t)'!D26*$AV$21)</f>
        <v>0.88900715067201674</v>
      </c>
      <c r="Z28" s="7">
        <f ca="1">$AV$8*EXP(-'3.r(t)'!E26*$AV$22)</f>
        <v>0.90420353562866007</v>
      </c>
      <c r="AA28" s="7">
        <f ca="1">$AV$9*EXP(-'3.r(t)'!F26*$AV$23)</f>
        <v>0.9205503038368682</v>
      </c>
      <c r="AB28" s="7">
        <f ca="1">$AV$10*EXP(-'3.r(t)'!G26*$AV$24)</f>
        <v>0.94873331159918417</v>
      </c>
      <c r="AC28" s="7">
        <f ca="1">$AV$11*EXP(-'3.r(t)'!H26*$AV$25)</f>
        <v>0.98003501758212619</v>
      </c>
      <c r="AD28" s="7">
        <v>1</v>
      </c>
      <c r="AE28" s="7"/>
      <c r="AF28" s="7">
        <v>20</v>
      </c>
      <c r="AG28" s="7">
        <f>$AW$7*EXP(-'3.r(t)'!D26*$AW$21)</f>
        <v>0.86718755429225491</v>
      </c>
      <c r="AH28" s="7">
        <f ca="1">$AW$8*EXP(-'3.r(t)'!E26*$AW$22)</f>
        <v>0.880752340054474</v>
      </c>
      <c r="AI28" s="7">
        <f ca="1">$AW$9*EXP(-'3.r(t)'!F26*$AW$23)</f>
        <v>0.89470370156361179</v>
      </c>
      <c r="AJ28" s="7">
        <f ca="1">$AW$10*EXP(-'3.r(t)'!G26*$AW$24)</f>
        <v>0.92347978146225862</v>
      </c>
      <c r="AK28" s="7">
        <f ca="1">$AW$11*EXP(-'3.r(t)'!H26*$AW$25)</f>
        <v>0.96004180224939495</v>
      </c>
      <c r="AL28" s="7">
        <f ca="1">$AW$12*EXP(-'3.r(t)'!I26*$AW$26)</f>
        <v>0.97972827398732498</v>
      </c>
      <c r="AM28" s="7">
        <v>1</v>
      </c>
      <c r="AN28" s="7"/>
      <c r="AP28" s="7">
        <v>3.5</v>
      </c>
      <c r="AQ28" s="34"/>
      <c r="AR28" s="34"/>
      <c r="AS28" s="34"/>
      <c r="AT28" s="34"/>
      <c r="AU28" s="34"/>
      <c r="AV28" s="34"/>
      <c r="AW28" s="34"/>
      <c r="AX28" s="34"/>
      <c r="AY28" s="34">
        <v>0.5</v>
      </c>
    </row>
    <row r="29" spans="2:53">
      <c r="B29" s="7">
        <v>21</v>
      </c>
      <c r="C29" s="7">
        <f>$AR$7*EXP(-'3.r(t)'!D27*$AR$21)</f>
        <v>0.97765346695821032</v>
      </c>
      <c r="D29" s="7">
        <v>1</v>
      </c>
      <c r="E29" s="7"/>
      <c r="F29" s="7">
        <v>21</v>
      </c>
      <c r="G29" s="48">
        <f>$AS$7*EXP(-'3.r(t)'!D27*$AS$21)</f>
        <v>0.9553476245219803</v>
      </c>
      <c r="H29" s="7">
        <f ca="1">$AS$8*EXP(-'3.r(t)'!E27*$AS$22)</f>
        <v>0.97967528798823544</v>
      </c>
      <c r="I29" s="7">
        <v>1</v>
      </c>
      <c r="J29" s="7"/>
      <c r="K29" s="7">
        <v>21</v>
      </c>
      <c r="L29" s="7">
        <f>$AT$7*EXP(-'3.r(t)'!D27*$AT$21)</f>
        <v>0.93311670519824419</v>
      </c>
      <c r="M29" s="7">
        <f ca="1">$AT$8*EXP(-'3.r(t)'!E27*$AT$22)</f>
        <v>0.95931160773310775</v>
      </c>
      <c r="N29" s="7">
        <f ca="1">$AT$9*EXP(-'3.r(t)'!F27*$AT$23)</f>
        <v>0.97821339208113633</v>
      </c>
      <c r="O29" s="7">
        <v>1</v>
      </c>
      <c r="P29" s="7"/>
      <c r="Q29" s="7">
        <v>21</v>
      </c>
      <c r="R29" s="7">
        <f>$AU$7*EXP(-'3.r(t)'!D27*$AU$21)</f>
        <v>0.91099305977534117</v>
      </c>
      <c r="S29" s="7">
        <f ca="1">$AU$8*EXP(-'3.r(t)'!E27*$AU$22)</f>
        <v>0.93894283705790405</v>
      </c>
      <c r="T29" s="7">
        <f ca="1">$AU$9*EXP(-'3.r(t)'!F27*$AU$23)</f>
        <v>0.95645921497327302</v>
      </c>
      <c r="U29" s="7">
        <f ca="1">$AU$10*EXP(-'3.r(t)'!G27*$AU$24)</f>
        <v>0.9841509838416258</v>
      </c>
      <c r="V29" s="7">
        <v>1</v>
      </c>
      <c r="W29" s="7"/>
      <c r="X29" s="7">
        <v>21</v>
      </c>
      <c r="Y29" s="7">
        <f>$AV$7*EXP(-'3.r(t)'!D27*$AV$21)</f>
        <v>0.88900715067201674</v>
      </c>
      <c r="Z29" s="7">
        <f ca="1">$AV$8*EXP(-'3.r(t)'!E27*$AV$22)</f>
        <v>0.91860124291349832</v>
      </c>
      <c r="AA29" s="7">
        <f ca="1">$AV$9*EXP(-'3.r(t)'!F27*$AV$23)</f>
        <v>0.93477065242406565</v>
      </c>
      <c r="AB29" s="7">
        <f ca="1">$AV$10*EXP(-'3.r(t)'!G27*$AV$24)</f>
        <v>0.9681141407354521</v>
      </c>
      <c r="AC29" s="7">
        <f ca="1">$AV$11*EXP(-'3.r(t)'!H27*$AV$25)</f>
        <v>0.98043849841948993</v>
      </c>
      <c r="AD29" s="7">
        <v>1</v>
      </c>
      <c r="AE29" s="7"/>
      <c r="AF29" s="7">
        <v>21</v>
      </c>
      <c r="AG29" s="7">
        <f>$AW$7*EXP(-'3.r(t)'!D27*$AW$21)</f>
        <v>0.86718755429225491</v>
      </c>
      <c r="AH29" s="7">
        <f ca="1">$AW$8*EXP(-'3.r(t)'!E27*$AW$22)</f>
        <v>0.89831745925689477</v>
      </c>
      <c r="AI29" s="7">
        <f ca="1">$AW$9*EXP(-'3.r(t)'!F27*$AW$23)</f>
        <v>0.91317909031845601</v>
      </c>
      <c r="AJ29" s="7">
        <f ca="1">$AW$10*EXP(-'3.r(t)'!G27*$AW$24)</f>
        <v>0.9519212297141777</v>
      </c>
      <c r="AK29" s="7">
        <f ca="1">$AW$11*EXP(-'3.r(t)'!H27*$AW$25)</f>
        <v>0.96083246421789437</v>
      </c>
      <c r="AL29" s="7">
        <f ca="1">$AW$12*EXP(-'3.r(t)'!I27*$AW$26)</f>
        <v>0.98277546693460305</v>
      </c>
      <c r="AM29" s="7">
        <v>1</v>
      </c>
      <c r="AN29" s="7"/>
      <c r="AP29" s="7">
        <v>4</v>
      </c>
      <c r="AQ29" s="34"/>
      <c r="AR29" s="34"/>
      <c r="AS29" s="34"/>
      <c r="AT29" s="34"/>
      <c r="AU29" s="34"/>
      <c r="AV29" s="34"/>
      <c r="AW29" s="34"/>
      <c r="AX29" s="34"/>
      <c r="AY29" s="34"/>
    </row>
    <row r="30" spans="2:53">
      <c r="B30" s="7">
        <v>22</v>
      </c>
      <c r="C30" s="7">
        <f>$AR$7*EXP(-'3.r(t)'!D28*$AR$21)</f>
        <v>0.97765346695821032</v>
      </c>
      <c r="D30" s="7">
        <v>1</v>
      </c>
      <c r="E30" s="7"/>
      <c r="F30" s="7">
        <v>22</v>
      </c>
      <c r="G30" s="48">
        <f>$AS$7*EXP(-'3.r(t)'!D28*$AS$21)</f>
        <v>0.9553476245219803</v>
      </c>
      <c r="H30" s="7">
        <f ca="1">$AS$8*EXP(-'3.r(t)'!E28*$AS$22)</f>
        <v>0.97862490691304471</v>
      </c>
      <c r="I30" s="7">
        <v>1</v>
      </c>
      <c r="J30" s="7"/>
      <c r="K30" s="7">
        <v>22</v>
      </c>
      <c r="L30" s="7">
        <f>$AT$7*EXP(-'3.r(t)'!D28*$AT$21)</f>
        <v>0.93311670519824419</v>
      </c>
      <c r="M30" s="7">
        <f ca="1">$AT$8*EXP(-'3.r(t)'!E28*$AT$22)</f>
        <v>0.95725561512656643</v>
      </c>
      <c r="N30" s="7">
        <f ca="1">$AT$9*EXP(-'3.r(t)'!F28*$AT$23)</f>
        <v>0.97615224960103109</v>
      </c>
      <c r="O30" s="7">
        <v>1</v>
      </c>
      <c r="P30" s="7"/>
      <c r="Q30" s="7">
        <v>22</v>
      </c>
      <c r="R30" s="7">
        <f>$AU$7*EXP(-'3.r(t)'!D28*$AU$21)</f>
        <v>0.91099305977534117</v>
      </c>
      <c r="S30" s="7">
        <f ca="1">$AU$8*EXP(-'3.r(t)'!E28*$AU$22)</f>
        <v>0.93592594743499335</v>
      </c>
      <c r="T30" s="7">
        <f ca="1">$AU$9*EXP(-'3.r(t)'!F28*$AU$23)</f>
        <v>0.95243285054473414</v>
      </c>
      <c r="U30" s="7">
        <f ca="1">$AU$10*EXP(-'3.r(t)'!G28*$AU$24)</f>
        <v>0.97497104565886938</v>
      </c>
      <c r="V30" s="7">
        <v>1</v>
      </c>
      <c r="W30" s="7"/>
      <c r="X30" s="7">
        <v>22</v>
      </c>
      <c r="Y30" s="7">
        <f>$AV$7*EXP(-'3.r(t)'!D28*$AV$21)</f>
        <v>0.88900715067201674</v>
      </c>
      <c r="Z30" s="7">
        <f ca="1">$AV$8*EXP(-'3.r(t)'!E28*$AV$22)</f>
        <v>0.91466797766631336</v>
      </c>
      <c r="AA30" s="7">
        <f ca="1">$AV$9*EXP(-'3.r(t)'!F28*$AV$23)</f>
        <v>0.928874274206406</v>
      </c>
      <c r="AB30" s="7">
        <f ca="1">$AV$10*EXP(-'3.r(t)'!G28*$AV$24)</f>
        <v>0.95013767354077616</v>
      </c>
      <c r="AC30" s="7">
        <f ca="1">$AV$11*EXP(-'3.r(t)'!H28*$AV$25)</f>
        <v>0.97529400871696836</v>
      </c>
      <c r="AD30" s="7">
        <v>1</v>
      </c>
      <c r="AE30" s="7"/>
      <c r="AF30" s="7">
        <v>22</v>
      </c>
      <c r="AG30" s="7">
        <f>$AW$7*EXP(-'3.r(t)'!D28*$AW$21)</f>
        <v>0.86718755429225491</v>
      </c>
      <c r="AH30" s="7">
        <f ca="1">$AW$8*EXP(-'3.r(t)'!E28*$AW$22)</f>
        <v>0.89351201766617994</v>
      </c>
      <c r="AI30" s="7">
        <f ca="1">$AW$9*EXP(-'3.r(t)'!F28*$AW$23)</f>
        <v>0.90550693298218365</v>
      </c>
      <c r="AJ30" s="7">
        <f ca="1">$AW$10*EXP(-'3.r(t)'!G28*$AW$24)</f>
        <v>0.9255310107042396</v>
      </c>
      <c r="AK30" s="7">
        <f ca="1">$AW$11*EXP(-'3.r(t)'!H28*$AW$25)</f>
        <v>0.95077568970397308</v>
      </c>
      <c r="AL30" s="7">
        <f ca="1">$AW$12*EXP(-'3.r(t)'!I28*$AW$26)</f>
        <v>0.97800012429853256</v>
      </c>
      <c r="AM30" s="7">
        <v>1</v>
      </c>
      <c r="AN30" s="7"/>
    </row>
    <row r="31" spans="2:53">
      <c r="B31" s="7">
        <v>23</v>
      </c>
      <c r="C31" s="7">
        <f>$AR$7*EXP(-'3.r(t)'!D29*$AR$21)</f>
        <v>0.97765346695821032</v>
      </c>
      <c r="D31" s="7">
        <v>1</v>
      </c>
      <c r="E31" s="7"/>
      <c r="F31" s="7">
        <v>23</v>
      </c>
      <c r="G31" s="48">
        <f>$AS$7*EXP(-'3.r(t)'!D29*$AS$21)</f>
        <v>0.9553476245219803</v>
      </c>
      <c r="H31" s="7">
        <f ca="1">$AS$8*EXP(-'3.r(t)'!E29*$AS$22)</f>
        <v>0.97505338362203275</v>
      </c>
      <c r="I31" s="7">
        <v>1</v>
      </c>
      <c r="J31" s="7"/>
      <c r="K31" s="7">
        <v>23</v>
      </c>
      <c r="L31" s="7">
        <f>$AT$7*EXP(-'3.r(t)'!D29*$AT$21)</f>
        <v>0.93311670519824419</v>
      </c>
      <c r="M31" s="7">
        <f ca="1">$AT$8*EXP(-'3.r(t)'!E29*$AT$22)</f>
        <v>0.95028129415986884</v>
      </c>
      <c r="N31" s="7">
        <f ca="1">$AT$9*EXP(-'3.r(t)'!F29*$AT$23)</f>
        <v>0.97538282698343681</v>
      </c>
      <c r="O31" s="7">
        <v>1</v>
      </c>
      <c r="P31" s="7"/>
      <c r="Q31" s="7">
        <v>23</v>
      </c>
      <c r="R31" s="7">
        <f>$AU$7*EXP(-'3.r(t)'!D29*$AU$21)</f>
        <v>0.91099305977534117</v>
      </c>
      <c r="S31" s="7">
        <f ca="1">$AU$8*EXP(-'3.r(t)'!E29*$AU$22)</f>
        <v>0.92571622281070975</v>
      </c>
      <c r="T31" s="7">
        <f ca="1">$AU$9*EXP(-'3.r(t)'!F29*$AU$23)</f>
        <v>0.9509319892512873</v>
      </c>
      <c r="U31" s="7">
        <f ca="1">$AU$10*EXP(-'3.r(t)'!G29*$AU$24)</f>
        <v>0.97444779003231208</v>
      </c>
      <c r="V31" s="7">
        <v>1</v>
      </c>
      <c r="W31" s="7"/>
      <c r="X31" s="7">
        <v>23</v>
      </c>
      <c r="Y31" s="7">
        <f>$AV$7*EXP(-'3.r(t)'!D29*$AV$21)</f>
        <v>0.88900715067201674</v>
      </c>
      <c r="Z31" s="7">
        <f ca="1">$AV$8*EXP(-'3.r(t)'!E29*$AV$22)</f>
        <v>0.90138845361265296</v>
      </c>
      <c r="AA31" s="7">
        <f ca="1">$AV$9*EXP(-'3.r(t)'!F29*$AV$23)</f>
        <v>0.92667953352280608</v>
      </c>
      <c r="AB31" s="7">
        <f ca="1">$AV$10*EXP(-'3.r(t)'!G29*$AV$24)</f>
        <v>0.94911809152428372</v>
      </c>
      <c r="AC31" s="7">
        <f ca="1">$AV$11*EXP(-'3.r(t)'!H29*$AV$25)</f>
        <v>0.97263163052669255</v>
      </c>
      <c r="AD31" s="7">
        <v>1</v>
      </c>
      <c r="AE31" s="7"/>
      <c r="AF31" s="7">
        <v>23</v>
      </c>
      <c r="AG31" s="7">
        <f>$AW$7*EXP(-'3.r(t)'!D29*$AW$21)</f>
        <v>0.86718755429225491</v>
      </c>
      <c r="AH31" s="7">
        <f ca="1">$AW$8*EXP(-'3.r(t)'!E29*$AW$22)</f>
        <v>0.87732608654918798</v>
      </c>
      <c r="AI31" s="7">
        <f ca="1">$AW$9*EXP(-'3.r(t)'!F29*$AW$23)</f>
        <v>0.90265535241046324</v>
      </c>
      <c r="AJ31" s="7">
        <f ca="1">$AW$10*EXP(-'3.r(t)'!G29*$AW$24)</f>
        <v>0.92404164511195586</v>
      </c>
      <c r="AK31" s="7">
        <f ca="1">$AW$11*EXP(-'3.r(t)'!H29*$AW$25)</f>
        <v>0.94559187968151182</v>
      </c>
      <c r="AL31" s="7">
        <f ca="1">$AW$12*EXP(-'3.r(t)'!I29*$AW$26)</f>
        <v>0.97043114663119656</v>
      </c>
      <c r="AM31" s="7">
        <v>1</v>
      </c>
      <c r="AN31" s="7"/>
    </row>
    <row r="32" spans="2:53">
      <c r="B32" s="7">
        <v>24</v>
      </c>
      <c r="C32" s="7">
        <f>$AR$7*EXP(-'3.r(t)'!D30*$AR$21)</f>
        <v>0.97765346695821032</v>
      </c>
      <c r="D32" s="7">
        <v>1</v>
      </c>
      <c r="E32" s="7"/>
      <c r="F32" s="7">
        <v>24</v>
      </c>
      <c r="G32" s="48">
        <f>$AS$7*EXP(-'3.r(t)'!D30*$AS$21)</f>
        <v>0.9553476245219803</v>
      </c>
      <c r="H32" s="7">
        <f ca="1">$AS$8*EXP(-'3.r(t)'!E30*$AS$22)</f>
        <v>0.97435154432174642</v>
      </c>
      <c r="I32" s="7">
        <v>1</v>
      </c>
      <c r="J32" s="7"/>
      <c r="K32" s="7">
        <v>24</v>
      </c>
      <c r="L32" s="7">
        <f>$AT$7*EXP(-'3.r(t)'!D30*$AT$21)</f>
        <v>0.93311670519824419</v>
      </c>
      <c r="M32" s="7">
        <f ca="1">$AT$8*EXP(-'3.r(t)'!E30*$AT$22)</f>
        <v>0.94891376959606677</v>
      </c>
      <c r="N32" s="7">
        <f ca="1">$AT$9*EXP(-'3.r(t)'!F30*$AT$23)</f>
        <v>0.97414783808805117</v>
      </c>
      <c r="O32" s="7">
        <v>1</v>
      </c>
      <c r="P32" s="7"/>
      <c r="Q32" s="7">
        <v>24</v>
      </c>
      <c r="R32" s="7">
        <f>$AU$7*EXP(-'3.r(t)'!D30*$AU$21)</f>
        <v>0.91099305977534117</v>
      </c>
      <c r="S32" s="7">
        <f ca="1">$AU$8*EXP(-'3.r(t)'!E30*$AU$22)</f>
        <v>0.92371868146072078</v>
      </c>
      <c r="T32" s="7">
        <f ca="1">$AU$9*EXP(-'3.r(t)'!F30*$AU$23)</f>
        <v>0.94852545320714465</v>
      </c>
      <c r="U32" s="7">
        <f ca="1">$AU$10*EXP(-'3.r(t)'!G30*$AU$24)</f>
        <v>0.97312089908851507</v>
      </c>
      <c r="V32" s="7">
        <v>1</v>
      </c>
      <c r="W32" s="7"/>
      <c r="X32" s="7">
        <v>24</v>
      </c>
      <c r="Y32" s="7">
        <f>$AV$7*EXP(-'3.r(t)'!D30*$AV$21)</f>
        <v>0.88900715067201674</v>
      </c>
      <c r="Z32" s="7">
        <f ca="1">$AV$8*EXP(-'3.r(t)'!E30*$AV$22)</f>
        <v>0.89879599197529136</v>
      </c>
      <c r="AA32" s="7">
        <f ca="1">$AV$9*EXP(-'3.r(t)'!F30*$AV$23)</f>
        <v>0.92316402000511566</v>
      </c>
      <c r="AB32" s="7">
        <f ca="1">$AV$10*EXP(-'3.r(t)'!G30*$AV$24)</f>
        <v>0.94653505161949403</v>
      </c>
      <c r="AC32" s="7">
        <f ca="1">$AV$11*EXP(-'3.r(t)'!H30*$AV$25)</f>
        <v>0.96850000219144072</v>
      </c>
      <c r="AD32" s="7">
        <v>1</v>
      </c>
      <c r="AE32" s="7"/>
      <c r="AF32" s="7">
        <v>24</v>
      </c>
      <c r="AG32" s="7">
        <f>$AW$7*EXP(-'3.r(t)'!D30*$AW$21)</f>
        <v>0.86718755429225491</v>
      </c>
      <c r="AH32" s="7">
        <f ca="1">$AW$8*EXP(-'3.r(t)'!E30*$AW$22)</f>
        <v>0.87417315073061419</v>
      </c>
      <c r="AI32" s="7">
        <f ca="1">$AW$9*EXP(-'3.r(t)'!F30*$AW$23)</f>
        <v>0.89809241002105944</v>
      </c>
      <c r="AJ32" s="7">
        <f ca="1">$AW$10*EXP(-'3.r(t)'!G30*$AW$24)</f>
        <v>0.92027202185800638</v>
      </c>
      <c r="AK32" s="7">
        <f ca="1">$AW$11*EXP(-'3.r(t)'!H30*$AW$25)</f>
        <v>0.93757540933845274</v>
      </c>
      <c r="AL32" s="7">
        <f ca="1">$AW$12*EXP(-'3.r(t)'!I30*$AW$26)</f>
        <v>0.96650637932850036</v>
      </c>
      <c r="AM32" s="7">
        <v>1</v>
      </c>
      <c r="AN32" s="7"/>
    </row>
    <row r="33" spans="2:40">
      <c r="B33" s="7">
        <v>25</v>
      </c>
      <c r="C33" s="7">
        <f>$AR$7*EXP(-'3.r(t)'!D31*$AR$21)</f>
        <v>0.97765346695821032</v>
      </c>
      <c r="D33" s="7">
        <v>1</v>
      </c>
      <c r="E33" s="7"/>
      <c r="F33" s="7">
        <v>25</v>
      </c>
      <c r="G33" s="48">
        <f>$AS$7*EXP(-'3.r(t)'!D31*$AS$21)</f>
        <v>0.9553476245219803</v>
      </c>
      <c r="H33" s="7">
        <f ca="1">$AS$8*EXP(-'3.r(t)'!E31*$AS$22)</f>
        <v>0.98068857862933256</v>
      </c>
      <c r="I33" s="7">
        <v>1</v>
      </c>
      <c r="J33" s="7"/>
      <c r="K33" s="7">
        <v>25</v>
      </c>
      <c r="L33" s="7">
        <f>$AT$7*EXP(-'3.r(t)'!D31*$AT$21)</f>
        <v>0.93311670519824419</v>
      </c>
      <c r="M33" s="7">
        <f ca="1">$AT$8*EXP(-'3.r(t)'!E31*$AT$22)</f>
        <v>0.96129709046136369</v>
      </c>
      <c r="N33" s="7">
        <f ca="1">$AT$9*EXP(-'3.r(t)'!F31*$AT$23)</f>
        <v>0.97667388686454792</v>
      </c>
      <c r="O33" s="7">
        <v>1</v>
      </c>
      <c r="P33" s="7"/>
      <c r="Q33" s="7">
        <v>25</v>
      </c>
      <c r="R33" s="7">
        <f>$AU$7*EXP(-'3.r(t)'!D31*$AU$21)</f>
        <v>0.91099305977534117</v>
      </c>
      <c r="S33" s="7">
        <f ca="1">$AU$8*EXP(-'3.r(t)'!E31*$AU$22)</f>
        <v>0.94185933319136406</v>
      </c>
      <c r="T33" s="7">
        <f ca="1">$AU$9*EXP(-'3.r(t)'!F31*$AU$23)</f>
        <v>0.95345104665673286</v>
      </c>
      <c r="U33" s="7">
        <f ca="1">$AU$10*EXP(-'3.r(t)'!G31*$AU$24)</f>
        <v>0.97567887024106081</v>
      </c>
      <c r="V33" s="7">
        <v>1</v>
      </c>
      <c r="W33" s="7"/>
      <c r="X33" s="7">
        <v>25</v>
      </c>
      <c r="Y33" s="7">
        <f>$AV$7*EXP(-'3.r(t)'!D31*$AV$21)</f>
        <v>0.88900715067201674</v>
      </c>
      <c r="Z33" s="7">
        <f ca="1">$AV$8*EXP(-'3.r(t)'!E31*$AV$22)</f>
        <v>0.92240762722412584</v>
      </c>
      <c r="AA33" s="7">
        <f ca="1">$AV$9*EXP(-'3.r(t)'!F31*$AV$23)</f>
        <v>0.93036418853305558</v>
      </c>
      <c r="AB33" s="7">
        <f ca="1">$AV$10*EXP(-'3.r(t)'!G31*$AV$24)</f>
        <v>0.95151776566137525</v>
      </c>
      <c r="AC33" s="7">
        <f ca="1">$AV$11*EXP(-'3.r(t)'!H31*$AV$25)</f>
        <v>0.97604230077465148</v>
      </c>
      <c r="AD33" s="7">
        <v>1</v>
      </c>
      <c r="AE33" s="7"/>
      <c r="AF33" s="7">
        <v>25</v>
      </c>
      <c r="AG33" s="7">
        <f>$AW$7*EXP(-'3.r(t)'!D31*$AW$21)</f>
        <v>0.86718755429225491</v>
      </c>
      <c r="AH33" s="7">
        <f ca="1">$AW$8*EXP(-'3.r(t)'!E31*$AW$22)</f>
        <v>0.90297278543562076</v>
      </c>
      <c r="AI33" s="7">
        <f ca="1">$AW$9*EXP(-'3.r(t)'!F31*$AW$23)</f>
        <v>0.90744402799155754</v>
      </c>
      <c r="AJ33" s="7">
        <f ca="1">$AW$10*EXP(-'3.r(t)'!G31*$AW$24)</f>
        <v>0.92754826853510375</v>
      </c>
      <c r="AK33" s="7">
        <f ca="1">$AW$11*EXP(-'3.r(t)'!H31*$AW$25)</f>
        <v>0.95223521026513724</v>
      </c>
      <c r="AL33" s="7">
        <f ca="1">$AW$12*EXP(-'3.r(t)'!I31*$AW$26)</f>
        <v>0.97514126994100458</v>
      </c>
      <c r="AM33" s="7">
        <v>1</v>
      </c>
      <c r="AN33" s="7"/>
    </row>
    <row r="34" spans="2:40">
      <c r="B34" s="7">
        <v>26</v>
      </c>
      <c r="C34" s="7">
        <f>$AR$7*EXP(-'3.r(t)'!D32*$AR$21)</f>
        <v>0.97765346695821032</v>
      </c>
      <c r="D34" s="7">
        <v>1</v>
      </c>
      <c r="E34" s="7"/>
      <c r="F34" s="7">
        <v>26</v>
      </c>
      <c r="G34" s="48">
        <f>$AS$7*EXP(-'3.r(t)'!D32*$AS$21)</f>
        <v>0.9553476245219803</v>
      </c>
      <c r="H34" s="7">
        <f ca="1">$AS$8*EXP(-'3.r(t)'!E32*$AS$22)</f>
        <v>0.97244747071046322</v>
      </c>
      <c r="I34" s="7">
        <v>1</v>
      </c>
      <c r="J34" s="7"/>
      <c r="K34" s="7">
        <v>26</v>
      </c>
      <c r="L34" s="7">
        <f>$AT$7*EXP(-'3.r(t)'!D32*$AT$21)</f>
        <v>0.93311670519824419</v>
      </c>
      <c r="M34" s="7">
        <f ca="1">$AT$8*EXP(-'3.r(t)'!E32*$AT$22)</f>
        <v>0.94520866694281402</v>
      </c>
      <c r="N34" s="7">
        <f ca="1">$AT$9*EXP(-'3.r(t)'!F32*$AT$23)</f>
        <v>0.9709839016560543</v>
      </c>
      <c r="O34" s="7">
        <v>1</v>
      </c>
      <c r="P34" s="7"/>
      <c r="Q34" s="7">
        <v>26</v>
      </c>
      <c r="R34" s="7">
        <f>$AU$7*EXP(-'3.r(t)'!D32*$AU$21)</f>
        <v>0.91099305977534117</v>
      </c>
      <c r="S34" s="7">
        <f ca="1">$AU$8*EXP(-'3.r(t)'!E32*$AU$22)</f>
        <v>0.9183138760188414</v>
      </c>
      <c r="T34" s="7">
        <f ca="1">$AU$9*EXP(-'3.r(t)'!F32*$AU$23)</f>
        <v>0.94237402418610461</v>
      </c>
      <c r="U34" s="7">
        <f ca="1">$AU$10*EXP(-'3.r(t)'!G32*$AU$24)</f>
        <v>0.96671440131999109</v>
      </c>
      <c r="V34" s="7">
        <v>1</v>
      </c>
      <c r="W34" s="7"/>
      <c r="X34" s="7">
        <v>26</v>
      </c>
      <c r="Y34" s="7">
        <f>$AV$7*EXP(-'3.r(t)'!D32*$AV$21)</f>
        <v>0.88900715067201674</v>
      </c>
      <c r="Z34" s="7">
        <f ca="1">$AV$8*EXP(-'3.r(t)'!E32*$AV$22)</f>
        <v>0.89179086642807226</v>
      </c>
      <c r="AA34" s="7">
        <f ca="1">$AV$9*EXP(-'3.r(t)'!F32*$AV$23)</f>
        <v>0.91419816536957665</v>
      </c>
      <c r="AB34" s="7">
        <f ca="1">$AV$10*EXP(-'3.r(t)'!G32*$AV$24)</f>
        <v>0.93411313415979991</v>
      </c>
      <c r="AC34" s="7">
        <f ca="1">$AV$11*EXP(-'3.r(t)'!H32*$AV$25)</f>
        <v>0.96983617413066148</v>
      </c>
      <c r="AD34" s="7">
        <v>1</v>
      </c>
      <c r="AE34" s="7"/>
      <c r="AF34" s="7">
        <v>26</v>
      </c>
      <c r="AG34" s="7">
        <f>$AW$7*EXP(-'3.r(t)'!D32*$AW$21)</f>
        <v>0.86718755429225491</v>
      </c>
      <c r="AH34" s="7">
        <f ca="1">$AW$8*EXP(-'3.r(t)'!E32*$AW$22)</f>
        <v>0.86566494206780353</v>
      </c>
      <c r="AI34" s="7">
        <f ca="1">$AW$9*EXP(-'3.r(t)'!F32*$AW$23)</f>
        <v>0.88648146666922867</v>
      </c>
      <c r="AJ34" s="7">
        <f ca="1">$AW$10*EXP(-'3.r(t)'!G32*$AW$24)</f>
        <v>0.90221570955966146</v>
      </c>
      <c r="AK34" s="7">
        <f ca="1">$AW$11*EXP(-'3.r(t)'!H32*$AW$25)</f>
        <v>0.94016420876889839</v>
      </c>
      <c r="AL34" s="7">
        <f ca="1">$AW$12*EXP(-'3.r(t)'!I32*$AW$26)</f>
        <v>0.96896588142248141</v>
      </c>
      <c r="AM34" s="7">
        <v>1</v>
      </c>
      <c r="AN34" s="7"/>
    </row>
    <row r="35" spans="2:40">
      <c r="B35" s="7">
        <v>27</v>
      </c>
      <c r="C35" s="7">
        <f>$AR$7*EXP(-'3.r(t)'!D33*$AR$21)</f>
        <v>0.97765346695821032</v>
      </c>
      <c r="D35" s="7">
        <v>1</v>
      </c>
      <c r="E35" s="7"/>
      <c r="F35" s="7">
        <v>27</v>
      </c>
      <c r="G35" s="48">
        <f>$AS$7*EXP(-'3.r(t)'!D33*$AS$21)</f>
        <v>0.9553476245219803</v>
      </c>
      <c r="H35" s="7">
        <f ca="1">$AS$8*EXP(-'3.r(t)'!E33*$AS$22)</f>
        <v>0.9774426036846986</v>
      </c>
      <c r="I35" s="7">
        <v>1</v>
      </c>
      <c r="J35" s="7"/>
      <c r="K35" s="7">
        <v>27</v>
      </c>
      <c r="L35" s="7">
        <f>$AT$7*EXP(-'3.r(t)'!D33*$AT$21)</f>
        <v>0.93311670519824419</v>
      </c>
      <c r="M35" s="7">
        <f ca="1">$AT$8*EXP(-'3.r(t)'!E33*$AT$22)</f>
        <v>0.95494403949157225</v>
      </c>
      <c r="N35" s="7">
        <f ca="1">$AT$9*EXP(-'3.r(t)'!F33*$AT$23)</f>
        <v>0.9787878198664014</v>
      </c>
      <c r="O35" s="7">
        <v>1</v>
      </c>
      <c r="P35" s="7"/>
      <c r="Q35" s="7">
        <v>27</v>
      </c>
      <c r="R35" s="7">
        <f>$AU$7*EXP(-'3.r(t)'!D33*$AU$21)</f>
        <v>0.91099305977534117</v>
      </c>
      <c r="S35" s="7">
        <f ca="1">$AU$8*EXP(-'3.r(t)'!E33*$AU$22)</f>
        <v>0.93253789155537137</v>
      </c>
      <c r="T35" s="7">
        <f ca="1">$AU$9*EXP(-'3.r(t)'!F33*$AU$23)</f>
        <v>0.95758285132424492</v>
      </c>
      <c r="U35" s="7">
        <f ca="1">$AU$10*EXP(-'3.r(t)'!G33*$AU$24)</f>
        <v>0.97708697027192903</v>
      </c>
      <c r="V35" s="7">
        <v>1</v>
      </c>
      <c r="W35" s="7"/>
      <c r="X35" s="7">
        <v>27</v>
      </c>
      <c r="Y35" s="7">
        <f>$AV$7*EXP(-'3.r(t)'!D33*$AV$21)</f>
        <v>0.88900715067201674</v>
      </c>
      <c r="Z35" s="7">
        <f ca="1">$AV$8*EXP(-'3.r(t)'!E33*$AV$22)</f>
        <v>0.91025584082714617</v>
      </c>
      <c r="AA35" s="7">
        <f ca="1">$AV$9*EXP(-'3.r(t)'!F33*$AV$23)</f>
        <v>0.93641837146474671</v>
      </c>
      <c r="AB35" s="7">
        <f ca="1">$AV$10*EXP(-'3.r(t)'!G33*$AV$24)</f>
        <v>0.95426620894369441</v>
      </c>
      <c r="AC35" s="7">
        <f ca="1">$AV$11*EXP(-'3.r(t)'!H33*$AV$25)</f>
        <v>0.97797693376727313</v>
      </c>
      <c r="AD35" s="7">
        <v>1</v>
      </c>
      <c r="AE35" s="7"/>
      <c r="AF35" s="7">
        <v>27</v>
      </c>
      <c r="AG35" s="7">
        <f>$AW$7*EXP(-'3.r(t)'!D33*$AW$21)</f>
        <v>0.86718755429225491</v>
      </c>
      <c r="AH35" s="7">
        <f ca="1">$AW$8*EXP(-'3.r(t)'!E33*$AW$22)</f>
        <v>0.88812766314224334</v>
      </c>
      <c r="AI35" s="7">
        <f ca="1">$AW$9*EXP(-'3.r(t)'!F33*$AW$23)</f>
        <v>0.91532593342156787</v>
      </c>
      <c r="AJ35" s="7">
        <f ca="1">$AW$10*EXP(-'3.r(t)'!G33*$AW$24)</f>
        <v>0.93156998088845289</v>
      </c>
      <c r="AK35" s="7">
        <f ca="1">$AW$11*EXP(-'3.r(t)'!H33*$AW$25)</f>
        <v>0.95601384037007087</v>
      </c>
      <c r="AL35" s="7">
        <f ca="1">$AW$12*EXP(-'3.r(t)'!I33*$AW$26)</f>
        <v>0.97765181104289933</v>
      </c>
      <c r="AM35" s="7">
        <v>1</v>
      </c>
      <c r="AN35" s="7"/>
    </row>
    <row r="36" spans="2:40">
      <c r="B36" s="7">
        <v>28</v>
      </c>
      <c r="C36" s="7">
        <f>$AR$7*EXP(-'3.r(t)'!D34*$AR$21)</f>
        <v>0.97765346695821032</v>
      </c>
      <c r="D36" s="7">
        <v>1</v>
      </c>
      <c r="E36" s="7"/>
      <c r="F36" s="7">
        <v>28</v>
      </c>
      <c r="G36" s="48">
        <f>$AS$7*EXP(-'3.r(t)'!D34*$AS$21)</f>
        <v>0.9553476245219803</v>
      </c>
      <c r="H36" s="7">
        <f ca="1">$AS$8*EXP(-'3.r(t)'!E34*$AS$22)</f>
        <v>0.97489072342097793</v>
      </c>
      <c r="I36" s="7">
        <v>1</v>
      </c>
      <c r="J36" s="7"/>
      <c r="K36" s="7">
        <v>28</v>
      </c>
      <c r="L36" s="7">
        <f>$AT$7*EXP(-'3.r(t)'!D34*$AT$21)</f>
        <v>0.93311670519824419</v>
      </c>
      <c r="M36" s="7">
        <f ca="1">$AT$8*EXP(-'3.r(t)'!E34*$AT$22)</f>
        <v>0.94996426525480349</v>
      </c>
      <c r="N36" s="7">
        <f ca="1">$AT$9*EXP(-'3.r(t)'!F34*$AT$23)</f>
        <v>0.97515606612885586</v>
      </c>
      <c r="O36" s="7">
        <v>1</v>
      </c>
      <c r="P36" s="7"/>
      <c r="Q36" s="7">
        <v>28</v>
      </c>
      <c r="R36" s="7">
        <f>$AU$7*EXP(-'3.r(t)'!D34*$AU$21)</f>
        <v>0.91099305977534117</v>
      </c>
      <c r="S36" s="7">
        <f ca="1">$AU$8*EXP(-'3.r(t)'!E34*$AU$22)</f>
        <v>0.92525301103804924</v>
      </c>
      <c r="T36" s="7">
        <f ca="1">$AU$9*EXP(-'3.r(t)'!F34*$AU$23)</f>
        <v>0.95048988779363097</v>
      </c>
      <c r="U36" s="7">
        <f ca="1">$AU$10*EXP(-'3.r(t)'!G34*$AU$24)</f>
        <v>0.97811926404046945</v>
      </c>
      <c r="V36" s="7">
        <v>1</v>
      </c>
      <c r="W36" s="7"/>
      <c r="X36" s="7">
        <v>28</v>
      </c>
      <c r="Y36" s="7">
        <f>$AV$7*EXP(-'3.r(t)'!D34*$AV$21)</f>
        <v>0.88900715067201674</v>
      </c>
      <c r="Z36" s="7">
        <f ca="1">$AV$8*EXP(-'3.r(t)'!E34*$AV$22)</f>
        <v>0.90078711898010388</v>
      </c>
      <c r="AA36" s="7">
        <f ca="1">$AV$9*EXP(-'3.r(t)'!F34*$AV$23)</f>
        <v>0.92603336940759107</v>
      </c>
      <c r="AB36" s="7">
        <f ca="1">$AV$10*EXP(-'3.r(t)'!G34*$AV$24)</f>
        <v>0.95628364129482246</v>
      </c>
      <c r="AC36" s="7">
        <f ca="1">$AV$11*EXP(-'3.r(t)'!H34*$AV$25)</f>
        <v>0.97637860631656415</v>
      </c>
      <c r="AD36" s="7">
        <v>1</v>
      </c>
      <c r="AE36" s="7"/>
      <c r="AF36" s="7">
        <v>28</v>
      </c>
      <c r="AG36" s="7">
        <f>$AW$7*EXP(-'3.r(t)'!D34*$AW$21)</f>
        <v>0.86718755429225491</v>
      </c>
      <c r="AH36" s="7">
        <f ca="1">$AW$8*EXP(-'3.r(t)'!E34*$AW$22)</f>
        <v>0.87659454489721667</v>
      </c>
      <c r="AI36" s="7">
        <f ca="1">$AW$9*EXP(-'3.r(t)'!F34*$AW$23)</f>
        <v>0.90181623355424556</v>
      </c>
      <c r="AJ36" s="7">
        <f ca="1">$AW$10*EXP(-'3.r(t)'!G34*$AW$24)</f>
        <v>0.93452571644325344</v>
      </c>
      <c r="AK36" s="7">
        <f ca="1">$AW$11*EXP(-'3.r(t)'!H34*$AW$25)</f>
        <v>0.95289152843806302</v>
      </c>
      <c r="AL36" s="7">
        <f ca="1">$AW$12*EXP(-'3.r(t)'!I34*$AW$26)</f>
        <v>0.97325465623993035</v>
      </c>
      <c r="AM36" s="7">
        <v>1</v>
      </c>
      <c r="AN36" s="7"/>
    </row>
    <row r="37" spans="2:40">
      <c r="B37" s="7">
        <v>29</v>
      </c>
      <c r="C37" s="7">
        <f>$AR$7*EXP(-'3.r(t)'!D35*$AR$21)</f>
        <v>0.97765346695821032</v>
      </c>
      <c r="D37" s="7">
        <v>1</v>
      </c>
      <c r="E37" s="7"/>
      <c r="F37" s="7">
        <v>29</v>
      </c>
      <c r="G37" s="48">
        <f>$AS$7*EXP(-'3.r(t)'!D35*$AS$21)</f>
        <v>0.9553476245219803</v>
      </c>
      <c r="H37" s="7">
        <f ca="1">$AS$8*EXP(-'3.r(t)'!E35*$AS$22)</f>
        <v>0.97752789041693233</v>
      </c>
      <c r="I37" s="7">
        <v>1</v>
      </c>
      <c r="J37" s="7"/>
      <c r="K37" s="7">
        <v>29</v>
      </c>
      <c r="L37" s="7">
        <f>$AT$7*EXP(-'3.r(t)'!D35*$AT$21)</f>
        <v>0.93311670519824419</v>
      </c>
      <c r="M37" s="7">
        <f ca="1">$AT$8*EXP(-'3.r(t)'!E35*$AT$22)</f>
        <v>0.95511069400302273</v>
      </c>
      <c r="N37" s="7">
        <f ca="1">$AT$9*EXP(-'3.r(t)'!F35*$AT$23)</f>
        <v>0.9767012663493746</v>
      </c>
      <c r="O37" s="7">
        <v>1</v>
      </c>
      <c r="P37" s="7"/>
      <c r="Q37" s="7">
        <v>29</v>
      </c>
      <c r="R37" s="7">
        <f>$AU$7*EXP(-'3.r(t)'!D35*$AU$21)</f>
        <v>0.91099305977534117</v>
      </c>
      <c r="S37" s="7">
        <f ca="1">$AU$8*EXP(-'3.r(t)'!E35*$AU$22)</f>
        <v>0.93278201857321319</v>
      </c>
      <c r="T37" s="7">
        <f ca="1">$AU$9*EXP(-'3.r(t)'!F35*$AU$23)</f>
        <v>0.95350450434557232</v>
      </c>
      <c r="U37" s="7">
        <f ca="1">$AU$10*EXP(-'3.r(t)'!G35*$AU$24)</f>
        <v>0.9780137457534781</v>
      </c>
      <c r="V37" s="7">
        <v>1</v>
      </c>
      <c r="W37" s="7"/>
      <c r="X37" s="7">
        <v>29</v>
      </c>
      <c r="Y37" s="7">
        <f>$AV$7*EXP(-'3.r(t)'!D35*$AV$21)</f>
        <v>0.88900715067201674</v>
      </c>
      <c r="Z37" s="7">
        <f ca="1">$AV$8*EXP(-'3.r(t)'!E35*$AV$22)</f>
        <v>0.91057357982163822</v>
      </c>
      <c r="AA37" s="7">
        <f ca="1">$AV$9*EXP(-'3.r(t)'!F35*$AV$23)</f>
        <v>0.93044243452680275</v>
      </c>
      <c r="AB37" s="7">
        <f ca="1">$AV$10*EXP(-'3.r(t)'!G35*$AV$24)</f>
        <v>0.95607732704942983</v>
      </c>
      <c r="AC37" s="7">
        <f ca="1">$AV$11*EXP(-'3.r(t)'!H35*$AV$25)</f>
        <v>0.98094052841873403</v>
      </c>
      <c r="AD37" s="7">
        <v>1</v>
      </c>
      <c r="AE37" s="7"/>
      <c r="AF37" s="7">
        <v>29</v>
      </c>
      <c r="AG37" s="7">
        <f>$AW$7*EXP(-'3.r(t)'!D35*$AW$21)</f>
        <v>0.86718755429225491</v>
      </c>
      <c r="AH37" s="7">
        <f ca="1">$AW$8*EXP(-'3.r(t)'!E35*$AW$22)</f>
        <v>0.88851519856073469</v>
      </c>
      <c r="AI37" s="7">
        <f ca="1">$AW$9*EXP(-'3.r(t)'!F35*$AW$23)</f>
        <v>0.90754578721783929</v>
      </c>
      <c r="AJ37" s="7">
        <f ca="1">$AW$10*EXP(-'3.r(t)'!G35*$AW$24)</f>
        <v>0.93422330266137554</v>
      </c>
      <c r="AK37" s="7">
        <f ca="1">$AW$11*EXP(-'3.r(t)'!H35*$AW$25)</f>
        <v>0.96181669774020795</v>
      </c>
      <c r="AL37" s="7">
        <f ca="1">$AW$12*EXP(-'3.r(t)'!I35*$AW$26)</f>
        <v>0.98496020076099622</v>
      </c>
      <c r="AM37" s="7">
        <v>1</v>
      </c>
      <c r="AN37" s="7"/>
    </row>
    <row r="38" spans="2:40">
      <c r="B38" s="7">
        <v>30</v>
      </c>
      <c r="C38" s="7">
        <f>$AR$7*EXP(-'3.r(t)'!D36*$AR$21)</f>
        <v>0.97765346695821032</v>
      </c>
      <c r="D38" s="7">
        <v>1</v>
      </c>
      <c r="E38" s="7"/>
      <c r="F38" s="7">
        <v>30</v>
      </c>
      <c r="G38" s="48">
        <f>$AS$7*EXP(-'3.r(t)'!D36*$AS$21)</f>
        <v>0.9553476245219803</v>
      </c>
      <c r="H38" s="7">
        <f ca="1">$AS$8*EXP(-'3.r(t)'!E36*$AS$22)</f>
        <v>0.97513652911854554</v>
      </c>
      <c r="I38" s="7">
        <v>1</v>
      </c>
      <c r="J38" s="7"/>
      <c r="K38" s="7">
        <v>30</v>
      </c>
      <c r="L38" s="7">
        <f>$AT$7*EXP(-'3.r(t)'!D36*$AT$21)</f>
        <v>0.93311670519824419</v>
      </c>
      <c r="M38" s="7">
        <f ca="1">$AT$8*EXP(-'3.r(t)'!E36*$AT$22)</f>
        <v>0.95044336729376289</v>
      </c>
      <c r="N38" s="7">
        <f ca="1">$AT$9*EXP(-'3.r(t)'!F36*$AT$23)</f>
        <v>0.97505980603871634</v>
      </c>
      <c r="O38" s="7">
        <v>1</v>
      </c>
      <c r="P38" s="7"/>
      <c r="Q38" s="7">
        <v>30</v>
      </c>
      <c r="R38" s="7">
        <f>$AU$7*EXP(-'3.r(t)'!D36*$AU$21)</f>
        <v>0.91099305977534117</v>
      </c>
      <c r="S38" s="7">
        <f ca="1">$AU$8*EXP(-'3.r(t)'!E36*$AU$22)</f>
        <v>0.92595305814657691</v>
      </c>
      <c r="T38" s="7">
        <f ca="1">$AU$9*EXP(-'3.r(t)'!F36*$AU$23)</f>
        <v>0.9503022465951787</v>
      </c>
      <c r="U38" s="7">
        <f ca="1">$AU$10*EXP(-'3.r(t)'!G36*$AU$24)</f>
        <v>0.97485110226041416</v>
      </c>
      <c r="V38" s="7">
        <v>1</v>
      </c>
      <c r="W38" s="7"/>
      <c r="X38" s="7">
        <v>30</v>
      </c>
      <c r="Y38" s="7">
        <f>$AV$7*EXP(-'3.r(t)'!D36*$AV$21)</f>
        <v>0.88900715067201674</v>
      </c>
      <c r="Z38" s="7">
        <f ca="1">$AV$8*EXP(-'3.r(t)'!E36*$AV$22)</f>
        <v>0.90169594847871537</v>
      </c>
      <c r="AA38" s="7">
        <f ca="1">$AV$9*EXP(-'3.r(t)'!F36*$AV$23)</f>
        <v>0.92575916327866659</v>
      </c>
      <c r="AB38" s="7">
        <f ca="1">$AV$10*EXP(-'3.r(t)'!G36*$AV$24)</f>
        <v>0.9499039112519776</v>
      </c>
      <c r="AC38" s="7">
        <f ca="1">$AV$11*EXP(-'3.r(t)'!H36*$AV$25)</f>
        <v>0.97303878405169841</v>
      </c>
      <c r="AD38" s="7">
        <v>1</v>
      </c>
      <c r="AE38" s="7"/>
      <c r="AF38" s="7">
        <v>30</v>
      </c>
      <c r="AG38" s="7">
        <f>$AW$7*EXP(-'3.r(t)'!D36*$AW$21)</f>
        <v>0.86718755429225491</v>
      </c>
      <c r="AH38" s="7">
        <f ca="1">$AW$8*EXP(-'3.r(t)'!E36*$AW$22)</f>
        <v>0.87770021044804891</v>
      </c>
      <c r="AI38" s="7">
        <f ca="1">$AW$9*EXP(-'3.r(t)'!F36*$AW$23)</f>
        <v>0.90146020414682992</v>
      </c>
      <c r="AJ38" s="7">
        <f ca="1">$AW$10*EXP(-'3.r(t)'!G36*$AW$24)</f>
        <v>0.92518946924321077</v>
      </c>
      <c r="AK38" s="7">
        <f ca="1">$AW$11*EXP(-'3.r(t)'!H36*$AW$25)</f>
        <v>0.94638371420062617</v>
      </c>
      <c r="AL38" s="7">
        <f ca="1">$AW$12*EXP(-'3.r(t)'!I36*$AW$26)</f>
        <v>0.97009812164140874</v>
      </c>
      <c r="AM38" s="7">
        <v>1</v>
      </c>
      <c r="AN38" s="7"/>
    </row>
    <row r="39" spans="2:40">
      <c r="B39" s="7">
        <v>31</v>
      </c>
      <c r="C39" s="7">
        <f>$AR$7*EXP(-'3.r(t)'!D37*$AR$21)</f>
        <v>0.97765346695821032</v>
      </c>
      <c r="D39" s="7">
        <v>1</v>
      </c>
      <c r="E39" s="7"/>
      <c r="F39" s="7">
        <v>31</v>
      </c>
      <c r="G39" s="48">
        <f>$AS$7*EXP(-'3.r(t)'!D37*$AS$21)</f>
        <v>0.9553476245219803</v>
      </c>
      <c r="H39" s="7">
        <f ca="1">$AS$8*EXP(-'3.r(t)'!E37*$AS$22)</f>
        <v>0.97919542903065837</v>
      </c>
      <c r="I39" s="7">
        <v>1</v>
      </c>
      <c r="J39" s="7"/>
      <c r="K39" s="7">
        <v>31</v>
      </c>
      <c r="L39" s="7">
        <f>$AT$7*EXP(-'3.r(t)'!D37*$AT$21)</f>
        <v>0.93311670519824419</v>
      </c>
      <c r="M39" s="7">
        <f ca="1">$AT$8*EXP(-'3.r(t)'!E37*$AT$22)</f>
        <v>0.95837206881736803</v>
      </c>
      <c r="N39" s="7">
        <f ca="1">$AT$9*EXP(-'3.r(t)'!F37*$AT$23)</f>
        <v>0.97810085475380659</v>
      </c>
      <c r="O39" s="7">
        <v>1</v>
      </c>
      <c r="P39" s="7"/>
      <c r="Q39" s="7">
        <v>31</v>
      </c>
      <c r="R39" s="7">
        <f>$AU$7*EXP(-'3.r(t)'!D37*$AU$21)</f>
        <v>0.91099305977534117</v>
      </c>
      <c r="S39" s="7">
        <f ca="1">$AU$8*EXP(-'3.r(t)'!E37*$AU$22)</f>
        <v>0.93756378989265132</v>
      </c>
      <c r="T39" s="7">
        <f ca="1">$AU$9*EXP(-'3.r(t)'!F37*$AU$23)</f>
        <v>0.95623915834120954</v>
      </c>
      <c r="U39" s="7">
        <f ca="1">$AU$10*EXP(-'3.r(t)'!G37*$AU$24)</f>
        <v>0.9723821295756031</v>
      </c>
      <c r="V39" s="7">
        <v>1</v>
      </c>
      <c r="W39" s="7"/>
      <c r="X39" s="7">
        <v>31</v>
      </c>
      <c r="Y39" s="7">
        <f>$AV$7*EXP(-'3.r(t)'!D37*$AV$21)</f>
        <v>0.88900715067201674</v>
      </c>
      <c r="Z39" s="7">
        <f ca="1">$AV$8*EXP(-'3.r(t)'!E37*$AV$22)</f>
        <v>0.91680278874609755</v>
      </c>
      <c r="AA39" s="7">
        <f ca="1">$AV$9*EXP(-'3.r(t)'!F37*$AV$23)</f>
        <v>0.93444807100165928</v>
      </c>
      <c r="AB39" s="7">
        <f ca="1">$AV$10*EXP(-'3.r(t)'!G37*$AV$24)</f>
        <v>0.94509842477300632</v>
      </c>
      <c r="AC39" s="7">
        <f ca="1">$AV$11*EXP(-'3.r(t)'!H37*$AV$25)</f>
        <v>0.97101484563989238</v>
      </c>
      <c r="AD39" s="7">
        <v>1</v>
      </c>
      <c r="AE39" s="7"/>
      <c r="AF39" s="7">
        <v>31</v>
      </c>
      <c r="AG39" s="7">
        <f>$AW$7*EXP(-'3.r(t)'!D37*$AW$21)</f>
        <v>0.86718755429225491</v>
      </c>
      <c r="AH39" s="7">
        <f ca="1">$AW$8*EXP(-'3.r(t)'!E37*$AW$22)</f>
        <v>0.89611956977564799</v>
      </c>
      <c r="AI39" s="7">
        <f ca="1">$AW$9*EXP(-'3.r(t)'!F37*$AW$23)</f>
        <v>0.91275894067672991</v>
      </c>
      <c r="AJ39" s="7">
        <f ca="1">$AW$10*EXP(-'3.r(t)'!G37*$AW$24)</f>
        <v>0.91817766881887808</v>
      </c>
      <c r="AK39" s="7">
        <f ca="1">$AW$11*EXP(-'3.r(t)'!H37*$AW$25)</f>
        <v>0.9424508179458565</v>
      </c>
      <c r="AL39" s="7">
        <f ca="1">$AW$12*EXP(-'3.r(t)'!I37*$AW$26)</f>
        <v>0.96702710265706449</v>
      </c>
      <c r="AM39" s="7">
        <v>1</v>
      </c>
      <c r="AN39" s="7"/>
    </row>
    <row r="40" spans="2:40">
      <c r="B40" s="7">
        <v>32</v>
      </c>
      <c r="C40" s="7">
        <f>$AR$7*EXP(-'3.r(t)'!D38*$AR$21)</f>
        <v>0.97765346695821032</v>
      </c>
      <c r="D40" s="7">
        <v>1</v>
      </c>
      <c r="E40" s="7"/>
      <c r="F40" s="7">
        <v>32</v>
      </c>
      <c r="G40" s="48">
        <f>$AS$7*EXP(-'3.r(t)'!D38*$AS$21)</f>
        <v>0.9553476245219803</v>
      </c>
      <c r="H40" s="7">
        <f ca="1">$AS$8*EXP(-'3.r(t)'!E38*$AS$22)</f>
        <v>0.97509949688784447</v>
      </c>
      <c r="I40" s="7">
        <v>1</v>
      </c>
      <c r="J40" s="7"/>
      <c r="K40" s="7">
        <v>32</v>
      </c>
      <c r="L40" s="7">
        <f>$AT$7*EXP(-'3.r(t)'!D38*$AT$21)</f>
        <v>0.93311670519824419</v>
      </c>
      <c r="M40" s="7">
        <f ca="1">$AT$8*EXP(-'3.r(t)'!E38*$AT$22)</f>
        <v>0.95037117972070928</v>
      </c>
      <c r="N40" s="7">
        <f ca="1">$AT$9*EXP(-'3.r(t)'!F38*$AT$23)</f>
        <v>0.97490088887779425</v>
      </c>
      <c r="O40" s="7">
        <v>1</v>
      </c>
      <c r="P40" s="7"/>
      <c r="Q40" s="7">
        <v>32</v>
      </c>
      <c r="R40" s="7">
        <f>$AU$7*EXP(-'3.r(t)'!D38*$AU$21)</f>
        <v>0.91099305977534117</v>
      </c>
      <c r="S40" s="7">
        <f ca="1">$AU$8*EXP(-'3.r(t)'!E38*$AU$22)</f>
        <v>0.92584756890262987</v>
      </c>
      <c r="T40" s="7">
        <f ca="1">$AU$9*EXP(-'3.r(t)'!F38*$AU$23)</f>
        <v>0.94999250758758613</v>
      </c>
      <c r="U40" s="7">
        <f ca="1">$AU$10*EXP(-'3.r(t)'!G38*$AU$24)</f>
        <v>0.97392018970614513</v>
      </c>
      <c r="V40" s="7">
        <v>1</v>
      </c>
      <c r="W40" s="7"/>
      <c r="X40" s="7">
        <v>32</v>
      </c>
      <c r="Y40" s="7">
        <f>$AV$7*EXP(-'3.r(t)'!D38*$AV$21)</f>
        <v>0.88900715067201674</v>
      </c>
      <c r="Z40" s="7">
        <f ca="1">$AV$8*EXP(-'3.r(t)'!E38*$AV$22)</f>
        <v>0.90155898341061169</v>
      </c>
      <c r="AA40" s="7">
        <f ca="1">$AV$9*EXP(-'3.r(t)'!F38*$AV$23)</f>
        <v>0.92530659091160417</v>
      </c>
      <c r="AB40" s="7">
        <f ca="1">$AV$10*EXP(-'3.r(t)'!G38*$AV$24)</f>
        <v>0.9480905978882237</v>
      </c>
      <c r="AC40" s="7">
        <f ca="1">$AV$11*EXP(-'3.r(t)'!H38*$AV$25)</f>
        <v>0.97565559409927816</v>
      </c>
      <c r="AD40" s="7">
        <v>1</v>
      </c>
      <c r="AE40" s="7"/>
      <c r="AF40" s="7">
        <v>32</v>
      </c>
      <c r="AG40" s="7">
        <f>$AW$7*EXP(-'3.r(t)'!D38*$AW$21)</f>
        <v>0.86718755429225491</v>
      </c>
      <c r="AH40" s="7">
        <f ca="1">$AW$8*EXP(-'3.r(t)'!E38*$AW$22)</f>
        <v>0.87753356338330257</v>
      </c>
      <c r="AI40" s="7">
        <f ca="1">$AW$9*EXP(-'3.r(t)'!F38*$AW$23)</f>
        <v>0.90087266079138217</v>
      </c>
      <c r="AJ40" s="7">
        <f ca="1">$AW$10*EXP(-'3.r(t)'!G38*$AW$24)</f>
        <v>0.92254153162318275</v>
      </c>
      <c r="AK40" s="7">
        <f ca="1">$AW$11*EXP(-'3.r(t)'!H38*$AW$25)</f>
        <v>0.9514808110658598</v>
      </c>
      <c r="AL40" s="7">
        <f ca="1">$AW$12*EXP(-'3.r(t)'!I38*$AW$26)</f>
        <v>0.97486029051343137</v>
      </c>
      <c r="AM40" s="7">
        <v>1</v>
      </c>
      <c r="AN40" s="7"/>
    </row>
    <row r="41" spans="2:40">
      <c r="B41" s="7">
        <v>33</v>
      </c>
      <c r="C41" s="7">
        <f>$AR$7*EXP(-'3.r(t)'!D39*$AR$21)</f>
        <v>0.97765346695821032</v>
      </c>
      <c r="D41" s="7">
        <v>1</v>
      </c>
      <c r="E41" s="7"/>
      <c r="F41" s="7">
        <v>33</v>
      </c>
      <c r="G41" s="48">
        <f>$AS$7*EXP(-'3.r(t)'!D39*$AS$21)</f>
        <v>0.9553476245219803</v>
      </c>
      <c r="H41" s="7">
        <f ca="1">$AS$8*EXP(-'3.r(t)'!E39*$AS$22)</f>
        <v>0.97778526032133239</v>
      </c>
      <c r="I41" s="7">
        <v>1</v>
      </c>
      <c r="J41" s="7"/>
      <c r="K41" s="7">
        <v>33</v>
      </c>
      <c r="L41" s="7">
        <f>$AT$7*EXP(-'3.r(t)'!D39*$AT$21)</f>
        <v>0.93311670519824419</v>
      </c>
      <c r="M41" s="7">
        <f ca="1">$AT$8*EXP(-'3.r(t)'!E39*$AT$22)</f>
        <v>0.95561369572918053</v>
      </c>
      <c r="N41" s="7">
        <f ca="1">$AT$9*EXP(-'3.r(t)'!F39*$AT$23)</f>
        <v>0.97976004918498982</v>
      </c>
      <c r="O41" s="7">
        <v>1</v>
      </c>
      <c r="P41" s="7"/>
      <c r="Q41" s="7">
        <v>33</v>
      </c>
      <c r="R41" s="7">
        <f>$AU$7*EXP(-'3.r(t)'!D39*$AU$21)</f>
        <v>0.91099305977534117</v>
      </c>
      <c r="S41" s="7">
        <f ca="1">$AU$8*EXP(-'3.r(t)'!E39*$AU$22)</f>
        <v>0.93351897933119599</v>
      </c>
      <c r="T41" s="7">
        <f ca="1">$AU$9*EXP(-'3.r(t)'!F39*$AU$23)</f>
        <v>0.95948612899092123</v>
      </c>
      <c r="U41" s="7">
        <f ca="1">$AU$10*EXP(-'3.r(t)'!G39*$AU$24)</f>
        <v>0.97778629181597054</v>
      </c>
      <c r="V41" s="7">
        <v>1</v>
      </c>
      <c r="W41" s="7"/>
      <c r="X41" s="7">
        <v>33</v>
      </c>
      <c r="Y41" s="7">
        <f>$AV$7*EXP(-'3.r(t)'!D39*$AV$21)</f>
        <v>0.88900715067201674</v>
      </c>
      <c r="Z41" s="7">
        <f ca="1">$AV$8*EXP(-'3.r(t)'!E39*$AV$22)</f>
        <v>0.911532925563872</v>
      </c>
      <c r="AA41" s="7">
        <f ca="1">$AV$9*EXP(-'3.r(t)'!F39*$AV$23)</f>
        <v>0.93921157543348166</v>
      </c>
      <c r="AB41" s="7">
        <f ca="1">$AV$10*EXP(-'3.r(t)'!G39*$AV$24)</f>
        <v>0.95563267427006682</v>
      </c>
      <c r="AC41" s="7">
        <f ca="1">$AV$11*EXP(-'3.r(t)'!H39*$AV$25)</f>
        <v>0.97824230776122278</v>
      </c>
      <c r="AD41" s="7">
        <v>1</v>
      </c>
      <c r="AE41" s="7"/>
      <c r="AF41" s="7">
        <v>33</v>
      </c>
      <c r="AG41" s="7">
        <f>$AW$7*EXP(-'3.r(t)'!D39*$AW$21)</f>
        <v>0.86718755429225491</v>
      </c>
      <c r="AH41" s="7">
        <f ca="1">$AW$8*EXP(-'3.r(t)'!E39*$AW$22)</f>
        <v>0.8896854849578677</v>
      </c>
      <c r="AI41" s="7">
        <f ca="1">$AW$9*EXP(-'3.r(t)'!F39*$AW$23)</f>
        <v>0.91896812628231717</v>
      </c>
      <c r="AJ41" s="7">
        <f ca="1">$AW$10*EXP(-'3.r(t)'!G39*$AW$24)</f>
        <v>0.9335716450913174</v>
      </c>
      <c r="AK41" s="7">
        <f ca="1">$AW$11*EXP(-'3.r(t)'!H39*$AW$25)</f>
        <v>0.95653273938135652</v>
      </c>
      <c r="AL41" s="7">
        <f ca="1">$AW$12*EXP(-'3.r(t)'!I39*$AW$26)</f>
        <v>0.97641540682164074</v>
      </c>
      <c r="AM41" s="7">
        <v>1</v>
      </c>
      <c r="AN41" s="7"/>
    </row>
    <row r="42" spans="2:40">
      <c r="B42" s="7">
        <v>34</v>
      </c>
      <c r="C42" s="7">
        <f>$AR$7*EXP(-'3.r(t)'!D40*$AR$21)</f>
        <v>0.97765346695821032</v>
      </c>
      <c r="D42" s="7">
        <v>1</v>
      </c>
      <c r="E42" s="7"/>
      <c r="F42" s="7">
        <v>34</v>
      </c>
      <c r="G42" s="48">
        <f>$AS$7*EXP(-'3.r(t)'!D40*$AS$21)</f>
        <v>0.9553476245219803</v>
      </c>
      <c r="H42" s="7">
        <f ca="1">$AS$8*EXP(-'3.r(t)'!E40*$AS$22)</f>
        <v>0.97820107006507939</v>
      </c>
      <c r="I42" s="7">
        <v>1</v>
      </c>
      <c r="J42" s="7"/>
      <c r="K42" s="7">
        <v>34</v>
      </c>
      <c r="L42" s="7">
        <f>$AT$7*EXP(-'3.r(t)'!D40*$AT$21)</f>
        <v>0.93311670519824419</v>
      </c>
      <c r="M42" s="7">
        <f ca="1">$AT$8*EXP(-'3.r(t)'!E40*$AT$22)</f>
        <v>0.95642663081971346</v>
      </c>
      <c r="N42" s="7">
        <f ca="1">$AT$9*EXP(-'3.r(t)'!F40*$AT$23)</f>
        <v>0.98272018375899761</v>
      </c>
      <c r="O42" s="7">
        <v>1</v>
      </c>
      <c r="P42" s="7"/>
      <c r="Q42" s="7">
        <v>34</v>
      </c>
      <c r="R42" s="7">
        <f>$AU$7*EXP(-'3.r(t)'!D40*$AU$21)</f>
        <v>0.91099305977534117</v>
      </c>
      <c r="S42" s="7">
        <f ca="1">$AU$8*EXP(-'3.r(t)'!E40*$AU$22)</f>
        <v>0.93471044149693439</v>
      </c>
      <c r="T42" s="7">
        <f ca="1">$AU$9*EXP(-'3.r(t)'!F40*$AU$23)</f>
        <v>0.96529264989452801</v>
      </c>
      <c r="U42" s="7">
        <f ca="1">$AU$10*EXP(-'3.r(t)'!G40*$AU$24)</f>
        <v>0.98167780816929684</v>
      </c>
      <c r="V42" s="7">
        <v>1</v>
      </c>
      <c r="W42" s="7"/>
      <c r="X42" s="7">
        <v>34</v>
      </c>
      <c r="Y42" s="7">
        <f>$AV$7*EXP(-'3.r(t)'!D40*$AV$21)</f>
        <v>0.88900715067201674</v>
      </c>
      <c r="Z42" s="7">
        <f ca="1">$AV$8*EXP(-'3.r(t)'!E40*$AV$22)</f>
        <v>0.91308445688699835</v>
      </c>
      <c r="AA42" s="7">
        <f ca="1">$AV$9*EXP(-'3.r(t)'!F40*$AV$23)</f>
        <v>0.9477501993755022</v>
      </c>
      <c r="AB42" s="7">
        <f ca="1">$AV$10*EXP(-'3.r(t)'!G40*$AV$24)</f>
        <v>0.96325450452817429</v>
      </c>
      <c r="AC42" s="7">
        <f ca="1">$AV$11*EXP(-'3.r(t)'!H40*$AV$25)</f>
        <v>0.97935044887053391</v>
      </c>
      <c r="AD42" s="7">
        <v>1</v>
      </c>
      <c r="AE42" s="7"/>
      <c r="AF42" s="7">
        <v>34</v>
      </c>
      <c r="AG42" s="7">
        <f>$AW$7*EXP(-'3.r(t)'!D40*$AW$21)</f>
        <v>0.86718755429225491</v>
      </c>
      <c r="AH42" s="7">
        <f ca="1">$AW$8*EXP(-'3.r(t)'!E40*$AW$22)</f>
        <v>0.89157881819378448</v>
      </c>
      <c r="AI42" s="7">
        <f ca="1">$AW$9*EXP(-'3.r(t)'!F40*$AW$23)</f>
        <v>0.93012441802717849</v>
      </c>
      <c r="AJ42" s="7">
        <f ca="1">$AW$10*EXP(-'3.r(t)'!G40*$AW$24)</f>
        <v>0.94476270281631491</v>
      </c>
      <c r="AK42" s="7">
        <f ca="1">$AW$11*EXP(-'3.r(t)'!H40*$AW$25)</f>
        <v>0.95870106435557789</v>
      </c>
      <c r="AL42" s="7">
        <f ca="1">$AW$12*EXP(-'3.r(t)'!I40*$AW$26)</f>
        <v>0.97879592175129226</v>
      </c>
      <c r="AM42" s="7">
        <v>1</v>
      </c>
      <c r="AN42" s="7"/>
    </row>
    <row r="43" spans="2:40">
      <c r="B43" s="7">
        <v>35</v>
      </c>
      <c r="C43" s="7">
        <f>$AR$7*EXP(-'3.r(t)'!D41*$AR$21)</f>
        <v>0.97765346695821032</v>
      </c>
      <c r="D43" s="7">
        <v>1</v>
      </c>
      <c r="E43" s="7"/>
      <c r="F43" s="7">
        <v>35</v>
      </c>
      <c r="G43" s="48">
        <f>$AS$7*EXP(-'3.r(t)'!D41*$AS$21)</f>
        <v>0.9553476245219803</v>
      </c>
      <c r="H43" s="7">
        <f ca="1">$AS$8*EXP(-'3.r(t)'!E41*$AS$22)</f>
        <v>0.9750963609421196</v>
      </c>
      <c r="I43" s="7">
        <v>1</v>
      </c>
      <c r="J43" s="7"/>
      <c r="K43" s="7">
        <v>35</v>
      </c>
      <c r="L43" s="7">
        <f>$AT$7*EXP(-'3.r(t)'!D41*$AT$21)</f>
        <v>0.93311670519824419</v>
      </c>
      <c r="M43" s="7">
        <f ca="1">$AT$8*EXP(-'3.r(t)'!E41*$AT$22)</f>
        <v>0.95036506689293099</v>
      </c>
      <c r="N43" s="7">
        <f ca="1">$AT$9*EXP(-'3.r(t)'!F41*$AT$23)</f>
        <v>0.9733483454169003</v>
      </c>
      <c r="O43" s="7">
        <v>1</v>
      </c>
      <c r="P43" s="7"/>
      <c r="Q43" s="7">
        <v>35</v>
      </c>
      <c r="R43" s="7">
        <f>$AU$7*EXP(-'3.r(t)'!D41*$AU$21)</f>
        <v>0.91099305977534117</v>
      </c>
      <c r="S43" s="7">
        <f ca="1">$AU$8*EXP(-'3.r(t)'!E41*$AU$22)</f>
        <v>0.92583863628068508</v>
      </c>
      <c r="T43" s="7">
        <f ca="1">$AU$9*EXP(-'3.r(t)'!F41*$AU$23)</f>
        <v>0.94696916384239282</v>
      </c>
      <c r="U43" s="7">
        <f ca="1">$AU$10*EXP(-'3.r(t)'!G41*$AU$24)</f>
        <v>0.9707418197413914</v>
      </c>
      <c r="V43" s="7">
        <v>1</v>
      </c>
      <c r="W43" s="7"/>
      <c r="X43" s="7">
        <v>35</v>
      </c>
      <c r="Y43" s="7">
        <f>$AV$7*EXP(-'3.r(t)'!D41*$AV$21)</f>
        <v>0.88900715067201674</v>
      </c>
      <c r="Z43" s="7">
        <f ca="1">$AV$8*EXP(-'3.r(t)'!E41*$AV$22)</f>
        <v>0.90154738571659165</v>
      </c>
      <c r="AA43" s="7">
        <f ca="1">$AV$9*EXP(-'3.r(t)'!F41*$AV$23)</f>
        <v>0.92089293566950281</v>
      </c>
      <c r="AB43" s="7">
        <f ca="1">$AV$10*EXP(-'3.r(t)'!G41*$AV$24)</f>
        <v>0.94191254417594161</v>
      </c>
      <c r="AC43" s="7">
        <f ca="1">$AV$11*EXP(-'3.r(t)'!H41*$AV$25)</f>
        <v>0.97074255335246862</v>
      </c>
      <c r="AD43" s="7">
        <v>1</v>
      </c>
      <c r="AE43" s="7"/>
      <c r="AF43" s="7">
        <v>35</v>
      </c>
      <c r="AG43" s="7">
        <f>$AW$7*EXP(-'3.r(t)'!D41*$AW$21)</f>
        <v>0.86718755429225491</v>
      </c>
      <c r="AH43" s="7">
        <f ca="1">$AW$8*EXP(-'3.r(t)'!E41*$AW$22)</f>
        <v>0.87751945261852971</v>
      </c>
      <c r="AI43" s="7">
        <f ca="1">$AW$9*EXP(-'3.r(t)'!F41*$AW$23)</f>
        <v>0.89514774462903024</v>
      </c>
      <c r="AJ43" s="7">
        <f ca="1">$AW$10*EXP(-'3.r(t)'!G41*$AW$24)</f>
        <v>0.91353888553011986</v>
      </c>
      <c r="AK43" s="7">
        <f ca="1">$AW$11*EXP(-'3.r(t)'!H41*$AW$25)</f>
        <v>0.9419223273483508</v>
      </c>
      <c r="AL43" s="7">
        <f ca="1">$AW$12*EXP(-'3.r(t)'!I41*$AW$26)</f>
        <v>0.96924485568754171</v>
      </c>
      <c r="AM43" s="7">
        <v>1</v>
      </c>
      <c r="AN43" s="7"/>
    </row>
    <row r="44" spans="2:40">
      <c r="B44" s="7">
        <v>36</v>
      </c>
      <c r="C44" s="7">
        <f>$AR$7*EXP(-'3.r(t)'!D42*$AR$21)</f>
        <v>0.97765346695821032</v>
      </c>
      <c r="D44" s="7">
        <v>1</v>
      </c>
      <c r="E44" s="7"/>
      <c r="F44" s="7">
        <v>36</v>
      </c>
      <c r="G44" s="48">
        <f>$AS$7*EXP(-'3.r(t)'!D42*$AS$21)</f>
        <v>0.9553476245219803</v>
      </c>
      <c r="H44" s="7">
        <f ca="1">$AS$8*EXP(-'3.r(t)'!E42*$AS$22)</f>
        <v>0.97464770919800869</v>
      </c>
      <c r="I44" s="7">
        <v>1</v>
      </c>
      <c r="J44" s="7"/>
      <c r="K44" s="7">
        <v>36</v>
      </c>
      <c r="L44" s="7">
        <f>$AT$7*EXP(-'3.r(t)'!D42*$AT$21)</f>
        <v>0.93311670519824419</v>
      </c>
      <c r="M44" s="7">
        <f ca="1">$AT$8*EXP(-'3.r(t)'!E42*$AT$22)</f>
        <v>0.9494907228376851</v>
      </c>
      <c r="N44" s="7">
        <f ca="1">$AT$9*EXP(-'3.r(t)'!F42*$AT$23)</f>
        <v>0.9705806916496531</v>
      </c>
      <c r="O44" s="7">
        <v>1</v>
      </c>
      <c r="P44" s="7"/>
      <c r="Q44" s="7">
        <v>36</v>
      </c>
      <c r="R44" s="7">
        <f>$AU$7*EXP(-'3.r(t)'!D42*$AU$21)</f>
        <v>0.91099305977534117</v>
      </c>
      <c r="S44" s="7">
        <f ca="1">$AU$8*EXP(-'3.r(t)'!E42*$AU$22)</f>
        <v>0.92456126090101465</v>
      </c>
      <c r="T44" s="7">
        <f ca="1">$AU$9*EXP(-'3.r(t)'!F42*$AU$23)</f>
        <v>0.94159152770662002</v>
      </c>
      <c r="U44" s="7">
        <f ca="1">$AU$10*EXP(-'3.r(t)'!G42*$AU$24)</f>
        <v>0.97373403327563524</v>
      </c>
      <c r="V44" s="7">
        <v>1</v>
      </c>
      <c r="W44" s="7"/>
      <c r="X44" s="7">
        <v>36</v>
      </c>
      <c r="Y44" s="7">
        <f>$AV$7*EXP(-'3.r(t)'!D42*$AV$21)</f>
        <v>0.88900715067201674</v>
      </c>
      <c r="Z44" s="7">
        <f ca="1">$AV$8*EXP(-'3.r(t)'!E42*$AV$22)</f>
        <v>0.89988928606525054</v>
      </c>
      <c r="AA44" s="7">
        <f ca="1">$AV$9*EXP(-'3.r(t)'!F42*$AV$23)</f>
        <v>0.9130597506181829</v>
      </c>
      <c r="AB44" s="7">
        <f ca="1">$AV$10*EXP(-'3.r(t)'!G42*$AV$24)</f>
        <v>0.94772819387237794</v>
      </c>
      <c r="AC44" s="7">
        <f ca="1">$AV$11*EXP(-'3.r(t)'!H42*$AV$25)</f>
        <v>0.97616990003052106</v>
      </c>
      <c r="AD44" s="7">
        <v>1</v>
      </c>
      <c r="AE44" s="7"/>
      <c r="AF44" s="7">
        <v>36</v>
      </c>
      <c r="AG44" s="7">
        <f>$AW$7*EXP(-'3.r(t)'!D42*$AW$21)</f>
        <v>0.86718755429225491</v>
      </c>
      <c r="AH44" s="7">
        <f ca="1">$AW$8*EXP(-'3.r(t)'!E42*$AW$22)</f>
        <v>0.87550253139927436</v>
      </c>
      <c r="AI44" s="7">
        <f ca="1">$AW$9*EXP(-'3.r(t)'!F42*$AW$23)</f>
        <v>0.88500990523709122</v>
      </c>
      <c r="AJ44" s="7">
        <f ca="1">$AW$10*EXP(-'3.r(t)'!G42*$AW$24)</f>
        <v>0.92201262520031824</v>
      </c>
      <c r="AK44" s="7">
        <f ca="1">$AW$11*EXP(-'3.r(t)'!H42*$AW$25)</f>
        <v>0.95248420038854831</v>
      </c>
      <c r="AL44" s="7">
        <f ca="1">$AW$12*EXP(-'3.r(t)'!I42*$AW$26)</f>
        <v>0.97732945848678288</v>
      </c>
      <c r="AM44" s="7">
        <v>1</v>
      </c>
      <c r="AN44" s="7"/>
    </row>
    <row r="45" spans="2:40">
      <c r="B45" s="7">
        <v>37</v>
      </c>
      <c r="C45" s="7">
        <f>$AR$7*EXP(-'3.r(t)'!D43*$AR$21)</f>
        <v>0.97765346695821032</v>
      </c>
      <c r="D45" s="7">
        <v>1</v>
      </c>
      <c r="E45" s="7"/>
      <c r="F45" s="7">
        <v>37</v>
      </c>
      <c r="G45" s="48">
        <f>$AS$7*EXP(-'3.r(t)'!D43*$AS$21)</f>
        <v>0.9553476245219803</v>
      </c>
      <c r="H45" s="7">
        <f ca="1">$AS$8*EXP(-'3.r(t)'!E43*$AS$22)</f>
        <v>0.97586217528972463</v>
      </c>
      <c r="I45" s="7">
        <v>1</v>
      </c>
      <c r="J45" s="7"/>
      <c r="K45" s="7">
        <v>37</v>
      </c>
      <c r="L45" s="7">
        <f>$AT$7*EXP(-'3.r(t)'!D43*$AT$21)</f>
        <v>0.93311670519824419</v>
      </c>
      <c r="M45" s="7">
        <f ca="1">$AT$8*EXP(-'3.r(t)'!E43*$AT$22)</f>
        <v>0.95185843520265567</v>
      </c>
      <c r="N45" s="7">
        <f ca="1">$AT$9*EXP(-'3.r(t)'!F43*$AT$23)</f>
        <v>0.97208958809405965</v>
      </c>
      <c r="O45" s="7">
        <v>1</v>
      </c>
      <c r="P45" s="7"/>
      <c r="Q45" s="7">
        <v>37</v>
      </c>
      <c r="R45" s="7">
        <f>$AU$7*EXP(-'3.r(t)'!D43*$AU$21)</f>
        <v>0.91099305977534117</v>
      </c>
      <c r="S45" s="7">
        <f ca="1">$AU$8*EXP(-'3.r(t)'!E43*$AU$22)</f>
        <v>0.92802173591367987</v>
      </c>
      <c r="T45" s="7">
        <f ca="1">$AU$9*EXP(-'3.r(t)'!F43*$AU$23)</f>
        <v>0.94452146130949655</v>
      </c>
      <c r="U45" s="7">
        <f ca="1">$AU$10*EXP(-'3.r(t)'!G43*$AU$24)</f>
        <v>0.965210801779531</v>
      </c>
      <c r="V45" s="7">
        <v>1</v>
      </c>
      <c r="W45" s="7"/>
      <c r="X45" s="7">
        <v>37</v>
      </c>
      <c r="Y45" s="7">
        <f>$AV$7*EXP(-'3.r(t)'!D43*$AV$21)</f>
        <v>0.88900715067201674</v>
      </c>
      <c r="Z45" s="7">
        <f ca="1">$AV$8*EXP(-'3.r(t)'!E43*$AV$22)</f>
        <v>0.90438292784367591</v>
      </c>
      <c r="AA45" s="7">
        <f ca="1">$AV$9*EXP(-'3.r(t)'!F43*$AV$23)</f>
        <v>0.91732479185604487</v>
      </c>
      <c r="AB45" s="7">
        <f ca="1">$AV$10*EXP(-'3.r(t)'!G43*$AV$24)</f>
        <v>0.93120960899639038</v>
      </c>
      <c r="AC45" s="7">
        <f ca="1">$AV$11*EXP(-'3.r(t)'!H43*$AV$25)</f>
        <v>0.96400159061340818</v>
      </c>
      <c r="AD45" s="7">
        <v>1</v>
      </c>
      <c r="AE45" s="7"/>
      <c r="AF45" s="7">
        <v>37</v>
      </c>
      <c r="AG45" s="7">
        <f>$AW$7*EXP(-'3.r(t)'!D43*$AW$21)</f>
        <v>0.86718755429225491</v>
      </c>
      <c r="AH45" s="7">
        <f ca="1">$AW$8*EXP(-'3.r(t)'!E43*$AW$22)</f>
        <v>0.88097076990061285</v>
      </c>
      <c r="AI45" s="7">
        <f ca="1">$AW$9*EXP(-'3.r(t)'!F43*$AW$23)</f>
        <v>0.89052621355405548</v>
      </c>
      <c r="AJ45" s="7">
        <f ca="1">$AW$10*EXP(-'3.r(t)'!G43*$AW$24)</f>
        <v>0.89801241359038519</v>
      </c>
      <c r="AK45" s="7">
        <f ca="1">$AW$11*EXP(-'3.r(t)'!H43*$AW$25)</f>
        <v>0.92888608506200054</v>
      </c>
      <c r="AL45" s="7">
        <f ca="1">$AW$12*EXP(-'3.r(t)'!I43*$AW$26)</f>
        <v>0.96483651866258546</v>
      </c>
      <c r="AM45" s="7">
        <v>1</v>
      </c>
      <c r="AN45" s="7"/>
    </row>
    <row r="46" spans="2:40">
      <c r="B46" s="7">
        <v>38</v>
      </c>
      <c r="C46" s="7">
        <f>$AR$7*EXP(-'3.r(t)'!D44*$AR$21)</f>
        <v>0.97765346695821032</v>
      </c>
      <c r="D46" s="7">
        <v>1</v>
      </c>
      <c r="E46" s="7"/>
      <c r="F46" s="7">
        <v>38</v>
      </c>
      <c r="G46" s="48">
        <f>$AS$7*EXP(-'3.r(t)'!D44*$AS$21)</f>
        <v>0.9553476245219803</v>
      </c>
      <c r="H46" s="7">
        <f ca="1">$AS$8*EXP(-'3.r(t)'!E44*$AS$22)</f>
        <v>0.98081287382744042</v>
      </c>
      <c r="I46" s="7">
        <v>1</v>
      </c>
      <c r="J46" s="7"/>
      <c r="K46" s="7">
        <v>38</v>
      </c>
      <c r="L46" s="7">
        <f>$AT$7*EXP(-'3.r(t)'!D44*$AT$21)</f>
        <v>0.93311670519824419</v>
      </c>
      <c r="M46" s="7">
        <f ca="1">$AT$8*EXP(-'3.r(t)'!E44*$AT$22)</f>
        <v>0.96154078083730843</v>
      </c>
      <c r="N46" s="7">
        <f ca="1">$AT$9*EXP(-'3.r(t)'!F44*$AT$23)</f>
        <v>0.97620373644272018</v>
      </c>
      <c r="O46" s="7">
        <v>1</v>
      </c>
      <c r="P46" s="7"/>
      <c r="Q46" s="7">
        <v>38</v>
      </c>
      <c r="R46" s="7">
        <f>$AU$7*EXP(-'3.r(t)'!D44*$AU$21)</f>
        <v>0.91099305977534117</v>
      </c>
      <c r="S46" s="7">
        <f ca="1">$AU$8*EXP(-'3.r(t)'!E44*$AU$22)</f>
        <v>0.94221750019723938</v>
      </c>
      <c r="T46" s="7">
        <f ca="1">$AU$9*EXP(-'3.r(t)'!F44*$AU$23)</f>
        <v>0.95253332473337859</v>
      </c>
      <c r="U46" s="7">
        <f ca="1">$AU$10*EXP(-'3.r(t)'!G44*$AU$24)</f>
        <v>0.97855920239628658</v>
      </c>
      <c r="V46" s="7">
        <v>1</v>
      </c>
      <c r="W46" s="7"/>
      <c r="X46" s="7">
        <v>38</v>
      </c>
      <c r="Y46" s="7">
        <f>$AV$7*EXP(-'3.r(t)'!D44*$AV$21)</f>
        <v>0.88900715067201674</v>
      </c>
      <c r="Z46" s="7">
        <f ca="1">$AV$8*EXP(-'3.r(t)'!E44*$AV$22)</f>
        <v>0.9228753501683995</v>
      </c>
      <c r="AA46" s="7">
        <f ca="1">$AV$9*EXP(-'3.r(t)'!F44*$AV$23)</f>
        <v>0.92902126149841857</v>
      </c>
      <c r="AB46" s="7">
        <f ca="1">$AV$10*EXP(-'3.r(t)'!G44*$AV$24)</f>
        <v>0.95714406901734717</v>
      </c>
      <c r="AC46" s="7">
        <f ca="1">$AV$11*EXP(-'3.r(t)'!H44*$AV$25)</f>
        <v>0.97584327375861646</v>
      </c>
      <c r="AD46" s="7">
        <v>1</v>
      </c>
      <c r="AE46" s="7"/>
      <c r="AF46" s="7">
        <v>38</v>
      </c>
      <c r="AG46" s="7">
        <f>$AW$7*EXP(-'3.r(t)'!D44*$AW$21)</f>
        <v>0.86718755429225491</v>
      </c>
      <c r="AH46" s="7">
        <f ca="1">$AW$8*EXP(-'3.r(t)'!E44*$AW$22)</f>
        <v>0.90354515691675275</v>
      </c>
      <c r="AI46" s="7">
        <f ca="1">$AW$9*EXP(-'3.r(t)'!F44*$AW$23)</f>
        <v>0.90569799080467073</v>
      </c>
      <c r="AJ46" s="7">
        <f ca="1">$AW$10*EXP(-'3.r(t)'!G44*$AW$24)</f>
        <v>0.93578727626424574</v>
      </c>
      <c r="AK46" s="7">
        <f ca="1">$AW$11*EXP(-'3.r(t)'!H44*$AW$25)</f>
        <v>0.95184690494367796</v>
      </c>
      <c r="AL46" s="7">
        <f ca="1">$AW$12*EXP(-'3.r(t)'!I44*$AW$26)</f>
        <v>0.97539800847515867</v>
      </c>
      <c r="AM46" s="7">
        <v>1</v>
      </c>
      <c r="AN46" s="7"/>
    </row>
    <row r="47" spans="2:40">
      <c r="B47" s="7">
        <v>39</v>
      </c>
      <c r="C47" s="7">
        <f>$AR$7*EXP(-'3.r(t)'!D45*$AR$21)</f>
        <v>0.97765346695821032</v>
      </c>
      <c r="D47" s="7">
        <v>1</v>
      </c>
      <c r="E47" s="7"/>
      <c r="F47" s="7">
        <v>39</v>
      </c>
      <c r="G47" s="48">
        <f>$AS$7*EXP(-'3.r(t)'!D45*$AS$21)</f>
        <v>0.9553476245219803</v>
      </c>
      <c r="H47" s="7">
        <f ca="1">$AS$8*EXP(-'3.r(t)'!E45*$AS$22)</f>
        <v>0.97432776252573117</v>
      </c>
      <c r="I47" s="7">
        <v>1</v>
      </c>
      <c r="J47" s="7"/>
      <c r="K47" s="7">
        <v>39</v>
      </c>
      <c r="L47" s="7">
        <f>$AT$7*EXP(-'3.r(t)'!D45*$AT$21)</f>
        <v>0.93311670519824419</v>
      </c>
      <c r="M47" s="7">
        <f ca="1">$AT$8*EXP(-'3.r(t)'!E45*$AT$22)</f>
        <v>0.94886744833054004</v>
      </c>
      <c r="N47" s="7">
        <f ca="1">$AT$9*EXP(-'3.r(t)'!F45*$AT$23)</f>
        <v>0.97347850612939879</v>
      </c>
      <c r="O47" s="7">
        <v>1</v>
      </c>
      <c r="P47" s="7"/>
      <c r="Q47" s="7">
        <v>39</v>
      </c>
      <c r="R47" s="7">
        <f>$AU$7*EXP(-'3.r(t)'!D45*$AU$21)</f>
        <v>0.91099305977534117</v>
      </c>
      <c r="S47" s="7">
        <f ca="1">$AU$8*EXP(-'3.r(t)'!E45*$AU$22)</f>
        <v>0.92365104523679231</v>
      </c>
      <c r="T47" s="7">
        <f ca="1">$AU$9*EXP(-'3.r(t)'!F45*$AU$23)</f>
        <v>0.94722244710524872</v>
      </c>
      <c r="U47" s="7">
        <f ca="1">$AU$10*EXP(-'3.r(t)'!G45*$AU$24)</f>
        <v>0.97322893555300782</v>
      </c>
      <c r="V47" s="7">
        <v>1</v>
      </c>
      <c r="W47" s="7"/>
      <c r="X47" s="7">
        <v>39</v>
      </c>
      <c r="Y47" s="7">
        <f>$AV$7*EXP(-'3.r(t)'!D45*$AV$21)</f>
        <v>0.88900715067201674</v>
      </c>
      <c r="Z47" s="7">
        <f ca="1">$AV$8*EXP(-'3.r(t)'!E45*$AV$22)</f>
        <v>0.89870824458882625</v>
      </c>
      <c r="AA47" s="7">
        <f ca="1">$AV$9*EXP(-'3.r(t)'!F45*$AV$23)</f>
        <v>0.92126242346092413</v>
      </c>
      <c r="AB47" s="7">
        <f ca="1">$AV$10*EXP(-'3.r(t)'!G45*$AV$24)</f>
        <v>0.9467452330616789</v>
      </c>
      <c r="AC47" s="7">
        <f ca="1">$AV$11*EXP(-'3.r(t)'!H45*$AV$25)</f>
        <v>0.97436774246938751</v>
      </c>
      <c r="AD47" s="7">
        <v>1</v>
      </c>
      <c r="AE47" s="7"/>
      <c r="AF47" s="7">
        <v>39</v>
      </c>
      <c r="AG47" s="7">
        <f>$AW$7*EXP(-'3.r(t)'!D45*$AW$21)</f>
        <v>0.86718755429225491</v>
      </c>
      <c r="AH47" s="7">
        <f ca="1">$AW$8*EXP(-'3.r(t)'!E45*$AW$22)</f>
        <v>0.87406647263865445</v>
      </c>
      <c r="AI47" s="7">
        <f ca="1">$AW$9*EXP(-'3.r(t)'!F45*$AW$23)</f>
        <v>0.89562665412480014</v>
      </c>
      <c r="AJ47" s="7">
        <f ca="1">$AW$10*EXP(-'3.r(t)'!G45*$AW$24)</f>
        <v>0.92057856333946642</v>
      </c>
      <c r="AK47" s="7">
        <f ca="1">$AW$11*EXP(-'3.r(t)'!H45*$AW$25)</f>
        <v>0.94897058637643161</v>
      </c>
      <c r="AL47" s="7">
        <f ca="1">$AW$12*EXP(-'3.r(t)'!I45*$AW$26)</f>
        <v>0.97320241947323849</v>
      </c>
      <c r="AM47" s="7">
        <v>1</v>
      </c>
      <c r="AN47" s="7"/>
    </row>
    <row r="48" spans="2:40">
      <c r="B48" s="7">
        <v>40</v>
      </c>
      <c r="C48" s="7">
        <f>$AR$7*EXP(-'3.r(t)'!D46*$AR$21)</f>
        <v>0.97765346695821032</v>
      </c>
      <c r="D48" s="7">
        <v>1</v>
      </c>
      <c r="E48" s="7"/>
      <c r="F48" s="7">
        <v>40</v>
      </c>
      <c r="G48" s="48">
        <f>$AS$7*EXP(-'3.r(t)'!D46*$AS$21)</f>
        <v>0.9553476245219803</v>
      </c>
      <c r="H48" s="7">
        <f ca="1">$AS$8*EXP(-'3.r(t)'!E46*$AS$22)</f>
        <v>0.97703031583119737</v>
      </c>
      <c r="I48" s="7">
        <v>1</v>
      </c>
      <c r="J48" s="7"/>
      <c r="K48" s="7">
        <v>40</v>
      </c>
      <c r="L48" s="7">
        <f>$AT$7*EXP(-'3.r(t)'!D46*$AT$21)</f>
        <v>0.93311670519824419</v>
      </c>
      <c r="M48" s="7">
        <f ca="1">$AT$8*EXP(-'3.r(t)'!E46*$AT$22)</f>
        <v>0.95413861359253493</v>
      </c>
      <c r="N48" s="7">
        <f ca="1">$AT$9*EXP(-'3.r(t)'!F46*$AT$23)</f>
        <v>0.97626724619437721</v>
      </c>
      <c r="O48" s="7">
        <v>1</v>
      </c>
      <c r="P48" s="7"/>
      <c r="Q48" s="7">
        <v>40</v>
      </c>
      <c r="R48" s="7">
        <f>$AU$7*EXP(-'3.r(t)'!D46*$AU$21)</f>
        <v>0.91099305977534117</v>
      </c>
      <c r="S48" s="7">
        <f ca="1">$AU$8*EXP(-'3.r(t)'!E46*$AU$22)</f>
        <v>0.93135834844518728</v>
      </c>
      <c r="T48" s="7">
        <f ca="1">$AU$9*EXP(-'3.r(t)'!F46*$AU$23)</f>
        <v>0.95265726837441134</v>
      </c>
      <c r="U48" s="7">
        <f ca="1">$AU$10*EXP(-'3.r(t)'!G46*$AU$24)</f>
        <v>0.97748504612203757</v>
      </c>
      <c r="V48" s="7">
        <v>1</v>
      </c>
      <c r="W48" s="7"/>
      <c r="X48" s="7">
        <v>40</v>
      </c>
      <c r="Y48" s="7">
        <f>$AV$7*EXP(-'3.r(t)'!D46*$AV$21)</f>
        <v>0.88900715067201674</v>
      </c>
      <c r="Z48" s="7">
        <f ca="1">$AV$8*EXP(-'3.r(t)'!E46*$AV$22)</f>
        <v>0.90872101905338754</v>
      </c>
      <c r="AA48" s="7">
        <f ca="1">$AV$9*EXP(-'3.r(t)'!F46*$AV$23)</f>
        <v>0.92920259377370651</v>
      </c>
      <c r="AB48" s="7">
        <f ca="1">$AV$10*EXP(-'3.r(t)'!G46*$AV$24)</f>
        <v>0.9550439241841302</v>
      </c>
      <c r="AC48" s="7">
        <f ca="1">$AV$11*EXP(-'3.r(t)'!H46*$AV$25)</f>
        <v>0.97246507008131911</v>
      </c>
      <c r="AD48" s="7">
        <v>1</v>
      </c>
      <c r="AE48" s="7"/>
      <c r="AF48" s="7">
        <v>40</v>
      </c>
      <c r="AG48" s="7">
        <f>$AW$7*EXP(-'3.r(t)'!D46*$AW$21)</f>
        <v>0.86718755429225491</v>
      </c>
      <c r="AH48" s="7">
        <f ca="1">$AW$8*EXP(-'3.r(t)'!E46*$AW$22)</f>
        <v>0.88625616972319532</v>
      </c>
      <c r="AI48" s="7">
        <f ca="1">$AW$9*EXP(-'3.r(t)'!F46*$AW$23)</f>
        <v>0.90593370499352899</v>
      </c>
      <c r="AJ48" s="7">
        <f ca="1">$AW$10*EXP(-'3.r(t)'!G46*$AW$24)</f>
        <v>0.93270904002945132</v>
      </c>
      <c r="AK48" s="7">
        <f ca="1">$AW$11*EXP(-'3.r(t)'!H46*$AW$25)</f>
        <v>0.94526804748417192</v>
      </c>
      <c r="AL48" s="7">
        <f ca="1">$AW$12*EXP(-'3.r(t)'!I46*$AW$26)</f>
        <v>0.97116408344990424</v>
      </c>
      <c r="AM48" s="7">
        <v>1</v>
      </c>
      <c r="AN48" s="7"/>
    </row>
    <row r="49" spans="2:40">
      <c r="B49" s="7">
        <v>41</v>
      </c>
      <c r="C49" s="7">
        <f>$AR$7*EXP(-'3.r(t)'!D47*$AR$21)</f>
        <v>0.97765346695821032</v>
      </c>
      <c r="D49" s="7">
        <v>1</v>
      </c>
      <c r="E49" s="7"/>
      <c r="F49" s="7">
        <v>41</v>
      </c>
      <c r="G49" s="48">
        <f>$AS$7*EXP(-'3.r(t)'!D47*$AS$21)</f>
        <v>0.9553476245219803</v>
      </c>
      <c r="H49" s="7">
        <f ca="1">$AS$8*EXP(-'3.r(t)'!E47*$AS$22)</f>
        <v>0.9770935285893676</v>
      </c>
      <c r="I49" s="7">
        <v>1</v>
      </c>
      <c r="J49" s="7"/>
      <c r="K49" s="7">
        <v>41</v>
      </c>
      <c r="L49" s="7">
        <f>$AT$7*EXP(-'3.r(t)'!D47*$AT$21)</f>
        <v>0.93311670519824419</v>
      </c>
      <c r="M49" s="7">
        <f ca="1">$AT$8*EXP(-'3.r(t)'!E47*$AT$22)</f>
        <v>0.95426208096827525</v>
      </c>
      <c r="N49" s="7">
        <f ca="1">$AT$9*EXP(-'3.r(t)'!F47*$AT$23)</f>
        <v>0.97603169414368485</v>
      </c>
      <c r="O49" s="7">
        <v>1</v>
      </c>
      <c r="P49" s="7"/>
      <c r="Q49" s="7">
        <v>41</v>
      </c>
      <c r="R49" s="7">
        <f>$AU$7*EXP(-'3.r(t)'!D47*$AU$21)</f>
        <v>0.91099305977534117</v>
      </c>
      <c r="S49" s="7">
        <f ca="1">$AU$8*EXP(-'3.r(t)'!E47*$AU$22)</f>
        <v>0.93153913364164065</v>
      </c>
      <c r="T49" s="7">
        <f ca="1">$AU$9*EXP(-'3.r(t)'!F47*$AU$23)</f>
        <v>0.95219761288031857</v>
      </c>
      <c r="U49" s="7">
        <f ca="1">$AU$10*EXP(-'3.r(t)'!G47*$AU$24)</f>
        <v>0.97556995842360306</v>
      </c>
      <c r="V49" s="7">
        <v>1</v>
      </c>
      <c r="W49" s="7"/>
      <c r="X49" s="7">
        <v>41</v>
      </c>
      <c r="Y49" s="7">
        <f>$AV$7*EXP(-'3.r(t)'!D47*$AV$21)</f>
        <v>0.88900715067201674</v>
      </c>
      <c r="Z49" s="7">
        <f ca="1">$AV$8*EXP(-'3.r(t)'!E47*$AV$22)</f>
        <v>0.90895621477271782</v>
      </c>
      <c r="AA49" s="7">
        <f ca="1">$AV$9*EXP(-'3.r(t)'!F47*$AV$23)</f>
        <v>0.92853016692033197</v>
      </c>
      <c r="AB49" s="7">
        <f ca="1">$AV$10*EXP(-'3.r(t)'!G47*$AV$24)</f>
        <v>0.95130534793185528</v>
      </c>
      <c r="AC49" s="7">
        <f ca="1">$AV$11*EXP(-'3.r(t)'!H47*$AV$25)</f>
        <v>0.97507448700393518</v>
      </c>
      <c r="AD49" s="7">
        <v>1</v>
      </c>
      <c r="AE49" s="7"/>
      <c r="AF49" s="7">
        <v>41</v>
      </c>
      <c r="AG49" s="7">
        <f>$AW$7*EXP(-'3.r(t)'!D47*$AW$21)</f>
        <v>0.86718755429225491</v>
      </c>
      <c r="AH49" s="7">
        <f ca="1">$AW$8*EXP(-'3.r(t)'!E47*$AW$22)</f>
        <v>0.88654290569087835</v>
      </c>
      <c r="AI49" s="7">
        <f ca="1">$AW$9*EXP(-'3.r(t)'!F47*$AW$23)</f>
        <v>0.90505969298886824</v>
      </c>
      <c r="AJ49" s="7">
        <f ca="1">$AW$10*EXP(-'3.r(t)'!G47*$AW$24)</f>
        <v>0.92723768573608401</v>
      </c>
      <c r="AK49" s="7">
        <f ca="1">$AW$11*EXP(-'3.r(t)'!H47*$AW$25)</f>
        <v>0.95034773174034559</v>
      </c>
      <c r="AL49" s="7">
        <f ca="1">$AW$12*EXP(-'3.r(t)'!I47*$AW$26)</f>
        <v>0.9714679702750082</v>
      </c>
      <c r="AM49" s="7">
        <v>1</v>
      </c>
      <c r="AN49" s="7"/>
    </row>
    <row r="50" spans="2:40">
      <c r="B50" s="7">
        <v>42</v>
      </c>
      <c r="C50" s="7">
        <f>$AR$7*EXP(-'3.r(t)'!D48*$AR$21)</f>
        <v>0.97765346695821032</v>
      </c>
      <c r="D50" s="7">
        <v>1</v>
      </c>
      <c r="E50" s="7"/>
      <c r="F50" s="7">
        <v>42</v>
      </c>
      <c r="G50" s="48">
        <f>$AS$7*EXP(-'3.r(t)'!D48*$AS$21)</f>
        <v>0.9553476245219803</v>
      </c>
      <c r="H50" s="7">
        <f ca="1">$AS$8*EXP(-'3.r(t)'!E48*$AS$22)</f>
        <v>0.97714781909965021</v>
      </c>
      <c r="I50" s="7">
        <v>1</v>
      </c>
      <c r="J50" s="7"/>
      <c r="K50" s="7">
        <v>42</v>
      </c>
      <c r="L50" s="7">
        <f>$AT$7*EXP(-'3.r(t)'!D48*$AT$21)</f>
        <v>0.93311670519824419</v>
      </c>
      <c r="M50" s="7">
        <f ca="1">$AT$8*EXP(-'3.r(t)'!E48*$AT$22)</f>
        <v>0.95436812775519342</v>
      </c>
      <c r="N50" s="7">
        <f ca="1">$AT$9*EXP(-'3.r(t)'!F48*$AT$23)</f>
        <v>0.97863674665511957</v>
      </c>
      <c r="O50" s="7">
        <v>1</v>
      </c>
      <c r="P50" s="7"/>
      <c r="Q50" s="7">
        <v>42</v>
      </c>
      <c r="R50" s="7">
        <f>$AU$7*EXP(-'3.r(t)'!D48*$AU$21)</f>
        <v>0.91099305977534117</v>
      </c>
      <c r="S50" s="7">
        <f ca="1">$AU$8*EXP(-'3.r(t)'!E48*$AU$22)</f>
        <v>0.93169442034714389</v>
      </c>
      <c r="T50" s="7">
        <f ca="1">$AU$9*EXP(-'3.r(t)'!F48*$AU$23)</f>
        <v>0.95728727357153842</v>
      </c>
      <c r="U50" s="7">
        <f ca="1">$AU$10*EXP(-'3.r(t)'!G48*$AU$24)</f>
        <v>0.9769696234627</v>
      </c>
      <c r="V50" s="7">
        <v>1</v>
      </c>
      <c r="W50" s="7"/>
      <c r="X50" s="7">
        <v>42</v>
      </c>
      <c r="Y50" s="7">
        <f>$AV$7*EXP(-'3.r(t)'!D48*$AV$21)</f>
        <v>0.88900715067201674</v>
      </c>
      <c r="Z50" s="7">
        <f ca="1">$AV$8*EXP(-'3.r(t)'!E48*$AV$22)</f>
        <v>0.90915824992416217</v>
      </c>
      <c r="AA50" s="7">
        <f ca="1">$AV$9*EXP(-'3.r(t)'!F48*$AV$23)</f>
        <v>0.93598483757646989</v>
      </c>
      <c r="AB50" s="7">
        <f ca="1">$AV$10*EXP(-'3.r(t)'!G48*$AV$24)</f>
        <v>0.95403701057373669</v>
      </c>
      <c r="AC50" s="7">
        <f ca="1">$AV$11*EXP(-'3.r(t)'!H48*$AV$25)</f>
        <v>0.97978974730030421</v>
      </c>
      <c r="AD50" s="7">
        <v>1</v>
      </c>
      <c r="AE50" s="7"/>
      <c r="AF50" s="7">
        <v>42</v>
      </c>
      <c r="AG50" s="7">
        <f>$AW$7*EXP(-'3.r(t)'!D48*$AW$21)</f>
        <v>0.86718755429225491</v>
      </c>
      <c r="AH50" s="7">
        <f ca="1">$AW$8*EXP(-'3.r(t)'!E48*$AW$22)</f>
        <v>0.88678922917088687</v>
      </c>
      <c r="AI50" s="7">
        <f ca="1">$AW$9*EXP(-'3.r(t)'!F48*$AW$23)</f>
        <v>0.91476095206962182</v>
      </c>
      <c r="AJ50" s="7">
        <f ca="1">$AW$10*EXP(-'3.r(t)'!G48*$AW$24)</f>
        <v>0.93123438035373662</v>
      </c>
      <c r="AK50" s="7">
        <f ca="1">$AW$11*EXP(-'3.r(t)'!H48*$AW$25)</f>
        <v>0.95956132909478076</v>
      </c>
      <c r="AL50" s="7">
        <f ca="1">$AW$12*EXP(-'3.r(t)'!I48*$AW$26)</f>
        <v>0.97656126306521018</v>
      </c>
      <c r="AM50" s="7">
        <v>1</v>
      </c>
      <c r="AN50" s="7"/>
    </row>
    <row r="51" spans="2:40">
      <c r="B51" s="7">
        <v>43</v>
      </c>
      <c r="C51" s="7">
        <f>$AR$7*EXP(-'3.r(t)'!D49*$AR$21)</f>
        <v>0.97765346695821032</v>
      </c>
      <c r="D51" s="7">
        <v>1</v>
      </c>
      <c r="E51" s="7"/>
      <c r="F51" s="7">
        <v>43</v>
      </c>
      <c r="G51" s="48">
        <f>$AS$7*EXP(-'3.r(t)'!D49*$AS$21)</f>
        <v>0.9553476245219803</v>
      </c>
      <c r="H51" s="7">
        <f ca="1">$AS$8*EXP(-'3.r(t)'!E49*$AS$22)</f>
        <v>0.97572956819366263</v>
      </c>
      <c r="I51" s="7">
        <v>1</v>
      </c>
      <c r="J51" s="7"/>
      <c r="K51" s="7">
        <v>43</v>
      </c>
      <c r="L51" s="7">
        <f>$AT$7*EXP(-'3.r(t)'!D49*$AT$21)</f>
        <v>0.93311670519824419</v>
      </c>
      <c r="M51" s="7">
        <f ca="1">$AT$8*EXP(-'3.r(t)'!E49*$AT$22)</f>
        <v>0.95159976218489106</v>
      </c>
      <c r="N51" s="7">
        <f ca="1">$AT$9*EXP(-'3.r(t)'!F49*$AT$23)</f>
        <v>0.97998532921926074</v>
      </c>
      <c r="O51" s="7">
        <v>1</v>
      </c>
      <c r="P51" s="7"/>
      <c r="Q51" s="7">
        <v>43</v>
      </c>
      <c r="R51" s="7">
        <f>$AU$7*EXP(-'3.r(t)'!D49*$AU$21)</f>
        <v>0.91099305977534117</v>
      </c>
      <c r="S51" s="7">
        <f ca="1">$AU$8*EXP(-'3.r(t)'!E49*$AU$22)</f>
        <v>0.92764346872971082</v>
      </c>
      <c r="T51" s="7">
        <f ca="1">$AU$9*EXP(-'3.r(t)'!F49*$AU$23)</f>
        <v>0.95992741646464252</v>
      </c>
      <c r="U51" s="7">
        <f ca="1">$AU$10*EXP(-'3.r(t)'!G49*$AU$24)</f>
        <v>0.97930464034505371</v>
      </c>
      <c r="V51" s="7">
        <v>1</v>
      </c>
      <c r="W51" s="7"/>
      <c r="X51" s="7">
        <v>43</v>
      </c>
      <c r="Y51" s="7">
        <f>$AV$7*EXP(-'3.r(t)'!D49*$AV$21)</f>
        <v>0.88900715067201674</v>
      </c>
      <c r="Z51" s="7">
        <f ca="1">$AV$8*EXP(-'3.r(t)'!E49*$AV$22)</f>
        <v>0.903891452083603</v>
      </c>
      <c r="AA51" s="7">
        <f ca="1">$AV$9*EXP(-'3.r(t)'!F49*$AV$23)</f>
        <v>0.93985959411063291</v>
      </c>
      <c r="AB51" s="7">
        <f ca="1">$AV$10*EXP(-'3.r(t)'!G49*$AV$24)</f>
        <v>0.95860287348881801</v>
      </c>
      <c r="AC51" s="7">
        <f ca="1">$AV$11*EXP(-'3.r(t)'!H49*$AV$25)</f>
        <v>0.9766086469769204</v>
      </c>
      <c r="AD51" s="7">
        <v>1</v>
      </c>
      <c r="AE51" s="7"/>
      <c r="AF51" s="7">
        <v>43</v>
      </c>
      <c r="AG51" s="7">
        <f>$AW$7*EXP(-'3.r(t)'!D49*$AW$21)</f>
        <v>0.86718755429225491</v>
      </c>
      <c r="AH51" s="7">
        <f ca="1">$AW$8*EXP(-'3.r(t)'!E49*$AW$22)</f>
        <v>0.88037236966895549</v>
      </c>
      <c r="AI51" s="7">
        <f ca="1">$AW$9*EXP(-'3.r(t)'!F49*$AW$23)</f>
        <v>0.91981362548491796</v>
      </c>
      <c r="AJ51" s="7">
        <f ca="1">$AW$10*EXP(-'3.r(t)'!G49*$AW$24)</f>
        <v>0.9379274723928841</v>
      </c>
      <c r="AK51" s="7">
        <f ca="1">$AW$11*EXP(-'3.r(t)'!H49*$AW$25)</f>
        <v>0.95334059526090531</v>
      </c>
      <c r="AL51" s="7">
        <f ca="1">$AW$12*EXP(-'3.r(t)'!I49*$AW$26)</f>
        <v>0.9746828574569425</v>
      </c>
      <c r="AM51" s="7">
        <v>1</v>
      </c>
      <c r="AN51" s="7"/>
    </row>
    <row r="52" spans="2:40">
      <c r="B52" s="7">
        <v>44</v>
      </c>
      <c r="C52" s="7">
        <f>$AR$7*EXP(-'3.r(t)'!D50*$AR$21)</f>
        <v>0.97765346695821032</v>
      </c>
      <c r="D52" s="7">
        <v>1</v>
      </c>
      <c r="E52" s="7"/>
      <c r="F52" s="7">
        <v>44</v>
      </c>
      <c r="G52" s="48">
        <f>$AS$7*EXP(-'3.r(t)'!D50*$AS$21)</f>
        <v>0.9553476245219803</v>
      </c>
      <c r="H52" s="7">
        <f ca="1">$AS$8*EXP(-'3.r(t)'!E50*$AS$22)</f>
        <v>0.97544349331478941</v>
      </c>
      <c r="I52" s="7">
        <v>1</v>
      </c>
      <c r="J52" s="7"/>
      <c r="K52" s="7">
        <v>44</v>
      </c>
      <c r="L52" s="7">
        <f>$AT$7*EXP(-'3.r(t)'!D50*$AT$21)</f>
        <v>0.93311670519824419</v>
      </c>
      <c r="M52" s="7">
        <f ca="1">$AT$8*EXP(-'3.r(t)'!E50*$AT$22)</f>
        <v>0.95104184349902743</v>
      </c>
      <c r="N52" s="7">
        <f ca="1">$AT$9*EXP(-'3.r(t)'!F50*$AT$23)</f>
        <v>0.977097756388839</v>
      </c>
      <c r="O52" s="7">
        <v>1</v>
      </c>
      <c r="P52" s="7"/>
      <c r="Q52" s="7">
        <v>44</v>
      </c>
      <c r="R52" s="7">
        <f>$AU$7*EXP(-'3.r(t)'!D50*$AU$21)</f>
        <v>0.91099305977534117</v>
      </c>
      <c r="S52" s="7">
        <f ca="1">$AU$8*EXP(-'3.r(t)'!E50*$AU$22)</f>
        <v>0.92682777849062836</v>
      </c>
      <c r="T52" s="7">
        <f ca="1">$AU$9*EXP(-'3.r(t)'!F50*$AU$23)</f>
        <v>0.95427880819251265</v>
      </c>
      <c r="U52" s="7">
        <f ca="1">$AU$10*EXP(-'3.r(t)'!G50*$AU$24)</f>
        <v>0.98000896794043435</v>
      </c>
      <c r="V52" s="7">
        <v>1</v>
      </c>
      <c r="W52" s="7"/>
      <c r="X52" s="7">
        <v>44</v>
      </c>
      <c r="Y52" s="7">
        <f>$AV$7*EXP(-'3.r(t)'!D50*$AV$21)</f>
        <v>0.88900715067201674</v>
      </c>
      <c r="Z52" s="7">
        <f ca="1">$AV$8*EXP(-'3.r(t)'!E50*$AV$22)</f>
        <v>0.90283186775554225</v>
      </c>
      <c r="AA52" s="7">
        <f ca="1">$AV$9*EXP(-'3.r(t)'!F50*$AV$23)</f>
        <v>0.93157602864412803</v>
      </c>
      <c r="AB52" s="7">
        <f ca="1">$AV$10*EXP(-'3.r(t)'!G50*$AV$24)</f>
        <v>0.9599822466160608</v>
      </c>
      <c r="AC52" s="7">
        <f ca="1">$AV$11*EXP(-'3.r(t)'!H50*$AV$25)</f>
        <v>0.98093249539638316</v>
      </c>
      <c r="AD52" s="7">
        <v>1</v>
      </c>
      <c r="AE52" s="7"/>
      <c r="AF52" s="7">
        <v>44</v>
      </c>
      <c r="AG52" s="7">
        <f>$AW$7*EXP(-'3.r(t)'!D50*$AW$21)</f>
        <v>0.86718755429225491</v>
      </c>
      <c r="AH52" s="7">
        <f ca="1">$AW$8*EXP(-'3.r(t)'!E50*$AW$22)</f>
        <v>0.87908254106830019</v>
      </c>
      <c r="AI52" s="7">
        <f ca="1">$AW$9*EXP(-'3.r(t)'!F50*$AW$23)</f>
        <v>0.90902035082048738</v>
      </c>
      <c r="AJ52" s="7">
        <f ca="1">$AW$10*EXP(-'3.r(t)'!G50*$AW$24)</f>
        <v>0.93995263414107633</v>
      </c>
      <c r="AK52" s="7">
        <f ca="1">$AW$11*EXP(-'3.r(t)'!H50*$AW$25)</f>
        <v>0.96180094497401902</v>
      </c>
      <c r="AL52" s="7">
        <f ca="1">$AW$12*EXP(-'3.r(t)'!I50*$AW$26)</f>
        <v>0.98326500757881141</v>
      </c>
      <c r="AM52" s="7">
        <v>1</v>
      </c>
      <c r="AN52" s="7"/>
    </row>
    <row r="53" spans="2:40">
      <c r="B53" s="7">
        <v>45</v>
      </c>
      <c r="C53" s="7">
        <f>$AR$7*EXP(-'3.r(t)'!D51*$AR$21)</f>
        <v>0.97765346695821032</v>
      </c>
      <c r="D53" s="7">
        <v>1</v>
      </c>
      <c r="E53" s="7"/>
      <c r="F53" s="7">
        <v>45</v>
      </c>
      <c r="G53" s="48">
        <f>$AS$7*EXP(-'3.r(t)'!D51*$AS$21)</f>
        <v>0.9553476245219803</v>
      </c>
      <c r="H53" s="7">
        <f ca="1">$AS$8*EXP(-'3.r(t)'!E51*$AS$22)</f>
        <v>0.97456613538330072</v>
      </c>
      <c r="I53" s="7">
        <v>1</v>
      </c>
      <c r="J53" s="7"/>
      <c r="K53" s="7">
        <v>45</v>
      </c>
      <c r="L53" s="7">
        <f>$AT$7*EXP(-'3.r(t)'!D51*$AT$21)</f>
        <v>0.93311670519824419</v>
      </c>
      <c r="M53" s="7">
        <f ca="1">$AT$8*EXP(-'3.r(t)'!E51*$AT$22)</f>
        <v>0.94933179292219794</v>
      </c>
      <c r="N53" s="7">
        <f ca="1">$AT$9*EXP(-'3.r(t)'!F51*$AT$23)</f>
        <v>0.97726288852516696</v>
      </c>
      <c r="O53" s="7">
        <v>1</v>
      </c>
      <c r="P53" s="7"/>
      <c r="Q53" s="7">
        <v>45</v>
      </c>
      <c r="R53" s="7">
        <f>$AU$7*EXP(-'3.r(t)'!D51*$AU$21)</f>
        <v>0.91099305977534117</v>
      </c>
      <c r="S53" s="7">
        <f ca="1">$AU$8*EXP(-'3.r(t)'!E51*$AU$22)</f>
        <v>0.92432913494580271</v>
      </c>
      <c r="T53" s="7">
        <f ca="1">$AU$9*EXP(-'3.r(t)'!F51*$AU$23)</f>
        <v>0.95460138679453488</v>
      </c>
      <c r="U53" s="7">
        <f ca="1">$AU$10*EXP(-'3.r(t)'!G51*$AU$24)</f>
        <v>0.97660041848453494</v>
      </c>
      <c r="V53" s="7">
        <v>1</v>
      </c>
      <c r="W53" s="7"/>
      <c r="X53" s="7">
        <v>45</v>
      </c>
      <c r="Y53" s="7">
        <f>$AV$7*EXP(-'3.r(t)'!D51*$AV$21)</f>
        <v>0.88900715067201674</v>
      </c>
      <c r="Z53" s="7">
        <f ca="1">$AV$8*EXP(-'3.r(t)'!E51*$AV$22)</f>
        <v>0.89958805645838524</v>
      </c>
      <c r="AA53" s="7">
        <f ca="1">$AV$9*EXP(-'3.r(t)'!F51*$AV$23)</f>
        <v>0.93204842499884144</v>
      </c>
      <c r="AB53" s="7">
        <f ca="1">$AV$10*EXP(-'3.r(t)'!G51*$AV$24)</f>
        <v>0.95331606971972094</v>
      </c>
      <c r="AC53" s="7">
        <f ca="1">$AV$11*EXP(-'3.r(t)'!H51*$AV$25)</f>
        <v>0.97460959871032826</v>
      </c>
      <c r="AD53" s="7">
        <v>1</v>
      </c>
      <c r="AE53" s="7"/>
      <c r="AF53" s="7">
        <v>45</v>
      </c>
      <c r="AG53" s="7">
        <f>$AW$7*EXP(-'3.r(t)'!D51*$AW$21)</f>
        <v>0.86718755429225491</v>
      </c>
      <c r="AH53" s="7">
        <f ca="1">$AW$8*EXP(-'3.r(t)'!E51*$AW$22)</f>
        <v>0.87513621377072026</v>
      </c>
      <c r="AI53" s="7">
        <f ca="1">$AW$9*EXP(-'3.r(t)'!F51*$AW$23)</f>
        <v>0.9096350141083841</v>
      </c>
      <c r="AJ53" s="7">
        <f ca="1">$AW$10*EXP(-'3.r(t)'!G51*$AW$24)</f>
        <v>0.93017901554166327</v>
      </c>
      <c r="AK53" s="7">
        <f ca="1">$AW$11*EXP(-'3.r(t)'!H51*$AW$25)</f>
        <v>0.9494417492314059</v>
      </c>
      <c r="AL53" s="7">
        <f ca="1">$AW$12*EXP(-'3.r(t)'!I51*$AW$26)</f>
        <v>0.97279179236779068</v>
      </c>
      <c r="AM53" s="7">
        <v>1</v>
      </c>
      <c r="AN53" s="7"/>
    </row>
    <row r="54" spans="2:40">
      <c r="B54" s="7">
        <v>46</v>
      </c>
      <c r="C54" s="7">
        <f>$AR$7*EXP(-'3.r(t)'!D52*$AR$21)</f>
        <v>0.97765346695821032</v>
      </c>
      <c r="D54" s="7">
        <v>1</v>
      </c>
      <c r="E54" s="7"/>
      <c r="F54" s="7">
        <v>46</v>
      </c>
      <c r="G54" s="48">
        <f>$AS$7*EXP(-'3.r(t)'!D52*$AS$21)</f>
        <v>0.9553476245219803</v>
      </c>
      <c r="H54" s="7">
        <f ca="1">$AS$8*EXP(-'3.r(t)'!E52*$AS$22)</f>
        <v>0.97712911665057811</v>
      </c>
      <c r="I54" s="7">
        <v>1</v>
      </c>
      <c r="J54" s="7"/>
      <c r="K54" s="7">
        <v>46</v>
      </c>
      <c r="L54" s="7">
        <f>$AT$7*EXP(-'3.r(t)'!D52*$AT$21)</f>
        <v>0.93311670519824419</v>
      </c>
      <c r="M54" s="7">
        <f ca="1">$AT$8*EXP(-'3.r(t)'!E52*$AT$22)</f>
        <v>0.95433159520578215</v>
      </c>
      <c r="N54" s="7">
        <f ca="1">$AT$9*EXP(-'3.r(t)'!F52*$AT$23)</f>
        <v>0.97164282073797847</v>
      </c>
      <c r="O54" s="7">
        <v>1</v>
      </c>
      <c r="P54" s="7"/>
      <c r="Q54" s="7">
        <v>46</v>
      </c>
      <c r="R54" s="7">
        <f>$AU$7*EXP(-'3.r(t)'!D52*$AU$21)</f>
        <v>0.91099305977534117</v>
      </c>
      <c r="S54" s="7">
        <f ca="1">$AU$8*EXP(-'3.r(t)'!E52*$AU$22)</f>
        <v>0.9316409239356559</v>
      </c>
      <c r="T54" s="7">
        <f ca="1">$AU$9*EXP(-'3.r(t)'!F52*$AU$23)</f>
        <v>0.94365346644364878</v>
      </c>
      <c r="U54" s="7">
        <f ca="1">$AU$10*EXP(-'3.r(t)'!G52*$AU$24)</f>
        <v>0.98051816089227151</v>
      </c>
      <c r="V54" s="7">
        <v>1</v>
      </c>
      <c r="W54" s="7"/>
      <c r="X54" s="7">
        <v>46</v>
      </c>
      <c r="Y54" s="7">
        <f>$AV$7*EXP(-'3.r(t)'!D52*$AV$21)</f>
        <v>0.88900715067201674</v>
      </c>
      <c r="Z54" s="7">
        <f ca="1">$AV$8*EXP(-'3.r(t)'!E52*$AV$22)</f>
        <v>0.90908864736301165</v>
      </c>
      <c r="AA54" s="7">
        <f ca="1">$AV$9*EXP(-'3.r(t)'!F52*$AV$23)</f>
        <v>0.91606057984403055</v>
      </c>
      <c r="AB54" s="7">
        <f ca="1">$AV$10*EXP(-'3.r(t)'!G52*$AV$24)</f>
        <v>0.96098008071634544</v>
      </c>
      <c r="AC54" s="7">
        <f ca="1">$AV$11*EXP(-'3.r(t)'!H52*$AV$25)</f>
        <v>0.98187082199970555</v>
      </c>
      <c r="AD54" s="7">
        <v>1</v>
      </c>
      <c r="AE54" s="7"/>
      <c r="AF54" s="7">
        <v>46</v>
      </c>
      <c r="AG54" s="7">
        <f>$AW$7*EXP(-'3.r(t)'!D52*$AW$21)</f>
        <v>0.86718755429225491</v>
      </c>
      <c r="AH54" s="7">
        <f ca="1">$AW$8*EXP(-'3.r(t)'!E52*$AW$22)</f>
        <v>0.88670436741706193</v>
      </c>
      <c r="AI54" s="7">
        <f ca="1">$AW$9*EXP(-'3.r(t)'!F52*$AW$23)</f>
        <v>0.88889021682866765</v>
      </c>
      <c r="AJ54" s="7">
        <f ca="1">$AW$10*EXP(-'3.r(t)'!G52*$AW$24)</f>
        <v>0.94141853698993383</v>
      </c>
      <c r="AK54" s="7">
        <f ca="1">$AW$11*EXP(-'3.r(t)'!H52*$AW$25)</f>
        <v>0.96364187706761284</v>
      </c>
      <c r="AL54" s="7">
        <f ca="1">$AW$12*EXP(-'3.r(t)'!I52*$AW$26)</f>
        <v>0.97983991927381353</v>
      </c>
      <c r="AM54" s="7">
        <v>1</v>
      </c>
      <c r="AN54" s="7"/>
    </row>
    <row r="55" spans="2:40">
      <c r="B55" s="7">
        <v>47</v>
      </c>
      <c r="C55" s="7">
        <f>$AR$7*EXP(-'3.r(t)'!D53*$AR$21)</f>
        <v>0.97765346695821032</v>
      </c>
      <c r="D55" s="7">
        <v>1</v>
      </c>
      <c r="E55" s="7"/>
      <c r="F55" s="7">
        <v>47</v>
      </c>
      <c r="G55" s="48">
        <f>$AS$7*EXP(-'3.r(t)'!D53*$AS$21)</f>
        <v>0.9553476245219803</v>
      </c>
      <c r="H55" s="7">
        <f ca="1">$AS$8*EXP(-'3.r(t)'!E53*$AS$22)</f>
        <v>0.97732498241766308</v>
      </c>
      <c r="I55" s="7">
        <v>1</v>
      </c>
      <c r="J55" s="7"/>
      <c r="K55" s="7">
        <v>47</v>
      </c>
      <c r="L55" s="7">
        <f>$AT$7*EXP(-'3.r(t)'!D53*$AT$21)</f>
        <v>0.93311670519824419</v>
      </c>
      <c r="M55" s="7">
        <f ca="1">$AT$8*EXP(-'3.r(t)'!E53*$AT$22)</f>
        <v>0.95471422554793772</v>
      </c>
      <c r="N55" s="7">
        <f ca="1">$AT$9*EXP(-'3.r(t)'!F53*$AT$23)</f>
        <v>0.9733879973254288</v>
      </c>
      <c r="O55" s="7">
        <v>1</v>
      </c>
      <c r="P55" s="7"/>
      <c r="Q55" s="7">
        <v>47</v>
      </c>
      <c r="R55" s="7">
        <f>$AU$7*EXP(-'3.r(t)'!D53*$AU$21)</f>
        <v>0.91099305977534117</v>
      </c>
      <c r="S55" s="7">
        <f ca="1">$AU$8*EXP(-'3.r(t)'!E53*$AU$22)</f>
        <v>0.93220127918764739</v>
      </c>
      <c r="T55" s="7">
        <f ca="1">$AU$9*EXP(-'3.r(t)'!F53*$AU$23)</f>
        <v>0.94704631998011524</v>
      </c>
      <c r="U55" s="7">
        <f ca="1">$AU$10*EXP(-'3.r(t)'!G53*$AU$24)</f>
        <v>0.9728011275100007</v>
      </c>
      <c r="V55" s="7">
        <v>1</v>
      </c>
      <c r="W55" s="7"/>
      <c r="X55" s="7">
        <v>47</v>
      </c>
      <c r="Y55" s="7">
        <f>$AV$7*EXP(-'3.r(t)'!D53*$AV$21)</f>
        <v>0.88900715067201674</v>
      </c>
      <c r="Z55" s="7">
        <f ca="1">$AV$8*EXP(-'3.r(t)'!E53*$AV$22)</f>
        <v>0.90981777471145209</v>
      </c>
      <c r="AA55" s="7">
        <f ca="1">$AV$9*EXP(-'3.r(t)'!F53*$AV$23)</f>
        <v>0.92100548525213621</v>
      </c>
      <c r="AB55" s="7">
        <f ca="1">$AV$10*EXP(-'3.r(t)'!G53*$AV$24)</f>
        <v>0.94591308311028754</v>
      </c>
      <c r="AC55" s="7">
        <f ca="1">$AV$11*EXP(-'3.r(t)'!H53*$AV$25)</f>
        <v>0.97050209700444756</v>
      </c>
      <c r="AD55" s="7">
        <v>1</v>
      </c>
      <c r="AE55" s="7"/>
      <c r="AF55" s="7">
        <v>47</v>
      </c>
      <c r="AG55" s="7">
        <f>$AW$7*EXP(-'3.r(t)'!D53*$AW$21)</f>
        <v>0.86718755429225491</v>
      </c>
      <c r="AH55" s="7">
        <f ca="1">$AW$8*EXP(-'3.r(t)'!E53*$AW$22)</f>
        <v>0.88759342429042076</v>
      </c>
      <c r="AI55" s="7">
        <f ca="1">$AW$9*EXP(-'3.r(t)'!F53*$AW$23)</f>
        <v>0.89529361834689192</v>
      </c>
      <c r="AJ55" s="7">
        <f ca="1">$AW$10*EXP(-'3.r(t)'!G53*$AW$24)</f>
        <v>0.91936510428784812</v>
      </c>
      <c r="AK55" s="7">
        <f ca="1">$AW$11*EXP(-'3.r(t)'!H53*$AW$25)</f>
        <v>0.94145575018875804</v>
      </c>
      <c r="AL55" s="7">
        <f ca="1">$AW$12*EXP(-'3.r(t)'!I53*$AW$26)</f>
        <v>0.9688300640861115</v>
      </c>
      <c r="AM55" s="7">
        <v>1</v>
      </c>
      <c r="AN55" s="7"/>
    </row>
    <row r="56" spans="2:40">
      <c r="B56" s="7">
        <v>48</v>
      </c>
      <c r="C56" s="7">
        <f>$AR$7*EXP(-'3.r(t)'!D54*$AR$21)</f>
        <v>0.97765346695821032</v>
      </c>
      <c r="D56" s="7">
        <v>1</v>
      </c>
      <c r="E56" s="7"/>
      <c r="F56" s="7">
        <v>48</v>
      </c>
      <c r="G56" s="48">
        <f>$AS$7*EXP(-'3.r(t)'!D54*$AS$21)</f>
        <v>0.9553476245219803</v>
      </c>
      <c r="H56" s="7">
        <f ca="1">$AS$8*EXP(-'3.r(t)'!E54*$AS$22)</f>
        <v>0.97856283017733792</v>
      </c>
      <c r="I56" s="7">
        <v>1</v>
      </c>
      <c r="J56" s="7"/>
      <c r="K56" s="7">
        <v>48</v>
      </c>
      <c r="L56" s="7">
        <f>$AT$7*EXP(-'3.r(t)'!D54*$AT$21)</f>
        <v>0.93311670519824419</v>
      </c>
      <c r="M56" s="7">
        <f ca="1">$AT$8*EXP(-'3.r(t)'!E54*$AT$22)</f>
        <v>0.95713417652692201</v>
      </c>
      <c r="N56" s="7">
        <f ca="1">$AT$9*EXP(-'3.r(t)'!F54*$AT$23)</f>
        <v>0.97586670582122781</v>
      </c>
      <c r="O56" s="7">
        <v>1</v>
      </c>
      <c r="P56" s="7"/>
      <c r="Q56" s="7">
        <v>48</v>
      </c>
      <c r="R56" s="7">
        <f>$AU$7*EXP(-'3.r(t)'!D54*$AU$21)</f>
        <v>0.91099305977534117</v>
      </c>
      <c r="S56" s="7">
        <f ca="1">$AU$8*EXP(-'3.r(t)'!E54*$AU$22)</f>
        <v>0.93574785404508976</v>
      </c>
      <c r="T56" s="7">
        <f ca="1">$AU$9*EXP(-'3.r(t)'!F54*$AU$23)</f>
        <v>0.95187572126649544</v>
      </c>
      <c r="U56" s="7">
        <f ca="1">$AU$10*EXP(-'3.r(t)'!G54*$AU$24)</f>
        <v>0.97586030274755342</v>
      </c>
      <c r="V56" s="7">
        <v>1</v>
      </c>
      <c r="W56" s="7"/>
      <c r="X56" s="7">
        <v>48</v>
      </c>
      <c r="Y56" s="7">
        <f>$AV$7*EXP(-'3.r(t)'!D54*$AV$21)</f>
        <v>0.88900715067201674</v>
      </c>
      <c r="Z56" s="7">
        <f ca="1">$AV$8*EXP(-'3.r(t)'!E54*$AV$22)</f>
        <v>0.91443592062538337</v>
      </c>
      <c r="AA56" s="7">
        <f ca="1">$AV$9*EXP(-'3.r(t)'!F54*$AV$23)</f>
        <v>0.92805937050883658</v>
      </c>
      <c r="AB56" s="7">
        <f ca="1">$AV$10*EXP(-'3.r(t)'!G54*$AV$24)</f>
        <v>0.95187167781374837</v>
      </c>
      <c r="AC56" s="7">
        <f ca="1">$AV$11*EXP(-'3.r(t)'!H54*$AV$25)</f>
        <v>0.97788159931815966</v>
      </c>
      <c r="AD56" s="7">
        <v>1</v>
      </c>
      <c r="AE56" s="7"/>
      <c r="AF56" s="7">
        <v>48</v>
      </c>
      <c r="AG56" s="7">
        <f>$AW$7*EXP(-'3.r(t)'!D54*$AW$21)</f>
        <v>0.86718755429225491</v>
      </c>
      <c r="AH56" s="7">
        <f ca="1">$AW$8*EXP(-'3.r(t)'!E54*$AW$22)</f>
        <v>0.89322866460271233</v>
      </c>
      <c r="AI56" s="7">
        <f ca="1">$AW$9*EXP(-'3.r(t)'!F54*$AW$23)</f>
        <v>0.90444788325775027</v>
      </c>
      <c r="AJ56" s="7">
        <f ca="1">$AW$10*EXP(-'3.r(t)'!G54*$AW$24)</f>
        <v>0.92806581188333881</v>
      </c>
      <c r="AK56" s="7">
        <f ca="1">$AW$11*EXP(-'3.r(t)'!H54*$AW$25)</f>
        <v>0.95582746253763695</v>
      </c>
      <c r="AL56" s="7">
        <f ca="1">$AW$12*EXP(-'3.r(t)'!I54*$AW$26)</f>
        <v>0.97903674137967756</v>
      </c>
      <c r="AM56" s="7">
        <v>1</v>
      </c>
      <c r="AN56" s="7"/>
    </row>
    <row r="57" spans="2:40">
      <c r="B57" s="7">
        <v>49</v>
      </c>
      <c r="C57" s="7">
        <f>$AR$7*EXP(-'3.r(t)'!D55*$AR$21)</f>
        <v>0.97765346695821032</v>
      </c>
      <c r="D57" s="7">
        <v>1</v>
      </c>
      <c r="E57" s="7"/>
      <c r="F57" s="7">
        <v>49</v>
      </c>
      <c r="G57" s="48">
        <f>$AS$7*EXP(-'3.r(t)'!D55*$AS$21)</f>
        <v>0.9553476245219803</v>
      </c>
      <c r="H57" s="7">
        <f ca="1">$AS$8*EXP(-'3.r(t)'!E55*$AS$22)</f>
        <v>0.97799251735610926</v>
      </c>
      <c r="I57" s="7">
        <v>1</v>
      </c>
      <c r="J57" s="7"/>
      <c r="K57" s="7">
        <v>49</v>
      </c>
      <c r="L57" s="7">
        <f>$AT$7*EXP(-'3.r(t)'!D55*$AT$21)</f>
        <v>0.93311670519824419</v>
      </c>
      <c r="M57" s="7">
        <f ca="1">$AT$8*EXP(-'3.r(t)'!E55*$AT$22)</f>
        <v>0.95601885350713522</v>
      </c>
      <c r="N57" s="7">
        <f ca="1">$AT$9*EXP(-'3.r(t)'!F55*$AT$23)</f>
        <v>0.97517634635360284</v>
      </c>
      <c r="O57" s="7">
        <v>1</v>
      </c>
      <c r="P57" s="7"/>
      <c r="Q57" s="7">
        <v>49</v>
      </c>
      <c r="R57" s="7">
        <f>$AU$7*EXP(-'3.r(t)'!D55*$AU$21)</f>
        <v>0.91099305977534117</v>
      </c>
      <c r="S57" s="7">
        <f ca="1">$AU$8*EXP(-'3.r(t)'!E55*$AU$22)</f>
        <v>0.93411272745907292</v>
      </c>
      <c r="T57" s="7">
        <f ca="1">$AU$9*EXP(-'3.r(t)'!F55*$AU$23)</f>
        <v>0.95052942269405516</v>
      </c>
      <c r="U57" s="7">
        <f ca="1">$AU$10*EXP(-'3.r(t)'!G55*$AU$24)</f>
        <v>0.97685262346777924</v>
      </c>
      <c r="V57" s="7">
        <v>1</v>
      </c>
      <c r="W57" s="7"/>
      <c r="X57" s="7">
        <v>49</v>
      </c>
      <c r="Y57" s="7">
        <f>$AV$7*EXP(-'3.r(t)'!D55*$AV$21)</f>
        <v>0.88900715067201674</v>
      </c>
      <c r="Z57" s="7">
        <f ca="1">$AV$8*EXP(-'3.r(t)'!E55*$AV$22)</f>
        <v>0.91230602654950588</v>
      </c>
      <c r="AA57" s="7">
        <f ca="1">$AV$9*EXP(-'3.r(t)'!F55*$AV$23)</f>
        <v>0.92609114648373014</v>
      </c>
      <c r="AB57" s="7">
        <f ca="1">$AV$10*EXP(-'3.r(t)'!G55*$AV$24)</f>
        <v>0.95380851699753177</v>
      </c>
      <c r="AC57" s="7">
        <f ca="1">$AV$11*EXP(-'3.r(t)'!H55*$AV$25)</f>
        <v>0.98033713908697651</v>
      </c>
      <c r="AD57" s="7">
        <v>1</v>
      </c>
      <c r="AE57" s="7"/>
      <c r="AF57" s="7">
        <v>49</v>
      </c>
      <c r="AG57" s="7">
        <f>$AW$7*EXP(-'3.r(t)'!D55*$AW$21)</f>
        <v>0.86718755429225491</v>
      </c>
      <c r="AH57" s="7">
        <f ca="1">$AW$8*EXP(-'3.r(t)'!E55*$AW$22)</f>
        <v>0.89062879925097971</v>
      </c>
      <c r="AI57" s="7">
        <f ca="1">$AW$9*EXP(-'3.r(t)'!F55*$AW$23)</f>
        <v>0.90189125582841501</v>
      </c>
      <c r="AJ57" s="7">
        <f ca="1">$AW$10*EXP(-'3.r(t)'!G55*$AW$24)</f>
        <v>0.93089985192775881</v>
      </c>
      <c r="AK57" s="7">
        <f ca="1">$AW$11*EXP(-'3.r(t)'!H55*$AW$25)</f>
        <v>0.96063380962966072</v>
      </c>
      <c r="AL57" s="7">
        <f ca="1">$AW$12*EXP(-'3.r(t)'!I55*$AW$26)</f>
        <v>0.97969799410771607</v>
      </c>
      <c r="AM57" s="7">
        <v>1</v>
      </c>
      <c r="AN57" s="7"/>
    </row>
    <row r="58" spans="2:40">
      <c r="B58" s="7">
        <v>50</v>
      </c>
      <c r="C58" s="7">
        <f>$AR$7*EXP(-'3.r(t)'!D56*$AR$21)</f>
        <v>0.97765346695821032</v>
      </c>
      <c r="D58" s="7">
        <v>1</v>
      </c>
      <c r="E58" s="7"/>
      <c r="F58" s="7">
        <v>50</v>
      </c>
      <c r="G58" s="48">
        <f>$AS$7*EXP(-'3.r(t)'!D56*$AS$21)</f>
        <v>0.9553476245219803</v>
      </c>
      <c r="H58" s="7">
        <f ca="1">$AS$8*EXP(-'3.r(t)'!E56*$AS$22)</f>
        <v>0.97448189699189658</v>
      </c>
      <c r="I58" s="7">
        <v>1</v>
      </c>
      <c r="J58" s="7"/>
      <c r="K58" s="7">
        <v>50</v>
      </c>
      <c r="L58" s="7">
        <f>$AT$7*EXP(-'3.r(t)'!D56*$AT$21)</f>
        <v>0.93311670519824419</v>
      </c>
      <c r="M58" s="7">
        <f ca="1">$AT$8*EXP(-'3.r(t)'!E56*$AT$22)</f>
        <v>0.94916768558446618</v>
      </c>
      <c r="N58" s="7">
        <f ca="1">$AT$9*EXP(-'3.r(t)'!F56*$AT$23)</f>
        <v>0.97715073368517158</v>
      </c>
      <c r="O58" s="7">
        <v>1</v>
      </c>
      <c r="P58" s="7"/>
      <c r="Q58" s="7">
        <v>50</v>
      </c>
      <c r="R58" s="7">
        <f>$AU$7*EXP(-'3.r(t)'!D56*$AU$21)</f>
        <v>0.91099305977534117</v>
      </c>
      <c r="S58" s="7">
        <f ca="1">$AU$8*EXP(-'3.r(t)'!E56*$AU$22)</f>
        <v>0.92408946746760834</v>
      </c>
      <c r="T58" s="7">
        <f ca="1">$AU$9*EXP(-'3.r(t)'!F56*$AU$23)</f>
        <v>0.95438229114782513</v>
      </c>
      <c r="U58" s="7">
        <f ca="1">$AU$10*EXP(-'3.r(t)'!G56*$AU$24)</f>
        <v>0.97611033037624684</v>
      </c>
      <c r="V58" s="7">
        <v>1</v>
      </c>
      <c r="W58" s="7"/>
      <c r="X58" s="7">
        <v>50</v>
      </c>
      <c r="Y58" s="7">
        <f>$AV$7*EXP(-'3.r(t)'!D56*$AV$21)</f>
        <v>0.88900715067201674</v>
      </c>
      <c r="Z58" s="7">
        <f ca="1">$AV$8*EXP(-'3.r(t)'!E56*$AV$22)</f>
        <v>0.89927706668205576</v>
      </c>
      <c r="AA58" s="7">
        <f ca="1">$AV$9*EXP(-'3.r(t)'!F56*$AV$23)</f>
        <v>0.9317275643166536</v>
      </c>
      <c r="AB58" s="7">
        <f ca="1">$AV$10*EXP(-'3.r(t)'!G56*$AV$24)</f>
        <v>0.95235950318445639</v>
      </c>
      <c r="AC58" s="7">
        <f ca="1">$AV$11*EXP(-'3.r(t)'!H56*$AV$25)</f>
        <v>0.97690791131483357</v>
      </c>
      <c r="AD58" s="7">
        <v>1</v>
      </c>
      <c r="AE58" s="7"/>
      <c r="AF58" s="7">
        <v>50</v>
      </c>
      <c r="AG58" s="7">
        <f>$AW$7*EXP(-'3.r(t)'!D56*$AW$21)</f>
        <v>0.86718755429225491</v>
      </c>
      <c r="AH58" s="7">
        <f ca="1">$AW$8*EXP(-'3.r(t)'!E56*$AW$22)</f>
        <v>0.87475805922031269</v>
      </c>
      <c r="AI58" s="7">
        <f ca="1">$AW$9*EXP(-'3.r(t)'!F56*$AW$23)</f>
        <v>0.90921751167527087</v>
      </c>
      <c r="AJ58" s="7">
        <f ca="1">$AW$10*EXP(-'3.r(t)'!G56*$AW$24)</f>
        <v>0.92877934091222936</v>
      </c>
      <c r="AK58" s="7">
        <f ca="1">$AW$11*EXP(-'3.r(t)'!H56*$AW$25)</f>
        <v>0.95392495329544102</v>
      </c>
      <c r="AL58" s="7">
        <f ca="1">$AW$12*EXP(-'3.r(t)'!I56*$AW$26)</f>
        <v>0.97170850083624183</v>
      </c>
      <c r="AM58" s="7">
        <v>1</v>
      </c>
      <c r="AN58" s="7"/>
    </row>
    <row r="59" spans="2:40">
      <c r="B59" s="7">
        <v>51</v>
      </c>
      <c r="C59" s="7">
        <f>$AR$7*EXP(-'3.r(t)'!D57*$AR$21)</f>
        <v>0.97765346695821032</v>
      </c>
      <c r="D59" s="7">
        <v>1</v>
      </c>
      <c r="E59" s="7"/>
      <c r="F59" s="7">
        <v>51</v>
      </c>
      <c r="G59" s="48">
        <f>$AS$7*EXP(-'3.r(t)'!D57*$AS$21)</f>
        <v>0.9553476245219803</v>
      </c>
      <c r="H59" s="7">
        <f ca="1">$AS$8*EXP(-'3.r(t)'!E57*$AS$22)</f>
        <v>0.97711262812221489</v>
      </c>
      <c r="I59" s="7">
        <v>1</v>
      </c>
      <c r="J59" s="7"/>
      <c r="K59" s="7">
        <v>51</v>
      </c>
      <c r="L59" s="7">
        <f>$AT$7*EXP(-'3.r(t)'!D57*$AT$21)</f>
        <v>0.93311670519824419</v>
      </c>
      <c r="M59" s="7">
        <f ca="1">$AT$8*EXP(-'3.r(t)'!E57*$AT$22)</f>
        <v>0.9542993878126278</v>
      </c>
      <c r="N59" s="7">
        <f ca="1">$AT$9*EXP(-'3.r(t)'!F57*$AT$23)</f>
        <v>0.97917134388877047</v>
      </c>
      <c r="O59" s="7">
        <v>1</v>
      </c>
      <c r="P59" s="7"/>
      <c r="Q59" s="7">
        <v>51</v>
      </c>
      <c r="R59" s="7">
        <f>$AU$7*EXP(-'3.r(t)'!D57*$AU$21)</f>
        <v>0.91099305977534117</v>
      </c>
      <c r="S59" s="7">
        <f ca="1">$AU$8*EXP(-'3.r(t)'!E57*$AU$22)</f>
        <v>0.93159376191277721</v>
      </c>
      <c r="T59" s="7">
        <f ca="1">$AU$9*EXP(-'3.r(t)'!F57*$AU$23)</f>
        <v>0.95833342866378546</v>
      </c>
      <c r="U59" s="7">
        <f ca="1">$AU$10*EXP(-'3.r(t)'!G57*$AU$24)</f>
        <v>0.97975782836655878</v>
      </c>
      <c r="V59" s="7">
        <v>1</v>
      </c>
      <c r="W59" s="7"/>
      <c r="X59" s="7">
        <v>51</v>
      </c>
      <c r="Y59" s="7">
        <f>$AV$7*EXP(-'3.r(t)'!D57*$AV$21)</f>
        <v>0.88900715067201674</v>
      </c>
      <c r="Z59" s="7">
        <f ca="1">$AV$8*EXP(-'3.r(t)'!E57*$AV$22)</f>
        <v>0.90902728738801908</v>
      </c>
      <c r="AA59" s="7">
        <f ca="1">$AV$9*EXP(-'3.r(t)'!F57*$AV$23)</f>
        <v>0.93751956931885216</v>
      </c>
      <c r="AB59" s="7">
        <f ca="1">$AV$10*EXP(-'3.r(t)'!G57*$AV$24)</f>
        <v>0.95949029470720526</v>
      </c>
      <c r="AC59" s="7">
        <f ca="1">$AV$11*EXP(-'3.r(t)'!H57*$AV$25)</f>
        <v>0.97752400933469885</v>
      </c>
      <c r="AD59" s="7">
        <v>1</v>
      </c>
      <c r="AE59" s="7"/>
      <c r="AF59" s="7">
        <v>51</v>
      </c>
      <c r="AG59" s="7">
        <f>$AW$7*EXP(-'3.r(t)'!D57*$AW$21)</f>
        <v>0.86718755429225491</v>
      </c>
      <c r="AH59" s="7">
        <f ca="1">$AW$8*EXP(-'3.r(t)'!E57*$AW$22)</f>
        <v>0.88662955664514487</v>
      </c>
      <c r="AI59" s="7">
        <f ca="1">$AW$9*EXP(-'3.r(t)'!F57*$AW$23)</f>
        <v>0.91676140640611292</v>
      </c>
      <c r="AJ59" s="7">
        <f ca="1">$AW$10*EXP(-'3.r(t)'!G57*$AW$24)</f>
        <v>0.93923019539693575</v>
      </c>
      <c r="AK59" s="7">
        <f ca="1">$AW$11*EXP(-'3.r(t)'!H57*$AW$25)</f>
        <v>0.95512853981858525</v>
      </c>
      <c r="AL59" s="7">
        <f ca="1">$AW$12*EXP(-'3.r(t)'!I57*$AW$26)</f>
        <v>0.97825448432554907</v>
      </c>
      <c r="AM59" s="7">
        <v>1</v>
      </c>
      <c r="AN59" s="7"/>
    </row>
    <row r="60" spans="2:40">
      <c r="B60" s="7">
        <v>52</v>
      </c>
      <c r="C60" s="7">
        <f>$AR$7*EXP(-'3.r(t)'!D58*$AR$21)</f>
        <v>0.97765346695821032</v>
      </c>
      <c r="D60" s="7">
        <v>1</v>
      </c>
      <c r="E60" s="7"/>
      <c r="F60" s="7">
        <v>52</v>
      </c>
      <c r="G60" s="48">
        <f>$AS$7*EXP(-'3.r(t)'!D58*$AS$21)</f>
        <v>0.9553476245219803</v>
      </c>
      <c r="H60" s="7">
        <f ca="1">$AS$8*EXP(-'3.r(t)'!E58*$AS$22)</f>
        <v>0.97617837963742493</v>
      </c>
      <c r="I60" s="7">
        <v>1</v>
      </c>
      <c r="J60" s="7"/>
      <c r="K60" s="7">
        <v>52</v>
      </c>
      <c r="L60" s="7">
        <f>$AT$7*EXP(-'3.r(t)'!D58*$AT$21)</f>
        <v>0.93311670519824419</v>
      </c>
      <c r="M60" s="7">
        <f ca="1">$AT$8*EXP(-'3.r(t)'!E58*$AT$22)</f>
        <v>0.9524753881825585</v>
      </c>
      <c r="N60" s="7">
        <f ca="1">$AT$9*EXP(-'3.r(t)'!F58*$AT$23)</f>
        <v>0.97693353056721799</v>
      </c>
      <c r="O60" s="7">
        <v>1</v>
      </c>
      <c r="P60" s="7"/>
      <c r="Q60" s="7">
        <v>52</v>
      </c>
      <c r="R60" s="7">
        <f>$AU$7*EXP(-'3.r(t)'!D58*$AU$21)</f>
        <v>0.91099305977534117</v>
      </c>
      <c r="S60" s="7">
        <f ca="1">$AU$8*EXP(-'3.r(t)'!E58*$AU$22)</f>
        <v>0.9289241367103227</v>
      </c>
      <c r="T60" s="7">
        <f ca="1">$AU$9*EXP(-'3.r(t)'!F58*$AU$23)</f>
        <v>0.95395805410179135</v>
      </c>
      <c r="U60" s="7">
        <f ca="1">$AU$10*EXP(-'3.r(t)'!G58*$AU$24)</f>
        <v>0.97783234820415721</v>
      </c>
      <c r="V60" s="7">
        <v>1</v>
      </c>
      <c r="W60" s="7"/>
      <c r="X60" s="7">
        <v>52</v>
      </c>
      <c r="Y60" s="7">
        <f>$AV$7*EXP(-'3.r(t)'!D58*$AV$21)</f>
        <v>0.88900715067201674</v>
      </c>
      <c r="Z60" s="7">
        <f ca="1">$AV$8*EXP(-'3.r(t)'!E58*$AV$22)</f>
        <v>0.90555567064839493</v>
      </c>
      <c r="AA60" s="7">
        <f ca="1">$AV$9*EXP(-'3.r(t)'!F58*$AV$23)</f>
        <v>0.93110638333321705</v>
      </c>
      <c r="AB60" s="7">
        <f ca="1">$AV$10*EXP(-'3.r(t)'!G58*$AV$24)</f>
        <v>0.95572270217564093</v>
      </c>
      <c r="AC60" s="7">
        <f ca="1">$AV$11*EXP(-'3.r(t)'!H58*$AV$25)</f>
        <v>0.98049645574880917</v>
      </c>
      <c r="AD60" s="7">
        <v>1</v>
      </c>
      <c r="AE60" s="7"/>
      <c r="AF60" s="7">
        <v>52</v>
      </c>
      <c r="AG60" s="7">
        <f>$AW$7*EXP(-'3.r(t)'!D58*$AW$21)</f>
        <v>0.86718755429225491</v>
      </c>
      <c r="AH60" s="7">
        <f ca="1">$AW$8*EXP(-'3.r(t)'!E58*$AW$22)</f>
        <v>0.88239898066005729</v>
      </c>
      <c r="AI60" s="7">
        <f ca="1">$AW$9*EXP(-'3.r(t)'!F58*$AW$23)</f>
        <v>0.90840937006372702</v>
      </c>
      <c r="AJ60" s="7">
        <f ca="1">$AW$10*EXP(-'3.r(t)'!G58*$AW$24)</f>
        <v>0.93370357258022951</v>
      </c>
      <c r="AK60" s="7">
        <f ca="1">$AW$11*EXP(-'3.r(t)'!H58*$AW$25)</f>
        <v>0.96094606426436191</v>
      </c>
      <c r="AL60" s="7">
        <f ca="1">$AW$12*EXP(-'3.r(t)'!I58*$AW$26)</f>
        <v>0.98132514469398091</v>
      </c>
      <c r="AM60" s="7">
        <v>1</v>
      </c>
      <c r="AN60" s="7"/>
    </row>
    <row r="61" spans="2:40">
      <c r="B61" s="7">
        <v>53</v>
      </c>
      <c r="C61" s="7">
        <f>$AR$7*EXP(-'3.r(t)'!D59*$AR$21)</f>
        <v>0.97765346695821032</v>
      </c>
      <c r="D61" s="7">
        <v>1</v>
      </c>
      <c r="E61" s="7"/>
      <c r="F61" s="7">
        <v>53</v>
      </c>
      <c r="G61" s="48">
        <f>$AS$7*EXP(-'3.r(t)'!D59*$AS$21)</f>
        <v>0.9553476245219803</v>
      </c>
      <c r="H61" s="7">
        <f ca="1">$AS$8*EXP(-'3.r(t)'!E59*$AS$22)</f>
        <v>0.97404334431703787</v>
      </c>
      <c r="I61" s="7">
        <v>1</v>
      </c>
      <c r="J61" s="7"/>
      <c r="K61" s="7">
        <v>53</v>
      </c>
      <c r="L61" s="7">
        <f>$AT$7*EXP(-'3.r(t)'!D59*$AT$21)</f>
        <v>0.93311670519824419</v>
      </c>
      <c r="M61" s="7">
        <f ca="1">$AT$8*EXP(-'3.r(t)'!E59*$AT$22)</f>
        <v>0.94831355712393683</v>
      </c>
      <c r="N61" s="7">
        <f ca="1">$AT$9*EXP(-'3.r(t)'!F59*$AT$23)</f>
        <v>0.97450830367043839</v>
      </c>
      <c r="O61" s="7">
        <v>1</v>
      </c>
      <c r="P61" s="7"/>
      <c r="Q61" s="7">
        <v>53</v>
      </c>
      <c r="R61" s="7">
        <f>$AU$7*EXP(-'3.r(t)'!D59*$AU$21)</f>
        <v>0.91099305977534117</v>
      </c>
      <c r="S61" s="7">
        <f ca="1">$AU$8*EXP(-'3.r(t)'!E59*$AU$22)</f>
        <v>0.92284240617189439</v>
      </c>
      <c r="T61" s="7">
        <f ca="1">$AU$9*EXP(-'3.r(t)'!F59*$AU$23)</f>
        <v>0.94922755205794018</v>
      </c>
      <c r="U61" s="7">
        <f ca="1">$AU$10*EXP(-'3.r(t)'!G59*$AU$24)</f>
        <v>0.96822200902390154</v>
      </c>
      <c r="V61" s="7">
        <v>1</v>
      </c>
      <c r="W61" s="7"/>
      <c r="X61" s="7">
        <v>53</v>
      </c>
      <c r="Y61" s="7">
        <f>$AV$7*EXP(-'3.r(t)'!D59*$AV$21)</f>
        <v>0.88900715067201674</v>
      </c>
      <c r="Z61" s="7">
        <f ca="1">$AV$8*EXP(-'3.r(t)'!E59*$AV$22)</f>
        <v>0.89765932820738714</v>
      </c>
      <c r="AA61" s="7">
        <f ca="1">$AV$9*EXP(-'3.r(t)'!F59*$AV$23)</f>
        <v>0.92418919912056952</v>
      </c>
      <c r="AB61" s="7">
        <f ca="1">$AV$10*EXP(-'3.r(t)'!G59*$AV$24)</f>
        <v>0.93702893694680722</v>
      </c>
      <c r="AC61" s="7">
        <f ca="1">$AV$11*EXP(-'3.r(t)'!H59*$AV$25)</f>
        <v>0.96942359247474652</v>
      </c>
      <c r="AD61" s="7">
        <v>1</v>
      </c>
      <c r="AE61" s="7"/>
      <c r="AF61" s="7">
        <v>53</v>
      </c>
      <c r="AG61" s="7">
        <f>$AW$7*EXP(-'3.r(t)'!D59*$AW$21)</f>
        <v>0.86718755429225491</v>
      </c>
      <c r="AH61" s="7">
        <f ca="1">$AW$8*EXP(-'3.r(t)'!E59*$AW$22)</f>
        <v>0.87279146368720784</v>
      </c>
      <c r="AI61" s="7">
        <f ca="1">$AW$9*EXP(-'3.r(t)'!F59*$AW$23)</f>
        <v>0.89942243867422722</v>
      </c>
      <c r="AJ61" s="7">
        <f ca="1">$AW$10*EXP(-'3.r(t)'!G59*$AW$24)</f>
        <v>0.90644335846203838</v>
      </c>
      <c r="AK61" s="7">
        <f ca="1">$AW$11*EXP(-'3.r(t)'!H59*$AW$25)</f>
        <v>0.93936446132989848</v>
      </c>
      <c r="AL61" s="7">
        <f ca="1">$AW$12*EXP(-'3.r(t)'!I59*$AW$26)</f>
        <v>0.96919162221424249</v>
      </c>
      <c r="AM61" s="7">
        <v>1</v>
      </c>
      <c r="AN61" s="7"/>
    </row>
    <row r="62" spans="2:40">
      <c r="B62" s="7">
        <v>54</v>
      </c>
      <c r="C62" s="7">
        <f>$AR$7*EXP(-'3.r(t)'!D60*$AR$21)</f>
        <v>0.97765346695821032</v>
      </c>
      <c r="D62" s="7">
        <v>1</v>
      </c>
      <c r="E62" s="7"/>
      <c r="F62" s="7">
        <v>54</v>
      </c>
      <c r="G62" s="48">
        <f>$AS$7*EXP(-'3.r(t)'!D60*$AS$21)</f>
        <v>0.9553476245219803</v>
      </c>
      <c r="H62" s="7">
        <f ca="1">$AS$8*EXP(-'3.r(t)'!E60*$AS$22)</f>
        <v>0.97299368651178864</v>
      </c>
      <c r="I62" s="7">
        <v>1</v>
      </c>
      <c r="J62" s="7"/>
      <c r="K62" s="7">
        <v>54</v>
      </c>
      <c r="L62" s="7">
        <f>$AT$7*EXP(-'3.r(t)'!D60*$AT$21)</f>
        <v>0.93311670519824419</v>
      </c>
      <c r="M62" s="7">
        <f ca="1">$AT$8*EXP(-'3.r(t)'!E60*$AT$22)</f>
        <v>0.94627079712946049</v>
      </c>
      <c r="N62" s="7">
        <f ca="1">$AT$9*EXP(-'3.r(t)'!F60*$AT$23)</f>
        <v>0.97342033851612109</v>
      </c>
      <c r="O62" s="7">
        <v>1</v>
      </c>
      <c r="P62" s="7"/>
      <c r="Q62" s="7">
        <v>54</v>
      </c>
      <c r="R62" s="7">
        <f>$AU$7*EXP(-'3.r(t)'!D60*$AU$21)</f>
        <v>0.91099305977534117</v>
      </c>
      <c r="S62" s="7">
        <f ca="1">$AU$8*EXP(-'3.r(t)'!E60*$AU$22)</f>
        <v>0.91986217356941902</v>
      </c>
      <c r="T62" s="7">
        <f ca="1">$AU$9*EXP(-'3.r(t)'!F60*$AU$23)</f>
        <v>0.94710925298224102</v>
      </c>
      <c r="U62" s="7">
        <f ca="1">$AU$10*EXP(-'3.r(t)'!G60*$AU$24)</f>
        <v>0.9766022109881356</v>
      </c>
      <c r="V62" s="7">
        <v>1</v>
      </c>
      <c r="W62" s="7"/>
      <c r="X62" s="7">
        <v>54</v>
      </c>
      <c r="Y62" s="7">
        <f>$AV$7*EXP(-'3.r(t)'!D60*$AV$21)</f>
        <v>0.88900715067201674</v>
      </c>
      <c r="Z62" s="7">
        <f ca="1">$AV$8*EXP(-'3.r(t)'!E60*$AV$22)</f>
        <v>0.8937962017902058</v>
      </c>
      <c r="AA62" s="7">
        <f ca="1">$AV$9*EXP(-'3.r(t)'!F60*$AV$23)</f>
        <v>0.92109729058706458</v>
      </c>
      <c r="AB62" s="7">
        <f ca="1">$AV$10*EXP(-'3.r(t)'!G60*$AV$24)</f>
        <v>0.95331956925550543</v>
      </c>
      <c r="AC62" s="7">
        <f ca="1">$AV$11*EXP(-'3.r(t)'!H60*$AV$25)</f>
        <v>0.96898543150015248</v>
      </c>
      <c r="AD62" s="7">
        <v>1</v>
      </c>
      <c r="AE62" s="7"/>
      <c r="AF62" s="7">
        <v>54</v>
      </c>
      <c r="AG62" s="7">
        <f>$AW$7*EXP(-'3.r(t)'!D60*$AW$21)</f>
        <v>0.86718755429225491</v>
      </c>
      <c r="AH62" s="7">
        <f ca="1">$AW$8*EXP(-'3.r(t)'!E60*$AW$22)</f>
        <v>0.86809885939134956</v>
      </c>
      <c r="AI62" s="7">
        <f ca="1">$AW$9*EXP(-'3.r(t)'!F60*$AW$23)</f>
        <v>0.89541261017667695</v>
      </c>
      <c r="AJ62" s="7">
        <f ca="1">$AW$10*EXP(-'3.r(t)'!G60*$AW$24)</f>
        <v>0.93018413744903738</v>
      </c>
      <c r="AK62" s="7">
        <f ca="1">$AW$11*EXP(-'3.r(t)'!H60*$AW$25)</f>
        <v>0.93851550358838887</v>
      </c>
      <c r="AL62" s="7">
        <f ca="1">$AW$12*EXP(-'3.r(t)'!I60*$AW$26)</f>
        <v>0.96982304960740351</v>
      </c>
      <c r="AM62" s="7">
        <v>1</v>
      </c>
      <c r="AN62" s="7"/>
    </row>
    <row r="63" spans="2:40">
      <c r="B63" s="7">
        <v>55</v>
      </c>
      <c r="C63" s="7">
        <f>$AR$7*EXP(-'3.r(t)'!D61*$AR$21)</f>
        <v>0.97765346695821032</v>
      </c>
      <c r="D63" s="7">
        <v>1</v>
      </c>
      <c r="E63" s="7"/>
      <c r="F63" s="7">
        <v>55</v>
      </c>
      <c r="G63" s="48">
        <f>$AS$7*EXP(-'3.r(t)'!D61*$AS$21)</f>
        <v>0.9553476245219803</v>
      </c>
      <c r="H63" s="7">
        <f ca="1">$AS$8*EXP(-'3.r(t)'!E61*$AS$22)</f>
        <v>0.98226255411801899</v>
      </c>
      <c r="I63" s="7">
        <v>1</v>
      </c>
      <c r="J63" s="7"/>
      <c r="K63" s="7">
        <v>55</v>
      </c>
      <c r="L63" s="7">
        <f>$AT$7*EXP(-'3.r(t)'!D61*$AT$21)</f>
        <v>0.93311670519824419</v>
      </c>
      <c r="M63" s="7">
        <f ca="1">$AT$8*EXP(-'3.r(t)'!E61*$AT$22)</f>
        <v>0.96438527216741265</v>
      </c>
      <c r="N63" s="7">
        <f ca="1">$AT$9*EXP(-'3.r(t)'!F61*$AT$23)</f>
        <v>0.9829258873565736</v>
      </c>
      <c r="O63" s="7">
        <v>1</v>
      </c>
      <c r="P63" s="7"/>
      <c r="Q63" s="7">
        <v>55</v>
      </c>
      <c r="R63" s="7">
        <f>$AU$7*EXP(-'3.r(t)'!D61*$AU$21)</f>
        <v>0.91099305977534117</v>
      </c>
      <c r="S63" s="7">
        <f ca="1">$AU$8*EXP(-'3.r(t)'!E61*$AU$22)</f>
        <v>0.94640158274506148</v>
      </c>
      <c r="T63" s="7">
        <f ca="1">$AU$9*EXP(-'3.r(t)'!F61*$AU$23)</f>
        <v>0.9656968034997282</v>
      </c>
      <c r="U63" s="7">
        <f ca="1">$AU$10*EXP(-'3.r(t)'!G61*$AU$24)</f>
        <v>0.981901831726813</v>
      </c>
      <c r="V63" s="7">
        <v>1</v>
      </c>
      <c r="W63" s="7"/>
      <c r="X63" s="7">
        <v>55</v>
      </c>
      <c r="Y63" s="7">
        <f>$AV$7*EXP(-'3.r(t)'!D61*$AV$21)</f>
        <v>0.88900715067201674</v>
      </c>
      <c r="Z63" s="7">
        <f ca="1">$AV$8*EXP(-'3.r(t)'!E61*$AV$22)</f>
        <v>0.92834364411931314</v>
      </c>
      <c r="AA63" s="7">
        <f ca="1">$AV$9*EXP(-'3.r(t)'!F61*$AV$23)</f>
        <v>0.9483454749379171</v>
      </c>
      <c r="AB63" s="7">
        <f ca="1">$AV$10*EXP(-'3.r(t)'!G61*$AV$24)</f>
        <v>0.96369419323550676</v>
      </c>
      <c r="AC63" s="7">
        <f ca="1">$AV$11*EXP(-'3.r(t)'!H61*$AV$25)</f>
        <v>0.97967260037414661</v>
      </c>
      <c r="AD63" s="7">
        <v>1</v>
      </c>
      <c r="AE63" s="7"/>
      <c r="AF63" s="7">
        <v>55</v>
      </c>
      <c r="AG63" s="7">
        <f>$AW$7*EXP(-'3.r(t)'!D61*$AW$21)</f>
        <v>0.86718755429225491</v>
      </c>
      <c r="AH63" s="7">
        <f ca="1">$AW$8*EXP(-'3.r(t)'!E61*$AW$22)</f>
        <v>0.91024230268773043</v>
      </c>
      <c r="AI63" s="7">
        <f ca="1">$AW$9*EXP(-'3.r(t)'!F61*$AW$23)</f>
        <v>0.9309034394596476</v>
      </c>
      <c r="AJ63" s="7">
        <f ca="1">$AW$10*EXP(-'3.r(t)'!G61*$AW$24)</f>
        <v>0.94540964849321685</v>
      </c>
      <c r="AK63" s="7">
        <f ca="1">$AW$11*EXP(-'3.r(t)'!H61*$AW$25)</f>
        <v>0.9593318861139043</v>
      </c>
      <c r="AL63" s="7">
        <f ca="1">$AW$12*EXP(-'3.r(t)'!I61*$AW$26)</f>
        <v>0.97418908492975687</v>
      </c>
      <c r="AM63" s="7">
        <v>1</v>
      </c>
      <c r="AN63" s="7"/>
    </row>
    <row r="64" spans="2:40">
      <c r="B64" s="7">
        <v>56</v>
      </c>
      <c r="C64" s="7">
        <f>$AR$7*EXP(-'3.r(t)'!D62*$AR$21)</f>
        <v>0.97765346695821032</v>
      </c>
      <c r="D64" s="7">
        <v>1</v>
      </c>
      <c r="E64" s="7"/>
      <c r="F64" s="7">
        <v>56</v>
      </c>
      <c r="G64" s="48">
        <f>$AS$7*EXP(-'3.r(t)'!D62*$AS$21)</f>
        <v>0.9553476245219803</v>
      </c>
      <c r="H64" s="7">
        <f ca="1">$AS$8*EXP(-'3.r(t)'!E62*$AS$22)</f>
        <v>0.97419904915285482</v>
      </c>
      <c r="I64" s="7">
        <v>1</v>
      </c>
      <c r="J64" s="7"/>
      <c r="K64" s="7">
        <v>56</v>
      </c>
      <c r="L64" s="7">
        <f>$AT$7*EXP(-'3.r(t)'!D62*$AT$21)</f>
        <v>0.93311670519824419</v>
      </c>
      <c r="M64" s="7">
        <f ca="1">$AT$8*EXP(-'3.r(t)'!E62*$AT$22)</f>
        <v>0.94861676500347647</v>
      </c>
      <c r="N64" s="7">
        <f ca="1">$AT$9*EXP(-'3.r(t)'!F62*$AT$23)</f>
        <v>0.97448876997754452</v>
      </c>
      <c r="O64" s="7">
        <v>1</v>
      </c>
      <c r="P64" s="7"/>
      <c r="Q64" s="7">
        <v>56</v>
      </c>
      <c r="R64" s="7">
        <f>$AU$7*EXP(-'3.r(t)'!D62*$AU$21)</f>
        <v>0.91099305977534117</v>
      </c>
      <c r="S64" s="7">
        <f ca="1">$AU$8*EXP(-'3.r(t)'!E62*$AU$22)</f>
        <v>0.92328503738641465</v>
      </c>
      <c r="T64" s="7">
        <f ca="1">$AU$9*EXP(-'3.r(t)'!F62*$AU$23)</f>
        <v>0.94918949854195656</v>
      </c>
      <c r="U64" s="7">
        <f ca="1">$AU$10*EXP(-'3.r(t)'!G62*$AU$24)</f>
        <v>0.97175752804310078</v>
      </c>
      <c r="V64" s="7">
        <v>1</v>
      </c>
      <c r="W64" s="7"/>
      <c r="X64" s="7">
        <v>56</v>
      </c>
      <c r="Y64" s="7">
        <f>$AV$7*EXP(-'3.r(t)'!D62*$AV$21)</f>
        <v>0.88900715067201674</v>
      </c>
      <c r="Z64" s="7">
        <f ca="1">$AV$8*EXP(-'3.r(t)'!E62*$AV$22)</f>
        <v>0.89823344399759475</v>
      </c>
      <c r="AA64" s="7">
        <f ca="1">$AV$9*EXP(-'3.r(t)'!F62*$AV$23)</f>
        <v>0.92413362504471119</v>
      </c>
      <c r="AB64" s="7">
        <f ca="1">$AV$10*EXP(-'3.r(t)'!G62*$AV$24)</f>
        <v>0.94388466257765724</v>
      </c>
      <c r="AC64" s="7">
        <f ca="1">$AV$11*EXP(-'3.r(t)'!H62*$AV$25)</f>
        <v>0.97079803683469945</v>
      </c>
      <c r="AD64" s="7">
        <v>1</v>
      </c>
      <c r="AE64" s="7"/>
      <c r="AF64" s="7">
        <v>56</v>
      </c>
      <c r="AG64" s="7">
        <f>$AW$7*EXP(-'3.r(t)'!D62*$AW$21)</f>
        <v>0.86718755429225491</v>
      </c>
      <c r="AH64" s="7">
        <f ca="1">$AW$8*EXP(-'3.r(t)'!E62*$AW$22)</f>
        <v>0.87348928328094677</v>
      </c>
      <c r="AI64" s="7">
        <f ca="1">$AW$9*EXP(-'3.r(t)'!F62*$AW$23)</f>
        <v>0.89935032635505485</v>
      </c>
      <c r="AJ64" s="7">
        <f ca="1">$AW$10*EXP(-'3.r(t)'!G62*$AW$24)</f>
        <v>0.91640945385277817</v>
      </c>
      <c r="AK64" s="7">
        <f ca="1">$AW$11*EXP(-'3.r(t)'!H62*$AW$25)</f>
        <v>0.9420300029087616</v>
      </c>
      <c r="AL64" s="7">
        <f ca="1">$AW$12*EXP(-'3.r(t)'!I62*$AW$26)</f>
        <v>0.97281141494083678</v>
      </c>
      <c r="AM64" s="7">
        <v>1</v>
      </c>
      <c r="AN64" s="7"/>
    </row>
    <row r="65" spans="2:40">
      <c r="B65" s="7">
        <v>57</v>
      </c>
      <c r="C65" s="7">
        <f>$AR$7*EXP(-'3.r(t)'!D63*$AR$21)</f>
        <v>0.97765346695821032</v>
      </c>
      <c r="D65" s="7">
        <v>1</v>
      </c>
      <c r="E65" s="7"/>
      <c r="F65" s="7">
        <v>57</v>
      </c>
      <c r="G65" s="48">
        <f>$AS$7*EXP(-'3.r(t)'!D63*$AS$21)</f>
        <v>0.9553476245219803</v>
      </c>
      <c r="H65" s="7">
        <f ca="1">$AS$8*EXP(-'3.r(t)'!E63*$AS$22)</f>
        <v>0.97781787911970508</v>
      </c>
      <c r="I65" s="7">
        <v>1</v>
      </c>
      <c r="J65" s="7"/>
      <c r="K65" s="7">
        <v>57</v>
      </c>
      <c r="L65" s="7">
        <f>$AT$7*EXP(-'3.r(t)'!D63*$AT$21)</f>
        <v>0.93311670519824419</v>
      </c>
      <c r="M65" s="7">
        <f ca="1">$AT$8*EXP(-'3.r(t)'!E63*$AT$22)</f>
        <v>0.95567745510796853</v>
      </c>
      <c r="N65" s="7">
        <f ca="1">$AT$9*EXP(-'3.r(t)'!F63*$AT$23)</f>
        <v>0.97891479957340855</v>
      </c>
      <c r="O65" s="7">
        <v>1</v>
      </c>
      <c r="P65" s="7"/>
      <c r="Q65" s="7">
        <v>57</v>
      </c>
      <c r="R65" s="7">
        <f>$AU$7*EXP(-'3.r(t)'!D63*$AU$21)</f>
        <v>0.91099305977534117</v>
      </c>
      <c r="S65" s="7">
        <f ca="1">$AU$8*EXP(-'3.r(t)'!E63*$AU$22)</f>
        <v>0.93361240868964956</v>
      </c>
      <c r="T65" s="7">
        <f ca="1">$AU$9*EXP(-'3.r(t)'!F63*$AU$23)</f>
        <v>0.9578313249457866</v>
      </c>
      <c r="U65" s="7">
        <f ca="1">$AU$10*EXP(-'3.r(t)'!G63*$AU$24)</f>
        <v>0.97975009876243735</v>
      </c>
      <c r="V65" s="7">
        <v>1</v>
      </c>
      <c r="W65" s="7"/>
      <c r="X65" s="7">
        <v>57</v>
      </c>
      <c r="Y65" s="7">
        <f>$AV$7*EXP(-'3.r(t)'!D63*$AV$21)</f>
        <v>0.88900715067201674</v>
      </c>
      <c r="Z65" s="7">
        <f ca="1">$AV$8*EXP(-'3.r(t)'!E63*$AV$22)</f>
        <v>0.9116545661644746</v>
      </c>
      <c r="AA65" s="7">
        <f ca="1">$AV$9*EXP(-'3.r(t)'!F63*$AV$23)</f>
        <v>0.9367828678997665</v>
      </c>
      <c r="AB65" s="7">
        <f ca="1">$AV$10*EXP(-'3.r(t)'!G63*$AV$24)</f>
        <v>0.95947515535201711</v>
      </c>
      <c r="AC65" s="7">
        <f ca="1">$AV$11*EXP(-'3.r(t)'!H63*$AV$25)</f>
        <v>0.97703526714586986</v>
      </c>
      <c r="AD65" s="7">
        <v>1</v>
      </c>
      <c r="AE65" s="7"/>
      <c r="AF65" s="7">
        <v>57</v>
      </c>
      <c r="AG65" s="7">
        <f>$AW$7*EXP(-'3.r(t)'!D63*$AW$21)</f>
        <v>0.86718755429225491</v>
      </c>
      <c r="AH65" s="7">
        <f ca="1">$AW$8*EXP(-'3.r(t)'!E63*$AW$22)</f>
        <v>0.88983389386179623</v>
      </c>
      <c r="AI65" s="7">
        <f ca="1">$AW$9*EXP(-'3.r(t)'!F63*$AW$23)</f>
        <v>0.91580101264126967</v>
      </c>
      <c r="AJ65" s="7">
        <f ca="1">$AW$10*EXP(-'3.r(t)'!G63*$AW$24)</f>
        <v>0.93920796596399658</v>
      </c>
      <c r="AK65" s="7">
        <f ca="1">$AW$11*EXP(-'3.r(t)'!H63*$AW$25)</f>
        <v>0.954173688765239</v>
      </c>
      <c r="AL65" s="7">
        <f ca="1">$AW$12*EXP(-'3.r(t)'!I63*$AW$26)</f>
        <v>0.97646707127459642</v>
      </c>
      <c r="AM65" s="7">
        <v>1</v>
      </c>
      <c r="AN65" s="7"/>
    </row>
    <row r="66" spans="2:40">
      <c r="B66" s="7">
        <v>58</v>
      </c>
      <c r="C66" s="7">
        <f>$AR$7*EXP(-'3.r(t)'!D64*$AR$21)</f>
        <v>0.97765346695821032</v>
      </c>
      <c r="D66" s="7">
        <v>1</v>
      </c>
      <c r="E66" s="7"/>
      <c r="F66" s="7">
        <v>58</v>
      </c>
      <c r="G66" s="48">
        <f>$AS$7*EXP(-'3.r(t)'!D64*$AS$21)</f>
        <v>0.9553476245219803</v>
      </c>
      <c r="H66" s="7">
        <f ca="1">$AS$8*EXP(-'3.r(t)'!E64*$AS$22)</f>
        <v>0.97634176580279664</v>
      </c>
      <c r="I66" s="7">
        <v>1</v>
      </c>
      <c r="J66" s="7"/>
      <c r="K66" s="7">
        <v>58</v>
      </c>
      <c r="L66" s="7">
        <f>$AT$7*EXP(-'3.r(t)'!D64*$AT$21)</f>
        <v>0.93311670519824419</v>
      </c>
      <c r="M66" s="7">
        <f ca="1">$AT$8*EXP(-'3.r(t)'!E64*$AT$22)</f>
        <v>0.95279425270149343</v>
      </c>
      <c r="N66" s="7">
        <f ca="1">$AT$9*EXP(-'3.r(t)'!F64*$AT$23)</f>
        <v>0.97529652782226139</v>
      </c>
      <c r="O66" s="7">
        <v>1</v>
      </c>
      <c r="P66" s="7"/>
      <c r="Q66" s="7">
        <v>58</v>
      </c>
      <c r="R66" s="7">
        <f>$AU$7*EXP(-'3.r(t)'!D64*$AU$21)</f>
        <v>0.91099305977534117</v>
      </c>
      <c r="S66" s="7">
        <f ca="1">$AU$8*EXP(-'3.r(t)'!E64*$AU$22)</f>
        <v>0.92939064598773735</v>
      </c>
      <c r="T66" s="7">
        <f ca="1">$AU$9*EXP(-'3.r(t)'!F64*$AU$23)</f>
        <v>0.95076372505734863</v>
      </c>
      <c r="U66" s="7">
        <f ca="1">$AU$10*EXP(-'3.r(t)'!G64*$AU$24)</f>
        <v>0.97629560844280605</v>
      </c>
      <c r="V66" s="7">
        <v>1</v>
      </c>
      <c r="W66" s="7"/>
      <c r="X66" s="7">
        <v>58</v>
      </c>
      <c r="Y66" s="7">
        <f>$AV$7*EXP(-'3.r(t)'!D64*$AV$21)</f>
        <v>0.88900715067201674</v>
      </c>
      <c r="Z66" s="7">
        <f ca="1">$AV$8*EXP(-'3.r(t)'!E64*$AV$22)</f>
        <v>0.90616208612091509</v>
      </c>
      <c r="AA66" s="7">
        <f ca="1">$AV$9*EXP(-'3.r(t)'!F64*$AV$23)</f>
        <v>0.92643358519744923</v>
      </c>
      <c r="AB66" s="7">
        <f ca="1">$AV$10*EXP(-'3.r(t)'!G64*$AV$24)</f>
        <v>0.95272107721614663</v>
      </c>
      <c r="AC66" s="7">
        <f ca="1">$AV$11*EXP(-'3.r(t)'!H64*$AV$25)</f>
        <v>0.97793308253088007</v>
      </c>
      <c r="AD66" s="7">
        <v>1</v>
      </c>
      <c r="AE66" s="7"/>
      <c r="AF66" s="7">
        <v>58</v>
      </c>
      <c r="AG66" s="7">
        <f>$AW$7*EXP(-'3.r(t)'!D64*$AW$21)</f>
        <v>0.86718755429225491</v>
      </c>
      <c r="AH66" s="7">
        <f ca="1">$AW$8*EXP(-'3.r(t)'!E64*$AW$22)</f>
        <v>0.88313767789956987</v>
      </c>
      <c r="AI66" s="7">
        <f ca="1">$AW$9*EXP(-'3.r(t)'!F64*$AW$23)</f>
        <v>0.90233593705949411</v>
      </c>
      <c r="AJ66" s="7">
        <f ca="1">$AW$10*EXP(-'3.r(t)'!G64*$AW$24)</f>
        <v>0.92930832344834735</v>
      </c>
      <c r="AK66" s="7">
        <f ca="1">$AW$11*EXP(-'3.r(t)'!H64*$AW$25)</f>
        <v>0.95592810941346373</v>
      </c>
      <c r="AL66" s="7">
        <f ca="1">$AW$12*EXP(-'3.r(t)'!I64*$AW$26)</f>
        <v>0.97725879722415432</v>
      </c>
      <c r="AM66" s="7">
        <v>1</v>
      </c>
      <c r="AN66" s="7"/>
    </row>
    <row r="67" spans="2:40">
      <c r="B67" s="7">
        <v>59</v>
      </c>
      <c r="C67" s="7">
        <f>$AR$7*EXP(-'3.r(t)'!D65*$AR$21)</f>
        <v>0.97765346695821032</v>
      </c>
      <c r="D67" s="7">
        <v>1</v>
      </c>
      <c r="E67" s="7"/>
      <c r="F67" s="7">
        <v>59</v>
      </c>
      <c r="G67" s="48">
        <f>$AS$7*EXP(-'3.r(t)'!D65*$AS$21)</f>
        <v>0.9553476245219803</v>
      </c>
      <c r="H67" s="7">
        <f ca="1">$AS$8*EXP(-'3.r(t)'!E65*$AS$22)</f>
        <v>0.97716786013928958</v>
      </c>
      <c r="I67" s="7">
        <v>1</v>
      </c>
      <c r="J67" s="7"/>
      <c r="K67" s="7">
        <v>59</v>
      </c>
      <c r="L67" s="7">
        <f>$AT$7*EXP(-'3.r(t)'!D65*$AT$21)</f>
        <v>0.93311670519824419</v>
      </c>
      <c r="M67" s="7">
        <f ca="1">$AT$8*EXP(-'3.r(t)'!E65*$AT$22)</f>
        <v>0.95440727582520912</v>
      </c>
      <c r="N67" s="7">
        <f ca="1">$AT$9*EXP(-'3.r(t)'!F65*$AT$23)</f>
        <v>0.97462223616186627</v>
      </c>
      <c r="O67" s="7">
        <v>1</v>
      </c>
      <c r="P67" s="7"/>
      <c r="Q67" s="7">
        <v>59</v>
      </c>
      <c r="R67" s="7">
        <f>$AU$7*EXP(-'3.r(t)'!D65*$AU$21)</f>
        <v>0.91099305977534117</v>
      </c>
      <c r="S67" s="7">
        <f ca="1">$AU$8*EXP(-'3.r(t)'!E65*$AU$22)</f>
        <v>0.9317517479307742</v>
      </c>
      <c r="T67" s="7">
        <f ca="1">$AU$9*EXP(-'3.r(t)'!F65*$AU$23)</f>
        <v>0.94944951872864969</v>
      </c>
      <c r="U67" s="7">
        <f ca="1">$AU$10*EXP(-'3.r(t)'!G65*$AU$24)</f>
        <v>0.97503003965364132</v>
      </c>
      <c r="V67" s="7">
        <v>1</v>
      </c>
      <c r="W67" s="7"/>
      <c r="X67" s="7">
        <v>59</v>
      </c>
      <c r="Y67" s="7">
        <f>$AV$7*EXP(-'3.r(t)'!D65*$AV$21)</f>
        <v>0.88900715067201674</v>
      </c>
      <c r="Z67" s="7">
        <f ca="1">$AV$8*EXP(-'3.r(t)'!E65*$AV$22)</f>
        <v>0.90923283858607129</v>
      </c>
      <c r="AA67" s="7">
        <f ca="1">$AV$9*EXP(-'3.r(t)'!F65*$AV$23)</f>
        <v>0.92451338565169505</v>
      </c>
      <c r="AB67" s="7">
        <f ca="1">$AV$10*EXP(-'3.r(t)'!G65*$AV$24)</f>
        <v>0.950252659750916</v>
      </c>
      <c r="AC67" s="7">
        <f ca="1">$AV$11*EXP(-'3.r(t)'!H65*$AV$25)</f>
        <v>0.97751270258019574</v>
      </c>
      <c r="AD67" s="7">
        <v>1</v>
      </c>
      <c r="AE67" s="7"/>
      <c r="AF67" s="7">
        <v>59</v>
      </c>
      <c r="AG67" s="7">
        <f>$AW$7*EXP(-'3.r(t)'!D65*$AW$21)</f>
        <v>0.86718755429225491</v>
      </c>
      <c r="AH67" s="7">
        <f ca="1">$AW$8*EXP(-'3.r(t)'!E65*$AW$22)</f>
        <v>0.88688017194723245</v>
      </c>
      <c r="AI67" s="7">
        <f ca="1">$AW$9*EXP(-'3.r(t)'!F65*$AW$23)</f>
        <v>0.8998431284148215</v>
      </c>
      <c r="AJ67" s="7">
        <f ca="1">$AW$10*EXP(-'3.r(t)'!G65*$AW$24)</f>
        <v>0.92569902823376016</v>
      </c>
      <c r="AK67" s="7">
        <f ca="1">$AW$11*EXP(-'3.r(t)'!H65*$AW$25)</f>
        <v>0.95510644452198135</v>
      </c>
      <c r="AL67" s="7">
        <f ca="1">$AW$12*EXP(-'3.r(t)'!I65*$AW$26)</f>
        <v>0.98027603985739276</v>
      </c>
      <c r="AM67" s="7">
        <v>1</v>
      </c>
      <c r="AN67" s="7"/>
    </row>
    <row r="68" spans="2:40">
      <c r="B68" s="7">
        <v>60</v>
      </c>
      <c r="C68" s="7">
        <f>$AR$7*EXP(-'3.r(t)'!D66*$AR$21)</f>
        <v>0.97765346695821032</v>
      </c>
      <c r="D68" s="7">
        <v>1</v>
      </c>
      <c r="E68" s="7"/>
      <c r="F68" s="7">
        <v>60</v>
      </c>
      <c r="G68" s="48">
        <f>$AS$7*EXP(-'3.r(t)'!D66*$AS$21)</f>
        <v>0.9553476245219803</v>
      </c>
      <c r="H68" s="7">
        <f ca="1">$AS$8*EXP(-'3.r(t)'!E66*$AS$22)</f>
        <v>0.97896152866194208</v>
      </c>
      <c r="I68" s="7">
        <v>1</v>
      </c>
      <c r="J68" s="7"/>
      <c r="K68" s="7">
        <v>60</v>
      </c>
      <c r="L68" s="7">
        <f>$AT$7*EXP(-'3.r(t)'!D66*$AT$21)</f>
        <v>0.93311670519824419</v>
      </c>
      <c r="M68" s="7">
        <f ca="1">$AT$8*EXP(-'3.r(t)'!E66*$AT$22)</f>
        <v>0.95791427091381087</v>
      </c>
      <c r="N68" s="7">
        <f ca="1">$AT$9*EXP(-'3.r(t)'!F66*$AT$23)</f>
        <v>0.97919037435193557</v>
      </c>
      <c r="O68" s="7">
        <v>1</v>
      </c>
      <c r="P68" s="7"/>
      <c r="Q68" s="7">
        <v>60</v>
      </c>
      <c r="R68" s="7">
        <f>$AU$7*EXP(-'3.r(t)'!D66*$AU$21)</f>
        <v>0.91099305977534117</v>
      </c>
      <c r="S68" s="7">
        <f ca="1">$AU$8*EXP(-'3.r(t)'!E66*$AU$22)</f>
        <v>0.93689208290605996</v>
      </c>
      <c r="T68" s="7">
        <f ca="1">$AU$9*EXP(-'3.r(t)'!F66*$AU$23)</f>
        <v>0.95837067997093106</v>
      </c>
      <c r="U68" s="7">
        <f ca="1">$AU$10*EXP(-'3.r(t)'!G66*$AU$24)</f>
        <v>0.98217748171084795</v>
      </c>
      <c r="V68" s="7">
        <v>1</v>
      </c>
      <c r="W68" s="7"/>
      <c r="X68" s="7">
        <v>60</v>
      </c>
      <c r="Y68" s="7">
        <f>$AV$7*EXP(-'3.r(t)'!D66*$AV$21)</f>
        <v>0.88900715067201674</v>
      </c>
      <c r="Z68" s="7">
        <f ca="1">$AV$8*EXP(-'3.r(t)'!E66*$AV$22)</f>
        <v>0.91592711600043442</v>
      </c>
      <c r="AA68" s="7">
        <f ca="1">$AV$9*EXP(-'3.r(t)'!F66*$AV$23)</f>
        <v>0.93757423322981248</v>
      </c>
      <c r="AB68" s="7">
        <f ca="1">$AV$10*EXP(-'3.r(t)'!G66*$AV$24)</f>
        <v>0.96423534626601881</v>
      </c>
      <c r="AC68" s="7">
        <f ca="1">$AV$11*EXP(-'3.r(t)'!H66*$AV$25)</f>
        <v>0.98487910728730754</v>
      </c>
      <c r="AD68" s="7">
        <v>1</v>
      </c>
      <c r="AE68" s="7"/>
      <c r="AF68" s="7">
        <v>60</v>
      </c>
      <c r="AG68" s="7">
        <f>$AW$7*EXP(-'3.r(t)'!D66*$AW$21)</f>
        <v>0.86718755429225491</v>
      </c>
      <c r="AH68" s="7">
        <f ca="1">$AW$8*EXP(-'3.r(t)'!E66*$AW$22)</f>
        <v>0.89504980075959972</v>
      </c>
      <c r="AI68" s="7">
        <f ca="1">$AW$9*EXP(-'3.r(t)'!F66*$AW$23)</f>
        <v>0.91683267851963779</v>
      </c>
      <c r="AJ68" s="7">
        <f ca="1">$AW$10*EXP(-'3.r(t)'!G66*$AW$24)</f>
        <v>0.94620608856072919</v>
      </c>
      <c r="AK68" s="7">
        <f ca="1">$AW$11*EXP(-'3.r(t)'!H66*$AW$25)</f>
        <v>0.9695557926244911</v>
      </c>
      <c r="AL68" s="7">
        <f ca="1">$AW$12*EXP(-'3.r(t)'!I66*$AW$26)</f>
        <v>0.98251564938534408</v>
      </c>
      <c r="AM68" s="7">
        <v>1</v>
      </c>
      <c r="AN68" s="7"/>
    </row>
    <row r="69" spans="2:40">
      <c r="B69" s="7">
        <v>61</v>
      </c>
      <c r="C69" s="7">
        <f>$AR$7*EXP(-'3.r(t)'!D67*$AR$21)</f>
        <v>0.97765346695821032</v>
      </c>
      <c r="D69" s="7">
        <v>1</v>
      </c>
      <c r="E69" s="7"/>
      <c r="F69" s="7">
        <v>61</v>
      </c>
      <c r="G69" s="48">
        <f>$AS$7*EXP(-'3.r(t)'!D67*$AS$21)</f>
        <v>0.9553476245219803</v>
      </c>
      <c r="H69" s="7">
        <f ca="1">$AS$8*EXP(-'3.r(t)'!E67*$AS$22)</f>
        <v>0.98186700741275534</v>
      </c>
      <c r="I69" s="7">
        <v>1</v>
      </c>
      <c r="J69" s="7"/>
      <c r="K69" s="7">
        <v>61</v>
      </c>
      <c r="L69" s="7">
        <f>$AT$7*EXP(-'3.r(t)'!D67*$AT$21)</f>
        <v>0.93311670519824419</v>
      </c>
      <c r="M69" s="7">
        <f ca="1">$AT$8*EXP(-'3.r(t)'!E67*$AT$22)</f>
        <v>0.96360873312378847</v>
      </c>
      <c r="N69" s="7">
        <f ca="1">$AT$9*EXP(-'3.r(t)'!F67*$AT$23)</f>
        <v>0.98338267965251902</v>
      </c>
      <c r="O69" s="7">
        <v>1</v>
      </c>
      <c r="P69" s="7"/>
      <c r="Q69" s="7">
        <v>61</v>
      </c>
      <c r="R69" s="7">
        <f>$AU$7*EXP(-'3.r(t)'!D67*$AU$21)</f>
        <v>0.91099305977534117</v>
      </c>
      <c r="S69" s="7">
        <f ca="1">$AU$8*EXP(-'3.r(t)'!E67*$AU$22)</f>
        <v>0.9452587254670215</v>
      </c>
      <c r="T69" s="7">
        <f ca="1">$AU$9*EXP(-'3.r(t)'!F67*$AU$23)</f>
        <v>0.96659458301007961</v>
      </c>
      <c r="U69" s="7">
        <f ca="1">$AU$10*EXP(-'3.r(t)'!G67*$AU$24)</f>
        <v>0.98317736430175495</v>
      </c>
      <c r="V69" s="7">
        <v>1</v>
      </c>
      <c r="W69" s="7"/>
      <c r="X69" s="7">
        <v>61</v>
      </c>
      <c r="Y69" s="7">
        <f>$AV$7*EXP(-'3.r(t)'!D67*$AV$21)</f>
        <v>0.88900715067201674</v>
      </c>
      <c r="Z69" s="7">
        <f ca="1">$AV$8*EXP(-'3.r(t)'!E67*$AV$22)</f>
        <v>0.92684921058117031</v>
      </c>
      <c r="AA69" s="7">
        <f ca="1">$AV$9*EXP(-'3.r(t)'!F67*$AV$23)</f>
        <v>0.94966825500287111</v>
      </c>
      <c r="AB69" s="7">
        <f ca="1">$AV$10*EXP(-'3.r(t)'!G67*$AV$24)</f>
        <v>0.96619957962529879</v>
      </c>
      <c r="AC69" s="7">
        <f ca="1">$AV$11*EXP(-'3.r(t)'!H67*$AV$25)</f>
        <v>0.98006980162174495</v>
      </c>
      <c r="AD69" s="7">
        <v>1</v>
      </c>
      <c r="AE69" s="7"/>
      <c r="AF69" s="7">
        <v>61</v>
      </c>
      <c r="AG69" s="7">
        <f>$AW$7*EXP(-'3.r(t)'!D67*$AW$21)</f>
        <v>0.86718755429225491</v>
      </c>
      <c r="AH69" s="7">
        <f ca="1">$AW$8*EXP(-'3.r(t)'!E67*$AW$22)</f>
        <v>0.90841105355892104</v>
      </c>
      <c r="AI69" s="7">
        <f ca="1">$AW$9*EXP(-'3.r(t)'!F67*$AW$23)</f>
        <v>0.93263511034249746</v>
      </c>
      <c r="AJ69" s="7">
        <f ca="1">$AW$10*EXP(-'3.r(t)'!G67*$AW$24)</f>
        <v>0.94909881973050947</v>
      </c>
      <c r="AK69" s="7">
        <f ca="1">$AW$11*EXP(-'3.r(t)'!H67*$AW$25)</f>
        <v>0.96010995231364582</v>
      </c>
      <c r="AL69" s="7">
        <f ca="1">$AW$12*EXP(-'3.r(t)'!I67*$AW$26)</f>
        <v>0.98036492148346621</v>
      </c>
      <c r="AM69" s="7">
        <v>1</v>
      </c>
      <c r="AN69" s="7"/>
    </row>
    <row r="70" spans="2:40">
      <c r="B70" s="7">
        <v>62</v>
      </c>
      <c r="C70" s="7">
        <f>$AR$7*EXP(-'3.r(t)'!D68*$AR$21)</f>
        <v>0.97765346695821032</v>
      </c>
      <c r="D70" s="7">
        <v>1</v>
      </c>
      <c r="E70" s="7"/>
      <c r="F70" s="7">
        <v>62</v>
      </c>
      <c r="G70" s="48">
        <f>$AS$7*EXP(-'3.r(t)'!D68*$AS$21)</f>
        <v>0.9553476245219803</v>
      </c>
      <c r="H70" s="7">
        <f ca="1">$AS$8*EXP(-'3.r(t)'!E68*$AS$22)</f>
        <v>0.97385116125832316</v>
      </c>
      <c r="I70" s="7">
        <v>1</v>
      </c>
      <c r="J70" s="7"/>
      <c r="K70" s="7">
        <v>62</v>
      </c>
      <c r="L70" s="7">
        <f>$AT$7*EXP(-'3.r(t)'!D68*$AT$21)</f>
        <v>0.93311670519824419</v>
      </c>
      <c r="M70" s="7">
        <f ca="1">$AT$8*EXP(-'3.r(t)'!E68*$AT$22)</f>
        <v>0.94793938112500176</v>
      </c>
      <c r="N70" s="7">
        <f ca="1">$AT$9*EXP(-'3.r(t)'!F68*$AT$23)</f>
        <v>0.97609340115043786</v>
      </c>
      <c r="O70" s="7">
        <v>1</v>
      </c>
      <c r="P70" s="7"/>
      <c r="Q70" s="7">
        <v>62</v>
      </c>
      <c r="R70" s="7">
        <f>$AU$7*EXP(-'3.r(t)'!D68*$AU$21)</f>
        <v>0.91099305977534117</v>
      </c>
      <c r="S70" s="7">
        <f ca="1">$AU$8*EXP(-'3.r(t)'!E68*$AU$22)</f>
        <v>0.9222962712792212</v>
      </c>
      <c r="T70" s="7">
        <f ca="1">$AU$9*EXP(-'3.r(t)'!F68*$AU$23)</f>
        <v>0.95231801700708307</v>
      </c>
      <c r="U70" s="7">
        <f ca="1">$AU$10*EXP(-'3.r(t)'!G68*$AU$24)</f>
        <v>0.97553901334400861</v>
      </c>
      <c r="V70" s="7">
        <v>1</v>
      </c>
      <c r="W70" s="7"/>
      <c r="X70" s="7">
        <v>62</v>
      </c>
      <c r="Y70" s="7">
        <f>$AV$7*EXP(-'3.r(t)'!D68*$AV$21)</f>
        <v>0.88900715067201674</v>
      </c>
      <c r="Z70" s="7">
        <f ca="1">$AV$8*EXP(-'3.r(t)'!E68*$AV$22)</f>
        <v>0.89695108923150613</v>
      </c>
      <c r="AA70" s="7">
        <f ca="1">$AV$9*EXP(-'3.r(t)'!F68*$AV$23)</f>
        <v>0.92870628960202173</v>
      </c>
      <c r="AB70" s="7">
        <f ca="1">$AV$10*EXP(-'3.r(t)'!G68*$AV$24)</f>
        <v>0.95124499807674556</v>
      </c>
      <c r="AC70" s="7">
        <f ca="1">$AV$11*EXP(-'3.r(t)'!H68*$AV$25)</f>
        <v>0.97696450034440585</v>
      </c>
      <c r="AD70" s="7">
        <v>1</v>
      </c>
      <c r="AE70" s="7"/>
      <c r="AF70" s="7">
        <v>62</v>
      </c>
      <c r="AG70" s="7">
        <f>$AW$7*EXP(-'3.r(t)'!D68*$AW$21)</f>
        <v>0.86718755429225491</v>
      </c>
      <c r="AH70" s="7">
        <f ca="1">$AW$8*EXP(-'3.r(t)'!E68*$AW$22)</f>
        <v>0.87193077531464036</v>
      </c>
      <c r="AI70" s="7">
        <f ca="1">$AW$9*EXP(-'3.r(t)'!F68*$AW$23)</f>
        <v>0.90528859465858635</v>
      </c>
      <c r="AJ70" s="7">
        <f ca="1">$AW$10*EXP(-'3.r(t)'!G68*$AW$24)</f>
        <v>0.9271494525952606</v>
      </c>
      <c r="AK70" s="7">
        <f ca="1">$AW$11*EXP(-'3.r(t)'!H68*$AW$25)</f>
        <v>0.95403547190268434</v>
      </c>
      <c r="AL70" s="7">
        <f ca="1">$AW$12*EXP(-'3.r(t)'!I68*$AW$26)</f>
        <v>0.97520141391159421</v>
      </c>
      <c r="AM70" s="7">
        <v>1</v>
      </c>
      <c r="AN70" s="7"/>
    </row>
    <row r="71" spans="2:40">
      <c r="B71" s="7">
        <v>63</v>
      </c>
      <c r="C71" s="7">
        <f>$AR$7*EXP(-'3.r(t)'!D69*$AR$21)</f>
        <v>0.97765346695821032</v>
      </c>
      <c r="D71" s="7">
        <v>1</v>
      </c>
      <c r="E71" s="7"/>
      <c r="F71" s="7">
        <v>63</v>
      </c>
      <c r="G71" s="48">
        <f>$AS$7*EXP(-'3.r(t)'!D69*$AS$21)</f>
        <v>0.9553476245219803</v>
      </c>
      <c r="H71" s="7">
        <f ca="1">$AS$8*EXP(-'3.r(t)'!E69*$AS$22)</f>
        <v>0.97658648138174875</v>
      </c>
      <c r="I71" s="7">
        <v>1</v>
      </c>
      <c r="J71" s="7"/>
      <c r="K71" s="7">
        <v>63</v>
      </c>
      <c r="L71" s="7">
        <f>$AT$7*EXP(-'3.r(t)'!D69*$AT$21)</f>
        <v>0.93311670519824419</v>
      </c>
      <c r="M71" s="7">
        <f ca="1">$AT$8*EXP(-'3.r(t)'!E69*$AT$22)</f>
        <v>0.95327193956490996</v>
      </c>
      <c r="N71" s="7">
        <f ca="1">$AT$9*EXP(-'3.r(t)'!F69*$AT$23)</f>
        <v>0.97655257142791252</v>
      </c>
      <c r="O71" s="7">
        <v>1</v>
      </c>
      <c r="P71" s="7"/>
      <c r="Q71" s="7">
        <v>63</v>
      </c>
      <c r="R71" s="7">
        <f>$AU$7*EXP(-'3.r(t)'!D69*$AU$21)</f>
        <v>0.91099305977534117</v>
      </c>
      <c r="S71" s="7">
        <f ca="1">$AU$8*EXP(-'3.r(t)'!E69*$AU$22)</f>
        <v>0.93008966365332735</v>
      </c>
      <c r="T71" s="7">
        <f ca="1">$AU$9*EXP(-'3.r(t)'!F69*$AU$23)</f>
        <v>0.95321419964393728</v>
      </c>
      <c r="U71" s="7">
        <f ca="1">$AU$10*EXP(-'3.r(t)'!G69*$AU$24)</f>
        <v>0.97668435926706221</v>
      </c>
      <c r="V71" s="7">
        <v>1</v>
      </c>
      <c r="W71" s="7"/>
      <c r="X71" s="7">
        <v>63</v>
      </c>
      <c r="Y71" s="7">
        <f>$AV$7*EXP(-'3.r(t)'!D69*$AV$21)</f>
        <v>0.88900715067201674</v>
      </c>
      <c r="Z71" s="7">
        <f ca="1">$AV$8*EXP(-'3.r(t)'!E69*$AV$22)</f>
        <v>0.90707092920395904</v>
      </c>
      <c r="AA71" s="7">
        <f ca="1">$AV$9*EXP(-'3.r(t)'!F69*$AV$23)</f>
        <v>0.9300175420620197</v>
      </c>
      <c r="AB71" s="7">
        <f ca="1">$AV$10*EXP(-'3.r(t)'!G69*$AV$24)</f>
        <v>0.95347995565383292</v>
      </c>
      <c r="AC71" s="7">
        <f ca="1">$AV$11*EXP(-'3.r(t)'!H69*$AV$25)</f>
        <v>0.97752627334634878</v>
      </c>
      <c r="AD71" s="7">
        <v>1</v>
      </c>
      <c r="AE71" s="7"/>
      <c r="AF71" s="7">
        <v>63</v>
      </c>
      <c r="AG71" s="7">
        <f>$AW$7*EXP(-'3.r(t)'!D69*$AW$21)</f>
        <v>0.86718755429225491</v>
      </c>
      <c r="AH71" s="7">
        <f ca="1">$AW$8*EXP(-'3.r(t)'!E69*$AW$22)</f>
        <v>0.88424500486546642</v>
      </c>
      <c r="AI71" s="7">
        <f ca="1">$AW$9*EXP(-'3.r(t)'!F69*$AW$23)</f>
        <v>0.90699324719221697</v>
      </c>
      <c r="AJ71" s="7">
        <f ca="1">$AW$10*EXP(-'3.r(t)'!G69*$AW$24)</f>
        <v>0.93041888846501908</v>
      </c>
      <c r="AK71" s="7">
        <f ca="1">$AW$11*EXP(-'3.r(t)'!H69*$AW$25)</f>
        <v>0.95513296410816773</v>
      </c>
      <c r="AL71" s="7">
        <f ca="1">$AW$12*EXP(-'3.r(t)'!I69*$AW$26)</f>
        <v>0.97502936936149653</v>
      </c>
      <c r="AM71" s="7">
        <v>1</v>
      </c>
      <c r="AN71" s="7"/>
    </row>
    <row r="72" spans="2:40">
      <c r="B72" s="7">
        <v>64</v>
      </c>
      <c r="C72" s="7">
        <f>$AR$7*EXP(-'3.r(t)'!D70*$AR$21)</f>
        <v>0.97765346695821032</v>
      </c>
      <c r="D72" s="7">
        <v>1</v>
      </c>
      <c r="E72" s="7"/>
      <c r="F72" s="7">
        <v>64</v>
      </c>
      <c r="G72" s="48">
        <f>$AS$7*EXP(-'3.r(t)'!D70*$AS$21)</f>
        <v>0.9553476245219803</v>
      </c>
      <c r="H72" s="7">
        <f ca="1">$AS$8*EXP(-'3.r(t)'!E70*$AS$22)</f>
        <v>0.97717942458638085</v>
      </c>
      <c r="I72" s="7">
        <v>1</v>
      </c>
      <c r="J72" s="7"/>
      <c r="K72" s="7">
        <v>64</v>
      </c>
      <c r="L72" s="7">
        <f>$AT$7*EXP(-'3.r(t)'!D70*$AT$21)</f>
        <v>0.93311670519824419</v>
      </c>
      <c r="M72" s="7">
        <f ca="1">$AT$8*EXP(-'3.r(t)'!E70*$AT$22)</f>
        <v>0.95442986612561864</v>
      </c>
      <c r="N72" s="7">
        <f ca="1">$AT$9*EXP(-'3.r(t)'!F70*$AT$23)</f>
        <v>0.97641591038343056</v>
      </c>
      <c r="O72" s="7">
        <v>1</v>
      </c>
      <c r="P72" s="7"/>
      <c r="Q72" s="7">
        <v>64</v>
      </c>
      <c r="R72" s="7">
        <f>$AU$7*EXP(-'3.r(t)'!D70*$AU$21)</f>
        <v>0.91099305977534117</v>
      </c>
      <c r="S72" s="7">
        <f ca="1">$AU$8*EXP(-'3.r(t)'!E70*$AU$22)</f>
        <v>0.93178482921113126</v>
      </c>
      <c r="T72" s="7">
        <f ca="1">$AU$9*EXP(-'3.r(t)'!F70*$AU$23)</f>
        <v>0.95294742827494339</v>
      </c>
      <c r="U72" s="7">
        <f ca="1">$AU$10*EXP(-'3.r(t)'!G70*$AU$24)</f>
        <v>0.97519185172785561</v>
      </c>
      <c r="V72" s="7">
        <v>1</v>
      </c>
      <c r="W72" s="7"/>
      <c r="X72" s="7">
        <v>64</v>
      </c>
      <c r="Y72" s="7">
        <f>$AV$7*EXP(-'3.r(t)'!D70*$AV$21)</f>
        <v>0.88900715067201674</v>
      </c>
      <c r="Z72" s="7">
        <f ca="1">$AV$8*EXP(-'3.r(t)'!E70*$AV$22)</f>
        <v>0.90927588118763036</v>
      </c>
      <c r="AA72" s="7">
        <f ca="1">$AV$9*EXP(-'3.r(t)'!F70*$AV$23)</f>
        <v>0.9296271502276473</v>
      </c>
      <c r="AB72" s="7">
        <f ca="1">$AV$10*EXP(-'3.r(t)'!G70*$AV$24)</f>
        <v>0.95056808616146682</v>
      </c>
      <c r="AC72" s="7">
        <f ca="1">$AV$11*EXP(-'3.r(t)'!H70*$AV$25)</f>
        <v>0.97641926880664187</v>
      </c>
      <c r="AD72" s="7">
        <v>1</v>
      </c>
      <c r="AE72" s="7"/>
      <c r="AF72" s="7">
        <v>64</v>
      </c>
      <c r="AG72" s="7">
        <f>$AW$7*EXP(-'3.r(t)'!D70*$AW$21)</f>
        <v>0.86718755429225491</v>
      </c>
      <c r="AH72" s="7">
        <f ca="1">$AW$8*EXP(-'3.r(t)'!E70*$AW$22)</f>
        <v>0.8869326528054613</v>
      </c>
      <c r="AI72" s="7">
        <f ca="1">$AW$9*EXP(-'3.r(t)'!F70*$AW$23)</f>
        <v>0.90648564675517296</v>
      </c>
      <c r="AJ72" s="7">
        <f ca="1">$AW$10*EXP(-'3.r(t)'!G70*$AW$24)</f>
        <v>0.92615998061543148</v>
      </c>
      <c r="AK72" s="7">
        <f ca="1">$AW$11*EXP(-'3.r(t)'!H70*$AW$25)</f>
        <v>0.9529708987743275</v>
      </c>
      <c r="AL72" s="7">
        <f ca="1">$AW$12*EXP(-'3.r(t)'!I70*$AW$26)</f>
        <v>0.97718813255191195</v>
      </c>
      <c r="AM72" s="7">
        <v>1</v>
      </c>
      <c r="AN72" s="7"/>
    </row>
    <row r="73" spans="2:40">
      <c r="B73" s="7">
        <v>65</v>
      </c>
      <c r="C73" s="7">
        <f>$AR$7*EXP(-'3.r(t)'!D71*$AR$21)</f>
        <v>0.97765346695821032</v>
      </c>
      <c r="D73" s="7">
        <v>1</v>
      </c>
      <c r="E73" s="7"/>
      <c r="F73" s="7">
        <v>65</v>
      </c>
      <c r="G73" s="48">
        <f>$AS$7*EXP(-'3.r(t)'!D71*$AS$21)</f>
        <v>0.9553476245219803</v>
      </c>
      <c r="H73" s="7">
        <f ca="1">$AS$8*EXP(-'3.r(t)'!E71*$AS$22)</f>
        <v>0.97927868352072034</v>
      </c>
      <c r="I73" s="7">
        <v>1</v>
      </c>
      <c r="J73" s="7"/>
      <c r="K73" s="7">
        <v>65</v>
      </c>
      <c r="L73" s="7">
        <f>$AT$7*EXP(-'3.r(t)'!D71*$AT$21)</f>
        <v>0.93311670519824419</v>
      </c>
      <c r="M73" s="7">
        <f ca="1">$AT$8*EXP(-'3.r(t)'!E71*$AT$22)</f>
        <v>0.95853504378123855</v>
      </c>
      <c r="N73" s="7">
        <f ca="1">$AT$9*EXP(-'3.r(t)'!F71*$AT$23)</f>
        <v>0.97656002769549199</v>
      </c>
      <c r="O73" s="7">
        <v>1</v>
      </c>
      <c r="P73" s="7"/>
      <c r="Q73" s="7">
        <v>65</v>
      </c>
      <c r="R73" s="7">
        <f>$AU$7*EXP(-'3.r(t)'!D71*$AU$21)</f>
        <v>0.91099305977534117</v>
      </c>
      <c r="S73" s="7">
        <f ca="1">$AU$8*EXP(-'3.r(t)'!E71*$AU$22)</f>
        <v>0.93780295471017128</v>
      </c>
      <c r="T73" s="7">
        <f ca="1">$AU$9*EXP(-'3.r(t)'!F71*$AU$23)</f>
        <v>0.95322875584393019</v>
      </c>
      <c r="U73" s="7">
        <f ca="1">$AU$10*EXP(-'3.r(t)'!G71*$AU$24)</f>
        <v>0.97613002515137803</v>
      </c>
      <c r="V73" s="7">
        <v>1</v>
      </c>
      <c r="W73" s="7"/>
      <c r="X73" s="7">
        <v>65</v>
      </c>
      <c r="Y73" s="7">
        <f>$AV$7*EXP(-'3.r(t)'!D71*$AV$21)</f>
        <v>0.88900715067201674</v>
      </c>
      <c r="Z73" s="7">
        <f ca="1">$AV$8*EXP(-'3.r(t)'!E71*$AV$22)</f>
        <v>0.91711462714501779</v>
      </c>
      <c r="AA73" s="7">
        <f ca="1">$AV$9*EXP(-'3.r(t)'!F71*$AV$23)</f>
        <v>0.9300388451012932</v>
      </c>
      <c r="AB73" s="7">
        <f ca="1">$AV$10*EXP(-'3.r(t)'!G71*$AV$24)</f>
        <v>0.95239793469142564</v>
      </c>
      <c r="AC73" s="7">
        <f ca="1">$AV$11*EXP(-'3.r(t)'!H71*$AV$25)</f>
        <v>0.97421072035367084</v>
      </c>
      <c r="AD73" s="7">
        <v>1</v>
      </c>
      <c r="AE73" s="7"/>
      <c r="AF73" s="7">
        <v>65</v>
      </c>
      <c r="AG73" s="7">
        <f>$AW$7*EXP(-'3.r(t)'!D71*$AW$21)</f>
        <v>0.86718755429225491</v>
      </c>
      <c r="AH73" s="7">
        <f ca="1">$AW$8*EXP(-'3.r(t)'!E71*$AW$22)</f>
        <v>0.896500590066313</v>
      </c>
      <c r="AI73" s="7">
        <f ca="1">$AW$9*EXP(-'3.r(t)'!F71*$AW$23)</f>
        <v>0.90702094815577328</v>
      </c>
      <c r="AJ73" s="7">
        <f ca="1">$AW$10*EXP(-'3.r(t)'!G71*$AW$24)</f>
        <v>0.9288355614093643</v>
      </c>
      <c r="AK73" s="7">
        <f ca="1">$AW$11*EXP(-'3.r(t)'!H71*$AW$25)</f>
        <v>0.94866475243696302</v>
      </c>
      <c r="AL73" s="7">
        <f ca="1">$AW$12*EXP(-'3.r(t)'!I71*$AW$26)</f>
        <v>0.97577867523231065</v>
      </c>
      <c r="AM73" s="7">
        <v>1</v>
      </c>
      <c r="AN73" s="7"/>
    </row>
    <row r="74" spans="2:40">
      <c r="B74" s="7">
        <v>66</v>
      </c>
      <c r="C74" s="7">
        <f>$AR$7*EXP(-'3.r(t)'!D72*$AR$21)</f>
        <v>0.97765346695821032</v>
      </c>
      <c r="D74" s="7">
        <v>1</v>
      </c>
      <c r="E74" s="7"/>
      <c r="F74" s="7">
        <v>66</v>
      </c>
      <c r="G74" s="48">
        <f>$AS$7*EXP(-'3.r(t)'!D72*$AS$21)</f>
        <v>0.9553476245219803</v>
      </c>
      <c r="H74" s="7">
        <f ca="1">$AS$8*EXP(-'3.r(t)'!E72*$AS$22)</f>
        <v>0.97685246736452402</v>
      </c>
      <c r="I74" s="7">
        <v>1</v>
      </c>
      <c r="J74" s="7"/>
      <c r="K74" s="7">
        <v>66</v>
      </c>
      <c r="L74" s="7">
        <f>$AT$7*EXP(-'3.r(t)'!D72*$AT$21)</f>
        <v>0.93311670519824419</v>
      </c>
      <c r="M74" s="7">
        <f ca="1">$AT$8*EXP(-'3.r(t)'!E72*$AT$22)</f>
        <v>0.95379128221053433</v>
      </c>
      <c r="N74" s="7">
        <f ca="1">$AT$9*EXP(-'3.r(t)'!F72*$AT$23)</f>
        <v>0.97623097807944004</v>
      </c>
      <c r="O74" s="7">
        <v>1</v>
      </c>
      <c r="P74" s="7"/>
      <c r="Q74" s="7">
        <v>66</v>
      </c>
      <c r="R74" s="7">
        <f>$AU$7*EXP(-'3.r(t)'!D72*$AU$21)</f>
        <v>0.91099305977534117</v>
      </c>
      <c r="S74" s="7">
        <f ca="1">$AU$8*EXP(-'3.r(t)'!E72*$AU$22)</f>
        <v>0.93084983657457276</v>
      </c>
      <c r="T74" s="7">
        <f ca="1">$AU$9*EXP(-'3.r(t)'!F72*$AU$23)</f>
        <v>0.95258648767034237</v>
      </c>
      <c r="U74" s="7">
        <f ca="1">$AU$10*EXP(-'3.r(t)'!G72*$AU$24)</f>
        <v>0.9748831373776744</v>
      </c>
      <c r="V74" s="7">
        <v>1</v>
      </c>
      <c r="W74" s="7"/>
      <c r="X74" s="7">
        <v>66</v>
      </c>
      <c r="Y74" s="7">
        <f>$AV$7*EXP(-'3.r(t)'!D72*$AV$21)</f>
        <v>0.88900715067201674</v>
      </c>
      <c r="Z74" s="7">
        <f ca="1">$AV$8*EXP(-'3.r(t)'!E72*$AV$22)</f>
        <v>0.9080595430904429</v>
      </c>
      <c r="AA74" s="7">
        <f ca="1">$AV$9*EXP(-'3.r(t)'!F72*$AV$23)</f>
        <v>0.92909903860071186</v>
      </c>
      <c r="AB74" s="7">
        <f ca="1">$AV$10*EXP(-'3.r(t)'!G72*$AV$24)</f>
        <v>0.94996634290560256</v>
      </c>
      <c r="AC74" s="7">
        <f ca="1">$AV$11*EXP(-'3.r(t)'!H72*$AV$25)</f>
        <v>0.97333060278935923</v>
      </c>
      <c r="AD74" s="7">
        <v>1</v>
      </c>
      <c r="AE74" s="7"/>
      <c r="AF74" s="7">
        <v>66</v>
      </c>
      <c r="AG74" s="7">
        <f>$AW$7*EXP(-'3.r(t)'!D72*$AW$21)</f>
        <v>0.86718755429225491</v>
      </c>
      <c r="AH74" s="7">
        <f ca="1">$AW$8*EXP(-'3.r(t)'!E72*$AW$22)</f>
        <v>0.88544983891651319</v>
      </c>
      <c r="AI74" s="7">
        <f ca="1">$AW$9*EXP(-'3.r(t)'!F72*$AW$23)</f>
        <v>0.90579909153807014</v>
      </c>
      <c r="AJ74" s="7">
        <f ca="1">$AW$10*EXP(-'3.r(t)'!G72*$AW$24)</f>
        <v>0.92528068171774958</v>
      </c>
      <c r="AK74" s="7">
        <f ca="1">$AW$11*EXP(-'3.r(t)'!H72*$AW$25)</f>
        <v>0.94695144884397187</v>
      </c>
      <c r="AL74" s="7">
        <f ca="1">$AW$12*EXP(-'3.r(t)'!I72*$AW$26)</f>
        <v>0.97230447493705419</v>
      </c>
      <c r="AM74" s="7">
        <v>1</v>
      </c>
      <c r="AN74" s="7"/>
    </row>
    <row r="75" spans="2:40">
      <c r="B75" s="7">
        <v>67</v>
      </c>
      <c r="C75" s="7">
        <f>$AR$7*EXP(-'3.r(t)'!D73*$AR$21)</f>
        <v>0.97765346695821032</v>
      </c>
      <c r="D75" s="7">
        <v>1</v>
      </c>
      <c r="E75" s="7"/>
      <c r="F75" s="7">
        <v>67</v>
      </c>
      <c r="G75" s="48">
        <f>$AS$7*EXP(-'3.r(t)'!D73*$AS$21)</f>
        <v>0.9553476245219803</v>
      </c>
      <c r="H75" s="7">
        <f ca="1">$AS$8*EXP(-'3.r(t)'!E73*$AS$22)</f>
        <v>0.98137729635704118</v>
      </c>
      <c r="I75" s="7">
        <v>1</v>
      </c>
      <c r="J75" s="7"/>
      <c r="K75" s="7">
        <v>67</v>
      </c>
      <c r="L75" s="7">
        <f>$AT$7*EXP(-'3.r(t)'!D73*$AT$21)</f>
        <v>0.93311670519824419</v>
      </c>
      <c r="M75" s="7">
        <f ca="1">$AT$8*EXP(-'3.r(t)'!E73*$AT$22)</f>
        <v>0.9626477635266304</v>
      </c>
      <c r="N75" s="7">
        <f ca="1">$AT$9*EXP(-'3.r(t)'!F73*$AT$23)</f>
        <v>0.98093632427875954</v>
      </c>
      <c r="O75" s="7">
        <v>1</v>
      </c>
      <c r="P75" s="7"/>
      <c r="Q75" s="7">
        <v>67</v>
      </c>
      <c r="R75" s="7">
        <f>$AU$7*EXP(-'3.r(t)'!D73*$AU$21)</f>
        <v>0.91099305977534117</v>
      </c>
      <c r="S75" s="7">
        <f ca="1">$AU$8*EXP(-'3.r(t)'!E73*$AU$22)</f>
        <v>0.94384507328878164</v>
      </c>
      <c r="T75" s="7">
        <f ca="1">$AU$9*EXP(-'3.r(t)'!F73*$AU$23)</f>
        <v>0.96179138145219567</v>
      </c>
      <c r="U75" s="7">
        <f ca="1">$AU$10*EXP(-'3.r(t)'!G73*$AU$24)</f>
        <v>0.98402484378103339</v>
      </c>
      <c r="V75" s="7">
        <v>1</v>
      </c>
      <c r="W75" s="7"/>
      <c r="X75" s="7">
        <v>67</v>
      </c>
      <c r="Y75" s="7">
        <f>$AV$7*EXP(-'3.r(t)'!D73*$AV$21)</f>
        <v>0.88900715067201674</v>
      </c>
      <c r="Z75" s="7">
        <f ca="1">$AV$8*EXP(-'3.r(t)'!E73*$AV$22)</f>
        <v>0.92500151085689086</v>
      </c>
      <c r="AA75" s="7">
        <f ca="1">$AV$9*EXP(-'3.r(t)'!F73*$AV$23)</f>
        <v>0.94259841921010679</v>
      </c>
      <c r="AB75" s="7">
        <f ca="1">$AV$10*EXP(-'3.r(t)'!G73*$AV$24)</f>
        <v>0.96786598744930286</v>
      </c>
      <c r="AC75" s="7">
        <f ca="1">$AV$11*EXP(-'3.r(t)'!H73*$AV$25)</f>
        <v>0.98523506058935229</v>
      </c>
      <c r="AD75" s="7">
        <v>1</v>
      </c>
      <c r="AE75" s="7"/>
      <c r="AF75" s="7">
        <v>67</v>
      </c>
      <c r="AG75" s="7">
        <f>$AW$7*EXP(-'3.r(t)'!D73*$AW$21)</f>
        <v>0.86718755429225491</v>
      </c>
      <c r="AH75" s="7">
        <f ca="1">$AW$8*EXP(-'3.r(t)'!E73*$AW$22)</f>
        <v>0.90614793949786376</v>
      </c>
      <c r="AI75" s="7">
        <f ca="1">$AW$9*EXP(-'3.r(t)'!F73*$AW$23)</f>
        <v>0.92338923954128316</v>
      </c>
      <c r="AJ75" s="7">
        <f ca="1">$AW$10*EXP(-'3.r(t)'!G73*$AW$24)</f>
        <v>0.95155524924780943</v>
      </c>
      <c r="AK75" s="7">
        <f ca="1">$AW$11*EXP(-'3.r(t)'!H73*$AW$25)</f>
        <v>0.97025674962330799</v>
      </c>
      <c r="AL75" s="7">
        <f ca="1">$AW$12*EXP(-'3.r(t)'!I73*$AW$26)</f>
        <v>0.98404028903763041</v>
      </c>
      <c r="AM75" s="7">
        <v>1</v>
      </c>
      <c r="AN75" s="7"/>
    </row>
    <row r="76" spans="2:40">
      <c r="B76" s="7">
        <v>68</v>
      </c>
      <c r="C76" s="7">
        <f>$AR$7*EXP(-'3.r(t)'!D74*$AR$21)</f>
        <v>0.97765346695821032</v>
      </c>
      <c r="D76" s="7">
        <v>1</v>
      </c>
      <c r="E76" s="7"/>
      <c r="F76" s="7">
        <v>68</v>
      </c>
      <c r="G76" s="48">
        <f>$AS$7*EXP(-'3.r(t)'!D74*$AS$21)</f>
        <v>0.9553476245219803</v>
      </c>
      <c r="H76" s="7">
        <f ca="1">$AS$8*EXP(-'3.r(t)'!E74*$AS$22)</f>
        <v>0.97808330240145147</v>
      </c>
      <c r="I76" s="7">
        <v>1</v>
      </c>
      <c r="J76" s="7"/>
      <c r="K76" s="7">
        <v>68</v>
      </c>
      <c r="L76" s="7">
        <f>$AT$7*EXP(-'3.r(t)'!D74*$AT$21)</f>
        <v>0.93311670519824419</v>
      </c>
      <c r="M76" s="7">
        <f ca="1">$AT$8*EXP(-'3.r(t)'!E74*$AT$22)</f>
        <v>0.95619635229530642</v>
      </c>
      <c r="N76" s="7">
        <f ca="1">$AT$9*EXP(-'3.r(t)'!F74*$AT$23)</f>
        <v>0.97136830140902486</v>
      </c>
      <c r="O76" s="7">
        <v>1</v>
      </c>
      <c r="P76" s="7"/>
      <c r="Q76" s="7">
        <v>68</v>
      </c>
      <c r="R76" s="7">
        <f>$AU$7*EXP(-'3.r(t)'!D74*$AU$21)</f>
        <v>0.91099305977534117</v>
      </c>
      <c r="S76" s="7">
        <f ca="1">$AU$8*EXP(-'3.r(t)'!E74*$AU$22)</f>
        <v>0.93437288693019738</v>
      </c>
      <c r="T76" s="7">
        <f ca="1">$AU$9*EXP(-'3.r(t)'!F74*$AU$23)</f>
        <v>0.94312031883869674</v>
      </c>
      <c r="U76" s="7">
        <f ca="1">$AU$10*EXP(-'3.r(t)'!G74*$AU$24)</f>
        <v>0.97205938079147702</v>
      </c>
      <c r="V76" s="7">
        <v>1</v>
      </c>
      <c r="W76" s="7"/>
      <c r="X76" s="7">
        <v>68</v>
      </c>
      <c r="Y76" s="7">
        <f>$AV$7*EXP(-'3.r(t)'!D74*$AV$21)</f>
        <v>0.88900715067201674</v>
      </c>
      <c r="Z76" s="7">
        <f ca="1">$AV$8*EXP(-'3.r(t)'!E74*$AV$22)</f>
        <v>0.9126448237315623</v>
      </c>
      <c r="AA76" s="7">
        <f ca="1">$AV$9*EXP(-'3.r(t)'!F74*$AV$23)</f>
        <v>0.9152843523442874</v>
      </c>
      <c r="AB76" s="7">
        <f ca="1">$AV$10*EXP(-'3.r(t)'!G74*$AV$24)</f>
        <v>0.94447114309803881</v>
      </c>
      <c r="AC76" s="7">
        <f ca="1">$AV$11*EXP(-'3.r(t)'!H74*$AV$25)</f>
        <v>0.96945557449669539</v>
      </c>
      <c r="AD76" s="7">
        <v>1</v>
      </c>
      <c r="AE76" s="7"/>
      <c r="AF76" s="7">
        <v>68</v>
      </c>
      <c r="AG76" s="7">
        <f>$AW$7*EXP(-'3.r(t)'!D74*$AW$21)</f>
        <v>0.86718755429225491</v>
      </c>
      <c r="AH76" s="7">
        <f ca="1">$AW$8*EXP(-'3.r(t)'!E74*$AW$22)</f>
        <v>0.8910422522541166</v>
      </c>
      <c r="AI76" s="7">
        <f ca="1">$AW$9*EXP(-'3.r(t)'!F74*$AW$23)</f>
        <v>0.88788608590201568</v>
      </c>
      <c r="AJ76" s="7">
        <f ca="1">$AW$10*EXP(-'3.r(t)'!G74*$AW$24)</f>
        <v>0.91726369981022626</v>
      </c>
      <c r="AK76" s="7">
        <f ca="1">$AW$11*EXP(-'3.r(t)'!H74*$AW$25)</f>
        <v>0.9394264430489746</v>
      </c>
      <c r="AL76" s="7">
        <f ca="1">$AW$12*EXP(-'3.r(t)'!I74*$AW$26)</f>
        <v>0.96754759151046354</v>
      </c>
      <c r="AM76" s="7">
        <v>1</v>
      </c>
      <c r="AN76" s="7"/>
    </row>
    <row r="77" spans="2:40">
      <c r="B77" s="7">
        <v>69</v>
      </c>
      <c r="C77" s="7">
        <f>$AR$7*EXP(-'3.r(t)'!D75*$AR$21)</f>
        <v>0.97765346695821032</v>
      </c>
      <c r="D77" s="7">
        <v>1</v>
      </c>
      <c r="E77" s="7"/>
      <c r="F77" s="7">
        <v>69</v>
      </c>
      <c r="G77" s="48">
        <f>$AS$7*EXP(-'3.r(t)'!D75*$AS$21)</f>
        <v>0.9553476245219803</v>
      </c>
      <c r="H77" s="7">
        <f ca="1">$AS$8*EXP(-'3.r(t)'!E75*$AS$22)</f>
        <v>0.97751162670052749</v>
      </c>
      <c r="I77" s="7">
        <v>1</v>
      </c>
      <c r="J77" s="7"/>
      <c r="K77" s="7">
        <v>69</v>
      </c>
      <c r="L77" s="7">
        <f>$AT$7*EXP(-'3.r(t)'!D75*$AT$21)</f>
        <v>0.93311670519824419</v>
      </c>
      <c r="M77" s="7">
        <f ca="1">$AT$8*EXP(-'3.r(t)'!E75*$AT$22)</f>
        <v>0.95507891277121637</v>
      </c>
      <c r="N77" s="7">
        <f ca="1">$AT$9*EXP(-'3.r(t)'!F75*$AT$23)</f>
        <v>0.97434777018980545</v>
      </c>
      <c r="O77" s="7">
        <v>1</v>
      </c>
      <c r="P77" s="7"/>
      <c r="Q77" s="7">
        <v>69</v>
      </c>
      <c r="R77" s="7">
        <f>$AU$7*EXP(-'3.r(t)'!D75*$AU$21)</f>
        <v>0.91099305977534117</v>
      </c>
      <c r="S77" s="7">
        <f ca="1">$AU$8*EXP(-'3.r(t)'!E75*$AU$22)</f>
        <v>0.93273546159013254</v>
      </c>
      <c r="T77" s="7">
        <f ca="1">$AU$9*EXP(-'3.r(t)'!F75*$AU$23)</f>
        <v>0.94891483999371695</v>
      </c>
      <c r="U77" s="7">
        <f ca="1">$AU$10*EXP(-'3.r(t)'!G75*$AU$24)</f>
        <v>0.97204215116650083</v>
      </c>
      <c r="V77" s="7">
        <v>1</v>
      </c>
      <c r="W77" s="7"/>
      <c r="X77" s="7">
        <v>69</v>
      </c>
      <c r="Y77" s="7">
        <f>$AV$7*EXP(-'3.r(t)'!D75*$AV$21)</f>
        <v>0.88900715067201674</v>
      </c>
      <c r="Z77" s="7">
        <f ca="1">$AV$8*EXP(-'3.r(t)'!E75*$AV$22)</f>
        <v>0.91051298230404221</v>
      </c>
      <c r="AA77" s="7">
        <f ca="1">$AV$9*EXP(-'3.r(t)'!F75*$AV$23)</f>
        <v>0.92373254153424111</v>
      </c>
      <c r="AB77" s="7">
        <f ca="1">$AV$10*EXP(-'3.r(t)'!G75*$AV$24)</f>
        <v>0.9444376621405981</v>
      </c>
      <c r="AC77" s="7">
        <f ca="1">$AV$11*EXP(-'3.r(t)'!H75*$AV$25)</f>
        <v>0.97632551211532981</v>
      </c>
      <c r="AD77" s="7">
        <v>1</v>
      </c>
      <c r="AE77" s="7"/>
      <c r="AF77" s="7">
        <v>69</v>
      </c>
      <c r="AG77" s="7">
        <f>$AW$7*EXP(-'3.r(t)'!D75*$AW$21)</f>
        <v>0.86718755429225491</v>
      </c>
      <c r="AH77" s="7">
        <f ca="1">$AW$8*EXP(-'3.r(t)'!E75*$AW$22)</f>
        <v>0.88844128722523596</v>
      </c>
      <c r="AI77" s="7">
        <f ca="1">$AW$9*EXP(-'3.r(t)'!F75*$AW$23)</f>
        <v>0.89882992759966918</v>
      </c>
      <c r="AJ77" s="7">
        <f ca="1">$AW$10*EXP(-'3.r(t)'!G75*$AW$24)</f>
        <v>0.91721492553859163</v>
      </c>
      <c r="AK77" s="7">
        <f ca="1">$AW$11*EXP(-'3.r(t)'!H75*$AW$25)</f>
        <v>0.95278789724695145</v>
      </c>
      <c r="AL77" s="7">
        <f ca="1">$AW$12*EXP(-'3.r(t)'!I75*$AW$26)</f>
        <v>0.97525873163048493</v>
      </c>
      <c r="AM77" s="7">
        <v>1</v>
      </c>
      <c r="AN77" s="7"/>
    </row>
    <row r="78" spans="2:40">
      <c r="B78" s="7">
        <v>70</v>
      </c>
      <c r="C78" s="7">
        <f>$AR$7*EXP(-'3.r(t)'!D76*$AR$21)</f>
        <v>0.97765346695821032</v>
      </c>
      <c r="D78" s="7">
        <v>1</v>
      </c>
      <c r="E78" s="7"/>
      <c r="F78" s="7">
        <v>70</v>
      </c>
      <c r="G78" s="48">
        <f>$AS$7*EXP(-'3.r(t)'!D76*$AS$21)</f>
        <v>0.9553476245219803</v>
      </c>
      <c r="H78" s="7">
        <f ca="1">$AS$8*EXP(-'3.r(t)'!E76*$AS$22)</f>
        <v>0.98221757825590672</v>
      </c>
      <c r="I78" s="7">
        <v>1</v>
      </c>
      <c r="J78" s="7"/>
      <c r="K78" s="7">
        <v>70</v>
      </c>
      <c r="L78" s="7">
        <f>$AT$7*EXP(-'3.r(t)'!D76*$AT$21)</f>
        <v>0.93311670519824419</v>
      </c>
      <c r="M78" s="7">
        <f ca="1">$AT$8*EXP(-'3.r(t)'!E76*$AT$22)</f>
        <v>0.96429695959591932</v>
      </c>
      <c r="N78" s="7">
        <f ca="1">$AT$9*EXP(-'3.r(t)'!F76*$AT$23)</f>
        <v>0.97846611990800991</v>
      </c>
      <c r="O78" s="7">
        <v>1</v>
      </c>
      <c r="P78" s="7"/>
      <c r="Q78" s="7">
        <v>70</v>
      </c>
      <c r="R78" s="7">
        <f>$AU$7*EXP(-'3.r(t)'!D76*$AU$21)</f>
        <v>0.91099305977534117</v>
      </c>
      <c r="S78" s="7">
        <f ca="1">$AU$8*EXP(-'3.r(t)'!E76*$AU$22)</f>
        <v>0.94627158712028059</v>
      </c>
      <c r="T78" s="7">
        <f ca="1">$AU$9*EXP(-'3.r(t)'!F76*$AU$23)</f>
        <v>0.95695349380102246</v>
      </c>
      <c r="U78" s="7">
        <f ca="1">$AU$10*EXP(-'3.r(t)'!G76*$AU$24)</f>
        <v>0.97838814975240196</v>
      </c>
      <c r="V78" s="7">
        <v>1</v>
      </c>
      <c r="W78" s="7"/>
      <c r="X78" s="7">
        <v>70</v>
      </c>
      <c r="Y78" s="7">
        <f>$AV$7*EXP(-'3.r(t)'!D76*$AV$21)</f>
        <v>0.88900715067201674</v>
      </c>
      <c r="Z78" s="7">
        <f ca="1">$AV$8*EXP(-'3.r(t)'!E76*$AV$22)</f>
        <v>0.92817362770991907</v>
      </c>
      <c r="AA78" s="7">
        <f ca="1">$AV$9*EXP(-'3.r(t)'!F76*$AV$23)</f>
        <v>0.9354953519556527</v>
      </c>
      <c r="AB78" s="7">
        <f ca="1">$AV$10*EXP(-'3.r(t)'!G76*$AV$24)</f>
        <v>0.95680947972763108</v>
      </c>
      <c r="AC78" s="7">
        <f ca="1">$AV$11*EXP(-'3.r(t)'!H76*$AV$25)</f>
        <v>0.97890790630597868</v>
      </c>
      <c r="AD78" s="7">
        <v>1</v>
      </c>
      <c r="AE78" s="7"/>
      <c r="AF78" s="7">
        <v>70</v>
      </c>
      <c r="AG78" s="7">
        <f>$AW$7*EXP(-'3.r(t)'!D76*$AW$21)</f>
        <v>0.86718755429225491</v>
      </c>
      <c r="AH78" s="7">
        <f ca="1">$AW$8*EXP(-'3.r(t)'!E76*$AW$22)</f>
        <v>0.91003393078518346</v>
      </c>
      <c r="AI78" s="7">
        <f ca="1">$AW$9*EXP(-'3.r(t)'!F76*$AW$23)</f>
        <v>0.91412315925815912</v>
      </c>
      <c r="AJ78" s="7">
        <f ca="1">$AW$10*EXP(-'3.r(t)'!G76*$AW$24)</f>
        <v>0.93529663377015559</v>
      </c>
      <c r="AK78" s="7">
        <f ca="1">$AW$11*EXP(-'3.r(t)'!H76*$AW$25)</f>
        <v>0.95783483680475001</v>
      </c>
      <c r="AL78" s="7">
        <f ca="1">$AW$12*EXP(-'3.r(t)'!I76*$AW$26)</f>
        <v>0.9775789903949591</v>
      </c>
      <c r="AM78" s="7">
        <v>1</v>
      </c>
      <c r="AN78" s="7"/>
    </row>
    <row r="79" spans="2:40">
      <c r="B79" s="7">
        <v>71</v>
      </c>
      <c r="C79" s="7">
        <f>$AR$7*EXP(-'3.r(t)'!D77*$AR$21)</f>
        <v>0.97765346695821032</v>
      </c>
      <c r="D79" s="7">
        <v>1</v>
      </c>
      <c r="E79" s="7"/>
      <c r="F79" s="7">
        <v>71</v>
      </c>
      <c r="G79" s="48">
        <f>$AS$7*EXP(-'3.r(t)'!D77*$AS$21)</f>
        <v>0.9553476245219803</v>
      </c>
      <c r="H79" s="7">
        <f ca="1">$AS$8*EXP(-'3.r(t)'!E77*$AS$22)</f>
        <v>0.98172139765807598</v>
      </c>
      <c r="I79" s="7">
        <v>1</v>
      </c>
      <c r="J79" s="7"/>
      <c r="K79" s="7">
        <v>71</v>
      </c>
      <c r="L79" s="7">
        <f>$AT$7*EXP(-'3.r(t)'!D77*$AT$21)</f>
        <v>0.93311670519824419</v>
      </c>
      <c r="M79" s="7">
        <f ca="1">$AT$8*EXP(-'3.r(t)'!E77*$AT$22)</f>
        <v>0.96332295016905023</v>
      </c>
      <c r="N79" s="7">
        <f ca="1">$AT$9*EXP(-'3.r(t)'!F77*$AT$23)</f>
        <v>0.97996276021050344</v>
      </c>
      <c r="O79" s="7">
        <v>1</v>
      </c>
      <c r="P79" s="7"/>
      <c r="Q79" s="7">
        <v>71</v>
      </c>
      <c r="R79" s="7">
        <f>$AU$7*EXP(-'3.r(t)'!D77*$AU$21)</f>
        <v>0.91099305977534117</v>
      </c>
      <c r="S79" s="7">
        <f ca="1">$AU$8*EXP(-'3.r(t)'!E77*$AU$22)</f>
        <v>0.94483824546493245</v>
      </c>
      <c r="T79" s="7">
        <f ca="1">$AU$9*EXP(-'3.r(t)'!F77*$AU$23)</f>
        <v>0.95988320282152917</v>
      </c>
      <c r="U79" s="7">
        <f ca="1">$AU$10*EXP(-'3.r(t)'!G77*$AU$24)</f>
        <v>0.97996825808657295</v>
      </c>
      <c r="V79" s="7">
        <v>1</v>
      </c>
      <c r="W79" s="7"/>
      <c r="X79" s="7">
        <v>71</v>
      </c>
      <c r="Y79" s="7">
        <f>$AV$7*EXP(-'3.r(t)'!D77*$AV$21)</f>
        <v>0.88900715067201674</v>
      </c>
      <c r="Z79" s="7">
        <f ca="1">$AV$8*EXP(-'3.r(t)'!E77*$AV$22)</f>
        <v>0.92629953015851607</v>
      </c>
      <c r="AA79" s="7">
        <f ca="1">$AV$9*EXP(-'3.r(t)'!F77*$AV$23)</f>
        <v>0.93979466086027541</v>
      </c>
      <c r="AB79" s="7">
        <f ca="1">$AV$10*EXP(-'3.r(t)'!G77*$AV$24)</f>
        <v>0.95990249239638503</v>
      </c>
      <c r="AC79" s="7">
        <f ca="1">$AV$11*EXP(-'3.r(t)'!H77*$AV$25)</f>
        <v>0.97963251169535881</v>
      </c>
      <c r="AD79" s="7">
        <v>1</v>
      </c>
      <c r="AE79" s="7"/>
      <c r="AF79" s="7">
        <v>71</v>
      </c>
      <c r="AG79" s="7">
        <f>$AW$7*EXP(-'3.r(t)'!D77*$AW$21)</f>
        <v>0.86718755429225491</v>
      </c>
      <c r="AH79" s="7">
        <f ca="1">$AW$8*EXP(-'3.r(t)'!E77*$AW$22)</f>
        <v>0.90773767170855169</v>
      </c>
      <c r="AI79" s="7">
        <f ca="1">$AW$9*EXP(-'3.r(t)'!F77*$AW$23)</f>
        <v>0.9197288953811783</v>
      </c>
      <c r="AJ79" s="7">
        <f ca="1">$AW$10*EXP(-'3.r(t)'!G77*$AW$24)</f>
        <v>0.93983550130017446</v>
      </c>
      <c r="AK79" s="7">
        <f ca="1">$AW$11*EXP(-'3.r(t)'!H77*$AW$25)</f>
        <v>0.95925337506653685</v>
      </c>
      <c r="AL79" s="7">
        <f ca="1">$AW$12*EXP(-'3.r(t)'!I77*$AW$26)</f>
        <v>0.98020466415203578</v>
      </c>
      <c r="AM79" s="7">
        <v>1</v>
      </c>
      <c r="AN79" s="7"/>
    </row>
    <row r="80" spans="2:40">
      <c r="B80" s="7">
        <v>72</v>
      </c>
      <c r="C80" s="7">
        <f>$AR$7*EXP(-'3.r(t)'!D78*$AR$21)</f>
        <v>0.97765346695821032</v>
      </c>
      <c r="D80" s="7">
        <v>1</v>
      </c>
      <c r="E80" s="7"/>
      <c r="F80" s="7">
        <v>72</v>
      </c>
      <c r="G80" s="48">
        <f>$AS$7*EXP(-'3.r(t)'!D78*$AS$21)</f>
        <v>0.9553476245219803</v>
      </c>
      <c r="H80" s="7">
        <f ca="1">$AS$8*EXP(-'3.r(t)'!E78*$AS$22)</f>
        <v>0.97593843180831008</v>
      </c>
      <c r="I80" s="7">
        <v>1</v>
      </c>
      <c r="J80" s="7"/>
      <c r="K80" s="7">
        <v>72</v>
      </c>
      <c r="L80" s="7">
        <f>$AT$7*EXP(-'3.r(t)'!D78*$AT$21)</f>
        <v>0.93311670519824419</v>
      </c>
      <c r="M80" s="7">
        <f ca="1">$AT$8*EXP(-'3.r(t)'!E78*$AT$22)</f>
        <v>0.95200720261736504</v>
      </c>
      <c r="N80" s="7">
        <f ca="1">$AT$9*EXP(-'3.r(t)'!F78*$AT$23)</f>
        <v>0.97467049315744902</v>
      </c>
      <c r="O80" s="7">
        <v>1</v>
      </c>
      <c r="P80" s="7"/>
      <c r="Q80" s="7">
        <v>72</v>
      </c>
      <c r="R80" s="7">
        <f>$AU$7*EXP(-'3.r(t)'!D78*$AU$21)</f>
        <v>0.91099305977534117</v>
      </c>
      <c r="S80" s="7">
        <f ca="1">$AU$8*EXP(-'3.r(t)'!E78*$AU$22)</f>
        <v>0.92823930732489701</v>
      </c>
      <c r="T80" s="7">
        <f ca="1">$AU$9*EXP(-'3.r(t)'!F78*$AU$23)</f>
        <v>0.94954354226685078</v>
      </c>
      <c r="U80" s="7">
        <f ca="1">$AU$10*EXP(-'3.r(t)'!G78*$AU$24)</f>
        <v>0.97398793817302232</v>
      </c>
      <c r="V80" s="7">
        <v>1</v>
      </c>
      <c r="W80" s="7"/>
      <c r="X80" s="7">
        <v>72</v>
      </c>
      <c r="Y80" s="7">
        <f>$AV$7*EXP(-'3.r(t)'!D78*$AV$21)</f>
        <v>0.88900715067201674</v>
      </c>
      <c r="Z80" s="7">
        <f ca="1">$AV$8*EXP(-'3.r(t)'!E78*$AV$22)</f>
        <v>0.90466564472477817</v>
      </c>
      <c r="AA80" s="7">
        <f ca="1">$AV$9*EXP(-'3.r(t)'!F78*$AV$23)</f>
        <v>0.92465072023864847</v>
      </c>
      <c r="AB80" s="7">
        <f ca="1">$AV$10*EXP(-'3.r(t)'!G78*$AV$24)</f>
        <v>0.94822250586016943</v>
      </c>
      <c r="AC80" s="7">
        <f ca="1">$AV$11*EXP(-'3.r(t)'!H78*$AV$25)</f>
        <v>0.96993709671065242</v>
      </c>
      <c r="AD80" s="7">
        <v>1</v>
      </c>
      <c r="AE80" s="7"/>
      <c r="AF80" s="7">
        <v>72</v>
      </c>
      <c r="AG80" s="7">
        <f>$AW$7*EXP(-'3.r(t)'!D78*$AW$21)</f>
        <v>0.86718755429225491</v>
      </c>
      <c r="AH80" s="7">
        <f ca="1">$AW$8*EXP(-'3.r(t)'!E78*$AW$22)</f>
        <v>0.88131503093269348</v>
      </c>
      <c r="AI80" s="7">
        <f ca="1">$AW$9*EXP(-'3.r(t)'!F78*$AW$23)</f>
        <v>0.90002135932095861</v>
      </c>
      <c r="AJ80" s="7">
        <f ca="1">$AW$10*EXP(-'3.r(t)'!G78*$AW$24)</f>
        <v>0.92273406831010674</v>
      </c>
      <c r="AK80" s="7">
        <f ca="1">$AW$11*EXP(-'3.r(t)'!H78*$AW$25)</f>
        <v>0.94035988869292852</v>
      </c>
      <c r="AL80" s="7">
        <f ca="1">$AW$12*EXP(-'3.r(t)'!I78*$AW$26)</f>
        <v>0.97048410242716532</v>
      </c>
      <c r="AM80" s="7">
        <v>1</v>
      </c>
      <c r="AN80" s="7"/>
    </row>
    <row r="81" spans="2:40">
      <c r="B81" s="7">
        <v>73</v>
      </c>
      <c r="C81" s="7">
        <f>$AR$7*EXP(-'3.r(t)'!D79*$AR$21)</f>
        <v>0.97765346695821032</v>
      </c>
      <c r="D81" s="7">
        <v>1</v>
      </c>
      <c r="E81" s="7"/>
      <c r="F81" s="7">
        <v>73</v>
      </c>
      <c r="G81" s="48">
        <f>$AS$7*EXP(-'3.r(t)'!D79*$AS$21)</f>
        <v>0.9553476245219803</v>
      </c>
      <c r="H81" s="7">
        <f ca="1">$AS$8*EXP(-'3.r(t)'!E79*$AS$22)</f>
        <v>0.97693856846286742</v>
      </c>
      <c r="I81" s="7">
        <v>1</v>
      </c>
      <c r="J81" s="7"/>
      <c r="K81" s="7">
        <v>73</v>
      </c>
      <c r="L81" s="7">
        <f>$AT$7*EXP(-'3.r(t)'!D79*$AT$21)</f>
        <v>0.93311670519824419</v>
      </c>
      <c r="M81" s="7">
        <f ca="1">$AT$8*EXP(-'3.r(t)'!E79*$AT$22)</f>
        <v>0.95395942652899712</v>
      </c>
      <c r="N81" s="7">
        <f ca="1">$AT$9*EXP(-'3.r(t)'!F79*$AT$23)</f>
        <v>0.97560117173491256</v>
      </c>
      <c r="O81" s="7">
        <v>1</v>
      </c>
      <c r="P81" s="7"/>
      <c r="Q81" s="7">
        <v>73</v>
      </c>
      <c r="R81" s="7">
        <f>$AU$7*EXP(-'3.r(t)'!D79*$AU$21)</f>
        <v>0.91099305977534117</v>
      </c>
      <c r="S81" s="7">
        <f ca="1">$AU$8*EXP(-'3.r(t)'!E79*$AU$22)</f>
        <v>0.93109599736288817</v>
      </c>
      <c r="T81" s="7">
        <f ca="1">$AU$9*EXP(-'3.r(t)'!F79*$AU$23)</f>
        <v>0.95135777950058054</v>
      </c>
      <c r="U81" s="7">
        <f ca="1">$AU$10*EXP(-'3.r(t)'!G79*$AU$24)</f>
        <v>0.97497026453901203</v>
      </c>
      <c r="V81" s="7">
        <v>1</v>
      </c>
      <c r="W81" s="7"/>
      <c r="X81" s="7">
        <v>73</v>
      </c>
      <c r="Y81" s="7">
        <f>$AV$7*EXP(-'3.r(t)'!D79*$AV$21)</f>
        <v>0.88900715067201674</v>
      </c>
      <c r="Z81" s="7">
        <f ca="1">$AV$8*EXP(-'3.r(t)'!E79*$AV$22)</f>
        <v>0.9083797358082939</v>
      </c>
      <c r="AA81" s="7">
        <f ca="1">$AV$9*EXP(-'3.r(t)'!F79*$AV$23)</f>
        <v>0.92730199960736226</v>
      </c>
      <c r="AB81" s="7">
        <f ca="1">$AV$10*EXP(-'3.r(t)'!G79*$AV$24)</f>
        <v>0.9501361510932943</v>
      </c>
      <c r="AC81" s="7">
        <f ca="1">$AV$11*EXP(-'3.r(t)'!H79*$AV$25)</f>
        <v>0.97409534392022645</v>
      </c>
      <c r="AD81" s="7">
        <v>1</v>
      </c>
      <c r="AE81" s="7"/>
      <c r="AF81" s="7">
        <v>73</v>
      </c>
      <c r="AG81" s="7">
        <f>$AW$7*EXP(-'3.r(t)'!D79*$AW$21)</f>
        <v>0.86718755429225491</v>
      </c>
      <c r="AH81" s="7">
        <f ca="1">$AW$8*EXP(-'3.r(t)'!E79*$AW$22)</f>
        <v>0.88584013144720564</v>
      </c>
      <c r="AI81" s="7">
        <f ca="1">$AW$9*EXP(-'3.r(t)'!F79*$AW$23)</f>
        <v>0.90346388109288667</v>
      </c>
      <c r="AJ81" s="7">
        <f ca="1">$AW$10*EXP(-'3.r(t)'!G79*$AW$24)</f>
        <v>0.92552878617641887</v>
      </c>
      <c r="AK81" s="7">
        <f ca="1">$AW$11*EXP(-'3.r(t)'!H79*$AW$25)</f>
        <v>0.94844006372834044</v>
      </c>
      <c r="AL81" s="7">
        <f ca="1">$AW$12*EXP(-'3.r(t)'!I79*$AW$26)</f>
        <v>0.97340792289827183</v>
      </c>
      <c r="AM81" s="7">
        <v>1</v>
      </c>
      <c r="AN81" s="7"/>
    </row>
    <row r="82" spans="2:40">
      <c r="B82" s="7">
        <v>74</v>
      </c>
      <c r="C82" s="7">
        <f>$AR$7*EXP(-'3.r(t)'!D80*$AR$21)</f>
        <v>0.97765346695821032</v>
      </c>
      <c r="D82" s="7">
        <v>1</v>
      </c>
      <c r="E82" s="7"/>
      <c r="F82" s="7">
        <v>74</v>
      </c>
      <c r="G82" s="48">
        <f>$AS$7*EXP(-'3.r(t)'!D80*$AS$21)</f>
        <v>0.9553476245219803</v>
      </c>
      <c r="H82" s="7">
        <f ca="1">$AS$8*EXP(-'3.r(t)'!E80*$AS$22)</f>
        <v>0.97418107882369398</v>
      </c>
      <c r="I82" s="7">
        <v>1</v>
      </c>
      <c r="J82" s="7"/>
      <c r="K82" s="7">
        <v>74</v>
      </c>
      <c r="L82" s="7">
        <f>$AT$7*EXP(-'3.r(t)'!D80*$AT$21)</f>
        <v>0.93311670519824419</v>
      </c>
      <c r="M82" s="7">
        <f ca="1">$AT$8*EXP(-'3.r(t)'!E80*$AT$22)</f>
        <v>0.94858176846287601</v>
      </c>
      <c r="N82" s="7">
        <f ca="1">$AT$9*EXP(-'3.r(t)'!F80*$AT$23)</f>
        <v>0.97687876987287714</v>
      </c>
      <c r="O82" s="7">
        <v>1</v>
      </c>
      <c r="P82" s="7"/>
      <c r="Q82" s="7">
        <v>74</v>
      </c>
      <c r="R82" s="7">
        <f>$AU$7*EXP(-'3.r(t)'!D80*$AU$21)</f>
        <v>0.91099305977534117</v>
      </c>
      <c r="S82" s="7">
        <f ca="1">$AU$8*EXP(-'3.r(t)'!E80*$AU$22)</f>
        <v>0.92323394486073851</v>
      </c>
      <c r="T82" s="7">
        <f ca="1">$AU$9*EXP(-'3.r(t)'!F80*$AU$23)</f>
        <v>0.95385111142928525</v>
      </c>
      <c r="U82" s="7">
        <f ca="1">$AU$10*EXP(-'3.r(t)'!G80*$AU$24)</f>
        <v>0.97664823600476225</v>
      </c>
      <c r="V82" s="7">
        <v>1</v>
      </c>
      <c r="W82" s="7"/>
      <c r="X82" s="7">
        <v>74</v>
      </c>
      <c r="Y82" s="7">
        <f>$AV$7*EXP(-'3.r(t)'!D80*$AV$21)</f>
        <v>0.88900715067201674</v>
      </c>
      <c r="Z82" s="7">
        <f ca="1">$AV$8*EXP(-'3.r(t)'!E80*$AV$22)</f>
        <v>0.89816716964003074</v>
      </c>
      <c r="AA82" s="7">
        <f ca="1">$AV$9*EXP(-'3.r(t)'!F80*$AV$23)</f>
        <v>0.93094981636387142</v>
      </c>
      <c r="AB82" s="7">
        <f ca="1">$AV$10*EXP(-'3.r(t)'!G80*$AV$24)</f>
        <v>0.9534094268913621</v>
      </c>
      <c r="AC82" s="7">
        <f ca="1">$AV$11*EXP(-'3.r(t)'!H80*$AV$25)</f>
        <v>0.97835038589822343</v>
      </c>
      <c r="AD82" s="7">
        <v>1</v>
      </c>
      <c r="AE82" s="7"/>
      <c r="AF82" s="7">
        <v>74</v>
      </c>
      <c r="AG82" s="7">
        <f>$AW$7*EXP(-'3.r(t)'!D80*$AW$21)</f>
        <v>0.86718755429225491</v>
      </c>
      <c r="AH82" s="7">
        <f ca="1">$AW$8*EXP(-'3.r(t)'!E80*$AW$22)</f>
        <v>0.87340872319999863</v>
      </c>
      <c r="AI82" s="7">
        <f ca="1">$AW$9*EXP(-'3.r(t)'!F80*$AW$23)</f>
        <v>0.90820570852952398</v>
      </c>
      <c r="AJ82" s="7">
        <f ca="1">$AW$10*EXP(-'3.r(t)'!G80*$AW$24)</f>
        <v>0.93031565596566812</v>
      </c>
      <c r="AK82" s="7">
        <f ca="1">$AW$11*EXP(-'3.r(t)'!H80*$AW$25)</f>
        <v>0.95674411029929884</v>
      </c>
      <c r="AL82" s="7">
        <f ca="1">$AW$12*EXP(-'3.r(t)'!I80*$AW$26)</f>
        <v>0.97884526622227441</v>
      </c>
      <c r="AM82" s="7">
        <v>1</v>
      </c>
      <c r="AN82" s="7"/>
    </row>
    <row r="83" spans="2:40">
      <c r="B83" s="7">
        <v>75</v>
      </c>
      <c r="C83" s="7">
        <f>$AR$7*EXP(-'3.r(t)'!D81*$AR$21)</f>
        <v>0.97765346695821032</v>
      </c>
      <c r="D83" s="7">
        <v>1</v>
      </c>
      <c r="E83" s="7"/>
      <c r="F83" s="7">
        <v>75</v>
      </c>
      <c r="G83" s="48">
        <f>$AS$7*EXP(-'3.r(t)'!D81*$AS$21)</f>
        <v>0.9553476245219803</v>
      </c>
      <c r="H83" s="7">
        <f ca="1">$AS$8*EXP(-'3.r(t)'!E81*$AS$22)</f>
        <v>0.97920424012540619</v>
      </c>
      <c r="I83" s="7">
        <v>1</v>
      </c>
      <c r="J83" s="7"/>
      <c r="K83" s="7">
        <v>75</v>
      </c>
      <c r="L83" s="7">
        <f>$AT$7*EXP(-'3.r(t)'!D81*$AT$21)</f>
        <v>0.93311670519824419</v>
      </c>
      <c r="M83" s="7">
        <f ca="1">$AT$8*EXP(-'3.r(t)'!E81*$AT$22)</f>
        <v>0.95838931633475599</v>
      </c>
      <c r="N83" s="7">
        <f ca="1">$AT$9*EXP(-'3.r(t)'!F81*$AT$23)</f>
        <v>0.98049231021155614</v>
      </c>
      <c r="O83" s="7">
        <v>1</v>
      </c>
      <c r="P83" s="7"/>
      <c r="Q83" s="7">
        <v>75</v>
      </c>
      <c r="R83" s="7">
        <f>$AU$7*EXP(-'3.r(t)'!D81*$AU$21)</f>
        <v>0.91099305977534117</v>
      </c>
      <c r="S83" s="7">
        <f ca="1">$AU$8*EXP(-'3.r(t)'!E81*$AU$22)</f>
        <v>0.93758909956263581</v>
      </c>
      <c r="T83" s="7">
        <f ca="1">$AU$9*EXP(-'3.r(t)'!F81*$AU$23)</f>
        <v>0.9609208820280416</v>
      </c>
      <c r="U83" s="7">
        <f ca="1">$AU$10*EXP(-'3.r(t)'!G81*$AU$24)</f>
        <v>0.97870034063021694</v>
      </c>
      <c r="V83" s="7">
        <v>1</v>
      </c>
      <c r="W83" s="7"/>
      <c r="X83" s="7">
        <v>75</v>
      </c>
      <c r="Y83" s="7">
        <f>$AV$7*EXP(-'3.r(t)'!D81*$AV$21)</f>
        <v>0.88900715067201674</v>
      </c>
      <c r="Z83" s="7">
        <f ca="1">$AV$8*EXP(-'3.r(t)'!E81*$AV$22)</f>
        <v>0.91683578785957687</v>
      </c>
      <c r="AA83" s="7">
        <f ca="1">$AV$9*EXP(-'3.r(t)'!F81*$AV$23)</f>
        <v>0.94131901646171512</v>
      </c>
      <c r="AB83" s="7">
        <f ca="1">$AV$10*EXP(-'3.r(t)'!G81*$AV$24)</f>
        <v>0.95742018795878603</v>
      </c>
      <c r="AC83" s="7">
        <f ca="1">$AV$11*EXP(-'3.r(t)'!H81*$AV$25)</f>
        <v>0.97453719234842917</v>
      </c>
      <c r="AD83" s="7">
        <v>1</v>
      </c>
      <c r="AE83" s="7"/>
      <c r="AF83" s="7">
        <v>75</v>
      </c>
      <c r="AG83" s="7">
        <f>$AW$7*EXP(-'3.r(t)'!D81*$AW$21)</f>
        <v>0.86718755429225491</v>
      </c>
      <c r="AH83" s="7">
        <f ca="1">$AW$8*EXP(-'3.r(t)'!E81*$AW$22)</f>
        <v>0.89615988826723469</v>
      </c>
      <c r="AI83" s="7">
        <f ca="1">$AW$9*EXP(-'3.r(t)'!F81*$AW$23)</f>
        <v>0.92171851123125192</v>
      </c>
      <c r="AJ83" s="7">
        <f ca="1">$AW$10*EXP(-'3.r(t)'!G81*$AW$24)</f>
        <v>0.93619224230027576</v>
      </c>
      <c r="AK83" s="7">
        <f ca="1">$AW$11*EXP(-'3.r(t)'!H81*$AW$25)</f>
        <v>0.94930068132208179</v>
      </c>
      <c r="AL83" s="7">
        <f ca="1">$AW$12*EXP(-'3.r(t)'!I81*$AW$26)</f>
        <v>0.9734723838984396</v>
      </c>
      <c r="AM83" s="7">
        <v>1</v>
      </c>
      <c r="AN83" s="7"/>
    </row>
    <row r="84" spans="2:40">
      <c r="B84" s="7">
        <v>76</v>
      </c>
      <c r="C84" s="7">
        <f>$AR$7*EXP(-'3.r(t)'!D82*$AR$21)</f>
        <v>0.97765346695821032</v>
      </c>
      <c r="D84" s="7">
        <v>1</v>
      </c>
      <c r="E84" s="7"/>
      <c r="F84" s="7">
        <v>76</v>
      </c>
      <c r="G84" s="48">
        <f>$AS$7*EXP(-'3.r(t)'!D82*$AS$21)</f>
        <v>0.9553476245219803</v>
      </c>
      <c r="H84" s="7">
        <f ca="1">$AS$8*EXP(-'3.r(t)'!E82*$AS$22)</f>
        <v>0.97690776268367197</v>
      </c>
      <c r="I84" s="7">
        <v>1</v>
      </c>
      <c r="J84" s="7"/>
      <c r="K84" s="7">
        <v>76</v>
      </c>
      <c r="L84" s="7">
        <f>$AT$7*EXP(-'3.r(t)'!D82*$AT$21)</f>
        <v>0.93311670519824419</v>
      </c>
      <c r="M84" s="7">
        <f ca="1">$AT$8*EXP(-'3.r(t)'!E82*$AT$22)</f>
        <v>0.95389926512055934</v>
      </c>
      <c r="N84" s="7">
        <f ca="1">$AT$9*EXP(-'3.r(t)'!F82*$AT$23)</f>
        <v>0.97674649067641861</v>
      </c>
      <c r="O84" s="7">
        <v>1</v>
      </c>
      <c r="P84" s="7"/>
      <c r="Q84" s="7">
        <v>76</v>
      </c>
      <c r="R84" s="7">
        <f>$AU$7*EXP(-'3.r(t)'!D82*$AU$21)</f>
        <v>0.91099305977534117</v>
      </c>
      <c r="S84" s="7">
        <f ca="1">$AU$8*EXP(-'3.r(t)'!E82*$AU$22)</f>
        <v>0.93100791946062722</v>
      </c>
      <c r="T84" s="7">
        <f ca="1">$AU$9*EXP(-'3.r(t)'!F82*$AU$23)</f>
        <v>0.95359280687851833</v>
      </c>
      <c r="U84" s="7">
        <f ca="1">$AU$10*EXP(-'3.r(t)'!G82*$AU$24)</f>
        <v>0.97874004800958647</v>
      </c>
      <c r="V84" s="7">
        <v>1</v>
      </c>
      <c r="W84" s="7"/>
      <c r="X84" s="7">
        <v>76</v>
      </c>
      <c r="Y84" s="7">
        <f>$AV$7*EXP(-'3.r(t)'!D82*$AV$21)</f>
        <v>0.88900715067201674</v>
      </c>
      <c r="Z84" s="7">
        <f ca="1">$AV$8*EXP(-'3.r(t)'!E82*$AV$22)</f>
        <v>0.90826516556651682</v>
      </c>
      <c r="AA84" s="7">
        <f ca="1">$AV$9*EXP(-'3.r(t)'!F82*$AV$23)</f>
        <v>0.93057168770627696</v>
      </c>
      <c r="AB84" s="7">
        <f ca="1">$AV$10*EXP(-'3.r(t)'!G82*$AV$24)</f>
        <v>0.95749787755638394</v>
      </c>
      <c r="AC84" s="7">
        <f ca="1">$AV$11*EXP(-'3.r(t)'!H82*$AV$25)</f>
        <v>0.9807900639759225</v>
      </c>
      <c r="AD84" s="7">
        <v>1</v>
      </c>
      <c r="AE84" s="7"/>
      <c r="AF84" s="7">
        <v>76</v>
      </c>
      <c r="AG84" s="7">
        <f>$AW$7*EXP(-'3.r(t)'!D82*$AW$21)</f>
        <v>0.86718755429225491</v>
      </c>
      <c r="AH84" s="7">
        <f ca="1">$AW$8*EXP(-'3.r(t)'!E82*$AW$22)</f>
        <v>0.88570047438267496</v>
      </c>
      <c r="AI84" s="7">
        <f ca="1">$AW$9*EXP(-'3.r(t)'!F82*$AW$23)</f>
        <v>0.90771388773999584</v>
      </c>
      <c r="AJ84" s="7">
        <f ca="1">$AW$10*EXP(-'3.r(t)'!G82*$AW$24)</f>
        <v>0.93630619520455327</v>
      </c>
      <c r="AK84" s="7">
        <f ca="1">$AW$11*EXP(-'3.r(t)'!H82*$AW$25)</f>
        <v>0.96152165821389768</v>
      </c>
      <c r="AL84" s="7">
        <f ca="1">$AW$12*EXP(-'3.r(t)'!I82*$AW$26)</f>
        <v>0.97673026054924073</v>
      </c>
      <c r="AM84" s="7">
        <v>1</v>
      </c>
      <c r="AN84" s="7"/>
    </row>
    <row r="85" spans="2:40">
      <c r="B85" s="7">
        <v>77</v>
      </c>
      <c r="C85" s="7">
        <f>$AR$7*EXP(-'3.r(t)'!D83*$AR$21)</f>
        <v>0.97765346695821032</v>
      </c>
      <c r="D85" s="7">
        <v>1</v>
      </c>
      <c r="E85" s="7"/>
      <c r="F85" s="7">
        <v>77</v>
      </c>
      <c r="G85" s="48">
        <f>$AS$7*EXP(-'3.r(t)'!D83*$AS$21)</f>
        <v>0.9553476245219803</v>
      </c>
      <c r="H85" s="7">
        <f ca="1">$AS$8*EXP(-'3.r(t)'!E83*$AS$22)</f>
        <v>0.97901899312903762</v>
      </c>
      <c r="I85" s="7">
        <v>1</v>
      </c>
      <c r="J85" s="7"/>
      <c r="K85" s="7">
        <v>77</v>
      </c>
      <c r="L85" s="7">
        <f>$AT$7*EXP(-'3.r(t)'!D83*$AT$21)</f>
        <v>0.93311670519824419</v>
      </c>
      <c r="M85" s="7">
        <f ca="1">$AT$8*EXP(-'3.r(t)'!E83*$AT$22)</f>
        <v>0.95802673222526069</v>
      </c>
      <c r="N85" s="7">
        <f ca="1">$AT$9*EXP(-'3.r(t)'!F83*$AT$23)</f>
        <v>0.97506889335558233</v>
      </c>
      <c r="O85" s="7">
        <v>1</v>
      </c>
      <c r="P85" s="7"/>
      <c r="Q85" s="7">
        <v>77</v>
      </c>
      <c r="R85" s="7">
        <f>$AU$7*EXP(-'3.r(t)'!D83*$AU$21)</f>
        <v>0.91099305977534117</v>
      </c>
      <c r="S85" s="7">
        <f ca="1">$AU$8*EXP(-'3.r(t)'!E83*$AU$22)</f>
        <v>0.93705707763674617</v>
      </c>
      <c r="T85" s="7">
        <f ca="1">$AU$9*EXP(-'3.r(t)'!F83*$AU$23)</f>
        <v>0.95031995984275808</v>
      </c>
      <c r="U85" s="7">
        <f ca="1">$AU$10*EXP(-'3.r(t)'!G83*$AU$24)</f>
        <v>0.97357729663656667</v>
      </c>
      <c r="V85" s="7">
        <v>1</v>
      </c>
      <c r="W85" s="7"/>
      <c r="X85" s="7">
        <v>77</v>
      </c>
      <c r="Y85" s="7">
        <f>$AV$7*EXP(-'3.r(t)'!D83*$AV$21)</f>
        <v>0.88900715067201674</v>
      </c>
      <c r="Z85" s="7">
        <f ca="1">$AV$8*EXP(-'3.r(t)'!E83*$AV$22)</f>
        <v>0.91614219247309248</v>
      </c>
      <c r="AA85" s="7">
        <f ca="1">$AV$9*EXP(-'3.r(t)'!F83*$AV$23)</f>
        <v>0.92578504706100617</v>
      </c>
      <c r="AB85" s="7">
        <f ca="1">$AV$10*EXP(-'3.r(t)'!G83*$AV$24)</f>
        <v>0.94742311718480943</v>
      </c>
      <c r="AC85" s="7">
        <f ca="1">$AV$11*EXP(-'3.r(t)'!H83*$AV$25)</f>
        <v>0.97104003235507008</v>
      </c>
      <c r="AD85" s="7">
        <v>1</v>
      </c>
      <c r="AE85" s="7"/>
      <c r="AF85" s="7">
        <v>77</v>
      </c>
      <c r="AG85" s="7">
        <f>$AW$7*EXP(-'3.r(t)'!D83*$AW$21)</f>
        <v>0.86718755429225491</v>
      </c>
      <c r="AH85" s="7">
        <f ca="1">$AW$8*EXP(-'3.r(t)'!E83*$AW$22)</f>
        <v>0.89531252609104783</v>
      </c>
      <c r="AI85" s="7">
        <f ca="1">$AW$9*EXP(-'3.r(t)'!F83*$AW$23)</f>
        <v>0.90149381016355301</v>
      </c>
      <c r="AJ85" s="7">
        <f ca="1">$AW$10*EXP(-'3.r(t)'!G83*$AW$24)</f>
        <v>0.92156746288226077</v>
      </c>
      <c r="AK85" s="7">
        <f ca="1">$AW$11*EXP(-'3.r(t)'!H83*$AW$25)</f>
        <v>0.94249971019149403</v>
      </c>
      <c r="AL85" s="7">
        <f ca="1">$AW$12*EXP(-'3.r(t)'!I83*$AW$26)</f>
        <v>0.97336791402650691</v>
      </c>
      <c r="AM85" s="7">
        <v>1</v>
      </c>
      <c r="AN85" s="7"/>
    </row>
    <row r="86" spans="2:40">
      <c r="B86" s="7">
        <v>78</v>
      </c>
      <c r="C86" s="7">
        <f>$AR$7*EXP(-'3.r(t)'!D84*$AR$21)</f>
        <v>0.97765346695821032</v>
      </c>
      <c r="D86" s="7">
        <v>1</v>
      </c>
      <c r="E86" s="7"/>
      <c r="F86" s="7">
        <v>78</v>
      </c>
      <c r="G86" s="48">
        <f>$AS$7*EXP(-'3.r(t)'!D84*$AS$21)</f>
        <v>0.9553476245219803</v>
      </c>
      <c r="H86" s="7">
        <f ca="1">$AS$8*EXP(-'3.r(t)'!E84*$AS$22)</f>
        <v>0.97487217837803863</v>
      </c>
      <c r="I86" s="7">
        <v>1</v>
      </c>
      <c r="J86" s="7"/>
      <c r="K86" s="7">
        <v>78</v>
      </c>
      <c r="L86" s="7">
        <f>$AT$7*EXP(-'3.r(t)'!D84*$AT$21)</f>
        <v>0.93311670519824419</v>
      </c>
      <c r="M86" s="7">
        <f ca="1">$AT$8*EXP(-'3.r(t)'!E84*$AT$22)</f>
        <v>0.94992812384919967</v>
      </c>
      <c r="N86" s="7">
        <f ca="1">$AT$9*EXP(-'3.r(t)'!F84*$AT$23)</f>
        <v>0.96936477619001815</v>
      </c>
      <c r="O86" s="7">
        <v>1</v>
      </c>
      <c r="P86" s="7"/>
      <c r="Q86" s="7">
        <v>78</v>
      </c>
      <c r="R86" s="7">
        <f>$AU$7*EXP(-'3.r(t)'!D84*$AU$21)</f>
        <v>0.91099305977534117</v>
      </c>
      <c r="S86" s="7">
        <f ca="1">$AU$8*EXP(-'3.r(t)'!E84*$AU$22)</f>
        <v>0.92520020964194938</v>
      </c>
      <c r="T86" s="7">
        <f ca="1">$AU$9*EXP(-'3.r(t)'!F84*$AU$23)</f>
        <v>0.93923380812923141</v>
      </c>
      <c r="U86" s="7">
        <f ca="1">$AU$10*EXP(-'3.r(t)'!G84*$AU$24)</f>
        <v>0.96777594970345271</v>
      </c>
      <c r="V86" s="7">
        <v>1</v>
      </c>
      <c r="W86" s="7"/>
      <c r="X86" s="7">
        <v>78</v>
      </c>
      <c r="Y86" s="7">
        <f>$AV$7*EXP(-'3.r(t)'!D84*$AV$21)</f>
        <v>0.88900715067201674</v>
      </c>
      <c r="Z86" s="7">
        <f ca="1">$AV$8*EXP(-'3.r(t)'!E84*$AV$22)</f>
        <v>0.90071857936334299</v>
      </c>
      <c r="AA86" s="7">
        <f ca="1">$AV$9*EXP(-'3.r(t)'!F84*$AV$23)</f>
        <v>0.90963248313024003</v>
      </c>
      <c r="AB86" s="7">
        <f ca="1">$AV$10*EXP(-'3.r(t)'!G84*$AV$24)</f>
        <v>0.9361657584452262</v>
      </c>
      <c r="AC86" s="7">
        <f ca="1">$AV$11*EXP(-'3.r(t)'!H84*$AV$25)</f>
        <v>0.96763984766340405</v>
      </c>
      <c r="AD86" s="7">
        <v>1</v>
      </c>
      <c r="AE86" s="7"/>
      <c r="AF86" s="7">
        <v>78</v>
      </c>
      <c r="AG86" s="7">
        <f>$AW$7*EXP(-'3.r(t)'!D84*$AW$21)</f>
        <v>0.86718755429225491</v>
      </c>
      <c r="AH86" s="7">
        <f ca="1">$AW$8*EXP(-'3.r(t)'!E84*$AW$22)</f>
        <v>0.87651117214264729</v>
      </c>
      <c r="AI86" s="7">
        <f ca="1">$AW$9*EXP(-'3.r(t)'!F84*$AW$23)</f>
        <v>0.88058337267572595</v>
      </c>
      <c r="AJ86" s="7">
        <f ca="1">$AW$10*EXP(-'3.r(t)'!G84*$AW$24)</f>
        <v>0.905191141739355</v>
      </c>
      <c r="AK86" s="7">
        <f ca="1">$AW$11*EXP(-'3.r(t)'!H84*$AW$25)</f>
        <v>0.93591076997635858</v>
      </c>
      <c r="AL86" s="7">
        <f ca="1">$AW$12*EXP(-'3.r(t)'!I84*$AW$26)</f>
        <v>0.9696754246268311</v>
      </c>
      <c r="AM86" s="7">
        <v>1</v>
      </c>
      <c r="AN86" s="7"/>
    </row>
    <row r="87" spans="2:40">
      <c r="B87" s="7">
        <v>79</v>
      </c>
      <c r="C87" s="7">
        <f>$AR$7*EXP(-'3.r(t)'!D85*$AR$21)</f>
        <v>0.97765346695821032</v>
      </c>
      <c r="D87" s="7">
        <v>1</v>
      </c>
      <c r="E87" s="7"/>
      <c r="F87" s="7">
        <v>79</v>
      </c>
      <c r="G87" s="48">
        <f>$AS$7*EXP(-'3.r(t)'!D85*$AS$21)</f>
        <v>0.9553476245219803</v>
      </c>
      <c r="H87" s="7">
        <f ca="1">$AS$8*EXP(-'3.r(t)'!E85*$AS$22)</f>
        <v>0.97875638660559972</v>
      </c>
      <c r="I87" s="7">
        <v>1</v>
      </c>
      <c r="J87" s="7"/>
      <c r="K87" s="7">
        <v>79</v>
      </c>
      <c r="L87" s="7">
        <f>$AT$7*EXP(-'3.r(t)'!D85*$AT$21)</f>
        <v>0.93311670519824419</v>
      </c>
      <c r="M87" s="7">
        <f ca="1">$AT$8*EXP(-'3.r(t)'!E85*$AT$22)</f>
        <v>0.95751284979901385</v>
      </c>
      <c r="N87" s="7">
        <f ca="1">$AT$9*EXP(-'3.r(t)'!F85*$AT$23)</f>
        <v>0.97838354275515804</v>
      </c>
      <c r="O87" s="7">
        <v>1</v>
      </c>
      <c r="P87" s="7"/>
      <c r="Q87" s="7">
        <v>79</v>
      </c>
      <c r="R87" s="7">
        <f>$AU$7*EXP(-'3.r(t)'!D85*$AU$21)</f>
        <v>0.91099305977534117</v>
      </c>
      <c r="S87" s="7">
        <f ca="1">$AU$8*EXP(-'3.r(t)'!E85*$AU$22)</f>
        <v>0.93630322719258452</v>
      </c>
      <c r="T87" s="7">
        <f ca="1">$AU$9*EXP(-'3.r(t)'!F85*$AU$23)</f>
        <v>0.95679197740553301</v>
      </c>
      <c r="U87" s="7">
        <f ca="1">$AU$10*EXP(-'3.r(t)'!G85*$AU$24)</f>
        <v>0.97858117037174108</v>
      </c>
      <c r="V87" s="7">
        <v>1</v>
      </c>
      <c r="W87" s="7"/>
      <c r="X87" s="7">
        <v>79</v>
      </c>
      <c r="Y87" s="7">
        <f>$AV$7*EXP(-'3.r(t)'!D85*$AV$21)</f>
        <v>0.88900715067201674</v>
      </c>
      <c r="Z87" s="7">
        <f ca="1">$AV$8*EXP(-'3.r(t)'!E85*$AV$22)</f>
        <v>0.91515962467643586</v>
      </c>
      <c r="AA87" s="7">
        <f ca="1">$AV$9*EXP(-'3.r(t)'!F85*$AV$23)</f>
        <v>0.93525851997416021</v>
      </c>
      <c r="AB87" s="7">
        <f ca="1">$AV$10*EXP(-'3.r(t)'!G85*$AV$24)</f>
        <v>0.95718704394084386</v>
      </c>
      <c r="AC87" s="7">
        <f ca="1">$AV$11*EXP(-'3.r(t)'!H85*$AV$25)</f>
        <v>0.97411371787889078</v>
      </c>
      <c r="AD87" s="7">
        <v>1</v>
      </c>
      <c r="AE87" s="7"/>
      <c r="AF87" s="7">
        <v>79</v>
      </c>
      <c r="AG87" s="7">
        <f>$AW$7*EXP(-'3.r(t)'!D85*$AW$21)</f>
        <v>0.86718755429225491</v>
      </c>
      <c r="AH87" s="7">
        <f ca="1">$AW$8*EXP(-'3.r(t)'!E85*$AW$22)</f>
        <v>0.89411240222442978</v>
      </c>
      <c r="AI87" s="7">
        <f ca="1">$AW$9*EXP(-'3.r(t)'!F85*$AW$23)</f>
        <v>0.91381461047559043</v>
      </c>
      <c r="AJ87" s="7">
        <f ca="1">$AW$10*EXP(-'3.r(t)'!G85*$AW$24)</f>
        <v>0.93585030100521294</v>
      </c>
      <c r="AK87" s="7">
        <f ca="1">$AW$11*EXP(-'3.r(t)'!H85*$AW$25)</f>
        <v>0.94847584413318631</v>
      </c>
      <c r="AL87" s="7">
        <f ca="1">$AW$12*EXP(-'3.r(t)'!I85*$AW$26)</f>
        <v>0.97082603548796231</v>
      </c>
      <c r="AM87" s="7">
        <v>1</v>
      </c>
      <c r="AN87" s="7"/>
    </row>
    <row r="88" spans="2:40">
      <c r="B88" s="7">
        <v>80</v>
      </c>
      <c r="C88" s="7">
        <f>$AR$7*EXP(-'3.r(t)'!D86*$AR$21)</f>
        <v>0.97765346695821032</v>
      </c>
      <c r="D88" s="7">
        <v>1</v>
      </c>
      <c r="E88" s="7"/>
      <c r="F88" s="7">
        <v>80</v>
      </c>
      <c r="G88" s="48">
        <f>$AS$7*EXP(-'3.r(t)'!D86*$AS$21)</f>
        <v>0.9553476245219803</v>
      </c>
      <c r="H88" s="7">
        <f ca="1">$AS$8*EXP(-'3.r(t)'!E86*$AS$22)</f>
        <v>0.97517947349141476</v>
      </c>
      <c r="I88" s="7">
        <v>1</v>
      </c>
      <c r="J88" s="7"/>
      <c r="K88" s="7">
        <v>80</v>
      </c>
      <c r="L88" s="7">
        <f>$AT$7*EXP(-'3.r(t)'!D86*$AT$21)</f>
        <v>0.93311670519824419</v>
      </c>
      <c r="M88" s="7">
        <f ca="1">$AT$8*EXP(-'3.r(t)'!E86*$AT$22)</f>
        <v>0.95052708294156518</v>
      </c>
      <c r="N88" s="7">
        <f ca="1">$AT$9*EXP(-'3.r(t)'!F86*$AT$23)</f>
        <v>0.97524075599935234</v>
      </c>
      <c r="O88" s="7">
        <v>1</v>
      </c>
      <c r="P88" s="7"/>
      <c r="Q88" s="7">
        <v>80</v>
      </c>
      <c r="R88" s="7">
        <f>$AU$7*EXP(-'3.r(t)'!D86*$AU$21)</f>
        <v>0.91099305977534117</v>
      </c>
      <c r="S88" s="7">
        <f ca="1">$AU$8*EXP(-'3.r(t)'!E86*$AU$22)</f>
        <v>0.9260753986294572</v>
      </c>
      <c r="T88" s="7">
        <f ca="1">$AU$9*EXP(-'3.r(t)'!F86*$AU$23)</f>
        <v>0.95065499031163281</v>
      </c>
      <c r="U88" s="7">
        <f ca="1">$AU$10*EXP(-'3.r(t)'!G86*$AU$24)</f>
        <v>0.97591576143138825</v>
      </c>
      <c r="V88" s="7">
        <v>1</v>
      </c>
      <c r="W88" s="7"/>
      <c r="X88" s="7">
        <v>80</v>
      </c>
      <c r="Y88" s="7">
        <f>$AV$7*EXP(-'3.r(t)'!D86*$AV$21)</f>
        <v>0.88900715067201674</v>
      </c>
      <c r="Z88" s="7">
        <f ca="1">$AV$8*EXP(-'3.r(t)'!E86*$AV$22)</f>
        <v>0.90185479936341828</v>
      </c>
      <c r="AA88" s="7">
        <f ca="1">$AV$9*EXP(-'3.r(t)'!F86*$AV$23)</f>
        <v>0.92627466142265491</v>
      </c>
      <c r="AB88" s="7">
        <f ca="1">$AV$10*EXP(-'3.r(t)'!G86*$AV$24)</f>
        <v>0.9519798716818918</v>
      </c>
      <c r="AC88" s="7">
        <f ca="1">$AV$11*EXP(-'3.r(t)'!H86*$AV$25)</f>
        <v>0.97875893325387331</v>
      </c>
      <c r="AD88" s="7">
        <v>1</v>
      </c>
      <c r="AE88" s="7"/>
      <c r="AF88" s="7">
        <v>80</v>
      </c>
      <c r="AG88" s="7">
        <f>$AW$7*EXP(-'3.r(t)'!D86*$AW$21)</f>
        <v>0.86718755429225491</v>
      </c>
      <c r="AH88" s="7">
        <f ca="1">$AW$8*EXP(-'3.r(t)'!E86*$AW$22)</f>
        <v>0.87789349417813434</v>
      </c>
      <c r="AI88" s="7">
        <f ca="1">$AW$9*EXP(-'3.r(t)'!F86*$AW$23)</f>
        <v>0.90212955632457381</v>
      </c>
      <c r="AJ88" s="7">
        <f ca="1">$AW$10*EXP(-'3.r(t)'!G86*$AW$24)</f>
        <v>0.92822404836466421</v>
      </c>
      <c r="AK88" s="7">
        <f ca="1">$AW$11*EXP(-'3.r(t)'!H86*$AW$25)</f>
        <v>0.95754332680565257</v>
      </c>
      <c r="AL88" s="7">
        <f ca="1">$AW$12*EXP(-'3.r(t)'!I86*$AW$26)</f>
        <v>0.97698958363226607</v>
      </c>
      <c r="AM88" s="7">
        <v>1</v>
      </c>
      <c r="AN88" s="7"/>
    </row>
    <row r="89" spans="2:40">
      <c r="B89" s="7">
        <v>81</v>
      </c>
      <c r="C89" s="7">
        <f>$AR$7*EXP(-'3.r(t)'!D87*$AR$21)</f>
        <v>0.97765346695821032</v>
      </c>
      <c r="D89" s="7">
        <v>1</v>
      </c>
      <c r="E89" s="7"/>
      <c r="F89" s="7">
        <v>81</v>
      </c>
      <c r="G89" s="48">
        <f>$AS$7*EXP(-'3.r(t)'!D87*$AS$21)</f>
        <v>0.9553476245219803</v>
      </c>
      <c r="H89" s="7">
        <f ca="1">$AS$8*EXP(-'3.r(t)'!E87*$AS$22)</f>
        <v>0.97480224160986884</v>
      </c>
      <c r="I89" s="7">
        <v>1</v>
      </c>
      <c r="J89" s="7"/>
      <c r="K89" s="7">
        <v>81</v>
      </c>
      <c r="L89" s="7">
        <f>$AT$7*EXP(-'3.r(t)'!D87*$AT$21)</f>
        <v>0.93311670519824419</v>
      </c>
      <c r="M89" s="7">
        <f ca="1">$AT$8*EXP(-'3.r(t)'!E87*$AT$22)</f>
        <v>0.94979183414589652</v>
      </c>
      <c r="N89" s="7">
        <f ca="1">$AT$9*EXP(-'3.r(t)'!F87*$AT$23)</f>
        <v>0.97102140767125922</v>
      </c>
      <c r="O89" s="7">
        <v>1</v>
      </c>
      <c r="P89" s="7"/>
      <c r="Q89" s="7">
        <v>81</v>
      </c>
      <c r="R89" s="7">
        <f>$AU$7*EXP(-'3.r(t)'!D87*$AU$21)</f>
        <v>0.91099305977534117</v>
      </c>
      <c r="S89" s="7">
        <f ca="1">$AU$8*EXP(-'3.r(t)'!E87*$AU$22)</f>
        <v>0.92500110393707158</v>
      </c>
      <c r="T89" s="7">
        <f ca="1">$AU$9*EXP(-'3.r(t)'!F87*$AU$23)</f>
        <v>0.94244682740569663</v>
      </c>
      <c r="U89" s="7">
        <f ca="1">$AU$10*EXP(-'3.r(t)'!G87*$AU$24)</f>
        <v>0.97438692039488539</v>
      </c>
      <c r="V89" s="7">
        <v>1</v>
      </c>
      <c r="W89" s="7"/>
      <c r="X89" s="7">
        <v>81</v>
      </c>
      <c r="Y89" s="7">
        <f>$AV$7*EXP(-'3.r(t)'!D87*$AV$21)</f>
        <v>0.88900715067201674</v>
      </c>
      <c r="Z89" s="7">
        <f ca="1">$AV$8*EXP(-'3.r(t)'!E87*$AV$22)</f>
        <v>0.90046013904867284</v>
      </c>
      <c r="AA89" s="7">
        <f ca="1">$AV$9*EXP(-'3.r(t)'!F87*$AV$23)</f>
        <v>0.91430410715094734</v>
      </c>
      <c r="AB89" s="7">
        <f ca="1">$AV$10*EXP(-'3.r(t)'!G87*$AV$24)</f>
        <v>0.94899952043141234</v>
      </c>
      <c r="AC89" s="7">
        <f ca="1">$AV$11*EXP(-'3.r(t)'!H87*$AV$25)</f>
        <v>0.97341936122194084</v>
      </c>
      <c r="AD89" s="7">
        <v>1</v>
      </c>
      <c r="AE89" s="7"/>
      <c r="AF89" s="7">
        <v>81</v>
      </c>
      <c r="AG89" s="7">
        <f>$AW$7*EXP(-'3.r(t)'!D87*$AW$21)</f>
        <v>0.86718755429225491</v>
      </c>
      <c r="AH89" s="7">
        <f ca="1">$AW$8*EXP(-'3.r(t)'!E87*$AW$22)</f>
        <v>0.87619681521806814</v>
      </c>
      <c r="AI89" s="7">
        <f ca="1">$AW$9*EXP(-'3.r(t)'!F87*$AW$23)</f>
        <v>0.88661844242662113</v>
      </c>
      <c r="AJ89" s="7">
        <f ca="1">$AW$10*EXP(-'3.r(t)'!G87*$AW$24)</f>
        <v>0.92386849299308815</v>
      </c>
      <c r="AK89" s="7">
        <f ca="1">$AW$11*EXP(-'3.r(t)'!H87*$AW$25)</f>
        <v>0.94712416253110698</v>
      </c>
      <c r="AL89" s="7">
        <f ca="1">$AW$12*EXP(-'3.r(t)'!I87*$AW$26)</f>
        <v>0.96987509972402786</v>
      </c>
      <c r="AM89" s="7">
        <v>1</v>
      </c>
      <c r="AN89" s="7"/>
    </row>
    <row r="90" spans="2:40">
      <c r="B90" s="7">
        <v>82</v>
      </c>
      <c r="C90" s="7">
        <f>$AR$7*EXP(-'3.r(t)'!D88*$AR$21)</f>
        <v>0.97765346695821032</v>
      </c>
      <c r="D90" s="7">
        <v>1</v>
      </c>
      <c r="E90" s="7"/>
      <c r="F90" s="7">
        <v>82</v>
      </c>
      <c r="G90" s="48">
        <f>$AS$7*EXP(-'3.r(t)'!D88*$AS$21)</f>
        <v>0.9553476245219803</v>
      </c>
      <c r="H90" s="7">
        <f ca="1">$AS$8*EXP(-'3.r(t)'!E88*$AS$22)</f>
        <v>0.97854366266740189</v>
      </c>
      <c r="I90" s="7">
        <v>1</v>
      </c>
      <c r="J90" s="7"/>
      <c r="K90" s="7">
        <v>82</v>
      </c>
      <c r="L90" s="7">
        <f>$AT$7*EXP(-'3.r(t)'!D88*$AT$21)</f>
        <v>0.93311670519824419</v>
      </c>
      <c r="M90" s="7">
        <f ca="1">$AT$8*EXP(-'3.r(t)'!E88*$AT$22)</f>
        <v>0.95709668133785708</v>
      </c>
      <c r="N90" s="7">
        <f ca="1">$AT$9*EXP(-'3.r(t)'!F88*$AT$23)</f>
        <v>0.98035795850029184</v>
      </c>
      <c r="O90" s="7">
        <v>1</v>
      </c>
      <c r="P90" s="7"/>
      <c r="Q90" s="7">
        <v>82</v>
      </c>
      <c r="R90" s="7">
        <f>$AU$7*EXP(-'3.r(t)'!D88*$AU$21)</f>
        <v>0.91099305977534117</v>
      </c>
      <c r="S90" s="7">
        <f ca="1">$AU$8*EXP(-'3.r(t)'!E88*$AU$22)</f>
        <v>0.93569286849560707</v>
      </c>
      <c r="T90" s="7">
        <f ca="1">$AU$9*EXP(-'3.r(t)'!F88*$AU$23)</f>
        <v>0.96065756018756499</v>
      </c>
      <c r="U90" s="7">
        <f ca="1">$AU$10*EXP(-'3.r(t)'!G88*$AU$24)</f>
        <v>0.98064283499168958</v>
      </c>
      <c r="V90" s="7">
        <v>1</v>
      </c>
      <c r="W90" s="7"/>
      <c r="X90" s="7">
        <v>82</v>
      </c>
      <c r="Y90" s="7">
        <f>$AV$7*EXP(-'3.r(t)'!D88*$AV$21)</f>
        <v>0.88900715067201674</v>
      </c>
      <c r="Z90" s="7">
        <f ca="1">$AV$8*EXP(-'3.r(t)'!E88*$AV$22)</f>
        <v>0.91436427701054535</v>
      </c>
      <c r="AA90" s="7">
        <f ca="1">$AV$9*EXP(-'3.r(t)'!F88*$AV$23)</f>
        <v>0.9409321174795594</v>
      </c>
      <c r="AB90" s="7">
        <f ca="1">$AV$10*EXP(-'3.r(t)'!G88*$AV$24)</f>
        <v>0.96122447586954718</v>
      </c>
      <c r="AC90" s="7">
        <f ca="1">$AV$11*EXP(-'3.r(t)'!H88*$AV$25)</f>
        <v>0.98330383358879336</v>
      </c>
      <c r="AD90" s="7">
        <v>1</v>
      </c>
      <c r="AE90" s="7"/>
      <c r="AF90" s="7">
        <v>82</v>
      </c>
      <c r="AG90" s="7">
        <f>$AW$7*EXP(-'3.r(t)'!D88*$AW$21)</f>
        <v>0.86718755429225491</v>
      </c>
      <c r="AH90" s="7">
        <f ca="1">$AW$8*EXP(-'3.r(t)'!E88*$AW$22)</f>
        <v>0.89314118785580165</v>
      </c>
      <c r="AI90" s="7">
        <f ca="1">$AW$9*EXP(-'3.r(t)'!F88*$AW$23)</f>
        <v>0.92121342207248913</v>
      </c>
      <c r="AJ90" s="7">
        <f ca="1">$AW$10*EXP(-'3.r(t)'!G88*$AW$24)</f>
        <v>0.94177769025418157</v>
      </c>
      <c r="AK90" s="7">
        <f ca="1">$AW$11*EXP(-'3.r(t)'!H88*$AW$25)</f>
        <v>0.96645674363734035</v>
      </c>
      <c r="AL90" s="7">
        <f ca="1">$AW$12*EXP(-'3.r(t)'!I88*$AW$26)</f>
        <v>0.98343141313338789</v>
      </c>
      <c r="AM90" s="7">
        <v>1</v>
      </c>
      <c r="AN90" s="7"/>
    </row>
    <row r="91" spans="2:40">
      <c r="B91" s="7">
        <v>83</v>
      </c>
      <c r="C91" s="7">
        <f>$AR$7*EXP(-'3.r(t)'!D89*$AR$21)</f>
        <v>0.97765346695821032</v>
      </c>
      <c r="D91" s="7">
        <v>1</v>
      </c>
      <c r="E91" s="7"/>
      <c r="F91" s="7">
        <v>83</v>
      </c>
      <c r="G91" s="48">
        <f>$AS$7*EXP(-'3.r(t)'!D89*$AS$21)</f>
        <v>0.9553476245219803</v>
      </c>
      <c r="H91" s="7">
        <f ca="1">$AS$8*EXP(-'3.r(t)'!E89*$AS$22)</f>
        <v>0.97019169516209103</v>
      </c>
      <c r="I91" s="7">
        <v>1</v>
      </c>
      <c r="J91" s="7"/>
      <c r="K91" s="7">
        <v>83</v>
      </c>
      <c r="L91" s="7">
        <f>$AT$7*EXP(-'3.r(t)'!D89*$AT$21)</f>
        <v>0.93311670519824419</v>
      </c>
      <c r="M91" s="7">
        <f ca="1">$AT$8*EXP(-'3.r(t)'!E89*$AT$22)</f>
        <v>0.94082857307103029</v>
      </c>
      <c r="N91" s="7">
        <f ca="1">$AT$9*EXP(-'3.r(t)'!F89*$AT$23)</f>
        <v>0.96660969075730374</v>
      </c>
      <c r="O91" s="7">
        <v>1</v>
      </c>
      <c r="P91" s="7"/>
      <c r="Q91" s="7">
        <v>83</v>
      </c>
      <c r="R91" s="7">
        <f>$AU$7*EXP(-'3.r(t)'!D89*$AU$21)</f>
        <v>0.91099305977534117</v>
      </c>
      <c r="S91" s="7">
        <f ca="1">$AU$8*EXP(-'3.r(t)'!E89*$AU$22)</f>
        <v>0.91193808141872801</v>
      </c>
      <c r="T91" s="7">
        <f ca="1">$AU$9*EXP(-'3.r(t)'!F89*$AU$23)</f>
        <v>0.93390249804499581</v>
      </c>
      <c r="U91" s="7">
        <f ca="1">$AU$10*EXP(-'3.r(t)'!G89*$AU$24)</f>
        <v>0.96653491254503432</v>
      </c>
      <c r="V91" s="7">
        <v>1</v>
      </c>
      <c r="W91" s="7"/>
      <c r="X91" s="7">
        <v>83</v>
      </c>
      <c r="Y91" s="7">
        <f>$AV$7*EXP(-'3.r(t)'!D89*$AV$21)</f>
        <v>0.88900715067201674</v>
      </c>
      <c r="Z91" s="7">
        <f ca="1">$AV$8*EXP(-'3.r(t)'!E89*$AV$22)</f>
        <v>0.88354490476112335</v>
      </c>
      <c r="AA91" s="7">
        <f ca="1">$AV$9*EXP(-'3.r(t)'!F89*$AV$23)</f>
        <v>0.90189855496304905</v>
      </c>
      <c r="AB91" s="7">
        <f ca="1">$AV$10*EXP(-'3.r(t)'!G89*$AV$24)</f>
        <v>0.9337662948926726</v>
      </c>
      <c r="AC91" s="7">
        <f ca="1">$AV$11*EXP(-'3.r(t)'!H89*$AV$25)</f>
        <v>0.96438798024562877</v>
      </c>
      <c r="AD91" s="7">
        <v>1</v>
      </c>
      <c r="AE91" s="7"/>
      <c r="AF91" s="7">
        <v>83</v>
      </c>
      <c r="AG91" s="7">
        <f>$AW$7*EXP(-'3.r(t)'!D89*$AW$21)</f>
        <v>0.86718755429225491</v>
      </c>
      <c r="AH91" s="7">
        <f ca="1">$AW$8*EXP(-'3.r(t)'!E89*$AW$22)</f>
        <v>0.85567104865183807</v>
      </c>
      <c r="AI91" s="7">
        <f ca="1">$AW$9*EXP(-'3.r(t)'!F89*$AW$23)</f>
        <v>0.87061495166424852</v>
      </c>
      <c r="AJ91" s="7">
        <f ca="1">$AW$10*EXP(-'3.r(t)'!G89*$AW$24)</f>
        <v>0.90171326273361385</v>
      </c>
      <c r="AK91" s="7">
        <f ca="1">$AW$11*EXP(-'3.r(t)'!H89*$AW$25)</f>
        <v>0.92963086367138326</v>
      </c>
      <c r="AL91" s="7">
        <f ca="1">$AW$12*EXP(-'3.r(t)'!I89*$AW$26)</f>
        <v>0.96090757425882734</v>
      </c>
      <c r="AM91" s="7">
        <v>1</v>
      </c>
      <c r="AN91" s="7"/>
    </row>
    <row r="92" spans="2:40">
      <c r="B92" s="7">
        <v>84</v>
      </c>
      <c r="C92" s="7">
        <f>$AR$7*EXP(-'3.r(t)'!D90*$AR$21)</f>
        <v>0.97765346695821032</v>
      </c>
      <c r="D92" s="7">
        <v>1</v>
      </c>
      <c r="E92" s="7"/>
      <c r="F92" s="7">
        <v>84</v>
      </c>
      <c r="G92" s="48">
        <f>$AS$7*EXP(-'3.r(t)'!D90*$AS$21)</f>
        <v>0.9553476245219803</v>
      </c>
      <c r="H92" s="7">
        <f ca="1">$AS$8*EXP(-'3.r(t)'!E90*$AS$22)</f>
        <v>0.97657608148943698</v>
      </c>
      <c r="I92" s="7">
        <v>1</v>
      </c>
      <c r="J92" s="7"/>
      <c r="K92" s="7">
        <v>84</v>
      </c>
      <c r="L92" s="7">
        <f>$AT$7*EXP(-'3.r(t)'!D90*$AT$21)</f>
        <v>0.93311670519824419</v>
      </c>
      <c r="M92" s="7">
        <f ca="1">$AT$8*EXP(-'3.r(t)'!E90*$AT$22)</f>
        <v>0.95325163645214628</v>
      </c>
      <c r="N92" s="7">
        <f ca="1">$AT$9*EXP(-'3.r(t)'!F90*$AT$23)</f>
        <v>0.97685740535644894</v>
      </c>
      <c r="O92" s="7">
        <v>1</v>
      </c>
      <c r="P92" s="7"/>
      <c r="Q92" s="7">
        <v>84</v>
      </c>
      <c r="R92" s="7">
        <f>$AU$7*EXP(-'3.r(t)'!D90*$AU$21)</f>
        <v>0.91099305977534117</v>
      </c>
      <c r="S92" s="7">
        <f ca="1">$AU$8*EXP(-'3.r(t)'!E90*$AU$22)</f>
        <v>0.93005994975849404</v>
      </c>
      <c r="T92" s="7">
        <f ca="1">$AU$9*EXP(-'3.r(t)'!F90*$AU$23)</f>
        <v>0.95380939009082011</v>
      </c>
      <c r="U92" s="7">
        <f ca="1">$AU$10*EXP(-'3.r(t)'!G90*$AU$24)</f>
        <v>0.9772936287349776</v>
      </c>
      <c r="V92" s="7">
        <v>1</v>
      </c>
      <c r="W92" s="7"/>
      <c r="X92" s="7">
        <v>84</v>
      </c>
      <c r="Y92" s="7">
        <f>$AV$7*EXP(-'3.r(t)'!D90*$AV$21)</f>
        <v>0.88900715067201674</v>
      </c>
      <c r="Z92" s="7">
        <f ca="1">$AV$8*EXP(-'3.r(t)'!E90*$AV$22)</f>
        <v>0.9070322913998301</v>
      </c>
      <c r="AA92" s="7">
        <f ca="1">$AV$9*EXP(-'3.r(t)'!F90*$AV$23)</f>
        <v>0.93088873757411894</v>
      </c>
      <c r="AB92" s="7">
        <f ca="1">$AV$10*EXP(-'3.r(t)'!G90*$AV$24)</f>
        <v>0.95466991516269295</v>
      </c>
      <c r="AC92" s="7">
        <f ca="1">$AV$11*EXP(-'3.r(t)'!H90*$AV$25)</f>
        <v>0.98144633125653391</v>
      </c>
      <c r="AD92" s="7">
        <v>1</v>
      </c>
      <c r="AE92" s="7"/>
      <c r="AF92" s="7">
        <v>84</v>
      </c>
      <c r="AG92" s="7">
        <f>$AW$7*EXP(-'3.r(t)'!D90*$AW$21)</f>
        <v>0.86718755429225491</v>
      </c>
      <c r="AH92" s="7">
        <f ca="1">$AW$8*EXP(-'3.r(t)'!E90*$AW$22)</f>
        <v>0.88419792323396984</v>
      </c>
      <c r="AI92" s="7">
        <f ca="1">$AW$9*EXP(-'3.r(t)'!F90*$AW$23)</f>
        <v>0.90812626063955171</v>
      </c>
      <c r="AJ92" s="7">
        <f ca="1">$AW$10*EXP(-'3.r(t)'!G90*$AW$24)</f>
        <v>0.93216120013733106</v>
      </c>
      <c r="AK92" s="7">
        <f ca="1">$AW$11*EXP(-'3.r(t)'!H90*$AW$25)</f>
        <v>0.96280883747855095</v>
      </c>
      <c r="AL92" s="7">
        <f ca="1">$AW$12*EXP(-'3.r(t)'!I90*$AW$26)</f>
        <v>0.98030183084037492</v>
      </c>
      <c r="AM92" s="7">
        <v>1</v>
      </c>
      <c r="AN92" s="7"/>
    </row>
    <row r="93" spans="2:40">
      <c r="B93" s="7">
        <v>85</v>
      </c>
      <c r="C93" s="7">
        <f>$AR$7*EXP(-'3.r(t)'!D91*$AR$21)</f>
        <v>0.97765346695821032</v>
      </c>
      <c r="D93" s="7">
        <v>1</v>
      </c>
      <c r="E93" s="7"/>
      <c r="F93" s="7">
        <v>85</v>
      </c>
      <c r="G93" s="48">
        <f>$AS$7*EXP(-'3.r(t)'!D91*$AS$21)</f>
        <v>0.9553476245219803</v>
      </c>
      <c r="H93" s="7">
        <f ca="1">$AS$8*EXP(-'3.r(t)'!E91*$AS$22)</f>
        <v>0.9776377980968658</v>
      </c>
      <c r="I93" s="7">
        <v>1</v>
      </c>
      <c r="J93" s="7"/>
      <c r="K93" s="7">
        <v>85</v>
      </c>
      <c r="L93" s="7">
        <f>$AT$7*EXP(-'3.r(t)'!D91*$AT$21)</f>
        <v>0.93311670519824419</v>
      </c>
      <c r="M93" s="7">
        <f ca="1">$AT$8*EXP(-'3.r(t)'!E91*$AT$22)</f>
        <v>0.95532548051259791</v>
      </c>
      <c r="N93" s="7">
        <f ca="1">$AT$9*EXP(-'3.r(t)'!F91*$AT$23)</f>
        <v>0.97378034668738644</v>
      </c>
      <c r="O93" s="7">
        <v>1</v>
      </c>
      <c r="P93" s="7"/>
      <c r="Q93" s="7">
        <v>85</v>
      </c>
      <c r="R93" s="7">
        <f>$AU$7*EXP(-'3.r(t)'!D91*$AU$21)</f>
        <v>0.91099305977534117</v>
      </c>
      <c r="S93" s="7">
        <f ca="1">$AU$8*EXP(-'3.r(t)'!E91*$AU$22)</f>
        <v>0.93309668407505064</v>
      </c>
      <c r="T93" s="7">
        <f ca="1">$AU$9*EXP(-'3.r(t)'!F91*$AU$23)</f>
        <v>0.94780993717386952</v>
      </c>
      <c r="U93" s="7">
        <f ca="1">$AU$10*EXP(-'3.r(t)'!G91*$AU$24)</f>
        <v>0.97168542820312853</v>
      </c>
      <c r="V93" s="7">
        <v>1</v>
      </c>
      <c r="W93" s="7"/>
      <c r="X93" s="7">
        <v>85</v>
      </c>
      <c r="Y93" s="7">
        <f>$AV$7*EXP(-'3.r(t)'!D91*$AV$21)</f>
        <v>0.88900715067201674</v>
      </c>
      <c r="Z93" s="7">
        <f ca="1">$AV$8*EXP(-'3.r(t)'!E91*$AV$22)</f>
        <v>0.91098316776399457</v>
      </c>
      <c r="AA93" s="7">
        <f ca="1">$AV$9*EXP(-'3.r(t)'!F91*$AV$23)</f>
        <v>0.92211963990259216</v>
      </c>
      <c r="AB93" s="7">
        <f ca="1">$AV$10*EXP(-'3.r(t)'!G91*$AV$24)</f>
        <v>0.94374460416489614</v>
      </c>
      <c r="AC93" s="7">
        <f ca="1">$AV$11*EXP(-'3.r(t)'!H91*$AV$25)</f>
        <v>0.96667939477403808</v>
      </c>
      <c r="AD93" s="7">
        <v>1</v>
      </c>
      <c r="AE93" s="7"/>
      <c r="AF93" s="7">
        <v>85</v>
      </c>
      <c r="AG93" s="7">
        <f>$AW$7*EXP(-'3.r(t)'!D91*$AW$21)</f>
        <v>0.86718755429225491</v>
      </c>
      <c r="AH93" s="7">
        <f ca="1">$AW$8*EXP(-'3.r(t)'!E91*$AW$22)</f>
        <v>0.88901480888874873</v>
      </c>
      <c r="AI93" s="7">
        <f ca="1">$AW$9*EXP(-'3.r(t)'!F91*$AW$23)</f>
        <v>0.89673797689437729</v>
      </c>
      <c r="AJ93" s="7">
        <f ca="1">$AW$10*EXP(-'3.r(t)'!G91*$AW$24)</f>
        <v>0.9162054891675071</v>
      </c>
      <c r="AK93" s="7">
        <f ca="1">$AW$11*EXP(-'3.r(t)'!H91*$AW$25)</f>
        <v>0.93405377308959958</v>
      </c>
      <c r="AL93" s="7">
        <f ca="1">$AW$12*EXP(-'3.r(t)'!I91*$AW$26)</f>
        <v>0.96454606918509034</v>
      </c>
      <c r="AM93" s="7">
        <v>1</v>
      </c>
      <c r="AN93" s="7"/>
    </row>
    <row r="94" spans="2:40">
      <c r="B94" s="7">
        <v>86</v>
      </c>
      <c r="C94" s="7">
        <f>$AR$7*EXP(-'3.r(t)'!D92*$AR$21)</f>
        <v>0.97765346695821032</v>
      </c>
      <c r="D94" s="7">
        <v>1</v>
      </c>
      <c r="E94" s="7"/>
      <c r="F94" s="7">
        <v>86</v>
      </c>
      <c r="G94" s="48">
        <f>$AS$7*EXP(-'3.r(t)'!D92*$AS$21)</f>
        <v>0.9553476245219803</v>
      </c>
      <c r="H94" s="7">
        <f ca="1">$AS$8*EXP(-'3.r(t)'!E92*$AS$22)</f>
        <v>0.97554488390687388</v>
      </c>
      <c r="I94" s="7">
        <v>1</v>
      </c>
      <c r="J94" s="7"/>
      <c r="K94" s="7">
        <v>86</v>
      </c>
      <c r="L94" s="7">
        <f>$AT$7*EXP(-'3.r(t)'!D92*$AT$21)</f>
        <v>0.93311670519824419</v>
      </c>
      <c r="M94" s="7">
        <f ca="1">$AT$8*EXP(-'3.r(t)'!E92*$AT$22)</f>
        <v>0.95123956219357764</v>
      </c>
      <c r="N94" s="7">
        <f ca="1">$AT$9*EXP(-'3.r(t)'!F92*$AT$23)</f>
        <v>0.97345747719924147</v>
      </c>
      <c r="O94" s="7">
        <v>1</v>
      </c>
      <c r="P94" s="7"/>
      <c r="Q94" s="7">
        <v>86</v>
      </c>
      <c r="R94" s="7">
        <f>$AU$7*EXP(-'3.r(t)'!D92*$AU$21)</f>
        <v>0.91099305977534117</v>
      </c>
      <c r="S94" s="7">
        <f ca="1">$AU$8*EXP(-'3.r(t)'!E92*$AU$22)</f>
        <v>0.92711682050865141</v>
      </c>
      <c r="T94" s="7">
        <f ca="1">$AU$9*EXP(-'3.r(t)'!F92*$AU$23)</f>
        <v>0.94718152404549172</v>
      </c>
      <c r="U94" s="7">
        <f ca="1">$AU$10*EXP(-'3.r(t)'!G92*$AU$24)</f>
        <v>0.97203048300063999</v>
      </c>
      <c r="V94" s="7">
        <v>1</v>
      </c>
      <c r="W94" s="7"/>
      <c r="X94" s="7">
        <v>86</v>
      </c>
      <c r="Y94" s="7">
        <f>$AV$7*EXP(-'3.r(t)'!D92*$AV$21)</f>
        <v>0.88900715067201674</v>
      </c>
      <c r="Z94" s="7">
        <f ca="1">$AV$8*EXP(-'3.r(t)'!E92*$AV$22)</f>
        <v>0.90320729875264116</v>
      </c>
      <c r="AA94" s="7">
        <f ca="1">$AV$9*EXP(-'3.r(t)'!F92*$AV$23)</f>
        <v>0.92120272185104413</v>
      </c>
      <c r="AB94" s="7">
        <f ca="1">$AV$10*EXP(-'3.r(t)'!G92*$AV$24)</f>
        <v>0.94441498866057672</v>
      </c>
      <c r="AC94" s="7">
        <f ca="1">$AV$11*EXP(-'3.r(t)'!H92*$AV$25)</f>
        <v>0.97360867224906134</v>
      </c>
      <c r="AD94" s="7">
        <v>1</v>
      </c>
      <c r="AE94" s="7"/>
      <c r="AF94" s="7">
        <v>86</v>
      </c>
      <c r="AG94" s="7">
        <f>$AW$7*EXP(-'3.r(t)'!D92*$AW$21)</f>
        <v>0.86718755429225491</v>
      </c>
      <c r="AH94" s="7">
        <f ca="1">$AW$8*EXP(-'3.r(t)'!E92*$AW$22)</f>
        <v>0.87953950874968934</v>
      </c>
      <c r="AI94" s="7">
        <f ca="1">$AW$9*EXP(-'3.r(t)'!F92*$AW$23)</f>
        <v>0.89554926788577838</v>
      </c>
      <c r="AJ94" s="7">
        <f ca="1">$AW$10*EXP(-'3.r(t)'!G92*$AW$24)</f>
        <v>0.91718189583694143</v>
      </c>
      <c r="AK94" s="7">
        <f ca="1">$AW$11*EXP(-'3.r(t)'!H92*$AW$25)</f>
        <v>0.94749259260438556</v>
      </c>
      <c r="AL94" s="7">
        <f ca="1">$AW$12*EXP(-'3.r(t)'!I92*$AW$26)</f>
        <v>0.97684796369816529</v>
      </c>
      <c r="AM94" s="7">
        <v>1</v>
      </c>
      <c r="AN94" s="7"/>
    </row>
    <row r="95" spans="2:40">
      <c r="B95" s="7">
        <v>87</v>
      </c>
      <c r="C95" s="7">
        <f>$AR$7*EXP(-'3.r(t)'!D93*$AR$21)</f>
        <v>0.97765346695821032</v>
      </c>
      <c r="D95" s="7">
        <v>1</v>
      </c>
      <c r="E95" s="7"/>
      <c r="F95" s="7">
        <v>87</v>
      </c>
      <c r="G95" s="48">
        <f>$AS$7*EXP(-'3.r(t)'!D93*$AS$21)</f>
        <v>0.9553476245219803</v>
      </c>
      <c r="H95" s="7">
        <f ca="1">$AS$8*EXP(-'3.r(t)'!E93*$AS$22)</f>
        <v>0.98255642710567481</v>
      </c>
      <c r="I95" s="7">
        <v>1</v>
      </c>
      <c r="J95" s="7"/>
      <c r="K95" s="7">
        <v>87</v>
      </c>
      <c r="L95" s="7">
        <f>$AT$7*EXP(-'3.r(t)'!D93*$AT$21)</f>
        <v>0.93311670519824419</v>
      </c>
      <c r="M95" s="7">
        <f ca="1">$AT$8*EXP(-'3.r(t)'!E93*$AT$22)</f>
        <v>0.96496240742471939</v>
      </c>
      <c r="N95" s="7">
        <f ca="1">$AT$9*EXP(-'3.r(t)'!F93*$AT$23)</f>
        <v>0.98075402897974895</v>
      </c>
      <c r="O95" s="7">
        <v>1</v>
      </c>
      <c r="P95" s="7"/>
      <c r="Q95" s="7">
        <v>87</v>
      </c>
      <c r="R95" s="7">
        <f>$AU$7*EXP(-'3.r(t)'!D93*$AU$21)</f>
        <v>0.91099305977534117</v>
      </c>
      <c r="S95" s="7">
        <f ca="1">$AU$8*EXP(-'3.r(t)'!E93*$AU$22)</f>
        <v>0.94725126924542313</v>
      </c>
      <c r="T95" s="7">
        <f ca="1">$AU$9*EXP(-'3.r(t)'!F93*$AU$23)</f>
        <v>0.9614339397882854</v>
      </c>
      <c r="U95" s="7">
        <f ca="1">$AU$10*EXP(-'3.r(t)'!G93*$AU$24)</f>
        <v>0.97908656977884712</v>
      </c>
      <c r="V95" s="7">
        <v>1</v>
      </c>
      <c r="W95" s="7"/>
      <c r="X95" s="7">
        <v>87</v>
      </c>
      <c r="Y95" s="7">
        <f>$AV$7*EXP(-'3.r(t)'!D93*$AV$21)</f>
        <v>0.88900715067201674</v>
      </c>
      <c r="Z95" s="7">
        <f ca="1">$AV$8*EXP(-'3.r(t)'!E93*$AV$22)</f>
        <v>0.92945510897014061</v>
      </c>
      <c r="AA95" s="7">
        <f ca="1">$AV$9*EXP(-'3.r(t)'!F93*$AV$23)</f>
        <v>0.94207300489233059</v>
      </c>
      <c r="AB95" s="7">
        <f ca="1">$AV$10*EXP(-'3.r(t)'!G93*$AV$24)</f>
        <v>0.95817599958660582</v>
      </c>
      <c r="AC95" s="7">
        <f ca="1">$AV$11*EXP(-'3.r(t)'!H93*$AV$25)</f>
        <v>0.98009647415779011</v>
      </c>
      <c r="AD95" s="7">
        <v>1</v>
      </c>
      <c r="AE95" s="7"/>
      <c r="AF95" s="7">
        <v>87</v>
      </c>
      <c r="AG95" s="7">
        <f>$AW$7*EXP(-'3.r(t)'!D93*$AW$21)</f>
        <v>0.86718755429225491</v>
      </c>
      <c r="AH95" s="7">
        <f ca="1">$AW$8*EXP(-'3.r(t)'!E93*$AW$22)</f>
        <v>0.91160474763821187</v>
      </c>
      <c r="AI95" s="7">
        <f ca="1">$AW$9*EXP(-'3.r(t)'!F93*$AW$23)</f>
        <v>0.92270302741465249</v>
      </c>
      <c r="AJ95" s="7">
        <f ca="1">$AW$10*EXP(-'3.r(t)'!G93*$AW$24)</f>
        <v>0.93730104168558193</v>
      </c>
      <c r="AK95" s="7">
        <f ca="1">$AW$11*EXP(-'3.r(t)'!H93*$AW$25)</f>
        <v>0.96016221168483706</v>
      </c>
      <c r="AL95" s="7">
        <f ca="1">$AW$12*EXP(-'3.r(t)'!I93*$AW$26)</f>
        <v>0.98135943125632275</v>
      </c>
      <c r="AM95" s="7">
        <v>1</v>
      </c>
      <c r="AN95" s="7"/>
    </row>
    <row r="96" spans="2:40">
      <c r="B96" s="7">
        <v>88</v>
      </c>
      <c r="C96" s="7">
        <f>$AR$7*EXP(-'3.r(t)'!D94*$AR$21)</f>
        <v>0.97765346695821032</v>
      </c>
      <c r="D96" s="7">
        <v>1</v>
      </c>
      <c r="E96" s="7"/>
      <c r="F96" s="7">
        <v>88</v>
      </c>
      <c r="G96" s="48">
        <f>$AS$7*EXP(-'3.r(t)'!D94*$AS$21)</f>
        <v>0.9553476245219803</v>
      </c>
      <c r="H96" s="7">
        <f ca="1">$AS$8*EXP(-'3.r(t)'!E94*$AS$22)</f>
        <v>0.97760569300132971</v>
      </c>
      <c r="I96" s="7">
        <v>1</v>
      </c>
      <c r="J96" s="7"/>
      <c r="K96" s="7">
        <v>88</v>
      </c>
      <c r="L96" s="7">
        <f>$AT$7*EXP(-'3.r(t)'!D94*$AT$21)</f>
        <v>0.93311670519824419</v>
      </c>
      <c r="M96" s="7">
        <f ca="1">$AT$8*EXP(-'3.r(t)'!E94*$AT$22)</f>
        <v>0.95526273680061558</v>
      </c>
      <c r="N96" s="7">
        <f ca="1">$AT$9*EXP(-'3.r(t)'!F94*$AT$23)</f>
        <v>0.97584367929751448</v>
      </c>
      <c r="O96" s="7">
        <v>1</v>
      </c>
      <c r="P96" s="7"/>
      <c r="Q96" s="7">
        <v>88</v>
      </c>
      <c r="R96" s="7">
        <f>$AU$7*EXP(-'3.r(t)'!D94*$AU$21)</f>
        <v>0.91099305977534117</v>
      </c>
      <c r="S96" s="7">
        <f ca="1">$AU$8*EXP(-'3.r(t)'!E94*$AU$22)</f>
        <v>0.93300475992539478</v>
      </c>
      <c r="T96" s="7">
        <f ca="1">$AU$9*EXP(-'3.r(t)'!F94*$AU$23)</f>
        <v>0.9518308009302564</v>
      </c>
      <c r="U96" s="7">
        <f ca="1">$AU$10*EXP(-'3.r(t)'!G94*$AU$24)</f>
        <v>0.97510821011396975</v>
      </c>
      <c r="V96" s="7">
        <v>1</v>
      </c>
      <c r="W96" s="7"/>
      <c r="X96" s="7">
        <v>88</v>
      </c>
      <c r="Y96" s="7">
        <f>$AV$7*EXP(-'3.r(t)'!D94*$AV$21)</f>
        <v>0.88900715067201674</v>
      </c>
      <c r="Z96" s="7">
        <f ca="1">$AV$8*EXP(-'3.r(t)'!E94*$AV$22)</f>
        <v>0.91086350888407874</v>
      </c>
      <c r="AA96" s="7">
        <f ca="1">$AV$9*EXP(-'3.r(t)'!F94*$AV$23)</f>
        <v>0.92799367666950372</v>
      </c>
      <c r="AB96" s="7">
        <f ca="1">$AV$10*EXP(-'3.r(t)'!G94*$AV$24)</f>
        <v>0.95040503385733133</v>
      </c>
      <c r="AC96" s="7">
        <f ca="1">$AV$11*EXP(-'3.r(t)'!H94*$AV$25)</f>
        <v>0.97491517921017146</v>
      </c>
      <c r="AD96" s="7">
        <v>1</v>
      </c>
      <c r="AE96" s="7"/>
      <c r="AF96" s="7">
        <v>88</v>
      </c>
      <c r="AG96" s="7">
        <f>$AW$7*EXP(-'3.r(t)'!D94*$AW$21)</f>
        <v>0.86718755429225491</v>
      </c>
      <c r="AH96" s="7">
        <f ca="1">$AW$8*EXP(-'3.r(t)'!E94*$AW$22)</f>
        <v>0.8888688446528733</v>
      </c>
      <c r="AI96" s="7">
        <f ca="1">$AW$9*EXP(-'3.r(t)'!F94*$AW$23)</f>
        <v>0.90436252097048797</v>
      </c>
      <c r="AJ96" s="7">
        <f ca="1">$AW$10*EXP(-'3.r(t)'!G94*$AW$24)</f>
        <v>0.92592169251434375</v>
      </c>
      <c r="AK96" s="7">
        <f ca="1">$AW$11*EXP(-'3.r(t)'!H94*$AW$25)</f>
        <v>0.95003722124135548</v>
      </c>
      <c r="AL96" s="7">
        <f ca="1">$AW$12*EXP(-'3.r(t)'!I94*$AW$26)</f>
        <v>0.97442253826503233</v>
      </c>
      <c r="AM96" s="7">
        <v>1</v>
      </c>
      <c r="AN96" s="7"/>
    </row>
    <row r="97" spans="2:40">
      <c r="B97" s="7">
        <v>89</v>
      </c>
      <c r="C97" s="7">
        <f>$AR$7*EXP(-'3.r(t)'!D95*$AR$21)</f>
        <v>0.97765346695821032</v>
      </c>
      <c r="D97" s="7">
        <v>1</v>
      </c>
      <c r="E97" s="7"/>
      <c r="F97" s="7">
        <v>89</v>
      </c>
      <c r="G97" s="48">
        <f>$AS$7*EXP(-'3.r(t)'!D95*$AS$21)</f>
        <v>0.9553476245219803</v>
      </c>
      <c r="H97" s="7">
        <f ca="1">$AS$8*EXP(-'3.r(t)'!E95*$AS$22)</f>
        <v>0.97413061411500701</v>
      </c>
      <c r="I97" s="7">
        <v>1</v>
      </c>
      <c r="J97" s="7"/>
      <c r="K97" s="7">
        <v>89</v>
      </c>
      <c r="L97" s="7">
        <f>$AT$7*EXP(-'3.r(t)'!D95*$AT$21)</f>
        <v>0.93311670519824419</v>
      </c>
      <c r="M97" s="7">
        <f ca="1">$AT$8*EXP(-'3.r(t)'!E95*$AT$22)</f>
        <v>0.94848349379142305</v>
      </c>
      <c r="N97" s="7">
        <f ca="1">$AT$9*EXP(-'3.r(t)'!F95*$AT$23)</f>
        <v>0.96842687584873255</v>
      </c>
      <c r="O97" s="7">
        <v>1</v>
      </c>
      <c r="P97" s="7"/>
      <c r="Q97" s="7">
        <v>89</v>
      </c>
      <c r="R97" s="7">
        <f>$AU$7*EXP(-'3.r(t)'!D95*$AU$21)</f>
        <v>0.91099305977534117</v>
      </c>
      <c r="S97" s="7">
        <f ca="1">$AU$8*EXP(-'3.r(t)'!E95*$AU$22)</f>
        <v>0.92309047568556135</v>
      </c>
      <c r="T97" s="7">
        <f ca="1">$AU$9*EXP(-'3.r(t)'!F95*$AU$23)</f>
        <v>0.93741719260208378</v>
      </c>
      <c r="U97" s="7">
        <f ca="1">$AU$10*EXP(-'3.r(t)'!G95*$AU$24)</f>
        <v>0.96611026024072932</v>
      </c>
      <c r="V97" s="7">
        <v>1</v>
      </c>
      <c r="W97" s="7"/>
      <c r="X97" s="7">
        <v>89</v>
      </c>
      <c r="Y97" s="7">
        <f>$AV$7*EXP(-'3.r(t)'!D95*$AV$21)</f>
        <v>0.88900715067201674</v>
      </c>
      <c r="Z97" s="7">
        <f ca="1">$AV$8*EXP(-'3.r(t)'!E95*$AV$22)</f>
        <v>0.89798107601240429</v>
      </c>
      <c r="AA97" s="7">
        <f ca="1">$AV$9*EXP(-'3.r(t)'!F95*$AV$23)</f>
        <v>0.90699471626174011</v>
      </c>
      <c r="AB97" s="7">
        <f ca="1">$AV$10*EXP(-'3.r(t)'!G95*$AV$24)</f>
        <v>0.93294596466818236</v>
      </c>
      <c r="AC97" s="7">
        <f ca="1">$AV$11*EXP(-'3.r(t)'!H95*$AV$25)</f>
        <v>0.96562762904434785</v>
      </c>
      <c r="AD97" s="7">
        <v>1</v>
      </c>
      <c r="AE97" s="7"/>
      <c r="AF97" s="7">
        <v>89</v>
      </c>
      <c r="AG97" s="7">
        <f>$AW$7*EXP(-'3.r(t)'!D95*$AW$21)</f>
        <v>0.86718755429225491</v>
      </c>
      <c r="AH97" s="7">
        <f ca="1">$AW$8*EXP(-'3.r(t)'!E95*$AW$22)</f>
        <v>0.87318252423413634</v>
      </c>
      <c r="AI97" s="7">
        <f ca="1">$AW$9*EXP(-'3.r(t)'!F95*$AW$23)</f>
        <v>0.87718031285181663</v>
      </c>
      <c r="AJ97" s="7">
        <f ca="1">$AW$10*EXP(-'3.r(t)'!G95*$AW$24)</f>
        <v>0.90052526714570347</v>
      </c>
      <c r="AK97" s="7">
        <f ca="1">$AW$11*EXP(-'3.r(t)'!H95*$AW$25)</f>
        <v>0.93202234195456235</v>
      </c>
      <c r="AL97" s="7">
        <f ca="1">$AW$12*EXP(-'3.r(t)'!I95*$AW$26)</f>
        <v>0.9602673346431766</v>
      </c>
      <c r="AM97" s="7">
        <v>1</v>
      </c>
      <c r="AN97" s="7"/>
    </row>
    <row r="98" spans="2:40">
      <c r="B98" s="7">
        <v>90</v>
      </c>
      <c r="C98" s="7">
        <f>$AR$7*EXP(-'3.r(t)'!D96*$AR$21)</f>
        <v>0.97765346695821032</v>
      </c>
      <c r="D98" s="7">
        <v>1</v>
      </c>
      <c r="E98" s="7"/>
      <c r="F98" s="7">
        <v>90</v>
      </c>
      <c r="G98" s="48">
        <f>$AS$7*EXP(-'3.r(t)'!D96*$AS$21)</f>
        <v>0.9553476245219803</v>
      </c>
      <c r="H98" s="7">
        <f ca="1">$AS$8*EXP(-'3.r(t)'!E96*$AS$22)</f>
        <v>0.9715831941612284</v>
      </c>
      <c r="I98" s="7">
        <v>1</v>
      </c>
      <c r="J98" s="7"/>
      <c r="K98" s="7">
        <v>90</v>
      </c>
      <c r="L98" s="7">
        <f>$AT$7*EXP(-'3.r(t)'!D96*$AT$21)</f>
        <v>0.93311670519824419</v>
      </c>
      <c r="M98" s="7">
        <f ca="1">$AT$8*EXP(-'3.r(t)'!E96*$AT$22)</f>
        <v>0.9435292782165926</v>
      </c>
      <c r="N98" s="7">
        <f ca="1">$AT$9*EXP(-'3.r(t)'!F96*$AT$23)</f>
        <v>0.96925095067998923</v>
      </c>
      <c r="O98" s="7">
        <v>1</v>
      </c>
      <c r="P98" s="7"/>
      <c r="Q98" s="7">
        <v>90</v>
      </c>
      <c r="R98" s="7">
        <f>$AU$7*EXP(-'3.r(t)'!D96*$AU$21)</f>
        <v>0.91099305977534117</v>
      </c>
      <c r="S98" s="7">
        <f ca="1">$AU$8*EXP(-'3.r(t)'!E96*$AU$22)</f>
        <v>0.91586755787149909</v>
      </c>
      <c r="T98" s="7">
        <f ca="1">$AU$9*EXP(-'3.r(t)'!F96*$AU$23)</f>
        <v>0.93901324618369753</v>
      </c>
      <c r="U98" s="7">
        <f ca="1">$AU$10*EXP(-'3.r(t)'!G96*$AU$24)</f>
        <v>0.97050405942157059</v>
      </c>
      <c r="V98" s="7">
        <v>1</v>
      </c>
      <c r="W98" s="7"/>
      <c r="X98" s="7">
        <v>90</v>
      </c>
      <c r="Y98" s="7">
        <f>$AV$7*EXP(-'3.r(t)'!D96*$AV$21)</f>
        <v>0.88900715067201674</v>
      </c>
      <c r="Z98" s="7">
        <f ca="1">$AV$8*EXP(-'3.r(t)'!E96*$AV$22)</f>
        <v>0.88862472311759055</v>
      </c>
      <c r="AA98" s="7">
        <f ca="1">$AV$9*EXP(-'3.r(t)'!F96*$AV$23)</f>
        <v>0.90931208602132629</v>
      </c>
      <c r="AB98" s="7">
        <f ca="1">$AV$10*EXP(-'3.r(t)'!G96*$AV$24)</f>
        <v>0.94145120214322653</v>
      </c>
      <c r="AC98" s="7">
        <f ca="1">$AV$11*EXP(-'3.r(t)'!H96*$AV$25)</f>
        <v>0.967291023988326</v>
      </c>
      <c r="AD98" s="7">
        <v>1</v>
      </c>
      <c r="AE98" s="7"/>
      <c r="AF98" s="7">
        <v>90</v>
      </c>
      <c r="AG98" s="7">
        <f>$AW$7*EXP(-'3.r(t)'!D96*$AW$21)</f>
        <v>0.86718755429225491</v>
      </c>
      <c r="AH98" s="7">
        <f ca="1">$AW$8*EXP(-'3.r(t)'!E96*$AW$22)</f>
        <v>0.86182491362199187</v>
      </c>
      <c r="AI98" s="7">
        <f ca="1">$AW$9*EXP(-'3.r(t)'!F96*$AW$23)</f>
        <v>0.880169843317405</v>
      </c>
      <c r="AJ98" s="7">
        <f ca="1">$AW$10*EXP(-'3.r(t)'!G96*$AW$24)</f>
        <v>0.91286780049383165</v>
      </c>
      <c r="AK98" s="7">
        <f ca="1">$AW$11*EXP(-'3.r(t)'!H96*$AW$25)</f>
        <v>0.93523612022715918</v>
      </c>
      <c r="AL98" s="7">
        <f ca="1">$AW$12*EXP(-'3.r(t)'!I96*$AW$26)</f>
        <v>0.97132144370679419</v>
      </c>
      <c r="AM98" s="7">
        <v>1</v>
      </c>
      <c r="AN98" s="7"/>
    </row>
    <row r="99" spans="2:40">
      <c r="B99" s="7">
        <v>91</v>
      </c>
      <c r="C99" s="7">
        <f>$AR$7*EXP(-'3.r(t)'!D97*$AR$21)</f>
        <v>0.97765346695821032</v>
      </c>
      <c r="D99" s="7">
        <v>1</v>
      </c>
      <c r="E99" s="7"/>
      <c r="F99" s="7">
        <v>91</v>
      </c>
      <c r="G99" s="48">
        <f>$AS$7*EXP(-'3.r(t)'!D97*$AS$21)</f>
        <v>0.9553476245219803</v>
      </c>
      <c r="H99" s="7">
        <f ca="1">$AS$8*EXP(-'3.r(t)'!E97*$AS$22)</f>
        <v>0.97740299128768071</v>
      </c>
      <c r="I99" s="7">
        <v>1</v>
      </c>
      <c r="J99" s="7"/>
      <c r="K99" s="7">
        <v>91</v>
      </c>
      <c r="L99" s="7">
        <f>$AT$7*EXP(-'3.r(t)'!D97*$AT$21)</f>
        <v>0.93311670519824419</v>
      </c>
      <c r="M99" s="7">
        <f ca="1">$AT$8*EXP(-'3.r(t)'!E97*$AT$22)</f>
        <v>0.95486663984525511</v>
      </c>
      <c r="N99" s="7">
        <f ca="1">$AT$9*EXP(-'3.r(t)'!F97*$AT$23)</f>
        <v>0.97827144664144805</v>
      </c>
      <c r="O99" s="7">
        <v>1</v>
      </c>
      <c r="P99" s="7"/>
      <c r="Q99" s="7">
        <v>91</v>
      </c>
      <c r="R99" s="7">
        <f>$AU$7*EXP(-'3.r(t)'!D97*$AU$21)</f>
        <v>0.91099305977534117</v>
      </c>
      <c r="S99" s="7">
        <f ca="1">$AU$8*EXP(-'3.r(t)'!E97*$AU$22)</f>
        <v>0.93242451846106955</v>
      </c>
      <c r="T99" s="7">
        <f ca="1">$AU$9*EXP(-'3.r(t)'!F97*$AU$23)</f>
        <v>0.95657274534879444</v>
      </c>
      <c r="U99" s="7">
        <f ca="1">$AU$10*EXP(-'3.r(t)'!G97*$AU$24)</f>
        <v>0.97856436381444067</v>
      </c>
      <c r="V99" s="7">
        <v>1</v>
      </c>
      <c r="W99" s="7"/>
      <c r="X99" s="7">
        <v>91</v>
      </c>
      <c r="Y99" s="7">
        <f>$AV$7*EXP(-'3.r(t)'!D97*$AV$21)</f>
        <v>0.88900715067201674</v>
      </c>
      <c r="Z99" s="7">
        <f ca="1">$AV$8*EXP(-'3.r(t)'!E97*$AV$22)</f>
        <v>0.91010829160531836</v>
      </c>
      <c r="AA99" s="7">
        <f ca="1">$AV$9*EXP(-'3.r(t)'!F97*$AV$23)</f>
        <v>0.93493709132290836</v>
      </c>
      <c r="AB99" s="7">
        <f ca="1">$AV$10*EXP(-'3.r(t)'!G97*$AV$24)</f>
        <v>0.9571541659717071</v>
      </c>
      <c r="AC99" s="7">
        <f ca="1">$AV$11*EXP(-'3.r(t)'!H97*$AV$25)</f>
        <v>0.97785659476500708</v>
      </c>
      <c r="AD99" s="7">
        <v>1</v>
      </c>
      <c r="AE99" s="7"/>
      <c r="AF99" s="7">
        <v>91</v>
      </c>
      <c r="AG99" s="7">
        <f>$AW$7*EXP(-'3.r(t)'!D97*$AW$21)</f>
        <v>0.86718755429225491</v>
      </c>
      <c r="AH99" s="7">
        <f ca="1">$AW$8*EXP(-'3.r(t)'!E97*$AW$22)</f>
        <v>0.88794771388456739</v>
      </c>
      <c r="AI99" s="7">
        <f ca="1">$AW$9*EXP(-'3.r(t)'!F97*$AW$23)</f>
        <v>0.91339588935467797</v>
      </c>
      <c r="AJ99" s="7">
        <f ca="1">$AW$10*EXP(-'3.r(t)'!G97*$AW$24)</f>
        <v>0.93580208379423513</v>
      </c>
      <c r="AK99" s="7">
        <f ca="1">$AW$11*EXP(-'3.r(t)'!H97*$AW$25)</f>
        <v>0.95577858191027909</v>
      </c>
      <c r="AL99" s="7">
        <f ca="1">$AW$12*EXP(-'3.r(t)'!I97*$AW$26)</f>
        <v>0.97923845119527297</v>
      </c>
      <c r="AM99" s="7">
        <v>1</v>
      </c>
      <c r="AN99" s="7"/>
    </row>
    <row r="100" spans="2:40">
      <c r="B100" s="7">
        <v>92</v>
      </c>
      <c r="C100" s="7">
        <f>$AR$7*EXP(-'3.r(t)'!D98*$AR$21)</f>
        <v>0.97765346695821032</v>
      </c>
      <c r="D100" s="7">
        <v>1</v>
      </c>
      <c r="E100" s="7"/>
      <c r="F100" s="7">
        <v>92</v>
      </c>
      <c r="G100" s="48">
        <f>$AS$7*EXP(-'3.r(t)'!D98*$AS$21)</f>
        <v>0.9553476245219803</v>
      </c>
      <c r="H100" s="7">
        <f ca="1">$AS$8*EXP(-'3.r(t)'!E98*$AS$22)</f>
        <v>0.97989726555944157</v>
      </c>
      <c r="I100" s="7">
        <v>1</v>
      </c>
      <c r="J100" s="7"/>
      <c r="K100" s="7">
        <v>92</v>
      </c>
      <c r="L100" s="7">
        <f>$AT$7*EXP(-'3.r(t)'!D98*$AT$21)</f>
        <v>0.93311670519824419</v>
      </c>
      <c r="M100" s="7">
        <f ca="1">$AT$8*EXP(-'3.r(t)'!E98*$AT$22)</f>
        <v>0.95974638400691559</v>
      </c>
      <c r="N100" s="7">
        <f ca="1">$AT$9*EXP(-'3.r(t)'!F98*$AT$23)</f>
        <v>0.98171635640422694</v>
      </c>
      <c r="O100" s="7">
        <v>1</v>
      </c>
      <c r="P100" s="7"/>
      <c r="Q100" s="7">
        <v>92</v>
      </c>
      <c r="R100" s="7">
        <f>$AU$7*EXP(-'3.r(t)'!D98*$AU$21)</f>
        <v>0.91099305977534117</v>
      </c>
      <c r="S100" s="7">
        <f ca="1">$AU$8*EXP(-'3.r(t)'!E98*$AU$22)</f>
        <v>0.93958122657924292</v>
      </c>
      <c r="T100" s="7">
        <f ca="1">$AU$9*EXP(-'3.r(t)'!F98*$AU$23)</f>
        <v>0.96332160608441619</v>
      </c>
      <c r="U100" s="7">
        <f ca="1">$AU$10*EXP(-'3.r(t)'!G98*$AU$24)</f>
        <v>0.97798132152771988</v>
      </c>
      <c r="V100" s="7">
        <v>1</v>
      </c>
      <c r="W100" s="7"/>
      <c r="X100" s="7">
        <v>92</v>
      </c>
      <c r="Y100" s="7">
        <f>$AV$7*EXP(-'3.r(t)'!D98*$AV$21)</f>
        <v>0.88900715067201674</v>
      </c>
      <c r="Z100" s="7">
        <f ca="1">$AV$8*EXP(-'3.r(t)'!E98*$AV$22)</f>
        <v>0.91943408289280337</v>
      </c>
      <c r="AA100" s="7">
        <f ca="1">$AV$9*EXP(-'3.r(t)'!F98*$AV$23)</f>
        <v>0.94484884624162757</v>
      </c>
      <c r="AB100" s="7">
        <f ca="1">$AV$10*EXP(-'3.r(t)'!G98*$AV$24)</f>
        <v>0.95601393417104863</v>
      </c>
      <c r="AC100" s="7">
        <f ca="1">$AV$11*EXP(-'3.r(t)'!H98*$AV$25)</f>
        <v>0.97736130111020303</v>
      </c>
      <c r="AD100" s="7">
        <v>1</v>
      </c>
      <c r="AE100" s="7"/>
      <c r="AF100" s="7">
        <v>92</v>
      </c>
      <c r="AG100" s="7">
        <f>$AW$7*EXP(-'3.r(t)'!D98*$AW$21)</f>
        <v>0.86718755429225491</v>
      </c>
      <c r="AH100" s="7">
        <f ca="1">$AW$8*EXP(-'3.r(t)'!E98*$AW$22)</f>
        <v>0.89933563698777064</v>
      </c>
      <c r="AI100" s="7">
        <f ca="1">$AW$9*EXP(-'3.r(t)'!F98*$AW$23)</f>
        <v>0.92632982943078979</v>
      </c>
      <c r="AJ100" s="7">
        <f ca="1">$AW$10*EXP(-'3.r(t)'!G98*$AW$24)</f>
        <v>0.93413038843652074</v>
      </c>
      <c r="AK100" s="7">
        <f ca="1">$AW$11*EXP(-'3.r(t)'!H98*$AW$25)</f>
        <v>0.95481060525395711</v>
      </c>
      <c r="AL100" s="7">
        <f ca="1">$AW$12*EXP(-'3.r(t)'!I98*$AW$26)</f>
        <v>0.97849698525703344</v>
      </c>
      <c r="AM100" s="7">
        <v>1</v>
      </c>
      <c r="AN100" s="7"/>
    </row>
    <row r="101" spans="2:40">
      <c r="B101" s="7">
        <v>93</v>
      </c>
      <c r="C101" s="7">
        <f>$AR$7*EXP(-'3.r(t)'!D99*$AR$21)</f>
        <v>0.97765346695821032</v>
      </c>
      <c r="D101" s="7">
        <v>1</v>
      </c>
      <c r="E101" s="7"/>
      <c r="F101" s="7">
        <v>93</v>
      </c>
      <c r="G101" s="48">
        <f>$AS$7*EXP(-'3.r(t)'!D99*$AS$21)</f>
        <v>0.9553476245219803</v>
      </c>
      <c r="H101" s="7">
        <f ca="1">$AS$8*EXP(-'3.r(t)'!E99*$AS$22)</f>
        <v>0.97831737802641716</v>
      </c>
      <c r="I101" s="7">
        <v>1</v>
      </c>
      <c r="J101" s="7"/>
      <c r="K101" s="7">
        <v>93</v>
      </c>
      <c r="L101" s="7">
        <f>$AT$7*EXP(-'3.r(t)'!D99*$AT$21)</f>
        <v>0.93311670519824419</v>
      </c>
      <c r="M101" s="7">
        <f ca="1">$AT$8*EXP(-'3.r(t)'!E99*$AT$22)</f>
        <v>0.95665408230840177</v>
      </c>
      <c r="N101" s="7">
        <f ca="1">$AT$9*EXP(-'3.r(t)'!F99*$AT$23)</f>
        <v>0.97887309053506411</v>
      </c>
      <c r="O101" s="7">
        <v>1</v>
      </c>
      <c r="P101" s="7"/>
      <c r="Q101" s="7">
        <v>93</v>
      </c>
      <c r="R101" s="7">
        <f>$AU$7*EXP(-'3.r(t)'!D99*$AU$21)</f>
        <v>0.91099305977534117</v>
      </c>
      <c r="S101" s="7">
        <f ca="1">$AU$8*EXP(-'3.r(t)'!E99*$AU$22)</f>
        <v>0.93504389193726178</v>
      </c>
      <c r="T101" s="7">
        <f ca="1">$AU$9*EXP(-'3.r(t)'!F99*$AU$23)</f>
        <v>0.95774970523304137</v>
      </c>
      <c r="U101" s="7">
        <f ca="1">$AU$10*EXP(-'3.r(t)'!G99*$AU$24)</f>
        <v>0.98127445877158648</v>
      </c>
      <c r="V101" s="7">
        <v>1</v>
      </c>
      <c r="W101" s="7"/>
      <c r="X101" s="7">
        <v>93</v>
      </c>
      <c r="Y101" s="7">
        <f>$AV$7*EXP(-'3.r(t)'!D99*$AV$21)</f>
        <v>0.88900715067201674</v>
      </c>
      <c r="Z101" s="7">
        <f ca="1">$AV$8*EXP(-'3.r(t)'!E99*$AV$22)</f>
        <v>0.91351879676671455</v>
      </c>
      <c r="AA101" s="7">
        <f ca="1">$AV$9*EXP(-'3.r(t)'!F99*$AV$23)</f>
        <v>0.93666313128583123</v>
      </c>
      <c r="AB101" s="7">
        <f ca="1">$AV$10*EXP(-'3.r(t)'!G99*$AV$24)</f>
        <v>0.96246310779441113</v>
      </c>
      <c r="AC101" s="7">
        <f ca="1">$AV$11*EXP(-'3.r(t)'!H99*$AV$25)</f>
        <v>0.9792469451164022</v>
      </c>
      <c r="AD101" s="7">
        <v>1</v>
      </c>
      <c r="AE101" s="7"/>
      <c r="AF101" s="7">
        <v>93</v>
      </c>
      <c r="AG101" s="7">
        <f>$AW$7*EXP(-'3.r(t)'!D99*$AW$21)</f>
        <v>0.86718755429225491</v>
      </c>
      <c r="AH101" s="7">
        <f ca="1">$AW$8*EXP(-'3.r(t)'!E99*$AW$22)</f>
        <v>0.89210898719537313</v>
      </c>
      <c r="AI101" s="7">
        <f ca="1">$AW$9*EXP(-'3.r(t)'!F99*$AW$23)</f>
        <v>0.91564494292646748</v>
      </c>
      <c r="AJ101" s="7">
        <f ca="1">$AW$10*EXP(-'3.r(t)'!G99*$AW$24)</f>
        <v>0.94359863581020842</v>
      </c>
      <c r="AK101" s="7">
        <f ca="1">$AW$11*EXP(-'3.r(t)'!H99*$AW$25)</f>
        <v>0.95849843226245413</v>
      </c>
      <c r="AL101" s="7">
        <f ca="1">$AW$12*EXP(-'3.r(t)'!I99*$AW$26)</f>
        <v>0.98048726288508037</v>
      </c>
      <c r="AM101" s="7">
        <v>1</v>
      </c>
      <c r="AN101" s="7"/>
    </row>
    <row r="102" spans="2:40">
      <c r="B102" s="7">
        <v>94</v>
      </c>
      <c r="C102" s="7">
        <f>$AR$7*EXP(-'3.r(t)'!D100*$AR$21)</f>
        <v>0.97765346695821032</v>
      </c>
      <c r="D102" s="7">
        <v>1</v>
      </c>
      <c r="E102" s="7"/>
      <c r="F102" s="7">
        <v>94</v>
      </c>
      <c r="G102" s="48">
        <f>$AS$7*EXP(-'3.r(t)'!D100*$AS$21)</f>
        <v>0.9553476245219803</v>
      </c>
      <c r="H102" s="7">
        <f ca="1">$AS$8*EXP(-'3.r(t)'!E100*$AS$22)</f>
        <v>0.97603941235964287</v>
      </c>
      <c r="I102" s="7">
        <v>1</v>
      </c>
      <c r="J102" s="7"/>
      <c r="K102" s="7">
        <v>94</v>
      </c>
      <c r="L102" s="7">
        <f>$AT$7*EXP(-'3.r(t)'!D100*$AT$21)</f>
        <v>0.93311670519824419</v>
      </c>
      <c r="M102" s="7">
        <f ca="1">$AT$8*EXP(-'3.r(t)'!E100*$AT$22)</f>
        <v>0.95220422157383411</v>
      </c>
      <c r="N102" s="7">
        <f ca="1">$AT$9*EXP(-'3.r(t)'!F100*$AT$23)</f>
        <v>0.9772174561405953</v>
      </c>
      <c r="O102" s="7">
        <v>1</v>
      </c>
      <c r="P102" s="7"/>
      <c r="Q102" s="7">
        <v>94</v>
      </c>
      <c r="R102" s="7">
        <f>$AU$7*EXP(-'3.r(t)'!D100*$AU$21)</f>
        <v>0.91099305977534117</v>
      </c>
      <c r="S102" s="7">
        <f ca="1">$AU$8*EXP(-'3.r(t)'!E100*$AU$22)</f>
        <v>0.92852747247852774</v>
      </c>
      <c r="T102" s="7">
        <f ca="1">$AU$9*EXP(-'3.r(t)'!F100*$AU$23)</f>
        <v>0.95451263112866891</v>
      </c>
      <c r="U102" s="7">
        <f ca="1">$AU$10*EXP(-'3.r(t)'!G100*$AU$24)</f>
        <v>0.97554810728697428</v>
      </c>
      <c r="V102" s="7">
        <v>1</v>
      </c>
      <c r="W102" s="7"/>
      <c r="X102" s="7">
        <v>94</v>
      </c>
      <c r="Y102" s="7">
        <f>$AV$7*EXP(-'3.r(t)'!D100*$AV$21)</f>
        <v>0.88900715067201674</v>
      </c>
      <c r="Z102" s="7">
        <f ca="1">$AV$8*EXP(-'3.r(t)'!E100*$AV$22)</f>
        <v>0.9050401266066086</v>
      </c>
      <c r="AA102" s="7">
        <f ca="1">$AV$9*EXP(-'3.r(t)'!F100*$AV$23)</f>
        <v>0.93191843987075984</v>
      </c>
      <c r="AB102" s="7">
        <f ca="1">$AV$10*EXP(-'3.r(t)'!G100*$AV$24)</f>
        <v>0.9512627331092981</v>
      </c>
      <c r="AC102" s="7">
        <f ca="1">$AV$11*EXP(-'3.r(t)'!H100*$AV$25)</f>
        <v>0.97856305104209496</v>
      </c>
      <c r="AD102" s="7">
        <v>1</v>
      </c>
      <c r="AE102" s="7"/>
      <c r="AF102" s="7">
        <v>94</v>
      </c>
      <c r="AG102" s="7">
        <f>$AW$7*EXP(-'3.r(t)'!D100*$AW$21)</f>
        <v>0.86718755429225491</v>
      </c>
      <c r="AH102" s="7">
        <f ca="1">$AW$8*EXP(-'3.r(t)'!E100*$AW$22)</f>
        <v>0.88177107453917669</v>
      </c>
      <c r="AI102" s="7">
        <f ca="1">$AW$9*EXP(-'3.r(t)'!F100*$AW$23)</f>
        <v>0.9094658722880582</v>
      </c>
      <c r="AJ102" s="7">
        <f ca="1">$AW$10*EXP(-'3.r(t)'!G100*$AW$24)</f>
        <v>0.92717538140812727</v>
      </c>
      <c r="AK102" s="7">
        <f ca="1">$AW$11*EXP(-'3.r(t)'!H100*$AW$25)</f>
        <v>0.95716009263166191</v>
      </c>
      <c r="AL102" s="7">
        <f ca="1">$AW$12*EXP(-'3.r(t)'!I100*$AW$26)</f>
        <v>0.98370037179219483</v>
      </c>
      <c r="AM102" s="7">
        <v>1</v>
      </c>
      <c r="AN102" s="7"/>
    </row>
    <row r="103" spans="2:40">
      <c r="B103" s="7">
        <v>95</v>
      </c>
      <c r="C103" s="7">
        <f>$AR$7*EXP(-'3.r(t)'!D101*$AR$21)</f>
        <v>0.97765346695821032</v>
      </c>
      <c r="D103" s="7">
        <v>1</v>
      </c>
      <c r="E103" s="7"/>
      <c r="F103" s="7">
        <v>95</v>
      </c>
      <c r="G103" s="48">
        <f>$AS$7*EXP(-'3.r(t)'!D101*$AS$21)</f>
        <v>0.9553476245219803</v>
      </c>
      <c r="H103" s="7">
        <f ca="1">$AS$8*EXP(-'3.r(t)'!E101*$AS$22)</f>
        <v>0.97599061109160123</v>
      </c>
      <c r="I103" s="7">
        <v>1</v>
      </c>
      <c r="J103" s="7"/>
      <c r="K103" s="7">
        <v>95</v>
      </c>
      <c r="L103" s="7">
        <f>$AT$7*EXP(-'3.r(t)'!D101*$AT$21)</f>
        <v>0.93311670519824419</v>
      </c>
      <c r="M103" s="7">
        <f ca="1">$AT$8*EXP(-'3.r(t)'!E101*$AT$22)</f>
        <v>0.95210900490295702</v>
      </c>
      <c r="N103" s="7">
        <f ca="1">$AT$9*EXP(-'3.r(t)'!F101*$AT$23)</f>
        <v>0.97419759408514661</v>
      </c>
      <c r="O103" s="7">
        <v>1</v>
      </c>
      <c r="P103" s="7"/>
      <c r="Q103" s="7">
        <v>95</v>
      </c>
      <c r="R103" s="7">
        <f>$AU$7*EXP(-'3.r(t)'!D101*$AU$21)</f>
        <v>0.91099305977534117</v>
      </c>
      <c r="S103" s="7">
        <f ca="1">$AU$8*EXP(-'3.r(t)'!E101*$AU$22)</f>
        <v>0.92838820232642372</v>
      </c>
      <c r="T103" s="7">
        <f ca="1">$AU$9*EXP(-'3.r(t)'!F101*$AU$23)</f>
        <v>0.9486223502757849</v>
      </c>
      <c r="U103" s="7">
        <f ca="1">$AU$10*EXP(-'3.r(t)'!G101*$AU$24)</f>
        <v>0.97816806806292</v>
      </c>
      <c r="V103" s="7">
        <v>1</v>
      </c>
      <c r="W103" s="7"/>
      <c r="X103" s="7">
        <v>95</v>
      </c>
      <c r="Y103" s="7">
        <f>$AV$7*EXP(-'3.r(t)'!D101*$AV$21)</f>
        <v>0.88900715067201674</v>
      </c>
      <c r="Z103" s="7">
        <f ca="1">$AV$8*EXP(-'3.r(t)'!E101*$AV$22)</f>
        <v>0.90485913476192303</v>
      </c>
      <c r="AA103" s="7">
        <f ca="1">$AV$9*EXP(-'3.r(t)'!F101*$AV$23)</f>
        <v>0.92330548300682724</v>
      </c>
      <c r="AB103" s="7">
        <f ca="1">$AV$10*EXP(-'3.r(t)'!G101*$AV$24)</f>
        <v>0.95637907270967082</v>
      </c>
      <c r="AC103" s="7">
        <f ca="1">$AV$11*EXP(-'3.r(t)'!H101*$AV$25)</f>
        <v>0.97722653160022432</v>
      </c>
      <c r="AD103" s="7">
        <v>1</v>
      </c>
      <c r="AE103" s="7"/>
      <c r="AF103" s="7">
        <v>95</v>
      </c>
      <c r="AG103" s="7">
        <f>$AW$7*EXP(-'3.r(t)'!D101*$AW$21)</f>
        <v>0.86718755429225491</v>
      </c>
      <c r="AH103" s="7">
        <f ca="1">$AW$8*EXP(-'3.r(t)'!E101*$AW$22)</f>
        <v>0.88155065698668045</v>
      </c>
      <c r="AI103" s="7">
        <f ca="1">$AW$9*EXP(-'3.r(t)'!F101*$AW$23)</f>
        <v>0.89827590950759051</v>
      </c>
      <c r="AJ103" s="7">
        <f ca="1">$AW$10*EXP(-'3.r(t)'!G101*$AW$24)</f>
        <v>0.93466561008844917</v>
      </c>
      <c r="AK103" s="7">
        <f ca="1">$AW$11*EXP(-'3.r(t)'!H101*$AW$25)</f>
        <v>0.95454730347318928</v>
      </c>
      <c r="AL103" s="7">
        <f ca="1">$AW$12*EXP(-'3.r(t)'!I101*$AW$26)</f>
        <v>0.98095293377622572</v>
      </c>
      <c r="AM103" s="7">
        <v>1</v>
      </c>
      <c r="AN103" s="7"/>
    </row>
    <row r="104" spans="2:40">
      <c r="B104" s="7">
        <v>96</v>
      </c>
      <c r="C104" s="7">
        <f>$AR$7*EXP(-'3.r(t)'!D102*$AR$21)</f>
        <v>0.97765346695821032</v>
      </c>
      <c r="D104" s="7">
        <v>1</v>
      </c>
      <c r="E104" s="7"/>
      <c r="F104" s="7">
        <v>96</v>
      </c>
      <c r="G104" s="48">
        <f>$AS$7*EXP(-'3.r(t)'!D102*$AS$21)</f>
        <v>0.9553476245219803</v>
      </c>
      <c r="H104" s="7">
        <f ca="1">$AS$8*EXP(-'3.r(t)'!E102*$AS$22)</f>
        <v>0.97893518520008416</v>
      </c>
      <c r="I104" s="7">
        <v>1</v>
      </c>
      <c r="J104" s="7"/>
      <c r="K104" s="7">
        <v>96</v>
      </c>
      <c r="L104" s="7">
        <f>$AT$7*EXP(-'3.r(t)'!D102*$AT$21)</f>
        <v>0.93311670519824419</v>
      </c>
      <c r="M104" s="7">
        <f ca="1">$AT$8*EXP(-'3.r(t)'!E102*$AT$22)</f>
        <v>0.95786271743026474</v>
      </c>
      <c r="N104" s="7">
        <f ca="1">$AT$9*EXP(-'3.r(t)'!F102*$AT$23)</f>
        <v>0.97672568055324094</v>
      </c>
      <c r="O104" s="7">
        <v>1</v>
      </c>
      <c r="P104" s="7"/>
      <c r="Q104" s="7">
        <v>96</v>
      </c>
      <c r="R104" s="7">
        <f>$AU$7*EXP(-'3.r(t)'!D102*$AU$21)</f>
        <v>0.91099305977534117</v>
      </c>
      <c r="S104" s="7">
        <f ca="1">$AU$8*EXP(-'3.r(t)'!E102*$AU$22)</f>
        <v>0.9368164507714587</v>
      </c>
      <c r="T104" s="7">
        <f ca="1">$AU$9*EXP(-'3.r(t)'!F102*$AU$23)</f>
        <v>0.95355217366905387</v>
      </c>
      <c r="U104" s="7">
        <f ca="1">$AU$10*EXP(-'3.r(t)'!G102*$AU$24)</f>
        <v>0.97725482340343195</v>
      </c>
      <c r="V104" s="7">
        <v>1</v>
      </c>
      <c r="W104" s="7"/>
      <c r="X104" s="7">
        <v>96</v>
      </c>
      <c r="Y104" s="7">
        <f>$AV$7*EXP(-'3.r(t)'!D102*$AV$21)</f>
        <v>0.88900715067201674</v>
      </c>
      <c r="Z104" s="7">
        <f ca="1">$AV$8*EXP(-'3.r(t)'!E102*$AV$22)</f>
        <v>0.9158285310554044</v>
      </c>
      <c r="AA104" s="7">
        <f ca="1">$AV$9*EXP(-'3.r(t)'!F102*$AV$23)</f>
        <v>0.9305122099429699</v>
      </c>
      <c r="AB104" s="7">
        <f ca="1">$AV$10*EXP(-'3.r(t)'!G102*$AV$24)</f>
        <v>0.95459410264128031</v>
      </c>
      <c r="AC104" s="7">
        <f ca="1">$AV$11*EXP(-'3.r(t)'!H102*$AV$25)</f>
        <v>0.97650865361666161</v>
      </c>
      <c r="AD104" s="7">
        <v>1</v>
      </c>
      <c r="AE104" s="7"/>
      <c r="AF104" s="7">
        <v>96</v>
      </c>
      <c r="AG104" s="7">
        <f>$AW$7*EXP(-'3.r(t)'!D102*$AW$21)</f>
        <v>0.86718755429225491</v>
      </c>
      <c r="AH104" s="7">
        <f ca="1">$AW$8*EXP(-'3.r(t)'!E102*$AW$22)</f>
        <v>0.89492938008603962</v>
      </c>
      <c r="AI104" s="7">
        <f ca="1">$AW$9*EXP(-'3.r(t)'!F102*$AW$23)</f>
        <v>0.90763653283031709</v>
      </c>
      <c r="AJ104" s="7">
        <f ca="1">$AW$10*EXP(-'3.r(t)'!G102*$AW$24)</f>
        <v>0.93205016476248892</v>
      </c>
      <c r="AK104" s="7">
        <f ca="1">$AW$11*EXP(-'3.r(t)'!H102*$AW$25)</f>
        <v>0.95314538329004828</v>
      </c>
      <c r="AL104" s="7">
        <f ca="1">$AW$12*EXP(-'3.r(t)'!I102*$AW$26)</f>
        <v>0.97147385337151848</v>
      </c>
      <c r="AM104" s="7">
        <v>1</v>
      </c>
      <c r="AN104" s="7"/>
    </row>
    <row r="105" spans="2:40">
      <c r="B105" s="7">
        <v>97</v>
      </c>
      <c r="C105" s="7">
        <f>$AR$7*EXP(-'3.r(t)'!D103*$AR$21)</f>
        <v>0.97765346695821032</v>
      </c>
      <c r="D105" s="7">
        <v>1</v>
      </c>
      <c r="E105" s="7"/>
      <c r="F105" s="7">
        <v>97</v>
      </c>
      <c r="G105" s="48">
        <f>$AS$7*EXP(-'3.r(t)'!D103*$AS$21)</f>
        <v>0.9553476245219803</v>
      </c>
      <c r="H105" s="7">
        <f ca="1">$AS$8*EXP(-'3.r(t)'!E103*$AS$22)</f>
        <v>0.97936422955801949</v>
      </c>
      <c r="I105" s="7">
        <v>1</v>
      </c>
      <c r="J105" s="7"/>
      <c r="K105" s="7">
        <v>97</v>
      </c>
      <c r="L105" s="7">
        <f>$AT$7*EXP(-'3.r(t)'!D103*$AT$21)</f>
        <v>0.93311670519824419</v>
      </c>
      <c r="M105" s="7">
        <f ca="1">$AT$8*EXP(-'3.r(t)'!E103*$AT$22)</f>
        <v>0.95870251900058479</v>
      </c>
      <c r="N105" s="7">
        <f ca="1">$AT$9*EXP(-'3.r(t)'!F103*$AT$23)</f>
        <v>0.98049676362454874</v>
      </c>
      <c r="O105" s="7">
        <v>1</v>
      </c>
      <c r="P105" s="7"/>
      <c r="Q105" s="7">
        <v>97</v>
      </c>
      <c r="R105" s="7">
        <f>$AU$7*EXP(-'3.r(t)'!D103*$AU$21)</f>
        <v>0.91099305977534117</v>
      </c>
      <c r="S105" s="7">
        <f ca="1">$AU$8*EXP(-'3.r(t)'!E103*$AU$22)</f>
        <v>0.93804874480937794</v>
      </c>
      <c r="T105" s="7">
        <f ca="1">$AU$9*EXP(-'3.r(t)'!F103*$AU$23)</f>
        <v>0.96092961108632147</v>
      </c>
      <c r="U105" s="7">
        <f ca="1">$AU$10*EXP(-'3.r(t)'!G103*$AU$24)</f>
        <v>0.97718480369922578</v>
      </c>
      <c r="V105" s="7">
        <v>1</v>
      </c>
      <c r="W105" s="7"/>
      <c r="X105" s="7">
        <v>97</v>
      </c>
      <c r="Y105" s="7">
        <f>$AV$7*EXP(-'3.r(t)'!D103*$AV$21)</f>
        <v>0.88900715067201674</v>
      </c>
      <c r="Z105" s="7">
        <f ca="1">$AV$8*EXP(-'3.r(t)'!E103*$AV$22)</f>
        <v>0.91743513163217449</v>
      </c>
      <c r="AA105" s="7">
        <f ca="1">$AV$9*EXP(-'3.r(t)'!F103*$AV$23)</f>
        <v>0.94133184298162254</v>
      </c>
      <c r="AB105" s="7">
        <f ca="1">$AV$10*EXP(-'3.r(t)'!G103*$AV$24)</f>
        <v>0.95445731538668377</v>
      </c>
      <c r="AC105" s="7">
        <f ca="1">$AV$11*EXP(-'3.r(t)'!H103*$AV$25)</f>
        <v>0.97836726802458462</v>
      </c>
      <c r="AD105" s="7">
        <v>1</v>
      </c>
      <c r="AE105" s="7"/>
      <c r="AF105" s="7">
        <v>97</v>
      </c>
      <c r="AG105" s="7">
        <f>$AW$7*EXP(-'3.r(t)'!D103*$AW$21)</f>
        <v>0.86718755429225491</v>
      </c>
      <c r="AH105" s="7">
        <f ca="1">$AW$8*EXP(-'3.r(t)'!E103*$AW$22)</f>
        <v>0.89689223278472319</v>
      </c>
      <c r="AI105" s="7">
        <f ca="1">$AW$9*EXP(-'3.r(t)'!F103*$AW$23)</f>
        <v>0.9217352571908759</v>
      </c>
      <c r="AJ105" s="7">
        <f ca="1">$AW$10*EXP(-'3.r(t)'!G103*$AW$24)</f>
        <v>0.93184983666151355</v>
      </c>
      <c r="AK105" s="7">
        <f ca="1">$AW$11*EXP(-'3.r(t)'!H103*$AW$25)</f>
        <v>0.95677712917383329</v>
      </c>
      <c r="AL105" s="7">
        <f ca="1">$AW$12*EXP(-'3.r(t)'!I103*$AW$26)</f>
        <v>0.97520091633629713</v>
      </c>
      <c r="AM105" s="7">
        <v>1</v>
      </c>
      <c r="AN105" s="7"/>
    </row>
    <row r="106" spans="2:40">
      <c r="B106" s="7">
        <v>98</v>
      </c>
      <c r="C106" s="7">
        <f>$AR$7*EXP(-'3.r(t)'!D104*$AR$21)</f>
        <v>0.97765346695821032</v>
      </c>
      <c r="D106" s="7">
        <v>1</v>
      </c>
      <c r="E106" s="7"/>
      <c r="F106" s="7">
        <v>98</v>
      </c>
      <c r="G106" s="48">
        <f>$AS$7*EXP(-'3.r(t)'!D104*$AS$21)</f>
        <v>0.9553476245219803</v>
      </c>
      <c r="H106" s="7">
        <f ca="1">$AS$8*EXP(-'3.r(t)'!E104*$AS$22)</f>
        <v>0.97771589489753197</v>
      </c>
      <c r="I106" s="7">
        <v>1</v>
      </c>
      <c r="J106" s="7"/>
      <c r="K106" s="7">
        <v>98</v>
      </c>
      <c r="L106" s="7">
        <f>$AT$7*EXP(-'3.r(t)'!D104*$AT$21)</f>
        <v>0.93311670519824419</v>
      </c>
      <c r="M106" s="7">
        <f ca="1">$AT$8*EXP(-'3.r(t)'!E104*$AT$22)</f>
        <v>0.95547811545311312</v>
      </c>
      <c r="N106" s="7">
        <f ca="1">$AT$9*EXP(-'3.r(t)'!F104*$AT$23)</f>
        <v>0.97486002699001961</v>
      </c>
      <c r="O106" s="7">
        <v>1</v>
      </c>
      <c r="P106" s="7"/>
      <c r="Q106" s="7">
        <v>98</v>
      </c>
      <c r="R106" s="7">
        <f>$AU$7*EXP(-'3.r(t)'!D104*$AU$21)</f>
        <v>0.91099305977534117</v>
      </c>
      <c r="S106" s="7">
        <f ca="1">$AU$8*EXP(-'3.r(t)'!E104*$AU$22)</f>
        <v>0.93332031808532701</v>
      </c>
      <c r="T106" s="7">
        <f ca="1">$AU$9*EXP(-'3.r(t)'!F104*$AU$23)</f>
        <v>0.94991287349522302</v>
      </c>
      <c r="U106" s="7">
        <f ca="1">$AU$10*EXP(-'3.r(t)'!G104*$AU$24)</f>
        <v>0.97154472678595161</v>
      </c>
      <c r="V106" s="7">
        <v>1</v>
      </c>
      <c r="W106" s="7"/>
      <c r="X106" s="7">
        <v>98</v>
      </c>
      <c r="Y106" s="7">
        <f>$AV$7*EXP(-'3.r(t)'!D104*$AV$21)</f>
        <v>0.88900715067201674</v>
      </c>
      <c r="Z106" s="7">
        <f ca="1">$AV$8*EXP(-'3.r(t)'!E104*$AV$22)</f>
        <v>0.91127429151707273</v>
      </c>
      <c r="AA106" s="7">
        <f ca="1">$AV$9*EXP(-'3.r(t)'!F104*$AV$23)</f>
        <v>0.92519024619459611</v>
      </c>
      <c r="AB106" s="7">
        <f ca="1">$AV$10*EXP(-'3.r(t)'!G104*$AV$24)</f>
        <v>0.94347131285972519</v>
      </c>
      <c r="AC106" s="7">
        <f ca="1">$AV$11*EXP(-'3.r(t)'!H104*$AV$25)</f>
        <v>0.96806870032101489</v>
      </c>
      <c r="AD106" s="7">
        <v>1</v>
      </c>
      <c r="AE106" s="7"/>
      <c r="AF106" s="7">
        <v>98</v>
      </c>
      <c r="AG106" s="7">
        <f>$AW$7*EXP(-'3.r(t)'!D104*$AW$21)</f>
        <v>0.86718755429225491</v>
      </c>
      <c r="AH106" s="7">
        <f ca="1">$AW$8*EXP(-'3.r(t)'!E104*$AW$22)</f>
        <v>0.88936995220353632</v>
      </c>
      <c r="AI106" s="7">
        <f ca="1">$AW$9*EXP(-'3.r(t)'!F104*$AW$23)</f>
        <v>0.90072163397957661</v>
      </c>
      <c r="AJ106" s="7">
        <f ca="1">$AW$10*EXP(-'3.r(t)'!G104*$AW$24)</f>
        <v>0.91580754326436575</v>
      </c>
      <c r="AK106" s="7">
        <f ca="1">$AW$11*EXP(-'3.r(t)'!H104*$AW$25)</f>
        <v>0.9367405348190645</v>
      </c>
      <c r="AL106" s="7">
        <f ca="1">$AW$12*EXP(-'3.r(t)'!I104*$AW$26)</f>
        <v>0.96588591446037109</v>
      </c>
      <c r="AM106" s="7">
        <v>1</v>
      </c>
      <c r="AN106" s="7"/>
    </row>
    <row r="107" spans="2:40">
      <c r="B107" s="7">
        <v>99</v>
      </c>
      <c r="C107" s="7">
        <f>$AR$7*EXP(-'3.r(t)'!D105*$AR$21)</f>
        <v>0.97765346695821032</v>
      </c>
      <c r="D107" s="7">
        <v>1</v>
      </c>
      <c r="E107" s="7"/>
      <c r="F107" s="7">
        <v>99</v>
      </c>
      <c r="G107" s="48">
        <f>$AS$7*EXP(-'3.r(t)'!D105*$AS$21)</f>
        <v>0.9553476245219803</v>
      </c>
      <c r="H107" s="7">
        <f ca="1">$AS$8*EXP(-'3.r(t)'!E105*$AS$22)</f>
        <v>0.97636113385190593</v>
      </c>
      <c r="I107" s="7">
        <v>1</v>
      </c>
      <c r="J107" s="7"/>
      <c r="K107" s="7">
        <v>99</v>
      </c>
      <c r="L107" s="7">
        <f>$AT$7*EXP(-'3.r(t)'!D105*$AT$21)</f>
        <v>0.93311670519824419</v>
      </c>
      <c r="M107" s="7">
        <f ca="1">$AT$8*EXP(-'3.r(t)'!E105*$AT$22)</f>
        <v>0.95283205493337753</v>
      </c>
      <c r="N107" s="7">
        <f ca="1">$AT$9*EXP(-'3.r(t)'!F105*$AT$23)</f>
        <v>0.97551087426168848</v>
      </c>
      <c r="O107" s="7">
        <v>1</v>
      </c>
      <c r="P107" s="7"/>
      <c r="Q107" s="7">
        <v>99</v>
      </c>
      <c r="R107" s="7">
        <f>$AU$7*EXP(-'3.r(t)'!D105*$AU$21)</f>
        <v>0.91099305977534117</v>
      </c>
      <c r="S107" s="7">
        <f ca="1">$AU$8*EXP(-'3.r(t)'!E105*$AU$22)</f>
        <v>0.92944595707261057</v>
      </c>
      <c r="T107" s="7">
        <f ca="1">$AU$9*EXP(-'3.r(t)'!F105*$AU$23)</f>
        <v>0.95118168043346063</v>
      </c>
      <c r="U107" s="7">
        <f ca="1">$AU$10*EXP(-'3.r(t)'!G105*$AU$24)</f>
        <v>0.97500407482342755</v>
      </c>
      <c r="V107" s="7">
        <v>1</v>
      </c>
      <c r="W107" s="7"/>
      <c r="X107" s="7">
        <v>99</v>
      </c>
      <c r="Y107" s="7">
        <f>$AV$7*EXP(-'3.r(t)'!D105*$AV$21)</f>
        <v>0.88900715067201674</v>
      </c>
      <c r="Z107" s="7">
        <f ca="1">$AV$8*EXP(-'3.r(t)'!E105*$AV$22)</f>
        <v>0.90623399173693164</v>
      </c>
      <c r="AA107" s="7">
        <f ca="1">$AV$9*EXP(-'3.r(t)'!F105*$AV$23)</f>
        <v>0.92704454211292509</v>
      </c>
      <c r="AB107" s="7">
        <f ca="1">$AV$10*EXP(-'3.r(t)'!G105*$AV$24)</f>
        <v>0.95020205039644101</v>
      </c>
      <c r="AC107" s="7">
        <f ca="1">$AV$11*EXP(-'3.r(t)'!H105*$AV$25)</f>
        <v>0.97243263034673411</v>
      </c>
      <c r="AD107" s="7">
        <v>1</v>
      </c>
      <c r="AE107" s="7"/>
      <c r="AF107" s="7">
        <v>99</v>
      </c>
      <c r="AG107" s="7">
        <f>$AW$7*EXP(-'3.r(t)'!D105*$AW$21)</f>
        <v>0.86718755429225491</v>
      </c>
      <c r="AH107" s="7">
        <f ca="1">$AW$8*EXP(-'3.r(t)'!E105*$AW$22)</f>
        <v>0.88322527700242015</v>
      </c>
      <c r="AI107" s="7">
        <f ca="1">$AW$9*EXP(-'3.r(t)'!F105*$AW$23)</f>
        <v>0.90312944451138277</v>
      </c>
      <c r="AJ107" s="7">
        <f ca="1">$AW$10*EXP(-'3.r(t)'!G105*$AW$24)</f>
        <v>0.92562507673361527</v>
      </c>
      <c r="AK107" s="7">
        <f ca="1">$AW$11*EXP(-'3.r(t)'!H105*$AW$25)</f>
        <v>0.94520498355712179</v>
      </c>
      <c r="AL107" s="7">
        <f ca="1">$AW$12*EXP(-'3.r(t)'!I105*$AW$26)</f>
        <v>0.97132369987274991</v>
      </c>
      <c r="AM107" s="7">
        <v>1</v>
      </c>
      <c r="AN107" s="7"/>
    </row>
    <row r="108" spans="2:40">
      <c r="B108" s="7">
        <v>100</v>
      </c>
      <c r="C108" s="7">
        <f>$AR$7*EXP(-'3.r(t)'!D106*$AR$21)</f>
        <v>0.97765346695821032</v>
      </c>
      <c r="D108" s="7">
        <v>1</v>
      </c>
      <c r="E108" s="7"/>
      <c r="F108" s="7">
        <v>100</v>
      </c>
      <c r="G108" s="48">
        <f>$AS$7*EXP(-'3.r(t)'!D106*$AS$21)</f>
        <v>0.9553476245219803</v>
      </c>
      <c r="H108" s="7">
        <f ca="1">$AS$8*EXP(-'3.r(t)'!E106*$AS$22)</f>
        <v>0.97996157264318728</v>
      </c>
      <c r="I108" s="7">
        <v>1</v>
      </c>
      <c r="J108" s="7"/>
      <c r="K108" s="7">
        <v>100</v>
      </c>
      <c r="L108" s="7">
        <f>$AT$7*EXP(-'3.r(t)'!D106*$AT$21)</f>
        <v>0.93311670519824419</v>
      </c>
      <c r="M108" s="7">
        <f ca="1">$AT$8*EXP(-'3.r(t)'!E106*$AT$22)</f>
        <v>0.95987235745013244</v>
      </c>
      <c r="N108" s="7">
        <f ca="1">$AT$9*EXP(-'3.r(t)'!F106*$AT$23)</f>
        <v>0.98063498946190286</v>
      </c>
      <c r="O108" s="7">
        <v>1</v>
      </c>
      <c r="P108" s="7"/>
      <c r="Q108" s="7">
        <v>100</v>
      </c>
      <c r="R108" s="7">
        <f>$AU$7*EXP(-'3.r(t)'!D106*$AU$21)</f>
        <v>0.91099305977534117</v>
      </c>
      <c r="S108" s="7">
        <f ca="1">$AU$8*EXP(-'3.r(t)'!E106*$AU$22)</f>
        <v>0.93976622258675857</v>
      </c>
      <c r="T108" s="7">
        <f ca="1">$AU$9*EXP(-'3.r(t)'!F106*$AU$23)</f>
        <v>0.96120056488770633</v>
      </c>
      <c r="U108" s="7">
        <f ca="1">$AU$10*EXP(-'3.r(t)'!G106*$AU$24)</f>
        <v>0.98407394998981379</v>
      </c>
      <c r="V108" s="7">
        <v>1</v>
      </c>
      <c r="W108" s="7"/>
      <c r="X108" s="7">
        <v>100</v>
      </c>
      <c r="Y108" s="7">
        <f>$AV$7*EXP(-'3.r(t)'!D106*$AV$21)</f>
        <v>0.88900715067201674</v>
      </c>
      <c r="Z108" s="7">
        <f ca="1">$AV$8*EXP(-'3.r(t)'!E106*$AV$22)</f>
        <v>0.91967546307518833</v>
      </c>
      <c r="AA108" s="7">
        <f ca="1">$AV$9*EXP(-'3.r(t)'!F106*$AV$23)</f>
        <v>0.94173001275977464</v>
      </c>
      <c r="AB108" s="7">
        <f ca="1">$AV$10*EXP(-'3.r(t)'!G106*$AV$24)</f>
        <v>0.96796258951268022</v>
      </c>
      <c r="AC108" s="7">
        <f ca="1">$AV$11*EXP(-'3.r(t)'!H106*$AV$25)</f>
        <v>0.98500577972310743</v>
      </c>
      <c r="AD108" s="7">
        <v>1</v>
      </c>
      <c r="AE108" s="7"/>
      <c r="AF108" s="7">
        <v>100</v>
      </c>
      <c r="AG108" s="7">
        <f>$AW$7*EXP(-'3.r(t)'!D106*$AW$21)</f>
        <v>0.86718755429225491</v>
      </c>
      <c r="AH108" s="7">
        <f ca="1">$AW$8*EXP(-'3.r(t)'!E106*$AW$22)</f>
        <v>0.8996307763124618</v>
      </c>
      <c r="AI108" s="7">
        <f ca="1">$AW$9*EXP(-'3.r(t)'!F106*$AW$23)</f>
        <v>0.9222551347753779</v>
      </c>
      <c r="AJ108" s="7">
        <f ca="1">$AW$10*EXP(-'3.r(t)'!G106*$AW$24)</f>
        <v>0.95169771395158387</v>
      </c>
      <c r="AK108" s="7">
        <f ca="1">$AW$11*EXP(-'3.r(t)'!H106*$AW$25)</f>
        <v>0.96980521184988455</v>
      </c>
      <c r="AL108" s="7">
        <f ca="1">$AW$12*EXP(-'3.r(t)'!I106*$AW$26)</f>
        <v>0.98488541015530462</v>
      </c>
      <c r="AM108" s="7">
        <v>1</v>
      </c>
      <c r="AN108" s="7"/>
    </row>
    <row r="109" spans="2:40">
      <c r="B109" s="7">
        <v>101</v>
      </c>
      <c r="C109" s="7">
        <f>$AR$7*EXP(-'3.r(t)'!D107*$AR$21)</f>
        <v>0.97765346695821032</v>
      </c>
      <c r="D109" s="7">
        <v>1</v>
      </c>
      <c r="E109" s="7"/>
      <c r="F109" s="7">
        <v>101</v>
      </c>
      <c r="G109" s="48">
        <f>$AS$7*EXP(-'3.r(t)'!D107*$AS$21)</f>
        <v>0.9553476245219803</v>
      </c>
      <c r="H109" s="7">
        <f ca="1">$AS$8*EXP(-'3.r(t)'!E107*$AS$22)</f>
        <v>0.9773382340061697</v>
      </c>
      <c r="I109" s="7">
        <v>1</v>
      </c>
      <c r="J109" s="7"/>
      <c r="K109" s="7">
        <v>101</v>
      </c>
      <c r="L109" s="7">
        <f>$AT$7*EXP(-'3.r(t)'!D107*$AT$21)</f>
        <v>0.93311670519824419</v>
      </c>
      <c r="M109" s="7">
        <f ca="1">$AT$8*EXP(-'3.r(t)'!E107*$AT$22)</f>
        <v>0.95474011574016038</v>
      </c>
      <c r="N109" s="7">
        <f ca="1">$AT$9*EXP(-'3.r(t)'!F107*$AT$23)</f>
        <v>0.97503250376021411</v>
      </c>
      <c r="O109" s="7">
        <v>1</v>
      </c>
      <c r="P109" s="7"/>
      <c r="Q109" s="7">
        <v>101</v>
      </c>
      <c r="R109" s="7">
        <f>$AU$7*EXP(-'3.r(t)'!D107*$AU$21)</f>
        <v>0.91099305977534117</v>
      </c>
      <c r="S109" s="7">
        <f ca="1">$AU$8*EXP(-'3.r(t)'!E107*$AU$22)</f>
        <v>0.9322391989650306</v>
      </c>
      <c r="T109" s="7">
        <f ca="1">$AU$9*EXP(-'3.r(t)'!F107*$AU$23)</f>
        <v>0.95024902923724153</v>
      </c>
      <c r="U109" s="7">
        <f ca="1">$AU$10*EXP(-'3.r(t)'!G107*$AU$24)</f>
        <v>0.97351794557874982</v>
      </c>
      <c r="V109" s="7">
        <v>1</v>
      </c>
      <c r="W109" s="7"/>
      <c r="X109" s="7">
        <v>101</v>
      </c>
      <c r="Y109" s="7">
        <f>$AV$7*EXP(-'3.r(t)'!D107*$AV$21)</f>
        <v>0.88900715067201674</v>
      </c>
      <c r="Z109" s="7">
        <f ca="1">$AV$8*EXP(-'3.r(t)'!E107*$AV$22)</f>
        <v>0.90986712073738263</v>
      </c>
      <c r="AA109" s="7">
        <f ca="1">$AV$9*EXP(-'3.r(t)'!F107*$AV$23)</f>
        <v>0.92568139996622079</v>
      </c>
      <c r="AB109" s="7">
        <f ca="1">$AV$10*EXP(-'3.r(t)'!G107*$AV$24)</f>
        <v>0.94730760740363418</v>
      </c>
      <c r="AC109" s="7">
        <f ca="1">$AV$11*EXP(-'3.r(t)'!H107*$AV$25)</f>
        <v>0.97277675686953913</v>
      </c>
      <c r="AD109" s="7">
        <v>1</v>
      </c>
      <c r="AE109" s="7"/>
      <c r="AF109" s="7">
        <v>101</v>
      </c>
      <c r="AG109" s="7">
        <f>$AW$7*EXP(-'3.r(t)'!D107*$AW$21)</f>
        <v>0.86718755429225491</v>
      </c>
      <c r="AH109" s="7">
        <f ca="1">$AW$8*EXP(-'3.r(t)'!E107*$AW$22)</f>
        <v>0.88765360049587616</v>
      </c>
      <c r="AI109" s="7">
        <f ca="1">$AW$9*EXP(-'3.r(t)'!F107*$AW$23)</f>
        <v>0.90135924261115452</v>
      </c>
      <c r="AJ109" s="7">
        <f ca="1">$AW$10*EXP(-'3.r(t)'!G107*$AW$24)</f>
        <v>0.92139893182778887</v>
      </c>
      <c r="AK109" s="7">
        <f ca="1">$AW$11*EXP(-'3.r(t)'!H107*$AW$25)</f>
        <v>0.94587408421831787</v>
      </c>
      <c r="AL109" s="7">
        <f ca="1">$AW$12*EXP(-'3.r(t)'!I107*$AW$26)</f>
        <v>0.97226844983174843</v>
      </c>
      <c r="AM109" s="7">
        <v>1</v>
      </c>
      <c r="AN109" s="7"/>
    </row>
    <row r="110" spans="2:40">
      <c r="B110" s="7">
        <v>102</v>
      </c>
      <c r="C110" s="7">
        <f>$AR$7*EXP(-'3.r(t)'!D108*$AR$21)</f>
        <v>0.97765346695821032</v>
      </c>
      <c r="D110" s="7">
        <v>1</v>
      </c>
      <c r="E110" s="7"/>
      <c r="F110" s="7">
        <v>102</v>
      </c>
      <c r="G110" s="48">
        <f>$AS$7*EXP(-'3.r(t)'!D108*$AS$21)</f>
        <v>0.9553476245219803</v>
      </c>
      <c r="H110" s="7">
        <f ca="1">$AS$8*EXP(-'3.r(t)'!E108*$AS$22)</f>
        <v>0.97430788017295311</v>
      </c>
      <c r="I110" s="7">
        <v>1</v>
      </c>
      <c r="J110" s="7"/>
      <c r="K110" s="7">
        <v>102</v>
      </c>
      <c r="L110" s="7">
        <f>$AT$7*EXP(-'3.r(t)'!D108*$AT$21)</f>
        <v>0.93311670519824419</v>
      </c>
      <c r="M110" s="7">
        <f ca="1">$AT$8*EXP(-'3.r(t)'!E108*$AT$22)</f>
        <v>0.94882872311797029</v>
      </c>
      <c r="N110" s="7">
        <f ca="1">$AT$9*EXP(-'3.r(t)'!F108*$AT$23)</f>
        <v>0.9722994052257955</v>
      </c>
      <c r="O110" s="7">
        <v>1</v>
      </c>
      <c r="P110" s="7"/>
      <c r="Q110" s="7">
        <v>102</v>
      </c>
      <c r="R110" s="7">
        <f>$AU$7*EXP(-'3.r(t)'!D108*$AU$21)</f>
        <v>0.91099305977534117</v>
      </c>
      <c r="S110" s="7">
        <f ca="1">$AU$8*EXP(-'3.r(t)'!E108*$AU$22)</f>
        <v>0.92359450169399249</v>
      </c>
      <c r="T110" s="7">
        <f ca="1">$AU$9*EXP(-'3.r(t)'!F108*$AU$23)</f>
        <v>0.9449292388922933</v>
      </c>
      <c r="U110" s="7">
        <f ca="1">$AU$10*EXP(-'3.r(t)'!G108*$AU$24)</f>
        <v>0.96921554007799393</v>
      </c>
      <c r="V110" s="7">
        <v>1</v>
      </c>
      <c r="W110" s="7"/>
      <c r="X110" s="7">
        <v>102</v>
      </c>
      <c r="Y110" s="7">
        <f>$AV$7*EXP(-'3.r(t)'!D108*$AV$21)</f>
        <v>0.88900715067201674</v>
      </c>
      <c r="Z110" s="7">
        <f ca="1">$AV$8*EXP(-'3.r(t)'!E108*$AV$22)</f>
        <v>0.89863488985906459</v>
      </c>
      <c r="AA110" s="7">
        <f ca="1">$AV$9*EXP(-'3.r(t)'!F108*$AV$23)</f>
        <v>0.91791890994493663</v>
      </c>
      <c r="AB110" s="7">
        <f ca="1">$AV$10*EXP(-'3.r(t)'!G108*$AV$24)</f>
        <v>0.9389529688114866</v>
      </c>
      <c r="AC110" s="7">
        <f ca="1">$AV$11*EXP(-'3.r(t)'!H108*$AV$25)</f>
        <v>0.96859541452887232</v>
      </c>
      <c r="AD110" s="7">
        <v>1</v>
      </c>
      <c r="AE110" s="7"/>
      <c r="AF110" s="7">
        <v>102</v>
      </c>
      <c r="AG110" s="7">
        <f>$AW$7*EXP(-'3.r(t)'!D108*$AW$21)</f>
        <v>0.86718755429225491</v>
      </c>
      <c r="AH110" s="7">
        <f ca="1">$AW$8*EXP(-'3.r(t)'!E108*$AW$22)</f>
        <v>0.87397729428726123</v>
      </c>
      <c r="AI110" s="7">
        <f ca="1">$AW$9*EXP(-'3.r(t)'!F108*$AW$23)</f>
        <v>0.89129531204470536</v>
      </c>
      <c r="AJ110" s="7">
        <f ca="1">$AW$10*EXP(-'3.r(t)'!G108*$AW$24)</f>
        <v>0.90923663537667976</v>
      </c>
      <c r="AK110" s="7">
        <f ca="1">$AW$11*EXP(-'3.r(t)'!H108*$AW$25)</f>
        <v>0.93776015000451074</v>
      </c>
      <c r="AL110" s="7">
        <f ca="1">$AW$12*EXP(-'3.r(t)'!I108*$AW$26)</f>
        <v>0.96513979946823669</v>
      </c>
      <c r="AM110" s="7">
        <v>1</v>
      </c>
      <c r="AN110" s="7"/>
    </row>
    <row r="111" spans="2:40">
      <c r="B111" s="7">
        <v>103</v>
      </c>
      <c r="C111" s="7">
        <f>$AR$7*EXP(-'3.r(t)'!D109*$AR$21)</f>
        <v>0.97765346695821032</v>
      </c>
      <c r="D111" s="7">
        <v>1</v>
      </c>
      <c r="E111" s="7"/>
      <c r="F111" s="7">
        <v>103</v>
      </c>
      <c r="G111" s="48">
        <f>$AS$7*EXP(-'3.r(t)'!D109*$AS$21)</f>
        <v>0.9553476245219803</v>
      </c>
      <c r="H111" s="7">
        <f ca="1">$AS$8*EXP(-'3.r(t)'!E109*$AS$22)</f>
        <v>0.97778584797591239</v>
      </c>
      <c r="I111" s="7">
        <v>1</v>
      </c>
      <c r="J111" s="7"/>
      <c r="K111" s="7">
        <v>103</v>
      </c>
      <c r="L111" s="7">
        <f>$AT$7*EXP(-'3.r(t)'!D109*$AT$21)</f>
        <v>0.93311670519824419</v>
      </c>
      <c r="M111" s="7">
        <f ca="1">$AT$8*EXP(-'3.r(t)'!E109*$AT$22)</f>
        <v>0.95561484438820943</v>
      </c>
      <c r="N111" s="7">
        <f ca="1">$AT$9*EXP(-'3.r(t)'!F109*$AT$23)</f>
        <v>0.9759938011538758</v>
      </c>
      <c r="O111" s="7">
        <v>1</v>
      </c>
      <c r="P111" s="7"/>
      <c r="Q111" s="7">
        <v>103</v>
      </c>
      <c r="R111" s="7">
        <f>$AU$7*EXP(-'3.r(t)'!D109*$AU$21)</f>
        <v>0.91099305977534117</v>
      </c>
      <c r="S111" s="7">
        <f ca="1">$AU$8*EXP(-'3.r(t)'!E109*$AU$22)</f>
        <v>0.93352066248307719</v>
      </c>
      <c r="T111" s="7">
        <f ca="1">$AU$9*EXP(-'3.r(t)'!F109*$AU$23)</f>
        <v>0.95212367898196271</v>
      </c>
      <c r="U111" s="7">
        <f ca="1">$AU$10*EXP(-'3.r(t)'!G109*$AU$24)</f>
        <v>0.97728836989738466</v>
      </c>
      <c r="V111" s="7">
        <v>1</v>
      </c>
      <c r="W111" s="7"/>
      <c r="X111" s="7">
        <v>103</v>
      </c>
      <c r="Y111" s="7">
        <f>$AV$7*EXP(-'3.r(t)'!D109*$AV$21)</f>
        <v>0.88900715067201674</v>
      </c>
      <c r="Z111" s="7">
        <f ca="1">$AV$8*EXP(-'3.r(t)'!E109*$AV$22)</f>
        <v>0.91153511691202649</v>
      </c>
      <c r="AA111" s="7">
        <f ca="1">$AV$9*EXP(-'3.r(t)'!F109*$AV$23)</f>
        <v>0.92842202467950929</v>
      </c>
      <c r="AB111" s="7">
        <f ca="1">$AV$10*EXP(-'3.r(t)'!G109*$AV$24)</f>
        <v>0.95465964099250811</v>
      </c>
      <c r="AC111" s="7">
        <f ca="1">$AV$11*EXP(-'3.r(t)'!H109*$AV$25)</f>
        <v>0.97813465268182154</v>
      </c>
      <c r="AD111" s="7">
        <v>1</v>
      </c>
      <c r="AE111" s="7"/>
      <c r="AF111" s="7">
        <v>103</v>
      </c>
      <c r="AG111" s="7">
        <f>$AW$7*EXP(-'3.r(t)'!D109*$AW$21)</f>
        <v>0.86718755429225491</v>
      </c>
      <c r="AH111" s="7">
        <f ca="1">$AW$8*EXP(-'3.r(t)'!E109*$AW$22)</f>
        <v>0.88968815849161609</v>
      </c>
      <c r="AI111" s="7">
        <f ca="1">$AW$9*EXP(-'3.r(t)'!F109*$AW$23)</f>
        <v>0.90491915074714779</v>
      </c>
      <c r="AJ111" s="7">
        <f ca="1">$AW$10*EXP(-'3.r(t)'!G109*$AW$24)</f>
        <v>0.93214615228117104</v>
      </c>
      <c r="AK111" s="7">
        <f ca="1">$AW$11*EXP(-'3.r(t)'!H109*$AW$25)</f>
        <v>0.95632221906142367</v>
      </c>
      <c r="AL111" s="7">
        <f ca="1">$AW$12*EXP(-'3.r(t)'!I109*$AW$26)</f>
        <v>0.97647590855690414</v>
      </c>
      <c r="AM111" s="7">
        <v>1</v>
      </c>
      <c r="AN111" s="7"/>
    </row>
    <row r="112" spans="2:40">
      <c r="B112" s="7">
        <v>104</v>
      </c>
      <c r="C112" s="7">
        <f>$AR$7*EXP(-'3.r(t)'!D110*$AR$21)</f>
        <v>0.97765346695821032</v>
      </c>
      <c r="D112" s="7">
        <v>1</v>
      </c>
      <c r="E112" s="7"/>
      <c r="F112" s="7">
        <v>104</v>
      </c>
      <c r="G112" s="48">
        <f>$AS$7*EXP(-'3.r(t)'!D110*$AS$21)</f>
        <v>0.9553476245219803</v>
      </c>
      <c r="H112" s="7">
        <f ca="1">$AS$8*EXP(-'3.r(t)'!E110*$AS$22)</f>
        <v>0.9748843340409975</v>
      </c>
      <c r="I112" s="7">
        <v>1</v>
      </c>
      <c r="J112" s="7"/>
      <c r="K112" s="7">
        <v>104</v>
      </c>
      <c r="L112" s="7">
        <f>$AT$7*EXP(-'3.r(t)'!D110*$AT$21)</f>
        <v>0.93311670519824419</v>
      </c>
      <c r="M112" s="7">
        <f ca="1">$AT$8*EXP(-'3.r(t)'!E110*$AT$22)</f>
        <v>0.94995181326890887</v>
      </c>
      <c r="N112" s="7">
        <f ca="1">$AT$9*EXP(-'3.r(t)'!F110*$AT$23)</f>
        <v>0.97315309708187903</v>
      </c>
      <c r="O112" s="7">
        <v>1</v>
      </c>
      <c r="P112" s="7"/>
      <c r="Q112" s="7">
        <v>104</v>
      </c>
      <c r="R112" s="7">
        <f>$AU$7*EXP(-'3.r(t)'!D110*$AU$21)</f>
        <v>0.91099305977534117</v>
      </c>
      <c r="S112" s="7">
        <f ca="1">$AU$8*EXP(-'3.r(t)'!E110*$AU$22)</f>
        <v>0.92523481898581805</v>
      </c>
      <c r="T112" s="7">
        <f ca="1">$AU$9*EXP(-'3.r(t)'!F110*$AU$23)</f>
        <v>0.94658928831468236</v>
      </c>
      <c r="U112" s="7">
        <f ca="1">$AU$10*EXP(-'3.r(t)'!G110*$AU$24)</f>
        <v>0.9765982825584536</v>
      </c>
      <c r="V112" s="7">
        <v>1</v>
      </c>
      <c r="W112" s="7"/>
      <c r="X112" s="7">
        <v>104</v>
      </c>
      <c r="Y112" s="7">
        <f>$AV$7*EXP(-'3.r(t)'!D110*$AV$21)</f>
        <v>0.88900715067201674</v>
      </c>
      <c r="Z112" s="7">
        <f ca="1">$AV$8*EXP(-'3.r(t)'!E110*$AV$22)</f>
        <v>0.90076350437606645</v>
      </c>
      <c r="AA112" s="7">
        <f ca="1">$AV$9*EXP(-'3.r(t)'!F110*$AV$23)</f>
        <v>0.92033886862385617</v>
      </c>
      <c r="AB112" s="7">
        <f ca="1">$AV$10*EXP(-'3.r(t)'!G110*$AV$24)</f>
        <v>0.95331189972267427</v>
      </c>
      <c r="AC112" s="7">
        <f ca="1">$AV$11*EXP(-'3.r(t)'!H110*$AV$25)</f>
        <v>0.97436274814080814</v>
      </c>
      <c r="AD112" s="7">
        <v>1</v>
      </c>
      <c r="AE112" s="7"/>
      <c r="AF112" s="7">
        <v>104</v>
      </c>
      <c r="AG112" s="7">
        <f>$AW$7*EXP(-'3.r(t)'!D110*$AW$21)</f>
        <v>0.86718755429225491</v>
      </c>
      <c r="AH112" s="7">
        <f ca="1">$AW$8*EXP(-'3.r(t)'!E110*$AW$22)</f>
        <v>0.87656581951248302</v>
      </c>
      <c r="AI112" s="7">
        <f ca="1">$AW$9*EXP(-'3.r(t)'!F110*$AW$23)</f>
        <v>0.89442971381960645</v>
      </c>
      <c r="AJ112" s="7">
        <f ca="1">$AW$10*EXP(-'3.r(t)'!G110*$AW$24)</f>
        <v>0.93017291236198985</v>
      </c>
      <c r="AK112" s="7">
        <f ca="1">$AW$11*EXP(-'3.r(t)'!H110*$AW$25)</f>
        <v>0.94896085810122832</v>
      </c>
      <c r="AL112" s="7">
        <f ca="1">$AW$12*EXP(-'3.r(t)'!I110*$AW$26)</f>
        <v>0.97620991816179103</v>
      </c>
      <c r="AM112" s="7">
        <v>1</v>
      </c>
      <c r="AN112" s="7"/>
    </row>
    <row r="113" spans="2:40">
      <c r="B113" s="7">
        <v>105</v>
      </c>
      <c r="C113" s="7">
        <f>$AR$7*EXP(-'3.r(t)'!D111*$AR$21)</f>
        <v>0.97765346695821032</v>
      </c>
      <c r="D113" s="7">
        <v>1</v>
      </c>
      <c r="E113" s="7"/>
      <c r="F113" s="7">
        <v>105</v>
      </c>
      <c r="G113" s="48">
        <f>$AS$7*EXP(-'3.r(t)'!D111*$AS$21)</f>
        <v>0.9553476245219803</v>
      </c>
      <c r="H113" s="7">
        <f ca="1">$AS$8*EXP(-'3.r(t)'!E111*$AS$22)</f>
        <v>0.97710809113267738</v>
      </c>
      <c r="I113" s="7">
        <v>1</v>
      </c>
      <c r="J113" s="7"/>
      <c r="K113" s="7">
        <v>105</v>
      </c>
      <c r="L113" s="7">
        <f>$AT$7*EXP(-'3.r(t)'!D111*$AT$21)</f>
        <v>0.93311670519824419</v>
      </c>
      <c r="M113" s="7">
        <f ca="1">$AT$8*EXP(-'3.r(t)'!E111*$AT$22)</f>
        <v>0.95429052570981243</v>
      </c>
      <c r="N113" s="7">
        <f ca="1">$AT$9*EXP(-'3.r(t)'!F111*$AT$23)</f>
        <v>0.97818936181405369</v>
      </c>
      <c r="O113" s="7">
        <v>1</v>
      </c>
      <c r="P113" s="7"/>
      <c r="Q113" s="7">
        <v>105</v>
      </c>
      <c r="R113" s="7">
        <f>$AU$7*EXP(-'3.r(t)'!D111*$AU$21)</f>
        <v>0.91099305977534117</v>
      </c>
      <c r="S113" s="7">
        <f ca="1">$AU$8*EXP(-'3.r(t)'!E111*$AU$22)</f>
        <v>0.93158078507242925</v>
      </c>
      <c r="T113" s="7">
        <f ca="1">$AU$9*EXP(-'3.r(t)'!F111*$AU$23)</f>
        <v>0.95641222381925806</v>
      </c>
      <c r="U113" s="7">
        <f ca="1">$AU$10*EXP(-'3.r(t)'!G111*$AU$24)</f>
        <v>0.97571126492110949</v>
      </c>
      <c r="V113" s="7">
        <v>1</v>
      </c>
      <c r="W113" s="7"/>
      <c r="X113" s="7">
        <v>105</v>
      </c>
      <c r="Y113" s="7">
        <f>$AV$7*EXP(-'3.r(t)'!D111*$AV$21)</f>
        <v>0.88900715067201674</v>
      </c>
      <c r="Z113" s="7">
        <f ca="1">$AV$8*EXP(-'3.r(t)'!E111*$AV$22)</f>
        <v>0.90901040409965028</v>
      </c>
      <c r="AA113" s="7">
        <f ca="1">$AV$9*EXP(-'3.r(t)'!F111*$AV$23)</f>
        <v>0.93470176488843326</v>
      </c>
      <c r="AB113" s="7">
        <f ca="1">$AV$10*EXP(-'3.r(t)'!G111*$AV$24)</f>
        <v>0.95158095166700374</v>
      </c>
      <c r="AC113" s="7">
        <f ca="1">$AV$11*EXP(-'3.r(t)'!H111*$AV$25)</f>
        <v>0.97747977956941945</v>
      </c>
      <c r="AD113" s="7">
        <v>1</v>
      </c>
      <c r="AE113" s="7"/>
      <c r="AF113" s="7">
        <v>105</v>
      </c>
      <c r="AG113" s="7">
        <f>$AW$7*EXP(-'3.r(t)'!D111*$AW$21)</f>
        <v>0.86718755429225491</v>
      </c>
      <c r="AH113" s="7">
        <f ca="1">$AW$8*EXP(-'3.r(t)'!E111*$AW$22)</f>
        <v>0.8866089725714652</v>
      </c>
      <c r="AI113" s="7">
        <f ca="1">$AW$9*EXP(-'3.r(t)'!F111*$AW$23)</f>
        <v>0.91308936294800336</v>
      </c>
      <c r="AJ113" s="7">
        <f ca="1">$AW$10*EXP(-'3.r(t)'!G111*$AW$24)</f>
        <v>0.92764066151797031</v>
      </c>
      <c r="AK113" s="7">
        <f ca="1">$AW$11*EXP(-'3.r(t)'!H111*$AW$25)</f>
        <v>0.95504210888697061</v>
      </c>
      <c r="AL113" s="7">
        <f ca="1">$AW$12*EXP(-'3.r(t)'!I111*$AW$26)</f>
        <v>0.97203014085406581</v>
      </c>
      <c r="AM113" s="7">
        <v>1</v>
      </c>
      <c r="AN113" s="7"/>
    </row>
    <row r="114" spans="2:40">
      <c r="B114" s="7">
        <v>106</v>
      </c>
      <c r="C114" s="7">
        <f>$AR$7*EXP(-'3.r(t)'!D112*$AR$21)</f>
        <v>0.97765346695821032</v>
      </c>
      <c r="D114" s="7">
        <v>1</v>
      </c>
      <c r="E114" s="7"/>
      <c r="F114" s="7">
        <v>106</v>
      </c>
      <c r="G114" s="48">
        <f>$AS$7*EXP(-'3.r(t)'!D112*$AS$21)</f>
        <v>0.9553476245219803</v>
      </c>
      <c r="H114" s="7">
        <f ca="1">$AS$8*EXP(-'3.r(t)'!E112*$AS$22)</f>
        <v>0.97425528080454893</v>
      </c>
      <c r="I114" s="7">
        <v>1</v>
      </c>
      <c r="J114" s="7"/>
      <c r="K114" s="7">
        <v>106</v>
      </c>
      <c r="L114" s="7">
        <f>$AT$7*EXP(-'3.r(t)'!D112*$AT$21)</f>
        <v>0.93311670519824419</v>
      </c>
      <c r="M114" s="7">
        <f ca="1">$AT$8*EXP(-'3.r(t)'!E112*$AT$22)</f>
        <v>0.94872627820213917</v>
      </c>
      <c r="N114" s="7">
        <f ca="1">$AT$9*EXP(-'3.r(t)'!F112*$AT$23)</f>
        <v>0.97263994931558306</v>
      </c>
      <c r="O114" s="7">
        <v>1</v>
      </c>
      <c r="P114" s="7"/>
      <c r="Q114" s="7">
        <v>106</v>
      </c>
      <c r="R114" s="7">
        <f>$AU$7*EXP(-'3.r(t)'!D112*$AU$21)</f>
        <v>0.91099305977534117</v>
      </c>
      <c r="S114" s="7">
        <f ca="1">$AU$8*EXP(-'3.r(t)'!E112*$AU$22)</f>
        <v>0.92344492516135468</v>
      </c>
      <c r="T114" s="7">
        <f ca="1">$AU$9*EXP(-'3.r(t)'!F112*$AU$23)</f>
        <v>0.94559127039967261</v>
      </c>
      <c r="U114" s="7">
        <f ca="1">$AU$10*EXP(-'3.r(t)'!G112*$AU$24)</f>
        <v>0.97279061429550706</v>
      </c>
      <c r="V114" s="7">
        <v>1</v>
      </c>
      <c r="W114" s="7"/>
      <c r="X114" s="7">
        <v>106</v>
      </c>
      <c r="Y114" s="7">
        <f>$AV$7*EXP(-'3.r(t)'!D112*$AV$21)</f>
        <v>0.88900715067201674</v>
      </c>
      <c r="Z114" s="7">
        <f ca="1">$AV$8*EXP(-'3.r(t)'!E112*$AV$22)</f>
        <v>0.89844084934674151</v>
      </c>
      <c r="AA114" s="7">
        <f ca="1">$AV$9*EXP(-'3.r(t)'!F112*$AV$23)</f>
        <v>0.91888374039182996</v>
      </c>
      <c r="AB114" s="7">
        <f ca="1">$AV$10*EXP(-'3.r(t)'!G112*$AV$24)</f>
        <v>0.94589263795841139</v>
      </c>
      <c r="AC114" s="7">
        <f ca="1">$AV$11*EXP(-'3.r(t)'!H112*$AV$25)</f>
        <v>0.97167959388339376</v>
      </c>
      <c r="AD114" s="7">
        <v>1</v>
      </c>
      <c r="AE114" s="7"/>
      <c r="AF114" s="7">
        <v>106</v>
      </c>
      <c r="AG114" s="7">
        <f>$AW$7*EXP(-'3.r(t)'!D112*$AW$21)</f>
        <v>0.86718755429225491</v>
      </c>
      <c r="AH114" s="7">
        <f ca="1">$AW$8*EXP(-'3.r(t)'!E112*$AW$22)</f>
        <v>0.87374140534854405</v>
      </c>
      <c r="AI114" s="7">
        <f ca="1">$AW$9*EXP(-'3.r(t)'!F112*$AW$23)</f>
        <v>0.89254465910483927</v>
      </c>
      <c r="AJ114" s="7">
        <f ca="1">$AW$10*EXP(-'3.r(t)'!G112*$AW$24)</f>
        <v>0.91933529744097064</v>
      </c>
      <c r="AK114" s="7">
        <f ca="1">$AW$11*EXP(-'3.r(t)'!H112*$AW$25)</f>
        <v>0.94374164676124084</v>
      </c>
      <c r="AL114" s="7">
        <f ca="1">$AW$12*EXP(-'3.r(t)'!I112*$AW$26)</f>
        <v>0.96403824023287299</v>
      </c>
      <c r="AM114" s="7">
        <v>1</v>
      </c>
      <c r="AN114" s="7"/>
    </row>
    <row r="115" spans="2:40">
      <c r="B115" s="7">
        <v>107</v>
      </c>
      <c r="C115" s="7">
        <f>$AR$7*EXP(-'3.r(t)'!D113*$AR$21)</f>
        <v>0.97765346695821032</v>
      </c>
      <c r="D115" s="7">
        <v>1</v>
      </c>
      <c r="E115" s="7"/>
      <c r="F115" s="7">
        <v>107</v>
      </c>
      <c r="G115" s="48">
        <f>$AS$7*EXP(-'3.r(t)'!D113*$AS$21)</f>
        <v>0.9553476245219803</v>
      </c>
      <c r="H115" s="7">
        <f ca="1">$AS$8*EXP(-'3.r(t)'!E113*$AS$22)</f>
        <v>0.97831807460167253</v>
      </c>
      <c r="I115" s="7">
        <v>1</v>
      </c>
      <c r="J115" s="7"/>
      <c r="K115" s="7">
        <v>107</v>
      </c>
      <c r="L115" s="7">
        <f>$AT$7*EXP(-'3.r(t)'!D113*$AT$21)</f>
        <v>0.93311670519824419</v>
      </c>
      <c r="M115" s="7">
        <f ca="1">$AT$8*EXP(-'3.r(t)'!E113*$AT$22)</f>
        <v>0.95665544461027618</v>
      </c>
      <c r="N115" s="7">
        <f ca="1">$AT$9*EXP(-'3.r(t)'!F113*$AT$23)</f>
        <v>0.97319464613409667</v>
      </c>
      <c r="O115" s="7">
        <v>1</v>
      </c>
      <c r="P115" s="7"/>
      <c r="Q115" s="7">
        <v>107</v>
      </c>
      <c r="R115" s="7">
        <f>$AU$7*EXP(-'3.r(t)'!D113*$AU$21)</f>
        <v>0.91099305977534117</v>
      </c>
      <c r="S115" s="7">
        <f ca="1">$AU$8*EXP(-'3.r(t)'!E113*$AU$22)</f>
        <v>0.93504588923052112</v>
      </c>
      <c r="T115" s="7">
        <f ca="1">$AU$9*EXP(-'3.r(t)'!F113*$AU$23)</f>
        <v>0.9466701198456865</v>
      </c>
      <c r="U115" s="7">
        <f ca="1">$AU$10*EXP(-'3.r(t)'!G113*$AU$24)</f>
        <v>0.9711551863112835</v>
      </c>
      <c r="V115" s="7">
        <v>1</v>
      </c>
      <c r="W115" s="7"/>
      <c r="X115" s="7">
        <v>107</v>
      </c>
      <c r="Y115" s="7">
        <f>$AV$7*EXP(-'3.r(t)'!D113*$AV$21)</f>
        <v>0.88900715067201674</v>
      </c>
      <c r="Z115" s="7">
        <f ca="1">$AV$8*EXP(-'3.r(t)'!E113*$AV$22)</f>
        <v>0.91352139852063641</v>
      </c>
      <c r="AA115" s="7">
        <f ca="1">$AV$9*EXP(-'3.r(t)'!F113*$AV$23)</f>
        <v>0.92045675605744348</v>
      </c>
      <c r="AB115" s="7">
        <f ca="1">$AV$10*EXP(-'3.r(t)'!G113*$AV$24)</f>
        <v>0.94271489563185251</v>
      </c>
      <c r="AC115" s="7">
        <f ca="1">$AV$11*EXP(-'3.r(t)'!H113*$AV$25)</f>
        <v>0.96723380168960282</v>
      </c>
      <c r="AD115" s="7">
        <v>1</v>
      </c>
      <c r="AE115" s="7"/>
      <c r="AF115" s="7">
        <v>107</v>
      </c>
      <c r="AG115" s="7">
        <f>$AW$7*EXP(-'3.r(t)'!D113*$AW$21)</f>
        <v>0.86718755429225491</v>
      </c>
      <c r="AH115" s="7">
        <f ca="1">$AW$8*EXP(-'3.r(t)'!E113*$AW$22)</f>
        <v>0.89211216316844921</v>
      </c>
      <c r="AI115" s="7">
        <f ca="1">$AW$9*EXP(-'3.r(t)'!F113*$AW$23)</f>
        <v>0.89458247534118962</v>
      </c>
      <c r="AJ115" s="7">
        <f ca="1">$AW$10*EXP(-'3.r(t)'!G113*$AW$24)</f>
        <v>0.91470640686379212</v>
      </c>
      <c r="AK115" s="7">
        <f ca="1">$AW$11*EXP(-'3.r(t)'!H113*$AW$25)</f>
        <v>0.93512547146400449</v>
      </c>
      <c r="AL115" s="7">
        <f ca="1">$AW$12*EXP(-'3.r(t)'!I113*$AW$26)</f>
        <v>0.96684620433018043</v>
      </c>
      <c r="AM115" s="7">
        <v>1</v>
      </c>
      <c r="AN115" s="7"/>
    </row>
    <row r="116" spans="2:40">
      <c r="B116" s="7">
        <v>108</v>
      </c>
      <c r="C116" s="7">
        <f>$AR$7*EXP(-'3.r(t)'!D114*$AR$21)</f>
        <v>0.97765346695821032</v>
      </c>
      <c r="D116" s="7">
        <v>1</v>
      </c>
      <c r="E116" s="7"/>
      <c r="F116" s="7">
        <v>108</v>
      </c>
      <c r="G116" s="48">
        <f>$AS$7*EXP(-'3.r(t)'!D114*$AS$21)</f>
        <v>0.9553476245219803</v>
      </c>
      <c r="H116" s="7">
        <f ca="1">$AS$8*EXP(-'3.r(t)'!E114*$AS$22)</f>
        <v>0.98128798572279863</v>
      </c>
      <c r="I116" s="7">
        <v>1</v>
      </c>
      <c r="J116" s="7"/>
      <c r="K116" s="7">
        <v>108</v>
      </c>
      <c r="L116" s="7">
        <f>$AT$7*EXP(-'3.r(t)'!D114*$AT$21)</f>
        <v>0.93311670519824419</v>
      </c>
      <c r="M116" s="7">
        <f ca="1">$AT$8*EXP(-'3.r(t)'!E114*$AT$22)</f>
        <v>0.96247255920806385</v>
      </c>
      <c r="N116" s="7">
        <f ca="1">$AT$9*EXP(-'3.r(t)'!F114*$AT$23)</f>
        <v>0.97981545492299016</v>
      </c>
      <c r="O116" s="7">
        <v>1</v>
      </c>
      <c r="P116" s="7"/>
      <c r="Q116" s="7">
        <v>108</v>
      </c>
      <c r="R116" s="7">
        <f>$AU$7*EXP(-'3.r(t)'!D114*$AU$21)</f>
        <v>0.91099305977534117</v>
      </c>
      <c r="S116" s="7">
        <f ca="1">$AU$8*EXP(-'3.r(t)'!E114*$AU$22)</f>
        <v>0.94358741174108496</v>
      </c>
      <c r="T116" s="7">
        <f ca="1">$AU$9*EXP(-'3.r(t)'!F114*$AU$23)</f>
        <v>0.95959465054221083</v>
      </c>
      <c r="U116" s="7">
        <f ca="1">$AU$10*EXP(-'3.r(t)'!G114*$AU$24)</f>
        <v>0.9776489286068234</v>
      </c>
      <c r="V116" s="7">
        <v>1</v>
      </c>
      <c r="W116" s="7"/>
      <c r="X116" s="7">
        <v>108</v>
      </c>
      <c r="Y116" s="7">
        <f>$AV$7*EXP(-'3.r(t)'!D114*$AV$21)</f>
        <v>0.88900715067201674</v>
      </c>
      <c r="Z116" s="7">
        <f ca="1">$AV$8*EXP(-'3.r(t)'!E114*$AV$22)</f>
        <v>0.92466483628604401</v>
      </c>
      <c r="AA116" s="7">
        <f ca="1">$AV$9*EXP(-'3.r(t)'!F114*$AV$23)</f>
        <v>0.93937092257155808</v>
      </c>
      <c r="AB116" s="7">
        <f ca="1">$AV$10*EXP(-'3.r(t)'!G114*$AV$24)</f>
        <v>0.95536419116403559</v>
      </c>
      <c r="AC116" s="7">
        <f ca="1">$AV$11*EXP(-'3.r(t)'!H114*$AV$25)</f>
        <v>0.9821975131553472</v>
      </c>
      <c r="AD116" s="7">
        <v>1</v>
      </c>
      <c r="AE116" s="7"/>
      <c r="AF116" s="7">
        <v>108</v>
      </c>
      <c r="AG116" s="7">
        <f>$AW$7*EXP(-'3.r(t)'!D114*$AW$21)</f>
        <v>0.86718755429225491</v>
      </c>
      <c r="AH116" s="7">
        <f ca="1">$AW$8*EXP(-'3.r(t)'!E114*$AW$22)</f>
        <v>0.90573569275572408</v>
      </c>
      <c r="AI116" s="7">
        <f ca="1">$AW$9*EXP(-'3.r(t)'!F114*$AW$23)</f>
        <v>0.9191760156585923</v>
      </c>
      <c r="AJ116" s="7">
        <f ca="1">$AW$10*EXP(-'3.r(t)'!G114*$AW$24)</f>
        <v>0.93317824507038794</v>
      </c>
      <c r="AK116" s="7">
        <f ca="1">$AW$11*EXP(-'3.r(t)'!H114*$AW$25)</f>
        <v>0.96428323567451368</v>
      </c>
      <c r="AL116" s="7">
        <f ca="1">$AW$12*EXP(-'3.r(t)'!I114*$AW$26)</f>
        <v>0.97720721987807602</v>
      </c>
      <c r="AM116" s="7">
        <v>1</v>
      </c>
      <c r="AN116" s="7"/>
    </row>
    <row r="117" spans="2:40">
      <c r="B117" s="7">
        <v>109</v>
      </c>
      <c r="C117" s="7">
        <f>$AR$7*EXP(-'3.r(t)'!D115*$AR$21)</f>
        <v>0.97765346695821032</v>
      </c>
      <c r="D117" s="7">
        <v>1</v>
      </c>
      <c r="E117" s="7"/>
      <c r="F117" s="7">
        <v>109</v>
      </c>
      <c r="G117" s="48">
        <f>$AS$7*EXP(-'3.r(t)'!D115*$AS$21)</f>
        <v>0.9553476245219803</v>
      </c>
      <c r="H117" s="7">
        <f ca="1">$AS$8*EXP(-'3.r(t)'!E115*$AS$22)</f>
        <v>0.97891853968252962</v>
      </c>
      <c r="I117" s="7">
        <v>1</v>
      </c>
      <c r="J117" s="7"/>
      <c r="K117" s="7">
        <v>109</v>
      </c>
      <c r="L117" s="7">
        <f>$AT$7*EXP(-'3.r(t)'!D115*$AT$21)</f>
        <v>0.93311670519824419</v>
      </c>
      <c r="M117" s="7">
        <f ca="1">$AT$8*EXP(-'3.r(t)'!E115*$AT$22)</f>
        <v>0.9578301432918247</v>
      </c>
      <c r="N117" s="7">
        <f ca="1">$AT$9*EXP(-'3.r(t)'!F115*$AT$23)</f>
        <v>0.97938942727393397</v>
      </c>
      <c r="O117" s="7">
        <v>1</v>
      </c>
      <c r="P117" s="7"/>
      <c r="Q117" s="7">
        <v>109</v>
      </c>
      <c r="R117" s="7">
        <f>$AU$7*EXP(-'3.r(t)'!D115*$AU$21)</f>
        <v>0.91099305977534117</v>
      </c>
      <c r="S117" s="7">
        <f ca="1">$AU$8*EXP(-'3.r(t)'!E115*$AU$22)</f>
        <v>0.93676866355399524</v>
      </c>
      <c r="T117" s="7">
        <f ca="1">$AU$9*EXP(-'3.r(t)'!F115*$AU$23)</f>
        <v>0.95876036083179472</v>
      </c>
      <c r="U117" s="7">
        <f ca="1">$AU$10*EXP(-'3.r(t)'!G115*$AU$24)</f>
        <v>0.98122329729179658</v>
      </c>
      <c r="V117" s="7">
        <v>1</v>
      </c>
      <c r="W117" s="7"/>
      <c r="X117" s="7">
        <v>109</v>
      </c>
      <c r="Y117" s="7">
        <f>$AV$7*EXP(-'3.r(t)'!D115*$AV$21)</f>
        <v>0.88900715067201674</v>
      </c>
      <c r="Z117" s="7">
        <f ca="1">$AV$8*EXP(-'3.r(t)'!E115*$AV$22)</f>
        <v>0.91576624275968221</v>
      </c>
      <c r="AA117" s="7">
        <f ca="1">$AV$9*EXP(-'3.r(t)'!F115*$AV$23)</f>
        <v>0.93814612865366642</v>
      </c>
      <c r="AB117" s="7">
        <f ca="1">$AV$10*EXP(-'3.r(t)'!G115*$AV$24)</f>
        <v>0.96236274901560381</v>
      </c>
      <c r="AC117" s="7">
        <f ca="1">$AV$11*EXP(-'3.r(t)'!H115*$AV$25)</f>
        <v>0.97889014228560822</v>
      </c>
      <c r="AD117" s="7">
        <v>1</v>
      </c>
      <c r="AE117" s="7"/>
      <c r="AF117" s="7">
        <v>109</v>
      </c>
      <c r="AG117" s="7">
        <f>$AW$7*EXP(-'3.r(t)'!D115*$AW$21)</f>
        <v>0.86718755429225491</v>
      </c>
      <c r="AH117" s="7">
        <f ca="1">$AW$8*EXP(-'3.r(t)'!E115*$AW$22)</f>
        <v>0.89485329713209782</v>
      </c>
      <c r="AI117" s="7">
        <f ca="1">$AW$9*EXP(-'3.r(t)'!F115*$AW$23)</f>
        <v>0.91757841248186756</v>
      </c>
      <c r="AJ117" s="7">
        <f ca="1">$AW$10*EXP(-'3.r(t)'!G115*$AW$24)</f>
        <v>0.94345105206801716</v>
      </c>
      <c r="AK117" s="7">
        <f ca="1">$AW$11*EXP(-'3.r(t)'!H115*$AW$25)</f>
        <v>0.9578000738958814</v>
      </c>
      <c r="AL117" s="7">
        <f ca="1">$AW$12*EXP(-'3.r(t)'!I115*$AW$26)</f>
        <v>0.9782052081063638</v>
      </c>
      <c r="AM117" s="7">
        <v>1</v>
      </c>
      <c r="AN117" s="7"/>
    </row>
    <row r="118" spans="2:40">
      <c r="B118" s="7">
        <v>110</v>
      </c>
      <c r="C118" s="7">
        <f>$AR$7*EXP(-'3.r(t)'!D116*$AR$21)</f>
        <v>0.97765346695821032</v>
      </c>
      <c r="D118" s="7">
        <v>1</v>
      </c>
      <c r="E118" s="7"/>
      <c r="F118" s="7">
        <v>110</v>
      </c>
      <c r="G118" s="48">
        <f>$AS$7*EXP(-'3.r(t)'!D116*$AS$21)</f>
        <v>0.9553476245219803</v>
      </c>
      <c r="H118" s="7">
        <f ca="1">$AS$8*EXP(-'3.r(t)'!E116*$AS$22)</f>
        <v>0.97688830224560697</v>
      </c>
      <c r="I118" s="7">
        <v>1</v>
      </c>
      <c r="J118" s="7"/>
      <c r="K118" s="7">
        <v>110</v>
      </c>
      <c r="L118" s="7">
        <f>$AT$7*EXP(-'3.r(t)'!D116*$AT$21)</f>
        <v>0.93311670519824419</v>
      </c>
      <c r="M118" s="7">
        <f ca="1">$AT$8*EXP(-'3.r(t)'!E116*$AT$22)</f>
        <v>0.95386126130201332</v>
      </c>
      <c r="N118" s="7">
        <f ca="1">$AT$9*EXP(-'3.r(t)'!F116*$AT$23)</f>
        <v>0.97783810575513797</v>
      </c>
      <c r="O118" s="7">
        <v>1</v>
      </c>
      <c r="P118" s="7"/>
      <c r="Q118" s="7">
        <v>110</v>
      </c>
      <c r="R118" s="7">
        <f>$AU$7*EXP(-'3.r(t)'!D116*$AU$21)</f>
        <v>0.91099305977534117</v>
      </c>
      <c r="S118" s="7">
        <f ca="1">$AU$8*EXP(-'3.r(t)'!E116*$AU$22)</f>
        <v>0.93095228229077098</v>
      </c>
      <c r="T118" s="7">
        <f ca="1">$AU$9*EXP(-'3.r(t)'!F116*$AU$23)</f>
        <v>0.95572547484296499</v>
      </c>
      <c r="U118" s="7">
        <f ca="1">$AU$10*EXP(-'3.r(t)'!G116*$AU$24)</f>
        <v>0.9776004116638517</v>
      </c>
      <c r="V118" s="7">
        <v>1</v>
      </c>
      <c r="W118" s="7"/>
      <c r="X118" s="7">
        <v>110</v>
      </c>
      <c r="Y118" s="7">
        <f>$AV$7*EXP(-'3.r(t)'!D116*$AV$21)</f>
        <v>0.88900715067201674</v>
      </c>
      <c r="Z118" s="7">
        <f ca="1">$AV$8*EXP(-'3.r(t)'!E116*$AV$22)</f>
        <v>0.90819279554127819</v>
      </c>
      <c r="AA118" s="7">
        <f ca="1">$AV$9*EXP(-'3.r(t)'!F116*$AV$23)</f>
        <v>0.93369520586375498</v>
      </c>
      <c r="AB118" s="7">
        <f ca="1">$AV$10*EXP(-'3.r(t)'!G116*$AV$24)</f>
        <v>0.95526937144193635</v>
      </c>
      <c r="AC118" s="7">
        <f ca="1">$AV$11*EXP(-'3.r(t)'!H116*$AV$25)</f>
        <v>0.97893756163700452</v>
      </c>
      <c r="AD118" s="7">
        <v>1</v>
      </c>
      <c r="AE118" s="7"/>
      <c r="AF118" s="7">
        <v>110</v>
      </c>
      <c r="AG118" s="7">
        <f>$AW$7*EXP(-'3.r(t)'!D116*$AW$21)</f>
        <v>0.86718755429225491</v>
      </c>
      <c r="AH118" s="7">
        <f ca="1">$AW$8*EXP(-'3.r(t)'!E116*$AW$22)</f>
        <v>0.8856122601561347</v>
      </c>
      <c r="AI118" s="7">
        <f ca="1">$AW$9*EXP(-'3.r(t)'!F116*$AW$23)</f>
        <v>0.91177855148152054</v>
      </c>
      <c r="AJ118" s="7">
        <f ca="1">$AW$10*EXP(-'3.r(t)'!G116*$AW$24)</f>
        <v>0.93303932186107552</v>
      </c>
      <c r="AK118" s="7">
        <f ca="1">$AW$11*EXP(-'3.r(t)'!H116*$AW$25)</f>
        <v>0.95789287155801761</v>
      </c>
      <c r="AL118" s="7">
        <f ca="1">$AW$12*EXP(-'3.r(t)'!I116*$AW$26)</f>
        <v>0.98282714526795978</v>
      </c>
      <c r="AM118" s="7">
        <v>1</v>
      </c>
      <c r="AN118" s="7"/>
    </row>
    <row r="119" spans="2:40">
      <c r="B119" s="7">
        <v>111</v>
      </c>
      <c r="C119" s="7">
        <f>$AR$7*EXP(-'3.r(t)'!D117*$AR$21)</f>
        <v>0.97765346695821032</v>
      </c>
      <c r="D119" s="7">
        <v>1</v>
      </c>
      <c r="E119" s="7"/>
      <c r="F119" s="7">
        <v>111</v>
      </c>
      <c r="G119" s="48">
        <f>$AS$7*EXP(-'3.r(t)'!D117*$AS$21)</f>
        <v>0.9553476245219803</v>
      </c>
      <c r="H119" s="7">
        <f ca="1">$AS$8*EXP(-'3.r(t)'!E117*$AS$22)</f>
        <v>0.97207344774868476</v>
      </c>
      <c r="I119" s="7">
        <v>1</v>
      </c>
      <c r="J119" s="7"/>
      <c r="K119" s="7">
        <v>111</v>
      </c>
      <c r="L119" s="7">
        <f>$AT$7*EXP(-'3.r(t)'!D117*$AT$21)</f>
        <v>0.93311670519824419</v>
      </c>
      <c r="M119" s="7">
        <f ca="1">$AT$8*EXP(-'3.r(t)'!E117*$AT$22)</f>
        <v>0.94448171403602954</v>
      </c>
      <c r="N119" s="7">
        <f ca="1">$AT$9*EXP(-'3.r(t)'!F117*$AT$23)</f>
        <v>0.97119515256654321</v>
      </c>
      <c r="O119" s="7">
        <v>1</v>
      </c>
      <c r="P119" s="7"/>
      <c r="Q119" s="7">
        <v>111</v>
      </c>
      <c r="R119" s="7">
        <f>$AU$7*EXP(-'3.r(t)'!D117*$AU$21)</f>
        <v>0.91099305977534117</v>
      </c>
      <c r="S119" s="7">
        <f ca="1">$AU$8*EXP(-'3.r(t)'!E117*$AU$22)</f>
        <v>0.91725467725282606</v>
      </c>
      <c r="T119" s="7">
        <f ca="1">$AU$9*EXP(-'3.r(t)'!F117*$AU$23)</f>
        <v>0.94278412166825987</v>
      </c>
      <c r="U119" s="7">
        <f ca="1">$AU$10*EXP(-'3.r(t)'!G117*$AU$24)</f>
        <v>0.9750692240149087</v>
      </c>
      <c r="V119" s="7">
        <v>1</v>
      </c>
      <c r="W119" s="7"/>
      <c r="X119" s="7">
        <v>111</v>
      </c>
      <c r="Y119" s="7">
        <f>$AV$7*EXP(-'3.r(t)'!D117*$AV$21)</f>
        <v>0.88900715067201674</v>
      </c>
      <c r="Z119" s="7">
        <f ca="1">$AV$8*EXP(-'3.r(t)'!E117*$AV$22)</f>
        <v>0.89041965457236161</v>
      </c>
      <c r="AA119" s="7">
        <f ca="1">$AV$9*EXP(-'3.r(t)'!F117*$AV$23)</f>
        <v>0.91479498437315598</v>
      </c>
      <c r="AB119" s="7">
        <f ca="1">$AV$10*EXP(-'3.r(t)'!G117*$AV$24)</f>
        <v>0.95032903850890038</v>
      </c>
      <c r="AC119" s="7">
        <f ca="1">$AV$11*EXP(-'3.r(t)'!H117*$AV$25)</f>
        <v>0.97156150967938648</v>
      </c>
      <c r="AD119" s="7">
        <v>1</v>
      </c>
      <c r="AE119" s="7"/>
      <c r="AF119" s="7">
        <v>111</v>
      </c>
      <c r="AG119" s="7">
        <f>$AW$7*EXP(-'3.r(t)'!D117*$AW$21)</f>
        <v>0.86718755429225491</v>
      </c>
      <c r="AH119" s="7">
        <f ca="1">$AW$8*EXP(-'3.r(t)'!E117*$AW$22)</f>
        <v>0.86400146096731423</v>
      </c>
      <c r="AI119" s="7">
        <f ca="1">$AW$9*EXP(-'3.r(t)'!F117*$AW$23)</f>
        <v>0.88725318344131809</v>
      </c>
      <c r="AJ119" s="7">
        <f ca="1">$AW$10*EXP(-'3.r(t)'!G117*$AW$24)</f>
        <v>0.92581063828090437</v>
      </c>
      <c r="AK119" s="7">
        <f ca="1">$AW$11*EXP(-'3.r(t)'!H117*$AW$25)</f>
        <v>0.943512282657339</v>
      </c>
      <c r="AL119" s="7">
        <f ca="1">$AW$12*EXP(-'3.r(t)'!I117*$AW$26)</f>
        <v>0.96928008644051611</v>
      </c>
      <c r="AM119" s="7">
        <v>1</v>
      </c>
      <c r="AN119" s="7"/>
    </row>
    <row r="120" spans="2:40">
      <c r="B120" s="7">
        <v>112</v>
      </c>
      <c r="C120" s="7">
        <f>$AR$7*EXP(-'3.r(t)'!D118*$AR$21)</f>
        <v>0.97765346695821032</v>
      </c>
      <c r="D120" s="7">
        <v>1</v>
      </c>
      <c r="E120" s="7"/>
      <c r="F120" s="7">
        <v>112</v>
      </c>
      <c r="G120" s="48">
        <f>$AS$7*EXP(-'3.r(t)'!D118*$AS$21)</f>
        <v>0.9553476245219803</v>
      </c>
      <c r="H120" s="7">
        <f ca="1">$AS$8*EXP(-'3.r(t)'!E118*$AS$22)</f>
        <v>0.97429633913219094</v>
      </c>
      <c r="I120" s="7">
        <v>1</v>
      </c>
      <c r="J120" s="7"/>
      <c r="K120" s="7">
        <v>112</v>
      </c>
      <c r="L120" s="7">
        <f>$AT$7*EXP(-'3.r(t)'!D118*$AT$21)</f>
        <v>0.93311670519824419</v>
      </c>
      <c r="M120" s="7">
        <f ca="1">$AT$8*EXP(-'3.r(t)'!E118*$AT$22)</f>
        <v>0.94880624478984332</v>
      </c>
      <c r="N120" s="7">
        <f ca="1">$AT$9*EXP(-'3.r(t)'!F118*$AT$23)</f>
        <v>0.97382952869285067</v>
      </c>
      <c r="O120" s="7">
        <v>1</v>
      </c>
      <c r="P120" s="7"/>
      <c r="Q120" s="7">
        <v>112</v>
      </c>
      <c r="R120" s="7">
        <f>$AU$7*EXP(-'3.r(t)'!D118*$AU$21)</f>
        <v>0.91099305977534117</v>
      </c>
      <c r="S120" s="7">
        <f ca="1">$AU$8*EXP(-'3.r(t)'!E118*$AU$22)</f>
        <v>0.92356168111721237</v>
      </c>
      <c r="T120" s="7">
        <f ca="1">$AU$9*EXP(-'3.r(t)'!F118*$AU$23)</f>
        <v>0.9479056802659277</v>
      </c>
      <c r="U120" s="7">
        <f ca="1">$AU$10*EXP(-'3.r(t)'!G118*$AU$24)</f>
        <v>0.97041899475799154</v>
      </c>
      <c r="V120" s="7">
        <v>1</v>
      </c>
      <c r="W120" s="7"/>
      <c r="X120" s="7">
        <v>112</v>
      </c>
      <c r="Y120" s="7">
        <f>$AV$7*EXP(-'3.r(t)'!D118*$AV$21)</f>
        <v>0.88900715067201674</v>
      </c>
      <c r="Z120" s="7">
        <f ca="1">$AV$8*EXP(-'3.r(t)'!E118*$AV$22)</f>
        <v>0.89859231195189204</v>
      </c>
      <c r="AA120" s="7">
        <f ca="1">$AV$9*EXP(-'3.r(t)'!F118*$AV$23)</f>
        <v>0.92225936540816122</v>
      </c>
      <c r="AB120" s="7">
        <f ca="1">$AV$10*EXP(-'3.r(t)'!G118*$AV$24)</f>
        <v>0.94128617301363504</v>
      </c>
      <c r="AC120" s="7">
        <f ca="1">$AV$11*EXP(-'3.r(t)'!H118*$AV$25)</f>
        <v>0.96908228958700238</v>
      </c>
      <c r="AD120" s="7">
        <v>1</v>
      </c>
      <c r="AE120" s="7"/>
      <c r="AF120" s="7">
        <v>112</v>
      </c>
      <c r="AG120" s="7">
        <f>$AW$7*EXP(-'3.r(t)'!D118*$AW$21)</f>
        <v>0.86718755429225491</v>
      </c>
      <c r="AH120" s="7">
        <f ca="1">$AW$8*EXP(-'3.r(t)'!E118*$AW$22)</f>
        <v>0.87392553257606398</v>
      </c>
      <c r="AI120" s="7">
        <f ca="1">$AW$9*EXP(-'3.r(t)'!F118*$AW$23)</f>
        <v>0.89691915415303447</v>
      </c>
      <c r="AJ120" s="7">
        <f ca="1">$AW$10*EXP(-'3.r(t)'!G118*$AW$24)</f>
        <v>0.91262778299306879</v>
      </c>
      <c r="AK120" s="7">
        <f ca="1">$AW$11*EXP(-'3.r(t)'!H118*$AW$25)</f>
        <v>0.93870313769813807</v>
      </c>
      <c r="AL120" s="7">
        <f ca="1">$AW$12*EXP(-'3.r(t)'!I118*$AW$26)</f>
        <v>0.9656644878161218</v>
      </c>
      <c r="AM120" s="7">
        <v>1</v>
      </c>
      <c r="AN120" s="7"/>
    </row>
    <row r="121" spans="2:40">
      <c r="B121" s="7">
        <v>113</v>
      </c>
      <c r="C121" s="7">
        <f>$AR$7*EXP(-'3.r(t)'!D119*$AR$21)</f>
        <v>0.97765346695821032</v>
      </c>
      <c r="D121" s="7">
        <v>1</v>
      </c>
      <c r="E121" s="7"/>
      <c r="F121" s="7">
        <v>113</v>
      </c>
      <c r="G121" s="48">
        <f>$AS$7*EXP(-'3.r(t)'!D119*$AS$21)</f>
        <v>0.9553476245219803</v>
      </c>
      <c r="H121" s="7">
        <f ca="1">$AS$8*EXP(-'3.r(t)'!E119*$AS$22)</f>
        <v>0.98142562619041607</v>
      </c>
      <c r="I121" s="7">
        <v>1</v>
      </c>
      <c r="J121" s="7"/>
      <c r="K121" s="7">
        <v>113</v>
      </c>
      <c r="L121" s="7">
        <f>$AT$7*EXP(-'3.r(t)'!D119*$AT$21)</f>
        <v>0.93311670519824419</v>
      </c>
      <c r="M121" s="7">
        <f ca="1">$AT$8*EXP(-'3.r(t)'!E119*$AT$22)</f>
        <v>0.96274258078352037</v>
      </c>
      <c r="N121" s="7">
        <f ca="1">$AT$9*EXP(-'3.r(t)'!F119*$AT$23)</f>
        <v>0.97683963280594432</v>
      </c>
      <c r="O121" s="7">
        <v>1</v>
      </c>
      <c r="P121" s="7"/>
      <c r="Q121" s="7">
        <v>113</v>
      </c>
      <c r="R121" s="7">
        <f>$AU$7*EXP(-'3.r(t)'!D119*$AU$21)</f>
        <v>0.91099305977534117</v>
      </c>
      <c r="S121" s="7">
        <f ca="1">$AU$8*EXP(-'3.r(t)'!E119*$AU$22)</f>
        <v>0.9439845246142986</v>
      </c>
      <c r="T121" s="7">
        <f ca="1">$AU$9*EXP(-'3.r(t)'!F119*$AU$23)</f>
        <v>0.95377468395815701</v>
      </c>
      <c r="U121" s="7">
        <f ca="1">$AU$10*EXP(-'3.r(t)'!G119*$AU$24)</f>
        <v>0.97343851960949623</v>
      </c>
      <c r="V121" s="7">
        <v>1</v>
      </c>
      <c r="W121" s="7"/>
      <c r="X121" s="7">
        <v>113</v>
      </c>
      <c r="Y121" s="7">
        <f>$AV$7*EXP(-'3.r(t)'!D119*$AV$21)</f>
        <v>0.88900715067201674</v>
      </c>
      <c r="Z121" s="7">
        <f ca="1">$AV$8*EXP(-'3.r(t)'!E119*$AV$22)</f>
        <v>0.92518373831030787</v>
      </c>
      <c r="AA121" s="7">
        <f ca="1">$AV$9*EXP(-'3.r(t)'!F119*$AV$23)</f>
        <v>0.93083792985331726</v>
      </c>
      <c r="AB121" s="7">
        <f ca="1">$AV$10*EXP(-'3.r(t)'!G119*$AV$24)</f>
        <v>0.94715303859281474</v>
      </c>
      <c r="AC121" s="7">
        <f ca="1">$AV$11*EXP(-'3.r(t)'!H119*$AV$25)</f>
        <v>0.97236606146613236</v>
      </c>
      <c r="AD121" s="7">
        <v>1</v>
      </c>
      <c r="AE121" s="7"/>
      <c r="AF121" s="7">
        <v>113</v>
      </c>
      <c r="AG121" s="7">
        <f>$AW$7*EXP(-'3.r(t)'!D119*$AW$21)</f>
        <v>0.86718755429225491</v>
      </c>
      <c r="AH121" s="7">
        <f ca="1">$AW$8*EXP(-'3.r(t)'!E119*$AW$22)</f>
        <v>0.90637108656241894</v>
      </c>
      <c r="AI121" s="7">
        <f ca="1">$AW$9*EXP(-'3.r(t)'!F119*$AW$23)</f>
        <v>0.90806017410823514</v>
      </c>
      <c r="AJ121" s="7">
        <f ca="1">$AW$10*EXP(-'3.r(t)'!G119*$AW$24)</f>
        <v>0.92117342895038734</v>
      </c>
      <c r="AK121" s="7">
        <f ca="1">$AW$11*EXP(-'3.r(t)'!H119*$AW$25)</f>
        <v>0.94507557801875952</v>
      </c>
      <c r="AL121" s="7">
        <f ca="1">$AW$12*EXP(-'3.r(t)'!I119*$AW$26)</f>
        <v>0.974985248734759</v>
      </c>
      <c r="AM121" s="7">
        <v>1</v>
      </c>
      <c r="AN121" s="7"/>
    </row>
    <row r="122" spans="2:40">
      <c r="B122" s="7">
        <v>114</v>
      </c>
      <c r="C122" s="7">
        <f>$AR$7*EXP(-'3.r(t)'!D120*$AR$21)</f>
        <v>0.97765346695821032</v>
      </c>
      <c r="D122" s="7">
        <v>1</v>
      </c>
      <c r="E122" s="7"/>
      <c r="F122" s="7">
        <v>114</v>
      </c>
      <c r="G122" s="48">
        <f>$AS$7*EXP(-'3.r(t)'!D120*$AS$21)</f>
        <v>0.9553476245219803</v>
      </c>
      <c r="H122" s="7">
        <f ca="1">$AS$8*EXP(-'3.r(t)'!E120*$AS$22)</f>
        <v>0.97822543931333217</v>
      </c>
      <c r="I122" s="7">
        <v>1</v>
      </c>
      <c r="J122" s="7"/>
      <c r="K122" s="7">
        <v>114</v>
      </c>
      <c r="L122" s="7">
        <f>$AT$7*EXP(-'3.r(t)'!D120*$AT$21)</f>
        <v>0.93311670519824419</v>
      </c>
      <c r="M122" s="7">
        <f ca="1">$AT$8*EXP(-'3.r(t)'!E120*$AT$22)</f>
        <v>0.95647428500664045</v>
      </c>
      <c r="N122" s="7">
        <f ca="1">$AT$9*EXP(-'3.r(t)'!F120*$AT$23)</f>
        <v>0.97920221583313172</v>
      </c>
      <c r="O122" s="7">
        <v>1</v>
      </c>
      <c r="P122" s="7"/>
      <c r="Q122" s="7">
        <v>114</v>
      </c>
      <c r="R122" s="7">
        <f>$AU$7*EXP(-'3.r(t)'!D120*$AU$21)</f>
        <v>0.91099305977534117</v>
      </c>
      <c r="S122" s="7">
        <f ca="1">$AU$8*EXP(-'3.r(t)'!E120*$AU$22)</f>
        <v>0.9347803006259594</v>
      </c>
      <c r="T122" s="7">
        <f ca="1">$AU$9*EXP(-'3.r(t)'!F120*$AU$23)</f>
        <v>0.9583938595227377</v>
      </c>
      <c r="U122" s="7">
        <f ca="1">$AU$10*EXP(-'3.r(t)'!G120*$AU$24)</f>
        <v>0.97798392331416328</v>
      </c>
      <c r="V122" s="7">
        <v>1</v>
      </c>
      <c r="W122" s="7"/>
      <c r="X122" s="7">
        <v>114</v>
      </c>
      <c r="Y122" s="7">
        <f>$AV$7*EXP(-'3.r(t)'!D120*$AV$21)</f>
        <v>0.88900715067201674</v>
      </c>
      <c r="Z122" s="7">
        <f ca="1">$AV$8*EXP(-'3.r(t)'!E120*$AV$22)</f>
        <v>0.91317544845915211</v>
      </c>
      <c r="AA122" s="7">
        <f ca="1">$AV$9*EXP(-'3.r(t)'!F120*$AV$23)</f>
        <v>0.93760824827593237</v>
      </c>
      <c r="AB122" s="7">
        <f ca="1">$AV$10*EXP(-'3.r(t)'!G120*$AV$24)</f>
        <v>0.95601902086820223</v>
      </c>
      <c r="AC122" s="7">
        <f ca="1">$AV$11*EXP(-'3.r(t)'!H120*$AV$25)</f>
        <v>0.97647444949545736</v>
      </c>
      <c r="AD122" s="7">
        <v>1</v>
      </c>
      <c r="AE122" s="7"/>
      <c r="AF122" s="7">
        <v>114</v>
      </c>
      <c r="AG122" s="7">
        <f>$AW$7*EXP(-'3.r(t)'!D120*$AW$21)</f>
        <v>0.86718755429225491</v>
      </c>
      <c r="AH122" s="7">
        <f ca="1">$AW$8*EXP(-'3.r(t)'!E120*$AW$22)</f>
        <v>0.89168988016659423</v>
      </c>
      <c r="AI122" s="7">
        <f ca="1">$AW$9*EXP(-'3.r(t)'!F120*$AW$23)</f>
        <v>0.91687702884882893</v>
      </c>
      <c r="AJ122" s="7">
        <f ca="1">$AW$10*EXP(-'3.r(t)'!G120*$AW$24)</f>
        <v>0.93413784383733467</v>
      </c>
      <c r="AK122" s="7">
        <f ca="1">$AW$11*EXP(-'3.r(t)'!H120*$AW$25)</f>
        <v>0.95307861290531259</v>
      </c>
      <c r="AL122" s="7">
        <f ca="1">$AW$12*EXP(-'3.r(t)'!I120*$AW$26)</f>
        <v>0.97774164000172836</v>
      </c>
      <c r="AM122" s="7">
        <v>1</v>
      </c>
      <c r="AN122" s="7"/>
    </row>
    <row r="123" spans="2:40">
      <c r="B123" s="7">
        <v>115</v>
      </c>
      <c r="C123" s="7">
        <f>$AR$7*EXP(-'3.r(t)'!D121*$AR$21)</f>
        <v>0.97765346695821032</v>
      </c>
      <c r="D123" s="7">
        <v>1</v>
      </c>
      <c r="E123" s="7"/>
      <c r="F123" s="7">
        <v>115</v>
      </c>
      <c r="G123" s="48">
        <f>$AS$7*EXP(-'3.r(t)'!D121*$AS$21)</f>
        <v>0.9553476245219803</v>
      </c>
      <c r="H123" s="7">
        <f ca="1">$AS$8*EXP(-'3.r(t)'!E121*$AS$22)</f>
        <v>0.9766237143632337</v>
      </c>
      <c r="I123" s="7">
        <v>1</v>
      </c>
      <c r="J123" s="7"/>
      <c r="K123" s="7">
        <v>115</v>
      </c>
      <c r="L123" s="7">
        <f>$AT$7*EXP(-'3.r(t)'!D121*$AT$21)</f>
        <v>0.93311670519824419</v>
      </c>
      <c r="M123" s="7">
        <f ca="1">$AT$8*EXP(-'3.r(t)'!E121*$AT$22)</f>
        <v>0.95334462915001528</v>
      </c>
      <c r="N123" s="7">
        <f ca="1">$AT$9*EXP(-'3.r(t)'!F121*$AT$23)</f>
        <v>0.97206658645045718</v>
      </c>
      <c r="O123" s="7">
        <v>1</v>
      </c>
      <c r="P123" s="7"/>
      <c r="Q123" s="7">
        <v>115</v>
      </c>
      <c r="R123" s="7">
        <f>$AU$7*EXP(-'3.r(t)'!D121*$AU$21)</f>
        <v>0.91099305977534117</v>
      </c>
      <c r="S123" s="7">
        <f ca="1">$AU$8*EXP(-'3.r(t)'!E121*$AU$22)</f>
        <v>0.93019604849131476</v>
      </c>
      <c r="T123" s="7">
        <f ca="1">$AU$9*EXP(-'3.r(t)'!F121*$AU$23)</f>
        <v>0.94447676318854468</v>
      </c>
      <c r="U123" s="7">
        <f ca="1">$AU$10*EXP(-'3.r(t)'!G121*$AU$24)</f>
        <v>0.9721820474159073</v>
      </c>
      <c r="V123" s="7">
        <v>1</v>
      </c>
      <c r="W123" s="7"/>
      <c r="X123" s="7">
        <v>115</v>
      </c>
      <c r="Y123" s="7">
        <f>$AV$7*EXP(-'3.r(t)'!D121*$AV$21)</f>
        <v>0.88900715067201674</v>
      </c>
      <c r="Z123" s="7">
        <f ca="1">$AV$8*EXP(-'3.r(t)'!E121*$AV$22)</f>
        <v>0.90720926774223998</v>
      </c>
      <c r="AA123" s="7">
        <f ca="1">$AV$9*EXP(-'3.r(t)'!F121*$AV$23)</f>
        <v>0.91725967600996405</v>
      </c>
      <c r="AB123" s="7">
        <f ca="1">$AV$10*EXP(-'3.r(t)'!G121*$AV$24)</f>
        <v>0.94470952852861623</v>
      </c>
      <c r="AC123" s="7">
        <f ca="1">$AV$11*EXP(-'3.r(t)'!H121*$AV$25)</f>
        <v>0.9706812149928562</v>
      </c>
      <c r="AD123" s="7">
        <v>1</v>
      </c>
      <c r="AE123" s="7"/>
      <c r="AF123" s="7">
        <v>115</v>
      </c>
      <c r="AG123" s="7">
        <f>$AW$7*EXP(-'3.r(t)'!D121*$AW$21)</f>
        <v>0.86718755429225491</v>
      </c>
      <c r="AH123" s="7">
        <f ca="1">$AW$8*EXP(-'3.r(t)'!E121*$AW$22)</f>
        <v>0.88441357973847745</v>
      </c>
      <c r="AI123" s="7">
        <f ca="1">$AW$9*EXP(-'3.r(t)'!F121*$AW$23)</f>
        <v>0.89044192980152859</v>
      </c>
      <c r="AJ123" s="7">
        <f ca="1">$AW$10*EXP(-'3.r(t)'!G121*$AW$24)</f>
        <v>0.9176109990909308</v>
      </c>
      <c r="AK123" s="7">
        <f ca="1">$AW$11*EXP(-'3.r(t)'!H121*$AW$25)</f>
        <v>0.94180329652005201</v>
      </c>
      <c r="AL123" s="7">
        <f ca="1">$AW$12*EXP(-'3.r(t)'!I121*$AW$26)</f>
        <v>0.96713607246921995</v>
      </c>
      <c r="AM123" s="7">
        <v>1</v>
      </c>
      <c r="AN123" s="7"/>
    </row>
    <row r="124" spans="2:40">
      <c r="B124" s="7">
        <v>116</v>
      </c>
      <c r="C124" s="7">
        <f>$AR$7*EXP(-'3.r(t)'!D122*$AR$21)</f>
        <v>0.97765346695821032</v>
      </c>
      <c r="D124" s="7">
        <v>1</v>
      </c>
      <c r="E124" s="7"/>
      <c r="F124" s="7">
        <v>116</v>
      </c>
      <c r="G124" s="48">
        <f>$AS$7*EXP(-'3.r(t)'!D122*$AS$21)</f>
        <v>0.9553476245219803</v>
      </c>
      <c r="H124" s="7">
        <f ca="1">$AS$8*EXP(-'3.r(t)'!E122*$AS$22)</f>
        <v>0.97579166151194163</v>
      </c>
      <c r="I124" s="7">
        <v>1</v>
      </c>
      <c r="J124" s="7"/>
      <c r="K124" s="7">
        <v>116</v>
      </c>
      <c r="L124" s="7">
        <f>$AT$7*EXP(-'3.r(t)'!D122*$AT$21)</f>
        <v>0.93311670519824419</v>
      </c>
      <c r="M124" s="7">
        <f ca="1">$AT$8*EXP(-'3.r(t)'!E122*$AT$22)</f>
        <v>0.95172088153793644</v>
      </c>
      <c r="N124" s="7">
        <f ca="1">$AT$9*EXP(-'3.r(t)'!F122*$AT$23)</f>
        <v>0.97576137585513811</v>
      </c>
      <c r="O124" s="7">
        <v>1</v>
      </c>
      <c r="P124" s="7"/>
      <c r="Q124" s="7">
        <v>116</v>
      </c>
      <c r="R124" s="7">
        <f>$AU$7*EXP(-'3.r(t)'!D122*$AU$21)</f>
        <v>0.91099305977534117</v>
      </c>
      <c r="S124" s="7">
        <f ca="1">$AU$8*EXP(-'3.r(t)'!E122*$AU$22)</f>
        <v>0.92782057966908627</v>
      </c>
      <c r="T124" s="7">
        <f ca="1">$AU$9*EXP(-'3.r(t)'!F122*$AU$23)</f>
        <v>0.95167025134725824</v>
      </c>
      <c r="U124" s="7">
        <f ca="1">$AU$10*EXP(-'3.r(t)'!G122*$AU$24)</f>
        <v>0.97518253919101439</v>
      </c>
      <c r="V124" s="7">
        <v>1</v>
      </c>
      <c r="W124" s="7"/>
      <c r="X124" s="7">
        <v>116</v>
      </c>
      <c r="Y124" s="7">
        <f>$AV$7*EXP(-'3.r(t)'!D122*$AV$21)</f>
        <v>0.88900715067201674</v>
      </c>
      <c r="Z124" s="7">
        <f ca="1">$AV$8*EXP(-'3.r(t)'!E122*$AV$22)</f>
        <v>0.90412156083197104</v>
      </c>
      <c r="AA124" s="7">
        <f ca="1">$AV$9*EXP(-'3.r(t)'!F122*$AV$23)</f>
        <v>0.9277588932686659</v>
      </c>
      <c r="AB124" s="7">
        <f ca="1">$AV$10*EXP(-'3.r(t)'!G122*$AV$24)</f>
        <v>0.95054993146085087</v>
      </c>
      <c r="AC124" s="7">
        <f ca="1">$AV$11*EXP(-'3.r(t)'!H122*$AV$25)</f>
        <v>0.97412245354172411</v>
      </c>
      <c r="AD124" s="7">
        <v>1</v>
      </c>
      <c r="AE124" s="7"/>
      <c r="AF124" s="7">
        <v>116</v>
      </c>
      <c r="AG124" s="7">
        <f>$AW$7*EXP(-'3.r(t)'!D122*$AW$21)</f>
        <v>0.86718755429225491</v>
      </c>
      <c r="AH124" s="7">
        <f ca="1">$AW$8*EXP(-'3.r(t)'!E122*$AW$22)</f>
        <v>0.88065253028688817</v>
      </c>
      <c r="AI124" s="7">
        <f ca="1">$AW$9*EXP(-'3.r(t)'!F122*$AW$23)</f>
        <v>0.9040574609112213</v>
      </c>
      <c r="AJ124" s="7">
        <f ca="1">$AW$10*EXP(-'3.r(t)'!G122*$AW$24)</f>
        <v>0.92613344793913099</v>
      </c>
      <c r="AK124" s="7">
        <f ca="1">$AW$11*EXP(-'3.r(t)'!H122*$AW$25)</f>
        <v>0.94849285570417519</v>
      </c>
      <c r="AL124" s="7">
        <f ca="1">$AW$12*EXP(-'3.r(t)'!I122*$AW$26)</f>
        <v>0.9752097082349237</v>
      </c>
      <c r="AM124" s="7">
        <v>1</v>
      </c>
      <c r="AN124" s="7"/>
    </row>
    <row r="125" spans="2:40">
      <c r="B125" s="7">
        <v>117</v>
      </c>
      <c r="C125" s="7">
        <f>$AR$7*EXP(-'3.r(t)'!D123*$AR$21)</f>
        <v>0.97765346695821032</v>
      </c>
      <c r="D125" s="7">
        <v>1</v>
      </c>
      <c r="E125" s="7"/>
      <c r="F125" s="7">
        <v>117</v>
      </c>
      <c r="G125" s="48">
        <f>$AS$7*EXP(-'3.r(t)'!D123*$AS$21)</f>
        <v>0.9553476245219803</v>
      </c>
      <c r="H125" s="7">
        <f ca="1">$AS$8*EXP(-'3.r(t)'!E123*$AS$22)</f>
        <v>0.97711211967741385</v>
      </c>
      <c r="I125" s="7">
        <v>1</v>
      </c>
      <c r="J125" s="7"/>
      <c r="K125" s="7">
        <v>117</v>
      </c>
      <c r="L125" s="7">
        <f>$AT$7*EXP(-'3.r(t)'!D123*$AT$21)</f>
        <v>0.93311670519824419</v>
      </c>
      <c r="M125" s="7">
        <f ca="1">$AT$8*EXP(-'3.r(t)'!E123*$AT$22)</f>
        <v>0.95429839466522148</v>
      </c>
      <c r="N125" s="7">
        <f ca="1">$AT$9*EXP(-'3.r(t)'!F123*$AT$23)</f>
        <v>0.98025342327415821</v>
      </c>
      <c r="O125" s="7">
        <v>1</v>
      </c>
      <c r="P125" s="7"/>
      <c r="Q125" s="7">
        <v>117</v>
      </c>
      <c r="R125" s="7">
        <f>$AU$7*EXP(-'3.r(t)'!D123*$AU$21)</f>
        <v>0.91099305977534117</v>
      </c>
      <c r="S125" s="7">
        <f ca="1">$AU$8*EXP(-'3.r(t)'!E123*$AU$22)</f>
        <v>0.93159230763695</v>
      </c>
      <c r="T125" s="7">
        <f ca="1">$AU$9*EXP(-'3.r(t)'!F123*$AU$23)</f>
        <v>0.96045270195102084</v>
      </c>
      <c r="U125" s="7">
        <f ca="1">$AU$10*EXP(-'3.r(t)'!G123*$AU$24)</f>
        <v>0.97609281894554911</v>
      </c>
      <c r="V125" s="7">
        <v>1</v>
      </c>
      <c r="W125" s="7"/>
      <c r="X125" s="7">
        <v>117</v>
      </c>
      <c r="Y125" s="7">
        <f>$AV$7*EXP(-'3.r(t)'!D123*$AV$21)</f>
        <v>0.88900715067201674</v>
      </c>
      <c r="Z125" s="7">
        <f ca="1">$AV$8*EXP(-'3.r(t)'!E123*$AV$22)</f>
        <v>0.90902539532430315</v>
      </c>
      <c r="AA125" s="7">
        <f ca="1">$AV$9*EXP(-'3.r(t)'!F123*$AV$23)</f>
        <v>0.94063115578578416</v>
      </c>
      <c r="AB125" s="7">
        <f ca="1">$AV$10*EXP(-'3.r(t)'!G123*$AV$24)</f>
        <v>0.95232533280980503</v>
      </c>
      <c r="AC125" s="7">
        <f ca="1">$AV$11*EXP(-'3.r(t)'!H123*$AV$25)</f>
        <v>0.97841311409949749</v>
      </c>
      <c r="AD125" s="7">
        <v>1</v>
      </c>
      <c r="AE125" s="7"/>
      <c r="AF125" s="7">
        <v>117</v>
      </c>
      <c r="AG125" s="7">
        <f>$AW$7*EXP(-'3.r(t)'!D123*$AW$21)</f>
        <v>0.86718755429225491</v>
      </c>
      <c r="AH125" s="7">
        <f ca="1">$AW$8*EXP(-'3.r(t)'!E123*$AW$22)</f>
        <v>0.88662724983983698</v>
      </c>
      <c r="AI125" s="7">
        <f ca="1">$AW$9*EXP(-'3.r(t)'!F123*$AW$23)</f>
        <v>0.92082057025292574</v>
      </c>
      <c r="AJ125" s="7">
        <f ca="1">$AW$10*EXP(-'3.r(t)'!G123*$AW$24)</f>
        <v>0.92872935487240371</v>
      </c>
      <c r="AK125" s="7">
        <f ca="1">$AW$11*EXP(-'3.r(t)'!H123*$AW$25)</f>
        <v>0.95686680000627533</v>
      </c>
      <c r="AL125" s="7">
        <f ca="1">$AW$12*EXP(-'3.r(t)'!I123*$AW$26)</f>
        <v>0.981890483422726</v>
      </c>
      <c r="AM125" s="7">
        <v>1</v>
      </c>
      <c r="AN125" s="7"/>
    </row>
    <row r="126" spans="2:40">
      <c r="B126" s="7">
        <v>118</v>
      </c>
      <c r="C126" s="7">
        <f>$AR$7*EXP(-'3.r(t)'!D124*$AR$21)</f>
        <v>0.97765346695821032</v>
      </c>
      <c r="D126" s="7">
        <v>1</v>
      </c>
      <c r="E126" s="7"/>
      <c r="F126" s="7">
        <v>118</v>
      </c>
      <c r="G126" s="48">
        <f>$AS$7*EXP(-'3.r(t)'!D124*$AS$21)</f>
        <v>0.9553476245219803</v>
      </c>
      <c r="H126" s="7">
        <f ca="1">$AS$8*EXP(-'3.r(t)'!E124*$AS$22)</f>
        <v>0.97715354602192639</v>
      </c>
      <c r="I126" s="7">
        <v>1</v>
      </c>
      <c r="J126" s="7"/>
      <c r="K126" s="7">
        <v>118</v>
      </c>
      <c r="L126" s="7">
        <f>$AT$7*EXP(-'3.r(t)'!D124*$AT$21)</f>
        <v>0.93311670519824419</v>
      </c>
      <c r="M126" s="7">
        <f ca="1">$AT$8*EXP(-'3.r(t)'!E124*$AT$22)</f>
        <v>0.95437931461556447</v>
      </c>
      <c r="N126" s="7">
        <f ca="1">$AT$9*EXP(-'3.r(t)'!F124*$AT$23)</f>
        <v>0.97376525087214205</v>
      </c>
      <c r="O126" s="7">
        <v>1</v>
      </c>
      <c r="P126" s="7"/>
      <c r="Q126" s="7">
        <v>118</v>
      </c>
      <c r="R126" s="7">
        <f>$AU$7*EXP(-'3.r(t)'!D124*$AU$21)</f>
        <v>0.91099305977534117</v>
      </c>
      <c r="S126" s="7">
        <f ca="1">$AU$8*EXP(-'3.r(t)'!E124*$AU$22)</f>
        <v>0.93171080202256162</v>
      </c>
      <c r="T126" s="7">
        <f ca="1">$AU$9*EXP(-'3.r(t)'!F124*$AU$23)</f>
        <v>0.94778055097226022</v>
      </c>
      <c r="U126" s="7">
        <f ca="1">$AU$10*EXP(-'3.r(t)'!G124*$AU$24)</f>
        <v>0.96965756581730622</v>
      </c>
      <c r="V126" s="7">
        <v>1</v>
      </c>
      <c r="W126" s="7"/>
      <c r="X126" s="7">
        <v>118</v>
      </c>
      <c r="Y126" s="7">
        <f>$AV$7*EXP(-'3.r(t)'!D124*$AV$21)</f>
        <v>0.88900715067201674</v>
      </c>
      <c r="Z126" s="7">
        <f ca="1">$AV$8*EXP(-'3.r(t)'!E124*$AV$22)</f>
        <v>0.90917956389245169</v>
      </c>
      <c r="AA126" s="7">
        <f ca="1">$AV$9*EXP(-'3.r(t)'!F124*$AV$23)</f>
        <v>0.92207675569783765</v>
      </c>
      <c r="AB126" s="7">
        <f ca="1">$AV$10*EXP(-'3.r(t)'!G124*$AV$24)</f>
        <v>0.93980961216081982</v>
      </c>
      <c r="AC126" s="7">
        <f ca="1">$AV$11*EXP(-'3.r(t)'!H124*$AV$25)</f>
        <v>0.96912133617304463</v>
      </c>
      <c r="AD126" s="7">
        <v>1</v>
      </c>
      <c r="AE126" s="7"/>
      <c r="AF126" s="7">
        <v>118</v>
      </c>
      <c r="AG126" s="7">
        <f>$AW$7*EXP(-'3.r(t)'!D124*$AW$21)</f>
        <v>0.86718755429225491</v>
      </c>
      <c r="AH126" s="7">
        <f ca="1">$AW$8*EXP(-'3.r(t)'!E124*$AW$22)</f>
        <v>0.88681521619363546</v>
      </c>
      <c r="AI126" s="7">
        <f ca="1">$AW$9*EXP(-'3.r(t)'!F124*$AW$23)</f>
        <v>0.89668237225585723</v>
      </c>
      <c r="AJ126" s="7">
        <f ca="1">$AW$10*EXP(-'3.r(t)'!G124*$AW$24)</f>
        <v>0.91048121711102048</v>
      </c>
      <c r="AK126" s="7">
        <f ca="1">$AW$11*EXP(-'3.r(t)'!H124*$AW$25)</f>
        <v>0.93877878430038986</v>
      </c>
      <c r="AL126" s="7">
        <f ca="1">$AW$12*EXP(-'3.r(t)'!I124*$AW$26)</f>
        <v>0.96516823674316332</v>
      </c>
      <c r="AM126" s="7">
        <v>1</v>
      </c>
      <c r="AN126" s="7"/>
    </row>
    <row r="127" spans="2:40">
      <c r="B127" s="7">
        <v>119</v>
      </c>
      <c r="C127" s="7">
        <f>$AR$7*EXP(-'3.r(t)'!D125*$AR$21)</f>
        <v>0.97765346695821032</v>
      </c>
      <c r="D127" s="7">
        <v>1</v>
      </c>
      <c r="E127" s="7"/>
      <c r="F127" s="7">
        <v>119</v>
      </c>
      <c r="G127" s="48">
        <f>$AS$7*EXP(-'3.r(t)'!D125*$AS$21)</f>
        <v>0.9553476245219803</v>
      </c>
      <c r="H127" s="7">
        <f ca="1">$AS$8*EXP(-'3.r(t)'!E125*$AS$22)</f>
        <v>0.97867815451487028</v>
      </c>
      <c r="I127" s="7">
        <v>1</v>
      </c>
      <c r="J127" s="7"/>
      <c r="K127" s="7">
        <v>119</v>
      </c>
      <c r="L127" s="7">
        <f>$AT$7*EXP(-'3.r(t)'!D125*$AT$21)</f>
        <v>0.93311670519824419</v>
      </c>
      <c r="M127" s="7">
        <f ca="1">$AT$8*EXP(-'3.r(t)'!E125*$AT$22)</f>
        <v>0.95735978773075225</v>
      </c>
      <c r="N127" s="7">
        <f ca="1">$AT$9*EXP(-'3.r(t)'!F125*$AT$23)</f>
        <v>0.97858243161306291</v>
      </c>
      <c r="O127" s="7">
        <v>1</v>
      </c>
      <c r="P127" s="7"/>
      <c r="Q127" s="7">
        <v>119</v>
      </c>
      <c r="R127" s="7">
        <f>$AU$7*EXP(-'3.r(t)'!D125*$AU$21)</f>
        <v>0.91099305977534117</v>
      </c>
      <c r="S127" s="7">
        <f ca="1">$AU$8*EXP(-'3.r(t)'!E125*$AU$22)</f>
        <v>0.93607872872070086</v>
      </c>
      <c r="T127" s="7">
        <f ca="1">$AU$9*EXP(-'3.r(t)'!F125*$AU$23)</f>
        <v>0.95718101625835372</v>
      </c>
      <c r="U127" s="7">
        <f ca="1">$AU$10*EXP(-'3.r(t)'!G125*$AU$24)</f>
        <v>0.97643774967994201</v>
      </c>
      <c r="V127" s="7">
        <v>1</v>
      </c>
      <c r="W127" s="7"/>
      <c r="X127" s="7">
        <v>119</v>
      </c>
      <c r="Y127" s="7">
        <f>$AV$7*EXP(-'3.r(t)'!D125*$AV$21)</f>
        <v>0.88900715067201674</v>
      </c>
      <c r="Z127" s="7">
        <f ca="1">$AV$8*EXP(-'3.r(t)'!E125*$AV$22)</f>
        <v>0.91486706457321965</v>
      </c>
      <c r="AA127" s="7">
        <f ca="1">$AV$9*EXP(-'3.r(t)'!F125*$AV$23)</f>
        <v>0.93582900273429348</v>
      </c>
      <c r="AB127" s="7">
        <f ca="1">$AV$10*EXP(-'3.r(t)'!G125*$AV$24)</f>
        <v>0.95299851533943991</v>
      </c>
      <c r="AC127" s="7">
        <f ca="1">$AV$11*EXP(-'3.r(t)'!H125*$AV$25)</f>
        <v>0.97479568163286612</v>
      </c>
      <c r="AD127" s="7">
        <v>1</v>
      </c>
      <c r="AE127" s="7"/>
      <c r="AF127" s="7">
        <v>119</v>
      </c>
      <c r="AG127" s="7">
        <f>$AW$7*EXP(-'3.r(t)'!D125*$AW$21)</f>
        <v>0.86718755429225491</v>
      </c>
      <c r="AH127" s="7">
        <f ca="1">$AW$8*EXP(-'3.r(t)'!E125*$AW$22)</f>
        <v>0.89375512689791192</v>
      </c>
      <c r="AI127" s="7">
        <f ca="1">$AW$9*EXP(-'3.r(t)'!F125*$AW$23)</f>
        <v>0.91455788941719929</v>
      </c>
      <c r="AJ127" s="7">
        <f ca="1">$AW$10*EXP(-'3.r(t)'!G125*$AW$24)</f>
        <v>0.9297142832815497</v>
      </c>
      <c r="AK127" s="7">
        <f ca="1">$AW$11*EXP(-'3.r(t)'!H125*$AW$25)</f>
        <v>0.94980433905618011</v>
      </c>
      <c r="AL127" s="7">
        <f ca="1">$AW$12*EXP(-'3.r(t)'!I125*$AW$26)</f>
        <v>0.97437243105754889</v>
      </c>
      <c r="AM127" s="7">
        <v>1</v>
      </c>
      <c r="AN127" s="7"/>
    </row>
    <row r="128" spans="2:40">
      <c r="B128" s="7">
        <v>120</v>
      </c>
      <c r="C128" s="7">
        <f>$AR$7*EXP(-'3.r(t)'!D126*$AR$21)</f>
        <v>0.97765346695821032</v>
      </c>
      <c r="D128" s="7">
        <v>1</v>
      </c>
      <c r="E128" s="7"/>
      <c r="F128" s="7">
        <v>120</v>
      </c>
      <c r="G128" s="48">
        <f>$AS$7*EXP(-'3.r(t)'!D126*$AS$21)</f>
        <v>0.9553476245219803</v>
      </c>
      <c r="H128" s="7">
        <f ca="1">$AS$8*EXP(-'3.r(t)'!E126*$AS$22)</f>
        <v>0.979070223286715</v>
      </c>
      <c r="I128" s="7">
        <v>1</v>
      </c>
      <c r="J128" s="7"/>
      <c r="K128" s="7">
        <v>120</v>
      </c>
      <c r="L128" s="7">
        <f>$AT$7*EXP(-'3.r(t)'!D126*$AT$21)</f>
        <v>0.93311670519824419</v>
      </c>
      <c r="M128" s="7">
        <f ca="1">$AT$8*EXP(-'3.r(t)'!E126*$AT$22)</f>
        <v>0.95812699819562974</v>
      </c>
      <c r="N128" s="7">
        <f ca="1">$AT$9*EXP(-'3.r(t)'!F126*$AT$23)</f>
        <v>0.97723553840924593</v>
      </c>
      <c r="O128" s="7">
        <v>1</v>
      </c>
      <c r="P128" s="7"/>
      <c r="Q128" s="7">
        <v>120</v>
      </c>
      <c r="R128" s="7">
        <f>$AU$7*EXP(-'3.r(t)'!D126*$AU$21)</f>
        <v>0.91099305977534117</v>
      </c>
      <c r="S128" s="7">
        <f ca="1">$AU$8*EXP(-'3.r(t)'!E126*$AU$22)</f>
        <v>0.93720418845152964</v>
      </c>
      <c r="T128" s="7">
        <f ca="1">$AU$9*EXP(-'3.r(t)'!F126*$AU$23)</f>
        <v>0.95454795574020523</v>
      </c>
      <c r="U128" s="7">
        <f ca="1">$AU$10*EXP(-'3.r(t)'!G126*$AU$24)</f>
        <v>0.97378808762031766</v>
      </c>
      <c r="V128" s="7">
        <v>1</v>
      </c>
      <c r="W128" s="7"/>
      <c r="X128" s="7">
        <v>120</v>
      </c>
      <c r="Y128" s="7">
        <f>$AV$7*EXP(-'3.r(t)'!D126*$AV$21)</f>
        <v>0.88900715067201674</v>
      </c>
      <c r="Z128" s="7">
        <f ca="1">$AV$8*EXP(-'3.r(t)'!E126*$AV$22)</f>
        <v>0.91633396727374139</v>
      </c>
      <c r="AA128" s="7">
        <f ca="1">$AV$9*EXP(-'3.r(t)'!F126*$AV$23)</f>
        <v>0.93197017301766005</v>
      </c>
      <c r="AB128" s="7">
        <f ca="1">$AV$10*EXP(-'3.r(t)'!G126*$AV$24)</f>
        <v>0.94783341818748779</v>
      </c>
      <c r="AC128" s="7">
        <f ca="1">$AV$11*EXP(-'3.r(t)'!H126*$AV$25)</f>
        <v>0.97563993693853945</v>
      </c>
      <c r="AD128" s="7">
        <v>1</v>
      </c>
      <c r="AE128" s="7"/>
      <c r="AF128" s="7">
        <v>120</v>
      </c>
      <c r="AG128" s="7">
        <f>$AW$7*EXP(-'3.r(t)'!D126*$AW$21)</f>
        <v>0.86718755429225491</v>
      </c>
      <c r="AH128" s="7">
        <f ca="1">$AW$8*EXP(-'3.r(t)'!E126*$AW$22)</f>
        <v>0.89554680041420809</v>
      </c>
      <c r="AI128" s="7">
        <f ca="1">$AW$9*EXP(-'3.r(t)'!F126*$AW$23)</f>
        <v>0.90953318857506338</v>
      </c>
      <c r="AJ128" s="7">
        <f ca="1">$AW$10*EXP(-'3.r(t)'!G126*$AW$24)</f>
        <v>0.92216618321492339</v>
      </c>
      <c r="AK128" s="7">
        <f ca="1">$AW$11*EXP(-'3.r(t)'!H126*$AW$25)</f>
        <v>0.95145027289531581</v>
      </c>
      <c r="AL128" s="7">
        <f ca="1">$AW$12*EXP(-'3.r(t)'!I126*$AW$26)</f>
        <v>0.9765036258204014</v>
      </c>
      <c r="AM128" s="7">
        <v>1</v>
      </c>
      <c r="AN128" s="7"/>
    </row>
    <row r="129" spans="2:40">
      <c r="B129" s="7">
        <v>121</v>
      </c>
      <c r="C129" s="7">
        <f>$AR$7*EXP(-'3.r(t)'!D127*$AR$21)</f>
        <v>0.97765346695821032</v>
      </c>
      <c r="D129" s="7">
        <v>1</v>
      </c>
      <c r="E129" s="7"/>
      <c r="F129" s="7">
        <v>121</v>
      </c>
      <c r="G129" s="48">
        <f>$AS$7*EXP(-'3.r(t)'!D127*$AS$21)</f>
        <v>0.9553476245219803</v>
      </c>
      <c r="H129" s="7">
        <f ca="1">$AS$8*EXP(-'3.r(t)'!E127*$AS$22)</f>
        <v>0.97481976495797407</v>
      </c>
      <c r="I129" s="7">
        <v>1</v>
      </c>
      <c r="J129" s="7"/>
      <c r="K129" s="7">
        <v>121</v>
      </c>
      <c r="L129" s="7">
        <f>$AT$7*EXP(-'3.r(t)'!D127*$AT$21)</f>
        <v>0.93311670519824419</v>
      </c>
      <c r="M129" s="7">
        <f ca="1">$AT$8*EXP(-'3.r(t)'!E127*$AT$22)</f>
        <v>0.94982598195931234</v>
      </c>
      <c r="N129" s="7">
        <f ca="1">$AT$9*EXP(-'3.r(t)'!F127*$AT$23)</f>
        <v>0.97139260651921588</v>
      </c>
      <c r="O129" s="7">
        <v>1</v>
      </c>
      <c r="P129" s="7"/>
      <c r="Q129" s="7">
        <v>121</v>
      </c>
      <c r="R129" s="7">
        <f>$AU$7*EXP(-'3.r(t)'!D127*$AU$21)</f>
        <v>0.91099305977534117</v>
      </c>
      <c r="S129" s="7">
        <f ca="1">$AU$8*EXP(-'3.r(t)'!E127*$AU$22)</f>
        <v>0.92505098915593531</v>
      </c>
      <c r="T129" s="7">
        <f ca="1">$AU$9*EXP(-'3.r(t)'!F127*$AU$23)</f>
        <v>0.94316751603469184</v>
      </c>
      <c r="U129" s="7">
        <f ca="1">$AU$10*EXP(-'3.r(t)'!G127*$AU$24)</f>
        <v>0.97019270468334351</v>
      </c>
      <c r="V129" s="7">
        <v>1</v>
      </c>
      <c r="W129" s="7"/>
      <c r="X129" s="7">
        <v>121</v>
      </c>
      <c r="Y129" s="7">
        <f>$AV$7*EXP(-'3.r(t)'!D127*$AV$21)</f>
        <v>0.88900715067201674</v>
      </c>
      <c r="Z129" s="7">
        <f ca="1">$AV$8*EXP(-'3.r(t)'!E127*$AV$22)</f>
        <v>0.90052488860002733</v>
      </c>
      <c r="AA129" s="7">
        <f ca="1">$AV$9*EXP(-'3.r(t)'!F127*$AV$23)</f>
        <v>0.91535305947723522</v>
      </c>
      <c r="AB129" s="7">
        <f ca="1">$AV$10*EXP(-'3.r(t)'!G127*$AV$24)</f>
        <v>0.9408472308978062</v>
      </c>
      <c r="AC129" s="7">
        <f ca="1">$AV$11*EXP(-'3.r(t)'!H127*$AV$25)</f>
        <v>0.96967237517758709</v>
      </c>
      <c r="AD129" s="7">
        <v>1</v>
      </c>
      <c r="AE129" s="7"/>
      <c r="AF129" s="7">
        <v>121</v>
      </c>
      <c r="AG129" s="7">
        <f>$AW$7*EXP(-'3.r(t)'!D127*$AW$21)</f>
        <v>0.86718755429225491</v>
      </c>
      <c r="AH129" s="7">
        <f ca="1">$AW$8*EXP(-'3.r(t)'!E127*$AW$22)</f>
        <v>0.87627557198107753</v>
      </c>
      <c r="AI129" s="7">
        <f ca="1">$AW$9*EXP(-'3.r(t)'!F127*$AW$23)</f>
        <v>0.88797495427085193</v>
      </c>
      <c r="AJ129" s="7">
        <f ca="1">$AW$10*EXP(-'3.r(t)'!G127*$AW$24)</f>
        <v>0.91198949028754361</v>
      </c>
      <c r="AK129" s="7">
        <f ca="1">$AW$11*EXP(-'3.r(t)'!H127*$AW$25)</f>
        <v>0.93984666048063203</v>
      </c>
      <c r="AL129" s="7">
        <f ca="1">$AW$12*EXP(-'3.r(t)'!I127*$AW$26)</f>
        <v>0.9687259817232784</v>
      </c>
      <c r="AM129" s="7">
        <v>1</v>
      </c>
      <c r="AN129" s="7"/>
    </row>
    <row r="130" spans="2:40">
      <c r="B130" s="7">
        <v>122</v>
      </c>
      <c r="C130" s="7">
        <f>$AR$7*EXP(-'3.r(t)'!D128*$AR$21)</f>
        <v>0.97765346695821032</v>
      </c>
      <c r="D130" s="7">
        <v>1</v>
      </c>
      <c r="E130" s="7"/>
      <c r="F130" s="7">
        <v>122</v>
      </c>
      <c r="G130" s="48">
        <f>$AS$7*EXP(-'3.r(t)'!D128*$AS$21)</f>
        <v>0.9553476245219803</v>
      </c>
      <c r="H130" s="7">
        <f ca="1">$AS$8*EXP(-'3.r(t)'!E128*$AS$22)</f>
        <v>0.97415364527496973</v>
      </c>
      <c r="I130" s="7">
        <v>1</v>
      </c>
      <c r="J130" s="7"/>
      <c r="K130" s="7">
        <v>122</v>
      </c>
      <c r="L130" s="7">
        <f>$AT$7*EXP(-'3.r(t)'!D128*$AT$21)</f>
        <v>0.93311670519824419</v>
      </c>
      <c r="M130" s="7">
        <f ca="1">$AT$8*EXP(-'3.r(t)'!E128*$AT$22)</f>
        <v>0.94852834390286711</v>
      </c>
      <c r="N130" s="7">
        <f ca="1">$AT$9*EXP(-'3.r(t)'!F128*$AT$23)</f>
        <v>0.97648519211602625</v>
      </c>
      <c r="O130" s="7">
        <v>1</v>
      </c>
      <c r="P130" s="7"/>
      <c r="Q130" s="7">
        <v>122</v>
      </c>
      <c r="R130" s="7">
        <f>$AU$7*EXP(-'3.r(t)'!D128*$AU$21)</f>
        <v>0.91099305977534117</v>
      </c>
      <c r="S130" s="7">
        <f ca="1">$AU$8*EXP(-'3.r(t)'!E128*$AU$22)</f>
        <v>0.92315595052048649</v>
      </c>
      <c r="T130" s="7">
        <f ca="1">$AU$9*EXP(-'3.r(t)'!F128*$AU$23)</f>
        <v>0.95308266611876857</v>
      </c>
      <c r="U130" s="7">
        <f ca="1">$AU$10*EXP(-'3.r(t)'!G128*$AU$24)</f>
        <v>0.9713209386040994</v>
      </c>
      <c r="V130" s="7">
        <v>1</v>
      </c>
      <c r="W130" s="7"/>
      <c r="X130" s="7">
        <v>122</v>
      </c>
      <c r="Y130" s="7">
        <f>$AV$7*EXP(-'3.r(t)'!D128*$AV$21)</f>
        <v>0.88900715067201674</v>
      </c>
      <c r="Z130" s="7">
        <f ca="1">$AV$8*EXP(-'3.r(t)'!E128*$AV$22)</f>
        <v>0.89806600211562315</v>
      </c>
      <c r="AA130" s="7">
        <f ca="1">$AV$9*EXP(-'3.r(t)'!F128*$AV$23)</f>
        <v>0.92982504975696278</v>
      </c>
      <c r="AB130" s="7">
        <f ca="1">$AV$10*EXP(-'3.r(t)'!G128*$AV$24)</f>
        <v>0.94303671956329216</v>
      </c>
      <c r="AC130" s="7">
        <f ca="1">$AV$11*EXP(-'3.r(t)'!H128*$AV$25)</f>
        <v>0.97103455173083908</v>
      </c>
      <c r="AD130" s="7">
        <v>1</v>
      </c>
      <c r="AE130" s="7"/>
      <c r="AF130" s="7">
        <v>122</v>
      </c>
      <c r="AG130" s="7">
        <f>$AW$7*EXP(-'3.r(t)'!D128*$AW$21)</f>
        <v>0.86718755429225491</v>
      </c>
      <c r="AH130" s="7">
        <f ca="1">$AW$8*EXP(-'3.r(t)'!E128*$AW$22)</f>
        <v>0.87328575144543341</v>
      </c>
      <c r="AI130" s="7">
        <f ca="1">$AW$9*EXP(-'3.r(t)'!F128*$AW$23)</f>
        <v>0.90674295342177469</v>
      </c>
      <c r="AJ130" s="7">
        <f ca="1">$AW$10*EXP(-'3.r(t)'!G128*$AW$24)</f>
        <v>0.9151748404304243</v>
      </c>
      <c r="AK130" s="7">
        <f ca="1">$AW$11*EXP(-'3.r(t)'!H128*$AW$25)</f>
        <v>0.94248907114057956</v>
      </c>
      <c r="AL130" s="7">
        <f ca="1">$AW$12*EXP(-'3.r(t)'!I128*$AW$26)</f>
        <v>0.97246255746865107</v>
      </c>
      <c r="AM130" s="7">
        <v>1</v>
      </c>
      <c r="AN130" s="7"/>
    </row>
    <row r="131" spans="2:40">
      <c r="B131" s="7">
        <v>123</v>
      </c>
      <c r="C131" s="7">
        <f>$AR$7*EXP(-'3.r(t)'!D129*$AR$21)</f>
        <v>0.97765346695821032</v>
      </c>
      <c r="D131" s="7">
        <v>1</v>
      </c>
      <c r="E131" s="7"/>
      <c r="F131" s="7">
        <v>123</v>
      </c>
      <c r="G131" s="48">
        <f>$AS$7*EXP(-'3.r(t)'!D129*$AS$21)</f>
        <v>0.9553476245219803</v>
      </c>
      <c r="H131" s="7">
        <f ca="1">$AS$8*EXP(-'3.r(t)'!E129*$AS$22)</f>
        <v>0.97997946509740708</v>
      </c>
      <c r="I131" s="7">
        <v>1</v>
      </c>
      <c r="J131" s="7"/>
      <c r="K131" s="7">
        <v>123</v>
      </c>
      <c r="L131" s="7">
        <f>$AT$7*EXP(-'3.r(t)'!D129*$AT$21)</f>
        <v>0.93311670519824419</v>
      </c>
      <c r="M131" s="7">
        <f ca="1">$AT$8*EXP(-'3.r(t)'!E129*$AT$22)</f>
        <v>0.95990740908783045</v>
      </c>
      <c r="N131" s="7">
        <f ca="1">$AT$9*EXP(-'3.r(t)'!F129*$AT$23)</f>
        <v>0.97999044831251869</v>
      </c>
      <c r="O131" s="7">
        <v>1</v>
      </c>
      <c r="P131" s="7"/>
      <c r="Q131" s="7">
        <v>123</v>
      </c>
      <c r="R131" s="7">
        <f>$AU$7*EXP(-'3.r(t)'!D129*$AU$21)</f>
        <v>0.91099305977534117</v>
      </c>
      <c r="S131" s="7">
        <f ca="1">$AU$8*EXP(-'3.r(t)'!E129*$AU$22)</f>
        <v>0.93981769919031599</v>
      </c>
      <c r="T131" s="7">
        <f ca="1">$AU$9*EXP(-'3.r(t)'!F129*$AU$23)</f>
        <v>0.9599374451266105</v>
      </c>
      <c r="U131" s="7">
        <f ca="1">$AU$10*EXP(-'3.r(t)'!G129*$AU$24)</f>
        <v>0.98075461223727489</v>
      </c>
      <c r="V131" s="7">
        <v>1</v>
      </c>
      <c r="W131" s="7"/>
      <c r="X131" s="7">
        <v>123</v>
      </c>
      <c r="Y131" s="7">
        <f>$AV$7*EXP(-'3.r(t)'!D129*$AV$21)</f>
        <v>0.88900715067201674</v>
      </c>
      <c r="Z131" s="7">
        <f ca="1">$AV$8*EXP(-'3.r(t)'!E129*$AV$22)</f>
        <v>0.91974263183875204</v>
      </c>
      <c r="AA131" s="7">
        <f ca="1">$AV$9*EXP(-'3.r(t)'!F129*$AV$23)</f>
        <v>0.93987432265982773</v>
      </c>
      <c r="AB131" s="7">
        <f ca="1">$AV$10*EXP(-'3.r(t)'!G129*$AV$24)</f>
        <v>0.96144361609847007</v>
      </c>
      <c r="AC131" s="7">
        <f ca="1">$AV$11*EXP(-'3.r(t)'!H129*$AV$25)</f>
        <v>0.98137556618924515</v>
      </c>
      <c r="AD131" s="7">
        <v>1</v>
      </c>
      <c r="AE131" s="7"/>
      <c r="AF131" s="7">
        <v>123</v>
      </c>
      <c r="AG131" s="7">
        <f>$AW$7*EXP(-'3.r(t)'!D129*$AW$21)</f>
        <v>0.86718755429225491</v>
      </c>
      <c r="AH131" s="7">
        <f ca="1">$AW$8*EXP(-'3.r(t)'!E129*$AW$22)</f>
        <v>0.89971290805483795</v>
      </c>
      <c r="AI131" s="7">
        <f ca="1">$AW$9*EXP(-'3.r(t)'!F129*$AW$23)</f>
        <v>0.91983284474660565</v>
      </c>
      <c r="AJ131" s="7">
        <f ca="1">$AW$10*EXP(-'3.r(t)'!G129*$AW$24)</f>
        <v>0.94209976872714862</v>
      </c>
      <c r="AK131" s="7">
        <f ca="1">$AW$11*EXP(-'3.r(t)'!H129*$AW$25)</f>
        <v>0.9626699999818874</v>
      </c>
      <c r="AL131" s="7">
        <f ca="1">$AW$12*EXP(-'3.r(t)'!I129*$AW$26)</f>
        <v>0.97870899702489211</v>
      </c>
      <c r="AM131" s="7">
        <v>1</v>
      </c>
      <c r="AN131" s="7"/>
    </row>
    <row r="132" spans="2:40">
      <c r="B132" s="7">
        <v>124</v>
      </c>
      <c r="C132" s="7">
        <f>$AR$7*EXP(-'3.r(t)'!D130*$AR$21)</f>
        <v>0.97765346695821032</v>
      </c>
      <c r="D132" s="7">
        <v>1</v>
      </c>
      <c r="E132" s="7"/>
      <c r="F132" s="7">
        <v>124</v>
      </c>
      <c r="G132" s="48">
        <f>$AS$7*EXP(-'3.r(t)'!D130*$AS$21)</f>
        <v>0.9553476245219803</v>
      </c>
      <c r="H132" s="7">
        <f ca="1">$AS$8*EXP(-'3.r(t)'!E130*$AS$22)</f>
        <v>0.97858968665824564</v>
      </c>
      <c r="I132" s="7">
        <v>1</v>
      </c>
      <c r="J132" s="7"/>
      <c r="K132" s="7">
        <v>124</v>
      </c>
      <c r="L132" s="7">
        <f>$AT$7*EXP(-'3.r(t)'!D130*$AT$21)</f>
        <v>0.93311670519824419</v>
      </c>
      <c r="M132" s="7">
        <f ca="1">$AT$8*EXP(-'3.r(t)'!E130*$AT$22)</f>
        <v>0.95718671399857624</v>
      </c>
      <c r="N132" s="7">
        <f ca="1">$AT$9*EXP(-'3.r(t)'!F130*$AT$23)</f>
        <v>0.98023207276596402</v>
      </c>
      <c r="O132" s="7">
        <v>1</v>
      </c>
      <c r="P132" s="7"/>
      <c r="Q132" s="7">
        <v>124</v>
      </c>
      <c r="R132" s="7">
        <f>$AU$7*EXP(-'3.r(t)'!D130*$AU$21)</f>
        <v>0.91099305977534117</v>
      </c>
      <c r="S132" s="7">
        <f ca="1">$AU$8*EXP(-'3.r(t)'!E130*$AU$22)</f>
        <v>0.93582490045433653</v>
      </c>
      <c r="T132" s="7">
        <f ca="1">$AU$9*EXP(-'3.r(t)'!F130*$AU$23)</f>
        <v>0.96041086393346686</v>
      </c>
      <c r="U132" s="7">
        <f ca="1">$AU$10*EXP(-'3.r(t)'!G130*$AU$24)</f>
        <v>0.97917977109552889</v>
      </c>
      <c r="V132" s="7">
        <v>1</v>
      </c>
      <c r="W132" s="7"/>
      <c r="X132" s="7">
        <v>124</v>
      </c>
      <c r="Y132" s="7">
        <f>$AV$7*EXP(-'3.r(t)'!D130*$AV$21)</f>
        <v>0.88900715067201674</v>
      </c>
      <c r="Z132" s="7">
        <f ca="1">$AV$8*EXP(-'3.r(t)'!E130*$AV$22)</f>
        <v>0.91453631087570353</v>
      </c>
      <c r="AA132" s="7">
        <f ca="1">$AV$9*EXP(-'3.r(t)'!F130*$AV$23)</f>
        <v>0.94056969459021889</v>
      </c>
      <c r="AB132" s="7">
        <f ca="1">$AV$10*EXP(-'3.r(t)'!G130*$AV$24)</f>
        <v>0.95835842985991204</v>
      </c>
      <c r="AC132" s="7">
        <f ca="1">$AV$11*EXP(-'3.r(t)'!H130*$AV$25)</f>
        <v>0.97975833806520363</v>
      </c>
      <c r="AD132" s="7">
        <v>1</v>
      </c>
      <c r="AE132" s="7"/>
      <c r="AF132" s="7">
        <v>124</v>
      </c>
      <c r="AG132" s="7">
        <f>$AW$7*EXP(-'3.r(t)'!D130*$AW$21)</f>
        <v>0.86718755429225491</v>
      </c>
      <c r="AH132" s="7">
        <f ca="1">$AW$8*EXP(-'3.r(t)'!E130*$AW$22)</f>
        <v>0.89335124383124986</v>
      </c>
      <c r="AI132" s="7">
        <f ca="1">$AW$9*EXP(-'3.r(t)'!F130*$AW$23)</f>
        <v>0.92074034877401545</v>
      </c>
      <c r="AJ132" s="7">
        <f ca="1">$AW$10*EXP(-'3.r(t)'!G130*$AW$24)</f>
        <v>0.93756873815881314</v>
      </c>
      <c r="AK132" s="7">
        <f ca="1">$AW$11*EXP(-'3.r(t)'!H130*$AW$25)</f>
        <v>0.95949980854024164</v>
      </c>
      <c r="AL132" s="7">
        <f ca="1">$AW$12*EXP(-'3.r(t)'!I130*$AW$26)</f>
        <v>0.97774499659622038</v>
      </c>
      <c r="AM132" s="7">
        <v>1</v>
      </c>
      <c r="AN132" s="7"/>
    </row>
    <row r="133" spans="2:40">
      <c r="B133" s="7">
        <v>125</v>
      </c>
      <c r="C133" s="7">
        <f>$AR$7*EXP(-'3.r(t)'!D131*$AR$21)</f>
        <v>0.97765346695821032</v>
      </c>
      <c r="D133" s="7">
        <v>1</v>
      </c>
      <c r="E133" s="7"/>
      <c r="F133" s="7">
        <v>125</v>
      </c>
      <c r="G133" s="48">
        <f>$AS$7*EXP(-'3.r(t)'!D131*$AS$21)</f>
        <v>0.9553476245219803</v>
      </c>
      <c r="H133" s="7">
        <f ca="1">$AS$8*EXP(-'3.r(t)'!E131*$AS$22)</f>
        <v>0.97259090115973357</v>
      </c>
      <c r="I133" s="7">
        <v>1</v>
      </c>
      <c r="J133" s="7"/>
      <c r="K133" s="7">
        <v>125</v>
      </c>
      <c r="L133" s="7">
        <f>$AT$7*EXP(-'3.r(t)'!D131*$AT$21)</f>
        <v>0.93311670519824419</v>
      </c>
      <c r="M133" s="7">
        <f ca="1">$AT$8*EXP(-'3.r(t)'!E131*$AT$22)</f>
        <v>0.94548751326791358</v>
      </c>
      <c r="N133" s="7">
        <f ca="1">$AT$9*EXP(-'3.r(t)'!F131*$AT$23)</f>
        <v>0.97462000223923095</v>
      </c>
      <c r="O133" s="7">
        <v>1</v>
      </c>
      <c r="P133" s="7"/>
      <c r="Q133" s="7">
        <v>125</v>
      </c>
      <c r="R133" s="7">
        <f>$AU$7*EXP(-'3.r(t)'!D131*$AU$21)</f>
        <v>0.91099305977534117</v>
      </c>
      <c r="S133" s="7">
        <f ca="1">$AU$8*EXP(-'3.r(t)'!E131*$AU$22)</f>
        <v>0.9187202741138123</v>
      </c>
      <c r="T133" s="7">
        <f ca="1">$AU$9*EXP(-'3.r(t)'!F131*$AU$23)</f>
        <v>0.94944516628467401</v>
      </c>
      <c r="U133" s="7">
        <f ca="1">$AU$10*EXP(-'3.r(t)'!G131*$AU$24)</f>
        <v>0.9737518646598754</v>
      </c>
      <c r="V133" s="7">
        <v>1</v>
      </c>
      <c r="W133" s="7"/>
      <c r="X133" s="7">
        <v>125</v>
      </c>
      <c r="Y133" s="7">
        <f>$AV$7*EXP(-'3.r(t)'!D131*$AV$21)</f>
        <v>0.88900715067201674</v>
      </c>
      <c r="Z133" s="7">
        <f ca="1">$AV$8*EXP(-'3.r(t)'!E131*$AV$22)</f>
        <v>0.89231711908540257</v>
      </c>
      <c r="AA133" s="7">
        <f ca="1">$AV$9*EXP(-'3.r(t)'!F131*$AV$23)</f>
        <v>0.9245070284604624</v>
      </c>
      <c r="AB133" s="7">
        <f ca="1">$AV$10*EXP(-'3.r(t)'!G131*$AV$24)</f>
        <v>0.94776290450122713</v>
      </c>
      <c r="AC133" s="7">
        <f ca="1">$AV$11*EXP(-'3.r(t)'!H131*$AV$25)</f>
        <v>0.97235550048994779</v>
      </c>
      <c r="AD133" s="7">
        <v>1</v>
      </c>
      <c r="AE133" s="7"/>
      <c r="AF133" s="7">
        <v>125</v>
      </c>
      <c r="AG133" s="7">
        <f>$AW$7*EXP(-'3.r(t)'!D131*$AW$21)</f>
        <v>0.86718755429225491</v>
      </c>
      <c r="AH133" s="7">
        <f ca="1">$AW$8*EXP(-'3.r(t)'!E131*$AW$22)</f>
        <v>0.86630353359734014</v>
      </c>
      <c r="AI133" s="7">
        <f ca="1">$AW$9*EXP(-'3.r(t)'!F131*$AW$23)</f>
        <v>0.89983487835465703</v>
      </c>
      <c r="AJ133" s="7">
        <f ca="1">$AW$10*EXP(-'3.r(t)'!G131*$AW$24)</f>
        <v>0.92206327885492101</v>
      </c>
      <c r="AK133" s="7">
        <f ca="1">$AW$11*EXP(-'3.r(t)'!H131*$AW$25)</f>
        <v>0.94505504898784065</v>
      </c>
      <c r="AL133" s="7">
        <f ca="1">$AW$12*EXP(-'3.r(t)'!I131*$AW$26)</f>
        <v>0.97232467407662015</v>
      </c>
      <c r="AM133" s="7">
        <v>1</v>
      </c>
      <c r="AN133" s="7"/>
    </row>
    <row r="134" spans="2:40">
      <c r="B134" s="7">
        <v>126</v>
      </c>
      <c r="C134" s="7">
        <f>$AR$7*EXP(-'3.r(t)'!D132*$AR$21)</f>
        <v>0.97765346695821032</v>
      </c>
      <c r="D134" s="7">
        <v>1</v>
      </c>
      <c r="E134" s="7"/>
      <c r="F134" s="7">
        <v>126</v>
      </c>
      <c r="G134" s="48">
        <f>$AS$7*EXP(-'3.r(t)'!D132*$AS$21)</f>
        <v>0.9553476245219803</v>
      </c>
      <c r="H134" s="7">
        <f ca="1">$AS$8*EXP(-'3.r(t)'!E132*$AS$22)</f>
        <v>0.97668082985249061</v>
      </c>
      <c r="I134" s="7">
        <v>1</v>
      </c>
      <c r="J134" s="7"/>
      <c r="K134" s="7">
        <v>126</v>
      </c>
      <c r="L134" s="7">
        <f>$AT$7*EXP(-'3.r(t)'!D132*$AT$21)</f>
        <v>0.93311670519824419</v>
      </c>
      <c r="M134" s="7">
        <f ca="1">$AT$8*EXP(-'3.r(t)'!E132*$AT$22)</f>
        <v>0.95345614054654182</v>
      </c>
      <c r="N134" s="7">
        <f ca="1">$AT$9*EXP(-'3.r(t)'!F132*$AT$23)</f>
        <v>0.97589637534186913</v>
      </c>
      <c r="O134" s="7">
        <v>1</v>
      </c>
      <c r="P134" s="7"/>
      <c r="Q134" s="7">
        <v>126</v>
      </c>
      <c r="R134" s="7">
        <f>$AU$7*EXP(-'3.r(t)'!D132*$AU$21)</f>
        <v>0.91099305977534117</v>
      </c>
      <c r="S134" s="7">
        <f ca="1">$AU$8*EXP(-'3.r(t)'!E132*$AU$22)</f>
        <v>0.93035925887252535</v>
      </c>
      <c r="T134" s="7">
        <f ca="1">$AU$9*EXP(-'3.r(t)'!F132*$AU$23)</f>
        <v>0.95193360237978952</v>
      </c>
      <c r="U134" s="7">
        <f ca="1">$AU$10*EXP(-'3.r(t)'!G132*$AU$24)</f>
        <v>0.97404050292513111</v>
      </c>
      <c r="V134" s="7">
        <v>1</v>
      </c>
      <c r="W134" s="7"/>
      <c r="X134" s="7">
        <v>126</v>
      </c>
      <c r="Y134" s="7">
        <f>$AV$7*EXP(-'3.r(t)'!D132*$AV$21)</f>
        <v>0.88900715067201674</v>
      </c>
      <c r="Z134" s="7">
        <f ca="1">$AV$8*EXP(-'3.r(t)'!E132*$AV$22)</f>
        <v>0.90742151016918737</v>
      </c>
      <c r="AA134" s="7">
        <f ca="1">$AV$9*EXP(-'3.r(t)'!F132*$AV$23)</f>
        <v>0.92814402114908212</v>
      </c>
      <c r="AB134" s="7">
        <f ca="1">$AV$10*EXP(-'3.r(t)'!G132*$AV$24)</f>
        <v>0.94832485707827263</v>
      </c>
      <c r="AC134" s="7">
        <f ca="1">$AV$11*EXP(-'3.r(t)'!H132*$AV$25)</f>
        <v>0.97625113857681201</v>
      </c>
      <c r="AD134" s="7">
        <v>1</v>
      </c>
      <c r="AE134" s="7"/>
      <c r="AF134" s="7">
        <v>126</v>
      </c>
      <c r="AG134" s="7">
        <f>$AW$7*EXP(-'3.r(t)'!D132*$AW$21)</f>
        <v>0.86718755429225491</v>
      </c>
      <c r="AH134" s="7">
        <f ca="1">$AW$8*EXP(-'3.r(t)'!E132*$AW$22)</f>
        <v>0.88467222399552836</v>
      </c>
      <c r="AI134" s="7">
        <f ca="1">$AW$9*EXP(-'3.r(t)'!F132*$AW$23)</f>
        <v>0.90455788089899247</v>
      </c>
      <c r="AJ134" s="7">
        <f ca="1">$AW$10*EXP(-'3.r(t)'!G132*$AW$24)</f>
        <v>0.9228834723325684</v>
      </c>
      <c r="AK134" s="7">
        <f ca="1">$AW$11*EXP(-'3.r(t)'!H132*$AW$25)</f>
        <v>0.95264274174817343</v>
      </c>
      <c r="AL134" s="7">
        <f ca="1">$AW$12*EXP(-'3.r(t)'!I132*$AW$26)</f>
        <v>0.98044523298952324</v>
      </c>
      <c r="AM134" s="7">
        <v>1</v>
      </c>
      <c r="AN134" s="7"/>
    </row>
    <row r="135" spans="2:40">
      <c r="B135" s="7">
        <v>127</v>
      </c>
      <c r="C135" s="7">
        <f>$AR$7*EXP(-'3.r(t)'!D133*$AR$21)</f>
        <v>0.97765346695821032</v>
      </c>
      <c r="D135" s="7">
        <v>1</v>
      </c>
      <c r="E135" s="7"/>
      <c r="F135" s="7">
        <v>127</v>
      </c>
      <c r="G135" s="48">
        <f>$AS$7*EXP(-'3.r(t)'!D133*$AS$21)</f>
        <v>0.9553476245219803</v>
      </c>
      <c r="H135" s="7">
        <f ca="1">$AS$8*EXP(-'3.r(t)'!E133*$AS$22)</f>
        <v>0.97746611018547236</v>
      </c>
      <c r="I135" s="7">
        <v>1</v>
      </c>
      <c r="J135" s="7"/>
      <c r="K135" s="7">
        <v>127</v>
      </c>
      <c r="L135" s="7">
        <f>$AT$7*EXP(-'3.r(t)'!D133*$AT$21)</f>
        <v>0.93311670519824419</v>
      </c>
      <c r="M135" s="7">
        <f ca="1">$AT$8*EXP(-'3.r(t)'!E133*$AT$22)</f>
        <v>0.95498997091022952</v>
      </c>
      <c r="N135" s="7">
        <f ca="1">$AT$9*EXP(-'3.r(t)'!F133*$AT$23)</f>
        <v>0.97381164048534075</v>
      </c>
      <c r="O135" s="7">
        <v>1</v>
      </c>
      <c r="P135" s="7"/>
      <c r="Q135" s="7">
        <v>127</v>
      </c>
      <c r="R135" s="7">
        <f>$AU$7*EXP(-'3.r(t)'!D133*$AU$21)</f>
        <v>0.91099305977534117</v>
      </c>
      <c r="S135" s="7">
        <f ca="1">$AU$8*EXP(-'3.r(t)'!E133*$AU$22)</f>
        <v>0.93260517293770995</v>
      </c>
      <c r="T135" s="7">
        <f ca="1">$AU$9*EXP(-'3.r(t)'!F133*$AU$23)</f>
        <v>0.94787085655751879</v>
      </c>
      <c r="U135" s="7">
        <f ca="1">$AU$10*EXP(-'3.r(t)'!G133*$AU$24)</f>
        <v>0.97532211234604571</v>
      </c>
      <c r="V135" s="7">
        <v>1</v>
      </c>
      <c r="W135" s="7"/>
      <c r="X135" s="7">
        <v>127</v>
      </c>
      <c r="Y135" s="7">
        <f>$AV$7*EXP(-'3.r(t)'!D133*$AV$21)</f>
        <v>0.88900715067201674</v>
      </c>
      <c r="Z135" s="7">
        <f ca="1">$AV$8*EXP(-'3.r(t)'!E133*$AV$22)</f>
        <v>0.91034340689566007</v>
      </c>
      <c r="AA135" s="7">
        <f ca="1">$AV$9*EXP(-'3.r(t)'!F133*$AV$23)</f>
        <v>0.92220854358551307</v>
      </c>
      <c r="AB135" s="7">
        <f ca="1">$AV$10*EXP(-'3.r(t)'!G133*$AV$24)</f>
        <v>0.95082204615100085</v>
      </c>
      <c r="AC135" s="7">
        <f ca="1">$AV$11*EXP(-'3.r(t)'!H133*$AV$25)</f>
        <v>0.97500151143162239</v>
      </c>
      <c r="AD135" s="7">
        <v>1</v>
      </c>
      <c r="AE135" s="7"/>
      <c r="AF135" s="7">
        <v>127</v>
      </c>
      <c r="AG135" s="7">
        <f>$AW$7*EXP(-'3.r(t)'!D133*$AW$21)</f>
        <v>0.86718755429225491</v>
      </c>
      <c r="AH135" s="7">
        <f ca="1">$AW$8*EXP(-'3.r(t)'!E133*$AW$22)</f>
        <v>0.8882344611152222</v>
      </c>
      <c r="AI135" s="7">
        <f ca="1">$AW$9*EXP(-'3.r(t)'!F133*$AW$23)</f>
        <v>0.89685325418427186</v>
      </c>
      <c r="AJ135" s="7">
        <f ca="1">$AW$10*EXP(-'3.r(t)'!G133*$AW$24)</f>
        <v>0.92653116384513567</v>
      </c>
      <c r="AK135" s="7">
        <f ca="1">$AW$11*EXP(-'3.r(t)'!H133*$AW$25)</f>
        <v>0.95020548707011654</v>
      </c>
      <c r="AL135" s="7">
        <f ca="1">$AW$12*EXP(-'3.r(t)'!I133*$AW$26)</f>
        <v>0.97293952952306162</v>
      </c>
      <c r="AM135" s="7">
        <v>1</v>
      </c>
      <c r="AN135" s="7"/>
    </row>
    <row r="136" spans="2:40">
      <c r="B136" s="7">
        <v>128</v>
      </c>
      <c r="C136" s="7">
        <f>$AR$7*EXP(-'3.r(t)'!D134*$AR$21)</f>
        <v>0.97765346695821032</v>
      </c>
      <c r="D136" s="7">
        <v>1</v>
      </c>
      <c r="E136" s="7"/>
      <c r="F136" s="7">
        <v>128</v>
      </c>
      <c r="G136" s="48">
        <f>$AS$7*EXP(-'3.r(t)'!D134*$AS$21)</f>
        <v>0.9553476245219803</v>
      </c>
      <c r="H136" s="7">
        <f ca="1">$AS$8*EXP(-'3.r(t)'!E134*$AS$22)</f>
        <v>0.97904472031197431</v>
      </c>
      <c r="I136" s="7">
        <v>1</v>
      </c>
      <c r="J136" s="7"/>
      <c r="K136" s="7">
        <v>128</v>
      </c>
      <c r="L136" s="7">
        <f>$AT$7*EXP(-'3.r(t)'!D134*$AT$21)</f>
        <v>0.93311670519824419</v>
      </c>
      <c r="M136" s="7">
        <f ca="1">$AT$8*EXP(-'3.r(t)'!E134*$AT$22)</f>
        <v>0.95807708396106805</v>
      </c>
      <c r="N136" s="7">
        <f ca="1">$AT$9*EXP(-'3.r(t)'!F134*$AT$23)</f>
        <v>0.97508124369061822</v>
      </c>
      <c r="O136" s="7">
        <v>1</v>
      </c>
      <c r="P136" s="7"/>
      <c r="Q136" s="7">
        <v>128</v>
      </c>
      <c r="R136" s="7">
        <f>$AU$7*EXP(-'3.r(t)'!D134*$AU$21)</f>
        <v>0.91099305977534117</v>
      </c>
      <c r="S136" s="7">
        <f ca="1">$AU$8*EXP(-'3.r(t)'!E134*$AU$22)</f>
        <v>0.93713095303411442</v>
      </c>
      <c r="T136" s="7">
        <f ca="1">$AU$9*EXP(-'3.r(t)'!F134*$AU$23)</f>
        <v>0.95034403371959897</v>
      </c>
      <c r="U136" s="7">
        <f ca="1">$AU$10*EXP(-'3.r(t)'!G134*$AU$24)</f>
        <v>0.97285683750238927</v>
      </c>
      <c r="V136" s="7">
        <v>1</v>
      </c>
      <c r="W136" s="7"/>
      <c r="X136" s="7">
        <v>128</v>
      </c>
      <c r="Y136" s="7">
        <f>$AV$7*EXP(-'3.r(t)'!D134*$AV$21)</f>
        <v>0.88900715067201674</v>
      </c>
      <c r="Z136" s="7">
        <f ca="1">$AV$8*EXP(-'3.r(t)'!E134*$AV$22)</f>
        <v>0.91623849576049188</v>
      </c>
      <c r="AA136" s="7">
        <f ca="1">$AV$9*EXP(-'3.r(t)'!F134*$AV$23)</f>
        <v>0.92582022580704837</v>
      </c>
      <c r="AB136" s="7">
        <f ca="1">$AV$10*EXP(-'3.r(t)'!G134*$AV$24)</f>
        <v>0.94602142656935695</v>
      </c>
      <c r="AC136" s="7">
        <f ca="1">$AV$11*EXP(-'3.r(t)'!H134*$AV$25)</f>
        <v>0.97338758112351431</v>
      </c>
      <c r="AD136" s="7">
        <v>1</v>
      </c>
      <c r="AE136" s="7"/>
      <c r="AF136" s="7">
        <v>128</v>
      </c>
      <c r="AG136" s="7">
        <f>$AW$7*EXP(-'3.r(t)'!D134*$AW$21)</f>
        <v>0.86718755429225491</v>
      </c>
      <c r="AH136" s="7">
        <f ca="1">$AW$8*EXP(-'3.r(t)'!E134*$AW$22)</f>
        <v>0.89543016977278678</v>
      </c>
      <c r="AI136" s="7">
        <f ca="1">$AW$9*EXP(-'3.r(t)'!F134*$AW$23)</f>
        <v>0.90153948472951673</v>
      </c>
      <c r="AJ136" s="7">
        <f ca="1">$AW$10*EXP(-'3.r(t)'!G134*$AW$24)</f>
        <v>0.91952306285108953</v>
      </c>
      <c r="AK136" s="7">
        <f ca="1">$AW$11*EXP(-'3.r(t)'!H134*$AW$25)</f>
        <v>0.94706232030983939</v>
      </c>
      <c r="AL136" s="7">
        <f ca="1">$AW$12*EXP(-'3.r(t)'!I134*$AW$26)</f>
        <v>0.9690719640013431</v>
      </c>
      <c r="AM136" s="7">
        <v>1</v>
      </c>
      <c r="AN136" s="7"/>
    </row>
    <row r="137" spans="2:40">
      <c r="B137" s="7">
        <v>129</v>
      </c>
      <c r="C137" s="7">
        <f>$AR$7*EXP(-'3.r(t)'!D135*$AR$21)</f>
        <v>0.97765346695821032</v>
      </c>
      <c r="D137" s="7">
        <v>1</v>
      </c>
      <c r="E137" s="7"/>
      <c r="F137" s="7">
        <v>129</v>
      </c>
      <c r="G137" s="48">
        <f>$AS$7*EXP(-'3.r(t)'!D135*$AS$21)</f>
        <v>0.9553476245219803</v>
      </c>
      <c r="H137" s="7">
        <f ca="1">$AS$8*EXP(-'3.r(t)'!E135*$AS$22)</f>
        <v>0.97984760813823457</v>
      </c>
      <c r="I137" s="7">
        <v>1</v>
      </c>
      <c r="J137" s="7"/>
      <c r="K137" s="7">
        <v>129</v>
      </c>
      <c r="L137" s="7">
        <f>$AT$7*EXP(-'3.r(t)'!D135*$AT$21)</f>
        <v>0.93311670519824419</v>
      </c>
      <c r="M137" s="7">
        <f ca="1">$AT$8*EXP(-'3.r(t)'!E135*$AT$22)</f>
        <v>0.95964911396740815</v>
      </c>
      <c r="N137" s="7">
        <f ca="1">$AT$9*EXP(-'3.r(t)'!F135*$AT$23)</f>
        <v>0.97900035840548993</v>
      </c>
      <c r="O137" s="7">
        <v>1</v>
      </c>
      <c r="P137" s="7"/>
      <c r="Q137" s="7">
        <v>129</v>
      </c>
      <c r="R137" s="7">
        <f>$AU$7*EXP(-'3.r(t)'!D135*$AU$21)</f>
        <v>0.91099305977534117</v>
      </c>
      <c r="S137" s="7">
        <f ca="1">$AU$8*EXP(-'3.r(t)'!E135*$AU$22)</f>
        <v>0.93943839073920199</v>
      </c>
      <c r="T137" s="7">
        <f ca="1">$AU$9*EXP(-'3.r(t)'!F135*$AU$23)</f>
        <v>0.9579987644632092</v>
      </c>
      <c r="U137" s="7">
        <f ca="1">$AU$10*EXP(-'3.r(t)'!G135*$AU$24)</f>
        <v>0.98037140100684805</v>
      </c>
      <c r="V137" s="7">
        <v>1</v>
      </c>
      <c r="W137" s="7"/>
      <c r="X137" s="7">
        <v>129</v>
      </c>
      <c r="Y137" s="7">
        <f>$AV$7*EXP(-'3.r(t)'!D135*$AV$21)</f>
        <v>0.88900715067201674</v>
      </c>
      <c r="Z137" s="7">
        <f ca="1">$AV$8*EXP(-'3.r(t)'!E135*$AV$22)</f>
        <v>0.91924772353989004</v>
      </c>
      <c r="AA137" s="7">
        <f ca="1">$AV$9*EXP(-'3.r(t)'!F135*$AV$23)</f>
        <v>0.93702851865583425</v>
      </c>
      <c r="AB137" s="7">
        <f ca="1">$AV$10*EXP(-'3.r(t)'!G135*$AV$24)</f>
        <v>0.96069243123156567</v>
      </c>
      <c r="AC137" s="7">
        <f ca="1">$AV$11*EXP(-'3.r(t)'!H135*$AV$25)</f>
        <v>0.98068488199942816</v>
      </c>
      <c r="AD137" s="7">
        <v>1</v>
      </c>
      <c r="AE137" s="7"/>
      <c r="AF137" s="7">
        <v>129</v>
      </c>
      <c r="AG137" s="7">
        <f>$AW$7*EXP(-'3.r(t)'!D135*$AW$21)</f>
        <v>0.86718755429225491</v>
      </c>
      <c r="AH137" s="7">
        <f ca="1">$AW$8*EXP(-'3.r(t)'!E135*$AW$22)</f>
        <v>0.89910778574218442</v>
      </c>
      <c r="AI137" s="7">
        <f ca="1">$AW$9*EXP(-'3.r(t)'!F135*$AW$23)</f>
        <v>0.91612122493438297</v>
      </c>
      <c r="AJ137" s="7">
        <f ca="1">$AW$10*EXP(-'3.r(t)'!G135*$AW$24)</f>
        <v>0.94099587740978508</v>
      </c>
      <c r="AK137" s="7">
        <f ca="1">$AW$11*EXP(-'3.r(t)'!H135*$AW$25)</f>
        <v>0.96131543808745767</v>
      </c>
      <c r="AL137" s="7">
        <f ca="1">$AW$12*EXP(-'3.r(t)'!I135*$AW$26)</f>
        <v>0.98361175494438768</v>
      </c>
      <c r="AM137" s="7">
        <v>1</v>
      </c>
      <c r="AN137" s="7"/>
    </row>
    <row r="138" spans="2:40">
      <c r="B138" s="7">
        <v>130</v>
      </c>
      <c r="C138" s="7">
        <f>$AR$7*EXP(-'3.r(t)'!D136*$AR$21)</f>
        <v>0.97765346695821032</v>
      </c>
      <c r="D138" s="7">
        <v>1</v>
      </c>
      <c r="E138" s="7"/>
      <c r="F138" s="7">
        <v>130</v>
      </c>
      <c r="G138" s="48">
        <f>$AS$7*EXP(-'3.r(t)'!D136*$AS$21)</f>
        <v>0.9553476245219803</v>
      </c>
      <c r="H138" s="7">
        <f ca="1">$AS$8*EXP(-'3.r(t)'!E136*$AS$22)</f>
        <v>0.97551238407286545</v>
      </c>
      <c r="I138" s="7">
        <v>1</v>
      </c>
      <c r="J138" s="7"/>
      <c r="K138" s="7">
        <v>130</v>
      </c>
      <c r="L138" s="7">
        <f>$AT$7*EXP(-'3.r(t)'!D136*$AT$21)</f>
        <v>0.93311670519824419</v>
      </c>
      <c r="M138" s="7">
        <f ca="1">$AT$8*EXP(-'3.r(t)'!E136*$AT$22)</f>
        <v>0.95117618302277429</v>
      </c>
      <c r="N138" s="7">
        <f ca="1">$AT$9*EXP(-'3.r(t)'!F136*$AT$23)</f>
        <v>0.97600699962734927</v>
      </c>
      <c r="O138" s="7">
        <v>1</v>
      </c>
      <c r="P138" s="7"/>
      <c r="Q138" s="7">
        <v>130</v>
      </c>
      <c r="R138" s="7">
        <f>$AU$7*EXP(-'3.r(t)'!D136*$AU$21)</f>
        <v>0.91099305977534117</v>
      </c>
      <c r="S138" s="7">
        <f ca="1">$AU$8*EXP(-'3.r(t)'!E136*$AU$22)</f>
        <v>0.92702416417020161</v>
      </c>
      <c r="T138" s="7">
        <f ca="1">$AU$9*EXP(-'3.r(t)'!F136*$AU$23)</f>
        <v>0.95214943050635836</v>
      </c>
      <c r="U138" s="7">
        <f ca="1">$AU$10*EXP(-'3.r(t)'!G136*$AU$24)</f>
        <v>0.97574552511731694</v>
      </c>
      <c r="V138" s="7">
        <v>1</v>
      </c>
      <c r="W138" s="7"/>
      <c r="X138" s="7">
        <v>130</v>
      </c>
      <c r="Y138" s="7">
        <f>$AV$7*EXP(-'3.r(t)'!D136*$AV$21)</f>
        <v>0.88900715067201674</v>
      </c>
      <c r="Z138" s="7">
        <f ca="1">$AV$8*EXP(-'3.r(t)'!E136*$AV$22)</f>
        <v>0.90308694500603537</v>
      </c>
      <c r="AA138" s="7">
        <f ca="1">$AV$9*EXP(-'3.r(t)'!F136*$AV$23)</f>
        <v>0.92845969065390399</v>
      </c>
      <c r="AB138" s="7">
        <f ca="1">$AV$10*EXP(-'3.r(t)'!G136*$AV$24)</f>
        <v>0.95164777865496575</v>
      </c>
      <c r="AC138" s="7">
        <f ca="1">$AV$11*EXP(-'3.r(t)'!H136*$AV$25)</f>
        <v>0.97465268713649134</v>
      </c>
      <c r="AD138" s="7">
        <v>1</v>
      </c>
      <c r="AE138" s="7"/>
      <c r="AF138" s="7">
        <v>130</v>
      </c>
      <c r="AG138" s="7">
        <f>$AW$7*EXP(-'3.r(t)'!D136*$AW$21)</f>
        <v>0.86718755429225491</v>
      </c>
      <c r="AH138" s="7">
        <f ca="1">$AW$8*EXP(-'3.r(t)'!E136*$AW$22)</f>
        <v>0.8793930112179611</v>
      </c>
      <c r="AI138" s="7">
        <f ca="1">$AW$9*EXP(-'3.r(t)'!F136*$AW$23)</f>
        <v>0.90496810103214287</v>
      </c>
      <c r="AJ138" s="7">
        <f ca="1">$AW$10*EXP(-'3.r(t)'!G136*$AW$24)</f>
        <v>0.92773838182159585</v>
      </c>
      <c r="AK138" s="7">
        <f ca="1">$AW$11*EXP(-'3.r(t)'!H136*$AW$25)</f>
        <v>0.94952570254993696</v>
      </c>
      <c r="AL138" s="7">
        <f ca="1">$AW$12*EXP(-'3.r(t)'!I136*$AW$26)</f>
        <v>0.9736091426920912</v>
      </c>
      <c r="AM138" s="7">
        <v>1</v>
      </c>
      <c r="AN138" s="7"/>
    </row>
    <row r="139" spans="2:40">
      <c r="B139" s="7">
        <v>131</v>
      </c>
      <c r="C139" s="7">
        <f>$AR$7*EXP(-'3.r(t)'!D137*$AR$21)</f>
        <v>0.97765346695821032</v>
      </c>
      <c r="D139" s="7">
        <v>1</v>
      </c>
      <c r="E139" s="7"/>
      <c r="F139" s="7">
        <v>131</v>
      </c>
      <c r="G139" s="48">
        <f>$AS$7*EXP(-'3.r(t)'!D137*$AS$21)</f>
        <v>0.9553476245219803</v>
      </c>
      <c r="H139" s="7">
        <f ca="1">$AS$8*EXP(-'3.r(t)'!E137*$AS$22)</f>
        <v>0.97190570300958112</v>
      </c>
      <c r="I139" s="7">
        <v>1</v>
      </c>
      <c r="J139" s="7"/>
      <c r="K139" s="7">
        <v>131</v>
      </c>
      <c r="L139" s="7">
        <f>$AT$7*EXP(-'3.r(t)'!D137*$AT$21)</f>
        <v>0.93311670519824419</v>
      </c>
      <c r="M139" s="7">
        <f ca="1">$AT$8*EXP(-'3.r(t)'!E137*$AT$22)</f>
        <v>0.94415577535460193</v>
      </c>
      <c r="N139" s="7">
        <f ca="1">$AT$9*EXP(-'3.r(t)'!F137*$AT$23)</f>
        <v>0.97030272690661801</v>
      </c>
      <c r="O139" s="7">
        <v>1</v>
      </c>
      <c r="P139" s="7"/>
      <c r="Q139" s="7">
        <v>131</v>
      </c>
      <c r="R139" s="7">
        <f>$AU$7*EXP(-'3.r(t)'!D137*$AU$21)</f>
        <v>0.91099305977534117</v>
      </c>
      <c r="S139" s="7">
        <f ca="1">$AU$8*EXP(-'3.r(t)'!E137*$AU$22)</f>
        <v>0.91677990418829625</v>
      </c>
      <c r="T139" s="7">
        <f ca="1">$AU$9*EXP(-'3.r(t)'!F137*$AU$23)</f>
        <v>0.94105227987085271</v>
      </c>
      <c r="U139" s="7">
        <f ca="1">$AU$10*EXP(-'3.r(t)'!G137*$AU$24)</f>
        <v>0.97127369251388962</v>
      </c>
      <c r="V139" s="7">
        <v>1</v>
      </c>
      <c r="W139" s="7"/>
      <c r="X139" s="7">
        <v>131</v>
      </c>
      <c r="Y139" s="7">
        <f>$AV$7*EXP(-'3.r(t)'!D137*$AV$21)</f>
        <v>0.88900715067201674</v>
      </c>
      <c r="Z139" s="7">
        <f ca="1">$AV$8*EXP(-'3.r(t)'!E137*$AV$22)</f>
        <v>0.88980519666115998</v>
      </c>
      <c r="AA139" s="7">
        <f ca="1">$AV$9*EXP(-'3.r(t)'!F137*$AV$23)</f>
        <v>0.91227550132480872</v>
      </c>
      <c r="AB139" s="7">
        <f ca="1">$AV$10*EXP(-'3.r(t)'!G137*$AV$24)</f>
        <v>0.94294498116343606</v>
      </c>
      <c r="AC139" s="7">
        <f ca="1">$AV$11*EXP(-'3.r(t)'!H137*$AV$25)</f>
        <v>0.96844087034487147</v>
      </c>
      <c r="AD139" s="7">
        <v>1</v>
      </c>
      <c r="AE139" s="7"/>
      <c r="AF139" s="7">
        <v>131</v>
      </c>
      <c r="AG139" s="7">
        <f>$AW$7*EXP(-'3.r(t)'!D137*$AW$21)</f>
        <v>0.86718755429225491</v>
      </c>
      <c r="AH139" s="7">
        <f ca="1">$AW$8*EXP(-'3.r(t)'!E137*$AW$22)</f>
        <v>0.86325624110416121</v>
      </c>
      <c r="AI139" s="7">
        <f ca="1">$AW$9*EXP(-'3.r(t)'!F137*$AW$23)</f>
        <v>0.88399650822824982</v>
      </c>
      <c r="AJ139" s="7">
        <f ca="1">$AW$10*EXP(-'3.r(t)'!G137*$AW$24)</f>
        <v>0.91504130167442466</v>
      </c>
      <c r="AK139" s="7">
        <f ca="1">$AW$11*EXP(-'3.r(t)'!H137*$AW$25)</f>
        <v>0.93746092534740988</v>
      </c>
      <c r="AL139" s="7">
        <f ca="1">$AW$12*EXP(-'3.r(t)'!I137*$AW$26)</f>
        <v>0.9646945967325623</v>
      </c>
      <c r="AM139" s="7">
        <v>1</v>
      </c>
      <c r="AN139" s="7"/>
    </row>
    <row r="140" spans="2:40">
      <c r="B140" s="7">
        <v>132</v>
      </c>
      <c r="C140" s="7">
        <f>$AR$7*EXP(-'3.r(t)'!D138*$AR$21)</f>
        <v>0.97765346695821032</v>
      </c>
      <c r="D140" s="7">
        <v>1</v>
      </c>
      <c r="E140" s="7"/>
      <c r="F140" s="7">
        <v>132</v>
      </c>
      <c r="G140" s="48">
        <f>$AS$7*EXP(-'3.r(t)'!D138*$AS$21)</f>
        <v>0.9553476245219803</v>
      </c>
      <c r="H140" s="7">
        <f ca="1">$AS$8*EXP(-'3.r(t)'!E138*$AS$22)</f>
        <v>0.97492807427477424</v>
      </c>
      <c r="I140" s="7">
        <v>1</v>
      </c>
      <c r="J140" s="7"/>
      <c r="K140" s="7">
        <v>132</v>
      </c>
      <c r="L140" s="7">
        <f>$AT$7*EXP(-'3.r(t)'!D138*$AT$21)</f>
        <v>0.93311670519824419</v>
      </c>
      <c r="M140" s="7">
        <f ca="1">$AT$8*EXP(-'3.r(t)'!E138*$AT$22)</f>
        <v>0.95003705834891927</v>
      </c>
      <c r="N140" s="7">
        <f ca="1">$AT$9*EXP(-'3.r(t)'!F138*$AT$23)</f>
        <v>0.9783970442191201</v>
      </c>
      <c r="O140" s="7">
        <v>1</v>
      </c>
      <c r="P140" s="7"/>
      <c r="Q140" s="7">
        <v>132</v>
      </c>
      <c r="R140" s="7">
        <f>$AU$7*EXP(-'3.r(t)'!D138*$AU$21)</f>
        <v>0.91099305977534117</v>
      </c>
      <c r="S140" s="7">
        <f ca="1">$AU$8*EXP(-'3.r(t)'!E138*$AU$22)</f>
        <v>0.92535936238547822</v>
      </c>
      <c r="T140" s="7">
        <f ca="1">$AU$9*EXP(-'3.r(t)'!F138*$AU$23)</f>
        <v>0.95681838459856305</v>
      </c>
      <c r="U140" s="7">
        <f ca="1">$AU$10*EXP(-'3.r(t)'!G138*$AU$24)</f>
        <v>0.98177737946840204</v>
      </c>
      <c r="V140" s="7">
        <v>1</v>
      </c>
      <c r="W140" s="7"/>
      <c r="X140" s="7">
        <v>132</v>
      </c>
      <c r="Y140" s="7">
        <f>$AV$7*EXP(-'3.r(t)'!D138*$AV$21)</f>
        <v>0.88900715067201674</v>
      </c>
      <c r="Z140" s="7">
        <f ca="1">$AV$8*EXP(-'3.r(t)'!E138*$AV$22)</f>
        <v>0.90092517384425508</v>
      </c>
      <c r="AA140" s="7">
        <f ca="1">$AV$9*EXP(-'3.r(t)'!F138*$AV$23)</f>
        <v>0.93529723955469157</v>
      </c>
      <c r="AB140" s="7">
        <f ca="1">$AV$10*EXP(-'3.r(t)'!G138*$AV$24)</f>
        <v>0.96344991969550398</v>
      </c>
      <c r="AC140" s="7">
        <f ca="1">$AV$11*EXP(-'3.r(t)'!H138*$AV$25)</f>
        <v>0.98232243196861857</v>
      </c>
      <c r="AD140" s="7">
        <v>1</v>
      </c>
      <c r="AE140" s="7"/>
      <c r="AF140" s="7">
        <v>132</v>
      </c>
      <c r="AG140" s="7">
        <f>$AW$7*EXP(-'3.r(t)'!D138*$AW$21)</f>
        <v>0.86718755429225491</v>
      </c>
      <c r="AH140" s="7">
        <f ca="1">$AW$8*EXP(-'3.r(t)'!E138*$AW$22)</f>
        <v>0.87676248199436968</v>
      </c>
      <c r="AI140" s="7">
        <f ca="1">$AW$9*EXP(-'3.r(t)'!F138*$AW$23)</f>
        <v>0.91386505323094525</v>
      </c>
      <c r="AJ140" s="7">
        <f ca="1">$AW$10*EXP(-'3.r(t)'!G138*$AW$24)</f>
        <v>0.94505021300802494</v>
      </c>
      <c r="AK140" s="7">
        <f ca="1">$AW$11*EXP(-'3.r(t)'!H138*$AW$25)</f>
        <v>0.96452853211620171</v>
      </c>
      <c r="AL140" s="7">
        <f ca="1">$AW$12*EXP(-'3.r(t)'!I138*$AW$26)</f>
        <v>0.98231900711857911</v>
      </c>
      <c r="AM140" s="7">
        <v>1</v>
      </c>
      <c r="AN140" s="7"/>
    </row>
    <row r="141" spans="2:40">
      <c r="B141" s="7">
        <v>133</v>
      </c>
      <c r="C141" s="7">
        <f>$AR$7*EXP(-'3.r(t)'!D139*$AR$21)</f>
        <v>0.97765346695821032</v>
      </c>
      <c r="D141" s="7">
        <v>1</v>
      </c>
      <c r="E141" s="7"/>
      <c r="F141" s="7">
        <v>133</v>
      </c>
      <c r="G141" s="48">
        <f>$AS$7*EXP(-'3.r(t)'!D139*$AS$21)</f>
        <v>0.9553476245219803</v>
      </c>
      <c r="H141" s="7">
        <f ca="1">$AS$8*EXP(-'3.r(t)'!E139*$AS$22)</f>
        <v>0.97564507306285431</v>
      </c>
      <c r="I141" s="7">
        <v>1</v>
      </c>
      <c r="J141" s="7"/>
      <c r="K141" s="7">
        <v>133</v>
      </c>
      <c r="L141" s="7">
        <f>$AT$7*EXP(-'3.r(t)'!D139*$AT$21)</f>
        <v>0.93311670519824419</v>
      </c>
      <c r="M141" s="7">
        <f ca="1">$AT$8*EXP(-'3.r(t)'!E139*$AT$22)</f>
        <v>0.9514349581908963</v>
      </c>
      <c r="N141" s="7">
        <f ca="1">$AT$9*EXP(-'3.r(t)'!F139*$AT$23)</f>
        <v>0.97529212130677634</v>
      </c>
      <c r="O141" s="7">
        <v>1</v>
      </c>
      <c r="P141" s="7"/>
      <c r="Q141" s="7">
        <v>133</v>
      </c>
      <c r="R141" s="7">
        <f>$AU$7*EXP(-'3.r(t)'!D139*$AU$21)</f>
        <v>0.91099305977534117</v>
      </c>
      <c r="S141" s="7">
        <f ca="1">$AU$8*EXP(-'3.r(t)'!E139*$AU$22)</f>
        <v>0.92740249652366868</v>
      </c>
      <c r="T141" s="7">
        <f ca="1">$AU$9*EXP(-'3.r(t)'!F139*$AU$23)</f>
        <v>0.95075513373052023</v>
      </c>
      <c r="U141" s="7">
        <f ca="1">$AU$10*EXP(-'3.r(t)'!G139*$AU$24)</f>
        <v>0.97582604230719006</v>
      </c>
      <c r="V141" s="7">
        <v>1</v>
      </c>
      <c r="W141" s="7"/>
      <c r="X141" s="7">
        <v>133</v>
      </c>
      <c r="Y141" s="7">
        <f>$AV$7*EXP(-'3.r(t)'!D139*$AV$21)</f>
        <v>0.88900715067201674</v>
      </c>
      <c r="Z141" s="7">
        <f ca="1">$AV$8*EXP(-'3.r(t)'!E139*$AV$22)</f>
        <v>0.90357839605306967</v>
      </c>
      <c r="AA141" s="7">
        <f ca="1">$AV$9*EXP(-'3.r(t)'!F139*$AV$23)</f>
        <v>0.92642102801495763</v>
      </c>
      <c r="AB141" s="7">
        <f ca="1">$AV$10*EXP(-'3.r(t)'!G139*$AV$24)</f>
        <v>0.9518048424884511</v>
      </c>
      <c r="AC141" s="7">
        <f ca="1">$AV$11*EXP(-'3.r(t)'!H139*$AV$25)</f>
        <v>0.97595157886526041</v>
      </c>
      <c r="AD141" s="7">
        <v>1</v>
      </c>
      <c r="AE141" s="7"/>
      <c r="AF141" s="7">
        <v>133</v>
      </c>
      <c r="AG141" s="7">
        <f>$AW$7*EXP(-'3.r(t)'!D139*$AW$21)</f>
        <v>0.86718755429225491</v>
      </c>
      <c r="AH141" s="7">
        <f ca="1">$AW$8*EXP(-'3.r(t)'!E139*$AW$22)</f>
        <v>0.87999124820517594</v>
      </c>
      <c r="AI141" s="7">
        <f ca="1">$AW$9*EXP(-'3.r(t)'!F139*$AW$23)</f>
        <v>0.9023196296895043</v>
      </c>
      <c r="AJ141" s="7">
        <f ca="1">$AW$10*EXP(-'3.r(t)'!G139*$AW$24)</f>
        <v>0.92796806789159647</v>
      </c>
      <c r="AK141" s="7">
        <f ca="1">$AW$11*EXP(-'3.r(t)'!H139*$AW$25)</f>
        <v>0.95205820035165267</v>
      </c>
      <c r="AL141" s="7">
        <f ca="1">$AW$12*EXP(-'3.r(t)'!I139*$AW$26)</f>
        <v>0.96867419867018112</v>
      </c>
      <c r="AM141" s="7">
        <v>1</v>
      </c>
      <c r="AN141" s="7"/>
    </row>
    <row r="142" spans="2:40">
      <c r="B142" s="7">
        <v>134</v>
      </c>
      <c r="C142" s="7">
        <f>$AR$7*EXP(-'3.r(t)'!D140*$AR$21)</f>
        <v>0.97765346695821032</v>
      </c>
      <c r="D142" s="7">
        <v>1</v>
      </c>
      <c r="E142" s="7"/>
      <c r="F142" s="7">
        <v>134</v>
      </c>
      <c r="G142" s="48">
        <f>$AS$7*EXP(-'3.r(t)'!D140*$AS$21)</f>
        <v>0.9553476245219803</v>
      </c>
      <c r="H142" s="7">
        <f ca="1">$AS$8*EXP(-'3.r(t)'!E140*$AS$22)</f>
        <v>0.97705742554316477</v>
      </c>
      <c r="I142" s="7">
        <v>1</v>
      </c>
      <c r="J142" s="7"/>
      <c r="K142" s="7">
        <v>134</v>
      </c>
      <c r="L142" s="7">
        <f>$AT$7*EXP(-'3.r(t)'!D140*$AT$21)</f>
        <v>0.93311670519824419</v>
      </c>
      <c r="M142" s="7">
        <f ca="1">$AT$8*EXP(-'3.r(t)'!E140*$AT$22)</f>
        <v>0.95419156339650923</v>
      </c>
      <c r="N142" s="7">
        <f ca="1">$AT$9*EXP(-'3.r(t)'!F140*$AT$23)</f>
        <v>0.9767612574714295</v>
      </c>
      <c r="O142" s="7">
        <v>1</v>
      </c>
      <c r="P142" s="7"/>
      <c r="Q142" s="7">
        <v>134</v>
      </c>
      <c r="R142" s="7">
        <f>$AU$7*EXP(-'3.r(t)'!D140*$AU$21)</f>
        <v>0.91099305977534117</v>
      </c>
      <c r="S142" s="7">
        <f ca="1">$AU$8*EXP(-'3.r(t)'!E140*$AU$22)</f>
        <v>0.93143587794476446</v>
      </c>
      <c r="T142" s="7">
        <f ca="1">$AU$9*EXP(-'3.r(t)'!F140*$AU$23)</f>
        <v>0.95362164059552057</v>
      </c>
      <c r="U142" s="7">
        <f ca="1">$AU$10*EXP(-'3.r(t)'!G140*$AU$24)</f>
        <v>0.97517995642495992</v>
      </c>
      <c r="V142" s="7">
        <v>1</v>
      </c>
      <c r="W142" s="7"/>
      <c r="X142" s="7">
        <v>134</v>
      </c>
      <c r="Y142" s="7">
        <f>$AV$7*EXP(-'3.r(t)'!D140*$AV$21)</f>
        <v>0.88900715067201674</v>
      </c>
      <c r="Z142" s="7">
        <f ca="1">$AV$8*EXP(-'3.r(t)'!E140*$AV$22)</f>
        <v>0.90882188057235969</v>
      </c>
      <c r="AA142" s="7">
        <f ca="1">$AV$9*EXP(-'3.r(t)'!F140*$AV$23)</f>
        <v>0.93061389446894405</v>
      </c>
      <c r="AB142" s="7">
        <f ca="1">$AV$10*EXP(-'3.r(t)'!G140*$AV$24)</f>
        <v>0.95054489641408535</v>
      </c>
      <c r="AC142" s="7">
        <f ca="1">$AV$11*EXP(-'3.r(t)'!H140*$AV$25)</f>
        <v>0.97419665686164014</v>
      </c>
      <c r="AD142" s="7">
        <v>1</v>
      </c>
      <c r="AE142" s="7"/>
      <c r="AF142" s="7">
        <v>134</v>
      </c>
      <c r="AG142" s="7">
        <f>$AW$7*EXP(-'3.r(t)'!D140*$AW$21)</f>
        <v>0.86718755429225491</v>
      </c>
      <c r="AH142" s="7">
        <f ca="1">$AW$8*EXP(-'3.r(t)'!E140*$AW$22)</f>
        <v>0.88637913153127823</v>
      </c>
      <c r="AI142" s="7">
        <f ca="1">$AW$9*EXP(-'3.r(t)'!F140*$AW$23)</f>
        <v>0.90776878152875196</v>
      </c>
      <c r="AJ142" s="7">
        <f ca="1">$AW$10*EXP(-'3.r(t)'!G140*$AW$24)</f>
        <v>0.92612608937927199</v>
      </c>
      <c r="AK142" s="7">
        <f ca="1">$AW$11*EXP(-'3.r(t)'!H140*$AW$25)</f>
        <v>0.94863736320256198</v>
      </c>
      <c r="AL142" s="7">
        <f ca="1">$AW$12*EXP(-'3.r(t)'!I140*$AW$26)</f>
        <v>0.97350384108364407</v>
      </c>
      <c r="AM142" s="7">
        <v>1</v>
      </c>
      <c r="AN142" s="7"/>
    </row>
    <row r="143" spans="2:40">
      <c r="B143" s="7">
        <v>135</v>
      </c>
      <c r="C143" s="7">
        <f>$AR$7*EXP(-'3.r(t)'!D141*$AR$21)</f>
        <v>0.97765346695821032</v>
      </c>
      <c r="D143" s="7">
        <v>1</v>
      </c>
      <c r="E143" s="7"/>
      <c r="F143" s="7">
        <v>135</v>
      </c>
      <c r="G143" s="48">
        <f>$AS$7*EXP(-'3.r(t)'!D141*$AS$21)</f>
        <v>0.9553476245219803</v>
      </c>
      <c r="H143" s="7">
        <f ca="1">$AS$8*EXP(-'3.r(t)'!E141*$AS$22)</f>
        <v>0.97428087741314007</v>
      </c>
      <c r="I143" s="7">
        <v>1</v>
      </c>
      <c r="J143" s="7"/>
      <c r="K143" s="7">
        <v>135</v>
      </c>
      <c r="L143" s="7">
        <f>$AT$7*EXP(-'3.r(t)'!D141*$AT$21)</f>
        <v>0.93311670519824419</v>
      </c>
      <c r="M143" s="7">
        <f ca="1">$AT$8*EXP(-'3.r(t)'!E141*$AT$22)</f>
        <v>0.94877613062724941</v>
      </c>
      <c r="N143" s="7">
        <f ca="1">$AT$9*EXP(-'3.r(t)'!F141*$AT$23)</f>
        <v>0.9714321421049269</v>
      </c>
      <c r="O143" s="7">
        <v>1</v>
      </c>
      <c r="P143" s="7"/>
      <c r="Q143" s="7">
        <v>135</v>
      </c>
      <c r="R143" s="7">
        <f>$AU$7*EXP(-'3.r(t)'!D141*$AU$21)</f>
        <v>0.91099305977534117</v>
      </c>
      <c r="S143" s="7">
        <f ca="1">$AU$8*EXP(-'3.r(t)'!E141*$AU$22)</f>
        <v>0.92351771207806654</v>
      </c>
      <c r="T143" s="7">
        <f ca="1">$AU$9*EXP(-'3.r(t)'!F141*$AU$23)</f>
        <v>0.94324429125151499</v>
      </c>
      <c r="U143" s="7">
        <f ca="1">$AU$10*EXP(-'3.r(t)'!G141*$AU$24)</f>
        <v>0.97127359480648479</v>
      </c>
      <c r="V143" s="7">
        <v>1</v>
      </c>
      <c r="W143" s="7"/>
      <c r="X143" s="7">
        <v>135</v>
      </c>
      <c r="Y143" s="7">
        <f>$AV$7*EXP(-'3.r(t)'!D141*$AV$21)</f>
        <v>0.88900715067201674</v>
      </c>
      <c r="Z143" s="7">
        <f ca="1">$AV$8*EXP(-'3.r(t)'!E141*$AV$22)</f>
        <v>0.89853527201206873</v>
      </c>
      <c r="AA143" s="7">
        <f ca="1">$AV$9*EXP(-'3.r(t)'!F141*$AV$23)</f>
        <v>0.91546482837069487</v>
      </c>
      <c r="AB143" s="7">
        <f ca="1">$AV$10*EXP(-'3.r(t)'!G141*$AV$24)</f>
        <v>0.94294479144821353</v>
      </c>
      <c r="AC143" s="7">
        <f ca="1">$AV$11*EXP(-'3.r(t)'!H141*$AV$25)</f>
        <v>0.96857164734785717</v>
      </c>
      <c r="AD143" s="7">
        <v>1</v>
      </c>
      <c r="AE143" s="7"/>
      <c r="AF143" s="7">
        <v>135</v>
      </c>
      <c r="AG143" s="7">
        <f>$AW$7*EXP(-'3.r(t)'!D141*$AW$21)</f>
        <v>0.86718755429225491</v>
      </c>
      <c r="AH143" s="7">
        <f ca="1">$AW$8*EXP(-'3.r(t)'!E141*$AW$22)</f>
        <v>0.87385619041779516</v>
      </c>
      <c r="AI143" s="7">
        <f ca="1">$AW$9*EXP(-'3.r(t)'!F141*$AW$23)</f>
        <v>0.88811952507771186</v>
      </c>
      <c r="AJ143" s="7">
        <f ca="1">$AW$10*EXP(-'3.r(t)'!G141*$AW$24)</f>
        <v>0.91504102552269961</v>
      </c>
      <c r="AK143" s="7">
        <f ca="1">$AW$11*EXP(-'3.r(t)'!H141*$AW$25)</f>
        <v>0.93771412946497146</v>
      </c>
      <c r="AL143" s="7">
        <f ca="1">$AW$12*EXP(-'3.r(t)'!I141*$AW$26)</f>
        <v>0.96821026831876489</v>
      </c>
      <c r="AM143" s="7">
        <v>1</v>
      </c>
      <c r="AN143" s="7"/>
    </row>
    <row r="144" spans="2:40">
      <c r="B144" s="7">
        <v>136</v>
      </c>
      <c r="C144" s="7">
        <f>$AR$7*EXP(-'3.r(t)'!D142*$AR$21)</f>
        <v>0.97765346695821032</v>
      </c>
      <c r="D144" s="7">
        <v>1</v>
      </c>
      <c r="E144" s="7"/>
      <c r="F144" s="7">
        <v>136</v>
      </c>
      <c r="G144" s="48">
        <f>$AS$7*EXP(-'3.r(t)'!D142*$AS$21)</f>
        <v>0.9553476245219803</v>
      </c>
      <c r="H144" s="7">
        <f ca="1">$AS$8*EXP(-'3.r(t)'!E142*$AS$22)</f>
        <v>0.97532487773758914</v>
      </c>
      <c r="I144" s="7">
        <v>1</v>
      </c>
      <c r="J144" s="7"/>
      <c r="K144" s="7">
        <v>136</v>
      </c>
      <c r="L144" s="7">
        <f>$AT$7*EXP(-'3.r(t)'!D142*$AT$21)</f>
        <v>0.93311670519824419</v>
      </c>
      <c r="M144" s="7">
        <f ca="1">$AT$8*EXP(-'3.r(t)'!E142*$AT$22)</f>
        <v>0.95081056097136341</v>
      </c>
      <c r="N144" s="7">
        <f ca="1">$AT$9*EXP(-'3.r(t)'!F142*$AT$23)</f>
        <v>0.97649538668986169</v>
      </c>
      <c r="O144" s="7">
        <v>1</v>
      </c>
      <c r="P144" s="7"/>
      <c r="Q144" s="7">
        <v>136</v>
      </c>
      <c r="R144" s="7">
        <f>$AU$7*EXP(-'3.r(t)'!D142*$AU$21)</f>
        <v>0.91099305977534117</v>
      </c>
      <c r="S144" s="7">
        <f ca="1">$AU$8*EXP(-'3.r(t)'!E142*$AU$22)</f>
        <v>0.92648970813152398</v>
      </c>
      <c r="T144" s="7">
        <f ca="1">$AU$9*EXP(-'3.r(t)'!F142*$AU$23)</f>
        <v>0.95310256672229798</v>
      </c>
      <c r="U144" s="7">
        <f ca="1">$AU$10*EXP(-'3.r(t)'!G142*$AU$24)</f>
        <v>0.96968385166819326</v>
      </c>
      <c r="V144" s="7">
        <v>1</v>
      </c>
      <c r="W144" s="7"/>
      <c r="X144" s="7">
        <v>136</v>
      </c>
      <c r="Y144" s="7">
        <f>$AV$7*EXP(-'3.r(t)'!D142*$AV$21)</f>
        <v>0.88900715067201674</v>
      </c>
      <c r="Z144" s="7">
        <f ca="1">$AV$8*EXP(-'3.r(t)'!E142*$AV$22)</f>
        <v>0.90239280432664037</v>
      </c>
      <c r="AA144" s="7">
        <f ca="1">$AV$9*EXP(-'3.r(t)'!F142*$AV$23)</f>
        <v>0.92985417237704104</v>
      </c>
      <c r="AB144" s="7">
        <f ca="1">$AV$10*EXP(-'3.r(t)'!G142*$AV$24)</f>
        <v>0.93986056629357173</v>
      </c>
      <c r="AC144" s="7">
        <f ca="1">$AV$11*EXP(-'3.r(t)'!H142*$AV$25)</f>
        <v>0.96587264208582435</v>
      </c>
      <c r="AD144" s="7">
        <v>1</v>
      </c>
      <c r="AE144" s="7"/>
      <c r="AF144" s="7">
        <v>136</v>
      </c>
      <c r="AG144" s="7">
        <f>$AW$7*EXP(-'3.r(t)'!D142*$AW$21)</f>
        <v>0.86718755429225491</v>
      </c>
      <c r="AH144" s="7">
        <f ca="1">$AW$8*EXP(-'3.r(t)'!E142*$AW$22)</f>
        <v>0.87854818142934632</v>
      </c>
      <c r="AI144" s="7">
        <f ca="1">$AW$9*EXP(-'3.r(t)'!F142*$AW$23)</f>
        <v>0.90678081985466641</v>
      </c>
      <c r="AJ144" s="7">
        <f ca="1">$AW$10*EXP(-'3.r(t)'!G142*$AW$24)</f>
        <v>0.91055526414516008</v>
      </c>
      <c r="AK144" s="7">
        <f ca="1">$AW$11*EXP(-'3.r(t)'!H142*$AW$25)</f>
        <v>0.93249537440094432</v>
      </c>
      <c r="AL144" s="7">
        <f ca="1">$AW$12*EXP(-'3.r(t)'!I142*$AW$26)</f>
        <v>0.96210636568926022</v>
      </c>
      <c r="AM144" s="7">
        <v>1</v>
      </c>
      <c r="AN144" s="7"/>
    </row>
    <row r="145" spans="2:40">
      <c r="B145" s="7">
        <v>137</v>
      </c>
      <c r="C145" s="7">
        <f>$AR$7*EXP(-'3.r(t)'!D143*$AR$21)</f>
        <v>0.97765346695821032</v>
      </c>
      <c r="D145" s="7">
        <v>1</v>
      </c>
      <c r="E145" s="7"/>
      <c r="F145" s="7">
        <v>137</v>
      </c>
      <c r="G145" s="48">
        <f>$AS$7*EXP(-'3.r(t)'!D143*$AS$21)</f>
        <v>0.9553476245219803</v>
      </c>
      <c r="H145" s="7">
        <f ca="1">$AS$8*EXP(-'3.r(t)'!E143*$AS$22)</f>
        <v>0.97850806121433442</v>
      </c>
      <c r="I145" s="7">
        <v>1</v>
      </c>
      <c r="J145" s="7"/>
      <c r="K145" s="7">
        <v>137</v>
      </c>
      <c r="L145" s="7">
        <f>$AT$7*EXP(-'3.r(t)'!D143*$AT$21)</f>
        <v>0.93311670519824419</v>
      </c>
      <c r="M145" s="7">
        <f ca="1">$AT$8*EXP(-'3.r(t)'!E143*$AT$22)</f>
        <v>0.95702704027013685</v>
      </c>
      <c r="N145" s="7">
        <f ca="1">$AT$9*EXP(-'3.r(t)'!F143*$AT$23)</f>
        <v>0.98066443402781656</v>
      </c>
      <c r="O145" s="7">
        <v>1</v>
      </c>
      <c r="P145" s="7"/>
      <c r="Q145" s="7">
        <v>137</v>
      </c>
      <c r="R145" s="7">
        <f>$AU$7*EXP(-'3.r(t)'!D143*$AU$21)</f>
        <v>0.91099305977534117</v>
      </c>
      <c r="S145" s="7">
        <f ca="1">$AU$8*EXP(-'3.r(t)'!E143*$AU$22)</f>
        <v>0.93559074485493154</v>
      </c>
      <c r="T145" s="7">
        <f ca="1">$AU$9*EXP(-'3.r(t)'!F143*$AU$23)</f>
        <v>0.96125828780926936</v>
      </c>
      <c r="U145" s="7">
        <f ca="1">$AU$10*EXP(-'3.r(t)'!G143*$AU$24)</f>
        <v>0.98015569909638856</v>
      </c>
      <c r="V145" s="7">
        <v>1</v>
      </c>
      <c r="W145" s="7"/>
      <c r="X145" s="7">
        <v>137</v>
      </c>
      <c r="Y145" s="7">
        <f>$AV$7*EXP(-'3.r(t)'!D143*$AV$21)</f>
        <v>0.88900715067201674</v>
      </c>
      <c r="Z145" s="7">
        <f ca="1">$AV$8*EXP(-'3.r(t)'!E143*$AV$22)</f>
        <v>0.91423121837789667</v>
      </c>
      <c r="AA145" s="7">
        <f ca="1">$AV$9*EXP(-'3.r(t)'!F143*$AV$23)</f>
        <v>0.94181484451978659</v>
      </c>
      <c r="AB145" s="7">
        <f ca="1">$AV$10*EXP(-'3.r(t)'!G143*$AV$24)</f>
        <v>0.96026973347461042</v>
      </c>
      <c r="AC145" s="7">
        <f ca="1">$AV$11*EXP(-'3.r(t)'!H143*$AV$25)</f>
        <v>0.97668943943590625</v>
      </c>
      <c r="AD145" s="7">
        <v>1</v>
      </c>
      <c r="AE145" s="7"/>
      <c r="AF145" s="7">
        <v>137</v>
      </c>
      <c r="AG145" s="7">
        <f>$AW$7*EXP(-'3.r(t)'!D143*$AW$21)</f>
        <v>0.86718755429225491</v>
      </c>
      <c r="AH145" s="7">
        <f ca="1">$AW$8*EXP(-'3.r(t)'!E143*$AW$22)</f>
        <v>0.89297872801017486</v>
      </c>
      <c r="AI145" s="7">
        <f ca="1">$AW$9*EXP(-'3.r(t)'!F143*$AW$23)</f>
        <v>0.92236590636918991</v>
      </c>
      <c r="AJ145" s="7">
        <f ca="1">$AW$10*EXP(-'3.r(t)'!G143*$AW$24)</f>
        <v>0.94037489860635759</v>
      </c>
      <c r="AK145" s="7">
        <f ca="1">$AW$11*EXP(-'3.r(t)'!H143*$AW$25)</f>
        <v>0.95349833688470154</v>
      </c>
      <c r="AL145" s="7">
        <f ca="1">$AW$12*EXP(-'3.r(t)'!I143*$AW$26)</f>
        <v>0.98139055736101244</v>
      </c>
      <c r="AM145" s="7">
        <v>1</v>
      </c>
      <c r="AN145" s="7"/>
    </row>
    <row r="146" spans="2:40">
      <c r="B146" s="7">
        <v>138</v>
      </c>
      <c r="C146" s="7">
        <f>$AR$7*EXP(-'3.r(t)'!D144*$AR$21)</f>
        <v>0.97765346695821032</v>
      </c>
      <c r="D146" s="7">
        <v>1</v>
      </c>
      <c r="E146" s="7"/>
      <c r="F146" s="7">
        <v>138</v>
      </c>
      <c r="G146" s="48">
        <f>$AS$7*EXP(-'3.r(t)'!D144*$AS$21)</f>
        <v>0.9553476245219803</v>
      </c>
      <c r="H146" s="7">
        <f ca="1">$AS$8*EXP(-'3.r(t)'!E144*$AS$22)</f>
        <v>0.9788362331422692</v>
      </c>
      <c r="I146" s="7">
        <v>1</v>
      </c>
      <c r="J146" s="7"/>
      <c r="K146" s="7">
        <v>138</v>
      </c>
      <c r="L146" s="7">
        <f>$AT$7*EXP(-'3.r(t)'!D144*$AT$21)</f>
        <v>0.93311670519824419</v>
      </c>
      <c r="M146" s="7">
        <f ca="1">$AT$8*EXP(-'3.r(t)'!E144*$AT$22)</f>
        <v>0.95766908316712351</v>
      </c>
      <c r="N146" s="7">
        <f ca="1">$AT$9*EXP(-'3.r(t)'!F144*$AT$23)</f>
        <v>0.97950743913281824</v>
      </c>
      <c r="O146" s="7">
        <v>1</v>
      </c>
      <c r="P146" s="7"/>
      <c r="Q146" s="7">
        <v>138</v>
      </c>
      <c r="R146" s="7">
        <f>$AU$7*EXP(-'3.r(t)'!D144*$AU$21)</f>
        <v>0.91099305977534117</v>
      </c>
      <c r="S146" s="7">
        <f ca="1">$AU$8*EXP(-'3.r(t)'!E144*$AU$22)</f>
        <v>0.93653239556406764</v>
      </c>
      <c r="T146" s="7">
        <f ca="1">$AU$9*EXP(-'3.r(t)'!F144*$AU$23)</f>
        <v>0.95899142705730889</v>
      </c>
      <c r="U146" s="7">
        <f ca="1">$AU$10*EXP(-'3.r(t)'!G144*$AU$24)</f>
        <v>0.9785933825455887</v>
      </c>
      <c r="V146" s="7">
        <v>1</v>
      </c>
      <c r="W146" s="7"/>
      <c r="X146" s="7">
        <v>138</v>
      </c>
      <c r="Y146" s="7">
        <f>$AV$7*EXP(-'3.r(t)'!D144*$AV$21)</f>
        <v>0.88900715067201674</v>
      </c>
      <c r="Z146" s="7">
        <f ca="1">$AV$8*EXP(-'3.r(t)'!E144*$AV$22)</f>
        <v>0.91545829457971883</v>
      </c>
      <c r="AA146" s="7">
        <f ca="1">$AV$9*EXP(-'3.r(t)'!F144*$AV$23)</f>
        <v>0.93848529621967425</v>
      </c>
      <c r="AB146" s="7">
        <f ca="1">$AV$10*EXP(-'3.r(t)'!G144*$AV$24)</f>
        <v>0.95721093446291305</v>
      </c>
      <c r="AC146" s="7">
        <f ca="1">$AV$11*EXP(-'3.r(t)'!H144*$AV$25)</f>
        <v>0.98428727569494734</v>
      </c>
      <c r="AD146" s="7">
        <v>1</v>
      </c>
      <c r="AE146" s="7"/>
      <c r="AF146" s="7">
        <v>138</v>
      </c>
      <c r="AG146" s="7">
        <f>$AW$7*EXP(-'3.r(t)'!D144*$AW$21)</f>
        <v>0.86718755429225491</v>
      </c>
      <c r="AH146" s="7">
        <f ca="1">$AW$8*EXP(-'3.r(t)'!E144*$AW$22)</f>
        <v>0.89447716831362845</v>
      </c>
      <c r="AI146" s="7">
        <f ca="1">$AW$9*EXP(-'3.r(t)'!F144*$AW$23)</f>
        <v>0.91802074810226864</v>
      </c>
      <c r="AJ146" s="7">
        <f ca="1">$AW$10*EXP(-'3.r(t)'!G144*$AW$24)</f>
        <v>0.93588533818825748</v>
      </c>
      <c r="AK146" s="7">
        <f ca="1">$AW$11*EXP(-'3.r(t)'!H144*$AW$25)</f>
        <v>0.96839089566022662</v>
      </c>
      <c r="AL146" s="7">
        <f ca="1">$AW$12*EXP(-'3.r(t)'!I144*$AW$26)</f>
        <v>0.98180887446939602</v>
      </c>
      <c r="AM146" s="7">
        <v>1</v>
      </c>
      <c r="AN146" s="7"/>
    </row>
    <row r="147" spans="2:40">
      <c r="B147" s="7">
        <v>139</v>
      </c>
      <c r="C147" s="7">
        <f>$AR$7*EXP(-'3.r(t)'!D145*$AR$21)</f>
        <v>0.97765346695821032</v>
      </c>
      <c r="D147" s="7">
        <v>1</v>
      </c>
      <c r="E147" s="7"/>
      <c r="F147" s="7">
        <v>139</v>
      </c>
      <c r="G147" s="48">
        <f>$AS$7*EXP(-'3.r(t)'!D145*$AS$21)</f>
        <v>0.9553476245219803</v>
      </c>
      <c r="H147" s="7">
        <f ca="1">$AS$8*EXP(-'3.r(t)'!E145*$AS$22)</f>
        <v>0.9748731929496538</v>
      </c>
      <c r="I147" s="7">
        <v>1</v>
      </c>
      <c r="J147" s="7"/>
      <c r="K147" s="7">
        <v>139</v>
      </c>
      <c r="L147" s="7">
        <f>$AT$7*EXP(-'3.r(t)'!D145*$AT$21)</f>
        <v>0.93311670519824419</v>
      </c>
      <c r="M147" s="7">
        <f ca="1">$AT$8*EXP(-'3.r(t)'!E145*$AT$22)</f>
        <v>0.94993010107377085</v>
      </c>
      <c r="N147" s="7">
        <f ca="1">$AT$9*EXP(-'3.r(t)'!F145*$AT$23)</f>
        <v>0.9732971331416449</v>
      </c>
      <c r="O147" s="7">
        <v>1</v>
      </c>
      <c r="P147" s="7"/>
      <c r="Q147" s="7">
        <v>139</v>
      </c>
      <c r="R147" s="7">
        <f>$AU$7*EXP(-'3.r(t)'!D145*$AU$21)</f>
        <v>0.91099305977534117</v>
      </c>
      <c r="S147" s="7">
        <f ca="1">$AU$8*EXP(-'3.r(t)'!E145*$AU$22)</f>
        <v>0.92520309827556357</v>
      </c>
      <c r="T147" s="7">
        <f ca="1">$AU$9*EXP(-'3.r(t)'!F145*$AU$23)</f>
        <v>0.94686951777036454</v>
      </c>
      <c r="U147" s="7">
        <f ca="1">$AU$10*EXP(-'3.r(t)'!G145*$AU$24)</f>
        <v>0.9704107253169364</v>
      </c>
      <c r="V147" s="7">
        <v>1</v>
      </c>
      <c r="W147" s="7"/>
      <c r="X147" s="7">
        <v>139</v>
      </c>
      <c r="Y147" s="7">
        <f>$AV$7*EXP(-'3.r(t)'!D145*$AV$21)</f>
        <v>0.88900715067201674</v>
      </c>
      <c r="Z147" s="7">
        <f ca="1">$AV$8*EXP(-'3.r(t)'!E145*$AV$22)</f>
        <v>0.9007223289623193</v>
      </c>
      <c r="AA147" s="7">
        <f ca="1">$AV$9*EXP(-'3.r(t)'!F145*$AV$23)</f>
        <v>0.92074758624322894</v>
      </c>
      <c r="AB147" s="7">
        <f ca="1">$AV$10*EXP(-'3.r(t)'!G145*$AV$24)</f>
        <v>0.94127013071149435</v>
      </c>
      <c r="AC147" s="7">
        <f ca="1">$AV$11*EXP(-'3.r(t)'!H145*$AV$25)</f>
        <v>0.97089683432477181</v>
      </c>
      <c r="AD147" s="7">
        <v>1</v>
      </c>
      <c r="AE147" s="7"/>
      <c r="AF147" s="7">
        <v>139</v>
      </c>
      <c r="AG147" s="7">
        <f>$AW$7*EXP(-'3.r(t)'!D145*$AW$21)</f>
        <v>0.86718755429225491</v>
      </c>
      <c r="AH147" s="7">
        <f ca="1">$AW$8*EXP(-'3.r(t)'!E145*$AW$22)</f>
        <v>0.87651573317755216</v>
      </c>
      <c r="AI147" s="7">
        <f ca="1">$AW$9*EXP(-'3.r(t)'!F145*$AW$23)</f>
        <v>0.89495936835014611</v>
      </c>
      <c r="AJ147" s="7">
        <f ca="1">$AW$10*EXP(-'3.r(t)'!G145*$AW$24)</f>
        <v>0.91260445227493614</v>
      </c>
      <c r="AK147" s="7">
        <f ca="1">$AW$11*EXP(-'3.r(t)'!H145*$AW$25)</f>
        <v>0.94222175223699622</v>
      </c>
      <c r="AL147" s="7">
        <f ca="1">$AW$12*EXP(-'3.r(t)'!I145*$AW$26)</f>
        <v>0.9712351181977843</v>
      </c>
      <c r="AM147" s="7">
        <v>1</v>
      </c>
      <c r="AN147" s="7"/>
    </row>
    <row r="148" spans="2:40">
      <c r="B148" s="7">
        <v>140</v>
      </c>
      <c r="C148" s="7">
        <f>$AR$7*EXP(-'3.r(t)'!D146*$AR$21)</f>
        <v>0.97765346695821032</v>
      </c>
      <c r="D148" s="7">
        <v>1</v>
      </c>
      <c r="E148" s="7"/>
      <c r="F148" s="7">
        <v>140</v>
      </c>
      <c r="G148" s="48">
        <f>$AS$7*EXP(-'3.r(t)'!D146*$AS$21)</f>
        <v>0.9553476245219803</v>
      </c>
      <c r="H148" s="7">
        <f ca="1">$AS$8*EXP(-'3.r(t)'!E146*$AS$22)</f>
        <v>0.97776527244304312</v>
      </c>
      <c r="I148" s="7">
        <v>1</v>
      </c>
      <c r="J148" s="7"/>
      <c r="K148" s="7">
        <v>140</v>
      </c>
      <c r="L148" s="7">
        <f>$AT$7*EXP(-'3.r(t)'!D146*$AT$21)</f>
        <v>0.93311670519824419</v>
      </c>
      <c r="M148" s="7">
        <f ca="1">$AT$8*EXP(-'3.r(t)'!E146*$AT$22)</f>
        <v>0.95557462683381322</v>
      </c>
      <c r="N148" s="7">
        <f ca="1">$AT$9*EXP(-'3.r(t)'!F146*$AT$23)</f>
        <v>0.97593107229650566</v>
      </c>
      <c r="O148" s="7">
        <v>1</v>
      </c>
      <c r="P148" s="7"/>
      <c r="Q148" s="7">
        <v>140</v>
      </c>
      <c r="R148" s="7">
        <f>$AU$7*EXP(-'3.r(t)'!D146*$AU$21)</f>
        <v>0.91099305977534117</v>
      </c>
      <c r="S148" s="7">
        <f ca="1">$AU$8*EXP(-'3.r(t)'!E146*$AU$22)</f>
        <v>0.93346173153946455</v>
      </c>
      <c r="T148" s="7">
        <f ca="1">$AU$9*EXP(-'3.r(t)'!F146*$AU$23)</f>
        <v>0.95200129355072172</v>
      </c>
      <c r="U148" s="7">
        <f ca="1">$AU$10*EXP(-'3.r(t)'!G146*$AU$24)</f>
        <v>0.97811918396508013</v>
      </c>
      <c r="V148" s="7">
        <v>1</v>
      </c>
      <c r="W148" s="7"/>
      <c r="X148" s="7">
        <v>140</v>
      </c>
      <c r="Y148" s="7">
        <f>$AV$7*EXP(-'3.r(t)'!D146*$AV$21)</f>
        <v>0.88900715067201674</v>
      </c>
      <c r="Z148" s="7">
        <f ca="1">$AV$8*EXP(-'3.r(t)'!E146*$AV$22)</f>
        <v>0.91145839365486492</v>
      </c>
      <c r="AA148" s="7">
        <f ca="1">$AV$9*EXP(-'3.r(t)'!F146*$AV$23)</f>
        <v>0.92824302218073662</v>
      </c>
      <c r="AB148" s="7">
        <f ca="1">$AV$10*EXP(-'3.r(t)'!G146*$AV$24)</f>
        <v>0.9562834847192706</v>
      </c>
      <c r="AC148" s="7">
        <f ca="1">$AV$11*EXP(-'3.r(t)'!H146*$AV$25)</f>
        <v>0.97721099615251539</v>
      </c>
      <c r="AD148" s="7">
        <v>1</v>
      </c>
      <c r="AE148" s="7"/>
      <c r="AF148" s="7">
        <v>140</v>
      </c>
      <c r="AG148" s="7">
        <f>$AW$7*EXP(-'3.r(t)'!D146*$AW$21)</f>
        <v>0.86718755429225491</v>
      </c>
      <c r="AH148" s="7">
        <f ca="1">$AW$8*EXP(-'3.r(t)'!E146*$AW$22)</f>
        <v>0.88959455395855414</v>
      </c>
      <c r="AI148" s="7">
        <f ca="1">$AW$9*EXP(-'3.r(t)'!F146*$AW$23)</f>
        <v>0.9046865301220216</v>
      </c>
      <c r="AJ148" s="7">
        <f ca="1">$AW$10*EXP(-'3.r(t)'!G146*$AW$24)</f>
        <v>0.93452548692368276</v>
      </c>
      <c r="AK148" s="7">
        <f ca="1">$AW$11*EXP(-'3.r(t)'!H146*$AW$25)</f>
        <v>0.9545169539045586</v>
      </c>
      <c r="AL148" s="7">
        <f ca="1">$AW$12*EXP(-'3.r(t)'!I146*$AW$26)</f>
        <v>0.97639497080836213</v>
      </c>
      <c r="AM148" s="7">
        <v>1</v>
      </c>
      <c r="AN148" s="7"/>
    </row>
    <row r="149" spans="2:40">
      <c r="B149" s="7">
        <v>141</v>
      </c>
      <c r="C149" s="7">
        <f>$AR$7*EXP(-'3.r(t)'!D147*$AR$21)</f>
        <v>0.97765346695821032</v>
      </c>
      <c r="D149" s="7">
        <v>1</v>
      </c>
      <c r="E149" s="7"/>
      <c r="F149" s="7">
        <v>141</v>
      </c>
      <c r="G149" s="48">
        <f>$AS$7*EXP(-'3.r(t)'!D147*$AS$21)</f>
        <v>0.9553476245219803</v>
      </c>
      <c r="H149" s="7">
        <f ca="1">$AS$8*EXP(-'3.r(t)'!E147*$AS$22)</f>
        <v>0.97989510679640446</v>
      </c>
      <c r="I149" s="7">
        <v>1</v>
      </c>
      <c r="J149" s="7"/>
      <c r="K149" s="7">
        <v>141</v>
      </c>
      <c r="L149" s="7">
        <f>$AT$7*EXP(-'3.r(t)'!D147*$AT$21)</f>
        <v>0.93311670519824419</v>
      </c>
      <c r="M149" s="7">
        <f ca="1">$AT$8*EXP(-'3.r(t)'!E147*$AT$22)</f>
        <v>0.95974215527231377</v>
      </c>
      <c r="N149" s="7">
        <f ca="1">$AT$9*EXP(-'3.r(t)'!F147*$AT$23)</f>
        <v>0.98351628198321295</v>
      </c>
      <c r="O149" s="7">
        <v>1</v>
      </c>
      <c r="P149" s="7"/>
      <c r="Q149" s="7">
        <v>141</v>
      </c>
      <c r="R149" s="7">
        <f>$AU$7*EXP(-'3.r(t)'!D147*$AU$21)</f>
        <v>0.91099305977534117</v>
      </c>
      <c r="S149" s="7">
        <f ca="1">$AU$8*EXP(-'3.r(t)'!E147*$AU$22)</f>
        <v>0.93957501675860677</v>
      </c>
      <c r="T149" s="7">
        <f ca="1">$AU$9*EXP(-'3.r(t)'!F147*$AU$23)</f>
        <v>0.96685724385255267</v>
      </c>
      <c r="U149" s="7">
        <f ca="1">$AU$10*EXP(-'3.r(t)'!G147*$AU$24)</f>
        <v>0.98552816550943734</v>
      </c>
      <c r="V149" s="7">
        <v>1</v>
      </c>
      <c r="W149" s="7"/>
      <c r="X149" s="7">
        <v>141</v>
      </c>
      <c r="Y149" s="7">
        <f>$AV$7*EXP(-'3.r(t)'!D147*$AV$21)</f>
        <v>0.88900715067201674</v>
      </c>
      <c r="Z149" s="7">
        <f ca="1">$AV$8*EXP(-'3.r(t)'!E147*$AV$22)</f>
        <v>0.91942598068117853</v>
      </c>
      <c r="AA149" s="7">
        <f ca="1">$AV$9*EXP(-'3.r(t)'!F147*$AV$23)</f>
        <v>0.95005537326299283</v>
      </c>
      <c r="AB149" s="7">
        <f ca="1">$AV$10*EXP(-'3.r(t)'!G147*$AV$24)</f>
        <v>0.97082551720240107</v>
      </c>
      <c r="AC149" s="7">
        <f ca="1">$AV$11*EXP(-'3.r(t)'!H147*$AV$25)</f>
        <v>0.98648761665488394</v>
      </c>
      <c r="AD149" s="7">
        <v>1</v>
      </c>
      <c r="AE149" s="7"/>
      <c r="AF149" s="7">
        <v>141</v>
      </c>
      <c r="AG149" s="7">
        <f>$AW$7*EXP(-'3.r(t)'!D147*$AW$21)</f>
        <v>0.86718755429225491</v>
      </c>
      <c r="AH149" s="7">
        <f ca="1">$AW$8*EXP(-'3.r(t)'!E147*$AW$22)</f>
        <v>0.89932573062286381</v>
      </c>
      <c r="AI149" s="7">
        <f ca="1">$AW$9*EXP(-'3.r(t)'!F147*$AW$23)</f>
        <v>0.93314204471092632</v>
      </c>
      <c r="AJ149" s="7">
        <f ca="1">$AW$10*EXP(-'3.r(t)'!G147*$AW$24)</f>
        <v>0.955923066407115</v>
      </c>
      <c r="AK149" s="7">
        <f ca="1">$AW$11*EXP(-'3.r(t)'!H147*$AW$25)</f>
        <v>0.97272534528755483</v>
      </c>
      <c r="AL149" s="7">
        <f ca="1">$AW$12*EXP(-'3.r(t)'!I147*$AW$26)</f>
        <v>0.98932440638960628</v>
      </c>
      <c r="AM149" s="7">
        <v>1</v>
      </c>
      <c r="AN149" s="7"/>
    </row>
    <row r="150" spans="2:40">
      <c r="B150" s="7">
        <v>142</v>
      </c>
      <c r="C150" s="7">
        <f>$AR$7*EXP(-'3.r(t)'!D148*$AR$21)</f>
        <v>0.97765346695821032</v>
      </c>
      <c r="D150" s="7">
        <v>1</v>
      </c>
      <c r="E150" s="7"/>
      <c r="F150" s="7">
        <v>142</v>
      </c>
      <c r="G150" s="48">
        <f>$AS$7*EXP(-'3.r(t)'!D148*$AS$21)</f>
        <v>0.9553476245219803</v>
      </c>
      <c r="H150" s="7">
        <f ca="1">$AS$8*EXP(-'3.r(t)'!E148*$AS$22)</f>
        <v>0.97811178161595458</v>
      </c>
      <c r="I150" s="7">
        <v>1</v>
      </c>
      <c r="J150" s="7"/>
      <c r="K150" s="7">
        <v>142</v>
      </c>
      <c r="L150" s="7">
        <f>$AT$7*EXP(-'3.r(t)'!D148*$AT$21)</f>
        <v>0.93311670519824419</v>
      </c>
      <c r="M150" s="7">
        <f ca="1">$AT$8*EXP(-'3.r(t)'!E148*$AT$22)</f>
        <v>0.95625203695409811</v>
      </c>
      <c r="N150" s="7">
        <f ca="1">$AT$9*EXP(-'3.r(t)'!F148*$AT$23)</f>
        <v>0.97511025236763604</v>
      </c>
      <c r="O150" s="7">
        <v>1</v>
      </c>
      <c r="P150" s="7"/>
      <c r="Q150" s="7">
        <v>142</v>
      </c>
      <c r="R150" s="7">
        <f>$AU$7*EXP(-'3.r(t)'!D148*$AU$21)</f>
        <v>0.91099305977534117</v>
      </c>
      <c r="S150" s="7">
        <f ca="1">$AU$8*EXP(-'3.r(t)'!E148*$AU$22)</f>
        <v>0.93445450875310576</v>
      </c>
      <c r="T150" s="7">
        <f ca="1">$AU$9*EXP(-'3.r(t)'!F148*$AU$23)</f>
        <v>0.95040058005024763</v>
      </c>
      <c r="U150" s="7">
        <f ca="1">$AU$10*EXP(-'3.r(t)'!G148*$AU$24)</f>
        <v>0.97555328285480347</v>
      </c>
      <c r="V150" s="7">
        <v>1</v>
      </c>
      <c r="W150" s="7"/>
      <c r="X150" s="7">
        <v>142</v>
      </c>
      <c r="Y150" s="7">
        <f>$AV$7*EXP(-'3.r(t)'!D148*$AV$21)</f>
        <v>0.88900715067201674</v>
      </c>
      <c r="Z150" s="7">
        <f ca="1">$AV$8*EXP(-'3.r(t)'!E148*$AV$22)</f>
        <v>0.91275112364634681</v>
      </c>
      <c r="AA150" s="7">
        <f ca="1">$AV$9*EXP(-'3.r(t)'!F148*$AV$23)</f>
        <v>0.92590285774898995</v>
      </c>
      <c r="AB150" s="7">
        <f ca="1">$AV$10*EXP(-'3.r(t)'!G148*$AV$24)</f>
        <v>0.95127282658971535</v>
      </c>
      <c r="AC150" s="7">
        <f ca="1">$AV$11*EXP(-'3.r(t)'!H148*$AV$25)</f>
        <v>0.97292781506580084</v>
      </c>
      <c r="AD150" s="7">
        <v>1</v>
      </c>
      <c r="AE150" s="7"/>
      <c r="AF150" s="7">
        <v>142</v>
      </c>
      <c r="AG150" s="7">
        <f>$AW$7*EXP(-'3.r(t)'!D148*$AW$21)</f>
        <v>0.86718755429225491</v>
      </c>
      <c r="AH150" s="7">
        <f ca="1">$AW$8*EXP(-'3.r(t)'!E148*$AW$22)</f>
        <v>0.89117198384849816</v>
      </c>
      <c r="AI150" s="7">
        <f ca="1">$AW$9*EXP(-'3.r(t)'!F148*$AW$23)</f>
        <v>0.90164677275286043</v>
      </c>
      <c r="AJ150" s="7">
        <f ca="1">$AW$10*EXP(-'3.r(t)'!G148*$AW$24)</f>
        <v>0.92719013829555874</v>
      </c>
      <c r="AK150" s="7">
        <f ca="1">$AW$11*EXP(-'3.r(t)'!H148*$AW$25)</f>
        <v>0.94616786822539423</v>
      </c>
      <c r="AL150" s="7">
        <f ca="1">$AW$12*EXP(-'3.r(t)'!I148*$AW$26)</f>
        <v>0.97531983098514152</v>
      </c>
      <c r="AM150" s="7">
        <v>1</v>
      </c>
      <c r="AN150" s="7"/>
    </row>
    <row r="151" spans="2:40">
      <c r="B151" s="7">
        <v>143</v>
      </c>
      <c r="C151" s="7">
        <f>$AR$7*EXP(-'3.r(t)'!D149*$AR$21)</f>
        <v>0.97765346695821032</v>
      </c>
      <c r="D151" s="7">
        <v>1</v>
      </c>
      <c r="E151" s="7"/>
      <c r="F151" s="7">
        <v>143</v>
      </c>
      <c r="G151" s="48">
        <f>$AS$7*EXP(-'3.r(t)'!D149*$AS$21)</f>
        <v>0.9553476245219803</v>
      </c>
      <c r="H151" s="7">
        <f ca="1">$AS$8*EXP(-'3.r(t)'!E149*$AS$22)</f>
        <v>0.97886038645555928</v>
      </c>
      <c r="I151" s="7">
        <v>1</v>
      </c>
      <c r="J151" s="7"/>
      <c r="K151" s="7">
        <v>143</v>
      </c>
      <c r="L151" s="7">
        <f>$AT$7*EXP(-'3.r(t)'!D149*$AT$21)</f>
        <v>0.93311670519824419</v>
      </c>
      <c r="M151" s="7">
        <f ca="1">$AT$8*EXP(-'3.r(t)'!E149*$AT$22)</f>
        <v>0.95771634575507092</v>
      </c>
      <c r="N151" s="7">
        <f ca="1">$AT$9*EXP(-'3.r(t)'!F149*$AT$23)</f>
        <v>0.98018295705725678</v>
      </c>
      <c r="O151" s="7">
        <v>1</v>
      </c>
      <c r="P151" s="7"/>
      <c r="Q151" s="7">
        <v>143</v>
      </c>
      <c r="R151" s="7">
        <f>$AU$7*EXP(-'3.r(t)'!D149*$AU$21)</f>
        <v>0.91099305977534117</v>
      </c>
      <c r="S151" s="7">
        <f ca="1">$AU$8*EXP(-'3.r(t)'!E149*$AU$22)</f>
        <v>0.93660172560447064</v>
      </c>
      <c r="T151" s="7">
        <f ca="1">$AU$9*EXP(-'3.r(t)'!F149*$AU$23)</f>
        <v>0.96031462125837741</v>
      </c>
      <c r="U151" s="7">
        <f ca="1">$AU$10*EXP(-'3.r(t)'!G149*$AU$24)</f>
        <v>0.98079352808185116</v>
      </c>
      <c r="V151" s="7">
        <v>1</v>
      </c>
      <c r="W151" s="7"/>
      <c r="X151" s="7">
        <v>143</v>
      </c>
      <c r="Y151" s="7">
        <f>$AV$7*EXP(-'3.r(t)'!D149*$AV$21)</f>
        <v>0.88900715067201674</v>
      </c>
      <c r="Z151" s="7">
        <f ca="1">$AV$8*EXP(-'3.r(t)'!E149*$AV$22)</f>
        <v>0.91554865563776733</v>
      </c>
      <c r="AA151" s="7">
        <f ca="1">$AV$9*EXP(-'3.r(t)'!F149*$AV$23)</f>
        <v>0.94042831654194836</v>
      </c>
      <c r="AB151" s="7">
        <f ca="1">$AV$10*EXP(-'3.r(t)'!G149*$AV$24)</f>
        <v>0.96151991680035398</v>
      </c>
      <c r="AC151" s="7">
        <f ca="1">$AV$11*EXP(-'3.r(t)'!H149*$AV$25)</f>
        <v>0.97972672151414375</v>
      </c>
      <c r="AD151" s="7">
        <v>1</v>
      </c>
      <c r="AE151" s="7"/>
      <c r="AF151" s="7">
        <v>143</v>
      </c>
      <c r="AG151" s="7">
        <f>$AW$7*EXP(-'3.r(t)'!D149*$AW$21)</f>
        <v>0.86718755429225491</v>
      </c>
      <c r="AH151" s="7">
        <f ca="1">$AW$8*EXP(-'3.r(t)'!E149*$AW$22)</f>
        <v>0.89458753229884691</v>
      </c>
      <c r="AI151" s="7">
        <f ca="1">$AW$9*EXP(-'3.r(t)'!F149*$AW$23)</f>
        <v>0.92055582342651943</v>
      </c>
      <c r="AJ151" s="7">
        <f ca="1">$AW$10*EXP(-'3.r(t)'!G149*$AW$24)</f>
        <v>0.94221191929720116</v>
      </c>
      <c r="AK151" s="7">
        <f ca="1">$AW$11*EXP(-'3.r(t)'!H149*$AW$25)</f>
        <v>0.95943788391241991</v>
      </c>
      <c r="AL151" s="7">
        <f ca="1">$AW$12*EXP(-'3.r(t)'!I149*$AW$26)</f>
        <v>0.97785352524501934</v>
      </c>
      <c r="AM151" s="7">
        <v>1</v>
      </c>
      <c r="AN151" s="7"/>
    </row>
    <row r="152" spans="2:40">
      <c r="B152" s="7">
        <v>144</v>
      </c>
      <c r="C152" s="7">
        <f>$AR$7*EXP(-'3.r(t)'!D150*$AR$21)</f>
        <v>0.97765346695821032</v>
      </c>
      <c r="D152" s="7">
        <v>1</v>
      </c>
      <c r="E152" s="7"/>
      <c r="F152" s="7">
        <v>144</v>
      </c>
      <c r="G152" s="48">
        <f>$AS$7*EXP(-'3.r(t)'!D150*$AS$21)</f>
        <v>0.9553476245219803</v>
      </c>
      <c r="H152" s="7">
        <f ca="1">$AS$8*EXP(-'3.r(t)'!E150*$AS$22)</f>
        <v>0.97826339535317375</v>
      </c>
      <c r="I152" s="7">
        <v>1</v>
      </c>
      <c r="J152" s="7"/>
      <c r="K152" s="7">
        <v>144</v>
      </c>
      <c r="L152" s="7">
        <f>$AT$7*EXP(-'3.r(t)'!D150*$AT$21)</f>
        <v>0.93311670519824419</v>
      </c>
      <c r="M152" s="7">
        <f ca="1">$AT$8*EXP(-'3.r(t)'!E150*$AT$22)</f>
        <v>0.95654851059702861</v>
      </c>
      <c r="N152" s="7">
        <f ca="1">$AT$9*EXP(-'3.r(t)'!F150*$AT$23)</f>
        <v>0.97679624592118819</v>
      </c>
      <c r="O152" s="7">
        <v>1</v>
      </c>
      <c r="P152" s="7"/>
      <c r="Q152" s="7">
        <v>144</v>
      </c>
      <c r="R152" s="7">
        <f>$AU$7*EXP(-'3.r(t)'!D150*$AU$21)</f>
        <v>0.91099305977534117</v>
      </c>
      <c r="S152" s="7">
        <f ca="1">$AU$8*EXP(-'3.r(t)'!E150*$AU$22)</f>
        <v>0.93488911583440792</v>
      </c>
      <c r="T152" s="7">
        <f ca="1">$AU$9*EXP(-'3.r(t)'!F150*$AU$23)</f>
        <v>0.95368996095569181</v>
      </c>
      <c r="U152" s="7">
        <f ca="1">$AU$10*EXP(-'3.r(t)'!G150*$AU$24)</f>
        <v>0.97363507377963898</v>
      </c>
      <c r="V152" s="7">
        <v>1</v>
      </c>
      <c r="W152" s="7"/>
      <c r="X152" s="7">
        <v>144</v>
      </c>
      <c r="Y152" s="7">
        <f>$AV$7*EXP(-'3.r(t)'!D150*$AV$21)</f>
        <v>0.88900715067201674</v>
      </c>
      <c r="Z152" s="7">
        <f ca="1">$AV$8*EXP(-'3.r(t)'!E150*$AV$22)</f>
        <v>0.91331718487144786</v>
      </c>
      <c r="AA152" s="7">
        <f ca="1">$AV$9*EXP(-'3.r(t)'!F150*$AV$23)</f>
        <v>0.93071390428283829</v>
      </c>
      <c r="AB152" s="7">
        <f ca="1">$AV$10*EXP(-'3.r(t)'!G150*$AV$24)</f>
        <v>0.9475355705574201</v>
      </c>
      <c r="AC152" s="7">
        <f ca="1">$AV$11*EXP(-'3.r(t)'!H150*$AV$25)</f>
        <v>0.96914197854904327</v>
      </c>
      <c r="AD152" s="7">
        <v>1</v>
      </c>
      <c r="AE152" s="7"/>
      <c r="AF152" s="7">
        <v>144</v>
      </c>
      <c r="AG152" s="7">
        <f>$AW$7*EXP(-'3.r(t)'!D150*$AW$21)</f>
        <v>0.86718755429225491</v>
      </c>
      <c r="AH152" s="7">
        <f ca="1">$AW$8*EXP(-'3.r(t)'!E150*$AW$22)</f>
        <v>0.89186288549744441</v>
      </c>
      <c r="AI152" s="7">
        <f ca="1">$AW$9*EXP(-'3.r(t)'!F150*$AW$23)</f>
        <v>0.90789885683133398</v>
      </c>
      <c r="AJ152" s="7">
        <f ca="1">$AW$10*EXP(-'3.r(t)'!G150*$AW$24)</f>
        <v>0.92173154444599659</v>
      </c>
      <c r="AK152" s="7">
        <f ca="1">$AW$11*EXP(-'3.r(t)'!H150*$AW$25)</f>
        <v>0.9388187768798637</v>
      </c>
      <c r="AL152" s="7">
        <f ca="1">$AW$12*EXP(-'3.r(t)'!I150*$AW$26)</f>
        <v>0.97127800137594722</v>
      </c>
      <c r="AM152" s="7">
        <v>1</v>
      </c>
      <c r="AN152" s="7"/>
    </row>
    <row r="153" spans="2:40">
      <c r="B153" s="7">
        <v>145</v>
      </c>
      <c r="C153" s="7">
        <f>$AR$7*EXP(-'3.r(t)'!D151*$AR$21)</f>
        <v>0.97765346695821032</v>
      </c>
      <c r="D153" s="7">
        <v>1</v>
      </c>
      <c r="E153" s="7"/>
      <c r="F153" s="7">
        <v>145</v>
      </c>
      <c r="G153" s="48">
        <f>$AS$7*EXP(-'3.r(t)'!D151*$AS$21)</f>
        <v>0.9553476245219803</v>
      </c>
      <c r="H153" s="7">
        <f ca="1">$AS$8*EXP(-'3.r(t)'!E151*$AS$22)</f>
        <v>0.98025299352486372</v>
      </c>
      <c r="I153" s="7">
        <v>1</v>
      </c>
      <c r="J153" s="7"/>
      <c r="K153" s="7">
        <v>145</v>
      </c>
      <c r="L153" s="7">
        <f>$AT$7*EXP(-'3.r(t)'!D151*$AT$21)</f>
        <v>0.93311670519824419</v>
      </c>
      <c r="M153" s="7">
        <f ca="1">$AT$8*EXP(-'3.r(t)'!E151*$AT$22)</f>
        <v>0.96044333584170882</v>
      </c>
      <c r="N153" s="7">
        <f ca="1">$AT$9*EXP(-'3.r(t)'!F151*$AT$23)</f>
        <v>0.98333064599606157</v>
      </c>
      <c r="O153" s="7">
        <v>1</v>
      </c>
      <c r="P153" s="7"/>
      <c r="Q153" s="7">
        <v>145</v>
      </c>
      <c r="R153" s="7">
        <f>$AU$7*EXP(-'3.r(t)'!D151*$AU$21)</f>
        <v>0.91099305977534117</v>
      </c>
      <c r="S153" s="7">
        <f ca="1">$AU$8*EXP(-'3.r(t)'!E151*$AU$22)</f>
        <v>0.94060487471221599</v>
      </c>
      <c r="T153" s="7">
        <f ca="1">$AU$9*EXP(-'3.r(t)'!F151*$AU$23)</f>
        <v>0.96649229501809653</v>
      </c>
      <c r="U153" s="7">
        <f ca="1">$AU$10*EXP(-'3.r(t)'!G151*$AU$24)</f>
        <v>0.98692896563928689</v>
      </c>
      <c r="V153" s="7">
        <v>1</v>
      </c>
      <c r="W153" s="7"/>
      <c r="X153" s="7">
        <v>145</v>
      </c>
      <c r="Y153" s="7">
        <f>$AV$7*EXP(-'3.r(t)'!D151*$AV$21)</f>
        <v>0.88900715067201674</v>
      </c>
      <c r="Z153" s="7">
        <f ca="1">$AV$8*EXP(-'3.r(t)'!E151*$AV$22)</f>
        <v>0.92076992317588124</v>
      </c>
      <c r="AA153" s="7">
        <f ca="1">$AV$9*EXP(-'3.r(t)'!F151*$AV$23)</f>
        <v>0.9495175137966626</v>
      </c>
      <c r="AB153" s="7">
        <f ca="1">$AV$10*EXP(-'3.r(t)'!G151*$AV$24)</f>
        <v>0.9735872830083826</v>
      </c>
      <c r="AC153" s="7">
        <f ca="1">$AV$11*EXP(-'3.r(t)'!H151*$AV$25)</f>
        <v>0.98353632980127503</v>
      </c>
      <c r="AD153" s="7">
        <v>1</v>
      </c>
      <c r="AE153" s="7"/>
      <c r="AF153" s="7">
        <v>145</v>
      </c>
      <c r="AG153" s="7">
        <f>$AW$7*EXP(-'3.r(t)'!D151*$AW$21)</f>
        <v>0.86718755429225491</v>
      </c>
      <c r="AH153" s="7">
        <f ca="1">$AW$8*EXP(-'3.r(t)'!E151*$AW$22)</f>
        <v>0.90096923272038265</v>
      </c>
      <c r="AI153" s="7">
        <f ca="1">$AW$9*EXP(-'3.r(t)'!F151*$AW$23)</f>
        <v>0.93243773219296955</v>
      </c>
      <c r="AJ153" s="7">
        <f ca="1">$AW$10*EXP(-'3.r(t)'!G151*$AW$24)</f>
        <v>0.96000502387882758</v>
      </c>
      <c r="AK153" s="7">
        <f ca="1">$AW$11*EXP(-'3.r(t)'!H151*$AW$25)</f>
        <v>0.96691382330880959</v>
      </c>
      <c r="AL153" s="7">
        <f ca="1">$AW$12*EXP(-'3.r(t)'!I151*$AW$26)</f>
        <v>0.98446257295839446</v>
      </c>
      <c r="AM153" s="7">
        <v>1</v>
      </c>
      <c r="AN153" s="7"/>
    </row>
    <row r="154" spans="2:40">
      <c r="B154" s="7">
        <v>146</v>
      </c>
      <c r="C154" s="7">
        <f>$AR$7*EXP(-'3.r(t)'!D152*$AR$21)</f>
        <v>0.97765346695821032</v>
      </c>
      <c r="D154" s="7">
        <v>1</v>
      </c>
      <c r="E154" s="7"/>
      <c r="F154" s="7">
        <v>146</v>
      </c>
      <c r="G154" s="48">
        <f>$AS$7*EXP(-'3.r(t)'!D152*$AS$21)</f>
        <v>0.9553476245219803</v>
      </c>
      <c r="H154" s="7">
        <f ca="1">$AS$8*EXP(-'3.r(t)'!E152*$AS$22)</f>
        <v>0.9759814072520645</v>
      </c>
      <c r="I154" s="7">
        <v>1</v>
      </c>
      <c r="J154" s="7"/>
      <c r="K154" s="7">
        <v>146</v>
      </c>
      <c r="L154" s="7">
        <f>$AT$7*EXP(-'3.r(t)'!D152*$AT$21)</f>
        <v>0.93311670519824419</v>
      </c>
      <c r="M154" s="7">
        <f ca="1">$AT$8*EXP(-'3.r(t)'!E152*$AT$22)</f>
        <v>0.9520910477277873</v>
      </c>
      <c r="N154" s="7">
        <f ca="1">$AT$9*EXP(-'3.r(t)'!F152*$AT$23)</f>
        <v>0.97489348246744567</v>
      </c>
      <c r="O154" s="7">
        <v>1</v>
      </c>
      <c r="P154" s="7"/>
      <c r="Q154" s="7">
        <v>146</v>
      </c>
      <c r="R154" s="7">
        <f>$AU$7*EXP(-'3.r(t)'!D152*$AU$21)</f>
        <v>0.91099305977534117</v>
      </c>
      <c r="S154" s="7">
        <f ca="1">$AU$8*EXP(-'3.r(t)'!E152*$AU$22)</f>
        <v>0.92836193776393872</v>
      </c>
      <c r="T154" s="7">
        <f ca="1">$AU$9*EXP(-'3.r(t)'!F152*$AU$23)</f>
        <v>0.94997807328417572</v>
      </c>
      <c r="U154" s="7">
        <f ca="1">$AU$10*EXP(-'3.r(t)'!G152*$AU$24)</f>
        <v>0.97616617896460312</v>
      </c>
      <c r="V154" s="7">
        <v>1</v>
      </c>
      <c r="W154" s="7"/>
      <c r="X154" s="7">
        <v>146</v>
      </c>
      <c r="Y154" s="7">
        <f>$AV$7*EXP(-'3.r(t)'!D152*$AV$21)</f>
        <v>0.88900715067201674</v>
      </c>
      <c r="Z154" s="7">
        <f ca="1">$AV$8*EXP(-'3.r(t)'!E152*$AV$22)</f>
        <v>0.90482500303819313</v>
      </c>
      <c r="AA154" s="7">
        <f ca="1">$AV$9*EXP(-'3.r(t)'!F152*$AV$23)</f>
        <v>0.92528550215789229</v>
      </c>
      <c r="AB154" s="7">
        <f ca="1">$AV$10*EXP(-'3.r(t)'!G152*$AV$24)</f>
        <v>0.95246848565045628</v>
      </c>
      <c r="AC154" s="7">
        <f ca="1">$AV$11*EXP(-'3.r(t)'!H152*$AV$25)</f>
        <v>0.97103050001223978</v>
      </c>
      <c r="AD154" s="7">
        <v>1</v>
      </c>
      <c r="AE154" s="7"/>
      <c r="AF154" s="7">
        <v>146</v>
      </c>
      <c r="AG154" s="7">
        <f>$AW$7*EXP(-'3.r(t)'!D152*$AW$21)</f>
        <v>0.86718755429225491</v>
      </c>
      <c r="AH154" s="7">
        <f ca="1">$AW$8*EXP(-'3.r(t)'!E152*$AW$22)</f>
        <v>0.8815090915368079</v>
      </c>
      <c r="AI154" s="7">
        <f ca="1">$AW$9*EXP(-'3.r(t)'!F152*$AW$23)</f>
        <v>0.90084528505856731</v>
      </c>
      <c r="AJ154" s="7">
        <f ca="1">$AW$10*EXP(-'3.r(t)'!G152*$AW$24)</f>
        <v>0.92893877160776628</v>
      </c>
      <c r="AK154" s="7">
        <f ca="1">$AW$11*EXP(-'3.r(t)'!H152*$AW$25)</f>
        <v>0.94248120593634876</v>
      </c>
      <c r="AL154" s="7">
        <f ca="1">$AW$12*EXP(-'3.r(t)'!I152*$AW$26)</f>
        <v>0.96999534590844061</v>
      </c>
      <c r="AM154" s="7">
        <v>1</v>
      </c>
      <c r="AN154" s="7"/>
    </row>
    <row r="155" spans="2:40">
      <c r="B155" s="7">
        <v>147</v>
      </c>
      <c r="C155" s="7">
        <f>$AR$7*EXP(-'3.r(t)'!D153*$AR$21)</f>
        <v>0.97765346695821032</v>
      </c>
      <c r="D155" s="7">
        <v>1</v>
      </c>
      <c r="E155" s="7"/>
      <c r="F155" s="7">
        <v>147</v>
      </c>
      <c r="G155" s="48">
        <f>$AS$7*EXP(-'3.r(t)'!D153*$AS$21)</f>
        <v>0.9553476245219803</v>
      </c>
      <c r="H155" s="7">
        <f ca="1">$AS$8*EXP(-'3.r(t)'!E153*$AS$22)</f>
        <v>0.97327422755307635</v>
      </c>
      <c r="I155" s="7">
        <v>1</v>
      </c>
      <c r="J155" s="7"/>
      <c r="K155" s="7">
        <v>147</v>
      </c>
      <c r="L155" s="7">
        <f>$AT$7*EXP(-'3.r(t)'!D153*$AT$21)</f>
        <v>0.93311670519824419</v>
      </c>
      <c r="M155" s="7">
        <f ca="1">$AT$8*EXP(-'3.r(t)'!E153*$AT$22)</f>
        <v>0.94681654797925119</v>
      </c>
      <c r="N155" s="7">
        <f ca="1">$AT$9*EXP(-'3.r(t)'!F153*$AT$23)</f>
        <v>0.97180307645386554</v>
      </c>
      <c r="O155" s="7">
        <v>1</v>
      </c>
      <c r="P155" s="7"/>
      <c r="Q155" s="7">
        <v>147</v>
      </c>
      <c r="R155" s="7">
        <f>$AU$7*EXP(-'3.r(t)'!D153*$AU$21)</f>
        <v>0.91099305977534117</v>
      </c>
      <c r="S155" s="7">
        <f ca="1">$AU$8*EXP(-'3.r(t)'!E153*$AU$22)</f>
        <v>0.92065806826533758</v>
      </c>
      <c r="T155" s="7">
        <f ca="1">$AU$9*EXP(-'3.r(t)'!F153*$AU$23)</f>
        <v>0.94396477082347741</v>
      </c>
      <c r="U155" s="7">
        <f ca="1">$AU$10*EXP(-'3.r(t)'!G153*$AU$24)</f>
        <v>0.97215181017662977</v>
      </c>
      <c r="V155" s="7">
        <v>1</v>
      </c>
      <c r="W155" s="7"/>
      <c r="X155" s="7">
        <v>147</v>
      </c>
      <c r="Y155" s="7">
        <f>$AV$7*EXP(-'3.r(t)'!D153*$AV$21)</f>
        <v>0.88900715067201674</v>
      </c>
      <c r="Z155" s="7">
        <f ca="1">$AV$8*EXP(-'3.r(t)'!E153*$AV$22)</f>
        <v>0.89482747254654071</v>
      </c>
      <c r="AA155" s="7">
        <f ca="1">$AV$9*EXP(-'3.r(t)'!F153*$AV$23)</f>
        <v>0.91651391975966645</v>
      </c>
      <c r="AB155" s="7">
        <f ca="1">$AV$10*EXP(-'3.r(t)'!G153*$AV$24)</f>
        <v>0.94465076388898783</v>
      </c>
      <c r="AC155" s="7">
        <f ca="1">$AV$11*EXP(-'3.r(t)'!H153*$AV$25)</f>
        <v>0.96952329609697829</v>
      </c>
      <c r="AD155" s="7">
        <v>1</v>
      </c>
      <c r="AE155" s="7"/>
      <c r="AF155" s="7">
        <v>147</v>
      </c>
      <c r="AG155" s="7">
        <f>$AW$7*EXP(-'3.r(t)'!D153*$AW$21)</f>
        <v>0.86718755429225491</v>
      </c>
      <c r="AH155" s="7">
        <f ca="1">$AW$8*EXP(-'3.r(t)'!E153*$AW$22)</f>
        <v>0.86935106605500723</v>
      </c>
      <c r="AI155" s="7">
        <f ca="1">$AW$9*EXP(-'3.r(t)'!F153*$AW$23)</f>
        <v>0.88947679033414162</v>
      </c>
      <c r="AJ155" s="7">
        <f ca="1">$AW$10*EXP(-'3.r(t)'!G153*$AW$24)</f>
        <v>0.91752538191524857</v>
      </c>
      <c r="AK155" s="7">
        <f ca="1">$AW$11*EXP(-'3.r(t)'!H153*$AW$25)</f>
        <v>0.93955769544634682</v>
      </c>
      <c r="AL155" s="7">
        <f ca="1">$AW$12*EXP(-'3.r(t)'!I153*$AW$26)</f>
        <v>0.96815604891754936</v>
      </c>
      <c r="AM155" s="7">
        <v>1</v>
      </c>
      <c r="AN155" s="7"/>
    </row>
    <row r="156" spans="2:40">
      <c r="B156" s="7">
        <v>148</v>
      </c>
      <c r="C156" s="7">
        <f>$AR$7*EXP(-'3.r(t)'!D154*$AR$21)</f>
        <v>0.97765346695821032</v>
      </c>
      <c r="D156" s="7">
        <v>1</v>
      </c>
      <c r="E156" s="7"/>
      <c r="F156" s="7">
        <v>148</v>
      </c>
      <c r="G156" s="48">
        <f>$AS$7*EXP(-'3.r(t)'!D154*$AS$21)</f>
        <v>0.9553476245219803</v>
      </c>
      <c r="H156" s="7">
        <f ca="1">$AS$8*EXP(-'3.r(t)'!E154*$AS$22)</f>
        <v>0.9797896833654941</v>
      </c>
      <c r="I156" s="7">
        <v>1</v>
      </c>
      <c r="J156" s="7"/>
      <c r="K156" s="7">
        <v>148</v>
      </c>
      <c r="L156" s="7">
        <f>$AT$7*EXP(-'3.r(t)'!D154*$AT$21)</f>
        <v>0.93311670519824419</v>
      </c>
      <c r="M156" s="7">
        <f ca="1">$AT$8*EXP(-'3.r(t)'!E154*$AT$22)</f>
        <v>0.95953565588817513</v>
      </c>
      <c r="N156" s="7">
        <f ca="1">$AT$9*EXP(-'3.r(t)'!F154*$AT$23)</f>
        <v>0.97944995338571628</v>
      </c>
      <c r="O156" s="7">
        <v>1</v>
      </c>
      <c r="P156" s="7"/>
      <c r="Q156" s="7">
        <v>148</v>
      </c>
      <c r="R156" s="7">
        <f>$AU$7*EXP(-'3.r(t)'!D154*$AU$21)</f>
        <v>0.91099305977534117</v>
      </c>
      <c r="S156" s="7">
        <f ca="1">$AU$8*EXP(-'3.r(t)'!E154*$AU$22)</f>
        <v>0.93927179277644091</v>
      </c>
      <c r="T156" s="7">
        <f ca="1">$AU$9*EXP(-'3.r(t)'!F154*$AU$23)</f>
        <v>0.95887886697098634</v>
      </c>
      <c r="U156" s="7">
        <f ca="1">$AU$10*EXP(-'3.r(t)'!G154*$AU$24)</f>
        <v>0.98250162596571189</v>
      </c>
      <c r="V156" s="7">
        <v>1</v>
      </c>
      <c r="W156" s="7"/>
      <c r="X156" s="7">
        <v>148</v>
      </c>
      <c r="Y156" s="7">
        <f>$AV$7*EXP(-'3.r(t)'!D154*$AV$21)</f>
        <v>0.88900715067201674</v>
      </c>
      <c r="Z156" s="7">
        <f ca="1">$AV$8*EXP(-'3.r(t)'!E154*$AV$22)</f>
        <v>0.91903037343944494</v>
      </c>
      <c r="AA156" s="7">
        <f ca="1">$AV$9*EXP(-'3.r(t)'!F154*$AV$23)</f>
        <v>0.93832007125019046</v>
      </c>
      <c r="AB156" s="7">
        <f ca="1">$AV$10*EXP(-'3.r(t)'!G154*$AV$24)</f>
        <v>0.96487189704978071</v>
      </c>
      <c r="AC156" s="7">
        <f ca="1">$AV$11*EXP(-'3.r(t)'!H154*$AV$25)</f>
        <v>0.98523084530506266</v>
      </c>
      <c r="AD156" s="7">
        <v>1</v>
      </c>
      <c r="AE156" s="7"/>
      <c r="AF156" s="7">
        <v>148</v>
      </c>
      <c r="AG156" s="7">
        <f>$AW$7*EXP(-'3.r(t)'!D154*$AW$21)</f>
        <v>0.86718755429225491</v>
      </c>
      <c r="AH156" s="7">
        <f ca="1">$AW$8*EXP(-'3.r(t)'!E154*$AW$22)</f>
        <v>0.89884205841640541</v>
      </c>
      <c r="AI156" s="7">
        <f ca="1">$AW$9*EXP(-'3.r(t)'!F154*$AW$23)</f>
        <v>0.91780525831269644</v>
      </c>
      <c r="AJ156" s="7">
        <f ca="1">$AW$10*EXP(-'3.r(t)'!G154*$AW$24)</f>
        <v>0.94714321603246965</v>
      </c>
      <c r="AK156" s="7">
        <f ca="1">$AW$11*EXP(-'3.r(t)'!H154*$AW$25)</f>
        <v>0.97024844724056114</v>
      </c>
      <c r="AL156" s="7">
        <f ca="1">$AW$12*EXP(-'3.r(t)'!I154*$AW$26)</f>
        <v>0.98107695619158053</v>
      </c>
      <c r="AM156" s="7">
        <v>1</v>
      </c>
      <c r="AN156" s="7"/>
    </row>
    <row r="157" spans="2:40">
      <c r="B157" s="7">
        <v>149</v>
      </c>
      <c r="C157" s="7">
        <f>$AR$7*EXP(-'3.r(t)'!D155*$AR$21)</f>
        <v>0.97765346695821032</v>
      </c>
      <c r="D157" s="7">
        <v>1</v>
      </c>
      <c r="E157" s="7"/>
      <c r="F157" s="7">
        <v>149</v>
      </c>
      <c r="G157" s="48">
        <f>$AS$7*EXP(-'3.r(t)'!D155*$AS$21)</f>
        <v>0.9553476245219803</v>
      </c>
      <c r="H157" s="7">
        <f ca="1">$AS$8*EXP(-'3.r(t)'!E155*$AS$22)</f>
        <v>0.97489604101067151</v>
      </c>
      <c r="I157" s="7">
        <v>1</v>
      </c>
      <c r="J157" s="7"/>
      <c r="K157" s="7">
        <v>149</v>
      </c>
      <c r="L157" s="7">
        <f>$AT$7*EXP(-'3.r(t)'!D155*$AT$21)</f>
        <v>0.93311670519824419</v>
      </c>
      <c r="M157" s="7">
        <f ca="1">$AT$8*EXP(-'3.r(t)'!E155*$AT$22)</f>
        <v>0.94997462853725501</v>
      </c>
      <c r="N157" s="7">
        <f ca="1">$AT$9*EXP(-'3.r(t)'!F155*$AT$23)</f>
        <v>0.9779496196159686</v>
      </c>
      <c r="O157" s="7">
        <v>1</v>
      </c>
      <c r="P157" s="7"/>
      <c r="Q157" s="7">
        <v>149</v>
      </c>
      <c r="R157" s="7">
        <f>$AU$7*EXP(-'3.r(t)'!D155*$AU$21)</f>
        <v>0.91099305977534117</v>
      </c>
      <c r="S157" s="7">
        <f ca="1">$AU$8*EXP(-'3.r(t)'!E155*$AU$22)</f>
        <v>0.92526815163563936</v>
      </c>
      <c r="T157" s="7">
        <f ca="1">$AU$9*EXP(-'3.r(t)'!F155*$AU$23)</f>
        <v>0.95594347149094194</v>
      </c>
      <c r="U157" s="7">
        <f ca="1">$AU$10*EXP(-'3.r(t)'!G155*$AU$24)</f>
        <v>0.97542365815384102</v>
      </c>
      <c r="V157" s="7">
        <v>1</v>
      </c>
      <c r="W157" s="7"/>
      <c r="X157" s="7">
        <v>149</v>
      </c>
      <c r="Y157" s="7">
        <f>$AV$7*EXP(-'3.r(t)'!D155*$AV$21)</f>
        <v>0.88900715067201674</v>
      </c>
      <c r="Z157" s="7">
        <f ca="1">$AV$8*EXP(-'3.r(t)'!E155*$AV$22)</f>
        <v>0.90080677269257092</v>
      </c>
      <c r="AA157" s="7">
        <f ca="1">$AV$9*EXP(-'3.r(t)'!F155*$AV$23)</f>
        <v>0.93401468154500988</v>
      </c>
      <c r="AB157" s="7">
        <f ca="1">$AV$10*EXP(-'3.r(t)'!G155*$AV$24)</f>
        <v>0.95102004641734639</v>
      </c>
      <c r="AC157" s="7">
        <f ca="1">$AV$11*EXP(-'3.r(t)'!H155*$AV$25)</f>
        <v>0.97724330836219464</v>
      </c>
      <c r="AD157" s="7">
        <v>1</v>
      </c>
      <c r="AE157" s="7"/>
      <c r="AF157" s="7">
        <v>149</v>
      </c>
      <c r="AG157" s="7">
        <f>$AW$7*EXP(-'3.r(t)'!D155*$AW$21)</f>
        <v>0.86718755429225491</v>
      </c>
      <c r="AH157" s="7">
        <f ca="1">$AW$8*EXP(-'3.r(t)'!E155*$AW$22)</f>
        <v>0.87661845229964164</v>
      </c>
      <c r="AI157" s="7">
        <f ca="1">$AW$9*EXP(-'3.r(t)'!F155*$AW$23)</f>
        <v>0.91219454402710543</v>
      </c>
      <c r="AJ157" s="7">
        <f ca="1">$AW$10*EXP(-'3.r(t)'!G155*$AW$24)</f>
        <v>0.92682059176953069</v>
      </c>
      <c r="AK157" s="7">
        <f ca="1">$AW$11*EXP(-'3.r(t)'!H155*$AW$25)</f>
        <v>0.95458007857670057</v>
      </c>
      <c r="AL157" s="7">
        <f ca="1">$AW$12*EXP(-'3.r(t)'!I155*$AW$26)</f>
        <v>0.97743773474745888</v>
      </c>
      <c r="AM157" s="7">
        <v>1</v>
      </c>
      <c r="AN157" s="7"/>
    </row>
    <row r="158" spans="2:40">
      <c r="B158" s="7">
        <v>150</v>
      </c>
      <c r="C158" s="7">
        <f>$AR$7*EXP(-'3.r(t)'!D156*$AR$21)</f>
        <v>0.97765346695821032</v>
      </c>
      <c r="D158" s="7">
        <v>1</v>
      </c>
      <c r="E158" s="7"/>
      <c r="F158" s="7">
        <v>150</v>
      </c>
      <c r="G158" s="48">
        <f>$AS$7*EXP(-'3.r(t)'!D156*$AS$21)</f>
        <v>0.9553476245219803</v>
      </c>
      <c r="H158" s="7">
        <f ca="1">$AS$8*EXP(-'3.r(t)'!E156*$AS$22)</f>
        <v>0.97621854140566089</v>
      </c>
      <c r="I158" s="7">
        <v>1</v>
      </c>
      <c r="J158" s="7"/>
      <c r="K158" s="7">
        <v>150</v>
      </c>
      <c r="L158" s="7">
        <f>$AT$7*EXP(-'3.r(t)'!D156*$AT$21)</f>
        <v>0.93311670519824419</v>
      </c>
      <c r="M158" s="7">
        <f ca="1">$AT$8*EXP(-'3.r(t)'!E156*$AT$22)</f>
        <v>0.95255376296218863</v>
      </c>
      <c r="N158" s="7">
        <f ca="1">$AT$9*EXP(-'3.r(t)'!F156*$AT$23)</f>
        <v>0.97914549624013025</v>
      </c>
      <c r="O158" s="7">
        <v>1</v>
      </c>
      <c r="P158" s="7"/>
      <c r="Q158" s="7">
        <v>150</v>
      </c>
      <c r="R158" s="7">
        <f>$AU$7*EXP(-'3.r(t)'!D156*$AU$21)</f>
        <v>0.91099305977534117</v>
      </c>
      <c r="S158" s="7">
        <f ca="1">$AU$8*EXP(-'3.r(t)'!E156*$AU$22)</f>
        <v>0.92903879435356096</v>
      </c>
      <c r="T158" s="7">
        <f ca="1">$AU$9*EXP(-'3.r(t)'!F156*$AU$23)</f>
        <v>0.958282834170886</v>
      </c>
      <c r="U158" s="7">
        <f ca="1">$AU$10*EXP(-'3.r(t)'!G156*$AU$24)</f>
        <v>0.98186608007530174</v>
      </c>
      <c r="V158" s="7">
        <v>1</v>
      </c>
      <c r="W158" s="7"/>
      <c r="X158" s="7">
        <v>150</v>
      </c>
      <c r="Y158" s="7">
        <f>$AV$7*EXP(-'3.r(t)'!D156*$AV$21)</f>
        <v>0.88900715067201674</v>
      </c>
      <c r="Z158" s="7">
        <f ca="1">$AV$8*EXP(-'3.r(t)'!E156*$AV$22)</f>
        <v>0.90570470472742437</v>
      </c>
      <c r="AA158" s="7">
        <f ca="1">$AV$9*EXP(-'3.r(t)'!F156*$AV$23)</f>
        <v>0.93744532683750326</v>
      </c>
      <c r="AB158" s="7">
        <f ca="1">$AV$10*EXP(-'3.r(t)'!G156*$AV$24)</f>
        <v>0.963624017112788</v>
      </c>
      <c r="AC158" s="7">
        <f ca="1">$AV$11*EXP(-'3.r(t)'!H156*$AV$25)</f>
        <v>0.98222971041328577</v>
      </c>
      <c r="AD158" s="7">
        <v>1</v>
      </c>
      <c r="AE158" s="7"/>
      <c r="AF158" s="7">
        <v>150</v>
      </c>
      <c r="AG158" s="7">
        <f>$AW$7*EXP(-'3.r(t)'!D156*$AW$21)</f>
        <v>0.86718755429225491</v>
      </c>
      <c r="AH158" s="7">
        <f ca="1">$AW$8*EXP(-'3.r(t)'!E156*$AW$22)</f>
        <v>0.88258051315574981</v>
      </c>
      <c r="AI158" s="7">
        <f ca="1">$AW$9*EXP(-'3.r(t)'!F156*$AW$23)</f>
        <v>0.91666460950286466</v>
      </c>
      <c r="AJ158" s="7">
        <f ca="1">$AW$10*EXP(-'3.r(t)'!G156*$AW$24)</f>
        <v>0.94530638340743967</v>
      </c>
      <c r="AK158" s="7">
        <f ca="1">$AW$11*EXP(-'3.r(t)'!H156*$AW$25)</f>
        <v>0.96434645673652386</v>
      </c>
      <c r="AL158" s="7">
        <f ca="1">$AW$12*EXP(-'3.r(t)'!I156*$AW$26)</f>
        <v>0.98244919090565452</v>
      </c>
      <c r="AM158" s="7">
        <v>1</v>
      </c>
      <c r="AN158" s="7"/>
    </row>
    <row r="159" spans="2:40">
      <c r="B159" s="7">
        <v>151</v>
      </c>
      <c r="C159" s="7">
        <f>$AR$7*EXP(-'3.r(t)'!D157*$AR$21)</f>
        <v>0.97765346695821032</v>
      </c>
      <c r="D159" s="7">
        <v>1</v>
      </c>
      <c r="E159" s="7"/>
      <c r="F159" s="7">
        <v>151</v>
      </c>
      <c r="G159" s="48">
        <f>$AS$7*EXP(-'3.r(t)'!D157*$AS$21)</f>
        <v>0.9553476245219803</v>
      </c>
      <c r="H159" s="7">
        <f ca="1">$AS$8*EXP(-'3.r(t)'!E157*$AS$22)</f>
        <v>0.97349686521166034</v>
      </c>
      <c r="I159" s="7">
        <v>1</v>
      </c>
      <c r="J159" s="7"/>
      <c r="K159" s="7">
        <v>151</v>
      </c>
      <c r="L159" s="7">
        <f>$AT$7*EXP(-'3.r(t)'!D157*$AT$21)</f>
        <v>0.93311670519824419</v>
      </c>
      <c r="M159" s="7">
        <f ca="1">$AT$8*EXP(-'3.r(t)'!E157*$AT$22)</f>
        <v>0.94724976838809238</v>
      </c>
      <c r="N159" s="7">
        <f ca="1">$AT$9*EXP(-'3.r(t)'!F157*$AT$23)</f>
        <v>0.9720745708074503</v>
      </c>
      <c r="O159" s="7">
        <v>1</v>
      </c>
      <c r="P159" s="7"/>
      <c r="Q159" s="7">
        <v>151</v>
      </c>
      <c r="R159" s="7">
        <f>$AU$7*EXP(-'3.r(t)'!D157*$AU$21)</f>
        <v>0.91099305977534117</v>
      </c>
      <c r="S159" s="7">
        <f ca="1">$AU$8*EXP(-'3.r(t)'!E157*$AU$22)</f>
        <v>0.92129001774772679</v>
      </c>
      <c r="T159" s="7">
        <f ca="1">$AU$9*EXP(-'3.r(t)'!F157*$AU$23)</f>
        <v>0.94449227873187158</v>
      </c>
      <c r="U159" s="7">
        <f ca="1">$AU$10*EXP(-'3.r(t)'!G157*$AU$24)</f>
        <v>0.97120334878805248</v>
      </c>
      <c r="V159" s="7">
        <v>1</v>
      </c>
      <c r="W159" s="7"/>
      <c r="X159" s="7">
        <v>151</v>
      </c>
      <c r="Y159" s="7">
        <f>$AV$7*EXP(-'3.r(t)'!D157*$AV$21)</f>
        <v>0.88900715067201674</v>
      </c>
      <c r="Z159" s="7">
        <f ca="1">$AV$8*EXP(-'3.r(t)'!E157*$AV$22)</f>
        <v>0.89564652500521835</v>
      </c>
      <c r="AA159" s="7">
        <f ca="1">$AV$9*EXP(-'3.r(t)'!F157*$AV$23)</f>
        <v>0.91728227874819179</v>
      </c>
      <c r="AB159" s="7">
        <f ca="1">$AV$10*EXP(-'3.r(t)'!G157*$AV$24)</f>
        <v>0.94280840202660299</v>
      </c>
      <c r="AC159" s="7">
        <f ca="1">$AV$11*EXP(-'3.r(t)'!H157*$AV$25)</f>
        <v>0.96894466976437676</v>
      </c>
      <c r="AD159" s="7">
        <v>1</v>
      </c>
      <c r="AE159" s="7"/>
      <c r="AF159" s="7">
        <v>151</v>
      </c>
      <c r="AG159" s="7">
        <f>$AW$7*EXP(-'3.r(t)'!D157*$AW$21)</f>
        <v>0.86718755429225491</v>
      </c>
      <c r="AH159" s="7">
        <f ca="1">$AW$8*EXP(-'3.r(t)'!E157*$AW$22)</f>
        <v>0.87034584661291736</v>
      </c>
      <c r="AI159" s="7">
        <f ca="1">$AW$9*EXP(-'3.r(t)'!F157*$AW$23)</f>
        <v>0.89047118579672102</v>
      </c>
      <c r="AJ159" s="7">
        <f ca="1">$AW$10*EXP(-'3.r(t)'!G157*$AW$24)</f>
        <v>0.9148425026542174</v>
      </c>
      <c r="AK159" s="7">
        <f ca="1">$AW$11*EXP(-'3.r(t)'!H157*$AW$25)</f>
        <v>0.93843654529841081</v>
      </c>
      <c r="AL159" s="7">
        <f ca="1">$AW$12*EXP(-'3.r(t)'!I157*$AW$26)</f>
        <v>0.96807075412088361</v>
      </c>
      <c r="AM159" s="7">
        <v>1</v>
      </c>
      <c r="AN159" s="7"/>
    </row>
    <row r="160" spans="2:40">
      <c r="B160" s="7">
        <v>152</v>
      </c>
      <c r="C160" s="7">
        <f>$AR$7*EXP(-'3.r(t)'!D158*$AR$21)</f>
        <v>0.97765346695821032</v>
      </c>
      <c r="D160" s="7">
        <v>1</v>
      </c>
      <c r="E160" s="7"/>
      <c r="F160" s="7">
        <v>152</v>
      </c>
      <c r="G160" s="48">
        <f>$AS$7*EXP(-'3.r(t)'!D158*$AS$21)</f>
        <v>0.9553476245219803</v>
      </c>
      <c r="H160" s="7">
        <f ca="1">$AS$8*EXP(-'3.r(t)'!E158*$AS$22)</f>
        <v>0.97582174162419821</v>
      </c>
      <c r="I160" s="7">
        <v>1</v>
      </c>
      <c r="J160" s="7"/>
      <c r="K160" s="7">
        <v>152</v>
      </c>
      <c r="L160" s="7">
        <f>$AT$7*EXP(-'3.r(t)'!D158*$AT$21)</f>
        <v>0.93311670519824419</v>
      </c>
      <c r="M160" s="7">
        <f ca="1">$AT$8*EXP(-'3.r(t)'!E158*$AT$22)</f>
        <v>0.9517795586374227</v>
      </c>
      <c r="N160" s="7">
        <f ca="1">$AT$9*EXP(-'3.r(t)'!F158*$AT$23)</f>
        <v>0.97671113304108592</v>
      </c>
      <c r="O160" s="7">
        <v>1</v>
      </c>
      <c r="P160" s="7"/>
      <c r="Q160" s="7">
        <v>152</v>
      </c>
      <c r="R160" s="7">
        <f>$AU$7*EXP(-'3.r(t)'!D158*$AU$21)</f>
        <v>0.91099305977534117</v>
      </c>
      <c r="S160" s="7">
        <f ca="1">$AU$8*EXP(-'3.r(t)'!E158*$AU$22)</f>
        <v>0.92790638632833</v>
      </c>
      <c r="T160" s="7">
        <f ca="1">$AU$9*EXP(-'3.r(t)'!F158*$AU$23)</f>
        <v>0.95352376915628489</v>
      </c>
      <c r="U160" s="7">
        <f ca="1">$AU$10*EXP(-'3.r(t)'!G158*$AU$24)</f>
        <v>0.97612989672754991</v>
      </c>
      <c r="V160" s="7">
        <v>1</v>
      </c>
      <c r="W160" s="7"/>
      <c r="X160" s="7">
        <v>152</v>
      </c>
      <c r="Y160" s="7">
        <f>$AV$7*EXP(-'3.r(t)'!D158*$AV$21)</f>
        <v>0.88900715067201674</v>
      </c>
      <c r="Z160" s="7">
        <f ca="1">$AV$8*EXP(-'3.r(t)'!E158*$AV$22)</f>
        <v>0.90423304912061475</v>
      </c>
      <c r="AA160" s="7">
        <f ca="1">$AV$9*EXP(-'3.r(t)'!F158*$AV$23)</f>
        <v>0.93047063295875132</v>
      </c>
      <c r="AB160" s="7">
        <f ca="1">$AV$10*EXP(-'3.r(t)'!G158*$AV$24)</f>
        <v>0.95239768408837577</v>
      </c>
      <c r="AC160" s="7">
        <f ca="1">$AV$11*EXP(-'3.r(t)'!H158*$AV$25)</f>
        <v>0.97484213547092269</v>
      </c>
      <c r="AD160" s="7">
        <v>1</v>
      </c>
      <c r="AE160" s="7"/>
      <c r="AF160" s="7">
        <v>152</v>
      </c>
      <c r="AG160" s="7">
        <f>$AW$7*EXP(-'3.r(t)'!D158*$AW$21)</f>
        <v>0.86718755429225491</v>
      </c>
      <c r="AH160" s="7">
        <f ca="1">$AW$8*EXP(-'3.r(t)'!E158*$AW$22)</f>
        <v>0.88078827524789838</v>
      </c>
      <c r="AI160" s="7">
        <f ca="1">$AW$9*EXP(-'3.r(t)'!F158*$AW$23)</f>
        <v>0.90758246009006238</v>
      </c>
      <c r="AJ160" s="7">
        <f ca="1">$AW$10*EXP(-'3.r(t)'!G158*$AW$24)</f>
        <v>0.92883519480471188</v>
      </c>
      <c r="AK160" s="7">
        <f ca="1">$AW$11*EXP(-'3.r(t)'!H158*$AW$25)</f>
        <v>0.94989486696700398</v>
      </c>
      <c r="AL160" s="7">
        <f ca="1">$AW$12*EXP(-'3.r(t)'!I158*$AW$26)</f>
        <v>0.9737978091905356</v>
      </c>
      <c r="AM160" s="7">
        <v>1</v>
      </c>
      <c r="AN160" s="7"/>
    </row>
    <row r="161" spans="2:40">
      <c r="B161" s="7">
        <v>153</v>
      </c>
      <c r="C161" s="7">
        <f>$AR$7*EXP(-'3.r(t)'!D159*$AR$21)</f>
        <v>0.97765346695821032</v>
      </c>
      <c r="D161" s="7">
        <v>1</v>
      </c>
      <c r="E161" s="7"/>
      <c r="F161" s="7">
        <v>153</v>
      </c>
      <c r="G161" s="48">
        <f>$AS$7*EXP(-'3.r(t)'!D159*$AS$21)</f>
        <v>0.9553476245219803</v>
      </c>
      <c r="H161" s="7">
        <f ca="1">$AS$8*EXP(-'3.r(t)'!E159*$AS$22)</f>
        <v>0.97604323383257174</v>
      </c>
      <c r="I161" s="7">
        <v>1</v>
      </c>
      <c r="J161" s="7"/>
      <c r="K161" s="7">
        <v>153</v>
      </c>
      <c r="L161" s="7">
        <f>$AT$7*EXP(-'3.r(t)'!D159*$AT$21)</f>
        <v>0.93311670519824419</v>
      </c>
      <c r="M161" s="7">
        <f ca="1">$AT$8*EXP(-'3.r(t)'!E159*$AT$22)</f>
        <v>0.95221167789113625</v>
      </c>
      <c r="N161" s="7">
        <f ca="1">$AT$9*EXP(-'3.r(t)'!F159*$AT$23)</f>
        <v>0.97518348678950828</v>
      </c>
      <c r="O161" s="7">
        <v>1</v>
      </c>
      <c r="P161" s="7"/>
      <c r="Q161" s="7">
        <v>153</v>
      </c>
      <c r="R161" s="7">
        <f>$AU$7*EXP(-'3.r(t)'!D159*$AU$21)</f>
        <v>0.91099305977534117</v>
      </c>
      <c r="S161" s="7">
        <f ca="1">$AU$8*EXP(-'3.r(t)'!E159*$AU$22)</f>
        <v>0.92853837887159218</v>
      </c>
      <c r="T161" s="7">
        <f ca="1">$AU$9*EXP(-'3.r(t)'!F159*$AU$23)</f>
        <v>0.95054334267743645</v>
      </c>
      <c r="U161" s="7">
        <f ca="1">$AU$10*EXP(-'3.r(t)'!G159*$AU$24)</f>
        <v>0.9741257777250889</v>
      </c>
      <c r="V161" s="7">
        <v>1</v>
      </c>
      <c r="W161" s="7"/>
      <c r="X161" s="7">
        <v>153</v>
      </c>
      <c r="Y161" s="7">
        <f>$AV$7*EXP(-'3.r(t)'!D159*$AV$21)</f>
        <v>0.88900715067201674</v>
      </c>
      <c r="Z161" s="7">
        <f ca="1">$AV$8*EXP(-'3.r(t)'!E159*$AV$22)</f>
        <v>0.90505430065167936</v>
      </c>
      <c r="AA161" s="7">
        <f ca="1">$AV$9*EXP(-'3.r(t)'!F159*$AV$23)</f>
        <v>0.92611148970550228</v>
      </c>
      <c r="AB161" s="7">
        <f ca="1">$AV$10*EXP(-'3.r(t)'!G159*$AV$24)</f>
        <v>0.9484909112662534</v>
      </c>
      <c r="AC161" s="7">
        <f ca="1">$AV$11*EXP(-'3.r(t)'!H159*$AV$25)</f>
        <v>0.9750132600951833</v>
      </c>
      <c r="AD161" s="7">
        <v>1</v>
      </c>
      <c r="AE161" s="7"/>
      <c r="AF161" s="7">
        <v>153</v>
      </c>
      <c r="AG161" s="7">
        <f>$AW$7*EXP(-'3.r(t)'!D159*$AW$21)</f>
        <v>0.86718755429225491</v>
      </c>
      <c r="AH161" s="7">
        <f ca="1">$AW$8*EXP(-'3.r(t)'!E159*$AW$22)</f>
        <v>0.88178833660172562</v>
      </c>
      <c r="AI161" s="7">
        <f ca="1">$AW$9*EXP(-'3.r(t)'!F159*$AW$23)</f>
        <v>0.90191767142990742</v>
      </c>
      <c r="AJ161" s="7">
        <f ca="1">$AW$10*EXP(-'3.r(t)'!G159*$AW$24)</f>
        <v>0.92312588194487744</v>
      </c>
      <c r="AK161" s="7">
        <f ca="1">$AW$11*EXP(-'3.r(t)'!H159*$AW$25)</f>
        <v>0.95022838695634404</v>
      </c>
      <c r="AL161" s="7">
        <f ca="1">$AW$12*EXP(-'3.r(t)'!I159*$AW$26)</f>
        <v>0.97123111174427501</v>
      </c>
      <c r="AM161" s="7">
        <v>1</v>
      </c>
      <c r="AN161" s="7"/>
    </row>
    <row r="162" spans="2:40">
      <c r="B162" s="7">
        <v>154</v>
      </c>
      <c r="C162" s="7">
        <f>$AR$7*EXP(-'3.r(t)'!D160*$AR$21)</f>
        <v>0.97765346695821032</v>
      </c>
      <c r="D162" s="7">
        <v>1</v>
      </c>
      <c r="E162" s="7"/>
      <c r="F162" s="7">
        <v>154</v>
      </c>
      <c r="G162" s="48">
        <f>$AS$7*EXP(-'3.r(t)'!D160*$AS$21)</f>
        <v>0.9553476245219803</v>
      </c>
      <c r="H162" s="7">
        <f ca="1">$AS$8*EXP(-'3.r(t)'!E160*$AS$22)</f>
        <v>0.97612907811564686</v>
      </c>
      <c r="I162" s="7">
        <v>1</v>
      </c>
      <c r="J162" s="7"/>
      <c r="K162" s="7">
        <v>154</v>
      </c>
      <c r="L162" s="7">
        <f>$AT$7*EXP(-'3.r(t)'!D160*$AT$21)</f>
        <v>0.93311670519824419</v>
      </c>
      <c r="M162" s="7">
        <f ca="1">$AT$8*EXP(-'3.r(t)'!E160*$AT$22)</f>
        <v>0.95237918178982794</v>
      </c>
      <c r="N162" s="7">
        <f ca="1">$AT$9*EXP(-'3.r(t)'!F160*$AT$23)</f>
        <v>0.97242001099177222</v>
      </c>
      <c r="O162" s="7">
        <v>1</v>
      </c>
      <c r="P162" s="7"/>
      <c r="Q162" s="7">
        <v>154</v>
      </c>
      <c r="R162" s="7">
        <f>$AU$7*EXP(-'3.r(t)'!D160*$AU$21)</f>
        <v>0.91099305977534117</v>
      </c>
      <c r="S162" s="7">
        <f ca="1">$AU$8*EXP(-'3.r(t)'!E160*$AU$22)</f>
        <v>0.92878339892641559</v>
      </c>
      <c r="T162" s="7">
        <f ca="1">$AU$9*EXP(-'3.r(t)'!F160*$AU$23)</f>
        <v>0.94516367487401287</v>
      </c>
      <c r="U162" s="7">
        <f ca="1">$AU$10*EXP(-'3.r(t)'!G160*$AU$24)</f>
        <v>0.97487049594629449</v>
      </c>
      <c r="V162" s="7">
        <v>1</v>
      </c>
      <c r="W162" s="7"/>
      <c r="X162" s="7">
        <v>154</v>
      </c>
      <c r="Y162" s="7">
        <f>$AV$7*EXP(-'3.r(t)'!D160*$AV$21)</f>
        <v>0.88900715067201674</v>
      </c>
      <c r="Z162" s="7">
        <f ca="1">$AV$8*EXP(-'3.r(t)'!E160*$AV$22)</f>
        <v>0.90537274551309654</v>
      </c>
      <c r="AA162" s="7">
        <f ca="1">$AV$9*EXP(-'3.r(t)'!F160*$AV$23)</f>
        <v>0.91826053325177359</v>
      </c>
      <c r="AB162" s="7">
        <f ca="1">$AV$10*EXP(-'3.r(t)'!G160*$AV$24)</f>
        <v>0.94994170640094666</v>
      </c>
      <c r="AC162" s="7">
        <f ca="1">$AV$11*EXP(-'3.r(t)'!H160*$AV$25)</f>
        <v>0.97400984871902696</v>
      </c>
      <c r="AD162" s="7">
        <v>1</v>
      </c>
      <c r="AE162" s="7"/>
      <c r="AF162" s="7">
        <v>154</v>
      </c>
      <c r="AG162" s="7">
        <f>$AW$7*EXP(-'3.r(t)'!D160*$AW$21)</f>
        <v>0.86718755429225491</v>
      </c>
      <c r="AH162" s="7">
        <f ca="1">$AW$8*EXP(-'3.r(t)'!E160*$AW$22)</f>
        <v>0.88217617702383611</v>
      </c>
      <c r="AI162" s="7">
        <f ca="1">$AW$9*EXP(-'3.r(t)'!F160*$AW$23)</f>
        <v>0.89173762582489313</v>
      </c>
      <c r="AJ162" s="7">
        <f ca="1">$AW$10*EXP(-'3.r(t)'!G160*$AW$24)</f>
        <v>0.92524468749406497</v>
      </c>
      <c r="AK162" s="7">
        <f ca="1">$AW$11*EXP(-'3.r(t)'!H160*$AW$25)</f>
        <v>0.94827358409958196</v>
      </c>
      <c r="AL162" s="7">
        <f ca="1">$AW$12*EXP(-'3.r(t)'!I160*$AW$26)</f>
        <v>0.97666508079976966</v>
      </c>
      <c r="AM162" s="7">
        <v>1</v>
      </c>
      <c r="AN162" s="7"/>
    </row>
    <row r="163" spans="2:40">
      <c r="B163" s="7">
        <v>155</v>
      </c>
      <c r="C163" s="7">
        <f>$AR$7*EXP(-'3.r(t)'!D161*$AR$21)</f>
        <v>0.97765346695821032</v>
      </c>
      <c r="D163" s="7">
        <v>1</v>
      </c>
      <c r="E163" s="7"/>
      <c r="F163" s="7">
        <v>155</v>
      </c>
      <c r="G163" s="48">
        <f>$AS$7*EXP(-'3.r(t)'!D161*$AS$21)</f>
        <v>0.9553476245219803</v>
      </c>
      <c r="H163" s="7">
        <f ca="1">$AS$8*EXP(-'3.r(t)'!E161*$AS$22)</f>
        <v>0.98302351333419047</v>
      </c>
      <c r="I163" s="7">
        <v>1</v>
      </c>
      <c r="J163" s="7"/>
      <c r="K163" s="7">
        <v>155</v>
      </c>
      <c r="L163" s="7">
        <f>$AT$7*EXP(-'3.r(t)'!D161*$AT$21)</f>
        <v>0.93311670519824419</v>
      </c>
      <c r="M163" s="7">
        <f ca="1">$AT$8*EXP(-'3.r(t)'!E161*$AT$22)</f>
        <v>0.96588007031016088</v>
      </c>
      <c r="N163" s="7">
        <f ca="1">$AT$9*EXP(-'3.r(t)'!F161*$AT$23)</f>
        <v>0.98362301229884308</v>
      </c>
      <c r="O163" s="7">
        <v>1</v>
      </c>
      <c r="P163" s="7"/>
      <c r="Q163" s="7">
        <v>155</v>
      </c>
      <c r="R163" s="7">
        <f>$AU$7*EXP(-'3.r(t)'!D161*$AU$21)</f>
        <v>0.91099305977534117</v>
      </c>
      <c r="S163" s="7">
        <f ca="1">$AU$8*EXP(-'3.r(t)'!E161*$AU$22)</f>
        <v>0.94860282028376286</v>
      </c>
      <c r="T163" s="7">
        <f ca="1">$AU$9*EXP(-'3.r(t)'!F161*$AU$23)</f>
        <v>0.9670671002217891</v>
      </c>
      <c r="U163" s="7">
        <f ca="1">$AU$10*EXP(-'3.r(t)'!G161*$AU$24)</f>
        <v>0.98593974155552677</v>
      </c>
      <c r="V163" s="7">
        <v>1</v>
      </c>
      <c r="W163" s="7"/>
      <c r="X163" s="7">
        <v>155</v>
      </c>
      <c r="Y163" s="7">
        <f>$AV$7*EXP(-'3.r(t)'!D161*$AV$21)</f>
        <v>0.88900715067201674</v>
      </c>
      <c r="Z163" s="7">
        <f ca="1">$AV$8*EXP(-'3.r(t)'!E161*$AV$22)</f>
        <v>0.93122374163379329</v>
      </c>
      <c r="AA163" s="7">
        <f ca="1">$AV$9*EXP(-'3.r(t)'!F161*$AV$23)</f>
        <v>0.95036470433127351</v>
      </c>
      <c r="AB163" s="7">
        <f ca="1">$AV$10*EXP(-'3.r(t)'!G161*$AV$24)</f>
        <v>0.97163655837942231</v>
      </c>
      <c r="AC163" s="7">
        <f ca="1">$AV$11*EXP(-'3.r(t)'!H161*$AV$25)</f>
        <v>0.98831786018554468</v>
      </c>
      <c r="AD163" s="7">
        <v>1</v>
      </c>
      <c r="AE163" s="7"/>
      <c r="AF163" s="7">
        <v>155</v>
      </c>
      <c r="AG163" s="7">
        <f>$AW$7*EXP(-'3.r(t)'!D161*$AW$21)</f>
        <v>0.86718755429225491</v>
      </c>
      <c r="AH163" s="7">
        <f ca="1">$AW$8*EXP(-'3.r(t)'!E161*$AW$22)</f>
        <v>0.91377359532310198</v>
      </c>
      <c r="AI163" s="7">
        <f ca="1">$AW$9*EXP(-'3.r(t)'!F161*$AW$23)</f>
        <v>0.93354716564211992</v>
      </c>
      <c r="AJ163" s="7">
        <f ca="1">$AW$10*EXP(-'3.r(t)'!G161*$AW$24)</f>
        <v>0.95712120374788556</v>
      </c>
      <c r="AK163" s="7">
        <f ca="1">$AW$11*EXP(-'3.r(t)'!H161*$AW$25)</f>
        <v>0.97633811400320247</v>
      </c>
      <c r="AL163" s="7">
        <f ca="1">$AW$12*EXP(-'3.r(t)'!I161*$AW$26)</f>
        <v>0.98638142457888089</v>
      </c>
      <c r="AM163" s="7">
        <v>1</v>
      </c>
      <c r="AN163" s="7"/>
    </row>
    <row r="164" spans="2:40">
      <c r="B164" s="7">
        <v>156</v>
      </c>
      <c r="C164" s="7">
        <f>$AR$7*EXP(-'3.r(t)'!D162*$AR$21)</f>
        <v>0.97765346695821032</v>
      </c>
      <c r="D164" s="7">
        <v>1</v>
      </c>
      <c r="E164" s="7"/>
      <c r="F164" s="7">
        <v>156</v>
      </c>
      <c r="G164" s="48">
        <f>$AS$7*EXP(-'3.r(t)'!D162*$AS$21)</f>
        <v>0.9553476245219803</v>
      </c>
      <c r="H164" s="7">
        <f ca="1">$AS$8*EXP(-'3.r(t)'!E162*$AS$22)</f>
        <v>0.9778585389778357</v>
      </c>
      <c r="I164" s="7">
        <v>1</v>
      </c>
      <c r="J164" s="7"/>
      <c r="K164" s="7">
        <v>156</v>
      </c>
      <c r="L164" s="7">
        <f>$AT$7*EXP(-'3.r(t)'!D162*$AT$21)</f>
        <v>0.93311670519824419</v>
      </c>
      <c r="M164" s="7">
        <f ca="1">$AT$8*EXP(-'3.r(t)'!E162*$AT$22)</f>
        <v>0.95575693517980687</v>
      </c>
      <c r="N164" s="7">
        <f ca="1">$AT$9*EXP(-'3.r(t)'!F162*$AT$23)</f>
        <v>0.97745919772428702</v>
      </c>
      <c r="O164" s="7">
        <v>1</v>
      </c>
      <c r="P164" s="7"/>
      <c r="Q164" s="7">
        <v>156</v>
      </c>
      <c r="R164" s="7">
        <f>$AU$7*EXP(-'3.r(t)'!D162*$AU$21)</f>
        <v>0.91099305977534117</v>
      </c>
      <c r="S164" s="7">
        <f ca="1">$AU$8*EXP(-'3.r(t)'!E162*$AU$22)</f>
        <v>0.93372887861949072</v>
      </c>
      <c r="T164" s="7">
        <f ca="1">$AU$9*EXP(-'3.r(t)'!F162*$AU$23)</f>
        <v>0.95498493938362072</v>
      </c>
      <c r="U164" s="7">
        <f ca="1">$AU$10*EXP(-'3.r(t)'!G162*$AU$24)</f>
        <v>0.97438590372898326</v>
      </c>
      <c r="V164" s="7">
        <v>1</v>
      </c>
      <c r="W164" s="7"/>
      <c r="X164" s="7">
        <v>156</v>
      </c>
      <c r="Y164" s="7">
        <f>$AV$7*EXP(-'3.r(t)'!D162*$AV$21)</f>
        <v>0.88900715067201674</v>
      </c>
      <c r="Z164" s="7">
        <f ca="1">$AV$8*EXP(-'3.r(t)'!E162*$AV$22)</f>
        <v>0.9118062101800728</v>
      </c>
      <c r="AA164" s="7">
        <f ca="1">$AV$9*EXP(-'3.r(t)'!F162*$AV$23)</f>
        <v>0.93261021785554643</v>
      </c>
      <c r="AB164" s="7">
        <f ca="1">$AV$10*EXP(-'3.r(t)'!G162*$AV$24)</f>
        <v>0.94899754007857717</v>
      </c>
      <c r="AC164" s="7">
        <f ca="1">$AV$11*EXP(-'3.r(t)'!H162*$AV$25)</f>
        <v>0.97613052953895829</v>
      </c>
      <c r="AD164" s="7">
        <v>1</v>
      </c>
      <c r="AE164" s="7"/>
      <c r="AF164" s="7">
        <v>156</v>
      </c>
      <c r="AG164" s="7">
        <f>$AW$7*EXP(-'3.r(t)'!D162*$AW$21)</f>
        <v>0.86718755429225491</v>
      </c>
      <c r="AH164" s="7">
        <f ca="1">$AW$8*EXP(-'3.r(t)'!E162*$AW$22)</f>
        <v>0.89001891568291547</v>
      </c>
      <c r="AI164" s="7">
        <f ca="1">$AW$9*EXP(-'3.r(t)'!F162*$AW$23)</f>
        <v>0.91036613174773884</v>
      </c>
      <c r="AJ164" s="7">
        <f ca="1">$AW$10*EXP(-'3.r(t)'!G162*$AW$24)</f>
        <v>0.92386560112971683</v>
      </c>
      <c r="AK164" s="7">
        <f ca="1">$AW$11*EXP(-'3.r(t)'!H162*$AW$25)</f>
        <v>0.95240737151898136</v>
      </c>
      <c r="AL164" s="7">
        <f ca="1">$AW$12*EXP(-'3.r(t)'!I162*$AW$26)</f>
        <v>0.97856558668088878</v>
      </c>
      <c r="AM164" s="7">
        <v>1</v>
      </c>
      <c r="AN164" s="7"/>
    </row>
    <row r="165" spans="2:40">
      <c r="B165" s="7">
        <v>157</v>
      </c>
      <c r="C165" s="7">
        <f>$AR$7*EXP(-'3.r(t)'!D163*$AR$21)</f>
        <v>0.97765346695821032</v>
      </c>
      <c r="D165" s="7">
        <v>1</v>
      </c>
      <c r="E165" s="7"/>
      <c r="F165" s="7">
        <v>157</v>
      </c>
      <c r="G165" s="48">
        <f>$AS$7*EXP(-'3.r(t)'!D163*$AS$21)</f>
        <v>0.9553476245219803</v>
      </c>
      <c r="H165" s="7">
        <f ca="1">$AS$8*EXP(-'3.r(t)'!E163*$AS$22)</f>
        <v>0.97460401162097698</v>
      </c>
      <c r="I165" s="7">
        <v>1</v>
      </c>
      <c r="J165" s="7"/>
      <c r="K165" s="7">
        <v>157</v>
      </c>
      <c r="L165" s="7">
        <f>$AT$7*EXP(-'3.r(t)'!D163*$AT$21)</f>
        <v>0.93311670519824419</v>
      </c>
      <c r="M165" s="7">
        <f ca="1">$AT$8*EXP(-'3.r(t)'!E163*$AT$22)</f>
        <v>0.94940558538029496</v>
      </c>
      <c r="N165" s="7">
        <f ca="1">$AT$9*EXP(-'3.r(t)'!F163*$AT$23)</f>
        <v>0.97200923029213793</v>
      </c>
      <c r="O165" s="7">
        <v>1</v>
      </c>
      <c r="P165" s="7"/>
      <c r="Q165" s="7">
        <v>157</v>
      </c>
      <c r="R165" s="7">
        <f>$AU$7*EXP(-'3.r(t)'!D163*$AU$21)</f>
        <v>0.91099305977534117</v>
      </c>
      <c r="S165" s="7">
        <f ca="1">$AU$8*EXP(-'3.r(t)'!E163*$AU$22)</f>
        <v>0.92443691050687804</v>
      </c>
      <c r="T165" s="7">
        <f ca="1">$AU$9*EXP(-'3.r(t)'!F163*$AU$23)</f>
        <v>0.94436530999936075</v>
      </c>
      <c r="U165" s="7">
        <f ca="1">$AU$10*EXP(-'3.r(t)'!G163*$AU$24)</f>
        <v>0.97328665354130439</v>
      </c>
      <c r="V165" s="7">
        <v>1</v>
      </c>
      <c r="W165" s="7"/>
      <c r="X165" s="7">
        <v>157</v>
      </c>
      <c r="Y165" s="7">
        <f>$AV$7*EXP(-'3.r(t)'!D163*$AV$21)</f>
        <v>0.88900715067201674</v>
      </c>
      <c r="Z165" s="7">
        <f ca="1">$AV$8*EXP(-'3.r(t)'!E163*$AV$22)</f>
        <v>0.89972791355461879</v>
      </c>
      <c r="AA165" s="7">
        <f ca="1">$AV$9*EXP(-'3.r(t)'!F163*$AV$23)</f>
        <v>0.91709731865375954</v>
      </c>
      <c r="AB165" s="7">
        <f ca="1">$AV$10*EXP(-'3.r(t)'!G163*$AV$24)</f>
        <v>0.94685753110100257</v>
      </c>
      <c r="AC165" s="7">
        <f ca="1">$AV$11*EXP(-'3.r(t)'!H163*$AV$25)</f>
        <v>0.97389316173866203</v>
      </c>
      <c r="AD165" s="7">
        <v>1</v>
      </c>
      <c r="AE165" s="7"/>
      <c r="AF165" s="7">
        <v>157</v>
      </c>
      <c r="AG165" s="7">
        <f>$AW$7*EXP(-'3.r(t)'!D163*$AW$21)</f>
        <v>0.86718755429225491</v>
      </c>
      <c r="AH165" s="7">
        <f ca="1">$AW$8*EXP(-'3.r(t)'!E163*$AW$22)</f>
        <v>0.87530628659910903</v>
      </c>
      <c r="AI165" s="7">
        <f ca="1">$AW$9*EXP(-'3.r(t)'!F163*$AW$23)</f>
        <v>0.89023178860768415</v>
      </c>
      <c r="AJ165" s="7">
        <f ca="1">$AW$10*EXP(-'3.r(t)'!G163*$AW$24)</f>
        <v>0.92074235962215945</v>
      </c>
      <c r="AK165" s="7">
        <f ca="1">$AW$11*EXP(-'3.r(t)'!H163*$AW$25)</f>
        <v>0.94804639018938874</v>
      </c>
      <c r="AL165" s="7">
        <f ca="1">$AW$12*EXP(-'3.r(t)'!I163*$AW$26)</f>
        <v>0.97890218605667567</v>
      </c>
      <c r="AM165" s="7">
        <v>1</v>
      </c>
      <c r="AN165" s="7"/>
    </row>
    <row r="166" spans="2:40">
      <c r="B166" s="7">
        <v>158</v>
      </c>
      <c r="C166" s="7">
        <f>$AR$7*EXP(-'3.r(t)'!D164*$AR$21)</f>
        <v>0.97765346695821032</v>
      </c>
      <c r="D166" s="7">
        <v>1</v>
      </c>
      <c r="E166" s="7"/>
      <c r="F166" s="7">
        <v>158</v>
      </c>
      <c r="G166" s="48">
        <f>$AS$7*EXP(-'3.r(t)'!D164*$AS$21)</f>
        <v>0.9553476245219803</v>
      </c>
      <c r="H166" s="7">
        <f ca="1">$AS$8*EXP(-'3.r(t)'!E164*$AS$22)</f>
        <v>0.97816951826413923</v>
      </c>
      <c r="I166" s="7">
        <v>1</v>
      </c>
      <c r="J166" s="7"/>
      <c r="K166" s="7">
        <v>158</v>
      </c>
      <c r="L166" s="7">
        <f>$AT$7*EXP(-'3.r(t)'!D164*$AT$21)</f>
        <v>0.93311670519824419</v>
      </c>
      <c r="M166" s="7">
        <f ca="1">$AT$8*EXP(-'3.r(t)'!E164*$AT$22)</f>
        <v>0.95636493287863589</v>
      </c>
      <c r="N166" s="7">
        <f ca="1">$AT$9*EXP(-'3.r(t)'!F164*$AT$23)</f>
        <v>0.98006194156666204</v>
      </c>
      <c r="O166" s="7">
        <v>1</v>
      </c>
      <c r="P166" s="7"/>
      <c r="Q166" s="7">
        <v>158</v>
      </c>
      <c r="R166" s="7">
        <f>$AU$7*EXP(-'3.r(t)'!D164*$AU$21)</f>
        <v>0.91099305977534117</v>
      </c>
      <c r="S166" s="7">
        <f ca="1">$AU$8*EXP(-'3.r(t)'!E164*$AU$22)</f>
        <v>0.93461999737217138</v>
      </c>
      <c r="T166" s="7">
        <f ca="1">$AU$9*EXP(-'3.r(t)'!F164*$AU$23)</f>
        <v>0.96007751088988869</v>
      </c>
      <c r="U166" s="7">
        <f ca="1">$AU$10*EXP(-'3.r(t)'!G164*$AU$24)</f>
        <v>0.98218454641506714</v>
      </c>
      <c r="V166" s="7">
        <v>1</v>
      </c>
      <c r="W166" s="7"/>
      <c r="X166" s="7">
        <v>158</v>
      </c>
      <c r="Y166" s="7">
        <f>$AV$7*EXP(-'3.r(t)'!D164*$AV$21)</f>
        <v>0.88900715067201674</v>
      </c>
      <c r="Z166" s="7">
        <f ca="1">$AV$8*EXP(-'3.r(t)'!E164*$AV$22)</f>
        <v>0.91296665670841948</v>
      </c>
      <c r="AA166" s="7">
        <f ca="1">$AV$9*EXP(-'3.r(t)'!F164*$AV$23)</f>
        <v>0.94008003765256465</v>
      </c>
      <c r="AB166" s="7">
        <f ca="1">$AV$10*EXP(-'3.r(t)'!G164*$AV$24)</f>
        <v>0.96424921761237936</v>
      </c>
      <c r="AC166" s="7">
        <f ca="1">$AV$11*EXP(-'3.r(t)'!H164*$AV$25)</f>
        <v>0.98426492471007088</v>
      </c>
      <c r="AD166" s="7">
        <v>1</v>
      </c>
      <c r="AE166" s="7"/>
      <c r="AF166" s="7">
        <v>158</v>
      </c>
      <c r="AG166" s="7">
        <f>$AW$7*EXP(-'3.r(t)'!D164*$AW$21)</f>
        <v>0.86718755429225491</v>
      </c>
      <c r="AH166" s="7">
        <f ca="1">$AW$8*EXP(-'3.r(t)'!E164*$AW$22)</f>
        <v>0.8914350384352443</v>
      </c>
      <c r="AI166" s="7">
        <f ca="1">$AW$9*EXP(-'3.r(t)'!F164*$AW$23)</f>
        <v>0.92010129242418792</v>
      </c>
      <c r="AJ166" s="7">
        <f ca="1">$AW$10*EXP(-'3.r(t)'!G164*$AW$24)</f>
        <v>0.94622650660437035</v>
      </c>
      <c r="AK166" s="7">
        <f ca="1">$AW$11*EXP(-'3.r(t)'!H164*$AW$25)</f>
        <v>0.96834691613301194</v>
      </c>
      <c r="AL166" s="7">
        <f ca="1">$AW$12*EXP(-'3.r(t)'!I164*$AW$26)</f>
        <v>0.9857461642296349</v>
      </c>
      <c r="AM166" s="7">
        <v>1</v>
      </c>
      <c r="AN166" s="7"/>
    </row>
    <row r="167" spans="2:40">
      <c r="B167" s="7">
        <v>159</v>
      </c>
      <c r="C167" s="7">
        <f>$AR$7*EXP(-'3.r(t)'!D165*$AR$21)</f>
        <v>0.97765346695821032</v>
      </c>
      <c r="D167" s="7">
        <v>1</v>
      </c>
      <c r="E167" s="7"/>
      <c r="F167" s="7">
        <v>159</v>
      </c>
      <c r="G167" s="48">
        <f>$AS$7*EXP(-'3.r(t)'!D165*$AS$21)</f>
        <v>0.9553476245219803</v>
      </c>
      <c r="H167" s="7">
        <f ca="1">$AS$8*EXP(-'3.r(t)'!E165*$AS$22)</f>
        <v>0.97581122527283437</v>
      </c>
      <c r="I167" s="7">
        <v>1</v>
      </c>
      <c r="J167" s="7"/>
      <c r="K167" s="7">
        <v>159</v>
      </c>
      <c r="L167" s="7">
        <f>$AT$7*EXP(-'3.r(t)'!D165*$AT$21)</f>
        <v>0.93311670519824419</v>
      </c>
      <c r="M167" s="7">
        <f ca="1">$AT$8*EXP(-'3.r(t)'!E165*$AT$22)</f>
        <v>0.95175904424652913</v>
      </c>
      <c r="N167" s="7">
        <f ca="1">$AT$9*EXP(-'3.r(t)'!F165*$AT$23)</f>
        <v>0.97975046000657917</v>
      </c>
      <c r="O167" s="7">
        <v>1</v>
      </c>
      <c r="P167" s="7"/>
      <c r="Q167" s="7">
        <v>159</v>
      </c>
      <c r="R167" s="7">
        <f>$AU$7*EXP(-'3.r(t)'!D165*$AU$21)</f>
        <v>0.91099305977534117</v>
      </c>
      <c r="S167" s="7">
        <f ca="1">$AU$8*EXP(-'3.r(t)'!E165*$AU$22)</f>
        <v>0.92787638673717832</v>
      </c>
      <c r="T167" s="7">
        <f ca="1">$AU$9*EXP(-'3.r(t)'!F165*$AU$23)</f>
        <v>0.95946734757876573</v>
      </c>
      <c r="U167" s="7">
        <f ca="1">$AU$10*EXP(-'3.r(t)'!G165*$AU$24)</f>
        <v>0.97643769117654999</v>
      </c>
      <c r="V167" s="7">
        <v>1</v>
      </c>
      <c r="W167" s="7"/>
      <c r="X167" s="7">
        <v>159</v>
      </c>
      <c r="Y167" s="7">
        <f>$AV$7*EXP(-'3.r(t)'!D165*$AV$21)</f>
        <v>0.88900715067201674</v>
      </c>
      <c r="Z167" s="7">
        <f ca="1">$AV$8*EXP(-'3.r(t)'!E165*$AV$22)</f>
        <v>0.90419407036728539</v>
      </c>
      <c r="AA167" s="7">
        <f ca="1">$AV$9*EXP(-'3.r(t)'!F165*$AV$23)</f>
        <v>0.93918399874501646</v>
      </c>
      <c r="AB167" s="7">
        <f ca="1">$AV$10*EXP(-'3.r(t)'!G165*$AV$24)</f>
        <v>0.95299840114138878</v>
      </c>
      <c r="AC167" s="7">
        <f ca="1">$AV$11*EXP(-'3.r(t)'!H165*$AV$25)</f>
        <v>0.9745533212834987</v>
      </c>
      <c r="AD167" s="7">
        <v>1</v>
      </c>
      <c r="AE167" s="7"/>
      <c r="AF167" s="7">
        <v>159</v>
      </c>
      <c r="AG167" s="7">
        <f>$AW$7*EXP(-'3.r(t)'!D165*$AW$21)</f>
        <v>0.86718755429225491</v>
      </c>
      <c r="AH167" s="7">
        <f ca="1">$AW$8*EXP(-'3.r(t)'!E165*$AW$22)</f>
        <v>0.88074081535363491</v>
      </c>
      <c r="AI167" s="7">
        <f ca="1">$AW$9*EXP(-'3.r(t)'!F165*$AW$23)</f>
        <v>0.91893215004526008</v>
      </c>
      <c r="AJ167" s="7">
        <f ca="1">$AW$10*EXP(-'3.r(t)'!G165*$AW$24)</f>
        <v>0.92971411616971122</v>
      </c>
      <c r="AK167" s="7">
        <f ca="1">$AW$11*EXP(-'3.r(t)'!H165*$AW$25)</f>
        <v>0.94933210410588875</v>
      </c>
      <c r="AL167" s="7">
        <f ca="1">$AW$12*EXP(-'3.r(t)'!I165*$AW$26)</f>
        <v>0.97883572940624186</v>
      </c>
      <c r="AM167" s="7">
        <v>1</v>
      </c>
      <c r="AN167" s="7"/>
    </row>
    <row r="168" spans="2:40">
      <c r="B168" s="7">
        <v>160</v>
      </c>
      <c r="C168" s="7">
        <f>$AR$7*EXP(-'3.r(t)'!D166*$AR$21)</f>
        <v>0.97765346695821032</v>
      </c>
      <c r="D168" s="7">
        <v>1</v>
      </c>
      <c r="E168" s="7"/>
      <c r="F168" s="7">
        <v>160</v>
      </c>
      <c r="G168" s="48">
        <f>$AS$7*EXP(-'3.r(t)'!D166*$AS$21)</f>
        <v>0.9553476245219803</v>
      </c>
      <c r="H168" s="7">
        <f ca="1">$AS$8*EXP(-'3.r(t)'!E166*$AS$22)</f>
        <v>0.97427934076686395</v>
      </c>
      <c r="I168" s="7">
        <v>1</v>
      </c>
      <c r="J168" s="7"/>
      <c r="K168" s="7">
        <v>160</v>
      </c>
      <c r="L168" s="7">
        <f>$AT$7*EXP(-'3.r(t)'!D166*$AT$21)</f>
        <v>0.93311670519824419</v>
      </c>
      <c r="M168" s="7">
        <f ca="1">$AT$8*EXP(-'3.r(t)'!E166*$AT$22)</f>
        <v>0.94877313778977901</v>
      </c>
      <c r="N168" s="7">
        <f ca="1">$AT$9*EXP(-'3.r(t)'!F166*$AT$23)</f>
        <v>0.97197541815796118</v>
      </c>
      <c r="O168" s="7">
        <v>1</v>
      </c>
      <c r="P168" s="7"/>
      <c r="Q168" s="7">
        <v>160</v>
      </c>
      <c r="R168" s="7">
        <f>$AU$7*EXP(-'3.r(t)'!D166*$AU$21)</f>
        <v>0.91099305977534117</v>
      </c>
      <c r="S168" s="7">
        <f ca="1">$AU$8*EXP(-'3.r(t)'!E166*$AU$22)</f>
        <v>0.9235133423387607</v>
      </c>
      <c r="T168" s="7">
        <f ca="1">$AU$9*EXP(-'3.r(t)'!F166*$AU$23)</f>
        <v>0.94429961010638586</v>
      </c>
      <c r="U168" s="7">
        <f ca="1">$AU$10*EXP(-'3.r(t)'!G166*$AU$24)</f>
        <v>0.97406372717569956</v>
      </c>
      <c r="V168" s="7">
        <v>1</v>
      </c>
      <c r="W168" s="7"/>
      <c r="X168" s="7">
        <v>160</v>
      </c>
      <c r="Y168" s="7">
        <f>$AV$7*EXP(-'3.r(t)'!D166*$AV$21)</f>
        <v>0.88900715067201674</v>
      </c>
      <c r="Z168" s="7">
        <f ca="1">$AV$8*EXP(-'3.r(t)'!E166*$AV$22)</f>
        <v>0.89852960330750853</v>
      </c>
      <c r="AA168" s="7">
        <f ca="1">$AV$9*EXP(-'3.r(t)'!F166*$AV$23)</f>
        <v>0.91700161604735364</v>
      </c>
      <c r="AB168" s="7">
        <f ca="1">$AV$10*EXP(-'3.r(t)'!G166*$AV$24)</f>
        <v>0.94837007983153176</v>
      </c>
      <c r="AC168" s="7">
        <f ca="1">$AV$11*EXP(-'3.r(t)'!H166*$AV$25)</f>
        <v>0.97146127863631859</v>
      </c>
      <c r="AD168" s="7">
        <v>1</v>
      </c>
      <c r="AE168" s="7"/>
      <c r="AF168" s="7">
        <v>160</v>
      </c>
      <c r="AG168" s="7">
        <f>$AW$7*EXP(-'3.r(t)'!D166*$AW$21)</f>
        <v>0.86718755429225491</v>
      </c>
      <c r="AH168" s="7">
        <f ca="1">$AW$8*EXP(-'3.r(t)'!E166*$AW$22)</f>
        <v>0.87384929916263343</v>
      </c>
      <c r="AI168" s="7">
        <f ca="1">$AW$9*EXP(-'3.r(t)'!F166*$AW$23)</f>
        <v>0.89010792531433147</v>
      </c>
      <c r="AJ168" s="7">
        <f ca="1">$AW$10*EXP(-'3.r(t)'!G166*$AW$24)</f>
        <v>0.92294948741505645</v>
      </c>
      <c r="AK168" s="7">
        <f ca="1">$AW$11*EXP(-'3.r(t)'!H166*$AW$25)</f>
        <v>0.94331761800423364</v>
      </c>
      <c r="AL168" s="7">
        <f ca="1">$AW$12*EXP(-'3.r(t)'!I166*$AW$26)</f>
        <v>0.9711140855945769</v>
      </c>
      <c r="AM168" s="7">
        <v>1</v>
      </c>
      <c r="AN168" s="7"/>
    </row>
    <row r="169" spans="2:40">
      <c r="B169" s="7">
        <v>161</v>
      </c>
      <c r="C169" s="7">
        <f>$AR$7*EXP(-'3.r(t)'!D167*$AR$21)</f>
        <v>0.97765346695821032</v>
      </c>
      <c r="D169" s="7">
        <v>1</v>
      </c>
      <c r="E169" s="7"/>
      <c r="F169" s="7">
        <v>161</v>
      </c>
      <c r="G169" s="48">
        <f>$AS$7*EXP(-'3.r(t)'!D167*$AS$21)</f>
        <v>0.9553476245219803</v>
      </c>
      <c r="H169" s="7">
        <f ca="1">$AS$8*EXP(-'3.r(t)'!E167*$AS$22)</f>
        <v>0.98005316333244163</v>
      </c>
      <c r="I169" s="7">
        <v>1</v>
      </c>
      <c r="J169" s="7"/>
      <c r="K169" s="7">
        <v>161</v>
      </c>
      <c r="L169" s="7">
        <f>$AT$7*EXP(-'3.r(t)'!D167*$AT$21)</f>
        <v>0.93311670519824419</v>
      </c>
      <c r="M169" s="7">
        <f ca="1">$AT$8*EXP(-'3.r(t)'!E167*$AT$22)</f>
        <v>0.96005179199473278</v>
      </c>
      <c r="N169" s="7">
        <f ca="1">$AT$9*EXP(-'3.r(t)'!F167*$AT$23)</f>
        <v>0.98193533127280419</v>
      </c>
      <c r="O169" s="7">
        <v>1</v>
      </c>
      <c r="P169" s="7"/>
      <c r="Q169" s="7">
        <v>161</v>
      </c>
      <c r="R169" s="7">
        <f>$AU$7*EXP(-'3.r(t)'!D167*$AU$21)</f>
        <v>0.91099305977534117</v>
      </c>
      <c r="S169" s="7">
        <f ca="1">$AU$8*EXP(-'3.r(t)'!E167*$AU$22)</f>
        <v>0.94002974888253843</v>
      </c>
      <c r="T169" s="7">
        <f ca="1">$AU$9*EXP(-'3.r(t)'!F167*$AU$23)</f>
        <v>0.96375139773754015</v>
      </c>
      <c r="U169" s="7">
        <f ca="1">$AU$10*EXP(-'3.r(t)'!G167*$AU$24)</f>
        <v>0.98029493523785338</v>
      </c>
      <c r="V169" s="7">
        <v>1</v>
      </c>
      <c r="W169" s="7"/>
      <c r="X169" s="7">
        <v>161</v>
      </c>
      <c r="Y169" s="7">
        <f>$AV$7*EXP(-'3.r(t)'!D167*$AV$21)</f>
        <v>0.88900715067201674</v>
      </c>
      <c r="Z169" s="7">
        <f ca="1">$AV$8*EXP(-'3.r(t)'!E167*$AV$22)</f>
        <v>0.92001933582209405</v>
      </c>
      <c r="AA169" s="7">
        <f ca="1">$AV$9*EXP(-'3.r(t)'!F167*$AV$23)</f>
        <v>0.94548124164774927</v>
      </c>
      <c r="AB169" s="7">
        <f ca="1">$AV$10*EXP(-'3.r(t)'!G167*$AV$24)</f>
        <v>0.96054257532874665</v>
      </c>
      <c r="AC169" s="7">
        <f ca="1">$AV$11*EXP(-'3.r(t)'!H167*$AV$25)</f>
        <v>0.97687150432649927</v>
      </c>
      <c r="AD169" s="7">
        <v>1</v>
      </c>
      <c r="AE169" s="7"/>
      <c r="AF169" s="7">
        <v>161</v>
      </c>
      <c r="AG169" s="7">
        <f>$AW$7*EXP(-'3.r(t)'!D167*$AW$21)</f>
        <v>0.86718755429225491</v>
      </c>
      <c r="AH169" s="7">
        <f ca="1">$AW$8*EXP(-'3.r(t)'!E167*$AW$22)</f>
        <v>0.90005126834500593</v>
      </c>
      <c r="AI169" s="7">
        <f ca="1">$AW$9*EXP(-'3.r(t)'!F167*$AW$23)</f>
        <v>0.92715658892623576</v>
      </c>
      <c r="AJ169" s="7">
        <f ca="1">$AW$10*EXP(-'3.r(t)'!G167*$AW$24)</f>
        <v>0.94077571076288846</v>
      </c>
      <c r="AK169" s="7">
        <f ca="1">$AW$11*EXP(-'3.r(t)'!H167*$AW$25)</f>
        <v>0.95385385368185127</v>
      </c>
      <c r="AL169" s="7">
        <f ca="1">$AW$12*EXP(-'3.r(t)'!I167*$AW$26)</f>
        <v>0.97217230245080555</v>
      </c>
      <c r="AM169" s="7">
        <v>1</v>
      </c>
      <c r="AN169" s="7"/>
    </row>
    <row r="170" spans="2:40">
      <c r="B170" s="7">
        <v>162</v>
      </c>
      <c r="C170" s="7">
        <f>$AR$7*EXP(-'3.r(t)'!D168*$AR$21)</f>
        <v>0.97765346695821032</v>
      </c>
      <c r="D170" s="7">
        <v>1</v>
      </c>
      <c r="E170" s="7"/>
      <c r="F170" s="7">
        <v>162</v>
      </c>
      <c r="G170" s="48">
        <f>$AS$7*EXP(-'3.r(t)'!D168*$AS$21)</f>
        <v>0.9553476245219803</v>
      </c>
      <c r="H170" s="7">
        <f ca="1">$AS$8*EXP(-'3.r(t)'!E168*$AS$22)</f>
        <v>0.97128899220994636</v>
      </c>
      <c r="I170" s="7">
        <v>1</v>
      </c>
      <c r="J170" s="7"/>
      <c r="K170" s="7">
        <v>162</v>
      </c>
      <c r="L170" s="7">
        <f>$AT$7*EXP(-'3.r(t)'!D168*$AT$21)</f>
        <v>0.93311670519824419</v>
      </c>
      <c r="M170" s="7">
        <f ca="1">$AT$8*EXP(-'3.r(t)'!E168*$AT$22)</f>
        <v>0.94295795065838195</v>
      </c>
      <c r="N170" s="7">
        <f ca="1">$AT$9*EXP(-'3.r(t)'!F168*$AT$23)</f>
        <v>0.96913840390769901</v>
      </c>
      <c r="O170" s="7">
        <v>1</v>
      </c>
      <c r="P170" s="7"/>
      <c r="Q170" s="7">
        <v>162</v>
      </c>
      <c r="R170" s="7">
        <f>$AU$7*EXP(-'3.r(t)'!D168*$AU$21)</f>
        <v>0.91099305977534117</v>
      </c>
      <c r="S170" s="7">
        <f ca="1">$AU$8*EXP(-'3.r(t)'!E168*$AU$22)</f>
        <v>0.91503581713778781</v>
      </c>
      <c r="T170" s="7">
        <f ca="1">$AU$9*EXP(-'3.r(t)'!F168*$AU$23)</f>
        <v>0.9387951875393058</v>
      </c>
      <c r="U170" s="7">
        <f ca="1">$AU$10*EXP(-'3.r(t)'!G168*$AU$24)</f>
        <v>0.96987570335823547</v>
      </c>
      <c r="V170" s="7">
        <v>1</v>
      </c>
      <c r="W170" s="7"/>
      <c r="X170" s="7">
        <v>162</v>
      </c>
      <c r="Y170" s="7">
        <f>$AV$7*EXP(-'3.r(t)'!D168*$AV$21)</f>
        <v>0.88900715067201674</v>
      </c>
      <c r="Z170" s="7">
        <f ca="1">$AV$8*EXP(-'3.r(t)'!E168*$AV$22)</f>
        <v>0.88754888563272649</v>
      </c>
      <c r="AA170" s="7">
        <f ca="1">$AV$9*EXP(-'3.r(t)'!F168*$AV$23)</f>
        <v>0.90899536229600975</v>
      </c>
      <c r="AB170" s="7">
        <f ca="1">$AV$10*EXP(-'3.r(t)'!G168*$AV$24)</f>
        <v>0.94023250540601444</v>
      </c>
      <c r="AC170" s="7">
        <f ca="1">$AV$11*EXP(-'3.r(t)'!H168*$AV$25)</f>
        <v>0.97307243713140146</v>
      </c>
      <c r="AD170" s="7">
        <v>1</v>
      </c>
      <c r="AE170" s="7"/>
      <c r="AF170" s="7">
        <v>162</v>
      </c>
      <c r="AG170" s="7">
        <f>$AW$7*EXP(-'3.r(t)'!D168*$AW$21)</f>
        <v>0.86718755429225491</v>
      </c>
      <c r="AH170" s="7">
        <f ca="1">$AW$8*EXP(-'3.r(t)'!E168*$AW$22)</f>
        <v>0.86052087159237434</v>
      </c>
      <c r="AI170" s="7">
        <f ca="1">$AW$9*EXP(-'3.r(t)'!F168*$AW$23)</f>
        <v>0.87976110284710274</v>
      </c>
      <c r="AJ170" s="7">
        <f ca="1">$AW$10*EXP(-'3.r(t)'!G168*$AW$24)</f>
        <v>0.91109583042651499</v>
      </c>
      <c r="AK170" s="7">
        <f ca="1">$AW$11*EXP(-'3.r(t)'!H168*$AW$25)</f>
        <v>0.94644917773165604</v>
      </c>
      <c r="AL170" s="7">
        <f ca="1">$AW$12*EXP(-'3.r(t)'!I168*$AW$26)</f>
        <v>0.97416743742419543</v>
      </c>
      <c r="AM170" s="7">
        <v>1</v>
      </c>
      <c r="AN170" s="7"/>
    </row>
    <row r="171" spans="2:40">
      <c r="B171" s="7">
        <v>163</v>
      </c>
      <c r="C171" s="7">
        <f>$AR$7*EXP(-'3.r(t)'!D169*$AR$21)</f>
        <v>0.97765346695821032</v>
      </c>
      <c r="D171" s="7">
        <v>1</v>
      </c>
      <c r="E171" s="7"/>
      <c r="F171" s="7">
        <v>163</v>
      </c>
      <c r="G171" s="48">
        <f>$AS$7*EXP(-'3.r(t)'!D169*$AS$21)</f>
        <v>0.9553476245219803</v>
      </c>
      <c r="H171" s="7">
        <f ca="1">$AS$8*EXP(-'3.r(t)'!E169*$AS$22)</f>
        <v>0.97811769375662971</v>
      </c>
      <c r="I171" s="7">
        <v>1</v>
      </c>
      <c r="J171" s="7"/>
      <c r="K171" s="7">
        <v>163</v>
      </c>
      <c r="L171" s="7">
        <f>$AT$7*EXP(-'3.r(t)'!D169*$AT$21)</f>
        <v>0.93311670519824419</v>
      </c>
      <c r="M171" s="7">
        <f ca="1">$AT$8*EXP(-'3.r(t)'!E169*$AT$22)</f>
        <v>0.95626359701043484</v>
      </c>
      <c r="N171" s="7">
        <f ca="1">$AT$9*EXP(-'3.r(t)'!F169*$AT$23)</f>
        <v>0.97778400309636249</v>
      </c>
      <c r="O171" s="7">
        <v>1</v>
      </c>
      <c r="P171" s="7"/>
      <c r="Q171" s="7">
        <v>163</v>
      </c>
      <c r="R171" s="7">
        <f>$AU$7*EXP(-'3.r(t)'!D169*$AU$21)</f>
        <v>0.91099305977534117</v>
      </c>
      <c r="S171" s="7">
        <f ca="1">$AU$8*EXP(-'3.r(t)'!E169*$AU$22)</f>
        <v>0.9344714536258929</v>
      </c>
      <c r="T171" s="7">
        <f ca="1">$AU$9*EXP(-'3.r(t)'!F169*$AU$23)</f>
        <v>0.95561971938407719</v>
      </c>
      <c r="U171" s="7">
        <f ca="1">$AU$10*EXP(-'3.r(t)'!G169*$AU$24)</f>
        <v>0.98033139500921762</v>
      </c>
      <c r="V171" s="7">
        <v>1</v>
      </c>
      <c r="W171" s="7"/>
      <c r="X171" s="7">
        <v>163</v>
      </c>
      <c r="Y171" s="7">
        <f>$AV$7*EXP(-'3.r(t)'!D169*$AV$21)</f>
        <v>0.88900715067201674</v>
      </c>
      <c r="Z171" s="7">
        <f ca="1">$AV$8*EXP(-'3.r(t)'!E169*$AV$22)</f>
        <v>0.91277319213411123</v>
      </c>
      <c r="AA171" s="7">
        <f ca="1">$AV$9*EXP(-'3.r(t)'!F169*$AV$23)</f>
        <v>0.93354023358996419</v>
      </c>
      <c r="AB171" s="7">
        <f ca="1">$AV$10*EXP(-'3.r(t)'!G169*$AV$24)</f>
        <v>0.96061402691477071</v>
      </c>
      <c r="AC171" s="7">
        <f ca="1">$AV$11*EXP(-'3.r(t)'!H169*$AV$25)</f>
        <v>0.98423682736758245</v>
      </c>
      <c r="AD171" s="7">
        <v>1</v>
      </c>
      <c r="AE171" s="7"/>
      <c r="AF171" s="7">
        <v>163</v>
      </c>
      <c r="AG171" s="7">
        <f>$AW$7*EXP(-'3.r(t)'!D169*$AW$21)</f>
        <v>0.86718755429225491</v>
      </c>
      <c r="AH171" s="7">
        <f ca="1">$AW$8*EXP(-'3.r(t)'!E169*$AW$22)</f>
        <v>0.89119891736431334</v>
      </c>
      <c r="AI171" s="7">
        <f ca="1">$AW$9*EXP(-'3.r(t)'!F169*$AW$23)</f>
        <v>0.91157677758998734</v>
      </c>
      <c r="AJ171" s="7">
        <f ca="1">$AW$10*EXP(-'3.r(t)'!G169*$AW$24)</f>
        <v>0.94088068450648621</v>
      </c>
      <c r="AK171" s="7">
        <f ca="1">$AW$11*EXP(-'3.r(t)'!H169*$AW$25)</f>
        <v>0.96829163104477878</v>
      </c>
      <c r="AL171" s="7">
        <f ca="1">$AW$12*EXP(-'3.r(t)'!I169*$AW$26)</f>
        <v>0.98170321872985578</v>
      </c>
      <c r="AM171" s="7">
        <v>1</v>
      </c>
      <c r="AN171" s="7"/>
    </row>
    <row r="172" spans="2:40">
      <c r="B172" s="7">
        <v>164</v>
      </c>
      <c r="C172" s="7">
        <f>$AR$7*EXP(-'3.r(t)'!D170*$AR$21)</f>
        <v>0.97765346695821032</v>
      </c>
      <c r="D172" s="7">
        <v>1</v>
      </c>
      <c r="E172" s="7"/>
      <c r="F172" s="7">
        <v>164</v>
      </c>
      <c r="G172" s="48">
        <f>$AS$7*EXP(-'3.r(t)'!D170*$AS$21)</f>
        <v>0.9553476245219803</v>
      </c>
      <c r="H172" s="7">
        <f ca="1">$AS$8*EXP(-'3.r(t)'!E170*$AS$22)</f>
        <v>0.97683477420580178</v>
      </c>
      <c r="I172" s="7">
        <v>1</v>
      </c>
      <c r="J172" s="7"/>
      <c r="K172" s="7">
        <v>164</v>
      </c>
      <c r="L172" s="7">
        <f>$AT$7*EXP(-'3.r(t)'!D170*$AT$21)</f>
        <v>0.93311670519824419</v>
      </c>
      <c r="M172" s="7">
        <f ca="1">$AT$8*EXP(-'3.r(t)'!E170*$AT$22)</f>
        <v>0.95375673159357022</v>
      </c>
      <c r="N172" s="7">
        <f ca="1">$AT$9*EXP(-'3.r(t)'!F170*$AT$23)</f>
        <v>0.97632035999490085</v>
      </c>
      <c r="O172" s="7">
        <v>1</v>
      </c>
      <c r="P172" s="7"/>
      <c r="Q172" s="7">
        <v>164</v>
      </c>
      <c r="R172" s="7">
        <f>$AU$7*EXP(-'3.r(t)'!D170*$AU$21)</f>
        <v>0.91099305977534117</v>
      </c>
      <c r="S172" s="7">
        <f ca="1">$AU$8*EXP(-'3.r(t)'!E170*$AU$22)</f>
        <v>0.93079925767094662</v>
      </c>
      <c r="T172" s="7">
        <f ca="1">$AU$9*EXP(-'3.r(t)'!F170*$AU$23)</f>
        <v>0.95276092979446347</v>
      </c>
      <c r="U172" s="7">
        <f ca="1">$AU$10*EXP(-'3.r(t)'!G170*$AU$24)</f>
        <v>0.9775002893821787</v>
      </c>
      <c r="V172" s="7">
        <v>1</v>
      </c>
      <c r="W172" s="7"/>
      <c r="X172" s="7">
        <v>164</v>
      </c>
      <c r="Y172" s="7">
        <f>$AV$7*EXP(-'3.r(t)'!D170*$AV$21)</f>
        <v>0.88900715067201674</v>
      </c>
      <c r="Z172" s="7">
        <f ca="1">$AV$8*EXP(-'3.r(t)'!E170*$AV$22)</f>
        <v>0.90799375626729806</v>
      </c>
      <c r="AA172" s="7">
        <f ca="1">$AV$9*EXP(-'3.r(t)'!F170*$AV$23)</f>
        <v>0.92935426177197666</v>
      </c>
      <c r="AB172" s="7">
        <f ca="1">$AV$10*EXP(-'3.r(t)'!G170*$AV$24)</f>
        <v>0.95507371102649974</v>
      </c>
      <c r="AC172" s="7">
        <f ca="1">$AV$11*EXP(-'3.r(t)'!H170*$AV$25)</f>
        <v>0.97447231399761403</v>
      </c>
      <c r="AD172" s="7">
        <v>1</v>
      </c>
      <c r="AE172" s="7"/>
      <c r="AF172" s="7">
        <v>164</v>
      </c>
      <c r="AG172" s="7">
        <f>$AW$7*EXP(-'3.r(t)'!D170*$AW$21)</f>
        <v>0.86718755429225491</v>
      </c>
      <c r="AH172" s="7">
        <f ca="1">$AW$8*EXP(-'3.r(t)'!E170*$AW$22)</f>
        <v>0.88536965364001918</v>
      </c>
      <c r="AI172" s="7">
        <f ca="1">$AW$9*EXP(-'3.r(t)'!F170*$AW$23)</f>
        <v>0.90613087030529749</v>
      </c>
      <c r="AJ172" s="7">
        <f ca="1">$AW$10*EXP(-'3.r(t)'!G170*$AW$24)</f>
        <v>0.93275267572997878</v>
      </c>
      <c r="AK172" s="7">
        <f ca="1">$AW$11*EXP(-'3.r(t)'!H170*$AW$25)</f>
        <v>0.94917428899346545</v>
      </c>
      <c r="AL172" s="7">
        <f ca="1">$AW$12*EXP(-'3.r(t)'!I170*$AW$26)</f>
        <v>0.97457323862619794</v>
      </c>
      <c r="AM172" s="7">
        <v>1</v>
      </c>
      <c r="AN172" s="7"/>
    </row>
    <row r="173" spans="2:40">
      <c r="B173" s="7">
        <v>165</v>
      </c>
      <c r="C173" s="7">
        <f>$AR$7*EXP(-'3.r(t)'!D171*$AR$21)</f>
        <v>0.97765346695821032</v>
      </c>
      <c r="D173" s="7">
        <v>1</v>
      </c>
      <c r="E173" s="7"/>
      <c r="F173" s="7">
        <v>165</v>
      </c>
      <c r="G173" s="48">
        <f>$AS$7*EXP(-'3.r(t)'!D171*$AS$21)</f>
        <v>0.9553476245219803</v>
      </c>
      <c r="H173" s="7">
        <f ca="1">$AS$8*EXP(-'3.r(t)'!E171*$AS$22)</f>
        <v>0.9754313677170009</v>
      </c>
      <c r="I173" s="7">
        <v>1</v>
      </c>
      <c r="J173" s="7"/>
      <c r="K173" s="7">
        <v>165</v>
      </c>
      <c r="L173" s="7">
        <f>$AT$7*EXP(-'3.r(t)'!D171*$AT$21)</f>
        <v>0.93311670519824419</v>
      </c>
      <c r="M173" s="7">
        <f ca="1">$AT$8*EXP(-'3.r(t)'!E171*$AT$22)</f>
        <v>0.95101819911721064</v>
      </c>
      <c r="N173" s="7">
        <f ca="1">$AT$9*EXP(-'3.r(t)'!F171*$AT$23)</f>
        <v>0.97566104582055768</v>
      </c>
      <c r="O173" s="7">
        <v>1</v>
      </c>
      <c r="P173" s="7"/>
      <c r="Q173" s="7">
        <v>165</v>
      </c>
      <c r="R173" s="7">
        <f>$AU$7*EXP(-'3.r(t)'!D171*$AU$21)</f>
        <v>0.91099305977534117</v>
      </c>
      <c r="S173" s="7">
        <f ca="1">$AU$8*EXP(-'3.r(t)'!E171*$AU$22)</f>
        <v>0.92679321513179735</v>
      </c>
      <c r="T173" s="7">
        <f ca="1">$AU$9*EXP(-'3.r(t)'!F171*$AU$23)</f>
        <v>0.95147455554950378</v>
      </c>
      <c r="U173" s="7">
        <f ca="1">$AU$10*EXP(-'3.r(t)'!G171*$AU$24)</f>
        <v>0.97792518290761743</v>
      </c>
      <c r="V173" s="7">
        <v>1</v>
      </c>
      <c r="W173" s="7"/>
      <c r="X173" s="7">
        <v>165</v>
      </c>
      <c r="Y173" s="7">
        <f>$AV$7*EXP(-'3.r(t)'!D171*$AV$21)</f>
        <v>0.88900715067201674</v>
      </c>
      <c r="Z173" s="7">
        <f ca="1">$AV$8*EXP(-'3.r(t)'!E171*$AV$22)</f>
        <v>0.90278697670014885</v>
      </c>
      <c r="AA173" s="7">
        <f ca="1">$AV$9*EXP(-'3.r(t)'!F171*$AV$23)</f>
        <v>0.92747273976773581</v>
      </c>
      <c r="AB173" s="7">
        <f ca="1">$AV$10*EXP(-'3.r(t)'!G171*$AV$24)</f>
        <v>0.95590418204898986</v>
      </c>
      <c r="AC173" s="7">
        <f ca="1">$AV$11*EXP(-'3.r(t)'!H171*$AV$25)</f>
        <v>0.9785728451729564</v>
      </c>
      <c r="AD173" s="7">
        <v>1</v>
      </c>
      <c r="AE173" s="7"/>
      <c r="AF173" s="7">
        <v>165</v>
      </c>
      <c r="AG173" s="7">
        <f>$AW$7*EXP(-'3.r(t)'!D171*$AW$21)</f>
        <v>0.86718755429225491</v>
      </c>
      <c r="AH173" s="7">
        <f ca="1">$AW$8*EXP(-'3.r(t)'!E171*$AW$22)</f>
        <v>0.87902790368345263</v>
      </c>
      <c r="AI173" s="7">
        <f ca="1">$AW$9*EXP(-'3.r(t)'!F171*$AW$23)</f>
        <v>0.90368568916493397</v>
      </c>
      <c r="AJ173" s="7">
        <f ca="1">$AW$10*EXP(-'3.r(t)'!G171*$AW$24)</f>
        <v>0.93396953327598475</v>
      </c>
      <c r="AK173" s="7">
        <f ca="1">$AW$11*EXP(-'3.r(t)'!H171*$AW$25)</f>
        <v>0.95717925255826264</v>
      </c>
      <c r="AL173" s="7">
        <f ca="1">$AW$12*EXP(-'3.r(t)'!I171*$AW$26)</f>
        <v>0.97902586802632885</v>
      </c>
      <c r="AM173" s="7">
        <v>1</v>
      </c>
      <c r="AN173" s="7"/>
    </row>
    <row r="174" spans="2:40">
      <c r="B174" s="7">
        <v>166</v>
      </c>
      <c r="C174" s="7">
        <f>$AR$7*EXP(-'3.r(t)'!D172*$AR$21)</f>
        <v>0.97765346695821032</v>
      </c>
      <c r="D174" s="7">
        <v>1</v>
      </c>
      <c r="E174" s="7"/>
      <c r="F174" s="7">
        <v>166</v>
      </c>
      <c r="G174" s="48">
        <f>$AS$7*EXP(-'3.r(t)'!D172*$AS$21)</f>
        <v>0.9553476245219803</v>
      </c>
      <c r="H174" s="7">
        <f ca="1">$AS$8*EXP(-'3.r(t)'!E172*$AS$22)</f>
        <v>0.97277770254925533</v>
      </c>
      <c r="I174" s="7">
        <v>1</v>
      </c>
      <c r="J174" s="7"/>
      <c r="K174" s="7">
        <v>166</v>
      </c>
      <c r="L174" s="7">
        <f>$AT$7*EXP(-'3.r(t)'!D172*$AT$21)</f>
        <v>0.93311670519824419</v>
      </c>
      <c r="M174" s="7">
        <f ca="1">$AT$8*EXP(-'3.r(t)'!E172*$AT$22)</f>
        <v>0.94585073966086697</v>
      </c>
      <c r="N174" s="7">
        <f ca="1">$AT$9*EXP(-'3.r(t)'!F172*$AT$23)</f>
        <v>0.96957514145040424</v>
      </c>
      <c r="O174" s="7">
        <v>1</v>
      </c>
      <c r="P174" s="7"/>
      <c r="Q174" s="7">
        <v>166</v>
      </c>
      <c r="R174" s="7">
        <f>$AU$7*EXP(-'3.r(t)'!D172*$AU$21)</f>
        <v>0.91099305977534117</v>
      </c>
      <c r="S174" s="7">
        <f ca="1">$AU$8*EXP(-'3.r(t)'!E172*$AU$22)</f>
        <v>0.9192497398563132</v>
      </c>
      <c r="T174" s="7">
        <f ca="1">$AU$9*EXP(-'3.r(t)'!F172*$AU$23)</f>
        <v>0.93964150522833056</v>
      </c>
      <c r="U174" s="7">
        <f ca="1">$AU$10*EXP(-'3.r(t)'!G172*$AU$24)</f>
        <v>0.96932041053022899</v>
      </c>
      <c r="V174" s="7">
        <v>1</v>
      </c>
      <c r="W174" s="7"/>
      <c r="X174" s="7">
        <v>166</v>
      </c>
      <c r="Y174" s="7">
        <f>$AV$7*EXP(-'3.r(t)'!D172*$AV$21)</f>
        <v>0.88900715067201674</v>
      </c>
      <c r="Z174" s="7">
        <f ca="1">$AV$8*EXP(-'3.r(t)'!E172*$AV$22)</f>
        <v>0.89300285079733399</v>
      </c>
      <c r="AA174" s="7">
        <f ca="1">$AV$9*EXP(-'3.r(t)'!F172*$AV$23)</f>
        <v>0.91022481929257726</v>
      </c>
      <c r="AB174" s="7">
        <f ca="1">$AV$10*EXP(-'3.r(t)'!G172*$AV$24)</f>
        <v>0.93915617180525657</v>
      </c>
      <c r="AC174" s="7">
        <f ca="1">$AV$11*EXP(-'3.r(t)'!H172*$AV$25)</f>
        <v>0.97149833192963553</v>
      </c>
      <c r="AD174" s="7">
        <v>1</v>
      </c>
      <c r="AE174" s="7"/>
      <c r="AF174" s="7">
        <v>166</v>
      </c>
      <c r="AG174" s="7">
        <f>$AW$7*EXP(-'3.r(t)'!D172*$AW$21)</f>
        <v>0.86718755429225491</v>
      </c>
      <c r="AH174" s="7">
        <f ca="1">$AW$8*EXP(-'3.r(t)'!E172*$AW$22)</f>
        <v>0.86713578937056246</v>
      </c>
      <c r="AI174" s="7">
        <f ca="1">$AW$9*EXP(-'3.r(t)'!F172*$AW$23)</f>
        <v>0.88134801552014441</v>
      </c>
      <c r="AJ174" s="7">
        <f ca="1">$AW$10*EXP(-'3.r(t)'!G172*$AW$24)</f>
        <v>0.90953180926977062</v>
      </c>
      <c r="AK174" s="7">
        <f ca="1">$AW$11*EXP(-'3.r(t)'!H172*$AW$25)</f>
        <v>0.94338957906278631</v>
      </c>
      <c r="AL174" s="7">
        <f ca="1">$AW$12*EXP(-'3.r(t)'!I172*$AW$26)</f>
        <v>0.97041694447299365</v>
      </c>
      <c r="AM174" s="7">
        <v>1</v>
      </c>
      <c r="AN174" s="7"/>
    </row>
    <row r="175" spans="2:40">
      <c r="B175" s="7">
        <v>167</v>
      </c>
      <c r="C175" s="7">
        <f>$AR$7*EXP(-'3.r(t)'!D173*$AR$21)</f>
        <v>0.97765346695821032</v>
      </c>
      <c r="D175" s="7">
        <v>1</v>
      </c>
      <c r="E175" s="7"/>
      <c r="F175" s="7">
        <v>167</v>
      </c>
      <c r="G175" s="48">
        <f>$AS$7*EXP(-'3.r(t)'!D173*$AS$21)</f>
        <v>0.9553476245219803</v>
      </c>
      <c r="H175" s="7">
        <f ca="1">$AS$8*EXP(-'3.r(t)'!E173*$AS$22)</f>
        <v>0.97460101397488119</v>
      </c>
      <c r="I175" s="7">
        <v>1</v>
      </c>
      <c r="J175" s="7"/>
      <c r="K175" s="7">
        <v>167</v>
      </c>
      <c r="L175" s="7">
        <f>$AT$7*EXP(-'3.r(t)'!D173*$AT$21)</f>
        <v>0.93311670519824419</v>
      </c>
      <c r="M175" s="7">
        <f ca="1">$AT$8*EXP(-'3.r(t)'!E173*$AT$22)</f>
        <v>0.94939974510560776</v>
      </c>
      <c r="N175" s="7">
        <f ca="1">$AT$9*EXP(-'3.r(t)'!F173*$AT$23)</f>
        <v>0.97445912344785535</v>
      </c>
      <c r="O175" s="7">
        <v>1</v>
      </c>
      <c r="P175" s="7"/>
      <c r="Q175" s="7">
        <v>167</v>
      </c>
      <c r="R175" s="7">
        <f>$AU$7*EXP(-'3.r(t)'!D173*$AU$21)</f>
        <v>0.91099305977534117</v>
      </c>
      <c r="S175" s="7">
        <f ca="1">$AU$8*EXP(-'3.r(t)'!E173*$AU$22)</f>
        <v>0.92442838050041642</v>
      </c>
      <c r="T175" s="7">
        <f ca="1">$AU$9*EXP(-'3.r(t)'!F173*$AU$23)</f>
        <v>0.94913174570279235</v>
      </c>
      <c r="U175" s="7">
        <f ca="1">$AU$10*EXP(-'3.r(t)'!G173*$AU$24)</f>
        <v>0.97438230529227665</v>
      </c>
      <c r="V175" s="7">
        <v>1</v>
      </c>
      <c r="W175" s="7"/>
      <c r="X175" s="7">
        <v>167</v>
      </c>
      <c r="Y175" s="7">
        <f>$AV$7*EXP(-'3.r(t)'!D173*$AV$21)</f>
        <v>0.88900715067201674</v>
      </c>
      <c r="Z175" s="7">
        <f ca="1">$AV$8*EXP(-'3.r(t)'!E173*$AV$22)</f>
        <v>0.89971684422433917</v>
      </c>
      <c r="AA175" s="7">
        <f ca="1">$AV$9*EXP(-'3.r(t)'!F173*$AV$23)</f>
        <v>0.92404928383225993</v>
      </c>
      <c r="AB175" s="7">
        <f ca="1">$AV$10*EXP(-'3.r(t)'!G173*$AV$24)</f>
        <v>0.94899053073810158</v>
      </c>
      <c r="AC175" s="7">
        <f ca="1">$AV$11*EXP(-'3.r(t)'!H173*$AV$25)</f>
        <v>0.97610989071454091</v>
      </c>
      <c r="AD175" s="7">
        <v>1</v>
      </c>
      <c r="AE175" s="7"/>
      <c r="AF175" s="7">
        <v>167</v>
      </c>
      <c r="AG175" s="7">
        <f>$AW$7*EXP(-'3.r(t)'!D173*$AW$21)</f>
        <v>0.86718755429225491</v>
      </c>
      <c r="AH175" s="7">
        <f ca="1">$AW$8*EXP(-'3.r(t)'!E173*$AW$22)</f>
        <v>0.87529282553030219</v>
      </c>
      <c r="AI175" s="7">
        <f ca="1">$AW$9*EXP(-'3.r(t)'!F173*$AW$23)</f>
        <v>0.89924088887244347</v>
      </c>
      <c r="AJ175" s="7">
        <f ca="1">$AW$10*EXP(-'3.r(t)'!G173*$AW$24)</f>
        <v>0.92385536557642856</v>
      </c>
      <c r="AK175" s="7">
        <f ca="1">$AW$11*EXP(-'3.r(t)'!H173*$AW$25)</f>
        <v>0.95236709747751802</v>
      </c>
      <c r="AL175" s="7">
        <f ca="1">$AW$12*EXP(-'3.r(t)'!I173*$AW$26)</f>
        <v>0.97715656261609041</v>
      </c>
      <c r="AM175" s="7">
        <v>1</v>
      </c>
      <c r="AN175" s="7"/>
    </row>
    <row r="176" spans="2:40">
      <c r="B176" s="7">
        <v>168</v>
      </c>
      <c r="C176" s="7">
        <f>$AR$7*EXP(-'3.r(t)'!D174*$AR$21)</f>
        <v>0.97765346695821032</v>
      </c>
      <c r="D176" s="7">
        <v>1</v>
      </c>
      <c r="E176" s="7"/>
      <c r="F176" s="7">
        <v>168</v>
      </c>
      <c r="G176" s="48">
        <f>$AS$7*EXP(-'3.r(t)'!D174*$AS$21)</f>
        <v>0.9553476245219803</v>
      </c>
      <c r="H176" s="7">
        <f ca="1">$AS$8*EXP(-'3.r(t)'!E174*$AS$22)</f>
        <v>0.97811143931491951</v>
      </c>
      <c r="I176" s="7">
        <v>1</v>
      </c>
      <c r="J176" s="7"/>
      <c r="K176" s="7">
        <v>168</v>
      </c>
      <c r="L176" s="7">
        <f>$AT$7*EXP(-'3.r(t)'!D174*$AT$21)</f>
        <v>0.93311670519824419</v>
      </c>
      <c r="M176" s="7">
        <f ca="1">$AT$8*EXP(-'3.r(t)'!E174*$AT$22)</f>
        <v>0.95625136765226404</v>
      </c>
      <c r="N176" s="7">
        <f ca="1">$AT$9*EXP(-'3.r(t)'!F174*$AT$23)</f>
        <v>0.981070498467706</v>
      </c>
      <c r="O176" s="7">
        <v>1</v>
      </c>
      <c r="P176" s="7"/>
      <c r="Q176" s="7">
        <v>168</v>
      </c>
      <c r="R176" s="7">
        <f>$AU$7*EXP(-'3.r(t)'!D174*$AU$21)</f>
        <v>0.91099305977534117</v>
      </c>
      <c r="S176" s="7">
        <f ca="1">$AU$8*EXP(-'3.r(t)'!E174*$AU$22)</f>
        <v>0.93445352768538048</v>
      </c>
      <c r="T176" s="7">
        <f ca="1">$AU$9*EXP(-'3.r(t)'!F174*$AU$23)</f>
        <v>0.96205451046684165</v>
      </c>
      <c r="U176" s="7">
        <f ca="1">$AU$10*EXP(-'3.r(t)'!G174*$AU$24)</f>
        <v>0.9824485284644362</v>
      </c>
      <c r="V176" s="7">
        <v>1</v>
      </c>
      <c r="W176" s="7"/>
      <c r="X176" s="7">
        <v>168</v>
      </c>
      <c r="Y176" s="7">
        <f>$AV$7*EXP(-'3.r(t)'!D174*$AV$21)</f>
        <v>0.88900715067201674</v>
      </c>
      <c r="Z176" s="7">
        <f ca="1">$AV$8*EXP(-'3.r(t)'!E174*$AV$22)</f>
        <v>0.91274984593761788</v>
      </c>
      <c r="AA176" s="7">
        <f ca="1">$AV$9*EXP(-'3.r(t)'!F174*$AV$23)</f>
        <v>0.94298526290782059</v>
      </c>
      <c r="AB176" s="7">
        <f ca="1">$AV$10*EXP(-'3.r(t)'!G174*$AV$24)</f>
        <v>0.96476761039812975</v>
      </c>
      <c r="AC176" s="7">
        <f ca="1">$AV$11*EXP(-'3.r(t)'!H174*$AV$25)</f>
        <v>0.98040743396072527</v>
      </c>
      <c r="AD176" s="7">
        <v>1</v>
      </c>
      <c r="AE176" s="7"/>
      <c r="AF176" s="7">
        <v>168</v>
      </c>
      <c r="AG176" s="7">
        <f>$AW$7*EXP(-'3.r(t)'!D174*$AW$21)</f>
        <v>0.86718755429225491</v>
      </c>
      <c r="AH176" s="7">
        <f ca="1">$AW$8*EXP(-'3.r(t)'!E174*$AW$22)</f>
        <v>0.89117042447213313</v>
      </c>
      <c r="AI176" s="7">
        <f ca="1">$AW$9*EXP(-'3.r(t)'!F174*$AW$23)</f>
        <v>0.92389455439775847</v>
      </c>
      <c r="AJ176" s="7">
        <f ca="1">$AW$10*EXP(-'3.r(t)'!G174*$AW$24)</f>
        <v>0.94698966446891086</v>
      </c>
      <c r="AK176" s="7">
        <f ca="1">$AW$11*EXP(-'3.r(t)'!H174*$AW$25)</f>
        <v>0.96077157866992602</v>
      </c>
      <c r="AL176" s="7">
        <f ca="1">$AW$12*EXP(-'3.r(t)'!I174*$AW$26)</f>
        <v>0.97695308798477642</v>
      </c>
      <c r="AM176" s="7">
        <v>1</v>
      </c>
      <c r="AN176" s="7"/>
    </row>
    <row r="177" spans="2:40">
      <c r="B177" s="7">
        <v>169</v>
      </c>
      <c r="C177" s="7">
        <f>$AR$7*EXP(-'3.r(t)'!D175*$AR$21)</f>
        <v>0.97765346695821032</v>
      </c>
      <c r="D177" s="7">
        <v>1</v>
      </c>
      <c r="E177" s="7"/>
      <c r="F177" s="7">
        <v>169</v>
      </c>
      <c r="G177" s="48">
        <f>$AS$7*EXP(-'3.r(t)'!D175*$AS$21)</f>
        <v>0.9553476245219803</v>
      </c>
      <c r="H177" s="7">
        <f ca="1">$AS$8*EXP(-'3.r(t)'!E175*$AS$22)</f>
        <v>0.97739644050717578</v>
      </c>
      <c r="I177" s="7">
        <v>1</v>
      </c>
      <c r="J177" s="7"/>
      <c r="K177" s="7">
        <v>169</v>
      </c>
      <c r="L177" s="7">
        <f>$AT$7*EXP(-'3.r(t)'!D175*$AT$21)</f>
        <v>0.93311670519824419</v>
      </c>
      <c r="M177" s="7">
        <f ca="1">$AT$8*EXP(-'3.r(t)'!E175*$AT$22)</f>
        <v>0.95485384041479848</v>
      </c>
      <c r="N177" s="7">
        <f ca="1">$AT$9*EXP(-'3.r(t)'!F175*$AT$23)</f>
        <v>0.97410692466167004</v>
      </c>
      <c r="O177" s="7">
        <v>1</v>
      </c>
      <c r="P177" s="7"/>
      <c r="Q177" s="7">
        <v>169</v>
      </c>
      <c r="R177" s="7">
        <f>$AU$7*EXP(-'3.r(t)'!D175*$AU$21)</f>
        <v>0.91099305977534117</v>
      </c>
      <c r="S177" s="7">
        <f ca="1">$AU$8*EXP(-'3.r(t)'!E175*$AU$22)</f>
        <v>0.93240577061353525</v>
      </c>
      <c r="T177" s="7">
        <f ca="1">$AU$9*EXP(-'3.r(t)'!F175*$AU$23)</f>
        <v>0.94844578026666737</v>
      </c>
      <c r="U177" s="7">
        <f ca="1">$AU$10*EXP(-'3.r(t)'!G175*$AU$24)</f>
        <v>0.97891656019511963</v>
      </c>
      <c r="V177" s="7">
        <v>1</v>
      </c>
      <c r="W177" s="7"/>
      <c r="X177" s="7">
        <v>169</v>
      </c>
      <c r="Y177" s="7">
        <f>$AV$7*EXP(-'3.r(t)'!D175*$AV$21)</f>
        <v>0.88900715067201674</v>
      </c>
      <c r="Z177" s="7">
        <f ca="1">$AV$8*EXP(-'3.r(t)'!E175*$AV$22)</f>
        <v>0.9100838928270446</v>
      </c>
      <c r="AA177" s="7">
        <f ca="1">$AV$9*EXP(-'3.r(t)'!F175*$AV$23)</f>
        <v>0.92304770844926864</v>
      </c>
      <c r="AB177" s="7">
        <f ca="1">$AV$10*EXP(-'3.r(t)'!G175*$AV$24)</f>
        <v>0.95784327117448698</v>
      </c>
      <c r="AC177" s="7">
        <f ca="1">$AV$11*EXP(-'3.r(t)'!H175*$AV$25)</f>
        <v>0.97885449252923107</v>
      </c>
      <c r="AD177" s="7">
        <v>1</v>
      </c>
      <c r="AE177" s="7"/>
      <c r="AF177" s="7">
        <v>169</v>
      </c>
      <c r="AG177" s="7">
        <f>$AW$7*EXP(-'3.r(t)'!D175*$AW$21)</f>
        <v>0.86718755429225491</v>
      </c>
      <c r="AH177" s="7">
        <f ca="1">$AW$8*EXP(-'3.r(t)'!E175*$AW$22)</f>
        <v>0.88791795813051522</v>
      </c>
      <c r="AI177" s="7">
        <f ca="1">$AW$9*EXP(-'3.r(t)'!F175*$AW$23)</f>
        <v>0.89794154288775996</v>
      </c>
      <c r="AJ177" s="7">
        <f ca="1">$AW$10*EXP(-'3.r(t)'!G175*$AW$24)</f>
        <v>0.9368128647560221</v>
      </c>
      <c r="AK177" s="7">
        <f ca="1">$AW$11*EXP(-'3.r(t)'!H175*$AW$25)</f>
        <v>0.95773031179274937</v>
      </c>
      <c r="AL177" s="7">
        <f ca="1">$AW$12*EXP(-'3.r(t)'!I175*$AW$26)</f>
        <v>0.97824101438230415</v>
      </c>
      <c r="AM177" s="7">
        <v>1</v>
      </c>
      <c r="AN177" s="7"/>
    </row>
    <row r="178" spans="2:40">
      <c r="B178" s="7">
        <v>170</v>
      </c>
      <c r="C178" s="7">
        <f>$AR$7*EXP(-'3.r(t)'!D176*$AR$21)</f>
        <v>0.97765346695821032</v>
      </c>
      <c r="D178" s="7">
        <v>1</v>
      </c>
      <c r="E178" s="7"/>
      <c r="F178" s="7">
        <v>170</v>
      </c>
      <c r="G178" s="48">
        <f>$AS$7*EXP(-'3.r(t)'!D176*$AS$21)</f>
        <v>0.9553476245219803</v>
      </c>
      <c r="H178" s="7">
        <f ca="1">$AS$8*EXP(-'3.r(t)'!E176*$AS$22)</f>
        <v>0.97997933891095479</v>
      </c>
      <c r="I178" s="7">
        <v>1</v>
      </c>
      <c r="J178" s="7"/>
      <c r="K178" s="7">
        <v>170</v>
      </c>
      <c r="L178" s="7">
        <f>$AT$7*EXP(-'3.r(t)'!D176*$AT$21)</f>
        <v>0.93311670519824419</v>
      </c>
      <c r="M178" s="7">
        <f ca="1">$AT$8*EXP(-'3.r(t)'!E176*$AT$22)</f>
        <v>0.95990716188407355</v>
      </c>
      <c r="N178" s="7">
        <f ca="1">$AT$9*EXP(-'3.r(t)'!F176*$AT$23)</f>
        <v>0.97594624331550484</v>
      </c>
      <c r="O178" s="7">
        <v>1</v>
      </c>
      <c r="P178" s="7"/>
      <c r="Q178" s="7">
        <v>170</v>
      </c>
      <c r="R178" s="7">
        <f>$AU$7*EXP(-'3.r(t)'!D176*$AU$21)</f>
        <v>0.91099305977534117</v>
      </c>
      <c r="S178" s="7">
        <f ca="1">$AU$8*EXP(-'3.r(t)'!E176*$AU$22)</f>
        <v>0.93981733614522089</v>
      </c>
      <c r="T178" s="7">
        <f ca="1">$AU$9*EXP(-'3.r(t)'!F176*$AU$23)</f>
        <v>0.95203089183359191</v>
      </c>
      <c r="U178" s="7">
        <f ca="1">$AU$10*EXP(-'3.r(t)'!G176*$AU$24)</f>
        <v>0.97414177789948631</v>
      </c>
      <c r="V178" s="7">
        <v>1</v>
      </c>
      <c r="W178" s="7"/>
      <c r="X178" s="7">
        <v>170</v>
      </c>
      <c r="Y178" s="7">
        <f>$AV$7*EXP(-'3.r(t)'!D176*$AV$21)</f>
        <v>0.88900715067201674</v>
      </c>
      <c r="Z178" s="7">
        <f ca="1">$AV$8*EXP(-'3.r(t)'!E176*$AV$22)</f>
        <v>0.91974215811846916</v>
      </c>
      <c r="AA178" s="7">
        <f ca="1">$AV$9*EXP(-'3.r(t)'!F176*$AV$23)</f>
        <v>0.928286311953466</v>
      </c>
      <c r="AB178" s="7">
        <f ca="1">$AV$10*EXP(-'3.r(t)'!G176*$AV$24)</f>
        <v>0.94852206975723252</v>
      </c>
      <c r="AC178" s="7">
        <f ca="1">$AV$11*EXP(-'3.r(t)'!H176*$AV$25)</f>
        <v>0.97523249270940104</v>
      </c>
      <c r="AD178" s="7">
        <v>1</v>
      </c>
      <c r="AE178" s="7"/>
      <c r="AF178" s="7">
        <v>170</v>
      </c>
      <c r="AG178" s="7">
        <f>$AW$7*EXP(-'3.r(t)'!D176*$AW$21)</f>
        <v>0.86718755429225491</v>
      </c>
      <c r="AH178" s="7">
        <f ca="1">$AW$8*EXP(-'3.r(t)'!E176*$AW$22)</f>
        <v>0.89971232880009455</v>
      </c>
      <c r="AI178" s="7">
        <f ca="1">$AW$9*EXP(-'3.r(t)'!F176*$AW$23)</f>
        <v>0.9047427854743364</v>
      </c>
      <c r="AJ178" s="7">
        <f ca="1">$AW$10*EXP(-'3.r(t)'!G176*$AW$24)</f>
        <v>0.92317137017045403</v>
      </c>
      <c r="AK178" s="7">
        <f ca="1">$AW$11*EXP(-'3.r(t)'!H176*$AW$25)</f>
        <v>0.95065575442403305</v>
      </c>
      <c r="AL178" s="7">
        <f ca="1">$AW$12*EXP(-'3.r(t)'!I176*$AW$26)</f>
        <v>0.97636283985684347</v>
      </c>
      <c r="AM178" s="7">
        <v>1</v>
      </c>
      <c r="AN178" s="7"/>
    </row>
    <row r="179" spans="2:40">
      <c r="B179" s="7">
        <v>171</v>
      </c>
      <c r="C179" s="7">
        <f>$AR$7*EXP(-'3.r(t)'!D177*$AR$21)</f>
        <v>0.97765346695821032</v>
      </c>
      <c r="D179" s="7">
        <v>1</v>
      </c>
      <c r="E179" s="7"/>
      <c r="F179" s="7">
        <v>171</v>
      </c>
      <c r="G179" s="48">
        <f>$AS$7*EXP(-'3.r(t)'!D177*$AS$21)</f>
        <v>0.9553476245219803</v>
      </c>
      <c r="H179" s="7">
        <f ca="1">$AS$8*EXP(-'3.r(t)'!E177*$AS$22)</f>
        <v>0.97908770760058572</v>
      </c>
      <c r="I179" s="7">
        <v>1</v>
      </c>
      <c r="J179" s="7"/>
      <c r="K179" s="7">
        <v>171</v>
      </c>
      <c r="L179" s="7">
        <f>$AT$7*EXP(-'3.r(t)'!D177*$AT$21)</f>
        <v>0.93311670519824419</v>
      </c>
      <c r="M179" s="7">
        <f ca="1">$AT$8*EXP(-'3.r(t)'!E177*$AT$22)</f>
        <v>0.95816121911737162</v>
      </c>
      <c r="N179" s="7">
        <f ca="1">$AT$9*EXP(-'3.r(t)'!F177*$AT$23)</f>
        <v>0.97704925814570032</v>
      </c>
      <c r="O179" s="7">
        <v>1</v>
      </c>
      <c r="P179" s="7"/>
      <c r="Q179" s="7">
        <v>171</v>
      </c>
      <c r="R179" s="7">
        <f>$AU$7*EXP(-'3.r(t)'!D177*$AU$21)</f>
        <v>0.91099305977534117</v>
      </c>
      <c r="S179" s="7">
        <f ca="1">$AU$8*EXP(-'3.r(t)'!E177*$AU$22)</f>
        <v>0.93725439934886767</v>
      </c>
      <c r="T179" s="7">
        <f ca="1">$AU$9*EXP(-'3.r(t)'!F177*$AU$23)</f>
        <v>0.9541840792940286</v>
      </c>
      <c r="U179" s="7">
        <f ca="1">$AU$10*EXP(-'3.r(t)'!G177*$AU$24)</f>
        <v>0.97682219424594141</v>
      </c>
      <c r="V179" s="7">
        <v>1</v>
      </c>
      <c r="W179" s="7"/>
      <c r="X179" s="7">
        <v>171</v>
      </c>
      <c r="Y179" s="7">
        <f>$AV$7*EXP(-'3.r(t)'!D177*$AV$21)</f>
        <v>0.88900715067201674</v>
      </c>
      <c r="Z179" s="7">
        <f ca="1">$AV$8*EXP(-'3.r(t)'!E177*$AV$22)</f>
        <v>0.91639942488643267</v>
      </c>
      <c r="AA179" s="7">
        <f ca="1">$AV$9*EXP(-'3.r(t)'!F177*$AV$23)</f>
        <v>0.93143731921209283</v>
      </c>
      <c r="AB179" s="7">
        <f ca="1">$AV$10*EXP(-'3.r(t)'!G177*$AV$24)</f>
        <v>0.95374909513959727</v>
      </c>
      <c r="AC179" s="7">
        <f ca="1">$AV$11*EXP(-'3.r(t)'!H177*$AV$25)</f>
        <v>0.97862575533914398</v>
      </c>
      <c r="AD179" s="7">
        <v>1</v>
      </c>
      <c r="AE179" s="7"/>
      <c r="AF179" s="7">
        <v>171</v>
      </c>
      <c r="AG179" s="7">
        <f>$AW$7*EXP(-'3.r(t)'!D177*$AW$21)</f>
        <v>0.86718755429225491</v>
      </c>
      <c r="AH179" s="7">
        <f ca="1">$AW$8*EXP(-'3.r(t)'!E177*$AW$22)</f>
        <v>0.89562676699998645</v>
      </c>
      <c r="AI179" s="7">
        <f ca="1">$AW$9*EXP(-'3.r(t)'!F177*$AW$23)</f>
        <v>0.90883988737142929</v>
      </c>
      <c r="AJ179" s="7">
        <f ca="1">$AW$10*EXP(-'3.r(t)'!G177*$AW$24)</f>
        <v>0.93081286129564533</v>
      </c>
      <c r="AK179" s="7">
        <f ca="1">$AW$11*EXP(-'3.r(t)'!H177*$AW$25)</f>
        <v>0.95728276224119668</v>
      </c>
      <c r="AL179" s="7">
        <f ca="1">$AW$12*EXP(-'3.r(t)'!I177*$AW$26)</f>
        <v>0.98090403275449112</v>
      </c>
      <c r="AM179" s="7">
        <v>1</v>
      </c>
      <c r="AN179" s="7"/>
    </row>
    <row r="180" spans="2:40">
      <c r="B180" s="7">
        <v>172</v>
      </c>
      <c r="C180" s="7">
        <f>$AR$7*EXP(-'3.r(t)'!D178*$AR$21)</f>
        <v>0.97765346695821032</v>
      </c>
      <c r="D180" s="7">
        <v>1</v>
      </c>
      <c r="E180" s="7"/>
      <c r="F180" s="7">
        <v>172</v>
      </c>
      <c r="G180" s="48">
        <f>$AS$7*EXP(-'3.r(t)'!D178*$AS$21)</f>
        <v>0.9553476245219803</v>
      </c>
      <c r="H180" s="7">
        <f ca="1">$AS$8*EXP(-'3.r(t)'!E178*$AS$22)</f>
        <v>0.97919021064890122</v>
      </c>
      <c r="I180" s="7">
        <v>1</v>
      </c>
      <c r="J180" s="7"/>
      <c r="K180" s="7">
        <v>172</v>
      </c>
      <c r="L180" s="7">
        <f>$AT$7*EXP(-'3.r(t)'!D178*$AT$21)</f>
        <v>0.93311670519824419</v>
      </c>
      <c r="M180" s="7">
        <f ca="1">$AT$8*EXP(-'3.r(t)'!E178*$AT$22)</f>
        <v>0.95836185402704943</v>
      </c>
      <c r="N180" s="7">
        <f ca="1">$AT$9*EXP(-'3.r(t)'!F178*$AT$23)</f>
        <v>0.97607678145558152</v>
      </c>
      <c r="O180" s="7">
        <v>1</v>
      </c>
      <c r="P180" s="7"/>
      <c r="Q180" s="7">
        <v>172</v>
      </c>
      <c r="R180" s="7">
        <f>$AU$7*EXP(-'3.r(t)'!D178*$AU$21)</f>
        <v>0.91099305977534117</v>
      </c>
      <c r="S180" s="7">
        <f ca="1">$AU$8*EXP(-'3.r(t)'!E178*$AU$22)</f>
        <v>0.93754880042407773</v>
      </c>
      <c r="T180" s="7">
        <f ca="1">$AU$9*EXP(-'3.r(t)'!F178*$AU$23)</f>
        <v>0.95228558752833248</v>
      </c>
      <c r="U180" s="7">
        <f ca="1">$AU$10*EXP(-'3.r(t)'!G178*$AU$24)</f>
        <v>0.9740522863706379</v>
      </c>
      <c r="V180" s="7">
        <v>1</v>
      </c>
      <c r="W180" s="7"/>
      <c r="X180" s="7">
        <v>172</v>
      </c>
      <c r="Y180" s="7">
        <f>$AV$7*EXP(-'3.r(t)'!D178*$AV$21)</f>
        <v>0.88900715067201674</v>
      </c>
      <c r="Z180" s="7">
        <f ca="1">$AV$8*EXP(-'3.r(t)'!E178*$AV$22)</f>
        <v>0.91678324540036127</v>
      </c>
      <c r="AA180" s="7">
        <f ca="1">$AV$9*EXP(-'3.r(t)'!F178*$AV$23)</f>
        <v>0.92865885187017283</v>
      </c>
      <c r="AB180" s="7">
        <f ca="1">$AV$10*EXP(-'3.r(t)'!G178*$AV$24)</f>
        <v>0.94834780191852186</v>
      </c>
      <c r="AC180" s="7">
        <f ca="1">$AV$11*EXP(-'3.r(t)'!H178*$AV$25)</f>
        <v>0.9749726643613208</v>
      </c>
      <c r="AD180" s="7">
        <v>1</v>
      </c>
      <c r="AE180" s="7"/>
      <c r="AF180" s="7">
        <v>172</v>
      </c>
      <c r="AG180" s="7">
        <f>$AW$7*EXP(-'3.r(t)'!D178*$AW$21)</f>
        <v>0.86718755429225491</v>
      </c>
      <c r="AH180" s="7">
        <f ca="1">$AW$8*EXP(-'3.r(t)'!E178*$AW$22)</f>
        <v>0.89609569178339854</v>
      </c>
      <c r="AI180" s="7">
        <f ca="1">$AW$9*EXP(-'3.r(t)'!F178*$AW$23)</f>
        <v>0.90522693975580859</v>
      </c>
      <c r="AJ180" s="7">
        <f ca="1">$AW$10*EXP(-'3.r(t)'!G178*$AW$24)</f>
        <v>0.92291696645924093</v>
      </c>
      <c r="AK180" s="7">
        <f ca="1">$AW$11*EXP(-'3.r(t)'!H178*$AW$25)</f>
        <v>0.95014926102601327</v>
      </c>
      <c r="AL180" s="7">
        <f ca="1">$AW$12*EXP(-'3.r(t)'!I178*$AW$26)</f>
        <v>0.9724422465352035</v>
      </c>
      <c r="AM180" s="7">
        <v>1</v>
      </c>
      <c r="AN180" s="7"/>
    </row>
    <row r="181" spans="2:40">
      <c r="B181" s="7">
        <v>173</v>
      </c>
      <c r="C181" s="7">
        <f>$AR$7*EXP(-'3.r(t)'!D179*$AR$21)</f>
        <v>0.97765346695821032</v>
      </c>
      <c r="D181" s="7">
        <v>1</v>
      </c>
      <c r="E181" s="7"/>
      <c r="F181" s="7">
        <v>173</v>
      </c>
      <c r="G181" s="48">
        <f>$AS$7*EXP(-'3.r(t)'!D179*$AS$21)</f>
        <v>0.9553476245219803</v>
      </c>
      <c r="H181" s="7">
        <f ca="1">$AS$8*EXP(-'3.r(t)'!E179*$AS$22)</f>
        <v>0.97715567615532384</v>
      </c>
      <c r="I181" s="7">
        <v>1</v>
      </c>
      <c r="J181" s="7"/>
      <c r="K181" s="7">
        <v>173</v>
      </c>
      <c r="L181" s="7">
        <f>$AT$7*EXP(-'3.r(t)'!D179*$AT$21)</f>
        <v>0.93311670519824419</v>
      </c>
      <c r="M181" s="7">
        <f ca="1">$AT$8*EXP(-'3.r(t)'!E179*$AT$22)</f>
        <v>0.95438347559410464</v>
      </c>
      <c r="N181" s="7">
        <f ca="1">$AT$9*EXP(-'3.r(t)'!F179*$AT$23)</f>
        <v>0.97315798684663046</v>
      </c>
      <c r="O181" s="7">
        <v>1</v>
      </c>
      <c r="P181" s="7"/>
      <c r="Q181" s="7">
        <v>173</v>
      </c>
      <c r="R181" s="7">
        <f>$AU$7*EXP(-'3.r(t)'!D179*$AU$21)</f>
        <v>0.91099305977534117</v>
      </c>
      <c r="S181" s="7">
        <f ca="1">$AU$8*EXP(-'3.r(t)'!E179*$AU$22)</f>
        <v>0.9317168952490481</v>
      </c>
      <c r="T181" s="7">
        <f ca="1">$AU$9*EXP(-'3.r(t)'!F179*$AU$23)</f>
        <v>0.94659880091979753</v>
      </c>
      <c r="U181" s="7">
        <f ca="1">$AU$10*EXP(-'3.r(t)'!G179*$AU$24)</f>
        <v>0.97011497906984012</v>
      </c>
      <c r="V181" s="7">
        <v>1</v>
      </c>
      <c r="W181" s="7"/>
      <c r="X181" s="7">
        <v>173</v>
      </c>
      <c r="Y181" s="7">
        <f>$AV$7*EXP(-'3.r(t)'!D179*$AV$21)</f>
        <v>0.88900715067201674</v>
      </c>
      <c r="Z181" s="7">
        <f ca="1">$AV$8*EXP(-'3.r(t)'!E179*$AV$22)</f>
        <v>0.90918749173590685</v>
      </c>
      <c r="AA181" s="7">
        <f ca="1">$AV$9*EXP(-'3.r(t)'!F179*$AV$23)</f>
        <v>0.92035274186698124</v>
      </c>
      <c r="AB181" s="7">
        <f ca="1">$AV$10*EXP(-'3.r(t)'!G179*$AV$24)</f>
        <v>0.94069648765141545</v>
      </c>
      <c r="AC181" s="7">
        <f ca="1">$AV$11*EXP(-'3.r(t)'!H179*$AV$25)</f>
        <v>0.96606310221482727</v>
      </c>
      <c r="AD181" s="7">
        <v>1</v>
      </c>
      <c r="AE181" s="7"/>
      <c r="AF181" s="7">
        <v>173</v>
      </c>
      <c r="AG181" s="7">
        <f>$AW$7*EXP(-'3.r(t)'!D179*$AW$21)</f>
        <v>0.86718755429225491</v>
      </c>
      <c r="AH181" s="7">
        <f ca="1">$AW$8*EXP(-'3.r(t)'!E179*$AW$22)</f>
        <v>0.88682488224332168</v>
      </c>
      <c r="AI181" s="7">
        <f ca="1">$AW$9*EXP(-'3.r(t)'!F179*$AW$23)</f>
        <v>0.8944476907807396</v>
      </c>
      <c r="AJ181" s="7">
        <f ca="1">$AW$10*EXP(-'3.r(t)'!G179*$AW$24)</f>
        <v>0.91177031961061328</v>
      </c>
      <c r="AK181" s="7">
        <f ca="1">$AW$11*EXP(-'3.r(t)'!H179*$AW$25)</f>
        <v>0.93286316761160737</v>
      </c>
      <c r="AL181" s="7">
        <f ca="1">$AW$12*EXP(-'3.r(t)'!I179*$AW$26)</f>
        <v>0.96610980537814128</v>
      </c>
      <c r="AM181" s="7">
        <v>1</v>
      </c>
      <c r="AN181" s="7"/>
    </row>
    <row r="182" spans="2:40">
      <c r="B182" s="7">
        <v>174</v>
      </c>
      <c r="C182" s="7">
        <f>$AR$7*EXP(-'3.r(t)'!D180*$AR$21)</f>
        <v>0.97765346695821032</v>
      </c>
      <c r="D182" s="7">
        <v>1</v>
      </c>
      <c r="E182" s="7"/>
      <c r="F182" s="7">
        <v>174</v>
      </c>
      <c r="G182" s="48">
        <f>$AS$7*EXP(-'3.r(t)'!D180*$AS$21)</f>
        <v>0.9553476245219803</v>
      </c>
      <c r="H182" s="7">
        <f ca="1">$AS$8*EXP(-'3.r(t)'!E180*$AS$22)</f>
        <v>0.97363015422241472</v>
      </c>
      <c r="I182" s="7">
        <v>1</v>
      </c>
      <c r="J182" s="7"/>
      <c r="K182" s="7">
        <v>174</v>
      </c>
      <c r="L182" s="7">
        <f>$AT$7*EXP(-'3.r(t)'!D180*$AT$21)</f>
        <v>0.93311670519824419</v>
      </c>
      <c r="M182" s="7">
        <f ca="1">$AT$8*EXP(-'3.r(t)'!E180*$AT$22)</f>
        <v>0.94750917677975377</v>
      </c>
      <c r="N182" s="7">
        <f ca="1">$AT$9*EXP(-'3.r(t)'!F180*$AT$23)</f>
        <v>0.97744263247144481</v>
      </c>
      <c r="O182" s="7">
        <v>1</v>
      </c>
      <c r="P182" s="7"/>
      <c r="Q182" s="7">
        <v>174</v>
      </c>
      <c r="R182" s="7">
        <f>$AU$7*EXP(-'3.r(t)'!D180*$AU$21)</f>
        <v>0.91099305977534117</v>
      </c>
      <c r="S182" s="7">
        <f ca="1">$AU$8*EXP(-'3.r(t)'!E180*$AU$22)</f>
        <v>0.92166849246123894</v>
      </c>
      <c r="T182" s="7">
        <f ca="1">$AU$9*EXP(-'3.r(t)'!F180*$AU$23)</f>
        <v>0.95495257090630903</v>
      </c>
      <c r="U182" s="7">
        <f ca="1">$AU$10*EXP(-'3.r(t)'!G180*$AU$24)</f>
        <v>0.98098021091904264</v>
      </c>
      <c r="V182" s="7">
        <v>1</v>
      </c>
      <c r="W182" s="7"/>
      <c r="X182" s="7">
        <v>174</v>
      </c>
      <c r="Y182" s="7">
        <f>$AV$7*EXP(-'3.r(t)'!D180*$AV$21)</f>
        <v>0.88900715067201674</v>
      </c>
      <c r="Z182" s="7">
        <f ca="1">$AV$8*EXP(-'3.r(t)'!E180*$AV$22)</f>
        <v>0.89613714542173473</v>
      </c>
      <c r="AA182" s="7">
        <f ca="1">$AV$9*EXP(-'3.r(t)'!F180*$AV$23)</f>
        <v>0.93256280310222706</v>
      </c>
      <c r="AB182" s="7">
        <f ca="1">$AV$10*EXP(-'3.r(t)'!G180*$AV$24)</f>
        <v>0.96188598028621752</v>
      </c>
      <c r="AC182" s="7">
        <f ca="1">$AV$11*EXP(-'3.r(t)'!H180*$AV$25)</f>
        <v>0.98202829843374795</v>
      </c>
      <c r="AD182" s="7">
        <v>1</v>
      </c>
      <c r="AE182" s="7"/>
      <c r="AF182" s="7">
        <v>174</v>
      </c>
      <c r="AG182" s="7">
        <f>$AW$7*EXP(-'3.r(t)'!D180*$AW$21)</f>
        <v>0.86718755429225491</v>
      </c>
      <c r="AH182" s="7">
        <f ca="1">$AW$8*EXP(-'3.r(t)'!E180*$AW$22)</f>
        <v>0.87094183881581999</v>
      </c>
      <c r="AI182" s="7">
        <f ca="1">$AW$9*EXP(-'3.r(t)'!F180*$AW$23)</f>
        <v>0.91030442047904325</v>
      </c>
      <c r="AJ182" s="7">
        <f ca="1">$AW$10*EXP(-'3.r(t)'!G180*$AW$24)</f>
        <v>0.94275003951612746</v>
      </c>
      <c r="AK182" s="7">
        <f ca="1">$AW$11*EXP(-'3.r(t)'!H180*$AW$25)</f>
        <v>0.96395100745891527</v>
      </c>
      <c r="AL182" s="7">
        <f ca="1">$AW$12*EXP(-'3.r(t)'!I180*$AW$26)</f>
        <v>0.97921003334404522</v>
      </c>
      <c r="AM182" s="7">
        <v>1</v>
      </c>
      <c r="AN182" s="7"/>
    </row>
    <row r="183" spans="2:40">
      <c r="B183" s="7">
        <v>175</v>
      </c>
      <c r="C183" s="7">
        <f>$AR$7*EXP(-'3.r(t)'!D181*$AR$21)</f>
        <v>0.97765346695821032</v>
      </c>
      <c r="D183" s="7">
        <v>1</v>
      </c>
      <c r="E183" s="7"/>
      <c r="F183" s="7">
        <v>175</v>
      </c>
      <c r="G183" s="48">
        <f>$AS$7*EXP(-'3.r(t)'!D181*$AS$21)</f>
        <v>0.9553476245219803</v>
      </c>
      <c r="H183" s="7">
        <f ca="1">$AS$8*EXP(-'3.r(t)'!E181*$AS$22)</f>
        <v>0.97876706386068735</v>
      </c>
      <c r="I183" s="7">
        <v>1</v>
      </c>
      <c r="J183" s="7"/>
      <c r="K183" s="7">
        <v>175</v>
      </c>
      <c r="L183" s="7">
        <f>$AT$7*EXP(-'3.r(t)'!D181*$AT$21)</f>
        <v>0.93311670519824419</v>
      </c>
      <c r="M183" s="7">
        <f ca="1">$AT$8*EXP(-'3.r(t)'!E181*$AT$22)</f>
        <v>0.95753374093158095</v>
      </c>
      <c r="N183" s="7">
        <f ca="1">$AT$9*EXP(-'3.r(t)'!F181*$AT$23)</f>
        <v>0.97840583831211458</v>
      </c>
      <c r="O183" s="7">
        <v>1</v>
      </c>
      <c r="P183" s="7"/>
      <c r="Q183" s="7">
        <v>175</v>
      </c>
      <c r="R183" s="7">
        <f>$AU$7*EXP(-'3.r(t)'!D181*$AU$21)</f>
        <v>0.91099305977534117</v>
      </c>
      <c r="S183" s="7">
        <f ca="1">$AU$8*EXP(-'3.r(t)'!E181*$AU$22)</f>
        <v>0.93633386992736189</v>
      </c>
      <c r="T183" s="7">
        <f ca="1">$AU$9*EXP(-'3.r(t)'!F181*$AU$23)</f>
        <v>0.95683558495238241</v>
      </c>
      <c r="U183" s="7">
        <f ca="1">$AU$10*EXP(-'3.r(t)'!G181*$AU$24)</f>
        <v>0.98004663083399224</v>
      </c>
      <c r="V183" s="7">
        <v>1</v>
      </c>
      <c r="W183" s="7"/>
      <c r="X183" s="7">
        <v>175</v>
      </c>
      <c r="Y183" s="7">
        <f>$AV$7*EXP(-'3.r(t)'!D181*$AV$21)</f>
        <v>0.88900715067201674</v>
      </c>
      <c r="Z183" s="7">
        <f ca="1">$AV$8*EXP(-'3.r(t)'!E181*$AV$22)</f>
        <v>0.91519955924151353</v>
      </c>
      <c r="AA183" s="7">
        <f ca="1">$AV$9*EXP(-'3.r(t)'!F181*$AV$23)</f>
        <v>0.93532245988281992</v>
      </c>
      <c r="AB183" s="7">
        <f ca="1">$AV$10*EXP(-'3.r(t)'!G181*$AV$24)</f>
        <v>0.96005603452026933</v>
      </c>
      <c r="AC183" s="7">
        <f ca="1">$AV$11*EXP(-'3.r(t)'!H181*$AV$25)</f>
        <v>0.98113196358280175</v>
      </c>
      <c r="AD183" s="7">
        <v>1</v>
      </c>
      <c r="AE183" s="7"/>
      <c r="AF183" s="7">
        <v>175</v>
      </c>
      <c r="AG183" s="7">
        <f>$AW$7*EXP(-'3.r(t)'!D181*$AW$21)</f>
        <v>0.86718755429225491</v>
      </c>
      <c r="AH183" s="7">
        <f ca="1">$AW$8*EXP(-'3.r(t)'!E181*$AW$22)</f>
        <v>0.89416117265708162</v>
      </c>
      <c r="AI183" s="7">
        <f ca="1">$AW$9*EXP(-'3.r(t)'!F181*$AW$23)</f>
        <v>0.91389790992307651</v>
      </c>
      <c r="AJ183" s="7">
        <f ca="1">$AW$10*EXP(-'3.r(t)'!G181*$AW$24)</f>
        <v>0.94006100875100229</v>
      </c>
      <c r="AK183" s="7">
        <f ca="1">$AW$11*EXP(-'3.r(t)'!H181*$AW$25)</f>
        <v>0.96219214048822999</v>
      </c>
      <c r="AL183" s="7">
        <f ca="1">$AW$12*EXP(-'3.r(t)'!I181*$AW$26)</f>
        <v>0.97324128817786781</v>
      </c>
      <c r="AM183" s="7">
        <v>1</v>
      </c>
      <c r="AN183" s="7"/>
    </row>
    <row r="184" spans="2:40">
      <c r="B184" s="7">
        <v>176</v>
      </c>
      <c r="C184" s="7">
        <f>$AR$7*EXP(-'3.r(t)'!D182*$AR$21)</f>
        <v>0.97765346695821032</v>
      </c>
      <c r="D184" s="7">
        <v>1</v>
      </c>
      <c r="E184" s="7"/>
      <c r="F184" s="7">
        <v>176</v>
      </c>
      <c r="G184" s="48">
        <f>$AS$7*EXP(-'3.r(t)'!D182*$AS$21)</f>
        <v>0.9553476245219803</v>
      </c>
      <c r="H184" s="7">
        <f ca="1">$AS$8*EXP(-'3.r(t)'!E182*$AS$22)</f>
        <v>0.97869165086556553</v>
      </c>
      <c r="I184" s="7">
        <v>1</v>
      </c>
      <c r="J184" s="7"/>
      <c r="K184" s="7">
        <v>176</v>
      </c>
      <c r="L184" s="7">
        <f>$AT$7*EXP(-'3.r(t)'!D182*$AT$21)</f>
        <v>0.93311670519824419</v>
      </c>
      <c r="M184" s="7">
        <f ca="1">$AT$8*EXP(-'3.r(t)'!E182*$AT$22)</f>
        <v>0.95738619263714342</v>
      </c>
      <c r="N184" s="7">
        <f ca="1">$AT$9*EXP(-'3.r(t)'!F182*$AT$23)</f>
        <v>0.97840485825105039</v>
      </c>
      <c r="O184" s="7">
        <v>1</v>
      </c>
      <c r="P184" s="7"/>
      <c r="Q184" s="7">
        <v>176</v>
      </c>
      <c r="R184" s="7">
        <f>$AU$7*EXP(-'3.r(t)'!D182*$AU$21)</f>
        <v>0.91099305977534117</v>
      </c>
      <c r="S184" s="7">
        <f ca="1">$AU$8*EXP(-'3.r(t)'!E182*$AU$22)</f>
        <v>0.93611745591911599</v>
      </c>
      <c r="T184" s="7">
        <f ca="1">$AU$9*EXP(-'3.r(t)'!F182*$AU$23)</f>
        <v>0.95683366804470416</v>
      </c>
      <c r="U184" s="7">
        <f ca="1">$AU$10*EXP(-'3.r(t)'!G182*$AU$24)</f>
        <v>0.97660917440573325</v>
      </c>
      <c r="V184" s="7">
        <v>1</v>
      </c>
      <c r="W184" s="7"/>
      <c r="X184" s="7">
        <v>176</v>
      </c>
      <c r="Y184" s="7">
        <f>$AV$7*EXP(-'3.r(t)'!D182*$AV$21)</f>
        <v>0.88900715067201674</v>
      </c>
      <c r="Z184" s="7">
        <f ca="1">$AV$8*EXP(-'3.r(t)'!E182*$AV$22)</f>
        <v>0.91491753110136609</v>
      </c>
      <c r="AA184" s="7">
        <f ca="1">$AV$9*EXP(-'3.r(t)'!F182*$AV$23)</f>
        <v>0.935319649171238</v>
      </c>
      <c r="AB184" s="7">
        <f ca="1">$AV$10*EXP(-'3.r(t)'!G182*$AV$24)</f>
        <v>0.95333316411707059</v>
      </c>
      <c r="AC184" s="7">
        <f ca="1">$AV$11*EXP(-'3.r(t)'!H182*$AV$25)</f>
        <v>0.97702247189439484</v>
      </c>
      <c r="AD184" s="7">
        <v>1</v>
      </c>
      <c r="AE184" s="7"/>
      <c r="AF184" s="7">
        <v>176</v>
      </c>
      <c r="AG184" s="7">
        <f>$AW$7*EXP(-'3.r(t)'!D182*$AW$21)</f>
        <v>0.86718755429225491</v>
      </c>
      <c r="AH184" s="7">
        <f ca="1">$AW$8*EXP(-'3.r(t)'!E182*$AW$22)</f>
        <v>0.89381675474394295</v>
      </c>
      <c r="AI184" s="7">
        <f ca="1">$AW$9*EXP(-'3.r(t)'!F182*$AW$23)</f>
        <v>0.91389424815256237</v>
      </c>
      <c r="AJ184" s="7">
        <f ca="1">$AW$10*EXP(-'3.r(t)'!G182*$AW$24)</f>
        <v>0.93020403492634207</v>
      </c>
      <c r="AK184" s="7">
        <f ca="1">$AW$11*EXP(-'3.r(t)'!H182*$AW$25)</f>
        <v>0.95414869721628415</v>
      </c>
      <c r="AL184" s="7">
        <f ca="1">$AW$12*EXP(-'3.r(t)'!I182*$AW$26)</f>
        <v>0.97999988276372352</v>
      </c>
      <c r="AM184" s="7">
        <v>1</v>
      </c>
      <c r="AN184" s="7"/>
    </row>
    <row r="185" spans="2:40">
      <c r="B185" s="7">
        <v>177</v>
      </c>
      <c r="C185" s="7">
        <f>$AR$7*EXP(-'3.r(t)'!D183*$AR$21)</f>
        <v>0.97765346695821032</v>
      </c>
      <c r="D185" s="7">
        <v>1</v>
      </c>
      <c r="E185" s="7"/>
      <c r="F185" s="7">
        <v>177</v>
      </c>
      <c r="G185" s="48">
        <f>$AS$7*EXP(-'3.r(t)'!D183*$AS$21)</f>
        <v>0.9553476245219803</v>
      </c>
      <c r="H185" s="7">
        <f ca="1">$AS$8*EXP(-'3.r(t)'!E183*$AS$22)</f>
        <v>0.98094551775390326</v>
      </c>
      <c r="I185" s="7">
        <v>1</v>
      </c>
      <c r="J185" s="7"/>
      <c r="K185" s="7">
        <v>177</v>
      </c>
      <c r="L185" s="7">
        <f>$AT$7*EXP(-'3.r(t)'!D183*$AT$21)</f>
        <v>0.93311670519824419</v>
      </c>
      <c r="M185" s="7">
        <f ca="1">$AT$8*EXP(-'3.r(t)'!E183*$AT$22)</f>
        <v>0.96180087360806288</v>
      </c>
      <c r="N185" s="7">
        <f ca="1">$AT$9*EXP(-'3.r(t)'!F183*$AT$23)</f>
        <v>0.97902505912316851</v>
      </c>
      <c r="O185" s="7">
        <v>1</v>
      </c>
      <c r="P185" s="7"/>
      <c r="Q185" s="7">
        <v>177</v>
      </c>
      <c r="R185" s="7">
        <f>$AU$7*EXP(-'3.r(t)'!D183*$AU$21)</f>
        <v>0.91099305977534117</v>
      </c>
      <c r="S185" s="7">
        <f ca="1">$AU$8*EXP(-'3.r(t)'!E183*$AU$22)</f>
        <v>0.94259982490453997</v>
      </c>
      <c r="T185" s="7">
        <f ca="1">$AU$9*EXP(-'3.r(t)'!F183*$AU$23)</f>
        <v>0.95804710674486981</v>
      </c>
      <c r="U185" s="7">
        <f ca="1">$AU$10*EXP(-'3.r(t)'!G183*$AU$24)</f>
        <v>0.98017936566930342</v>
      </c>
      <c r="V185" s="7">
        <v>1</v>
      </c>
      <c r="W185" s="7"/>
      <c r="X185" s="7">
        <v>177</v>
      </c>
      <c r="Y185" s="7">
        <f>$AV$7*EXP(-'3.r(t)'!D183*$AV$21)</f>
        <v>0.88900715067201674</v>
      </c>
      <c r="Z185" s="7">
        <f ca="1">$AV$8*EXP(-'3.r(t)'!E183*$AV$22)</f>
        <v>0.92337468555939151</v>
      </c>
      <c r="AA185" s="7">
        <f ca="1">$AV$9*EXP(-'3.r(t)'!F183*$AV$23)</f>
        <v>0.93709944568053993</v>
      </c>
      <c r="AB185" s="7">
        <f ca="1">$AV$10*EXP(-'3.r(t)'!G183*$AV$24)</f>
        <v>0.96031610685805879</v>
      </c>
      <c r="AC185" s="7">
        <f ca="1">$AV$11*EXP(-'3.r(t)'!H183*$AV$25)</f>
        <v>0.97539080960038249</v>
      </c>
      <c r="AD185" s="7">
        <v>1</v>
      </c>
      <c r="AE185" s="7"/>
      <c r="AF185" s="7">
        <v>177</v>
      </c>
      <c r="AG185" s="7">
        <f>$AW$7*EXP(-'3.r(t)'!D183*$AW$21)</f>
        <v>0.86718755429225491</v>
      </c>
      <c r="AH185" s="7">
        <f ca="1">$AW$8*EXP(-'3.r(t)'!E183*$AW$22)</f>
        <v>0.90415629387063068</v>
      </c>
      <c r="AI185" s="7">
        <f ca="1">$AW$9*EXP(-'3.r(t)'!F183*$AW$23)</f>
        <v>0.91621368540373493</v>
      </c>
      <c r="AJ185" s="7">
        <f ca="1">$AW$10*EXP(-'3.r(t)'!G183*$AW$24)</f>
        <v>0.94044301836071131</v>
      </c>
      <c r="AK185" s="7">
        <f ca="1">$AW$11*EXP(-'3.r(t)'!H183*$AW$25)</f>
        <v>0.95096443380224815</v>
      </c>
      <c r="AL185" s="7">
        <f ca="1">$AW$12*EXP(-'3.r(t)'!I183*$AW$26)</f>
        <v>0.97628999549159512</v>
      </c>
      <c r="AM185" s="7">
        <v>1</v>
      </c>
      <c r="AN185" s="7"/>
    </row>
    <row r="186" spans="2:40">
      <c r="B186" s="7">
        <v>178</v>
      </c>
      <c r="C186" s="7">
        <f>$AR$7*EXP(-'3.r(t)'!D184*$AR$21)</f>
        <v>0.97765346695821032</v>
      </c>
      <c r="D186" s="7">
        <v>1</v>
      </c>
      <c r="E186" s="7"/>
      <c r="F186" s="7">
        <v>178</v>
      </c>
      <c r="G186" s="48">
        <f>$AS$7*EXP(-'3.r(t)'!D184*$AS$21)</f>
        <v>0.9553476245219803</v>
      </c>
      <c r="H186" s="7">
        <f ca="1">$AS$8*EXP(-'3.r(t)'!E184*$AS$22)</f>
        <v>0.97620823189106642</v>
      </c>
      <c r="I186" s="7">
        <v>1</v>
      </c>
      <c r="J186" s="7"/>
      <c r="K186" s="7">
        <v>178</v>
      </c>
      <c r="L186" s="7">
        <f>$AT$7*EXP(-'3.r(t)'!D184*$AT$21)</f>
        <v>0.93311670519824419</v>
      </c>
      <c r="M186" s="7">
        <f ca="1">$AT$8*EXP(-'3.r(t)'!E184*$AT$22)</f>
        <v>0.95253364387071471</v>
      </c>
      <c r="N186" s="7">
        <f ca="1">$AT$9*EXP(-'3.r(t)'!F184*$AT$23)</f>
        <v>0.97428618705770753</v>
      </c>
      <c r="O186" s="7">
        <v>1</v>
      </c>
      <c r="P186" s="7"/>
      <c r="Q186" s="7">
        <v>178</v>
      </c>
      <c r="R186" s="7">
        <f>$AU$7*EXP(-'3.r(t)'!D184*$AU$21)</f>
        <v>0.91099305977534117</v>
      </c>
      <c r="S186" s="7">
        <f ca="1">$AU$8*EXP(-'3.r(t)'!E184*$AU$22)</f>
        <v>0.92900936086878072</v>
      </c>
      <c r="T186" s="7">
        <f ca="1">$AU$9*EXP(-'3.r(t)'!F184*$AU$23)</f>
        <v>0.94879489246987714</v>
      </c>
      <c r="U186" s="7">
        <f ca="1">$AU$10*EXP(-'3.r(t)'!G184*$AU$24)</f>
        <v>0.97622557352910821</v>
      </c>
      <c r="V186" s="7">
        <v>1</v>
      </c>
      <c r="W186" s="7"/>
      <c r="X186" s="7">
        <v>178</v>
      </c>
      <c r="Y186" s="7">
        <f>$AV$7*EXP(-'3.r(t)'!D184*$AV$21)</f>
        <v>0.88900715067201674</v>
      </c>
      <c r="Z186" s="7">
        <f ca="1">$AV$8*EXP(-'3.r(t)'!E184*$AV$22)</f>
        <v>0.90566644596644663</v>
      </c>
      <c r="AA186" s="7">
        <f ca="1">$AV$9*EXP(-'3.r(t)'!F184*$AV$23)</f>
        <v>0.92355740053385038</v>
      </c>
      <c r="AB186" s="7">
        <f ca="1">$AV$10*EXP(-'3.r(t)'!G184*$AV$24)</f>
        <v>0.95258439454622912</v>
      </c>
      <c r="AC186" s="7">
        <f ca="1">$AV$11*EXP(-'3.r(t)'!H184*$AV$25)</f>
        <v>0.97491549894512552</v>
      </c>
      <c r="AD186" s="7">
        <v>1</v>
      </c>
      <c r="AE186" s="7"/>
      <c r="AF186" s="7">
        <v>178</v>
      </c>
      <c r="AG186" s="7">
        <f>$AW$7*EXP(-'3.r(t)'!D184*$AW$21)</f>
        <v>0.86718755429225491</v>
      </c>
      <c r="AH186" s="7">
        <f ca="1">$AW$8*EXP(-'3.r(t)'!E184*$AW$22)</f>
        <v>0.88253391096518063</v>
      </c>
      <c r="AI186" s="7">
        <f ca="1">$AW$9*EXP(-'3.r(t)'!F184*$AW$23)</f>
        <v>0.89860270887441906</v>
      </c>
      <c r="AJ186" s="7">
        <f ca="1">$AW$10*EXP(-'3.r(t)'!G184*$AW$24)</f>
        <v>0.92910834500241057</v>
      </c>
      <c r="AK186" s="7">
        <f ca="1">$AW$11*EXP(-'3.r(t)'!H184*$AW$25)</f>
        <v>0.95003784439332517</v>
      </c>
      <c r="AL186" s="7">
        <f ca="1">$AW$12*EXP(-'3.r(t)'!I184*$AW$26)</f>
        <v>0.97610032250709233</v>
      </c>
      <c r="AM186" s="7">
        <v>1</v>
      </c>
      <c r="AN186" s="7"/>
    </row>
    <row r="187" spans="2:40">
      <c r="B187" s="7">
        <v>179</v>
      </c>
      <c r="C187" s="7">
        <f>$AR$7*EXP(-'3.r(t)'!D185*$AR$21)</f>
        <v>0.97765346695821032</v>
      </c>
      <c r="D187" s="7">
        <v>1</v>
      </c>
      <c r="E187" s="7"/>
      <c r="F187" s="7">
        <v>179</v>
      </c>
      <c r="G187" s="48">
        <f>$AS$7*EXP(-'3.r(t)'!D185*$AS$21)</f>
        <v>0.9553476245219803</v>
      </c>
      <c r="H187" s="7">
        <f ca="1">$AS$8*EXP(-'3.r(t)'!E185*$AS$22)</f>
        <v>0.9778272724693492</v>
      </c>
      <c r="I187" s="7">
        <v>1</v>
      </c>
      <c r="J187" s="7"/>
      <c r="K187" s="7">
        <v>179</v>
      </c>
      <c r="L187" s="7">
        <f>$AT$7*EXP(-'3.r(t)'!D185*$AT$21)</f>
        <v>0.93311670519824419</v>
      </c>
      <c r="M187" s="7">
        <f ca="1">$AT$8*EXP(-'3.r(t)'!E185*$AT$22)</f>
        <v>0.95569581651410196</v>
      </c>
      <c r="N187" s="7">
        <f ca="1">$AT$9*EXP(-'3.r(t)'!F185*$AT$23)</f>
        <v>0.97446093812976153</v>
      </c>
      <c r="O187" s="7">
        <v>1</v>
      </c>
      <c r="P187" s="7"/>
      <c r="Q187" s="7">
        <v>179</v>
      </c>
      <c r="R187" s="7">
        <f>$AU$7*EXP(-'3.r(t)'!D185*$AU$21)</f>
        <v>0.91099305977534117</v>
      </c>
      <c r="S187" s="7">
        <f ca="1">$AU$8*EXP(-'3.r(t)'!E185*$AU$22)</f>
        <v>0.93363931502534048</v>
      </c>
      <c r="T187" s="7">
        <f ca="1">$AU$9*EXP(-'3.r(t)'!F185*$AU$23)</f>
        <v>0.94913528073831677</v>
      </c>
      <c r="U187" s="7">
        <f ca="1">$AU$10*EXP(-'3.r(t)'!G185*$AU$24)</f>
        <v>0.97218510490018417</v>
      </c>
      <c r="V187" s="7">
        <v>1</v>
      </c>
      <c r="W187" s="7"/>
      <c r="X187" s="7">
        <v>179</v>
      </c>
      <c r="Y187" s="7">
        <f>$AV$7*EXP(-'3.r(t)'!D185*$AV$21)</f>
        <v>0.88900715067201674</v>
      </c>
      <c r="Z187" s="7">
        <f ca="1">$AV$8*EXP(-'3.r(t)'!E185*$AV$22)</f>
        <v>0.91168959769202351</v>
      </c>
      <c r="AA187" s="7">
        <f ca="1">$AV$9*EXP(-'3.r(t)'!F185*$AV$23)</f>
        <v>0.92405444626113409</v>
      </c>
      <c r="AB187" s="7">
        <f ca="1">$AV$10*EXP(-'3.r(t)'!G185*$AV$24)</f>
        <v>0.94471547070596762</v>
      </c>
      <c r="AC187" s="7">
        <f ca="1">$AV$11*EXP(-'3.r(t)'!H185*$AV$25)</f>
        <v>0.96976743493749673</v>
      </c>
      <c r="AD187" s="7">
        <v>1</v>
      </c>
      <c r="AE187" s="7"/>
      <c r="AF187" s="7">
        <v>179</v>
      </c>
      <c r="AG187" s="7">
        <f>$AW$7*EXP(-'3.r(t)'!D185*$AW$21)</f>
        <v>0.86718755429225491</v>
      </c>
      <c r="AH187" s="7">
        <f ca="1">$AW$8*EXP(-'3.r(t)'!E185*$AW$22)</f>
        <v>0.88987663536643458</v>
      </c>
      <c r="AI187" s="7">
        <f ca="1">$AW$9*EXP(-'3.r(t)'!F185*$AW$23)</f>
        <v>0.89924758731956922</v>
      </c>
      <c r="AJ187" s="7">
        <f ca="1">$AW$10*EXP(-'3.r(t)'!G185*$AW$24)</f>
        <v>0.9176196566979079</v>
      </c>
      <c r="AK187" s="7">
        <f ca="1">$AW$11*EXP(-'3.r(t)'!H185*$AW$25)</f>
        <v>0.94003094123233888</v>
      </c>
      <c r="AL187" s="7">
        <f ca="1">$AW$12*EXP(-'3.r(t)'!I185*$AW$26)</f>
        <v>0.97016931653659233</v>
      </c>
      <c r="AM187" s="7">
        <v>1</v>
      </c>
      <c r="AN187" s="7"/>
    </row>
    <row r="188" spans="2:40">
      <c r="B188" s="7">
        <v>180</v>
      </c>
      <c r="C188" s="7">
        <f>$AR$7*EXP(-'3.r(t)'!D186*$AR$21)</f>
        <v>0.97765346695821032</v>
      </c>
      <c r="D188" s="7">
        <v>1</v>
      </c>
      <c r="E188" s="7"/>
      <c r="F188" s="7">
        <v>180</v>
      </c>
      <c r="G188" s="48">
        <f>$AS$7*EXP(-'3.r(t)'!D186*$AS$21)</f>
        <v>0.9553476245219803</v>
      </c>
      <c r="H188" s="7">
        <f ca="1">$AS$8*EXP(-'3.r(t)'!E186*$AS$22)</f>
        <v>0.97743828635299745</v>
      </c>
      <c r="I188" s="7">
        <v>1</v>
      </c>
      <c r="J188" s="7"/>
      <c r="K188" s="7">
        <v>180</v>
      </c>
      <c r="L188" s="7">
        <f>$AT$7*EXP(-'3.r(t)'!D186*$AT$21)</f>
        <v>0.93311670519824419</v>
      </c>
      <c r="M188" s="7">
        <f ca="1">$AT$8*EXP(-'3.r(t)'!E186*$AT$22)</f>
        <v>0.95493560359763052</v>
      </c>
      <c r="N188" s="7">
        <f ca="1">$AT$9*EXP(-'3.r(t)'!F186*$AT$23)</f>
        <v>0.97616390486887916</v>
      </c>
      <c r="O188" s="7">
        <v>1</v>
      </c>
      <c r="P188" s="7"/>
      <c r="Q188" s="7">
        <v>180</v>
      </c>
      <c r="R188" s="7">
        <f>$AU$7*EXP(-'3.r(t)'!D186*$AU$21)</f>
        <v>0.91099305977534117</v>
      </c>
      <c r="S188" s="7">
        <f ca="1">$AU$8*EXP(-'3.r(t)'!E186*$AU$22)</f>
        <v>0.93252553464273957</v>
      </c>
      <c r="T188" s="7">
        <f ca="1">$AU$9*EXP(-'3.r(t)'!F186*$AU$23)</f>
        <v>0.9524555947964779</v>
      </c>
      <c r="U188" s="7">
        <f ca="1">$AU$10*EXP(-'3.r(t)'!G186*$AU$24)</f>
        <v>0.97654043193708784</v>
      </c>
      <c r="V188" s="7">
        <v>1</v>
      </c>
      <c r="W188" s="7"/>
      <c r="X188" s="7">
        <v>180</v>
      </c>
      <c r="Y188" s="7">
        <f>$AV$7*EXP(-'3.r(t)'!D186*$AV$21)</f>
        <v>0.88900715067201674</v>
      </c>
      <c r="Z188" s="7">
        <f ca="1">$AV$8*EXP(-'3.r(t)'!E186*$AV$22)</f>
        <v>0.91023975865374429</v>
      </c>
      <c r="AA188" s="7">
        <f ca="1">$AV$9*EXP(-'3.r(t)'!F186*$AV$23)</f>
        <v>0.92890754690869359</v>
      </c>
      <c r="AB188" s="7">
        <f ca="1">$AV$10*EXP(-'3.r(t)'!G186*$AV$24)</f>
        <v>0.95319896064978848</v>
      </c>
      <c r="AC188" s="7">
        <f ca="1">$AV$11*EXP(-'3.r(t)'!H186*$AV$25)</f>
        <v>0.97415601194006096</v>
      </c>
      <c r="AD188" s="7">
        <v>1</v>
      </c>
      <c r="AE188" s="7"/>
      <c r="AF188" s="7">
        <v>180</v>
      </c>
      <c r="AG188" s="7">
        <f>$AW$7*EXP(-'3.r(t)'!D186*$AW$21)</f>
        <v>0.86718755429225491</v>
      </c>
      <c r="AH188" s="7">
        <f ca="1">$AW$8*EXP(-'3.r(t)'!E186*$AW$22)</f>
        <v>0.88810804916272079</v>
      </c>
      <c r="AI188" s="7">
        <f ca="1">$AW$9*EXP(-'3.r(t)'!F186*$AW$23)</f>
        <v>0.90555018080492422</v>
      </c>
      <c r="AJ188" s="7">
        <f ca="1">$AW$10*EXP(-'3.r(t)'!G186*$AW$24)</f>
        <v>0.93000762056991382</v>
      </c>
      <c r="AK188" s="7">
        <f ca="1">$AW$11*EXP(-'3.r(t)'!H186*$AW$25)</f>
        <v>0.94855820775354804</v>
      </c>
      <c r="AL188" s="7">
        <f ca="1">$AW$12*EXP(-'3.r(t)'!I186*$AW$26)</f>
        <v>0.97262761869979086</v>
      </c>
      <c r="AM188" s="7">
        <v>1</v>
      </c>
      <c r="AN188" s="7"/>
    </row>
    <row r="189" spans="2:40">
      <c r="B189" s="7">
        <v>181</v>
      </c>
      <c r="C189" s="7">
        <f>$AR$7*EXP(-'3.r(t)'!D187*$AR$21)</f>
        <v>0.97765346695821032</v>
      </c>
      <c r="D189" s="7">
        <v>1</v>
      </c>
      <c r="E189" s="7"/>
      <c r="F189" s="7">
        <v>181</v>
      </c>
      <c r="G189" s="48">
        <f>$AS$7*EXP(-'3.r(t)'!D187*$AS$21)</f>
        <v>0.9553476245219803</v>
      </c>
      <c r="H189" s="7">
        <f ca="1">$AS$8*EXP(-'3.r(t)'!E187*$AS$22)</f>
        <v>0.97602914723454293</v>
      </c>
      <c r="I189" s="7">
        <v>1</v>
      </c>
      <c r="J189" s="7"/>
      <c r="K189" s="7">
        <v>181</v>
      </c>
      <c r="L189" s="7">
        <f>$AT$7*EXP(-'3.r(t)'!D187*$AT$21)</f>
        <v>0.93311670519824419</v>
      </c>
      <c r="M189" s="7">
        <f ca="1">$AT$8*EXP(-'3.r(t)'!E187*$AT$22)</f>
        <v>0.95218419278415289</v>
      </c>
      <c r="N189" s="7">
        <f ca="1">$AT$9*EXP(-'3.r(t)'!F187*$AT$23)</f>
        <v>0.97898120964446378</v>
      </c>
      <c r="O189" s="7">
        <v>1</v>
      </c>
      <c r="P189" s="7"/>
      <c r="Q189" s="7">
        <v>181</v>
      </c>
      <c r="R189" s="7">
        <f>$AU$7*EXP(-'3.r(t)'!D187*$AU$21)</f>
        <v>0.91099305977534117</v>
      </c>
      <c r="S189" s="7">
        <f ca="1">$AU$8*EXP(-'3.r(t)'!E187*$AU$22)</f>
        <v>0.92849817647787458</v>
      </c>
      <c r="T189" s="7">
        <f ca="1">$AU$9*EXP(-'3.r(t)'!F187*$AU$23)</f>
        <v>0.95796128886916665</v>
      </c>
      <c r="U189" s="7">
        <f ca="1">$AU$10*EXP(-'3.r(t)'!G187*$AU$24)</f>
        <v>0.97735186144827613</v>
      </c>
      <c r="V189" s="7">
        <v>1</v>
      </c>
      <c r="W189" s="7"/>
      <c r="X189" s="7">
        <v>181</v>
      </c>
      <c r="Y189" s="7">
        <f>$AV$7*EXP(-'3.r(t)'!D187*$AV$21)</f>
        <v>0.88900715067201674</v>
      </c>
      <c r="Z189" s="7">
        <f ca="1">$AV$8*EXP(-'3.r(t)'!E187*$AV$22)</f>
        <v>0.90500205353930474</v>
      </c>
      <c r="AA189" s="7">
        <f ca="1">$AV$9*EXP(-'3.r(t)'!F187*$AV$23)</f>
        <v>0.93697353629324853</v>
      </c>
      <c r="AB189" s="7">
        <f ca="1">$AV$10*EXP(-'3.r(t)'!G187*$AV$24)</f>
        <v>0.95478368787972256</v>
      </c>
      <c r="AC189" s="7">
        <f ca="1">$AV$11*EXP(-'3.r(t)'!H187*$AV$25)</f>
        <v>0.98030783129186405</v>
      </c>
      <c r="AD189" s="7">
        <v>1</v>
      </c>
      <c r="AE189" s="7"/>
      <c r="AF189" s="7">
        <v>181</v>
      </c>
      <c r="AG189" s="7">
        <f>$AW$7*EXP(-'3.r(t)'!D187*$AW$21)</f>
        <v>0.86718755429225491</v>
      </c>
      <c r="AH189" s="7">
        <f ca="1">$AW$8*EXP(-'3.r(t)'!E187*$AW$22)</f>
        <v>0.88172470704681016</v>
      </c>
      <c r="AI189" s="7">
        <f ca="1">$AW$9*EXP(-'3.r(t)'!F187*$AW$23)</f>
        <v>0.91604955153170453</v>
      </c>
      <c r="AJ189" s="7">
        <f ca="1">$AW$10*EXP(-'3.r(t)'!G187*$AW$24)</f>
        <v>0.93232784046577599</v>
      </c>
      <c r="AK189" s="7">
        <f ca="1">$AW$11*EXP(-'3.r(t)'!H187*$AW$25)</f>
        <v>0.96057637298484411</v>
      </c>
      <c r="AL189" s="7">
        <f ca="1">$AW$12*EXP(-'3.r(t)'!I187*$AW$26)</f>
        <v>0.98032846496285087</v>
      </c>
      <c r="AM189" s="7">
        <v>1</v>
      </c>
      <c r="AN189" s="7"/>
    </row>
    <row r="190" spans="2:40">
      <c r="B190" s="7">
        <v>182</v>
      </c>
      <c r="C190" s="7">
        <f>$AR$7*EXP(-'3.r(t)'!D188*$AR$21)</f>
        <v>0.97765346695821032</v>
      </c>
      <c r="D190" s="7">
        <v>1</v>
      </c>
      <c r="E190" s="7"/>
      <c r="F190" s="7">
        <v>182</v>
      </c>
      <c r="G190" s="48">
        <f>$AS$7*EXP(-'3.r(t)'!D188*$AS$21)</f>
        <v>0.9553476245219803</v>
      </c>
      <c r="H190" s="7">
        <f ca="1">$AS$8*EXP(-'3.r(t)'!E188*$AS$22)</f>
        <v>0.97824362236931284</v>
      </c>
      <c r="I190" s="7">
        <v>1</v>
      </c>
      <c r="J190" s="7"/>
      <c r="K190" s="7">
        <v>182</v>
      </c>
      <c r="L190" s="7">
        <f>$AT$7*EXP(-'3.r(t)'!D188*$AT$21)</f>
        <v>0.93311670519824419</v>
      </c>
      <c r="M190" s="7">
        <f ca="1">$AT$8*EXP(-'3.r(t)'!E188*$AT$22)</f>
        <v>0.95650984283698404</v>
      </c>
      <c r="N190" s="7">
        <f ca="1">$AT$9*EXP(-'3.r(t)'!F188*$AT$23)</f>
        <v>0.97866086980979117</v>
      </c>
      <c r="O190" s="7">
        <v>1</v>
      </c>
      <c r="P190" s="7"/>
      <c r="Q190" s="7">
        <v>182</v>
      </c>
      <c r="R190" s="7">
        <f>$AU$7*EXP(-'3.r(t)'!D188*$AU$21)</f>
        <v>0.91099305977534117</v>
      </c>
      <c r="S190" s="7">
        <f ca="1">$AU$8*EXP(-'3.r(t)'!E188*$AU$22)</f>
        <v>0.93483242811455636</v>
      </c>
      <c r="T190" s="7">
        <f ca="1">$AU$9*EXP(-'3.r(t)'!F188*$AU$23)</f>
        <v>0.95733446794403709</v>
      </c>
      <c r="U190" s="7">
        <f ca="1">$AU$10*EXP(-'3.r(t)'!G188*$AU$24)</f>
        <v>0.97379756907354931</v>
      </c>
      <c r="V190" s="7">
        <v>1</v>
      </c>
      <c r="W190" s="7"/>
      <c r="X190" s="7">
        <v>182</v>
      </c>
      <c r="Y190" s="7">
        <f>$AV$7*EXP(-'3.r(t)'!D188*$AV$21)</f>
        <v>0.88900715067201674</v>
      </c>
      <c r="Z190" s="7">
        <f ca="1">$AV$8*EXP(-'3.r(t)'!E188*$AV$22)</f>
        <v>0.91324334603202062</v>
      </c>
      <c r="AA190" s="7">
        <f ca="1">$AV$9*EXP(-'3.r(t)'!F188*$AV$23)</f>
        <v>0.93605405466949221</v>
      </c>
      <c r="AB190" s="7">
        <f ca="1">$AV$10*EXP(-'3.r(t)'!G188*$AV$24)</f>
        <v>0.94785187575970709</v>
      </c>
      <c r="AC190" s="7">
        <f ca="1">$AV$11*EXP(-'3.r(t)'!H188*$AV$25)</f>
        <v>0.97293792684520009</v>
      </c>
      <c r="AD190" s="7">
        <v>1</v>
      </c>
      <c r="AE190" s="7"/>
      <c r="AF190" s="7">
        <v>182</v>
      </c>
      <c r="AG190" s="7">
        <f>$AW$7*EXP(-'3.r(t)'!D188*$AW$21)</f>
        <v>0.86718755429225491</v>
      </c>
      <c r="AH190" s="7">
        <f ca="1">$AW$8*EXP(-'3.r(t)'!E188*$AW$22)</f>
        <v>0.89177275600032346</v>
      </c>
      <c r="AI190" s="7">
        <f ca="1">$AW$9*EXP(-'3.r(t)'!F188*$AW$23)</f>
        <v>0.91485114993288119</v>
      </c>
      <c r="AJ190" s="7">
        <f ca="1">$AW$10*EXP(-'3.r(t)'!G188*$AW$24)</f>
        <v>0.92219311996055109</v>
      </c>
      <c r="AK190" s="7">
        <f ca="1">$AW$11*EXP(-'3.r(t)'!H188*$AW$25)</f>
        <v>0.94618753564640512</v>
      </c>
      <c r="AL190" s="7">
        <f ca="1">$AW$12*EXP(-'3.r(t)'!I188*$AW$26)</f>
        <v>0.97385622815315076</v>
      </c>
      <c r="AM190" s="7">
        <v>1</v>
      </c>
      <c r="AN190" s="7"/>
    </row>
    <row r="191" spans="2:40">
      <c r="B191" s="7">
        <v>183</v>
      </c>
      <c r="C191" s="7">
        <f>$AR$7*EXP(-'3.r(t)'!D189*$AR$21)</f>
        <v>0.97765346695821032</v>
      </c>
      <c r="D191" s="7">
        <v>1</v>
      </c>
      <c r="E191" s="7"/>
      <c r="F191" s="7">
        <v>183</v>
      </c>
      <c r="G191" s="48">
        <f>$AS$7*EXP(-'3.r(t)'!D189*$AS$21)</f>
        <v>0.9553476245219803</v>
      </c>
      <c r="H191" s="7">
        <f ca="1">$AS$8*EXP(-'3.r(t)'!E189*$AS$22)</f>
        <v>0.98081107651058075</v>
      </c>
      <c r="I191" s="7">
        <v>1</v>
      </c>
      <c r="J191" s="7"/>
      <c r="K191" s="7">
        <v>183</v>
      </c>
      <c r="L191" s="7">
        <f>$AT$7*EXP(-'3.r(t)'!D189*$AT$21)</f>
        <v>0.93311670519824419</v>
      </c>
      <c r="M191" s="7">
        <f ca="1">$AT$8*EXP(-'3.r(t)'!E189*$AT$22)</f>
        <v>0.96153725683814528</v>
      </c>
      <c r="N191" s="7">
        <f ca="1">$AT$9*EXP(-'3.r(t)'!F189*$AT$23)</f>
        <v>0.98030179005300244</v>
      </c>
      <c r="O191" s="7">
        <v>1</v>
      </c>
      <c r="P191" s="7"/>
      <c r="Q191" s="7">
        <v>183</v>
      </c>
      <c r="R191" s="7">
        <f>$AU$7*EXP(-'3.r(t)'!D189*$AU$21)</f>
        <v>0.91099305977534117</v>
      </c>
      <c r="S191" s="7">
        <f ca="1">$AU$8*EXP(-'3.r(t)'!E189*$AU$22)</f>
        <v>0.94221232043153502</v>
      </c>
      <c r="T191" s="7">
        <f ca="1">$AU$9*EXP(-'3.r(t)'!F189*$AU$23)</f>
        <v>0.96054748386836641</v>
      </c>
      <c r="U191" s="7">
        <f ca="1">$AU$10*EXP(-'3.r(t)'!G189*$AU$24)</f>
        <v>0.98230862770458471</v>
      </c>
      <c r="V191" s="7">
        <v>1</v>
      </c>
      <c r="W191" s="7"/>
      <c r="X191" s="7">
        <v>183</v>
      </c>
      <c r="Y191" s="7">
        <f>$AV$7*EXP(-'3.r(t)'!D189*$AV$21)</f>
        <v>0.88900715067201674</v>
      </c>
      <c r="Z191" s="7">
        <f ca="1">$AV$8*EXP(-'3.r(t)'!E189*$AV$22)</f>
        <v>0.92286858559623186</v>
      </c>
      <c r="AA191" s="7">
        <f ca="1">$AV$9*EXP(-'3.r(t)'!F189*$AV$23)</f>
        <v>0.9407703979740708</v>
      </c>
      <c r="AB191" s="7">
        <f ca="1">$AV$10*EXP(-'3.r(t)'!G189*$AV$24)</f>
        <v>0.96449286397046075</v>
      </c>
      <c r="AC191" s="7">
        <f ca="1">$AV$11*EXP(-'3.r(t)'!H189*$AV$25)</f>
        <v>0.98265560374057559</v>
      </c>
      <c r="AD191" s="7">
        <v>1</v>
      </c>
      <c r="AE191" s="7"/>
      <c r="AF191" s="7">
        <v>183</v>
      </c>
      <c r="AG191" s="7">
        <f>$AW$7*EXP(-'3.r(t)'!D189*$AW$21)</f>
        <v>0.86718755429225491</v>
      </c>
      <c r="AH191" s="7">
        <f ca="1">$AW$8*EXP(-'3.r(t)'!E189*$AW$22)</f>
        <v>0.90353687831929708</v>
      </c>
      <c r="AI191" s="7">
        <f ca="1">$AW$9*EXP(-'3.r(t)'!F189*$AW$23)</f>
        <v>0.9210023208908461</v>
      </c>
      <c r="AJ191" s="7">
        <f ca="1">$AW$10*EXP(-'3.r(t)'!G189*$AW$24)</f>
        <v>0.94658516783156132</v>
      </c>
      <c r="AK191" s="7">
        <f ca="1">$AW$11*EXP(-'3.r(t)'!H189*$AW$25)</f>
        <v>0.9651829163917488</v>
      </c>
      <c r="AL191" s="7">
        <f ca="1">$AW$12*EXP(-'3.r(t)'!I189*$AW$26)</f>
        <v>0.98430185292279471</v>
      </c>
      <c r="AM191" s="7">
        <v>1</v>
      </c>
      <c r="AN191" s="7"/>
    </row>
    <row r="192" spans="2:40">
      <c r="B192" s="7">
        <v>184</v>
      </c>
      <c r="C192" s="7">
        <f>$AR$7*EXP(-'3.r(t)'!D190*$AR$21)</f>
        <v>0.97765346695821032</v>
      </c>
      <c r="D192" s="7">
        <v>1</v>
      </c>
      <c r="E192" s="7"/>
      <c r="F192" s="7">
        <v>184</v>
      </c>
      <c r="G192" s="48">
        <f>$AS$7*EXP(-'3.r(t)'!D190*$AS$21)</f>
        <v>0.9553476245219803</v>
      </c>
      <c r="H192" s="7">
        <f ca="1">$AS$8*EXP(-'3.r(t)'!E190*$AS$22)</f>
        <v>0.97660854478087267</v>
      </c>
      <c r="I192" s="7">
        <v>1</v>
      </c>
      <c r="J192" s="7"/>
      <c r="K192" s="7">
        <v>184</v>
      </c>
      <c r="L192" s="7">
        <f>$AT$7*EXP(-'3.r(t)'!D190*$AT$21)</f>
        <v>0.93311670519824419</v>
      </c>
      <c r="M192" s="7">
        <f ca="1">$AT$8*EXP(-'3.r(t)'!E190*$AT$22)</f>
        <v>0.95331501338840285</v>
      </c>
      <c r="N192" s="7">
        <f ca="1">$AT$9*EXP(-'3.r(t)'!F190*$AT$23)</f>
        <v>0.97581998426118843</v>
      </c>
      <c r="O192" s="7">
        <v>1</v>
      </c>
      <c r="P192" s="7"/>
      <c r="Q192" s="7">
        <v>184</v>
      </c>
      <c r="R192" s="7">
        <f>$AU$7*EXP(-'3.r(t)'!D190*$AU$21)</f>
        <v>0.91099305977534117</v>
      </c>
      <c r="S192" s="7">
        <f ca="1">$AU$8*EXP(-'3.r(t)'!E190*$AU$22)</f>
        <v>0.93015270385554638</v>
      </c>
      <c r="T192" s="7">
        <f ca="1">$AU$9*EXP(-'3.r(t)'!F190*$AU$23)</f>
        <v>0.95178457756054391</v>
      </c>
      <c r="U192" s="7">
        <f ca="1">$AU$10*EXP(-'3.r(t)'!G190*$AU$24)</f>
        <v>0.96810912376670222</v>
      </c>
      <c r="V192" s="7">
        <v>1</v>
      </c>
      <c r="W192" s="7"/>
      <c r="X192" s="7">
        <v>184</v>
      </c>
      <c r="Y192" s="7">
        <f>$AV$7*EXP(-'3.r(t)'!D190*$AV$21)</f>
        <v>0.88900715067201674</v>
      </c>
      <c r="Z192" s="7">
        <f ca="1">$AV$8*EXP(-'3.r(t)'!E190*$AV$22)</f>
        <v>0.90715290349522903</v>
      </c>
      <c r="AA192" s="7">
        <f ca="1">$AV$9*EXP(-'3.r(t)'!F190*$AV$23)</f>
        <v>0.92792607882440081</v>
      </c>
      <c r="AB192" s="7">
        <f ca="1">$AV$10*EXP(-'3.r(t)'!G190*$AV$24)</f>
        <v>0.93681045278657327</v>
      </c>
      <c r="AC192" s="7">
        <f ca="1">$AV$11*EXP(-'3.r(t)'!H190*$AV$25)</f>
        <v>0.96762016860035105</v>
      </c>
      <c r="AD192" s="7">
        <v>1</v>
      </c>
      <c r="AE192" s="7"/>
      <c r="AF192" s="7">
        <v>184</v>
      </c>
      <c r="AG192" s="7">
        <f>$AW$7*EXP(-'3.r(t)'!D190*$AW$21)</f>
        <v>0.86718755429225491</v>
      </c>
      <c r="AH192" s="7">
        <f ca="1">$AW$8*EXP(-'3.r(t)'!E190*$AW$22)</f>
        <v>0.88434489531237925</v>
      </c>
      <c r="AI192" s="7">
        <f ca="1">$AW$9*EXP(-'3.r(t)'!F190*$AW$23)</f>
        <v>0.90427468672915701</v>
      </c>
      <c r="AJ192" s="7">
        <f ca="1">$AW$10*EXP(-'3.r(t)'!G190*$AW$24)</f>
        <v>0.90612634802071168</v>
      </c>
      <c r="AK192" s="7">
        <f ca="1">$AW$11*EXP(-'3.r(t)'!H190*$AW$25)</f>
        <v>0.935872702797097</v>
      </c>
      <c r="AL192" s="7">
        <f ca="1">$AW$12*EXP(-'3.r(t)'!I190*$AW$26)</f>
        <v>0.97256561738236458</v>
      </c>
      <c r="AM192" s="7">
        <v>1</v>
      </c>
      <c r="AN192" s="7"/>
    </row>
    <row r="193" spans="2:40">
      <c r="B193" s="7">
        <v>185</v>
      </c>
      <c r="C193" s="7">
        <f>$AR$7*EXP(-'3.r(t)'!D191*$AR$21)</f>
        <v>0.97765346695821032</v>
      </c>
      <c r="D193" s="7">
        <v>1</v>
      </c>
      <c r="E193" s="7"/>
      <c r="F193" s="7">
        <v>185</v>
      </c>
      <c r="G193" s="48">
        <f>$AS$7*EXP(-'3.r(t)'!D191*$AS$21)</f>
        <v>0.9553476245219803</v>
      </c>
      <c r="H193" s="7">
        <f ca="1">$AS$8*EXP(-'3.r(t)'!E191*$AS$22)</f>
        <v>0.97622850361378877</v>
      </c>
      <c r="I193" s="7">
        <v>1</v>
      </c>
      <c r="J193" s="7"/>
      <c r="K193" s="7">
        <v>185</v>
      </c>
      <c r="L193" s="7">
        <f>$AT$7*EXP(-'3.r(t)'!D191*$AT$21)</f>
        <v>0.93311670519824419</v>
      </c>
      <c r="M193" s="7">
        <f ca="1">$AT$8*EXP(-'3.r(t)'!E191*$AT$22)</f>
        <v>0.95257320448446448</v>
      </c>
      <c r="N193" s="7">
        <f ca="1">$AT$9*EXP(-'3.r(t)'!F191*$AT$23)</f>
        <v>0.97606064198527598</v>
      </c>
      <c r="O193" s="7">
        <v>1</v>
      </c>
      <c r="P193" s="7"/>
      <c r="Q193" s="7">
        <v>185</v>
      </c>
      <c r="R193" s="7">
        <f>$AU$7*EXP(-'3.r(t)'!D191*$AU$21)</f>
        <v>0.91099305977534117</v>
      </c>
      <c r="S193" s="7">
        <f ca="1">$AU$8*EXP(-'3.r(t)'!E191*$AU$22)</f>
        <v>0.92906723687504078</v>
      </c>
      <c r="T193" s="7">
        <f ca="1">$AU$9*EXP(-'3.r(t)'!F191*$AU$23)</f>
        <v>0.95225409562485186</v>
      </c>
      <c r="U193" s="7">
        <f ca="1">$AU$10*EXP(-'3.r(t)'!G191*$AU$24)</f>
        <v>0.97809733010415434</v>
      </c>
      <c r="V193" s="7">
        <v>1</v>
      </c>
      <c r="W193" s="7"/>
      <c r="X193" s="7">
        <v>185</v>
      </c>
      <c r="Y193" s="7">
        <f>$AV$7*EXP(-'3.r(t)'!D191*$AV$21)</f>
        <v>0.88900715067201674</v>
      </c>
      <c r="Z193" s="7">
        <f ca="1">$AV$8*EXP(-'3.r(t)'!E191*$AV$22)</f>
        <v>0.90574167578054177</v>
      </c>
      <c r="AA193" s="7">
        <f ca="1">$AV$9*EXP(-'3.r(t)'!F191*$AV$23)</f>
        <v>0.92861278639329137</v>
      </c>
      <c r="AB193" s="7">
        <f ca="1">$AV$10*EXP(-'3.r(t)'!G191*$AV$24)</f>
        <v>0.95624075321342006</v>
      </c>
      <c r="AC193" s="7">
        <f ca="1">$AV$11*EXP(-'3.r(t)'!H191*$AV$25)</f>
        <v>0.97536452099782145</v>
      </c>
      <c r="AD193" s="7">
        <v>1</v>
      </c>
      <c r="AE193" s="7"/>
      <c r="AF193" s="7">
        <v>185</v>
      </c>
      <c r="AG193" s="7">
        <f>$AW$7*EXP(-'3.r(t)'!D191*$AW$21)</f>
        <v>0.86718755429225491</v>
      </c>
      <c r="AH193" s="7">
        <f ca="1">$AW$8*EXP(-'3.r(t)'!E191*$AW$22)</f>
        <v>0.88262554728408571</v>
      </c>
      <c r="AI193" s="7">
        <f ca="1">$AW$9*EXP(-'3.r(t)'!F191*$AW$23)</f>
        <v>0.90516706937989977</v>
      </c>
      <c r="AJ193" s="7">
        <f ca="1">$AW$10*EXP(-'3.r(t)'!G191*$AW$24)</f>
        <v>0.93446284874812435</v>
      </c>
      <c r="AK193" s="7">
        <f ca="1">$AW$11*EXP(-'3.r(t)'!H191*$AW$25)</f>
        <v>0.95091317396073249</v>
      </c>
      <c r="AL193" s="7">
        <f ca="1">$AW$12*EXP(-'3.r(t)'!I191*$AW$26)</f>
        <v>0.97405862210993899</v>
      </c>
      <c r="AM193" s="7">
        <v>1</v>
      </c>
      <c r="AN193" s="7"/>
    </row>
    <row r="194" spans="2:40">
      <c r="B194" s="7">
        <v>186</v>
      </c>
      <c r="C194" s="7">
        <f>$AR$7*EXP(-'3.r(t)'!D192*$AR$21)</f>
        <v>0.97765346695821032</v>
      </c>
      <c r="D194" s="7">
        <v>1</v>
      </c>
      <c r="E194" s="7"/>
      <c r="F194" s="7">
        <v>186</v>
      </c>
      <c r="G194" s="48">
        <f>$AS$7*EXP(-'3.r(t)'!D192*$AS$21)</f>
        <v>0.9553476245219803</v>
      </c>
      <c r="H194" s="7">
        <f ca="1">$AS$8*EXP(-'3.r(t)'!E192*$AS$22)</f>
        <v>0.97991320976705676</v>
      </c>
      <c r="I194" s="7">
        <v>1</v>
      </c>
      <c r="J194" s="7"/>
      <c r="K194" s="7">
        <v>186</v>
      </c>
      <c r="L194" s="7">
        <f>$AT$7*EXP(-'3.r(t)'!D192*$AT$21)</f>
        <v>0.93311670519824419</v>
      </c>
      <c r="M194" s="7">
        <f ca="1">$AT$8*EXP(-'3.r(t)'!E192*$AT$22)</f>
        <v>0.95977761691395058</v>
      </c>
      <c r="N194" s="7">
        <f ca="1">$AT$9*EXP(-'3.r(t)'!F192*$AT$23)</f>
        <v>0.97970386763757922</v>
      </c>
      <c r="O194" s="7">
        <v>1</v>
      </c>
      <c r="P194" s="7"/>
      <c r="Q194" s="7">
        <v>186</v>
      </c>
      <c r="R194" s="7">
        <f>$AU$7*EXP(-'3.r(t)'!D192*$AU$21)</f>
        <v>0.91099305977534117</v>
      </c>
      <c r="S194" s="7">
        <f ca="1">$AU$8*EXP(-'3.r(t)'!E192*$AU$22)</f>
        <v>0.93962709196462846</v>
      </c>
      <c r="T194" s="7">
        <f ca="1">$AU$9*EXP(-'3.r(t)'!F192*$AU$23)</f>
        <v>0.95937609415134129</v>
      </c>
      <c r="U194" s="7">
        <f ca="1">$AU$10*EXP(-'3.r(t)'!G192*$AU$24)</f>
        <v>0.98257443566650804</v>
      </c>
      <c r="V194" s="7">
        <v>1</v>
      </c>
      <c r="W194" s="7"/>
      <c r="X194" s="7">
        <v>186</v>
      </c>
      <c r="Y194" s="7">
        <f>$AV$7*EXP(-'3.r(t)'!D192*$AV$21)</f>
        <v>0.88900715067201674</v>
      </c>
      <c r="Z194" s="7">
        <f ca="1">$AV$8*EXP(-'3.r(t)'!E192*$AV$22)</f>
        <v>0.91949392592420165</v>
      </c>
      <c r="AA194" s="7">
        <f ca="1">$AV$9*EXP(-'3.r(t)'!F192*$AV$23)</f>
        <v>0.93905001546575606</v>
      </c>
      <c r="AB194" s="7">
        <f ca="1">$AV$10*EXP(-'3.r(t)'!G192*$AV$24)</f>
        <v>0.96501490879721874</v>
      </c>
      <c r="AC194" s="7">
        <f ca="1">$AV$11*EXP(-'3.r(t)'!H192*$AV$25)</f>
        <v>0.98621951418755616</v>
      </c>
      <c r="AD194" s="7">
        <v>1</v>
      </c>
      <c r="AE194" s="7"/>
      <c r="AF194" s="7">
        <v>186</v>
      </c>
      <c r="AG194" s="7">
        <f>$AW$7*EXP(-'3.r(t)'!D192*$AW$21)</f>
        <v>0.86718755429225491</v>
      </c>
      <c r="AH194" s="7">
        <f ca="1">$AW$8*EXP(-'3.r(t)'!E192*$AW$22)</f>
        <v>0.89940880619263686</v>
      </c>
      <c r="AI194" s="7">
        <f ca="1">$AW$9*EXP(-'3.r(t)'!F192*$AW$23)</f>
        <v>0.91875736198023306</v>
      </c>
      <c r="AJ194" s="7">
        <f ca="1">$AW$10*EXP(-'3.r(t)'!G192*$AW$24)</f>
        <v>0.94735379988173063</v>
      </c>
      <c r="AK194" s="7">
        <f ca="1">$AW$11*EXP(-'3.r(t)'!H192*$AW$25)</f>
        <v>0.97219669267677977</v>
      </c>
      <c r="AL194" s="7">
        <f ca="1">$AW$12*EXP(-'3.r(t)'!I192*$AW$26)</f>
        <v>0.98734057810063869</v>
      </c>
      <c r="AM194" s="7">
        <v>1</v>
      </c>
      <c r="AN194" s="7"/>
    </row>
    <row r="195" spans="2:40">
      <c r="B195" s="7">
        <v>187</v>
      </c>
      <c r="C195" s="7">
        <f>$AR$7*EXP(-'3.r(t)'!D193*$AR$21)</f>
        <v>0.97765346695821032</v>
      </c>
      <c r="D195" s="7">
        <v>1</v>
      </c>
      <c r="E195" s="7"/>
      <c r="F195" s="7">
        <v>187</v>
      </c>
      <c r="G195" s="48">
        <f>$AS$7*EXP(-'3.r(t)'!D193*$AS$21)</f>
        <v>0.9553476245219803</v>
      </c>
      <c r="H195" s="7">
        <f ca="1">$AS$8*EXP(-'3.r(t)'!E193*$AS$22)</f>
        <v>0.97442581966692976</v>
      </c>
      <c r="I195" s="7">
        <v>1</v>
      </c>
      <c r="J195" s="7"/>
      <c r="K195" s="7">
        <v>187</v>
      </c>
      <c r="L195" s="7">
        <f>$AT$7*EXP(-'3.r(t)'!D193*$AT$21)</f>
        <v>0.93311670519824419</v>
      </c>
      <c r="M195" s="7">
        <f ca="1">$AT$8*EXP(-'3.r(t)'!E193*$AT$22)</f>
        <v>0.94905844753001212</v>
      </c>
      <c r="N195" s="7">
        <f ca="1">$AT$9*EXP(-'3.r(t)'!F193*$AT$23)</f>
        <v>0.97580827740260612</v>
      </c>
      <c r="O195" s="7">
        <v>1</v>
      </c>
      <c r="P195" s="7"/>
      <c r="Q195" s="7">
        <v>187</v>
      </c>
      <c r="R195" s="7">
        <f>$AU$7*EXP(-'3.r(t)'!D193*$AU$21)</f>
        <v>0.91099305977534117</v>
      </c>
      <c r="S195" s="7">
        <f ca="1">$AU$8*EXP(-'3.r(t)'!E193*$AU$22)</f>
        <v>0.92392994428857267</v>
      </c>
      <c r="T195" s="7">
        <f ca="1">$AU$9*EXP(-'3.r(t)'!F193*$AU$23)</f>
        <v>0.95176174068326624</v>
      </c>
      <c r="U195" s="7">
        <f ca="1">$AU$10*EXP(-'3.r(t)'!G193*$AU$24)</f>
        <v>0.97507692451481187</v>
      </c>
      <c r="V195" s="7">
        <v>1</v>
      </c>
      <c r="W195" s="7"/>
      <c r="X195" s="7">
        <v>187</v>
      </c>
      <c r="Y195" s="7">
        <f>$AV$7*EXP(-'3.r(t)'!D193*$AV$21)</f>
        <v>0.88900715067201674</v>
      </c>
      <c r="Z195" s="7">
        <f ca="1">$AV$8*EXP(-'3.r(t)'!E193*$AV$22)</f>
        <v>0.89907008613307982</v>
      </c>
      <c r="AA195" s="7">
        <f ca="1">$AV$9*EXP(-'3.r(t)'!F193*$AV$23)</f>
        <v>0.92789268239094591</v>
      </c>
      <c r="AB195" s="7">
        <f ca="1">$AV$10*EXP(-'3.r(t)'!G193*$AV$24)</f>
        <v>0.95034404880229373</v>
      </c>
      <c r="AC195" s="7">
        <f ca="1">$AV$11*EXP(-'3.r(t)'!H193*$AV$25)</f>
        <v>0.9751547584428335</v>
      </c>
      <c r="AD195" s="7">
        <v>1</v>
      </c>
      <c r="AE195" s="7"/>
      <c r="AF195" s="7">
        <v>187</v>
      </c>
      <c r="AG195" s="7">
        <f>$AW$7*EXP(-'3.r(t)'!D193*$AW$21)</f>
        <v>0.86718755429225491</v>
      </c>
      <c r="AH195" s="7">
        <f ca="1">$AW$8*EXP(-'3.r(t)'!E193*$AW$22)</f>
        <v>0.87450639499382354</v>
      </c>
      <c r="AI195" s="7">
        <f ca="1">$AW$9*EXP(-'3.r(t)'!F193*$AW$23)</f>
        <v>0.90423129337568631</v>
      </c>
      <c r="AJ195" s="7">
        <f ca="1">$AW$10*EXP(-'3.r(t)'!G193*$AW$24)</f>
        <v>0.92583257291136078</v>
      </c>
      <c r="AK195" s="7">
        <f ca="1">$AW$11*EXP(-'3.r(t)'!H193*$AW$25)</f>
        <v>0.95050420987806628</v>
      </c>
      <c r="AL195" s="7">
        <f ca="1">$AW$12*EXP(-'3.r(t)'!I193*$AW$26)</f>
        <v>0.97735922268616748</v>
      </c>
      <c r="AM195" s="7">
        <v>1</v>
      </c>
      <c r="AN195" s="7"/>
    </row>
    <row r="196" spans="2:40">
      <c r="B196" s="7">
        <v>188</v>
      </c>
      <c r="C196" s="7">
        <f>$AR$7*EXP(-'3.r(t)'!D194*$AR$21)</f>
        <v>0.97765346695821032</v>
      </c>
      <c r="D196" s="7">
        <v>1</v>
      </c>
      <c r="E196" s="7"/>
      <c r="F196" s="7">
        <v>188</v>
      </c>
      <c r="G196" s="48">
        <f>$AS$7*EXP(-'3.r(t)'!D194*$AS$21)</f>
        <v>0.9553476245219803</v>
      </c>
      <c r="H196" s="7">
        <f ca="1">$AS$8*EXP(-'3.r(t)'!E194*$AS$22)</f>
        <v>0.97970370819382713</v>
      </c>
      <c r="I196" s="7">
        <v>1</v>
      </c>
      <c r="J196" s="7"/>
      <c r="K196" s="7">
        <v>188</v>
      </c>
      <c r="L196" s="7">
        <f>$AT$7*EXP(-'3.r(t)'!D194*$AT$21)</f>
        <v>0.93311670519824419</v>
      </c>
      <c r="M196" s="7">
        <f ca="1">$AT$8*EXP(-'3.r(t)'!E194*$AT$22)</f>
        <v>0.95936726745814493</v>
      </c>
      <c r="N196" s="7">
        <f ca="1">$AT$9*EXP(-'3.r(t)'!F194*$AT$23)</f>
        <v>0.97423934559347691</v>
      </c>
      <c r="O196" s="7">
        <v>1</v>
      </c>
      <c r="P196" s="7"/>
      <c r="Q196" s="7">
        <v>188</v>
      </c>
      <c r="R196" s="7">
        <f>$AU$7*EXP(-'3.r(t)'!D194*$AU$21)</f>
        <v>0.91099305977534117</v>
      </c>
      <c r="S196" s="7">
        <f ca="1">$AU$8*EXP(-'3.r(t)'!E194*$AU$22)</f>
        <v>0.93902455512182226</v>
      </c>
      <c r="T196" s="7">
        <f ca="1">$AU$9*EXP(-'3.r(t)'!F194*$AU$23)</f>
        <v>0.94870366286147179</v>
      </c>
      <c r="U196" s="7">
        <f ca="1">$AU$10*EXP(-'3.r(t)'!G194*$AU$24)</f>
        <v>0.9762915698530148</v>
      </c>
      <c r="V196" s="7">
        <v>1</v>
      </c>
      <c r="W196" s="7"/>
      <c r="X196" s="7">
        <v>188</v>
      </c>
      <c r="Y196" s="7">
        <f>$AV$7*EXP(-'3.r(t)'!D194*$AV$21)</f>
        <v>0.88900715067201674</v>
      </c>
      <c r="Z196" s="7">
        <f ca="1">$AV$8*EXP(-'3.r(t)'!E194*$AV$22)</f>
        <v>0.91870784138568318</v>
      </c>
      <c r="AA196" s="7">
        <f ca="1">$AV$9*EXP(-'3.r(t)'!F194*$AV$23)</f>
        <v>0.92342419931945352</v>
      </c>
      <c r="AB196" s="7">
        <f ca="1">$AV$10*EXP(-'3.r(t)'!G194*$AV$24)</f>
        <v>0.95271319509187014</v>
      </c>
      <c r="AC196" s="7">
        <f ca="1">$AV$11*EXP(-'3.r(t)'!H194*$AV$25)</f>
        <v>0.9759501642866979</v>
      </c>
      <c r="AD196" s="7">
        <v>1</v>
      </c>
      <c r="AE196" s="7"/>
      <c r="AF196" s="7">
        <v>188</v>
      </c>
      <c r="AG196" s="7">
        <f>$AW$7*EXP(-'3.r(t)'!D194*$AW$21)</f>
        <v>0.86718755429225491</v>
      </c>
      <c r="AH196" s="7">
        <f ca="1">$AW$8*EXP(-'3.r(t)'!E194*$AW$22)</f>
        <v>0.89844776696444517</v>
      </c>
      <c r="AI196" s="7">
        <f ca="1">$AW$9*EXP(-'3.r(t)'!F194*$AW$23)</f>
        <v>0.89842991023771512</v>
      </c>
      <c r="AJ196" s="7">
        <f ca="1">$AW$10*EXP(-'3.r(t)'!G194*$AW$24)</f>
        <v>0.92929679083604111</v>
      </c>
      <c r="AK196" s="7">
        <f ca="1">$AW$11*EXP(-'3.r(t)'!H194*$AW$25)</f>
        <v>0.95205544046033486</v>
      </c>
      <c r="AL196" s="7">
        <f ca="1">$AW$12*EXP(-'3.r(t)'!I194*$AW$26)</f>
        <v>0.97603392089899754</v>
      </c>
      <c r="AM196" s="7">
        <v>1</v>
      </c>
      <c r="AN196" s="7"/>
    </row>
    <row r="197" spans="2:40">
      <c r="B197" s="7">
        <v>189</v>
      </c>
      <c r="C197" s="7">
        <f>$AR$7*EXP(-'3.r(t)'!D195*$AR$21)</f>
        <v>0.97765346695821032</v>
      </c>
      <c r="D197" s="7">
        <v>1</v>
      </c>
      <c r="E197" s="7"/>
      <c r="F197" s="7">
        <v>189</v>
      </c>
      <c r="G197" s="48">
        <f>$AS$7*EXP(-'3.r(t)'!D195*$AS$21)</f>
        <v>0.9553476245219803</v>
      </c>
      <c r="H197" s="7">
        <f ca="1">$AS$8*EXP(-'3.r(t)'!E195*$AS$22)</f>
        <v>0.97872287522579204</v>
      </c>
      <c r="I197" s="7">
        <v>1</v>
      </c>
      <c r="J197" s="7"/>
      <c r="K197" s="7">
        <v>189</v>
      </c>
      <c r="L197" s="7">
        <f>$AT$7*EXP(-'3.r(t)'!D195*$AT$21)</f>
        <v>0.93311670519824419</v>
      </c>
      <c r="M197" s="7">
        <f ca="1">$AT$8*EXP(-'3.r(t)'!E195*$AT$22)</f>
        <v>0.95744728286550418</v>
      </c>
      <c r="N197" s="7">
        <f ca="1">$AT$9*EXP(-'3.r(t)'!F195*$AT$23)</f>
        <v>0.97844205002779427</v>
      </c>
      <c r="O197" s="7">
        <v>1</v>
      </c>
      <c r="P197" s="7"/>
      <c r="Q197" s="7">
        <v>189</v>
      </c>
      <c r="R197" s="7">
        <f>$AU$7*EXP(-'3.r(t)'!D195*$AU$21)</f>
        <v>0.91099305977534117</v>
      </c>
      <c r="S197" s="7">
        <f ca="1">$AU$8*EXP(-'3.r(t)'!E195*$AU$22)</f>
        <v>0.93620705697331152</v>
      </c>
      <c r="T197" s="7">
        <f ca="1">$AU$9*EXP(-'3.r(t)'!F195*$AU$23)</f>
        <v>0.95690641302389901</v>
      </c>
      <c r="U197" s="7">
        <f ca="1">$AU$10*EXP(-'3.r(t)'!G195*$AU$24)</f>
        <v>0.97813725093978388</v>
      </c>
      <c r="V197" s="7">
        <v>1</v>
      </c>
      <c r="W197" s="7"/>
      <c r="X197" s="7">
        <v>189</v>
      </c>
      <c r="Y197" s="7">
        <f>$AV$7*EXP(-'3.r(t)'!D195*$AV$21)</f>
        <v>0.88900715067201674</v>
      </c>
      <c r="Z197" s="7">
        <f ca="1">$AV$8*EXP(-'3.r(t)'!E195*$AV$22)</f>
        <v>0.91503429548457915</v>
      </c>
      <c r="AA197" s="7">
        <f ca="1">$AV$9*EXP(-'3.r(t)'!F195*$AV$23)</f>
        <v>0.9354263152050859</v>
      </c>
      <c r="AB197" s="7">
        <f ca="1">$AV$10*EXP(-'3.r(t)'!G195*$AV$24)</f>
        <v>0.95631881233450511</v>
      </c>
      <c r="AC197" s="7">
        <f ca="1">$AV$11*EXP(-'3.r(t)'!H195*$AV$25)</f>
        <v>0.98072785199715595</v>
      </c>
      <c r="AD197" s="7">
        <v>1</v>
      </c>
      <c r="AE197" s="7"/>
      <c r="AF197" s="7">
        <v>189</v>
      </c>
      <c r="AG197" s="7">
        <f>$AW$7*EXP(-'3.r(t)'!D195*$AW$21)</f>
        <v>0.86718755429225491</v>
      </c>
      <c r="AH197" s="7">
        <f ca="1">$AW$8*EXP(-'3.r(t)'!E195*$AW$22)</f>
        <v>0.89395934632106255</v>
      </c>
      <c r="AI197" s="7">
        <f ca="1">$AW$9*EXP(-'3.r(t)'!F195*$AW$23)</f>
        <v>0.91403321430198814</v>
      </c>
      <c r="AJ197" s="7">
        <f ca="1">$AW$10*EXP(-'3.r(t)'!G195*$AW$24)</f>
        <v>0.9345772731287133</v>
      </c>
      <c r="AK197" s="7">
        <f ca="1">$AW$11*EXP(-'3.r(t)'!H195*$AW$25)</f>
        <v>0.96139968253320063</v>
      </c>
      <c r="AL197" s="7">
        <f ca="1">$AW$12*EXP(-'3.r(t)'!I195*$AW$26)</f>
        <v>0.98014175084808219</v>
      </c>
      <c r="AM197" s="7">
        <v>1</v>
      </c>
      <c r="AN197" s="7"/>
    </row>
    <row r="198" spans="2:40">
      <c r="B198" s="7">
        <v>190</v>
      </c>
      <c r="C198" s="7">
        <f>$AR$7*EXP(-'3.r(t)'!D196*$AR$21)</f>
        <v>0.97765346695821032</v>
      </c>
      <c r="D198" s="7">
        <v>1</v>
      </c>
      <c r="E198" s="7"/>
      <c r="F198" s="7">
        <v>190</v>
      </c>
      <c r="G198" s="48">
        <f>$AS$7*EXP(-'3.r(t)'!D196*$AS$21)</f>
        <v>0.9553476245219803</v>
      </c>
      <c r="H198" s="7">
        <f ca="1">$AS$8*EXP(-'3.r(t)'!E196*$AS$22)</f>
        <v>0.97513847039134094</v>
      </c>
      <c r="I198" s="7">
        <v>1</v>
      </c>
      <c r="J198" s="7"/>
      <c r="K198" s="7">
        <v>190</v>
      </c>
      <c r="L198" s="7">
        <f>$AT$7*EXP(-'3.r(t)'!D196*$AT$21)</f>
        <v>0.93311670519824419</v>
      </c>
      <c r="M198" s="7">
        <f ca="1">$AT$8*EXP(-'3.r(t)'!E196*$AT$22)</f>
        <v>0.95044715152629644</v>
      </c>
      <c r="N198" s="7">
        <f ca="1">$AT$9*EXP(-'3.r(t)'!F196*$AT$23)</f>
        <v>0.97286894886296715</v>
      </c>
      <c r="O198" s="7">
        <v>1</v>
      </c>
      <c r="P198" s="7"/>
      <c r="Q198" s="7">
        <v>190</v>
      </c>
      <c r="R198" s="7">
        <f>$AU$7*EXP(-'3.r(t)'!D196*$AU$21)</f>
        <v>0.91099305977534117</v>
      </c>
      <c r="S198" s="7">
        <f ca="1">$AU$8*EXP(-'3.r(t)'!E196*$AU$22)</f>
        <v>0.92595858823699939</v>
      </c>
      <c r="T198" s="7">
        <f ca="1">$AU$9*EXP(-'3.r(t)'!F196*$AU$23)</f>
        <v>0.94603658516245437</v>
      </c>
      <c r="U198" s="7">
        <f ca="1">$AU$10*EXP(-'3.r(t)'!G196*$AU$24)</f>
        <v>0.97530672502642346</v>
      </c>
      <c r="V198" s="7">
        <v>1</v>
      </c>
      <c r="W198" s="7"/>
      <c r="X198" s="7">
        <v>190</v>
      </c>
      <c r="Y198" s="7">
        <f>$AV$7*EXP(-'3.r(t)'!D196*$AV$21)</f>
        <v>0.88900715067201674</v>
      </c>
      <c r="Z198" s="7">
        <f ca="1">$AV$8*EXP(-'3.r(t)'!E196*$AV$22)</f>
        <v>0.90170312877804515</v>
      </c>
      <c r="AA198" s="7">
        <f ca="1">$AV$9*EXP(-'3.r(t)'!F196*$AV$23)</f>
        <v>0.91953292257017138</v>
      </c>
      <c r="AB198" s="7">
        <f ca="1">$AV$10*EXP(-'3.r(t)'!G196*$AV$24)</f>
        <v>0.95079204480655932</v>
      </c>
      <c r="AC198" s="7">
        <f ca="1">$AV$11*EXP(-'3.r(t)'!H196*$AV$25)</f>
        <v>0.97531813920654531</v>
      </c>
      <c r="AD198" s="7">
        <v>1</v>
      </c>
      <c r="AE198" s="7"/>
      <c r="AF198" s="7">
        <v>190</v>
      </c>
      <c r="AG198" s="7">
        <f>$AW$7*EXP(-'3.r(t)'!D196*$AW$21)</f>
        <v>0.86718755429225491</v>
      </c>
      <c r="AH198" s="7">
        <f ca="1">$AW$8*EXP(-'3.r(t)'!E196*$AW$22)</f>
        <v>0.87770894698018664</v>
      </c>
      <c r="AI198" s="7">
        <f ca="1">$AW$9*EXP(-'3.r(t)'!F196*$AW$23)</f>
        <v>0.89338552326222831</v>
      </c>
      <c r="AJ198" s="7">
        <f ca="1">$AW$10*EXP(-'3.r(t)'!G196*$AW$24)</f>
        <v>0.92648731185187017</v>
      </c>
      <c r="AK198" s="7">
        <f ca="1">$AW$11*EXP(-'3.r(t)'!H196*$AW$25)</f>
        <v>0.95082273801245543</v>
      </c>
      <c r="AL198" s="7">
        <f ca="1">$AW$12*EXP(-'3.r(t)'!I196*$AW$26)</f>
        <v>0.96973648137864599</v>
      </c>
      <c r="AM198" s="7">
        <v>1</v>
      </c>
      <c r="AN198" s="7"/>
    </row>
    <row r="199" spans="2:40">
      <c r="B199" s="7">
        <v>191</v>
      </c>
      <c r="C199" s="7">
        <f>$AR$7*EXP(-'3.r(t)'!D197*$AR$21)</f>
        <v>0.97765346695821032</v>
      </c>
      <c r="D199" s="7">
        <v>1</v>
      </c>
      <c r="E199" s="7"/>
      <c r="F199" s="7">
        <v>191</v>
      </c>
      <c r="G199" s="48">
        <f>$AS$7*EXP(-'3.r(t)'!D197*$AS$21)</f>
        <v>0.9553476245219803</v>
      </c>
      <c r="H199" s="7">
        <f ca="1">$AS$8*EXP(-'3.r(t)'!E197*$AS$22)</f>
        <v>0.97488029732689929</v>
      </c>
      <c r="I199" s="7">
        <v>1</v>
      </c>
      <c r="J199" s="7"/>
      <c r="K199" s="7">
        <v>191</v>
      </c>
      <c r="L199" s="7">
        <f>$AT$7*EXP(-'3.r(t)'!D197*$AT$21)</f>
        <v>0.93311670519824419</v>
      </c>
      <c r="M199" s="7">
        <f ca="1">$AT$8*EXP(-'3.r(t)'!E197*$AT$22)</f>
        <v>0.94994394633371637</v>
      </c>
      <c r="N199" s="7">
        <f ca="1">$AT$9*EXP(-'3.r(t)'!F197*$AT$23)</f>
        <v>0.97684054444758883</v>
      </c>
      <c r="O199" s="7">
        <v>1</v>
      </c>
      <c r="P199" s="7"/>
      <c r="Q199" s="7">
        <v>191</v>
      </c>
      <c r="R199" s="7">
        <f>$AU$7*EXP(-'3.r(t)'!D197*$AU$21)</f>
        <v>0.91099305977534117</v>
      </c>
      <c r="S199" s="7">
        <f ca="1">$AU$8*EXP(-'3.r(t)'!E197*$AU$22)</f>
        <v>0.92522332564396492</v>
      </c>
      <c r="T199" s="7">
        <f ca="1">$AU$9*EXP(-'3.r(t)'!F197*$AU$23)</f>
        <v>0.9537764641912635</v>
      </c>
      <c r="U199" s="7">
        <f ca="1">$AU$10*EXP(-'3.r(t)'!G197*$AU$24)</f>
        <v>0.98112394438185002</v>
      </c>
      <c r="V199" s="7">
        <v>1</v>
      </c>
      <c r="W199" s="7"/>
      <c r="X199" s="7">
        <v>191</v>
      </c>
      <c r="Y199" s="7">
        <f>$AV$7*EXP(-'3.r(t)'!D197*$AV$21)</f>
        <v>0.88900715067201674</v>
      </c>
      <c r="Z199" s="7">
        <f ca="1">$AV$8*EXP(-'3.r(t)'!E197*$AV$22)</f>
        <v>0.90074858526401957</v>
      </c>
      <c r="AA199" s="7">
        <f ca="1">$AV$9*EXP(-'3.r(t)'!F197*$AV$23)</f>
        <v>0.93084053598655925</v>
      </c>
      <c r="AB199" s="7">
        <f ca="1">$AV$10*EXP(-'3.r(t)'!G197*$AV$24)</f>
        <v>0.96216787247899904</v>
      </c>
      <c r="AC199" s="7">
        <f ca="1">$AV$11*EXP(-'3.r(t)'!H197*$AV$25)</f>
        <v>0.97797980431877274</v>
      </c>
      <c r="AD199" s="7">
        <v>1</v>
      </c>
      <c r="AE199" s="7"/>
      <c r="AF199" s="7">
        <v>191</v>
      </c>
      <c r="AG199" s="7">
        <f>$AW$7*EXP(-'3.r(t)'!D197*$AW$21)</f>
        <v>0.86718755429225491</v>
      </c>
      <c r="AH199" s="7">
        <f ca="1">$AW$8*EXP(-'3.r(t)'!E197*$AW$22)</f>
        <v>0.87654767163496161</v>
      </c>
      <c r="AI199" s="7">
        <f ca="1">$AW$9*EXP(-'3.r(t)'!F197*$AW$23)</f>
        <v>0.9080635639241329</v>
      </c>
      <c r="AJ199" s="7">
        <f ca="1">$AW$10*EXP(-'3.r(t)'!G197*$AW$24)</f>
        <v>0.94316449614243481</v>
      </c>
      <c r="AK199" s="7">
        <f ca="1">$AW$11*EXP(-'3.r(t)'!H197*$AW$25)</f>
        <v>0.95601945254945042</v>
      </c>
      <c r="AL199" s="7">
        <f ca="1">$AW$12*EXP(-'3.r(t)'!I197*$AW$26)</f>
        <v>0.97691374542867004</v>
      </c>
      <c r="AM199" s="7">
        <v>1</v>
      </c>
      <c r="AN199" s="7"/>
    </row>
    <row r="200" spans="2:40">
      <c r="B200" s="7">
        <v>192</v>
      </c>
      <c r="C200" s="7">
        <f>$AR$7*EXP(-'3.r(t)'!D198*$AR$21)</f>
        <v>0.97765346695821032</v>
      </c>
      <c r="D200" s="7">
        <v>1</v>
      </c>
      <c r="E200" s="7"/>
      <c r="F200" s="7">
        <v>192</v>
      </c>
      <c r="G200" s="48">
        <f>$AS$7*EXP(-'3.r(t)'!D198*$AS$21)</f>
        <v>0.9553476245219803</v>
      </c>
      <c r="H200" s="7">
        <f ca="1">$AS$8*EXP(-'3.r(t)'!E198*$AS$22)</f>
        <v>0.9787467956163699</v>
      </c>
      <c r="I200" s="7">
        <v>1</v>
      </c>
      <c r="J200" s="7"/>
      <c r="K200" s="7">
        <v>192</v>
      </c>
      <c r="L200" s="7">
        <f>$AT$7*EXP(-'3.r(t)'!D198*$AT$21)</f>
        <v>0.93311670519824419</v>
      </c>
      <c r="M200" s="7">
        <f ca="1">$AT$8*EXP(-'3.r(t)'!E198*$AT$22)</f>
        <v>0.95749408425007798</v>
      </c>
      <c r="N200" s="7">
        <f ca="1">$AT$9*EXP(-'3.r(t)'!F198*$AT$23)</f>
        <v>0.97690550398214748</v>
      </c>
      <c r="O200" s="7">
        <v>1</v>
      </c>
      <c r="P200" s="7"/>
      <c r="Q200" s="7">
        <v>192</v>
      </c>
      <c r="R200" s="7">
        <f>$AU$7*EXP(-'3.r(t)'!D198*$AU$21)</f>
        <v>0.91099305977534117</v>
      </c>
      <c r="S200" s="7">
        <f ca="1">$AU$8*EXP(-'3.r(t)'!E198*$AU$22)</f>
        <v>0.93627570251036363</v>
      </c>
      <c r="T200" s="7">
        <f ca="1">$AU$9*EXP(-'3.r(t)'!F198*$AU$23)</f>
        <v>0.95390331997257538</v>
      </c>
      <c r="U200" s="7">
        <f ca="1">$AU$10*EXP(-'3.r(t)'!G198*$AU$24)</f>
        <v>0.97368145377055704</v>
      </c>
      <c r="V200" s="7">
        <v>1</v>
      </c>
      <c r="W200" s="7"/>
      <c r="X200" s="7">
        <v>192</v>
      </c>
      <c r="Y200" s="7">
        <f>$AV$7*EXP(-'3.r(t)'!D198*$AV$21)</f>
        <v>0.88900715067201674</v>
      </c>
      <c r="Z200" s="7">
        <f ca="1">$AV$8*EXP(-'3.r(t)'!E198*$AV$22)</f>
        <v>0.91512375402584378</v>
      </c>
      <c r="AA200" s="7">
        <f ca="1">$AV$9*EXP(-'3.r(t)'!F198*$AV$23)</f>
        <v>0.93102624998900274</v>
      </c>
      <c r="AB200" s="7">
        <f ca="1">$AV$10*EXP(-'3.r(t)'!G198*$AV$24)</f>
        <v>0.94762584614230994</v>
      </c>
      <c r="AC200" s="7">
        <f ca="1">$AV$11*EXP(-'3.r(t)'!H198*$AV$25)</f>
        <v>0.9767597277551715</v>
      </c>
      <c r="AD200" s="7">
        <v>1</v>
      </c>
      <c r="AE200" s="7"/>
      <c r="AF200" s="7">
        <v>192</v>
      </c>
      <c r="AG200" s="7">
        <f>$AW$7*EXP(-'3.r(t)'!D198*$AW$21)</f>
        <v>0.86718755429225491</v>
      </c>
      <c r="AH200" s="7">
        <f ca="1">$AW$8*EXP(-'3.r(t)'!E198*$AW$22)</f>
        <v>0.89406859533603977</v>
      </c>
      <c r="AI200" s="7">
        <f ca="1">$AW$9*EXP(-'3.r(t)'!F198*$AW$23)</f>
        <v>0.90830513158230353</v>
      </c>
      <c r="AJ200" s="7">
        <f ca="1">$AW$10*EXP(-'3.r(t)'!G198*$AW$24)</f>
        <v>0.92186327327831086</v>
      </c>
      <c r="AK200" s="7">
        <f ca="1">$AW$11*EXP(-'3.r(t)'!H198*$AW$25)</f>
        <v>0.95363558052507491</v>
      </c>
      <c r="AL200" s="7">
        <f ca="1">$AW$12*EXP(-'3.r(t)'!I198*$AW$26)</f>
        <v>0.97923726982090964</v>
      </c>
      <c r="AM200" s="7">
        <v>1</v>
      </c>
      <c r="AN200" s="7"/>
    </row>
    <row r="201" spans="2:40">
      <c r="B201" s="7">
        <v>193</v>
      </c>
      <c r="C201" s="7">
        <f>$AR$7*EXP(-'3.r(t)'!D199*$AR$21)</f>
        <v>0.97765346695821032</v>
      </c>
      <c r="D201" s="7">
        <v>1</v>
      </c>
      <c r="E201" s="7"/>
      <c r="F201" s="7">
        <v>193</v>
      </c>
      <c r="G201" s="48">
        <f>$AS$7*EXP(-'3.r(t)'!D199*$AS$21)</f>
        <v>0.9553476245219803</v>
      </c>
      <c r="H201" s="7">
        <f ca="1">$AS$8*EXP(-'3.r(t)'!E199*$AS$22)</f>
        <v>0.98006760534005288</v>
      </c>
      <c r="I201" s="7">
        <v>1</v>
      </c>
      <c r="J201" s="7"/>
      <c r="K201" s="7">
        <v>193</v>
      </c>
      <c r="L201" s="7">
        <f>$AT$7*EXP(-'3.r(t)'!D199*$AT$21)</f>
        <v>0.93311670519824419</v>
      </c>
      <c r="M201" s="7">
        <f ca="1">$AT$8*EXP(-'3.r(t)'!E199*$AT$22)</f>
        <v>0.96008008674029022</v>
      </c>
      <c r="N201" s="7">
        <f ca="1">$AT$9*EXP(-'3.r(t)'!F199*$AT$23)</f>
        <v>0.97940838098123995</v>
      </c>
      <c r="O201" s="7">
        <v>1</v>
      </c>
      <c r="P201" s="7"/>
      <c r="Q201" s="7">
        <v>193</v>
      </c>
      <c r="R201" s="7">
        <f>$AU$7*EXP(-'3.r(t)'!D199*$AU$21)</f>
        <v>0.91099305977534117</v>
      </c>
      <c r="S201" s="7">
        <f ca="1">$AU$8*EXP(-'3.r(t)'!E199*$AU$22)</f>
        <v>0.94007130616948265</v>
      </c>
      <c r="T201" s="7">
        <f ca="1">$AU$9*EXP(-'3.r(t)'!F199*$AU$23)</f>
        <v>0.95879747015437444</v>
      </c>
      <c r="U201" s="7">
        <f ca="1">$AU$10*EXP(-'3.r(t)'!G199*$AU$24)</f>
        <v>0.9801154252588663</v>
      </c>
      <c r="V201" s="7">
        <v>1</v>
      </c>
      <c r="W201" s="7"/>
      <c r="X201" s="7">
        <v>193</v>
      </c>
      <c r="Y201" s="7">
        <f>$AV$7*EXP(-'3.r(t)'!D199*$AV$21)</f>
        <v>0.88900715067201674</v>
      </c>
      <c r="Z201" s="7">
        <f ca="1">$AV$8*EXP(-'3.r(t)'!E199*$AV$22)</f>
        <v>0.92007356643097737</v>
      </c>
      <c r="AA201" s="7">
        <f ca="1">$AV$9*EXP(-'3.r(t)'!F199*$AV$23)</f>
        <v>0.93820059633757635</v>
      </c>
      <c r="AB201" s="7">
        <f ca="1">$AV$10*EXP(-'3.r(t)'!G199*$AV$24)</f>
        <v>0.96019082161862257</v>
      </c>
      <c r="AC201" s="7">
        <f ca="1">$AV$11*EXP(-'3.r(t)'!H199*$AV$25)</f>
        <v>0.98079155876864332</v>
      </c>
      <c r="AD201" s="7">
        <v>1</v>
      </c>
      <c r="AE201" s="7"/>
      <c r="AF201" s="7">
        <v>193</v>
      </c>
      <c r="AG201" s="7">
        <f>$AW$7*EXP(-'3.r(t)'!D199*$AW$21)</f>
        <v>0.86718755429225491</v>
      </c>
      <c r="AH201" s="7">
        <f ca="1">$AW$8*EXP(-'3.r(t)'!E199*$AW$22)</f>
        <v>0.9001175858206879</v>
      </c>
      <c r="AI201" s="7">
        <f ca="1">$AW$9*EXP(-'3.r(t)'!F199*$AW$23)</f>
        <v>0.91764944456385045</v>
      </c>
      <c r="AJ201" s="7">
        <f ca="1">$AW$10*EXP(-'3.r(t)'!G199*$AW$24)</f>
        <v>0.94025898554342047</v>
      </c>
      <c r="AK201" s="7">
        <f ca="1">$AW$11*EXP(-'3.r(t)'!H199*$AW$25)</f>
        <v>0.96152458906877403</v>
      </c>
      <c r="AL201" s="7">
        <f ca="1">$AW$12*EXP(-'3.r(t)'!I199*$AW$26)</f>
        <v>0.97978333316209465</v>
      </c>
      <c r="AM201" s="7">
        <v>1</v>
      </c>
      <c r="AN201" s="7"/>
    </row>
    <row r="202" spans="2:40">
      <c r="B202" s="7">
        <v>194</v>
      </c>
      <c r="C202" s="7">
        <f>$AR$7*EXP(-'3.r(t)'!D200*$AR$21)</f>
        <v>0.97765346695821032</v>
      </c>
      <c r="D202" s="7">
        <v>1</v>
      </c>
      <c r="E202" s="7"/>
      <c r="F202" s="7">
        <v>194</v>
      </c>
      <c r="G202" s="48">
        <f>$AS$7*EXP(-'3.r(t)'!D200*$AS$21)</f>
        <v>0.9553476245219803</v>
      </c>
      <c r="H202" s="7">
        <f ca="1">$AS$8*EXP(-'3.r(t)'!E200*$AS$22)</f>
        <v>0.97556869225991272</v>
      </c>
      <c r="I202" s="7">
        <v>1</v>
      </c>
      <c r="J202" s="7"/>
      <c r="K202" s="7">
        <v>194</v>
      </c>
      <c r="L202" s="7">
        <f>$AT$7*EXP(-'3.r(t)'!D200*$AT$21)</f>
        <v>0.93311670519824419</v>
      </c>
      <c r="M202" s="7">
        <f ca="1">$AT$8*EXP(-'3.r(t)'!E200*$AT$22)</f>
        <v>0.95128599311449669</v>
      </c>
      <c r="N202" s="7">
        <f ca="1">$AT$9*EXP(-'3.r(t)'!F200*$AT$23)</f>
        <v>0.97442002167882169</v>
      </c>
      <c r="O202" s="7">
        <v>1</v>
      </c>
      <c r="P202" s="7"/>
      <c r="Q202" s="7">
        <v>194</v>
      </c>
      <c r="R202" s="7">
        <f>$AU$7*EXP(-'3.r(t)'!D200*$AU$21)</f>
        <v>0.91099305977534117</v>
      </c>
      <c r="S202" s="7">
        <f ca="1">$AU$8*EXP(-'3.r(t)'!E200*$AU$22)</f>
        <v>0.92718470153689958</v>
      </c>
      <c r="T202" s="7">
        <f ca="1">$AU$9*EXP(-'3.r(t)'!F200*$AU$23)</f>
        <v>0.94905557629803161</v>
      </c>
      <c r="U202" s="7">
        <f ca="1">$AU$10*EXP(-'3.r(t)'!G200*$AU$24)</f>
        <v>0.97832746711549246</v>
      </c>
      <c r="V202" s="7">
        <v>1</v>
      </c>
      <c r="W202" s="7"/>
      <c r="X202" s="7">
        <v>194</v>
      </c>
      <c r="Y202" s="7">
        <f>$AV$7*EXP(-'3.r(t)'!D200*$AV$21)</f>
        <v>0.88900715067201674</v>
      </c>
      <c r="Z202" s="7">
        <f ca="1">$AV$8*EXP(-'3.r(t)'!E200*$AV$22)</f>
        <v>0.90329547374412633</v>
      </c>
      <c r="AA202" s="7">
        <f ca="1">$AV$9*EXP(-'3.r(t)'!F200*$AV$23)</f>
        <v>0.92393805132090689</v>
      </c>
      <c r="AB202" s="7">
        <f ca="1">$AV$10*EXP(-'3.r(t)'!G200*$AV$24)</f>
        <v>0.95669079488525732</v>
      </c>
      <c r="AC202" s="7">
        <f ca="1">$AV$11*EXP(-'3.r(t)'!H200*$AV$25)</f>
        <v>0.97632815413940788</v>
      </c>
      <c r="AD202" s="7">
        <v>1</v>
      </c>
      <c r="AE202" s="7"/>
      <c r="AF202" s="7">
        <v>194</v>
      </c>
      <c r="AG202" s="7">
        <f>$AW$7*EXP(-'3.r(t)'!D200*$AW$21)</f>
        <v>0.86718755429225491</v>
      </c>
      <c r="AH202" s="7">
        <f ca="1">$AW$8*EXP(-'3.r(t)'!E200*$AW$22)</f>
        <v>0.87964684060911669</v>
      </c>
      <c r="AI202" s="7">
        <f ca="1">$AW$9*EXP(-'3.r(t)'!F200*$AW$23)</f>
        <v>0.89909656350318368</v>
      </c>
      <c r="AJ202" s="7">
        <f ca="1">$AW$10*EXP(-'3.r(t)'!G200*$AW$24)</f>
        <v>0.93512261465743707</v>
      </c>
      <c r="AK202" s="7">
        <f ca="1">$AW$11*EXP(-'3.r(t)'!H200*$AW$25)</f>
        <v>0.95279305391230662</v>
      </c>
      <c r="AL202" s="7">
        <f ca="1">$AW$12*EXP(-'3.r(t)'!I200*$AW$26)</f>
        <v>0.97126867482257639</v>
      </c>
      <c r="AM202" s="7">
        <v>1</v>
      </c>
      <c r="AN202" s="7"/>
    </row>
    <row r="203" spans="2:40">
      <c r="B203" s="7">
        <v>195</v>
      </c>
      <c r="C203" s="7">
        <f>$AR$7*EXP(-'3.r(t)'!D201*$AR$21)</f>
        <v>0.97765346695821032</v>
      </c>
      <c r="D203" s="7">
        <v>1</v>
      </c>
      <c r="E203" s="7"/>
      <c r="F203" s="7">
        <v>195</v>
      </c>
      <c r="G203" s="48">
        <f>$AS$7*EXP(-'3.r(t)'!D201*$AS$21)</f>
        <v>0.9553476245219803</v>
      </c>
      <c r="H203" s="7">
        <f ca="1">$AS$8*EXP(-'3.r(t)'!E201*$AS$22)</f>
        <v>0.97916468180834149</v>
      </c>
      <c r="I203" s="7">
        <v>1</v>
      </c>
      <c r="J203" s="7"/>
      <c r="K203" s="7">
        <v>195</v>
      </c>
      <c r="L203" s="7">
        <f>$AT$7*EXP(-'3.r(t)'!D201*$AT$21)</f>
        <v>0.93311670519824419</v>
      </c>
      <c r="M203" s="7">
        <f ca="1">$AT$8*EXP(-'3.r(t)'!E201*$AT$22)</f>
        <v>0.95831188304536574</v>
      </c>
      <c r="N203" s="7">
        <f ca="1">$AT$9*EXP(-'3.r(t)'!F201*$AT$23)</f>
        <v>0.98063706959184493</v>
      </c>
      <c r="O203" s="7">
        <v>1</v>
      </c>
      <c r="P203" s="7"/>
      <c r="Q203" s="7">
        <v>195</v>
      </c>
      <c r="R203" s="7">
        <f>$AU$7*EXP(-'3.r(t)'!D201*$AU$21)</f>
        <v>0.91099305977534117</v>
      </c>
      <c r="S203" s="7">
        <f ca="1">$AU$8*EXP(-'3.r(t)'!E201*$AU$22)</f>
        <v>0.93747547276133603</v>
      </c>
      <c r="T203" s="7">
        <f ca="1">$AU$9*EXP(-'3.r(t)'!F201*$AU$23)</f>
        <v>0.96120464270303518</v>
      </c>
      <c r="U203" s="7">
        <f ca="1">$AU$10*EXP(-'3.r(t)'!G201*$AU$24)</f>
        <v>0.97453439887659576</v>
      </c>
      <c r="V203" s="7">
        <v>1</v>
      </c>
      <c r="W203" s="7"/>
      <c r="X203" s="7">
        <v>195</v>
      </c>
      <c r="Y203" s="7">
        <f>$AV$7*EXP(-'3.r(t)'!D201*$AV$21)</f>
        <v>0.88900715067201674</v>
      </c>
      <c r="Z203" s="7">
        <f ca="1">$AV$8*EXP(-'3.r(t)'!E201*$AV$22)</f>
        <v>0.91668764191992158</v>
      </c>
      <c r="AA203" s="7">
        <f ca="1">$AV$9*EXP(-'3.r(t)'!F201*$AV$23)</f>
        <v>0.94173600558576998</v>
      </c>
      <c r="AB203" s="7">
        <f ca="1">$AV$10*EXP(-'3.r(t)'!G201*$AV$24)</f>
        <v>0.94928681410725058</v>
      </c>
      <c r="AC203" s="7">
        <f ca="1">$AV$11*EXP(-'3.r(t)'!H201*$AV$25)</f>
        <v>0.97070702839608802</v>
      </c>
      <c r="AD203" s="7">
        <v>1</v>
      </c>
      <c r="AE203" s="7"/>
      <c r="AF203" s="7">
        <v>195</v>
      </c>
      <c r="AG203" s="7">
        <f>$AW$7*EXP(-'3.r(t)'!D201*$AW$21)</f>
        <v>0.86718755429225491</v>
      </c>
      <c r="AH203" s="7">
        <f ca="1">$AW$8*EXP(-'3.r(t)'!E201*$AW$22)</f>
        <v>0.8959788856154467</v>
      </c>
      <c r="AI203" s="7">
        <f ca="1">$AW$9*EXP(-'3.r(t)'!F201*$AW$23)</f>
        <v>0.92226295997698637</v>
      </c>
      <c r="AJ203" s="7">
        <f ca="1">$AW$10*EXP(-'3.r(t)'!G201*$AW$24)</f>
        <v>0.92428805326144947</v>
      </c>
      <c r="AK203" s="7">
        <f ca="1">$AW$11*EXP(-'3.r(t)'!H201*$AW$25)</f>
        <v>0.9418533880869574</v>
      </c>
      <c r="AL203" s="7">
        <f ca="1">$AW$12*EXP(-'3.r(t)'!I201*$AW$26)</f>
        <v>0.97141440125385725</v>
      </c>
      <c r="AM203" s="7">
        <v>1</v>
      </c>
      <c r="AN203" s="7"/>
    </row>
    <row r="204" spans="2:40">
      <c r="B204" s="7">
        <v>196</v>
      </c>
      <c r="C204" s="7">
        <f>$AR$7*EXP(-'3.r(t)'!D202*$AR$21)</f>
        <v>0.97765346695821032</v>
      </c>
      <c r="D204" s="7">
        <v>1</v>
      </c>
      <c r="E204" s="7"/>
      <c r="F204" s="7">
        <v>196</v>
      </c>
      <c r="G204" s="48">
        <f>$AS$7*EXP(-'3.r(t)'!D202*$AS$21)</f>
        <v>0.9553476245219803</v>
      </c>
      <c r="H204" s="7">
        <f ca="1">$AS$8*EXP(-'3.r(t)'!E202*$AS$22)</f>
        <v>0.97409423382104299</v>
      </c>
      <c r="I204" s="7">
        <v>1</v>
      </c>
      <c r="J204" s="7"/>
      <c r="K204" s="7">
        <v>196</v>
      </c>
      <c r="L204" s="7">
        <f>$AT$7*EXP(-'3.r(t)'!D202*$AT$21)</f>
        <v>0.93311670519824419</v>
      </c>
      <c r="M204" s="7">
        <f ca="1">$AT$8*EXP(-'3.r(t)'!E202*$AT$22)</f>
        <v>0.94841265018280574</v>
      </c>
      <c r="N204" s="7">
        <f ca="1">$AT$9*EXP(-'3.r(t)'!F202*$AT$23)</f>
        <v>0.97482624785170735</v>
      </c>
      <c r="O204" s="7">
        <v>1</v>
      </c>
      <c r="P204" s="7"/>
      <c r="Q204" s="7">
        <v>196</v>
      </c>
      <c r="R204" s="7">
        <f>$AU$7*EXP(-'3.r(t)'!D202*$AU$21)</f>
        <v>0.91099305977534117</v>
      </c>
      <c r="S204" s="7">
        <f ca="1">$AU$8*EXP(-'3.r(t)'!E202*$AU$22)</f>
        <v>0.92298705716587548</v>
      </c>
      <c r="T204" s="7">
        <f ca="1">$AU$9*EXP(-'3.r(t)'!F202*$AU$23)</f>
        <v>0.94984704520903884</v>
      </c>
      <c r="U204" s="7">
        <f ca="1">$AU$10*EXP(-'3.r(t)'!G202*$AU$24)</f>
        <v>0.9767492566449002</v>
      </c>
      <c r="V204" s="7">
        <v>1</v>
      </c>
      <c r="W204" s="7"/>
      <c r="X204" s="7">
        <v>196</v>
      </c>
      <c r="Y204" s="7">
        <f>$AV$7*EXP(-'3.r(t)'!D202*$AV$21)</f>
        <v>0.88900715067201674</v>
      </c>
      <c r="Z204" s="7">
        <f ca="1">$AV$8*EXP(-'3.r(t)'!E202*$AV$22)</f>
        <v>0.89784693800258697</v>
      </c>
      <c r="AA204" s="7">
        <f ca="1">$AV$9*EXP(-'3.r(t)'!F202*$AV$23)</f>
        <v>0.92509407532223076</v>
      </c>
      <c r="AB204" s="7">
        <f ca="1">$AV$10*EXP(-'3.r(t)'!G202*$AV$24)</f>
        <v>0.95360667091073126</v>
      </c>
      <c r="AC204" s="7">
        <f ca="1">$AV$11*EXP(-'3.r(t)'!H202*$AV$25)</f>
        <v>0.97679176808932811</v>
      </c>
      <c r="AD204" s="7">
        <v>1</v>
      </c>
      <c r="AE204" s="7"/>
      <c r="AF204" s="7">
        <v>196</v>
      </c>
      <c r="AG204" s="7">
        <f>$AW$7*EXP(-'3.r(t)'!D202*$AW$21)</f>
        <v>0.86718755429225491</v>
      </c>
      <c r="AH204" s="7">
        <f ca="1">$AW$8*EXP(-'3.r(t)'!E202*$AW$22)</f>
        <v>0.87301948519294581</v>
      </c>
      <c r="AI204" s="7">
        <f ca="1">$AW$9*EXP(-'3.r(t)'!F202*$AW$23)</f>
        <v>0.90059679956861494</v>
      </c>
      <c r="AJ204" s="7">
        <f ca="1">$AW$10*EXP(-'3.r(t)'!G202*$AW$24)</f>
        <v>0.93060437036968335</v>
      </c>
      <c r="AK204" s="7">
        <f ca="1">$AW$11*EXP(-'3.r(t)'!H202*$AW$25)</f>
        <v>0.95369814515163576</v>
      </c>
      <c r="AL204" s="7">
        <f ca="1">$AW$12*EXP(-'3.r(t)'!I202*$AW$26)</f>
        <v>0.97711940842081824</v>
      </c>
      <c r="AM204" s="7">
        <v>1</v>
      </c>
      <c r="AN204" s="7"/>
    </row>
    <row r="205" spans="2:40">
      <c r="B205" s="7">
        <v>197</v>
      </c>
      <c r="C205" s="7">
        <f>$AR$7*EXP(-'3.r(t)'!D203*$AR$21)</f>
        <v>0.97765346695821032</v>
      </c>
      <c r="D205" s="7">
        <v>1</v>
      </c>
      <c r="E205" s="7"/>
      <c r="F205" s="7">
        <v>197</v>
      </c>
      <c r="G205" s="48">
        <f>$AS$7*EXP(-'3.r(t)'!D203*$AS$21)</f>
        <v>0.9553476245219803</v>
      </c>
      <c r="H205" s="7">
        <f ca="1">$AS$8*EXP(-'3.r(t)'!E203*$AS$22)</f>
        <v>0.9767401111724483</v>
      </c>
      <c r="I205" s="7">
        <v>1</v>
      </c>
      <c r="J205" s="7"/>
      <c r="K205" s="7">
        <v>197</v>
      </c>
      <c r="L205" s="7">
        <f>$AT$7*EXP(-'3.r(t)'!D203*$AT$21)</f>
        <v>0.93311670519824419</v>
      </c>
      <c r="M205" s="7">
        <f ca="1">$AT$8*EXP(-'3.r(t)'!E203*$AT$22)</f>
        <v>0.95357188737428689</v>
      </c>
      <c r="N205" s="7">
        <f ca="1">$AT$9*EXP(-'3.r(t)'!F203*$AT$23)</f>
        <v>0.97297782700310198</v>
      </c>
      <c r="O205" s="7">
        <v>1</v>
      </c>
      <c r="P205" s="7"/>
      <c r="Q205" s="7">
        <v>197</v>
      </c>
      <c r="R205" s="7">
        <f>$AU$7*EXP(-'3.r(t)'!D203*$AU$21)</f>
        <v>0.91099305977534117</v>
      </c>
      <c r="S205" s="7">
        <f ca="1">$AU$8*EXP(-'3.r(t)'!E203*$AU$22)</f>
        <v>0.93052867841333387</v>
      </c>
      <c r="T205" s="7">
        <f ca="1">$AU$9*EXP(-'3.r(t)'!F203*$AU$23)</f>
        <v>0.94624834743066222</v>
      </c>
      <c r="U205" s="7">
        <f ca="1">$AU$10*EXP(-'3.r(t)'!G203*$AU$24)</f>
        <v>0.97207273019014218</v>
      </c>
      <c r="V205" s="7">
        <v>1</v>
      </c>
      <c r="W205" s="7"/>
      <c r="X205" s="7">
        <v>197</v>
      </c>
      <c r="Y205" s="7">
        <f>$AV$7*EXP(-'3.r(t)'!D203*$AV$21)</f>
        <v>0.88900715067201674</v>
      </c>
      <c r="Z205" s="7">
        <f ca="1">$AV$8*EXP(-'3.r(t)'!E203*$AV$22)</f>
        <v>0.90764184025465899</v>
      </c>
      <c r="AA205" s="7">
        <f ca="1">$AV$9*EXP(-'3.r(t)'!F203*$AV$23)</f>
        <v>0.91984168431907376</v>
      </c>
      <c r="AB205" s="7">
        <f ca="1">$AV$10*EXP(-'3.r(t)'!G203*$AV$24)</f>
        <v>0.94449708432887403</v>
      </c>
      <c r="AC205" s="7">
        <f ca="1">$AV$11*EXP(-'3.r(t)'!H203*$AV$25)</f>
        <v>0.97054325317505274</v>
      </c>
      <c r="AD205" s="7">
        <v>1</v>
      </c>
      <c r="AE205" s="7"/>
      <c r="AF205" s="7">
        <v>197</v>
      </c>
      <c r="AG205" s="7">
        <f>$AW$7*EXP(-'3.r(t)'!D203*$AW$21)</f>
        <v>0.86718755429225491</v>
      </c>
      <c r="AH205" s="7">
        <f ca="1">$AW$8*EXP(-'3.r(t)'!E203*$AW$22)</f>
        <v>0.88494074008785906</v>
      </c>
      <c r="AI205" s="7">
        <f ca="1">$AW$9*EXP(-'3.r(t)'!F203*$AW$23)</f>
        <v>0.89378552157418611</v>
      </c>
      <c r="AJ205" s="7">
        <f ca="1">$AW$10*EXP(-'3.r(t)'!G203*$AW$24)</f>
        <v>0.9173014909798195</v>
      </c>
      <c r="AK205" s="7">
        <f ca="1">$AW$11*EXP(-'3.r(t)'!H203*$AW$25)</f>
        <v>0.94153560068090902</v>
      </c>
      <c r="AL205" s="7">
        <f ca="1">$AW$12*EXP(-'3.r(t)'!I203*$AW$26)</f>
        <v>0.96724337358751677</v>
      </c>
      <c r="AM205" s="7">
        <v>1</v>
      </c>
      <c r="AN205" s="7"/>
    </row>
    <row r="206" spans="2:40">
      <c r="B206" s="7">
        <v>198</v>
      </c>
      <c r="C206" s="7">
        <f>$AR$7*EXP(-'3.r(t)'!D204*$AR$21)</f>
        <v>0.97765346695821032</v>
      </c>
      <c r="D206" s="7">
        <v>1</v>
      </c>
      <c r="E206" s="7"/>
      <c r="F206" s="7">
        <v>198</v>
      </c>
      <c r="G206" s="48">
        <f>$AS$7*EXP(-'3.r(t)'!D204*$AS$21)</f>
        <v>0.9553476245219803</v>
      </c>
      <c r="H206" s="7">
        <f ca="1">$AS$8*EXP(-'3.r(t)'!E204*$AS$22)</f>
        <v>0.97623558646924491</v>
      </c>
      <c r="I206" s="7">
        <v>1</v>
      </c>
      <c r="J206" s="7"/>
      <c r="K206" s="7">
        <v>198</v>
      </c>
      <c r="L206" s="7">
        <f>$AT$7*EXP(-'3.r(t)'!D204*$AT$21)</f>
        <v>0.93311670519824419</v>
      </c>
      <c r="M206" s="7">
        <f ca="1">$AT$8*EXP(-'3.r(t)'!E204*$AT$22)</f>
        <v>0.95258702699173492</v>
      </c>
      <c r="N206" s="7">
        <f ca="1">$AT$9*EXP(-'3.r(t)'!F204*$AT$23)</f>
        <v>0.97692402506580267</v>
      </c>
      <c r="O206" s="7">
        <v>1</v>
      </c>
      <c r="P206" s="7"/>
      <c r="Q206" s="7">
        <v>198</v>
      </c>
      <c r="R206" s="7">
        <f>$AU$7*EXP(-'3.r(t)'!D204*$AU$21)</f>
        <v>0.91099305977534117</v>
      </c>
      <c r="S206" s="7">
        <f ca="1">$AU$8*EXP(-'3.r(t)'!E204*$AU$22)</f>
        <v>0.92908745907711821</v>
      </c>
      <c r="T206" s="7">
        <f ca="1">$AU$9*EXP(-'3.r(t)'!F204*$AU$23)</f>
        <v>0.95393949028913716</v>
      </c>
      <c r="U206" s="7">
        <f ca="1">$AU$10*EXP(-'3.r(t)'!G204*$AU$24)</f>
        <v>0.97593712927587728</v>
      </c>
      <c r="V206" s="7">
        <v>1</v>
      </c>
      <c r="W206" s="7"/>
      <c r="X206" s="7">
        <v>198</v>
      </c>
      <c r="Y206" s="7">
        <f>$AV$7*EXP(-'3.r(t)'!D204*$AV$21)</f>
        <v>0.88900715067201674</v>
      </c>
      <c r="Z206" s="7">
        <f ca="1">$AV$8*EXP(-'3.r(t)'!E204*$AV$22)</f>
        <v>0.90576796186894726</v>
      </c>
      <c r="AA206" s="7">
        <f ca="1">$AV$9*EXP(-'3.r(t)'!F204*$AV$23)</f>
        <v>0.9310792047791443</v>
      </c>
      <c r="AB206" s="7">
        <f ca="1">$AV$10*EXP(-'3.r(t)'!G204*$AV$24)</f>
        <v>0.9520215596663506</v>
      </c>
      <c r="AC206" s="7">
        <f ca="1">$AV$11*EXP(-'3.r(t)'!H204*$AV$25)</f>
        <v>0.97569473060542133</v>
      </c>
      <c r="AD206" s="7">
        <v>1</v>
      </c>
      <c r="AE206" s="7"/>
      <c r="AF206" s="7">
        <v>198</v>
      </c>
      <c r="AG206" s="7">
        <f>$AW$7*EXP(-'3.r(t)'!D204*$AW$21)</f>
        <v>0.86718755429225491</v>
      </c>
      <c r="AH206" s="7">
        <f ca="1">$AW$8*EXP(-'3.r(t)'!E204*$AW$22)</f>
        <v>0.88265756642645021</v>
      </c>
      <c r="AI206" s="7">
        <f ca="1">$AW$9*EXP(-'3.r(t)'!F204*$AW$23)</f>
        <v>0.90837401551704355</v>
      </c>
      <c r="AJ206" s="7">
        <f ca="1">$AW$10*EXP(-'3.r(t)'!G204*$AW$24)</f>
        <v>0.92828502057817519</v>
      </c>
      <c r="AK206" s="7">
        <f ca="1">$AW$11*EXP(-'3.r(t)'!H204*$AW$25)</f>
        <v>0.95155714616133791</v>
      </c>
      <c r="AL206" s="7">
        <f ca="1">$AW$12*EXP(-'3.r(t)'!I204*$AW$26)</f>
        <v>0.97516840686083772</v>
      </c>
      <c r="AM206" s="7">
        <v>1</v>
      </c>
      <c r="AN206" s="7"/>
    </row>
    <row r="207" spans="2:40">
      <c r="B207" s="7">
        <v>199</v>
      </c>
      <c r="C207" s="7">
        <f>$AR$7*EXP(-'3.r(t)'!D205*$AR$21)</f>
        <v>0.97765346695821032</v>
      </c>
      <c r="D207" s="7">
        <v>1</v>
      </c>
      <c r="E207" s="7"/>
      <c r="F207" s="7">
        <v>199</v>
      </c>
      <c r="G207" s="48">
        <f>$AS$7*EXP(-'3.r(t)'!D205*$AS$21)</f>
        <v>0.9553476245219803</v>
      </c>
      <c r="H207" s="7">
        <f ca="1">$AS$8*EXP(-'3.r(t)'!E205*$AS$22)</f>
        <v>0.98162947579890014</v>
      </c>
      <c r="I207" s="7">
        <v>1</v>
      </c>
      <c r="J207" s="7"/>
      <c r="K207" s="7">
        <v>199</v>
      </c>
      <c r="L207" s="7">
        <f>$AT$7*EXP(-'3.r(t)'!D205*$AT$21)</f>
        <v>0.93311670519824419</v>
      </c>
      <c r="M207" s="7">
        <f ca="1">$AT$8*EXP(-'3.r(t)'!E205*$AT$22)</f>
        <v>0.96314256031274148</v>
      </c>
      <c r="N207" s="7">
        <f ca="1">$AT$9*EXP(-'3.r(t)'!F205*$AT$23)</f>
        <v>0.97888951831415727</v>
      </c>
      <c r="O207" s="7">
        <v>1</v>
      </c>
      <c r="P207" s="7"/>
      <c r="Q207" s="7">
        <v>199</v>
      </c>
      <c r="R207" s="7">
        <f>$AU$7*EXP(-'3.r(t)'!D205*$AU$21)</f>
        <v>0.91099305977534117</v>
      </c>
      <c r="S207" s="7">
        <f ca="1">$AU$8*EXP(-'3.r(t)'!E205*$AU$22)</f>
        <v>0.94457286521623529</v>
      </c>
      <c r="T207" s="7">
        <f ca="1">$AU$9*EXP(-'3.r(t)'!F205*$AU$23)</f>
        <v>0.95778185206138988</v>
      </c>
      <c r="U207" s="7">
        <f ca="1">$AU$10*EXP(-'3.r(t)'!G205*$AU$24)</f>
        <v>0.97773855356651074</v>
      </c>
      <c r="V207" s="7">
        <v>1</v>
      </c>
      <c r="W207" s="7"/>
      <c r="X207" s="7">
        <v>199</v>
      </c>
      <c r="Y207" s="7">
        <f>$AV$7*EXP(-'3.r(t)'!D205*$AV$21)</f>
        <v>0.88900715067201674</v>
      </c>
      <c r="Z207" s="7">
        <f ca="1">$AV$8*EXP(-'3.r(t)'!E205*$AV$22)</f>
        <v>0.92595264878466377</v>
      </c>
      <c r="AA207" s="7">
        <f ca="1">$AV$9*EXP(-'3.r(t)'!F205*$AV$23)</f>
        <v>0.93671029026912678</v>
      </c>
      <c r="AB207" s="7">
        <f ca="1">$AV$10*EXP(-'3.r(t)'!G205*$AV$24)</f>
        <v>0.95553936325164757</v>
      </c>
      <c r="AC207" s="7">
        <f ca="1">$AV$11*EXP(-'3.r(t)'!H205*$AV$25)</f>
        <v>0.97975999951328951</v>
      </c>
      <c r="AD207" s="7">
        <v>1</v>
      </c>
      <c r="AE207" s="7"/>
      <c r="AF207" s="7">
        <v>199</v>
      </c>
      <c r="AG207" s="7">
        <f>$AW$7*EXP(-'3.r(t)'!D205*$AW$21)</f>
        <v>0.86718755429225491</v>
      </c>
      <c r="AH207" s="7">
        <f ca="1">$AW$8*EXP(-'3.r(t)'!E205*$AW$22)</f>
        <v>0.90731277870743343</v>
      </c>
      <c r="AI207" s="7">
        <f ca="1">$AW$9*EXP(-'3.r(t)'!F205*$AW$23)</f>
        <v>0.91570641112560391</v>
      </c>
      <c r="AJ207" s="7">
        <f ca="1">$AW$10*EXP(-'3.r(t)'!G205*$AW$24)</f>
        <v>0.93343491306530635</v>
      </c>
      <c r="AK207" s="7">
        <f ca="1">$AW$11*EXP(-'3.r(t)'!H205*$AW$25)</f>
        <v>0.95950306273142338</v>
      </c>
      <c r="AL207" s="7">
        <f ca="1">$AW$12*EXP(-'3.r(t)'!I205*$AW$26)</f>
        <v>0.97855303191804732</v>
      </c>
      <c r="AM207" s="7">
        <v>1</v>
      </c>
      <c r="AN207" s="7"/>
    </row>
    <row r="208" spans="2:40">
      <c r="B208" s="7">
        <v>200</v>
      </c>
      <c r="C208" s="7">
        <f>$AR$7*EXP(-'3.r(t)'!D206*$AR$21)</f>
        <v>0.97765346695821032</v>
      </c>
      <c r="D208" s="7">
        <v>1</v>
      </c>
      <c r="E208" s="7"/>
      <c r="F208" s="7">
        <v>200</v>
      </c>
      <c r="G208" s="48">
        <f>$AS$7*EXP(-'3.r(t)'!D206*$AS$21)</f>
        <v>0.9553476245219803</v>
      </c>
      <c r="H208" s="7">
        <f ca="1">$AS$8*EXP(-'3.r(t)'!E206*$AS$22)</f>
        <v>0.97646886729314331</v>
      </c>
      <c r="I208" s="7">
        <v>1</v>
      </c>
      <c r="J208" s="7"/>
      <c r="K208" s="7">
        <v>200</v>
      </c>
      <c r="L208" s="7">
        <f>$AT$7*EXP(-'3.r(t)'!D206*$AT$21)</f>
        <v>0.93311670519824419</v>
      </c>
      <c r="M208" s="7">
        <f ca="1">$AT$8*EXP(-'3.r(t)'!E206*$AT$22)</f>
        <v>0.95304234093521878</v>
      </c>
      <c r="N208" s="7">
        <f ca="1">$AT$9*EXP(-'3.r(t)'!F206*$AT$23)</f>
        <v>0.97858607719028701</v>
      </c>
      <c r="O208" s="7">
        <v>1</v>
      </c>
      <c r="P208" s="7"/>
      <c r="Q208" s="7">
        <v>200</v>
      </c>
      <c r="R208" s="7">
        <f>$AU$7*EXP(-'3.r(t)'!D206*$AU$21)</f>
        <v>0.91099305977534117</v>
      </c>
      <c r="S208" s="7">
        <f ca="1">$AU$8*EXP(-'3.r(t)'!E206*$AU$22)</f>
        <v>0.92975366123183179</v>
      </c>
      <c r="T208" s="7">
        <f ca="1">$AU$9*EXP(-'3.r(t)'!F206*$AU$23)</f>
        <v>0.95718814796989748</v>
      </c>
      <c r="U208" s="7">
        <f ca="1">$AU$10*EXP(-'3.r(t)'!G206*$AU$24)</f>
        <v>0.97718568907770886</v>
      </c>
      <c r="V208" s="7">
        <v>1</v>
      </c>
      <c r="W208" s="7"/>
      <c r="X208" s="7">
        <v>200</v>
      </c>
      <c r="Y208" s="7">
        <f>$AV$7*EXP(-'3.r(t)'!D206*$AV$21)</f>
        <v>0.88900715067201674</v>
      </c>
      <c r="Z208" s="7">
        <f ca="1">$AV$8*EXP(-'3.r(t)'!E206*$AV$22)</f>
        <v>0.90663403988955071</v>
      </c>
      <c r="AA208" s="7">
        <f ca="1">$AV$9*EXP(-'3.r(t)'!F206*$AV$23)</f>
        <v>0.93583946168848309</v>
      </c>
      <c r="AB208" s="7">
        <f ca="1">$AV$10*EXP(-'3.r(t)'!G206*$AV$24)</f>
        <v>0.95445904495994283</v>
      </c>
      <c r="AC208" s="7">
        <f ca="1">$AV$11*EXP(-'3.r(t)'!H206*$AV$25)</f>
        <v>0.97662637547259334</v>
      </c>
      <c r="AD208" s="7">
        <v>1</v>
      </c>
      <c r="AE208" s="7"/>
      <c r="AF208" s="7">
        <v>200</v>
      </c>
      <c r="AG208" s="7">
        <f>$AW$7*EXP(-'3.r(t)'!D206*$AW$21)</f>
        <v>0.86718755429225491</v>
      </c>
      <c r="AH208" s="7">
        <f ca="1">$AW$8*EXP(-'3.r(t)'!E206*$AW$22)</f>
        <v>0.88371266786723479</v>
      </c>
      <c r="AI208" s="7">
        <f ca="1">$AW$9*EXP(-'3.r(t)'!F206*$AW$23)</f>
        <v>0.91457151774297007</v>
      </c>
      <c r="AJ208" s="7">
        <f ca="1">$AW$10*EXP(-'3.r(t)'!G206*$AW$24)</f>
        <v>0.93185236957199036</v>
      </c>
      <c r="AK208" s="7">
        <f ca="1">$AW$11*EXP(-'3.r(t)'!H206*$AW$25)</f>
        <v>0.95337520779085949</v>
      </c>
      <c r="AL208" s="7">
        <f ca="1">$AW$12*EXP(-'3.r(t)'!I206*$AW$26)</f>
        <v>0.97926749249700262</v>
      </c>
      <c r="AM208" s="7">
        <v>1</v>
      </c>
      <c r="AN208" s="7"/>
    </row>
    <row r="209" spans="2:40">
      <c r="B209" s="7">
        <v>201</v>
      </c>
      <c r="C209" s="7">
        <f>$AR$7*EXP(-'3.r(t)'!D207*$AR$21)</f>
        <v>0.97765346695821032</v>
      </c>
      <c r="D209" s="7">
        <v>1</v>
      </c>
      <c r="E209" s="7"/>
      <c r="F209" s="7">
        <v>201</v>
      </c>
      <c r="G209" s="48">
        <f>$AS$7*EXP(-'3.r(t)'!D207*$AS$21)</f>
        <v>0.9553476245219803</v>
      </c>
      <c r="H209" s="7">
        <f ca="1">$AS$8*EXP(-'3.r(t)'!E207*$AS$22)</f>
        <v>0.97723187251401256</v>
      </c>
      <c r="I209" s="7">
        <v>1</v>
      </c>
      <c r="J209" s="7"/>
      <c r="K209" s="7">
        <v>201</v>
      </c>
      <c r="L209" s="7">
        <f>$AT$7*EXP(-'3.r(t)'!D207*$AT$21)</f>
        <v>0.93311670519824419</v>
      </c>
      <c r="M209" s="7">
        <f ca="1">$AT$8*EXP(-'3.r(t)'!E207*$AT$22)</f>
        <v>0.9545323226666812</v>
      </c>
      <c r="N209" s="7">
        <f ca="1">$AT$9*EXP(-'3.r(t)'!F207*$AT$23)</f>
        <v>0.97222927005548498</v>
      </c>
      <c r="O209" s="7">
        <v>1</v>
      </c>
      <c r="P209" s="7"/>
      <c r="Q209" s="7">
        <v>201</v>
      </c>
      <c r="R209" s="7">
        <f>$AU$7*EXP(-'3.r(t)'!D207*$AU$21)</f>
        <v>0.91099305977534117</v>
      </c>
      <c r="S209" s="7">
        <f ca="1">$AU$8*EXP(-'3.r(t)'!E207*$AU$22)</f>
        <v>0.93193487168574596</v>
      </c>
      <c r="T209" s="7">
        <f ca="1">$AU$9*EXP(-'3.r(t)'!F207*$AU$23)</f>
        <v>0.94479292206949606</v>
      </c>
      <c r="U209" s="7">
        <f ca="1">$AU$10*EXP(-'3.r(t)'!G207*$AU$24)</f>
        <v>0.97063000266389843</v>
      </c>
      <c r="V209" s="7">
        <v>1</v>
      </c>
      <c r="W209" s="7"/>
      <c r="X209" s="7">
        <v>201</v>
      </c>
      <c r="Y209" s="7">
        <f>$AV$7*EXP(-'3.r(t)'!D207*$AV$21)</f>
        <v>0.88900715067201674</v>
      </c>
      <c r="Z209" s="7">
        <f ca="1">$AV$8*EXP(-'3.r(t)'!E207*$AV$22)</f>
        <v>0.90947111032980632</v>
      </c>
      <c r="AA209" s="7">
        <f ca="1">$AV$9*EXP(-'3.r(t)'!F207*$AV$23)</f>
        <v>0.91772028669672989</v>
      </c>
      <c r="AB209" s="7">
        <f ca="1">$AV$10*EXP(-'3.r(t)'!G207*$AV$24)</f>
        <v>0.94169556404810206</v>
      </c>
      <c r="AC209" s="7">
        <f ca="1">$AV$11*EXP(-'3.r(t)'!H207*$AV$25)</f>
        <v>0.96775794623227096</v>
      </c>
      <c r="AD209" s="7">
        <v>1</v>
      </c>
      <c r="AE209" s="7"/>
      <c r="AF209" s="7">
        <v>201</v>
      </c>
      <c r="AG209" s="7">
        <f>$AW$7*EXP(-'3.r(t)'!D207*$AW$21)</f>
        <v>0.86718755429225491</v>
      </c>
      <c r="AH209" s="7">
        <f ca="1">$AW$8*EXP(-'3.r(t)'!E207*$AW$22)</f>
        <v>0.88717069902380274</v>
      </c>
      <c r="AI209" s="7">
        <f ca="1">$AW$9*EXP(-'3.r(t)'!F207*$AW$23)</f>
        <v>0.89103817155981835</v>
      </c>
      <c r="AJ209" s="7">
        <f ca="1">$AW$10*EXP(-'3.r(t)'!G207*$AW$24)</f>
        <v>0.91322323780451409</v>
      </c>
      <c r="AK209" s="7">
        <f ca="1">$AW$11*EXP(-'3.r(t)'!H207*$AW$25)</f>
        <v>0.93613923611023597</v>
      </c>
      <c r="AL209" s="7">
        <f ca="1">$AW$12*EXP(-'3.r(t)'!I207*$AW$26)</f>
        <v>0.96541352047008089</v>
      </c>
      <c r="AM209" s="7">
        <v>1</v>
      </c>
      <c r="AN209" s="7"/>
    </row>
    <row r="210" spans="2:40">
      <c r="B210" s="7">
        <v>202</v>
      </c>
      <c r="C210" s="7">
        <f>$AR$7*EXP(-'3.r(t)'!D208*$AR$21)</f>
        <v>0.97765346695821032</v>
      </c>
      <c r="D210" s="7">
        <v>1</v>
      </c>
      <c r="E210" s="7"/>
      <c r="F210" s="7">
        <v>202</v>
      </c>
      <c r="G210" s="48">
        <f>$AS$7*EXP(-'3.r(t)'!D208*$AS$21)</f>
        <v>0.9553476245219803</v>
      </c>
      <c r="H210" s="7">
        <f ca="1">$AS$8*EXP(-'3.r(t)'!E208*$AS$22)</f>
        <v>0.97662472659538202</v>
      </c>
      <c r="I210" s="7">
        <v>1</v>
      </c>
      <c r="J210" s="7"/>
      <c r="K210" s="7">
        <v>202</v>
      </c>
      <c r="L210" s="7">
        <f>$AT$7*EXP(-'3.r(t)'!D208*$AT$21)</f>
        <v>0.93311670519824419</v>
      </c>
      <c r="M210" s="7">
        <f ca="1">$AT$8*EXP(-'3.r(t)'!E208*$AT$22)</f>
        <v>0.95334660535961979</v>
      </c>
      <c r="N210" s="7">
        <f ca="1">$AT$9*EXP(-'3.r(t)'!F208*$AT$23)</f>
        <v>0.97813507357326612</v>
      </c>
      <c r="O210" s="7">
        <v>1</v>
      </c>
      <c r="P210" s="7"/>
      <c r="Q210" s="7">
        <v>202</v>
      </c>
      <c r="R210" s="7">
        <f>$AU$7*EXP(-'3.r(t)'!D208*$AU$21)</f>
        <v>0.91099305977534117</v>
      </c>
      <c r="S210" s="7">
        <f ca="1">$AU$8*EXP(-'3.r(t)'!E208*$AU$22)</f>
        <v>0.93019894082939714</v>
      </c>
      <c r="T210" s="7">
        <f ca="1">$AU$9*EXP(-'3.r(t)'!F208*$AU$23)</f>
        <v>0.95630606748935776</v>
      </c>
      <c r="U210" s="7">
        <f ca="1">$AU$10*EXP(-'3.r(t)'!G208*$AU$24)</f>
        <v>0.97831879992200232</v>
      </c>
      <c r="V210" s="7">
        <v>1</v>
      </c>
      <c r="W210" s="7"/>
      <c r="X210" s="7">
        <v>202</v>
      </c>
      <c r="Y210" s="7">
        <f>$AV$7*EXP(-'3.r(t)'!D208*$AV$21)</f>
        <v>0.88900715067201674</v>
      </c>
      <c r="Z210" s="7">
        <f ca="1">$AV$8*EXP(-'3.r(t)'!E208*$AV$22)</f>
        <v>0.90721302889528266</v>
      </c>
      <c r="AA210" s="7">
        <f ca="1">$AV$9*EXP(-'3.r(t)'!F208*$AV$23)</f>
        <v>0.93454614931851909</v>
      </c>
      <c r="AB210" s="7">
        <f ca="1">$AV$10*EXP(-'3.r(t)'!G208*$AV$24)</f>
        <v>0.95667384394034616</v>
      </c>
      <c r="AC210" s="7">
        <f ca="1">$AV$11*EXP(-'3.r(t)'!H208*$AV$25)</f>
        <v>0.97879949465070615</v>
      </c>
      <c r="AD210" s="7">
        <v>1</v>
      </c>
      <c r="AE210" s="7"/>
      <c r="AF210" s="7">
        <v>202</v>
      </c>
      <c r="AG210" s="7">
        <f>$AW$7*EXP(-'3.r(t)'!D208*$AW$21)</f>
        <v>0.86718755429225491</v>
      </c>
      <c r="AH210" s="7">
        <f ca="1">$AW$8*EXP(-'3.r(t)'!E208*$AW$22)</f>
        <v>0.88441816304779297</v>
      </c>
      <c r="AI210" s="7">
        <f ca="1">$AW$9*EXP(-'3.r(t)'!F208*$AW$23)</f>
        <v>0.91288667872068829</v>
      </c>
      <c r="AJ210" s="7">
        <f ca="1">$AW$10*EXP(-'3.r(t)'!G208*$AW$24)</f>
        <v>0.93509776157774305</v>
      </c>
      <c r="AK210" s="7">
        <f ca="1">$AW$11*EXP(-'3.r(t)'!H208*$AW$25)</f>
        <v>0.95762269282383361</v>
      </c>
      <c r="AL210" s="7">
        <f ca="1">$AW$12*EXP(-'3.r(t)'!I208*$AW$26)</f>
        <v>0.97900944783430488</v>
      </c>
      <c r="AM210" s="7">
        <v>1</v>
      </c>
      <c r="AN210" s="7"/>
    </row>
    <row r="211" spans="2:40">
      <c r="B211" s="7">
        <v>203</v>
      </c>
      <c r="C211" s="7">
        <f>$AR$7*EXP(-'3.r(t)'!D209*$AR$21)</f>
        <v>0.97765346695821032</v>
      </c>
      <c r="D211" s="7">
        <v>1</v>
      </c>
      <c r="E211" s="7"/>
      <c r="F211" s="7">
        <v>203</v>
      </c>
      <c r="G211" s="48">
        <f>$AS$7*EXP(-'3.r(t)'!D209*$AS$21)</f>
        <v>0.9553476245219803</v>
      </c>
      <c r="H211" s="7">
        <f ca="1">$AS$8*EXP(-'3.r(t)'!E209*$AS$22)</f>
        <v>0.97809542983029729</v>
      </c>
      <c r="I211" s="7">
        <v>1</v>
      </c>
      <c r="J211" s="7"/>
      <c r="K211" s="7">
        <v>203</v>
      </c>
      <c r="L211" s="7">
        <f>$AT$7*EXP(-'3.r(t)'!D209*$AT$21)</f>
        <v>0.93311670519824419</v>
      </c>
      <c r="M211" s="7">
        <f ca="1">$AT$8*EXP(-'3.r(t)'!E209*$AT$22)</f>
        <v>0.95622006453962816</v>
      </c>
      <c r="N211" s="7">
        <f ca="1">$AT$9*EXP(-'3.r(t)'!F209*$AT$23)</f>
        <v>0.97940472659743005</v>
      </c>
      <c r="O211" s="7">
        <v>1</v>
      </c>
      <c r="P211" s="7"/>
      <c r="Q211" s="7">
        <v>203</v>
      </c>
      <c r="R211" s="7">
        <f>$AU$7*EXP(-'3.r(t)'!D209*$AU$21)</f>
        <v>0.91099305977534117</v>
      </c>
      <c r="S211" s="7">
        <f ca="1">$AU$8*EXP(-'3.r(t)'!E209*$AU$22)</f>
        <v>0.93440764372803731</v>
      </c>
      <c r="T211" s="7">
        <f ca="1">$AU$9*EXP(-'3.r(t)'!F209*$AU$23)</f>
        <v>0.95879031520760638</v>
      </c>
      <c r="U211" s="7">
        <f ca="1">$AU$10*EXP(-'3.r(t)'!G209*$AU$24)</f>
        <v>0.97925459195095499</v>
      </c>
      <c r="V211" s="7">
        <v>1</v>
      </c>
      <c r="W211" s="7"/>
      <c r="X211" s="7">
        <v>203</v>
      </c>
      <c r="Y211" s="7">
        <f>$AV$7*EXP(-'3.r(t)'!D209*$AV$21)</f>
        <v>0.88900715067201674</v>
      </c>
      <c r="Z211" s="7">
        <f ca="1">$AV$8*EXP(-'3.r(t)'!E209*$AV$22)</f>
        <v>0.91269008875546231</v>
      </c>
      <c r="AA211" s="7">
        <f ca="1">$AV$9*EXP(-'3.r(t)'!F209*$AV$23)</f>
        <v>0.93819009449071589</v>
      </c>
      <c r="AB211" s="7">
        <f ca="1">$AV$10*EXP(-'3.r(t)'!G209*$AV$24)</f>
        <v>0.95850489517548332</v>
      </c>
      <c r="AC211" s="7">
        <f ca="1">$AV$11*EXP(-'3.r(t)'!H209*$AV$25)</f>
        <v>0.98001413295603723</v>
      </c>
      <c r="AD211" s="7">
        <v>1</v>
      </c>
      <c r="AE211" s="7"/>
      <c r="AF211" s="7">
        <v>203</v>
      </c>
      <c r="AG211" s="7">
        <f>$AW$7*EXP(-'3.r(t)'!D209*$AW$21)</f>
        <v>0.86718755429225491</v>
      </c>
      <c r="AH211" s="7">
        <f ca="1">$AW$8*EXP(-'3.r(t)'!E209*$AW$22)</f>
        <v>0.89109749458093035</v>
      </c>
      <c r="AI211" s="7">
        <f ca="1">$AW$9*EXP(-'3.r(t)'!F209*$AW$23)</f>
        <v>0.91763574884888688</v>
      </c>
      <c r="AJ211" s="7">
        <f ca="1">$AW$10*EXP(-'3.r(t)'!G209*$AW$24)</f>
        <v>0.93778367843069943</v>
      </c>
      <c r="AK211" s="7">
        <f ca="1">$AW$11*EXP(-'3.r(t)'!H209*$AW$25)</f>
        <v>0.9600008855472868</v>
      </c>
      <c r="AL211" s="7">
        <f ca="1">$AW$12*EXP(-'3.r(t)'!I209*$AW$26)</f>
        <v>0.9777507382846512</v>
      </c>
      <c r="AM211" s="7">
        <v>1</v>
      </c>
      <c r="AN211" s="7"/>
    </row>
    <row r="212" spans="2:40">
      <c r="B212" s="7">
        <v>204</v>
      </c>
      <c r="C212" s="7">
        <f>$AR$7*EXP(-'3.r(t)'!D210*$AR$21)</f>
        <v>0.97765346695821032</v>
      </c>
      <c r="D212" s="7">
        <v>1</v>
      </c>
      <c r="E212" s="7"/>
      <c r="F212" s="7">
        <v>204</v>
      </c>
      <c r="G212" s="48">
        <f>$AS$7*EXP(-'3.r(t)'!D210*$AS$21)</f>
        <v>0.9553476245219803</v>
      </c>
      <c r="H212" s="7">
        <f ca="1">$AS$8*EXP(-'3.r(t)'!E210*$AS$22)</f>
        <v>0.97922405236287402</v>
      </c>
      <c r="I212" s="7">
        <v>1</v>
      </c>
      <c r="J212" s="7"/>
      <c r="K212" s="7">
        <v>204</v>
      </c>
      <c r="L212" s="7">
        <f>$AT$7*EXP(-'3.r(t)'!D210*$AT$21)</f>
        <v>0.93311670519824419</v>
      </c>
      <c r="M212" s="7">
        <f ca="1">$AT$8*EXP(-'3.r(t)'!E210*$AT$22)</f>
        <v>0.95842809890540726</v>
      </c>
      <c r="N212" s="7">
        <f ca="1">$AT$9*EXP(-'3.r(t)'!F210*$AT$23)</f>
        <v>0.98239404466839408</v>
      </c>
      <c r="O212" s="7">
        <v>1</v>
      </c>
      <c r="P212" s="7"/>
      <c r="Q212" s="7">
        <v>204</v>
      </c>
      <c r="R212" s="7">
        <f>$AU$7*EXP(-'3.r(t)'!D210*$AU$21)</f>
        <v>0.91099305977534117</v>
      </c>
      <c r="S212" s="7">
        <f ca="1">$AU$8*EXP(-'3.r(t)'!E210*$AU$22)</f>
        <v>0.93764601142934989</v>
      </c>
      <c r="T212" s="7">
        <f ca="1">$AU$9*EXP(-'3.r(t)'!F210*$AU$23)</f>
        <v>0.96465204551496242</v>
      </c>
      <c r="U212" s="7">
        <f ca="1">$AU$10*EXP(-'3.r(t)'!G210*$AU$24)</f>
        <v>0.98229298333877024</v>
      </c>
      <c r="V212" s="7">
        <v>1</v>
      </c>
      <c r="W212" s="7"/>
      <c r="X212" s="7">
        <v>204</v>
      </c>
      <c r="Y212" s="7">
        <f>$AV$7*EXP(-'3.r(t)'!D210*$AV$21)</f>
        <v>0.88900715067201674</v>
      </c>
      <c r="Z212" s="7">
        <f ca="1">$AV$8*EXP(-'3.r(t)'!E210*$AV$22)</f>
        <v>0.91690999145836338</v>
      </c>
      <c r="AA212" s="7">
        <f ca="1">$AV$9*EXP(-'3.r(t)'!F210*$AV$23)</f>
        <v>0.94680691209106815</v>
      </c>
      <c r="AB212" s="7">
        <f ca="1">$AV$10*EXP(-'3.r(t)'!G210*$AV$24)</f>
        <v>0.96446214295547605</v>
      </c>
      <c r="AC212" s="7">
        <f ca="1">$AV$11*EXP(-'3.r(t)'!H210*$AV$25)</f>
        <v>0.98297473703457716</v>
      </c>
      <c r="AD212" s="7">
        <v>1</v>
      </c>
      <c r="AE212" s="7"/>
      <c r="AF212" s="7">
        <v>204</v>
      </c>
      <c r="AG212" s="7">
        <f>$AW$7*EXP(-'3.r(t)'!D210*$AW$21)</f>
        <v>0.86718755429225491</v>
      </c>
      <c r="AH212" s="7">
        <f ca="1">$AW$8*EXP(-'3.r(t)'!E210*$AW$22)</f>
        <v>0.89625055194225534</v>
      </c>
      <c r="AI212" s="7">
        <f ca="1">$AW$9*EXP(-'3.r(t)'!F210*$AW$23)</f>
        <v>0.92889029682190971</v>
      </c>
      <c r="AJ212" s="7">
        <f ca="1">$AW$10*EXP(-'3.r(t)'!G210*$AW$24)</f>
        <v>0.94653994226279992</v>
      </c>
      <c r="AK212" s="7">
        <f ca="1">$AW$11*EXP(-'3.r(t)'!H210*$AW$25)</f>
        <v>0.9658099357051525</v>
      </c>
      <c r="AL212" s="7">
        <f ca="1">$AW$12*EXP(-'3.r(t)'!I210*$AW$26)</f>
        <v>0.97944021116088031</v>
      </c>
      <c r="AM212" s="7">
        <v>1</v>
      </c>
      <c r="AN212" s="7"/>
    </row>
    <row r="213" spans="2:40">
      <c r="B213" s="7">
        <v>205</v>
      </c>
      <c r="C213" s="7">
        <f>$AR$7*EXP(-'3.r(t)'!D211*$AR$21)</f>
        <v>0.97765346695821032</v>
      </c>
      <c r="D213" s="7">
        <v>1</v>
      </c>
      <c r="E213" s="7"/>
      <c r="F213" s="7">
        <v>205</v>
      </c>
      <c r="G213" s="48">
        <f>$AS$7*EXP(-'3.r(t)'!D211*$AS$21)</f>
        <v>0.9553476245219803</v>
      </c>
      <c r="H213" s="7">
        <f ca="1">$AS$8*EXP(-'3.r(t)'!E211*$AS$22)</f>
        <v>0.98132845949641612</v>
      </c>
      <c r="I213" s="7">
        <v>1</v>
      </c>
      <c r="J213" s="7"/>
      <c r="K213" s="7">
        <v>205</v>
      </c>
      <c r="L213" s="7">
        <f>$AT$7*EXP(-'3.r(t)'!D211*$AT$21)</f>
        <v>0.93311670519824419</v>
      </c>
      <c r="M213" s="7">
        <f ca="1">$AT$8*EXP(-'3.r(t)'!E211*$AT$22)</f>
        <v>0.96255195628700385</v>
      </c>
      <c r="N213" s="7">
        <f ca="1">$AT$9*EXP(-'3.r(t)'!F211*$AT$23)</f>
        <v>0.98133486636748357</v>
      </c>
      <c r="O213" s="7">
        <v>1</v>
      </c>
      <c r="P213" s="7"/>
      <c r="Q213" s="7">
        <v>205</v>
      </c>
      <c r="R213" s="7">
        <f>$AU$7*EXP(-'3.r(t)'!D211*$AU$21)</f>
        <v>0.91099305977534117</v>
      </c>
      <c r="S213" s="7">
        <f ca="1">$AU$8*EXP(-'3.r(t)'!E211*$AU$22)</f>
        <v>0.94370417293369746</v>
      </c>
      <c r="T213" s="7">
        <f ca="1">$AU$9*EXP(-'3.r(t)'!F211*$AU$23)</f>
        <v>0.96257306769316764</v>
      </c>
      <c r="U213" s="7">
        <f ca="1">$AU$10*EXP(-'3.r(t)'!G211*$AU$24)</f>
        <v>0.97612442885561412</v>
      </c>
      <c r="V213" s="7">
        <v>1</v>
      </c>
      <c r="W213" s="7"/>
      <c r="X213" s="7">
        <v>205</v>
      </c>
      <c r="Y213" s="7">
        <f>$AV$7*EXP(-'3.r(t)'!D211*$AV$21)</f>
        <v>0.88900715067201674</v>
      </c>
      <c r="Z213" s="7">
        <f ca="1">$AV$8*EXP(-'3.r(t)'!E211*$AV$22)</f>
        <v>0.92481739900470217</v>
      </c>
      <c r="AA213" s="7">
        <f ca="1">$AV$9*EXP(-'3.r(t)'!F211*$AV$23)</f>
        <v>0.94374778369649681</v>
      </c>
      <c r="AB213" s="7">
        <f ca="1">$AV$10*EXP(-'3.r(t)'!G211*$AV$24)</f>
        <v>0.95238701425027228</v>
      </c>
      <c r="AC213" s="7">
        <f ca="1">$AV$11*EXP(-'3.r(t)'!H211*$AV$25)</f>
        <v>0.97733361858786494</v>
      </c>
      <c r="AD213" s="7">
        <v>1</v>
      </c>
      <c r="AE213" s="7"/>
      <c r="AF213" s="7">
        <v>205</v>
      </c>
      <c r="AG213" s="7">
        <f>$AW$7*EXP(-'3.r(t)'!D211*$AW$21)</f>
        <v>0.86718755429225491</v>
      </c>
      <c r="AH213" s="7">
        <f ca="1">$AW$8*EXP(-'3.r(t)'!E211*$AW$22)</f>
        <v>0.9059224960491925</v>
      </c>
      <c r="AI213" s="7">
        <f ca="1">$AW$9*EXP(-'3.r(t)'!F211*$AW$23)</f>
        <v>0.92489080005771018</v>
      </c>
      <c r="AJ213" s="7">
        <f ca="1">$AW$10*EXP(-'3.r(t)'!G211*$AW$24)</f>
        <v>0.92881958605183201</v>
      </c>
      <c r="AK213" s="7">
        <f ca="1">$AW$11*EXP(-'3.r(t)'!H211*$AW$25)</f>
        <v>0.95475651841512243</v>
      </c>
      <c r="AL213" s="7">
        <f ca="1">$AW$12*EXP(-'3.r(t)'!I211*$AW$26)</f>
        <v>0.97915644309069916</v>
      </c>
      <c r="AM213" s="7">
        <v>1</v>
      </c>
      <c r="AN213" s="7"/>
    </row>
    <row r="214" spans="2:40">
      <c r="B214" s="7">
        <v>206</v>
      </c>
      <c r="C214" s="7">
        <f>$AR$7*EXP(-'3.r(t)'!D212*$AR$21)</f>
        <v>0.97765346695821032</v>
      </c>
      <c r="D214" s="7">
        <v>1</v>
      </c>
      <c r="E214" s="7"/>
      <c r="F214" s="7">
        <v>206</v>
      </c>
      <c r="G214" s="48">
        <f>$AS$7*EXP(-'3.r(t)'!D212*$AS$21)</f>
        <v>0.9553476245219803</v>
      </c>
      <c r="H214" s="7">
        <f ca="1">$AS$8*EXP(-'3.r(t)'!E212*$AS$22)</f>
        <v>0.97605318986523015</v>
      </c>
      <c r="I214" s="7">
        <v>1</v>
      </c>
      <c r="J214" s="7"/>
      <c r="K214" s="7">
        <v>206</v>
      </c>
      <c r="L214" s="7">
        <f>$AT$7*EXP(-'3.r(t)'!D212*$AT$21)</f>
        <v>0.93311670519824419</v>
      </c>
      <c r="M214" s="7">
        <f ca="1">$AT$8*EXP(-'3.r(t)'!E212*$AT$22)</f>
        <v>0.95223110387266119</v>
      </c>
      <c r="N214" s="7">
        <f ca="1">$AT$9*EXP(-'3.r(t)'!F212*$AT$23)</f>
        <v>0.97939199964124179</v>
      </c>
      <c r="O214" s="7">
        <v>1</v>
      </c>
      <c r="P214" s="7"/>
      <c r="Q214" s="7">
        <v>206</v>
      </c>
      <c r="R214" s="7">
        <f>$AU$7*EXP(-'3.r(t)'!D212*$AU$21)</f>
        <v>0.91099305977534117</v>
      </c>
      <c r="S214" s="7">
        <f ca="1">$AU$8*EXP(-'3.r(t)'!E212*$AU$22)</f>
        <v>0.92856679355365568</v>
      </c>
      <c r="T214" s="7">
        <f ca="1">$AU$9*EXP(-'3.r(t)'!F212*$AU$23)</f>
        <v>0.95876539720849729</v>
      </c>
      <c r="U214" s="7">
        <f ca="1">$AU$10*EXP(-'3.r(t)'!G212*$AU$24)</f>
        <v>0.98053857384755638</v>
      </c>
      <c r="V214" s="7">
        <v>1</v>
      </c>
      <c r="W214" s="7"/>
      <c r="X214" s="7">
        <v>206</v>
      </c>
      <c r="Y214" s="7">
        <f>$AV$7*EXP(-'3.r(t)'!D212*$AV$21)</f>
        <v>0.88900715067201674</v>
      </c>
      <c r="Z214" s="7">
        <f ca="1">$AV$8*EXP(-'3.r(t)'!E212*$AV$22)</f>
        <v>0.905091228884911</v>
      </c>
      <c r="AA214" s="7">
        <f ca="1">$AV$9*EXP(-'3.r(t)'!F212*$AV$23)</f>
        <v>0.93815352079831049</v>
      </c>
      <c r="AB214" s="7">
        <f ca="1">$AV$10*EXP(-'3.r(t)'!G212*$AV$24)</f>
        <v>0.9610200935348584</v>
      </c>
      <c r="AC214" s="7">
        <f ca="1">$AV$11*EXP(-'3.r(t)'!H212*$AV$25)</f>
        <v>0.98177934021974134</v>
      </c>
      <c r="AD214" s="7">
        <v>1</v>
      </c>
      <c r="AE214" s="7"/>
      <c r="AF214" s="7">
        <v>206</v>
      </c>
      <c r="AG214" s="7">
        <f>$AW$7*EXP(-'3.r(t)'!D212*$AW$21)</f>
        <v>0.86718755429225491</v>
      </c>
      <c r="AH214" s="7">
        <f ca="1">$AW$8*EXP(-'3.r(t)'!E212*$AW$22)</f>
        <v>0.88183331049363689</v>
      </c>
      <c r="AI214" s="7">
        <f ca="1">$AW$9*EXP(-'3.r(t)'!F212*$AW$23)</f>
        <v>0.91758805260231058</v>
      </c>
      <c r="AJ214" s="7">
        <f ca="1">$AW$10*EXP(-'3.r(t)'!G212*$AW$24)</f>
        <v>0.94147733508876141</v>
      </c>
      <c r="AK214" s="7">
        <f ca="1">$AW$11*EXP(-'3.r(t)'!H212*$AW$25)</f>
        <v>0.96346231868698728</v>
      </c>
      <c r="AL214" s="7">
        <f ca="1">$AW$12*EXP(-'3.r(t)'!I212*$AW$26)</f>
        <v>0.98251742264036368</v>
      </c>
      <c r="AM214" s="7">
        <v>1</v>
      </c>
      <c r="AN214" s="7"/>
    </row>
    <row r="215" spans="2:40">
      <c r="B215" s="7">
        <v>207</v>
      </c>
      <c r="C215" s="7">
        <f>$AR$7*EXP(-'3.r(t)'!D213*$AR$21)</f>
        <v>0.97765346695821032</v>
      </c>
      <c r="D215" s="7">
        <v>1</v>
      </c>
      <c r="E215" s="7"/>
      <c r="F215" s="7">
        <v>207</v>
      </c>
      <c r="G215" s="48">
        <f>$AS$7*EXP(-'3.r(t)'!D213*$AS$21)</f>
        <v>0.9553476245219803</v>
      </c>
      <c r="H215" s="7">
        <f ca="1">$AS$8*EXP(-'3.r(t)'!E213*$AS$22)</f>
        <v>0.97969035359745771</v>
      </c>
      <c r="I215" s="7">
        <v>1</v>
      </c>
      <c r="J215" s="7"/>
      <c r="K215" s="7">
        <v>207</v>
      </c>
      <c r="L215" s="7">
        <f>$AT$7*EXP(-'3.r(t)'!D213*$AT$21)</f>
        <v>0.93311670519824419</v>
      </c>
      <c r="M215" s="7">
        <f ca="1">$AT$8*EXP(-'3.r(t)'!E213*$AT$22)</f>
        <v>0.95934111286630641</v>
      </c>
      <c r="N215" s="7">
        <f ca="1">$AT$9*EXP(-'3.r(t)'!F213*$AT$23)</f>
        <v>0.97596286879856464</v>
      </c>
      <c r="O215" s="7">
        <v>1</v>
      </c>
      <c r="P215" s="7"/>
      <c r="Q215" s="7">
        <v>207</v>
      </c>
      <c r="R215" s="7">
        <f>$AU$7*EXP(-'3.r(t)'!D213*$AU$21)</f>
        <v>0.91099305977534117</v>
      </c>
      <c r="S215" s="7">
        <f ca="1">$AU$8*EXP(-'3.r(t)'!E213*$AU$22)</f>
        <v>0.93898615538054198</v>
      </c>
      <c r="T215" s="7">
        <f ca="1">$AU$9*EXP(-'3.r(t)'!F213*$AU$23)</f>
        <v>0.95206332826826212</v>
      </c>
      <c r="U215" s="7">
        <f ca="1">$AU$10*EXP(-'3.r(t)'!G213*$AU$24)</f>
        <v>0.97687806314030223</v>
      </c>
      <c r="V215" s="7">
        <v>1</v>
      </c>
      <c r="W215" s="7"/>
      <c r="X215" s="7">
        <v>207</v>
      </c>
      <c r="Y215" s="7">
        <f>$AV$7*EXP(-'3.r(t)'!D213*$AV$21)</f>
        <v>0.88900715067201674</v>
      </c>
      <c r="Z215" s="7">
        <f ca="1">$AV$8*EXP(-'3.r(t)'!E213*$AV$22)</f>
        <v>0.91865774982661141</v>
      </c>
      <c r="AA215" s="7">
        <f ca="1">$AV$9*EXP(-'3.r(t)'!F213*$AV$23)</f>
        <v>0.92833375351503722</v>
      </c>
      <c r="AB215" s="7">
        <f ca="1">$AV$10*EXP(-'3.r(t)'!G213*$AV$24)</f>
        <v>0.95385819673773842</v>
      </c>
      <c r="AC215" s="7">
        <f ca="1">$AV$11*EXP(-'3.r(t)'!H213*$AV$25)</f>
        <v>0.97517210786025144</v>
      </c>
      <c r="AD215" s="7">
        <v>1</v>
      </c>
      <c r="AE215" s="7"/>
      <c r="AF215" s="7">
        <v>207</v>
      </c>
      <c r="AG215" s="7">
        <f>$AW$7*EXP(-'3.r(t)'!D213*$AW$21)</f>
        <v>0.86718755429225491</v>
      </c>
      <c r="AH215" s="7">
        <f ca="1">$AW$8*EXP(-'3.r(t)'!E213*$AW$22)</f>
        <v>0.89838653375646582</v>
      </c>
      <c r="AI215" s="7">
        <f ca="1">$AW$9*EXP(-'3.r(t)'!F213*$AW$23)</f>
        <v>0.90480443710862135</v>
      </c>
      <c r="AJ215" s="7">
        <f ca="1">$AW$10*EXP(-'3.r(t)'!G213*$AW$24)</f>
        <v>0.93097258266590865</v>
      </c>
      <c r="AK215" s="7">
        <f ca="1">$AW$11*EXP(-'3.r(t)'!H213*$AW$25)</f>
        <v>0.95053803187575137</v>
      </c>
      <c r="AL215" s="7">
        <f ca="1">$AW$12*EXP(-'3.r(t)'!I213*$AW$26)</f>
        <v>0.97576930492379643</v>
      </c>
      <c r="AM215" s="7">
        <v>1</v>
      </c>
      <c r="AN215" s="7"/>
    </row>
    <row r="216" spans="2:40">
      <c r="B216" s="7">
        <v>208</v>
      </c>
      <c r="C216" s="7">
        <f>$AR$7*EXP(-'3.r(t)'!D214*$AR$21)</f>
        <v>0.97765346695821032</v>
      </c>
      <c r="D216" s="7">
        <v>1</v>
      </c>
      <c r="E216" s="7"/>
      <c r="F216" s="7">
        <v>208</v>
      </c>
      <c r="G216" s="48">
        <f>$AS$7*EXP(-'3.r(t)'!D214*$AS$21)</f>
        <v>0.9553476245219803</v>
      </c>
      <c r="H216" s="7">
        <f ca="1">$AS$8*EXP(-'3.r(t)'!E214*$AS$22)</f>
        <v>0.97868706745470957</v>
      </c>
      <c r="I216" s="7">
        <v>1</v>
      </c>
      <c r="J216" s="7"/>
      <c r="K216" s="7">
        <v>208</v>
      </c>
      <c r="L216" s="7">
        <f>$AT$7*EXP(-'3.r(t)'!D214*$AT$21)</f>
        <v>0.93311670519824419</v>
      </c>
      <c r="M216" s="7">
        <f ca="1">$AT$8*EXP(-'3.r(t)'!E214*$AT$22)</f>
        <v>0.95737722539196568</v>
      </c>
      <c r="N216" s="7">
        <f ca="1">$AT$9*EXP(-'3.r(t)'!F214*$AT$23)</f>
        <v>0.97985698068598803</v>
      </c>
      <c r="O216" s="7">
        <v>1</v>
      </c>
      <c r="P216" s="7"/>
      <c r="Q216" s="7">
        <v>208</v>
      </c>
      <c r="R216" s="7">
        <f>$AU$7*EXP(-'3.r(t)'!D214*$AU$21)</f>
        <v>0.91099305977534117</v>
      </c>
      <c r="S216" s="7">
        <f ca="1">$AU$8*EXP(-'3.r(t)'!E214*$AU$22)</f>
        <v>0.93610430389882782</v>
      </c>
      <c r="T216" s="7">
        <f ca="1">$AU$9*EXP(-'3.r(t)'!F214*$AU$23)</f>
        <v>0.95967598982754931</v>
      </c>
      <c r="U216" s="7">
        <f ca="1">$AU$10*EXP(-'3.r(t)'!G214*$AU$24)</f>
        <v>0.9800689849105102</v>
      </c>
      <c r="V216" s="7">
        <v>1</v>
      </c>
      <c r="W216" s="7"/>
      <c r="X216" s="7">
        <v>208</v>
      </c>
      <c r="Y216" s="7">
        <f>$AV$7*EXP(-'3.r(t)'!D214*$AV$21)</f>
        <v>0.88900715067201674</v>
      </c>
      <c r="Z216" s="7">
        <f ca="1">$AV$8*EXP(-'3.r(t)'!E214*$AV$22)</f>
        <v>0.91490039224672282</v>
      </c>
      <c r="AA216" s="7">
        <f ca="1">$AV$9*EXP(-'3.r(t)'!F214*$AV$23)</f>
        <v>0.93949036265796004</v>
      </c>
      <c r="AB216" s="7">
        <f ca="1">$AV$10*EXP(-'3.r(t)'!G214*$AV$24)</f>
        <v>0.96009983123389075</v>
      </c>
      <c r="AC216" s="7">
        <f ca="1">$AV$11*EXP(-'3.r(t)'!H214*$AV$25)</f>
        <v>0.98295440172398674</v>
      </c>
      <c r="AD216" s="7">
        <v>1</v>
      </c>
      <c r="AE216" s="7"/>
      <c r="AF216" s="7">
        <v>208</v>
      </c>
      <c r="AG216" s="7">
        <f>$AW$7*EXP(-'3.r(t)'!D214*$AW$21)</f>
        <v>0.86718755429225491</v>
      </c>
      <c r="AH216" s="7">
        <f ca="1">$AW$8*EXP(-'3.r(t)'!E214*$AW$22)</f>
        <v>0.89379582531718371</v>
      </c>
      <c r="AI216" s="7">
        <f ca="1">$AW$9*EXP(-'3.r(t)'!F214*$AW$23)</f>
        <v>0.91933184872597129</v>
      </c>
      <c r="AJ216" s="7">
        <f ca="1">$AW$10*EXP(-'3.r(t)'!G214*$AW$24)</f>
        <v>0.94012533632801909</v>
      </c>
      <c r="AK216" s="7">
        <f ca="1">$AW$11*EXP(-'3.r(t)'!H214*$AW$25)</f>
        <v>0.96576997569169121</v>
      </c>
      <c r="AL216" s="7">
        <f ca="1">$AW$12*EXP(-'3.r(t)'!I214*$AW$26)</f>
        <v>0.98020060088794869</v>
      </c>
      <c r="AM216" s="7">
        <v>1</v>
      </c>
      <c r="AN216" s="7"/>
    </row>
    <row r="217" spans="2:40">
      <c r="B217" s="7">
        <v>209</v>
      </c>
      <c r="C217" s="7">
        <f>$AR$7*EXP(-'3.r(t)'!D215*$AR$21)</f>
        <v>0.97765346695821032</v>
      </c>
      <c r="D217" s="7">
        <v>1</v>
      </c>
      <c r="E217" s="7"/>
      <c r="F217" s="7">
        <v>209</v>
      </c>
      <c r="G217" s="48">
        <f>$AS$7*EXP(-'3.r(t)'!D215*$AS$21)</f>
        <v>0.9553476245219803</v>
      </c>
      <c r="H217" s="7">
        <f ca="1">$AS$8*EXP(-'3.r(t)'!E215*$AS$22)</f>
        <v>0.9792530943069635</v>
      </c>
      <c r="I217" s="7">
        <v>1</v>
      </c>
      <c r="J217" s="7"/>
      <c r="K217" s="7">
        <v>209</v>
      </c>
      <c r="L217" s="7">
        <f>$AT$7*EXP(-'3.r(t)'!D215*$AT$21)</f>
        <v>0.93311670519824419</v>
      </c>
      <c r="M217" s="7">
        <f ca="1">$AT$8*EXP(-'3.r(t)'!E215*$AT$22)</f>
        <v>0.95848495009887247</v>
      </c>
      <c r="N217" s="7">
        <f ca="1">$AT$9*EXP(-'3.r(t)'!F215*$AT$23)</f>
        <v>0.97796114210029117</v>
      </c>
      <c r="O217" s="7">
        <v>1</v>
      </c>
      <c r="P217" s="7"/>
      <c r="Q217" s="7">
        <v>209</v>
      </c>
      <c r="R217" s="7">
        <f>$AU$7*EXP(-'3.r(t)'!D215*$AU$21)</f>
        <v>0.91099305977534117</v>
      </c>
      <c r="S217" s="7">
        <f ca="1">$AU$8*EXP(-'3.r(t)'!E215*$AU$22)</f>
        <v>0.9377294403563784</v>
      </c>
      <c r="T217" s="7">
        <f ca="1">$AU$9*EXP(-'3.r(t)'!F215*$AU$23)</f>
        <v>0.95596599802673188</v>
      </c>
      <c r="U217" s="7">
        <f ca="1">$AU$10*EXP(-'3.r(t)'!G215*$AU$24)</f>
        <v>0.97906810289881407</v>
      </c>
      <c r="V217" s="7">
        <v>1</v>
      </c>
      <c r="W217" s="7"/>
      <c r="X217" s="7">
        <v>209</v>
      </c>
      <c r="Y217" s="7">
        <f>$AV$7*EXP(-'3.r(t)'!D215*$AV$21)</f>
        <v>0.88900715067201674</v>
      </c>
      <c r="Z217" s="7">
        <f ca="1">$AV$8*EXP(-'3.r(t)'!E215*$AV$22)</f>
        <v>0.91701877160243173</v>
      </c>
      <c r="AA217" s="7">
        <f ca="1">$AV$9*EXP(-'3.r(t)'!F215*$AV$23)</f>
        <v>0.93404769642465002</v>
      </c>
      <c r="AB217" s="7">
        <f ca="1">$AV$10*EXP(-'3.r(t)'!G215*$AV$24)</f>
        <v>0.95813985496996035</v>
      </c>
      <c r="AC217" s="7">
        <f ca="1">$AV$11*EXP(-'3.r(t)'!H215*$AV$25)</f>
        <v>0.97966507885101595</v>
      </c>
      <c r="AD217" s="7">
        <v>1</v>
      </c>
      <c r="AE217" s="7"/>
      <c r="AF217" s="7">
        <v>209</v>
      </c>
      <c r="AG217" s="7">
        <f>$AW$7*EXP(-'3.r(t)'!D215*$AW$21)</f>
        <v>0.86718755429225491</v>
      </c>
      <c r="AH217" s="7">
        <f ca="1">$AW$8*EXP(-'3.r(t)'!E215*$AW$22)</f>
        <v>0.8963834653563848</v>
      </c>
      <c r="AI217" s="7">
        <f ca="1">$AW$9*EXP(-'3.r(t)'!F215*$AW$23)</f>
        <v>0.91223753574317845</v>
      </c>
      <c r="AJ217" s="7">
        <f ca="1">$AW$10*EXP(-'3.r(t)'!G215*$AW$24)</f>
        <v>0.93724800643837314</v>
      </c>
      <c r="AK217" s="7">
        <f ca="1">$AW$11*EXP(-'3.r(t)'!H215*$AW$25)</f>
        <v>0.95931715545946039</v>
      </c>
      <c r="AL217" s="7">
        <f ca="1">$AW$12*EXP(-'3.r(t)'!I215*$AW$26)</f>
        <v>0.97838609767235374</v>
      </c>
      <c r="AM217" s="7">
        <v>1</v>
      </c>
      <c r="AN217" s="7"/>
    </row>
    <row r="218" spans="2:40">
      <c r="B218" s="7">
        <v>210</v>
      </c>
      <c r="C218" s="7">
        <f>$AR$7*EXP(-'3.r(t)'!D216*$AR$21)</f>
        <v>0.97765346695821032</v>
      </c>
      <c r="D218" s="7">
        <v>1</v>
      </c>
      <c r="E218" s="7"/>
      <c r="F218" s="7">
        <v>210</v>
      </c>
      <c r="G218" s="48">
        <f>$AS$7*EXP(-'3.r(t)'!D216*$AS$21)</f>
        <v>0.9553476245219803</v>
      </c>
      <c r="H218" s="7">
        <f ca="1">$AS$8*EXP(-'3.r(t)'!E216*$AS$22)</f>
        <v>0.97711589609220084</v>
      </c>
      <c r="I218" s="7">
        <v>1</v>
      </c>
      <c r="J218" s="7"/>
      <c r="K218" s="7">
        <v>210</v>
      </c>
      <c r="L218" s="7">
        <f>$AT$7*EXP(-'3.r(t)'!D216*$AT$21)</f>
        <v>0.93311670519824419</v>
      </c>
      <c r="M218" s="7">
        <f ca="1">$AT$8*EXP(-'3.r(t)'!E216*$AT$22)</f>
        <v>0.95430577116472548</v>
      </c>
      <c r="N218" s="7">
        <f ca="1">$AT$9*EXP(-'3.r(t)'!F216*$AT$23)</f>
        <v>0.97807191336989741</v>
      </c>
      <c r="O218" s="7">
        <v>1</v>
      </c>
      <c r="P218" s="7"/>
      <c r="Q218" s="7">
        <v>210</v>
      </c>
      <c r="R218" s="7">
        <f>$AU$7*EXP(-'3.r(t)'!D216*$AU$21)</f>
        <v>0.91099305977534117</v>
      </c>
      <c r="S218" s="7">
        <f ca="1">$AU$8*EXP(-'3.r(t)'!E216*$AU$22)</f>
        <v>0.93160310913810496</v>
      </c>
      <c r="T218" s="7">
        <f ca="1">$AU$9*EXP(-'3.r(t)'!F216*$AU$23)</f>
        <v>0.95618257015806873</v>
      </c>
      <c r="U218" s="7">
        <f ca="1">$AU$10*EXP(-'3.r(t)'!G216*$AU$24)</f>
        <v>0.97448162614146194</v>
      </c>
      <c r="V218" s="7">
        <v>1</v>
      </c>
      <c r="W218" s="7"/>
      <c r="X218" s="7">
        <v>210</v>
      </c>
      <c r="Y218" s="7">
        <f>$AV$7*EXP(-'3.r(t)'!D216*$AV$21)</f>
        <v>0.88900715067201674</v>
      </c>
      <c r="Z218" s="7">
        <f ca="1">$AV$8*EXP(-'3.r(t)'!E216*$AV$22)</f>
        <v>0.9090394484786013</v>
      </c>
      <c r="AA218" s="7">
        <f ca="1">$AV$9*EXP(-'3.r(t)'!F216*$AV$23)</f>
        <v>0.9343651242788712</v>
      </c>
      <c r="AB218" s="7">
        <f ca="1">$AV$10*EXP(-'3.r(t)'!G216*$AV$24)</f>
        <v>0.94918400582206464</v>
      </c>
      <c r="AC218" s="7">
        <f ca="1">$AV$11*EXP(-'3.r(t)'!H216*$AV$25)</f>
        <v>0.97641373725507374</v>
      </c>
      <c r="AD218" s="7">
        <v>1</v>
      </c>
      <c r="AE218" s="7"/>
      <c r="AF218" s="7">
        <v>210</v>
      </c>
      <c r="AG218" s="7">
        <f>$AW$7*EXP(-'3.r(t)'!D216*$AW$21)</f>
        <v>0.86718755429225491</v>
      </c>
      <c r="AH218" s="7">
        <f ca="1">$AW$8*EXP(-'3.r(t)'!E216*$AW$22)</f>
        <v>0.88664438348330998</v>
      </c>
      <c r="AI218" s="7">
        <f ca="1">$AW$9*EXP(-'3.r(t)'!F216*$AW$23)</f>
        <v>0.91265091363906015</v>
      </c>
      <c r="AJ218" s="7">
        <f ca="1">$AW$10*EXP(-'3.r(t)'!G216*$AW$24)</f>
        <v>0.92413790596847989</v>
      </c>
      <c r="AK218" s="7">
        <f ca="1">$AW$11*EXP(-'3.r(t)'!H216*$AW$25)</f>
        <v>0.95296010137835951</v>
      </c>
      <c r="AL218" s="7">
        <f ca="1">$AW$12*EXP(-'3.r(t)'!I216*$AW$26)</f>
        <v>0.97641862188964812</v>
      </c>
      <c r="AM218" s="7">
        <v>1</v>
      </c>
      <c r="AN218" s="7"/>
    </row>
    <row r="219" spans="2:40">
      <c r="B219" s="7">
        <v>211</v>
      </c>
      <c r="C219" s="7">
        <f>$AR$7*EXP(-'3.r(t)'!D217*$AR$21)</f>
        <v>0.97765346695821032</v>
      </c>
      <c r="D219" s="7">
        <v>1</v>
      </c>
      <c r="E219" s="7"/>
      <c r="F219" s="7">
        <v>211</v>
      </c>
      <c r="G219" s="48">
        <f>$AS$7*EXP(-'3.r(t)'!D217*$AS$21)</f>
        <v>0.9553476245219803</v>
      </c>
      <c r="H219" s="7">
        <f ca="1">$AS$8*EXP(-'3.r(t)'!E217*$AS$22)</f>
        <v>0.97658334465838537</v>
      </c>
      <c r="I219" s="7">
        <v>1</v>
      </c>
      <c r="J219" s="7"/>
      <c r="K219" s="7">
        <v>211</v>
      </c>
      <c r="L219" s="7">
        <f>$AT$7*EXP(-'3.r(t)'!D217*$AT$21)</f>
        <v>0.93311670519824419</v>
      </c>
      <c r="M219" s="7">
        <f ca="1">$AT$8*EXP(-'3.r(t)'!E217*$AT$22)</f>
        <v>0.95326581589717652</v>
      </c>
      <c r="N219" s="7">
        <f ca="1">$AT$9*EXP(-'3.r(t)'!F217*$AT$23)</f>
        <v>0.97462415534653946</v>
      </c>
      <c r="O219" s="7">
        <v>1</v>
      </c>
      <c r="P219" s="7"/>
      <c r="Q219" s="7">
        <v>211</v>
      </c>
      <c r="R219" s="7">
        <f>$AU$7*EXP(-'3.r(t)'!D217*$AU$21)</f>
        <v>0.91099305977534117</v>
      </c>
      <c r="S219" s="7">
        <f ca="1">$AU$8*EXP(-'3.r(t)'!E217*$AU$22)</f>
        <v>0.9300807015450151</v>
      </c>
      <c r="T219" s="7">
        <f ca="1">$AU$9*EXP(-'3.r(t)'!F217*$AU$23)</f>
        <v>0.94945325796358782</v>
      </c>
      <c r="U219" s="7">
        <f ca="1">$AU$10*EXP(-'3.r(t)'!G217*$AU$24)</f>
        <v>0.97782504367037237</v>
      </c>
      <c r="V219" s="7">
        <v>1</v>
      </c>
      <c r="W219" s="7"/>
      <c r="X219" s="7">
        <v>211</v>
      </c>
      <c r="Y219" s="7">
        <f>$AV$7*EXP(-'3.r(t)'!D217*$AV$21)</f>
        <v>0.88900715067201674</v>
      </c>
      <c r="Z219" s="7">
        <f ca="1">$AV$8*EXP(-'3.r(t)'!E217*$AV$22)</f>
        <v>0.90705927548184762</v>
      </c>
      <c r="AA219" s="7">
        <f ca="1">$AV$9*EXP(-'3.r(t)'!F217*$AV$23)</f>
        <v>0.92451884719981514</v>
      </c>
      <c r="AB219" s="7">
        <f ca="1">$AV$10*EXP(-'3.r(t)'!G217*$AV$24)</f>
        <v>0.95570842348521923</v>
      </c>
      <c r="AC219" s="7">
        <f ca="1">$AV$11*EXP(-'3.r(t)'!H217*$AV$25)</f>
        <v>0.97687345600471598</v>
      </c>
      <c r="AD219" s="7">
        <v>1</v>
      </c>
      <c r="AE219" s="7"/>
      <c r="AF219" s="7">
        <v>211</v>
      </c>
      <c r="AG219" s="7">
        <f>$AW$7*EXP(-'3.r(t)'!D217*$AW$21)</f>
        <v>0.86718755429225491</v>
      </c>
      <c r="AH219" s="7">
        <f ca="1">$AW$8*EXP(-'3.r(t)'!E217*$AW$22)</f>
        <v>0.88423080430974865</v>
      </c>
      <c r="AI219" s="7">
        <f ca="1">$AW$9*EXP(-'3.r(t)'!F217*$AW$23)</f>
        <v>0.89985021616709038</v>
      </c>
      <c r="AJ219" s="7">
        <f ca="1">$AW$10*EXP(-'3.r(t)'!G217*$AW$24)</f>
        <v>0.93368264807812429</v>
      </c>
      <c r="AK219" s="7">
        <f ca="1">$AW$11*EXP(-'3.r(t)'!H217*$AW$25)</f>
        <v>0.95385766506879333</v>
      </c>
      <c r="AL219" s="7">
        <f ca="1">$AW$12*EXP(-'3.r(t)'!I217*$AW$26)</f>
        <v>0.97822076001006952</v>
      </c>
      <c r="AM219" s="7">
        <v>1</v>
      </c>
      <c r="AN219" s="7"/>
    </row>
    <row r="220" spans="2:40">
      <c r="B220" s="7">
        <v>212</v>
      </c>
      <c r="C220" s="7">
        <f>$AR$7*EXP(-'3.r(t)'!D218*$AR$21)</f>
        <v>0.97765346695821032</v>
      </c>
      <c r="D220" s="7">
        <v>1</v>
      </c>
      <c r="E220" s="7"/>
      <c r="F220" s="7">
        <v>212</v>
      </c>
      <c r="G220" s="48">
        <f>$AS$7*EXP(-'3.r(t)'!D218*$AS$21)</f>
        <v>0.9553476245219803</v>
      </c>
      <c r="H220" s="7">
        <f ca="1">$AS$8*EXP(-'3.r(t)'!E218*$AS$22)</f>
        <v>0.97986488702875707</v>
      </c>
      <c r="I220" s="7">
        <v>1</v>
      </c>
      <c r="J220" s="7"/>
      <c r="K220" s="7">
        <v>212</v>
      </c>
      <c r="L220" s="7">
        <f>$AT$7*EXP(-'3.r(t)'!D218*$AT$21)</f>
        <v>0.93311670519824419</v>
      </c>
      <c r="M220" s="7">
        <f ca="1">$AT$8*EXP(-'3.r(t)'!E218*$AT$22)</f>
        <v>0.95968295967575146</v>
      </c>
      <c r="N220" s="7">
        <f ca="1">$AT$9*EXP(-'3.r(t)'!F218*$AT$23)</f>
        <v>0.97766902011069623</v>
      </c>
      <c r="O220" s="7">
        <v>1</v>
      </c>
      <c r="P220" s="7"/>
      <c r="Q220" s="7">
        <v>212</v>
      </c>
      <c r="R220" s="7">
        <f>$AU$7*EXP(-'3.r(t)'!D218*$AU$21)</f>
        <v>0.91099305977534117</v>
      </c>
      <c r="S220" s="7">
        <f ca="1">$AU$8*EXP(-'3.r(t)'!E218*$AU$22)</f>
        <v>0.93948809052686399</v>
      </c>
      <c r="T220" s="7">
        <f ca="1">$AU$9*EXP(-'3.r(t)'!F218*$AU$23)</f>
        <v>0.95539497946717955</v>
      </c>
      <c r="U220" s="7">
        <f ca="1">$AU$10*EXP(-'3.r(t)'!G218*$AU$24)</f>
        <v>0.97918153158682464</v>
      </c>
      <c r="V220" s="7">
        <v>1</v>
      </c>
      <c r="W220" s="7"/>
      <c r="X220" s="7">
        <v>212</v>
      </c>
      <c r="Y220" s="7">
        <f>$AV$7*EXP(-'3.r(t)'!D218*$AV$21)</f>
        <v>0.88900715067201674</v>
      </c>
      <c r="Z220" s="7">
        <f ca="1">$AV$8*EXP(-'3.r(t)'!E218*$AV$22)</f>
        <v>0.91931256627989932</v>
      </c>
      <c r="AA220" s="7">
        <f ca="1">$AV$9*EXP(-'3.r(t)'!F218*$AV$23)</f>
        <v>0.93321093196320315</v>
      </c>
      <c r="AB220" s="7">
        <f ca="1">$AV$10*EXP(-'3.r(t)'!G218*$AV$24)</f>
        <v>0.95836187597520262</v>
      </c>
      <c r="AC220" s="7">
        <f ca="1">$AV$11*EXP(-'3.r(t)'!H218*$AV$25)</f>
        <v>0.97205179298309419</v>
      </c>
      <c r="AD220" s="7">
        <v>1</v>
      </c>
      <c r="AE220" s="7"/>
      <c r="AF220" s="7">
        <v>212</v>
      </c>
      <c r="AG220" s="7">
        <f>$AW$7*EXP(-'3.r(t)'!D218*$AW$21)</f>
        <v>0.86718755429225491</v>
      </c>
      <c r="AH220" s="7">
        <f ca="1">$AW$8*EXP(-'3.r(t)'!E218*$AW$22)</f>
        <v>0.8991870640544215</v>
      </c>
      <c r="AI220" s="7">
        <f ca="1">$AW$9*EXP(-'3.r(t)'!F218*$AW$23)</f>
        <v>0.91114806396052339</v>
      </c>
      <c r="AJ220" s="7">
        <f ca="1">$AW$10*EXP(-'3.r(t)'!G218*$AW$24)</f>
        <v>0.93757379520130624</v>
      </c>
      <c r="AK220" s="7">
        <f ca="1">$AW$11*EXP(-'3.r(t)'!H218*$AW$25)</f>
        <v>0.94446478032917214</v>
      </c>
      <c r="AL220" s="7">
        <f ca="1">$AW$12*EXP(-'3.r(t)'!I218*$AW$26)</f>
        <v>0.96678510838743226</v>
      </c>
      <c r="AM220" s="7">
        <v>1</v>
      </c>
      <c r="AN220" s="7"/>
    </row>
    <row r="221" spans="2:40">
      <c r="B221" s="7">
        <v>213</v>
      </c>
      <c r="C221" s="7">
        <f>$AR$7*EXP(-'3.r(t)'!D219*$AR$21)</f>
        <v>0.97765346695821032</v>
      </c>
      <c r="D221" s="7">
        <v>1</v>
      </c>
      <c r="E221" s="7"/>
      <c r="F221" s="7">
        <v>213</v>
      </c>
      <c r="G221" s="48">
        <f>$AS$7*EXP(-'3.r(t)'!D219*$AS$21)</f>
        <v>0.9553476245219803</v>
      </c>
      <c r="H221" s="7">
        <f ca="1">$AS$8*EXP(-'3.r(t)'!E219*$AS$22)</f>
        <v>0.97691819295980731</v>
      </c>
      <c r="I221" s="7">
        <v>1</v>
      </c>
      <c r="J221" s="7"/>
      <c r="K221" s="7">
        <v>213</v>
      </c>
      <c r="L221" s="7">
        <f>$AT$7*EXP(-'3.r(t)'!D219*$AT$21)</f>
        <v>0.93311670519824419</v>
      </c>
      <c r="M221" s="7">
        <f ca="1">$AT$8*EXP(-'3.r(t)'!E219*$AT$22)</f>
        <v>0.95391963446602823</v>
      </c>
      <c r="N221" s="7">
        <f ca="1">$AT$9*EXP(-'3.r(t)'!F219*$AT$23)</f>
        <v>0.98163493779214894</v>
      </c>
      <c r="O221" s="7">
        <v>1</v>
      </c>
      <c r="P221" s="7"/>
      <c r="Q221" s="7">
        <v>213</v>
      </c>
      <c r="R221" s="7">
        <f>$AU$7*EXP(-'3.r(t)'!D219*$AU$21)</f>
        <v>0.91099305977534117</v>
      </c>
      <c r="S221" s="7">
        <f ca="1">$AU$8*EXP(-'3.r(t)'!E219*$AU$22)</f>
        <v>0.93103774041323273</v>
      </c>
      <c r="T221" s="7">
        <f ca="1">$AU$9*EXP(-'3.r(t)'!F219*$AU$23)</f>
        <v>0.96316182662215077</v>
      </c>
      <c r="U221" s="7">
        <f ca="1">$AU$10*EXP(-'3.r(t)'!G219*$AU$24)</f>
        <v>0.98166830023623441</v>
      </c>
      <c r="V221" s="7">
        <v>1</v>
      </c>
      <c r="W221" s="7"/>
      <c r="X221" s="7">
        <v>213</v>
      </c>
      <c r="Y221" s="7">
        <f>$AV$7*EXP(-'3.r(t)'!D219*$AV$21)</f>
        <v>0.88900715067201674</v>
      </c>
      <c r="Z221" s="7">
        <f ca="1">$AV$8*EXP(-'3.r(t)'!E219*$AV$22)</f>
        <v>0.90830395575148026</v>
      </c>
      <c r="AA221" s="7">
        <f ca="1">$AV$9*EXP(-'3.r(t)'!F219*$AV$23)</f>
        <v>0.94461378271849883</v>
      </c>
      <c r="AB221" s="7">
        <f ca="1">$AV$10*EXP(-'3.r(t)'!G219*$AV$24)</f>
        <v>0.96323584562619458</v>
      </c>
      <c r="AC221" s="7">
        <f ca="1">$AV$11*EXP(-'3.r(t)'!H219*$AV$25)</f>
        <v>0.98429956444976474</v>
      </c>
      <c r="AD221" s="7">
        <v>1</v>
      </c>
      <c r="AE221" s="7"/>
      <c r="AF221" s="7">
        <v>213</v>
      </c>
      <c r="AG221" s="7">
        <f>$AW$7*EXP(-'3.r(t)'!D219*$AW$21)</f>
        <v>0.86718755429225491</v>
      </c>
      <c r="AH221" s="7">
        <f ca="1">$AW$8*EXP(-'3.r(t)'!E219*$AW$22)</f>
        <v>0.88574775775037451</v>
      </c>
      <c r="AI221" s="7">
        <f ca="1">$AW$9*EXP(-'3.r(t)'!F219*$AW$23)</f>
        <v>0.92602256712810127</v>
      </c>
      <c r="AJ221" s="7">
        <f ca="1">$AW$10*EXP(-'3.r(t)'!G219*$AW$24)</f>
        <v>0.94473525189465046</v>
      </c>
      <c r="AK221" s="7">
        <f ca="1">$AW$11*EXP(-'3.r(t)'!H219*$AW$25)</f>
        <v>0.96841507639051783</v>
      </c>
      <c r="AL221" s="7">
        <f ca="1">$AW$12*EXP(-'3.r(t)'!I219*$AW$26)</f>
        <v>0.98415067743833429</v>
      </c>
      <c r="AM221" s="7">
        <v>1</v>
      </c>
      <c r="AN221" s="7"/>
    </row>
    <row r="222" spans="2:40">
      <c r="B222" s="7">
        <v>214</v>
      </c>
      <c r="C222" s="7">
        <f>$AR$7*EXP(-'3.r(t)'!D220*$AR$21)</f>
        <v>0.97765346695821032</v>
      </c>
      <c r="D222" s="7">
        <v>1</v>
      </c>
      <c r="E222" s="7"/>
      <c r="F222" s="7">
        <v>214</v>
      </c>
      <c r="G222" s="48">
        <f>$AS$7*EXP(-'3.r(t)'!D220*$AS$21)</f>
        <v>0.9553476245219803</v>
      </c>
      <c r="H222" s="7">
        <f ca="1">$AS$8*EXP(-'3.r(t)'!E220*$AS$22)</f>
        <v>0.97474057260245162</v>
      </c>
      <c r="I222" s="7">
        <v>1</v>
      </c>
      <c r="J222" s="7"/>
      <c r="K222" s="7">
        <v>214</v>
      </c>
      <c r="L222" s="7">
        <f>$AT$7*EXP(-'3.r(t)'!D220*$AT$21)</f>
        <v>0.93311670519824419</v>
      </c>
      <c r="M222" s="7">
        <f ca="1">$AT$8*EXP(-'3.r(t)'!E220*$AT$22)</f>
        <v>0.94967166440393458</v>
      </c>
      <c r="N222" s="7">
        <f ca="1">$AT$9*EXP(-'3.r(t)'!F220*$AT$23)</f>
        <v>0.97295353830358389</v>
      </c>
      <c r="O222" s="7">
        <v>1</v>
      </c>
      <c r="P222" s="7"/>
      <c r="Q222" s="7">
        <v>214</v>
      </c>
      <c r="R222" s="7">
        <f>$AU$7*EXP(-'3.r(t)'!D220*$AU$21)</f>
        <v>0.91099305977534117</v>
      </c>
      <c r="S222" s="7">
        <f ca="1">$AU$8*EXP(-'3.r(t)'!E220*$AU$22)</f>
        <v>0.92482555974316016</v>
      </c>
      <c r="T222" s="7">
        <f ca="1">$AU$9*EXP(-'3.r(t)'!F220*$AU$23)</f>
        <v>0.94620110513124822</v>
      </c>
      <c r="U222" s="7">
        <f ca="1">$AU$10*EXP(-'3.r(t)'!G220*$AU$24)</f>
        <v>0.97390931315454177</v>
      </c>
      <c r="V222" s="7">
        <v>1</v>
      </c>
      <c r="W222" s="7"/>
      <c r="X222" s="7">
        <v>214</v>
      </c>
      <c r="Y222" s="7">
        <f>$AV$7*EXP(-'3.r(t)'!D220*$AV$21)</f>
        <v>0.88900715067201674</v>
      </c>
      <c r="Z222" s="7">
        <f ca="1">$AV$8*EXP(-'3.r(t)'!E220*$AV$22)</f>
        <v>0.90023229708729546</v>
      </c>
      <c r="AA222" s="7">
        <f ca="1">$AV$9*EXP(-'3.r(t)'!F220*$AV$23)</f>
        <v>0.91977279929435007</v>
      </c>
      <c r="AB222" s="7">
        <f ca="1">$AV$10*EXP(-'3.r(t)'!G220*$AV$24)</f>
        <v>0.94806942182299658</v>
      </c>
      <c r="AC222" s="7">
        <f ca="1">$AV$11*EXP(-'3.r(t)'!H220*$AV$25)</f>
        <v>0.97263165761556991</v>
      </c>
      <c r="AD222" s="7">
        <v>1</v>
      </c>
      <c r="AE222" s="7"/>
      <c r="AF222" s="7">
        <v>214</v>
      </c>
      <c r="AG222" s="7">
        <f>$AW$7*EXP(-'3.r(t)'!D220*$AW$21)</f>
        <v>0.86718755429225491</v>
      </c>
      <c r="AH222" s="7">
        <f ca="1">$AW$8*EXP(-'3.r(t)'!E220*$AW$22)</f>
        <v>0.87591969566867101</v>
      </c>
      <c r="AI222" s="7">
        <f ca="1">$AW$9*EXP(-'3.r(t)'!F220*$AW$23)</f>
        <v>0.89369627771069282</v>
      </c>
      <c r="AJ222" s="7">
        <f ca="1">$AW$10*EXP(-'3.r(t)'!G220*$AW$24)</f>
        <v>0.92251062367418601</v>
      </c>
      <c r="AK222" s="7">
        <f ca="1">$AW$11*EXP(-'3.r(t)'!H220*$AW$25)</f>
        <v>0.9455919323530928</v>
      </c>
      <c r="AL222" s="7">
        <f ca="1">$AW$12*EXP(-'3.r(t)'!I220*$AW$26)</f>
        <v>0.97278721885669361</v>
      </c>
      <c r="AM222" s="7">
        <v>1</v>
      </c>
      <c r="AN222" s="7"/>
    </row>
    <row r="223" spans="2:40">
      <c r="B223" s="7">
        <v>215</v>
      </c>
      <c r="C223" s="7">
        <f>$AR$7*EXP(-'3.r(t)'!D221*$AR$21)</f>
        <v>0.97765346695821032</v>
      </c>
      <c r="D223" s="7">
        <v>1</v>
      </c>
      <c r="E223" s="7"/>
      <c r="F223" s="7">
        <v>215</v>
      </c>
      <c r="G223" s="48">
        <f>$AS$7*EXP(-'3.r(t)'!D221*$AS$21)</f>
        <v>0.9553476245219803</v>
      </c>
      <c r="H223" s="7">
        <f ca="1">$AS$8*EXP(-'3.r(t)'!E221*$AS$22)</f>
        <v>0.97743667251693878</v>
      </c>
      <c r="I223" s="7">
        <v>1</v>
      </c>
      <c r="J223" s="7"/>
      <c r="K223" s="7">
        <v>215</v>
      </c>
      <c r="L223" s="7">
        <f>$AT$7*EXP(-'3.r(t)'!D221*$AT$21)</f>
        <v>0.93311670519824419</v>
      </c>
      <c r="M223" s="7">
        <f ca="1">$AT$8*EXP(-'3.r(t)'!E221*$AT$22)</f>
        <v>0.95493245023590945</v>
      </c>
      <c r="N223" s="7">
        <f ca="1">$AT$9*EXP(-'3.r(t)'!F221*$AT$23)</f>
        <v>0.97194737858182534</v>
      </c>
      <c r="O223" s="7">
        <v>1</v>
      </c>
      <c r="P223" s="7"/>
      <c r="Q223" s="7">
        <v>215</v>
      </c>
      <c r="R223" s="7">
        <f>$AU$7*EXP(-'3.r(t)'!D221*$AU$21)</f>
        <v>0.91099305977534117</v>
      </c>
      <c r="S223" s="7">
        <f ca="1">$AU$8*EXP(-'3.r(t)'!E221*$AU$22)</f>
        <v>0.93252091560682815</v>
      </c>
      <c r="T223" s="7">
        <f ca="1">$AU$9*EXP(-'3.r(t)'!F221*$AU$23)</f>
        <v>0.94424512852505682</v>
      </c>
      <c r="U223" s="7">
        <f ca="1">$AU$10*EXP(-'3.r(t)'!G221*$AU$24)</f>
        <v>0.97139071632043661</v>
      </c>
      <c r="V223" s="7">
        <v>1</v>
      </c>
      <c r="W223" s="7"/>
      <c r="X223" s="7">
        <v>215</v>
      </c>
      <c r="Y223" s="7">
        <f>$AV$7*EXP(-'3.r(t)'!D221*$AV$21)</f>
        <v>0.88900715067201674</v>
      </c>
      <c r="Z223" s="7">
        <f ca="1">$AV$8*EXP(-'3.r(t)'!E221*$AV$22)</f>
        <v>0.91023374712697325</v>
      </c>
      <c r="AA223" s="7">
        <f ca="1">$AV$9*EXP(-'3.r(t)'!F221*$AV$23)</f>
        <v>0.91692225726603094</v>
      </c>
      <c r="AB223" s="7">
        <f ca="1">$AV$10*EXP(-'3.r(t)'!G221*$AV$24)</f>
        <v>0.94317221610140378</v>
      </c>
      <c r="AC223" s="7">
        <f ca="1">$AV$11*EXP(-'3.r(t)'!H221*$AV$25)</f>
        <v>0.97443802345026398</v>
      </c>
      <c r="AD223" s="7">
        <v>1</v>
      </c>
      <c r="AE223" s="7"/>
      <c r="AF223" s="7">
        <v>215</v>
      </c>
      <c r="AG223" s="7">
        <f>$AW$7*EXP(-'3.r(t)'!D221*$AW$21)</f>
        <v>0.86718755429225491</v>
      </c>
      <c r="AH223" s="7">
        <f ca="1">$AW$8*EXP(-'3.r(t)'!E221*$AW$22)</f>
        <v>0.88810071746679264</v>
      </c>
      <c r="AI223" s="7">
        <f ca="1">$AW$9*EXP(-'3.r(t)'!F221*$AW$23)</f>
        <v>0.89000521831783275</v>
      </c>
      <c r="AJ223" s="7">
        <f ca="1">$AW$10*EXP(-'3.r(t)'!G221*$AW$24)</f>
        <v>0.91537208748484122</v>
      </c>
      <c r="AK223" s="7">
        <f ca="1">$AW$11*EXP(-'3.r(t)'!H221*$AW$25)</f>
        <v>0.94910748949023749</v>
      </c>
      <c r="AL223" s="7">
        <f ca="1">$AW$12*EXP(-'3.r(t)'!I221*$AW$26)</f>
        <v>0.97364072120875766</v>
      </c>
      <c r="AM223" s="7">
        <v>1</v>
      </c>
      <c r="AN223" s="7"/>
    </row>
    <row r="224" spans="2:40">
      <c r="B224" s="7">
        <v>216</v>
      </c>
      <c r="C224" s="7">
        <f>$AR$7*EXP(-'3.r(t)'!D222*$AR$21)</f>
        <v>0.97765346695821032</v>
      </c>
      <c r="D224" s="7">
        <v>1</v>
      </c>
      <c r="E224" s="7"/>
      <c r="F224" s="7">
        <v>216</v>
      </c>
      <c r="G224" s="48">
        <f>$AS$7*EXP(-'3.r(t)'!D222*$AS$21)</f>
        <v>0.9553476245219803</v>
      </c>
      <c r="H224" s="7">
        <f ca="1">$AS$8*EXP(-'3.r(t)'!E222*$AS$22)</f>
        <v>0.97469212447052456</v>
      </c>
      <c r="I224" s="7">
        <v>1</v>
      </c>
      <c r="J224" s="7"/>
      <c r="K224" s="7">
        <v>216</v>
      </c>
      <c r="L224" s="7">
        <f>$AT$7*EXP(-'3.r(t)'!D222*$AT$21)</f>
        <v>0.93311670519824419</v>
      </c>
      <c r="M224" s="7">
        <f ca="1">$AT$8*EXP(-'3.r(t)'!E222*$AT$22)</f>
        <v>0.94957726251701147</v>
      </c>
      <c r="N224" s="7">
        <f ca="1">$AT$9*EXP(-'3.r(t)'!F222*$AT$23)</f>
        <v>0.9767629248384937</v>
      </c>
      <c r="O224" s="7">
        <v>1</v>
      </c>
      <c r="P224" s="7"/>
      <c r="Q224" s="7">
        <v>216</v>
      </c>
      <c r="R224" s="7">
        <f>$AU$7*EXP(-'3.r(t)'!D222*$AU$21)</f>
        <v>0.91099305977534117</v>
      </c>
      <c r="S224" s="7">
        <f ca="1">$AU$8*EXP(-'3.r(t)'!E222*$AU$22)</f>
        <v>0.92468766507148992</v>
      </c>
      <c r="T224" s="7">
        <f ca="1">$AU$9*EXP(-'3.r(t)'!F222*$AU$23)</f>
        <v>0.95362489633208924</v>
      </c>
      <c r="U224" s="7">
        <f ca="1">$AU$10*EXP(-'3.r(t)'!G222*$AU$24)</f>
        <v>0.97500148407938481</v>
      </c>
      <c r="V224" s="7">
        <v>1</v>
      </c>
      <c r="W224" s="7"/>
      <c r="X224" s="7">
        <v>216</v>
      </c>
      <c r="Y224" s="7">
        <f>$AV$7*EXP(-'3.r(t)'!D222*$AV$21)</f>
        <v>0.88900715067201674</v>
      </c>
      <c r="Z224" s="7">
        <f ca="1">$AV$8*EXP(-'3.r(t)'!E222*$AV$22)</f>
        <v>0.90005333122612319</v>
      </c>
      <c r="AA224" s="7">
        <f ca="1">$AV$9*EXP(-'3.r(t)'!F222*$AV$23)</f>
        <v>0.93061866025258055</v>
      </c>
      <c r="AB224" s="7">
        <f ca="1">$AV$10*EXP(-'3.r(t)'!G222*$AV$24)</f>
        <v>0.95019700072107149</v>
      </c>
      <c r="AC224" s="7">
        <f ca="1">$AV$11*EXP(-'3.r(t)'!H222*$AV$25)</f>
        <v>0.97112457045920852</v>
      </c>
      <c r="AD224" s="7">
        <v>1</v>
      </c>
      <c r="AE224" s="7"/>
      <c r="AF224" s="7">
        <v>216</v>
      </c>
      <c r="AG224" s="7">
        <f>$AW$7*EXP(-'3.r(t)'!D222*$AW$21)</f>
        <v>0.86718755429225491</v>
      </c>
      <c r="AH224" s="7">
        <f ca="1">$AW$8*EXP(-'3.r(t)'!E222*$AW$22)</f>
        <v>0.87570203542212344</v>
      </c>
      <c r="AI224" s="7">
        <f ca="1">$AW$9*EXP(-'3.r(t)'!F222*$AW$23)</f>
        <v>0.9077749799221968</v>
      </c>
      <c r="AJ224" s="7">
        <f ca="1">$AW$10*EXP(-'3.r(t)'!G222*$AW$24)</f>
        <v>0.92561769814512518</v>
      </c>
      <c r="AK224" s="7">
        <f ca="1">$AW$11*EXP(-'3.r(t)'!H222*$AW$25)</f>
        <v>0.94266382414007543</v>
      </c>
      <c r="AL224" s="7">
        <f ca="1">$AW$12*EXP(-'3.r(t)'!I222*$AW$26)</f>
        <v>0.96994086812211233</v>
      </c>
      <c r="AM224" s="7">
        <v>1</v>
      </c>
      <c r="AN224" s="7"/>
    </row>
    <row r="225" spans="2:40">
      <c r="B225" s="7">
        <v>217</v>
      </c>
      <c r="C225" s="7">
        <f>$AR$7*EXP(-'3.r(t)'!D223*$AR$21)</f>
        <v>0.97765346695821032</v>
      </c>
      <c r="D225" s="7">
        <v>1</v>
      </c>
      <c r="E225" s="7"/>
      <c r="F225" s="7">
        <v>217</v>
      </c>
      <c r="G225" s="48">
        <f>$AS$7*EXP(-'3.r(t)'!D223*$AS$21)</f>
        <v>0.9553476245219803</v>
      </c>
      <c r="H225" s="7">
        <f ca="1">$AS$8*EXP(-'3.r(t)'!E223*$AS$22)</f>
        <v>0.97642042149582242</v>
      </c>
      <c r="I225" s="7">
        <v>1</v>
      </c>
      <c r="J225" s="7"/>
      <c r="K225" s="7">
        <v>217</v>
      </c>
      <c r="L225" s="7">
        <f>$AT$7*EXP(-'3.r(t)'!D223*$AT$21)</f>
        <v>0.93311670519824419</v>
      </c>
      <c r="M225" s="7">
        <f ca="1">$AT$8*EXP(-'3.r(t)'!E223*$AT$22)</f>
        <v>0.9529477762188423</v>
      </c>
      <c r="N225" s="7">
        <f ca="1">$AT$9*EXP(-'3.r(t)'!F223*$AT$23)</f>
        <v>0.97374315783776411</v>
      </c>
      <c r="O225" s="7">
        <v>1</v>
      </c>
      <c r="P225" s="7"/>
      <c r="Q225" s="7">
        <v>217</v>
      </c>
      <c r="R225" s="7">
        <f>$AU$7*EXP(-'3.r(t)'!D223*$AU$21)</f>
        <v>0.91099305977534117</v>
      </c>
      <c r="S225" s="7">
        <f ca="1">$AU$8*EXP(-'3.r(t)'!E223*$AU$22)</f>
        <v>0.92961528378551517</v>
      </c>
      <c r="T225" s="7">
        <f ca="1">$AU$9*EXP(-'3.r(t)'!F223*$AU$23)</f>
        <v>0.94773754448637892</v>
      </c>
      <c r="U225" s="7">
        <f ca="1">$AU$10*EXP(-'3.r(t)'!G223*$AU$24)</f>
        <v>0.97398702569478823</v>
      </c>
      <c r="V225" s="7">
        <v>1</v>
      </c>
      <c r="W225" s="7"/>
      <c r="X225" s="7">
        <v>217</v>
      </c>
      <c r="Y225" s="7">
        <f>$AV$7*EXP(-'3.r(t)'!D223*$AV$21)</f>
        <v>0.88900715067201674</v>
      </c>
      <c r="Z225" s="7">
        <f ca="1">$AV$8*EXP(-'3.r(t)'!E223*$AV$22)</f>
        <v>0.90645412902170985</v>
      </c>
      <c r="AA225" s="7">
        <f ca="1">$AV$9*EXP(-'3.r(t)'!F223*$AV$23)</f>
        <v>0.92201399618391566</v>
      </c>
      <c r="AB225" s="7">
        <f ca="1">$AV$10*EXP(-'3.r(t)'!G223*$AV$24)</f>
        <v>0.9482207291810989</v>
      </c>
      <c r="AC225" s="7">
        <f ca="1">$AV$11*EXP(-'3.r(t)'!H223*$AV$25)</f>
        <v>0.97309339482799129</v>
      </c>
      <c r="AD225" s="7">
        <v>1</v>
      </c>
      <c r="AE225" s="7"/>
      <c r="AF225" s="7">
        <v>217</v>
      </c>
      <c r="AG225" s="7">
        <f>$AW$7*EXP(-'3.r(t)'!D223*$AW$21)</f>
        <v>0.86718755429225491</v>
      </c>
      <c r="AH225" s="7">
        <f ca="1">$AW$8*EXP(-'3.r(t)'!E223*$AW$22)</f>
        <v>0.88349347031603553</v>
      </c>
      <c r="AI225" s="7">
        <f ca="1">$AW$9*EXP(-'3.r(t)'!F223*$AW$23)</f>
        <v>0.8966009983917872</v>
      </c>
      <c r="AJ225" s="7">
        <f ca="1">$AW$10*EXP(-'3.r(t)'!G223*$AW$24)</f>
        <v>0.92273147492902463</v>
      </c>
      <c r="AK225" s="7">
        <f ca="1">$AW$11*EXP(-'3.r(t)'!H223*$AW$25)</f>
        <v>0.94648994675881482</v>
      </c>
      <c r="AL225" s="7">
        <f ca="1">$AW$12*EXP(-'3.r(t)'!I223*$AW$26)</f>
        <v>0.97332717457175244</v>
      </c>
      <c r="AM225" s="7">
        <v>1</v>
      </c>
      <c r="AN225" s="7"/>
    </row>
    <row r="226" spans="2:40">
      <c r="B226" s="7">
        <v>218</v>
      </c>
      <c r="C226" s="7">
        <f>$AR$7*EXP(-'3.r(t)'!D224*$AR$21)</f>
        <v>0.97765346695821032</v>
      </c>
      <c r="D226" s="7">
        <v>1</v>
      </c>
      <c r="E226" s="7"/>
      <c r="F226" s="7">
        <v>218</v>
      </c>
      <c r="G226" s="48">
        <f>$AS$7*EXP(-'3.r(t)'!D224*$AS$21)</f>
        <v>0.9553476245219803</v>
      </c>
      <c r="H226" s="7">
        <f ca="1">$AS$8*EXP(-'3.r(t)'!E224*$AS$22)</f>
        <v>0.97724251970012832</v>
      </c>
      <c r="I226" s="7">
        <v>1</v>
      </c>
      <c r="J226" s="7"/>
      <c r="K226" s="7">
        <v>218</v>
      </c>
      <c r="L226" s="7">
        <f>$AT$7*EXP(-'3.r(t)'!D224*$AT$21)</f>
        <v>0.93311670519824419</v>
      </c>
      <c r="M226" s="7">
        <f ca="1">$AT$8*EXP(-'3.r(t)'!E224*$AT$22)</f>
        <v>0.95455312251765501</v>
      </c>
      <c r="N226" s="7">
        <f ca="1">$AT$9*EXP(-'3.r(t)'!F224*$AT$23)</f>
        <v>0.97885678076920901</v>
      </c>
      <c r="O226" s="7">
        <v>1</v>
      </c>
      <c r="P226" s="7"/>
      <c r="Q226" s="7">
        <v>218</v>
      </c>
      <c r="R226" s="7">
        <f>$AU$7*EXP(-'3.r(t)'!D224*$AU$21)</f>
        <v>0.91099305977534117</v>
      </c>
      <c r="S226" s="7">
        <f ca="1">$AU$8*EXP(-'3.r(t)'!E224*$AU$22)</f>
        <v>0.93196533300945228</v>
      </c>
      <c r="T226" s="7">
        <f ca="1">$AU$9*EXP(-'3.r(t)'!F224*$AU$23)</f>
        <v>0.95771778987351819</v>
      </c>
      <c r="U226" s="7">
        <f ca="1">$AU$10*EXP(-'3.r(t)'!G224*$AU$24)</f>
        <v>0.9783269883070016</v>
      </c>
      <c r="V226" s="7">
        <v>1</v>
      </c>
      <c r="W226" s="7"/>
      <c r="X226" s="7">
        <v>218</v>
      </c>
      <c r="Y226" s="7">
        <f>$AV$7*EXP(-'3.r(t)'!D224*$AV$21)</f>
        <v>0.88900715067201674</v>
      </c>
      <c r="Z226" s="7">
        <f ca="1">$AV$8*EXP(-'3.r(t)'!E224*$AV$22)</f>
        <v>0.90951074664010345</v>
      </c>
      <c r="AA226" s="7">
        <f ca="1">$AV$9*EXP(-'3.r(t)'!F224*$AV$23)</f>
        <v>0.93661631264723255</v>
      </c>
      <c r="AB226" s="7">
        <f ca="1">$AV$10*EXP(-'3.r(t)'!G224*$AV$24)</f>
        <v>0.95668985844714438</v>
      </c>
      <c r="AC226" s="7">
        <f ca="1">$AV$11*EXP(-'3.r(t)'!H224*$AV$25)</f>
        <v>0.97811406195836814</v>
      </c>
      <c r="AD226" s="7">
        <v>1</v>
      </c>
      <c r="AE226" s="7"/>
      <c r="AF226" s="7">
        <v>218</v>
      </c>
      <c r="AG226" s="7">
        <f>$AW$7*EXP(-'3.r(t)'!D224*$AW$21)</f>
        <v>0.86718755429225491</v>
      </c>
      <c r="AH226" s="7">
        <f ca="1">$AW$8*EXP(-'3.r(t)'!E224*$AW$22)</f>
        <v>0.88721902981226319</v>
      </c>
      <c r="AI226" s="7">
        <f ca="1">$AW$9*EXP(-'3.r(t)'!F224*$AW$23)</f>
        <v>0.91558391936157535</v>
      </c>
      <c r="AJ226" s="7">
        <f ca="1">$AW$10*EXP(-'3.r(t)'!G224*$AW$24)</f>
        <v>0.93512124166799193</v>
      </c>
      <c r="AK226" s="7">
        <f ca="1">$AW$11*EXP(-'3.r(t)'!H224*$AW$25)</f>
        <v>0.9562819563858721</v>
      </c>
      <c r="AL226" s="7">
        <f ca="1">$AW$12*EXP(-'3.r(t)'!I224*$AW$26)</f>
        <v>0.97223755592702577</v>
      </c>
      <c r="AM226" s="7">
        <v>1</v>
      </c>
      <c r="AN226" s="7"/>
    </row>
    <row r="227" spans="2:40">
      <c r="B227" s="7">
        <v>219</v>
      </c>
      <c r="C227" s="7">
        <f>$AR$7*EXP(-'3.r(t)'!D225*$AR$21)</f>
        <v>0.97765346695821032</v>
      </c>
      <c r="D227" s="7">
        <v>1</v>
      </c>
      <c r="E227" s="7"/>
      <c r="F227" s="7">
        <v>219</v>
      </c>
      <c r="G227" s="48">
        <f>$AS$7*EXP(-'3.r(t)'!D225*$AS$21)</f>
        <v>0.9553476245219803</v>
      </c>
      <c r="H227" s="7">
        <f ca="1">$AS$8*EXP(-'3.r(t)'!E225*$AS$22)</f>
        <v>0.97318008000366418</v>
      </c>
      <c r="I227" s="7">
        <v>1</v>
      </c>
      <c r="J227" s="7"/>
      <c r="K227" s="7">
        <v>219</v>
      </c>
      <c r="L227" s="7">
        <f>$AT$7*EXP(-'3.r(t)'!D225*$AT$21)</f>
        <v>0.93311670519824419</v>
      </c>
      <c r="M227" s="7">
        <f ca="1">$AT$8*EXP(-'3.r(t)'!E225*$AT$22)</f>
        <v>0.94663338039131295</v>
      </c>
      <c r="N227" s="7">
        <f ca="1">$AT$9*EXP(-'3.r(t)'!F225*$AT$23)</f>
        <v>0.97345420002333916</v>
      </c>
      <c r="O227" s="7">
        <v>1</v>
      </c>
      <c r="P227" s="7"/>
      <c r="Q227" s="7">
        <v>219</v>
      </c>
      <c r="R227" s="7">
        <f>$AU$7*EXP(-'3.r(t)'!D225*$AU$21)</f>
        <v>0.91099305977534117</v>
      </c>
      <c r="S227" s="7">
        <f ca="1">$AU$8*EXP(-'3.r(t)'!E225*$AU$22)</f>
        <v>0.92039092058728433</v>
      </c>
      <c r="T227" s="7">
        <f ca="1">$AU$9*EXP(-'3.r(t)'!F225*$AU$23)</f>
        <v>0.94717514662210445</v>
      </c>
      <c r="U227" s="7">
        <f ca="1">$AU$10*EXP(-'3.r(t)'!G225*$AU$24)</f>
        <v>0.97319731101020468</v>
      </c>
      <c r="V227" s="7">
        <v>1</v>
      </c>
      <c r="W227" s="7"/>
      <c r="X227" s="7">
        <v>219</v>
      </c>
      <c r="Y227" s="7">
        <f>$AV$7*EXP(-'3.r(t)'!D225*$AV$21)</f>
        <v>0.88900715067201674</v>
      </c>
      <c r="Z227" s="7">
        <f ca="1">$AV$8*EXP(-'3.r(t)'!E225*$AV$22)</f>
        <v>0.89448128608402322</v>
      </c>
      <c r="AA227" s="7">
        <f ca="1">$AV$9*EXP(-'3.r(t)'!F225*$AV$23)</f>
        <v>0.92119341810660149</v>
      </c>
      <c r="AB227" s="7">
        <f ca="1">$AV$10*EXP(-'3.r(t)'!G225*$AV$24)</f>
        <v>0.94668370612263153</v>
      </c>
      <c r="AC227" s="7">
        <f ca="1">$AV$11*EXP(-'3.r(t)'!H225*$AV$25)</f>
        <v>0.97503411281446639</v>
      </c>
      <c r="AD227" s="7">
        <v>1</v>
      </c>
      <c r="AE227" s="7"/>
      <c r="AF227" s="7">
        <v>219</v>
      </c>
      <c r="AG227" s="7">
        <f>$AW$7*EXP(-'3.r(t)'!D225*$AW$21)</f>
        <v>0.86718755429225491</v>
      </c>
      <c r="AH227" s="7">
        <f ca="1">$AW$8*EXP(-'3.r(t)'!E225*$AW$22)</f>
        <v>0.86893067354367848</v>
      </c>
      <c r="AI227" s="7">
        <f ca="1">$AW$9*EXP(-'3.r(t)'!F225*$AW$23)</f>
        <v>0.89553720836503559</v>
      </c>
      <c r="AJ227" s="7">
        <f ca="1">$AW$10*EXP(-'3.r(t)'!G225*$AW$24)</f>
        <v>0.92048882516239505</v>
      </c>
      <c r="AK227" s="7">
        <f ca="1">$AW$11*EXP(-'3.r(t)'!H225*$AW$25)</f>
        <v>0.9502690326757619</v>
      </c>
      <c r="AL227" s="7">
        <f ca="1">$AW$12*EXP(-'3.r(t)'!I225*$AW$26)</f>
        <v>0.9715130090216334</v>
      </c>
      <c r="AM227" s="7">
        <v>1</v>
      </c>
      <c r="AN227" s="7"/>
    </row>
    <row r="228" spans="2:40">
      <c r="B228" s="7">
        <v>220</v>
      </c>
      <c r="C228" s="7">
        <f>$AR$7*EXP(-'3.r(t)'!D226*$AR$21)</f>
        <v>0.97765346695821032</v>
      </c>
      <c r="D228" s="7">
        <v>1</v>
      </c>
      <c r="E228" s="7"/>
      <c r="F228" s="7">
        <v>220</v>
      </c>
      <c r="G228" s="48">
        <f>$AS$7*EXP(-'3.r(t)'!D226*$AS$21)</f>
        <v>0.9553476245219803</v>
      </c>
      <c r="H228" s="7">
        <f ca="1">$AS$8*EXP(-'3.r(t)'!E226*$AS$22)</f>
        <v>0.97774395010661386</v>
      </c>
      <c r="I228" s="7">
        <v>1</v>
      </c>
      <c r="J228" s="7"/>
      <c r="K228" s="7">
        <v>220</v>
      </c>
      <c r="L228" s="7">
        <f>$AT$7*EXP(-'3.r(t)'!D226*$AT$21)</f>
        <v>0.93311670519824419</v>
      </c>
      <c r="M228" s="7">
        <f ca="1">$AT$8*EXP(-'3.r(t)'!E226*$AT$22)</f>
        <v>0.9555329504476926</v>
      </c>
      <c r="N228" s="7">
        <f ca="1">$AT$9*EXP(-'3.r(t)'!F226*$AT$23)</f>
        <v>0.97402488834930745</v>
      </c>
      <c r="O228" s="7">
        <v>1</v>
      </c>
      <c r="P228" s="7"/>
      <c r="Q228" s="7">
        <v>220</v>
      </c>
      <c r="R228" s="7">
        <f>$AU$7*EXP(-'3.r(t)'!D226*$AU$21)</f>
        <v>0.91099305977534117</v>
      </c>
      <c r="S228" s="7">
        <f ca="1">$AU$8*EXP(-'3.r(t)'!E226*$AU$22)</f>
        <v>0.93340066427228041</v>
      </c>
      <c r="T228" s="7">
        <f ca="1">$AU$9*EXP(-'3.r(t)'!F226*$AU$23)</f>
        <v>0.9482860365753224</v>
      </c>
      <c r="U228" s="7">
        <f ca="1">$AU$10*EXP(-'3.r(t)'!G226*$AU$24)</f>
        <v>0.97669556470357488</v>
      </c>
      <c r="V228" s="7">
        <v>1</v>
      </c>
      <c r="W228" s="7"/>
      <c r="X228" s="7">
        <v>220</v>
      </c>
      <c r="Y228" s="7">
        <f>$AV$7*EXP(-'3.r(t)'!D226*$AV$21)</f>
        <v>0.88900715067201674</v>
      </c>
      <c r="Z228" s="7">
        <f ca="1">$AV$8*EXP(-'3.r(t)'!E226*$AV$22)</f>
        <v>0.9113788907829512</v>
      </c>
      <c r="AA228" s="7">
        <f ca="1">$AV$9*EXP(-'3.r(t)'!F226*$AV$23)</f>
        <v>0.92281451930585401</v>
      </c>
      <c r="AB228" s="7">
        <f ca="1">$AV$10*EXP(-'3.r(t)'!G226*$AV$24)</f>
        <v>0.95350183420711787</v>
      </c>
      <c r="AC228" s="7">
        <f ca="1">$AV$11*EXP(-'3.r(t)'!H226*$AV$25)</f>
        <v>0.97598752338070816</v>
      </c>
      <c r="AD228" s="7">
        <v>1</v>
      </c>
      <c r="AE228" s="7"/>
      <c r="AF228" s="7">
        <v>220</v>
      </c>
      <c r="AG228" s="7">
        <f>$AW$7*EXP(-'3.r(t)'!D226*$AW$21)</f>
        <v>0.86718755429225491</v>
      </c>
      <c r="AH228" s="7">
        <f ca="1">$AW$8*EXP(-'3.r(t)'!E226*$AW$22)</f>
        <v>0.88949756029540661</v>
      </c>
      <c r="AI228" s="7">
        <f ca="1">$AW$9*EXP(-'3.r(t)'!F226*$AW$23)</f>
        <v>0.89763909351206583</v>
      </c>
      <c r="AJ228" s="7">
        <f ca="1">$AW$10*EXP(-'3.r(t)'!G226*$AW$24)</f>
        <v>0.93045091273969982</v>
      </c>
      <c r="AK228" s="7">
        <f ca="1">$AW$11*EXP(-'3.r(t)'!H226*$AW$25)</f>
        <v>0.95212833067700753</v>
      </c>
      <c r="AL228" s="7">
        <f ca="1">$AW$12*EXP(-'3.r(t)'!I226*$AW$26)</f>
        <v>0.97610731453781441</v>
      </c>
      <c r="AM228" s="7">
        <v>1</v>
      </c>
      <c r="AN228" s="7"/>
    </row>
    <row r="229" spans="2:40">
      <c r="B229" s="7">
        <v>221</v>
      </c>
      <c r="C229" s="7">
        <f>$AR$7*EXP(-'3.r(t)'!D227*$AR$21)</f>
        <v>0.97765346695821032</v>
      </c>
      <c r="D229" s="7">
        <v>1</v>
      </c>
      <c r="E229" s="7"/>
      <c r="F229" s="7">
        <v>221</v>
      </c>
      <c r="G229" s="48">
        <f>$AS$7*EXP(-'3.r(t)'!D227*$AS$21)</f>
        <v>0.9553476245219803</v>
      </c>
      <c r="H229" s="7">
        <f ca="1">$AS$8*EXP(-'3.r(t)'!E227*$AS$22)</f>
        <v>0.97203254242833692</v>
      </c>
      <c r="I229" s="7">
        <v>1</v>
      </c>
      <c r="J229" s="7"/>
      <c r="K229" s="7">
        <v>221</v>
      </c>
      <c r="L229" s="7">
        <f>$AT$7*EXP(-'3.r(t)'!D227*$AT$21)</f>
        <v>0.93311670519824419</v>
      </c>
      <c r="M229" s="7">
        <f ca="1">$AT$8*EXP(-'3.r(t)'!E227*$AT$22)</f>
        <v>0.94440222721476252</v>
      </c>
      <c r="N229" s="7">
        <f ca="1">$AT$9*EXP(-'3.r(t)'!F227*$AT$23)</f>
        <v>0.96998432616473551</v>
      </c>
      <c r="O229" s="7">
        <v>1</v>
      </c>
      <c r="P229" s="7"/>
      <c r="Q229" s="7">
        <v>221</v>
      </c>
      <c r="R229" s="7">
        <f>$AU$7*EXP(-'3.r(t)'!D227*$AU$21)</f>
        <v>0.91099305977534117</v>
      </c>
      <c r="S229" s="7">
        <f ca="1">$AU$8*EXP(-'3.r(t)'!E227*$AU$22)</f>
        <v>0.91713888656549314</v>
      </c>
      <c r="T229" s="7">
        <f ca="1">$AU$9*EXP(-'3.r(t)'!F227*$AU$23)</f>
        <v>0.94043477654058705</v>
      </c>
      <c r="U229" s="7">
        <f ca="1">$AU$10*EXP(-'3.r(t)'!G227*$AU$24)</f>
        <v>0.97030594909073609</v>
      </c>
      <c r="V229" s="7">
        <v>1</v>
      </c>
      <c r="W229" s="7"/>
      <c r="X229" s="7">
        <v>221</v>
      </c>
      <c r="Y229" s="7">
        <f>$AV$7*EXP(-'3.r(t)'!D227*$AV$21)</f>
        <v>0.88900715067201674</v>
      </c>
      <c r="Z229" s="7">
        <f ca="1">$AV$8*EXP(-'3.r(t)'!E227*$AV$22)</f>
        <v>0.89026978687533409</v>
      </c>
      <c r="AA229" s="7">
        <f ca="1">$AV$9*EXP(-'3.r(t)'!F227*$AV$23)</f>
        <v>0.91137771793446021</v>
      </c>
      <c r="AB229" s="7">
        <f ca="1">$AV$10*EXP(-'3.r(t)'!G227*$AV$24)</f>
        <v>0.94106688191104282</v>
      </c>
      <c r="AC229" s="7">
        <f ca="1">$AV$11*EXP(-'3.r(t)'!H227*$AV$25)</f>
        <v>0.96720225325254006</v>
      </c>
      <c r="AD229" s="7">
        <v>1</v>
      </c>
      <c r="AE229" s="7"/>
      <c r="AF229" s="7">
        <v>221</v>
      </c>
      <c r="AG229" s="7">
        <f>$AW$7*EXP(-'3.r(t)'!D227*$AW$21)</f>
        <v>0.86718755429225491</v>
      </c>
      <c r="AH229" s="7">
        <f ca="1">$AW$8*EXP(-'3.r(t)'!E227*$AW$22)</f>
        <v>0.86381968827148325</v>
      </c>
      <c r="AI229" s="7">
        <f ca="1">$AW$9*EXP(-'3.r(t)'!F227*$AW$23)</f>
        <v>0.88283676035102221</v>
      </c>
      <c r="AJ229" s="7">
        <f ca="1">$AW$10*EXP(-'3.r(t)'!G227*$AW$24)</f>
        <v>0.91230887971696728</v>
      </c>
      <c r="AK229" s="7">
        <f ca="1">$AW$11*EXP(-'3.r(t)'!H227*$AW$25)</f>
        <v>0.93506447015098426</v>
      </c>
      <c r="AL229" s="7">
        <f ca="1">$AW$12*EXP(-'3.r(t)'!I227*$AW$26)</f>
        <v>0.96579556892531582</v>
      </c>
      <c r="AM229" s="7">
        <v>1</v>
      </c>
      <c r="AN229" s="7"/>
    </row>
    <row r="230" spans="2:40">
      <c r="B230" s="7">
        <v>222</v>
      </c>
      <c r="C230" s="7">
        <f>$AR$7*EXP(-'3.r(t)'!D228*$AR$21)</f>
        <v>0.97765346695821032</v>
      </c>
      <c r="D230" s="7">
        <v>1</v>
      </c>
      <c r="E230" s="7"/>
      <c r="F230" s="7">
        <v>222</v>
      </c>
      <c r="G230" s="48">
        <f>$AS$7*EXP(-'3.r(t)'!D228*$AS$21)</f>
        <v>0.9553476245219803</v>
      </c>
      <c r="H230" s="7">
        <f ca="1">$AS$8*EXP(-'3.r(t)'!E228*$AS$22)</f>
        <v>0.97520335306056116</v>
      </c>
      <c r="I230" s="7">
        <v>1</v>
      </c>
      <c r="J230" s="7"/>
      <c r="K230" s="7">
        <v>222</v>
      </c>
      <c r="L230" s="7">
        <f>$AT$7*EXP(-'3.r(t)'!D228*$AT$21)</f>
        <v>0.93311670519824419</v>
      </c>
      <c r="M230" s="7">
        <f ca="1">$AT$8*EXP(-'3.r(t)'!E228*$AT$22)</f>
        <v>0.95057363530598404</v>
      </c>
      <c r="N230" s="7">
        <f ca="1">$AT$9*EXP(-'3.r(t)'!F228*$AT$23)</f>
        <v>0.9706691171982087</v>
      </c>
      <c r="O230" s="7">
        <v>1</v>
      </c>
      <c r="P230" s="7"/>
      <c r="Q230" s="7">
        <v>222</v>
      </c>
      <c r="R230" s="7">
        <f>$AU$7*EXP(-'3.r(t)'!D228*$AU$21)</f>
        <v>0.91099305977534117</v>
      </c>
      <c r="S230" s="7">
        <f ca="1">$AU$8*EXP(-'3.r(t)'!E228*$AU$22)</f>
        <v>0.92614343171559876</v>
      </c>
      <c r="T230" s="7">
        <f ca="1">$AU$9*EXP(-'3.r(t)'!F228*$AU$23)</f>
        <v>0.94176310445616485</v>
      </c>
      <c r="U230" s="7">
        <f ca="1">$AU$10*EXP(-'3.r(t)'!G228*$AU$24)</f>
        <v>0.97107038360153786</v>
      </c>
      <c r="V230" s="7">
        <v>1</v>
      </c>
      <c r="W230" s="7"/>
      <c r="X230" s="7">
        <v>222</v>
      </c>
      <c r="Y230" s="7">
        <f>$AV$7*EXP(-'3.r(t)'!D228*$AV$21)</f>
        <v>0.88900715067201674</v>
      </c>
      <c r="Z230" s="7">
        <f ca="1">$AV$8*EXP(-'3.r(t)'!E228*$AV$22)</f>
        <v>0.90194313877447418</v>
      </c>
      <c r="AA230" s="7">
        <f ca="1">$AV$9*EXP(-'3.r(t)'!F228*$AV$23)</f>
        <v>0.9133093285231878</v>
      </c>
      <c r="AB230" s="7">
        <f ca="1">$AV$10*EXP(-'3.r(t)'!G228*$AV$24)</f>
        <v>0.94255026429724043</v>
      </c>
      <c r="AC230" s="7">
        <f ca="1">$AV$11*EXP(-'3.r(t)'!H228*$AV$25)</f>
        <v>0.96957348388510867</v>
      </c>
      <c r="AD230" s="7">
        <v>1</v>
      </c>
      <c r="AE230" s="7"/>
      <c r="AF230" s="7">
        <v>222</v>
      </c>
      <c r="AG230" s="7">
        <f>$AW$7*EXP(-'3.r(t)'!D228*$AW$21)</f>
        <v>0.86718755429225491</v>
      </c>
      <c r="AH230" s="7">
        <f ca="1">$AW$8*EXP(-'3.r(t)'!E228*$AW$22)</f>
        <v>0.87800098590496345</v>
      </c>
      <c r="AI230" s="7">
        <f ca="1">$AW$9*EXP(-'3.r(t)'!F228*$AW$23)</f>
        <v>0.88533246752269723</v>
      </c>
      <c r="AJ230" s="7">
        <f ca="1">$AW$10*EXP(-'3.r(t)'!G228*$AW$24)</f>
        <v>0.91446680723113816</v>
      </c>
      <c r="AK230" s="7">
        <f ca="1">$AW$11*EXP(-'3.r(t)'!H228*$AW$25)</f>
        <v>0.93965497117603181</v>
      </c>
      <c r="AL230" s="7">
        <f ca="1">$AW$12*EXP(-'3.r(t)'!I228*$AW$26)</f>
        <v>0.97464812028292636</v>
      </c>
      <c r="AM230" s="7">
        <v>1</v>
      </c>
      <c r="AN230" s="7"/>
    </row>
    <row r="231" spans="2:40">
      <c r="B231" s="7">
        <v>223</v>
      </c>
      <c r="C231" s="7">
        <f>$AR$7*EXP(-'3.r(t)'!D229*$AR$21)</f>
        <v>0.97765346695821032</v>
      </c>
      <c r="D231" s="7">
        <v>1</v>
      </c>
      <c r="E231" s="7"/>
      <c r="F231" s="7">
        <v>223</v>
      </c>
      <c r="G231" s="48">
        <f>$AS$7*EXP(-'3.r(t)'!D229*$AS$21)</f>
        <v>0.9553476245219803</v>
      </c>
      <c r="H231" s="7">
        <f ca="1">$AS$8*EXP(-'3.r(t)'!E229*$AS$22)</f>
        <v>0.97603731162938101</v>
      </c>
      <c r="I231" s="7">
        <v>1</v>
      </c>
      <c r="J231" s="7"/>
      <c r="K231" s="7">
        <v>223</v>
      </c>
      <c r="L231" s="7">
        <f>$AT$7*EXP(-'3.r(t)'!D229*$AT$21)</f>
        <v>0.93311670519824419</v>
      </c>
      <c r="M231" s="7">
        <f ca="1">$AT$8*EXP(-'3.r(t)'!E229*$AT$22)</f>
        <v>0.95220012271871457</v>
      </c>
      <c r="N231" s="7">
        <f ca="1">$AT$9*EXP(-'3.r(t)'!F229*$AT$23)</f>
        <v>0.97429563697671173</v>
      </c>
      <c r="O231" s="7">
        <v>1</v>
      </c>
      <c r="P231" s="7"/>
      <c r="Q231" s="7">
        <v>223</v>
      </c>
      <c r="R231" s="7">
        <f>$AU$7*EXP(-'3.r(t)'!D229*$AU$21)</f>
        <v>0.91099305977534117</v>
      </c>
      <c r="S231" s="7">
        <f ca="1">$AU$8*EXP(-'3.r(t)'!E229*$AU$22)</f>
        <v>0.9285214770805833</v>
      </c>
      <c r="T231" s="7">
        <f ca="1">$AU$9*EXP(-'3.r(t)'!F229*$AU$23)</f>
        <v>0.94881329790041025</v>
      </c>
      <c r="U231" s="7">
        <f ca="1">$AU$10*EXP(-'3.r(t)'!G229*$AU$24)</f>
        <v>0.97459725564949606</v>
      </c>
      <c r="V231" s="7">
        <v>1</v>
      </c>
      <c r="W231" s="7"/>
      <c r="X231" s="7">
        <v>223</v>
      </c>
      <c r="Y231" s="7">
        <f>$AV$7*EXP(-'3.r(t)'!D229*$AV$21)</f>
        <v>0.88900715067201674</v>
      </c>
      <c r="Z231" s="7">
        <f ca="1">$AV$8*EXP(-'3.r(t)'!E229*$AV$22)</f>
        <v>0.90503233495795177</v>
      </c>
      <c r="AA231" s="7">
        <f ca="1">$AV$9*EXP(-'3.r(t)'!F229*$AV$23)</f>
        <v>0.92358427444645919</v>
      </c>
      <c r="AB231" s="7">
        <f ca="1">$AV$10*EXP(-'3.r(t)'!G229*$AV$24)</f>
        <v>0.94940927469985292</v>
      </c>
      <c r="AC231" s="7">
        <f ca="1">$AV$11*EXP(-'3.r(t)'!H229*$AV$25)</f>
        <v>0.97190608249451693</v>
      </c>
      <c r="AD231" s="7">
        <v>1</v>
      </c>
      <c r="AE231" s="7"/>
      <c r="AF231" s="7">
        <v>223</v>
      </c>
      <c r="AG231" s="7">
        <f>$AW$7*EXP(-'3.r(t)'!D229*$AW$21)</f>
        <v>0.86718755429225491</v>
      </c>
      <c r="AH231" s="7">
        <f ca="1">$AW$8*EXP(-'3.r(t)'!E229*$AW$22)</f>
        <v>0.88176158539773841</v>
      </c>
      <c r="AI231" s="7">
        <f ca="1">$AW$9*EXP(-'3.r(t)'!F229*$AW$23)</f>
        <v>0.89863757274286094</v>
      </c>
      <c r="AJ231" s="7">
        <f ca="1">$AW$10*EXP(-'3.r(t)'!G229*$AW$24)</f>
        <v>0.92446691255570357</v>
      </c>
      <c r="AK231" s="7">
        <f ca="1">$AW$11*EXP(-'3.r(t)'!H229*$AW$25)</f>
        <v>0.94418165115625474</v>
      </c>
      <c r="AL231" s="7">
        <f ca="1">$AW$12*EXP(-'3.r(t)'!I229*$AW$26)</f>
        <v>0.97236238935039943</v>
      </c>
      <c r="AM231" s="7">
        <v>1</v>
      </c>
      <c r="AN231" s="7"/>
    </row>
    <row r="232" spans="2:40">
      <c r="B232" s="7">
        <v>224</v>
      </c>
      <c r="C232" s="7">
        <f>$AR$7*EXP(-'3.r(t)'!D230*$AR$21)</f>
        <v>0.97765346695821032</v>
      </c>
      <c r="D232" s="7">
        <v>1</v>
      </c>
      <c r="E232" s="7"/>
      <c r="F232" s="7">
        <v>224</v>
      </c>
      <c r="G232" s="48">
        <f>$AS$7*EXP(-'3.r(t)'!D230*$AS$21)</f>
        <v>0.9553476245219803</v>
      </c>
      <c r="H232" s="7">
        <f ca="1">$AS$8*EXP(-'3.r(t)'!E230*$AS$22)</f>
        <v>0.97321181286739267</v>
      </c>
      <c r="I232" s="7">
        <v>1</v>
      </c>
      <c r="J232" s="7"/>
      <c r="K232" s="7">
        <v>224</v>
      </c>
      <c r="L232" s="7">
        <f>$AT$7*EXP(-'3.r(t)'!D230*$AT$21)</f>
        <v>0.93311670519824419</v>
      </c>
      <c r="M232" s="7">
        <f ca="1">$AT$8*EXP(-'3.r(t)'!E230*$AT$22)</f>
        <v>0.94669511588802335</v>
      </c>
      <c r="N232" s="7">
        <f ca="1">$AT$9*EXP(-'3.r(t)'!F230*$AT$23)</f>
        <v>0.96968015883862047</v>
      </c>
      <c r="O232" s="7">
        <v>1</v>
      </c>
      <c r="P232" s="7"/>
      <c r="Q232" s="7">
        <v>224</v>
      </c>
      <c r="R232" s="7">
        <f>$AU$7*EXP(-'3.r(t)'!D230*$AU$21)</f>
        <v>0.91099305977534117</v>
      </c>
      <c r="S232" s="7">
        <f ca="1">$AU$8*EXP(-'3.r(t)'!E230*$AU$22)</f>
        <v>0.92048095816395525</v>
      </c>
      <c r="T232" s="7">
        <f ca="1">$AU$9*EXP(-'3.r(t)'!F230*$AU$23)</f>
        <v>0.93984506663703904</v>
      </c>
      <c r="U232" s="7">
        <f ca="1">$AU$10*EXP(-'3.r(t)'!G230*$AU$24)</f>
        <v>0.96983427936652689</v>
      </c>
      <c r="V232" s="7">
        <v>1</v>
      </c>
      <c r="W232" s="7"/>
      <c r="X232" s="7">
        <v>224</v>
      </c>
      <c r="Y232" s="7">
        <f>$AV$7*EXP(-'3.r(t)'!D230*$AV$21)</f>
        <v>0.88900715067201674</v>
      </c>
      <c r="Z232" s="7">
        <f ca="1">$AV$8*EXP(-'3.r(t)'!E230*$AV$22)</f>
        <v>0.89459795859587132</v>
      </c>
      <c r="AA232" s="7">
        <f ca="1">$AV$9*EXP(-'3.r(t)'!F230*$AV$23)</f>
        <v>0.91052061829687325</v>
      </c>
      <c r="AB232" s="7">
        <f ca="1">$AV$10*EXP(-'3.r(t)'!G230*$AV$24)</f>
        <v>0.94015219129643779</v>
      </c>
      <c r="AC232" s="7">
        <f ca="1">$AV$11*EXP(-'3.r(t)'!H230*$AV$25)</f>
        <v>0.96806221251561209</v>
      </c>
      <c r="AD232" s="7">
        <v>1</v>
      </c>
      <c r="AE232" s="7"/>
      <c r="AF232" s="7">
        <v>224</v>
      </c>
      <c r="AG232" s="7">
        <f>$AW$7*EXP(-'3.r(t)'!D230*$AW$21)</f>
        <v>0.86718755429225491</v>
      </c>
      <c r="AH232" s="7">
        <f ca="1">$AW$8*EXP(-'3.r(t)'!E230*$AW$22)</f>
        <v>0.86907235059548249</v>
      </c>
      <c r="AI232" s="7">
        <f ca="1">$AW$9*EXP(-'3.r(t)'!F230*$AW$23)</f>
        <v>0.88172992261106087</v>
      </c>
      <c r="AJ232" s="7">
        <f ca="1">$AW$10*EXP(-'3.r(t)'!G230*$AW$24)</f>
        <v>0.91097909501165775</v>
      </c>
      <c r="AK232" s="7">
        <f ca="1">$AW$11*EXP(-'3.r(t)'!H230*$AW$25)</f>
        <v>0.93672797916069817</v>
      </c>
      <c r="AL232" s="7">
        <f ca="1">$AW$12*EXP(-'3.r(t)'!I230*$AW$26)</f>
        <v>0.96804017050532698</v>
      </c>
      <c r="AM232" s="7">
        <v>1</v>
      </c>
      <c r="AN232" s="7"/>
    </row>
    <row r="233" spans="2:40">
      <c r="B233" s="7">
        <v>225</v>
      </c>
      <c r="C233" s="7">
        <f>$AR$7*EXP(-'3.r(t)'!D231*$AR$21)</f>
        <v>0.97765346695821032</v>
      </c>
      <c r="D233" s="7">
        <v>1</v>
      </c>
      <c r="E233" s="7"/>
      <c r="F233" s="7">
        <v>225</v>
      </c>
      <c r="G233" s="48">
        <f>$AS$7*EXP(-'3.r(t)'!D231*$AS$21)</f>
        <v>0.9553476245219803</v>
      </c>
      <c r="H233" s="7">
        <f ca="1">$AS$8*EXP(-'3.r(t)'!E231*$AS$22)</f>
        <v>0.97807201391364229</v>
      </c>
      <c r="I233" s="7">
        <v>1</v>
      </c>
      <c r="J233" s="7"/>
      <c r="K233" s="7">
        <v>225</v>
      </c>
      <c r="L233" s="7">
        <f>$AT$7*EXP(-'3.r(t)'!D231*$AT$21)</f>
        <v>0.93311670519824419</v>
      </c>
      <c r="M233" s="7">
        <f ca="1">$AT$8*EXP(-'3.r(t)'!E231*$AT$22)</f>
        <v>0.95617428066081378</v>
      </c>
      <c r="N233" s="7">
        <f ca="1">$AT$9*EXP(-'3.r(t)'!F231*$AT$23)</f>
        <v>0.97468009667690436</v>
      </c>
      <c r="O233" s="7">
        <v>1</v>
      </c>
      <c r="P233" s="7"/>
      <c r="Q233" s="7">
        <v>225</v>
      </c>
      <c r="R233" s="7">
        <f>$AU$7*EXP(-'3.r(t)'!D231*$AU$21)</f>
        <v>0.91099305977534117</v>
      </c>
      <c r="S233" s="7">
        <f ca="1">$AU$8*EXP(-'3.r(t)'!E231*$AU$22)</f>
        <v>0.9343405352833094</v>
      </c>
      <c r="T233" s="7">
        <f ca="1">$AU$9*EXP(-'3.r(t)'!F231*$AU$23)</f>
        <v>0.94956225424155583</v>
      </c>
      <c r="U233" s="7">
        <f ca="1">$AU$10*EXP(-'3.r(t)'!G231*$AU$24)</f>
        <v>0.97219159061540239</v>
      </c>
      <c r="V233" s="7">
        <v>1</v>
      </c>
      <c r="W233" s="7"/>
      <c r="X233" s="7">
        <v>225</v>
      </c>
      <c r="Y233" s="7">
        <f>$AV$7*EXP(-'3.r(t)'!D231*$AV$21)</f>
        <v>0.88900715067201674</v>
      </c>
      <c r="Z233" s="7">
        <f ca="1">$AV$8*EXP(-'3.r(t)'!E231*$AV$22)</f>
        <v>0.91260269152631335</v>
      </c>
      <c r="AA233" s="7">
        <f ca="1">$AV$9*EXP(-'3.r(t)'!F231*$AV$23)</f>
        <v>0.92467805251782897</v>
      </c>
      <c r="AB233" s="7">
        <f ca="1">$AV$10*EXP(-'3.r(t)'!G231*$AV$24)</f>
        <v>0.94472807566342354</v>
      </c>
      <c r="AC233" s="7">
        <f ca="1">$AV$11*EXP(-'3.r(t)'!H231*$AV$25)</f>
        <v>0.96811231821787935</v>
      </c>
      <c r="AD233" s="7">
        <v>1</v>
      </c>
      <c r="AE233" s="7"/>
      <c r="AF233" s="7">
        <v>225</v>
      </c>
      <c r="AG233" s="7">
        <f>$AW$7*EXP(-'3.r(t)'!D231*$AW$21)</f>
        <v>0.86718755429225491</v>
      </c>
      <c r="AH233" s="7">
        <f ca="1">$AW$8*EXP(-'3.r(t)'!E231*$AW$22)</f>
        <v>0.89099083389639311</v>
      </c>
      <c r="AI233" s="7">
        <f ca="1">$AW$9*EXP(-'3.r(t)'!F231*$AW$23)</f>
        <v>0.90005683182347873</v>
      </c>
      <c r="AJ233" s="7">
        <f ca="1">$AW$10*EXP(-'3.r(t)'!G231*$AW$24)</f>
        <v>0.91763802190257615</v>
      </c>
      <c r="AK233" s="7">
        <f ca="1">$AW$11*EXP(-'3.r(t)'!H231*$AW$25)</f>
        <v>0.93682494943240591</v>
      </c>
      <c r="AL233" s="7">
        <f ca="1">$AW$12*EXP(-'3.r(t)'!I231*$AW$26)</f>
        <v>0.96767729396910418</v>
      </c>
      <c r="AM233" s="7">
        <v>1</v>
      </c>
      <c r="AN233" s="7"/>
    </row>
    <row r="234" spans="2:40">
      <c r="B234" s="7">
        <v>226</v>
      </c>
      <c r="C234" s="7">
        <f>$AR$7*EXP(-'3.r(t)'!D232*$AR$21)</f>
        <v>0.97765346695821032</v>
      </c>
      <c r="D234" s="7">
        <v>1</v>
      </c>
      <c r="E234" s="7"/>
      <c r="F234" s="7">
        <v>226</v>
      </c>
      <c r="G234" s="48">
        <f>$AS$7*EXP(-'3.r(t)'!D232*$AS$21)</f>
        <v>0.9553476245219803</v>
      </c>
      <c r="H234" s="7">
        <f ca="1">$AS$8*EXP(-'3.r(t)'!E232*$AS$22)</f>
        <v>0.97978410885807832</v>
      </c>
      <c r="I234" s="7">
        <v>1</v>
      </c>
      <c r="J234" s="7"/>
      <c r="K234" s="7">
        <v>226</v>
      </c>
      <c r="L234" s="7">
        <f>$AT$7*EXP(-'3.r(t)'!D232*$AT$21)</f>
        <v>0.93311670519824419</v>
      </c>
      <c r="M234" s="7">
        <f ca="1">$AT$8*EXP(-'3.r(t)'!E232*$AT$22)</f>
        <v>0.95952473737473509</v>
      </c>
      <c r="N234" s="7">
        <f ca="1">$AT$9*EXP(-'3.r(t)'!F232*$AT$23)</f>
        <v>0.97581374324789849</v>
      </c>
      <c r="O234" s="7">
        <v>1</v>
      </c>
      <c r="P234" s="7"/>
      <c r="Q234" s="7">
        <v>226</v>
      </c>
      <c r="R234" s="7">
        <f>$AU$7*EXP(-'3.r(t)'!D232*$AU$21)</f>
        <v>0.91099305977534117</v>
      </c>
      <c r="S234" s="7">
        <f ca="1">$AU$8*EXP(-'3.r(t)'!E232*$AU$22)</f>
        <v>0.93925576092427943</v>
      </c>
      <c r="T234" s="7">
        <f ca="1">$AU$9*EXP(-'3.r(t)'!F232*$AU$23)</f>
        <v>0.95177240301749688</v>
      </c>
      <c r="U234" s="7">
        <f ca="1">$AU$10*EXP(-'3.r(t)'!G232*$AU$24)</f>
        <v>0.97471486160369814</v>
      </c>
      <c r="V234" s="7">
        <v>1</v>
      </c>
      <c r="W234" s="7"/>
      <c r="X234" s="7">
        <v>226</v>
      </c>
      <c r="Y234" s="7">
        <f>$AV$7*EXP(-'3.r(t)'!D232*$AV$21)</f>
        <v>0.88900715067201674</v>
      </c>
      <c r="Z234" s="7">
        <f ca="1">$AV$8*EXP(-'3.r(t)'!E232*$AV$22)</f>
        <v>0.91900945834716674</v>
      </c>
      <c r="AA234" s="7">
        <f ca="1">$AV$9*EXP(-'3.r(t)'!F232*$AV$23)</f>
        <v>0.92790827483787164</v>
      </c>
      <c r="AB234" s="7">
        <f ca="1">$AV$10*EXP(-'3.r(t)'!G232*$AV$24)</f>
        <v>0.94963842149845645</v>
      </c>
      <c r="AC234" s="7">
        <f ca="1">$AV$11*EXP(-'3.r(t)'!H232*$AV$25)</f>
        <v>0.97502614314888758</v>
      </c>
      <c r="AD234" s="7">
        <v>1</v>
      </c>
      <c r="AE234" s="7"/>
      <c r="AF234" s="7">
        <v>226</v>
      </c>
      <c r="AG234" s="7">
        <f>$AW$7*EXP(-'3.r(t)'!D232*$AW$21)</f>
        <v>0.86718755429225491</v>
      </c>
      <c r="AH234" s="7">
        <f ca="1">$AW$8*EXP(-'3.r(t)'!E232*$AW$22)</f>
        <v>0.89881648892537014</v>
      </c>
      <c r="AI234" s="7">
        <f ca="1">$AW$9*EXP(-'3.r(t)'!F232*$AW$23)</f>
        <v>0.90425155321565165</v>
      </c>
      <c r="AJ234" s="7">
        <f ca="1">$AW$10*EXP(-'3.r(t)'!G232*$AW$24)</f>
        <v>0.92480162291838153</v>
      </c>
      <c r="AK234" s="7">
        <f ca="1">$AW$11*EXP(-'3.r(t)'!H232*$AW$25)</f>
        <v>0.95025349825424854</v>
      </c>
      <c r="AL234" s="7">
        <f ca="1">$AW$12*EXP(-'3.r(t)'!I232*$AW$26)</f>
        <v>0.97220977303654588</v>
      </c>
      <c r="AM234" s="7">
        <v>1</v>
      </c>
      <c r="AN234" s="7"/>
    </row>
    <row r="235" spans="2:40">
      <c r="B235" s="7">
        <v>227</v>
      </c>
      <c r="C235" s="7">
        <f>$AR$7*EXP(-'3.r(t)'!D233*$AR$21)</f>
        <v>0.97765346695821032</v>
      </c>
      <c r="D235" s="7">
        <v>1</v>
      </c>
      <c r="E235" s="7"/>
      <c r="F235" s="7">
        <v>227</v>
      </c>
      <c r="G235" s="48">
        <f>$AS$7*EXP(-'3.r(t)'!D233*$AS$21)</f>
        <v>0.9553476245219803</v>
      </c>
      <c r="H235" s="7">
        <f ca="1">$AS$8*EXP(-'3.r(t)'!E233*$AS$22)</f>
        <v>0.97538630654744385</v>
      </c>
      <c r="I235" s="7">
        <v>1</v>
      </c>
      <c r="J235" s="7"/>
      <c r="K235" s="7">
        <v>227</v>
      </c>
      <c r="L235" s="7">
        <f>$AT$7*EXP(-'3.r(t)'!D233*$AT$21)</f>
        <v>0.93311670519824419</v>
      </c>
      <c r="M235" s="7">
        <f ca="1">$AT$8*EXP(-'3.r(t)'!E233*$AT$22)</f>
        <v>0.9509303343962352</v>
      </c>
      <c r="N235" s="7">
        <f ca="1">$AT$9*EXP(-'3.r(t)'!F233*$AT$23)</f>
        <v>0.97095490416873154</v>
      </c>
      <c r="O235" s="7">
        <v>1</v>
      </c>
      <c r="P235" s="7"/>
      <c r="Q235" s="7">
        <v>227</v>
      </c>
      <c r="R235" s="7">
        <f>$AU$7*EXP(-'3.r(t)'!D233*$AU$21)</f>
        <v>0.91099305977534117</v>
      </c>
      <c r="S235" s="7">
        <f ca="1">$AU$8*EXP(-'3.r(t)'!E233*$AU$22)</f>
        <v>0.92666477824214466</v>
      </c>
      <c r="T235" s="7">
        <f ca="1">$AU$9*EXP(-'3.r(t)'!F233*$AU$23)</f>
        <v>0.94231773886410564</v>
      </c>
      <c r="U235" s="7">
        <f ca="1">$AU$10*EXP(-'3.r(t)'!G233*$AU$24)</f>
        <v>0.96630154065032225</v>
      </c>
      <c r="V235" s="7">
        <v>1</v>
      </c>
      <c r="W235" s="7"/>
      <c r="X235" s="7">
        <v>227</v>
      </c>
      <c r="Y235" s="7">
        <f>$AV$7*EXP(-'3.r(t)'!D233*$AV$21)</f>
        <v>0.88900715067201674</v>
      </c>
      <c r="Z235" s="7">
        <f ca="1">$AV$8*EXP(-'3.r(t)'!E233*$AV$22)</f>
        <v>0.90262016714478244</v>
      </c>
      <c r="AA235" s="7">
        <f ca="1">$AV$9*EXP(-'3.r(t)'!F233*$AV$23)</f>
        <v>0.91411626290550518</v>
      </c>
      <c r="AB235" s="7">
        <f ca="1">$AV$10*EXP(-'3.r(t)'!G233*$AV$24)</f>
        <v>0.93331542964479786</v>
      </c>
      <c r="AC235" s="7">
        <f ca="1">$AV$11*EXP(-'3.r(t)'!H233*$AV$25)</f>
        <v>0.96833910933535594</v>
      </c>
      <c r="AD235" s="7">
        <v>1</v>
      </c>
      <c r="AE235" s="7"/>
      <c r="AF235" s="7">
        <v>227</v>
      </c>
      <c r="AG235" s="7">
        <f>$AW$7*EXP(-'3.r(t)'!D233*$AW$21)</f>
        <v>0.86718755429225491</v>
      </c>
      <c r="AH235" s="7">
        <f ca="1">$AW$8*EXP(-'3.r(t)'!E233*$AW$22)</f>
        <v>0.87882488393633307</v>
      </c>
      <c r="AI235" s="7">
        <f ca="1">$AW$9*EXP(-'3.r(t)'!F233*$AW$23)</f>
        <v>0.88637557579480497</v>
      </c>
      <c r="AJ235" s="7">
        <f ca="1">$AW$10*EXP(-'3.r(t)'!G233*$AW$24)</f>
        <v>0.90106025871655904</v>
      </c>
      <c r="AK235" s="7">
        <f ca="1">$AW$11*EXP(-'3.r(t)'!H233*$AW$25)</f>
        <v>0.9372639242479216</v>
      </c>
      <c r="AL235" s="7">
        <f ca="1">$AW$12*EXP(-'3.r(t)'!I233*$AW$26)</f>
        <v>0.96720678654757253</v>
      </c>
      <c r="AM235" s="7">
        <v>1</v>
      </c>
      <c r="AN235" s="7"/>
    </row>
    <row r="236" spans="2:40">
      <c r="B236" s="7">
        <v>228</v>
      </c>
      <c r="C236" s="7">
        <f>$AR$7*EXP(-'3.r(t)'!D234*$AR$21)</f>
        <v>0.97765346695821032</v>
      </c>
      <c r="D236" s="7">
        <v>1</v>
      </c>
      <c r="E236" s="7"/>
      <c r="F236" s="7">
        <v>228</v>
      </c>
      <c r="G236" s="48">
        <f>$AS$7*EXP(-'3.r(t)'!D234*$AS$21)</f>
        <v>0.9553476245219803</v>
      </c>
      <c r="H236" s="7">
        <f ca="1">$AS$8*EXP(-'3.r(t)'!E234*$AS$22)</f>
        <v>0.97458915522751899</v>
      </c>
      <c r="I236" s="7">
        <v>1</v>
      </c>
      <c r="J236" s="7"/>
      <c r="K236" s="7">
        <v>228</v>
      </c>
      <c r="L236" s="7">
        <f>$AT$7*EXP(-'3.r(t)'!D234*$AT$21)</f>
        <v>0.93311670519824419</v>
      </c>
      <c r="M236" s="7">
        <f ca="1">$AT$8*EXP(-'3.r(t)'!E234*$AT$22)</f>
        <v>0.94937664103929786</v>
      </c>
      <c r="N236" s="7">
        <f ca="1">$AT$9*EXP(-'3.r(t)'!F234*$AT$23)</f>
        <v>0.97159481402479531</v>
      </c>
      <c r="O236" s="7">
        <v>1</v>
      </c>
      <c r="P236" s="7"/>
      <c r="Q236" s="7">
        <v>228</v>
      </c>
      <c r="R236" s="7">
        <f>$AU$7*EXP(-'3.r(t)'!D234*$AU$21)</f>
        <v>0.91099305977534117</v>
      </c>
      <c r="S236" s="7">
        <f ca="1">$AU$8*EXP(-'3.r(t)'!E234*$AU$22)</f>
        <v>0.92439463614019524</v>
      </c>
      <c r="T236" s="7">
        <f ca="1">$AU$9*EXP(-'3.r(t)'!F234*$AU$23)</f>
        <v>0.94356022110449156</v>
      </c>
      <c r="U236" s="7">
        <f ca="1">$AU$10*EXP(-'3.r(t)'!G234*$AU$24)</f>
        <v>0.97718036158008248</v>
      </c>
      <c r="V236" s="7">
        <v>1</v>
      </c>
      <c r="W236" s="7"/>
      <c r="X236" s="7">
        <v>228</v>
      </c>
      <c r="Y236" s="7">
        <f>$AV$7*EXP(-'3.r(t)'!D234*$AV$21)</f>
        <v>0.88900715067201674</v>
      </c>
      <c r="Z236" s="7">
        <f ca="1">$AV$8*EXP(-'3.r(t)'!E234*$AV$22)</f>
        <v>0.89967305473565595</v>
      </c>
      <c r="AA236" s="7">
        <f ca="1">$AV$9*EXP(-'3.r(t)'!F234*$AV$23)</f>
        <v>0.91592480499816076</v>
      </c>
      <c r="AB236" s="7">
        <f ca="1">$AV$10*EXP(-'3.r(t)'!G234*$AV$24)</f>
        <v>0.95444863779886346</v>
      </c>
      <c r="AC236" s="7">
        <f ca="1">$AV$11*EXP(-'3.r(t)'!H234*$AV$25)</f>
        <v>0.97795678437616695</v>
      </c>
      <c r="AD236" s="7">
        <v>1</v>
      </c>
      <c r="AE236" s="7"/>
      <c r="AF236" s="7">
        <v>228</v>
      </c>
      <c r="AG236" s="7">
        <f>$AW$7*EXP(-'3.r(t)'!D234*$AW$21)</f>
        <v>0.86718755429225491</v>
      </c>
      <c r="AH236" s="7">
        <f ca="1">$AW$8*EXP(-'3.r(t)'!E234*$AW$22)</f>
        <v>0.87523957489881443</v>
      </c>
      <c r="AI236" s="7">
        <f ca="1">$AW$9*EXP(-'3.r(t)'!F234*$AW$23)</f>
        <v>0.88871455748414596</v>
      </c>
      <c r="AJ236" s="7">
        <f ca="1">$AW$10*EXP(-'3.r(t)'!G234*$AW$24)</f>
        <v>0.93183712861745005</v>
      </c>
      <c r="AK236" s="7">
        <f ca="1">$AW$11*EXP(-'3.r(t)'!H234*$AW$25)</f>
        <v>0.95597444701084688</v>
      </c>
      <c r="AL236" s="7">
        <f ca="1">$AW$12*EXP(-'3.r(t)'!I234*$AW$26)</f>
        <v>0.97684934481719443</v>
      </c>
      <c r="AM236" s="7">
        <v>1</v>
      </c>
      <c r="AN236" s="7"/>
    </row>
    <row r="237" spans="2:40">
      <c r="B237" s="7">
        <v>229</v>
      </c>
      <c r="C237" s="7">
        <f>$AR$7*EXP(-'3.r(t)'!D235*$AR$21)</f>
        <v>0.97765346695821032</v>
      </c>
      <c r="D237" s="7">
        <v>1</v>
      </c>
      <c r="E237" s="7"/>
      <c r="F237" s="7">
        <v>229</v>
      </c>
      <c r="G237" s="48">
        <f>$AS$7*EXP(-'3.r(t)'!D235*$AS$21)</f>
        <v>0.9553476245219803</v>
      </c>
      <c r="H237" s="7">
        <f ca="1">$AS$8*EXP(-'3.r(t)'!E235*$AS$22)</f>
        <v>0.97752042466548383</v>
      </c>
      <c r="I237" s="7">
        <v>1</v>
      </c>
      <c r="J237" s="7"/>
      <c r="K237" s="7">
        <v>229</v>
      </c>
      <c r="L237" s="7">
        <f>$AT$7*EXP(-'3.r(t)'!D235*$AT$21)</f>
        <v>0.93311670519824419</v>
      </c>
      <c r="M237" s="7">
        <f ca="1">$AT$8*EXP(-'3.r(t)'!E235*$AT$22)</f>
        <v>0.95509610497310871</v>
      </c>
      <c r="N237" s="7">
        <f ca="1">$AT$9*EXP(-'3.r(t)'!F235*$AT$23)</f>
        <v>0.9752739200891023</v>
      </c>
      <c r="O237" s="7">
        <v>1</v>
      </c>
      <c r="P237" s="7"/>
      <c r="Q237" s="7">
        <v>229</v>
      </c>
      <c r="R237" s="7">
        <f>$AU$7*EXP(-'3.r(t)'!D235*$AU$21)</f>
        <v>0.91099305977534117</v>
      </c>
      <c r="S237" s="7">
        <f ca="1">$AU$8*EXP(-'3.r(t)'!E235*$AU$22)</f>
        <v>0.93276064670570369</v>
      </c>
      <c r="T237" s="7">
        <f ca="1">$AU$9*EXP(-'3.r(t)'!F235*$AU$23)</f>
        <v>0.95071964746073345</v>
      </c>
      <c r="U237" s="7">
        <f ca="1">$AU$10*EXP(-'3.r(t)'!G235*$AU$24)</f>
        <v>0.97264613010283818</v>
      </c>
      <c r="V237" s="7">
        <v>1</v>
      </c>
      <c r="W237" s="7"/>
      <c r="X237" s="7">
        <v>229</v>
      </c>
      <c r="Y237" s="7">
        <f>$AV$7*EXP(-'3.r(t)'!D235*$AV$21)</f>
        <v>0.88900715067201674</v>
      </c>
      <c r="Z237" s="7">
        <f ca="1">$AV$8*EXP(-'3.r(t)'!E235*$AV$22)</f>
        <v>0.9105457625564336</v>
      </c>
      <c r="AA237" s="7">
        <f ca="1">$AV$9*EXP(-'3.r(t)'!F235*$AV$23)</f>
        <v>0.92636916147444637</v>
      </c>
      <c r="AB237" s="7">
        <f ca="1">$AV$10*EXP(-'3.r(t)'!G235*$AV$24)</f>
        <v>0.94561168050897171</v>
      </c>
      <c r="AC237" s="7">
        <f ca="1">$AV$11*EXP(-'3.r(t)'!H235*$AV$25)</f>
        <v>0.97673590284039336</v>
      </c>
      <c r="AD237" s="7">
        <v>1</v>
      </c>
      <c r="AE237" s="7"/>
      <c r="AF237" s="7">
        <v>229</v>
      </c>
      <c r="AG237" s="7">
        <f>$AW$7*EXP(-'3.r(t)'!D235*$AW$21)</f>
        <v>0.86718755429225491</v>
      </c>
      <c r="AH237" s="7">
        <f ca="1">$AW$8*EXP(-'3.r(t)'!E235*$AW$22)</f>
        <v>0.8884812694402856</v>
      </c>
      <c r="AI237" s="7">
        <f ca="1">$AW$9*EXP(-'3.r(t)'!F235*$AW$23)</f>
        <v>0.90225227404951702</v>
      </c>
      <c r="AJ237" s="7">
        <f ca="1">$AW$10*EXP(-'3.r(t)'!G235*$AW$24)</f>
        <v>0.91892572413080076</v>
      </c>
      <c r="AK237" s="7">
        <f ca="1">$AW$11*EXP(-'3.r(t)'!H235*$AW$25)</f>
        <v>0.95358905934141924</v>
      </c>
      <c r="AL237" s="7">
        <f ca="1">$AW$12*EXP(-'3.r(t)'!I235*$AW$26)</f>
        <v>0.98080387222714061</v>
      </c>
      <c r="AM237" s="7">
        <v>1</v>
      </c>
      <c r="AN237" s="7"/>
    </row>
    <row r="238" spans="2:40">
      <c r="B238" s="7">
        <v>230</v>
      </c>
      <c r="C238" s="7">
        <f>$AR$7*EXP(-'3.r(t)'!D236*$AR$21)</f>
        <v>0.97765346695821032</v>
      </c>
      <c r="D238" s="7">
        <v>1</v>
      </c>
      <c r="E238" s="7"/>
      <c r="F238" s="7">
        <v>230</v>
      </c>
      <c r="G238" s="48">
        <f>$AS$7*EXP(-'3.r(t)'!D236*$AS$21)</f>
        <v>0.9553476245219803</v>
      </c>
      <c r="H238" s="7">
        <f ca="1">$AS$8*EXP(-'3.r(t)'!E236*$AS$22)</f>
        <v>0.97497372599282917</v>
      </c>
      <c r="I238" s="7">
        <v>1</v>
      </c>
      <c r="J238" s="7"/>
      <c r="K238" s="7">
        <v>230</v>
      </c>
      <c r="L238" s="7">
        <f>$AT$7*EXP(-'3.r(t)'!D236*$AT$21)</f>
        <v>0.93311670519824419</v>
      </c>
      <c r="M238" s="7">
        <f ca="1">$AT$8*EXP(-'3.r(t)'!E236*$AT$22)</f>
        <v>0.95012603278818142</v>
      </c>
      <c r="N238" s="7">
        <f ca="1">$AT$9*EXP(-'3.r(t)'!F236*$AT$23)</f>
        <v>0.9738898727594395</v>
      </c>
      <c r="O238" s="7">
        <v>1</v>
      </c>
      <c r="P238" s="7"/>
      <c r="Q238" s="7">
        <v>230</v>
      </c>
      <c r="R238" s="7">
        <f>$AU$7*EXP(-'3.r(t)'!D236*$AU$21)</f>
        <v>0.91099305977534117</v>
      </c>
      <c r="S238" s="7">
        <f ca="1">$AU$8*EXP(-'3.r(t)'!E236*$AU$22)</f>
        <v>0.92548936035345453</v>
      </c>
      <c r="T238" s="7">
        <f ca="1">$AU$9*EXP(-'3.r(t)'!F236*$AU$23)</f>
        <v>0.94802315925796821</v>
      </c>
      <c r="U238" s="7">
        <f ca="1">$AU$10*EXP(-'3.r(t)'!G236*$AU$24)</f>
        <v>0.97140813204039578</v>
      </c>
      <c r="V238" s="7">
        <v>1</v>
      </c>
      <c r="W238" s="7"/>
      <c r="X238" s="7">
        <v>230</v>
      </c>
      <c r="Y238" s="7">
        <f>$AV$7*EXP(-'3.r(t)'!D236*$AV$21)</f>
        <v>0.88900715067201674</v>
      </c>
      <c r="Z238" s="7">
        <f ca="1">$AV$8*EXP(-'3.r(t)'!E236*$AV$22)</f>
        <v>0.90109393161020035</v>
      </c>
      <c r="AA238" s="7">
        <f ca="1">$AV$9*EXP(-'3.r(t)'!F236*$AV$23)</f>
        <v>0.92243082148202726</v>
      </c>
      <c r="AB238" s="7">
        <f ca="1">$AV$10*EXP(-'3.r(t)'!G236*$AV$24)</f>
        <v>0.94320603600550834</v>
      </c>
      <c r="AC238" s="7">
        <f ca="1">$AV$11*EXP(-'3.r(t)'!H236*$AV$25)</f>
        <v>0.97206711300126314</v>
      </c>
      <c r="AD238" s="7">
        <v>1</v>
      </c>
      <c r="AE238" s="7"/>
      <c r="AF238" s="7">
        <v>230</v>
      </c>
      <c r="AG238" s="7">
        <f>$AW$7*EXP(-'3.r(t)'!D236*$AW$21)</f>
        <v>0.86718755429225491</v>
      </c>
      <c r="AH238" s="7">
        <f ca="1">$AW$8*EXP(-'3.r(t)'!E236*$AW$22)</f>
        <v>0.87696777643263368</v>
      </c>
      <c r="AI238" s="7">
        <f ca="1">$AW$9*EXP(-'3.r(t)'!F236*$AW$23)</f>
        <v>0.89714148785109238</v>
      </c>
      <c r="AJ238" s="7">
        <f ca="1">$AW$10*EXP(-'3.r(t)'!G236*$AW$24)</f>
        <v>0.91542132251298369</v>
      </c>
      <c r="AK238" s="7">
        <f ca="1">$AW$11*EXP(-'3.r(t)'!H236*$AW$25)</f>
        <v>0.94449455103011637</v>
      </c>
      <c r="AL238" s="7">
        <f ca="1">$AW$12*EXP(-'3.r(t)'!I236*$AW$26)</f>
        <v>0.9733265129274824</v>
      </c>
      <c r="AM238" s="7">
        <v>1</v>
      </c>
      <c r="AN238" s="7"/>
    </row>
    <row r="239" spans="2:40">
      <c r="B239" s="7">
        <v>231</v>
      </c>
      <c r="C239" s="7">
        <f>$AR$7*EXP(-'3.r(t)'!D237*$AR$21)</f>
        <v>0.97765346695821032</v>
      </c>
      <c r="D239" s="7">
        <v>1</v>
      </c>
      <c r="E239" s="7"/>
      <c r="F239" s="7">
        <v>231</v>
      </c>
      <c r="G239" s="48">
        <f>$AS$7*EXP(-'3.r(t)'!D237*$AS$21)</f>
        <v>0.9553476245219803</v>
      </c>
      <c r="H239" s="7">
        <f ca="1">$AS$8*EXP(-'3.r(t)'!E237*$AS$22)</f>
        <v>0.97825227532563519</v>
      </c>
      <c r="I239" s="7">
        <v>1</v>
      </c>
      <c r="J239" s="7"/>
      <c r="K239" s="7">
        <v>231</v>
      </c>
      <c r="L239" s="7">
        <f>$AT$7*EXP(-'3.r(t)'!D237*$AT$21)</f>
        <v>0.93311670519824419</v>
      </c>
      <c r="M239" s="7">
        <f ca="1">$AT$8*EXP(-'3.r(t)'!E237*$AT$22)</f>
        <v>0.95652676433651185</v>
      </c>
      <c r="N239" s="7">
        <f ca="1">$AT$9*EXP(-'3.r(t)'!F237*$AT$23)</f>
        <v>0.97453372975050923</v>
      </c>
      <c r="O239" s="7">
        <v>1</v>
      </c>
      <c r="P239" s="7"/>
      <c r="Q239" s="7">
        <v>231</v>
      </c>
      <c r="R239" s="7">
        <f>$AU$7*EXP(-'3.r(t)'!D237*$AU$21)</f>
        <v>0.91099305977534117</v>
      </c>
      <c r="S239" s="7">
        <f ca="1">$AU$8*EXP(-'3.r(t)'!E237*$AU$22)</f>
        <v>0.93485723523479336</v>
      </c>
      <c r="T239" s="7">
        <f ca="1">$AU$9*EXP(-'3.r(t)'!F237*$AU$23)</f>
        <v>0.94927708565454572</v>
      </c>
      <c r="U239" s="7">
        <f ca="1">$AU$10*EXP(-'3.r(t)'!G237*$AU$24)</f>
        <v>0.97468661054411532</v>
      </c>
      <c r="V239" s="7">
        <v>1</v>
      </c>
      <c r="W239" s="7"/>
      <c r="X239" s="7">
        <v>231</v>
      </c>
      <c r="Y239" s="7">
        <f>$AV$7*EXP(-'3.r(t)'!D237*$AV$21)</f>
        <v>0.88900715067201674</v>
      </c>
      <c r="Z239" s="7">
        <f ca="1">$AV$8*EXP(-'3.r(t)'!E237*$AV$22)</f>
        <v>0.91327565847220504</v>
      </c>
      <c r="AA239" s="7">
        <f ca="1">$AV$9*EXP(-'3.r(t)'!F237*$AV$23)</f>
        <v>0.92426154059246379</v>
      </c>
      <c r="AB239" s="7">
        <f ca="1">$AV$10*EXP(-'3.r(t)'!G237*$AV$24)</f>
        <v>0.94958337380422253</v>
      </c>
      <c r="AC239" s="7">
        <f ca="1">$AV$11*EXP(-'3.r(t)'!H237*$AV$25)</f>
        <v>0.97497115983916294</v>
      </c>
      <c r="AD239" s="7">
        <v>1</v>
      </c>
      <c r="AE239" s="7"/>
      <c r="AF239" s="7">
        <v>231</v>
      </c>
      <c r="AG239" s="7">
        <f>$AW$7*EXP(-'3.r(t)'!D237*$AW$21)</f>
        <v>0.86718755429225491</v>
      </c>
      <c r="AH239" s="7">
        <f ca="1">$AW$8*EXP(-'3.r(t)'!E237*$AW$22)</f>
        <v>0.89181219713258553</v>
      </c>
      <c r="AI239" s="7">
        <f ca="1">$AW$9*EXP(-'3.r(t)'!F237*$AW$23)</f>
        <v>0.89951631035036794</v>
      </c>
      <c r="AJ239" s="7">
        <f ca="1">$AW$10*EXP(-'3.r(t)'!G237*$AW$24)</f>
        <v>0.92472121211455827</v>
      </c>
      <c r="AK239" s="7">
        <f ca="1">$AW$11*EXP(-'3.r(t)'!H237*$AW$25)</f>
        <v>0.95014632859607806</v>
      </c>
      <c r="AL239" s="7">
        <f ca="1">$AW$12*EXP(-'3.r(t)'!I237*$AW$26)</f>
        <v>0.97378395161055609</v>
      </c>
      <c r="AM239" s="7">
        <v>1</v>
      </c>
      <c r="AN239" s="7"/>
    </row>
    <row r="240" spans="2:40">
      <c r="B240" s="7">
        <v>232</v>
      </c>
      <c r="C240" s="7">
        <f>$AR$7*EXP(-'3.r(t)'!D238*$AR$21)</f>
        <v>0.97765346695821032</v>
      </c>
      <c r="D240" s="7">
        <v>1</v>
      </c>
      <c r="E240" s="7"/>
      <c r="F240" s="7">
        <v>232</v>
      </c>
      <c r="G240" s="48">
        <f>$AS$7*EXP(-'3.r(t)'!D238*$AS$21)</f>
        <v>0.9553476245219803</v>
      </c>
      <c r="H240" s="7">
        <f ca="1">$AS$8*EXP(-'3.r(t)'!E238*$AS$22)</f>
        <v>0.97649128328152368</v>
      </c>
      <c r="I240" s="7">
        <v>1</v>
      </c>
      <c r="J240" s="7"/>
      <c r="K240" s="7">
        <v>232</v>
      </c>
      <c r="L240" s="7">
        <f>$AT$7*EXP(-'3.r(t)'!D238*$AT$21)</f>
        <v>0.93311670519824419</v>
      </c>
      <c r="M240" s="7">
        <f ca="1">$AT$8*EXP(-'3.r(t)'!E238*$AT$22)</f>
        <v>0.95308609784742926</v>
      </c>
      <c r="N240" s="7">
        <f ca="1">$AT$9*EXP(-'3.r(t)'!F238*$AT$23)</f>
        <v>0.97966423435454886</v>
      </c>
      <c r="O240" s="7">
        <v>1</v>
      </c>
      <c r="P240" s="7"/>
      <c r="Q240" s="7">
        <v>232</v>
      </c>
      <c r="R240" s="7">
        <f>$AU$7*EXP(-'3.r(t)'!D238*$AU$21)</f>
        <v>0.91099305977534117</v>
      </c>
      <c r="S240" s="7">
        <f ca="1">$AU$8*EXP(-'3.r(t)'!E238*$AU$22)</f>
        <v>0.92981769345981002</v>
      </c>
      <c r="T240" s="7">
        <f ca="1">$AU$9*EXP(-'3.r(t)'!F238*$AU$23)</f>
        <v>0.95929847384907319</v>
      </c>
      <c r="U240" s="7">
        <f ca="1">$AU$10*EXP(-'3.r(t)'!G238*$AU$24)</f>
        <v>0.97729991714552411</v>
      </c>
      <c r="V240" s="7">
        <v>1</v>
      </c>
      <c r="W240" s="7"/>
      <c r="X240" s="7">
        <v>232</v>
      </c>
      <c r="Y240" s="7">
        <f>$AV$7*EXP(-'3.r(t)'!D238*$AV$21)</f>
        <v>0.88900715067201674</v>
      </c>
      <c r="Z240" s="7">
        <f ca="1">$AV$8*EXP(-'3.r(t)'!E238*$AV$22)</f>
        <v>0.90671729414826074</v>
      </c>
      <c r="AA240" s="7">
        <f ca="1">$AV$9*EXP(-'3.r(t)'!F238*$AV$23)</f>
        <v>0.93893605410250014</v>
      </c>
      <c r="AB240" s="7">
        <f ca="1">$AV$10*EXP(-'3.r(t)'!G238*$AV$24)</f>
        <v>0.95468220087806188</v>
      </c>
      <c r="AC240" s="7">
        <f ca="1">$AV$11*EXP(-'3.r(t)'!H238*$AV$25)</f>
        <v>0.97308653824342251</v>
      </c>
      <c r="AD240" s="7">
        <v>1</v>
      </c>
      <c r="AE240" s="7"/>
      <c r="AF240" s="7">
        <v>232</v>
      </c>
      <c r="AG240" s="7">
        <f>$AW$7*EXP(-'3.r(t)'!D238*$AW$21)</f>
        <v>0.86718755429225491</v>
      </c>
      <c r="AH240" s="7">
        <f ca="1">$AW$8*EXP(-'3.r(t)'!E238*$AW$22)</f>
        <v>0.88381410582941722</v>
      </c>
      <c r="AI240" s="7">
        <f ca="1">$AW$9*EXP(-'3.r(t)'!F238*$AW$23)</f>
        <v>0.91860870007449968</v>
      </c>
      <c r="AJ240" s="7">
        <f ca="1">$AW$10*EXP(-'3.r(t)'!G238*$AW$24)</f>
        <v>0.93217919426888263</v>
      </c>
      <c r="AK240" s="7">
        <f ca="1">$AW$11*EXP(-'3.r(t)'!H238*$AW$25)</f>
        <v>0.94647660854167304</v>
      </c>
      <c r="AL240" s="7">
        <f ca="1">$AW$12*EXP(-'3.r(t)'!I238*$AW$26)</f>
        <v>0.97240936001417522</v>
      </c>
      <c r="AM240" s="7">
        <v>1</v>
      </c>
      <c r="AN240" s="7"/>
    </row>
    <row r="241" spans="2:40">
      <c r="B241" s="7">
        <v>233</v>
      </c>
      <c r="C241" s="7">
        <f>$AR$7*EXP(-'3.r(t)'!D239*$AR$21)</f>
        <v>0.97765346695821032</v>
      </c>
      <c r="D241" s="7">
        <v>1</v>
      </c>
      <c r="E241" s="7"/>
      <c r="F241" s="7">
        <v>233</v>
      </c>
      <c r="G241" s="48">
        <f>$AS$7*EXP(-'3.r(t)'!D239*$AS$21)</f>
        <v>0.9553476245219803</v>
      </c>
      <c r="H241" s="7">
        <f ca="1">$AS$8*EXP(-'3.r(t)'!E239*$AS$22)</f>
        <v>0.97420331502026525</v>
      </c>
      <c r="I241" s="7">
        <v>1</v>
      </c>
      <c r="J241" s="7"/>
      <c r="K241" s="7">
        <v>233</v>
      </c>
      <c r="L241" s="7">
        <f>$AT$7*EXP(-'3.r(t)'!D239*$AT$21)</f>
        <v>0.93311670519824419</v>
      </c>
      <c r="M241" s="7">
        <f ca="1">$AT$8*EXP(-'3.r(t)'!E239*$AT$22)</f>
        <v>0.94862507271473173</v>
      </c>
      <c r="N241" s="7">
        <f ca="1">$AT$9*EXP(-'3.r(t)'!F239*$AT$23)</f>
        <v>0.97563826034654011</v>
      </c>
      <c r="O241" s="7">
        <v>1</v>
      </c>
      <c r="P241" s="7"/>
      <c r="Q241" s="7">
        <v>233</v>
      </c>
      <c r="R241" s="7">
        <f>$AU$7*EXP(-'3.r(t)'!D239*$AU$21)</f>
        <v>0.91099305977534117</v>
      </c>
      <c r="S241" s="7">
        <f ca="1">$AU$8*EXP(-'3.r(t)'!E239*$AU$22)</f>
        <v>0.92329716620793711</v>
      </c>
      <c r="T241" s="7">
        <f ca="1">$AU$9*EXP(-'3.r(t)'!F239*$AU$23)</f>
        <v>0.95143011481733974</v>
      </c>
      <c r="U241" s="7">
        <f ca="1">$AU$10*EXP(-'3.r(t)'!G239*$AU$24)</f>
        <v>0.97645846836158956</v>
      </c>
      <c r="V241" s="7">
        <v>1</v>
      </c>
      <c r="W241" s="7"/>
      <c r="X241" s="7">
        <v>233</v>
      </c>
      <c r="Y241" s="7">
        <f>$AV$7*EXP(-'3.r(t)'!D239*$AV$21)</f>
        <v>0.88900715067201674</v>
      </c>
      <c r="Z241" s="7">
        <f ca="1">$AV$8*EXP(-'3.r(t)'!E239*$AV$22)</f>
        <v>0.89824917700389195</v>
      </c>
      <c r="AA241" s="7">
        <f ca="1">$AV$9*EXP(-'3.r(t)'!F239*$AV$23)</f>
        <v>0.92740776101541333</v>
      </c>
      <c r="AB241" s="7">
        <f ca="1">$AV$10*EXP(-'3.r(t)'!G239*$AV$24)</f>
        <v>0.95303895843442687</v>
      </c>
      <c r="AC241" s="7">
        <f ca="1">$AV$11*EXP(-'3.r(t)'!H239*$AV$25)</f>
        <v>0.97600416014402636</v>
      </c>
      <c r="AD241" s="7">
        <v>1</v>
      </c>
      <c r="AE241" s="7"/>
      <c r="AF241" s="7">
        <v>233</v>
      </c>
      <c r="AG241" s="7">
        <f>$AW$7*EXP(-'3.r(t)'!D239*$AW$21)</f>
        <v>0.86718755429225491</v>
      </c>
      <c r="AH241" s="7">
        <f ca="1">$AW$8*EXP(-'3.r(t)'!E239*$AW$22)</f>
        <v>0.87350840782281092</v>
      </c>
      <c r="AI241" s="7">
        <f ca="1">$AW$9*EXP(-'3.r(t)'!F239*$AW$23)</f>
        <v>0.9036012738423238</v>
      </c>
      <c r="AJ241" s="7">
        <f ca="1">$AW$10*EXP(-'3.r(t)'!G239*$AW$24)</f>
        <v>0.92977346635694025</v>
      </c>
      <c r="AK241" s="7">
        <f ca="1">$AW$11*EXP(-'3.r(t)'!H239*$AW$25)</f>
        <v>0.95216079106879403</v>
      </c>
      <c r="AL241" s="7">
        <f ca="1">$AW$12*EXP(-'3.r(t)'!I239*$AW$26)</f>
        <v>0.97204266367322401</v>
      </c>
      <c r="AM241" s="7">
        <v>1</v>
      </c>
      <c r="AN241" s="7"/>
    </row>
    <row r="242" spans="2:40">
      <c r="B242" s="7">
        <v>234</v>
      </c>
      <c r="C242" s="7">
        <f>$AR$7*EXP(-'3.r(t)'!D240*$AR$21)</f>
        <v>0.97765346695821032</v>
      </c>
      <c r="D242" s="7">
        <v>1</v>
      </c>
      <c r="E242" s="7"/>
      <c r="F242" s="7">
        <v>234</v>
      </c>
      <c r="G242" s="48">
        <f>$AS$7*EXP(-'3.r(t)'!D240*$AS$21)</f>
        <v>0.9553476245219803</v>
      </c>
      <c r="H242" s="7">
        <f ca="1">$AS$8*EXP(-'3.r(t)'!E240*$AS$22)</f>
        <v>0.97075445238979197</v>
      </c>
      <c r="I242" s="7">
        <v>1</v>
      </c>
      <c r="J242" s="7"/>
      <c r="K242" s="7">
        <v>234</v>
      </c>
      <c r="L242" s="7">
        <f>$AT$7*EXP(-'3.r(t)'!D240*$AT$21)</f>
        <v>0.93311670519824419</v>
      </c>
      <c r="M242" s="7">
        <f ca="1">$AT$8*EXP(-'3.r(t)'!E240*$AT$22)</f>
        <v>0.94192034006423631</v>
      </c>
      <c r="N242" s="7">
        <f ca="1">$AT$9*EXP(-'3.r(t)'!F240*$AT$23)</f>
        <v>0.97018581071950782</v>
      </c>
      <c r="O242" s="7">
        <v>1</v>
      </c>
      <c r="P242" s="7"/>
      <c r="Q242" s="7">
        <v>234</v>
      </c>
      <c r="R242" s="7">
        <f>$AU$7*EXP(-'3.r(t)'!D240*$AU$21)</f>
        <v>0.91099305977534117</v>
      </c>
      <c r="S242" s="7">
        <f ca="1">$AU$8*EXP(-'3.r(t)'!E240*$AU$22)</f>
        <v>0.9135259041764161</v>
      </c>
      <c r="T242" s="7">
        <f ca="1">$AU$9*EXP(-'3.r(t)'!F240*$AU$23)</f>
        <v>0.94082551019841465</v>
      </c>
      <c r="U242" s="7">
        <f ca="1">$AU$10*EXP(-'3.r(t)'!G240*$AU$24)</f>
        <v>0.96800179740847225</v>
      </c>
      <c r="V242" s="7">
        <v>1</v>
      </c>
      <c r="W242" s="7"/>
      <c r="X242" s="7">
        <v>234</v>
      </c>
      <c r="Y242" s="7">
        <f>$AV$7*EXP(-'3.r(t)'!D240*$AV$21)</f>
        <v>0.88900715067201674</v>
      </c>
      <c r="Z242" s="7">
        <f ca="1">$AV$8*EXP(-'3.r(t)'!E240*$AV$22)</f>
        <v>0.8855966809981799</v>
      </c>
      <c r="AA242" s="7">
        <f ca="1">$AV$9*EXP(-'3.r(t)'!F240*$AV$23)</f>
        <v>0.91194576839039487</v>
      </c>
      <c r="AB242" s="7">
        <f ca="1">$AV$10*EXP(-'3.r(t)'!G240*$AV$24)</f>
        <v>0.93660275124031234</v>
      </c>
      <c r="AC242" s="7">
        <f ca="1">$AV$11*EXP(-'3.r(t)'!H240*$AV$25)</f>
        <v>0.97212605073434499</v>
      </c>
      <c r="AD242" s="7">
        <v>1</v>
      </c>
      <c r="AE242" s="7"/>
      <c r="AF242" s="7">
        <v>234</v>
      </c>
      <c r="AG242" s="7">
        <f>$AW$7*EXP(-'3.r(t)'!D240*$AW$21)</f>
        <v>0.86718755429225491</v>
      </c>
      <c r="AH242" s="7">
        <f ca="1">$AW$8*EXP(-'3.r(t)'!E240*$AW$22)</f>
        <v>0.85815557835908851</v>
      </c>
      <c r="AI242" s="7">
        <f ca="1">$AW$9*EXP(-'3.r(t)'!F240*$AW$23)</f>
        <v>0.8835705181964959</v>
      </c>
      <c r="AJ242" s="7">
        <f ca="1">$AW$10*EXP(-'3.r(t)'!G240*$AW$24)</f>
        <v>0.90582501692820649</v>
      </c>
      <c r="AK242" s="7">
        <f ca="1">$AW$11*EXP(-'3.r(t)'!H240*$AW$25)</f>
        <v>0.9446090864455513</v>
      </c>
      <c r="AL242" s="7">
        <f ca="1">$AW$12*EXP(-'3.r(t)'!I240*$AW$26)</f>
        <v>0.97339116747986443</v>
      </c>
      <c r="AM242" s="7">
        <v>1</v>
      </c>
      <c r="AN242" s="7"/>
    </row>
    <row r="243" spans="2:40">
      <c r="B243" s="7">
        <v>235</v>
      </c>
      <c r="C243" s="7">
        <f>$AR$7*EXP(-'3.r(t)'!D241*$AR$21)</f>
        <v>0.97765346695821032</v>
      </c>
      <c r="D243" s="7">
        <v>1</v>
      </c>
      <c r="E243" s="7"/>
      <c r="F243" s="7">
        <v>235</v>
      </c>
      <c r="G243" s="48">
        <f>$AS$7*EXP(-'3.r(t)'!D241*$AS$21)</f>
        <v>0.9553476245219803</v>
      </c>
      <c r="H243" s="7">
        <f ca="1">$AS$8*EXP(-'3.r(t)'!E241*$AS$22)</f>
        <v>0.97630875062472733</v>
      </c>
      <c r="I243" s="7">
        <v>1</v>
      </c>
      <c r="J243" s="7"/>
      <c r="K243" s="7">
        <v>235</v>
      </c>
      <c r="L243" s="7">
        <f>$AT$7*EXP(-'3.r(t)'!D241*$AT$21)</f>
        <v>0.93311670519824419</v>
      </c>
      <c r="M243" s="7">
        <f ca="1">$AT$8*EXP(-'3.r(t)'!E241*$AT$22)</f>
        <v>0.95272981596189765</v>
      </c>
      <c r="N243" s="7">
        <f ca="1">$AT$9*EXP(-'3.r(t)'!F241*$AT$23)</f>
        <v>0.97975593951712436</v>
      </c>
      <c r="O243" s="7">
        <v>1</v>
      </c>
      <c r="P243" s="7"/>
      <c r="Q243" s="7">
        <v>235</v>
      </c>
      <c r="R243" s="7">
        <f>$AU$7*EXP(-'3.r(t)'!D241*$AU$21)</f>
        <v>0.91099305977534117</v>
      </c>
      <c r="S243" s="7">
        <f ca="1">$AU$8*EXP(-'3.r(t)'!E241*$AU$22)</f>
        <v>0.92929636662417481</v>
      </c>
      <c r="T243" s="7">
        <f ca="1">$AU$9*EXP(-'3.r(t)'!F241*$AU$23)</f>
        <v>0.95947807975265109</v>
      </c>
      <c r="U243" s="7">
        <f ca="1">$AU$10*EXP(-'3.r(t)'!G241*$AU$24)</f>
        <v>0.98048521453973736</v>
      </c>
      <c r="V243" s="7">
        <v>1</v>
      </c>
      <c r="W243" s="7"/>
      <c r="X243" s="7">
        <v>235</v>
      </c>
      <c r="Y243" s="7">
        <f>$AV$7*EXP(-'3.r(t)'!D241*$AV$21)</f>
        <v>0.88900715067201674</v>
      </c>
      <c r="Z243" s="7">
        <f ca="1">$AV$8*EXP(-'3.r(t)'!E241*$AV$22)</f>
        <v>0.90603952418108458</v>
      </c>
      <c r="AA243" s="7">
        <f ca="1">$AV$9*EXP(-'3.r(t)'!F241*$AV$23)</f>
        <v>0.93919975672916756</v>
      </c>
      <c r="AB243" s="7">
        <f ca="1">$AV$10*EXP(-'3.r(t)'!G241*$AV$24)</f>
        <v>0.96091550209278931</v>
      </c>
      <c r="AC243" s="7">
        <f ca="1">$AV$11*EXP(-'3.r(t)'!H241*$AV$25)</f>
        <v>0.97935402222747381</v>
      </c>
      <c r="AD243" s="7">
        <v>1</v>
      </c>
      <c r="AE243" s="7"/>
      <c r="AF243" s="7">
        <v>235</v>
      </c>
      <c r="AG243" s="7">
        <f>$AW$7*EXP(-'3.r(t)'!D241*$AW$21)</f>
        <v>0.86718755429225491</v>
      </c>
      <c r="AH243" s="7">
        <f ca="1">$AW$8*EXP(-'3.r(t)'!E241*$AW$22)</f>
        <v>0.88298837067494729</v>
      </c>
      <c r="AI243" s="7">
        <f ca="1">$AW$9*EXP(-'3.r(t)'!F241*$AW$23)</f>
        <v>0.91895270769071791</v>
      </c>
      <c r="AJ243" s="7">
        <f ca="1">$AW$10*EXP(-'3.r(t)'!G241*$AW$24)</f>
        <v>0.94132364247576927</v>
      </c>
      <c r="AK243" s="7">
        <f ca="1">$AW$11*EXP(-'3.r(t)'!H241*$AW$25)</f>
        <v>0.95870806039536205</v>
      </c>
      <c r="AL243" s="7">
        <f ca="1">$AW$12*EXP(-'3.r(t)'!I241*$AW$26)</f>
        <v>0.98006461276661372</v>
      </c>
      <c r="AM243" s="7">
        <v>1</v>
      </c>
      <c r="AN243" s="7"/>
    </row>
    <row r="244" spans="2:40">
      <c r="B244" s="7">
        <v>236</v>
      </c>
      <c r="C244" s="7">
        <f>$AR$7*EXP(-'3.r(t)'!D242*$AR$21)</f>
        <v>0.97765346695821032</v>
      </c>
      <c r="D244" s="7">
        <v>1</v>
      </c>
      <c r="E244" s="7"/>
      <c r="F244" s="7">
        <v>236</v>
      </c>
      <c r="G244" s="48">
        <f>$AS$7*EXP(-'3.r(t)'!D242*$AS$21)</f>
        <v>0.9553476245219803</v>
      </c>
      <c r="H244" s="7">
        <f ca="1">$AS$8*EXP(-'3.r(t)'!E242*$AS$22)</f>
        <v>0.96973832023142725</v>
      </c>
      <c r="I244" s="7">
        <v>1</v>
      </c>
      <c r="J244" s="7"/>
      <c r="K244" s="7">
        <v>236</v>
      </c>
      <c r="L244" s="7">
        <f>$AT$7*EXP(-'3.r(t)'!D242*$AT$21)</f>
        <v>0.93311670519824419</v>
      </c>
      <c r="M244" s="7">
        <f ca="1">$AT$8*EXP(-'3.r(t)'!E242*$AT$22)</f>
        <v>0.93994947169902021</v>
      </c>
      <c r="N244" s="7">
        <f ca="1">$AT$9*EXP(-'3.r(t)'!F242*$AT$23)</f>
        <v>0.9712604421878287</v>
      </c>
      <c r="O244" s="7">
        <v>1</v>
      </c>
      <c r="P244" s="7"/>
      <c r="Q244" s="7">
        <v>236</v>
      </c>
      <c r="R244" s="7">
        <f>$AU$7*EXP(-'3.r(t)'!D242*$AU$21)</f>
        <v>0.91099305977534117</v>
      </c>
      <c r="S244" s="7">
        <f ca="1">$AU$8*EXP(-'3.r(t)'!E242*$AU$22)</f>
        <v>0.91066022048790485</v>
      </c>
      <c r="T244" s="7">
        <f ca="1">$AU$9*EXP(-'3.r(t)'!F242*$AU$23)</f>
        <v>0.94291088524839528</v>
      </c>
      <c r="U244" s="7">
        <f ca="1">$AU$10*EXP(-'3.r(t)'!G242*$AU$24)</f>
        <v>0.9664643310927058</v>
      </c>
      <c r="V244" s="7">
        <v>1</v>
      </c>
      <c r="W244" s="7"/>
      <c r="X244" s="7">
        <v>236</v>
      </c>
      <c r="Y244" s="7">
        <f>$AV$7*EXP(-'3.r(t)'!D242*$AV$21)</f>
        <v>0.88900715067201674</v>
      </c>
      <c r="Z244" s="7">
        <f ca="1">$AV$8*EXP(-'3.r(t)'!E242*$AV$22)</f>
        <v>0.88189452406965618</v>
      </c>
      <c r="AA244" s="7">
        <f ca="1">$AV$9*EXP(-'3.r(t)'!F242*$AV$23)</f>
        <v>0.91497949095723696</v>
      </c>
      <c r="AB244" s="7">
        <f ca="1">$AV$10*EXP(-'3.r(t)'!G242*$AV$24)</f>
        <v>0.93362992284040358</v>
      </c>
      <c r="AC244" s="7">
        <f ca="1">$AV$11*EXP(-'3.r(t)'!H242*$AV$25)</f>
        <v>0.96529032504781898</v>
      </c>
      <c r="AD244" s="7">
        <v>1</v>
      </c>
      <c r="AE244" s="7"/>
      <c r="AF244" s="7">
        <v>236</v>
      </c>
      <c r="AG244" s="7">
        <f>$AW$7*EXP(-'3.r(t)'!D242*$AW$21)</f>
        <v>0.86718755429225491</v>
      </c>
      <c r="AH244" s="7">
        <f ca="1">$AW$8*EXP(-'3.r(t)'!E242*$AW$22)</f>
        <v>0.85367362174301764</v>
      </c>
      <c r="AI244" s="7">
        <f ca="1">$AW$9*EXP(-'3.r(t)'!F242*$AW$23)</f>
        <v>0.88749179363573427</v>
      </c>
      <c r="AJ244" s="7">
        <f ca="1">$AW$10*EXP(-'3.r(t)'!G242*$AW$24)</f>
        <v>0.90151573365322912</v>
      </c>
      <c r="AK244" s="7">
        <f ca="1">$AW$11*EXP(-'3.r(t)'!H242*$AW$25)</f>
        <v>0.9313713250530139</v>
      </c>
      <c r="AL244" s="7">
        <f ca="1">$AW$12*EXP(-'3.r(t)'!I242*$AW$26)</f>
        <v>0.96952404351424804</v>
      </c>
      <c r="AM244" s="7">
        <v>1</v>
      </c>
      <c r="AN244" s="7"/>
    </row>
    <row r="245" spans="2:40">
      <c r="B245" s="7">
        <v>237</v>
      </c>
      <c r="C245" s="7">
        <f>$AR$7*EXP(-'3.r(t)'!D243*$AR$21)</f>
        <v>0.97765346695821032</v>
      </c>
      <c r="D245" s="7">
        <v>1</v>
      </c>
      <c r="E245" s="7"/>
      <c r="F245" s="7">
        <v>237</v>
      </c>
      <c r="G245" s="48">
        <f>$AS$7*EXP(-'3.r(t)'!D243*$AS$21)</f>
        <v>0.9553476245219803</v>
      </c>
      <c r="H245" s="7">
        <f ca="1">$AS$8*EXP(-'3.r(t)'!E243*$AS$22)</f>
        <v>0.97502641983811145</v>
      </c>
      <c r="I245" s="7">
        <v>1</v>
      </c>
      <c r="J245" s="7"/>
      <c r="K245" s="7">
        <v>237</v>
      </c>
      <c r="L245" s="7">
        <f>$AT$7*EXP(-'3.r(t)'!D243*$AT$21)</f>
        <v>0.93311670519824419</v>
      </c>
      <c r="M245" s="7">
        <f ca="1">$AT$8*EXP(-'3.r(t)'!E243*$AT$22)</f>
        <v>0.95022873739605784</v>
      </c>
      <c r="N245" s="7">
        <f ca="1">$AT$9*EXP(-'3.r(t)'!F243*$AT$23)</f>
        <v>0.97283708380041789</v>
      </c>
      <c r="O245" s="7">
        <v>1</v>
      </c>
      <c r="P245" s="7"/>
      <c r="Q245" s="7">
        <v>237</v>
      </c>
      <c r="R245" s="7">
        <f>$AU$7*EXP(-'3.r(t)'!D243*$AU$21)</f>
        <v>0.91099305977534117</v>
      </c>
      <c r="S245" s="7">
        <f ca="1">$AU$8*EXP(-'3.r(t)'!E243*$AU$22)</f>
        <v>0.92563942664024634</v>
      </c>
      <c r="T245" s="7">
        <f ca="1">$AU$9*EXP(-'3.r(t)'!F243*$AU$23)</f>
        <v>0.94597461377091863</v>
      </c>
      <c r="U245" s="7">
        <f ca="1">$AU$10*EXP(-'3.r(t)'!G243*$AU$24)</f>
        <v>0.97264055981432995</v>
      </c>
      <c r="V245" s="7">
        <v>1</v>
      </c>
      <c r="W245" s="7"/>
      <c r="X245" s="7">
        <v>237</v>
      </c>
      <c r="Y245" s="7">
        <f>$AV$7*EXP(-'3.r(t)'!D243*$AV$21)</f>
        <v>0.88900715067201674</v>
      </c>
      <c r="Z245" s="7">
        <f ca="1">$AV$8*EXP(-'3.r(t)'!E243*$AV$22)</f>
        <v>0.90128875102921358</v>
      </c>
      <c r="AA245" s="7">
        <f ca="1">$AV$9*EXP(-'3.r(t)'!F243*$AV$23)</f>
        <v>0.91944257119934236</v>
      </c>
      <c r="AB245" s="7">
        <f ca="1">$AV$10*EXP(-'3.r(t)'!G243*$AV$24)</f>
        <v>0.94560084961244906</v>
      </c>
      <c r="AC245" s="7">
        <f ca="1">$AV$11*EXP(-'3.r(t)'!H243*$AV$25)</f>
        <v>0.97577845368890237</v>
      </c>
      <c r="AD245" s="7">
        <v>1</v>
      </c>
      <c r="AE245" s="7"/>
      <c r="AF245" s="7">
        <v>237</v>
      </c>
      <c r="AG245" s="7">
        <f>$AW$7*EXP(-'3.r(t)'!D243*$AW$21)</f>
        <v>0.86718755429225491</v>
      </c>
      <c r="AH245" s="7">
        <f ca="1">$AW$8*EXP(-'3.r(t)'!E243*$AW$22)</f>
        <v>0.87720478692032333</v>
      </c>
      <c r="AI245" s="7">
        <f ca="1">$AW$9*EXP(-'3.r(t)'!F243*$AW$23)</f>
        <v>0.89326848226917355</v>
      </c>
      <c r="AJ245" s="7">
        <f ca="1">$AW$10*EXP(-'3.r(t)'!G243*$AW$24)</f>
        <v>0.91890993631672879</v>
      </c>
      <c r="AK245" s="7">
        <f ca="1">$AW$11*EXP(-'3.r(t)'!H243*$AW$25)</f>
        <v>0.95172045690589557</v>
      </c>
      <c r="AL245" s="7">
        <f ca="1">$AW$12*EXP(-'3.r(t)'!I243*$AW$26)</f>
        <v>0.97709799221820559</v>
      </c>
      <c r="AM245" s="7">
        <v>1</v>
      </c>
      <c r="AN245" s="7"/>
    </row>
    <row r="246" spans="2:40">
      <c r="B246" s="7">
        <v>238</v>
      </c>
      <c r="C246" s="7">
        <f>$AR$7*EXP(-'3.r(t)'!D244*$AR$21)</f>
        <v>0.97765346695821032</v>
      </c>
      <c r="D246" s="7">
        <v>1</v>
      </c>
      <c r="E246" s="7"/>
      <c r="F246" s="7">
        <v>238</v>
      </c>
      <c r="G246" s="48">
        <f>$AS$7*EXP(-'3.r(t)'!D244*$AS$21)</f>
        <v>0.9553476245219803</v>
      </c>
      <c r="H246" s="7">
        <f ca="1">$AS$8*EXP(-'3.r(t)'!E244*$AS$22)</f>
        <v>0.97807231782242177</v>
      </c>
      <c r="I246" s="7">
        <v>1</v>
      </c>
      <c r="J246" s="7"/>
      <c r="K246" s="7">
        <v>238</v>
      </c>
      <c r="L246" s="7">
        <f>$AT$7*EXP(-'3.r(t)'!D244*$AT$21)</f>
        <v>0.93311670519824419</v>
      </c>
      <c r="M246" s="7">
        <f ca="1">$AT$8*EXP(-'3.r(t)'!E244*$AT$22)</f>
        <v>0.95617487487023733</v>
      </c>
      <c r="N246" s="7">
        <f ca="1">$AT$9*EXP(-'3.r(t)'!F244*$AT$23)</f>
        <v>0.97566228844374991</v>
      </c>
      <c r="O246" s="7">
        <v>1</v>
      </c>
      <c r="P246" s="7"/>
      <c r="Q246" s="7">
        <v>238</v>
      </c>
      <c r="R246" s="7">
        <f>$AU$7*EXP(-'3.r(t)'!D244*$AU$21)</f>
        <v>0.91099305977534117</v>
      </c>
      <c r="S246" s="7">
        <f ca="1">$AU$8*EXP(-'3.r(t)'!E244*$AU$22)</f>
        <v>0.9343414062448826</v>
      </c>
      <c r="T246" s="7">
        <f ca="1">$AU$9*EXP(-'3.r(t)'!F244*$AU$23)</f>
        <v>0.95147697918854857</v>
      </c>
      <c r="U246" s="7">
        <f ca="1">$AU$10*EXP(-'3.r(t)'!G244*$AU$24)</f>
        <v>0.9769858661943106</v>
      </c>
      <c r="V246" s="7">
        <v>1</v>
      </c>
      <c r="W246" s="7"/>
      <c r="X246" s="7">
        <v>238</v>
      </c>
      <c r="Y246" s="7">
        <f>$AV$7*EXP(-'3.r(t)'!D244*$AV$21)</f>
        <v>0.88900715067201674</v>
      </c>
      <c r="Z246" s="7">
        <f ca="1">$AV$8*EXP(-'3.r(t)'!E244*$AV$22)</f>
        <v>0.91260382579084809</v>
      </c>
      <c r="AA246" s="7">
        <f ca="1">$AV$9*EXP(-'3.r(t)'!F244*$AV$23)</f>
        <v>0.9274762835207927</v>
      </c>
      <c r="AB246" s="7">
        <f ca="1">$AV$10*EXP(-'3.r(t)'!G244*$AV$24)</f>
        <v>0.95406873376257273</v>
      </c>
      <c r="AC246" s="7">
        <f ca="1">$AV$11*EXP(-'3.r(t)'!H244*$AV$25)</f>
        <v>0.97684818573696874</v>
      </c>
      <c r="AD246" s="7">
        <v>1</v>
      </c>
      <c r="AE246" s="7"/>
      <c r="AF246" s="7">
        <v>238</v>
      </c>
      <c r="AG246" s="7">
        <f>$AW$7*EXP(-'3.r(t)'!D244*$AW$21)</f>
        <v>0.86718755429225491</v>
      </c>
      <c r="AH246" s="7">
        <f ca="1">$AW$8*EXP(-'3.r(t)'!E244*$AW$22)</f>
        <v>0.89099221815083107</v>
      </c>
      <c r="AI246" s="7">
        <f ca="1">$AW$9*EXP(-'3.r(t)'!F244*$AW$23)</f>
        <v>0.90369029298896109</v>
      </c>
      <c r="AJ246" s="7">
        <f ca="1">$AW$10*EXP(-'3.r(t)'!G244*$AW$24)</f>
        <v>0.9312808281896382</v>
      </c>
      <c r="AK246" s="7">
        <f ca="1">$AW$11*EXP(-'3.r(t)'!H244*$AW$25)</f>
        <v>0.95380831594036641</v>
      </c>
      <c r="AL246" s="7">
        <f ca="1">$AW$12*EXP(-'3.r(t)'!I244*$AW$26)</f>
        <v>0.97696730312618918</v>
      </c>
      <c r="AM246" s="7">
        <v>1</v>
      </c>
      <c r="AN246" s="7"/>
    </row>
    <row r="247" spans="2:40">
      <c r="B247" s="7">
        <v>239</v>
      </c>
      <c r="C247" s="7">
        <f>$AR$7*EXP(-'3.r(t)'!D245*$AR$21)</f>
        <v>0.97765346695821032</v>
      </c>
      <c r="D247" s="7">
        <v>1</v>
      </c>
      <c r="E247" s="7"/>
      <c r="F247" s="7">
        <v>239</v>
      </c>
      <c r="G247" s="48">
        <f>$AS$7*EXP(-'3.r(t)'!D245*$AS$21)</f>
        <v>0.9553476245219803</v>
      </c>
      <c r="H247" s="7">
        <f ca="1">$AS$8*EXP(-'3.r(t)'!E245*$AS$22)</f>
        <v>0.97564417460040886</v>
      </c>
      <c r="I247" s="7">
        <v>1</v>
      </c>
      <c r="J247" s="7"/>
      <c r="K247" s="7">
        <v>239</v>
      </c>
      <c r="L247" s="7">
        <f>$AT$7*EXP(-'3.r(t)'!D245*$AT$21)</f>
        <v>0.93311670519824419</v>
      </c>
      <c r="M247" s="7">
        <f ca="1">$AT$8*EXP(-'3.r(t)'!E245*$AT$22)</f>
        <v>0.95143320585655022</v>
      </c>
      <c r="N247" s="7">
        <f ca="1">$AT$9*EXP(-'3.r(t)'!F245*$AT$23)</f>
        <v>0.97489268051679501</v>
      </c>
      <c r="O247" s="7">
        <v>1</v>
      </c>
      <c r="P247" s="7"/>
      <c r="Q247" s="7">
        <v>239</v>
      </c>
      <c r="R247" s="7">
        <f>$AU$7*EXP(-'3.r(t)'!D245*$AU$21)</f>
        <v>0.91099305977534117</v>
      </c>
      <c r="S247" s="7">
        <f ca="1">$AU$8*EXP(-'3.r(t)'!E245*$AU$22)</f>
        <v>0.927399934417108</v>
      </c>
      <c r="T247" s="7">
        <f ca="1">$AU$9*EXP(-'3.r(t)'!F245*$AU$23)</f>
        <v>0.94997651037451558</v>
      </c>
      <c r="U247" s="7">
        <f ca="1">$AU$10*EXP(-'3.r(t)'!G245*$AU$24)</f>
        <v>0.97278692979590997</v>
      </c>
      <c r="V247" s="7">
        <v>1</v>
      </c>
      <c r="W247" s="7"/>
      <c r="X247" s="7">
        <v>239</v>
      </c>
      <c r="Y247" s="7">
        <f>$AV$7*EXP(-'3.r(t)'!D245*$AV$21)</f>
        <v>0.88900715067201674</v>
      </c>
      <c r="Z247" s="7">
        <f ca="1">$AV$8*EXP(-'3.r(t)'!E245*$AV$22)</f>
        <v>0.90357506767000773</v>
      </c>
      <c r="AA247" s="7">
        <f ca="1">$AV$9*EXP(-'3.r(t)'!F245*$AV$23)</f>
        <v>0.92528321873089203</v>
      </c>
      <c r="AB247" s="7">
        <f ca="1">$AV$10*EXP(-'3.r(t)'!G245*$AV$24)</f>
        <v>0.94588547272800683</v>
      </c>
      <c r="AC247" s="7">
        <f ca="1">$AV$11*EXP(-'3.r(t)'!H245*$AV$25)</f>
        <v>0.9745617954569733</v>
      </c>
      <c r="AD247" s="7">
        <v>1</v>
      </c>
      <c r="AE247" s="7"/>
      <c r="AF247" s="7">
        <v>239</v>
      </c>
      <c r="AG247" s="7">
        <f>$AW$7*EXP(-'3.r(t)'!D245*$AW$21)</f>
        <v>0.86718755429225491</v>
      </c>
      <c r="AH247" s="7">
        <f ca="1">$AW$8*EXP(-'3.r(t)'!E245*$AW$22)</f>
        <v>0.87998719633398614</v>
      </c>
      <c r="AI247" s="7">
        <f ca="1">$AW$9*EXP(-'3.r(t)'!F245*$AW$23)</f>
        <v>0.90084232090880501</v>
      </c>
      <c r="AJ247" s="7">
        <f ca="1">$AW$10*EXP(-'3.r(t)'!G245*$AW$24)</f>
        <v>0.91932485137687314</v>
      </c>
      <c r="AK247" s="7">
        <f ca="1">$AW$11*EXP(-'3.r(t)'!H245*$AW$25)</f>
        <v>0.9493486139052727</v>
      </c>
      <c r="AL247" s="7">
        <f ca="1">$AW$12*EXP(-'3.r(t)'!I245*$AW$26)</f>
        <v>0.97007839358777959</v>
      </c>
      <c r="AM247" s="7">
        <v>1</v>
      </c>
      <c r="AN247" s="7"/>
    </row>
    <row r="248" spans="2:40">
      <c r="B248" s="7">
        <v>240</v>
      </c>
      <c r="C248" s="7">
        <f>$AR$7*EXP(-'3.r(t)'!D246*$AR$21)</f>
        <v>0.97765346695821032</v>
      </c>
      <c r="D248" s="7">
        <v>1</v>
      </c>
      <c r="E248" s="7"/>
      <c r="F248" s="7">
        <v>240</v>
      </c>
      <c r="G248" s="48">
        <f>$AS$7*EXP(-'3.r(t)'!D246*$AS$21)</f>
        <v>0.9553476245219803</v>
      </c>
      <c r="H248" s="7">
        <f ca="1">$AS$8*EXP(-'3.r(t)'!E246*$AS$22)</f>
        <v>0.97896164728418522</v>
      </c>
      <c r="I248" s="7">
        <v>1</v>
      </c>
      <c r="J248" s="7"/>
      <c r="K248" s="7">
        <v>240</v>
      </c>
      <c r="L248" s="7">
        <f>$AT$7*EXP(-'3.r(t)'!D246*$AT$21)</f>
        <v>0.93311670519824419</v>
      </c>
      <c r="M248" s="7">
        <f ca="1">$AT$8*EXP(-'3.r(t)'!E246*$AT$22)</f>
        <v>0.95791450305765524</v>
      </c>
      <c r="N248" s="7">
        <f ca="1">$AT$9*EXP(-'3.r(t)'!F246*$AT$23)</f>
        <v>0.97883217306602865</v>
      </c>
      <c r="O248" s="7">
        <v>1</v>
      </c>
      <c r="P248" s="7"/>
      <c r="Q248" s="7">
        <v>240</v>
      </c>
      <c r="R248" s="7">
        <f>$AU$7*EXP(-'3.r(t)'!D246*$AU$21)</f>
        <v>0.91099305977534117</v>
      </c>
      <c r="S248" s="7">
        <f ca="1">$AU$8*EXP(-'3.r(t)'!E246*$AU$22)</f>
        <v>0.93689242347997614</v>
      </c>
      <c r="T248" s="7">
        <f ca="1">$AU$9*EXP(-'3.r(t)'!F246*$AU$23)</f>
        <v>0.9576696379082138</v>
      </c>
      <c r="U248" s="7">
        <f ca="1">$AU$10*EXP(-'3.r(t)'!G246*$AU$24)</f>
        <v>0.97552338375149683</v>
      </c>
      <c r="V248" s="7">
        <v>1</v>
      </c>
      <c r="W248" s="7"/>
      <c r="X248" s="7">
        <v>240</v>
      </c>
      <c r="Y248" s="7">
        <f>$AV$7*EXP(-'3.r(t)'!D246*$AV$21)</f>
        <v>0.88900715067201674</v>
      </c>
      <c r="Z248" s="7">
        <f ca="1">$AV$8*EXP(-'3.r(t)'!E246*$AV$22)</f>
        <v>0.91592755993758856</v>
      </c>
      <c r="AA248" s="7">
        <f ca="1">$AV$9*EXP(-'3.r(t)'!F246*$AV$23)</f>
        <v>0.93654567699164482</v>
      </c>
      <c r="AB248" s="7">
        <f ca="1">$AV$10*EXP(-'3.r(t)'!G246*$AV$24)</f>
        <v>0.95121451758873821</v>
      </c>
      <c r="AC248" s="7">
        <f ca="1">$AV$11*EXP(-'3.r(t)'!H246*$AV$25)</f>
        <v>0.97182832327328572</v>
      </c>
      <c r="AD248" s="7">
        <v>1</v>
      </c>
      <c r="AE248" s="7"/>
      <c r="AF248" s="7">
        <v>240</v>
      </c>
      <c r="AG248" s="7">
        <f>$AW$7*EXP(-'3.r(t)'!D246*$AW$21)</f>
        <v>0.86718755429225491</v>
      </c>
      <c r="AH248" s="7">
        <f ca="1">$AW$8*EXP(-'3.r(t)'!E246*$AW$22)</f>
        <v>0.89505034303239417</v>
      </c>
      <c r="AI248" s="7">
        <f ca="1">$AW$9*EXP(-'3.r(t)'!F246*$AW$23)</f>
        <v>0.91549185454398263</v>
      </c>
      <c r="AJ248" s="7">
        <f ca="1">$AW$10*EXP(-'3.r(t)'!G246*$AW$24)</f>
        <v>0.92710489035086752</v>
      </c>
      <c r="AK248" s="7">
        <f ca="1">$AW$11*EXP(-'3.r(t)'!H246*$AW$25)</f>
        <v>0.94403057505083776</v>
      </c>
      <c r="AL248" s="7">
        <f ca="1">$AW$12*EXP(-'3.r(t)'!I246*$AW$26)</f>
        <v>0.97375165253671869</v>
      </c>
      <c r="AM248" s="7">
        <v>1</v>
      </c>
      <c r="AN248" s="7"/>
    </row>
    <row r="249" spans="2:40">
      <c r="B249" s="7">
        <v>241</v>
      </c>
      <c r="C249" s="7">
        <f>$AR$7*EXP(-'3.r(t)'!D247*$AR$21)</f>
        <v>0.97765346695821032</v>
      </c>
      <c r="D249" s="7">
        <v>1</v>
      </c>
      <c r="E249" s="7"/>
      <c r="F249" s="7">
        <v>241</v>
      </c>
      <c r="G249" s="48">
        <f>$AS$7*EXP(-'3.r(t)'!D247*$AS$21)</f>
        <v>0.9553476245219803</v>
      </c>
      <c r="H249" s="7">
        <f ca="1">$AS$8*EXP(-'3.r(t)'!E247*$AS$22)</f>
        <v>0.9812495290657548</v>
      </c>
      <c r="I249" s="7">
        <v>1</v>
      </c>
      <c r="J249" s="7"/>
      <c r="K249" s="7">
        <v>241</v>
      </c>
      <c r="L249" s="7">
        <f>$AT$7*EXP(-'3.r(t)'!D247*$AT$21)</f>
        <v>0.93311670519824419</v>
      </c>
      <c r="M249" s="7">
        <f ca="1">$AT$8*EXP(-'3.r(t)'!E247*$AT$22)</f>
        <v>0.96239712212459105</v>
      </c>
      <c r="N249" s="7">
        <f ca="1">$AT$9*EXP(-'3.r(t)'!F247*$AT$23)</f>
        <v>0.98258547052769207</v>
      </c>
      <c r="O249" s="7">
        <v>1</v>
      </c>
      <c r="P249" s="7"/>
      <c r="Q249" s="7">
        <v>241</v>
      </c>
      <c r="R249" s="7">
        <f>$AU$7*EXP(-'3.r(t)'!D247*$AU$21)</f>
        <v>0.91099305977534117</v>
      </c>
      <c r="S249" s="7">
        <f ca="1">$AU$8*EXP(-'3.r(t)'!E247*$AU$22)</f>
        <v>0.94347647857181516</v>
      </c>
      <c r="T249" s="7">
        <f ca="1">$AU$9*EXP(-'3.r(t)'!F247*$AU$23)</f>
        <v>0.9650280195729789</v>
      </c>
      <c r="U249" s="7">
        <f ca="1">$AU$10*EXP(-'3.r(t)'!G247*$AU$24)</f>
        <v>0.98329611462883393</v>
      </c>
      <c r="V249" s="7">
        <v>1</v>
      </c>
      <c r="W249" s="7"/>
      <c r="X249" s="7">
        <v>241</v>
      </c>
      <c r="Y249" s="7">
        <f>$AV$7*EXP(-'3.r(t)'!D247*$AV$21)</f>
        <v>0.88900715067201674</v>
      </c>
      <c r="Z249" s="7">
        <f ca="1">$AV$8*EXP(-'3.r(t)'!E247*$AV$22)</f>
        <v>0.92451989441904348</v>
      </c>
      <c r="AA249" s="7">
        <f ca="1">$AV$9*EXP(-'3.r(t)'!F247*$AV$23)</f>
        <v>0.94736049437239345</v>
      </c>
      <c r="AB249" s="7">
        <f ca="1">$AV$10*EXP(-'3.r(t)'!G247*$AV$24)</f>
        <v>0.96643299314626641</v>
      </c>
      <c r="AC249" s="7">
        <f ca="1">$AV$11*EXP(-'3.r(t)'!H247*$AV$25)</f>
        <v>0.97983167338553201</v>
      </c>
      <c r="AD249" s="7">
        <v>1</v>
      </c>
      <c r="AE249" s="7"/>
      <c r="AF249" s="7">
        <v>241</v>
      </c>
      <c r="AG249" s="7">
        <f>$AW$7*EXP(-'3.r(t)'!D247*$AW$21)</f>
        <v>0.86718755429225491</v>
      </c>
      <c r="AH249" s="7">
        <f ca="1">$AW$8*EXP(-'3.r(t)'!E247*$AW$22)</f>
        <v>0.90555822784519024</v>
      </c>
      <c r="AI249" s="7">
        <f ca="1">$AW$9*EXP(-'3.r(t)'!F247*$AW$23)</f>
        <v>0.9296145096902122</v>
      </c>
      <c r="AJ249" s="7">
        <f ca="1">$AW$10*EXP(-'3.r(t)'!G247*$AW$24)</f>
        <v>0.94944276400577954</v>
      </c>
      <c r="AK249" s="7">
        <f ca="1">$AW$11*EXP(-'3.r(t)'!H247*$AW$25)</f>
        <v>0.95964345183780531</v>
      </c>
      <c r="AL249" s="7">
        <f ca="1">$AW$12*EXP(-'3.r(t)'!I247*$AW$26)</f>
        <v>0.98005615935221535</v>
      </c>
      <c r="AM249" s="7">
        <v>1</v>
      </c>
      <c r="AN249" s="7"/>
    </row>
    <row r="250" spans="2:40">
      <c r="B250" s="7">
        <v>242</v>
      </c>
      <c r="C250" s="7">
        <f>$AR$7*EXP(-'3.r(t)'!D248*$AR$21)</f>
        <v>0.97765346695821032</v>
      </c>
      <c r="D250" s="7">
        <v>1</v>
      </c>
      <c r="E250" s="7"/>
      <c r="F250" s="7">
        <v>242</v>
      </c>
      <c r="G250" s="48">
        <f>$AS$7*EXP(-'3.r(t)'!D248*$AS$21)</f>
        <v>0.9553476245219803</v>
      </c>
      <c r="H250" s="7">
        <f ca="1">$AS$8*EXP(-'3.r(t)'!E248*$AS$22)</f>
        <v>0.97683823842835227</v>
      </c>
      <c r="I250" s="7">
        <v>1</v>
      </c>
      <c r="J250" s="7"/>
      <c r="K250" s="7">
        <v>242</v>
      </c>
      <c r="L250" s="7">
        <f>$AT$7*EXP(-'3.r(t)'!D248*$AT$21)</f>
        <v>0.93311670519824419</v>
      </c>
      <c r="M250" s="7">
        <f ca="1">$AT$8*EXP(-'3.r(t)'!E248*$AT$22)</f>
        <v>0.95376349636387348</v>
      </c>
      <c r="N250" s="7">
        <f ca="1">$AT$9*EXP(-'3.r(t)'!F248*$AT$23)</f>
        <v>0.9770745944509317</v>
      </c>
      <c r="O250" s="7">
        <v>1</v>
      </c>
      <c r="P250" s="7"/>
      <c r="Q250" s="7">
        <v>242</v>
      </c>
      <c r="R250" s="7">
        <f>$AU$7*EXP(-'3.r(t)'!D248*$AU$21)</f>
        <v>0.91099305977534117</v>
      </c>
      <c r="S250" s="7">
        <f ca="1">$AU$8*EXP(-'3.r(t)'!E248*$AU$22)</f>
        <v>0.93080916059608432</v>
      </c>
      <c r="T250" s="7">
        <f ca="1">$AU$9*EXP(-'3.r(t)'!F248*$AU$23)</f>
        <v>0.95423356669158055</v>
      </c>
      <c r="U250" s="7">
        <f ca="1">$AU$10*EXP(-'3.r(t)'!G248*$AU$24)</f>
        <v>0.97557024855616625</v>
      </c>
      <c r="V250" s="7">
        <v>1</v>
      </c>
      <c r="W250" s="7"/>
      <c r="X250" s="7">
        <v>242</v>
      </c>
      <c r="Y250" s="7">
        <f>$AV$7*EXP(-'3.r(t)'!D248*$AV$21)</f>
        <v>0.88900715067201674</v>
      </c>
      <c r="Z250" s="7">
        <f ca="1">$AV$8*EXP(-'3.r(t)'!E248*$AV$22)</f>
        <v>0.90800663668172177</v>
      </c>
      <c r="AA250" s="7">
        <f ca="1">$AV$9*EXP(-'3.r(t)'!F248*$AV$23)</f>
        <v>0.93150978165549492</v>
      </c>
      <c r="AB250" s="7">
        <f ca="1">$AV$10*EXP(-'3.r(t)'!G248*$AV$24)</f>
        <v>0.95130591376457219</v>
      </c>
      <c r="AC250" s="7">
        <f ca="1">$AV$11*EXP(-'3.r(t)'!H248*$AV$25)</f>
        <v>0.978481596609027</v>
      </c>
      <c r="AD250" s="7">
        <v>1</v>
      </c>
      <c r="AE250" s="7"/>
      <c r="AF250" s="7">
        <v>242</v>
      </c>
      <c r="AG250" s="7">
        <f>$AW$7*EXP(-'3.r(t)'!D248*$AW$21)</f>
        <v>0.86718755429225491</v>
      </c>
      <c r="AH250" s="7">
        <f ca="1">$AW$8*EXP(-'3.r(t)'!E248*$AW$22)</f>
        <v>0.88538535301597809</v>
      </c>
      <c r="AI250" s="7">
        <f ca="1">$AW$9*EXP(-'3.r(t)'!F248*$AW$23)</f>
        <v>0.90893416118736192</v>
      </c>
      <c r="AJ250" s="7">
        <f ca="1">$AW$10*EXP(-'3.r(t)'!G248*$AW$24)</f>
        <v>0.92723851301225479</v>
      </c>
      <c r="AK250" s="7">
        <f ca="1">$AW$11*EXP(-'3.r(t)'!H248*$AW$25)</f>
        <v>0.95700075351138114</v>
      </c>
      <c r="AL250" s="7">
        <f ca="1">$AW$12*EXP(-'3.r(t)'!I248*$AW$26)</f>
        <v>0.97814031365889509</v>
      </c>
      <c r="AM250" s="7">
        <v>1</v>
      </c>
      <c r="AN250" s="7"/>
    </row>
    <row r="251" spans="2:40">
      <c r="B251" s="7">
        <v>243</v>
      </c>
      <c r="C251" s="7">
        <f>$AR$7*EXP(-'3.r(t)'!D249*$AR$21)</f>
        <v>0.97765346695821032</v>
      </c>
      <c r="D251" s="7">
        <v>1</v>
      </c>
      <c r="E251" s="7"/>
      <c r="F251" s="7">
        <v>243</v>
      </c>
      <c r="G251" s="48">
        <f>$AS$7*EXP(-'3.r(t)'!D249*$AS$21)</f>
        <v>0.9553476245219803</v>
      </c>
      <c r="H251" s="7">
        <f ca="1">$AS$8*EXP(-'3.r(t)'!E249*$AS$22)</f>
        <v>0.97501497058675057</v>
      </c>
      <c r="I251" s="7">
        <v>1</v>
      </c>
      <c r="J251" s="7"/>
      <c r="K251" s="7">
        <v>243</v>
      </c>
      <c r="L251" s="7">
        <f>$AT$7*EXP(-'3.r(t)'!D249*$AT$21)</f>
        <v>0.93311670519824419</v>
      </c>
      <c r="M251" s="7">
        <f ca="1">$AT$8*EXP(-'3.r(t)'!E249*$AT$22)</f>
        <v>0.9502064213981164</v>
      </c>
      <c r="N251" s="7">
        <f ca="1">$AT$9*EXP(-'3.r(t)'!F249*$AT$23)</f>
        <v>0.97360513219809341</v>
      </c>
      <c r="O251" s="7">
        <v>1</v>
      </c>
      <c r="P251" s="7"/>
      <c r="Q251" s="7">
        <v>243</v>
      </c>
      <c r="R251" s="7">
        <f>$AU$7*EXP(-'3.r(t)'!D249*$AU$21)</f>
        <v>0.91099305977534117</v>
      </c>
      <c r="S251" s="7">
        <f ca="1">$AU$8*EXP(-'3.r(t)'!E249*$AU$22)</f>
        <v>0.92560681904991537</v>
      </c>
      <c r="T251" s="7">
        <f ca="1">$AU$9*EXP(-'3.r(t)'!F249*$AU$23)</f>
        <v>0.94746888470967416</v>
      </c>
      <c r="U251" s="7">
        <f ca="1">$AU$10*EXP(-'3.r(t)'!G249*$AU$24)</f>
        <v>0.97105152870739286</v>
      </c>
      <c r="V251" s="7">
        <v>1</v>
      </c>
      <c r="W251" s="7"/>
      <c r="X251" s="7">
        <v>243</v>
      </c>
      <c r="Y251" s="7">
        <f>$AV$7*EXP(-'3.r(t)'!D249*$AV$21)</f>
        <v>0.88900715067201674</v>
      </c>
      <c r="Z251" s="7">
        <f ca="1">$AV$8*EXP(-'3.r(t)'!E249*$AV$22)</f>
        <v>0.90124641822881779</v>
      </c>
      <c r="AA251" s="7">
        <f ca="1">$AV$9*EXP(-'3.r(t)'!F249*$AV$23)</f>
        <v>0.92162197227361786</v>
      </c>
      <c r="AB251" s="7">
        <f ca="1">$AV$10*EXP(-'3.r(t)'!G249*$AV$24)</f>
        <v>0.94251366239231815</v>
      </c>
      <c r="AC251" s="7">
        <f ca="1">$AV$11*EXP(-'3.r(t)'!H249*$AV$25)</f>
        <v>0.96771924460452996</v>
      </c>
      <c r="AD251" s="7">
        <v>1</v>
      </c>
      <c r="AE251" s="7"/>
      <c r="AF251" s="7">
        <v>243</v>
      </c>
      <c r="AG251" s="7">
        <f>$AW$7*EXP(-'3.r(t)'!D249*$AW$21)</f>
        <v>0.86718755429225491</v>
      </c>
      <c r="AH251" s="7">
        <f ca="1">$AW$8*EXP(-'3.r(t)'!E249*$AW$22)</f>
        <v>0.87715328522749247</v>
      </c>
      <c r="AI251" s="7">
        <f ca="1">$AW$9*EXP(-'3.r(t)'!F249*$AW$23)</f>
        <v>0.89609274273889961</v>
      </c>
      <c r="AJ251" s="7">
        <f ca="1">$AW$10*EXP(-'3.r(t)'!G249*$AW$24)</f>
        <v>0.91441354073153669</v>
      </c>
      <c r="AK251" s="7">
        <f ca="1">$AW$11*EXP(-'3.r(t)'!H249*$AW$25)</f>
        <v>0.93606436328086517</v>
      </c>
      <c r="AL251" s="7">
        <f ca="1">$AW$12*EXP(-'3.r(t)'!I249*$AW$26)</f>
        <v>0.96750918499289706</v>
      </c>
      <c r="AM251" s="7">
        <v>1</v>
      </c>
      <c r="AN251" s="7"/>
    </row>
    <row r="252" spans="2:40">
      <c r="B252" s="7">
        <v>244</v>
      </c>
      <c r="C252" s="7">
        <f>$AR$7*EXP(-'3.r(t)'!D250*$AR$21)</f>
        <v>0.97765346695821032</v>
      </c>
      <c r="D252" s="7">
        <v>1</v>
      </c>
      <c r="E252" s="7"/>
      <c r="F252" s="7">
        <v>244</v>
      </c>
      <c r="G252" s="48">
        <f>$AS$7*EXP(-'3.r(t)'!D250*$AS$21)</f>
        <v>0.9553476245219803</v>
      </c>
      <c r="H252" s="7">
        <f ca="1">$AS$8*EXP(-'3.r(t)'!E250*$AS$22)</f>
        <v>0.979449187636112</v>
      </c>
      <c r="I252" s="7">
        <v>1</v>
      </c>
      <c r="J252" s="7"/>
      <c r="K252" s="7">
        <v>244</v>
      </c>
      <c r="L252" s="7">
        <f>$AT$7*EXP(-'3.r(t)'!D250*$AT$21)</f>
        <v>0.93311670519824419</v>
      </c>
      <c r="M252" s="7">
        <f ca="1">$AT$8*EXP(-'3.r(t)'!E250*$AT$22)</f>
        <v>0.95886885763909724</v>
      </c>
      <c r="N252" s="7">
        <f ca="1">$AT$9*EXP(-'3.r(t)'!F250*$AT$23)</f>
        <v>0.97866061937929449</v>
      </c>
      <c r="O252" s="7">
        <v>1</v>
      </c>
      <c r="P252" s="7"/>
      <c r="Q252" s="7">
        <v>244</v>
      </c>
      <c r="R252" s="7">
        <f>$AU$7*EXP(-'3.r(t)'!D250*$AU$21)</f>
        <v>0.91099305977534117</v>
      </c>
      <c r="S252" s="7">
        <f ca="1">$AU$8*EXP(-'3.r(t)'!E250*$AU$22)</f>
        <v>0.93829288809037215</v>
      </c>
      <c r="T252" s="7">
        <f ca="1">$AU$9*EXP(-'3.r(t)'!F250*$AU$23)</f>
        <v>0.95733397799757447</v>
      </c>
      <c r="U252" s="7">
        <f ca="1">$AU$10*EXP(-'3.r(t)'!G250*$AU$24)</f>
        <v>0.97916872016503731</v>
      </c>
      <c r="V252" s="7">
        <v>1</v>
      </c>
      <c r="W252" s="7"/>
      <c r="X252" s="7">
        <v>244</v>
      </c>
      <c r="Y252" s="7">
        <f>$AV$7*EXP(-'3.r(t)'!D250*$AV$21)</f>
        <v>0.88900715067201674</v>
      </c>
      <c r="Z252" s="7">
        <f ca="1">$AV$8*EXP(-'3.r(t)'!E250*$AV$22)</f>
        <v>0.91775351642092595</v>
      </c>
      <c r="AA252" s="7">
        <f ca="1">$AV$9*EXP(-'3.r(t)'!F250*$AV$23)</f>
        <v>0.93605333608628616</v>
      </c>
      <c r="AB252" s="7">
        <f ca="1">$AV$10*EXP(-'3.r(t)'!G250*$AV$24)</f>
        <v>0.95833679809638106</v>
      </c>
      <c r="AC252" s="7">
        <f ca="1">$AV$11*EXP(-'3.r(t)'!H250*$AV$25)</f>
        <v>0.98294673744775252</v>
      </c>
      <c r="AD252" s="7">
        <v>1</v>
      </c>
      <c r="AE252" s="7"/>
      <c r="AF252" s="7">
        <v>244</v>
      </c>
      <c r="AG252" s="7">
        <f>$AW$7*EXP(-'3.r(t)'!D250*$AW$21)</f>
        <v>0.86718755429225491</v>
      </c>
      <c r="AH252" s="7">
        <f ca="1">$AW$8*EXP(-'3.r(t)'!E250*$AW$22)</f>
        <v>0.89728131919057541</v>
      </c>
      <c r="AI252" s="7">
        <f ca="1">$AW$9*EXP(-'3.r(t)'!F250*$AW$23)</f>
        <v>0.91485021352458296</v>
      </c>
      <c r="AJ252" s="7">
        <f ca="1">$AW$10*EXP(-'3.r(t)'!G250*$AW$24)</f>
        <v>0.93753699458016837</v>
      </c>
      <c r="AK252" s="7">
        <f ca="1">$AW$11*EXP(-'3.r(t)'!H250*$AW$25)</f>
        <v>0.96575491517819778</v>
      </c>
      <c r="AL252" s="7">
        <f ca="1">$AW$12*EXP(-'3.r(t)'!I250*$AW$26)</f>
        <v>0.98141394737507825</v>
      </c>
      <c r="AM252" s="7">
        <v>1</v>
      </c>
      <c r="AN252" s="7"/>
    </row>
    <row r="253" spans="2:40">
      <c r="B253" s="7">
        <v>245</v>
      </c>
      <c r="C253" s="7">
        <f>$AR$7*EXP(-'3.r(t)'!D251*$AR$21)</f>
        <v>0.97765346695821032</v>
      </c>
      <c r="D253" s="7">
        <v>1</v>
      </c>
      <c r="E253" s="7"/>
      <c r="F253" s="7">
        <v>245</v>
      </c>
      <c r="G253" s="48">
        <f>$AS$7*EXP(-'3.r(t)'!D251*$AS$21)</f>
        <v>0.9553476245219803</v>
      </c>
      <c r="H253" s="7">
        <f ca="1">$AS$8*EXP(-'3.r(t)'!E251*$AS$22)</f>
        <v>0.97406708292167044</v>
      </c>
      <c r="I253" s="7">
        <v>1</v>
      </c>
      <c r="J253" s="7"/>
      <c r="K253" s="7">
        <v>245</v>
      </c>
      <c r="L253" s="7">
        <f>$AT$7*EXP(-'3.r(t)'!D251*$AT$21)</f>
        <v>0.93311670519824419</v>
      </c>
      <c r="M253" s="7">
        <f ca="1">$AT$8*EXP(-'3.r(t)'!E251*$AT$22)</f>
        <v>0.94835978076490624</v>
      </c>
      <c r="N253" s="7">
        <f ca="1">$AT$9*EXP(-'3.r(t)'!F251*$AT$23)</f>
        <v>0.97436053481853968</v>
      </c>
      <c r="O253" s="7">
        <v>1</v>
      </c>
      <c r="P253" s="7"/>
      <c r="Q253" s="7">
        <v>245</v>
      </c>
      <c r="R253" s="7">
        <f>$AU$7*EXP(-'3.r(t)'!D251*$AU$21)</f>
        <v>0.91099305977534117</v>
      </c>
      <c r="S253" s="7">
        <f ca="1">$AU$8*EXP(-'3.r(t)'!E251*$AU$22)</f>
        <v>0.92290988014535824</v>
      </c>
      <c r="T253" s="7">
        <f ca="1">$AU$9*EXP(-'3.r(t)'!F251*$AU$23)</f>
        <v>0.94893970303614361</v>
      </c>
      <c r="U253" s="7">
        <f ca="1">$AU$10*EXP(-'3.r(t)'!G251*$AU$24)</f>
        <v>0.96920429850043444</v>
      </c>
      <c r="V253" s="7">
        <v>1</v>
      </c>
      <c r="W253" s="7"/>
      <c r="X253" s="7">
        <v>245</v>
      </c>
      <c r="Y253" s="7">
        <f>$AV$7*EXP(-'3.r(t)'!D251*$AV$21)</f>
        <v>0.88900715067201674</v>
      </c>
      <c r="Z253" s="7">
        <f ca="1">$AV$8*EXP(-'3.r(t)'!E251*$AV$22)</f>
        <v>0.89774683954461665</v>
      </c>
      <c r="AA253" s="7">
        <f ca="1">$AV$9*EXP(-'3.r(t)'!F251*$AV$23)</f>
        <v>0.92376884661270098</v>
      </c>
      <c r="AB253" s="7">
        <f ca="1">$AV$10*EXP(-'3.r(t)'!G251*$AV$24)</f>
        <v>0.93893118779173745</v>
      </c>
      <c r="AC253" s="7">
        <f ca="1">$AV$11*EXP(-'3.r(t)'!H251*$AV$25)</f>
        <v>0.96919789896438957</v>
      </c>
      <c r="AD253" s="7">
        <v>1</v>
      </c>
      <c r="AE253" s="7"/>
      <c r="AF253" s="7">
        <v>245</v>
      </c>
      <c r="AG253" s="7">
        <f>$AW$7*EXP(-'3.r(t)'!D251*$AW$21)</f>
        <v>0.86718755429225491</v>
      </c>
      <c r="AH253" s="7">
        <f ca="1">$AW$8*EXP(-'3.r(t)'!E251*$AW$22)</f>
        <v>0.87289782374559355</v>
      </c>
      <c r="AI253" s="7">
        <f ca="1">$AW$9*EXP(-'3.r(t)'!F251*$AW$23)</f>
        <v>0.8988770296966202</v>
      </c>
      <c r="AJ253" s="7">
        <f ca="1">$AW$10*EXP(-'3.r(t)'!G251*$AW$24)</f>
        <v>0.90920499803127552</v>
      </c>
      <c r="AK253" s="7">
        <f ca="1">$AW$11*EXP(-'3.r(t)'!H251*$AW$25)</f>
        <v>0.9389271214810162</v>
      </c>
      <c r="AL253" s="7">
        <f ca="1">$AW$12*EXP(-'3.r(t)'!I251*$AW$26)</f>
        <v>0.96629224067605335</v>
      </c>
      <c r="AM253" s="7">
        <v>1</v>
      </c>
      <c r="AN253" s="7"/>
    </row>
    <row r="254" spans="2:40">
      <c r="B254" s="7">
        <v>246</v>
      </c>
      <c r="C254" s="7">
        <f>$AR$7*EXP(-'3.r(t)'!D252*$AR$21)</f>
        <v>0.97765346695821032</v>
      </c>
      <c r="D254" s="7">
        <v>1</v>
      </c>
      <c r="E254" s="7"/>
      <c r="F254" s="7">
        <v>246</v>
      </c>
      <c r="G254" s="48">
        <f>$AS$7*EXP(-'3.r(t)'!D252*$AS$21)</f>
        <v>0.9553476245219803</v>
      </c>
      <c r="H254" s="7">
        <f ca="1">$AS$8*EXP(-'3.r(t)'!E252*$AS$22)</f>
        <v>0.97535363662680885</v>
      </c>
      <c r="I254" s="7">
        <v>1</v>
      </c>
      <c r="J254" s="7"/>
      <c r="K254" s="7">
        <v>246</v>
      </c>
      <c r="L254" s="7">
        <f>$AT$7*EXP(-'3.r(t)'!D252*$AT$21)</f>
        <v>0.93311670519824419</v>
      </c>
      <c r="M254" s="7">
        <f ca="1">$AT$8*EXP(-'3.r(t)'!E252*$AT$22)</f>
        <v>0.95086663389508141</v>
      </c>
      <c r="N254" s="7">
        <f ca="1">$AT$9*EXP(-'3.r(t)'!F252*$AT$23)</f>
        <v>0.9724235637906874</v>
      </c>
      <c r="O254" s="7">
        <v>1</v>
      </c>
      <c r="P254" s="7"/>
      <c r="Q254" s="7">
        <v>246</v>
      </c>
      <c r="R254" s="7">
        <f>$AU$7*EXP(-'3.r(t)'!D252*$AU$21)</f>
        <v>0.91099305977534117</v>
      </c>
      <c r="S254" s="7">
        <f ca="1">$AU$8*EXP(-'3.r(t)'!E252*$AU$22)</f>
        <v>0.92657166728531049</v>
      </c>
      <c r="T254" s="7">
        <f ca="1">$AU$9*EXP(-'3.r(t)'!F252*$AU$23)</f>
        <v>0.94517058131891374</v>
      </c>
      <c r="U254" s="7">
        <f ca="1">$AU$10*EXP(-'3.r(t)'!G252*$AU$24)</f>
        <v>0.97486061896791043</v>
      </c>
      <c r="V254" s="7">
        <v>1</v>
      </c>
      <c r="W254" s="7"/>
      <c r="X254" s="7">
        <v>246</v>
      </c>
      <c r="Y254" s="7">
        <f>$AV$7*EXP(-'3.r(t)'!D252*$AV$21)</f>
        <v>0.88900715067201674</v>
      </c>
      <c r="Z254" s="7">
        <f ca="1">$AV$8*EXP(-'3.r(t)'!E252*$AV$22)</f>
        <v>0.90249924255311664</v>
      </c>
      <c r="AA254" s="7">
        <f ca="1">$AV$9*EXP(-'3.r(t)'!F252*$AV$23)</f>
        <v>0.91827059805990896</v>
      </c>
      <c r="AB254" s="7">
        <f ca="1">$AV$10*EXP(-'3.r(t)'!G252*$AV$24)</f>
        <v>0.94992245767773842</v>
      </c>
      <c r="AC254" s="7">
        <f ca="1">$AV$11*EXP(-'3.r(t)'!H252*$AV$25)</f>
        <v>0.97660630399225168</v>
      </c>
      <c r="AD254" s="7">
        <v>1</v>
      </c>
      <c r="AE254" s="7"/>
      <c r="AF254" s="7">
        <v>246</v>
      </c>
      <c r="AG254" s="7">
        <f>$AW$7*EXP(-'3.r(t)'!D252*$AW$21)</f>
        <v>0.86718755429225491</v>
      </c>
      <c r="AH254" s="7">
        <f ca="1">$AW$8*EXP(-'3.r(t)'!E252*$AW$22)</f>
        <v>0.87867771549773299</v>
      </c>
      <c r="AI254" s="7">
        <f ca="1">$AW$9*EXP(-'3.r(t)'!F252*$AW$23)</f>
        <v>0.89175065797888697</v>
      </c>
      <c r="AJ254" s="7">
        <f ca="1">$AW$10*EXP(-'3.r(t)'!G252*$AW$24)</f>
        <v>0.92521656520737772</v>
      </c>
      <c r="AK254" s="7">
        <f ca="1">$AW$11*EXP(-'3.r(t)'!H252*$AW$25)</f>
        <v>0.95333602094195702</v>
      </c>
      <c r="AL254" s="7">
        <f ca="1">$AW$12*EXP(-'3.r(t)'!I252*$AW$26)</f>
        <v>0.9769518793233537</v>
      </c>
      <c r="AM254" s="7">
        <v>1</v>
      </c>
      <c r="AN254" s="7"/>
    </row>
    <row r="255" spans="2:40">
      <c r="B255" s="7">
        <v>247</v>
      </c>
      <c r="C255" s="7">
        <f>$AR$7*EXP(-'3.r(t)'!D253*$AR$21)</f>
        <v>0.97765346695821032</v>
      </c>
      <c r="D255" s="7">
        <v>1</v>
      </c>
      <c r="E255" s="7"/>
      <c r="F255" s="7">
        <v>247</v>
      </c>
      <c r="G255" s="48">
        <f>$AS$7*EXP(-'3.r(t)'!D253*$AS$21)</f>
        <v>0.9553476245219803</v>
      </c>
      <c r="H255" s="7">
        <f ca="1">$AS$8*EXP(-'3.r(t)'!E253*$AS$22)</f>
        <v>0.97705342224256719</v>
      </c>
      <c r="I255" s="7">
        <v>1</v>
      </c>
      <c r="J255" s="7"/>
      <c r="K255" s="7">
        <v>247</v>
      </c>
      <c r="L255" s="7">
        <f>$AT$7*EXP(-'3.r(t)'!D253*$AT$21)</f>
        <v>0.93311670519824419</v>
      </c>
      <c r="M255" s="7">
        <f ca="1">$AT$8*EXP(-'3.r(t)'!E253*$AT$22)</f>
        <v>0.95418374418807694</v>
      </c>
      <c r="N255" s="7">
        <f ca="1">$AT$9*EXP(-'3.r(t)'!F253*$AT$23)</f>
        <v>0.98000460157725233</v>
      </c>
      <c r="O255" s="7">
        <v>1</v>
      </c>
      <c r="P255" s="7"/>
      <c r="Q255" s="7">
        <v>247</v>
      </c>
      <c r="R255" s="7">
        <f>$AU$7*EXP(-'3.r(t)'!D253*$AU$21)</f>
        <v>0.91099305977534117</v>
      </c>
      <c r="S255" s="7">
        <f ca="1">$AU$8*EXP(-'3.r(t)'!E253*$AU$22)</f>
        <v>0.93142442886583243</v>
      </c>
      <c r="T255" s="7">
        <f ca="1">$AU$9*EXP(-'3.r(t)'!F253*$AU$23)</f>
        <v>0.95996517263542447</v>
      </c>
      <c r="U255" s="7">
        <f ca="1">$AU$10*EXP(-'3.r(t)'!G253*$AU$24)</f>
        <v>0.97715698807231666</v>
      </c>
      <c r="V255" s="7">
        <v>1</v>
      </c>
      <c r="W255" s="7"/>
      <c r="X255" s="7">
        <v>247</v>
      </c>
      <c r="Y255" s="7">
        <f>$AV$7*EXP(-'3.r(t)'!D253*$AV$21)</f>
        <v>0.88900715067201674</v>
      </c>
      <c r="Z255" s="7">
        <f ca="1">$AV$8*EXP(-'3.r(t)'!E253*$AV$22)</f>
        <v>0.90880698578840202</v>
      </c>
      <c r="AA255" s="7">
        <f ca="1">$AV$9*EXP(-'3.r(t)'!F253*$AV$23)</f>
        <v>0.93991504494108169</v>
      </c>
      <c r="AB255" s="7">
        <f ca="1">$AV$10*EXP(-'3.r(t)'!G253*$AV$24)</f>
        <v>0.95440297878499314</v>
      </c>
      <c r="AC255" s="7">
        <f ca="1">$AV$11*EXP(-'3.r(t)'!H253*$AV$25)</f>
        <v>0.97271757578757212</v>
      </c>
      <c r="AD255" s="7">
        <v>1</v>
      </c>
      <c r="AE255" s="7"/>
      <c r="AF255" s="7">
        <v>247</v>
      </c>
      <c r="AG255" s="7">
        <f>$AW$7*EXP(-'3.r(t)'!D253*$AW$21)</f>
        <v>0.86718755429225491</v>
      </c>
      <c r="AH255" s="7">
        <f ca="1">$AW$8*EXP(-'3.r(t)'!E253*$AW$22)</f>
        <v>0.88636097285945281</v>
      </c>
      <c r="AI255" s="7">
        <f ca="1">$AW$9*EXP(-'3.r(t)'!F253*$AW$23)</f>
        <v>0.91988598371266439</v>
      </c>
      <c r="AJ255" s="7">
        <f ca="1">$AW$10*EXP(-'3.r(t)'!G253*$AW$24)</f>
        <v>0.93177026343395197</v>
      </c>
      <c r="AK255" s="7">
        <f ca="1">$AW$11*EXP(-'3.r(t)'!H253*$AW$25)</f>
        <v>0.94575899892553394</v>
      </c>
      <c r="AL255" s="7">
        <f ca="1">$AW$12*EXP(-'3.r(t)'!I253*$AW$26)</f>
        <v>0.97402075114644127</v>
      </c>
      <c r="AM255" s="7">
        <v>1</v>
      </c>
      <c r="AN255" s="7"/>
    </row>
    <row r="256" spans="2:40">
      <c r="B256" s="7">
        <v>248</v>
      </c>
      <c r="C256" s="7">
        <f>$AR$7*EXP(-'3.r(t)'!D254*$AR$21)</f>
        <v>0.97765346695821032</v>
      </c>
      <c r="D256" s="7">
        <v>1</v>
      </c>
      <c r="E256" s="7"/>
      <c r="F256" s="7">
        <v>248</v>
      </c>
      <c r="G256" s="48">
        <f>$AS$7*EXP(-'3.r(t)'!D254*$AS$21)</f>
        <v>0.9553476245219803</v>
      </c>
      <c r="H256" s="7">
        <f ca="1">$AS$8*EXP(-'3.r(t)'!E254*$AS$22)</f>
        <v>0.97602319022038586</v>
      </c>
      <c r="I256" s="7">
        <v>1</v>
      </c>
      <c r="J256" s="7"/>
      <c r="K256" s="7">
        <v>248</v>
      </c>
      <c r="L256" s="7">
        <f>$AT$7*EXP(-'3.r(t)'!D254*$AT$21)</f>
        <v>0.93311670519824419</v>
      </c>
      <c r="M256" s="7">
        <f ca="1">$AT$8*EXP(-'3.r(t)'!E254*$AT$22)</f>
        <v>0.95217256985788445</v>
      </c>
      <c r="N256" s="7">
        <f ca="1">$AT$9*EXP(-'3.r(t)'!F254*$AT$23)</f>
        <v>0.97727590240719941</v>
      </c>
      <c r="O256" s="7">
        <v>1</v>
      </c>
      <c r="P256" s="7"/>
      <c r="Q256" s="7">
        <v>248</v>
      </c>
      <c r="R256" s="7">
        <f>$AU$7*EXP(-'3.r(t)'!D254*$AU$21)</f>
        <v>0.91099305977534117</v>
      </c>
      <c r="S256" s="7">
        <f ca="1">$AU$8*EXP(-'3.r(t)'!E254*$AU$22)</f>
        <v>0.92848117582874456</v>
      </c>
      <c r="T256" s="7">
        <f ca="1">$AU$9*EXP(-'3.r(t)'!F254*$AU$23)</f>
        <v>0.95462681117665071</v>
      </c>
      <c r="U256" s="7">
        <f ca="1">$AU$10*EXP(-'3.r(t)'!G254*$AU$24)</f>
        <v>0.9764282614508597</v>
      </c>
      <c r="V256" s="7">
        <v>1</v>
      </c>
      <c r="W256" s="7"/>
      <c r="X256" s="7">
        <v>248</v>
      </c>
      <c r="Y256" s="7">
        <f>$AV$7*EXP(-'3.r(t)'!D254*$AV$21)</f>
        <v>0.88900715067201674</v>
      </c>
      <c r="Z256" s="7">
        <f ca="1">$AV$8*EXP(-'3.r(t)'!E254*$AV$22)</f>
        <v>0.90497995968809086</v>
      </c>
      <c r="AA256" s="7">
        <f ca="1">$AV$9*EXP(-'3.r(t)'!F254*$AV$23)</f>
        <v>0.93208566082326516</v>
      </c>
      <c r="AB256" s="7">
        <f ca="1">$AV$10*EXP(-'3.r(t)'!G254*$AV$24)</f>
        <v>0.95297999449814919</v>
      </c>
      <c r="AC256" s="7">
        <f ca="1">$AV$11*EXP(-'3.r(t)'!H254*$AV$25)</f>
        <v>0.97618277025028577</v>
      </c>
      <c r="AD256" s="7">
        <v>1</v>
      </c>
      <c r="AE256" s="7"/>
      <c r="AF256" s="7">
        <v>248</v>
      </c>
      <c r="AG256" s="7">
        <f>$AW$7*EXP(-'3.r(t)'!D254*$AW$21)</f>
        <v>0.86718755429225491</v>
      </c>
      <c r="AH256" s="7">
        <f ca="1">$AW$8*EXP(-'3.r(t)'!E254*$AW$22)</f>
        <v>0.88169780015338828</v>
      </c>
      <c r="AI256" s="7">
        <f ca="1">$AW$9*EXP(-'3.r(t)'!F254*$AW$23)</f>
        <v>0.90968346829351288</v>
      </c>
      <c r="AJ256" s="7">
        <f ca="1">$AW$10*EXP(-'3.r(t)'!G254*$AW$24)</f>
        <v>0.92968718091976943</v>
      </c>
      <c r="AK256" s="7">
        <f ca="1">$AW$11*EXP(-'3.r(t)'!H254*$AW$25)</f>
        <v>0.9525093164299111</v>
      </c>
      <c r="AL256" s="7">
        <f ca="1">$AW$12*EXP(-'3.r(t)'!I254*$AW$26)</f>
        <v>0.97641424955834322</v>
      </c>
      <c r="AM256" s="7">
        <v>1</v>
      </c>
      <c r="AN256" s="7"/>
    </row>
    <row r="257" spans="2:40">
      <c r="B257" s="7">
        <v>249</v>
      </c>
      <c r="C257" s="7">
        <f>$AR$7*EXP(-'3.r(t)'!D255*$AR$21)</f>
        <v>0.97765346695821032</v>
      </c>
      <c r="D257" s="7">
        <v>1</v>
      </c>
      <c r="E257" s="7"/>
      <c r="F257" s="7">
        <v>249</v>
      </c>
      <c r="G257" s="48">
        <f>$AS$7*EXP(-'3.r(t)'!D255*$AS$21)</f>
        <v>0.9553476245219803</v>
      </c>
      <c r="H257" s="7">
        <f ca="1">$AS$8*EXP(-'3.r(t)'!E255*$AS$22)</f>
        <v>0.97260797049302794</v>
      </c>
      <c r="I257" s="7">
        <v>1</v>
      </c>
      <c r="J257" s="7"/>
      <c r="K257" s="7">
        <v>249</v>
      </c>
      <c r="L257" s="7">
        <f>$AT$7*EXP(-'3.r(t)'!D255*$AT$21)</f>
        <v>0.93311670519824419</v>
      </c>
      <c r="M257" s="7">
        <f ca="1">$AT$8*EXP(-'3.r(t)'!E255*$AT$22)</f>
        <v>0.9455207008765818</v>
      </c>
      <c r="N257" s="7">
        <f ca="1">$AT$9*EXP(-'3.r(t)'!F255*$AT$23)</f>
        <v>0.97010989247926838</v>
      </c>
      <c r="O257" s="7">
        <v>1</v>
      </c>
      <c r="P257" s="7"/>
      <c r="Q257" s="7">
        <v>249</v>
      </c>
      <c r="R257" s="7">
        <f>$AU$7*EXP(-'3.r(t)'!D255*$AU$21)</f>
        <v>0.91099305977534117</v>
      </c>
      <c r="S257" s="7">
        <f ca="1">$AU$8*EXP(-'3.r(t)'!E255*$AU$22)</f>
        <v>0.91876864661381208</v>
      </c>
      <c r="T257" s="7">
        <f ca="1">$AU$9*EXP(-'3.r(t)'!F255*$AU$23)</f>
        <v>0.94067827443854646</v>
      </c>
      <c r="U257" s="7">
        <f ca="1">$AU$10*EXP(-'3.r(t)'!G255*$AU$24)</f>
        <v>0.9706757166027582</v>
      </c>
      <c r="V257" s="7">
        <v>1</v>
      </c>
      <c r="W257" s="7"/>
      <c r="X257" s="7">
        <v>249</v>
      </c>
      <c r="Y257" s="7">
        <f>$AV$7*EXP(-'3.r(t)'!D255*$AV$21)</f>
        <v>0.88900715067201674</v>
      </c>
      <c r="Z257" s="7">
        <f ca="1">$AV$8*EXP(-'3.r(t)'!E255*$AV$22)</f>
        <v>0.89237976272834796</v>
      </c>
      <c r="AA257" s="7">
        <f ca="1">$AV$9*EXP(-'3.r(t)'!F255*$AV$23)</f>
        <v>0.91173170248761559</v>
      </c>
      <c r="AB257" s="7">
        <f ca="1">$AV$10*EXP(-'3.r(t)'!G255*$AV$24)</f>
        <v>0.9417842685535377</v>
      </c>
      <c r="AC257" s="7">
        <f ca="1">$AV$11*EXP(-'3.r(t)'!H255*$AV$25)</f>
        <v>0.97074350068059134</v>
      </c>
      <c r="AD257" s="7">
        <v>1</v>
      </c>
      <c r="AE257" s="7"/>
      <c r="AF257" s="7">
        <v>249</v>
      </c>
      <c r="AG257" s="7">
        <f>$AW$7*EXP(-'3.r(t)'!D255*$AW$21)</f>
        <v>0.86718755429225491</v>
      </c>
      <c r="AH257" s="7">
        <f ca="1">$AW$8*EXP(-'3.r(t)'!E255*$AW$22)</f>
        <v>0.8663795560173686</v>
      </c>
      <c r="AI257" s="7">
        <f ca="1">$AW$9*EXP(-'3.r(t)'!F255*$AW$23)</f>
        <v>0.88329398871110254</v>
      </c>
      <c r="AJ257" s="7">
        <f ca="1">$AW$10*EXP(-'3.r(t)'!G255*$AW$24)</f>
        <v>0.91335227460744273</v>
      </c>
      <c r="AK257" s="7">
        <f ca="1">$AW$11*EXP(-'3.r(t)'!H255*$AW$25)</f>
        <v>0.941924165755336</v>
      </c>
      <c r="AL257" s="7">
        <f ca="1">$AW$12*EXP(-'3.r(t)'!I255*$AW$26)</f>
        <v>0.96933557263767933</v>
      </c>
      <c r="AM257" s="7">
        <v>1</v>
      </c>
      <c r="AN257" s="7"/>
    </row>
    <row r="258" spans="2:40">
      <c r="B258" s="7">
        <v>250</v>
      </c>
      <c r="C258" s="7">
        <f>$AR$7*EXP(-'3.r(t)'!D256*$AR$21)</f>
        <v>0.97765346695821032</v>
      </c>
      <c r="D258" s="7">
        <v>1</v>
      </c>
      <c r="E258" s="7"/>
      <c r="F258" s="7">
        <v>250</v>
      </c>
      <c r="G258" s="48">
        <f>$AS$7*EXP(-'3.r(t)'!D256*$AS$21)</f>
        <v>0.9553476245219803</v>
      </c>
      <c r="H258" s="7">
        <f ca="1">$AS$8*EXP(-'3.r(t)'!E256*$AS$22)</f>
        <v>0.97584457420641912</v>
      </c>
      <c r="I258" s="7">
        <v>1</v>
      </c>
      <c r="J258" s="7"/>
      <c r="K258" s="7">
        <v>250</v>
      </c>
      <c r="L258" s="7">
        <f>$AT$7*EXP(-'3.r(t)'!D256*$AT$21)</f>
        <v>0.93311670519824419</v>
      </c>
      <c r="M258" s="7">
        <f ca="1">$AT$8*EXP(-'3.r(t)'!E256*$AT$22)</f>
        <v>0.95182409922991618</v>
      </c>
      <c r="N258" s="7">
        <f ca="1">$AT$9*EXP(-'3.r(t)'!F256*$AT$23)</f>
        <v>0.97283642946085525</v>
      </c>
      <c r="O258" s="7">
        <v>1</v>
      </c>
      <c r="P258" s="7"/>
      <c r="Q258" s="7">
        <v>250</v>
      </c>
      <c r="R258" s="7">
        <f>$AU$7*EXP(-'3.r(t)'!D256*$AU$21)</f>
        <v>0.91099305977534117</v>
      </c>
      <c r="S258" s="7">
        <f ca="1">$AU$8*EXP(-'3.r(t)'!E256*$AU$22)</f>
        <v>0.92797152218364332</v>
      </c>
      <c r="T258" s="7">
        <f ca="1">$AU$9*EXP(-'3.r(t)'!F256*$AU$23)</f>
        <v>0.94597334122813193</v>
      </c>
      <c r="U258" s="7">
        <f ca="1">$AU$10*EXP(-'3.r(t)'!G256*$AU$24)</f>
        <v>0.97362820911057368</v>
      </c>
      <c r="V258" s="7">
        <v>1</v>
      </c>
      <c r="W258" s="7"/>
      <c r="X258" s="7">
        <v>250</v>
      </c>
      <c r="Y258" s="7">
        <f>$AV$7*EXP(-'3.r(t)'!D256*$AV$21)</f>
        <v>0.88900715067201674</v>
      </c>
      <c r="Z258" s="7">
        <f ca="1">$AV$8*EXP(-'3.r(t)'!E256*$AV$22)</f>
        <v>0.90431768220140407</v>
      </c>
      <c r="AA258" s="7">
        <f ca="1">$AV$9*EXP(-'3.r(t)'!F256*$AV$23)</f>
        <v>0.9194407159228879</v>
      </c>
      <c r="AB258" s="7">
        <f ca="1">$AV$10*EXP(-'3.r(t)'!G256*$AV$24)</f>
        <v>0.94752220929843445</v>
      </c>
      <c r="AC258" s="7">
        <f ca="1">$AV$11*EXP(-'3.r(t)'!H256*$AV$25)</f>
        <v>0.97230516819963664</v>
      </c>
      <c r="AD258" s="7">
        <v>1</v>
      </c>
      <c r="AE258" s="7"/>
      <c r="AF258" s="7">
        <v>250</v>
      </c>
      <c r="AG258" s="7">
        <f>$AW$7*EXP(-'3.r(t)'!D256*$AW$21)</f>
        <v>0.86718755429225491</v>
      </c>
      <c r="AH258" s="7">
        <f ca="1">$AW$8*EXP(-'3.r(t)'!E256*$AW$22)</f>
        <v>0.88089132486746258</v>
      </c>
      <c r="AI258" s="7">
        <f ca="1">$AW$9*EXP(-'3.r(t)'!F256*$AW$23)</f>
        <v>0.89326607898776911</v>
      </c>
      <c r="AJ258" s="7">
        <f ca="1">$AW$10*EXP(-'3.r(t)'!G256*$AW$24)</f>
        <v>0.92171204842255272</v>
      </c>
      <c r="AK258" s="7">
        <f ca="1">$AW$11*EXP(-'3.r(t)'!H256*$AW$25)</f>
        <v>0.94495721326015536</v>
      </c>
      <c r="AL258" s="7">
        <f ca="1">$AW$12*EXP(-'3.r(t)'!I256*$AW$26)</f>
        <v>0.97227688103463017</v>
      </c>
      <c r="AM258" s="7">
        <v>1</v>
      </c>
      <c r="AN258" s="7"/>
    </row>
    <row r="259" spans="2:40">
      <c r="B259" s="7">
        <v>251</v>
      </c>
      <c r="C259" s="7">
        <f>$AR$7*EXP(-'3.r(t)'!D257*$AR$21)</f>
        <v>0.97765346695821032</v>
      </c>
      <c r="D259" s="7">
        <v>1</v>
      </c>
      <c r="E259" s="7"/>
      <c r="F259" s="7">
        <v>251</v>
      </c>
      <c r="G259" s="48">
        <f>$AS$7*EXP(-'3.r(t)'!D257*$AS$21)</f>
        <v>0.9553476245219803</v>
      </c>
      <c r="H259" s="7">
        <f ca="1">$AS$8*EXP(-'3.r(t)'!E257*$AS$22)</f>
        <v>0.97960438746353595</v>
      </c>
      <c r="I259" s="7">
        <v>1</v>
      </c>
      <c r="J259" s="7"/>
      <c r="K259" s="7">
        <v>251</v>
      </c>
      <c r="L259" s="7">
        <f>$AT$7*EXP(-'3.r(t)'!D257*$AT$21)</f>
        <v>0.93311670519824419</v>
      </c>
      <c r="M259" s="7">
        <f ca="1">$AT$8*EXP(-'3.r(t)'!E257*$AT$22)</f>
        <v>0.95917275920650891</v>
      </c>
      <c r="N259" s="7">
        <f ca="1">$AT$9*EXP(-'3.r(t)'!F257*$AT$23)</f>
        <v>0.98027375583476706</v>
      </c>
      <c r="O259" s="7">
        <v>1</v>
      </c>
      <c r="P259" s="7"/>
      <c r="Q259" s="7">
        <v>251</v>
      </c>
      <c r="R259" s="7">
        <f>$AU$7*EXP(-'3.r(t)'!D257*$AU$21)</f>
        <v>0.91099305977534117</v>
      </c>
      <c r="S259" s="7">
        <f ca="1">$AU$8*EXP(-'3.r(t)'!E257*$AU$22)</f>
        <v>0.93873899383700143</v>
      </c>
      <c r="T259" s="7">
        <f ca="1">$AU$9*EXP(-'3.r(t)'!F257*$AU$23)</f>
        <v>0.96049254606651535</v>
      </c>
      <c r="U259" s="7">
        <f ca="1">$AU$10*EXP(-'3.r(t)'!G257*$AU$24)</f>
        <v>0.98163243779970721</v>
      </c>
      <c r="V259" s="7">
        <v>1</v>
      </c>
      <c r="W259" s="7"/>
      <c r="X259" s="7">
        <v>251</v>
      </c>
      <c r="Y259" s="7">
        <f>$AV$7*EXP(-'3.r(t)'!D257*$AV$21)</f>
        <v>0.88900715067201674</v>
      </c>
      <c r="Z259" s="7">
        <f ca="1">$AV$8*EXP(-'3.r(t)'!E257*$AV$22)</f>
        <v>0.91833534975074327</v>
      </c>
      <c r="AA259" s="7">
        <f ca="1">$AV$9*EXP(-'3.r(t)'!F257*$AV$23)</f>
        <v>0.94068968912901041</v>
      </c>
      <c r="AB259" s="7">
        <f ca="1">$AV$10*EXP(-'3.r(t)'!G257*$AV$24)</f>
        <v>0.96316546879242415</v>
      </c>
      <c r="AC259" s="7">
        <f ca="1">$AV$11*EXP(-'3.r(t)'!H257*$AV$25)</f>
        <v>0.97837900764765329</v>
      </c>
      <c r="AD259" s="7">
        <v>1</v>
      </c>
      <c r="AE259" s="7"/>
      <c r="AF259" s="7">
        <v>251</v>
      </c>
      <c r="AG259" s="7">
        <f>$AW$7*EXP(-'3.r(t)'!D257*$AW$21)</f>
        <v>0.86718755429225491</v>
      </c>
      <c r="AH259" s="7">
        <f ca="1">$AW$8*EXP(-'3.r(t)'!E257*$AW$22)</f>
        <v>0.89799244360216923</v>
      </c>
      <c r="AI259" s="7">
        <f ca="1">$AW$9*EXP(-'3.r(t)'!F257*$AW$23)</f>
        <v>0.92089697181252117</v>
      </c>
      <c r="AJ259" s="7">
        <f ca="1">$AW$10*EXP(-'3.r(t)'!G257*$AW$24)</f>
        <v>0.94463171609660423</v>
      </c>
      <c r="AK259" s="7">
        <f ca="1">$AW$11*EXP(-'3.r(t)'!H257*$AW$25)</f>
        <v>0.95680009042900416</v>
      </c>
      <c r="AL259" s="7">
        <f ca="1">$AW$12*EXP(-'3.r(t)'!I257*$AW$26)</f>
        <v>0.97872206588644484</v>
      </c>
      <c r="AM259" s="7">
        <v>1</v>
      </c>
      <c r="AN259" s="7"/>
    </row>
    <row r="260" spans="2:40">
      <c r="B260" s="7">
        <v>252</v>
      </c>
      <c r="C260" s="7">
        <f>$AR$7*EXP(-'3.r(t)'!D258*$AR$21)</f>
        <v>0.97765346695821032</v>
      </c>
      <c r="D260" s="7">
        <v>1</v>
      </c>
      <c r="E260" s="7"/>
      <c r="F260" s="7">
        <v>252</v>
      </c>
      <c r="G260" s="48">
        <f>$AS$7*EXP(-'3.r(t)'!D258*$AS$21)</f>
        <v>0.9553476245219803</v>
      </c>
      <c r="H260" s="7">
        <f ca="1">$AS$8*EXP(-'3.r(t)'!E258*$AS$22)</f>
        <v>0.97473812605285926</v>
      </c>
      <c r="I260" s="7">
        <v>1</v>
      </c>
      <c r="J260" s="7"/>
      <c r="K260" s="7">
        <v>252</v>
      </c>
      <c r="L260" s="7">
        <f>$AT$7*EXP(-'3.r(t)'!D258*$AT$21)</f>
        <v>0.93311670519824419</v>
      </c>
      <c r="M260" s="7">
        <f ca="1">$AT$8*EXP(-'3.r(t)'!E258*$AT$22)</f>
        <v>0.94966689715411901</v>
      </c>
      <c r="N260" s="7">
        <f ca="1">$AT$9*EXP(-'3.r(t)'!F258*$AT$23)</f>
        <v>0.97334438633660492</v>
      </c>
      <c r="O260" s="7">
        <v>1</v>
      </c>
      <c r="P260" s="7"/>
      <c r="Q260" s="7">
        <v>252</v>
      </c>
      <c r="R260" s="7">
        <f>$AU$7*EXP(-'3.r(t)'!D258*$AU$21)</f>
        <v>0.91099305977534117</v>
      </c>
      <c r="S260" s="7">
        <f ca="1">$AU$8*EXP(-'3.r(t)'!E258*$AU$22)</f>
        <v>0.92481859596434379</v>
      </c>
      <c r="T260" s="7">
        <f ca="1">$AU$9*EXP(-'3.r(t)'!F258*$AU$23)</f>
        <v>0.94696146029134687</v>
      </c>
      <c r="U260" s="7">
        <f ca="1">$AU$10*EXP(-'3.r(t)'!G258*$AU$24)</f>
        <v>0.97287638798214426</v>
      </c>
      <c r="V260" s="7">
        <v>1</v>
      </c>
      <c r="W260" s="7"/>
      <c r="X260" s="7">
        <v>252</v>
      </c>
      <c r="Y260" s="7">
        <f>$AV$7*EXP(-'3.r(t)'!D258*$AV$21)</f>
        <v>0.88900715067201674</v>
      </c>
      <c r="Z260" s="7">
        <f ca="1">$AV$8*EXP(-'3.r(t)'!E258*$AV$22)</f>
        <v>0.90022325897098365</v>
      </c>
      <c r="AA260" s="7">
        <f ca="1">$AV$9*EXP(-'3.r(t)'!F258*$AV$23)</f>
        <v>0.92088169855918134</v>
      </c>
      <c r="AB260" s="7">
        <f ca="1">$AV$10*EXP(-'3.r(t)'!G258*$AV$24)</f>
        <v>0.94605944934490604</v>
      </c>
      <c r="AC260" s="7">
        <f ca="1">$AV$11*EXP(-'3.r(t)'!H258*$AV$25)</f>
        <v>0.97057077342049847</v>
      </c>
      <c r="AD260" s="7">
        <v>1</v>
      </c>
      <c r="AE260" s="7"/>
      <c r="AF260" s="7">
        <v>252</v>
      </c>
      <c r="AG260" s="7">
        <f>$AW$7*EXP(-'3.r(t)'!D258*$AW$21)</f>
        <v>0.86718755429225491</v>
      </c>
      <c r="AH260" s="7">
        <f ca="1">$AW$8*EXP(-'3.r(t)'!E258*$AW$22)</f>
        <v>0.87590870315293434</v>
      </c>
      <c r="AI260" s="7">
        <f ca="1">$AW$9*EXP(-'3.r(t)'!F258*$AW$23)</f>
        <v>0.89513318071595027</v>
      </c>
      <c r="AJ260" s="7">
        <f ca="1">$AW$10*EXP(-'3.r(t)'!G258*$AW$24)</f>
        <v>0.91957850002622488</v>
      </c>
      <c r="AK260" s="7">
        <f ca="1">$AW$11*EXP(-'3.r(t)'!H258*$AW$25)</f>
        <v>0.94158899687547482</v>
      </c>
      <c r="AL260" s="7">
        <f ca="1">$AW$12*EXP(-'3.r(t)'!I258*$AW$26)</f>
        <v>0.96913171737469939</v>
      </c>
      <c r="AM260" s="7">
        <v>1</v>
      </c>
      <c r="AN260" s="7"/>
    </row>
    <row r="261" spans="2:40">
      <c r="B261" s="7">
        <v>253</v>
      </c>
      <c r="C261" s="7">
        <f>$AR$7*EXP(-'3.r(t)'!D259*$AR$21)</f>
        <v>0.97765346695821032</v>
      </c>
      <c r="D261" s="7">
        <v>1</v>
      </c>
      <c r="E261" s="7"/>
      <c r="F261" s="7">
        <v>253</v>
      </c>
      <c r="G261" s="48">
        <f>$AS$7*EXP(-'3.r(t)'!D259*$AS$21)</f>
        <v>0.9553476245219803</v>
      </c>
      <c r="H261" s="7">
        <f ca="1">$AS$8*EXP(-'3.r(t)'!E259*$AS$22)</f>
        <v>0.97654669441638886</v>
      </c>
      <c r="I261" s="7">
        <v>1</v>
      </c>
      <c r="J261" s="7"/>
      <c r="K261" s="7">
        <v>253</v>
      </c>
      <c r="L261" s="7">
        <f>$AT$7*EXP(-'3.r(t)'!D259*$AT$21)</f>
        <v>0.93311670519824419</v>
      </c>
      <c r="M261" s="7">
        <f ca="1">$AT$8*EXP(-'3.r(t)'!E259*$AT$22)</f>
        <v>0.95319426692504505</v>
      </c>
      <c r="N261" s="7">
        <f ca="1">$AT$9*EXP(-'3.r(t)'!F259*$AT$23)</f>
        <v>0.97300807408231993</v>
      </c>
      <c r="O261" s="7">
        <v>1</v>
      </c>
      <c r="P261" s="7"/>
      <c r="Q261" s="7">
        <v>253</v>
      </c>
      <c r="R261" s="7">
        <f>$AU$7*EXP(-'3.r(t)'!D259*$AU$21)</f>
        <v>0.91099305977534117</v>
      </c>
      <c r="S261" s="7">
        <f ca="1">$AU$8*EXP(-'3.r(t)'!E259*$AU$22)</f>
        <v>0.92997599034843748</v>
      </c>
      <c r="T261" s="7">
        <f ca="1">$AU$9*EXP(-'3.r(t)'!F259*$AU$23)</f>
        <v>0.94630718061844132</v>
      </c>
      <c r="U261" s="7">
        <f ca="1">$AU$10*EXP(-'3.r(t)'!G259*$AU$24)</f>
        <v>0.97001693790831567</v>
      </c>
      <c r="V261" s="7">
        <v>1</v>
      </c>
      <c r="W261" s="7"/>
      <c r="X261" s="7">
        <v>253</v>
      </c>
      <c r="Y261" s="7">
        <f>$AV$7*EXP(-'3.r(t)'!D259*$AV$21)</f>
        <v>0.88900715067201674</v>
      </c>
      <c r="Z261" s="7">
        <f ca="1">$AV$8*EXP(-'3.r(t)'!E259*$AV$22)</f>
        <v>0.90692311886701271</v>
      </c>
      <c r="AA261" s="7">
        <f ca="1">$AV$9*EXP(-'3.r(t)'!F259*$AV$23)</f>
        <v>0.91992747267452957</v>
      </c>
      <c r="AB261" s="7">
        <f ca="1">$AV$10*EXP(-'3.r(t)'!G259*$AV$24)</f>
        <v>0.94050636108293995</v>
      </c>
      <c r="AC261" s="7">
        <f ca="1">$AV$11*EXP(-'3.r(t)'!H259*$AV$25)</f>
        <v>0.96765508270592848</v>
      </c>
      <c r="AD261" s="7">
        <v>1</v>
      </c>
      <c r="AE261" s="7"/>
      <c r="AF261" s="7">
        <v>253</v>
      </c>
      <c r="AG261" s="7">
        <f>$AW$7*EXP(-'3.r(t)'!D259*$AW$21)</f>
        <v>0.86718755429225491</v>
      </c>
      <c r="AH261" s="7">
        <f ca="1">$AW$8*EXP(-'3.r(t)'!E259*$AW$22)</f>
        <v>0.88406489506708597</v>
      </c>
      <c r="AI261" s="7">
        <f ca="1">$AW$9*EXP(-'3.r(t)'!F259*$AW$23)</f>
        <v>0.89389666763068665</v>
      </c>
      <c r="AJ261" s="7">
        <f ca="1">$AW$10*EXP(-'3.r(t)'!G259*$AW$24)</f>
        <v>0.91149391323787143</v>
      </c>
      <c r="AK261" s="7">
        <f ca="1">$AW$11*EXP(-'3.r(t)'!H259*$AW$25)</f>
        <v>0.93594024117406083</v>
      </c>
      <c r="AL261" s="7">
        <f ca="1">$AW$12*EXP(-'3.r(t)'!I259*$AW$26)</f>
        <v>0.96633503127784204</v>
      </c>
      <c r="AM261" s="7">
        <v>1</v>
      </c>
      <c r="AN261" s="7"/>
    </row>
    <row r="262" spans="2:40">
      <c r="B262" s="7">
        <v>254</v>
      </c>
      <c r="C262" s="7">
        <f>$AR$7*EXP(-'3.r(t)'!D260*$AR$21)</f>
        <v>0.97765346695821032</v>
      </c>
      <c r="D262" s="7">
        <v>1</v>
      </c>
      <c r="E262" s="7"/>
      <c r="F262" s="7">
        <v>254</v>
      </c>
      <c r="G262" s="48">
        <f>$AS$7*EXP(-'3.r(t)'!D260*$AS$21)</f>
        <v>0.9553476245219803</v>
      </c>
      <c r="H262" s="7">
        <f ca="1">$AS$8*EXP(-'3.r(t)'!E260*$AS$22)</f>
        <v>0.97992708443987009</v>
      </c>
      <c r="I262" s="7">
        <v>1</v>
      </c>
      <c r="J262" s="7"/>
      <c r="K262" s="7">
        <v>254</v>
      </c>
      <c r="L262" s="7">
        <f>$AT$7*EXP(-'3.r(t)'!D260*$AT$21)</f>
        <v>0.93311670519824419</v>
      </c>
      <c r="M262" s="7">
        <f ca="1">$AT$8*EXP(-'3.r(t)'!E260*$AT$22)</f>
        <v>0.9598047962489179</v>
      </c>
      <c r="N262" s="7">
        <f ca="1">$AT$9*EXP(-'3.r(t)'!F260*$AT$23)</f>
        <v>0.98253078387513926</v>
      </c>
      <c r="O262" s="7">
        <v>1</v>
      </c>
      <c r="P262" s="7"/>
      <c r="Q262" s="7">
        <v>254</v>
      </c>
      <c r="R262" s="7">
        <f>$AU$7*EXP(-'3.r(t)'!D260*$AU$21)</f>
        <v>0.91099305977534117</v>
      </c>
      <c r="S262" s="7">
        <f ca="1">$AU$8*EXP(-'3.r(t)'!E260*$AU$22)</f>
        <v>0.93966700530469993</v>
      </c>
      <c r="T262" s="7">
        <f ca="1">$AU$9*EXP(-'3.r(t)'!F260*$AU$23)</f>
        <v>0.9649206036076563</v>
      </c>
      <c r="U262" s="7">
        <f ca="1">$AU$10*EXP(-'3.r(t)'!G260*$AU$24)</f>
        <v>0.98444573804187252</v>
      </c>
      <c r="V262" s="7">
        <v>1</v>
      </c>
      <c r="W262" s="7"/>
      <c r="X262" s="7">
        <v>254</v>
      </c>
      <c r="Y262" s="7">
        <f>$AV$7*EXP(-'3.r(t)'!D260*$AV$21)</f>
        <v>0.88900715067201674</v>
      </c>
      <c r="Z262" s="7">
        <f ca="1">$AV$8*EXP(-'3.r(t)'!E260*$AV$22)</f>
        <v>0.91954600379480045</v>
      </c>
      <c r="AA262" s="7">
        <f ca="1">$AV$9*EXP(-'3.r(t)'!F260*$AV$23)</f>
        <v>0.94720232464857601</v>
      </c>
      <c r="AB262" s="7">
        <f ca="1">$AV$10*EXP(-'3.r(t)'!G260*$AV$24)</f>
        <v>0.96869412987562575</v>
      </c>
      <c r="AC262" s="7">
        <f ca="1">$AV$11*EXP(-'3.r(t)'!H260*$AV$25)</f>
        <v>0.97712726418486839</v>
      </c>
      <c r="AD262" s="7">
        <v>1</v>
      </c>
      <c r="AE262" s="7"/>
      <c r="AF262" s="7">
        <v>254</v>
      </c>
      <c r="AG262" s="7">
        <f>$AW$7*EXP(-'3.r(t)'!D260*$AW$21)</f>
        <v>0.86718755429225491</v>
      </c>
      <c r="AH262" s="7">
        <f ca="1">$AW$8*EXP(-'3.r(t)'!E260*$AW$22)</f>
        <v>0.89947248201705887</v>
      </c>
      <c r="AI262" s="7">
        <f ca="1">$AW$9*EXP(-'3.r(t)'!F260*$AW$23)</f>
        <v>0.92940757293703202</v>
      </c>
      <c r="AJ262" s="7">
        <f ca="1">$AW$10*EXP(-'3.r(t)'!G260*$AW$24)</f>
        <v>0.95277678997449045</v>
      </c>
      <c r="AK262" s="7">
        <f ca="1">$AW$11*EXP(-'3.r(t)'!H260*$AW$25)</f>
        <v>0.95435338603865039</v>
      </c>
      <c r="AL262" s="7">
        <f ca="1">$AW$12*EXP(-'3.r(t)'!I260*$AW$26)</f>
        <v>0.97315372617909812</v>
      </c>
      <c r="AM262" s="7">
        <v>1</v>
      </c>
      <c r="AN262" s="7"/>
    </row>
    <row r="263" spans="2:40">
      <c r="B263" s="7">
        <v>255</v>
      </c>
      <c r="C263" s="7">
        <f>$AR$7*EXP(-'3.r(t)'!D261*$AR$21)</f>
        <v>0.97765346695821032</v>
      </c>
      <c r="D263" s="7">
        <v>1</v>
      </c>
      <c r="E263" s="7"/>
      <c r="F263" s="7">
        <v>255</v>
      </c>
      <c r="G263" s="48">
        <f>$AS$7*EXP(-'3.r(t)'!D261*$AS$21)</f>
        <v>0.9553476245219803</v>
      </c>
      <c r="H263" s="7">
        <f ca="1">$AS$8*EXP(-'3.r(t)'!E261*$AS$22)</f>
        <v>0.97710346424363492</v>
      </c>
      <c r="I263" s="7">
        <v>1</v>
      </c>
      <c r="J263" s="7"/>
      <c r="K263" s="7">
        <v>255</v>
      </c>
      <c r="L263" s="7">
        <f>$AT$7*EXP(-'3.r(t)'!D261*$AT$21)</f>
        <v>0.93311670519824419</v>
      </c>
      <c r="M263" s="7">
        <f ca="1">$AT$8*EXP(-'3.r(t)'!E261*$AT$22)</f>
        <v>0.95428148804865143</v>
      </c>
      <c r="N263" s="7">
        <f ca="1">$AT$9*EXP(-'3.r(t)'!F261*$AT$23)</f>
        <v>0.97910665317822287</v>
      </c>
      <c r="O263" s="7">
        <v>1</v>
      </c>
      <c r="P263" s="7"/>
      <c r="Q263" s="7">
        <v>255</v>
      </c>
      <c r="R263" s="7">
        <f>$AU$7*EXP(-'3.r(t)'!D261*$AU$21)</f>
        <v>0.91099305977534117</v>
      </c>
      <c r="S263" s="7">
        <f ca="1">$AU$8*EXP(-'3.r(t)'!E261*$AU$22)</f>
        <v>0.93156755122280155</v>
      </c>
      <c r="T263" s="7">
        <f ca="1">$AU$9*EXP(-'3.r(t)'!F261*$AU$23)</f>
        <v>0.95820680481411014</v>
      </c>
      <c r="U263" s="7">
        <f ca="1">$AU$10*EXP(-'3.r(t)'!G261*$AU$24)</f>
        <v>0.97853620785121853</v>
      </c>
      <c r="V263" s="7">
        <v>1</v>
      </c>
      <c r="W263" s="7"/>
      <c r="X263" s="7">
        <v>255</v>
      </c>
      <c r="Y263" s="7">
        <f>$AV$7*EXP(-'3.r(t)'!D261*$AV$21)</f>
        <v>0.88900715067201674</v>
      </c>
      <c r="Z263" s="7">
        <f ca="1">$AV$8*EXP(-'3.r(t)'!E261*$AV$22)</f>
        <v>0.90899318651464689</v>
      </c>
      <c r="AA263" s="7">
        <f ca="1">$AV$9*EXP(-'3.r(t)'!F261*$AV$23)</f>
        <v>0.93733376486076792</v>
      </c>
      <c r="AB263" s="7">
        <f ca="1">$AV$10*EXP(-'3.r(t)'!G261*$AV$24)</f>
        <v>0.95709908689712631</v>
      </c>
      <c r="AC263" s="7">
        <f ca="1">$AV$11*EXP(-'3.r(t)'!H261*$AV$25)</f>
        <v>0.97377121047225301</v>
      </c>
      <c r="AD263" s="7">
        <v>1</v>
      </c>
      <c r="AE263" s="7"/>
      <c r="AF263" s="7">
        <v>255</v>
      </c>
      <c r="AG263" s="7">
        <f>$AW$7*EXP(-'3.r(t)'!D261*$AW$21)</f>
        <v>0.86718755429225491</v>
      </c>
      <c r="AH263" s="7">
        <f ca="1">$AW$8*EXP(-'3.r(t)'!E261*$AW$22)</f>
        <v>0.88658798102238834</v>
      </c>
      <c r="AI263" s="7">
        <f ca="1">$AW$9*EXP(-'3.r(t)'!F261*$AW$23)</f>
        <v>0.91651916046956072</v>
      </c>
      <c r="AJ263" s="7">
        <f ca="1">$AW$10*EXP(-'3.r(t)'!G261*$AW$24)</f>
        <v>0.93572130939066855</v>
      </c>
      <c r="AK263" s="7">
        <f ca="1">$AW$11*EXP(-'3.r(t)'!H261*$AW$25)</f>
        <v>0.9478089756068977</v>
      </c>
      <c r="AL263" s="7">
        <f ca="1">$AW$12*EXP(-'3.r(t)'!I261*$AW$26)</f>
        <v>0.97249901919725645</v>
      </c>
      <c r="AM263" s="7">
        <v>1</v>
      </c>
      <c r="AN263" s="7"/>
    </row>
    <row r="264" spans="2:40">
      <c r="B264" s="7">
        <v>256</v>
      </c>
      <c r="C264" s="7">
        <f>$AR$7*EXP(-'3.r(t)'!D262*$AR$21)</f>
        <v>0.97765346695821032</v>
      </c>
      <c r="D264" s="7">
        <v>1</v>
      </c>
      <c r="E264" s="7"/>
      <c r="F264" s="7">
        <v>256</v>
      </c>
      <c r="G264" s="48">
        <f>$AS$7*EXP(-'3.r(t)'!D262*$AS$21)</f>
        <v>0.9553476245219803</v>
      </c>
      <c r="H264" s="7">
        <f ca="1">$AS$8*EXP(-'3.r(t)'!E262*$AS$22)</f>
        <v>0.97762980532640176</v>
      </c>
      <c r="I264" s="7">
        <v>1</v>
      </c>
      <c r="J264" s="7"/>
      <c r="K264" s="7">
        <v>256</v>
      </c>
      <c r="L264" s="7">
        <f>$AT$7*EXP(-'3.r(t)'!D262*$AT$21)</f>
        <v>0.93311670519824419</v>
      </c>
      <c r="M264" s="7">
        <f ca="1">$AT$8*EXP(-'3.r(t)'!E262*$AT$22)</f>
        <v>0.95530985986845751</v>
      </c>
      <c r="N264" s="7">
        <f ca="1">$AT$9*EXP(-'3.r(t)'!F262*$AT$23)</f>
        <v>0.97768382325053838</v>
      </c>
      <c r="O264" s="7">
        <v>1</v>
      </c>
      <c r="P264" s="7"/>
      <c r="Q264" s="7">
        <v>256</v>
      </c>
      <c r="R264" s="7">
        <f>$AU$7*EXP(-'3.r(t)'!D262*$AU$21)</f>
        <v>0.91099305977534117</v>
      </c>
      <c r="S264" s="7">
        <f ca="1">$AU$8*EXP(-'3.r(t)'!E262*$AU$22)</f>
        <v>0.9330737984010592</v>
      </c>
      <c r="T264" s="7">
        <f ca="1">$AU$9*EXP(-'3.r(t)'!F262*$AU$23)</f>
        <v>0.95542391145185923</v>
      </c>
      <c r="U264" s="7">
        <f ca="1">$AU$10*EXP(-'3.r(t)'!G262*$AU$24)</f>
        <v>0.98236260754117344</v>
      </c>
      <c r="V264" s="7">
        <v>1</v>
      </c>
      <c r="W264" s="7"/>
      <c r="X264" s="7">
        <v>256</v>
      </c>
      <c r="Y264" s="7">
        <f>$AV$7*EXP(-'3.r(t)'!D262*$AV$21)</f>
        <v>0.88900715067201674</v>
      </c>
      <c r="Z264" s="7">
        <f ca="1">$AV$8*EXP(-'3.r(t)'!E262*$AV$22)</f>
        <v>0.91095337681246591</v>
      </c>
      <c r="AA264" s="7">
        <f ca="1">$AV$9*EXP(-'3.r(t)'!F262*$AV$23)</f>
        <v>0.93325332257028959</v>
      </c>
      <c r="AB264" s="7">
        <f ca="1">$AV$10*EXP(-'3.r(t)'!G262*$AV$24)</f>
        <v>0.96459886853197563</v>
      </c>
      <c r="AC264" s="7">
        <f ca="1">$AV$11*EXP(-'3.r(t)'!H262*$AV$25)</f>
        <v>0.98376799852387031</v>
      </c>
      <c r="AD264" s="7">
        <v>1</v>
      </c>
      <c r="AE264" s="7"/>
      <c r="AF264" s="7">
        <v>256</v>
      </c>
      <c r="AG264" s="7">
        <f>$AW$7*EXP(-'3.r(t)'!D262*$AW$21)</f>
        <v>0.86718755429225491</v>
      </c>
      <c r="AH264" s="7">
        <f ca="1">$AW$8*EXP(-'3.r(t)'!E262*$AW$22)</f>
        <v>0.88897846835887706</v>
      </c>
      <c r="AI264" s="7">
        <f ca="1">$AW$9*EXP(-'3.r(t)'!F262*$AW$23)</f>
        <v>0.91120324892912918</v>
      </c>
      <c r="AJ264" s="7">
        <f ca="1">$AW$10*EXP(-'3.r(t)'!G262*$AW$24)</f>
        <v>0.94674122668865579</v>
      </c>
      <c r="AK264" s="7">
        <f ca="1">$AW$11*EXP(-'3.r(t)'!H262*$AW$25)</f>
        <v>0.96736938364792657</v>
      </c>
      <c r="AL264" s="7">
        <f ca="1">$AW$12*EXP(-'3.r(t)'!I262*$AW$26)</f>
        <v>0.9821403303254288</v>
      </c>
      <c r="AM264" s="7">
        <v>1</v>
      </c>
      <c r="AN264" s="7"/>
    </row>
    <row r="265" spans="2:40">
      <c r="B265" s="7">
        <v>257</v>
      </c>
      <c r="C265" s="7">
        <f>$AR$7*EXP(-'3.r(t)'!D263*$AR$21)</f>
        <v>0.97765346695821032</v>
      </c>
      <c r="D265" s="7">
        <v>1</v>
      </c>
      <c r="E265" s="7"/>
      <c r="F265" s="7">
        <v>257</v>
      </c>
      <c r="G265" s="48">
        <f>$AS$7*EXP(-'3.r(t)'!D263*$AS$21)</f>
        <v>0.9553476245219803</v>
      </c>
      <c r="H265" s="7">
        <f ca="1">$AS$8*EXP(-'3.r(t)'!E263*$AS$22)</f>
        <v>0.97883098717371808</v>
      </c>
      <c r="I265" s="7">
        <v>1</v>
      </c>
      <c r="J265" s="7"/>
      <c r="K265" s="7">
        <v>257</v>
      </c>
      <c r="L265" s="7">
        <f>$AT$7*EXP(-'3.r(t)'!D263*$AT$21)</f>
        <v>0.93311670519824419</v>
      </c>
      <c r="M265" s="7">
        <f ca="1">$AT$8*EXP(-'3.r(t)'!E263*$AT$22)</f>
        <v>0.95765881814370069</v>
      </c>
      <c r="N265" s="7">
        <f ca="1">$AT$9*EXP(-'3.r(t)'!F263*$AT$23)</f>
        <v>0.97568667930929032</v>
      </c>
      <c r="O265" s="7">
        <v>1</v>
      </c>
      <c r="P265" s="7"/>
      <c r="Q265" s="7">
        <v>257</v>
      </c>
      <c r="R265" s="7">
        <f>$AU$7*EXP(-'3.r(t)'!D263*$AU$21)</f>
        <v>0.91099305977534117</v>
      </c>
      <c r="S265" s="7">
        <f ca="1">$AU$8*EXP(-'3.r(t)'!E263*$AU$22)</f>
        <v>0.93651733790785152</v>
      </c>
      <c r="T265" s="7">
        <f ca="1">$AU$9*EXP(-'3.r(t)'!F263*$AU$23)</f>
        <v>0.95152455228309718</v>
      </c>
      <c r="U265" s="7">
        <f ca="1">$AU$10*EXP(-'3.r(t)'!G263*$AU$24)</f>
        <v>0.97513397603016372</v>
      </c>
      <c r="V265" s="7">
        <v>1</v>
      </c>
      <c r="W265" s="7"/>
      <c r="X265" s="7">
        <v>257</v>
      </c>
      <c r="Y265" s="7">
        <f>$AV$7*EXP(-'3.r(t)'!D263*$AV$21)</f>
        <v>0.88900715067201674</v>
      </c>
      <c r="Z265" s="7">
        <f ca="1">$AV$8*EXP(-'3.r(t)'!E263*$AV$22)</f>
        <v>0.91543866953253183</v>
      </c>
      <c r="AA265" s="7">
        <f ca="1">$AV$9*EXP(-'3.r(t)'!F263*$AV$23)</f>
        <v>0.92754584400845941</v>
      </c>
      <c r="AB265" s="7">
        <f ca="1">$AV$10*EXP(-'3.r(t)'!G263*$AV$24)</f>
        <v>0.95045526085722865</v>
      </c>
      <c r="AC265" s="7">
        <f ca="1">$AV$11*EXP(-'3.r(t)'!H263*$AV$25)</f>
        <v>0.97906963143153591</v>
      </c>
      <c r="AD265" s="7">
        <v>1</v>
      </c>
      <c r="AE265" s="7"/>
      <c r="AF265" s="7">
        <v>257</v>
      </c>
      <c r="AG265" s="7">
        <f>$AW$7*EXP(-'3.r(t)'!D263*$AW$21)</f>
        <v>0.86718755429225491</v>
      </c>
      <c r="AH265" s="7">
        <f ca="1">$AW$8*EXP(-'3.r(t)'!E263*$AW$22)</f>
        <v>0.89445319929491396</v>
      </c>
      <c r="AI265" s="7">
        <f ca="1">$AW$9*EXP(-'3.r(t)'!F263*$AW$23)</f>
        <v>0.90378066284437086</v>
      </c>
      <c r="AJ265" s="7">
        <f ca="1">$AW$10*EXP(-'3.r(t)'!G263*$AW$24)</f>
        <v>0.9259950931407086</v>
      </c>
      <c r="AK265" s="7">
        <f ca="1">$AW$11*EXP(-'3.r(t)'!H263*$AW$25)</f>
        <v>0.95815135024638121</v>
      </c>
      <c r="AL265" s="7">
        <f ca="1">$AW$12*EXP(-'3.r(t)'!I263*$AW$26)</f>
        <v>0.97930145986354167</v>
      </c>
      <c r="AM265" s="7">
        <v>1</v>
      </c>
      <c r="AN265" s="7"/>
    </row>
    <row r="266" spans="2:40">
      <c r="B266" s="7">
        <v>258</v>
      </c>
      <c r="C266" s="7">
        <f>$AR$7*EXP(-'3.r(t)'!D264*$AR$21)</f>
        <v>0.97765346695821032</v>
      </c>
      <c r="D266" s="7">
        <v>1</v>
      </c>
      <c r="E266" s="7"/>
      <c r="F266" s="7">
        <v>258</v>
      </c>
      <c r="G266" s="48">
        <f>$AS$7*EXP(-'3.r(t)'!D264*$AS$21)</f>
        <v>0.9553476245219803</v>
      </c>
      <c r="H266" s="7">
        <f ca="1">$AS$8*EXP(-'3.r(t)'!E264*$AS$22)</f>
        <v>0.97703032835831316</v>
      </c>
      <c r="I266" s="7">
        <v>1</v>
      </c>
      <c r="J266" s="7"/>
      <c r="K266" s="7">
        <v>258</v>
      </c>
      <c r="L266" s="7">
        <f>$AT$7*EXP(-'3.r(t)'!D264*$AT$21)</f>
        <v>0.93311670519824419</v>
      </c>
      <c r="M266" s="7">
        <f ca="1">$AT$8*EXP(-'3.r(t)'!E264*$AT$22)</f>
        <v>0.9541386380597493</v>
      </c>
      <c r="N266" s="7">
        <f ca="1">$AT$9*EXP(-'3.r(t)'!F264*$AT$23)</f>
        <v>0.97150684956298405</v>
      </c>
      <c r="O266" s="7">
        <v>1</v>
      </c>
      <c r="P266" s="7"/>
      <c r="Q266" s="7">
        <v>258</v>
      </c>
      <c r="R266" s="7">
        <f>$AU$7*EXP(-'3.r(t)'!D264*$AU$21)</f>
        <v>0.91099305977534117</v>
      </c>
      <c r="S266" s="7">
        <f ca="1">$AU$8*EXP(-'3.r(t)'!E264*$AU$22)</f>
        <v>0.93135838426976891</v>
      </c>
      <c r="T266" s="7">
        <f ca="1">$AU$9*EXP(-'3.r(t)'!F264*$AU$23)</f>
        <v>0.94338937620372021</v>
      </c>
      <c r="U266" s="7">
        <f ca="1">$AU$10*EXP(-'3.r(t)'!G264*$AU$24)</f>
        <v>0.97302114124194505</v>
      </c>
      <c r="V266" s="7">
        <v>1</v>
      </c>
      <c r="W266" s="7"/>
      <c r="X266" s="7">
        <v>258</v>
      </c>
      <c r="Y266" s="7">
        <f>$AV$7*EXP(-'3.r(t)'!D264*$AV$21)</f>
        <v>0.88900715067201674</v>
      </c>
      <c r="Z266" s="7">
        <f ca="1">$AV$8*EXP(-'3.r(t)'!E264*$AV$22)</f>
        <v>0.9087210656585073</v>
      </c>
      <c r="AA266" s="7">
        <f ca="1">$AV$9*EXP(-'3.r(t)'!F264*$AV$23)</f>
        <v>0.9156760545812298</v>
      </c>
      <c r="AB266" s="7">
        <f ca="1">$AV$10*EXP(-'3.r(t)'!G264*$AV$24)</f>
        <v>0.94634099668003635</v>
      </c>
      <c r="AC266" s="7">
        <f ca="1">$AV$11*EXP(-'3.r(t)'!H264*$AV$25)</f>
        <v>0.97024963246648144</v>
      </c>
      <c r="AD266" s="7">
        <v>1</v>
      </c>
      <c r="AE266" s="7"/>
      <c r="AF266" s="7">
        <v>258</v>
      </c>
      <c r="AG266" s="7">
        <f>$AW$7*EXP(-'3.r(t)'!D264*$AW$21)</f>
        <v>0.86718755429225491</v>
      </c>
      <c r="AH266" s="7">
        <f ca="1">$AW$8*EXP(-'3.r(t)'!E264*$AW$22)</f>
        <v>0.88625622653941605</v>
      </c>
      <c r="AI266" s="7">
        <f ca="1">$AW$9*EXP(-'3.r(t)'!F264*$AW$23)</f>
        <v>0.888392757982013</v>
      </c>
      <c r="AJ266" s="7">
        <f ca="1">$AW$10*EXP(-'3.r(t)'!G264*$AW$24)</f>
        <v>0.91998903047102165</v>
      </c>
      <c r="AK266" s="7">
        <f ca="1">$AW$11*EXP(-'3.r(t)'!H264*$AW$25)</f>
        <v>0.9409659969437778</v>
      </c>
      <c r="AL266" s="7">
        <f ca="1">$AW$12*EXP(-'3.r(t)'!I264*$AW$26)</f>
        <v>0.97170645981261761</v>
      </c>
      <c r="AM266" s="7">
        <v>1</v>
      </c>
      <c r="AN266" s="7"/>
    </row>
    <row r="267" spans="2:40">
      <c r="B267" s="7">
        <v>259</v>
      </c>
      <c r="C267" s="7">
        <f>$AR$7*EXP(-'3.r(t)'!D265*$AR$21)</f>
        <v>0.97765346695821032</v>
      </c>
      <c r="D267" s="7">
        <v>1</v>
      </c>
      <c r="E267" s="7"/>
      <c r="F267" s="7">
        <v>259</v>
      </c>
      <c r="G267" s="48">
        <f>$AS$7*EXP(-'3.r(t)'!D265*$AS$21)</f>
        <v>0.9553476245219803</v>
      </c>
      <c r="H267" s="7">
        <f ca="1">$AS$8*EXP(-'3.r(t)'!E265*$AS$22)</f>
        <v>0.97623035393940616</v>
      </c>
      <c r="I267" s="7">
        <v>1</v>
      </c>
      <c r="J267" s="7"/>
      <c r="K267" s="7">
        <v>259</v>
      </c>
      <c r="L267" s="7">
        <f>$AT$7*EXP(-'3.r(t)'!D265*$AT$21)</f>
        <v>0.93311670519824419</v>
      </c>
      <c r="M267" s="7">
        <f ca="1">$AT$8*EXP(-'3.r(t)'!E265*$AT$22)</f>
        <v>0.95257681546748052</v>
      </c>
      <c r="N267" s="7">
        <f ca="1">$AT$9*EXP(-'3.r(t)'!F265*$AT$23)</f>
        <v>0.97599596942277123</v>
      </c>
      <c r="O267" s="7">
        <v>1</v>
      </c>
      <c r="P267" s="7"/>
      <c r="Q267" s="7">
        <v>259</v>
      </c>
      <c r="R267" s="7">
        <f>$AU$7*EXP(-'3.r(t)'!D265*$AU$21)</f>
        <v>0.91099305977534117</v>
      </c>
      <c r="S267" s="7">
        <f ca="1">$AU$8*EXP(-'3.r(t)'!E265*$AU$22)</f>
        <v>0.92907251969610372</v>
      </c>
      <c r="T267" s="7">
        <f ca="1">$AU$9*EXP(-'3.r(t)'!F265*$AU$23)</f>
        <v>0.95212790946467374</v>
      </c>
      <c r="U267" s="7">
        <f ca="1">$AU$10*EXP(-'3.r(t)'!G265*$AU$24)</f>
        <v>0.97744603593730528</v>
      </c>
      <c r="V267" s="7">
        <v>1</v>
      </c>
      <c r="W267" s="7"/>
      <c r="X267" s="7">
        <v>259</v>
      </c>
      <c r="Y267" s="7">
        <f>$AV$7*EXP(-'3.r(t)'!D265*$AV$21)</f>
        <v>0.88900715067201674</v>
      </c>
      <c r="Z267" s="7">
        <f ca="1">$AV$8*EXP(-'3.r(t)'!E265*$AV$22)</f>
        <v>0.90574854270476723</v>
      </c>
      <c r="AA267" s="7">
        <f ca="1">$AV$9*EXP(-'3.r(t)'!F265*$AV$23)</f>
        <v>0.92842821244341045</v>
      </c>
      <c r="AB267" s="7">
        <f ca="1">$AV$10*EXP(-'3.r(t)'!G265*$AV$24)</f>
        <v>0.95496769652902869</v>
      </c>
      <c r="AC267" s="7">
        <f ca="1">$AV$11*EXP(-'3.r(t)'!H265*$AV$25)</f>
        <v>0.97494847181008093</v>
      </c>
      <c r="AD267" s="7">
        <v>1</v>
      </c>
      <c r="AE267" s="7"/>
      <c r="AF267" s="7">
        <v>259</v>
      </c>
      <c r="AG267" s="7">
        <f>$AW$7*EXP(-'3.r(t)'!D265*$AW$21)</f>
        <v>0.86718755429225491</v>
      </c>
      <c r="AH267" s="7">
        <f ca="1">$AW$8*EXP(-'3.r(t)'!E265*$AW$22)</f>
        <v>0.88263391187723994</v>
      </c>
      <c r="AI267" s="7">
        <f ca="1">$AW$9*EXP(-'3.r(t)'!F265*$AW$23)</f>
        <v>0.90492719225144291</v>
      </c>
      <c r="AJ267" s="7">
        <f ca="1">$AW$10*EXP(-'3.r(t)'!G265*$AW$24)</f>
        <v>0.93259737479212124</v>
      </c>
      <c r="AK267" s="7">
        <f ca="1">$AW$11*EXP(-'3.r(t)'!H265*$AW$25)</f>
        <v>0.95010210842300369</v>
      </c>
      <c r="AL267" s="7">
        <f ca="1">$AW$12*EXP(-'3.r(t)'!I265*$AW$26)</f>
        <v>0.97488106491967064</v>
      </c>
      <c r="AM267" s="7">
        <v>1</v>
      </c>
      <c r="AN267" s="7"/>
    </row>
    <row r="268" spans="2:40">
      <c r="B268" s="7">
        <v>260</v>
      </c>
      <c r="C268" s="7">
        <f>$AR$7*EXP(-'3.r(t)'!D266*$AR$21)</f>
        <v>0.97765346695821032</v>
      </c>
      <c r="D268" s="7">
        <v>1</v>
      </c>
      <c r="E268" s="7"/>
      <c r="F268" s="7">
        <v>260</v>
      </c>
      <c r="G268" s="48">
        <f>$AS$7*EXP(-'3.r(t)'!D266*$AS$21)</f>
        <v>0.9553476245219803</v>
      </c>
      <c r="H268" s="7">
        <f ca="1">$AS$8*EXP(-'3.r(t)'!E266*$AS$22)</f>
        <v>0.97704768977115186</v>
      </c>
      <c r="I268" s="7">
        <v>1</v>
      </c>
      <c r="J268" s="7"/>
      <c r="K268" s="7">
        <v>260</v>
      </c>
      <c r="L268" s="7">
        <f>$AT$7*EXP(-'3.r(t)'!D266*$AT$21)</f>
        <v>0.93311670519824419</v>
      </c>
      <c r="M268" s="7">
        <f ca="1">$AT$8*EXP(-'3.r(t)'!E266*$AT$22)</f>
        <v>0.95417254763552839</v>
      </c>
      <c r="N268" s="7">
        <f ca="1">$AT$9*EXP(-'3.r(t)'!F266*$AT$23)</f>
        <v>0.97393633795066947</v>
      </c>
      <c r="O268" s="7">
        <v>1</v>
      </c>
      <c r="P268" s="7"/>
      <c r="Q268" s="7">
        <v>260</v>
      </c>
      <c r="R268" s="7">
        <f>$AU$7*EXP(-'3.r(t)'!D266*$AU$21)</f>
        <v>0.91099305977534117</v>
      </c>
      <c r="S268" s="7">
        <f ca="1">$AU$8*EXP(-'3.r(t)'!E266*$AU$22)</f>
        <v>0.93140803467755406</v>
      </c>
      <c r="T268" s="7">
        <f ca="1">$AU$9*EXP(-'3.r(t)'!F266*$AU$23)</f>
        <v>0.94811362354854656</v>
      </c>
      <c r="U268" s="7">
        <f ca="1">$AU$10*EXP(-'3.r(t)'!G266*$AU$24)</f>
        <v>0.9734487995044625</v>
      </c>
      <c r="V268" s="7">
        <v>1</v>
      </c>
      <c r="W268" s="7"/>
      <c r="X268" s="7">
        <v>260</v>
      </c>
      <c r="Y268" s="7">
        <f>$AV$7*EXP(-'3.r(t)'!D266*$AV$21)</f>
        <v>0.88900715067201674</v>
      </c>
      <c r="Z268" s="7">
        <f ca="1">$AV$8*EXP(-'3.r(t)'!E266*$AV$22)</f>
        <v>0.90878565772547015</v>
      </c>
      <c r="AA268" s="7">
        <f ca="1">$AV$9*EXP(-'3.r(t)'!F266*$AV$23)</f>
        <v>0.92256285787756587</v>
      </c>
      <c r="AB268" s="7">
        <f ca="1">$AV$10*EXP(-'3.r(t)'!G266*$AV$24)</f>
        <v>0.94717304331826768</v>
      </c>
      <c r="AC268" s="7">
        <f ca="1">$AV$11*EXP(-'3.r(t)'!H266*$AV$25)</f>
        <v>0.97267136640414054</v>
      </c>
      <c r="AD268" s="7">
        <v>1</v>
      </c>
      <c r="AE268" s="7"/>
      <c r="AF268" s="7">
        <v>260</v>
      </c>
      <c r="AG268" s="7">
        <f>$AW$7*EXP(-'3.r(t)'!D266*$AW$21)</f>
        <v>0.86718755429225491</v>
      </c>
      <c r="AH268" s="7">
        <f ca="1">$AW$8*EXP(-'3.r(t)'!E266*$AW$22)</f>
        <v>0.88633497131642947</v>
      </c>
      <c r="AI268" s="7">
        <f ca="1">$AW$9*EXP(-'3.r(t)'!F266*$AW$23)</f>
        <v>0.89731271392237733</v>
      </c>
      <c r="AJ268" s="7">
        <f ca="1">$AW$10*EXP(-'3.r(t)'!G266*$AW$24)</f>
        <v>0.92120261312352381</v>
      </c>
      <c r="AK268" s="7">
        <f ca="1">$AW$11*EXP(-'3.r(t)'!H266*$AW$25)</f>
        <v>0.94566914365152832</v>
      </c>
      <c r="AL268" s="7">
        <f ca="1">$AW$12*EXP(-'3.r(t)'!I266*$AW$26)</f>
        <v>0.97183761775979161</v>
      </c>
      <c r="AM268" s="7">
        <v>1</v>
      </c>
      <c r="AN268" s="7"/>
    </row>
    <row r="269" spans="2:40">
      <c r="B269" s="7">
        <v>261</v>
      </c>
      <c r="C269" s="7">
        <f>$AR$7*EXP(-'3.r(t)'!D267*$AR$21)</f>
        <v>0.97765346695821032</v>
      </c>
      <c r="D269" s="7">
        <v>1</v>
      </c>
      <c r="E269" s="7"/>
      <c r="F269" s="7">
        <v>261</v>
      </c>
      <c r="G269" s="48">
        <f>$AS$7*EXP(-'3.r(t)'!D267*$AS$21)</f>
        <v>0.9553476245219803</v>
      </c>
      <c r="H269" s="7">
        <f ca="1">$AS$8*EXP(-'3.r(t)'!E267*$AS$22)</f>
        <v>0.97362121918529698</v>
      </c>
      <c r="I269" s="7">
        <v>1</v>
      </c>
      <c r="J269" s="7"/>
      <c r="K269" s="7">
        <v>261</v>
      </c>
      <c r="L269" s="7">
        <f>$AT$7*EXP(-'3.r(t)'!D267*$AT$21)</f>
        <v>0.93311670519824419</v>
      </c>
      <c r="M269" s="7">
        <f ca="1">$AT$8*EXP(-'3.r(t)'!E267*$AT$22)</f>
        <v>0.94749178621151653</v>
      </c>
      <c r="N269" s="7">
        <f ca="1">$AT$9*EXP(-'3.r(t)'!F267*$AT$23)</f>
        <v>0.97001298334395381</v>
      </c>
      <c r="O269" s="7">
        <v>1</v>
      </c>
      <c r="P269" s="7"/>
      <c r="Q269" s="7">
        <v>261</v>
      </c>
      <c r="R269" s="7">
        <f>$AU$7*EXP(-'3.r(t)'!D267*$AU$21)</f>
        <v>0.91099305977534117</v>
      </c>
      <c r="S269" s="7">
        <f ca="1">$AU$8*EXP(-'3.r(t)'!E267*$AU$22)</f>
        <v>0.92164311814457256</v>
      </c>
      <c r="T269" s="7">
        <f ca="1">$AU$9*EXP(-'3.r(t)'!F267*$AU$23)</f>
        <v>0.94049034569838752</v>
      </c>
      <c r="U269" s="7">
        <f ca="1">$AU$10*EXP(-'3.r(t)'!G267*$AU$24)</f>
        <v>0.96584197116730697</v>
      </c>
      <c r="V269" s="7">
        <v>1</v>
      </c>
      <c r="W269" s="7"/>
      <c r="X269" s="7">
        <v>261</v>
      </c>
      <c r="Y269" s="7">
        <f>$AV$7*EXP(-'3.r(t)'!D267*$AV$21)</f>
        <v>0.88900715067201674</v>
      </c>
      <c r="Z269" s="7">
        <f ca="1">$AV$8*EXP(-'3.r(t)'!E267*$AV$22)</f>
        <v>0.8961042503500205</v>
      </c>
      <c r="AA269" s="7">
        <f ca="1">$AV$9*EXP(-'3.r(t)'!F267*$AV$23)</f>
        <v>0.91145849744454988</v>
      </c>
      <c r="AB269" s="7">
        <f ca="1">$AV$10*EXP(-'3.r(t)'!G267*$AV$24)</f>
        <v>0.93242787793494852</v>
      </c>
      <c r="AC269" s="7">
        <f ca="1">$AV$11*EXP(-'3.r(t)'!H267*$AV$25)</f>
        <v>0.96326604471043875</v>
      </c>
      <c r="AD269" s="7">
        <v>1</v>
      </c>
      <c r="AE269" s="7"/>
      <c r="AF269" s="7">
        <v>261</v>
      </c>
      <c r="AG269" s="7">
        <f>$AW$7*EXP(-'3.r(t)'!D267*$AW$21)</f>
        <v>0.86718755429225491</v>
      </c>
      <c r="AH269" s="7">
        <f ca="1">$AW$8*EXP(-'3.r(t)'!E267*$AW$22)</f>
        <v>0.87090187623457038</v>
      </c>
      <c r="AI269" s="7">
        <f ca="1">$AW$9*EXP(-'3.r(t)'!F267*$AW$23)</f>
        <v>0.88294109495428341</v>
      </c>
      <c r="AJ269" s="7">
        <f ca="1">$AW$10*EXP(-'3.r(t)'!G267*$AW$24)</f>
        <v>0.89977524715425794</v>
      </c>
      <c r="AK269" s="7">
        <f ca="1">$AW$11*EXP(-'3.r(t)'!H267*$AW$25)</f>
        <v>0.92746912122933911</v>
      </c>
      <c r="AL269" s="7">
        <f ca="1">$AW$12*EXP(-'3.r(t)'!I267*$AW$26)</f>
        <v>0.9660554525932471</v>
      </c>
      <c r="AM269" s="7">
        <v>1</v>
      </c>
      <c r="AN269" s="7"/>
    </row>
    <row r="270" spans="2:40">
      <c r="B270" s="7">
        <v>262</v>
      </c>
      <c r="C270" s="7">
        <f>$AR$7*EXP(-'3.r(t)'!D268*$AR$21)</f>
        <v>0.97765346695821032</v>
      </c>
      <c r="D270" s="7">
        <v>1</v>
      </c>
      <c r="E270" s="7"/>
      <c r="F270" s="7">
        <v>262</v>
      </c>
      <c r="G270" s="48">
        <f>$AS$7*EXP(-'3.r(t)'!D268*$AS$21)</f>
        <v>0.9553476245219803</v>
      </c>
      <c r="H270" s="7">
        <f ca="1">$AS$8*EXP(-'3.r(t)'!E268*$AS$22)</f>
        <v>0.97273266115809576</v>
      </c>
      <c r="I270" s="7">
        <v>1</v>
      </c>
      <c r="J270" s="7"/>
      <c r="K270" s="7">
        <v>262</v>
      </c>
      <c r="L270" s="7">
        <f>$AT$7*EXP(-'3.r(t)'!D268*$AT$21)</f>
        <v>0.93311670519824419</v>
      </c>
      <c r="M270" s="7">
        <f ca="1">$AT$8*EXP(-'3.r(t)'!E268*$AT$22)</f>
        <v>0.94576315244182085</v>
      </c>
      <c r="N270" s="7">
        <f ca="1">$AT$9*EXP(-'3.r(t)'!F268*$AT$23)</f>
        <v>0.97154435001572592</v>
      </c>
      <c r="O270" s="7">
        <v>1</v>
      </c>
      <c r="P270" s="7"/>
      <c r="Q270" s="7">
        <v>262</v>
      </c>
      <c r="R270" s="7">
        <f>$AU$7*EXP(-'3.r(t)'!D268*$AU$21)</f>
        <v>0.91099305977534117</v>
      </c>
      <c r="S270" s="7">
        <f ca="1">$AU$8*EXP(-'3.r(t)'!E268*$AU$22)</f>
        <v>0.91912205692341031</v>
      </c>
      <c r="T270" s="7">
        <f ca="1">$AU$9*EXP(-'3.r(t)'!F268*$AU$23)</f>
        <v>0.94346220782920398</v>
      </c>
      <c r="U270" s="7">
        <f ca="1">$AU$10*EXP(-'3.r(t)'!G268*$AU$24)</f>
        <v>0.97135310440508893</v>
      </c>
      <c r="V270" s="7">
        <v>1</v>
      </c>
      <c r="W270" s="7"/>
      <c r="X270" s="7">
        <v>262</v>
      </c>
      <c r="Y270" s="7">
        <f>$AV$7*EXP(-'3.r(t)'!D268*$AV$21)</f>
        <v>0.88900715067201674</v>
      </c>
      <c r="Z270" s="7">
        <f ca="1">$AV$8*EXP(-'3.r(t)'!E268*$AV$22)</f>
        <v>0.89283747160677329</v>
      </c>
      <c r="AA270" s="7">
        <f ca="1">$AV$9*EXP(-'3.r(t)'!F268*$AV$23)</f>
        <v>0.91578209477676165</v>
      </c>
      <c r="AB270" s="7">
        <f ca="1">$AV$10*EXP(-'3.r(t)'!G268*$AV$24)</f>
        <v>0.94309917890602235</v>
      </c>
      <c r="AC270" s="7">
        <f ca="1">$AV$11*EXP(-'3.r(t)'!H268*$AV$25)</f>
        <v>0.96678881289712282</v>
      </c>
      <c r="AD270" s="7">
        <v>1</v>
      </c>
      <c r="AE270" s="7"/>
      <c r="AF270" s="7">
        <v>262</v>
      </c>
      <c r="AG270" s="7">
        <f>$AW$7*EXP(-'3.r(t)'!D268*$AW$21)</f>
        <v>0.86718755429225491</v>
      </c>
      <c r="AH270" s="7">
        <f ca="1">$AW$8*EXP(-'3.r(t)'!E268*$AW$22)</f>
        <v>0.86693505807542193</v>
      </c>
      <c r="AI270" s="7">
        <f ca="1">$AW$9*EXP(-'3.r(t)'!F268*$AW$23)</f>
        <v>0.88852993482091025</v>
      </c>
      <c r="AJ270" s="7">
        <f ca="1">$AW$10*EXP(-'3.r(t)'!G268*$AW$24)</f>
        <v>0.91526576292203721</v>
      </c>
      <c r="AK270" s="7">
        <f ca="1">$AW$11*EXP(-'3.r(t)'!H268*$AW$25)</f>
        <v>0.93426523553597618</v>
      </c>
      <c r="AL270" s="7">
        <f ca="1">$AW$12*EXP(-'3.r(t)'!I268*$AW$26)</f>
        <v>0.96655321255552962</v>
      </c>
      <c r="AM270" s="7">
        <v>1</v>
      </c>
      <c r="AN270" s="7"/>
    </row>
    <row r="271" spans="2:40">
      <c r="B271" s="7">
        <v>263</v>
      </c>
      <c r="C271" s="7">
        <f>$AR$7*EXP(-'3.r(t)'!D269*$AR$21)</f>
        <v>0.97765346695821032</v>
      </c>
      <c r="D271" s="7">
        <v>1</v>
      </c>
      <c r="E271" s="7"/>
      <c r="F271" s="7">
        <v>263</v>
      </c>
      <c r="G271" s="48">
        <f>$AS$7*EXP(-'3.r(t)'!D269*$AS$21)</f>
        <v>0.9553476245219803</v>
      </c>
      <c r="H271" s="7">
        <f ca="1">$AS$8*EXP(-'3.r(t)'!E269*$AS$22)</f>
        <v>0.97905696908307682</v>
      </c>
      <c r="I271" s="7">
        <v>1</v>
      </c>
      <c r="J271" s="7"/>
      <c r="K271" s="7">
        <v>263</v>
      </c>
      <c r="L271" s="7">
        <f>$AT$7*EXP(-'3.r(t)'!D269*$AT$21)</f>
        <v>0.93311670519824419</v>
      </c>
      <c r="M271" s="7">
        <f ca="1">$AT$8*EXP(-'3.r(t)'!E269*$AT$22)</f>
        <v>0.95810105700349613</v>
      </c>
      <c r="N271" s="7">
        <f ca="1">$AT$9*EXP(-'3.r(t)'!F269*$AT$23)</f>
        <v>0.97656552779047412</v>
      </c>
      <c r="O271" s="7">
        <v>1</v>
      </c>
      <c r="P271" s="7"/>
      <c r="Q271" s="7">
        <v>263</v>
      </c>
      <c r="R271" s="7">
        <f>$AU$7*EXP(-'3.r(t)'!D269*$AU$21)</f>
        <v>0.91099305977534117</v>
      </c>
      <c r="S271" s="7">
        <f ca="1">$AU$8*EXP(-'3.r(t)'!E269*$AU$22)</f>
        <v>0.93716612664541699</v>
      </c>
      <c r="T271" s="7">
        <f ca="1">$AU$9*EXP(-'3.r(t)'!F269*$AU$23)</f>
        <v>0.95323949325548152</v>
      </c>
      <c r="U271" s="7">
        <f ca="1">$AU$10*EXP(-'3.r(t)'!G269*$AU$24)</f>
        <v>0.97684858605242242</v>
      </c>
      <c r="V271" s="7">
        <v>1</v>
      </c>
      <c r="W271" s="7"/>
      <c r="X271" s="7">
        <v>263</v>
      </c>
      <c r="Y271" s="7">
        <f>$AV$7*EXP(-'3.r(t)'!D269*$AV$21)</f>
        <v>0.88900715067201674</v>
      </c>
      <c r="Z271" s="7">
        <f ca="1">$AV$8*EXP(-'3.r(t)'!E269*$AV$22)</f>
        <v>0.91628434864541253</v>
      </c>
      <c r="AA271" s="7">
        <f ca="1">$AV$9*EXP(-'3.r(t)'!F269*$AV$23)</f>
        <v>0.93005455943727888</v>
      </c>
      <c r="AB271" s="7">
        <f ca="1">$AV$10*EXP(-'3.r(t)'!G269*$AV$24)</f>
        <v>0.95380063266963355</v>
      </c>
      <c r="AC271" s="7">
        <f ca="1">$AV$11*EXP(-'3.r(t)'!H269*$AV$25)</f>
        <v>0.97644641085157458</v>
      </c>
      <c r="AD271" s="7">
        <v>1</v>
      </c>
      <c r="AE271" s="7"/>
      <c r="AF271" s="7">
        <v>263</v>
      </c>
      <c r="AG271" s="7">
        <f>$AW$7*EXP(-'3.r(t)'!D269*$AW$21)</f>
        <v>0.86718755429225491</v>
      </c>
      <c r="AH271" s="7">
        <f ca="1">$AW$8*EXP(-'3.r(t)'!E269*$AW$22)</f>
        <v>0.89548618454617568</v>
      </c>
      <c r="AI271" s="7">
        <f ca="1">$AW$9*EXP(-'3.r(t)'!F269*$AW$23)</f>
        <v>0.90704138210092633</v>
      </c>
      <c r="AJ271" s="7">
        <f ca="1">$AW$10*EXP(-'3.r(t)'!G269*$AW$24)</f>
        <v>0.93088830950958779</v>
      </c>
      <c r="AK271" s="7">
        <f ca="1">$AW$11*EXP(-'3.r(t)'!H269*$AW$25)</f>
        <v>0.95302387998696836</v>
      </c>
      <c r="AL271" s="7">
        <f ca="1">$AW$12*EXP(-'3.r(t)'!I269*$AW$26)</f>
        <v>0.97398860087952588</v>
      </c>
      <c r="AM271" s="7">
        <v>1</v>
      </c>
      <c r="AN271" s="7"/>
    </row>
    <row r="272" spans="2:40">
      <c r="B272" s="7">
        <v>264</v>
      </c>
      <c r="C272" s="7">
        <f>$AR$7*EXP(-'3.r(t)'!D270*$AR$21)</f>
        <v>0.97765346695821032</v>
      </c>
      <c r="D272" s="7">
        <v>1</v>
      </c>
      <c r="E272" s="7"/>
      <c r="F272" s="7">
        <v>264</v>
      </c>
      <c r="G272" s="48">
        <f>$AS$7*EXP(-'3.r(t)'!D270*$AS$21)</f>
        <v>0.9553476245219803</v>
      </c>
      <c r="H272" s="7">
        <f ca="1">$AS$8*EXP(-'3.r(t)'!E270*$AS$22)</f>
        <v>0.97907963273785958</v>
      </c>
      <c r="I272" s="7">
        <v>1</v>
      </c>
      <c r="J272" s="7"/>
      <c r="K272" s="7">
        <v>264</v>
      </c>
      <c r="L272" s="7">
        <f>$AT$7*EXP(-'3.r(t)'!D270*$AT$21)</f>
        <v>0.93311670519824419</v>
      </c>
      <c r="M272" s="7">
        <f ca="1">$AT$8*EXP(-'3.r(t)'!E270*$AT$22)</f>
        <v>0.95814541463254577</v>
      </c>
      <c r="N272" s="7">
        <f ca="1">$AT$9*EXP(-'3.r(t)'!F270*$AT$23)</f>
        <v>0.97698409814220899</v>
      </c>
      <c r="O272" s="7">
        <v>1</v>
      </c>
      <c r="P272" s="7"/>
      <c r="Q272" s="7">
        <v>264</v>
      </c>
      <c r="R272" s="7">
        <f>$AU$7*EXP(-'3.r(t)'!D270*$AU$21)</f>
        <v>0.91099305977534117</v>
      </c>
      <c r="S272" s="7">
        <f ca="1">$AU$8*EXP(-'3.r(t)'!E270*$AU$22)</f>
        <v>0.93723120999165832</v>
      </c>
      <c r="T272" s="7">
        <f ca="1">$AU$9*EXP(-'3.r(t)'!F270*$AU$23)</f>
        <v>0.95405681331600789</v>
      </c>
      <c r="U272" s="7">
        <f ca="1">$AU$10*EXP(-'3.r(t)'!G270*$AU$24)</f>
        <v>0.97551347201634164</v>
      </c>
      <c r="V272" s="7">
        <v>1</v>
      </c>
      <c r="W272" s="7"/>
      <c r="X272" s="7">
        <v>264</v>
      </c>
      <c r="Y272" s="7">
        <f>$AV$7*EXP(-'3.r(t)'!D270*$AV$21)</f>
        <v>0.88900715067201674</v>
      </c>
      <c r="Z272" s="7">
        <f ca="1">$AV$8*EXP(-'3.r(t)'!E270*$AV$22)</f>
        <v>0.91636919385418325</v>
      </c>
      <c r="AA272" s="7">
        <f ca="1">$AV$9*EXP(-'3.r(t)'!F270*$AV$23)</f>
        <v>0.93125097729246331</v>
      </c>
      <c r="AB272" s="7">
        <f ca="1">$AV$10*EXP(-'3.r(t)'!G270*$AV$24)</f>
        <v>0.95119518819359716</v>
      </c>
      <c r="AC272" s="7">
        <f ca="1">$AV$11*EXP(-'3.r(t)'!H270*$AV$25)</f>
        <v>0.97283623995833524</v>
      </c>
      <c r="AD272" s="7">
        <v>1</v>
      </c>
      <c r="AE272" s="7"/>
      <c r="AF272" s="7">
        <v>264</v>
      </c>
      <c r="AG272" s="7">
        <f>$AW$7*EXP(-'3.r(t)'!D270*$AW$21)</f>
        <v>0.86718755429225491</v>
      </c>
      <c r="AH272" s="7">
        <f ca="1">$AW$8*EXP(-'3.r(t)'!E270*$AW$22)</f>
        <v>0.89558983494654654</v>
      </c>
      <c r="AI272" s="7">
        <f ca="1">$AW$9*EXP(-'3.r(t)'!F270*$AW$23)</f>
        <v>0.90859746730559665</v>
      </c>
      <c r="AJ272" s="7">
        <f ca="1">$AW$10*EXP(-'3.r(t)'!G270*$AW$24)</f>
        <v>0.92707663129038398</v>
      </c>
      <c r="AK272" s="7">
        <f ca="1">$AW$11*EXP(-'3.r(t)'!H270*$AW$25)</f>
        <v>0.94598976385794165</v>
      </c>
      <c r="AL272" s="7">
        <f ca="1">$AW$12*EXP(-'3.r(t)'!I270*$AW$26)</f>
        <v>0.97051184505380084</v>
      </c>
      <c r="AM272" s="7">
        <v>1</v>
      </c>
      <c r="AN272" s="7"/>
    </row>
    <row r="273" spans="2:40">
      <c r="B273" s="7">
        <v>265</v>
      </c>
      <c r="C273" s="7">
        <f>$AR$7*EXP(-'3.r(t)'!D271*$AR$21)</f>
        <v>0.97765346695821032</v>
      </c>
      <c r="D273" s="7">
        <v>1</v>
      </c>
      <c r="E273" s="7"/>
      <c r="F273" s="7">
        <v>265</v>
      </c>
      <c r="G273" s="48">
        <f>$AS$7*EXP(-'3.r(t)'!D271*$AS$21)</f>
        <v>0.9553476245219803</v>
      </c>
      <c r="H273" s="7">
        <f ca="1">$AS$8*EXP(-'3.r(t)'!E271*$AS$22)</f>
        <v>0.97433390835428624</v>
      </c>
      <c r="I273" s="7">
        <v>1</v>
      </c>
      <c r="J273" s="7"/>
      <c r="K273" s="7">
        <v>265</v>
      </c>
      <c r="L273" s="7">
        <f>$AT$7*EXP(-'3.r(t)'!D271*$AT$21)</f>
        <v>0.93311670519824419</v>
      </c>
      <c r="M273" s="7">
        <f ca="1">$AT$8*EXP(-'3.r(t)'!E271*$AT$22)</f>
        <v>0.94887941883015081</v>
      </c>
      <c r="N273" s="7">
        <f ca="1">$AT$9*EXP(-'3.r(t)'!F271*$AT$23)</f>
        <v>0.97600268786544342</v>
      </c>
      <c r="O273" s="7">
        <v>1</v>
      </c>
      <c r="P273" s="7"/>
      <c r="Q273" s="7">
        <v>265</v>
      </c>
      <c r="R273" s="7">
        <f>$AU$7*EXP(-'3.r(t)'!D271*$AU$21)</f>
        <v>0.91099305977534117</v>
      </c>
      <c r="S273" s="7">
        <f ca="1">$AU$8*EXP(-'3.r(t)'!E271*$AU$22)</f>
        <v>0.92366852386254994</v>
      </c>
      <c r="T273" s="7">
        <f ca="1">$AU$9*EXP(-'3.r(t)'!F271*$AU$23)</f>
        <v>0.95214101779502269</v>
      </c>
      <c r="U273" s="7">
        <f ca="1">$AU$10*EXP(-'3.r(t)'!G271*$AU$24)</f>
        <v>0.97391985326175201</v>
      </c>
      <c r="V273" s="7">
        <v>1</v>
      </c>
      <c r="W273" s="7"/>
      <c r="X273" s="7">
        <v>265</v>
      </c>
      <c r="Y273" s="7">
        <f>$AV$7*EXP(-'3.r(t)'!D271*$AV$21)</f>
        <v>0.88900715067201674</v>
      </c>
      <c r="Z273" s="7">
        <f ca="1">$AV$8*EXP(-'3.r(t)'!E271*$AV$22)</f>
        <v>0.89873092015762157</v>
      </c>
      <c r="AA273" s="7">
        <f ca="1">$AV$9*EXP(-'3.r(t)'!F271*$AV$23)</f>
        <v>0.92844738557994078</v>
      </c>
      <c r="AB273" s="7">
        <f ca="1">$AV$10*EXP(-'3.r(t)'!G271*$AV$24)</f>
        <v>0.94808994284540982</v>
      </c>
      <c r="AC273" s="7">
        <f ca="1">$AV$11*EXP(-'3.r(t)'!H271*$AV$25)</f>
        <v>0.97448105302922194</v>
      </c>
      <c r="AD273" s="7">
        <v>1</v>
      </c>
      <c r="AE273" s="7"/>
      <c r="AF273" s="7">
        <v>265</v>
      </c>
      <c r="AG273" s="7">
        <f>$AW$7*EXP(-'3.r(t)'!D271*$AW$21)</f>
        <v>0.86718755429225491</v>
      </c>
      <c r="AH273" s="7">
        <f ca="1">$AW$8*EXP(-'3.r(t)'!E271*$AW$22)</f>
        <v>0.87409404000695978</v>
      </c>
      <c r="AI273" s="7">
        <f ca="1">$AW$9*EXP(-'3.r(t)'!F271*$AW$23)</f>
        <v>0.90495210942090076</v>
      </c>
      <c r="AJ273" s="7">
        <f ca="1">$AW$10*EXP(-'3.r(t)'!G271*$AW$24)</f>
        <v>0.92254057553718583</v>
      </c>
      <c r="AK273" s="7">
        <f ca="1">$AW$11*EXP(-'3.r(t)'!H271*$AW$25)</f>
        <v>0.94919131338951612</v>
      </c>
      <c r="AL273" s="7">
        <f ca="1">$AW$12*EXP(-'3.r(t)'!I271*$AW$26)</f>
        <v>0.97593481529237092</v>
      </c>
      <c r="AM273" s="7">
        <v>1</v>
      </c>
      <c r="AN273" s="7"/>
    </row>
    <row r="274" spans="2:40">
      <c r="B274" s="7">
        <v>266</v>
      </c>
      <c r="C274" s="7">
        <f>$AR$7*EXP(-'3.r(t)'!D272*$AR$21)</f>
        <v>0.97765346695821032</v>
      </c>
      <c r="D274" s="7">
        <v>1</v>
      </c>
      <c r="E274" s="7"/>
      <c r="F274" s="7">
        <v>266</v>
      </c>
      <c r="G274" s="48">
        <f>$AS$7*EXP(-'3.r(t)'!D272*$AS$21)</f>
        <v>0.9553476245219803</v>
      </c>
      <c r="H274" s="7">
        <f ca="1">$AS$8*EXP(-'3.r(t)'!E272*$AS$22)</f>
        <v>0.97715176685415173</v>
      </c>
      <c r="I274" s="7">
        <v>1</v>
      </c>
      <c r="J274" s="7"/>
      <c r="K274" s="7">
        <v>266</v>
      </c>
      <c r="L274" s="7">
        <f>$AT$7*EXP(-'3.r(t)'!D272*$AT$21)</f>
        <v>0.93311670519824419</v>
      </c>
      <c r="M274" s="7">
        <f ca="1">$AT$8*EXP(-'3.r(t)'!E272*$AT$22)</f>
        <v>0.95437583921626301</v>
      </c>
      <c r="N274" s="7">
        <f ca="1">$AT$9*EXP(-'3.r(t)'!F272*$AT$23)</f>
        <v>0.97933293550423606</v>
      </c>
      <c r="O274" s="7">
        <v>1</v>
      </c>
      <c r="P274" s="7"/>
      <c r="Q274" s="7">
        <v>266</v>
      </c>
      <c r="R274" s="7">
        <f>$AU$7*EXP(-'3.r(t)'!D272*$AU$21)</f>
        <v>0.91099305977534117</v>
      </c>
      <c r="S274" s="7">
        <f ca="1">$AU$8*EXP(-'3.r(t)'!E272*$AU$22)</f>
        <v>0.93170571275028857</v>
      </c>
      <c r="T274" s="7">
        <f ca="1">$AU$9*EXP(-'3.r(t)'!F272*$AU$23)</f>
        <v>0.95864976027609972</v>
      </c>
      <c r="U274" s="7">
        <f ca="1">$AU$10*EXP(-'3.r(t)'!G272*$AU$24)</f>
        <v>0.98047849305890089</v>
      </c>
      <c r="V274" s="7">
        <v>1</v>
      </c>
      <c r="W274" s="7"/>
      <c r="X274" s="7">
        <v>266</v>
      </c>
      <c r="Y274" s="7">
        <f>$AV$7*EXP(-'3.r(t)'!D272*$AV$21)</f>
        <v>0.88900715067201674</v>
      </c>
      <c r="Z274" s="7">
        <f ca="1">$AV$8*EXP(-'3.r(t)'!E272*$AV$22)</f>
        <v>0.90917294229824996</v>
      </c>
      <c r="AA274" s="7">
        <f ca="1">$AV$9*EXP(-'3.r(t)'!F272*$AV$23)</f>
        <v>0.93798379952279309</v>
      </c>
      <c r="AB274" s="7">
        <f ca="1">$AV$10*EXP(-'3.r(t)'!G272*$AV$24)</f>
        <v>0.96090232748719884</v>
      </c>
      <c r="AC274" s="7">
        <f ca="1">$AV$11*EXP(-'3.r(t)'!H272*$AV$25)</f>
        <v>0.97930553356986938</v>
      </c>
      <c r="AD274" s="7">
        <v>1</v>
      </c>
      <c r="AE274" s="7"/>
      <c r="AF274" s="7">
        <v>266</v>
      </c>
      <c r="AG274" s="7">
        <f>$AW$7*EXP(-'3.r(t)'!D272*$AW$21)</f>
        <v>0.86718755429225491</v>
      </c>
      <c r="AH274" s="7">
        <f ca="1">$AW$8*EXP(-'3.r(t)'!E272*$AW$22)</f>
        <v>0.88680714280887607</v>
      </c>
      <c r="AI274" s="7">
        <f ca="1">$AW$9*EXP(-'3.r(t)'!F272*$AW$23)</f>
        <v>0.91736672490501003</v>
      </c>
      <c r="AJ274" s="7">
        <f ca="1">$AW$10*EXP(-'3.r(t)'!G272*$AW$24)</f>
        <v>0.94130428355421858</v>
      </c>
      <c r="AK274" s="7">
        <f ca="1">$AW$11*EXP(-'3.r(t)'!H272*$AW$25)</f>
        <v>0.95861312982881375</v>
      </c>
      <c r="AL274" s="7">
        <f ca="1">$AW$12*EXP(-'3.r(t)'!I272*$AW$26)</f>
        <v>0.97674158873560368</v>
      </c>
      <c r="AM274" s="7">
        <v>1</v>
      </c>
      <c r="AN274" s="7"/>
    </row>
    <row r="275" spans="2:40">
      <c r="B275" s="7">
        <v>267</v>
      </c>
      <c r="C275" s="7">
        <f>$AR$7*EXP(-'3.r(t)'!D273*$AR$21)</f>
        <v>0.97765346695821032</v>
      </c>
      <c r="D275" s="7">
        <v>1</v>
      </c>
      <c r="E275" s="7"/>
      <c r="F275" s="7">
        <v>267</v>
      </c>
      <c r="G275" s="48">
        <f>$AS$7*EXP(-'3.r(t)'!D273*$AS$21)</f>
        <v>0.9553476245219803</v>
      </c>
      <c r="H275" s="7">
        <f ca="1">$AS$8*EXP(-'3.r(t)'!E273*$AS$22)</f>
        <v>0.97785212335137139</v>
      </c>
      <c r="I275" s="7">
        <v>1</v>
      </c>
      <c r="J275" s="7"/>
      <c r="K275" s="7">
        <v>267</v>
      </c>
      <c r="L275" s="7">
        <f>$AT$7*EXP(-'3.r(t)'!D273*$AT$21)</f>
        <v>0.93311670519824419</v>
      </c>
      <c r="M275" s="7">
        <f ca="1">$AT$8*EXP(-'3.r(t)'!E273*$AT$22)</f>
        <v>0.95574439398058975</v>
      </c>
      <c r="N275" s="7">
        <f ca="1">$AT$9*EXP(-'3.r(t)'!F273*$AT$23)</f>
        <v>0.9759339373119067</v>
      </c>
      <c r="O275" s="7">
        <v>1</v>
      </c>
      <c r="P275" s="7"/>
      <c r="Q275" s="7">
        <v>267</v>
      </c>
      <c r="R275" s="7">
        <f>$AU$7*EXP(-'3.r(t)'!D273*$AU$21)</f>
        <v>0.91099305977534117</v>
      </c>
      <c r="S275" s="7">
        <f ca="1">$AU$8*EXP(-'3.r(t)'!E273*$AU$22)</f>
        <v>0.93371050045078019</v>
      </c>
      <c r="T275" s="7">
        <f ca="1">$AU$9*EXP(-'3.r(t)'!F273*$AU$23)</f>
        <v>0.95200688308967341</v>
      </c>
      <c r="U275" s="7">
        <f ca="1">$AU$10*EXP(-'3.r(t)'!G273*$AU$24)</f>
        <v>0.97686742187415687</v>
      </c>
      <c r="V275" s="7">
        <v>1</v>
      </c>
      <c r="W275" s="7"/>
      <c r="X275" s="7">
        <v>267</v>
      </c>
      <c r="Y275" s="7">
        <f>$AV$7*EXP(-'3.r(t)'!D273*$AV$21)</f>
        <v>0.88900715067201674</v>
      </c>
      <c r="Z275" s="7">
        <f ca="1">$AV$8*EXP(-'3.r(t)'!E273*$AV$22)</f>
        <v>0.91178228135908512</v>
      </c>
      <c r="AA275" s="7">
        <f ca="1">$AV$9*EXP(-'3.r(t)'!F273*$AV$23)</f>
        <v>0.9282511972612435</v>
      </c>
      <c r="AB275" s="7">
        <f ca="1">$AV$10*EXP(-'3.r(t)'!G273*$AV$24)</f>
        <v>0.9538374158357299</v>
      </c>
      <c r="AC275" s="7">
        <f ca="1">$AV$11*EXP(-'3.r(t)'!H273*$AV$25)</f>
        <v>0.978248782242363</v>
      </c>
      <c r="AD275" s="7">
        <v>1</v>
      </c>
      <c r="AE275" s="7"/>
      <c r="AF275" s="7">
        <v>267</v>
      </c>
      <c r="AG275" s="7">
        <f>$AW$7*EXP(-'3.r(t)'!D273*$AW$21)</f>
        <v>0.86718755429225491</v>
      </c>
      <c r="AH275" s="7">
        <f ca="1">$AW$8*EXP(-'3.r(t)'!E273*$AW$22)</f>
        <v>0.8899897194660995</v>
      </c>
      <c r="AI275" s="7">
        <f ca="1">$AW$9*EXP(-'3.r(t)'!F273*$AW$23)</f>
        <v>0.90469715362742775</v>
      </c>
      <c r="AJ275" s="7">
        <f ca="1">$AW$10*EXP(-'3.r(t)'!G273*$AW$24)</f>
        <v>0.9309421593628836</v>
      </c>
      <c r="AK275" s="7">
        <f ca="1">$AW$11*EXP(-'3.r(t)'!H273*$AW$25)</f>
        <v>0.95654540101667151</v>
      </c>
      <c r="AL275" s="7">
        <f ca="1">$AW$12*EXP(-'3.r(t)'!I273*$AW$26)</f>
        <v>0.9801794460979586</v>
      </c>
      <c r="AM275" s="7">
        <v>1</v>
      </c>
      <c r="AN275" s="7"/>
    </row>
    <row r="276" spans="2:40">
      <c r="B276" s="7">
        <v>268</v>
      </c>
      <c r="C276" s="7">
        <f>$AR$7*EXP(-'3.r(t)'!D274*$AR$21)</f>
        <v>0.97765346695821032</v>
      </c>
      <c r="D276" s="7">
        <v>1</v>
      </c>
      <c r="E276" s="7"/>
      <c r="F276" s="7">
        <v>268</v>
      </c>
      <c r="G276" s="48">
        <f>$AS$7*EXP(-'3.r(t)'!D274*$AS$21)</f>
        <v>0.9553476245219803</v>
      </c>
      <c r="H276" s="7">
        <f ca="1">$AS$8*EXP(-'3.r(t)'!E274*$AS$22)</f>
        <v>0.97572233639059625</v>
      </c>
      <c r="I276" s="7">
        <v>1</v>
      </c>
      <c r="J276" s="7"/>
      <c r="K276" s="7">
        <v>268</v>
      </c>
      <c r="L276" s="7">
        <f>$AT$7*EXP(-'3.r(t)'!D274*$AT$21)</f>
        <v>0.93311670519824419</v>
      </c>
      <c r="M276" s="7">
        <f ca="1">$AT$8*EXP(-'3.r(t)'!E274*$AT$22)</f>
        <v>0.95158565631621672</v>
      </c>
      <c r="N276" s="7">
        <f ca="1">$AT$9*EXP(-'3.r(t)'!F274*$AT$23)</f>
        <v>0.97594424340843644</v>
      </c>
      <c r="O276" s="7">
        <v>1</v>
      </c>
      <c r="P276" s="7"/>
      <c r="Q276" s="7">
        <v>268</v>
      </c>
      <c r="R276" s="7">
        <f>$AU$7*EXP(-'3.r(t)'!D274*$AU$21)</f>
        <v>0.91099305977534117</v>
      </c>
      <c r="S276" s="7">
        <f ca="1">$AU$8*EXP(-'3.r(t)'!E274*$AU$22)</f>
        <v>0.9276228426708758</v>
      </c>
      <c r="T276" s="7">
        <f ca="1">$AU$9*EXP(-'3.r(t)'!F274*$AU$23)</f>
        <v>0.95202699003803271</v>
      </c>
      <c r="U276" s="7">
        <f ca="1">$AU$10*EXP(-'3.r(t)'!G274*$AU$24)</f>
        <v>0.97305815473202628</v>
      </c>
      <c r="V276" s="7">
        <v>1</v>
      </c>
      <c r="W276" s="7"/>
      <c r="X276" s="7">
        <v>268</v>
      </c>
      <c r="Y276" s="7">
        <f>$AV$7*EXP(-'3.r(t)'!D274*$AV$21)</f>
        <v>0.88900715067201674</v>
      </c>
      <c r="Z276" s="7">
        <f ca="1">$AV$8*EXP(-'3.r(t)'!E274*$AV$22)</f>
        <v>0.90386465493605084</v>
      </c>
      <c r="AA276" s="7">
        <f ca="1">$AV$9*EXP(-'3.r(t)'!F274*$AV$23)</f>
        <v>0.92828060523786005</v>
      </c>
      <c r="AB276" s="7">
        <f ca="1">$AV$10*EXP(-'3.r(t)'!G274*$AV$24)</f>
        <v>0.94641299521701761</v>
      </c>
      <c r="AC276" s="7">
        <f ca="1">$AV$11*EXP(-'3.r(t)'!H274*$AV$25)</f>
        <v>0.9671379771427947</v>
      </c>
      <c r="AD276" s="7">
        <v>1</v>
      </c>
      <c r="AE276" s="7"/>
      <c r="AF276" s="7">
        <v>268</v>
      </c>
      <c r="AG276" s="7">
        <f>$AW$7*EXP(-'3.r(t)'!D274*$AW$21)</f>
        <v>0.86718755429225491</v>
      </c>
      <c r="AH276" s="7">
        <f ca="1">$AW$8*EXP(-'3.r(t)'!E274*$AW$22)</f>
        <v>0.88033974492622424</v>
      </c>
      <c r="AI276" s="7">
        <f ca="1">$AW$9*EXP(-'3.r(t)'!F274*$AW$23)</f>
        <v>0.90473536950878541</v>
      </c>
      <c r="AJ276" s="7">
        <f ca="1">$AW$10*EXP(-'3.r(t)'!G274*$AW$24)</f>
        <v>0.92009402294885367</v>
      </c>
      <c r="AK276" s="7">
        <f ca="1">$AW$11*EXP(-'3.r(t)'!H274*$AW$25)</f>
        <v>0.93494019353928359</v>
      </c>
      <c r="AL276" s="7">
        <f ca="1">$AW$12*EXP(-'3.r(t)'!I274*$AW$26)</f>
        <v>0.96612644890467836</v>
      </c>
      <c r="AM276" s="7">
        <v>1</v>
      </c>
      <c r="AN276" s="7"/>
    </row>
    <row r="277" spans="2:40">
      <c r="B277" s="7">
        <v>269</v>
      </c>
      <c r="C277" s="7">
        <f>$AR$7*EXP(-'3.r(t)'!D275*$AR$21)</f>
        <v>0.97765346695821032</v>
      </c>
      <c r="D277" s="7">
        <v>1</v>
      </c>
      <c r="E277" s="7"/>
      <c r="F277" s="7">
        <v>269</v>
      </c>
      <c r="G277" s="48">
        <f>$AS$7*EXP(-'3.r(t)'!D275*$AS$21)</f>
        <v>0.9553476245219803</v>
      </c>
      <c r="H277" s="7">
        <f ca="1">$AS$8*EXP(-'3.r(t)'!E275*$AS$22)</f>
        <v>0.97348116058394474</v>
      </c>
      <c r="I277" s="7">
        <v>1</v>
      </c>
      <c r="J277" s="7"/>
      <c r="K277" s="7">
        <v>269</v>
      </c>
      <c r="L277" s="7">
        <f>$AT$7*EXP(-'3.r(t)'!D275*$AT$21)</f>
        <v>0.93311670519824419</v>
      </c>
      <c r="M277" s="7">
        <f ca="1">$AT$8*EXP(-'3.r(t)'!E275*$AT$22)</f>
        <v>0.9472192062250181</v>
      </c>
      <c r="N277" s="7">
        <f ca="1">$AT$9*EXP(-'3.r(t)'!F275*$AT$23)</f>
        <v>0.97309764857970227</v>
      </c>
      <c r="O277" s="7">
        <v>1</v>
      </c>
      <c r="P277" s="7"/>
      <c r="Q277" s="7">
        <v>269</v>
      </c>
      <c r="R277" s="7">
        <f>$AU$7*EXP(-'3.r(t)'!D275*$AU$21)</f>
        <v>0.91099305977534117</v>
      </c>
      <c r="S277" s="7">
        <f ca="1">$AU$8*EXP(-'3.r(t)'!E275*$AU$22)</f>
        <v>0.92124543121481706</v>
      </c>
      <c r="T277" s="7">
        <f ca="1">$AU$9*EXP(-'3.r(t)'!F275*$AU$23)</f>
        <v>0.94648142149893666</v>
      </c>
      <c r="U277" s="7">
        <f ca="1">$AU$10*EXP(-'3.r(t)'!G275*$AU$24)</f>
        <v>0.96681147857117145</v>
      </c>
      <c r="V277" s="7">
        <v>1</v>
      </c>
      <c r="W277" s="7"/>
      <c r="X277" s="7">
        <v>269</v>
      </c>
      <c r="Y277" s="7">
        <f>$AV$7*EXP(-'3.r(t)'!D275*$AV$21)</f>
        <v>0.88900715067201674</v>
      </c>
      <c r="Z277" s="7">
        <f ca="1">$AV$8*EXP(-'3.r(t)'!E275*$AV$22)</f>
        <v>0.89558873147602092</v>
      </c>
      <c r="AA277" s="7">
        <f ca="1">$AV$9*EXP(-'3.r(t)'!F275*$AV$23)</f>
        <v>0.92018155985828465</v>
      </c>
      <c r="AB277" s="7">
        <f ca="1">$AV$10*EXP(-'3.r(t)'!G275*$AV$24)</f>
        <v>0.93430075045748162</v>
      </c>
      <c r="AC277" s="7">
        <f ca="1">$AV$11*EXP(-'3.r(t)'!H275*$AV$25)</f>
        <v>0.96531825338727817</v>
      </c>
      <c r="AD277" s="7">
        <v>1</v>
      </c>
      <c r="AE277" s="7"/>
      <c r="AF277" s="7">
        <v>269</v>
      </c>
      <c r="AG277" s="7">
        <f>$AW$7*EXP(-'3.r(t)'!D275*$AW$21)</f>
        <v>0.86718755429225491</v>
      </c>
      <c r="AH277" s="7">
        <f ca="1">$AW$8*EXP(-'3.r(t)'!E275*$AW$22)</f>
        <v>0.87027564599390961</v>
      </c>
      <c r="AI277" s="7">
        <f ca="1">$AW$9*EXP(-'3.r(t)'!F275*$AW$23)</f>
        <v>0.8942258792965021</v>
      </c>
      <c r="AJ277" s="7">
        <f ca="1">$AW$10*EXP(-'3.r(t)'!G275*$AW$24)</f>
        <v>0.90248753777425883</v>
      </c>
      <c r="AK277" s="7">
        <f ca="1">$AW$11*EXP(-'3.r(t)'!H275*$AW$25)</f>
        <v>0.93142521978322268</v>
      </c>
      <c r="AL277" s="7">
        <f ca="1">$AW$12*EXP(-'3.r(t)'!I275*$AW$26)</f>
        <v>0.96553310459485964</v>
      </c>
      <c r="AM277" s="7">
        <v>1</v>
      </c>
      <c r="AN277" s="7"/>
    </row>
    <row r="278" spans="2:40">
      <c r="B278" s="7">
        <v>270</v>
      </c>
      <c r="C278" s="7">
        <f>$AR$7*EXP(-'3.r(t)'!D276*$AR$21)</f>
        <v>0.97765346695821032</v>
      </c>
      <c r="D278" s="7">
        <v>1</v>
      </c>
      <c r="E278" s="7"/>
      <c r="F278" s="7">
        <v>270</v>
      </c>
      <c r="G278" s="48">
        <f>$AS$7*EXP(-'3.r(t)'!D276*$AS$21)</f>
        <v>0.9553476245219803</v>
      </c>
      <c r="H278" s="7">
        <f ca="1">$AS$8*EXP(-'3.r(t)'!E276*$AS$22)</f>
        <v>0.97719931177152963</v>
      </c>
      <c r="I278" s="7">
        <v>1</v>
      </c>
      <c r="J278" s="7"/>
      <c r="K278" s="7">
        <v>270</v>
      </c>
      <c r="L278" s="7">
        <f>$AT$7*EXP(-'3.r(t)'!D276*$AT$21)</f>
        <v>0.93311670519824419</v>
      </c>
      <c r="M278" s="7">
        <f ca="1">$AT$8*EXP(-'3.r(t)'!E276*$AT$22)</f>
        <v>0.9544687149104536</v>
      </c>
      <c r="N278" s="7">
        <f ca="1">$AT$9*EXP(-'3.r(t)'!F276*$AT$23)</f>
        <v>0.97685744437744015</v>
      </c>
      <c r="O278" s="7">
        <v>1</v>
      </c>
      <c r="P278" s="7"/>
      <c r="Q278" s="7">
        <v>270</v>
      </c>
      <c r="R278" s="7">
        <f>$AU$7*EXP(-'3.r(t)'!D276*$AU$21)</f>
        <v>0.91099305977534117</v>
      </c>
      <c r="S278" s="7">
        <f ca="1">$AU$8*EXP(-'3.r(t)'!E276*$AU$22)</f>
        <v>0.93184172036360835</v>
      </c>
      <c r="T278" s="7">
        <f ca="1">$AU$9*EXP(-'3.r(t)'!F276*$AU$23)</f>
        <v>0.95380946629147811</v>
      </c>
      <c r="U278" s="7">
        <f ca="1">$AU$10*EXP(-'3.r(t)'!G276*$AU$24)</f>
        <v>0.97519870023082356</v>
      </c>
      <c r="V278" s="7">
        <v>1</v>
      </c>
      <c r="W278" s="7"/>
      <c r="X278" s="7">
        <v>270</v>
      </c>
      <c r="Y278" s="7">
        <f>$AV$7*EXP(-'3.r(t)'!D276*$AV$21)</f>
        <v>0.88900715067201674</v>
      </c>
      <c r="Z278" s="7">
        <f ca="1">$AV$8*EXP(-'3.r(t)'!E276*$AV$22)</f>
        <v>0.90934990439924801</v>
      </c>
      <c r="AA278" s="7">
        <f ca="1">$AV$9*EXP(-'3.r(t)'!F276*$AV$23)</f>
        <v>0.9308888491283821</v>
      </c>
      <c r="AB278" s="7">
        <f ca="1">$AV$10*EXP(-'3.r(t)'!G276*$AV$24)</f>
        <v>0.95058143736247758</v>
      </c>
      <c r="AC278" s="7">
        <f ca="1">$AV$11*EXP(-'3.r(t)'!H276*$AV$25)</f>
        <v>0.97665246019408702</v>
      </c>
      <c r="AD278" s="7">
        <v>1</v>
      </c>
      <c r="AE278" s="7"/>
      <c r="AF278" s="7">
        <v>270</v>
      </c>
      <c r="AG278" s="7">
        <f>$AW$7*EXP(-'3.r(t)'!D276*$AW$21)</f>
        <v>0.86718755429225491</v>
      </c>
      <c r="AH278" s="7">
        <f ca="1">$AW$8*EXP(-'3.r(t)'!E276*$AW$22)</f>
        <v>0.88702290906444292</v>
      </c>
      <c r="AI278" s="7">
        <f ca="1">$AW$9*EXP(-'3.r(t)'!F276*$AW$23)</f>
        <v>0.90812640574154413</v>
      </c>
      <c r="AJ278" s="7">
        <f ca="1">$AW$10*EXP(-'3.r(t)'!G276*$AW$24)</f>
        <v>0.92617949324951077</v>
      </c>
      <c r="AK278" s="7">
        <f ca="1">$AW$11*EXP(-'3.r(t)'!H276*$AW$25)</f>
        <v>0.95342613588271885</v>
      </c>
      <c r="AL278" s="7">
        <f ca="1">$AW$12*EXP(-'3.r(t)'!I276*$AW$26)</f>
        <v>0.97648730893351365</v>
      </c>
      <c r="AM278" s="7">
        <v>1</v>
      </c>
      <c r="AN278" s="7"/>
    </row>
    <row r="279" spans="2:40">
      <c r="B279" s="7">
        <v>271</v>
      </c>
      <c r="C279" s="7">
        <f>$AR$7*EXP(-'3.r(t)'!D277*$AR$21)</f>
        <v>0.97765346695821032</v>
      </c>
      <c r="D279" s="7">
        <v>1</v>
      </c>
      <c r="E279" s="7"/>
      <c r="F279" s="7">
        <v>271</v>
      </c>
      <c r="G279" s="48">
        <f>$AS$7*EXP(-'3.r(t)'!D277*$AS$21)</f>
        <v>0.9553476245219803</v>
      </c>
      <c r="H279" s="7">
        <f ca="1">$AS$8*EXP(-'3.r(t)'!E277*$AS$22)</f>
        <v>0.97368664701834817</v>
      </c>
      <c r="I279" s="7">
        <v>1</v>
      </c>
      <c r="J279" s="7"/>
      <c r="K279" s="7">
        <v>271</v>
      </c>
      <c r="L279" s="7">
        <f>$AT$7*EXP(-'3.r(t)'!D277*$AT$21)</f>
        <v>0.93311670519824419</v>
      </c>
      <c r="M279" s="7">
        <f ca="1">$AT$8*EXP(-'3.r(t)'!E277*$AT$22)</f>
        <v>0.9476191343344661</v>
      </c>
      <c r="N279" s="7">
        <f ca="1">$AT$9*EXP(-'3.r(t)'!F277*$AT$23)</f>
        <v>0.96856351075044866</v>
      </c>
      <c r="O279" s="7">
        <v>1</v>
      </c>
      <c r="P279" s="7"/>
      <c r="Q279" s="7">
        <v>271</v>
      </c>
      <c r="R279" s="7">
        <f>$AU$7*EXP(-'3.r(t)'!D277*$AU$21)</f>
        <v>0.91099305977534117</v>
      </c>
      <c r="S279" s="7">
        <f ca="1">$AU$8*EXP(-'3.r(t)'!E277*$AU$22)</f>
        <v>0.92182893526698328</v>
      </c>
      <c r="T279" s="7">
        <f ca="1">$AU$9*EXP(-'3.r(t)'!F277*$AU$23)</f>
        <v>0.93768173078214112</v>
      </c>
      <c r="U279" s="7">
        <f ca="1">$AU$10*EXP(-'3.r(t)'!G277*$AU$24)</f>
        <v>0.96777470515464226</v>
      </c>
      <c r="V279" s="7">
        <v>1</v>
      </c>
      <c r="W279" s="7"/>
      <c r="X279" s="7">
        <v>271</v>
      </c>
      <c r="Y279" s="7">
        <f>$AV$7*EXP(-'3.r(t)'!D277*$AV$21)</f>
        <v>0.88900715067201674</v>
      </c>
      <c r="Z279" s="7">
        <f ca="1">$AV$8*EXP(-'3.r(t)'!E277*$AV$22)</f>
        <v>0.89634514924729891</v>
      </c>
      <c r="AA279" s="7">
        <f ca="1">$AV$9*EXP(-'3.r(t)'!F277*$AV$23)</f>
        <v>0.9073786728287736</v>
      </c>
      <c r="AB279" s="7">
        <f ca="1">$AV$10*EXP(-'3.r(t)'!G277*$AV$24)</f>
        <v>0.93616335064984313</v>
      </c>
      <c r="AC279" s="7">
        <f ca="1">$AV$11*EXP(-'3.r(t)'!H277*$AV$25)</f>
        <v>0.97208862406188368</v>
      </c>
      <c r="AD279" s="7">
        <v>1</v>
      </c>
      <c r="AE279" s="7"/>
      <c r="AF279" s="7">
        <v>271</v>
      </c>
      <c r="AG279" s="7">
        <f>$AW$7*EXP(-'3.r(t)'!D277*$AW$21)</f>
        <v>0.86718755429225491</v>
      </c>
      <c r="AH279" s="7">
        <f ca="1">$AW$8*EXP(-'3.r(t)'!E277*$AW$22)</f>
        <v>0.87119454077539604</v>
      </c>
      <c r="AI279" s="7">
        <f ca="1">$AW$9*EXP(-'3.r(t)'!F277*$AW$23)</f>
        <v>0.87767546149467446</v>
      </c>
      <c r="AJ279" s="7">
        <f ca="1">$AW$10*EXP(-'3.r(t)'!G277*$AW$24)</f>
        <v>0.90518764954745812</v>
      </c>
      <c r="AK279" s="7">
        <f ca="1">$AW$11*EXP(-'3.r(t)'!H277*$AW$25)</f>
        <v>0.94453635329679453</v>
      </c>
      <c r="AL279" s="7">
        <f ca="1">$AW$12*EXP(-'3.r(t)'!I277*$AW$26)</f>
        <v>0.97091785698037714</v>
      </c>
      <c r="AM279" s="7">
        <v>1</v>
      </c>
      <c r="AN279" s="7"/>
    </row>
    <row r="280" spans="2:40">
      <c r="B280" s="7">
        <v>272</v>
      </c>
      <c r="C280" s="7">
        <f>$AR$7*EXP(-'3.r(t)'!D278*$AR$21)</f>
        <v>0.97765346695821032</v>
      </c>
      <c r="D280" s="7">
        <v>1</v>
      </c>
      <c r="E280" s="7"/>
      <c r="F280" s="7">
        <v>272</v>
      </c>
      <c r="G280" s="48">
        <f>$AS$7*EXP(-'3.r(t)'!D278*$AS$21)</f>
        <v>0.9553476245219803</v>
      </c>
      <c r="H280" s="7">
        <f ca="1">$AS$8*EXP(-'3.r(t)'!E278*$AS$22)</f>
        <v>0.9775467831757334</v>
      </c>
      <c r="I280" s="7">
        <v>1</v>
      </c>
      <c r="J280" s="7"/>
      <c r="K280" s="7">
        <v>272</v>
      </c>
      <c r="L280" s="7">
        <f>$AT$7*EXP(-'3.r(t)'!D278*$AT$21)</f>
        <v>0.93311670519824419</v>
      </c>
      <c r="M280" s="7">
        <f ca="1">$AT$8*EXP(-'3.r(t)'!E278*$AT$22)</f>
        <v>0.95514761335953935</v>
      </c>
      <c r="N280" s="7">
        <f ca="1">$AT$9*EXP(-'3.r(t)'!F278*$AT$23)</f>
        <v>0.97418978599577555</v>
      </c>
      <c r="O280" s="7">
        <v>1</v>
      </c>
      <c r="P280" s="7"/>
      <c r="Q280" s="7">
        <v>272</v>
      </c>
      <c r="R280" s="7">
        <f>$AU$7*EXP(-'3.r(t)'!D278*$AU$21)</f>
        <v>0.91099305977534117</v>
      </c>
      <c r="S280" s="7">
        <f ca="1">$AU$8*EXP(-'3.r(t)'!E278*$AU$22)</f>
        <v>0.93283610347390078</v>
      </c>
      <c r="T280" s="7">
        <f ca="1">$AU$9*EXP(-'3.r(t)'!F278*$AU$23)</f>
        <v>0.94860714412366054</v>
      </c>
      <c r="U280" s="7">
        <f ca="1">$AU$10*EXP(-'3.r(t)'!G278*$AU$24)</f>
        <v>0.97769935415528197</v>
      </c>
      <c r="V280" s="7">
        <v>1</v>
      </c>
      <c r="W280" s="7"/>
      <c r="X280" s="7">
        <v>272</v>
      </c>
      <c r="Y280" s="7">
        <f>$AV$7*EXP(-'3.r(t)'!D278*$AV$21)</f>
        <v>0.88900715067201674</v>
      </c>
      <c r="Z280" s="7">
        <f ca="1">$AV$8*EXP(-'3.r(t)'!E278*$AV$22)</f>
        <v>0.91064397677264952</v>
      </c>
      <c r="AA280" s="7">
        <f ca="1">$AV$9*EXP(-'3.r(t)'!F278*$AV$23)</f>
        <v>0.92328328260110692</v>
      </c>
      <c r="AB280" s="7">
        <f ca="1">$AV$10*EXP(-'3.r(t)'!G278*$AV$24)</f>
        <v>0.95546274598120084</v>
      </c>
      <c r="AC280" s="7">
        <f ca="1">$AV$11*EXP(-'3.r(t)'!H278*$AV$25)</f>
        <v>0.97094881092941376</v>
      </c>
      <c r="AD280" s="7">
        <v>1</v>
      </c>
      <c r="AE280" s="7"/>
      <c r="AF280" s="7">
        <v>272</v>
      </c>
      <c r="AG280" s="7">
        <f>$AW$7*EXP(-'3.r(t)'!D278*$AW$21)</f>
        <v>0.86718755429225491</v>
      </c>
      <c r="AH280" s="7">
        <f ca="1">$AW$8*EXP(-'3.r(t)'!E278*$AW$22)</f>
        <v>0.88860106389707361</v>
      </c>
      <c r="AI280" s="7">
        <f ca="1">$AW$9*EXP(-'3.r(t)'!F278*$AW$23)</f>
        <v>0.89824711151300807</v>
      </c>
      <c r="AJ280" s="7">
        <f ca="1">$AW$10*EXP(-'3.r(t)'!G278*$AW$24)</f>
        <v>0.93332264798606346</v>
      </c>
      <c r="AK280" s="7">
        <f ca="1">$AW$11*EXP(-'3.r(t)'!H278*$AW$25)</f>
        <v>0.94232263792671855</v>
      </c>
      <c r="AL280" s="7">
        <f ca="1">$AW$12*EXP(-'3.r(t)'!I278*$AW$26)</f>
        <v>0.97486976217204591</v>
      </c>
      <c r="AM280" s="7">
        <v>1</v>
      </c>
      <c r="AN280" s="7"/>
    </row>
    <row r="281" spans="2:40">
      <c r="B281" s="7">
        <v>273</v>
      </c>
      <c r="C281" s="7">
        <f>$AR$7*EXP(-'3.r(t)'!D279*$AR$21)</f>
        <v>0.97765346695821032</v>
      </c>
      <c r="D281" s="7">
        <v>1</v>
      </c>
      <c r="E281" s="7"/>
      <c r="F281" s="7">
        <v>273</v>
      </c>
      <c r="G281" s="48">
        <f>$AS$7*EXP(-'3.r(t)'!D279*$AS$21)</f>
        <v>0.9553476245219803</v>
      </c>
      <c r="H281" s="7">
        <f ca="1">$AS$8*EXP(-'3.r(t)'!E279*$AS$22)</f>
        <v>0.97623973192651536</v>
      </c>
      <c r="I281" s="7">
        <v>1</v>
      </c>
      <c r="J281" s="7"/>
      <c r="K281" s="7">
        <v>273</v>
      </c>
      <c r="L281" s="7">
        <f>$AT$7*EXP(-'3.r(t)'!D279*$AT$21)</f>
        <v>0.93311670519824419</v>
      </c>
      <c r="M281" s="7">
        <f ca="1">$AT$8*EXP(-'3.r(t)'!E279*$AT$22)</f>
        <v>0.95259511708239697</v>
      </c>
      <c r="N281" s="7">
        <f ca="1">$AT$9*EXP(-'3.r(t)'!F279*$AT$23)</f>
        <v>0.97653670695447237</v>
      </c>
      <c r="O281" s="7">
        <v>1</v>
      </c>
      <c r="P281" s="7"/>
      <c r="Q281" s="7">
        <v>273</v>
      </c>
      <c r="R281" s="7">
        <f>$AU$7*EXP(-'3.r(t)'!D279*$AU$21)</f>
        <v>0.91099305977534117</v>
      </c>
      <c r="S281" s="7">
        <f ca="1">$AU$8*EXP(-'3.r(t)'!E279*$AU$22)</f>
        <v>0.92909929487404175</v>
      </c>
      <c r="T281" s="7">
        <f ca="1">$AU$9*EXP(-'3.r(t)'!F279*$AU$23)</f>
        <v>0.95318322923033705</v>
      </c>
      <c r="U281" s="7">
        <f ca="1">$AU$10*EXP(-'3.r(t)'!G279*$AU$24)</f>
        <v>0.97416641966102446</v>
      </c>
      <c r="V281" s="7">
        <v>1</v>
      </c>
      <c r="W281" s="7"/>
      <c r="X281" s="7">
        <v>273</v>
      </c>
      <c r="Y281" s="7">
        <f>$AV$7*EXP(-'3.r(t)'!D279*$AV$21)</f>
        <v>0.88900715067201674</v>
      </c>
      <c r="Z281" s="7">
        <f ca="1">$AV$8*EXP(-'3.r(t)'!E279*$AV$22)</f>
        <v>0.90578334686966455</v>
      </c>
      <c r="AA281" s="7">
        <f ca="1">$AV$9*EXP(-'3.r(t)'!F279*$AV$23)</f>
        <v>0.9299722173165641</v>
      </c>
      <c r="AB281" s="7">
        <f ca="1">$AV$10*EXP(-'3.r(t)'!G279*$AV$24)</f>
        <v>0.94857005774175451</v>
      </c>
      <c r="AC281" s="7">
        <f ca="1">$AV$11*EXP(-'3.r(t)'!H279*$AV$25)</f>
        <v>0.97282598064519687</v>
      </c>
      <c r="AD281" s="7">
        <v>1</v>
      </c>
      <c r="AE281" s="7"/>
      <c r="AF281" s="7">
        <v>273</v>
      </c>
      <c r="AG281" s="7">
        <f>$AW$7*EXP(-'3.r(t)'!D279*$AW$21)</f>
        <v>0.86718755429225491</v>
      </c>
      <c r="AH281" s="7">
        <f ca="1">$AW$8*EXP(-'3.r(t)'!E279*$AW$22)</f>
        <v>0.88267630703758959</v>
      </c>
      <c r="AI281" s="7">
        <f ca="1">$AW$9*EXP(-'3.r(t)'!F279*$AW$23)</f>
        <v>0.90693431080692144</v>
      </c>
      <c r="AJ281" s="7">
        <f ca="1">$AW$10*EXP(-'3.r(t)'!G279*$AW$24)</f>
        <v>0.92324142920517072</v>
      </c>
      <c r="AK281" s="7">
        <f ca="1">$AW$11*EXP(-'3.r(t)'!H279*$AW$25)</f>
        <v>0.94596981157072191</v>
      </c>
      <c r="AL281" s="7">
        <f ca="1">$AW$12*EXP(-'3.r(t)'!I279*$AW$26)</f>
        <v>0.97037285498177606</v>
      </c>
      <c r="AM281" s="7">
        <v>1</v>
      </c>
      <c r="AN281" s="7"/>
    </row>
    <row r="282" spans="2:40">
      <c r="B282" s="7">
        <v>274</v>
      </c>
      <c r="C282" s="7">
        <f>$AR$7*EXP(-'3.r(t)'!D280*$AR$21)</f>
        <v>0.97765346695821032</v>
      </c>
      <c r="D282" s="7">
        <v>1</v>
      </c>
      <c r="E282" s="7"/>
      <c r="F282" s="7">
        <v>274</v>
      </c>
      <c r="G282" s="48">
        <f>$AS$7*EXP(-'3.r(t)'!D280*$AS$21)</f>
        <v>0.9553476245219803</v>
      </c>
      <c r="H282" s="7">
        <f ca="1">$AS$8*EXP(-'3.r(t)'!E280*$AS$22)</f>
        <v>0.9775315750942154</v>
      </c>
      <c r="I282" s="7">
        <v>1</v>
      </c>
      <c r="J282" s="7"/>
      <c r="K282" s="7">
        <v>274</v>
      </c>
      <c r="L282" s="7">
        <f>$AT$7*EXP(-'3.r(t)'!D280*$AT$21)</f>
        <v>0.93311670519824419</v>
      </c>
      <c r="M282" s="7">
        <f ca="1">$AT$8*EXP(-'3.r(t)'!E280*$AT$22)</f>
        <v>0.95511789437314865</v>
      </c>
      <c r="N282" s="7">
        <f ca="1">$AT$9*EXP(-'3.r(t)'!F280*$AT$23)</f>
        <v>0.97743864325573204</v>
      </c>
      <c r="O282" s="7">
        <v>1</v>
      </c>
      <c r="P282" s="7"/>
      <c r="Q282" s="7">
        <v>274</v>
      </c>
      <c r="R282" s="7">
        <f>$AU$7*EXP(-'3.r(t)'!D280*$AU$21)</f>
        <v>0.91099305977534117</v>
      </c>
      <c r="S282" s="7">
        <f ca="1">$AU$8*EXP(-'3.r(t)'!E280*$AU$22)</f>
        <v>0.93279256665179888</v>
      </c>
      <c r="T282" s="7">
        <f ca="1">$AU$9*EXP(-'3.r(t)'!F280*$AU$23)</f>
        <v>0.95494477606720463</v>
      </c>
      <c r="U282" s="7">
        <f ca="1">$AU$10*EXP(-'3.r(t)'!G280*$AU$24)</f>
        <v>0.97504423078409619</v>
      </c>
      <c r="V282" s="7">
        <v>1</v>
      </c>
      <c r="W282" s="7"/>
      <c r="X282" s="7">
        <v>274</v>
      </c>
      <c r="Y282" s="7">
        <f>$AV$7*EXP(-'3.r(t)'!D280*$AV$21)</f>
        <v>0.88900715067201674</v>
      </c>
      <c r="Z282" s="7">
        <f ca="1">$AV$8*EXP(-'3.r(t)'!E280*$AV$22)</f>
        <v>0.9105873091025618</v>
      </c>
      <c r="AA282" s="7">
        <f ca="1">$AV$9*EXP(-'3.r(t)'!F280*$AV$23)</f>
        <v>0.93255138500295276</v>
      </c>
      <c r="AB282" s="7">
        <f ca="1">$AV$10*EXP(-'3.r(t)'!G280*$AV$24)</f>
        <v>0.95028032096553816</v>
      </c>
      <c r="AC282" s="7">
        <f ca="1">$AV$11*EXP(-'3.r(t)'!H280*$AV$25)</f>
        <v>0.97468594630930727</v>
      </c>
      <c r="AD282" s="7">
        <v>1</v>
      </c>
      <c r="AE282" s="7"/>
      <c r="AF282" s="7">
        <v>274</v>
      </c>
      <c r="AG282" s="7">
        <f>$AW$7*EXP(-'3.r(t)'!D280*$AW$21)</f>
        <v>0.86718755429225491</v>
      </c>
      <c r="AH282" s="7">
        <f ca="1">$AW$8*EXP(-'3.r(t)'!E280*$AW$22)</f>
        <v>0.88853194445863215</v>
      </c>
      <c r="AI282" s="7">
        <f ca="1">$AW$9*EXP(-'3.r(t)'!F280*$AW$23)</f>
        <v>0.91028955974616388</v>
      </c>
      <c r="AJ282" s="7">
        <f ca="1">$AW$10*EXP(-'3.r(t)'!G280*$AW$24)</f>
        <v>0.9257394482403366</v>
      </c>
      <c r="AK282" s="7">
        <f ca="1">$AW$11*EXP(-'3.r(t)'!H280*$AW$25)</f>
        <v>0.94959050712838533</v>
      </c>
      <c r="AL282" s="7">
        <f ca="1">$AW$12*EXP(-'3.r(t)'!I280*$AW$26)</f>
        <v>0.97319069656279389</v>
      </c>
      <c r="AM282" s="7">
        <v>1</v>
      </c>
      <c r="AN282" s="7"/>
    </row>
    <row r="283" spans="2:40">
      <c r="B283" s="7">
        <v>275</v>
      </c>
      <c r="C283" s="7">
        <f>$AR$7*EXP(-'3.r(t)'!D281*$AR$21)</f>
        <v>0.97765346695821032</v>
      </c>
      <c r="D283" s="7">
        <v>1</v>
      </c>
      <c r="E283" s="7"/>
      <c r="F283" s="7">
        <v>275</v>
      </c>
      <c r="G283" s="48">
        <f>$AS$7*EXP(-'3.r(t)'!D281*$AS$21)</f>
        <v>0.9553476245219803</v>
      </c>
      <c r="H283" s="7">
        <f ca="1">$AS$8*EXP(-'3.r(t)'!E281*$AS$22)</f>
        <v>0.97571570375602668</v>
      </c>
      <c r="I283" s="7">
        <v>1</v>
      </c>
      <c r="J283" s="7"/>
      <c r="K283" s="7">
        <v>275</v>
      </c>
      <c r="L283" s="7">
        <f>$AT$7*EXP(-'3.r(t)'!D281*$AT$21)</f>
        <v>0.93311670519824419</v>
      </c>
      <c r="M283" s="7">
        <f ca="1">$AT$8*EXP(-'3.r(t)'!E281*$AT$22)</f>
        <v>0.95157271923722841</v>
      </c>
      <c r="N283" s="7">
        <f ca="1">$AT$9*EXP(-'3.r(t)'!F281*$AT$23)</f>
        <v>0.97732380394067608</v>
      </c>
      <c r="O283" s="7">
        <v>1</v>
      </c>
      <c r="P283" s="7"/>
      <c r="Q283" s="7">
        <v>275</v>
      </c>
      <c r="R283" s="7">
        <f>$AU$7*EXP(-'3.r(t)'!D281*$AU$21)</f>
        <v>0.91099305977534117</v>
      </c>
      <c r="S283" s="7">
        <f ca="1">$AU$8*EXP(-'3.r(t)'!E281*$AU$22)</f>
        <v>0.92760392578864004</v>
      </c>
      <c r="T283" s="7">
        <f ca="1">$AU$9*EXP(-'3.r(t)'!F281*$AU$23)</f>
        <v>0.95472039623022675</v>
      </c>
      <c r="U283" s="7">
        <f ca="1">$AU$10*EXP(-'3.r(t)'!G281*$AU$24)</f>
        <v>0.97612037630798687</v>
      </c>
      <c r="V283" s="7">
        <v>1</v>
      </c>
      <c r="W283" s="7"/>
      <c r="X283" s="7">
        <v>275</v>
      </c>
      <c r="Y283" s="7">
        <f>$AV$7*EXP(-'3.r(t)'!D281*$AV$21)</f>
        <v>0.88900715067201674</v>
      </c>
      <c r="Z283" s="7">
        <f ca="1">$AV$8*EXP(-'3.r(t)'!E281*$AV$22)</f>
        <v>0.90384007850644477</v>
      </c>
      <c r="AA283" s="7">
        <f ca="1">$AV$9*EXP(-'3.r(t)'!F281*$AV$23)</f>
        <v>0.93222272709349141</v>
      </c>
      <c r="AB283" s="7">
        <f ca="1">$AV$10*EXP(-'3.r(t)'!G281*$AV$24)</f>
        <v>0.95237910627131195</v>
      </c>
      <c r="AC283" s="7">
        <f ca="1">$AV$11*EXP(-'3.r(t)'!H281*$AV$25)</f>
        <v>0.97229500082492082</v>
      </c>
      <c r="AD283" s="7">
        <v>1</v>
      </c>
      <c r="AE283" s="7"/>
      <c r="AF283" s="7">
        <v>275</v>
      </c>
      <c r="AG283" s="7">
        <f>$AW$7*EXP(-'3.r(t)'!D281*$AW$21)</f>
        <v>0.86718755429225491</v>
      </c>
      <c r="AH283" s="7">
        <f ca="1">$AW$8*EXP(-'3.r(t)'!E281*$AW$22)</f>
        <v>0.88030982405516678</v>
      </c>
      <c r="AI283" s="7">
        <f ca="1">$AW$9*EXP(-'3.r(t)'!F281*$AW$23)</f>
        <v>0.90986183527008835</v>
      </c>
      <c r="AJ283" s="7">
        <f ca="1">$AW$10*EXP(-'3.r(t)'!G281*$AW$24)</f>
        <v>0.92880801763943144</v>
      </c>
      <c r="AK283" s="7">
        <f ca="1">$AW$11*EXP(-'3.r(t)'!H281*$AW$25)</f>
        <v>0.94493745056803369</v>
      </c>
      <c r="AL283" s="7">
        <f ca="1">$AW$12*EXP(-'3.r(t)'!I281*$AW$26)</f>
        <v>0.97034008895394541</v>
      </c>
      <c r="AM283" s="7">
        <v>1</v>
      </c>
      <c r="AN283" s="7"/>
    </row>
    <row r="284" spans="2:40">
      <c r="B284" s="7">
        <v>276</v>
      </c>
      <c r="C284" s="7">
        <f>$AR$7*EXP(-'3.r(t)'!D282*$AR$21)</f>
        <v>0.97765346695821032</v>
      </c>
      <c r="D284" s="7">
        <v>1</v>
      </c>
      <c r="E284" s="7"/>
      <c r="F284" s="7">
        <v>276</v>
      </c>
      <c r="G284" s="48">
        <f>$AS$7*EXP(-'3.r(t)'!D282*$AS$21)</f>
        <v>0.9553476245219803</v>
      </c>
      <c r="H284" s="7">
        <f ca="1">$AS$8*EXP(-'3.r(t)'!E282*$AS$22)</f>
        <v>0.97918822146296169</v>
      </c>
      <c r="I284" s="7">
        <v>1</v>
      </c>
      <c r="J284" s="7"/>
      <c r="K284" s="7">
        <v>276</v>
      </c>
      <c r="L284" s="7">
        <f>$AT$7*EXP(-'3.r(t)'!D282*$AT$21)</f>
        <v>0.93311670519824419</v>
      </c>
      <c r="M284" s="7">
        <f ca="1">$AT$8*EXP(-'3.r(t)'!E282*$AT$22)</f>
        <v>0.95835796028308051</v>
      </c>
      <c r="N284" s="7">
        <f ca="1">$AT$9*EXP(-'3.r(t)'!F282*$AT$23)</f>
        <v>0.98138507106852824</v>
      </c>
      <c r="O284" s="7">
        <v>1</v>
      </c>
      <c r="P284" s="7"/>
      <c r="Q284" s="7">
        <v>276</v>
      </c>
      <c r="R284" s="7">
        <f>$AU$7*EXP(-'3.r(t)'!D282*$AU$21)</f>
        <v>0.91099305977534117</v>
      </c>
      <c r="S284" s="7">
        <f ca="1">$AU$8*EXP(-'3.r(t)'!E282*$AU$22)</f>
        <v>0.93754308665646902</v>
      </c>
      <c r="T284" s="7">
        <f ca="1">$AU$9*EXP(-'3.r(t)'!F282*$AU$23)</f>
        <v>0.96267155992230391</v>
      </c>
      <c r="U284" s="7">
        <f ca="1">$AU$10*EXP(-'3.r(t)'!G282*$AU$24)</f>
        <v>0.98212535048273819</v>
      </c>
      <c r="V284" s="7">
        <v>1</v>
      </c>
      <c r="W284" s="7"/>
      <c r="X284" s="7">
        <v>276</v>
      </c>
      <c r="Y284" s="7">
        <f>$AV$7*EXP(-'3.r(t)'!D282*$AV$21)</f>
        <v>0.88900715067201674</v>
      </c>
      <c r="Z284" s="7">
        <f ca="1">$AV$8*EXP(-'3.r(t)'!E282*$AV$22)</f>
        <v>0.91677579578836765</v>
      </c>
      <c r="AA284" s="7">
        <f ca="1">$AV$9*EXP(-'3.r(t)'!F282*$AV$23)</f>
        <v>0.94389263638943188</v>
      </c>
      <c r="AB284" s="7">
        <f ca="1">$AV$10*EXP(-'3.r(t)'!G282*$AV$24)</f>
        <v>0.9641329911627633</v>
      </c>
      <c r="AC284" s="7">
        <f ca="1">$AV$11*EXP(-'3.r(t)'!H282*$AV$25)</f>
        <v>0.98168167249575844</v>
      </c>
      <c r="AD284" s="7">
        <v>1</v>
      </c>
      <c r="AE284" s="7"/>
      <c r="AF284" s="7">
        <v>276</v>
      </c>
      <c r="AG284" s="7">
        <f>$AW$7*EXP(-'3.r(t)'!D282*$AW$21)</f>
        <v>0.86718755429225491</v>
      </c>
      <c r="AH284" s="7">
        <f ca="1">$AW$8*EXP(-'3.r(t)'!E282*$AW$22)</f>
        <v>0.89608658990672019</v>
      </c>
      <c r="AI284" s="7">
        <f ca="1">$AW$9*EXP(-'3.r(t)'!F282*$AW$23)</f>
        <v>0.9250800827628749</v>
      </c>
      <c r="AJ284" s="7">
        <f ca="1">$AW$10*EXP(-'3.r(t)'!G282*$AW$24)</f>
        <v>0.94605543065539088</v>
      </c>
      <c r="AK284" s="7">
        <f ca="1">$AW$11*EXP(-'3.r(t)'!H282*$AW$25)</f>
        <v>0.96327063714013272</v>
      </c>
      <c r="AL284" s="7">
        <f ca="1">$AW$12*EXP(-'3.r(t)'!I282*$AW$26)</f>
        <v>0.98280080184048191</v>
      </c>
      <c r="AM284" s="7">
        <v>1</v>
      </c>
      <c r="AN284" s="7"/>
    </row>
    <row r="285" spans="2:40">
      <c r="B285" s="7">
        <v>277</v>
      </c>
      <c r="C285" s="7">
        <f>$AR$7*EXP(-'3.r(t)'!D283*$AR$21)</f>
        <v>0.97765346695821032</v>
      </c>
      <c r="D285" s="7">
        <v>1</v>
      </c>
      <c r="E285" s="7"/>
      <c r="F285" s="7">
        <v>277</v>
      </c>
      <c r="G285" s="48">
        <f>$AS$7*EXP(-'3.r(t)'!D283*$AS$21)</f>
        <v>0.9553476245219803</v>
      </c>
      <c r="H285" s="7">
        <f ca="1">$AS$8*EXP(-'3.r(t)'!E283*$AS$22)</f>
        <v>0.97738906370452994</v>
      </c>
      <c r="I285" s="7">
        <v>1</v>
      </c>
      <c r="J285" s="7"/>
      <c r="K285" s="7">
        <v>277</v>
      </c>
      <c r="L285" s="7">
        <f>$AT$7*EXP(-'3.r(t)'!D283*$AT$21)</f>
        <v>0.93311670519824419</v>
      </c>
      <c r="M285" s="7">
        <f ca="1">$AT$8*EXP(-'3.r(t)'!E283*$AT$22)</f>
        <v>0.95483942713997294</v>
      </c>
      <c r="N285" s="7">
        <f ca="1">$AT$9*EXP(-'3.r(t)'!F283*$AT$23)</f>
        <v>0.97645478752511183</v>
      </c>
      <c r="O285" s="7">
        <v>1</v>
      </c>
      <c r="P285" s="7"/>
      <c r="Q285" s="7">
        <v>277</v>
      </c>
      <c r="R285" s="7">
        <f>$AU$7*EXP(-'3.r(t)'!D283*$AU$21)</f>
        <v>0.91099305977534117</v>
      </c>
      <c r="S285" s="7">
        <f ca="1">$AU$8*EXP(-'3.r(t)'!E283*$AU$22)</f>
        <v>0.93238465905278556</v>
      </c>
      <c r="T285" s="7">
        <f ca="1">$AU$9*EXP(-'3.r(t)'!F283*$AU$23)</f>
        <v>0.95302331521890238</v>
      </c>
      <c r="U285" s="7">
        <f ca="1">$AU$10*EXP(-'3.r(t)'!G283*$AU$24)</f>
        <v>0.97297253911116033</v>
      </c>
      <c r="V285" s="7">
        <v>1</v>
      </c>
      <c r="W285" s="7"/>
      <c r="X285" s="7">
        <v>277</v>
      </c>
      <c r="Y285" s="7">
        <f>$AV$7*EXP(-'3.r(t)'!D283*$AV$21)</f>
        <v>0.88900715067201674</v>
      </c>
      <c r="Z285" s="7">
        <f ca="1">$AV$8*EXP(-'3.r(t)'!E283*$AV$22)</f>
        <v>0.91005641806660409</v>
      </c>
      <c r="AA285" s="7">
        <f ca="1">$AV$9*EXP(-'3.r(t)'!F283*$AV$23)</f>
        <v>0.92973819722638273</v>
      </c>
      <c r="AB285" s="7">
        <f ca="1">$AV$10*EXP(-'3.r(t)'!G283*$AV$24)</f>
        <v>0.94624646011091196</v>
      </c>
      <c r="AC285" s="7">
        <f ca="1">$AV$11*EXP(-'3.r(t)'!H283*$AV$25)</f>
        <v>0.9700775229716927</v>
      </c>
      <c r="AD285" s="7">
        <v>1</v>
      </c>
      <c r="AE285" s="7"/>
      <c r="AF285" s="7">
        <v>277</v>
      </c>
      <c r="AG285" s="7">
        <f>$AW$7*EXP(-'3.r(t)'!D283*$AW$21)</f>
        <v>0.86718755429225491</v>
      </c>
      <c r="AH285" s="7">
        <f ca="1">$AW$8*EXP(-'3.r(t)'!E283*$AW$22)</f>
        <v>0.8878844512729025</v>
      </c>
      <c r="AI285" s="7">
        <f ca="1">$AW$9*EXP(-'3.r(t)'!F283*$AW$23)</f>
        <v>0.90663002652358315</v>
      </c>
      <c r="AJ285" s="7">
        <f ca="1">$AW$10*EXP(-'3.r(t)'!G283*$AW$24)</f>
        <v>0.91985117778139813</v>
      </c>
      <c r="AK285" s="7">
        <f ca="1">$AW$11*EXP(-'3.r(t)'!H283*$AW$25)</f>
        <v>0.94063219662455333</v>
      </c>
      <c r="AL285" s="7">
        <f ca="1">$AW$12*EXP(-'3.r(t)'!I283*$AW$26)</f>
        <v>0.96817319840367289</v>
      </c>
      <c r="AM285" s="7">
        <v>1</v>
      </c>
      <c r="AN285" s="7"/>
    </row>
    <row r="286" spans="2:40">
      <c r="B286" s="7">
        <v>278</v>
      </c>
      <c r="C286" s="7">
        <f>$AR$7*EXP(-'3.r(t)'!D284*$AR$21)</f>
        <v>0.97765346695821032</v>
      </c>
      <c r="D286" s="7">
        <v>1</v>
      </c>
      <c r="E286" s="7"/>
      <c r="F286" s="7">
        <v>278</v>
      </c>
      <c r="G286" s="48">
        <f>$AS$7*EXP(-'3.r(t)'!D284*$AS$21)</f>
        <v>0.9553476245219803</v>
      </c>
      <c r="H286" s="7">
        <f ca="1">$AS$8*EXP(-'3.r(t)'!E284*$AS$22)</f>
        <v>0.97617686901417811</v>
      </c>
      <c r="I286" s="7">
        <v>1</v>
      </c>
      <c r="J286" s="7"/>
      <c r="K286" s="7">
        <v>278</v>
      </c>
      <c r="L286" s="7">
        <f>$AT$7*EXP(-'3.r(t)'!D284*$AT$21)</f>
        <v>0.93311670519824419</v>
      </c>
      <c r="M286" s="7">
        <f ca="1">$AT$8*EXP(-'3.r(t)'!E284*$AT$22)</f>
        <v>0.95247244029848288</v>
      </c>
      <c r="N286" s="7">
        <f ca="1">$AT$9*EXP(-'3.r(t)'!F284*$AT$23)</f>
        <v>0.97625289852887853</v>
      </c>
      <c r="O286" s="7">
        <v>1</v>
      </c>
      <c r="P286" s="7"/>
      <c r="Q286" s="7">
        <v>278</v>
      </c>
      <c r="R286" s="7">
        <f>$AU$7*EXP(-'3.r(t)'!D284*$AU$21)</f>
        <v>0.91099305977534117</v>
      </c>
      <c r="S286" s="7">
        <f ca="1">$AU$8*EXP(-'3.r(t)'!E284*$AU$22)</f>
        <v>0.92891982422322028</v>
      </c>
      <c r="T286" s="7">
        <f ca="1">$AU$9*EXP(-'3.r(t)'!F284*$AU$23)</f>
        <v>0.9526292672150235</v>
      </c>
      <c r="U286" s="7">
        <f ca="1">$AU$10*EXP(-'3.r(t)'!G284*$AU$24)</f>
        <v>0.97672505335498239</v>
      </c>
      <c r="V286" s="7">
        <v>1</v>
      </c>
      <c r="W286" s="7"/>
      <c r="X286" s="7">
        <v>278</v>
      </c>
      <c r="Y286" s="7">
        <f>$AV$7*EXP(-'3.r(t)'!D284*$AV$21)</f>
        <v>0.88900715067201674</v>
      </c>
      <c r="Z286" s="7">
        <f ca="1">$AV$8*EXP(-'3.r(t)'!E284*$AV$22)</f>
        <v>0.9055500653192845</v>
      </c>
      <c r="AA286" s="7">
        <f ca="1">$AV$9*EXP(-'3.r(t)'!F284*$AV$23)</f>
        <v>0.92916162642961897</v>
      </c>
      <c r="AB286" s="7">
        <f ca="1">$AV$10*EXP(-'3.r(t)'!G284*$AV$24)</f>
        <v>0.9535594118366002</v>
      </c>
      <c r="AC286" s="7">
        <f ca="1">$AV$11*EXP(-'3.r(t)'!H284*$AV$25)</f>
        <v>0.9785728781407953</v>
      </c>
      <c r="AD286" s="7">
        <v>1</v>
      </c>
      <c r="AE286" s="7"/>
      <c r="AF286" s="7">
        <v>278</v>
      </c>
      <c r="AG286" s="7">
        <f>$AW$7*EXP(-'3.r(t)'!D284*$AW$21)</f>
        <v>0.86718755429225491</v>
      </c>
      <c r="AH286" s="7">
        <f ca="1">$AW$8*EXP(-'3.r(t)'!E284*$AW$22)</f>
        <v>0.88239215317690733</v>
      </c>
      <c r="AI286" s="7">
        <f ca="1">$AW$9*EXP(-'3.r(t)'!F284*$AW$23)</f>
        <v>0.905880450119808</v>
      </c>
      <c r="AJ286" s="7">
        <f ca="1">$AW$10*EXP(-'3.r(t)'!G284*$AW$24)</f>
        <v>0.93053519254609562</v>
      </c>
      <c r="AK286" s="7">
        <f ca="1">$AW$11*EXP(-'3.r(t)'!H284*$AW$25)</f>
        <v>0.95717931705245352</v>
      </c>
      <c r="AL286" s="7">
        <f ca="1">$AW$12*EXP(-'3.r(t)'!I284*$AW$26)</f>
        <v>0.97477220523593333</v>
      </c>
      <c r="AM286" s="7">
        <v>1</v>
      </c>
      <c r="AN286" s="7"/>
    </row>
    <row r="287" spans="2:40">
      <c r="B287" s="7">
        <v>279</v>
      </c>
      <c r="C287" s="7">
        <f>$AR$7*EXP(-'3.r(t)'!D285*$AR$21)</f>
        <v>0.97765346695821032</v>
      </c>
      <c r="D287" s="7">
        <v>1</v>
      </c>
      <c r="E287" s="7"/>
      <c r="F287" s="7">
        <v>279</v>
      </c>
      <c r="G287" s="48">
        <f>$AS$7*EXP(-'3.r(t)'!D285*$AS$21)</f>
        <v>0.9553476245219803</v>
      </c>
      <c r="H287" s="7">
        <f ca="1">$AS$8*EXP(-'3.r(t)'!E285*$AS$22)</f>
        <v>0.97706530315878137</v>
      </c>
      <c r="I287" s="7">
        <v>1</v>
      </c>
      <c r="J287" s="7"/>
      <c r="K287" s="7">
        <v>279</v>
      </c>
      <c r="L287" s="7">
        <f>$AT$7*EXP(-'3.r(t)'!D285*$AT$21)</f>
        <v>0.93311670519824419</v>
      </c>
      <c r="M287" s="7">
        <f ca="1">$AT$8*EXP(-'3.r(t)'!E285*$AT$22)</f>
        <v>0.95420694997352462</v>
      </c>
      <c r="N287" s="7">
        <f ca="1">$AT$9*EXP(-'3.r(t)'!F285*$AT$23)</f>
        <v>0.97662747789012239</v>
      </c>
      <c r="O287" s="7">
        <v>1</v>
      </c>
      <c r="P287" s="7"/>
      <c r="Q287" s="7">
        <v>279</v>
      </c>
      <c r="R287" s="7">
        <f>$AU$7*EXP(-'3.r(t)'!D285*$AU$21)</f>
        <v>0.91099305977534117</v>
      </c>
      <c r="S287" s="7">
        <f ca="1">$AU$8*EXP(-'3.r(t)'!E285*$AU$22)</f>
        <v>0.93145840748945297</v>
      </c>
      <c r="T287" s="7">
        <f ca="1">$AU$9*EXP(-'3.r(t)'!F285*$AU$23)</f>
        <v>0.95336043783725954</v>
      </c>
      <c r="U287" s="7">
        <f ca="1">$AU$10*EXP(-'3.r(t)'!G285*$AU$24)</f>
        <v>0.97220979419996689</v>
      </c>
      <c r="V287" s="7">
        <v>1</v>
      </c>
      <c r="W287" s="7"/>
      <c r="X287" s="7">
        <v>279</v>
      </c>
      <c r="Y287" s="7">
        <f>$AV$7*EXP(-'3.r(t)'!D285*$AV$21)</f>
        <v>0.88900715067201674</v>
      </c>
      <c r="Z287" s="7">
        <f ca="1">$AV$8*EXP(-'3.r(t)'!E285*$AV$22)</f>
        <v>0.90885119076779664</v>
      </c>
      <c r="AA287" s="7">
        <f ca="1">$AV$9*EXP(-'3.r(t)'!F285*$AV$23)</f>
        <v>0.93023156945689545</v>
      </c>
      <c r="AB287" s="7">
        <f ca="1">$AV$10*EXP(-'3.r(t)'!G285*$AV$24)</f>
        <v>0.94476345469485412</v>
      </c>
      <c r="AC287" s="7">
        <f ca="1">$AV$11*EXP(-'3.r(t)'!H285*$AV$25)</f>
        <v>0.97165169782825023</v>
      </c>
      <c r="AD287" s="7">
        <v>1</v>
      </c>
      <c r="AE287" s="7"/>
      <c r="AF287" s="7">
        <v>279</v>
      </c>
      <c r="AG287" s="7">
        <f>$AW$7*EXP(-'3.r(t)'!D285*$AW$21)</f>
        <v>0.86718755429225491</v>
      </c>
      <c r="AH287" s="7">
        <f ca="1">$AW$8*EXP(-'3.r(t)'!E285*$AW$22)</f>
        <v>0.88641486467501218</v>
      </c>
      <c r="AI287" s="7">
        <f ca="1">$AW$9*EXP(-'3.r(t)'!F285*$AW$23)</f>
        <v>0.90727156287024502</v>
      </c>
      <c r="AJ287" s="7">
        <f ca="1">$AW$10*EXP(-'3.r(t)'!G285*$AW$24)</f>
        <v>0.91768956919306011</v>
      </c>
      <c r="AK287" s="7">
        <f ca="1">$AW$11*EXP(-'3.r(t)'!H285*$AW$25)</f>
        <v>0.94368745957592326</v>
      </c>
      <c r="AL287" s="7">
        <f ca="1">$AW$12*EXP(-'3.r(t)'!I285*$AW$26)</f>
        <v>0.97405525100048318</v>
      </c>
      <c r="AM287" s="7">
        <v>1</v>
      </c>
      <c r="AN287" s="7"/>
    </row>
    <row r="288" spans="2:40">
      <c r="B288" s="7">
        <v>280</v>
      </c>
      <c r="C288" s="7">
        <f>$AR$7*EXP(-'3.r(t)'!D286*$AR$21)</f>
        <v>0.97765346695821032</v>
      </c>
      <c r="D288" s="7">
        <v>1</v>
      </c>
      <c r="E288" s="7"/>
      <c r="F288" s="7">
        <v>280</v>
      </c>
      <c r="G288" s="48">
        <f>$AS$7*EXP(-'3.r(t)'!D286*$AS$21)</f>
        <v>0.9553476245219803</v>
      </c>
      <c r="H288" s="7">
        <f ca="1">$AS$8*EXP(-'3.r(t)'!E286*$AS$22)</f>
        <v>0.97853746624470594</v>
      </c>
      <c r="I288" s="7">
        <v>1</v>
      </c>
      <c r="J288" s="7"/>
      <c r="K288" s="7">
        <v>280</v>
      </c>
      <c r="L288" s="7">
        <f>$AT$7*EXP(-'3.r(t)'!D286*$AT$21)</f>
        <v>0.93311670519824419</v>
      </c>
      <c r="M288" s="7">
        <f ca="1">$AT$8*EXP(-'3.r(t)'!E286*$AT$22)</f>
        <v>0.95708456014787346</v>
      </c>
      <c r="N288" s="7">
        <f ca="1">$AT$9*EXP(-'3.r(t)'!F286*$AT$23)</f>
        <v>0.97687674589787077</v>
      </c>
      <c r="O288" s="7">
        <v>1</v>
      </c>
      <c r="P288" s="7"/>
      <c r="Q288" s="7">
        <v>280</v>
      </c>
      <c r="R288" s="7">
        <f>$AU$7*EXP(-'3.r(t)'!D286*$AU$21)</f>
        <v>0.91099305977534117</v>
      </c>
      <c r="S288" s="7">
        <f ca="1">$AU$8*EXP(-'3.r(t)'!E286*$AU$22)</f>
        <v>0.93567509337110233</v>
      </c>
      <c r="T288" s="7">
        <f ca="1">$AU$9*EXP(-'3.r(t)'!F286*$AU$23)</f>
        <v>0.95384715890442973</v>
      </c>
      <c r="U288" s="7">
        <f ca="1">$AU$10*EXP(-'3.r(t)'!G286*$AU$24)</f>
        <v>0.97570113621908361</v>
      </c>
      <c r="V288" s="7">
        <v>1</v>
      </c>
      <c r="W288" s="7"/>
      <c r="X288" s="7">
        <v>280</v>
      </c>
      <c r="Y288" s="7">
        <f>$AV$7*EXP(-'3.r(t)'!D286*$AV$21)</f>
        <v>0.88900715067201674</v>
      </c>
      <c r="Z288" s="7">
        <f ca="1">$AV$8*EXP(-'3.r(t)'!E286*$AV$22)</f>
        <v>0.91434111714979083</v>
      </c>
      <c r="AA288" s="7">
        <f ca="1">$AV$9*EXP(-'3.r(t)'!F286*$AV$23)</f>
        <v>0.93094402992859993</v>
      </c>
      <c r="AB288" s="7">
        <f ca="1">$AV$10*EXP(-'3.r(t)'!G286*$AV$24)</f>
        <v>0.95156119535131323</v>
      </c>
      <c r="AC288" s="7">
        <f ca="1">$AV$11*EXP(-'3.r(t)'!H286*$AV$25)</f>
        <v>0.97591599774421867</v>
      </c>
      <c r="AD288" s="7">
        <v>1</v>
      </c>
      <c r="AE288" s="7"/>
      <c r="AF288" s="7">
        <v>280</v>
      </c>
      <c r="AG288" s="7">
        <f>$AW$7*EXP(-'3.r(t)'!D286*$AW$21)</f>
        <v>0.86718755429225491</v>
      </c>
      <c r="AH288" s="7">
        <f ca="1">$AW$8*EXP(-'3.r(t)'!E286*$AW$22)</f>
        <v>0.89311291006683224</v>
      </c>
      <c r="AI288" s="7">
        <f ca="1">$AW$9*EXP(-'3.r(t)'!F286*$AW$23)</f>
        <v>0.90819818178209677</v>
      </c>
      <c r="AJ288" s="7">
        <f ca="1">$AW$10*EXP(-'3.r(t)'!G286*$AW$24)</f>
        <v>0.92761177275143802</v>
      </c>
      <c r="AK288" s="7">
        <f ca="1">$AW$11*EXP(-'3.r(t)'!H286*$AW$25)</f>
        <v>0.9519887815786553</v>
      </c>
      <c r="AL288" s="7">
        <f ca="1">$AW$12*EXP(-'3.r(t)'!I286*$AW$26)</f>
        <v>0.97382332546397266</v>
      </c>
      <c r="AM288" s="7">
        <v>1</v>
      </c>
      <c r="AN288" s="7"/>
    </row>
    <row r="289" spans="2:40">
      <c r="B289" s="7">
        <v>281</v>
      </c>
      <c r="C289" s="7">
        <f>$AR$7*EXP(-'3.r(t)'!D287*$AR$21)</f>
        <v>0.97765346695821032</v>
      </c>
      <c r="D289" s="7">
        <v>1</v>
      </c>
      <c r="E289" s="7"/>
      <c r="F289" s="7">
        <v>281</v>
      </c>
      <c r="G289" s="48">
        <f>$AS$7*EXP(-'3.r(t)'!D287*$AS$21)</f>
        <v>0.9553476245219803</v>
      </c>
      <c r="H289" s="7">
        <f ca="1">$AS$8*EXP(-'3.r(t)'!E287*$AS$22)</f>
        <v>0.97742835484628576</v>
      </c>
      <c r="I289" s="7">
        <v>1</v>
      </c>
      <c r="J289" s="7"/>
      <c r="K289" s="7">
        <v>281</v>
      </c>
      <c r="L289" s="7">
        <f>$AT$7*EXP(-'3.r(t)'!D287*$AT$21)</f>
        <v>0.93311670519824419</v>
      </c>
      <c r="M289" s="7">
        <f ca="1">$AT$8*EXP(-'3.r(t)'!E287*$AT$22)</f>
        <v>0.95491619797109306</v>
      </c>
      <c r="N289" s="7">
        <f ca="1">$AT$9*EXP(-'3.r(t)'!F287*$AT$23)</f>
        <v>0.97659137018743503</v>
      </c>
      <c r="O289" s="7">
        <v>1</v>
      </c>
      <c r="P289" s="7"/>
      <c r="Q289" s="7">
        <v>281</v>
      </c>
      <c r="R289" s="7">
        <f>$AU$7*EXP(-'3.r(t)'!D287*$AU$21)</f>
        <v>0.91099305977534117</v>
      </c>
      <c r="S289" s="7">
        <f ca="1">$AU$8*EXP(-'3.r(t)'!E287*$AU$22)</f>
        <v>0.9324971094532426</v>
      </c>
      <c r="T289" s="7">
        <f ca="1">$AU$9*EXP(-'3.r(t)'!F287*$AU$23)</f>
        <v>0.9532899441850331</v>
      </c>
      <c r="U289" s="7">
        <f ca="1">$AU$10*EXP(-'3.r(t)'!G287*$AU$24)</f>
        <v>0.97663134178570044</v>
      </c>
      <c r="V289" s="7">
        <v>1</v>
      </c>
      <c r="W289" s="7"/>
      <c r="X289" s="7">
        <v>281</v>
      </c>
      <c r="Y289" s="7">
        <f>$AV$7*EXP(-'3.r(t)'!D287*$AV$21)</f>
        <v>0.88900715067201674</v>
      </c>
      <c r="Z289" s="7">
        <f ca="1">$AV$8*EXP(-'3.r(t)'!E287*$AV$22)</f>
        <v>0.91020276434067615</v>
      </c>
      <c r="AA289" s="7">
        <f ca="1">$AV$9*EXP(-'3.r(t)'!F287*$AV$23)</f>
        <v>0.9301283961880078</v>
      </c>
      <c r="AB289" s="7">
        <f ca="1">$AV$10*EXP(-'3.r(t)'!G287*$AV$24)</f>
        <v>0.95337644271587696</v>
      </c>
      <c r="AC289" s="7">
        <f ca="1">$AV$11*EXP(-'3.r(t)'!H287*$AV$25)</f>
        <v>0.97667245664317892</v>
      </c>
      <c r="AD289" s="7">
        <v>1</v>
      </c>
      <c r="AE289" s="7"/>
      <c r="AF289" s="7">
        <v>281</v>
      </c>
      <c r="AG289" s="7">
        <f>$AW$7*EXP(-'3.r(t)'!D287*$AW$21)</f>
        <v>0.86718755429225491</v>
      </c>
      <c r="AH289" s="7">
        <f ca="1">$AW$8*EXP(-'3.r(t)'!E287*$AW$22)</f>
        <v>0.88806293085737575</v>
      </c>
      <c r="AI289" s="7">
        <f ca="1">$AW$9*EXP(-'3.r(t)'!F287*$AW$23)</f>
        <v>0.90713739636001356</v>
      </c>
      <c r="AJ289" s="7">
        <f ca="1">$AW$10*EXP(-'3.r(t)'!G287*$AW$24)</f>
        <v>0.93026737854898045</v>
      </c>
      <c r="AK289" s="7">
        <f ca="1">$AW$11*EXP(-'3.r(t)'!H287*$AW$25)</f>
        <v>0.95346517808686082</v>
      </c>
      <c r="AL289" s="7">
        <f ca="1">$AW$12*EXP(-'3.r(t)'!I287*$AW$26)</f>
        <v>0.97328177423597739</v>
      </c>
      <c r="AM289" s="7">
        <v>1</v>
      </c>
      <c r="AN289" s="7"/>
    </row>
    <row r="290" spans="2:40">
      <c r="B290" s="7">
        <v>282</v>
      </c>
      <c r="C290" s="7">
        <f>$AR$7*EXP(-'3.r(t)'!D288*$AR$21)</f>
        <v>0.97765346695821032</v>
      </c>
      <c r="D290" s="7">
        <v>1</v>
      </c>
      <c r="E290" s="7"/>
      <c r="F290" s="7">
        <v>282</v>
      </c>
      <c r="G290" s="48">
        <f>$AS$7*EXP(-'3.r(t)'!D288*$AS$21)</f>
        <v>0.9553476245219803</v>
      </c>
      <c r="H290" s="7">
        <f ca="1">$AS$8*EXP(-'3.r(t)'!E288*$AS$22)</f>
        <v>0.97250028350511242</v>
      </c>
      <c r="I290" s="7">
        <v>1</v>
      </c>
      <c r="J290" s="7"/>
      <c r="K290" s="7">
        <v>282</v>
      </c>
      <c r="L290" s="7">
        <f>$AT$7*EXP(-'3.r(t)'!D288*$AT$21)</f>
        <v>0.93311670519824419</v>
      </c>
      <c r="M290" s="7">
        <f ca="1">$AT$8*EXP(-'3.r(t)'!E288*$AT$22)</f>
        <v>0.94531133668748124</v>
      </c>
      <c r="N290" s="7">
        <f ca="1">$AT$9*EXP(-'3.r(t)'!F288*$AT$23)</f>
        <v>0.97558835605624472</v>
      </c>
      <c r="O290" s="7">
        <v>1</v>
      </c>
      <c r="P290" s="7"/>
      <c r="Q290" s="7">
        <v>282</v>
      </c>
      <c r="R290" s="7">
        <f>$AU$7*EXP(-'3.r(t)'!D288*$AU$21)</f>
        <v>0.91099305977534117</v>
      </c>
      <c r="S290" s="7">
        <f ca="1">$AU$8*EXP(-'3.r(t)'!E288*$AU$22)</f>
        <v>0.91846350268019994</v>
      </c>
      <c r="T290" s="7">
        <f ca="1">$AU$9*EXP(-'3.r(t)'!F288*$AU$23)</f>
        <v>0.95133278523884046</v>
      </c>
      <c r="U290" s="7">
        <f ca="1">$AU$10*EXP(-'3.r(t)'!G288*$AU$24)</f>
        <v>0.97890103726985878</v>
      </c>
      <c r="V290" s="7">
        <v>1</v>
      </c>
      <c r="W290" s="7"/>
      <c r="X290" s="7">
        <v>282</v>
      </c>
      <c r="Y290" s="7">
        <f>$AV$7*EXP(-'3.r(t)'!D288*$AV$21)</f>
        <v>0.88900715067201674</v>
      </c>
      <c r="Z290" s="7">
        <f ca="1">$AV$8*EXP(-'3.r(t)'!E288*$AV$22)</f>
        <v>0.89198461182299416</v>
      </c>
      <c r="AA290" s="7">
        <f ca="1">$AV$9*EXP(-'3.r(t)'!F288*$AV$23)</f>
        <v>0.92726545645215852</v>
      </c>
      <c r="AB290" s="7">
        <f ca="1">$AV$10*EXP(-'3.r(t)'!G288*$AV$24)</f>
        <v>0.9578128938936693</v>
      </c>
      <c r="AC290" s="7">
        <f ca="1">$AV$11*EXP(-'3.r(t)'!H288*$AV$25)</f>
        <v>0.97893489015062041</v>
      </c>
      <c r="AD290" s="7">
        <v>1</v>
      </c>
      <c r="AE290" s="7"/>
      <c r="AF290" s="7">
        <v>282</v>
      </c>
      <c r="AG290" s="7">
        <f>$AW$7*EXP(-'3.r(t)'!D288*$AW$21)</f>
        <v>0.86718755429225491</v>
      </c>
      <c r="AH290" s="7">
        <f ca="1">$AW$8*EXP(-'3.r(t)'!E288*$AW$22)</f>
        <v>0.86590003523375159</v>
      </c>
      <c r="AI290" s="7">
        <f ca="1">$AW$9*EXP(-'3.r(t)'!F288*$AW$23)</f>
        <v>0.90341640974914716</v>
      </c>
      <c r="AJ290" s="7">
        <f ca="1">$AW$10*EXP(-'3.r(t)'!G288*$AW$24)</f>
        <v>0.93676829963348307</v>
      </c>
      <c r="AK290" s="7">
        <f ca="1">$AW$11*EXP(-'3.r(t)'!H288*$AW$25)</f>
        <v>0.95788764345283006</v>
      </c>
      <c r="AL290" s="7">
        <f ca="1">$AW$12*EXP(-'3.r(t)'!I288*$AW$26)</f>
        <v>0.97705999660208231</v>
      </c>
      <c r="AM290" s="7">
        <v>1</v>
      </c>
      <c r="AN290" s="7"/>
    </row>
    <row r="291" spans="2:40">
      <c r="B291" s="7">
        <v>283</v>
      </c>
      <c r="C291" s="7">
        <f>$AR$7*EXP(-'3.r(t)'!D289*$AR$21)</f>
        <v>0.97765346695821032</v>
      </c>
      <c r="D291" s="7">
        <v>1</v>
      </c>
      <c r="E291" s="7"/>
      <c r="F291" s="7">
        <v>283</v>
      </c>
      <c r="G291" s="48">
        <f>$AS$7*EXP(-'3.r(t)'!D289*$AS$21)</f>
        <v>0.9553476245219803</v>
      </c>
      <c r="H291" s="7">
        <f ca="1">$AS$8*EXP(-'3.r(t)'!E289*$AS$22)</f>
        <v>0.97917018026335489</v>
      </c>
      <c r="I291" s="7">
        <v>1</v>
      </c>
      <c r="J291" s="7"/>
      <c r="K291" s="7">
        <v>283</v>
      </c>
      <c r="L291" s="7">
        <f>$AT$7*EXP(-'3.r(t)'!D289*$AT$21)</f>
        <v>0.93311670519824419</v>
      </c>
      <c r="M291" s="7">
        <f ca="1">$AT$8*EXP(-'3.r(t)'!E289*$AT$22)</f>
        <v>0.95832264578971349</v>
      </c>
      <c r="N291" s="7">
        <f ca="1">$AT$9*EXP(-'3.r(t)'!F289*$AT$23)</f>
        <v>0.98156217953685143</v>
      </c>
      <c r="O291" s="7">
        <v>1</v>
      </c>
      <c r="P291" s="7"/>
      <c r="Q291" s="7">
        <v>283</v>
      </c>
      <c r="R291" s="7">
        <f>$AU$7*EXP(-'3.r(t)'!D289*$AU$21)</f>
        <v>0.91099305977534117</v>
      </c>
      <c r="S291" s="7">
        <f ca="1">$AU$8*EXP(-'3.r(t)'!E289*$AU$22)</f>
        <v>0.93749126590345433</v>
      </c>
      <c r="T291" s="7">
        <f ca="1">$AU$9*EXP(-'3.r(t)'!F289*$AU$23)</f>
        <v>0.96301905383706454</v>
      </c>
      <c r="U291" s="7">
        <f ca="1">$AU$10*EXP(-'3.r(t)'!G289*$AU$24)</f>
        <v>0.97888825867634421</v>
      </c>
      <c r="V291" s="7">
        <v>1</v>
      </c>
      <c r="W291" s="7"/>
      <c r="X291" s="7">
        <v>283</v>
      </c>
      <c r="Y291" s="7">
        <f>$AV$7*EXP(-'3.r(t)'!D289*$AV$21)</f>
        <v>0.88900715067201674</v>
      </c>
      <c r="Z291" s="7">
        <f ca="1">$AV$8*EXP(-'3.r(t)'!E289*$AV$22)</f>
        <v>0.91670823256543876</v>
      </c>
      <c r="AA291" s="7">
        <f ca="1">$AV$9*EXP(-'3.r(t)'!F289*$AV$23)</f>
        <v>0.94440375548497846</v>
      </c>
      <c r="AB291" s="7">
        <f ca="1">$AV$10*EXP(-'3.r(t)'!G289*$AV$24)</f>
        <v>0.95778788743994081</v>
      </c>
      <c r="AC291" s="7">
        <f ca="1">$AV$11*EXP(-'3.r(t)'!H289*$AV$25)</f>
        <v>0.97918060425563702</v>
      </c>
      <c r="AD291" s="7">
        <v>1</v>
      </c>
      <c r="AE291" s="7"/>
      <c r="AF291" s="7">
        <v>283</v>
      </c>
      <c r="AG291" s="7">
        <f>$AW$7*EXP(-'3.r(t)'!D289*$AW$21)</f>
        <v>0.86718755429225491</v>
      </c>
      <c r="AH291" s="7">
        <f ca="1">$AW$8*EXP(-'3.r(t)'!E289*$AW$22)</f>
        <v>0.8960040425426542</v>
      </c>
      <c r="AI291" s="7">
        <f ca="1">$AW$9*EXP(-'3.r(t)'!F289*$AW$23)</f>
        <v>0.92574805246550662</v>
      </c>
      <c r="AJ291" s="7">
        <f ca="1">$AW$10*EXP(-'3.r(t)'!G289*$AW$24)</f>
        <v>0.93673161433660723</v>
      </c>
      <c r="AK291" s="7">
        <f ca="1">$AW$11*EXP(-'3.r(t)'!H289*$AW$25)</f>
        <v>0.95836856623136468</v>
      </c>
      <c r="AL291" s="7">
        <f ca="1">$AW$12*EXP(-'3.r(t)'!I289*$AW$26)</f>
        <v>0.98135339045324332</v>
      </c>
      <c r="AM291" s="7">
        <v>1</v>
      </c>
      <c r="AN291" s="7"/>
    </row>
    <row r="292" spans="2:40">
      <c r="B292" s="7">
        <v>284</v>
      </c>
      <c r="C292" s="7">
        <f>$AR$7*EXP(-'3.r(t)'!D290*$AR$21)</f>
        <v>0.97765346695821032</v>
      </c>
      <c r="D292" s="7">
        <v>1</v>
      </c>
      <c r="E292" s="7"/>
      <c r="F292" s="7">
        <v>284</v>
      </c>
      <c r="G292" s="48">
        <f>$AS$7*EXP(-'3.r(t)'!D290*$AS$21)</f>
        <v>0.9553476245219803</v>
      </c>
      <c r="H292" s="7">
        <f ca="1">$AS$8*EXP(-'3.r(t)'!E290*$AS$22)</f>
        <v>0.97919164654647339</v>
      </c>
      <c r="I292" s="7">
        <v>1</v>
      </c>
      <c r="J292" s="7"/>
      <c r="K292" s="7">
        <v>284</v>
      </c>
      <c r="L292" s="7">
        <f>$AT$7*EXP(-'3.r(t)'!D290*$AT$21)</f>
        <v>0.93311670519824419</v>
      </c>
      <c r="M292" s="7">
        <f ca="1">$AT$8*EXP(-'3.r(t)'!E290*$AT$22)</f>
        <v>0.95836466473829518</v>
      </c>
      <c r="N292" s="7">
        <f ca="1">$AT$9*EXP(-'3.r(t)'!F290*$AT$23)</f>
        <v>0.97588234344615787</v>
      </c>
      <c r="O292" s="7">
        <v>1</v>
      </c>
      <c r="P292" s="7"/>
      <c r="Q292" s="7">
        <v>284</v>
      </c>
      <c r="R292" s="7">
        <f>$AU$7*EXP(-'3.r(t)'!D290*$AU$21)</f>
        <v>0.91099305977534117</v>
      </c>
      <c r="S292" s="7">
        <f ca="1">$AU$8*EXP(-'3.r(t)'!E290*$AU$22)</f>
        <v>0.93755292493228592</v>
      </c>
      <c r="T292" s="7">
        <f ca="1">$AU$9*EXP(-'3.r(t)'!F290*$AU$23)</f>
        <v>0.95190622788114321</v>
      </c>
      <c r="U292" s="7">
        <f ca="1">$AU$10*EXP(-'3.r(t)'!G290*$AU$24)</f>
        <v>0.97548270317237462</v>
      </c>
      <c r="V292" s="7">
        <v>1</v>
      </c>
      <c r="W292" s="7"/>
      <c r="X292" s="7">
        <v>284</v>
      </c>
      <c r="Y292" s="7">
        <f>$AV$7*EXP(-'3.r(t)'!D290*$AV$21)</f>
        <v>0.88900715067201674</v>
      </c>
      <c r="Z292" s="7">
        <f ca="1">$AV$8*EXP(-'3.r(t)'!E290*$AV$22)</f>
        <v>0.91678862294485675</v>
      </c>
      <c r="AA292" s="7">
        <f ca="1">$AV$9*EXP(-'3.r(t)'!F290*$AV$23)</f>
        <v>0.92810398585482345</v>
      </c>
      <c r="AB292" s="7">
        <f ca="1">$AV$10*EXP(-'3.r(t)'!G290*$AV$24)</f>
        <v>0.9511351855065886</v>
      </c>
      <c r="AC292" s="7">
        <f ca="1">$AV$11*EXP(-'3.r(t)'!H290*$AV$25)</f>
        <v>0.98015734810361366</v>
      </c>
      <c r="AD292" s="7">
        <v>1</v>
      </c>
      <c r="AE292" s="7"/>
      <c r="AF292" s="7">
        <v>284</v>
      </c>
      <c r="AG292" s="7">
        <f>$AW$7*EXP(-'3.r(t)'!D290*$AW$21)</f>
        <v>0.86718755429225491</v>
      </c>
      <c r="AH292" s="7">
        <f ca="1">$AW$8*EXP(-'3.r(t)'!E290*$AW$22)</f>
        <v>0.89610226203598009</v>
      </c>
      <c r="AI292" s="7">
        <f ca="1">$AW$9*EXP(-'3.r(t)'!F290*$AW$23)</f>
        <v>0.90450585739149192</v>
      </c>
      <c r="AJ292" s="7">
        <f ca="1">$AW$10*EXP(-'3.r(t)'!G290*$AW$24)</f>
        <v>0.92698891079038026</v>
      </c>
      <c r="AK292" s="7">
        <f ca="1">$AW$11*EXP(-'3.r(t)'!H290*$AW$25)</f>
        <v>0.96028148704013361</v>
      </c>
      <c r="AL292" s="7">
        <f ca="1">$AW$12*EXP(-'3.r(t)'!I290*$AW$26)</f>
        <v>0.97690996793749452</v>
      </c>
      <c r="AM292" s="7">
        <v>1</v>
      </c>
      <c r="AN292" s="7"/>
    </row>
    <row r="293" spans="2:40">
      <c r="B293" s="7">
        <v>285</v>
      </c>
      <c r="C293" s="7">
        <f>$AR$7*EXP(-'3.r(t)'!D291*$AR$21)</f>
        <v>0.97765346695821032</v>
      </c>
      <c r="D293" s="7">
        <v>1</v>
      </c>
      <c r="E293" s="7"/>
      <c r="F293" s="7">
        <v>285</v>
      </c>
      <c r="G293" s="48">
        <f>$AS$7*EXP(-'3.r(t)'!D291*$AS$21)</f>
        <v>0.9553476245219803</v>
      </c>
      <c r="H293" s="7">
        <f ca="1">$AS$8*EXP(-'3.r(t)'!E291*$AS$22)</f>
        <v>0.97950167114952646</v>
      </c>
      <c r="I293" s="7">
        <v>1</v>
      </c>
      <c r="J293" s="7"/>
      <c r="K293" s="7">
        <v>285</v>
      </c>
      <c r="L293" s="7">
        <f>$AT$7*EXP(-'3.r(t)'!D291*$AT$21)</f>
        <v>0.93311670519824419</v>
      </c>
      <c r="M293" s="7">
        <f ca="1">$AT$8*EXP(-'3.r(t)'!E291*$AT$22)</f>
        <v>0.95897162183658369</v>
      </c>
      <c r="N293" s="7">
        <f ca="1">$AT$9*EXP(-'3.r(t)'!F291*$AT$23)</f>
        <v>0.97746629227931869</v>
      </c>
      <c r="O293" s="7">
        <v>1</v>
      </c>
      <c r="P293" s="7"/>
      <c r="Q293" s="7">
        <v>285</v>
      </c>
      <c r="R293" s="7">
        <f>$AU$7*EXP(-'3.r(t)'!D291*$AU$21)</f>
        <v>0.91099305977534117</v>
      </c>
      <c r="S293" s="7">
        <f ca="1">$AU$8*EXP(-'3.r(t)'!E291*$AU$22)</f>
        <v>0.9384437306664517</v>
      </c>
      <c r="T293" s="7">
        <f ca="1">$AU$9*EXP(-'3.r(t)'!F291*$AU$23)</f>
        <v>0.95499880230047773</v>
      </c>
      <c r="U293" s="7">
        <f ca="1">$AU$10*EXP(-'3.r(t)'!G291*$AU$24)</f>
        <v>0.97814830183021539</v>
      </c>
      <c r="V293" s="7">
        <v>1</v>
      </c>
      <c r="W293" s="7"/>
      <c r="X293" s="7">
        <v>285</v>
      </c>
      <c r="Y293" s="7">
        <f>$AV$7*EXP(-'3.r(t)'!D291*$AV$21)</f>
        <v>0.88900715067201674</v>
      </c>
      <c r="Z293" s="7">
        <f ca="1">$AV$8*EXP(-'3.r(t)'!E291*$AV$22)</f>
        <v>0.91795024250433677</v>
      </c>
      <c r="AA293" s="7">
        <f ca="1">$AV$9*EXP(-'3.r(t)'!F291*$AV$23)</f>
        <v>0.93263052510484901</v>
      </c>
      <c r="AB293" s="7">
        <f ca="1">$AV$10*EXP(-'3.r(t)'!G291*$AV$24)</f>
        <v>0.95634042123264618</v>
      </c>
      <c r="AC293" s="7">
        <f ca="1">$AV$11*EXP(-'3.r(t)'!H291*$AV$25)</f>
        <v>0.9758911273715184</v>
      </c>
      <c r="AD293" s="7">
        <v>1</v>
      </c>
      <c r="AE293" s="7"/>
      <c r="AF293" s="7">
        <v>285</v>
      </c>
      <c r="AG293" s="7">
        <f>$AW$7*EXP(-'3.r(t)'!D291*$AW$21)</f>
        <v>0.86718755429225491</v>
      </c>
      <c r="AH293" s="7">
        <f ca="1">$AW$8*EXP(-'3.r(t)'!E291*$AW$22)</f>
        <v>0.89752174781051741</v>
      </c>
      <c r="AI293" s="7">
        <f ca="1">$AW$9*EXP(-'3.r(t)'!F291*$AW$23)</f>
        <v>0.91039256236684962</v>
      </c>
      <c r="AJ293" s="7">
        <f ca="1">$AW$10*EXP(-'3.r(t)'!G291*$AW$24)</f>
        <v>0.9346089497499217</v>
      </c>
      <c r="AK293" s="7">
        <f ca="1">$AW$11*EXP(-'3.r(t)'!H291*$AW$25)</f>
        <v>0.95194026098021489</v>
      </c>
      <c r="AL293" s="7">
        <f ca="1">$AW$12*EXP(-'3.r(t)'!I291*$AW$26)</f>
        <v>0.97849523469964483</v>
      </c>
      <c r="AM293" s="7">
        <v>1</v>
      </c>
      <c r="AN293" s="7"/>
    </row>
    <row r="294" spans="2:40">
      <c r="B294" s="7">
        <v>286</v>
      </c>
      <c r="C294" s="7">
        <f>$AR$7*EXP(-'3.r(t)'!D292*$AR$21)</f>
        <v>0.97765346695821032</v>
      </c>
      <c r="D294" s="7">
        <v>1</v>
      </c>
      <c r="E294" s="7"/>
      <c r="F294" s="7">
        <v>286</v>
      </c>
      <c r="G294" s="48">
        <f>$AS$7*EXP(-'3.r(t)'!D292*$AS$21)</f>
        <v>0.9553476245219803</v>
      </c>
      <c r="H294" s="7">
        <f ca="1">$AS$8*EXP(-'3.r(t)'!E292*$AS$22)</f>
        <v>0.97261824172585487</v>
      </c>
      <c r="I294" s="7">
        <v>1</v>
      </c>
      <c r="J294" s="7"/>
      <c r="K294" s="7">
        <v>286</v>
      </c>
      <c r="L294" s="7">
        <f>$AT$7*EXP(-'3.r(t)'!D292*$AT$21)</f>
        <v>0.93311670519824419</v>
      </c>
      <c r="M294" s="7">
        <f ca="1">$AT$8*EXP(-'3.r(t)'!E292*$AT$22)</f>
        <v>0.94554067133710873</v>
      </c>
      <c r="N294" s="7">
        <f ca="1">$AT$9*EXP(-'3.r(t)'!F292*$AT$23)</f>
        <v>0.97110003697853731</v>
      </c>
      <c r="O294" s="7">
        <v>1</v>
      </c>
      <c r="P294" s="7"/>
      <c r="Q294" s="7">
        <v>286</v>
      </c>
      <c r="R294" s="7">
        <f>$AU$7*EXP(-'3.r(t)'!D292*$AU$21)</f>
        <v>0.91099305977534117</v>
      </c>
      <c r="S294" s="7">
        <f ca="1">$AU$8*EXP(-'3.r(t)'!E292*$AU$22)</f>
        <v>0.91879775490809423</v>
      </c>
      <c r="T294" s="7">
        <f ca="1">$AU$9*EXP(-'3.r(t)'!F292*$AU$23)</f>
        <v>0.94259946449673426</v>
      </c>
      <c r="U294" s="7">
        <f ca="1">$AU$10*EXP(-'3.r(t)'!G292*$AU$24)</f>
        <v>0.97000680249344906</v>
      </c>
      <c r="V294" s="7">
        <v>1</v>
      </c>
      <c r="W294" s="7"/>
      <c r="X294" s="7">
        <v>286</v>
      </c>
      <c r="Y294" s="7">
        <f>$AV$7*EXP(-'3.r(t)'!D292*$AV$21)</f>
        <v>0.88900715067201674</v>
      </c>
      <c r="Z294" s="7">
        <f ca="1">$AV$8*EXP(-'3.r(t)'!E292*$AV$22)</f>
        <v>0.89241745925474292</v>
      </c>
      <c r="AA294" s="7">
        <f ca="1">$AV$9*EXP(-'3.r(t)'!F292*$AV$23)</f>
        <v>0.91452623485983364</v>
      </c>
      <c r="AB294" s="7">
        <f ca="1">$AV$10*EXP(-'3.r(t)'!G292*$AV$24)</f>
        <v>0.94048670705014759</v>
      </c>
      <c r="AC294" s="7">
        <f ca="1">$AV$11*EXP(-'3.r(t)'!H292*$AV$25)</f>
        <v>0.97156840410671852</v>
      </c>
      <c r="AD294" s="7">
        <v>1</v>
      </c>
      <c r="AE294" s="7"/>
      <c r="AF294" s="7">
        <v>286</v>
      </c>
      <c r="AG294" s="7">
        <f>$AW$7*EXP(-'3.r(t)'!D292*$AW$21)</f>
        <v>0.86718755429225491</v>
      </c>
      <c r="AH294" s="7">
        <f ca="1">$AW$8*EXP(-'3.r(t)'!E292*$AW$22)</f>
        <v>0.86642530401841156</v>
      </c>
      <c r="AI294" s="7">
        <f ca="1">$AW$9*EXP(-'3.r(t)'!F292*$AW$23)</f>
        <v>0.88690565612389305</v>
      </c>
      <c r="AJ294" s="7">
        <f ca="1">$AW$10*EXP(-'3.r(t)'!G292*$AW$24)</f>
        <v>0.91146534176019101</v>
      </c>
      <c r="AK294" s="7">
        <f ca="1">$AW$11*EXP(-'3.r(t)'!H292*$AW$25)</f>
        <v>0.94352567347178629</v>
      </c>
      <c r="AL294" s="7">
        <f ca="1">$AW$12*EXP(-'3.r(t)'!I292*$AW$26)</f>
        <v>0.97181621303604693</v>
      </c>
      <c r="AM294" s="7">
        <v>1</v>
      </c>
      <c r="AN294" s="7"/>
    </row>
    <row r="295" spans="2:40">
      <c r="B295" s="7">
        <v>287</v>
      </c>
      <c r="C295" s="7">
        <f>$AR$7*EXP(-'3.r(t)'!D293*$AR$21)</f>
        <v>0.97765346695821032</v>
      </c>
      <c r="D295" s="7">
        <v>1</v>
      </c>
      <c r="E295" s="7"/>
      <c r="F295" s="7">
        <v>287</v>
      </c>
      <c r="G295" s="48">
        <f>$AS$7*EXP(-'3.r(t)'!D293*$AS$21)</f>
        <v>0.9553476245219803</v>
      </c>
      <c r="H295" s="7">
        <f ca="1">$AS$8*EXP(-'3.r(t)'!E293*$AS$22)</f>
        <v>0.97605947811531768</v>
      </c>
      <c r="I295" s="7">
        <v>1</v>
      </c>
      <c r="J295" s="7"/>
      <c r="K295" s="7">
        <v>287</v>
      </c>
      <c r="L295" s="7">
        <f>$AT$7*EXP(-'3.r(t)'!D293*$AT$21)</f>
        <v>0.93311670519824419</v>
      </c>
      <c r="M295" s="7">
        <f ca="1">$AT$8*EXP(-'3.r(t)'!E293*$AT$22)</f>
        <v>0.95224337346344379</v>
      </c>
      <c r="N295" s="7">
        <f ca="1">$AT$9*EXP(-'3.r(t)'!F293*$AT$23)</f>
        <v>0.97679548509845471</v>
      </c>
      <c r="O295" s="7">
        <v>1</v>
      </c>
      <c r="P295" s="7"/>
      <c r="Q295" s="7">
        <v>287</v>
      </c>
      <c r="R295" s="7">
        <f>$AU$7*EXP(-'3.r(t)'!D293*$AU$21)</f>
        <v>0.91099305977534117</v>
      </c>
      <c r="S295" s="7">
        <f ca="1">$AU$8*EXP(-'3.r(t)'!E293*$AU$22)</f>
        <v>0.92858474062221674</v>
      </c>
      <c r="T295" s="7">
        <f ca="1">$AU$9*EXP(-'3.r(t)'!F293*$AU$23)</f>
        <v>0.95368847530559164</v>
      </c>
      <c r="U295" s="7">
        <f ca="1">$AU$10*EXP(-'3.r(t)'!G293*$AU$24)</f>
        <v>0.97511784921787237</v>
      </c>
      <c r="V295" s="7">
        <v>1</v>
      </c>
      <c r="W295" s="7"/>
      <c r="X295" s="7">
        <v>287</v>
      </c>
      <c r="Y295" s="7">
        <f>$AV$7*EXP(-'3.r(t)'!D293*$AV$21)</f>
        <v>0.88900715067201674</v>
      </c>
      <c r="Z295" s="7">
        <f ca="1">$AV$8*EXP(-'3.r(t)'!E293*$AV$22)</f>
        <v>0.90511455341295743</v>
      </c>
      <c r="AA295" s="7">
        <f ca="1">$AV$9*EXP(-'3.r(t)'!F293*$AV$23)</f>
        <v>0.93071172949639291</v>
      </c>
      <c r="AB295" s="7">
        <f ca="1">$AV$10*EXP(-'3.r(t)'!G293*$AV$24)</f>
        <v>0.95042382376814361</v>
      </c>
      <c r="AC295" s="7">
        <f ca="1">$AV$11*EXP(-'3.r(t)'!H293*$AV$25)</f>
        <v>0.9726694906888711</v>
      </c>
      <c r="AD295" s="7">
        <v>1</v>
      </c>
      <c r="AE295" s="7"/>
      <c r="AF295" s="7">
        <v>287</v>
      </c>
      <c r="AG295" s="7">
        <f>$AW$7*EXP(-'3.r(t)'!D293*$AW$21)</f>
        <v>0.86718755429225491</v>
      </c>
      <c r="AH295" s="7">
        <f ca="1">$AW$8*EXP(-'3.r(t)'!E293*$AW$22)</f>
        <v>0.88186171703899752</v>
      </c>
      <c r="AI295" s="7">
        <f ca="1">$AW$9*EXP(-'3.r(t)'!F293*$AW$23)</f>
        <v>0.9078960281993208</v>
      </c>
      <c r="AJ295" s="7">
        <f ca="1">$AW$10*EXP(-'3.r(t)'!G293*$AW$24)</f>
        <v>0.92594915144720846</v>
      </c>
      <c r="AK295" s="7">
        <f ca="1">$AW$11*EXP(-'3.r(t)'!H293*$AW$25)</f>
        <v>0.94566549636755626</v>
      </c>
      <c r="AL295" s="7">
        <f ca="1">$AW$12*EXP(-'3.r(t)'!I293*$AW$26)</f>
        <v>0.97278514711715403</v>
      </c>
      <c r="AM295" s="7">
        <v>1</v>
      </c>
      <c r="AN295" s="7"/>
    </row>
    <row r="296" spans="2:40">
      <c r="B296" s="7">
        <v>288</v>
      </c>
      <c r="C296" s="7">
        <f>$AR$7*EXP(-'3.r(t)'!D294*$AR$21)</f>
        <v>0.97765346695821032</v>
      </c>
      <c r="D296" s="7">
        <v>1</v>
      </c>
      <c r="E296" s="7"/>
      <c r="F296" s="7">
        <v>288</v>
      </c>
      <c r="G296" s="48">
        <f>$AS$7*EXP(-'3.r(t)'!D294*$AS$21)</f>
        <v>0.9553476245219803</v>
      </c>
      <c r="H296" s="7">
        <f ca="1">$AS$8*EXP(-'3.r(t)'!E294*$AS$22)</f>
        <v>0.97857937415702445</v>
      </c>
      <c r="I296" s="7">
        <v>1</v>
      </c>
      <c r="J296" s="7"/>
      <c r="K296" s="7">
        <v>288</v>
      </c>
      <c r="L296" s="7">
        <f>$AT$7*EXP(-'3.r(t)'!D294*$AT$21)</f>
        <v>0.93311670519824419</v>
      </c>
      <c r="M296" s="7">
        <f ca="1">$AT$8*EXP(-'3.r(t)'!E294*$AT$22)</f>
        <v>0.95716654019686787</v>
      </c>
      <c r="N296" s="7">
        <f ca="1">$AT$9*EXP(-'3.r(t)'!F294*$AT$23)</f>
        <v>0.97235984495992833</v>
      </c>
      <c r="O296" s="7">
        <v>1</v>
      </c>
      <c r="P296" s="7"/>
      <c r="Q296" s="7">
        <v>288</v>
      </c>
      <c r="R296" s="7">
        <f>$AU$7*EXP(-'3.r(t)'!D294*$AU$21)</f>
        <v>0.91099305977534117</v>
      </c>
      <c r="S296" s="7">
        <f ca="1">$AU$8*EXP(-'3.r(t)'!E294*$AU$22)</f>
        <v>0.93579531524453752</v>
      </c>
      <c r="T296" s="7">
        <f ca="1">$AU$9*EXP(-'3.r(t)'!F294*$AU$23)</f>
        <v>0.94504671926249906</v>
      </c>
      <c r="U296" s="7">
        <f ca="1">$AU$10*EXP(-'3.r(t)'!G294*$AU$24)</f>
        <v>0.9681861913108919</v>
      </c>
      <c r="V296" s="7">
        <v>1</v>
      </c>
      <c r="W296" s="7"/>
      <c r="X296" s="7">
        <v>288</v>
      </c>
      <c r="Y296" s="7">
        <f>$AV$7*EXP(-'3.r(t)'!D294*$AV$21)</f>
        <v>0.88900715067201674</v>
      </c>
      <c r="Z296" s="7">
        <f ca="1">$AV$8*EXP(-'3.r(t)'!E294*$AV$22)</f>
        <v>0.91449776149030793</v>
      </c>
      <c r="AA296" s="7">
        <f ca="1">$AV$9*EXP(-'3.r(t)'!F294*$AV$23)</f>
        <v>0.91809009864452229</v>
      </c>
      <c r="AB296" s="7">
        <f ca="1">$AV$10*EXP(-'3.r(t)'!G294*$AV$24)</f>
        <v>0.93695961067154432</v>
      </c>
      <c r="AC296" s="7">
        <f ca="1">$AV$11*EXP(-'3.r(t)'!H294*$AV$25)</f>
        <v>0.96730779733727013</v>
      </c>
      <c r="AD296" s="7">
        <v>1</v>
      </c>
      <c r="AE296" s="7"/>
      <c r="AF296" s="7">
        <v>288</v>
      </c>
      <c r="AG296" s="7">
        <f>$AW$7*EXP(-'3.r(t)'!D294*$AW$21)</f>
        <v>0.86718755429225491</v>
      </c>
      <c r="AH296" s="7">
        <f ca="1">$AW$8*EXP(-'3.r(t)'!E294*$AW$22)</f>
        <v>0.89330417358438441</v>
      </c>
      <c r="AI296" s="7">
        <f ca="1">$AW$9*EXP(-'3.r(t)'!F294*$AW$23)</f>
        <v>0.89151695025430211</v>
      </c>
      <c r="AJ296" s="7">
        <f ca="1">$AW$10*EXP(-'3.r(t)'!G294*$AW$24)</f>
        <v>0.90634276523011192</v>
      </c>
      <c r="AK296" s="7">
        <f ca="1">$AW$11*EXP(-'3.r(t)'!H294*$AW$25)</f>
        <v>0.93526855550756915</v>
      </c>
      <c r="AL296" s="7">
        <f ca="1">$AW$12*EXP(-'3.r(t)'!I294*$AW$26)</f>
        <v>0.96842886176212883</v>
      </c>
      <c r="AM296" s="7">
        <v>1</v>
      </c>
      <c r="AN296" s="7"/>
    </row>
    <row r="297" spans="2:40">
      <c r="B297" s="7">
        <v>289</v>
      </c>
      <c r="C297" s="7">
        <f>$AR$7*EXP(-'3.r(t)'!D295*$AR$21)</f>
        <v>0.97765346695821032</v>
      </c>
      <c r="D297" s="7">
        <v>1</v>
      </c>
      <c r="E297" s="7"/>
      <c r="F297" s="7">
        <v>289</v>
      </c>
      <c r="G297" s="48">
        <f>$AS$7*EXP(-'3.r(t)'!D295*$AS$21)</f>
        <v>0.9553476245219803</v>
      </c>
      <c r="H297" s="7">
        <f ca="1">$AS$8*EXP(-'3.r(t)'!E295*$AS$22)</f>
        <v>0.97331758714966388</v>
      </c>
      <c r="I297" s="7">
        <v>1</v>
      </c>
      <c r="J297" s="7"/>
      <c r="K297" s="7">
        <v>289</v>
      </c>
      <c r="L297" s="7">
        <f>$AT$7*EXP(-'3.r(t)'!D295*$AT$21)</f>
        <v>0.93311670519824419</v>
      </c>
      <c r="M297" s="7">
        <f ca="1">$AT$8*EXP(-'3.r(t)'!E295*$AT$22)</f>
        <v>0.94690091165985446</v>
      </c>
      <c r="N297" s="7">
        <f ca="1">$AT$9*EXP(-'3.r(t)'!F295*$AT$23)</f>
        <v>0.97390242872108856</v>
      </c>
      <c r="O297" s="7">
        <v>1</v>
      </c>
      <c r="P297" s="7"/>
      <c r="Q297" s="7">
        <v>289</v>
      </c>
      <c r="R297" s="7">
        <f>$AU$7*EXP(-'3.r(t)'!D295*$AU$21)</f>
        <v>0.91099305977534117</v>
      </c>
      <c r="S297" s="7">
        <f ca="1">$AU$8*EXP(-'3.r(t)'!E295*$AU$22)</f>
        <v>0.92078112034998683</v>
      </c>
      <c r="T297" s="7">
        <f ca="1">$AU$9*EXP(-'3.r(t)'!F295*$AU$23)</f>
        <v>0.94804760436104474</v>
      </c>
      <c r="U297" s="7">
        <f ca="1">$AU$10*EXP(-'3.r(t)'!G295*$AU$24)</f>
        <v>0.97506675767101503</v>
      </c>
      <c r="V297" s="7">
        <v>1</v>
      </c>
      <c r="W297" s="7"/>
      <c r="X297" s="7">
        <v>289</v>
      </c>
      <c r="Y297" s="7">
        <f>$AV$7*EXP(-'3.r(t)'!D295*$AV$21)</f>
        <v>0.88900715067201674</v>
      </c>
      <c r="Z297" s="7">
        <f ca="1">$AV$8*EXP(-'3.r(t)'!E295*$AV$22)</f>
        <v>0.89498694230330411</v>
      </c>
      <c r="AA297" s="7">
        <f ca="1">$AV$9*EXP(-'3.r(t)'!F295*$AV$23)</f>
        <v>0.92246649950579052</v>
      </c>
      <c r="AB297" s="7">
        <f ca="1">$AV$10*EXP(-'3.r(t)'!G295*$AV$24)</f>
        <v>0.95032423098303642</v>
      </c>
      <c r="AC297" s="7">
        <f ca="1">$AV$11*EXP(-'3.r(t)'!H295*$AV$25)</f>
        <v>0.97594329512084643</v>
      </c>
      <c r="AD297" s="7">
        <v>1</v>
      </c>
      <c r="AE297" s="7"/>
      <c r="AF297" s="7">
        <v>289</v>
      </c>
      <c r="AG297" s="7">
        <f>$AW$7*EXP(-'3.r(t)'!D295*$AW$21)</f>
        <v>0.86718755429225491</v>
      </c>
      <c r="AH297" s="7">
        <f ca="1">$AW$8*EXP(-'3.r(t)'!E295*$AW$22)</f>
        <v>0.86954473228604556</v>
      </c>
      <c r="AI297" s="7">
        <f ca="1">$AW$9*EXP(-'3.r(t)'!F295*$AW$23)</f>
        <v>0.89718775465096123</v>
      </c>
      <c r="AJ297" s="7">
        <f ca="1">$AW$10*EXP(-'3.r(t)'!G295*$AW$24)</f>
        <v>0.92580361305156911</v>
      </c>
      <c r="AK297" s="7">
        <f ca="1">$AW$11*EXP(-'3.r(t)'!H295*$AW$25)</f>
        <v>0.95204203853891611</v>
      </c>
      <c r="AL297" s="7">
        <f ca="1">$AW$12*EXP(-'3.r(t)'!I295*$AW$26)</f>
        <v>0.97517027292284375</v>
      </c>
      <c r="AM297" s="7">
        <v>1</v>
      </c>
      <c r="AN297" s="7"/>
    </row>
    <row r="298" spans="2:40">
      <c r="B298" s="7">
        <v>290</v>
      </c>
      <c r="C298" s="7">
        <f>$AR$7*EXP(-'3.r(t)'!D296*$AR$21)</f>
        <v>0.97765346695821032</v>
      </c>
      <c r="D298" s="7">
        <v>1</v>
      </c>
      <c r="E298" s="7"/>
      <c r="F298" s="7">
        <v>290</v>
      </c>
      <c r="G298" s="48">
        <f>$AS$7*EXP(-'3.r(t)'!D296*$AS$21)</f>
        <v>0.9553476245219803</v>
      </c>
      <c r="H298" s="7">
        <f ca="1">$AS$8*EXP(-'3.r(t)'!E296*$AS$22)</f>
        <v>0.97774774794838082</v>
      </c>
      <c r="I298" s="7">
        <v>1</v>
      </c>
      <c r="J298" s="7"/>
      <c r="K298" s="7">
        <v>290</v>
      </c>
      <c r="L298" s="7">
        <f>$AT$7*EXP(-'3.r(t)'!D296*$AT$21)</f>
        <v>0.93311670519824419</v>
      </c>
      <c r="M298" s="7">
        <f ca="1">$AT$8*EXP(-'3.r(t)'!E296*$AT$22)</f>
        <v>0.95554037359768296</v>
      </c>
      <c r="N298" s="7">
        <f ca="1">$AT$9*EXP(-'3.r(t)'!F296*$AT$23)</f>
        <v>0.97848664812499964</v>
      </c>
      <c r="O298" s="7">
        <v>1</v>
      </c>
      <c r="P298" s="7"/>
      <c r="Q298" s="7">
        <v>290</v>
      </c>
      <c r="R298" s="7">
        <f>$AU$7*EXP(-'3.r(t)'!D296*$AU$21)</f>
        <v>0.91099305977534117</v>
      </c>
      <c r="S298" s="7">
        <f ca="1">$AU$8*EXP(-'3.r(t)'!E296*$AU$22)</f>
        <v>0.93341154111318703</v>
      </c>
      <c r="T298" s="7">
        <f ca="1">$AU$9*EXP(-'3.r(t)'!F296*$AU$23)</f>
        <v>0.95699364798652031</v>
      </c>
      <c r="U298" s="7">
        <f ca="1">$AU$10*EXP(-'3.r(t)'!G296*$AU$24)</f>
        <v>0.975460397213187</v>
      </c>
      <c r="V298" s="7">
        <v>1</v>
      </c>
      <c r="W298" s="7"/>
      <c r="X298" s="7">
        <v>290</v>
      </c>
      <c r="Y298" s="7">
        <f>$AV$7*EXP(-'3.r(t)'!D296*$AV$21)</f>
        <v>0.88900715067201674</v>
      </c>
      <c r="Z298" s="7">
        <f ca="1">$AV$8*EXP(-'3.r(t)'!E296*$AV$22)</f>
        <v>0.91139305110778257</v>
      </c>
      <c r="AA298" s="7">
        <f ca="1">$AV$9*EXP(-'3.r(t)'!F296*$AV$23)</f>
        <v>0.93555423326208986</v>
      </c>
      <c r="AB298" s="7">
        <f ca="1">$AV$10*EXP(-'3.r(t)'!G296*$AV$24)</f>
        <v>0.95109168757476015</v>
      </c>
      <c r="AC298" s="7">
        <f ca="1">$AV$11*EXP(-'3.r(t)'!H296*$AV$25)</f>
        <v>0.97583939392661567</v>
      </c>
      <c r="AD298" s="7">
        <v>1</v>
      </c>
      <c r="AE298" s="7"/>
      <c r="AF298" s="7">
        <v>290</v>
      </c>
      <c r="AG298" s="7">
        <f>$AW$7*EXP(-'3.r(t)'!D296*$AW$21)</f>
        <v>0.86718755429225491</v>
      </c>
      <c r="AH298" s="7">
        <f ca="1">$AW$8*EXP(-'3.r(t)'!E296*$AW$22)</f>
        <v>0.88951483576527479</v>
      </c>
      <c r="AI298" s="7">
        <f ca="1">$AW$9*EXP(-'3.r(t)'!F296*$AW$23)</f>
        <v>0.91419987487963839</v>
      </c>
      <c r="AJ298" s="7">
        <f ca="1">$AW$10*EXP(-'3.r(t)'!G296*$AW$24)</f>
        <v>0.92692532102935188</v>
      </c>
      <c r="AK298" s="7">
        <f ca="1">$AW$11*EXP(-'3.r(t)'!H296*$AW$25)</f>
        <v>0.95183933610790372</v>
      </c>
      <c r="AL298" s="7">
        <f ca="1">$AW$12*EXP(-'3.r(t)'!I296*$AW$26)</f>
        <v>0.97422164933945232</v>
      </c>
      <c r="AM298" s="7">
        <v>1</v>
      </c>
      <c r="AN298" s="7"/>
    </row>
    <row r="299" spans="2:40">
      <c r="B299" s="7">
        <v>291</v>
      </c>
      <c r="C299" s="7">
        <f>$AR$7*EXP(-'3.r(t)'!D297*$AR$21)</f>
        <v>0.97765346695821032</v>
      </c>
      <c r="D299" s="7">
        <v>1</v>
      </c>
      <c r="E299" s="7"/>
      <c r="F299" s="7">
        <v>291</v>
      </c>
      <c r="G299" s="48">
        <f>$AS$7*EXP(-'3.r(t)'!D297*$AS$21)</f>
        <v>0.9553476245219803</v>
      </c>
      <c r="H299" s="7">
        <f ca="1">$AS$8*EXP(-'3.r(t)'!E297*$AS$22)</f>
        <v>0.98046236775868145</v>
      </c>
      <c r="I299" s="7">
        <v>1</v>
      </c>
      <c r="J299" s="7"/>
      <c r="K299" s="7">
        <v>291</v>
      </c>
      <c r="L299" s="7">
        <f>$AT$7*EXP(-'3.r(t)'!D297*$AT$21)</f>
        <v>0.93311670519824419</v>
      </c>
      <c r="M299" s="7">
        <f ca="1">$AT$8*EXP(-'3.r(t)'!E297*$AT$22)</f>
        <v>0.96085366575598585</v>
      </c>
      <c r="N299" s="7">
        <f ca="1">$AT$9*EXP(-'3.r(t)'!F297*$AT$23)</f>
        <v>0.98363085102147396</v>
      </c>
      <c r="O299" s="7">
        <v>1</v>
      </c>
      <c r="P299" s="7"/>
      <c r="Q299" s="7">
        <v>291</v>
      </c>
      <c r="R299" s="7">
        <f>$AU$7*EXP(-'3.r(t)'!D297*$AU$21)</f>
        <v>0.91099305977534117</v>
      </c>
      <c r="S299" s="7">
        <f ca="1">$AU$8*EXP(-'3.r(t)'!E297*$AU$22)</f>
        <v>0.94120772059101498</v>
      </c>
      <c r="T299" s="7">
        <f ca="1">$AU$9*EXP(-'3.r(t)'!F297*$AU$23)</f>
        <v>0.96708251385257038</v>
      </c>
      <c r="U299" s="7">
        <f ca="1">$AU$10*EXP(-'3.r(t)'!G297*$AU$24)</f>
        <v>0.97738571282583764</v>
      </c>
      <c r="V299" s="7">
        <v>1</v>
      </c>
      <c r="W299" s="7"/>
      <c r="X299" s="7">
        <v>291</v>
      </c>
      <c r="Y299" s="7">
        <f>$AV$7*EXP(-'3.r(t)'!D297*$AV$21)</f>
        <v>0.88900715067201674</v>
      </c>
      <c r="Z299" s="7">
        <f ca="1">$AV$8*EXP(-'3.r(t)'!E297*$AV$22)</f>
        <v>0.92155685174810653</v>
      </c>
      <c r="AA299" s="7">
        <f ca="1">$AV$9*EXP(-'3.r(t)'!F297*$AV$23)</f>
        <v>0.95038742555045119</v>
      </c>
      <c r="AB299" s="7">
        <f ca="1">$AV$10*EXP(-'3.r(t)'!G297*$AV$24)</f>
        <v>0.95484982844610533</v>
      </c>
      <c r="AC299" s="7">
        <f ca="1">$AV$11*EXP(-'3.r(t)'!H297*$AV$25)</f>
        <v>0.97600646136470481</v>
      </c>
      <c r="AD299" s="7">
        <v>1</v>
      </c>
      <c r="AE299" s="7"/>
      <c r="AF299" s="7">
        <v>291</v>
      </c>
      <c r="AG299" s="7">
        <f>$AW$7*EXP(-'3.r(t)'!D297*$AW$21)</f>
        <v>0.86718755429225491</v>
      </c>
      <c r="AH299" s="7">
        <f ca="1">$AW$8*EXP(-'3.r(t)'!E297*$AW$22)</f>
        <v>0.90193184311355923</v>
      </c>
      <c r="AI299" s="7">
        <f ca="1">$AW$9*EXP(-'3.r(t)'!F297*$AW$23)</f>
        <v>0.93357692462367836</v>
      </c>
      <c r="AJ299" s="7">
        <f ca="1">$AW$10*EXP(-'3.r(t)'!G297*$AW$24)</f>
        <v>0.9324247196229849</v>
      </c>
      <c r="AK299" s="7">
        <f ca="1">$AW$11*EXP(-'3.r(t)'!H297*$AW$25)</f>
        <v>0.95216528107974729</v>
      </c>
      <c r="AL299" s="7">
        <f ca="1">$AW$12*EXP(-'3.r(t)'!I297*$AW$26)</f>
        <v>0.9711966007809163</v>
      </c>
      <c r="AM299" s="7">
        <v>1</v>
      </c>
      <c r="AN299" s="7"/>
    </row>
    <row r="300" spans="2:40">
      <c r="B300" s="7">
        <v>292</v>
      </c>
      <c r="C300" s="7">
        <f>$AR$7*EXP(-'3.r(t)'!D298*$AR$21)</f>
        <v>0.97765346695821032</v>
      </c>
      <c r="D300" s="7">
        <v>1</v>
      </c>
      <c r="E300" s="7"/>
      <c r="F300" s="7">
        <v>292</v>
      </c>
      <c r="G300" s="48">
        <f>$AS$7*EXP(-'3.r(t)'!D298*$AS$21)</f>
        <v>0.9553476245219803</v>
      </c>
      <c r="H300" s="7">
        <f ca="1">$AS$8*EXP(-'3.r(t)'!E298*$AS$22)</f>
        <v>0.9790779655237396</v>
      </c>
      <c r="I300" s="7">
        <v>1</v>
      </c>
      <c r="J300" s="7"/>
      <c r="K300" s="7">
        <v>292</v>
      </c>
      <c r="L300" s="7">
        <f>$AT$7*EXP(-'3.r(t)'!D298*$AT$21)</f>
        <v>0.93311670519824419</v>
      </c>
      <c r="M300" s="7">
        <f ca="1">$AT$8*EXP(-'3.r(t)'!E298*$AT$22)</f>
        <v>0.95814215150225324</v>
      </c>
      <c r="N300" s="7">
        <f ca="1">$AT$9*EXP(-'3.r(t)'!F298*$AT$23)</f>
        <v>0.97724622672224848</v>
      </c>
      <c r="O300" s="7">
        <v>1</v>
      </c>
      <c r="P300" s="7"/>
      <c r="Q300" s="7">
        <v>292</v>
      </c>
      <c r="R300" s="7">
        <f>$AU$7*EXP(-'3.r(t)'!D298*$AU$21)</f>
        <v>0.91099305977534117</v>
      </c>
      <c r="S300" s="7">
        <f ca="1">$AU$8*EXP(-'3.r(t)'!E298*$AU$22)</f>
        <v>0.93722642214071972</v>
      </c>
      <c r="T300" s="7">
        <f ca="1">$AU$9*EXP(-'3.r(t)'!F298*$AU$23)</f>
        <v>0.95456883619884547</v>
      </c>
      <c r="U300" s="7">
        <f ca="1">$AU$10*EXP(-'3.r(t)'!G298*$AU$24)</f>
        <v>0.97993234938284668</v>
      </c>
      <c r="V300" s="7">
        <v>1</v>
      </c>
      <c r="W300" s="7"/>
      <c r="X300" s="7">
        <v>292</v>
      </c>
      <c r="Y300" s="7">
        <f>$AV$7*EXP(-'3.r(t)'!D298*$AV$21)</f>
        <v>0.88900715067201674</v>
      </c>
      <c r="Z300" s="7">
        <f ca="1">$AV$8*EXP(-'3.r(t)'!E298*$AV$22)</f>
        <v>0.91636295215654928</v>
      </c>
      <c r="AA300" s="7">
        <f ca="1">$AV$9*EXP(-'3.r(t)'!F298*$AV$23)</f>
        <v>0.93200075304921493</v>
      </c>
      <c r="AB300" s="7">
        <f ca="1">$AV$10*EXP(-'3.r(t)'!G298*$AV$24)</f>
        <v>0.95983214680630125</v>
      </c>
      <c r="AC300" s="7">
        <f ca="1">$AV$11*EXP(-'3.r(t)'!H298*$AV$25)</f>
        <v>0.98657030598393625</v>
      </c>
      <c r="AD300" s="7">
        <v>1</v>
      </c>
      <c r="AE300" s="7"/>
      <c r="AF300" s="7">
        <v>292</v>
      </c>
      <c r="AG300" s="7">
        <f>$AW$7*EXP(-'3.r(t)'!D298*$AW$21)</f>
        <v>0.86718755429225491</v>
      </c>
      <c r="AH300" s="7">
        <f ca="1">$AW$8*EXP(-'3.r(t)'!E298*$AW$22)</f>
        <v>0.8955822097499665</v>
      </c>
      <c r="AI300" s="7">
        <f ca="1">$AW$9*EXP(-'3.r(t)'!F298*$AW$23)</f>
        <v>0.90957298055770419</v>
      </c>
      <c r="AJ300" s="7">
        <f ca="1">$AW$10*EXP(-'3.r(t)'!G298*$AW$24)</f>
        <v>0.93973219069493086</v>
      </c>
      <c r="AK300" s="7">
        <f ca="1">$AW$11*EXP(-'3.r(t)'!H298*$AW$25)</f>
        <v>0.97288842361892802</v>
      </c>
      <c r="AL300" s="7">
        <f ca="1">$AW$12*EXP(-'3.r(t)'!I298*$AW$26)</f>
        <v>0.98679006964411331</v>
      </c>
      <c r="AM300" s="7">
        <v>1</v>
      </c>
      <c r="AN300" s="7"/>
    </row>
    <row r="301" spans="2:40">
      <c r="B301" s="7">
        <v>293</v>
      </c>
      <c r="C301" s="7">
        <f>$AR$7*EXP(-'3.r(t)'!D299*$AR$21)</f>
        <v>0.97765346695821032</v>
      </c>
      <c r="D301" s="7">
        <v>1</v>
      </c>
      <c r="E301" s="7"/>
      <c r="F301" s="7">
        <v>293</v>
      </c>
      <c r="G301" s="48">
        <f>$AS$7*EXP(-'3.r(t)'!D299*$AS$21)</f>
        <v>0.9553476245219803</v>
      </c>
      <c r="H301" s="7">
        <f ca="1">$AS$8*EXP(-'3.r(t)'!E299*$AS$22)</f>
        <v>0.97597191579393749</v>
      </c>
      <c r="I301" s="7">
        <v>1</v>
      </c>
      <c r="J301" s="7"/>
      <c r="K301" s="7">
        <v>293</v>
      </c>
      <c r="L301" s="7">
        <f>$AT$7*EXP(-'3.r(t)'!D299*$AT$21)</f>
        <v>0.93311670519824419</v>
      </c>
      <c r="M301" s="7">
        <f ca="1">$AT$8*EXP(-'3.r(t)'!E299*$AT$22)</f>
        <v>0.95207252957097799</v>
      </c>
      <c r="N301" s="7">
        <f ca="1">$AT$9*EXP(-'3.r(t)'!F299*$AT$23)</f>
        <v>0.97659371409796936</v>
      </c>
      <c r="O301" s="7">
        <v>1</v>
      </c>
      <c r="P301" s="7"/>
      <c r="Q301" s="7">
        <v>293</v>
      </c>
      <c r="R301" s="7">
        <f>$AU$7*EXP(-'3.r(t)'!D299*$AU$21)</f>
        <v>0.91099305977534117</v>
      </c>
      <c r="S301" s="7">
        <f ca="1">$AU$8*EXP(-'3.r(t)'!E299*$AU$22)</f>
        <v>0.92833485295668283</v>
      </c>
      <c r="T301" s="7">
        <f ca="1">$AU$9*EXP(-'3.r(t)'!F299*$AU$23)</f>
        <v>0.95329452016039395</v>
      </c>
      <c r="U301" s="7">
        <f ca="1">$AU$10*EXP(-'3.r(t)'!G299*$AU$24)</f>
        <v>0.97378817290152553</v>
      </c>
      <c r="V301" s="7">
        <v>1</v>
      </c>
      <c r="W301" s="7"/>
      <c r="X301" s="7">
        <v>293</v>
      </c>
      <c r="Y301" s="7">
        <f>$AV$7*EXP(-'3.r(t)'!D299*$AV$21)</f>
        <v>0.88900715067201674</v>
      </c>
      <c r="Z301" s="7">
        <f ca="1">$AV$8*EXP(-'3.r(t)'!E299*$AV$22)</f>
        <v>0.90478980571461309</v>
      </c>
      <c r="AA301" s="7">
        <f ca="1">$AV$9*EXP(-'3.r(t)'!F299*$AV$23)</f>
        <v>0.93013509338924816</v>
      </c>
      <c r="AB301" s="7">
        <f ca="1">$AV$10*EXP(-'3.r(t)'!G299*$AV$24)</f>
        <v>0.9478335842038591</v>
      </c>
      <c r="AC301" s="7">
        <f ca="1">$AV$11*EXP(-'3.r(t)'!H299*$AV$25)</f>
        <v>0.97072588022341688</v>
      </c>
      <c r="AD301" s="7">
        <v>1</v>
      </c>
      <c r="AE301" s="7"/>
      <c r="AF301" s="7">
        <v>293</v>
      </c>
      <c r="AG301" s="7">
        <f>$AW$7*EXP(-'3.r(t)'!D299*$AW$21)</f>
        <v>0.86718755429225491</v>
      </c>
      <c r="AH301" s="7">
        <f ca="1">$AW$8*EXP(-'3.r(t)'!E299*$AW$22)</f>
        <v>0.88146622881506353</v>
      </c>
      <c r="AI301" s="7">
        <f ca="1">$AW$9*EXP(-'3.r(t)'!F299*$AW$23)</f>
        <v>0.90714610524939787</v>
      </c>
      <c r="AJ301" s="7">
        <f ca="1">$AW$10*EXP(-'3.r(t)'!G299*$AW$24)</f>
        <v>0.92216642549593042</v>
      </c>
      <c r="AK301" s="7">
        <f ca="1">$AW$11*EXP(-'3.r(t)'!H299*$AW$25)</f>
        <v>0.94188997138003261</v>
      </c>
      <c r="AL301" s="7">
        <f ca="1">$AW$12*EXP(-'3.r(t)'!I299*$AW$26)</f>
        <v>0.97225908546239292</v>
      </c>
      <c r="AM301" s="7">
        <v>1</v>
      </c>
      <c r="AN301" s="7"/>
    </row>
    <row r="302" spans="2:40">
      <c r="B302" s="7">
        <v>294</v>
      </c>
      <c r="C302" s="7">
        <f>$AR$7*EXP(-'3.r(t)'!D300*$AR$21)</f>
        <v>0.97765346695821032</v>
      </c>
      <c r="D302" s="7">
        <v>1</v>
      </c>
      <c r="E302" s="7"/>
      <c r="F302" s="7">
        <v>294</v>
      </c>
      <c r="G302" s="48">
        <f>$AS$7*EXP(-'3.r(t)'!D300*$AS$21)</f>
        <v>0.9553476245219803</v>
      </c>
      <c r="H302" s="7">
        <f ca="1">$AS$8*EXP(-'3.r(t)'!E300*$AS$22)</f>
        <v>0.97905476391365398</v>
      </c>
      <c r="I302" s="7">
        <v>1</v>
      </c>
      <c r="J302" s="7"/>
      <c r="K302" s="7">
        <v>294</v>
      </c>
      <c r="L302" s="7">
        <f>$AT$7*EXP(-'3.r(t)'!D300*$AT$21)</f>
        <v>0.93311670519824419</v>
      </c>
      <c r="M302" s="7">
        <f ca="1">$AT$8*EXP(-'3.r(t)'!E300*$AT$22)</f>
        <v>0.95809674106919962</v>
      </c>
      <c r="N302" s="7">
        <f ca="1">$AT$9*EXP(-'3.r(t)'!F300*$AT$23)</f>
        <v>0.97417984589859008</v>
      </c>
      <c r="O302" s="7">
        <v>1</v>
      </c>
      <c r="P302" s="7"/>
      <c r="Q302" s="7">
        <v>294</v>
      </c>
      <c r="R302" s="7">
        <f>$AU$7*EXP(-'3.r(t)'!D300*$AU$21)</f>
        <v>0.91099305977534117</v>
      </c>
      <c r="S302" s="7">
        <f ca="1">$AU$8*EXP(-'3.r(t)'!E300*$AU$22)</f>
        <v>0.93715979420870332</v>
      </c>
      <c r="T302" s="7">
        <f ca="1">$AU$9*EXP(-'3.r(t)'!F300*$AU$23)</f>
        <v>0.94858778609048566</v>
      </c>
      <c r="U302" s="7">
        <f ca="1">$AU$10*EXP(-'3.r(t)'!G300*$AU$24)</f>
        <v>0.97340692985475408</v>
      </c>
      <c r="V302" s="7">
        <v>1</v>
      </c>
      <c r="W302" s="7"/>
      <c r="X302" s="7">
        <v>294</v>
      </c>
      <c r="Y302" s="7">
        <f>$AV$7*EXP(-'3.r(t)'!D300*$AV$21)</f>
        <v>0.88900715067201674</v>
      </c>
      <c r="Z302" s="7">
        <f ca="1">$AV$8*EXP(-'3.r(t)'!E300*$AV$22)</f>
        <v>0.91627609353681072</v>
      </c>
      <c r="AA302" s="7">
        <f ca="1">$AV$9*EXP(-'3.r(t)'!F300*$AV$23)</f>
        <v>0.92325502086387079</v>
      </c>
      <c r="AB302" s="7">
        <f ca="1">$AV$10*EXP(-'3.r(t)'!G300*$AV$24)</f>
        <v>0.94709156609895595</v>
      </c>
      <c r="AC302" s="7">
        <f ca="1">$AV$11*EXP(-'3.r(t)'!H300*$AV$25)</f>
        <v>0.9718602184426306</v>
      </c>
      <c r="AD302" s="7">
        <v>1</v>
      </c>
      <c r="AE302" s="7"/>
      <c r="AF302" s="7">
        <v>294</v>
      </c>
      <c r="AG302" s="7">
        <f>$AW$7*EXP(-'3.r(t)'!D300*$AW$21)</f>
        <v>0.86718755429225491</v>
      </c>
      <c r="AH302" s="7">
        <f ca="1">$AW$8*EXP(-'3.r(t)'!E300*$AW$22)</f>
        <v>0.89547609989370025</v>
      </c>
      <c r="AI302" s="7">
        <f ca="1">$AW$9*EXP(-'3.r(t)'!F300*$AW$23)</f>
        <v>0.8982104511946204</v>
      </c>
      <c r="AJ302" s="7">
        <f ca="1">$AW$10*EXP(-'3.r(t)'!G300*$AW$24)</f>
        <v>0.92108375087277028</v>
      </c>
      <c r="AK302" s="7">
        <f ca="1">$AW$11*EXP(-'3.r(t)'!H300*$AW$25)</f>
        <v>0.94409254177569768</v>
      </c>
      <c r="AL302" s="7">
        <f ca="1">$AW$12*EXP(-'3.r(t)'!I300*$AW$26)</f>
        <v>0.96813144719553967</v>
      </c>
      <c r="AM302" s="7">
        <v>1</v>
      </c>
      <c r="AN302" s="7"/>
    </row>
    <row r="303" spans="2:40">
      <c r="B303" s="7">
        <v>295</v>
      </c>
      <c r="C303" s="7">
        <f>$AR$7*EXP(-'3.r(t)'!D301*$AR$21)</f>
        <v>0.97765346695821032</v>
      </c>
      <c r="D303" s="7">
        <v>1</v>
      </c>
      <c r="E303" s="7"/>
      <c r="F303" s="7">
        <v>295</v>
      </c>
      <c r="G303" s="48">
        <f>$AS$7*EXP(-'3.r(t)'!D301*$AS$21)</f>
        <v>0.9553476245219803</v>
      </c>
      <c r="H303" s="7">
        <f ca="1">$AS$8*EXP(-'3.r(t)'!E301*$AS$22)</f>
        <v>0.98076568296231881</v>
      </c>
      <c r="I303" s="7">
        <v>1</v>
      </c>
      <c r="J303" s="7"/>
      <c r="K303" s="7">
        <v>295</v>
      </c>
      <c r="L303" s="7">
        <f>$AT$7*EXP(-'3.r(t)'!D301*$AT$21)</f>
        <v>0.93311670519824419</v>
      </c>
      <c r="M303" s="7">
        <f ca="1">$AT$8*EXP(-'3.r(t)'!E301*$AT$22)</f>
        <v>0.96144825584931437</v>
      </c>
      <c r="N303" s="7">
        <f ca="1">$AT$9*EXP(-'3.r(t)'!F301*$AT$23)</f>
        <v>0.98040633524118892</v>
      </c>
      <c r="O303" s="7">
        <v>1</v>
      </c>
      <c r="P303" s="7"/>
      <c r="Q303" s="7">
        <v>295</v>
      </c>
      <c r="R303" s="7">
        <f>$AU$7*EXP(-'3.r(t)'!D301*$AU$21)</f>
        <v>0.91099305977534117</v>
      </c>
      <c r="S303" s="7">
        <f ca="1">$AU$8*EXP(-'3.r(t)'!E301*$AU$22)</f>
        <v>0.94208150508285249</v>
      </c>
      <c r="T303" s="7">
        <f ca="1">$AU$9*EXP(-'3.r(t)'!F301*$AU$23)</f>
        <v>0.9607523717369939</v>
      </c>
      <c r="U303" s="7">
        <f ca="1">$AU$10*EXP(-'3.r(t)'!G301*$AU$24)</f>
        <v>0.97538560839993482</v>
      </c>
      <c r="V303" s="7">
        <v>1</v>
      </c>
      <c r="W303" s="7"/>
      <c r="X303" s="7">
        <v>295</v>
      </c>
      <c r="Y303" s="7">
        <f>$AV$7*EXP(-'3.r(t)'!D301*$AV$21)</f>
        <v>0.88900715067201674</v>
      </c>
      <c r="Z303" s="7">
        <f ca="1">$AV$8*EXP(-'3.r(t)'!E301*$AV$22)</f>
        <v>0.92269774995822851</v>
      </c>
      <c r="AA303" s="7">
        <f ca="1">$AV$9*EXP(-'3.r(t)'!F301*$AV$23)</f>
        <v>0.9410714180536498</v>
      </c>
      <c r="AB303" s="7">
        <f ca="1">$AV$10*EXP(-'3.r(t)'!G301*$AV$24)</f>
        <v>0.95094585225024308</v>
      </c>
      <c r="AC303" s="7">
        <f ca="1">$AV$11*EXP(-'3.r(t)'!H301*$AV$25)</f>
        <v>0.97192013921321097</v>
      </c>
      <c r="AD303" s="7">
        <v>1</v>
      </c>
      <c r="AE303" s="7"/>
      <c r="AF303" s="7">
        <v>295</v>
      </c>
      <c r="AG303" s="7">
        <f>$AW$7*EXP(-'3.r(t)'!D301*$AW$21)</f>
        <v>0.86718755429225491</v>
      </c>
      <c r="AH303" s="7">
        <f ca="1">$AW$8*EXP(-'3.r(t)'!E301*$AW$22)</f>
        <v>0.90332781181510113</v>
      </c>
      <c r="AI303" s="7">
        <f ca="1">$AW$9*EXP(-'3.r(t)'!F301*$AW$23)</f>
        <v>0.92139526831112684</v>
      </c>
      <c r="AJ303" s="7">
        <f ca="1">$AW$10*EXP(-'3.r(t)'!G301*$AW$24)</f>
        <v>0.9267121345278666</v>
      </c>
      <c r="AK303" s="7">
        <f ca="1">$AW$11*EXP(-'3.r(t)'!H301*$AW$25)</f>
        <v>0.94420896283190514</v>
      </c>
      <c r="AL303" s="7">
        <f ca="1">$AW$12*EXP(-'3.r(t)'!I301*$AW$26)</f>
        <v>0.9729487440134128</v>
      </c>
      <c r="AM303" s="7">
        <v>1</v>
      </c>
      <c r="AN303" s="7"/>
    </row>
    <row r="304" spans="2:40">
      <c r="B304" s="7">
        <v>296</v>
      </c>
      <c r="C304" s="7">
        <f>$AR$7*EXP(-'3.r(t)'!D302*$AR$21)</f>
        <v>0.97765346695821032</v>
      </c>
      <c r="D304" s="7">
        <v>1</v>
      </c>
      <c r="E304" s="7"/>
      <c r="F304" s="7">
        <v>296</v>
      </c>
      <c r="G304" s="48">
        <f>$AS$7*EXP(-'3.r(t)'!D302*$AS$21)</f>
        <v>0.9553476245219803</v>
      </c>
      <c r="H304" s="7">
        <f ca="1">$AS$8*EXP(-'3.r(t)'!E302*$AS$22)</f>
        <v>0.97712286043753827</v>
      </c>
      <c r="I304" s="7">
        <v>1</v>
      </c>
      <c r="J304" s="7"/>
      <c r="K304" s="7">
        <v>296</v>
      </c>
      <c r="L304" s="7">
        <f>$AT$7*EXP(-'3.r(t)'!D302*$AT$21)</f>
        <v>0.93311670519824419</v>
      </c>
      <c r="M304" s="7">
        <f ca="1">$AT$8*EXP(-'3.r(t)'!E302*$AT$22)</f>
        <v>0.95431937474779949</v>
      </c>
      <c r="N304" s="7">
        <f ca="1">$AT$9*EXP(-'3.r(t)'!F302*$AT$23)</f>
        <v>0.98029133972743987</v>
      </c>
      <c r="O304" s="7">
        <v>1</v>
      </c>
      <c r="P304" s="7"/>
      <c r="Q304" s="7">
        <v>296</v>
      </c>
      <c r="R304" s="7">
        <f>$AU$7*EXP(-'3.r(t)'!D302*$AU$21)</f>
        <v>0.91099305977534117</v>
      </c>
      <c r="S304" s="7">
        <f ca="1">$AU$8*EXP(-'3.r(t)'!E302*$AU$22)</f>
        <v>0.93162302914566497</v>
      </c>
      <c r="T304" s="7">
        <f ca="1">$AU$9*EXP(-'3.r(t)'!F302*$AU$23)</f>
        <v>0.96052700450064055</v>
      </c>
      <c r="U304" s="7">
        <f ca="1">$AU$10*EXP(-'3.r(t)'!G302*$AU$24)</f>
        <v>0.97866095711903467</v>
      </c>
      <c r="V304" s="7">
        <v>1</v>
      </c>
      <c r="W304" s="7"/>
      <c r="X304" s="7">
        <v>296</v>
      </c>
      <c r="Y304" s="7">
        <f>$AV$7*EXP(-'3.r(t)'!D302*$AV$21)</f>
        <v>0.88900715067201674</v>
      </c>
      <c r="Z304" s="7">
        <f ca="1">$AV$8*EXP(-'3.r(t)'!E302*$AV$22)</f>
        <v>0.90906536529094462</v>
      </c>
      <c r="AA304" s="7">
        <f ca="1">$AV$9*EXP(-'3.r(t)'!F302*$AV$23)</f>
        <v>0.94074031156935367</v>
      </c>
      <c r="AB304" s="7">
        <f ca="1">$AV$10*EXP(-'3.r(t)'!G302*$AV$24)</f>
        <v>0.95734313513997038</v>
      </c>
      <c r="AC304" s="7">
        <f ca="1">$AV$11*EXP(-'3.r(t)'!H302*$AV$25)</f>
        <v>0.97566774266528855</v>
      </c>
      <c r="AD304" s="7">
        <v>1</v>
      </c>
      <c r="AE304" s="7"/>
      <c r="AF304" s="7">
        <v>296</v>
      </c>
      <c r="AG304" s="7">
        <f>$AW$7*EXP(-'3.r(t)'!D302*$AW$21)</f>
        <v>0.86718755429225491</v>
      </c>
      <c r="AH304" s="7">
        <f ca="1">$AW$8*EXP(-'3.r(t)'!E302*$AW$22)</f>
        <v>0.88667598150420912</v>
      </c>
      <c r="AI304" s="7">
        <f ca="1">$AW$9*EXP(-'3.r(t)'!F302*$AW$23)</f>
        <v>0.92096304882058666</v>
      </c>
      <c r="AJ304" s="7">
        <f ca="1">$AW$10*EXP(-'3.r(t)'!G302*$AW$24)</f>
        <v>0.93607922797166265</v>
      </c>
      <c r="AK304" s="7">
        <f ca="1">$AW$11*EXP(-'3.r(t)'!H302*$AW$25)</f>
        <v>0.9515045063113462</v>
      </c>
      <c r="AL304" s="7">
        <f ca="1">$AW$12*EXP(-'3.r(t)'!I302*$AW$26)</f>
        <v>0.97697870902713757</v>
      </c>
      <c r="AM304" s="7">
        <v>1</v>
      </c>
      <c r="AN304" s="7"/>
    </row>
    <row r="305" spans="2:40">
      <c r="B305" s="7">
        <v>297</v>
      </c>
      <c r="C305" s="7">
        <f>$AR$7*EXP(-'3.r(t)'!D303*$AR$21)</f>
        <v>0.97765346695821032</v>
      </c>
      <c r="D305" s="7">
        <v>1</v>
      </c>
      <c r="E305" s="7"/>
      <c r="F305" s="7">
        <v>297</v>
      </c>
      <c r="G305" s="48">
        <f>$AS$7*EXP(-'3.r(t)'!D303*$AS$21)</f>
        <v>0.9553476245219803</v>
      </c>
      <c r="H305" s="7">
        <f ca="1">$AS$8*EXP(-'3.r(t)'!E303*$AS$22)</f>
        <v>0.97156538721464525</v>
      </c>
      <c r="I305" s="7">
        <v>1</v>
      </c>
      <c r="J305" s="7"/>
      <c r="K305" s="7">
        <v>297</v>
      </c>
      <c r="L305" s="7">
        <f>$AT$7*EXP(-'3.r(t)'!D303*$AT$21)</f>
        <v>0.93311670519824419</v>
      </c>
      <c r="M305" s="7">
        <f ca="1">$AT$8*EXP(-'3.r(t)'!E303*$AT$22)</f>
        <v>0.94349469297141331</v>
      </c>
      <c r="N305" s="7">
        <f ca="1">$AT$9*EXP(-'3.r(t)'!F303*$AT$23)</f>
        <v>0.97152043011008216</v>
      </c>
      <c r="O305" s="7">
        <v>1</v>
      </c>
      <c r="P305" s="7"/>
      <c r="Q305" s="7">
        <v>297</v>
      </c>
      <c r="R305" s="7">
        <f>$AU$7*EXP(-'3.r(t)'!D303*$AU$21)</f>
        <v>0.91099305977534117</v>
      </c>
      <c r="S305" s="7">
        <f ca="1">$AU$8*EXP(-'3.r(t)'!E303*$AU$22)</f>
        <v>0.91581720138362577</v>
      </c>
      <c r="T305" s="7">
        <f ca="1">$AU$9*EXP(-'3.r(t)'!F303*$AU$23)</f>
        <v>0.94341575138246025</v>
      </c>
      <c r="U305" s="7">
        <f ca="1">$AU$10*EXP(-'3.r(t)'!G303*$AU$24)</f>
        <v>0.9708327520562644</v>
      </c>
      <c r="V305" s="7">
        <v>1</v>
      </c>
      <c r="W305" s="7"/>
      <c r="X305" s="7">
        <v>297</v>
      </c>
      <c r="Y305" s="7">
        <f>$AV$7*EXP(-'3.r(t)'!D303*$AV$21)</f>
        <v>0.88900715067201674</v>
      </c>
      <c r="Z305" s="7">
        <f ca="1">$AV$8*EXP(-'3.r(t)'!E303*$AV$22)</f>
        <v>0.88855957889501402</v>
      </c>
      <c r="AA305" s="7">
        <f ca="1">$AV$9*EXP(-'3.r(t)'!F303*$AV$23)</f>
        <v>0.91571445540863927</v>
      </c>
      <c r="AB305" s="7">
        <f ca="1">$AV$10*EXP(-'3.r(t)'!G303*$AV$24)</f>
        <v>0.94208901602019191</v>
      </c>
      <c r="AC305" s="7">
        <f ca="1">$AV$11*EXP(-'3.r(t)'!H303*$AV$25)</f>
        <v>0.97273883005656114</v>
      </c>
      <c r="AD305" s="7">
        <v>1</v>
      </c>
      <c r="AE305" s="7"/>
      <c r="AF305" s="7">
        <v>297</v>
      </c>
      <c r="AG305" s="7">
        <f>$AW$7*EXP(-'3.r(t)'!D303*$AW$21)</f>
        <v>0.86718755429225491</v>
      </c>
      <c r="AH305" s="7">
        <f ca="1">$AW$8*EXP(-'3.r(t)'!E303*$AW$22)</f>
        <v>0.8617459399027545</v>
      </c>
      <c r="AI305" s="7">
        <f ca="1">$AW$9*EXP(-'3.r(t)'!F303*$AW$23)</f>
        <v>0.88844243385482236</v>
      </c>
      <c r="AJ305" s="7">
        <f ca="1">$AW$10*EXP(-'3.r(t)'!G303*$AW$24)</f>
        <v>0.91379563140913111</v>
      </c>
      <c r="AK305" s="7">
        <f ca="1">$AW$11*EXP(-'3.r(t)'!H303*$AW$25)</f>
        <v>0.94580032980363116</v>
      </c>
      <c r="AL305" s="7">
        <f ca="1">$AW$12*EXP(-'3.r(t)'!I303*$AW$26)</f>
        <v>0.97204507920857752</v>
      </c>
      <c r="AM305" s="7">
        <v>1</v>
      </c>
      <c r="AN305" s="7"/>
    </row>
    <row r="306" spans="2:40">
      <c r="B306" s="7">
        <v>298</v>
      </c>
      <c r="C306" s="7">
        <f>$AR$7*EXP(-'3.r(t)'!D304*$AR$21)</f>
        <v>0.97765346695821032</v>
      </c>
      <c r="D306" s="7">
        <v>1</v>
      </c>
      <c r="E306" s="7"/>
      <c r="F306" s="7">
        <v>298</v>
      </c>
      <c r="G306" s="48">
        <f>$AS$7*EXP(-'3.r(t)'!D304*$AS$21)</f>
        <v>0.9553476245219803</v>
      </c>
      <c r="H306" s="7">
        <f ca="1">$AS$8*EXP(-'3.r(t)'!E304*$AS$22)</f>
        <v>0.98432480610573925</v>
      </c>
      <c r="I306" s="7">
        <v>1</v>
      </c>
      <c r="J306" s="7"/>
      <c r="K306" s="7">
        <v>298</v>
      </c>
      <c r="L306" s="7">
        <f>$AT$7*EXP(-'3.r(t)'!D304*$AT$21)</f>
        <v>0.93311670519824419</v>
      </c>
      <c r="M306" s="7">
        <f ca="1">$AT$8*EXP(-'3.r(t)'!E304*$AT$22)</f>
        <v>0.96843896061614265</v>
      </c>
      <c r="N306" s="7">
        <f ca="1">$AT$9*EXP(-'3.r(t)'!F304*$AT$23)</f>
        <v>0.98436414558114937</v>
      </c>
      <c r="O306" s="7">
        <v>1</v>
      </c>
      <c r="P306" s="7"/>
      <c r="Q306" s="7">
        <v>298</v>
      </c>
      <c r="R306" s="7">
        <f>$AU$7*EXP(-'3.r(t)'!D304*$AU$21)</f>
        <v>0.91099305977534117</v>
      </c>
      <c r="S306" s="7">
        <f ca="1">$AU$8*EXP(-'3.r(t)'!E304*$AU$22)</f>
        <v>0.95237499287254468</v>
      </c>
      <c r="T306" s="7">
        <f ca="1">$AU$9*EXP(-'3.r(t)'!F304*$AU$23)</f>
        <v>0.96852496694897172</v>
      </c>
      <c r="U306" s="7">
        <f ca="1">$AU$10*EXP(-'3.r(t)'!G304*$AU$24)</f>
        <v>0.9790746213244077</v>
      </c>
      <c r="V306" s="7">
        <v>1</v>
      </c>
      <c r="W306" s="7"/>
      <c r="X306" s="7">
        <v>298</v>
      </c>
      <c r="Y306" s="7">
        <f>$AV$7*EXP(-'3.r(t)'!D304*$AV$21)</f>
        <v>0.88900715067201674</v>
      </c>
      <c r="Z306" s="7">
        <f ca="1">$AV$8*EXP(-'3.r(t)'!E304*$AV$22)</f>
        <v>0.93616442933770638</v>
      </c>
      <c r="AA306" s="7">
        <f ca="1">$AV$9*EXP(-'3.r(t)'!F304*$AV$23)</f>
        <v>0.95251454551075965</v>
      </c>
      <c r="AB306" s="7">
        <f ca="1">$AV$10*EXP(-'3.r(t)'!G304*$AV$24)</f>
        <v>0.95815261319203959</v>
      </c>
      <c r="AC306" s="7">
        <f ca="1">$AV$11*EXP(-'3.r(t)'!H304*$AV$25)</f>
        <v>0.97942941293667318</v>
      </c>
      <c r="AD306" s="7">
        <v>1</v>
      </c>
      <c r="AE306" s="7"/>
      <c r="AF306" s="7">
        <v>298</v>
      </c>
      <c r="AG306" s="7">
        <f>$AW$7*EXP(-'3.r(t)'!D304*$AW$21)</f>
        <v>0.86718755429225491</v>
      </c>
      <c r="AH306" s="7">
        <f ca="1">$AW$8*EXP(-'3.r(t)'!E304*$AW$22)</f>
        <v>0.91983773963618465</v>
      </c>
      <c r="AI306" s="7">
        <f ca="1">$AW$9*EXP(-'3.r(t)'!F304*$AW$23)</f>
        <v>0.93636395716392506</v>
      </c>
      <c r="AJ306" s="7">
        <f ca="1">$AW$10*EXP(-'3.r(t)'!G304*$AW$24)</f>
        <v>0.93726672655207033</v>
      </c>
      <c r="AK306" s="7">
        <f ca="1">$AW$11*EXP(-'3.r(t)'!H304*$AW$25)</f>
        <v>0.95885566884116835</v>
      </c>
      <c r="AL306" s="7">
        <f ca="1">$AW$12*EXP(-'3.r(t)'!I304*$AW$26)</f>
        <v>0.98301201525085291</v>
      </c>
      <c r="AM306" s="7">
        <v>1</v>
      </c>
      <c r="AN306" s="7"/>
    </row>
    <row r="307" spans="2:40">
      <c r="B307" s="7">
        <v>299</v>
      </c>
      <c r="C307" s="7">
        <f>$AR$7*EXP(-'3.r(t)'!D305*$AR$21)</f>
        <v>0.97765346695821032</v>
      </c>
      <c r="D307" s="7">
        <v>1</v>
      </c>
      <c r="E307" s="7"/>
      <c r="F307" s="7">
        <v>299</v>
      </c>
      <c r="G307" s="48">
        <f>$AS$7*EXP(-'3.r(t)'!D305*$AS$21)</f>
        <v>0.9553476245219803</v>
      </c>
      <c r="H307" s="7">
        <f ca="1">$AS$8*EXP(-'3.r(t)'!E305*$AS$22)</f>
        <v>0.97766837212884228</v>
      </c>
      <c r="I307" s="7">
        <v>1</v>
      </c>
      <c r="J307" s="7"/>
      <c r="K307" s="7">
        <v>299</v>
      </c>
      <c r="L307" s="7">
        <f>$AT$7*EXP(-'3.r(t)'!D305*$AT$21)</f>
        <v>0.93311670519824419</v>
      </c>
      <c r="M307" s="7">
        <f ca="1">$AT$8*EXP(-'3.r(t)'!E305*$AT$22)</f>
        <v>0.95538523394800035</v>
      </c>
      <c r="N307" s="7">
        <f ca="1">$AT$9*EXP(-'3.r(t)'!F305*$AT$23)</f>
        <v>0.97939050682940898</v>
      </c>
      <c r="O307" s="7">
        <v>1</v>
      </c>
      <c r="P307" s="7"/>
      <c r="Q307" s="7">
        <v>299</v>
      </c>
      <c r="R307" s="7">
        <f>$AU$7*EXP(-'3.r(t)'!D305*$AU$21)</f>
        <v>0.91099305977534117</v>
      </c>
      <c r="S307" s="7">
        <f ca="1">$AU$8*EXP(-'3.r(t)'!E305*$AU$22)</f>
        <v>0.93318423005610063</v>
      </c>
      <c r="T307" s="7">
        <f ca="1">$AU$9*EXP(-'3.r(t)'!F305*$AU$23)</f>
        <v>0.9587624744661436</v>
      </c>
      <c r="U307" s="7">
        <f ca="1">$AU$10*EXP(-'3.r(t)'!G305*$AU$24)</f>
        <v>0.97881026287577066</v>
      </c>
      <c r="V307" s="7">
        <v>1</v>
      </c>
      <c r="W307" s="7"/>
      <c r="X307" s="7">
        <v>299</v>
      </c>
      <c r="Y307" s="7">
        <f>$AV$7*EXP(-'3.r(t)'!D305*$AV$21)</f>
        <v>0.88900715067201674</v>
      </c>
      <c r="Z307" s="7">
        <f ca="1">$AV$8*EXP(-'3.r(t)'!E305*$AV$22)</f>
        <v>0.91109713117720059</v>
      </c>
      <c r="AA307" s="7">
        <f ca="1">$AV$9*EXP(-'3.r(t)'!F305*$AV$23)</f>
        <v>0.93814923093926705</v>
      </c>
      <c r="AB307" s="7">
        <f ca="1">$AV$10*EXP(-'3.r(t)'!G305*$AV$24)</f>
        <v>0.95763526438763513</v>
      </c>
      <c r="AC307" s="7">
        <f ca="1">$AV$11*EXP(-'3.r(t)'!H305*$AV$25)</f>
        <v>0.98254651368031498</v>
      </c>
      <c r="AD307" s="7">
        <v>1</v>
      </c>
      <c r="AE307" s="7"/>
      <c r="AF307" s="7">
        <v>299</v>
      </c>
      <c r="AG307" s="7">
        <f>$AW$7*EXP(-'3.r(t)'!D305*$AW$21)</f>
        <v>0.86718755429225491</v>
      </c>
      <c r="AH307" s="7">
        <f ca="1">$AW$8*EXP(-'3.r(t)'!E305*$AW$22)</f>
        <v>0.88915383004448323</v>
      </c>
      <c r="AI307" s="7">
        <f ca="1">$AW$9*EXP(-'3.r(t)'!F305*$AW$23)</f>
        <v>0.91758245817976525</v>
      </c>
      <c r="AJ307" s="7">
        <f ca="1">$AW$10*EXP(-'3.r(t)'!G305*$AW$24)</f>
        <v>0.9365077216389599</v>
      </c>
      <c r="AK307" s="7">
        <f ca="1">$AW$11*EXP(-'3.r(t)'!H305*$AW$25)</f>
        <v>0.96496862764685498</v>
      </c>
      <c r="AL307" s="7">
        <f ca="1">$AW$12*EXP(-'3.r(t)'!I305*$AW$26)</f>
        <v>0.98144133028890645</v>
      </c>
      <c r="AM307" s="7">
        <v>1</v>
      </c>
      <c r="AN307" s="7"/>
    </row>
    <row r="308" spans="2:40">
      <c r="B308" s="7">
        <v>300</v>
      </c>
      <c r="C308" s="7">
        <f>$AR$7*EXP(-'3.r(t)'!D306*$AR$21)</f>
        <v>0.97765346695821032</v>
      </c>
      <c r="D308" s="7">
        <v>1</v>
      </c>
      <c r="E308" s="7"/>
      <c r="F308" s="7">
        <v>300</v>
      </c>
      <c r="G308" s="48">
        <f>$AS$7*EXP(-'3.r(t)'!D306*$AS$21)</f>
        <v>0.9553476245219803</v>
      </c>
      <c r="H308" s="7">
        <f ca="1">$AS$8*EXP(-'3.r(t)'!E306*$AS$22)</f>
        <v>0.97674867654313491</v>
      </c>
      <c r="I308" s="7">
        <v>1</v>
      </c>
      <c r="J308" s="7"/>
      <c r="K308" s="7">
        <v>300</v>
      </c>
      <c r="L308" s="7">
        <f>$AT$7*EXP(-'3.r(t)'!D306*$AT$21)</f>
        <v>0.93311670519824419</v>
      </c>
      <c r="M308" s="7">
        <f ca="1">$AT$8*EXP(-'3.r(t)'!E306*$AT$22)</f>
        <v>0.95358861184871169</v>
      </c>
      <c r="N308" s="7">
        <f ca="1">$AT$9*EXP(-'3.r(t)'!F306*$AT$23)</f>
        <v>0.97118179022228079</v>
      </c>
      <c r="O308" s="7">
        <v>1</v>
      </c>
      <c r="P308" s="7"/>
      <c r="Q308" s="7">
        <v>300</v>
      </c>
      <c r="R308" s="7">
        <f>$AU$7*EXP(-'3.r(t)'!D306*$AU$21)</f>
        <v>0.91099305977534117</v>
      </c>
      <c r="S308" s="7">
        <f ca="1">$AU$8*EXP(-'3.r(t)'!E306*$AU$22)</f>
        <v>0.93055315900812685</v>
      </c>
      <c r="T308" s="7">
        <f ca="1">$AU$9*EXP(-'3.r(t)'!F306*$AU$23)</f>
        <v>0.94275817895365477</v>
      </c>
      <c r="U308" s="7">
        <f ca="1">$AU$10*EXP(-'3.r(t)'!G306*$AU$24)</f>
        <v>0.96871229453260055</v>
      </c>
      <c r="V308" s="7">
        <v>1</v>
      </c>
      <c r="W308" s="7"/>
      <c r="X308" s="7">
        <v>300</v>
      </c>
      <c r="Y308" s="7">
        <f>$AV$7*EXP(-'3.r(t)'!D306*$AV$21)</f>
        <v>0.88900715067201674</v>
      </c>
      <c r="Z308" s="7">
        <f ca="1">$AV$8*EXP(-'3.r(t)'!E306*$AV$22)</f>
        <v>0.90767367836998691</v>
      </c>
      <c r="AA308" s="7">
        <f ca="1">$AV$9*EXP(-'3.r(t)'!F306*$AV$23)</f>
        <v>0.91475722583215824</v>
      </c>
      <c r="AB308" s="7">
        <f ca="1">$AV$10*EXP(-'3.r(t)'!G306*$AV$24)</f>
        <v>0.93797815731678746</v>
      </c>
      <c r="AC308" s="7">
        <f ca="1">$AV$11*EXP(-'3.r(t)'!H306*$AV$25)</f>
        <v>0.96383106168836785</v>
      </c>
      <c r="AD308" s="7">
        <v>1</v>
      </c>
      <c r="AE308" s="7"/>
      <c r="AF308" s="7">
        <v>300</v>
      </c>
      <c r="AG308" s="7">
        <f>$AW$7*EXP(-'3.r(t)'!D306*$AW$21)</f>
        <v>0.86718755429225491</v>
      </c>
      <c r="AH308" s="7">
        <f ca="1">$AW$8*EXP(-'3.r(t)'!E306*$AW$22)</f>
        <v>0.88497954252020328</v>
      </c>
      <c r="AI308" s="7">
        <f ca="1">$AW$9*EXP(-'3.r(t)'!F306*$AW$23)</f>
        <v>0.88720435478818294</v>
      </c>
      <c r="AJ308" s="7">
        <f ca="1">$AW$10*EXP(-'3.r(t)'!G306*$AW$24)</f>
        <v>0.90782106249815098</v>
      </c>
      <c r="AK308" s="7">
        <f ca="1">$AW$11*EXP(-'3.r(t)'!H306*$AW$25)</f>
        <v>0.92855747992959525</v>
      </c>
      <c r="AL308" s="7">
        <f ca="1">$AW$12*EXP(-'3.r(t)'!I306*$AW$26)</f>
        <v>0.96281845846051783</v>
      </c>
      <c r="AM308" s="7">
        <v>1</v>
      </c>
      <c r="AN308" s="7"/>
    </row>
    <row r="309" spans="2:40">
      <c r="B309" s="7">
        <v>301</v>
      </c>
      <c r="C309" s="7">
        <f>$AR$7*EXP(-'3.r(t)'!D307*$AR$21)</f>
        <v>0.97765346695821032</v>
      </c>
      <c r="D309" s="7">
        <v>1</v>
      </c>
      <c r="E309" s="7"/>
      <c r="F309" s="7">
        <v>301</v>
      </c>
      <c r="G309" s="48">
        <f>$AS$7*EXP(-'3.r(t)'!D307*$AS$21)</f>
        <v>0.9553476245219803</v>
      </c>
      <c r="H309" s="7">
        <f ca="1">$AS$8*EXP(-'3.r(t)'!E307*$AS$22)</f>
        <v>0.97356972905928463</v>
      </c>
      <c r="I309" s="7">
        <v>1</v>
      </c>
      <c r="J309" s="7"/>
      <c r="K309" s="7">
        <v>301</v>
      </c>
      <c r="L309" s="7">
        <f>$AT$7*EXP(-'3.r(t)'!D307*$AT$21)</f>
        <v>0.93311670519824419</v>
      </c>
      <c r="M309" s="7">
        <f ca="1">$AT$8*EXP(-'3.r(t)'!E307*$AT$22)</f>
        <v>0.94739157232861027</v>
      </c>
      <c r="N309" s="7">
        <f ca="1">$AT$9*EXP(-'3.r(t)'!F307*$AT$23)</f>
        <v>0.97305630790548936</v>
      </c>
      <c r="O309" s="7">
        <v>1</v>
      </c>
      <c r="P309" s="7"/>
      <c r="Q309" s="7">
        <v>301</v>
      </c>
      <c r="R309" s="7">
        <f>$AU$7*EXP(-'3.r(t)'!D307*$AU$21)</f>
        <v>0.91099305977534117</v>
      </c>
      <c r="S309" s="7">
        <f ca="1">$AU$8*EXP(-'3.r(t)'!E307*$AU$22)</f>
        <v>0.92149690211196922</v>
      </c>
      <c r="T309" s="7">
        <f ca="1">$AU$9*EXP(-'3.r(t)'!F307*$AU$23)</f>
        <v>0.94640100336412913</v>
      </c>
      <c r="U309" s="7">
        <f ca="1">$AU$10*EXP(-'3.r(t)'!G307*$AU$24)</f>
        <v>0.9718926753044691</v>
      </c>
      <c r="V309" s="7">
        <v>1</v>
      </c>
      <c r="W309" s="7"/>
      <c r="X309" s="7">
        <v>301</v>
      </c>
      <c r="Y309" s="7">
        <f>$AV$7*EXP(-'3.r(t)'!D307*$AV$21)</f>
        <v>0.88900715067201674</v>
      </c>
      <c r="Z309" s="7">
        <f ca="1">$AV$8*EXP(-'3.r(t)'!E307*$AV$22)</f>
        <v>0.8959147028760478</v>
      </c>
      <c r="AA309" s="7">
        <f ca="1">$AV$9*EXP(-'3.r(t)'!F307*$AV$23)</f>
        <v>0.92006428701301624</v>
      </c>
      <c r="AB309" s="7">
        <f ca="1">$AV$10*EXP(-'3.r(t)'!G307*$AV$24)</f>
        <v>0.94414722251459748</v>
      </c>
      <c r="AC309" s="7">
        <f ca="1">$AV$11*EXP(-'3.r(t)'!H307*$AV$25)</f>
        <v>0.96779591587690328</v>
      </c>
      <c r="AD309" s="7">
        <v>1</v>
      </c>
      <c r="AE309" s="7"/>
      <c r="AF309" s="7">
        <v>301</v>
      </c>
      <c r="AG309" s="7">
        <f>$AW$7*EXP(-'3.r(t)'!D307*$AW$21)</f>
        <v>0.86718755429225491</v>
      </c>
      <c r="AH309" s="7">
        <f ca="1">$AW$8*EXP(-'3.r(t)'!E307*$AW$22)</f>
        <v>0.87067161161176032</v>
      </c>
      <c r="AI309" s="7">
        <f ca="1">$AW$9*EXP(-'3.r(t)'!F307*$AW$23)</f>
        <v>0.89407392930432517</v>
      </c>
      <c r="AJ309" s="7">
        <f ca="1">$AW$10*EXP(-'3.r(t)'!G307*$AW$24)</f>
        <v>0.91679185620012837</v>
      </c>
      <c r="AK309" s="7">
        <f ca="1">$AW$11*EXP(-'3.r(t)'!H307*$AW$25)</f>
        <v>0.93621269574248223</v>
      </c>
      <c r="AL309" s="7">
        <f ca="1">$AW$12*EXP(-'3.r(t)'!I307*$AW$26)</f>
        <v>0.96541170045397251</v>
      </c>
      <c r="AM309" s="7">
        <v>1</v>
      </c>
      <c r="AN309" s="7"/>
    </row>
    <row r="310" spans="2:40">
      <c r="B310" s="7">
        <v>302</v>
      </c>
      <c r="C310" s="7">
        <f>$AR$7*EXP(-'3.r(t)'!D308*$AR$21)</f>
        <v>0.97765346695821032</v>
      </c>
      <c r="D310" s="7">
        <v>1</v>
      </c>
      <c r="E310" s="7"/>
      <c r="F310" s="7">
        <v>302</v>
      </c>
      <c r="G310" s="48">
        <f>$AS$7*EXP(-'3.r(t)'!D308*$AS$21)</f>
        <v>0.9553476245219803</v>
      </c>
      <c r="H310" s="7">
        <f ca="1">$AS$8*EXP(-'3.r(t)'!E308*$AS$22)</f>
        <v>0.97300821002828652</v>
      </c>
      <c r="I310" s="7">
        <v>1</v>
      </c>
      <c r="J310" s="7"/>
      <c r="K310" s="7">
        <v>302</v>
      </c>
      <c r="L310" s="7">
        <f>$AT$7*EXP(-'3.r(t)'!D308*$AT$21)</f>
        <v>0.93311670519824419</v>
      </c>
      <c r="M310" s="7">
        <f ca="1">$AT$8*EXP(-'3.r(t)'!E308*$AT$22)</f>
        <v>0.9462990466079384</v>
      </c>
      <c r="N310" s="7">
        <f ca="1">$AT$9*EXP(-'3.r(t)'!F308*$AT$23)</f>
        <v>0.96916801082815418</v>
      </c>
      <c r="O310" s="7">
        <v>1</v>
      </c>
      <c r="P310" s="7"/>
      <c r="Q310" s="7">
        <v>302</v>
      </c>
      <c r="R310" s="7">
        <f>$AU$7*EXP(-'3.r(t)'!D308*$AU$21)</f>
        <v>0.91099305977534117</v>
      </c>
      <c r="S310" s="7">
        <f ca="1">$AU$8*EXP(-'3.r(t)'!E308*$AU$22)</f>
        <v>0.91990336551049945</v>
      </c>
      <c r="T310" s="7">
        <f ca="1">$AU$9*EXP(-'3.r(t)'!F308*$AU$23)</f>
        <v>0.93885254830200282</v>
      </c>
      <c r="U310" s="7">
        <f ca="1">$AU$10*EXP(-'3.r(t)'!G308*$AU$24)</f>
        <v>0.96736156692346931</v>
      </c>
      <c r="V310" s="7">
        <v>1</v>
      </c>
      <c r="W310" s="7"/>
      <c r="X310" s="7">
        <v>302</v>
      </c>
      <c r="Y310" s="7">
        <f>$AV$7*EXP(-'3.r(t)'!D308*$AV$21)</f>
        <v>0.88900715067201674</v>
      </c>
      <c r="Z310" s="7">
        <f ca="1">$AV$8*EXP(-'3.r(t)'!E308*$AV$22)</f>
        <v>0.89384956844493557</v>
      </c>
      <c r="AA310" s="7">
        <f ca="1">$AV$9*EXP(-'3.r(t)'!F308*$AV$23)</f>
        <v>0.90907867354068894</v>
      </c>
      <c r="AB310" s="7">
        <f ca="1">$AV$10*EXP(-'3.r(t)'!G308*$AV$24)</f>
        <v>0.9353642342548546</v>
      </c>
      <c r="AC310" s="7">
        <f ca="1">$AV$11*EXP(-'3.r(t)'!H308*$AV$25)</f>
        <v>0.96983885804379832</v>
      </c>
      <c r="AD310" s="7">
        <v>1</v>
      </c>
      <c r="AE310" s="7"/>
      <c r="AF310" s="7">
        <v>302</v>
      </c>
      <c r="AG310" s="7">
        <f>$AW$7*EXP(-'3.r(t)'!D308*$AW$21)</f>
        <v>0.86718755429225491</v>
      </c>
      <c r="AH310" s="7">
        <f ca="1">$AW$8*EXP(-'3.r(t)'!E308*$AW$22)</f>
        <v>0.86816365027679865</v>
      </c>
      <c r="AI310" s="7">
        <f ca="1">$AW$9*EXP(-'3.r(t)'!F308*$AW$23)</f>
        <v>0.87986861364434288</v>
      </c>
      <c r="AJ310" s="7">
        <f ca="1">$AW$10*EXP(-'3.r(t)'!G308*$AW$24)</f>
        <v>0.90402888397873993</v>
      </c>
      <c r="AK310" s="7">
        <f ca="1">$AW$11*EXP(-'3.r(t)'!H308*$AW$25)</f>
        <v>0.94016941237468121</v>
      </c>
      <c r="AL310" s="7">
        <f ca="1">$AW$12*EXP(-'3.r(t)'!I308*$AW$26)</f>
        <v>0.96866688552605362</v>
      </c>
      <c r="AM310" s="7">
        <v>1</v>
      </c>
      <c r="AN310" s="7"/>
    </row>
    <row r="311" spans="2:40">
      <c r="B311" s="7">
        <v>303</v>
      </c>
      <c r="C311" s="7">
        <f>$AR$7*EXP(-'3.r(t)'!D309*$AR$21)</f>
        <v>0.97765346695821032</v>
      </c>
      <c r="D311" s="7">
        <v>1</v>
      </c>
      <c r="E311" s="7"/>
      <c r="F311" s="7">
        <v>303</v>
      </c>
      <c r="G311" s="48">
        <f>$AS$7*EXP(-'3.r(t)'!D309*$AS$21)</f>
        <v>0.9553476245219803</v>
      </c>
      <c r="H311" s="7">
        <f ca="1">$AS$8*EXP(-'3.r(t)'!E309*$AS$22)</f>
        <v>0.97511209518544806</v>
      </c>
      <c r="I311" s="7">
        <v>1</v>
      </c>
      <c r="J311" s="7"/>
      <c r="K311" s="7">
        <v>303</v>
      </c>
      <c r="L311" s="7">
        <f>$AT$7*EXP(-'3.r(t)'!D309*$AT$21)</f>
        <v>0.93311670519824419</v>
      </c>
      <c r="M311" s="7">
        <f ca="1">$AT$8*EXP(-'3.r(t)'!E309*$AT$22)</f>
        <v>0.95039573749422956</v>
      </c>
      <c r="N311" s="7">
        <f ca="1">$AT$9*EXP(-'3.r(t)'!F309*$AT$23)</f>
        <v>0.9752979839087027</v>
      </c>
      <c r="O311" s="7">
        <v>1</v>
      </c>
      <c r="P311" s="7"/>
      <c r="Q311" s="7">
        <v>303</v>
      </c>
      <c r="R311" s="7">
        <f>$AU$7*EXP(-'3.r(t)'!D309*$AU$21)</f>
        <v>0.91099305977534117</v>
      </c>
      <c r="S311" s="7">
        <f ca="1">$AU$8*EXP(-'3.r(t)'!E309*$AU$22)</f>
        <v>0.92588345525252613</v>
      </c>
      <c r="T311" s="7">
        <f ca="1">$AU$9*EXP(-'3.r(t)'!F309*$AU$23)</f>
        <v>0.95076656397897485</v>
      </c>
      <c r="U311" s="7">
        <f ca="1">$AU$10*EXP(-'3.r(t)'!G309*$AU$24)</f>
        <v>0.97497079297858247</v>
      </c>
      <c r="V311" s="7">
        <v>1</v>
      </c>
      <c r="W311" s="7"/>
      <c r="X311" s="7">
        <v>303</v>
      </c>
      <c r="Y311" s="7">
        <f>$AV$7*EXP(-'3.r(t)'!D309*$AV$21)</f>
        <v>0.88900715067201674</v>
      </c>
      <c r="Z311" s="7">
        <f ca="1">$AV$8*EXP(-'3.r(t)'!E309*$AV$22)</f>
        <v>0.90160557692661192</v>
      </c>
      <c r="AA311" s="7">
        <f ca="1">$AV$9*EXP(-'3.r(t)'!F309*$AV$23)</f>
        <v>0.9264377346105489</v>
      </c>
      <c r="AB311" s="7">
        <f ca="1">$AV$10*EXP(-'3.r(t)'!G309*$AV$24)</f>
        <v>0.95013718105224576</v>
      </c>
      <c r="AC311" s="7">
        <f ca="1">$AV$11*EXP(-'3.r(t)'!H309*$AV$25)</f>
        <v>0.97304450575510182</v>
      </c>
      <c r="AD311" s="7">
        <v>1</v>
      </c>
      <c r="AE311" s="7"/>
      <c r="AF311" s="7">
        <v>303</v>
      </c>
      <c r="AG311" s="7">
        <f>$AW$7*EXP(-'3.r(t)'!D309*$AW$21)</f>
        <v>0.86718755429225491</v>
      </c>
      <c r="AH311" s="7">
        <f ca="1">$AW$8*EXP(-'3.r(t)'!E309*$AW$22)</f>
        <v>0.87759025357081821</v>
      </c>
      <c r="AI311" s="7">
        <f ca="1">$AW$9*EXP(-'3.r(t)'!F309*$AW$23)</f>
        <v>0.90234132570603764</v>
      </c>
      <c r="AJ311" s="7">
        <f ca="1">$AW$10*EXP(-'3.r(t)'!G309*$AW$24)</f>
        <v>0.92553029110323703</v>
      </c>
      <c r="AK311" s="7">
        <f ca="1">$AW$11*EXP(-'3.r(t)'!H309*$AW$25)</f>
        <v>0.94639484416364061</v>
      </c>
      <c r="AL311" s="7">
        <f ca="1">$AW$12*EXP(-'3.r(t)'!I309*$AW$26)</f>
        <v>0.97471386230716539</v>
      </c>
      <c r="AM311" s="7">
        <v>1</v>
      </c>
      <c r="AN311" s="7"/>
    </row>
    <row r="312" spans="2:40">
      <c r="B312" s="7">
        <v>304</v>
      </c>
      <c r="C312" s="7">
        <f>$AR$7*EXP(-'3.r(t)'!D310*$AR$21)</f>
        <v>0.97765346695821032</v>
      </c>
      <c r="D312" s="7">
        <v>1</v>
      </c>
      <c r="E312" s="7"/>
      <c r="F312" s="7">
        <v>304</v>
      </c>
      <c r="G312" s="48">
        <f>$AS$7*EXP(-'3.r(t)'!D310*$AS$21)</f>
        <v>0.9553476245219803</v>
      </c>
      <c r="H312" s="7">
        <f ca="1">$AS$8*EXP(-'3.r(t)'!E310*$AS$22)</f>
        <v>0.97594715404208943</v>
      </c>
      <c r="I312" s="7">
        <v>1</v>
      </c>
      <c r="J312" s="7"/>
      <c r="K312" s="7">
        <v>304</v>
      </c>
      <c r="L312" s="7">
        <f>$AT$7*EXP(-'3.r(t)'!D310*$AT$21)</f>
        <v>0.93311670519824419</v>
      </c>
      <c r="M312" s="7">
        <f ca="1">$AT$8*EXP(-'3.r(t)'!E310*$AT$22)</f>
        <v>0.95202421940083426</v>
      </c>
      <c r="N312" s="7">
        <f ca="1">$AT$9*EXP(-'3.r(t)'!F310*$AT$23)</f>
        <v>0.97394597166921804</v>
      </c>
      <c r="O312" s="7">
        <v>1</v>
      </c>
      <c r="P312" s="7"/>
      <c r="Q312" s="7">
        <v>304</v>
      </c>
      <c r="R312" s="7">
        <f>$AU$7*EXP(-'3.r(t)'!D310*$AU$21)</f>
        <v>0.91099305977534117</v>
      </c>
      <c r="S312" s="7">
        <f ca="1">$AU$8*EXP(-'3.r(t)'!E310*$AU$22)</f>
        <v>0.928264195347554</v>
      </c>
      <c r="T312" s="7">
        <f ca="1">$AU$9*EXP(-'3.r(t)'!F310*$AU$23)</f>
        <v>0.94813238022620494</v>
      </c>
      <c r="U312" s="7">
        <f ca="1">$AU$10*EXP(-'3.r(t)'!G310*$AU$24)</f>
        <v>0.9731814497238801</v>
      </c>
      <c r="V312" s="7">
        <v>1</v>
      </c>
      <c r="W312" s="7"/>
      <c r="X312" s="7">
        <v>304</v>
      </c>
      <c r="Y312" s="7">
        <f>$AV$7*EXP(-'3.r(t)'!D310*$AV$21)</f>
        <v>0.88900715067201674</v>
      </c>
      <c r="Z312" s="7">
        <f ca="1">$AV$8*EXP(-'3.r(t)'!E310*$AV$22)</f>
        <v>0.90469798615440522</v>
      </c>
      <c r="AA312" s="7">
        <f ca="1">$AV$9*EXP(-'3.r(t)'!F310*$AV$23)</f>
        <v>0.92259023481736135</v>
      </c>
      <c r="AB312" s="7">
        <f ca="1">$AV$10*EXP(-'3.r(t)'!G310*$AV$24)</f>
        <v>0.94665284804526428</v>
      </c>
      <c r="AC312" s="7">
        <f ca="1">$AV$11*EXP(-'3.r(t)'!H310*$AV$25)</f>
        <v>0.9715671349106586</v>
      </c>
      <c r="AD312" s="7">
        <v>1</v>
      </c>
      <c r="AE312" s="7"/>
      <c r="AF312" s="7">
        <v>304</v>
      </c>
      <c r="AG312" s="7">
        <f>$AW$7*EXP(-'3.r(t)'!D310*$AW$21)</f>
        <v>0.86718755429225491</v>
      </c>
      <c r="AH312" s="7">
        <f ca="1">$AW$8*EXP(-'3.r(t)'!E310*$AW$22)</f>
        <v>0.88135441442701046</v>
      </c>
      <c r="AI312" s="7">
        <f ca="1">$AW$9*EXP(-'3.r(t)'!F310*$AW$23)</f>
        <v>0.89734821762445882</v>
      </c>
      <c r="AJ312" s="7">
        <f ca="1">$AW$10*EXP(-'3.r(t)'!G310*$AW$24)</f>
        <v>0.92044381918458629</v>
      </c>
      <c r="AK312" s="7">
        <f ca="1">$AW$11*EXP(-'3.r(t)'!H310*$AW$25)</f>
        <v>0.94352320834780745</v>
      </c>
      <c r="AL312" s="7">
        <f ca="1">$AW$12*EXP(-'3.r(t)'!I310*$AW$26)</f>
        <v>0.96963951342832999</v>
      </c>
      <c r="AM312" s="7">
        <v>1</v>
      </c>
      <c r="AN312" s="7"/>
    </row>
    <row r="313" spans="2:40">
      <c r="B313" s="7">
        <v>305</v>
      </c>
      <c r="C313" s="7">
        <f>$AR$7*EXP(-'3.r(t)'!D311*$AR$21)</f>
        <v>0.97765346695821032</v>
      </c>
      <c r="D313" s="7">
        <v>1</v>
      </c>
      <c r="E313" s="7"/>
      <c r="F313" s="7">
        <v>305</v>
      </c>
      <c r="G313" s="48">
        <f>$AS$7*EXP(-'3.r(t)'!D311*$AS$21)</f>
        <v>0.9553476245219803</v>
      </c>
      <c r="H313" s="7">
        <f ca="1">$AS$8*EXP(-'3.r(t)'!E311*$AS$22)</f>
        <v>0.9754279214942535</v>
      </c>
      <c r="I313" s="7">
        <v>1</v>
      </c>
      <c r="J313" s="7"/>
      <c r="K313" s="7">
        <v>305</v>
      </c>
      <c r="L313" s="7">
        <f>$AT$7*EXP(-'3.r(t)'!D311*$AT$21)</f>
        <v>0.93311670519824419</v>
      </c>
      <c r="M313" s="7">
        <f ca="1">$AT$8*EXP(-'3.r(t)'!E311*$AT$22)</f>
        <v>0.9510114791882236</v>
      </c>
      <c r="N313" s="7">
        <f ca="1">$AT$9*EXP(-'3.r(t)'!F311*$AT$23)</f>
        <v>0.97485637091817623</v>
      </c>
      <c r="O313" s="7">
        <v>1</v>
      </c>
      <c r="P313" s="7"/>
      <c r="Q313" s="7">
        <v>305</v>
      </c>
      <c r="R313" s="7">
        <f>$AU$7*EXP(-'3.r(t)'!D311*$AU$21)</f>
        <v>0.91099305977534117</v>
      </c>
      <c r="S313" s="7">
        <f ca="1">$AU$8*EXP(-'3.r(t)'!E311*$AU$22)</f>
        <v>0.92678339201758897</v>
      </c>
      <c r="T313" s="7">
        <f ca="1">$AU$9*EXP(-'3.r(t)'!F311*$AU$23)</f>
        <v>0.94990574848629461</v>
      </c>
      <c r="U313" s="7">
        <f ca="1">$AU$10*EXP(-'3.r(t)'!G311*$AU$24)</f>
        <v>0.97311242433656286</v>
      </c>
      <c r="V313" s="7">
        <v>1</v>
      </c>
      <c r="W313" s="7"/>
      <c r="X313" s="7">
        <v>305</v>
      </c>
      <c r="Y313" s="7">
        <f>$AV$7*EXP(-'3.r(t)'!D311*$AV$21)</f>
        <v>0.88900715067201674</v>
      </c>
      <c r="Z313" s="7">
        <f ca="1">$AV$8*EXP(-'3.r(t)'!E311*$AV$22)</f>
        <v>0.90277421849437356</v>
      </c>
      <c r="AA313" s="7">
        <f ca="1">$AV$9*EXP(-'3.r(t)'!F311*$AV$23)</f>
        <v>0.92517983685613892</v>
      </c>
      <c r="AB313" s="7">
        <f ca="1">$AV$10*EXP(-'3.r(t)'!G311*$AV$24)</f>
        <v>0.94651856525103872</v>
      </c>
      <c r="AC313" s="7">
        <f ca="1">$AV$11*EXP(-'3.r(t)'!H311*$AV$25)</f>
        <v>0.97073379979789864</v>
      </c>
      <c r="AD313" s="7">
        <v>1</v>
      </c>
      <c r="AE313" s="7"/>
      <c r="AF313" s="7">
        <v>305</v>
      </c>
      <c r="AG313" s="7">
        <f>$AW$7*EXP(-'3.r(t)'!D311*$AW$21)</f>
        <v>0.86718755429225491</v>
      </c>
      <c r="AH313" s="7">
        <f ca="1">$AW$8*EXP(-'3.r(t)'!E311*$AW$22)</f>
        <v>0.87901237565835411</v>
      </c>
      <c r="AI313" s="7">
        <f ca="1">$AW$9*EXP(-'3.r(t)'!F311*$AW$23)</f>
        <v>0.90070812194959005</v>
      </c>
      <c r="AJ313" s="7">
        <f ca="1">$AW$10*EXP(-'3.r(t)'!G311*$AW$24)</f>
        <v>0.92024797856842</v>
      </c>
      <c r="AK313" s="7">
        <f ca="1">$AW$11*EXP(-'3.r(t)'!H311*$AW$25)</f>
        <v>0.9419053400816656</v>
      </c>
      <c r="AL313" s="7">
        <f ca="1">$AW$12*EXP(-'3.r(t)'!I311*$AW$26)</f>
        <v>0.97224687684115096</v>
      </c>
      <c r="AM313" s="7">
        <v>1</v>
      </c>
      <c r="AN313" s="7"/>
    </row>
    <row r="314" spans="2:40">
      <c r="B314" s="7">
        <v>306</v>
      </c>
      <c r="C314" s="7">
        <f>$AR$7*EXP(-'3.r(t)'!D312*$AR$21)</f>
        <v>0.97765346695821032</v>
      </c>
      <c r="D314" s="7">
        <v>1</v>
      </c>
      <c r="E314" s="7"/>
      <c r="F314" s="7">
        <v>306</v>
      </c>
      <c r="G314" s="48">
        <f>$AS$7*EXP(-'3.r(t)'!D312*$AS$21)</f>
        <v>0.9553476245219803</v>
      </c>
      <c r="H314" s="7">
        <f ca="1">$AS$8*EXP(-'3.r(t)'!E312*$AS$22)</f>
        <v>0.98123631962994262</v>
      </c>
      <c r="I314" s="7">
        <v>1</v>
      </c>
      <c r="J314" s="7"/>
      <c r="K314" s="7">
        <v>306</v>
      </c>
      <c r="L314" s="7">
        <f>$AT$7*EXP(-'3.r(t)'!D312*$AT$21)</f>
        <v>0.93311670519824419</v>
      </c>
      <c r="M314" s="7">
        <f ca="1">$AT$8*EXP(-'3.r(t)'!E312*$AT$22)</f>
        <v>0.96237121100399314</v>
      </c>
      <c r="N314" s="7">
        <f ca="1">$AT$9*EXP(-'3.r(t)'!F312*$AT$23)</f>
        <v>0.97787254754245134</v>
      </c>
      <c r="O314" s="7">
        <v>1</v>
      </c>
      <c r="P314" s="7"/>
      <c r="Q314" s="7">
        <v>306</v>
      </c>
      <c r="R314" s="7">
        <f>$AU$7*EXP(-'3.r(t)'!D312*$AU$21)</f>
        <v>0.91099305977534117</v>
      </c>
      <c r="S314" s="7">
        <f ca="1">$AU$8*EXP(-'3.r(t)'!E312*$AU$22)</f>
        <v>0.94343837626294269</v>
      </c>
      <c r="T314" s="7">
        <f ca="1">$AU$9*EXP(-'3.r(t)'!F312*$AU$23)</f>
        <v>0.95579280188421312</v>
      </c>
      <c r="U314" s="7">
        <f ca="1">$AU$10*EXP(-'3.r(t)'!G312*$AU$24)</f>
        <v>0.97863091736817387</v>
      </c>
      <c r="V314" s="7">
        <v>1</v>
      </c>
      <c r="W314" s="7"/>
      <c r="X314" s="7">
        <v>306</v>
      </c>
      <c r="Y314" s="7">
        <f>$AV$7*EXP(-'3.r(t)'!D312*$AV$21)</f>
        <v>0.88900715067201674</v>
      </c>
      <c r="Z314" s="7">
        <f ca="1">$AV$8*EXP(-'3.r(t)'!E312*$AV$22)</f>
        <v>0.92447011242479682</v>
      </c>
      <c r="AA314" s="7">
        <f ca="1">$AV$9*EXP(-'3.r(t)'!F312*$AV$23)</f>
        <v>0.93379387024655758</v>
      </c>
      <c r="AB314" s="7">
        <f ca="1">$AV$10*EXP(-'3.r(t)'!G312*$AV$24)</f>
        <v>0.95728436523054738</v>
      </c>
      <c r="AC314" s="7">
        <f ca="1">$AV$11*EXP(-'3.r(t)'!H312*$AV$25)</f>
        <v>0.98179477535082771</v>
      </c>
      <c r="AD314" s="7">
        <v>1</v>
      </c>
      <c r="AE314" s="7"/>
      <c r="AF314" s="7">
        <v>306</v>
      </c>
      <c r="AG314" s="7">
        <f>$AW$7*EXP(-'3.r(t)'!D312*$AW$21)</f>
        <v>0.86718755429225491</v>
      </c>
      <c r="AH314" s="7">
        <f ca="1">$AW$8*EXP(-'3.r(t)'!E312*$AW$22)</f>
        <v>0.90549727703259908</v>
      </c>
      <c r="AI314" s="7">
        <f ca="1">$AW$9*EXP(-'3.r(t)'!F312*$AW$23)</f>
        <v>0.91190701831850984</v>
      </c>
      <c r="AJ314" s="7">
        <f ca="1">$AW$10*EXP(-'3.r(t)'!G312*$AW$24)</f>
        <v>0.93599303247114229</v>
      </c>
      <c r="AK314" s="7">
        <f ca="1">$AW$11*EXP(-'3.r(t)'!H312*$AW$25)</f>
        <v>0.96349261324193602</v>
      </c>
      <c r="AL314" s="7">
        <f ca="1">$AW$12*EXP(-'3.r(t)'!I312*$AW$26)</f>
        <v>0.98074149588318582</v>
      </c>
      <c r="AM314" s="7">
        <v>1</v>
      </c>
      <c r="AN314" s="7"/>
    </row>
    <row r="315" spans="2:40">
      <c r="B315" s="7">
        <v>307</v>
      </c>
      <c r="C315" s="7">
        <f>$AR$7*EXP(-'3.r(t)'!D313*$AR$21)</f>
        <v>0.97765346695821032</v>
      </c>
      <c r="D315" s="7">
        <v>1</v>
      </c>
      <c r="E315" s="7"/>
      <c r="F315" s="7">
        <v>307</v>
      </c>
      <c r="G315" s="48">
        <f>$AS$7*EXP(-'3.r(t)'!D313*$AS$21)</f>
        <v>0.9553476245219803</v>
      </c>
      <c r="H315" s="7">
        <f ca="1">$AS$8*EXP(-'3.r(t)'!E313*$AS$22)</f>
        <v>0.97989435380135115</v>
      </c>
      <c r="I315" s="7">
        <v>1</v>
      </c>
      <c r="J315" s="7"/>
      <c r="K315" s="7">
        <v>307</v>
      </c>
      <c r="L315" s="7">
        <f>$AT$7*EXP(-'3.r(t)'!D313*$AT$21)</f>
        <v>0.93311670519824419</v>
      </c>
      <c r="M315" s="7">
        <f ca="1">$AT$8*EXP(-'3.r(t)'!E313*$AT$22)</f>
        <v>0.95974068025562509</v>
      </c>
      <c r="N315" s="7">
        <f ca="1">$AT$9*EXP(-'3.r(t)'!F313*$AT$23)</f>
        <v>0.97680271480747216</v>
      </c>
      <c r="O315" s="7">
        <v>1</v>
      </c>
      <c r="P315" s="7"/>
      <c r="Q315" s="7">
        <v>307</v>
      </c>
      <c r="R315" s="7">
        <f>$AU$7*EXP(-'3.r(t)'!D313*$AU$21)</f>
        <v>0.91099305977534117</v>
      </c>
      <c r="S315" s="7">
        <f ca="1">$AU$8*EXP(-'3.r(t)'!E313*$AU$22)</f>
        <v>0.93957285072637109</v>
      </c>
      <c r="T315" s="7">
        <f ca="1">$AU$9*EXP(-'3.r(t)'!F313*$AU$23)</f>
        <v>0.95370259272482838</v>
      </c>
      <c r="U315" s="7">
        <f ca="1">$AU$10*EXP(-'3.r(t)'!G313*$AU$24)</f>
        <v>0.97571025590445215</v>
      </c>
      <c r="V315" s="7">
        <v>1</v>
      </c>
      <c r="W315" s="7"/>
      <c r="X315" s="7">
        <v>307</v>
      </c>
      <c r="Y315" s="7">
        <f>$AV$7*EXP(-'3.r(t)'!D313*$AV$21)</f>
        <v>0.88900715067201674</v>
      </c>
      <c r="Z315" s="7">
        <f ca="1">$AV$8*EXP(-'3.r(t)'!E313*$AV$22)</f>
        <v>0.91942315457290369</v>
      </c>
      <c r="AA315" s="7">
        <f ca="1">$AV$9*EXP(-'3.r(t)'!F313*$AV$23)</f>
        <v>0.93073239551570475</v>
      </c>
      <c r="AB315" s="7">
        <f ca="1">$AV$10*EXP(-'3.r(t)'!G313*$AV$24)</f>
        <v>0.95157898354268411</v>
      </c>
      <c r="AC315" s="7">
        <f ca="1">$AV$11*EXP(-'3.r(t)'!H313*$AV$25)</f>
        <v>0.9733002331561339</v>
      </c>
      <c r="AD315" s="7">
        <v>1</v>
      </c>
      <c r="AE315" s="7"/>
      <c r="AF315" s="7">
        <v>307</v>
      </c>
      <c r="AG315" s="7">
        <f>$AW$7*EXP(-'3.r(t)'!D313*$AW$21)</f>
        <v>0.86718755429225491</v>
      </c>
      <c r="AH315" s="7">
        <f ca="1">$AW$8*EXP(-'3.r(t)'!E313*$AW$22)</f>
        <v>0.8993222752183968</v>
      </c>
      <c r="AI315" s="7">
        <f ca="1">$AW$9*EXP(-'3.r(t)'!F313*$AW$23)</f>
        <v>0.90792290750855287</v>
      </c>
      <c r="AJ315" s="7">
        <f ca="1">$AW$10*EXP(-'3.r(t)'!G313*$AW$24)</f>
        <v>0.92763778360537874</v>
      </c>
      <c r="AK315" s="7">
        <f ca="1">$AW$11*EXP(-'3.r(t)'!H313*$AW$25)</f>
        <v>0.94689235665177718</v>
      </c>
      <c r="AL315" s="7">
        <f ca="1">$AW$12*EXP(-'3.r(t)'!I313*$AW$26)</f>
        <v>0.96905095393962837</v>
      </c>
      <c r="AM315" s="7">
        <v>1</v>
      </c>
      <c r="AN315" s="7"/>
    </row>
    <row r="316" spans="2:40">
      <c r="B316" s="7">
        <v>308</v>
      </c>
      <c r="C316" s="7">
        <f>$AR$7*EXP(-'3.r(t)'!D314*$AR$21)</f>
        <v>0.97765346695821032</v>
      </c>
      <c r="D316" s="7">
        <v>1</v>
      </c>
      <c r="E316" s="7"/>
      <c r="F316" s="7">
        <v>308</v>
      </c>
      <c r="G316" s="48">
        <f>$AS$7*EXP(-'3.r(t)'!D314*$AS$21)</f>
        <v>0.9553476245219803</v>
      </c>
      <c r="H316" s="7">
        <f ca="1">$AS$8*EXP(-'3.r(t)'!E314*$AS$22)</f>
        <v>0.97948290802586047</v>
      </c>
      <c r="I316" s="7">
        <v>1</v>
      </c>
      <c r="J316" s="7"/>
      <c r="K316" s="7">
        <v>308</v>
      </c>
      <c r="L316" s="7">
        <f>$AT$7*EXP(-'3.r(t)'!D314*$AT$21)</f>
        <v>0.93311670519824419</v>
      </c>
      <c r="M316" s="7">
        <f ca="1">$AT$8*EXP(-'3.r(t)'!E314*$AT$22)</f>
        <v>0.95893488247957215</v>
      </c>
      <c r="N316" s="7">
        <f ca="1">$AT$9*EXP(-'3.r(t)'!F314*$AT$23)</f>
        <v>0.97866862915223019</v>
      </c>
      <c r="O316" s="7">
        <v>1</v>
      </c>
      <c r="P316" s="7"/>
      <c r="Q316" s="7">
        <v>308</v>
      </c>
      <c r="R316" s="7">
        <f>$AU$7*EXP(-'3.r(t)'!D314*$AU$21)</f>
        <v>0.91099305977534117</v>
      </c>
      <c r="S316" s="7">
        <f ca="1">$AU$8*EXP(-'3.r(t)'!E314*$AU$22)</f>
        <v>0.93838980181978848</v>
      </c>
      <c r="T316" s="7">
        <f ca="1">$AU$9*EXP(-'3.r(t)'!F314*$AU$23)</f>
        <v>0.95734964851504456</v>
      </c>
      <c r="U316" s="7">
        <f ca="1">$AU$10*EXP(-'3.r(t)'!G314*$AU$24)</f>
        <v>0.97880002261444854</v>
      </c>
      <c r="V316" s="7">
        <v>1</v>
      </c>
      <c r="W316" s="7"/>
      <c r="X316" s="7">
        <v>308</v>
      </c>
      <c r="Y316" s="7">
        <f>$AV$7*EXP(-'3.r(t)'!D314*$AV$21)</f>
        <v>0.88900715067201674</v>
      </c>
      <c r="Z316" s="7">
        <f ca="1">$AV$8*EXP(-'3.r(t)'!E314*$AV$22)</f>
        <v>0.91787990829446164</v>
      </c>
      <c r="AA316" s="7">
        <f ca="1">$AV$9*EXP(-'3.r(t)'!F314*$AV$23)</f>
        <v>0.93607631944505065</v>
      </c>
      <c r="AB316" s="7">
        <f ca="1">$AV$10*EXP(-'3.r(t)'!G314*$AV$24)</f>
        <v>0.95761522703323976</v>
      </c>
      <c r="AC316" s="7">
        <f ca="1">$AV$11*EXP(-'3.r(t)'!H314*$AV$25)</f>
        <v>0.97874758779860438</v>
      </c>
      <c r="AD316" s="7">
        <v>1</v>
      </c>
      <c r="AE316" s="7"/>
      <c r="AF316" s="7">
        <v>308</v>
      </c>
      <c r="AG316" s="7">
        <f>$AW$7*EXP(-'3.r(t)'!D314*$AW$21)</f>
        <v>0.86718755429225491</v>
      </c>
      <c r="AH316" s="7">
        <f ca="1">$AW$8*EXP(-'3.r(t)'!E314*$AW$22)</f>
        <v>0.89743578743455932</v>
      </c>
      <c r="AI316" s="7">
        <f ca="1">$AW$9*EXP(-'3.r(t)'!F314*$AW$23)</f>
        <v>0.91488016397848282</v>
      </c>
      <c r="AJ316" s="7">
        <f ca="1">$AW$10*EXP(-'3.r(t)'!G314*$AW$24)</f>
        <v>0.9364783288633638</v>
      </c>
      <c r="AK316" s="7">
        <f ca="1">$AW$11*EXP(-'3.r(t)'!H314*$AW$25)</f>
        <v>0.95752112787259847</v>
      </c>
      <c r="AL316" s="7">
        <f ca="1">$AW$12*EXP(-'3.r(t)'!I314*$AW$26)</f>
        <v>0.97880923536551345</v>
      </c>
      <c r="AM316" s="7">
        <v>1</v>
      </c>
      <c r="AN316" s="7"/>
    </row>
    <row r="317" spans="2:40">
      <c r="B317" s="7">
        <v>309</v>
      </c>
      <c r="C317" s="7">
        <f>$AR$7*EXP(-'3.r(t)'!D315*$AR$21)</f>
        <v>0.97765346695821032</v>
      </c>
      <c r="D317" s="7">
        <v>1</v>
      </c>
      <c r="E317" s="7"/>
      <c r="F317" s="7">
        <v>309</v>
      </c>
      <c r="G317" s="48">
        <f>$AS$7*EXP(-'3.r(t)'!D315*$AS$21)</f>
        <v>0.9553476245219803</v>
      </c>
      <c r="H317" s="7">
        <f ca="1">$AS$8*EXP(-'3.r(t)'!E315*$AS$22)</f>
        <v>0.97902474597242894</v>
      </c>
      <c r="I317" s="7">
        <v>1</v>
      </c>
      <c r="J317" s="7"/>
      <c r="K317" s="7">
        <v>309</v>
      </c>
      <c r="L317" s="7">
        <f>$AT$7*EXP(-'3.r(t)'!D315*$AT$21)</f>
        <v>0.93311670519824419</v>
      </c>
      <c r="M317" s="7">
        <f ca="1">$AT$8*EXP(-'3.r(t)'!E315*$AT$22)</f>
        <v>0.95803799123859301</v>
      </c>
      <c r="N317" s="7">
        <f ca="1">$AT$9*EXP(-'3.r(t)'!F315*$AT$23)</f>
        <v>0.97714911790595171</v>
      </c>
      <c r="O317" s="7">
        <v>1</v>
      </c>
      <c r="P317" s="7"/>
      <c r="Q317" s="7">
        <v>309</v>
      </c>
      <c r="R317" s="7">
        <f>$AU$7*EXP(-'3.r(t)'!D315*$AU$21)</f>
        <v>0.91099305977534117</v>
      </c>
      <c r="S317" s="7">
        <f ca="1">$AU$8*EXP(-'3.r(t)'!E315*$AU$22)</f>
        <v>0.93707359654290967</v>
      </c>
      <c r="T317" s="7">
        <f ca="1">$AU$9*EXP(-'3.r(t)'!F315*$AU$23)</f>
        <v>0.9543791348900531</v>
      </c>
      <c r="U317" s="7">
        <f ca="1">$AU$10*EXP(-'3.r(t)'!G315*$AU$24)</f>
        <v>0.9769323399130001</v>
      </c>
      <c r="V317" s="7">
        <v>1</v>
      </c>
      <c r="W317" s="7"/>
      <c r="X317" s="7">
        <v>309</v>
      </c>
      <c r="Y317" s="7">
        <f>$AV$7*EXP(-'3.r(t)'!D315*$AV$21)</f>
        <v>0.88900715067201674</v>
      </c>
      <c r="Z317" s="7">
        <f ca="1">$AV$8*EXP(-'3.r(t)'!E315*$AV$22)</f>
        <v>0.91616372614730834</v>
      </c>
      <c r="AA317" s="7">
        <f ca="1">$AV$9*EXP(-'3.r(t)'!F315*$AV$23)</f>
        <v>0.93172294231670294</v>
      </c>
      <c r="AB317" s="7">
        <f ca="1">$AV$10*EXP(-'3.r(t)'!G315*$AV$24)</f>
        <v>0.95396419519293452</v>
      </c>
      <c r="AC317" s="7">
        <f ca="1">$AV$11*EXP(-'3.r(t)'!H315*$AV$25)</f>
        <v>0.9773239133866557</v>
      </c>
      <c r="AD317" s="7">
        <v>1</v>
      </c>
      <c r="AE317" s="7"/>
      <c r="AF317" s="7">
        <v>309</v>
      </c>
      <c r="AG317" s="7">
        <f>$AW$7*EXP(-'3.r(t)'!D315*$AW$21)</f>
        <v>0.86718755429225491</v>
      </c>
      <c r="AH317" s="7">
        <f ca="1">$AW$8*EXP(-'3.r(t)'!E315*$AW$22)</f>
        <v>0.89533883126651748</v>
      </c>
      <c r="AI317" s="7">
        <f ca="1">$AW$9*EXP(-'3.r(t)'!F315*$AW$23)</f>
        <v>0.9092114979004573</v>
      </c>
      <c r="AJ317" s="7">
        <f ca="1">$AW$10*EXP(-'3.r(t)'!G315*$AW$24)</f>
        <v>0.93112776987938095</v>
      </c>
      <c r="AK317" s="7">
        <f ca="1">$AW$11*EXP(-'3.r(t)'!H315*$AW$25)</f>
        <v>0.95473755650092385</v>
      </c>
      <c r="AL317" s="7">
        <f ca="1">$AW$12*EXP(-'3.r(t)'!I315*$AW$26)</f>
        <v>0.97708651609941854</v>
      </c>
      <c r="AM317" s="7">
        <v>1</v>
      </c>
      <c r="AN317" s="7"/>
    </row>
    <row r="318" spans="2:40">
      <c r="B318" s="7">
        <v>310</v>
      </c>
      <c r="C318" s="7">
        <f>$AR$7*EXP(-'3.r(t)'!D316*$AR$21)</f>
        <v>0.97765346695821032</v>
      </c>
      <c r="D318" s="7">
        <v>1</v>
      </c>
      <c r="E318" s="7"/>
      <c r="F318" s="7">
        <v>310</v>
      </c>
      <c r="G318" s="48">
        <f>$AS$7*EXP(-'3.r(t)'!D316*$AS$21)</f>
        <v>0.9553476245219803</v>
      </c>
      <c r="H318" s="7">
        <f ca="1">$AS$8*EXP(-'3.r(t)'!E316*$AS$22)</f>
        <v>0.97621786787476961</v>
      </c>
      <c r="I318" s="7">
        <v>1</v>
      </c>
      <c r="J318" s="7"/>
      <c r="K318" s="7">
        <v>310</v>
      </c>
      <c r="L318" s="7">
        <f>$AT$7*EXP(-'3.r(t)'!D316*$AT$21)</f>
        <v>0.93311670519824419</v>
      </c>
      <c r="M318" s="7">
        <f ca="1">$AT$8*EXP(-'3.r(t)'!E316*$AT$22)</f>
        <v>0.95255244855534937</v>
      </c>
      <c r="N318" s="7">
        <f ca="1">$AT$9*EXP(-'3.r(t)'!F316*$AT$23)</f>
        <v>0.97465246711941733</v>
      </c>
      <c r="O318" s="7">
        <v>1</v>
      </c>
      <c r="P318" s="7"/>
      <c r="Q318" s="7">
        <v>310</v>
      </c>
      <c r="R318" s="7">
        <f>$AU$7*EXP(-'3.r(t)'!D316*$AU$21)</f>
        <v>0.91099305977534117</v>
      </c>
      <c r="S318" s="7">
        <f ca="1">$AU$8*EXP(-'3.r(t)'!E316*$AU$22)</f>
        <v>0.92903687141560498</v>
      </c>
      <c r="T318" s="7">
        <f ca="1">$AU$9*EXP(-'3.r(t)'!F316*$AU$23)</f>
        <v>0.94950841993608326</v>
      </c>
      <c r="U318" s="7">
        <f ca="1">$AU$10*EXP(-'3.r(t)'!G316*$AU$24)</f>
        <v>0.97805346856628761</v>
      </c>
      <c r="V318" s="7">
        <v>1</v>
      </c>
      <c r="W318" s="7"/>
      <c r="X318" s="7">
        <v>310</v>
      </c>
      <c r="Y318" s="7">
        <f>$AV$7*EXP(-'3.r(t)'!D316*$AV$21)</f>
        <v>0.88900715067201674</v>
      </c>
      <c r="Z318" s="7">
        <f ca="1">$AV$8*EXP(-'3.r(t)'!E316*$AV$22)</f>
        <v>0.90570220520732758</v>
      </c>
      <c r="AA318" s="7">
        <f ca="1">$AV$9*EXP(-'3.r(t)'!F316*$AV$23)</f>
        <v>0.92459941834460635</v>
      </c>
      <c r="AB318" s="7">
        <f ca="1">$AV$10*EXP(-'3.r(t)'!G316*$AV$24)</f>
        <v>0.95615499232175061</v>
      </c>
      <c r="AC318" s="7">
        <f ca="1">$AV$11*EXP(-'3.r(t)'!H316*$AV$25)</f>
        <v>0.97792419582721191</v>
      </c>
      <c r="AD318" s="7">
        <v>1</v>
      </c>
      <c r="AE318" s="7"/>
      <c r="AF318" s="7">
        <v>310</v>
      </c>
      <c r="AG318" s="7">
        <f>$AW$7*EXP(-'3.r(t)'!D316*$AW$21)</f>
        <v>0.86718755429225491</v>
      </c>
      <c r="AH318" s="7">
        <f ca="1">$AW$8*EXP(-'3.r(t)'!E316*$AW$22)</f>
        <v>0.88257746852796304</v>
      </c>
      <c r="AI318" s="7">
        <f ca="1">$AW$9*EXP(-'3.r(t)'!F316*$AW$23)</f>
        <v>0.89995477940787039</v>
      </c>
      <c r="AJ318" s="7">
        <f ca="1">$AW$10*EXP(-'3.r(t)'!G316*$AW$24)</f>
        <v>0.93433713997135237</v>
      </c>
      <c r="AK318" s="7">
        <f ca="1">$AW$11*EXP(-'3.r(t)'!H316*$AW$25)</f>
        <v>0.95591073601360665</v>
      </c>
      <c r="AL318" s="7">
        <f ca="1">$AW$12*EXP(-'3.r(t)'!I316*$AW$26)</f>
        <v>0.97627734862506699</v>
      </c>
      <c r="AM318" s="7">
        <v>1</v>
      </c>
      <c r="AN318" s="7"/>
    </row>
    <row r="319" spans="2:40">
      <c r="B319" s="7">
        <v>311</v>
      </c>
      <c r="C319" s="7">
        <f>$AR$7*EXP(-'3.r(t)'!D317*$AR$21)</f>
        <v>0.97765346695821032</v>
      </c>
      <c r="D319" s="7">
        <v>1</v>
      </c>
      <c r="E319" s="7"/>
      <c r="F319" s="7">
        <v>311</v>
      </c>
      <c r="G319" s="48">
        <f>$AS$7*EXP(-'3.r(t)'!D317*$AS$21)</f>
        <v>0.9553476245219803</v>
      </c>
      <c r="H319" s="7">
        <f ca="1">$AS$8*EXP(-'3.r(t)'!E317*$AS$22)</f>
        <v>0.97436084640960241</v>
      </c>
      <c r="I319" s="7">
        <v>1</v>
      </c>
      <c r="J319" s="7"/>
      <c r="K319" s="7">
        <v>311</v>
      </c>
      <c r="L319" s="7">
        <f>$AT$7*EXP(-'3.r(t)'!D317*$AT$21)</f>
        <v>0.93311670519824419</v>
      </c>
      <c r="M319" s="7">
        <f ca="1">$AT$8*EXP(-'3.r(t)'!E317*$AT$22)</f>
        <v>0.94893188815181584</v>
      </c>
      <c r="N319" s="7">
        <f ca="1">$AT$9*EXP(-'3.r(t)'!F317*$AT$23)</f>
        <v>0.97193146265767361</v>
      </c>
      <c r="O319" s="7">
        <v>1</v>
      </c>
      <c r="P319" s="7"/>
      <c r="Q319" s="7">
        <v>311</v>
      </c>
      <c r="R319" s="7">
        <f>$AU$7*EXP(-'3.r(t)'!D317*$AU$21)</f>
        <v>0.91099305977534117</v>
      </c>
      <c r="S319" s="7">
        <f ca="1">$AU$8*EXP(-'3.r(t)'!E317*$AU$22)</f>
        <v>0.92374513780826339</v>
      </c>
      <c r="T319" s="7">
        <f ca="1">$AU$9*EXP(-'3.r(t)'!F317*$AU$23)</f>
        <v>0.9442142041949354</v>
      </c>
      <c r="U319" s="7">
        <f ca="1">$AU$10*EXP(-'3.r(t)'!G317*$AU$24)</f>
        <v>0.97487932642879183</v>
      </c>
      <c r="V319" s="7">
        <v>1</v>
      </c>
      <c r="W319" s="7"/>
      <c r="X319" s="7">
        <v>311</v>
      </c>
      <c r="Y319" s="7">
        <f>$AV$7*EXP(-'3.r(t)'!D317*$AV$21)</f>
        <v>0.88900715067201674</v>
      </c>
      <c r="Z319" s="7">
        <f ca="1">$AV$8*EXP(-'3.r(t)'!E317*$AV$22)</f>
        <v>0.89883031551717929</v>
      </c>
      <c r="AA319" s="7">
        <f ca="1">$AV$9*EXP(-'3.r(t)'!F317*$AV$23)</f>
        <v>0.91687721338882011</v>
      </c>
      <c r="AB319" s="7">
        <f ca="1">$AV$10*EXP(-'3.r(t)'!G317*$AV$24)</f>
        <v>0.94995891582853431</v>
      </c>
      <c r="AC319" s="7">
        <f ca="1">$AV$11*EXP(-'3.r(t)'!H317*$AV$25)</f>
        <v>0.97258382654012709</v>
      </c>
      <c r="AD319" s="7">
        <v>1</v>
      </c>
      <c r="AE319" s="7"/>
      <c r="AF319" s="7">
        <v>311</v>
      </c>
      <c r="AG319" s="7">
        <f>$AW$7*EXP(-'3.r(t)'!D317*$AW$21)</f>
        <v>0.86718755429225491</v>
      </c>
      <c r="AH319" s="7">
        <f ca="1">$AW$8*EXP(-'3.r(t)'!E317*$AW$22)</f>
        <v>0.87421487997486391</v>
      </c>
      <c r="AI319" s="7">
        <f ca="1">$AW$9*EXP(-'3.r(t)'!F317*$AW$23)</f>
        <v>0.88994692336102743</v>
      </c>
      <c r="AJ319" s="7">
        <f ca="1">$AW$10*EXP(-'3.r(t)'!G317*$AW$24)</f>
        <v>0.92526983062146773</v>
      </c>
      <c r="AK319" s="7">
        <f ca="1">$AW$11*EXP(-'3.r(t)'!H317*$AW$25)</f>
        <v>0.94549893195238432</v>
      </c>
      <c r="AL319" s="7">
        <f ca="1">$AW$12*EXP(-'3.r(t)'!I317*$AW$26)</f>
        <v>0.97217587950670381</v>
      </c>
      <c r="AM319" s="7">
        <v>1</v>
      </c>
      <c r="AN319" s="7"/>
    </row>
    <row r="320" spans="2:40">
      <c r="B320" s="7">
        <v>312</v>
      </c>
      <c r="C320" s="7">
        <f>$AR$7*EXP(-'3.r(t)'!D318*$AR$21)</f>
        <v>0.97765346695821032</v>
      </c>
      <c r="D320" s="7">
        <v>1</v>
      </c>
      <c r="E320" s="7"/>
      <c r="F320" s="7">
        <v>312</v>
      </c>
      <c r="G320" s="48">
        <f>$AS$7*EXP(-'3.r(t)'!D318*$AS$21)</f>
        <v>0.9553476245219803</v>
      </c>
      <c r="H320" s="7">
        <f ca="1">$AS$8*EXP(-'3.r(t)'!E318*$AS$22)</f>
        <v>0.97747815359785462</v>
      </c>
      <c r="I320" s="7">
        <v>1</v>
      </c>
      <c r="J320" s="7"/>
      <c r="K320" s="7">
        <v>312</v>
      </c>
      <c r="L320" s="7">
        <f>$AT$7*EXP(-'3.r(t)'!D318*$AT$21)</f>
        <v>0.93311670519824419</v>
      </c>
      <c r="M320" s="7">
        <f ca="1">$AT$8*EXP(-'3.r(t)'!E318*$AT$22)</f>
        <v>0.95501350402053398</v>
      </c>
      <c r="N320" s="7">
        <f ca="1">$AT$9*EXP(-'3.r(t)'!F318*$AT$23)</f>
        <v>0.97563791880280837</v>
      </c>
      <c r="O320" s="7">
        <v>1</v>
      </c>
      <c r="P320" s="7"/>
      <c r="Q320" s="7">
        <v>312</v>
      </c>
      <c r="R320" s="7">
        <f>$AU$7*EXP(-'3.r(t)'!D318*$AU$21)</f>
        <v>0.91099305977534117</v>
      </c>
      <c r="S320" s="7">
        <f ca="1">$AU$8*EXP(-'3.r(t)'!E318*$AU$22)</f>
        <v>0.93263964539754673</v>
      </c>
      <c r="T320" s="7">
        <f ca="1">$AU$9*EXP(-'3.r(t)'!F318*$AU$23)</f>
        <v>0.95142944867918555</v>
      </c>
      <c r="U320" s="7">
        <f ca="1">$AU$10*EXP(-'3.r(t)'!G318*$AU$24)</f>
        <v>0.97621008010847166</v>
      </c>
      <c r="V320" s="7">
        <v>1</v>
      </c>
      <c r="W320" s="7"/>
      <c r="X320" s="7">
        <v>312</v>
      </c>
      <c r="Y320" s="7">
        <f>$AV$7*EXP(-'3.r(t)'!D318*$AV$21)</f>
        <v>0.88900715067201674</v>
      </c>
      <c r="Z320" s="7">
        <f ca="1">$AV$8*EXP(-'3.r(t)'!E318*$AV$22)</f>
        <v>0.91038827328466954</v>
      </c>
      <c r="AA320" s="7">
        <f ca="1">$AV$9*EXP(-'3.r(t)'!F318*$AV$23)</f>
        <v>0.92740678703701529</v>
      </c>
      <c r="AB320" s="7">
        <f ca="1">$AV$10*EXP(-'3.r(t)'!G318*$AV$24)</f>
        <v>0.95255415835082446</v>
      </c>
      <c r="AC320" s="7">
        <f ca="1">$AV$11*EXP(-'3.r(t)'!H318*$AV$25)</f>
        <v>0.97703755888596955</v>
      </c>
      <c r="AD320" s="7">
        <v>1</v>
      </c>
      <c r="AE320" s="7"/>
      <c r="AF320" s="7">
        <v>312</v>
      </c>
      <c r="AG320" s="7">
        <f>$AW$7*EXP(-'3.r(t)'!D318*$AW$21)</f>
        <v>0.86718755429225491</v>
      </c>
      <c r="AH320" s="7">
        <f ca="1">$AW$8*EXP(-'3.r(t)'!E318*$AW$22)</f>
        <v>0.88828918238588805</v>
      </c>
      <c r="AI320" s="7">
        <f ca="1">$AW$9*EXP(-'3.r(t)'!F318*$AW$23)</f>
        <v>0.90360000854061717</v>
      </c>
      <c r="AJ320" s="7">
        <f ca="1">$AW$10*EXP(-'3.r(t)'!G318*$AW$24)</f>
        <v>0.92906410879818513</v>
      </c>
      <c r="AK320" s="7">
        <f ca="1">$AW$11*EXP(-'3.r(t)'!H318*$AW$25)</f>
        <v>0.95417816500216246</v>
      </c>
      <c r="AL320" s="7">
        <f ca="1">$AW$12*EXP(-'3.r(t)'!I318*$AW$26)</f>
        <v>0.97324164026238524</v>
      </c>
      <c r="AM320" s="7">
        <v>1</v>
      </c>
      <c r="AN320" s="7"/>
    </row>
    <row r="321" spans="2:40">
      <c r="B321" s="7">
        <v>313</v>
      </c>
      <c r="C321" s="7">
        <f>$AR$7*EXP(-'3.r(t)'!D319*$AR$21)</f>
        <v>0.97765346695821032</v>
      </c>
      <c r="D321" s="7">
        <v>1</v>
      </c>
      <c r="E321" s="7"/>
      <c r="F321" s="7">
        <v>313</v>
      </c>
      <c r="G321" s="48">
        <f>$AS$7*EXP(-'3.r(t)'!D319*$AS$21)</f>
        <v>0.9553476245219803</v>
      </c>
      <c r="H321" s="7">
        <f ca="1">$AS$8*EXP(-'3.r(t)'!E319*$AS$22)</f>
        <v>0.9749057407167383</v>
      </c>
      <c r="I321" s="7">
        <v>1</v>
      </c>
      <c r="J321" s="7"/>
      <c r="K321" s="7">
        <v>313</v>
      </c>
      <c r="L321" s="7">
        <f>$AT$7*EXP(-'3.r(t)'!D319*$AT$21)</f>
        <v>0.93311670519824419</v>
      </c>
      <c r="M321" s="7">
        <f ca="1">$AT$8*EXP(-'3.r(t)'!E319*$AT$22)</f>
        <v>0.94999353213337134</v>
      </c>
      <c r="N321" s="7">
        <f ca="1">$AT$9*EXP(-'3.r(t)'!F319*$AT$23)</f>
        <v>0.97574267551578531</v>
      </c>
      <c r="O321" s="7">
        <v>1</v>
      </c>
      <c r="P321" s="7"/>
      <c r="Q321" s="7">
        <v>313</v>
      </c>
      <c r="R321" s="7">
        <f>$AU$7*EXP(-'3.r(t)'!D319*$AU$21)</f>
        <v>0.91099305977534117</v>
      </c>
      <c r="S321" s="7">
        <f ca="1">$AU$8*EXP(-'3.r(t)'!E319*$AU$22)</f>
        <v>0.92529576971394134</v>
      </c>
      <c r="T321" s="7">
        <f ca="1">$AU$9*EXP(-'3.r(t)'!F319*$AU$23)</f>
        <v>0.95163377442460462</v>
      </c>
      <c r="U321" s="7">
        <f ca="1">$AU$10*EXP(-'3.r(t)'!G319*$AU$24)</f>
        <v>0.97299306111961992</v>
      </c>
      <c r="V321" s="7">
        <v>1</v>
      </c>
      <c r="W321" s="7"/>
      <c r="X321" s="7">
        <v>313</v>
      </c>
      <c r="Y321" s="7">
        <f>$AV$7*EXP(-'3.r(t)'!D319*$AV$21)</f>
        <v>0.88900715067201674</v>
      </c>
      <c r="Z321" s="7">
        <f ca="1">$AV$8*EXP(-'3.r(t)'!E319*$AV$22)</f>
        <v>0.90084262345389376</v>
      </c>
      <c r="AA321" s="7">
        <f ca="1">$AV$9*EXP(-'3.r(t)'!F319*$AV$23)</f>
        <v>0.9277055531568088</v>
      </c>
      <c r="AB321" s="7">
        <f ca="1">$AV$10*EXP(-'3.r(t)'!G319*$AV$24)</f>
        <v>0.94628637713193942</v>
      </c>
      <c r="AC321" s="7">
        <f ca="1">$AV$11*EXP(-'3.r(t)'!H319*$AV$25)</f>
        <v>0.9742955281683422</v>
      </c>
      <c r="AD321" s="7">
        <v>1</v>
      </c>
      <c r="AE321" s="7"/>
      <c r="AF321" s="7">
        <v>313</v>
      </c>
      <c r="AG321" s="7">
        <f>$AW$7*EXP(-'3.r(t)'!D319*$AW$21)</f>
        <v>0.86718755429225491</v>
      </c>
      <c r="AH321" s="7">
        <f ca="1">$AW$8*EXP(-'3.r(t)'!E319*$AW$22)</f>
        <v>0.8766620626445587</v>
      </c>
      <c r="AI321" s="7">
        <f ca="1">$AW$9*EXP(-'3.r(t)'!F319*$AW$23)</f>
        <v>0.90398815833077151</v>
      </c>
      <c r="AJ321" s="7">
        <f ca="1">$AW$10*EXP(-'3.r(t)'!G319*$AW$24)</f>
        <v>0.91990938371544595</v>
      </c>
      <c r="AK321" s="7">
        <f ca="1">$AW$11*EXP(-'3.r(t)'!H319*$AW$25)</f>
        <v>0.94882992755711271</v>
      </c>
      <c r="AL321" s="7">
        <f ca="1">$AW$12*EXP(-'3.r(t)'!I319*$AW$26)</f>
        <v>0.97049586069333738</v>
      </c>
      <c r="AM321" s="7">
        <v>1</v>
      </c>
      <c r="AN321" s="7"/>
    </row>
    <row r="322" spans="2:40">
      <c r="B322" s="7">
        <v>314</v>
      </c>
      <c r="C322" s="7">
        <f>$AR$7*EXP(-'3.r(t)'!D320*$AR$21)</f>
        <v>0.97765346695821032</v>
      </c>
      <c r="D322" s="7">
        <v>1</v>
      </c>
      <c r="E322" s="7"/>
      <c r="F322" s="7">
        <v>314</v>
      </c>
      <c r="G322" s="48">
        <f>$AS$7*EXP(-'3.r(t)'!D320*$AS$21)</f>
        <v>0.9553476245219803</v>
      </c>
      <c r="H322" s="7">
        <f ca="1">$AS$8*EXP(-'3.r(t)'!E320*$AS$22)</f>
        <v>0.97907182419962258</v>
      </c>
      <c r="I322" s="7">
        <v>1</v>
      </c>
      <c r="J322" s="7"/>
      <c r="K322" s="7">
        <v>314</v>
      </c>
      <c r="L322" s="7">
        <f>$AT$7*EXP(-'3.r(t)'!D320*$AT$21)</f>
        <v>0.93311670519824419</v>
      </c>
      <c r="M322" s="7">
        <f ca="1">$AT$8*EXP(-'3.r(t)'!E320*$AT$22)</f>
        <v>0.95813013153396664</v>
      </c>
      <c r="N322" s="7">
        <f ca="1">$AT$9*EXP(-'3.r(t)'!F320*$AT$23)</f>
        <v>0.97853183353623863</v>
      </c>
      <c r="O322" s="7">
        <v>1</v>
      </c>
      <c r="P322" s="7"/>
      <c r="Q322" s="7">
        <v>314</v>
      </c>
      <c r="R322" s="7">
        <f>$AU$7*EXP(-'3.r(t)'!D320*$AU$21)</f>
        <v>0.91099305977534117</v>
      </c>
      <c r="S322" s="7">
        <f ca="1">$AU$8*EXP(-'3.r(t)'!E320*$AU$22)</f>
        <v>0.93720878582779532</v>
      </c>
      <c r="T322" s="7">
        <f ca="1">$AU$9*EXP(-'3.r(t)'!F320*$AU$23)</f>
        <v>0.95708203580470308</v>
      </c>
      <c r="U322" s="7">
        <f ca="1">$AU$10*EXP(-'3.r(t)'!G320*$AU$24)</f>
        <v>0.97798544998262138</v>
      </c>
      <c r="V322" s="7">
        <v>1</v>
      </c>
      <c r="W322" s="7"/>
      <c r="X322" s="7">
        <v>314</v>
      </c>
      <c r="Y322" s="7">
        <f>$AV$7*EXP(-'3.r(t)'!D320*$AV$21)</f>
        <v>0.88900715067201674</v>
      </c>
      <c r="Z322" s="7">
        <f ca="1">$AV$8*EXP(-'3.r(t)'!E320*$AV$22)</f>
        <v>0.91633996061084433</v>
      </c>
      <c r="AA322" s="7">
        <f ca="1">$AV$9*EXP(-'3.r(t)'!F320*$AV$23)</f>
        <v>0.93568384776939717</v>
      </c>
      <c r="AB322" s="7">
        <f ca="1">$AV$10*EXP(-'3.r(t)'!G320*$AV$24)</f>
        <v>0.95602200563142559</v>
      </c>
      <c r="AC322" s="7">
        <f ca="1">$AV$11*EXP(-'3.r(t)'!H320*$AV$25)</f>
        <v>0.976420023315279</v>
      </c>
      <c r="AD322" s="7">
        <v>1</v>
      </c>
      <c r="AE322" s="7"/>
      <c r="AF322" s="7">
        <v>314</v>
      </c>
      <c r="AG322" s="7">
        <f>$AW$7*EXP(-'3.r(t)'!D320*$AW$21)</f>
        <v>0.86718755429225491</v>
      </c>
      <c r="AH322" s="7">
        <f ca="1">$AW$8*EXP(-'3.r(t)'!E320*$AW$22)</f>
        <v>0.89555412214193808</v>
      </c>
      <c r="AI322" s="7">
        <f ca="1">$AW$9*EXP(-'3.r(t)'!F320*$AW$23)</f>
        <v>0.91436875345897595</v>
      </c>
      <c r="AJ322" s="7">
        <f ca="1">$AW$10*EXP(-'3.r(t)'!G320*$AW$24)</f>
        <v>0.93414221851356549</v>
      </c>
      <c r="AK322" s="7">
        <f ca="1">$AW$11*EXP(-'3.r(t)'!H320*$AW$25)</f>
        <v>0.952972371553644</v>
      </c>
      <c r="AL322" s="7">
        <f ca="1">$AW$12*EXP(-'3.r(t)'!I320*$AW$26)</f>
        <v>0.97682613086578696</v>
      </c>
      <c r="AM322" s="7">
        <v>1</v>
      </c>
      <c r="AN322" s="7"/>
    </row>
    <row r="323" spans="2:40">
      <c r="B323" s="7">
        <v>315</v>
      </c>
      <c r="C323" s="7">
        <f>$AR$7*EXP(-'3.r(t)'!D321*$AR$21)</f>
        <v>0.97765346695821032</v>
      </c>
      <c r="D323" s="7">
        <v>1</v>
      </c>
      <c r="E323" s="7"/>
      <c r="F323" s="7">
        <v>315</v>
      </c>
      <c r="G323" s="48">
        <f>$AS$7*EXP(-'3.r(t)'!D321*$AS$21)</f>
        <v>0.9553476245219803</v>
      </c>
      <c r="H323" s="7">
        <f ca="1">$AS$8*EXP(-'3.r(t)'!E321*$AS$22)</f>
        <v>0.97360341415431528</v>
      </c>
      <c r="I323" s="7">
        <v>1</v>
      </c>
      <c r="J323" s="7"/>
      <c r="K323" s="7">
        <v>315</v>
      </c>
      <c r="L323" s="7">
        <f>$AT$7*EXP(-'3.r(t)'!D321*$AT$21)</f>
        <v>0.93311670519824419</v>
      </c>
      <c r="M323" s="7">
        <f ca="1">$AT$8*EXP(-'3.r(t)'!E321*$AT$22)</f>
        <v>0.94745713214683425</v>
      </c>
      <c r="N323" s="7">
        <f ca="1">$AT$9*EXP(-'3.r(t)'!F321*$AT$23)</f>
        <v>0.97029324991292532</v>
      </c>
      <c r="O323" s="7">
        <v>1</v>
      </c>
      <c r="P323" s="7"/>
      <c r="Q323" s="7">
        <v>315</v>
      </c>
      <c r="R323" s="7">
        <f>$AU$7*EXP(-'3.r(t)'!D321*$AU$21)</f>
        <v>0.91099305977534117</v>
      </c>
      <c r="S323" s="7">
        <f ca="1">$AU$8*EXP(-'3.r(t)'!E321*$AU$22)</f>
        <v>0.92159255561412468</v>
      </c>
      <c r="T323" s="7">
        <f ca="1">$AU$9*EXP(-'3.r(t)'!F321*$AU$23)</f>
        <v>0.94103389735430298</v>
      </c>
      <c r="U323" s="7">
        <f ca="1">$AU$10*EXP(-'3.r(t)'!G321*$AU$24)</f>
        <v>0.96828349698251803</v>
      </c>
      <c r="V323" s="7">
        <v>1</v>
      </c>
      <c r="W323" s="7"/>
      <c r="X323" s="7">
        <v>315</v>
      </c>
      <c r="Y323" s="7">
        <f>$AV$7*EXP(-'3.r(t)'!D321*$AV$21)</f>
        <v>0.88900715067201674</v>
      </c>
      <c r="Z323" s="7">
        <f ca="1">$AV$8*EXP(-'3.r(t)'!E321*$AV$22)</f>
        <v>0.89603870236908956</v>
      </c>
      <c r="AA323" s="7">
        <f ca="1">$AV$9*EXP(-'3.r(t)'!F321*$AV$23)</f>
        <v>0.91224877086897171</v>
      </c>
      <c r="AB323" s="7">
        <f ca="1">$AV$10*EXP(-'3.r(t)'!G321*$AV$24)</f>
        <v>0.937147954745293</v>
      </c>
      <c r="AC323" s="7">
        <f ca="1">$AV$11*EXP(-'3.r(t)'!H321*$AV$25)</f>
        <v>0.96914431898018027</v>
      </c>
      <c r="AD323" s="7">
        <v>1</v>
      </c>
      <c r="AE323" s="7"/>
      <c r="AF323" s="7">
        <v>315</v>
      </c>
      <c r="AG323" s="7">
        <f>$AW$7*EXP(-'3.r(t)'!D321*$AW$21)</f>
        <v>0.86718755429225491</v>
      </c>
      <c r="AH323" s="7">
        <f ca="1">$AW$8*EXP(-'3.r(t)'!E321*$AW$22)</f>
        <v>0.87082224635671068</v>
      </c>
      <c r="AI323" s="7">
        <f ca="1">$AW$9*EXP(-'3.r(t)'!F321*$AW$23)</f>
        <v>0.88396197258750919</v>
      </c>
      <c r="AJ323" s="7">
        <f ca="1">$AW$10*EXP(-'3.r(t)'!G321*$AW$24)</f>
        <v>0.90661606335038325</v>
      </c>
      <c r="AK323" s="7">
        <f ca="1">$AW$11*EXP(-'3.r(t)'!H321*$AW$25)</f>
        <v>0.93882331128947349</v>
      </c>
      <c r="AL323" s="7">
        <f ca="1">$AW$12*EXP(-'3.r(t)'!I321*$AW$26)</f>
        <v>0.96524729903706008</v>
      </c>
      <c r="AM323" s="7">
        <v>1</v>
      </c>
      <c r="AN323" s="7"/>
    </row>
    <row r="324" spans="2:40">
      <c r="B324" s="7">
        <v>316</v>
      </c>
      <c r="C324" s="7">
        <f>$AR$7*EXP(-'3.r(t)'!D322*$AR$21)</f>
        <v>0.97765346695821032</v>
      </c>
      <c r="D324" s="7">
        <v>1</v>
      </c>
      <c r="E324" s="7"/>
      <c r="F324" s="7">
        <v>316</v>
      </c>
      <c r="G324" s="48">
        <f>$AS$7*EXP(-'3.r(t)'!D322*$AS$21)</f>
        <v>0.9553476245219803</v>
      </c>
      <c r="H324" s="7">
        <f ca="1">$AS$8*EXP(-'3.r(t)'!E322*$AS$22)</f>
        <v>0.97497279998282649</v>
      </c>
      <c r="I324" s="7">
        <v>1</v>
      </c>
      <c r="J324" s="7"/>
      <c r="K324" s="7">
        <v>316</v>
      </c>
      <c r="L324" s="7">
        <f>$AT$7*EXP(-'3.r(t)'!D322*$AT$21)</f>
        <v>0.93311670519824419</v>
      </c>
      <c r="M324" s="7">
        <f ca="1">$AT$8*EXP(-'3.r(t)'!E322*$AT$22)</f>
        <v>0.95012422796868934</v>
      </c>
      <c r="N324" s="7">
        <f ca="1">$AT$9*EXP(-'3.r(t)'!F322*$AT$23)</f>
        <v>0.97817460848801774</v>
      </c>
      <c r="O324" s="7">
        <v>1</v>
      </c>
      <c r="P324" s="7"/>
      <c r="Q324" s="7">
        <v>316</v>
      </c>
      <c r="R324" s="7">
        <f>$AU$7*EXP(-'3.r(t)'!D322*$AU$21)</f>
        <v>0.91099305977534117</v>
      </c>
      <c r="S324" s="7">
        <f ca="1">$AU$8*EXP(-'3.r(t)'!E322*$AU$22)</f>
        <v>0.92548672332365056</v>
      </c>
      <c r="T324" s="7">
        <f ca="1">$AU$9*EXP(-'3.r(t)'!F322*$AU$23)</f>
        <v>0.95638337428254006</v>
      </c>
      <c r="U324" s="7">
        <f ca="1">$AU$10*EXP(-'3.r(t)'!G322*$AU$24)</f>
        <v>0.97437129925779042</v>
      </c>
      <c r="V324" s="7">
        <v>1</v>
      </c>
      <c r="W324" s="7"/>
      <c r="X324" s="7">
        <v>316</v>
      </c>
      <c r="Y324" s="7">
        <f>$AV$7*EXP(-'3.r(t)'!D322*$AV$21)</f>
        <v>0.88900715067201674</v>
      </c>
      <c r="Z324" s="7">
        <f ca="1">$AV$8*EXP(-'3.r(t)'!E322*$AV$22)</f>
        <v>0.90109050825310633</v>
      </c>
      <c r="AA324" s="7">
        <f ca="1">$AV$9*EXP(-'3.r(t)'!F322*$AV$23)</f>
        <v>0.93465947322455145</v>
      </c>
      <c r="AB324" s="7">
        <f ca="1">$AV$10*EXP(-'3.r(t)'!G322*$AV$24)</f>
        <v>0.94896909241053007</v>
      </c>
      <c r="AC324" s="7">
        <f ca="1">$AV$11*EXP(-'3.r(t)'!H322*$AV$25)</f>
        <v>0.97443368364768557</v>
      </c>
      <c r="AD324" s="7">
        <v>1</v>
      </c>
      <c r="AE324" s="7"/>
      <c r="AF324" s="7">
        <v>316</v>
      </c>
      <c r="AG324" s="7">
        <f>$AW$7*EXP(-'3.r(t)'!D322*$AW$21)</f>
        <v>0.86718755429225491</v>
      </c>
      <c r="AH324" s="7">
        <f ca="1">$AW$8*EXP(-'3.r(t)'!E322*$AW$22)</f>
        <v>0.8769636118107117</v>
      </c>
      <c r="AI324" s="7">
        <f ca="1">$AW$9*EXP(-'3.r(t)'!F322*$AW$23)</f>
        <v>0.91303427831577133</v>
      </c>
      <c r="AJ324" s="7">
        <f ca="1">$AW$10*EXP(-'3.r(t)'!G322*$AW$24)</f>
        <v>0.92382405999203654</v>
      </c>
      <c r="AK324" s="7">
        <f ca="1">$AW$11*EXP(-'3.r(t)'!H322*$AW$25)</f>
        <v>0.94909903553039832</v>
      </c>
      <c r="AL324" s="7">
        <f ca="1">$AW$12*EXP(-'3.r(t)'!I322*$AW$26)</f>
        <v>0.97523241617869671</v>
      </c>
      <c r="AM324" s="7">
        <v>1</v>
      </c>
      <c r="AN324" s="7"/>
    </row>
    <row r="325" spans="2:40">
      <c r="B325" s="7">
        <v>317</v>
      </c>
      <c r="C325" s="7">
        <f>$AR$7*EXP(-'3.r(t)'!D323*$AR$21)</f>
        <v>0.97765346695821032</v>
      </c>
      <c r="D325" s="7">
        <v>1</v>
      </c>
      <c r="E325" s="7"/>
      <c r="F325" s="7">
        <v>317</v>
      </c>
      <c r="G325" s="48">
        <f>$AS$7*EXP(-'3.r(t)'!D323*$AS$21)</f>
        <v>0.9553476245219803</v>
      </c>
      <c r="H325" s="7">
        <f ca="1">$AS$8*EXP(-'3.r(t)'!E323*$AS$22)</f>
        <v>0.97713445684500655</v>
      </c>
      <c r="I325" s="7">
        <v>1</v>
      </c>
      <c r="J325" s="7"/>
      <c r="K325" s="7">
        <v>317</v>
      </c>
      <c r="L325" s="7">
        <f>$AT$7*EXP(-'3.r(t)'!D323*$AT$21)</f>
        <v>0.93311670519824419</v>
      </c>
      <c r="M325" s="7">
        <f ca="1">$AT$8*EXP(-'3.r(t)'!E323*$AT$22)</f>
        <v>0.95434202643765709</v>
      </c>
      <c r="N325" s="7">
        <f ca="1">$AT$9*EXP(-'3.r(t)'!F323*$AT$23)</f>
        <v>0.97648066843520265</v>
      </c>
      <c r="O325" s="7">
        <v>1</v>
      </c>
      <c r="P325" s="7"/>
      <c r="Q325" s="7">
        <v>317</v>
      </c>
      <c r="R325" s="7">
        <f>$AU$7*EXP(-'3.r(t)'!D323*$AU$21)</f>
        <v>0.91099305977534117</v>
      </c>
      <c r="S325" s="7">
        <f ca="1">$AU$8*EXP(-'3.r(t)'!E323*$AU$22)</f>
        <v>0.93165619879783124</v>
      </c>
      <c r="T325" s="7">
        <f ca="1">$AU$9*EXP(-'3.r(t)'!F323*$AU$23)</f>
        <v>0.95307383560740344</v>
      </c>
      <c r="U325" s="7">
        <f ca="1">$AU$10*EXP(-'3.r(t)'!G323*$AU$24)</f>
        <v>0.97668775657411511</v>
      </c>
      <c r="V325" s="7">
        <v>1</v>
      </c>
      <c r="W325" s="7"/>
      <c r="X325" s="7">
        <v>317</v>
      </c>
      <c r="Y325" s="7">
        <f>$AV$7*EXP(-'3.r(t)'!D323*$AV$21)</f>
        <v>0.88900715067201674</v>
      </c>
      <c r="Z325" s="7">
        <f ca="1">$AV$8*EXP(-'3.r(t)'!E323*$AV$22)</f>
        <v>0.90910852088778904</v>
      </c>
      <c r="AA325" s="7">
        <f ca="1">$AV$9*EXP(-'3.r(t)'!F323*$AV$23)</f>
        <v>0.9298121272499088</v>
      </c>
      <c r="AB325" s="7">
        <f ca="1">$AV$10*EXP(-'3.r(t)'!G323*$AV$24)</f>
        <v>0.95348658885069149</v>
      </c>
      <c r="AC325" s="7">
        <f ca="1">$AV$11*EXP(-'3.r(t)'!H323*$AV$25)</f>
        <v>0.98041544856687535</v>
      </c>
      <c r="AD325" s="7">
        <v>1</v>
      </c>
      <c r="AE325" s="7"/>
      <c r="AF325" s="7">
        <v>317</v>
      </c>
      <c r="AG325" s="7">
        <f>$AW$7*EXP(-'3.r(t)'!D323*$AW$21)</f>
        <v>0.86718755429225491</v>
      </c>
      <c r="AH325" s="7">
        <f ca="1">$AW$8*EXP(-'3.r(t)'!E323*$AW$22)</f>
        <v>0.88672859771272805</v>
      </c>
      <c r="AI325" s="7">
        <f ca="1">$AW$9*EXP(-'3.r(t)'!F323*$AW$23)</f>
        <v>0.90672615117125266</v>
      </c>
      <c r="AJ325" s="7">
        <f ca="1">$AW$10*EXP(-'3.r(t)'!G323*$AW$24)</f>
        <v>0.93042859762934682</v>
      </c>
      <c r="AK325" s="7">
        <f ca="1">$AW$11*EXP(-'3.r(t)'!H323*$AW$25)</f>
        <v>0.96078728690919524</v>
      </c>
      <c r="AL325" s="7">
        <f ca="1">$AW$12*EXP(-'3.r(t)'!I323*$AW$26)</f>
        <v>0.97984887418701627</v>
      </c>
      <c r="AM325" s="7">
        <v>1</v>
      </c>
      <c r="AN325" s="7"/>
    </row>
    <row r="326" spans="2:40">
      <c r="B326" s="7">
        <v>318</v>
      </c>
      <c r="C326" s="7">
        <f>$AR$7*EXP(-'3.r(t)'!D324*$AR$21)</f>
        <v>0.97765346695821032</v>
      </c>
      <c r="D326" s="7">
        <v>1</v>
      </c>
      <c r="E326" s="7"/>
      <c r="F326" s="7">
        <v>318</v>
      </c>
      <c r="G326" s="48">
        <f>$AS$7*EXP(-'3.r(t)'!D324*$AS$21)</f>
        <v>0.9553476245219803</v>
      </c>
      <c r="H326" s="7">
        <f ca="1">$AS$8*EXP(-'3.r(t)'!E324*$AS$22)</f>
        <v>0.97877850298064717</v>
      </c>
      <c r="I326" s="7">
        <v>1</v>
      </c>
      <c r="J326" s="7"/>
      <c r="K326" s="7">
        <v>318</v>
      </c>
      <c r="L326" s="7">
        <f>$AT$7*EXP(-'3.r(t)'!D324*$AT$21)</f>
        <v>0.93311670519824419</v>
      </c>
      <c r="M326" s="7">
        <f ca="1">$AT$8*EXP(-'3.r(t)'!E324*$AT$22)</f>
        <v>0.95755612298291859</v>
      </c>
      <c r="N326" s="7">
        <f ca="1">$AT$9*EXP(-'3.r(t)'!F324*$AT$23)</f>
        <v>0.98393435303149135</v>
      </c>
      <c r="O326" s="7">
        <v>1</v>
      </c>
      <c r="P326" s="7"/>
      <c r="Q326" s="7">
        <v>318</v>
      </c>
      <c r="R326" s="7">
        <f>$AU$7*EXP(-'3.r(t)'!D324*$AU$21)</f>
        <v>0.91099305977534117</v>
      </c>
      <c r="S326" s="7">
        <f ca="1">$AU$8*EXP(-'3.r(t)'!E324*$AU$22)</f>
        <v>0.9363666998856951</v>
      </c>
      <c r="T326" s="7">
        <f ca="1">$AU$9*EXP(-'3.r(t)'!F324*$AU$23)</f>
        <v>0.96767939787342261</v>
      </c>
      <c r="U326" s="7">
        <f ca="1">$AU$10*EXP(-'3.r(t)'!G324*$AU$24)</f>
        <v>0.98394926612355127</v>
      </c>
      <c r="V326" s="7">
        <v>1</v>
      </c>
      <c r="W326" s="7"/>
      <c r="X326" s="7">
        <v>318</v>
      </c>
      <c r="Y326" s="7">
        <f>$AV$7*EXP(-'3.r(t)'!D324*$AV$21)</f>
        <v>0.88900715067201674</v>
      </c>
      <c r="Z326" s="7">
        <f ca="1">$AV$8*EXP(-'3.r(t)'!E324*$AV$22)</f>
        <v>0.91524234474775201</v>
      </c>
      <c r="AA326" s="7">
        <f ca="1">$AV$9*EXP(-'3.r(t)'!F324*$AV$23)</f>
        <v>0.95126743100111644</v>
      </c>
      <c r="AB326" s="7">
        <f ca="1">$AV$10*EXP(-'3.r(t)'!G324*$AV$24)</f>
        <v>0.96771731999348021</v>
      </c>
      <c r="AC326" s="7">
        <f ca="1">$AV$11*EXP(-'3.r(t)'!H324*$AV$25)</f>
        <v>0.9863005542774409</v>
      </c>
      <c r="AD326" s="7">
        <v>1</v>
      </c>
      <c r="AE326" s="7"/>
      <c r="AF326" s="7">
        <v>318</v>
      </c>
      <c r="AG326" s="7">
        <f>$AW$7*EXP(-'3.r(t)'!D324*$AW$21)</f>
        <v>0.86718755429225491</v>
      </c>
      <c r="AH326" s="7">
        <f ca="1">$AW$8*EXP(-'3.r(t)'!E324*$AW$22)</f>
        <v>0.89421342541661208</v>
      </c>
      <c r="AI326" s="7">
        <f ca="1">$AW$9*EXP(-'3.r(t)'!F324*$AW$23)</f>
        <v>0.93472968895173447</v>
      </c>
      <c r="AJ326" s="7">
        <f ca="1">$AW$10*EXP(-'3.r(t)'!G324*$AW$24)</f>
        <v>0.9513360145593972</v>
      </c>
      <c r="AK326" s="7">
        <f ca="1">$AW$11*EXP(-'3.r(t)'!H324*$AW$25)</f>
        <v>0.97235647484146837</v>
      </c>
      <c r="AL326" s="7">
        <f ca="1">$AW$12*EXP(-'3.r(t)'!I324*$AW$26)</f>
        <v>0.98428166671021655</v>
      </c>
      <c r="AM326" s="7">
        <v>1</v>
      </c>
      <c r="AN326" s="7"/>
    </row>
    <row r="327" spans="2:40">
      <c r="B327" s="7">
        <v>319</v>
      </c>
      <c r="C327" s="7">
        <f>$AR$7*EXP(-'3.r(t)'!D325*$AR$21)</f>
        <v>0.97765346695821032</v>
      </c>
      <c r="D327" s="7">
        <v>1</v>
      </c>
      <c r="E327" s="7"/>
      <c r="F327" s="7">
        <v>319</v>
      </c>
      <c r="G327" s="48">
        <f>$AS$7*EXP(-'3.r(t)'!D325*$AS$21)</f>
        <v>0.9553476245219803</v>
      </c>
      <c r="H327" s="7">
        <f ca="1">$AS$8*EXP(-'3.r(t)'!E325*$AS$22)</f>
        <v>0.97906259525159156</v>
      </c>
      <c r="I327" s="7">
        <v>1</v>
      </c>
      <c r="J327" s="7"/>
      <c r="K327" s="7">
        <v>319</v>
      </c>
      <c r="L327" s="7">
        <f>$AT$7*EXP(-'3.r(t)'!D325*$AT$21)</f>
        <v>0.93311670519824419</v>
      </c>
      <c r="M327" s="7">
        <f ca="1">$AT$8*EXP(-'3.r(t)'!E325*$AT$22)</f>
        <v>0.95811206852511166</v>
      </c>
      <c r="N327" s="7">
        <f ca="1">$AT$9*EXP(-'3.r(t)'!F325*$AT$23)</f>
        <v>0.97785813712813707</v>
      </c>
      <c r="O327" s="7">
        <v>1</v>
      </c>
      <c r="P327" s="7"/>
      <c r="Q327" s="7">
        <v>319</v>
      </c>
      <c r="R327" s="7">
        <f>$AU$7*EXP(-'3.r(t)'!D325*$AU$21)</f>
        <v>0.91099305977534117</v>
      </c>
      <c r="S327" s="7">
        <f ca="1">$AU$8*EXP(-'3.r(t)'!E325*$AU$22)</f>
        <v>0.93718228306436113</v>
      </c>
      <c r="T327" s="7">
        <f ca="1">$AU$9*EXP(-'3.r(t)'!F325*$AU$23)</f>
        <v>0.95576463201929029</v>
      </c>
      <c r="U327" s="7">
        <f ca="1">$AU$10*EXP(-'3.r(t)'!G325*$AU$24)</f>
        <v>0.97552757382335342</v>
      </c>
      <c r="V327" s="7">
        <v>1</v>
      </c>
      <c r="W327" s="7"/>
      <c r="X327" s="7">
        <v>319</v>
      </c>
      <c r="Y327" s="7">
        <f>$AV$7*EXP(-'3.r(t)'!D325*$AV$21)</f>
        <v>0.88900715067201674</v>
      </c>
      <c r="Z327" s="7">
        <f ca="1">$AV$8*EXP(-'3.r(t)'!E325*$AV$22)</f>
        <v>0.91630541060504211</v>
      </c>
      <c r="AA327" s="7">
        <f ca="1">$AV$9*EXP(-'3.r(t)'!F325*$AV$23)</f>
        <v>0.93375258830765007</v>
      </c>
      <c r="AB327" s="7">
        <f ca="1">$AV$10*EXP(-'3.r(t)'!G325*$AV$24)</f>
        <v>0.95122268892692596</v>
      </c>
      <c r="AC327" s="7">
        <f ca="1">$AV$11*EXP(-'3.r(t)'!H325*$AV$25)</f>
        <v>0.97230305478860368</v>
      </c>
      <c r="AD327" s="7">
        <v>1</v>
      </c>
      <c r="AE327" s="7"/>
      <c r="AF327" s="7">
        <v>319</v>
      </c>
      <c r="AG327" s="7">
        <f>$AW$7*EXP(-'3.r(t)'!D325*$AW$21)</f>
        <v>0.86718755429225491</v>
      </c>
      <c r="AH327" s="7">
        <f ca="1">$AW$8*EXP(-'3.r(t)'!E325*$AW$22)</f>
        <v>0.89551191447936651</v>
      </c>
      <c r="AI327" s="7">
        <f ca="1">$AW$9*EXP(-'3.r(t)'!F325*$AW$23)</f>
        <v>0.91185326625231944</v>
      </c>
      <c r="AJ327" s="7">
        <f ca="1">$AW$10*EXP(-'3.r(t)'!G325*$AW$24)</f>
        <v>0.92711683671584211</v>
      </c>
      <c r="AK327" s="7">
        <f ca="1">$AW$11*EXP(-'3.r(t)'!H325*$AW$25)</f>
        <v>0.94495310533006271</v>
      </c>
      <c r="AL327" s="7">
        <f ca="1">$AW$12*EXP(-'3.r(t)'!I325*$AW$26)</f>
        <v>0.97093364237733459</v>
      </c>
      <c r="AM327" s="7">
        <v>1</v>
      </c>
      <c r="AN327" s="7"/>
    </row>
    <row r="328" spans="2:40">
      <c r="B328" s="7">
        <v>320</v>
      </c>
      <c r="C328" s="7">
        <f>$AR$7*EXP(-'3.r(t)'!D326*$AR$21)</f>
        <v>0.97765346695821032</v>
      </c>
      <c r="D328" s="7">
        <v>1</v>
      </c>
      <c r="E328" s="7"/>
      <c r="F328" s="7">
        <v>320</v>
      </c>
      <c r="G328" s="48">
        <f>$AS$7*EXP(-'3.r(t)'!D326*$AS$21)</f>
        <v>0.9553476245219803</v>
      </c>
      <c r="H328" s="7">
        <f ca="1">$AS$8*EXP(-'3.r(t)'!E326*$AS$22)</f>
        <v>0.9738356178981461</v>
      </c>
      <c r="I328" s="7">
        <v>1</v>
      </c>
      <c r="J328" s="7"/>
      <c r="K328" s="7">
        <v>320</v>
      </c>
      <c r="L328" s="7">
        <f>$AT$7*EXP(-'3.r(t)'!D326*$AT$21)</f>
        <v>0.93311670519824419</v>
      </c>
      <c r="M328" s="7">
        <f ca="1">$AT$8*EXP(-'3.r(t)'!E326*$AT$22)</f>
        <v>0.94790912178717057</v>
      </c>
      <c r="N328" s="7">
        <f ca="1">$AT$9*EXP(-'3.r(t)'!F326*$AT$23)</f>
        <v>0.97126954844035662</v>
      </c>
      <c r="O328" s="7">
        <v>1</v>
      </c>
      <c r="P328" s="7"/>
      <c r="Q328" s="7">
        <v>320</v>
      </c>
      <c r="R328" s="7">
        <f>$AU$7*EXP(-'3.r(t)'!D326*$AU$21)</f>
        <v>0.91099305977534117</v>
      </c>
      <c r="S328" s="7">
        <f ca="1">$AU$8*EXP(-'3.r(t)'!E326*$AU$22)</f>
        <v>0.92225211046214828</v>
      </c>
      <c r="T328" s="7">
        <f ca="1">$AU$9*EXP(-'3.r(t)'!F326*$AU$23)</f>
        <v>0.9429285662421043</v>
      </c>
      <c r="U328" s="7">
        <f ca="1">$AU$10*EXP(-'3.r(t)'!G326*$AU$24)</f>
        <v>0.9731017926471548</v>
      </c>
      <c r="V328" s="7">
        <v>1</v>
      </c>
      <c r="W328" s="7"/>
      <c r="X328" s="7">
        <v>320</v>
      </c>
      <c r="Y328" s="7">
        <f>$AV$7*EXP(-'3.r(t)'!D326*$AV$21)</f>
        <v>0.88900715067201674</v>
      </c>
      <c r="Z328" s="7">
        <f ca="1">$AV$8*EXP(-'3.r(t)'!E326*$AV$22)</f>
        <v>0.89689382668206674</v>
      </c>
      <c r="AA328" s="7">
        <f ca="1">$AV$9*EXP(-'3.r(t)'!F326*$AV$23)</f>
        <v>0.91500522693512565</v>
      </c>
      <c r="AB328" s="7">
        <f ca="1">$AV$10*EXP(-'3.r(t)'!G326*$AV$24)</f>
        <v>0.94649788308486527</v>
      </c>
      <c r="AC328" s="7">
        <f ca="1">$AV$11*EXP(-'3.r(t)'!H326*$AV$25)</f>
        <v>0.9729987907206199</v>
      </c>
      <c r="AD328" s="7">
        <v>1</v>
      </c>
      <c r="AE328" s="7"/>
      <c r="AF328" s="7">
        <v>320</v>
      </c>
      <c r="AG328" s="7">
        <f>$AW$7*EXP(-'3.r(t)'!D326*$AW$21)</f>
        <v>0.86718755429225491</v>
      </c>
      <c r="AH328" s="7">
        <f ca="1">$AW$8*EXP(-'3.r(t)'!E326*$AW$22)</f>
        <v>0.87186119434573262</v>
      </c>
      <c r="AI328" s="7">
        <f ca="1">$AW$9*EXP(-'3.r(t)'!F326*$AW$23)</f>
        <v>0.88752507755298959</v>
      </c>
      <c r="AJ328" s="7">
        <f ca="1">$AW$10*EXP(-'3.r(t)'!G326*$AW$24)</f>
        <v>0.92021781653302737</v>
      </c>
      <c r="AK328" s="7">
        <f ca="1">$AW$11*EXP(-'3.r(t)'!H326*$AW$25)</f>
        <v>0.94630592026269877</v>
      </c>
      <c r="AL328" s="7">
        <f ca="1">$AW$12*EXP(-'3.r(t)'!I326*$AW$26)</f>
        <v>0.97447488142791228</v>
      </c>
      <c r="AM328" s="7">
        <v>1</v>
      </c>
      <c r="AN328" s="7"/>
    </row>
    <row r="329" spans="2:40">
      <c r="B329" s="7">
        <v>321</v>
      </c>
      <c r="C329" s="7">
        <f>$AR$7*EXP(-'3.r(t)'!D327*$AR$21)</f>
        <v>0.97765346695821032</v>
      </c>
      <c r="D329" s="7">
        <v>1</v>
      </c>
      <c r="E329" s="7"/>
      <c r="F329" s="7">
        <v>321</v>
      </c>
      <c r="G329" s="48">
        <f>$AS$7*EXP(-'3.r(t)'!D327*$AS$21)</f>
        <v>0.9553476245219803</v>
      </c>
      <c r="H329" s="7">
        <f ca="1">$AS$8*EXP(-'3.r(t)'!E327*$AS$22)</f>
        <v>0.97522379399193826</v>
      </c>
      <c r="I329" s="7">
        <v>1</v>
      </c>
      <c r="J329" s="7"/>
      <c r="K329" s="7">
        <v>321</v>
      </c>
      <c r="L329" s="7">
        <f>$AT$7*EXP(-'3.r(t)'!D327*$AT$21)</f>
        <v>0.93311670519824419</v>
      </c>
      <c r="M329" s="7">
        <f ca="1">$AT$8*EXP(-'3.r(t)'!E327*$AT$22)</f>
        <v>0.95061348507480736</v>
      </c>
      <c r="N329" s="7">
        <f ca="1">$AT$9*EXP(-'3.r(t)'!F327*$AT$23)</f>
        <v>0.97272676980997164</v>
      </c>
      <c r="O329" s="7">
        <v>1</v>
      </c>
      <c r="P329" s="7"/>
      <c r="Q329" s="7">
        <v>321</v>
      </c>
      <c r="R329" s="7">
        <f>$AU$7*EXP(-'3.r(t)'!D327*$AU$21)</f>
        <v>0.91099305977534117</v>
      </c>
      <c r="S329" s="7">
        <f ca="1">$AU$8*EXP(-'3.r(t)'!E327*$AU$22)</f>
        <v>0.92620167074160697</v>
      </c>
      <c r="T329" s="7">
        <f ca="1">$AU$9*EXP(-'3.r(t)'!F327*$AU$23)</f>
        <v>0.94576009004507422</v>
      </c>
      <c r="U329" s="7">
        <f ca="1">$AU$10*EXP(-'3.r(t)'!G327*$AU$24)</f>
        <v>0.97124437740619518</v>
      </c>
      <c r="V329" s="7">
        <v>1</v>
      </c>
      <c r="W329" s="7"/>
      <c r="X329" s="7">
        <v>321</v>
      </c>
      <c r="Y329" s="7">
        <f>$AV$7*EXP(-'3.r(t)'!D327*$AV$21)</f>
        <v>0.88900715067201674</v>
      </c>
      <c r="Z329" s="7">
        <f ca="1">$AV$8*EXP(-'3.r(t)'!E327*$AV$22)</f>
        <v>0.90201876254020574</v>
      </c>
      <c r="AA329" s="7">
        <f ca="1">$AV$9*EXP(-'3.r(t)'!F327*$AV$23)</f>
        <v>0.91912982856276437</v>
      </c>
      <c r="AB329" s="7">
        <f ca="1">$AV$10*EXP(-'3.r(t)'!G327*$AV$24)</f>
        <v>0.94288806184866314</v>
      </c>
      <c r="AC329" s="7">
        <f ca="1">$AV$11*EXP(-'3.r(t)'!H327*$AV$25)</f>
        <v>0.97125777605950359</v>
      </c>
      <c r="AD329" s="7">
        <v>1</v>
      </c>
      <c r="AE329" s="7"/>
      <c r="AF329" s="7">
        <v>321</v>
      </c>
      <c r="AG329" s="7">
        <f>$AW$7*EXP(-'3.r(t)'!D327*$AW$21)</f>
        <v>0.86718755429225491</v>
      </c>
      <c r="AH329" s="7">
        <f ca="1">$AW$8*EXP(-'3.r(t)'!E327*$AW$22)</f>
        <v>0.87809300727789441</v>
      </c>
      <c r="AI329" s="7">
        <f ca="1">$AW$9*EXP(-'3.r(t)'!F327*$AW$23)</f>
        <v>0.89286338565868473</v>
      </c>
      <c r="AJ329" s="7">
        <f ca="1">$AW$10*EXP(-'3.r(t)'!G327*$AW$24)</f>
        <v>0.91495845049180724</v>
      </c>
      <c r="AK329" s="7">
        <f ca="1">$AW$11*EXP(-'3.r(t)'!H327*$AW$25)</f>
        <v>0.94292244536385905</v>
      </c>
      <c r="AL329" s="7">
        <f ca="1">$AW$12*EXP(-'3.r(t)'!I327*$AW$26)</f>
        <v>0.97267190184949293</v>
      </c>
      <c r="AM329" s="7">
        <v>1</v>
      </c>
      <c r="AN329" s="7"/>
    </row>
    <row r="330" spans="2:40">
      <c r="B330" s="7">
        <v>322</v>
      </c>
      <c r="C330" s="7">
        <f>$AR$7*EXP(-'3.r(t)'!D328*$AR$21)</f>
        <v>0.97765346695821032</v>
      </c>
      <c r="D330" s="7">
        <v>1</v>
      </c>
      <c r="E330" s="7"/>
      <c r="F330" s="7">
        <v>322</v>
      </c>
      <c r="G330" s="48">
        <f>$AS$7*EXP(-'3.r(t)'!D328*$AS$21)</f>
        <v>0.9553476245219803</v>
      </c>
      <c r="H330" s="7">
        <f ca="1">$AS$8*EXP(-'3.r(t)'!E328*$AS$22)</f>
        <v>0.9762983984634781</v>
      </c>
      <c r="I330" s="7">
        <v>1</v>
      </c>
      <c r="J330" s="7"/>
      <c r="K330" s="7">
        <v>322</v>
      </c>
      <c r="L330" s="7">
        <f>$AT$7*EXP(-'3.r(t)'!D328*$AT$21)</f>
        <v>0.93311670519824419</v>
      </c>
      <c r="M330" s="7">
        <f ca="1">$AT$8*EXP(-'3.r(t)'!E328*$AT$22)</f>
        <v>0.95270961177877223</v>
      </c>
      <c r="N330" s="7">
        <f ca="1">$AT$9*EXP(-'3.r(t)'!F328*$AT$23)</f>
        <v>0.97608117914286707</v>
      </c>
      <c r="O330" s="7">
        <v>1</v>
      </c>
      <c r="P330" s="7"/>
      <c r="Q330" s="7">
        <v>322</v>
      </c>
      <c r="R330" s="7">
        <f>$AU$7*EXP(-'3.r(t)'!D328*$AU$21)</f>
        <v>0.91099305977534117</v>
      </c>
      <c r="S330" s="7">
        <f ca="1">$AU$8*EXP(-'3.r(t)'!E328*$AU$22)</f>
        <v>0.92926680592273769</v>
      </c>
      <c r="T330" s="7">
        <f ca="1">$AU$9*EXP(-'3.r(t)'!F328*$AU$23)</f>
        <v>0.95229416854108517</v>
      </c>
      <c r="U330" s="7">
        <f ca="1">$AU$10*EXP(-'3.r(t)'!G328*$AU$24)</f>
        <v>0.97420191872935402</v>
      </c>
      <c r="V330" s="7">
        <v>1</v>
      </c>
      <c r="W330" s="7"/>
      <c r="X330" s="7">
        <v>322</v>
      </c>
      <c r="Y330" s="7">
        <f>$AV$7*EXP(-'3.r(t)'!D328*$AV$21)</f>
        <v>0.88900715067201674</v>
      </c>
      <c r="Z330" s="7">
        <f ca="1">$AV$8*EXP(-'3.r(t)'!E328*$AV$22)</f>
        <v>0.90600109650923732</v>
      </c>
      <c r="AA330" s="7">
        <f ca="1">$AV$9*EXP(-'3.r(t)'!F328*$AV$23)</f>
        <v>0.92867140406802229</v>
      </c>
      <c r="AB330" s="7">
        <f ca="1">$AV$10*EXP(-'3.r(t)'!G328*$AV$24)</f>
        <v>0.94863919165183741</v>
      </c>
      <c r="AC330" s="7">
        <f ca="1">$AV$11*EXP(-'3.r(t)'!H328*$AV$25)</f>
        <v>0.97143634602149842</v>
      </c>
      <c r="AD330" s="7">
        <v>1</v>
      </c>
      <c r="AE330" s="7"/>
      <c r="AF330" s="7">
        <v>322</v>
      </c>
      <c r="AG330" s="7">
        <f>$AW$7*EXP(-'3.r(t)'!D328*$AW$21)</f>
        <v>0.86718755429225491</v>
      </c>
      <c r="AH330" s="7">
        <f ca="1">$AW$8*EXP(-'3.r(t)'!E328*$AW$22)</f>
        <v>0.88294155841323552</v>
      </c>
      <c r="AI330" s="7">
        <f ca="1">$AW$9*EXP(-'3.r(t)'!F328*$AW$23)</f>
        <v>0.90524325376709547</v>
      </c>
      <c r="AJ330" s="7">
        <f ca="1">$AW$10*EXP(-'3.r(t)'!G328*$AW$24)</f>
        <v>0.92334236289855276</v>
      </c>
      <c r="AK330" s="7">
        <f ca="1">$AW$11*EXP(-'3.r(t)'!H328*$AW$25)</f>
        <v>0.94326919801359299</v>
      </c>
      <c r="AL330" s="7">
        <f ca="1">$AW$12*EXP(-'3.r(t)'!I328*$AW$26)</f>
        <v>0.97102210379928899</v>
      </c>
      <c r="AM330" s="7">
        <v>1</v>
      </c>
      <c r="AN330" s="7"/>
    </row>
    <row r="331" spans="2:40">
      <c r="B331" s="7">
        <v>323</v>
      </c>
      <c r="C331" s="7">
        <f>$AR$7*EXP(-'3.r(t)'!D329*$AR$21)</f>
        <v>0.97765346695821032</v>
      </c>
      <c r="D331" s="7">
        <v>1</v>
      </c>
      <c r="E331" s="7"/>
      <c r="F331" s="7">
        <v>323</v>
      </c>
      <c r="G331" s="48">
        <f>$AS$7*EXP(-'3.r(t)'!D329*$AS$21)</f>
        <v>0.9553476245219803</v>
      </c>
      <c r="H331" s="7">
        <f ca="1">$AS$8*EXP(-'3.r(t)'!E329*$AS$22)</f>
        <v>0.97161684248109215</v>
      </c>
      <c r="I331" s="7">
        <v>1</v>
      </c>
      <c r="J331" s="7"/>
      <c r="K331" s="7">
        <v>323</v>
      </c>
      <c r="L331" s="7">
        <f>$AT$7*EXP(-'3.r(t)'!D329*$AT$21)</f>
        <v>0.93311670519824419</v>
      </c>
      <c r="M331" s="7">
        <f ca="1">$AT$8*EXP(-'3.r(t)'!E329*$AT$22)</f>
        <v>0.94359463283553591</v>
      </c>
      <c r="N331" s="7">
        <f ca="1">$AT$9*EXP(-'3.r(t)'!F329*$AT$23)</f>
        <v>0.97162956101353182</v>
      </c>
      <c r="O331" s="7">
        <v>1</v>
      </c>
      <c r="P331" s="7"/>
      <c r="Q331" s="7">
        <v>323</v>
      </c>
      <c r="R331" s="7">
        <f>$AU$7*EXP(-'3.r(t)'!D329*$AU$21)</f>
        <v>0.91099305977534117</v>
      </c>
      <c r="S331" s="7">
        <f ca="1">$AU$8*EXP(-'3.r(t)'!E329*$AU$22)</f>
        <v>0.91596271741734214</v>
      </c>
      <c r="T331" s="7">
        <f ca="1">$AU$9*EXP(-'3.r(t)'!F329*$AU$23)</f>
        <v>0.94362771109550359</v>
      </c>
      <c r="U331" s="7">
        <f ca="1">$AU$10*EXP(-'3.r(t)'!G329*$AU$24)</f>
        <v>0.97049466607615409</v>
      </c>
      <c r="V331" s="7">
        <v>1</v>
      </c>
      <c r="W331" s="7"/>
      <c r="X331" s="7">
        <v>323</v>
      </c>
      <c r="Y331" s="7">
        <f>$AV$7*EXP(-'3.r(t)'!D329*$AV$21)</f>
        <v>0.88900715067201674</v>
      </c>
      <c r="Z331" s="7">
        <f ca="1">$AV$8*EXP(-'3.r(t)'!E329*$AV$22)</f>
        <v>0.88874783056712958</v>
      </c>
      <c r="AA331" s="7">
        <f ca="1">$AV$9*EXP(-'3.r(t)'!F329*$AV$23)</f>
        <v>0.91602307672608185</v>
      </c>
      <c r="AB331" s="7">
        <f ca="1">$AV$10*EXP(-'3.r(t)'!G329*$AV$24)</f>
        <v>0.9414329779360181</v>
      </c>
      <c r="AC331" s="7">
        <f ca="1">$AV$11*EXP(-'3.r(t)'!H329*$AV$25)</f>
        <v>0.96863459777570204</v>
      </c>
      <c r="AD331" s="7">
        <v>1</v>
      </c>
      <c r="AE331" s="7"/>
      <c r="AF331" s="7">
        <v>323</v>
      </c>
      <c r="AG331" s="7">
        <f>$AW$7*EXP(-'3.r(t)'!D329*$AW$21)</f>
        <v>0.86718755429225491</v>
      </c>
      <c r="AH331" s="7">
        <f ca="1">$AW$8*EXP(-'3.r(t)'!E329*$AW$22)</f>
        <v>0.86197415956003842</v>
      </c>
      <c r="AI331" s="7">
        <f ca="1">$AW$9*EXP(-'3.r(t)'!F329*$AW$23)</f>
        <v>0.88884169612612141</v>
      </c>
      <c r="AJ331" s="7">
        <f ca="1">$AW$10*EXP(-'3.r(t)'!G329*$AW$24)</f>
        <v>0.9128412942690759</v>
      </c>
      <c r="AK331" s="7">
        <f ca="1">$AW$11*EXP(-'3.r(t)'!H329*$AW$25)</f>
        <v>0.93783602323310211</v>
      </c>
      <c r="AL331" s="7">
        <f ca="1">$AW$12*EXP(-'3.r(t)'!I329*$AW$26)</f>
        <v>0.96546991820834571</v>
      </c>
      <c r="AM331" s="7">
        <v>1</v>
      </c>
      <c r="AN331" s="7"/>
    </row>
    <row r="332" spans="2:40">
      <c r="B332" s="7">
        <v>324</v>
      </c>
      <c r="C332" s="7">
        <f>$AR$7*EXP(-'3.r(t)'!D330*$AR$21)</f>
        <v>0.97765346695821032</v>
      </c>
      <c r="D332" s="7">
        <v>1</v>
      </c>
      <c r="E332" s="7"/>
      <c r="F332" s="7">
        <v>324</v>
      </c>
      <c r="G332" s="48">
        <f>$AS$7*EXP(-'3.r(t)'!D330*$AS$21)</f>
        <v>0.9553476245219803</v>
      </c>
      <c r="H332" s="7">
        <f ca="1">$AS$8*EXP(-'3.r(t)'!E330*$AS$22)</f>
        <v>0.9778362605755434</v>
      </c>
      <c r="I332" s="7">
        <v>1</v>
      </c>
      <c r="J332" s="7"/>
      <c r="K332" s="7">
        <v>324</v>
      </c>
      <c r="L332" s="7">
        <f>$AT$7*EXP(-'3.r(t)'!D330*$AT$21)</f>
        <v>0.93311670519824419</v>
      </c>
      <c r="M332" s="7">
        <f ca="1">$AT$8*EXP(-'3.r(t)'!E330*$AT$22)</f>
        <v>0.95571338594626809</v>
      </c>
      <c r="N332" s="7">
        <f ca="1">$AT$9*EXP(-'3.r(t)'!F330*$AT$23)</f>
        <v>0.98175369915732102</v>
      </c>
      <c r="O332" s="7">
        <v>1</v>
      </c>
      <c r="P332" s="7"/>
      <c r="Q332" s="7">
        <v>324</v>
      </c>
      <c r="R332" s="7">
        <f>$AU$7*EXP(-'3.r(t)'!D330*$AU$21)</f>
        <v>0.91099305977534117</v>
      </c>
      <c r="S332" s="7">
        <f ca="1">$AU$8*EXP(-'3.r(t)'!E330*$AU$22)</f>
        <v>0.93366506106459179</v>
      </c>
      <c r="T332" s="7">
        <f ca="1">$AU$9*EXP(-'3.r(t)'!F330*$AU$23)</f>
        <v>0.9633948935769342</v>
      </c>
      <c r="U332" s="7">
        <f ca="1">$AU$10*EXP(-'3.r(t)'!G330*$AU$24)</f>
        <v>0.98118858729197145</v>
      </c>
      <c r="V332" s="7">
        <v>1</v>
      </c>
      <c r="W332" s="7"/>
      <c r="X332" s="7">
        <v>324</v>
      </c>
      <c r="Y332" s="7">
        <f>$AV$7*EXP(-'3.r(t)'!D330*$AV$21)</f>
        <v>0.88900715067201674</v>
      </c>
      <c r="Z332" s="7">
        <f ca="1">$AV$8*EXP(-'3.r(t)'!E330*$AV$22)</f>
        <v>0.9117231188511663</v>
      </c>
      <c r="AA332" s="7">
        <f ca="1">$AV$9*EXP(-'3.r(t)'!F330*$AV$23)</f>
        <v>0.94495667147773343</v>
      </c>
      <c r="AB332" s="7">
        <f ca="1">$AV$10*EXP(-'3.r(t)'!G330*$AV$24)</f>
        <v>0.96229466457421498</v>
      </c>
      <c r="AC332" s="7">
        <f ca="1">$AV$11*EXP(-'3.r(t)'!H330*$AV$25)</f>
        <v>0.98062741140690424</v>
      </c>
      <c r="AD332" s="7">
        <v>1</v>
      </c>
      <c r="AE332" s="7"/>
      <c r="AF332" s="7">
        <v>324</v>
      </c>
      <c r="AG332" s="7">
        <f>$AW$7*EXP(-'3.r(t)'!D330*$AW$21)</f>
        <v>0.86718755429225491</v>
      </c>
      <c r="AH332" s="7">
        <f ca="1">$AW$8*EXP(-'3.r(t)'!E330*$AW$22)</f>
        <v>0.88991753447491917</v>
      </c>
      <c r="AI332" s="7">
        <f ca="1">$AW$9*EXP(-'3.r(t)'!F330*$AW$23)</f>
        <v>0.92647078126332028</v>
      </c>
      <c r="AJ332" s="7">
        <f ca="1">$AW$10*EXP(-'3.r(t)'!G330*$AW$24)</f>
        <v>0.94335093410032156</v>
      </c>
      <c r="AK332" s="7">
        <f ca="1">$AW$11*EXP(-'3.r(t)'!H330*$AW$25)</f>
        <v>0.96120277039975033</v>
      </c>
      <c r="AL332" s="7">
        <f ca="1">$AW$12*EXP(-'3.r(t)'!I330*$AW$26)</f>
        <v>0.98257665453211629</v>
      </c>
      <c r="AM332" s="7">
        <v>1</v>
      </c>
      <c r="AN332" s="7"/>
    </row>
    <row r="333" spans="2:40">
      <c r="B333" s="7">
        <v>325</v>
      </c>
      <c r="C333" s="7">
        <f>$AR$7*EXP(-'3.r(t)'!D331*$AR$21)</f>
        <v>0.97765346695821032</v>
      </c>
      <c r="D333" s="7">
        <v>1</v>
      </c>
      <c r="E333" s="7"/>
      <c r="F333" s="7">
        <v>325</v>
      </c>
      <c r="G333" s="48">
        <f>$AS$7*EXP(-'3.r(t)'!D331*$AS$21)</f>
        <v>0.9553476245219803</v>
      </c>
      <c r="H333" s="7">
        <f ca="1">$AS$8*EXP(-'3.r(t)'!E331*$AS$22)</f>
        <v>0.97547627980227181</v>
      </c>
      <c r="I333" s="7">
        <v>1</v>
      </c>
      <c r="J333" s="7"/>
      <c r="K333" s="7">
        <v>325</v>
      </c>
      <c r="L333" s="7">
        <f>$AT$7*EXP(-'3.r(t)'!D331*$AT$21)</f>
        <v>0.93311670519824419</v>
      </c>
      <c r="M333" s="7">
        <f ca="1">$AT$8*EXP(-'3.r(t)'!E331*$AT$22)</f>
        <v>0.9511057771778969</v>
      </c>
      <c r="N333" s="7">
        <f ca="1">$AT$9*EXP(-'3.r(t)'!F331*$AT$23)</f>
        <v>0.97798931150618951</v>
      </c>
      <c r="O333" s="7">
        <v>1</v>
      </c>
      <c r="P333" s="7"/>
      <c r="Q333" s="7">
        <v>325</v>
      </c>
      <c r="R333" s="7">
        <f>$AU$7*EXP(-'3.r(t)'!D331*$AU$21)</f>
        <v>0.91099305977534117</v>
      </c>
      <c r="S333" s="7">
        <f ca="1">$AU$8*EXP(-'3.r(t)'!E331*$AU$22)</f>
        <v>0.92692123889798961</v>
      </c>
      <c r="T333" s="7">
        <f ca="1">$AU$9*EXP(-'3.r(t)'!F331*$AU$23)</f>
        <v>0.95602107052582896</v>
      </c>
      <c r="U333" s="7">
        <f ca="1">$AU$10*EXP(-'3.r(t)'!G331*$AU$24)</f>
        <v>0.97980908792880461</v>
      </c>
      <c r="V333" s="7">
        <v>1</v>
      </c>
      <c r="W333" s="7"/>
      <c r="X333" s="7">
        <v>325</v>
      </c>
      <c r="Y333" s="7">
        <f>$AV$7*EXP(-'3.r(t)'!D331*$AV$21)</f>
        <v>0.88900715067201674</v>
      </c>
      <c r="Z333" s="7">
        <f ca="1">$AV$8*EXP(-'3.r(t)'!E331*$AV$22)</f>
        <v>0.90295325737316379</v>
      </c>
      <c r="AA333" s="7">
        <f ca="1">$AV$9*EXP(-'3.r(t)'!F331*$AV$23)</f>
        <v>0.93412841228987509</v>
      </c>
      <c r="AB333" s="7">
        <f ca="1">$AV$10*EXP(-'3.r(t)'!G331*$AV$24)</f>
        <v>0.95959069571989664</v>
      </c>
      <c r="AC333" s="7">
        <f ca="1">$AV$11*EXP(-'3.r(t)'!H331*$AV$25)</f>
        <v>0.98060586545549711</v>
      </c>
      <c r="AD333" s="7">
        <v>1</v>
      </c>
      <c r="AE333" s="7"/>
      <c r="AF333" s="7">
        <v>325</v>
      </c>
      <c r="AG333" s="7">
        <f>$AW$7*EXP(-'3.r(t)'!D331*$AW$21)</f>
        <v>0.86718755429225491</v>
      </c>
      <c r="AH333" s="7">
        <f ca="1">$AW$8*EXP(-'3.r(t)'!E331*$AW$22)</f>
        <v>0.87923028907480361</v>
      </c>
      <c r="AI333" s="7">
        <f ca="1">$AW$9*EXP(-'3.r(t)'!F331*$AW$23)</f>
        <v>0.91234264543973453</v>
      </c>
      <c r="AJ333" s="7">
        <f ca="1">$AW$10*EXP(-'3.r(t)'!G331*$AW$24)</f>
        <v>0.9393776207489013</v>
      </c>
      <c r="AK333" s="7">
        <f ca="1">$AW$11*EXP(-'3.r(t)'!H331*$AW$25)</f>
        <v>0.96116053254177036</v>
      </c>
      <c r="AL333" s="7">
        <f ca="1">$AW$12*EXP(-'3.r(t)'!I331*$AW$26)</f>
        <v>0.97997155948462122</v>
      </c>
      <c r="AM333" s="7">
        <v>1</v>
      </c>
      <c r="AN333" s="7"/>
    </row>
    <row r="334" spans="2:40">
      <c r="B334" s="7">
        <v>326</v>
      </c>
      <c r="C334" s="7">
        <f>$AR$7*EXP(-'3.r(t)'!D332*$AR$21)</f>
        <v>0.97765346695821032</v>
      </c>
      <c r="D334" s="7">
        <v>1</v>
      </c>
      <c r="E334" s="7"/>
      <c r="F334" s="7">
        <v>326</v>
      </c>
      <c r="G334" s="48">
        <f>$AS$7*EXP(-'3.r(t)'!D332*$AS$21)</f>
        <v>0.9553476245219803</v>
      </c>
      <c r="H334" s="7">
        <f ca="1">$AS$8*EXP(-'3.r(t)'!E332*$AS$22)</f>
        <v>0.97761695721357955</v>
      </c>
      <c r="I334" s="7">
        <v>1</v>
      </c>
      <c r="J334" s="7"/>
      <c r="K334" s="7">
        <v>326</v>
      </c>
      <c r="L334" s="7">
        <f>$AT$7*EXP(-'3.r(t)'!D332*$AT$21)</f>
        <v>0.93311670519824419</v>
      </c>
      <c r="M334" s="7">
        <f ca="1">$AT$8*EXP(-'3.r(t)'!E332*$AT$22)</f>
        <v>0.95528475046990979</v>
      </c>
      <c r="N334" s="7">
        <f ca="1">$AT$9*EXP(-'3.r(t)'!F332*$AT$23)</f>
        <v>0.977345812899021</v>
      </c>
      <c r="O334" s="7">
        <v>1</v>
      </c>
      <c r="P334" s="7"/>
      <c r="Q334" s="7">
        <v>326</v>
      </c>
      <c r="R334" s="7">
        <f>$AU$7*EXP(-'3.r(t)'!D332*$AU$21)</f>
        <v>0.91099305977534117</v>
      </c>
      <c r="S334" s="7">
        <f ca="1">$AU$8*EXP(-'3.r(t)'!E332*$AU$22)</f>
        <v>0.93303701122512217</v>
      </c>
      <c r="T334" s="7">
        <f ca="1">$AU$9*EXP(-'3.r(t)'!F332*$AU$23)</f>
        <v>0.9547633965908906</v>
      </c>
      <c r="U334" s="7">
        <f ca="1">$AU$10*EXP(-'3.r(t)'!G332*$AU$24)</f>
        <v>0.98113661785949102</v>
      </c>
      <c r="V334" s="7">
        <v>1</v>
      </c>
      <c r="W334" s="7"/>
      <c r="X334" s="7">
        <v>326</v>
      </c>
      <c r="Y334" s="7">
        <f>$AV$7*EXP(-'3.r(t)'!D332*$AV$21)</f>
        <v>0.88900715067201674</v>
      </c>
      <c r="Z334" s="7">
        <f ca="1">$AV$8*EXP(-'3.r(t)'!E332*$AV$22)</f>
        <v>0.91090549037947943</v>
      </c>
      <c r="AA334" s="7">
        <f ca="1">$AV$9*EXP(-'3.r(t)'!F332*$AV$23)</f>
        <v>0.93228570840980718</v>
      </c>
      <c r="AB334" s="7">
        <f ca="1">$AV$10*EXP(-'3.r(t)'!G332*$AV$24)</f>
        <v>0.96219272987208482</v>
      </c>
      <c r="AC334" s="7">
        <f ca="1">$AV$11*EXP(-'3.r(t)'!H332*$AV$25)</f>
        <v>0.98272084321008224</v>
      </c>
      <c r="AD334" s="7">
        <v>1</v>
      </c>
      <c r="AE334" s="7"/>
      <c r="AF334" s="7">
        <v>326</v>
      </c>
      <c r="AG334" s="7">
        <f>$AW$7*EXP(-'3.r(t)'!D332*$AW$21)</f>
        <v>0.86718755429225491</v>
      </c>
      <c r="AH334" s="7">
        <f ca="1">$AW$8*EXP(-'3.r(t)'!E332*$AW$22)</f>
        <v>0.88892005465570723</v>
      </c>
      <c r="AI334" s="7">
        <f ca="1">$AW$9*EXP(-'3.r(t)'!F332*$AW$23)</f>
        <v>0.90994379700108619</v>
      </c>
      <c r="AJ334" s="7">
        <f ca="1">$AW$10*EXP(-'3.r(t)'!G332*$AW$24)</f>
        <v>0.94320104604612109</v>
      </c>
      <c r="AK334" s="7">
        <f ca="1">$AW$11*EXP(-'3.r(t)'!H332*$AW$25)</f>
        <v>0.96531107952735196</v>
      </c>
      <c r="AL334" s="7">
        <f ca="1">$AW$12*EXP(-'3.r(t)'!I332*$AW$26)</f>
        <v>0.98337484417881493</v>
      </c>
      <c r="AM334" s="7">
        <v>1</v>
      </c>
      <c r="AN334" s="7"/>
    </row>
    <row r="335" spans="2:40">
      <c r="B335" s="7">
        <v>327</v>
      </c>
      <c r="C335" s="7">
        <f>$AR$7*EXP(-'3.r(t)'!D333*$AR$21)</f>
        <v>0.97765346695821032</v>
      </c>
      <c r="D335" s="7">
        <v>1</v>
      </c>
      <c r="E335" s="7"/>
      <c r="F335" s="7">
        <v>327</v>
      </c>
      <c r="G335" s="48">
        <f>$AS$7*EXP(-'3.r(t)'!D333*$AS$21)</f>
        <v>0.9553476245219803</v>
      </c>
      <c r="H335" s="7">
        <f ca="1">$AS$8*EXP(-'3.r(t)'!E333*$AS$22)</f>
        <v>0.97901799271446288</v>
      </c>
      <c r="I335" s="7">
        <v>1</v>
      </c>
      <c r="J335" s="7"/>
      <c r="K335" s="7">
        <v>327</v>
      </c>
      <c r="L335" s="7">
        <f>$AT$7*EXP(-'3.r(t)'!D333*$AT$21)</f>
        <v>0.93311670519824419</v>
      </c>
      <c r="M335" s="7">
        <f ca="1">$AT$8*EXP(-'3.r(t)'!E333*$AT$22)</f>
        <v>0.95802477429916766</v>
      </c>
      <c r="N335" s="7">
        <f ca="1">$AT$9*EXP(-'3.r(t)'!F333*$AT$23)</f>
        <v>0.97820038208764504</v>
      </c>
      <c r="O335" s="7">
        <v>1</v>
      </c>
      <c r="P335" s="7"/>
      <c r="Q335" s="7">
        <v>327</v>
      </c>
      <c r="R335" s="7">
        <f>$AU$7*EXP(-'3.r(t)'!D333*$AU$21)</f>
        <v>0.91099305977534117</v>
      </c>
      <c r="S335" s="7">
        <f ca="1">$AU$8*EXP(-'3.r(t)'!E333*$AU$22)</f>
        <v>0.93705420503282411</v>
      </c>
      <c r="T335" s="7">
        <f ca="1">$AU$9*EXP(-'3.r(t)'!F333*$AU$23)</f>
        <v>0.95643377380570316</v>
      </c>
      <c r="U335" s="7">
        <f ca="1">$AU$10*EXP(-'3.r(t)'!G333*$AU$24)</f>
        <v>0.97678215515013267</v>
      </c>
      <c r="V335" s="7">
        <v>1</v>
      </c>
      <c r="W335" s="7"/>
      <c r="X335" s="7">
        <v>327</v>
      </c>
      <c r="Y335" s="7">
        <f>$AV$7*EXP(-'3.r(t)'!D333*$AV$21)</f>
        <v>0.88900715067201674</v>
      </c>
      <c r="Z335" s="7">
        <f ca="1">$AV$8*EXP(-'3.r(t)'!E333*$AV$22)</f>
        <v>0.9161384478242004</v>
      </c>
      <c r="AA335" s="7">
        <f ca="1">$AV$9*EXP(-'3.r(t)'!F333*$AV$23)</f>
        <v>0.93473335627234677</v>
      </c>
      <c r="AB335" s="7">
        <f ca="1">$AV$10*EXP(-'3.r(t)'!G333*$AV$24)</f>
        <v>0.95367091004308435</v>
      </c>
      <c r="AC335" s="7">
        <f ca="1">$AV$11*EXP(-'3.r(t)'!H333*$AV$25)</f>
        <v>0.97919017419827936</v>
      </c>
      <c r="AD335" s="7">
        <v>1</v>
      </c>
      <c r="AE335" s="7"/>
      <c r="AF335" s="7">
        <v>327</v>
      </c>
      <c r="AG335" s="7">
        <f>$AW$7*EXP(-'3.r(t)'!D333*$AW$21)</f>
        <v>0.86718755429225491</v>
      </c>
      <c r="AH335" s="7">
        <f ca="1">$AW$8*EXP(-'3.r(t)'!E333*$AW$22)</f>
        <v>0.89530795170650712</v>
      </c>
      <c r="AI335" s="7">
        <f ca="1">$AW$9*EXP(-'3.r(t)'!F333*$AW$23)</f>
        <v>0.91313051107344034</v>
      </c>
      <c r="AJ335" s="7">
        <f ca="1">$AW$10*EXP(-'3.r(t)'!G333*$AW$24)</f>
        <v>0.93069840634789658</v>
      </c>
      <c r="AK335" s="7">
        <f ca="1">$AW$11*EXP(-'3.r(t)'!H333*$AW$25)</f>
        <v>0.95838729939864309</v>
      </c>
      <c r="AL335" s="7">
        <f ca="1">$AW$12*EXP(-'3.r(t)'!I333*$AW$26)</f>
        <v>0.97733673058171466</v>
      </c>
      <c r="AM335" s="7">
        <v>1</v>
      </c>
      <c r="AN335" s="7"/>
    </row>
    <row r="336" spans="2:40">
      <c r="B336" s="7">
        <v>328</v>
      </c>
      <c r="C336" s="7">
        <f>$AR$7*EXP(-'3.r(t)'!D334*$AR$21)</f>
        <v>0.97765346695821032</v>
      </c>
      <c r="D336" s="7">
        <v>1</v>
      </c>
      <c r="E336" s="7"/>
      <c r="F336" s="7">
        <v>328</v>
      </c>
      <c r="G336" s="48">
        <f>$AS$7*EXP(-'3.r(t)'!D334*$AS$21)</f>
        <v>0.9553476245219803</v>
      </c>
      <c r="H336" s="7">
        <f ca="1">$AS$8*EXP(-'3.r(t)'!E334*$AS$22)</f>
        <v>0.97667631979740888</v>
      </c>
      <c r="I336" s="7">
        <v>1</v>
      </c>
      <c r="J336" s="7"/>
      <c r="K336" s="7">
        <v>328</v>
      </c>
      <c r="L336" s="7">
        <f>$AT$7*EXP(-'3.r(t)'!D334*$AT$21)</f>
        <v>0.93311670519824419</v>
      </c>
      <c r="M336" s="7">
        <f ca="1">$AT$8*EXP(-'3.r(t)'!E334*$AT$22)</f>
        <v>0.95344733494771761</v>
      </c>
      <c r="N336" s="7">
        <f ca="1">$AT$9*EXP(-'3.r(t)'!F334*$AT$23)</f>
        <v>0.98049776755502549</v>
      </c>
      <c r="O336" s="7">
        <v>1</v>
      </c>
      <c r="P336" s="7"/>
      <c r="Q336" s="7">
        <v>328</v>
      </c>
      <c r="R336" s="7">
        <f>$AU$7*EXP(-'3.r(t)'!D334*$AU$21)</f>
        <v>0.91099305977534117</v>
      </c>
      <c r="S336" s="7">
        <f ca="1">$AU$8*EXP(-'3.r(t)'!E334*$AU$22)</f>
        <v>0.9303463704692746</v>
      </c>
      <c r="T336" s="7">
        <f ca="1">$AU$9*EXP(-'3.r(t)'!F334*$AU$23)</f>
        <v>0.96093157887867375</v>
      </c>
      <c r="U336" s="7">
        <f ca="1">$AU$10*EXP(-'3.r(t)'!G334*$AU$24)</f>
        <v>0.97756142790266265</v>
      </c>
      <c r="V336" s="7">
        <v>1</v>
      </c>
      <c r="W336" s="7"/>
      <c r="X336" s="7">
        <v>328</v>
      </c>
      <c r="Y336" s="7">
        <f>$AV$7*EXP(-'3.r(t)'!D334*$AV$21)</f>
        <v>0.88900715067201674</v>
      </c>
      <c r="Z336" s="7">
        <f ca="1">$AV$8*EXP(-'3.r(t)'!E334*$AV$22)</f>
        <v>0.90740474935021376</v>
      </c>
      <c r="AA336" s="7">
        <f ca="1">$AV$9*EXP(-'3.r(t)'!F334*$AV$23)</f>
        <v>0.94133473447314575</v>
      </c>
      <c r="AB336" s="7">
        <f ca="1">$AV$10*EXP(-'3.r(t)'!G334*$AV$24)</f>
        <v>0.95519318642790862</v>
      </c>
      <c r="AC336" s="7">
        <f ca="1">$AV$11*EXP(-'3.r(t)'!H334*$AV$25)</f>
        <v>0.97514580974089715</v>
      </c>
      <c r="AD336" s="7">
        <v>1</v>
      </c>
      <c r="AE336" s="7"/>
      <c r="AF336" s="7">
        <v>328</v>
      </c>
      <c r="AG336" s="7">
        <f>$AW$7*EXP(-'3.r(t)'!D334*$AW$21)</f>
        <v>0.86718755429225491</v>
      </c>
      <c r="AH336" s="7">
        <f ca="1">$AW$8*EXP(-'3.r(t)'!E334*$AW$22)</f>
        <v>0.88465179826642149</v>
      </c>
      <c r="AI336" s="7">
        <f ca="1">$AW$9*EXP(-'3.r(t)'!F334*$AW$23)</f>
        <v>0.92173903225499321</v>
      </c>
      <c r="AJ336" s="7">
        <f ca="1">$AW$10*EXP(-'3.r(t)'!G334*$AW$24)</f>
        <v>0.93292770591484298</v>
      </c>
      <c r="AK336" s="7">
        <f ca="1">$AW$11*EXP(-'3.r(t)'!H334*$AW$25)</f>
        <v>0.95048676497557794</v>
      </c>
      <c r="AL336" s="7">
        <f ca="1">$AW$12*EXP(-'3.r(t)'!I334*$AW$26)</f>
        <v>0.97645613887920724</v>
      </c>
      <c r="AM336" s="7">
        <v>1</v>
      </c>
      <c r="AN336" s="7"/>
    </row>
    <row r="337" spans="2:40">
      <c r="B337" s="7">
        <v>329</v>
      </c>
      <c r="C337" s="7">
        <f>$AR$7*EXP(-'3.r(t)'!D335*$AR$21)</f>
        <v>0.97765346695821032</v>
      </c>
      <c r="D337" s="7">
        <v>1</v>
      </c>
      <c r="E337" s="7"/>
      <c r="F337" s="7">
        <v>329</v>
      </c>
      <c r="G337" s="48">
        <f>$AS$7*EXP(-'3.r(t)'!D335*$AS$21)</f>
        <v>0.9553476245219803</v>
      </c>
      <c r="H337" s="7">
        <f ca="1">$AS$8*EXP(-'3.r(t)'!E335*$AS$22)</f>
        <v>0.97277347396041303</v>
      </c>
      <c r="I337" s="7">
        <v>1</v>
      </c>
      <c r="J337" s="7"/>
      <c r="K337" s="7">
        <v>329</v>
      </c>
      <c r="L337" s="7">
        <f>$AT$7*EXP(-'3.r(t)'!D335*$AT$21)</f>
        <v>0.93311670519824419</v>
      </c>
      <c r="M337" s="7">
        <f ca="1">$AT$8*EXP(-'3.r(t)'!E335*$AT$22)</f>
        <v>0.94584251659987217</v>
      </c>
      <c r="N337" s="7">
        <f ca="1">$AT$9*EXP(-'3.r(t)'!F335*$AT$23)</f>
        <v>0.97624013474033344</v>
      </c>
      <c r="O337" s="7">
        <v>1</v>
      </c>
      <c r="P337" s="7"/>
      <c r="Q337" s="7">
        <v>329</v>
      </c>
      <c r="R337" s="7">
        <f>$AU$7*EXP(-'3.r(t)'!D335*$AU$21)</f>
        <v>0.91099305977534117</v>
      </c>
      <c r="S337" s="7">
        <f ca="1">$AU$8*EXP(-'3.r(t)'!E335*$AU$22)</f>
        <v>0.91923775218753945</v>
      </c>
      <c r="T337" s="7">
        <f ca="1">$AU$9*EXP(-'3.r(t)'!F335*$AU$23)</f>
        <v>0.95260435752397732</v>
      </c>
      <c r="U337" s="7">
        <f ca="1">$AU$10*EXP(-'3.r(t)'!G335*$AU$24)</f>
        <v>0.9733390305464672</v>
      </c>
      <c r="V337" s="7">
        <v>1</v>
      </c>
      <c r="W337" s="7"/>
      <c r="X337" s="7">
        <v>329</v>
      </c>
      <c r="Y337" s="7">
        <f>$AV$7*EXP(-'3.r(t)'!D335*$AV$21)</f>
        <v>0.88900715067201674</v>
      </c>
      <c r="Z337" s="7">
        <f ca="1">$AV$8*EXP(-'3.r(t)'!E335*$AV$22)</f>
        <v>0.89298732364345557</v>
      </c>
      <c r="AA337" s="7">
        <f ca="1">$AV$9*EXP(-'3.r(t)'!F335*$AV$23)</f>
        <v>0.92912518259169508</v>
      </c>
      <c r="AB337" s="7">
        <f ca="1">$AV$10*EXP(-'3.r(t)'!G335*$AV$24)</f>
        <v>0.94695944330958504</v>
      </c>
      <c r="AC337" s="7">
        <f ca="1">$AV$11*EXP(-'3.r(t)'!H335*$AV$25)</f>
        <v>0.97100690996249794</v>
      </c>
      <c r="AD337" s="7">
        <v>1</v>
      </c>
      <c r="AE337" s="7"/>
      <c r="AF337" s="7">
        <v>329</v>
      </c>
      <c r="AG337" s="7">
        <f>$AW$7*EXP(-'3.r(t)'!D335*$AW$21)</f>
        <v>0.86718755429225491</v>
      </c>
      <c r="AH337" s="7">
        <f ca="1">$AW$8*EXP(-'3.r(t)'!E335*$AW$22)</f>
        <v>0.86711694267600936</v>
      </c>
      <c r="AI337" s="7">
        <f ca="1">$AW$9*EXP(-'3.r(t)'!F335*$AW$23)</f>
        <v>0.90583307616670294</v>
      </c>
      <c r="AJ337" s="7">
        <f ca="1">$AW$10*EXP(-'3.r(t)'!G335*$AW$24)</f>
        <v>0.92089101569108267</v>
      </c>
      <c r="AK337" s="7">
        <f ca="1">$AW$11*EXP(-'3.r(t)'!H335*$AW$25)</f>
        <v>0.94243541353649318</v>
      </c>
      <c r="AL337" s="7">
        <f ca="1">$AW$12*EXP(-'3.r(t)'!I335*$AW$26)</f>
        <v>0.96946339913137247</v>
      </c>
      <c r="AM337" s="7">
        <v>1</v>
      </c>
      <c r="AN337" s="7"/>
    </row>
    <row r="338" spans="2:40">
      <c r="B338" s="7">
        <v>330</v>
      </c>
      <c r="C338" s="7">
        <f>$AR$7*EXP(-'3.r(t)'!D336*$AR$21)</f>
        <v>0.97765346695821032</v>
      </c>
      <c r="D338" s="7">
        <v>1</v>
      </c>
      <c r="E338" s="7"/>
      <c r="F338" s="7">
        <v>330</v>
      </c>
      <c r="G338" s="48">
        <f>$AS$7*EXP(-'3.r(t)'!D336*$AS$21)</f>
        <v>0.9553476245219803</v>
      </c>
      <c r="H338" s="7">
        <f ca="1">$AS$8*EXP(-'3.r(t)'!E336*$AS$22)</f>
        <v>0.97989652989002052</v>
      </c>
      <c r="I338" s="7">
        <v>1</v>
      </c>
      <c r="J338" s="7"/>
      <c r="K338" s="7">
        <v>330</v>
      </c>
      <c r="L338" s="7">
        <f>$AT$7*EXP(-'3.r(t)'!D336*$AT$21)</f>
        <v>0.93311670519824419</v>
      </c>
      <c r="M338" s="7">
        <f ca="1">$AT$8*EXP(-'3.r(t)'!E336*$AT$22)</f>
        <v>0.95974494292563806</v>
      </c>
      <c r="N338" s="7">
        <f ca="1">$AT$9*EXP(-'3.r(t)'!F336*$AT$23)</f>
        <v>0.97892999591943053</v>
      </c>
      <c r="O338" s="7">
        <v>1</v>
      </c>
      <c r="P338" s="7"/>
      <c r="Q338" s="7">
        <v>330</v>
      </c>
      <c r="R338" s="7">
        <f>$AU$7*EXP(-'3.r(t)'!D336*$AU$21)</f>
        <v>0.91099305977534117</v>
      </c>
      <c r="S338" s="7">
        <f ca="1">$AU$8*EXP(-'3.r(t)'!E336*$AU$22)</f>
        <v>0.93957911037579289</v>
      </c>
      <c r="T338" s="7">
        <f ca="1">$AU$9*EXP(-'3.r(t)'!F336*$AU$23)</f>
        <v>0.957861063283032</v>
      </c>
      <c r="U338" s="7">
        <f ca="1">$AU$10*EXP(-'3.r(t)'!G336*$AU$24)</f>
        <v>0.98152098246879793</v>
      </c>
      <c r="V338" s="7">
        <v>1</v>
      </c>
      <c r="W338" s="7"/>
      <c r="X338" s="7">
        <v>330</v>
      </c>
      <c r="Y338" s="7">
        <f>$AV$7*EXP(-'3.r(t)'!D336*$AV$21)</f>
        <v>0.88900715067201674</v>
      </c>
      <c r="Z338" s="7">
        <f ca="1">$AV$8*EXP(-'3.r(t)'!E336*$AV$22)</f>
        <v>0.9194313217920167</v>
      </c>
      <c r="AA338" s="7">
        <f ca="1">$AV$9*EXP(-'3.r(t)'!F336*$AV$23)</f>
        <v>0.93682649548902719</v>
      </c>
      <c r="AB338" s="7">
        <f ca="1">$AV$10*EXP(-'3.r(t)'!G336*$AV$24)</f>
        <v>0.96294676405608304</v>
      </c>
      <c r="AC338" s="7">
        <f ca="1">$AV$11*EXP(-'3.r(t)'!H336*$AV$25)</f>
        <v>0.97838644281452924</v>
      </c>
      <c r="AD338" s="7">
        <v>1</v>
      </c>
      <c r="AE338" s="7"/>
      <c r="AF338" s="7">
        <v>330</v>
      </c>
      <c r="AG338" s="7">
        <f>$AW$7*EXP(-'3.r(t)'!D336*$AW$21)</f>
        <v>0.86718755429225491</v>
      </c>
      <c r="AH338" s="7">
        <f ca="1">$AW$8*EXP(-'3.r(t)'!E336*$AW$22)</f>
        <v>0.89933226105869524</v>
      </c>
      <c r="AI338" s="7">
        <f ca="1">$AW$9*EXP(-'3.r(t)'!F336*$AW$23)</f>
        <v>0.9158578803202343</v>
      </c>
      <c r="AJ338" s="7">
        <f ca="1">$AW$10*EXP(-'3.r(t)'!G336*$AW$24)</f>
        <v>0.94430998991016135</v>
      </c>
      <c r="AK338" s="7">
        <f ca="1">$AW$11*EXP(-'3.r(t)'!H336*$AW$25)</f>
        <v>0.95681463284112611</v>
      </c>
      <c r="AL338" s="7">
        <f ca="1">$AW$12*EXP(-'3.r(t)'!I336*$AW$26)</f>
        <v>0.9752420346536842</v>
      </c>
      <c r="AM338" s="7">
        <v>1</v>
      </c>
      <c r="AN338" s="7"/>
    </row>
    <row r="339" spans="2:40">
      <c r="B339" s="7">
        <v>331</v>
      </c>
      <c r="C339" s="7">
        <f>$AR$7*EXP(-'3.r(t)'!D337*$AR$21)</f>
        <v>0.97765346695821032</v>
      </c>
      <c r="D339" s="7">
        <v>1</v>
      </c>
      <c r="E339" s="7"/>
      <c r="F339" s="7">
        <v>331</v>
      </c>
      <c r="G339" s="48">
        <f>$AS$7*EXP(-'3.r(t)'!D337*$AS$21)</f>
        <v>0.9553476245219803</v>
      </c>
      <c r="H339" s="7">
        <f ca="1">$AS$8*EXP(-'3.r(t)'!E337*$AS$22)</f>
        <v>0.98223390320499127</v>
      </c>
      <c r="I339" s="7">
        <v>1</v>
      </c>
      <c r="J339" s="7"/>
      <c r="K339" s="7">
        <v>331</v>
      </c>
      <c r="L339" s="7">
        <f>$AT$7*EXP(-'3.r(t)'!D337*$AT$21)</f>
        <v>0.93311670519824419</v>
      </c>
      <c r="M339" s="7">
        <f ca="1">$AT$8*EXP(-'3.r(t)'!E337*$AT$22)</f>
        <v>0.96432901406111526</v>
      </c>
      <c r="N339" s="7">
        <f ca="1">$AT$9*EXP(-'3.r(t)'!F337*$AT$23)</f>
        <v>0.9814649234514663</v>
      </c>
      <c r="O339" s="7">
        <v>1</v>
      </c>
      <c r="P339" s="7"/>
      <c r="Q339" s="7">
        <v>331</v>
      </c>
      <c r="R339" s="7">
        <f>$AU$7*EXP(-'3.r(t)'!D337*$AU$21)</f>
        <v>0.91099305977534117</v>
      </c>
      <c r="S339" s="7">
        <f ca="1">$AU$8*EXP(-'3.r(t)'!E337*$AU$22)</f>
        <v>0.94631877043049828</v>
      </c>
      <c r="T339" s="7">
        <f ca="1">$AU$9*EXP(-'3.r(t)'!F337*$AU$23)</f>
        <v>0.96282822573620341</v>
      </c>
      <c r="U339" s="7">
        <f ca="1">$AU$10*EXP(-'3.r(t)'!G337*$AU$24)</f>
        <v>0.98443082643495383</v>
      </c>
      <c r="V339" s="7">
        <v>1</v>
      </c>
      <c r="W339" s="7"/>
      <c r="X339" s="7">
        <v>331</v>
      </c>
      <c r="Y339" s="7">
        <f>$AV$7*EXP(-'3.r(t)'!D337*$AV$21)</f>
        <v>0.88900715067201674</v>
      </c>
      <c r="Z339" s="7">
        <f ca="1">$AV$8*EXP(-'3.r(t)'!E337*$AV$22)</f>
        <v>0.92823533609435027</v>
      </c>
      <c r="AA339" s="7">
        <f ca="1">$AV$9*EXP(-'3.r(t)'!F337*$AV$23)</f>
        <v>0.94412306034260829</v>
      </c>
      <c r="AB339" s="7">
        <f ca="1">$AV$10*EXP(-'3.r(t)'!G337*$AV$24)</f>
        <v>0.96866478406989598</v>
      </c>
      <c r="AC339" s="7">
        <f ca="1">$AV$11*EXP(-'3.r(t)'!H337*$AV$25)</f>
        <v>0.9824225123282877</v>
      </c>
      <c r="AD339" s="7">
        <v>1</v>
      </c>
      <c r="AE339" s="7"/>
      <c r="AF339" s="7">
        <v>331</v>
      </c>
      <c r="AG339" s="7">
        <f>$AW$7*EXP(-'3.r(t)'!D337*$AW$21)</f>
        <v>0.86718755429225491</v>
      </c>
      <c r="AH339" s="7">
        <f ca="1">$AW$8*EXP(-'3.r(t)'!E337*$AW$22)</f>
        <v>0.91010955940230076</v>
      </c>
      <c r="AI339" s="7">
        <f ca="1">$AW$9*EXP(-'3.r(t)'!F337*$AW$23)</f>
        <v>0.92538120356668119</v>
      </c>
      <c r="AJ339" s="7">
        <f ca="1">$AW$10*EXP(-'3.r(t)'!G337*$AW$24)</f>
        <v>0.95273349489821824</v>
      </c>
      <c r="AK339" s="7">
        <f ca="1">$AW$11*EXP(-'3.r(t)'!H337*$AW$25)</f>
        <v>0.9647250771132142</v>
      </c>
      <c r="AL339" s="7">
        <f ca="1">$AW$12*EXP(-'3.r(t)'!I337*$AW$26)</f>
        <v>0.98404060174027363</v>
      </c>
      <c r="AM339" s="7">
        <v>1</v>
      </c>
      <c r="AN339" s="7"/>
    </row>
    <row r="340" spans="2:40">
      <c r="B340" s="7">
        <v>332</v>
      </c>
      <c r="C340" s="7">
        <f>$AR$7*EXP(-'3.r(t)'!D338*$AR$21)</f>
        <v>0.97765346695821032</v>
      </c>
      <c r="D340" s="7">
        <v>1</v>
      </c>
      <c r="E340" s="7"/>
      <c r="F340" s="7">
        <v>332</v>
      </c>
      <c r="G340" s="48">
        <f>$AS$7*EXP(-'3.r(t)'!D338*$AS$21)</f>
        <v>0.9553476245219803</v>
      </c>
      <c r="H340" s="7">
        <f ca="1">$AS$8*EXP(-'3.r(t)'!E338*$AS$22)</f>
        <v>0.97440641132376327</v>
      </c>
      <c r="I340" s="7">
        <v>1</v>
      </c>
      <c r="J340" s="7"/>
      <c r="K340" s="7">
        <v>332</v>
      </c>
      <c r="L340" s="7">
        <f>$AT$7*EXP(-'3.r(t)'!D338*$AT$21)</f>
        <v>0.93311670519824419</v>
      </c>
      <c r="M340" s="7">
        <f ca="1">$AT$8*EXP(-'3.r(t)'!E338*$AT$22)</f>
        <v>0.94902064174074796</v>
      </c>
      <c r="N340" s="7">
        <f ca="1">$AT$9*EXP(-'3.r(t)'!F338*$AT$23)</f>
        <v>0.97879432862727067</v>
      </c>
      <c r="O340" s="7">
        <v>1</v>
      </c>
      <c r="P340" s="7"/>
      <c r="Q340" s="7">
        <v>332</v>
      </c>
      <c r="R340" s="7">
        <f>$AU$7*EXP(-'3.r(t)'!D338*$AU$21)</f>
        <v>0.91099305977534117</v>
      </c>
      <c r="S340" s="7">
        <f ca="1">$AU$8*EXP(-'3.r(t)'!E338*$AU$22)</f>
        <v>0.92387473764719263</v>
      </c>
      <c r="T340" s="7">
        <f ca="1">$AU$9*EXP(-'3.r(t)'!F338*$AU$23)</f>
        <v>0.9575955868699646</v>
      </c>
      <c r="U340" s="7">
        <f ca="1">$AU$10*EXP(-'3.r(t)'!G338*$AU$24)</f>
        <v>0.97810572157422648</v>
      </c>
      <c r="V340" s="7">
        <v>1</v>
      </c>
      <c r="W340" s="7"/>
      <c r="X340" s="7">
        <v>332</v>
      </c>
      <c r="Y340" s="7">
        <f>$AV$7*EXP(-'3.r(t)'!D338*$AV$21)</f>
        <v>0.88900715067201674</v>
      </c>
      <c r="Z340" s="7">
        <f ca="1">$AV$8*EXP(-'3.r(t)'!E338*$AV$22)</f>
        <v>0.8989984585588231</v>
      </c>
      <c r="AA340" s="7">
        <f ca="1">$AV$9*EXP(-'3.r(t)'!F338*$AV$23)</f>
        <v>0.93643705262421761</v>
      </c>
      <c r="AB340" s="7">
        <f ca="1">$AV$10*EXP(-'3.r(t)'!G338*$AV$24)</f>
        <v>0.95625716119212956</v>
      </c>
      <c r="AC340" s="7">
        <f ca="1">$AV$11*EXP(-'3.r(t)'!H338*$AV$25)</f>
        <v>0.97356427016343561</v>
      </c>
      <c r="AD340" s="7">
        <v>1</v>
      </c>
      <c r="AE340" s="7"/>
      <c r="AF340" s="7">
        <v>332</v>
      </c>
      <c r="AG340" s="7">
        <f>$AW$7*EXP(-'3.r(t)'!D338*$AW$21)</f>
        <v>0.86718755429225491</v>
      </c>
      <c r="AH340" s="7">
        <f ca="1">$AW$8*EXP(-'3.r(t)'!E338*$AW$22)</f>
        <v>0.87441930758413899</v>
      </c>
      <c r="AI340" s="7">
        <f ca="1">$AW$9*EXP(-'3.r(t)'!F338*$AW$23)</f>
        <v>0.9153502806679199</v>
      </c>
      <c r="AJ340" s="7">
        <f ca="1">$AW$10*EXP(-'3.r(t)'!G338*$AW$24)</f>
        <v>0.93448690029410986</v>
      </c>
      <c r="AK340" s="7">
        <f ca="1">$AW$11*EXP(-'3.r(t)'!H338*$AW$25)</f>
        <v>0.94740617248694947</v>
      </c>
      <c r="AL340" s="7">
        <f ca="1">$AW$12*EXP(-'3.r(t)'!I338*$AW$26)</f>
        <v>0.97219725802014267</v>
      </c>
      <c r="AM340" s="7">
        <v>1</v>
      </c>
      <c r="AN340" s="7"/>
    </row>
    <row r="341" spans="2:40">
      <c r="B341" s="7">
        <v>333</v>
      </c>
      <c r="C341" s="7">
        <f>$AR$7*EXP(-'3.r(t)'!D339*$AR$21)</f>
        <v>0.97765346695821032</v>
      </c>
      <c r="D341" s="7">
        <v>1</v>
      </c>
      <c r="E341" s="7"/>
      <c r="F341" s="7">
        <v>333</v>
      </c>
      <c r="G341" s="48">
        <f>$AS$7*EXP(-'3.r(t)'!D339*$AS$21)</f>
        <v>0.9553476245219803</v>
      </c>
      <c r="H341" s="7">
        <f ca="1">$AS$8*EXP(-'3.r(t)'!E339*$AS$22)</f>
        <v>0.97716638443703074</v>
      </c>
      <c r="I341" s="7">
        <v>1</v>
      </c>
      <c r="J341" s="7"/>
      <c r="K341" s="7">
        <v>333</v>
      </c>
      <c r="L341" s="7">
        <f>$AT$7*EXP(-'3.r(t)'!D339*$AT$21)</f>
        <v>0.93311670519824419</v>
      </c>
      <c r="M341" s="7">
        <f ca="1">$AT$8*EXP(-'3.r(t)'!E339*$AT$22)</f>
        <v>0.95440439316816172</v>
      </c>
      <c r="N341" s="7">
        <f ca="1">$AT$9*EXP(-'3.r(t)'!F339*$AT$23)</f>
        <v>0.97621410736615355</v>
      </c>
      <c r="O341" s="7">
        <v>1</v>
      </c>
      <c r="P341" s="7"/>
      <c r="Q341" s="7">
        <v>333</v>
      </c>
      <c r="R341" s="7">
        <f>$AU$7*EXP(-'3.r(t)'!D339*$AU$21)</f>
        <v>0.91099305977534117</v>
      </c>
      <c r="S341" s="7">
        <f ca="1">$AU$8*EXP(-'3.r(t)'!E339*$AU$22)</f>
        <v>0.93174752659029025</v>
      </c>
      <c r="T341" s="7">
        <f ca="1">$AU$9*EXP(-'3.r(t)'!F339*$AU$23)</f>
        <v>0.95255356375169775</v>
      </c>
      <c r="U341" s="7">
        <f ca="1">$AU$10*EXP(-'3.r(t)'!G339*$AU$24)</f>
        <v>0.97740509084161664</v>
      </c>
      <c r="V341" s="7">
        <v>1</v>
      </c>
      <c r="W341" s="7"/>
      <c r="X341" s="7">
        <v>333</v>
      </c>
      <c r="Y341" s="7">
        <f>$AV$7*EXP(-'3.r(t)'!D339*$AV$21)</f>
        <v>0.88900715067201674</v>
      </c>
      <c r="Z341" s="7">
        <f ca="1">$AV$8*EXP(-'3.r(t)'!E339*$AV$22)</f>
        <v>0.90922734616672785</v>
      </c>
      <c r="AA341" s="7">
        <f ca="1">$AV$9*EXP(-'3.r(t)'!F339*$AV$23)</f>
        <v>0.92905087082186988</v>
      </c>
      <c r="AB341" s="7">
        <f ca="1">$AV$10*EXP(-'3.r(t)'!G339*$AV$24)</f>
        <v>0.95488769124320594</v>
      </c>
      <c r="AC341" s="7">
        <f ca="1">$AV$11*EXP(-'3.r(t)'!H339*$AV$25)</f>
        <v>0.97758872385440221</v>
      </c>
      <c r="AD341" s="7">
        <v>1</v>
      </c>
      <c r="AE341" s="7"/>
      <c r="AF341" s="7">
        <v>333</v>
      </c>
      <c r="AG341" s="7">
        <f>$AW$7*EXP(-'3.r(t)'!D339*$AW$21)</f>
        <v>0.86718755429225491</v>
      </c>
      <c r="AH341" s="7">
        <f ca="1">$AW$8*EXP(-'3.r(t)'!E339*$AW$22)</f>
        <v>0.88687347521080939</v>
      </c>
      <c r="AI341" s="7">
        <f ca="1">$AW$9*EXP(-'3.r(t)'!F339*$AW$23)</f>
        <v>0.90573647897613985</v>
      </c>
      <c r="AJ341" s="7">
        <f ca="1">$AW$10*EXP(-'3.r(t)'!G339*$AW$24)</f>
        <v>0.93248018052934512</v>
      </c>
      <c r="AK341" s="7">
        <f ca="1">$AW$11*EXP(-'3.r(t)'!H339*$AW$25)</f>
        <v>0.95525500777257832</v>
      </c>
      <c r="AL341" s="7">
        <f ca="1">$AW$12*EXP(-'3.r(t)'!I339*$AW$26)</f>
        <v>0.97076511444288693</v>
      </c>
      <c r="AM341" s="7">
        <v>1</v>
      </c>
      <c r="AN341" s="7"/>
    </row>
    <row r="342" spans="2:40">
      <c r="B342" s="7">
        <v>334</v>
      </c>
      <c r="C342" s="7">
        <f>$AR$7*EXP(-'3.r(t)'!D340*$AR$21)</f>
        <v>0.97765346695821032</v>
      </c>
      <c r="D342" s="7">
        <v>1</v>
      </c>
      <c r="E342" s="7"/>
      <c r="F342" s="7">
        <v>334</v>
      </c>
      <c r="G342" s="48">
        <f>$AS$7*EXP(-'3.r(t)'!D340*$AS$21)</f>
        <v>0.9553476245219803</v>
      </c>
      <c r="H342" s="7">
        <f ca="1">$AS$8*EXP(-'3.r(t)'!E340*$AS$22)</f>
        <v>0.97695266812868431</v>
      </c>
      <c r="I342" s="7">
        <v>1</v>
      </c>
      <c r="J342" s="7"/>
      <c r="K342" s="7">
        <v>334</v>
      </c>
      <c r="L342" s="7">
        <f>$AT$7*EXP(-'3.r(t)'!D340*$AT$21)</f>
        <v>0.93311670519824419</v>
      </c>
      <c r="M342" s="7">
        <f ca="1">$AT$8*EXP(-'3.r(t)'!E340*$AT$22)</f>
        <v>0.95398696276640926</v>
      </c>
      <c r="N342" s="7">
        <f ca="1">$AT$9*EXP(-'3.r(t)'!F340*$AT$23)</f>
        <v>0.97664873970929655</v>
      </c>
      <c r="O342" s="7">
        <v>1</v>
      </c>
      <c r="P342" s="7"/>
      <c r="Q342" s="7">
        <v>334</v>
      </c>
      <c r="R342" s="7">
        <f>$AU$7*EXP(-'3.r(t)'!D340*$AU$21)</f>
        <v>0.91099305977534117</v>
      </c>
      <c r="S342" s="7">
        <f ca="1">$AU$8*EXP(-'3.r(t)'!E340*$AU$22)</f>
        <v>0.93113631207346326</v>
      </c>
      <c r="T342" s="7">
        <f ca="1">$AU$9*EXP(-'3.r(t)'!F340*$AU$23)</f>
        <v>0.95340194885009388</v>
      </c>
      <c r="U342" s="7">
        <f ca="1">$AU$10*EXP(-'3.r(t)'!G340*$AU$24)</f>
        <v>0.97487386170390877</v>
      </c>
      <c r="V342" s="7">
        <v>1</v>
      </c>
      <c r="W342" s="7"/>
      <c r="X342" s="7">
        <v>334</v>
      </c>
      <c r="Y342" s="7">
        <f>$AV$7*EXP(-'3.r(t)'!D340*$AV$21)</f>
        <v>0.88900715067201674</v>
      </c>
      <c r="Z342" s="7">
        <f ca="1">$AV$8*EXP(-'3.r(t)'!E340*$AV$22)</f>
        <v>0.90843217770546036</v>
      </c>
      <c r="AA342" s="7">
        <f ca="1">$AV$9*EXP(-'3.r(t)'!F340*$AV$23)</f>
        <v>0.93029232602926248</v>
      </c>
      <c r="AB342" s="7">
        <f ca="1">$AV$10*EXP(-'3.r(t)'!G340*$AV$24)</f>
        <v>0.94994826579332559</v>
      </c>
      <c r="AC342" s="7">
        <f ca="1">$AV$11*EXP(-'3.r(t)'!H340*$AV$25)</f>
        <v>0.97511999780731073</v>
      </c>
      <c r="AD342" s="7">
        <v>1</v>
      </c>
      <c r="AE342" s="7"/>
      <c r="AF342" s="7">
        <v>334</v>
      </c>
      <c r="AG342" s="7">
        <f>$AW$7*EXP(-'3.r(t)'!D340*$AW$21)</f>
        <v>0.86718755429225491</v>
      </c>
      <c r="AH342" s="7">
        <f ca="1">$AW$8*EXP(-'3.r(t)'!E340*$AW$22)</f>
        <v>0.88590405773056813</v>
      </c>
      <c r="AI342" s="7">
        <f ca="1">$AW$9*EXP(-'3.r(t)'!F340*$AW$23)</f>
        <v>0.90735057303245836</v>
      </c>
      <c r="AJ342" s="7">
        <f ca="1">$AW$10*EXP(-'3.r(t)'!G340*$AW$24)</f>
        <v>0.92525427079805234</v>
      </c>
      <c r="AK342" s="7">
        <f ca="1">$AW$11*EXP(-'3.r(t)'!H340*$AW$25)</f>
        <v>0.95043644721529363</v>
      </c>
      <c r="AL342" s="7">
        <f ca="1">$AW$12*EXP(-'3.r(t)'!I340*$AW$26)</f>
        <v>0.97732629080747691</v>
      </c>
      <c r="AM342" s="7">
        <v>1</v>
      </c>
      <c r="AN342" s="7"/>
    </row>
    <row r="343" spans="2:40">
      <c r="B343" s="7">
        <v>335</v>
      </c>
      <c r="C343" s="7">
        <f>$AR$7*EXP(-'3.r(t)'!D341*$AR$21)</f>
        <v>0.97765346695821032</v>
      </c>
      <c r="D343" s="7">
        <v>1</v>
      </c>
      <c r="E343" s="7"/>
      <c r="F343" s="7">
        <v>335</v>
      </c>
      <c r="G343" s="48">
        <f>$AS$7*EXP(-'3.r(t)'!D341*$AS$21)</f>
        <v>0.9553476245219803</v>
      </c>
      <c r="H343" s="7">
        <f ca="1">$AS$8*EXP(-'3.r(t)'!E341*$AS$22)</f>
        <v>0.97724051879242757</v>
      </c>
      <c r="I343" s="7">
        <v>1</v>
      </c>
      <c r="J343" s="7"/>
      <c r="K343" s="7">
        <v>335</v>
      </c>
      <c r="L343" s="7">
        <f>$AT$7*EXP(-'3.r(t)'!D341*$AT$21)</f>
        <v>0.93311670519824419</v>
      </c>
      <c r="M343" s="7">
        <f ca="1">$AT$8*EXP(-'3.r(t)'!E341*$AT$22)</f>
        <v>0.95454921361950607</v>
      </c>
      <c r="N343" s="7">
        <f ca="1">$AT$9*EXP(-'3.r(t)'!F341*$AT$23)</f>
        <v>0.97233426335692652</v>
      </c>
      <c r="O343" s="7">
        <v>1</v>
      </c>
      <c r="P343" s="7"/>
      <c r="Q343" s="7">
        <v>335</v>
      </c>
      <c r="R343" s="7">
        <f>$AU$7*EXP(-'3.r(t)'!D341*$AU$21)</f>
        <v>0.91099305977534117</v>
      </c>
      <c r="S343" s="7">
        <f ca="1">$AU$8*EXP(-'3.r(t)'!E341*$AU$22)</f>
        <v>0.93195960841369685</v>
      </c>
      <c r="T343" s="7">
        <f ca="1">$AU$9*EXP(-'3.r(t)'!F341*$AU$23)</f>
        <v>0.94499699386074043</v>
      </c>
      <c r="U343" s="7">
        <f ca="1">$AU$10*EXP(-'3.r(t)'!G341*$AU$24)</f>
        <v>0.97020334923562845</v>
      </c>
      <c r="V343" s="7">
        <v>1</v>
      </c>
      <c r="W343" s="7"/>
      <c r="X343" s="7">
        <v>335</v>
      </c>
      <c r="Y343" s="7">
        <f>$AV$7*EXP(-'3.r(t)'!D341*$AV$21)</f>
        <v>0.88900715067201674</v>
      </c>
      <c r="Z343" s="7">
        <f ca="1">$AV$8*EXP(-'3.r(t)'!E341*$AV$22)</f>
        <v>0.90950329775640937</v>
      </c>
      <c r="AA343" s="7">
        <f ca="1">$AV$9*EXP(-'3.r(t)'!F341*$AV$23)</f>
        <v>0.91801763905461786</v>
      </c>
      <c r="AB343" s="7">
        <f ca="1">$AV$10*EXP(-'3.r(t)'!G341*$AV$24)</f>
        <v>0.94086787618287748</v>
      </c>
      <c r="AC343" s="7">
        <f ca="1">$AV$11*EXP(-'3.r(t)'!H341*$AV$25)</f>
        <v>0.96969707352086632</v>
      </c>
      <c r="AD343" s="7">
        <v>1</v>
      </c>
      <c r="AE343" s="7"/>
      <c r="AF343" s="7">
        <v>335</v>
      </c>
      <c r="AG343" s="7">
        <f>$AW$7*EXP(-'3.r(t)'!D341*$AW$21)</f>
        <v>0.86718755429225491</v>
      </c>
      <c r="AH343" s="7">
        <f ca="1">$AW$8*EXP(-'3.r(t)'!E341*$AW$22)</f>
        <v>0.88720994692810962</v>
      </c>
      <c r="AI343" s="7">
        <f ca="1">$AW$9*EXP(-'3.r(t)'!F341*$AW$23)</f>
        <v>0.89142313505693205</v>
      </c>
      <c r="AJ343" s="7">
        <f ca="1">$AW$10*EXP(-'3.r(t)'!G341*$AW$24)</f>
        <v>0.91201950852910119</v>
      </c>
      <c r="AK343" s="7">
        <f ca="1">$AW$11*EXP(-'3.r(t)'!H341*$AW$25)</f>
        <v>0.93989453840655268</v>
      </c>
      <c r="AL343" s="7">
        <f ca="1">$AW$12*EXP(-'3.r(t)'!I341*$AW$26)</f>
        <v>0.97139857769609161</v>
      </c>
      <c r="AM343" s="7">
        <v>1</v>
      </c>
      <c r="AN343" s="7"/>
    </row>
    <row r="344" spans="2:40">
      <c r="B344" s="7">
        <v>336</v>
      </c>
      <c r="C344" s="7">
        <f>$AR$7*EXP(-'3.r(t)'!D342*$AR$21)</f>
        <v>0.97765346695821032</v>
      </c>
      <c r="D344" s="7">
        <v>1</v>
      </c>
      <c r="E344" s="7"/>
      <c r="F344" s="7">
        <v>336</v>
      </c>
      <c r="G344" s="48">
        <f>$AS$7*EXP(-'3.r(t)'!D342*$AS$21)</f>
        <v>0.9553476245219803</v>
      </c>
      <c r="H344" s="7">
        <f ca="1">$AS$8*EXP(-'3.r(t)'!E342*$AS$22)</f>
        <v>0.97744139522662565</v>
      </c>
      <c r="I344" s="7">
        <v>1</v>
      </c>
      <c r="J344" s="7"/>
      <c r="K344" s="7">
        <v>336</v>
      </c>
      <c r="L344" s="7">
        <f>$AT$7*EXP(-'3.r(t)'!D342*$AT$21)</f>
        <v>0.93311670519824419</v>
      </c>
      <c r="M344" s="7">
        <f ca="1">$AT$8*EXP(-'3.r(t)'!E342*$AT$22)</f>
        <v>0.95494167820894338</v>
      </c>
      <c r="N344" s="7">
        <f ca="1">$AT$9*EXP(-'3.r(t)'!F342*$AT$23)</f>
        <v>0.9779767049268947</v>
      </c>
      <c r="O344" s="7">
        <v>1</v>
      </c>
      <c r="P344" s="7"/>
      <c r="Q344" s="7">
        <v>336</v>
      </c>
      <c r="R344" s="7">
        <f>$AU$7*EXP(-'3.r(t)'!D342*$AU$21)</f>
        <v>0.91099305977534117</v>
      </c>
      <c r="S344" s="7">
        <f ca="1">$AU$8*EXP(-'3.r(t)'!E342*$AU$22)</f>
        <v>0.93253443273882519</v>
      </c>
      <c r="T344" s="7">
        <f ca="1">$AU$9*EXP(-'3.r(t)'!F342*$AU$23)</f>
        <v>0.95599642388069006</v>
      </c>
      <c r="U344" s="7">
        <f ca="1">$AU$10*EXP(-'3.r(t)'!G342*$AU$24)</f>
        <v>0.97459044148851026</v>
      </c>
      <c r="V344" s="7">
        <v>1</v>
      </c>
      <c r="W344" s="7"/>
      <c r="X344" s="7">
        <v>336</v>
      </c>
      <c r="Y344" s="7">
        <f>$AV$7*EXP(-'3.r(t)'!D342*$AV$21)</f>
        <v>0.88900715067201674</v>
      </c>
      <c r="Z344" s="7">
        <f ca="1">$AV$8*EXP(-'3.r(t)'!E342*$AV$22)</f>
        <v>0.9102513392677698</v>
      </c>
      <c r="AA344" s="7">
        <f ca="1">$AV$9*EXP(-'3.r(t)'!F342*$AV$23)</f>
        <v>0.93409228915857434</v>
      </c>
      <c r="AB344" s="7">
        <f ca="1">$AV$10*EXP(-'3.r(t)'!G342*$AV$24)</f>
        <v>0.9493959986414906</v>
      </c>
      <c r="AC344" s="7">
        <f ca="1">$AV$11*EXP(-'3.r(t)'!H342*$AV$25)</f>
        <v>0.98011405774963389</v>
      </c>
      <c r="AD344" s="7">
        <v>1</v>
      </c>
      <c r="AE344" s="7"/>
      <c r="AF344" s="7">
        <v>336</v>
      </c>
      <c r="AG344" s="7">
        <f>$AW$7*EXP(-'3.r(t)'!D342*$AW$21)</f>
        <v>0.86718755429225491</v>
      </c>
      <c r="AH344" s="7">
        <f ca="1">$AW$8*EXP(-'3.r(t)'!E342*$AW$22)</f>
        <v>0.88812217298667573</v>
      </c>
      <c r="AI344" s="7">
        <f ca="1">$AW$9*EXP(-'3.r(t)'!F342*$AW$23)</f>
        <v>0.91229560485398054</v>
      </c>
      <c r="AJ344" s="7">
        <f ca="1">$AW$10*EXP(-'3.r(t)'!G342*$AW$24)</f>
        <v>0.92444752170798461</v>
      </c>
      <c r="AK344" s="7">
        <f ca="1">$AW$11*EXP(-'3.r(t)'!H342*$AW$25)</f>
        <v>0.96019666390934022</v>
      </c>
      <c r="AL344" s="7">
        <f ca="1">$AW$12*EXP(-'3.r(t)'!I342*$AW$26)</f>
        <v>0.97548697770959758</v>
      </c>
      <c r="AM344" s="7">
        <v>1</v>
      </c>
      <c r="AN344" s="7"/>
    </row>
    <row r="345" spans="2:40">
      <c r="B345" s="7">
        <v>337</v>
      </c>
      <c r="C345" s="7">
        <f>$AR$7*EXP(-'3.r(t)'!D343*$AR$21)</f>
        <v>0.97765346695821032</v>
      </c>
      <c r="D345" s="7">
        <v>1</v>
      </c>
      <c r="E345" s="7"/>
      <c r="F345" s="7">
        <v>337</v>
      </c>
      <c r="G345" s="48">
        <f>$AS$7*EXP(-'3.r(t)'!D343*$AS$21)</f>
        <v>0.9553476245219803</v>
      </c>
      <c r="H345" s="7">
        <f ca="1">$AS$8*EXP(-'3.r(t)'!E343*$AS$22)</f>
        <v>0.98061007036538927</v>
      </c>
      <c r="I345" s="7">
        <v>1</v>
      </c>
      <c r="J345" s="7"/>
      <c r="K345" s="7">
        <v>337</v>
      </c>
      <c r="L345" s="7">
        <f>$AT$7*EXP(-'3.r(t)'!D343*$AT$21)</f>
        <v>0.93311670519824419</v>
      </c>
      <c r="M345" s="7">
        <f ca="1">$AT$8*EXP(-'3.r(t)'!E343*$AT$22)</f>
        <v>0.96114318483522765</v>
      </c>
      <c r="N345" s="7">
        <f ca="1">$AT$9*EXP(-'3.r(t)'!F343*$AT$23)</f>
        <v>0.98020186391327735</v>
      </c>
      <c r="O345" s="7">
        <v>1</v>
      </c>
      <c r="P345" s="7"/>
      <c r="Q345" s="7">
        <v>337</v>
      </c>
      <c r="R345" s="7">
        <f>$AU$7*EXP(-'3.r(t)'!D343*$AU$21)</f>
        <v>0.91099305977534117</v>
      </c>
      <c r="S345" s="7">
        <f ca="1">$AU$8*EXP(-'3.r(t)'!E343*$AU$22)</f>
        <v>0.94163315184270335</v>
      </c>
      <c r="T345" s="7">
        <f ca="1">$AU$9*EXP(-'3.r(t)'!F343*$AU$23)</f>
        <v>0.96035166884272793</v>
      </c>
      <c r="U345" s="7">
        <f ca="1">$AU$10*EXP(-'3.r(t)'!G343*$AU$24)</f>
        <v>0.97857915110654259</v>
      </c>
      <c r="V345" s="7">
        <v>1</v>
      </c>
      <c r="W345" s="7"/>
      <c r="X345" s="7">
        <v>337</v>
      </c>
      <c r="Y345" s="7">
        <f>$AV$7*EXP(-'3.r(t)'!D343*$AV$21)</f>
        <v>0.88900715067201674</v>
      </c>
      <c r="Z345" s="7">
        <f ca="1">$AV$8*EXP(-'3.r(t)'!E343*$AV$22)</f>
        <v>0.92211229218048907</v>
      </c>
      <c r="AA345" s="7">
        <f ca="1">$AV$9*EXP(-'3.r(t)'!F343*$AV$23)</f>
        <v>0.9404827376649344</v>
      </c>
      <c r="AB345" s="7">
        <f ca="1">$AV$10*EXP(-'3.r(t)'!G343*$AV$24)</f>
        <v>0.9571830937064626</v>
      </c>
      <c r="AC345" s="7">
        <f ca="1">$AV$11*EXP(-'3.r(t)'!H343*$AV$25)</f>
        <v>0.98094519585293927</v>
      </c>
      <c r="AD345" s="7">
        <v>1</v>
      </c>
      <c r="AE345" s="7"/>
      <c r="AF345" s="7">
        <v>337</v>
      </c>
      <c r="AG345" s="7">
        <f>$AW$7*EXP(-'3.r(t)'!D343*$AW$21)</f>
        <v>0.86718755429225491</v>
      </c>
      <c r="AH345" s="7">
        <f ca="1">$AW$8*EXP(-'3.r(t)'!E343*$AW$22)</f>
        <v>0.90261140936779638</v>
      </c>
      <c r="AI345" s="7">
        <f ca="1">$AW$9*EXP(-'3.r(t)'!F343*$AW$23)</f>
        <v>0.92062685228854468</v>
      </c>
      <c r="AJ345" s="7">
        <f ca="1">$AW$10*EXP(-'3.r(t)'!G343*$AW$24)</f>
        <v>0.93584450774216554</v>
      </c>
      <c r="AK345" s="7">
        <f ca="1">$AW$11*EXP(-'3.r(t)'!H343*$AW$25)</f>
        <v>0.96182585064337422</v>
      </c>
      <c r="AL345" s="7">
        <f ca="1">$AW$12*EXP(-'3.r(t)'!I343*$AW$26)</f>
        <v>0.98069185460603525</v>
      </c>
      <c r="AM345" s="7">
        <v>1</v>
      </c>
      <c r="AN345" s="7"/>
    </row>
    <row r="346" spans="2:40">
      <c r="B346" s="7">
        <v>338</v>
      </c>
      <c r="C346" s="7">
        <f>$AR$7*EXP(-'3.r(t)'!D344*$AR$21)</f>
        <v>0.97765346695821032</v>
      </c>
      <c r="D346" s="7">
        <v>1</v>
      </c>
      <c r="E346" s="7"/>
      <c r="F346" s="7">
        <v>338</v>
      </c>
      <c r="G346" s="48">
        <f>$AS$7*EXP(-'3.r(t)'!D344*$AS$21)</f>
        <v>0.9553476245219803</v>
      </c>
      <c r="H346" s="7">
        <f ca="1">$AS$8*EXP(-'3.r(t)'!E344*$AS$22)</f>
        <v>0.97818547509077569</v>
      </c>
      <c r="I346" s="7">
        <v>1</v>
      </c>
      <c r="J346" s="7"/>
      <c r="K346" s="7">
        <v>338</v>
      </c>
      <c r="L346" s="7">
        <f>$AT$7*EXP(-'3.r(t)'!D344*$AT$21)</f>
        <v>0.93311670519824419</v>
      </c>
      <c r="M346" s="7">
        <f ca="1">$AT$8*EXP(-'3.r(t)'!E344*$AT$22)</f>
        <v>0.95639613539235668</v>
      </c>
      <c r="N346" s="7">
        <f ca="1">$AT$9*EXP(-'3.r(t)'!F344*$AT$23)</f>
        <v>0.98064773219832713</v>
      </c>
      <c r="O346" s="7">
        <v>1</v>
      </c>
      <c r="P346" s="7"/>
      <c r="Q346" s="7">
        <v>338</v>
      </c>
      <c r="R346" s="7">
        <f>$AU$7*EXP(-'3.r(t)'!D344*$AU$21)</f>
        <v>0.91099305977534117</v>
      </c>
      <c r="S346" s="7">
        <f ca="1">$AU$8*EXP(-'3.r(t)'!E344*$AU$22)</f>
        <v>0.93466573733526437</v>
      </c>
      <c r="T346" s="7">
        <f ca="1">$AU$9*EXP(-'3.r(t)'!F344*$AU$23)</f>
        <v>0.96122554544654948</v>
      </c>
      <c r="U346" s="7">
        <f ca="1">$AU$10*EXP(-'3.r(t)'!G344*$AU$24)</f>
        <v>0.98088489301093695</v>
      </c>
      <c r="V346" s="7">
        <v>1</v>
      </c>
      <c r="W346" s="7"/>
      <c r="X346" s="7">
        <v>338</v>
      </c>
      <c r="Y346" s="7">
        <f>$AV$7*EXP(-'3.r(t)'!D344*$AV$21)</f>
        <v>0.88900715067201674</v>
      </c>
      <c r="Z346" s="7">
        <f ca="1">$AV$8*EXP(-'3.r(t)'!E344*$AV$22)</f>
        <v>0.9130262308696242</v>
      </c>
      <c r="AA346" s="7">
        <f ca="1">$AV$9*EXP(-'3.r(t)'!F344*$AV$23)</f>
        <v>0.94176672480880541</v>
      </c>
      <c r="AB346" s="7">
        <f ca="1">$AV$10*EXP(-'3.r(t)'!G344*$AV$24)</f>
        <v>0.96169906417083229</v>
      </c>
      <c r="AC346" s="7">
        <f ca="1">$AV$11*EXP(-'3.r(t)'!H344*$AV$25)</f>
        <v>0.98095327292305623</v>
      </c>
      <c r="AD346" s="7">
        <v>1</v>
      </c>
      <c r="AE346" s="7"/>
      <c r="AF346" s="7">
        <v>338</v>
      </c>
      <c r="AG346" s="7">
        <f>$AW$7*EXP(-'3.r(t)'!D344*$AW$21)</f>
        <v>0.86718755429225491</v>
      </c>
      <c r="AH346" s="7">
        <f ca="1">$AW$8*EXP(-'3.r(t)'!E344*$AW$22)</f>
        <v>0.89150775046620723</v>
      </c>
      <c r="AI346" s="7">
        <f ca="1">$AW$9*EXP(-'3.r(t)'!F344*$AW$23)</f>
        <v>0.92230307221710728</v>
      </c>
      <c r="AJ346" s="7">
        <f ca="1">$AW$10*EXP(-'3.r(t)'!G344*$AW$24)</f>
        <v>0.94247525650984332</v>
      </c>
      <c r="AK346" s="7">
        <f ca="1">$AW$11*EXP(-'3.r(t)'!H344*$AW$25)</f>
        <v>0.96184168999271313</v>
      </c>
      <c r="AL346" s="7">
        <f ca="1">$AW$12*EXP(-'3.r(t)'!I344*$AW$26)</f>
        <v>0.97979818973425448</v>
      </c>
      <c r="AM346" s="7">
        <v>1</v>
      </c>
      <c r="AN346" s="7"/>
    </row>
    <row r="347" spans="2:40">
      <c r="B347" s="7">
        <v>339</v>
      </c>
      <c r="C347" s="7">
        <f>$AR$7*EXP(-'3.r(t)'!D345*$AR$21)</f>
        <v>0.97765346695821032</v>
      </c>
      <c r="D347" s="7">
        <v>1</v>
      </c>
      <c r="E347" s="7"/>
      <c r="F347" s="7">
        <v>339</v>
      </c>
      <c r="G347" s="48">
        <f>$AS$7*EXP(-'3.r(t)'!D345*$AS$21)</f>
        <v>0.9553476245219803</v>
      </c>
      <c r="H347" s="7">
        <f ca="1">$AS$8*EXP(-'3.r(t)'!E345*$AS$22)</f>
        <v>0.97944114953728456</v>
      </c>
      <c r="I347" s="7">
        <v>1</v>
      </c>
      <c r="J347" s="7"/>
      <c r="K347" s="7">
        <v>339</v>
      </c>
      <c r="L347" s="7">
        <f>$AT$7*EXP(-'3.r(t)'!D345*$AT$21)</f>
        <v>0.93311670519824419</v>
      </c>
      <c r="M347" s="7">
        <f ca="1">$AT$8*EXP(-'3.r(t)'!E345*$AT$22)</f>
        <v>0.95885311930144623</v>
      </c>
      <c r="N347" s="7">
        <f ca="1">$AT$9*EXP(-'3.r(t)'!F345*$AT$23)</f>
        <v>0.98175352470878219</v>
      </c>
      <c r="O347" s="7">
        <v>1</v>
      </c>
      <c r="P347" s="7"/>
      <c r="Q347" s="7">
        <v>339</v>
      </c>
      <c r="R347" s="7">
        <f>$AU$7*EXP(-'3.r(t)'!D345*$AU$21)</f>
        <v>0.91099305977534117</v>
      </c>
      <c r="S347" s="7">
        <f ca="1">$AU$8*EXP(-'3.r(t)'!E345*$AU$22)</f>
        <v>0.93826978726238797</v>
      </c>
      <c r="T347" s="7">
        <f ca="1">$AU$9*EXP(-'3.r(t)'!F345*$AU$23)</f>
        <v>0.96339455120426642</v>
      </c>
      <c r="U347" s="7">
        <f ca="1">$AU$10*EXP(-'3.r(t)'!G345*$AU$24)</f>
        <v>0.97983730830699289</v>
      </c>
      <c r="V347" s="7">
        <v>1</v>
      </c>
      <c r="W347" s="7"/>
      <c r="X347" s="7">
        <v>339</v>
      </c>
      <c r="Y347" s="7">
        <f>$AV$7*EXP(-'3.r(t)'!D345*$AV$21)</f>
        <v>0.88900715067201674</v>
      </c>
      <c r="Z347" s="7">
        <f ca="1">$AV$8*EXP(-'3.r(t)'!E345*$AV$22)</f>
        <v>0.91772338968134193</v>
      </c>
      <c r="AA347" s="7">
        <f ca="1">$AV$9*EXP(-'3.r(t)'!F345*$AV$23)</f>
        <v>0.94495616774767965</v>
      </c>
      <c r="AB347" s="7">
        <f ca="1">$AV$10*EXP(-'3.r(t)'!G345*$AV$24)</f>
        <v>0.95964597261546924</v>
      </c>
      <c r="AC347" s="7">
        <f ca="1">$AV$11*EXP(-'3.r(t)'!H345*$AV$25)</f>
        <v>0.9793291869421491</v>
      </c>
      <c r="AD347" s="7">
        <v>1</v>
      </c>
      <c r="AE347" s="7"/>
      <c r="AF347" s="7">
        <v>339</v>
      </c>
      <c r="AG347" s="7">
        <f>$AW$7*EXP(-'3.r(t)'!D345*$AW$21)</f>
        <v>0.86718755429225491</v>
      </c>
      <c r="AH347" s="7">
        <f ca="1">$AW$8*EXP(-'3.r(t)'!E345*$AW$22)</f>
        <v>0.89724450095829611</v>
      </c>
      <c r="AI347" s="7">
        <f ca="1">$AW$9*EXP(-'3.r(t)'!F345*$AW$23)</f>
        <v>0.92647012276239049</v>
      </c>
      <c r="AJ347" s="7">
        <f ca="1">$AW$10*EXP(-'3.r(t)'!G345*$AW$24)</f>
        <v>0.93945879071021343</v>
      </c>
      <c r="AK347" s="7">
        <f ca="1">$AW$11*EXP(-'3.r(t)'!H345*$AW$25)</f>
        <v>0.95865943755665739</v>
      </c>
      <c r="AL347" s="7">
        <f ca="1">$AW$12*EXP(-'3.r(t)'!I345*$AW$26)</f>
        <v>0.97603162295123691</v>
      </c>
      <c r="AM347" s="7">
        <v>1</v>
      </c>
      <c r="AN347" s="7"/>
    </row>
    <row r="348" spans="2:40">
      <c r="B348" s="7">
        <v>340</v>
      </c>
      <c r="C348" s="7">
        <f>$AR$7*EXP(-'3.r(t)'!D346*$AR$21)</f>
        <v>0.97765346695821032</v>
      </c>
      <c r="D348" s="7">
        <v>1</v>
      </c>
      <c r="E348" s="7"/>
      <c r="F348" s="7">
        <v>340</v>
      </c>
      <c r="G348" s="48">
        <f>$AS$7*EXP(-'3.r(t)'!D346*$AS$21)</f>
        <v>0.9553476245219803</v>
      </c>
      <c r="H348" s="7">
        <f ca="1">$AS$8*EXP(-'3.r(t)'!E346*$AS$22)</f>
        <v>0.97609519655676658</v>
      </c>
      <c r="I348" s="7">
        <v>1</v>
      </c>
      <c r="J348" s="7"/>
      <c r="K348" s="7">
        <v>340</v>
      </c>
      <c r="L348" s="7">
        <f>$AT$7*EXP(-'3.r(t)'!D346*$AT$21)</f>
        <v>0.93311670519824419</v>
      </c>
      <c r="M348" s="7">
        <f ca="1">$AT$8*EXP(-'3.r(t)'!E346*$AT$22)</f>
        <v>0.95231306854305997</v>
      </c>
      <c r="N348" s="7">
        <f ca="1">$AT$9*EXP(-'3.r(t)'!F346*$AT$23)</f>
        <v>0.97638459597764804</v>
      </c>
      <c r="O348" s="7">
        <v>1</v>
      </c>
      <c r="P348" s="7"/>
      <c r="Q348" s="7">
        <v>340</v>
      </c>
      <c r="R348" s="7">
        <f>$AU$7*EXP(-'3.r(t)'!D346*$AU$21)</f>
        <v>0.91099305977534117</v>
      </c>
      <c r="S348" s="7">
        <f ca="1">$AU$8*EXP(-'3.r(t)'!E346*$AU$22)</f>
        <v>0.92868668772953844</v>
      </c>
      <c r="T348" s="7">
        <f ca="1">$AU$9*EXP(-'3.r(t)'!F346*$AU$23)</f>
        <v>0.95288630574789412</v>
      </c>
      <c r="U348" s="7">
        <f ca="1">$AU$10*EXP(-'3.r(t)'!G346*$AU$24)</f>
        <v>0.98040736820694718</v>
      </c>
      <c r="V348" s="7">
        <v>1</v>
      </c>
      <c r="W348" s="7"/>
      <c r="X348" s="7">
        <v>340</v>
      </c>
      <c r="Y348" s="7">
        <f>$AV$7*EXP(-'3.r(t)'!D346*$AV$21)</f>
        <v>0.88900715067201674</v>
      </c>
      <c r="Z348" s="7">
        <f ca="1">$AV$8*EXP(-'3.r(t)'!E346*$AV$22)</f>
        <v>0.90524704966574232</v>
      </c>
      <c r="AA348" s="7">
        <f ca="1">$AV$9*EXP(-'3.r(t)'!F346*$AV$23)</f>
        <v>0.9295377115328064</v>
      </c>
      <c r="AB348" s="7">
        <f ca="1">$AV$10*EXP(-'3.r(t)'!G346*$AV$24)</f>
        <v>0.96076292298746246</v>
      </c>
      <c r="AC348" s="7">
        <f ca="1">$AV$11*EXP(-'3.r(t)'!H346*$AV$25)</f>
        <v>0.98026687573626581</v>
      </c>
      <c r="AD348" s="7">
        <v>1</v>
      </c>
      <c r="AE348" s="7"/>
      <c r="AF348" s="7">
        <v>340</v>
      </c>
      <c r="AG348" s="7">
        <f>$AW$7*EXP(-'3.r(t)'!D346*$AW$21)</f>
        <v>0.86718755429225491</v>
      </c>
      <c r="AH348" s="7">
        <f ca="1">$AW$8*EXP(-'3.r(t)'!E346*$AW$22)</f>
        <v>0.88202308544050967</v>
      </c>
      <c r="AI348" s="7">
        <f ca="1">$AW$9*EXP(-'3.r(t)'!F346*$AW$23)</f>
        <v>0.90636936559440162</v>
      </c>
      <c r="AJ348" s="7">
        <f ca="1">$AW$10*EXP(-'3.r(t)'!G346*$AW$24)</f>
        <v>0.94109944906235754</v>
      </c>
      <c r="AK348" s="7">
        <f ca="1">$AW$11*EXP(-'3.r(t)'!H346*$AW$25)</f>
        <v>0.96049611224225628</v>
      </c>
      <c r="AL348" s="7">
        <f ca="1">$AW$12*EXP(-'3.r(t)'!I346*$AW$26)</f>
        <v>0.98064237443259372</v>
      </c>
      <c r="AM348" s="7">
        <v>1</v>
      </c>
      <c r="AN348" s="7"/>
    </row>
    <row r="349" spans="2:40">
      <c r="B349" s="7">
        <v>341</v>
      </c>
      <c r="C349" s="7">
        <f>$AR$7*EXP(-'3.r(t)'!D347*$AR$21)</f>
        <v>0.97765346695821032</v>
      </c>
      <c r="D349" s="7">
        <v>1</v>
      </c>
      <c r="E349" s="7"/>
      <c r="F349" s="7">
        <v>341</v>
      </c>
      <c r="G349" s="48">
        <f>$AS$7*EXP(-'3.r(t)'!D347*$AS$21)</f>
        <v>0.9553476245219803</v>
      </c>
      <c r="H349" s="7">
        <f ca="1">$AS$8*EXP(-'3.r(t)'!E347*$AS$22)</f>
        <v>0.973705976264853</v>
      </c>
      <c r="I349" s="7">
        <v>1</v>
      </c>
      <c r="J349" s="7"/>
      <c r="K349" s="7">
        <v>341</v>
      </c>
      <c r="L349" s="7">
        <f>$AT$7*EXP(-'3.r(t)'!D347*$AT$21)</f>
        <v>0.93311670519824419</v>
      </c>
      <c r="M349" s="7">
        <f ca="1">$AT$8*EXP(-'3.r(t)'!E347*$AT$22)</f>
        <v>0.94765675823678608</v>
      </c>
      <c r="N349" s="7">
        <f ca="1">$AT$9*EXP(-'3.r(t)'!F347*$AT$23)</f>
        <v>0.97029484929306475</v>
      </c>
      <c r="O349" s="7">
        <v>1</v>
      </c>
      <c r="P349" s="7"/>
      <c r="Q349" s="7">
        <v>341</v>
      </c>
      <c r="R349" s="7">
        <f>$AU$7*EXP(-'3.r(t)'!D347*$AU$21)</f>
        <v>0.91099305977534117</v>
      </c>
      <c r="S349" s="7">
        <f ca="1">$AU$8*EXP(-'3.r(t)'!E347*$AU$22)</f>
        <v>0.92188383571930965</v>
      </c>
      <c r="T349" s="7">
        <f ca="1">$AU$9*EXP(-'3.r(t)'!F347*$AU$23)</f>
        <v>0.94103699965799625</v>
      </c>
      <c r="U349" s="7">
        <f ca="1">$AU$10*EXP(-'3.r(t)'!G347*$AU$24)</f>
        <v>0.96585688709238116</v>
      </c>
      <c r="V349" s="7">
        <v>1</v>
      </c>
      <c r="W349" s="7"/>
      <c r="X349" s="7">
        <v>341</v>
      </c>
      <c r="Y349" s="7">
        <f>$AV$7*EXP(-'3.r(t)'!D347*$AV$21)</f>
        <v>0.88900715067201674</v>
      </c>
      <c r="Z349" s="7">
        <f ca="1">$AV$8*EXP(-'3.r(t)'!E347*$AV$22)</f>
        <v>0.89641632694010975</v>
      </c>
      <c r="AA349" s="7">
        <f ca="1">$AV$9*EXP(-'3.r(t)'!F347*$AV$23)</f>
        <v>0.91225328198446642</v>
      </c>
      <c r="AB349" s="7">
        <f ca="1">$AV$10*EXP(-'3.r(t)'!G347*$AV$24)</f>
        <v>0.93245667795021692</v>
      </c>
      <c r="AC349" s="7">
        <f ca="1">$AV$11*EXP(-'3.r(t)'!H347*$AV$25)</f>
        <v>0.96528638903357677</v>
      </c>
      <c r="AD349" s="7">
        <v>1</v>
      </c>
      <c r="AE349" s="7"/>
      <c r="AF349" s="7">
        <v>341</v>
      </c>
      <c r="AG349" s="7">
        <f>$AW$7*EXP(-'3.r(t)'!D347*$AW$21)</f>
        <v>0.86718755429225491</v>
      </c>
      <c r="AH349" s="7">
        <f ca="1">$AW$8*EXP(-'3.r(t)'!E347*$AW$22)</f>
        <v>0.87128101727520646</v>
      </c>
      <c r="AI349" s="7">
        <f ca="1">$AW$9*EXP(-'3.r(t)'!F347*$AW$23)</f>
        <v>0.88396780090680849</v>
      </c>
      <c r="AJ349" s="7">
        <f ca="1">$AW$10*EXP(-'3.r(t)'!G347*$AW$24)</f>
        <v>0.89981693468028612</v>
      </c>
      <c r="AK349" s="7">
        <f ca="1">$AW$11*EXP(-'3.r(t)'!H347*$AW$25)</f>
        <v>0.93136372965247782</v>
      </c>
      <c r="AL349" s="7">
        <f ca="1">$AW$12*EXP(-'3.r(t)'!I347*$AW$26)</f>
        <v>0.96500586583574177</v>
      </c>
      <c r="AM349" s="7">
        <v>1</v>
      </c>
      <c r="AN349" s="7"/>
    </row>
    <row r="350" spans="2:40">
      <c r="B350" s="7">
        <v>342</v>
      </c>
      <c r="C350" s="7">
        <f>$AR$7*EXP(-'3.r(t)'!D348*$AR$21)</f>
        <v>0.97765346695821032</v>
      </c>
      <c r="D350" s="7">
        <v>1</v>
      </c>
      <c r="E350" s="7"/>
      <c r="F350" s="7">
        <v>342</v>
      </c>
      <c r="G350" s="48">
        <f>$AS$7*EXP(-'3.r(t)'!D348*$AS$21)</f>
        <v>0.9553476245219803</v>
      </c>
      <c r="H350" s="7">
        <f ca="1">$AS$8*EXP(-'3.r(t)'!E348*$AS$22)</f>
        <v>0.97678648483405062</v>
      </c>
      <c r="I350" s="7">
        <v>1</v>
      </c>
      <c r="J350" s="7"/>
      <c r="K350" s="7">
        <v>342</v>
      </c>
      <c r="L350" s="7">
        <f>$AT$7*EXP(-'3.r(t)'!D348*$AT$21)</f>
        <v>0.93311670519824419</v>
      </c>
      <c r="M350" s="7">
        <f ca="1">$AT$8*EXP(-'3.r(t)'!E348*$AT$22)</f>
        <v>0.95366243688539198</v>
      </c>
      <c r="N350" s="7">
        <f ca="1">$AT$9*EXP(-'3.r(t)'!F348*$AT$23)</f>
        <v>0.97390300072277425</v>
      </c>
      <c r="O350" s="7">
        <v>1</v>
      </c>
      <c r="P350" s="7"/>
      <c r="Q350" s="7">
        <v>342</v>
      </c>
      <c r="R350" s="7">
        <f>$AU$7*EXP(-'3.r(t)'!D348*$AU$21)</f>
        <v>0.91099305977534117</v>
      </c>
      <c r="S350" s="7">
        <f ca="1">$AU$8*EXP(-'3.r(t)'!E348*$AU$22)</f>
        <v>0.93066122361247405</v>
      </c>
      <c r="T350" s="7">
        <f ca="1">$AU$9*EXP(-'3.r(t)'!F348*$AU$23)</f>
        <v>0.94804871799413803</v>
      </c>
      <c r="U350" s="7">
        <f ca="1">$AU$10*EXP(-'3.r(t)'!G348*$AU$24)</f>
        <v>0.97800088421720266</v>
      </c>
      <c r="V350" s="7">
        <v>1</v>
      </c>
      <c r="W350" s="7"/>
      <c r="X350" s="7">
        <v>342</v>
      </c>
      <c r="Y350" s="7">
        <f>$AV$7*EXP(-'3.r(t)'!D348*$AV$21)</f>
        <v>0.88900715067201674</v>
      </c>
      <c r="Z350" s="7">
        <f ca="1">$AV$8*EXP(-'3.r(t)'!E348*$AV$22)</f>
        <v>0.90781422458797634</v>
      </c>
      <c r="AA350" s="7">
        <f ca="1">$AV$9*EXP(-'3.r(t)'!F348*$AV$23)</f>
        <v>0.92246812488227725</v>
      </c>
      <c r="AB350" s="7">
        <f ca="1">$AV$10*EXP(-'3.r(t)'!G348*$AV$24)</f>
        <v>0.9560521810994409</v>
      </c>
      <c r="AC350" s="7">
        <f ca="1">$AV$11*EXP(-'3.r(t)'!H348*$AV$25)</f>
        <v>0.97733470081259977</v>
      </c>
      <c r="AD350" s="7">
        <v>1</v>
      </c>
      <c r="AE350" s="7"/>
      <c r="AF350" s="7">
        <v>342</v>
      </c>
      <c r="AG350" s="7">
        <f>$AW$7*EXP(-'3.r(t)'!D348*$AW$21)</f>
        <v>0.86718755429225491</v>
      </c>
      <c r="AH350" s="7">
        <f ca="1">$AW$8*EXP(-'3.r(t)'!E348*$AW$22)</f>
        <v>0.88515083609463119</v>
      </c>
      <c r="AI350" s="7">
        <f ca="1">$AW$9*EXP(-'3.r(t)'!F348*$AW$23)</f>
        <v>0.89718986243237797</v>
      </c>
      <c r="AJ350" s="7">
        <f ca="1">$AW$10*EXP(-'3.r(t)'!G348*$AW$24)</f>
        <v>0.93418644615827329</v>
      </c>
      <c r="AK350" s="7">
        <f ca="1">$AW$11*EXP(-'3.r(t)'!H348*$AW$25)</f>
        <v>0.95475863286544382</v>
      </c>
      <c r="AL350" s="7">
        <f ca="1">$AW$12*EXP(-'3.r(t)'!I348*$AW$26)</f>
        <v>0.97563379278573614</v>
      </c>
      <c r="AM350" s="7">
        <v>1</v>
      </c>
      <c r="AN350" s="7"/>
    </row>
    <row r="351" spans="2:40">
      <c r="B351" s="7">
        <v>343</v>
      </c>
      <c r="C351" s="7">
        <f>$AR$7*EXP(-'3.r(t)'!D349*$AR$21)</f>
        <v>0.97765346695821032</v>
      </c>
      <c r="D351" s="7">
        <v>1</v>
      </c>
      <c r="E351" s="7"/>
      <c r="F351" s="7">
        <v>343</v>
      </c>
      <c r="G351" s="48">
        <f>$AS$7*EXP(-'3.r(t)'!D349*$AS$21)</f>
        <v>0.9553476245219803</v>
      </c>
      <c r="H351" s="7">
        <f ca="1">$AS$8*EXP(-'3.r(t)'!E349*$AS$22)</f>
        <v>0.97975750574375464</v>
      </c>
      <c r="I351" s="7">
        <v>1</v>
      </c>
      <c r="J351" s="7"/>
      <c r="K351" s="7">
        <v>343</v>
      </c>
      <c r="L351" s="7">
        <f>$AT$7*EXP(-'3.r(t)'!D349*$AT$21)</f>
        <v>0.93311670519824419</v>
      </c>
      <c r="M351" s="7">
        <f ca="1">$AT$8*EXP(-'3.r(t)'!E349*$AT$22)</f>
        <v>0.95947263201905908</v>
      </c>
      <c r="N351" s="7">
        <f ca="1">$AT$9*EXP(-'3.r(t)'!F349*$AT$23)</f>
        <v>0.98157924604378843</v>
      </c>
      <c r="O351" s="7">
        <v>1</v>
      </c>
      <c r="P351" s="7"/>
      <c r="Q351" s="7">
        <v>343</v>
      </c>
      <c r="R351" s="7">
        <f>$AU$7*EXP(-'3.r(t)'!D349*$AU$21)</f>
        <v>0.91099305977534117</v>
      </c>
      <c r="S351" s="7">
        <f ca="1">$AU$8*EXP(-'3.r(t)'!E349*$AU$22)</f>
        <v>0.93917925493775745</v>
      </c>
      <c r="T351" s="7">
        <f ca="1">$AU$9*EXP(-'3.r(t)'!F349*$AU$23)</f>
        <v>0.96305254232019288</v>
      </c>
      <c r="U351" s="7">
        <f ca="1">$AU$10*EXP(-'3.r(t)'!G349*$AU$24)</f>
        <v>0.98113070333265606</v>
      </c>
      <c r="V351" s="7">
        <v>1</v>
      </c>
      <c r="W351" s="7"/>
      <c r="X351" s="7">
        <v>343</v>
      </c>
      <c r="Y351" s="7">
        <f>$AV$7*EXP(-'3.r(t)'!D349*$AV$21)</f>
        <v>0.88900715067201674</v>
      </c>
      <c r="Z351" s="7">
        <f ca="1">$AV$8*EXP(-'3.r(t)'!E349*$AV$22)</f>
        <v>0.91890965057219975</v>
      </c>
      <c r="AA351" s="7">
        <f ca="1">$AV$9*EXP(-'3.r(t)'!F349*$AV$23)</f>
        <v>0.94445301763205802</v>
      </c>
      <c r="AB351" s="7">
        <f ca="1">$AV$10*EXP(-'3.r(t)'!G349*$AV$24)</f>
        <v>0.96218112924998067</v>
      </c>
      <c r="AC351" s="7">
        <f ca="1">$AV$11*EXP(-'3.r(t)'!H349*$AV$25)</f>
        <v>0.98613117105848769</v>
      </c>
      <c r="AD351" s="7">
        <v>1</v>
      </c>
      <c r="AE351" s="7"/>
      <c r="AF351" s="7">
        <v>343</v>
      </c>
      <c r="AG351" s="7">
        <f>$AW$7*EXP(-'3.r(t)'!D349*$AW$21)</f>
        <v>0.86718755429225491</v>
      </c>
      <c r="AH351" s="7">
        <f ca="1">$AW$8*EXP(-'3.r(t)'!E349*$AW$22)</f>
        <v>0.8986944721507103</v>
      </c>
      <c r="AI351" s="7">
        <f ca="1">$AW$9*EXP(-'3.r(t)'!F349*$AW$23)</f>
        <v>0.92581243839214022</v>
      </c>
      <c r="AJ351" s="7">
        <f ca="1">$AW$10*EXP(-'3.r(t)'!G349*$AW$24)</f>
        <v>0.94318398862261743</v>
      </c>
      <c r="AK351" s="7">
        <f ca="1">$AW$11*EXP(-'3.r(t)'!H349*$AW$25)</f>
        <v>0.97202252647970777</v>
      </c>
      <c r="AL351" s="7">
        <f ca="1">$AW$12*EXP(-'3.r(t)'!I349*$AW$26)</f>
        <v>0.9872719220165056</v>
      </c>
      <c r="AM351" s="7">
        <v>1</v>
      </c>
      <c r="AN351" s="7"/>
    </row>
    <row r="352" spans="2:40">
      <c r="B352" s="7">
        <v>344</v>
      </c>
      <c r="C352" s="7">
        <f>$AR$7*EXP(-'3.r(t)'!D350*$AR$21)</f>
        <v>0.97765346695821032</v>
      </c>
      <c r="D352" s="7">
        <v>1</v>
      </c>
      <c r="E352" s="7"/>
      <c r="F352" s="7">
        <v>344</v>
      </c>
      <c r="G352" s="48">
        <f>$AS$7*EXP(-'3.r(t)'!D350*$AS$21)</f>
        <v>0.9553476245219803</v>
      </c>
      <c r="H352" s="7">
        <f ca="1">$AS$8*EXP(-'3.r(t)'!E350*$AS$22)</f>
        <v>0.97522115638742701</v>
      </c>
      <c r="I352" s="7">
        <v>1</v>
      </c>
      <c r="J352" s="7"/>
      <c r="K352" s="7">
        <v>344</v>
      </c>
      <c r="L352" s="7">
        <f>$AT$7*EXP(-'3.r(t)'!D350*$AT$21)</f>
        <v>0.93311670519824419</v>
      </c>
      <c r="M352" s="7">
        <f ca="1">$AT$8*EXP(-'3.r(t)'!E350*$AT$22)</f>
        <v>0.95060834299554009</v>
      </c>
      <c r="N352" s="7">
        <f ca="1">$AT$9*EXP(-'3.r(t)'!F350*$AT$23)</f>
        <v>0.97558498212458999</v>
      </c>
      <c r="O352" s="7">
        <v>1</v>
      </c>
      <c r="P352" s="7"/>
      <c r="Q352" s="7">
        <v>344</v>
      </c>
      <c r="R352" s="7">
        <f>$AU$7*EXP(-'3.r(t)'!D350*$AU$21)</f>
        <v>0.91099305977534117</v>
      </c>
      <c r="S352" s="7">
        <f ca="1">$AU$8*EXP(-'3.r(t)'!E350*$AU$22)</f>
        <v>0.9261941557062493</v>
      </c>
      <c r="T352" s="7">
        <f ca="1">$AU$9*EXP(-'3.r(t)'!F350*$AU$23)</f>
        <v>0.95132620515569744</v>
      </c>
      <c r="U352" s="7">
        <f ca="1">$AU$10*EXP(-'3.r(t)'!G350*$AU$24)</f>
        <v>0.97372789084868516</v>
      </c>
      <c r="V352" s="7">
        <v>1</v>
      </c>
      <c r="W352" s="7"/>
      <c r="X352" s="7">
        <v>344</v>
      </c>
      <c r="Y352" s="7">
        <f>$AV$7*EXP(-'3.r(t)'!D350*$AV$21)</f>
        <v>0.88900715067201674</v>
      </c>
      <c r="Z352" s="7">
        <f ca="1">$AV$8*EXP(-'3.r(t)'!E350*$AV$22)</f>
        <v>0.90200900412733731</v>
      </c>
      <c r="AA352" s="7">
        <f ca="1">$AV$9*EXP(-'3.r(t)'!F350*$AV$23)</f>
        <v>0.92725583604380624</v>
      </c>
      <c r="AB352" s="7">
        <f ca="1">$AV$10*EXP(-'3.r(t)'!G350*$AV$24)</f>
        <v>0.94771623715187836</v>
      </c>
      <c r="AC352" s="7">
        <f ca="1">$AV$11*EXP(-'3.r(t)'!H350*$AV$25)</f>
        <v>0.97498333220914557</v>
      </c>
      <c r="AD352" s="7">
        <v>1</v>
      </c>
      <c r="AE352" s="7"/>
      <c r="AF352" s="7">
        <v>344</v>
      </c>
      <c r="AG352" s="7">
        <f>$AW$7*EXP(-'3.r(t)'!D350*$AW$21)</f>
        <v>0.86718755429225491</v>
      </c>
      <c r="AH352" s="7">
        <f ca="1">$AW$8*EXP(-'3.r(t)'!E350*$AW$22)</f>
        <v>0.87808113282628919</v>
      </c>
      <c r="AI352" s="7">
        <f ca="1">$AW$9*EXP(-'3.r(t)'!F350*$AW$23)</f>
        <v>0.90340391247243634</v>
      </c>
      <c r="AJ352" s="7">
        <f ca="1">$AW$10*EXP(-'3.r(t)'!G350*$AW$24)</f>
        <v>0.92199517682341514</v>
      </c>
      <c r="AK352" s="7">
        <f ca="1">$AW$11*EXP(-'3.r(t)'!H350*$AW$25)</f>
        <v>0.95017005361548923</v>
      </c>
      <c r="AL352" s="7">
        <f ca="1">$AW$12*EXP(-'3.r(t)'!I350*$AW$26)</f>
        <v>0.97120015181229724</v>
      </c>
      <c r="AM352" s="7">
        <v>1</v>
      </c>
      <c r="AN352" s="7"/>
    </row>
    <row r="353" spans="2:40">
      <c r="B353" s="7">
        <v>345</v>
      </c>
      <c r="C353" s="7">
        <f>$AR$7*EXP(-'3.r(t)'!D351*$AR$21)</f>
        <v>0.97765346695821032</v>
      </c>
      <c r="D353" s="7">
        <v>1</v>
      </c>
      <c r="E353" s="7"/>
      <c r="F353" s="7">
        <v>345</v>
      </c>
      <c r="G353" s="48">
        <f>$AS$7*EXP(-'3.r(t)'!D351*$AS$21)</f>
        <v>0.9553476245219803</v>
      </c>
      <c r="H353" s="7">
        <f ca="1">$AS$8*EXP(-'3.r(t)'!E351*$AS$22)</f>
        <v>0.97902311718440038</v>
      </c>
      <c r="I353" s="7">
        <v>1</v>
      </c>
      <c r="J353" s="7"/>
      <c r="K353" s="7">
        <v>345</v>
      </c>
      <c r="L353" s="7">
        <f>$AT$7*EXP(-'3.r(t)'!D351*$AT$21)</f>
        <v>0.93311670519824419</v>
      </c>
      <c r="M353" s="7">
        <f ca="1">$AT$8*EXP(-'3.r(t)'!E351*$AT$22)</f>
        <v>0.95803480349585313</v>
      </c>
      <c r="N353" s="7">
        <f ca="1">$AT$9*EXP(-'3.r(t)'!F351*$AT$23)</f>
        <v>0.98239168607171579</v>
      </c>
      <c r="O353" s="7">
        <v>1</v>
      </c>
      <c r="P353" s="7"/>
      <c r="Q353" s="7">
        <v>345</v>
      </c>
      <c r="R353" s="7">
        <f>$AU$7*EXP(-'3.r(t)'!D351*$AU$21)</f>
        <v>0.91099305977534117</v>
      </c>
      <c r="S353" s="7">
        <f ca="1">$AU$8*EXP(-'3.r(t)'!E351*$AU$22)</f>
        <v>0.93706891956700178</v>
      </c>
      <c r="T353" s="7">
        <f ca="1">$AU$9*EXP(-'3.r(t)'!F351*$AU$23)</f>
        <v>0.96464741351949879</v>
      </c>
      <c r="U353" s="7">
        <f ca="1">$AU$10*EXP(-'3.r(t)'!G351*$AU$24)</f>
        <v>0.98749377583940656</v>
      </c>
      <c r="V353" s="7">
        <v>1</v>
      </c>
      <c r="W353" s="7"/>
      <c r="X353" s="7">
        <v>345</v>
      </c>
      <c r="Y353" s="7">
        <f>$AV$7*EXP(-'3.r(t)'!D351*$AV$21)</f>
        <v>0.88900715067201674</v>
      </c>
      <c r="Z353" s="7">
        <f ca="1">$AV$8*EXP(-'3.r(t)'!E351*$AV$22)</f>
        <v>0.91615762933395761</v>
      </c>
      <c r="AA353" s="7">
        <f ca="1">$AV$9*EXP(-'3.r(t)'!F351*$AV$23)</f>
        <v>0.94680009263723908</v>
      </c>
      <c r="AB353" s="7">
        <f ca="1">$AV$10*EXP(-'3.r(t)'!G351*$AV$24)</f>
        <v>0.97470195163465279</v>
      </c>
      <c r="AC353" s="7">
        <f ca="1">$AV$11*EXP(-'3.r(t)'!H351*$AV$25)</f>
        <v>0.98912679447769758</v>
      </c>
      <c r="AD353" s="7">
        <v>1</v>
      </c>
      <c r="AE353" s="7"/>
      <c r="AF353" s="7">
        <v>345</v>
      </c>
      <c r="AG353" s="7">
        <f>$AW$7*EXP(-'3.r(t)'!D351*$AW$21)</f>
        <v>0.86718755429225491</v>
      </c>
      <c r="AH353" s="7">
        <f ca="1">$AW$8*EXP(-'3.r(t)'!E351*$AW$22)</f>
        <v>0.89533138348583785</v>
      </c>
      <c r="AI353" s="7">
        <f ca="1">$AW$9*EXP(-'3.r(t)'!F351*$AW$23)</f>
        <v>0.92888137628868517</v>
      </c>
      <c r="AJ353" s="7">
        <f ca="1">$AW$10*EXP(-'3.r(t)'!G351*$AW$24)</f>
        <v>0.96165417295294442</v>
      </c>
      <c r="AK353" s="7">
        <f ca="1">$AW$11*EXP(-'3.r(t)'!H351*$AW$25)</f>
        <v>0.97793702592086673</v>
      </c>
      <c r="AL353" s="7">
        <f ca="1">$AW$12*EXP(-'3.r(t)'!I351*$AW$26)</f>
        <v>0.98773422889662987</v>
      </c>
      <c r="AM353" s="7">
        <v>1</v>
      </c>
      <c r="AN353" s="7"/>
    </row>
    <row r="354" spans="2:40">
      <c r="B354" s="7">
        <v>346</v>
      </c>
      <c r="C354" s="7">
        <f>$AR$7*EXP(-'3.r(t)'!D352*$AR$21)</f>
        <v>0.97765346695821032</v>
      </c>
      <c r="D354" s="7">
        <v>1</v>
      </c>
      <c r="E354" s="7"/>
      <c r="F354" s="7">
        <v>346</v>
      </c>
      <c r="G354" s="48">
        <f>$AS$7*EXP(-'3.r(t)'!D352*$AS$21)</f>
        <v>0.9553476245219803</v>
      </c>
      <c r="H354" s="7">
        <f ca="1">$AS$8*EXP(-'3.r(t)'!E352*$AS$22)</f>
        <v>0.97533675388913799</v>
      </c>
      <c r="I354" s="7">
        <v>1</v>
      </c>
      <c r="J354" s="7"/>
      <c r="K354" s="7">
        <v>346</v>
      </c>
      <c r="L354" s="7">
        <f>$AT$7*EXP(-'3.r(t)'!D352*$AT$21)</f>
        <v>0.93311670519824419</v>
      </c>
      <c r="M354" s="7">
        <f ca="1">$AT$8*EXP(-'3.r(t)'!E352*$AT$22)</f>
        <v>0.95083371641284364</v>
      </c>
      <c r="N354" s="7">
        <f ca="1">$AT$9*EXP(-'3.r(t)'!F352*$AT$23)</f>
        <v>0.97939406078252089</v>
      </c>
      <c r="O354" s="7">
        <v>1</v>
      </c>
      <c r="P354" s="7"/>
      <c r="Q354" s="7">
        <v>346</v>
      </c>
      <c r="R354" s="7">
        <f>$AU$7*EXP(-'3.r(t)'!D352*$AU$21)</f>
        <v>0.91099305977534117</v>
      </c>
      <c r="S354" s="7">
        <f ca="1">$AU$8*EXP(-'3.r(t)'!E352*$AU$22)</f>
        <v>0.92652355305770639</v>
      </c>
      <c r="T354" s="7">
        <f ca="1">$AU$9*EXP(-'3.r(t)'!F352*$AU$23)</f>
        <v>0.95876943267747639</v>
      </c>
      <c r="U354" s="7">
        <f ca="1">$AU$10*EXP(-'3.r(t)'!G352*$AU$24)</f>
        <v>0.9757329971494878</v>
      </c>
      <c r="V354" s="7">
        <v>1</v>
      </c>
      <c r="W354" s="7"/>
      <c r="X354" s="7">
        <v>346</v>
      </c>
      <c r="Y354" s="7">
        <f>$AV$7*EXP(-'3.r(t)'!D352*$AV$21)</f>
        <v>0.88900715067201674</v>
      </c>
      <c r="Z354" s="7">
        <f ca="1">$AV$8*EXP(-'3.r(t)'!E352*$AV$22)</f>
        <v>0.90243675747370455</v>
      </c>
      <c r="AA354" s="7">
        <f ca="1">$AV$9*EXP(-'3.r(t)'!F352*$AV$23)</f>
        <v>0.93815944387411032</v>
      </c>
      <c r="AB354" s="7">
        <f ca="1">$AV$10*EXP(-'3.r(t)'!G352*$AV$24)</f>
        <v>0.95162334167644669</v>
      </c>
      <c r="AC354" s="7">
        <f ca="1">$AV$11*EXP(-'3.r(t)'!H352*$AV$25)</f>
        <v>0.97747453842146803</v>
      </c>
      <c r="AD354" s="7">
        <v>1</v>
      </c>
      <c r="AE354" s="7"/>
      <c r="AF354" s="7">
        <v>346</v>
      </c>
      <c r="AG354" s="7">
        <f>$AW$7*EXP(-'3.r(t)'!D352*$AW$21)</f>
        <v>0.86718755429225491</v>
      </c>
      <c r="AH354" s="7">
        <f ca="1">$AW$8*EXP(-'3.r(t)'!E352*$AW$22)</f>
        <v>0.87860167142884715</v>
      </c>
      <c r="AI354" s="7">
        <f ca="1">$AW$9*EXP(-'3.r(t)'!F352*$AW$23)</f>
        <v>0.91759577692345407</v>
      </c>
      <c r="AJ354" s="7">
        <f ca="1">$AW$10*EXP(-'3.r(t)'!G352*$AW$24)</f>
        <v>0.92770264752282194</v>
      </c>
      <c r="AK354" s="7">
        <f ca="1">$AW$11*EXP(-'3.r(t)'!H352*$AW$25)</f>
        <v>0.95503186723557754</v>
      </c>
      <c r="AL354" s="7">
        <f ca="1">$AW$12*EXP(-'3.r(t)'!I352*$AW$26)</f>
        <v>0.97617353713123345</v>
      </c>
      <c r="AM354" s="7">
        <v>1</v>
      </c>
      <c r="AN354" s="7"/>
    </row>
    <row r="355" spans="2:40">
      <c r="B355" s="7">
        <v>347</v>
      </c>
      <c r="C355" s="7">
        <f>$AR$7*EXP(-'3.r(t)'!D353*$AR$21)</f>
        <v>0.97765346695821032</v>
      </c>
      <c r="D355" s="7">
        <v>1</v>
      </c>
      <c r="E355" s="7"/>
      <c r="F355" s="7">
        <v>347</v>
      </c>
      <c r="G355" s="48">
        <f>$AS$7*EXP(-'3.r(t)'!D353*$AS$21)</f>
        <v>0.9553476245219803</v>
      </c>
      <c r="H355" s="7">
        <f ca="1">$AS$8*EXP(-'3.r(t)'!E353*$AS$22)</f>
        <v>0.97709901681356226</v>
      </c>
      <c r="I355" s="7">
        <v>1</v>
      </c>
      <c r="J355" s="7"/>
      <c r="K355" s="7">
        <v>347</v>
      </c>
      <c r="L355" s="7">
        <f>$AT$7*EXP(-'3.r(t)'!D353*$AT$21)</f>
        <v>0.93311670519824419</v>
      </c>
      <c r="M355" s="7">
        <f ca="1">$AT$8*EXP(-'3.r(t)'!E353*$AT$22)</f>
        <v>0.95427280096343647</v>
      </c>
      <c r="N355" s="7">
        <f ca="1">$AT$9*EXP(-'3.r(t)'!F353*$AT$23)</f>
        <v>0.97764935086707028</v>
      </c>
      <c r="O355" s="7">
        <v>1</v>
      </c>
      <c r="P355" s="7"/>
      <c r="Q355" s="7">
        <v>347</v>
      </c>
      <c r="R355" s="7">
        <f>$AU$7*EXP(-'3.r(t)'!D353*$AU$21)</f>
        <v>0.91099305977534117</v>
      </c>
      <c r="S355" s="7">
        <f ca="1">$AU$8*EXP(-'3.r(t)'!E353*$AU$22)</f>
        <v>0.93155483078069123</v>
      </c>
      <c r="T355" s="7">
        <f ca="1">$AU$9*EXP(-'3.r(t)'!F353*$AU$23)</f>
        <v>0.95535653760763184</v>
      </c>
      <c r="U355" s="7">
        <f ca="1">$AU$10*EXP(-'3.r(t)'!G353*$AU$24)</f>
        <v>0.97727295466792508</v>
      </c>
      <c r="V355" s="7">
        <v>1</v>
      </c>
      <c r="W355" s="7"/>
      <c r="X355" s="7">
        <v>347</v>
      </c>
      <c r="Y355" s="7">
        <f>$AV$7*EXP(-'3.r(t)'!D353*$AV$21)</f>
        <v>0.88900715067201674</v>
      </c>
      <c r="Z355" s="7">
        <f ca="1">$AV$8*EXP(-'3.r(t)'!E353*$AV$22)</f>
        <v>0.90897663696311926</v>
      </c>
      <c r="AA355" s="7">
        <f ca="1">$AV$9*EXP(-'3.r(t)'!F353*$AV$23)</f>
        <v>0.93315460865690936</v>
      </c>
      <c r="AB355" s="7">
        <f ca="1">$AV$10*EXP(-'3.r(t)'!G353*$AV$24)</f>
        <v>0.95462952463829465</v>
      </c>
      <c r="AC355" s="7">
        <f ca="1">$AV$11*EXP(-'3.r(t)'!H353*$AV$25)</f>
        <v>0.97818210714897558</v>
      </c>
      <c r="AD355" s="7">
        <v>1</v>
      </c>
      <c r="AE355" s="7"/>
      <c r="AF355" s="7">
        <v>347</v>
      </c>
      <c r="AG355" s="7">
        <f>$AW$7*EXP(-'3.r(t)'!D353*$AW$21)</f>
        <v>0.86718755429225491</v>
      </c>
      <c r="AH355" s="7">
        <f ca="1">$AW$8*EXP(-'3.r(t)'!E353*$AW$22)</f>
        <v>0.88656780402835089</v>
      </c>
      <c r="AI355" s="7">
        <f ca="1">$AW$9*EXP(-'3.r(t)'!F353*$AW$23)</f>
        <v>0.91107474240873321</v>
      </c>
      <c r="AJ355" s="7">
        <f ca="1">$AW$10*EXP(-'3.r(t)'!G353*$AW$24)</f>
        <v>0.93210204343688841</v>
      </c>
      <c r="AK355" s="7">
        <f ca="1">$AW$11*EXP(-'3.r(t)'!H353*$AW$25)</f>
        <v>0.95641501377442761</v>
      </c>
      <c r="AL355" s="7">
        <f ca="1">$AW$12*EXP(-'3.r(t)'!I353*$AW$26)</f>
        <v>0.9785856072803788</v>
      </c>
      <c r="AM355" s="7">
        <v>1</v>
      </c>
      <c r="AN355" s="7"/>
    </row>
    <row r="356" spans="2:40">
      <c r="B356" s="7">
        <v>348</v>
      </c>
      <c r="C356" s="7">
        <f>$AR$7*EXP(-'3.r(t)'!D354*$AR$21)</f>
        <v>0.97765346695821032</v>
      </c>
      <c r="D356" s="7">
        <v>1</v>
      </c>
      <c r="E356" s="7"/>
      <c r="F356" s="7">
        <v>348</v>
      </c>
      <c r="G356" s="48">
        <f>$AS$7*EXP(-'3.r(t)'!D354*$AS$21)</f>
        <v>0.9553476245219803</v>
      </c>
      <c r="H356" s="7">
        <f ca="1">$AS$8*EXP(-'3.r(t)'!E354*$AS$22)</f>
        <v>0.97705677739616015</v>
      </c>
      <c r="I356" s="7">
        <v>1</v>
      </c>
      <c r="J356" s="7"/>
      <c r="K356" s="7">
        <v>348</v>
      </c>
      <c r="L356" s="7">
        <f>$AT$7*EXP(-'3.r(t)'!D354*$AT$21)</f>
        <v>0.93311670519824419</v>
      </c>
      <c r="M356" s="7">
        <f ca="1">$AT$8*EXP(-'3.r(t)'!E354*$AT$22)</f>
        <v>0.9541902974398061</v>
      </c>
      <c r="N356" s="7">
        <f ca="1">$AT$9*EXP(-'3.r(t)'!F354*$AT$23)</f>
        <v>0.97586083925333111</v>
      </c>
      <c r="O356" s="7">
        <v>1</v>
      </c>
      <c r="P356" s="7"/>
      <c r="Q356" s="7">
        <v>348</v>
      </c>
      <c r="R356" s="7">
        <f>$AU$7*EXP(-'3.r(t)'!D354*$AU$21)</f>
        <v>0.91099305977534117</v>
      </c>
      <c r="S356" s="7">
        <f ca="1">$AU$8*EXP(-'3.r(t)'!E354*$AU$22)</f>
        <v>0.93143402429637678</v>
      </c>
      <c r="T356" s="7">
        <f ca="1">$AU$9*EXP(-'3.r(t)'!F354*$AU$23)</f>
        <v>0.95186427661584894</v>
      </c>
      <c r="U356" s="7">
        <f ca="1">$AU$10*EXP(-'3.r(t)'!G354*$AU$24)</f>
        <v>0.97104572331039007</v>
      </c>
      <c r="V356" s="7">
        <v>1</v>
      </c>
      <c r="W356" s="7"/>
      <c r="X356" s="7">
        <v>348</v>
      </c>
      <c r="Y356" s="7">
        <f>$AV$7*EXP(-'3.r(t)'!D354*$AV$21)</f>
        <v>0.88900715067201674</v>
      </c>
      <c r="Z356" s="7">
        <f ca="1">$AV$8*EXP(-'3.r(t)'!E354*$AV$22)</f>
        <v>0.90881946904739452</v>
      </c>
      <c r="AA356" s="7">
        <f ca="1">$AV$9*EXP(-'3.r(t)'!F354*$AV$23)</f>
        <v>0.928042633108494</v>
      </c>
      <c r="AB356" s="7">
        <f ca="1">$AV$10*EXP(-'3.r(t)'!G354*$AV$24)</f>
        <v>0.94250239285723603</v>
      </c>
      <c r="AC356" s="7">
        <f ca="1">$AV$11*EXP(-'3.r(t)'!H354*$AV$25)</f>
        <v>0.96777546312621865</v>
      </c>
      <c r="AD356" s="7">
        <v>1</v>
      </c>
      <c r="AE356" s="7"/>
      <c r="AF356" s="7">
        <v>348</v>
      </c>
      <c r="AG356" s="7">
        <f>$AW$7*EXP(-'3.r(t)'!D354*$AW$21)</f>
        <v>0.86718755429225491</v>
      </c>
      <c r="AH356" s="7">
        <f ca="1">$AW$8*EXP(-'3.r(t)'!E354*$AW$22)</f>
        <v>0.88637619156479397</v>
      </c>
      <c r="AI356" s="7">
        <f ca="1">$AW$9*EXP(-'3.r(t)'!F354*$AW$23)</f>
        <v>0.90442613456179444</v>
      </c>
      <c r="AJ356" s="7">
        <f ca="1">$AW$10*EXP(-'3.r(t)'!G354*$AW$24)</f>
        <v>0.91439714046316289</v>
      </c>
      <c r="AK356" s="7">
        <f ca="1">$AW$11*EXP(-'3.r(t)'!H354*$AW$25)</f>
        <v>0.93617312557648347</v>
      </c>
      <c r="AL356" s="7">
        <f ca="1">$AW$12*EXP(-'3.r(t)'!I354*$AW$26)</f>
        <v>0.96864218976692407</v>
      </c>
      <c r="AM356" s="7">
        <v>1</v>
      </c>
      <c r="AN356" s="7"/>
    </row>
    <row r="357" spans="2:40">
      <c r="B357" s="7">
        <v>349</v>
      </c>
      <c r="C357" s="7">
        <f>$AR$7*EXP(-'3.r(t)'!D355*$AR$21)</f>
        <v>0.97765346695821032</v>
      </c>
      <c r="D357" s="7">
        <v>1</v>
      </c>
      <c r="E357" s="7"/>
      <c r="F357" s="7">
        <v>349</v>
      </c>
      <c r="G357" s="48">
        <f>$AS$7*EXP(-'3.r(t)'!D355*$AS$21)</f>
        <v>0.9553476245219803</v>
      </c>
      <c r="H357" s="7">
        <f ca="1">$AS$8*EXP(-'3.r(t)'!E355*$AS$22)</f>
        <v>0.97753632746087504</v>
      </c>
      <c r="I357" s="7">
        <v>1</v>
      </c>
      <c r="J357" s="7"/>
      <c r="K357" s="7">
        <v>349</v>
      </c>
      <c r="L357" s="7">
        <f>$AT$7*EXP(-'3.r(t)'!D355*$AT$21)</f>
        <v>0.93311670519824419</v>
      </c>
      <c r="M357" s="7">
        <f ca="1">$AT$8*EXP(-'3.r(t)'!E355*$AT$22)</f>
        <v>0.95512718119638063</v>
      </c>
      <c r="N357" s="7">
        <f ca="1">$AT$9*EXP(-'3.r(t)'!F355*$AT$23)</f>
        <v>0.97762831394320759</v>
      </c>
      <c r="O357" s="7">
        <v>1</v>
      </c>
      <c r="P357" s="7"/>
      <c r="Q357" s="7">
        <v>349</v>
      </c>
      <c r="R357" s="7">
        <f>$AU$7*EXP(-'3.r(t)'!D355*$AU$21)</f>
        <v>0.91099305977534117</v>
      </c>
      <c r="S357" s="7">
        <f ca="1">$AU$8*EXP(-'3.r(t)'!E355*$AU$22)</f>
        <v>0.9328061713085436</v>
      </c>
      <c r="T357" s="7">
        <f ca="1">$AU$9*EXP(-'3.r(t)'!F355*$AU$23)</f>
        <v>0.95531542358961474</v>
      </c>
      <c r="U357" s="7">
        <f ca="1">$AU$10*EXP(-'3.r(t)'!G355*$AU$24)</f>
        <v>0.97430754288052923</v>
      </c>
      <c r="V357" s="7">
        <v>1</v>
      </c>
      <c r="W357" s="7"/>
      <c r="X357" s="7">
        <v>349</v>
      </c>
      <c r="Y357" s="7">
        <f>$AV$7*EXP(-'3.r(t)'!D355*$AV$21)</f>
        <v>0.88900715067201674</v>
      </c>
      <c r="Z357" s="7">
        <f ca="1">$AV$8*EXP(-'3.r(t)'!E355*$AV$22)</f>
        <v>0.91060501687358941</v>
      </c>
      <c r="AA357" s="7">
        <f ca="1">$AV$9*EXP(-'3.r(t)'!F355*$AV$23)</f>
        <v>0.93309437147668906</v>
      </c>
      <c r="AB357" s="7">
        <f ca="1">$AV$10*EXP(-'3.r(t)'!G355*$AV$24)</f>
        <v>0.94884490802197174</v>
      </c>
      <c r="AC357" s="7">
        <f ca="1">$AV$11*EXP(-'3.r(t)'!H355*$AV$25)</f>
        <v>0.97313218830718717</v>
      </c>
      <c r="AD357" s="7">
        <v>1</v>
      </c>
      <c r="AE357" s="7"/>
      <c r="AF357" s="7">
        <v>349</v>
      </c>
      <c r="AG357" s="7">
        <f>$AW$7*EXP(-'3.r(t)'!D355*$AW$21)</f>
        <v>0.86718755429225491</v>
      </c>
      <c r="AH357" s="7">
        <f ca="1">$AW$8*EXP(-'3.r(t)'!E355*$AW$22)</f>
        <v>0.88855354309930068</v>
      </c>
      <c r="AI357" s="7">
        <f ca="1">$AW$9*EXP(-'3.r(t)'!F355*$AW$23)</f>
        <v>0.91099632741727443</v>
      </c>
      <c r="AJ357" s="7">
        <f ca="1">$AW$10*EXP(-'3.r(t)'!G355*$AW$24)</f>
        <v>0.92364272515155699</v>
      </c>
      <c r="AK357" s="7">
        <f ca="1">$AW$11*EXP(-'3.r(t)'!H355*$AW$25)</f>
        <v>0.94656541406780936</v>
      </c>
      <c r="AL357" s="7">
        <f ca="1">$AW$12*EXP(-'3.r(t)'!I355*$AW$26)</f>
        <v>0.97497242411024287</v>
      </c>
      <c r="AM357" s="7">
        <v>1</v>
      </c>
      <c r="AN357" s="7"/>
    </row>
    <row r="358" spans="2:40">
      <c r="B358" s="7">
        <v>350</v>
      </c>
      <c r="C358" s="7">
        <f>$AR$7*EXP(-'3.r(t)'!D356*$AR$21)</f>
        <v>0.97765346695821032</v>
      </c>
      <c r="D358" s="7">
        <v>1</v>
      </c>
      <c r="E358" s="7"/>
      <c r="F358" s="7">
        <v>350</v>
      </c>
      <c r="G358" s="48">
        <f>$AS$7*EXP(-'3.r(t)'!D356*$AS$21)</f>
        <v>0.9553476245219803</v>
      </c>
      <c r="H358" s="7">
        <f ca="1">$AS$8*EXP(-'3.r(t)'!E356*$AS$22)</f>
        <v>0.97181392530128341</v>
      </c>
      <c r="I358" s="7">
        <v>1</v>
      </c>
      <c r="J358" s="7"/>
      <c r="K358" s="7">
        <v>350</v>
      </c>
      <c r="L358" s="7">
        <f>$AT$7*EXP(-'3.r(t)'!D356*$AT$21)</f>
        <v>0.93311670519824419</v>
      </c>
      <c r="M358" s="7">
        <f ca="1">$AT$8*EXP(-'3.r(t)'!E356*$AT$22)</f>
        <v>0.94397746924579928</v>
      </c>
      <c r="N358" s="7">
        <f ca="1">$AT$9*EXP(-'3.r(t)'!F356*$AT$23)</f>
        <v>0.9675253313740948</v>
      </c>
      <c r="O358" s="7">
        <v>1</v>
      </c>
      <c r="P358" s="7"/>
      <c r="Q358" s="7">
        <v>350</v>
      </c>
      <c r="R358" s="7">
        <f>$AU$7*EXP(-'3.r(t)'!D356*$AU$21)</f>
        <v>0.91099305977534117</v>
      </c>
      <c r="S358" s="7">
        <f ca="1">$AU$8*EXP(-'3.r(t)'!E356*$AU$22)</f>
        <v>0.91652021228644875</v>
      </c>
      <c r="T358" s="7">
        <f ca="1">$AU$9*EXP(-'3.r(t)'!F356*$AU$23)</f>
        <v>0.93567265218671736</v>
      </c>
      <c r="U358" s="7">
        <f ca="1">$AU$10*EXP(-'3.r(t)'!G356*$AU$24)</f>
        <v>0.96644114327905839</v>
      </c>
      <c r="V358" s="7">
        <v>1</v>
      </c>
      <c r="W358" s="7"/>
      <c r="X358" s="7">
        <v>350</v>
      </c>
      <c r="Y358" s="7">
        <f>$AV$7*EXP(-'3.r(t)'!D356*$AV$21)</f>
        <v>0.88900715067201674</v>
      </c>
      <c r="Z358" s="7">
        <f ca="1">$AV$8*EXP(-'3.r(t)'!E356*$AV$22)</f>
        <v>0.88946914465596316</v>
      </c>
      <c r="AA358" s="7">
        <f ca="1">$AV$9*EXP(-'3.r(t)'!F356*$AV$23)</f>
        <v>0.9044640086534218</v>
      </c>
      <c r="AB358" s="7">
        <f ca="1">$AV$10*EXP(-'3.r(t)'!G356*$AV$24)</f>
        <v>0.93358512330406029</v>
      </c>
      <c r="AC358" s="7">
        <f ca="1">$AV$11*EXP(-'3.r(t)'!H356*$AV$25)</f>
        <v>0.963770675280057</v>
      </c>
      <c r="AD358" s="7">
        <v>1</v>
      </c>
      <c r="AE358" s="7"/>
      <c r="AF358" s="7">
        <v>350</v>
      </c>
      <c r="AG358" s="7">
        <f>$AW$7*EXP(-'3.r(t)'!D356*$AW$21)</f>
        <v>0.86718755429225491</v>
      </c>
      <c r="AH358" s="7">
        <f ca="1">$AW$8*EXP(-'3.r(t)'!E356*$AW$22)</f>
        <v>0.86284872874157392</v>
      </c>
      <c r="AI358" s="7">
        <f ca="1">$AW$9*EXP(-'3.r(t)'!F356*$AW$23)</f>
        <v>0.87391847257114053</v>
      </c>
      <c r="AJ358" s="7">
        <f ca="1">$AW$10*EXP(-'3.r(t)'!G356*$AW$24)</f>
        <v>0.90145084659028618</v>
      </c>
      <c r="AK358" s="7">
        <f ca="1">$AW$11*EXP(-'3.r(t)'!H356*$AW$25)</f>
        <v>0.92844113071276857</v>
      </c>
      <c r="AL358" s="7">
        <f ca="1">$AW$12*EXP(-'3.r(t)'!I356*$AW$26)</f>
        <v>0.96448464846819293</v>
      </c>
      <c r="AM358" s="7">
        <v>1</v>
      </c>
      <c r="AN358" s="7"/>
    </row>
    <row r="359" spans="2:40">
      <c r="B359" s="7">
        <v>351</v>
      </c>
      <c r="C359" s="7">
        <f>$AR$7*EXP(-'3.r(t)'!D357*$AR$21)</f>
        <v>0.97765346695821032</v>
      </c>
      <c r="D359" s="7">
        <v>1</v>
      </c>
      <c r="E359" s="7"/>
      <c r="F359" s="7">
        <v>351</v>
      </c>
      <c r="G359" s="48">
        <f>$AS$7*EXP(-'3.r(t)'!D357*$AS$21)</f>
        <v>0.9553476245219803</v>
      </c>
      <c r="H359" s="7">
        <f ca="1">$AS$8*EXP(-'3.r(t)'!E357*$AS$22)</f>
        <v>0.97637391883068458</v>
      </c>
      <c r="I359" s="7">
        <v>1</v>
      </c>
      <c r="J359" s="7"/>
      <c r="K359" s="7">
        <v>351</v>
      </c>
      <c r="L359" s="7">
        <f>$AT$7*EXP(-'3.r(t)'!D357*$AT$21)</f>
        <v>0.93311670519824419</v>
      </c>
      <c r="M359" s="7">
        <f ca="1">$AT$8*EXP(-'3.r(t)'!E357*$AT$22)</f>
        <v>0.95285700885040236</v>
      </c>
      <c r="N359" s="7">
        <f ca="1">$AT$9*EXP(-'3.r(t)'!F357*$AT$23)</f>
        <v>0.96997281215081166</v>
      </c>
      <c r="O359" s="7">
        <v>1</v>
      </c>
      <c r="P359" s="7"/>
      <c r="Q359" s="7">
        <v>351</v>
      </c>
      <c r="R359" s="7">
        <f>$AU$7*EXP(-'3.r(t)'!D357*$AU$21)</f>
        <v>0.91099305977534117</v>
      </c>
      <c r="S359" s="7">
        <f ca="1">$AU$8*EXP(-'3.r(t)'!E357*$AU$22)</f>
        <v>0.92948246949212576</v>
      </c>
      <c r="T359" s="7">
        <f ca="1">$AU$9*EXP(-'3.r(t)'!F357*$AU$23)</f>
        <v>0.9404124501698351</v>
      </c>
      <c r="U359" s="7">
        <f ca="1">$AU$10*EXP(-'3.r(t)'!G357*$AU$24)</f>
        <v>0.96677536089448957</v>
      </c>
      <c r="V359" s="7">
        <v>1</v>
      </c>
      <c r="W359" s="7"/>
      <c r="X359" s="7">
        <v>351</v>
      </c>
      <c r="Y359" s="7">
        <f>$AV$7*EXP(-'3.r(t)'!D357*$AV$21)</f>
        <v>0.88900715067201674</v>
      </c>
      <c r="Z359" s="7">
        <f ca="1">$AV$8*EXP(-'3.r(t)'!E357*$AV$22)</f>
        <v>0.90628145945979077</v>
      </c>
      <c r="AA359" s="7">
        <f ca="1">$AV$9*EXP(-'3.r(t)'!F357*$AV$23)</f>
        <v>0.91134526331362997</v>
      </c>
      <c r="AB359" s="7">
        <f ca="1">$AV$10*EXP(-'3.r(t)'!G357*$AV$24)</f>
        <v>0.93423094544819896</v>
      </c>
      <c r="AC359" s="7">
        <f ca="1">$AV$11*EXP(-'3.r(t)'!H357*$AV$25)</f>
        <v>0.96996235065650338</v>
      </c>
      <c r="AD359" s="7">
        <v>1</v>
      </c>
      <c r="AE359" s="7"/>
      <c r="AF359" s="7">
        <v>351</v>
      </c>
      <c r="AG359" s="7">
        <f>$AW$7*EXP(-'3.r(t)'!D357*$AW$21)</f>
        <v>0.86718755429225491</v>
      </c>
      <c r="AH359" s="7">
        <f ca="1">$AW$8*EXP(-'3.r(t)'!E357*$AW$22)</f>
        <v>0.88328310556483725</v>
      </c>
      <c r="AI359" s="7">
        <f ca="1">$AW$9*EXP(-'3.r(t)'!F357*$AW$23)</f>
        <v>0.88279484291592114</v>
      </c>
      <c r="AJ359" s="7">
        <f ca="1">$AW$10*EXP(-'3.r(t)'!G357*$AW$24)</f>
        <v>0.90238639747088045</v>
      </c>
      <c r="AK359" s="7">
        <f ca="1">$AW$11*EXP(-'3.r(t)'!H357*$AW$25)</f>
        <v>0.9404088570372614</v>
      </c>
      <c r="AL359" s="7">
        <f ca="1">$AW$12*EXP(-'3.r(t)'!I357*$AW$26)</f>
        <v>0.96681910484805467</v>
      </c>
      <c r="AM359" s="7">
        <v>1</v>
      </c>
      <c r="AN359" s="7"/>
    </row>
    <row r="360" spans="2:40">
      <c r="B360" s="7">
        <v>352</v>
      </c>
      <c r="C360" s="7">
        <f>$AR$7*EXP(-'3.r(t)'!D358*$AR$21)</f>
        <v>0.97765346695821032</v>
      </c>
      <c r="D360" s="7">
        <v>1</v>
      </c>
      <c r="E360" s="7"/>
      <c r="F360" s="7">
        <v>352</v>
      </c>
      <c r="G360" s="48">
        <f>$AS$7*EXP(-'3.r(t)'!D358*$AS$21)</f>
        <v>0.9553476245219803</v>
      </c>
      <c r="H360" s="7">
        <f ca="1">$AS$8*EXP(-'3.r(t)'!E358*$AS$22)</f>
        <v>0.97900530826059584</v>
      </c>
      <c r="I360" s="7">
        <v>1</v>
      </c>
      <c r="J360" s="7"/>
      <c r="K360" s="7">
        <v>352</v>
      </c>
      <c r="L360" s="7">
        <f>$AT$7*EXP(-'3.r(t)'!D358*$AT$21)</f>
        <v>0.93311670519824419</v>
      </c>
      <c r="M360" s="7">
        <f ca="1">$AT$8*EXP(-'3.r(t)'!E358*$AT$22)</f>
        <v>0.95799994954125545</v>
      </c>
      <c r="N360" s="7">
        <f ca="1">$AT$9*EXP(-'3.r(t)'!F358*$AT$23)</f>
        <v>0.97905493028751622</v>
      </c>
      <c r="O360" s="7">
        <v>1</v>
      </c>
      <c r="P360" s="7"/>
      <c r="Q360" s="7">
        <v>352</v>
      </c>
      <c r="R360" s="7">
        <f>$AU$7*EXP(-'3.r(t)'!D358*$AU$21)</f>
        <v>0.91099305977534117</v>
      </c>
      <c r="S360" s="7">
        <f ca="1">$AU$8*EXP(-'3.r(t)'!E358*$AU$22)</f>
        <v>0.93701778322977802</v>
      </c>
      <c r="T360" s="7">
        <f ca="1">$AU$9*EXP(-'3.r(t)'!F358*$AU$23)</f>
        <v>0.95810556984322537</v>
      </c>
      <c r="U360" s="7">
        <f ca="1">$AU$10*EXP(-'3.r(t)'!G358*$AU$24)</f>
        <v>0.975940685103445</v>
      </c>
      <c r="V360" s="7">
        <v>1</v>
      </c>
      <c r="W360" s="7"/>
      <c r="X360" s="7">
        <v>352</v>
      </c>
      <c r="Y360" s="7">
        <f>$AV$7*EXP(-'3.r(t)'!D358*$AV$21)</f>
        <v>0.88900715067201674</v>
      </c>
      <c r="Z360" s="7">
        <f ca="1">$AV$8*EXP(-'3.r(t)'!E358*$AV$22)</f>
        <v>0.91609096967722714</v>
      </c>
      <c r="AA360" s="7">
        <f ca="1">$AV$9*EXP(-'3.r(t)'!F358*$AV$23)</f>
        <v>0.93718522419675432</v>
      </c>
      <c r="AB360" s="7">
        <f ca="1">$AV$10*EXP(-'3.r(t)'!G358*$AV$24)</f>
        <v>0.95202849706133741</v>
      </c>
      <c r="AC360" s="7">
        <f ca="1">$AV$11*EXP(-'3.r(t)'!H358*$AV$25)</f>
        <v>0.97603501860024511</v>
      </c>
      <c r="AD360" s="7">
        <v>1</v>
      </c>
      <c r="AE360" s="7"/>
      <c r="AF360" s="7">
        <v>352</v>
      </c>
      <c r="AG360" s="7">
        <f>$AW$7*EXP(-'3.r(t)'!D358*$AW$21)</f>
        <v>0.86718755429225491</v>
      </c>
      <c r="AH360" s="7">
        <f ca="1">$AW$8*EXP(-'3.r(t)'!E358*$AW$22)</f>
        <v>0.89524995380339289</v>
      </c>
      <c r="AI360" s="7">
        <f ca="1">$AW$9*EXP(-'3.r(t)'!F358*$AW$23)</f>
        <v>0.91632550939395752</v>
      </c>
      <c r="AJ360" s="7">
        <f ca="1">$AW$10*EXP(-'3.r(t)'!G358*$AW$24)</f>
        <v>0.9282951672363805</v>
      </c>
      <c r="AK360" s="7">
        <f ca="1">$AW$11*EXP(-'3.r(t)'!H358*$AW$25)</f>
        <v>0.95222100121496966</v>
      </c>
      <c r="AL360" s="7">
        <f ca="1">$AW$12*EXP(-'3.r(t)'!I358*$AW$26)</f>
        <v>0.97844560399369063</v>
      </c>
      <c r="AM360" s="7">
        <v>1</v>
      </c>
      <c r="AN360" s="7"/>
    </row>
    <row r="361" spans="2:40">
      <c r="B361" s="7">
        <v>353</v>
      </c>
      <c r="C361" s="7">
        <f>$AR$7*EXP(-'3.r(t)'!D359*$AR$21)</f>
        <v>0.97765346695821032</v>
      </c>
      <c r="D361" s="7">
        <v>1</v>
      </c>
      <c r="E361" s="7"/>
      <c r="F361" s="7">
        <v>353</v>
      </c>
      <c r="G361" s="48">
        <f>$AS$7*EXP(-'3.r(t)'!D359*$AS$21)</f>
        <v>0.9553476245219803</v>
      </c>
      <c r="H361" s="7">
        <f ca="1">$AS$8*EXP(-'3.r(t)'!E359*$AS$22)</f>
        <v>0.97893995904370101</v>
      </c>
      <c r="I361" s="7">
        <v>1</v>
      </c>
      <c r="J361" s="7"/>
      <c r="K361" s="7">
        <v>353</v>
      </c>
      <c r="L361" s="7">
        <f>$AT$7*EXP(-'3.r(t)'!D359*$AT$21)</f>
        <v>0.93311670519824419</v>
      </c>
      <c r="M361" s="7">
        <f ca="1">$AT$8*EXP(-'3.r(t)'!E359*$AT$22)</f>
        <v>0.95787205961764987</v>
      </c>
      <c r="N361" s="7">
        <f ca="1">$AT$9*EXP(-'3.r(t)'!F359*$AT$23)</f>
        <v>0.97891761883319228</v>
      </c>
      <c r="O361" s="7">
        <v>1</v>
      </c>
      <c r="P361" s="7"/>
      <c r="Q361" s="7">
        <v>353</v>
      </c>
      <c r="R361" s="7">
        <f>$AU$7*EXP(-'3.r(t)'!D359*$AU$21)</f>
        <v>0.91099305977534117</v>
      </c>
      <c r="S361" s="7">
        <f ca="1">$AU$8*EXP(-'3.r(t)'!E359*$AU$22)</f>
        <v>0.93683015618457643</v>
      </c>
      <c r="T361" s="7">
        <f ca="1">$AU$9*EXP(-'3.r(t)'!F359*$AU$23)</f>
        <v>0.95783684203312403</v>
      </c>
      <c r="U361" s="7">
        <f ca="1">$AU$10*EXP(-'3.r(t)'!G359*$AU$24)</f>
        <v>0.9820466543814883</v>
      </c>
      <c r="V361" s="7">
        <v>1</v>
      </c>
      <c r="W361" s="7"/>
      <c r="X361" s="7">
        <v>353</v>
      </c>
      <c r="Y361" s="7">
        <f>$AV$7*EXP(-'3.r(t)'!D359*$AV$21)</f>
        <v>0.88900715067201674</v>
      </c>
      <c r="Z361" s="7">
        <f ca="1">$AV$8*EXP(-'3.r(t)'!E359*$AV$22)</f>
        <v>0.91584639558508563</v>
      </c>
      <c r="AA361" s="7">
        <f ca="1">$AV$9*EXP(-'3.r(t)'!F359*$AV$23)</f>
        <v>0.93679096168445408</v>
      </c>
      <c r="AB361" s="7">
        <f ca="1">$AV$10*EXP(-'3.r(t)'!G359*$AV$24)</f>
        <v>0.96397848854730073</v>
      </c>
      <c r="AC361" s="7">
        <f ca="1">$AV$11*EXP(-'3.r(t)'!H359*$AV$25)</f>
        <v>0.98255662957682388</v>
      </c>
      <c r="AD361" s="7">
        <v>1</v>
      </c>
      <c r="AE361" s="7"/>
      <c r="AF361" s="7">
        <v>353</v>
      </c>
      <c r="AG361" s="7">
        <f>$AW$7*EXP(-'3.r(t)'!D359*$AW$21)</f>
        <v>0.86718755429225491</v>
      </c>
      <c r="AH361" s="7">
        <f ca="1">$AW$8*EXP(-'3.r(t)'!E359*$AW$22)</f>
        <v>0.89495120121700622</v>
      </c>
      <c r="AI361" s="7">
        <f ca="1">$AW$9*EXP(-'3.r(t)'!F359*$AW$23)</f>
        <v>0.915811562658982</v>
      </c>
      <c r="AJ361" s="7">
        <f ca="1">$AW$10*EXP(-'3.r(t)'!G359*$AW$24)</f>
        <v>0.94582803124515868</v>
      </c>
      <c r="AK361" s="7">
        <f ca="1">$AW$11*EXP(-'3.r(t)'!H359*$AW$25)</f>
        <v>0.96498849759272709</v>
      </c>
      <c r="AL361" s="7">
        <f ca="1">$AW$12*EXP(-'3.r(t)'!I359*$AW$26)</f>
        <v>0.98098464691954057</v>
      </c>
      <c r="AM361" s="7">
        <v>1</v>
      </c>
      <c r="AN361" s="7"/>
    </row>
    <row r="362" spans="2:40">
      <c r="B362" s="7">
        <v>354</v>
      </c>
      <c r="C362" s="7">
        <f>$AR$7*EXP(-'3.r(t)'!D360*$AR$21)</f>
        <v>0.97765346695821032</v>
      </c>
      <c r="D362" s="7">
        <v>1</v>
      </c>
      <c r="E362" s="7"/>
      <c r="F362" s="7">
        <v>354</v>
      </c>
      <c r="G362" s="48">
        <f>$AS$7*EXP(-'3.r(t)'!D360*$AS$21)</f>
        <v>0.9553476245219803</v>
      </c>
      <c r="H362" s="7">
        <f ca="1">$AS$8*EXP(-'3.r(t)'!E360*$AS$22)</f>
        <v>0.97780372282580774</v>
      </c>
      <c r="I362" s="7">
        <v>1</v>
      </c>
      <c r="J362" s="7"/>
      <c r="K362" s="7">
        <v>354</v>
      </c>
      <c r="L362" s="7">
        <f>$AT$7*EXP(-'3.r(t)'!D360*$AT$21)</f>
        <v>0.93311670519824419</v>
      </c>
      <c r="M362" s="7">
        <f ca="1">$AT$8*EXP(-'3.r(t)'!E360*$AT$22)</f>
        <v>0.95564978379353893</v>
      </c>
      <c r="N362" s="7">
        <f ca="1">$AT$9*EXP(-'3.r(t)'!F360*$AT$23)</f>
        <v>0.97497483739177504</v>
      </c>
      <c r="O362" s="7">
        <v>1</v>
      </c>
      <c r="P362" s="7"/>
      <c r="Q362" s="7">
        <v>354</v>
      </c>
      <c r="R362" s="7">
        <f>$AU$7*EXP(-'3.r(t)'!D360*$AU$21)</f>
        <v>0.91099305977534117</v>
      </c>
      <c r="S362" s="7">
        <f ca="1">$AU$8*EXP(-'3.r(t)'!E360*$AU$22)</f>
        <v>0.93357186034035311</v>
      </c>
      <c r="T362" s="7">
        <f ca="1">$AU$9*EXP(-'3.r(t)'!F360*$AU$23)</f>
        <v>0.95013663136337534</v>
      </c>
      <c r="U362" s="7">
        <f ca="1">$AU$10*EXP(-'3.r(t)'!G360*$AU$24)</f>
        <v>0.97754686767080856</v>
      </c>
      <c r="V362" s="7">
        <v>1</v>
      </c>
      <c r="W362" s="7"/>
      <c r="X362" s="7">
        <v>354</v>
      </c>
      <c r="Y362" s="7">
        <f>$AV$7*EXP(-'3.r(t)'!D360*$AV$21)</f>
        <v>0.88900715067201674</v>
      </c>
      <c r="Z362" s="7">
        <f ca="1">$AV$8*EXP(-'3.r(t)'!E360*$AV$22)</f>
        <v>0.91160177363535988</v>
      </c>
      <c r="AA362" s="7">
        <f ca="1">$AV$9*EXP(-'3.r(t)'!F360*$AV$23)</f>
        <v>0.92551716689472119</v>
      </c>
      <c r="AB362" s="7">
        <f ca="1">$AV$10*EXP(-'3.r(t)'!G360*$AV$24)</f>
        <v>0.95516473250104894</v>
      </c>
      <c r="AC362" s="7">
        <f ca="1">$AV$11*EXP(-'3.r(t)'!H360*$AV$25)</f>
        <v>0.97848455510358945</v>
      </c>
      <c r="AD362" s="7">
        <v>1</v>
      </c>
      <c r="AE362" s="7"/>
      <c r="AF362" s="7">
        <v>354</v>
      </c>
      <c r="AG362" s="7">
        <f>$AW$7*EXP(-'3.r(t)'!D360*$AW$21)</f>
        <v>0.86718755429225491</v>
      </c>
      <c r="AH362" s="7">
        <f ca="1">$AW$8*EXP(-'3.r(t)'!E360*$AW$22)</f>
        <v>0.88976948316907767</v>
      </c>
      <c r="AI362" s="7">
        <f ca="1">$AW$9*EXP(-'3.r(t)'!F360*$AW$23)</f>
        <v>0.90114602509092789</v>
      </c>
      <c r="AJ362" s="7">
        <f ca="1">$AW$10*EXP(-'3.r(t)'!G360*$AW$24)</f>
        <v>0.93288602022330347</v>
      </c>
      <c r="AK362" s="7">
        <f ca="1">$AW$11*EXP(-'3.r(t)'!H360*$AW$25)</f>
        <v>0.95700654061216195</v>
      </c>
      <c r="AL362" s="7">
        <f ca="1">$AW$12*EXP(-'3.r(t)'!I360*$AW$26)</f>
        <v>0.97929510851100754</v>
      </c>
      <c r="AM362" s="7">
        <v>1</v>
      </c>
      <c r="AN362" s="7"/>
    </row>
    <row r="363" spans="2:40">
      <c r="B363" s="7">
        <v>355</v>
      </c>
      <c r="C363" s="7">
        <f>$AR$7*EXP(-'3.r(t)'!D361*$AR$21)</f>
        <v>0.97765346695821032</v>
      </c>
      <c r="D363" s="7">
        <v>1</v>
      </c>
      <c r="E363" s="7"/>
      <c r="F363" s="7">
        <v>355</v>
      </c>
      <c r="G363" s="48">
        <f>$AS$7*EXP(-'3.r(t)'!D361*$AS$21)</f>
        <v>0.9553476245219803</v>
      </c>
      <c r="H363" s="7">
        <f ca="1">$AS$8*EXP(-'3.r(t)'!E361*$AS$22)</f>
        <v>0.97850747807438576</v>
      </c>
      <c r="I363" s="7">
        <v>1</v>
      </c>
      <c r="J363" s="7"/>
      <c r="K363" s="7">
        <v>355</v>
      </c>
      <c r="L363" s="7">
        <f>$AT$7*EXP(-'3.r(t)'!D361*$AT$21)</f>
        <v>0.93311670519824419</v>
      </c>
      <c r="M363" s="7">
        <f ca="1">$AT$8*EXP(-'3.r(t)'!E361*$AT$22)</f>
        <v>0.95702589959372364</v>
      </c>
      <c r="N363" s="7">
        <f ca="1">$AT$9*EXP(-'3.r(t)'!F361*$AT$23)</f>
        <v>0.97753399023747944</v>
      </c>
      <c r="O363" s="7">
        <v>1</v>
      </c>
      <c r="P363" s="7"/>
      <c r="Q363" s="7">
        <v>355</v>
      </c>
      <c r="R363" s="7">
        <f>$AU$7*EXP(-'3.r(t)'!D361*$AU$21)</f>
        <v>0.91099305977534117</v>
      </c>
      <c r="S363" s="7">
        <f ca="1">$AU$8*EXP(-'3.r(t)'!E361*$AU$22)</f>
        <v>0.93558907216555243</v>
      </c>
      <c r="T363" s="7">
        <f ca="1">$AU$9*EXP(-'3.r(t)'!F361*$AU$23)</f>
        <v>0.95513109066337643</v>
      </c>
      <c r="U363" s="7">
        <f ca="1">$AU$10*EXP(-'3.r(t)'!G361*$AU$24)</f>
        <v>0.97647263693841668</v>
      </c>
      <c r="V363" s="7">
        <v>1</v>
      </c>
      <c r="W363" s="7"/>
      <c r="X363" s="7">
        <v>355</v>
      </c>
      <c r="Y363" s="7">
        <f>$AV$7*EXP(-'3.r(t)'!D361*$AV$21)</f>
        <v>0.88900715067201674</v>
      </c>
      <c r="Z363" s="7">
        <f ca="1">$AV$8*EXP(-'3.r(t)'!E361*$AV$22)</f>
        <v>0.91422903904268105</v>
      </c>
      <c r="AA363" s="7">
        <f ca="1">$AV$9*EXP(-'3.r(t)'!F361*$AV$23)</f>
        <v>0.93282431661150633</v>
      </c>
      <c r="AB363" s="7">
        <f ca="1">$AV$10*EXP(-'3.r(t)'!G361*$AV$24)</f>
        <v>0.95306661614667199</v>
      </c>
      <c r="AC363" s="7">
        <f ca="1">$AV$11*EXP(-'3.r(t)'!H361*$AV$25)</f>
        <v>0.97807775083862869</v>
      </c>
      <c r="AD363" s="7">
        <v>1</v>
      </c>
      <c r="AE363" s="7"/>
      <c r="AF363" s="7">
        <v>355</v>
      </c>
      <c r="AG363" s="7">
        <f>$AW$7*EXP(-'3.r(t)'!D361*$AW$21)</f>
        <v>0.86718755429225491</v>
      </c>
      <c r="AH363" s="7">
        <f ca="1">$AW$8*EXP(-'3.r(t)'!E361*$AW$22)</f>
        <v>0.89297606716878997</v>
      </c>
      <c r="AI363" s="7">
        <f ca="1">$AW$9*EXP(-'3.r(t)'!F361*$AW$23)</f>
        <v>0.91064479866868508</v>
      </c>
      <c r="AJ363" s="7">
        <f ca="1">$AW$10*EXP(-'3.r(t)'!G361*$AW$24)</f>
        <v>0.92981394045297694</v>
      </c>
      <c r="AK363" s="7">
        <f ca="1">$AW$11*EXP(-'3.r(t)'!H361*$AW$25)</f>
        <v>0.95621095643721643</v>
      </c>
      <c r="AL363" s="7">
        <f ca="1">$AW$12*EXP(-'3.r(t)'!I361*$AW$26)</f>
        <v>0.97686267435155039</v>
      </c>
      <c r="AM363" s="7">
        <v>1</v>
      </c>
      <c r="AN363" s="7"/>
    </row>
    <row r="364" spans="2:40">
      <c r="B364" s="7">
        <v>356</v>
      </c>
      <c r="C364" s="7">
        <f>$AR$7*EXP(-'3.r(t)'!D362*$AR$21)</f>
        <v>0.97765346695821032</v>
      </c>
      <c r="D364" s="7">
        <v>1</v>
      </c>
      <c r="E364" s="7"/>
      <c r="F364" s="7">
        <v>356</v>
      </c>
      <c r="G364" s="48">
        <f>$AS$7*EXP(-'3.r(t)'!D362*$AS$21)</f>
        <v>0.9553476245219803</v>
      </c>
      <c r="H364" s="7">
        <f ca="1">$AS$8*EXP(-'3.r(t)'!E362*$AS$22)</f>
        <v>0.97778009559774481</v>
      </c>
      <c r="I364" s="7">
        <v>1</v>
      </c>
      <c r="J364" s="7"/>
      <c r="K364" s="7">
        <v>356</v>
      </c>
      <c r="L364" s="7">
        <f>$AT$7*EXP(-'3.r(t)'!D362*$AT$21)</f>
        <v>0.93311670519824419</v>
      </c>
      <c r="M364" s="7">
        <f ca="1">$AT$8*EXP(-'3.r(t)'!E362*$AT$22)</f>
        <v>0.95560360053188009</v>
      </c>
      <c r="N364" s="7">
        <f ca="1">$AT$9*EXP(-'3.r(t)'!F362*$AT$23)</f>
        <v>0.9786813723133071</v>
      </c>
      <c r="O364" s="7">
        <v>1</v>
      </c>
      <c r="P364" s="7"/>
      <c r="Q364" s="7">
        <v>356</v>
      </c>
      <c r="R364" s="7">
        <f>$AU$7*EXP(-'3.r(t)'!D362*$AU$21)</f>
        <v>0.91099305977534117</v>
      </c>
      <c r="S364" s="7">
        <f ca="1">$AU$8*EXP(-'3.r(t)'!E362*$AU$22)</f>
        <v>0.93350418669045687</v>
      </c>
      <c r="T364" s="7">
        <f ca="1">$AU$9*EXP(-'3.r(t)'!F362*$AU$23)</f>
        <v>0.95737457981424001</v>
      </c>
      <c r="U364" s="7">
        <f ca="1">$AU$10*EXP(-'3.r(t)'!G362*$AU$24)</f>
        <v>0.97801000834375484</v>
      </c>
      <c r="V364" s="7">
        <v>1</v>
      </c>
      <c r="W364" s="7"/>
      <c r="X364" s="7">
        <v>356</v>
      </c>
      <c r="Y364" s="7">
        <f>$AV$7*EXP(-'3.r(t)'!D362*$AV$21)</f>
        <v>0.88900715067201674</v>
      </c>
      <c r="Z364" s="7">
        <f ca="1">$AV$8*EXP(-'3.r(t)'!E362*$AV$22)</f>
        <v>0.91151366661820254</v>
      </c>
      <c r="AA364" s="7">
        <f ca="1">$AV$9*EXP(-'3.r(t)'!F362*$AV$23)</f>
        <v>0.93611288563186368</v>
      </c>
      <c r="AB364" s="7">
        <f ca="1">$AV$10*EXP(-'3.r(t)'!G362*$AV$24)</f>
        <v>0.95607001990086182</v>
      </c>
      <c r="AC364" s="7">
        <f ca="1">$AV$11*EXP(-'3.r(t)'!H362*$AV$25)</f>
        <v>0.98309964928034144</v>
      </c>
      <c r="AD364" s="7">
        <v>1</v>
      </c>
      <c r="AE364" s="7"/>
      <c r="AF364" s="7">
        <v>356</v>
      </c>
      <c r="AG364" s="7">
        <f>$AW$7*EXP(-'3.r(t)'!D362*$AW$21)</f>
        <v>0.86718755429225491</v>
      </c>
      <c r="AH364" s="7">
        <f ca="1">$AW$8*EXP(-'3.r(t)'!E362*$AW$22)</f>
        <v>0.88966198833108001</v>
      </c>
      <c r="AI364" s="7">
        <f ca="1">$AW$9*EXP(-'3.r(t)'!F362*$AW$23)</f>
        <v>0.91492781521673094</v>
      </c>
      <c r="AJ364" s="7">
        <f ca="1">$AW$10*EXP(-'3.r(t)'!G362*$AW$24)</f>
        <v>0.93421259249929189</v>
      </c>
      <c r="AK364" s="7">
        <f ca="1">$AW$11*EXP(-'3.r(t)'!H362*$AW$25)</f>
        <v>0.96605541333302669</v>
      </c>
      <c r="AL364" s="7">
        <f ca="1">$AW$12*EXP(-'3.r(t)'!I362*$AW$26)</f>
        <v>0.9801771326696509</v>
      </c>
      <c r="AM364" s="7">
        <v>1</v>
      </c>
      <c r="AN364" s="7"/>
    </row>
    <row r="365" spans="2:40">
      <c r="B365" s="7">
        <v>357</v>
      </c>
      <c r="C365" s="7">
        <f>$AR$7*EXP(-'3.r(t)'!D363*$AR$21)</f>
        <v>0.97765346695821032</v>
      </c>
      <c r="D365" s="7">
        <v>1</v>
      </c>
      <c r="E365" s="7"/>
      <c r="F365" s="7">
        <v>357</v>
      </c>
      <c r="G365" s="48">
        <f>$AS$7*EXP(-'3.r(t)'!D363*$AS$21)</f>
        <v>0.9553476245219803</v>
      </c>
      <c r="H365" s="7">
        <f ca="1">$AS$8*EXP(-'3.r(t)'!E363*$AS$22)</f>
        <v>0.98324881649843887</v>
      </c>
      <c r="I365" s="7">
        <v>1</v>
      </c>
      <c r="J365" s="7"/>
      <c r="K365" s="7">
        <v>357</v>
      </c>
      <c r="L365" s="7">
        <f>$AT$7*EXP(-'3.r(t)'!D363*$AT$21)</f>
        <v>0.93311670519824419</v>
      </c>
      <c r="M365" s="7">
        <f ca="1">$AT$8*EXP(-'3.r(t)'!E363*$AT$22)</f>
        <v>0.96632286902515252</v>
      </c>
      <c r="N365" s="7">
        <f ca="1">$AT$9*EXP(-'3.r(t)'!F363*$AT$23)</f>
        <v>0.9843483965390829</v>
      </c>
      <c r="O365" s="7">
        <v>1</v>
      </c>
      <c r="P365" s="7"/>
      <c r="Q365" s="7">
        <v>357</v>
      </c>
      <c r="R365" s="7">
        <f>$AU$7*EXP(-'3.r(t)'!D363*$AU$21)</f>
        <v>0.91099305977534117</v>
      </c>
      <c r="S365" s="7">
        <f ca="1">$AU$8*EXP(-'3.r(t)'!E363*$AU$22)</f>
        <v>0.94925521222137899</v>
      </c>
      <c r="T365" s="7">
        <f ca="1">$AU$9*EXP(-'3.r(t)'!F363*$AU$23)</f>
        <v>0.9684939759412341</v>
      </c>
      <c r="U365" s="7">
        <f ca="1">$AU$10*EXP(-'3.r(t)'!G363*$AU$24)</f>
        <v>0.98614321541679217</v>
      </c>
      <c r="V365" s="7">
        <v>1</v>
      </c>
      <c r="W365" s="7"/>
      <c r="X365" s="7">
        <v>357</v>
      </c>
      <c r="Y365" s="7">
        <f>$AV$7*EXP(-'3.r(t)'!D363*$AV$21)</f>
        <v>0.88900715067201674</v>
      </c>
      <c r="Z365" s="7">
        <f ca="1">$AV$8*EXP(-'3.r(t)'!E363*$AV$22)</f>
        <v>0.93207775903539325</v>
      </c>
      <c r="AA365" s="7">
        <f ca="1">$AV$9*EXP(-'3.r(t)'!F363*$AV$23)</f>
        <v>0.95246882782069242</v>
      </c>
      <c r="AB365" s="7">
        <f ca="1">$AV$10*EXP(-'3.r(t)'!G363*$AV$24)</f>
        <v>0.97203764383006952</v>
      </c>
      <c r="AC365" s="7">
        <f ca="1">$AV$11*EXP(-'3.r(t)'!H363*$AV$25)</f>
        <v>0.98366364991708788</v>
      </c>
      <c r="AD365" s="7">
        <v>1</v>
      </c>
      <c r="AE365" s="7"/>
      <c r="AF365" s="7">
        <v>357</v>
      </c>
      <c r="AG365" s="7">
        <f>$AW$7*EXP(-'3.r(t)'!D363*$AW$21)</f>
        <v>0.86718755429225491</v>
      </c>
      <c r="AH365" s="7">
        <f ca="1">$AW$8*EXP(-'3.r(t)'!E363*$AW$22)</f>
        <v>0.9148212329046409</v>
      </c>
      <c r="AI365" s="7">
        <f ca="1">$AW$9*EXP(-'3.r(t)'!F363*$AW$23)</f>
        <v>0.93630403429284348</v>
      </c>
      <c r="AJ365" s="7">
        <f ca="1">$AW$10*EXP(-'3.r(t)'!G363*$AW$24)</f>
        <v>0.95771390530877332</v>
      </c>
      <c r="AK365" s="7">
        <f ca="1">$AW$11*EXP(-'3.r(t)'!H363*$AW$25)</f>
        <v>0.96716417613148864</v>
      </c>
      <c r="AL365" s="7">
        <f ca="1">$AW$12*EXP(-'3.r(t)'!I363*$AW$26)</f>
        <v>0.9842383900249595</v>
      </c>
      <c r="AM365" s="7">
        <v>1</v>
      </c>
      <c r="AN365" s="7"/>
    </row>
    <row r="366" spans="2:40">
      <c r="B366" s="7">
        <v>358</v>
      </c>
      <c r="C366" s="7">
        <f>$AR$7*EXP(-'3.r(t)'!D364*$AR$21)</f>
        <v>0.97765346695821032</v>
      </c>
      <c r="D366" s="7">
        <v>1</v>
      </c>
      <c r="E366" s="7"/>
      <c r="F366" s="7">
        <v>358</v>
      </c>
      <c r="G366" s="48">
        <f>$AS$7*EXP(-'3.r(t)'!D364*$AS$21)</f>
        <v>0.9553476245219803</v>
      </c>
      <c r="H366" s="7">
        <f ca="1">$AS$8*EXP(-'3.r(t)'!E364*$AS$22)</f>
        <v>0.98258366614415948</v>
      </c>
      <c r="I366" s="7">
        <v>1</v>
      </c>
      <c r="J366" s="7"/>
      <c r="K366" s="7">
        <v>358</v>
      </c>
      <c r="L366" s="7">
        <f>$AT$7*EXP(-'3.r(t)'!D364*$AT$21)</f>
        <v>0.93311670519824419</v>
      </c>
      <c r="M366" s="7">
        <f ca="1">$AT$8*EXP(-'3.r(t)'!E364*$AT$22)</f>
        <v>0.96501591073865967</v>
      </c>
      <c r="N366" s="7">
        <f ca="1">$AT$9*EXP(-'3.r(t)'!F364*$AT$23)</f>
        <v>0.98180585436882162</v>
      </c>
      <c r="O366" s="7">
        <v>1</v>
      </c>
      <c r="P366" s="7"/>
      <c r="Q366" s="7">
        <v>358</v>
      </c>
      <c r="R366" s="7">
        <f>$AU$7*EXP(-'3.r(t)'!D364*$AU$21)</f>
        <v>0.91099305977534117</v>
      </c>
      <c r="S366" s="7">
        <f ca="1">$AU$8*EXP(-'3.r(t)'!E364*$AU$22)</f>
        <v>0.94733005229048006</v>
      </c>
      <c r="T366" s="7">
        <f ca="1">$AU$9*EXP(-'3.r(t)'!F364*$AU$23)</f>
        <v>0.96349725611272252</v>
      </c>
      <c r="U366" s="7">
        <f ca="1">$AU$10*EXP(-'3.r(t)'!G364*$AU$24)</f>
        <v>0.98030041756583364</v>
      </c>
      <c r="V366" s="7">
        <v>1</v>
      </c>
      <c r="W366" s="7"/>
      <c r="X366" s="7">
        <v>358</v>
      </c>
      <c r="Y366" s="7">
        <f>$AV$7*EXP(-'3.r(t)'!D364*$AV$21)</f>
        <v>0.88900715067201674</v>
      </c>
      <c r="Z366" s="7">
        <f ca="1">$AV$8*EXP(-'3.r(t)'!E364*$AV$22)</f>
        <v>0.92955818097945675</v>
      </c>
      <c r="AA366" s="7">
        <f ca="1">$AV$9*EXP(-'3.r(t)'!F364*$AV$23)</f>
        <v>0.94510728063773075</v>
      </c>
      <c r="AB366" s="7">
        <f ca="1">$AV$10*EXP(-'3.r(t)'!G364*$AV$24)</f>
        <v>0.96055331908345298</v>
      </c>
      <c r="AC366" s="7">
        <f ca="1">$AV$11*EXP(-'3.r(t)'!H364*$AV$25)</f>
        <v>0.98208827998863057</v>
      </c>
      <c r="AD366" s="7">
        <v>1</v>
      </c>
      <c r="AE366" s="7"/>
      <c r="AF366" s="7">
        <v>358</v>
      </c>
      <c r="AG366" s="7">
        <f>$AW$7*EXP(-'3.r(t)'!D364*$AW$21)</f>
        <v>0.86718755429225491</v>
      </c>
      <c r="AH366" s="7">
        <f ca="1">$AW$8*EXP(-'3.r(t)'!E364*$AW$22)</f>
        <v>0.91173111500465875</v>
      </c>
      <c r="AI366" s="7">
        <f ca="1">$AW$9*EXP(-'3.r(t)'!F364*$AW$23)</f>
        <v>0.92666767028024033</v>
      </c>
      <c r="AJ366" s="7">
        <f ca="1">$AW$10*EXP(-'3.r(t)'!G364*$AW$24)</f>
        <v>0.94079149479785928</v>
      </c>
      <c r="AK366" s="7">
        <f ca="1">$AW$11*EXP(-'3.r(t)'!H364*$AW$25)</f>
        <v>0.96406876587001078</v>
      </c>
      <c r="AL366" s="7">
        <f ca="1">$AW$12*EXP(-'3.r(t)'!I364*$AW$26)</f>
        <v>0.98500020659340393</v>
      </c>
      <c r="AM366" s="7">
        <v>1</v>
      </c>
      <c r="AN366" s="7"/>
    </row>
    <row r="367" spans="2:40">
      <c r="B367" s="7">
        <v>359</v>
      </c>
      <c r="C367" s="7">
        <f>$AR$7*EXP(-'3.r(t)'!D365*$AR$21)</f>
        <v>0.97765346695821032</v>
      </c>
      <c r="D367" s="7">
        <v>1</v>
      </c>
      <c r="E367" s="7"/>
      <c r="F367" s="7">
        <v>359</v>
      </c>
      <c r="G367" s="48">
        <f>$AS$7*EXP(-'3.r(t)'!D365*$AS$21)</f>
        <v>0.9553476245219803</v>
      </c>
      <c r="H367" s="7">
        <f ca="1">$AS$8*EXP(-'3.r(t)'!E365*$AS$22)</f>
        <v>0.97639005647503763</v>
      </c>
      <c r="I367" s="7">
        <v>1</v>
      </c>
      <c r="J367" s="7"/>
      <c r="K367" s="7">
        <v>359</v>
      </c>
      <c r="L367" s="7">
        <f>$AT$7*EXP(-'3.r(t)'!D365*$AT$21)</f>
        <v>0.93311670519824419</v>
      </c>
      <c r="M367" s="7">
        <f ca="1">$AT$8*EXP(-'3.r(t)'!E365*$AT$22)</f>
        <v>0.95288850701787087</v>
      </c>
      <c r="N367" s="7">
        <f ca="1">$AT$9*EXP(-'3.r(t)'!F365*$AT$23)</f>
        <v>0.97557620486284025</v>
      </c>
      <c r="O367" s="7">
        <v>1</v>
      </c>
      <c r="P367" s="7"/>
      <c r="Q367" s="7">
        <v>359</v>
      </c>
      <c r="R367" s="7">
        <f>$AU$7*EXP(-'3.r(t)'!D365*$AU$21)</f>
        <v>0.91099305977534117</v>
      </c>
      <c r="S367" s="7">
        <f ca="1">$AU$8*EXP(-'3.r(t)'!E365*$AU$22)</f>
        <v>0.92952855810168455</v>
      </c>
      <c r="T367" s="7">
        <f ca="1">$AU$9*EXP(-'3.r(t)'!F365*$AU$23)</f>
        <v>0.95130908721783936</v>
      </c>
      <c r="U367" s="7">
        <f ca="1">$AU$10*EXP(-'3.r(t)'!G365*$AU$24)</f>
        <v>0.97726120881850498</v>
      </c>
      <c r="V367" s="7">
        <v>1</v>
      </c>
      <c r="W367" s="7"/>
      <c r="X367" s="7">
        <v>359</v>
      </c>
      <c r="Y367" s="7">
        <f>$AV$7*EXP(-'3.r(t)'!D365*$AV$21)</f>
        <v>0.88900715067201674</v>
      </c>
      <c r="Z367" s="7">
        <f ca="1">$AV$8*EXP(-'3.r(t)'!E365*$AV$22)</f>
        <v>0.90634137753089283</v>
      </c>
      <c r="AA367" s="7">
        <f ca="1">$AV$9*EXP(-'3.r(t)'!F365*$AV$23)</f>
        <v>0.92723080892436294</v>
      </c>
      <c r="AB367" s="7">
        <f ca="1">$AV$10*EXP(-'3.r(t)'!G365*$AV$24)</f>
        <v>0.95460657738039589</v>
      </c>
      <c r="AC367" s="7">
        <f ca="1">$AV$11*EXP(-'3.r(t)'!H365*$AV$25)</f>
        <v>0.97750824586670393</v>
      </c>
      <c r="AD367" s="7">
        <v>1</v>
      </c>
      <c r="AE367" s="7"/>
      <c r="AF367" s="7">
        <v>359</v>
      </c>
      <c r="AG367" s="7">
        <f>$AW$7*EXP(-'3.r(t)'!D365*$AW$21)</f>
        <v>0.86718755429225491</v>
      </c>
      <c r="AH367" s="7">
        <f ca="1">$AW$8*EXP(-'3.r(t)'!E365*$AW$22)</f>
        <v>0.88335610310984181</v>
      </c>
      <c r="AI367" s="7">
        <f ca="1">$AW$9*EXP(-'3.r(t)'!F365*$AW$23)</f>
        <v>0.90337140149393247</v>
      </c>
      <c r="AJ367" s="7">
        <f ca="1">$AW$10*EXP(-'3.r(t)'!G365*$AW$24)</f>
        <v>0.93206843502091896</v>
      </c>
      <c r="AK367" s="7">
        <f ca="1">$AW$11*EXP(-'3.r(t)'!H365*$AW$25)</f>
        <v>0.95509773542579757</v>
      </c>
      <c r="AL367" s="7">
        <f ca="1">$AW$12*EXP(-'3.r(t)'!I365*$AW$26)</f>
        <v>0.97784544961960551</v>
      </c>
      <c r="AM367" s="7">
        <v>1</v>
      </c>
      <c r="AN367" s="7"/>
    </row>
    <row r="368" spans="2:40">
      <c r="B368" s="7">
        <v>360</v>
      </c>
      <c r="C368" s="7">
        <f>$AR$7*EXP(-'3.r(t)'!D366*$AR$21)</f>
        <v>0.97765346695821032</v>
      </c>
      <c r="D368" s="7">
        <v>1</v>
      </c>
      <c r="E368" s="7"/>
      <c r="F368" s="7">
        <v>360</v>
      </c>
      <c r="G368" s="48">
        <f>$AS$7*EXP(-'3.r(t)'!D366*$AS$21)</f>
        <v>0.9553476245219803</v>
      </c>
      <c r="H368" s="7">
        <f ca="1">$AS$8*EXP(-'3.r(t)'!E366*$AS$22)</f>
        <v>0.97557671166431792</v>
      </c>
      <c r="I368" s="7">
        <v>1</v>
      </c>
      <c r="J368" s="7"/>
      <c r="K368" s="7">
        <v>360</v>
      </c>
      <c r="L368" s="7">
        <f>$AT$7*EXP(-'3.r(t)'!D366*$AT$21)</f>
        <v>0.93311670519824419</v>
      </c>
      <c r="M368" s="7">
        <f ca="1">$AT$8*EXP(-'3.r(t)'!E366*$AT$22)</f>
        <v>0.95130163276857616</v>
      </c>
      <c r="N368" s="7">
        <f ca="1">$AT$9*EXP(-'3.r(t)'!F366*$AT$23)</f>
        <v>0.97799156751646521</v>
      </c>
      <c r="O368" s="7">
        <v>1</v>
      </c>
      <c r="P368" s="7"/>
      <c r="Q368" s="7">
        <v>360</v>
      </c>
      <c r="R368" s="7">
        <f>$AU$7*EXP(-'3.r(t)'!D366*$AU$21)</f>
        <v>0.91099305977534117</v>
      </c>
      <c r="S368" s="7">
        <f ca="1">$AU$8*EXP(-'3.r(t)'!E366*$AU$22)</f>
        <v>0.92720756675467597</v>
      </c>
      <c r="T368" s="7">
        <f ca="1">$AU$9*EXP(-'3.r(t)'!F366*$AU$23)</f>
        <v>0.95602548119948616</v>
      </c>
      <c r="U368" s="7">
        <f ca="1">$AU$10*EXP(-'3.r(t)'!G366*$AU$24)</f>
        <v>0.97929267653933938</v>
      </c>
      <c r="V368" s="7">
        <v>1</v>
      </c>
      <c r="W368" s="7"/>
      <c r="X368" s="7">
        <v>360</v>
      </c>
      <c r="Y368" s="7">
        <f>$AV$7*EXP(-'3.r(t)'!D366*$AV$21)</f>
        <v>0.88900715067201674</v>
      </c>
      <c r="Z368" s="7">
        <f ca="1">$AV$8*EXP(-'3.r(t)'!E366*$AV$22)</f>
        <v>0.90332517531646694</v>
      </c>
      <c r="AA368" s="7">
        <f ca="1">$AV$9*EXP(-'3.r(t)'!F366*$AV$23)</f>
        <v>0.93413487680272889</v>
      </c>
      <c r="AB368" s="7">
        <f ca="1">$AV$10*EXP(-'3.r(t)'!G366*$AV$24)</f>
        <v>0.95857945183224735</v>
      </c>
      <c r="AC368" s="7">
        <f ca="1">$AV$11*EXP(-'3.r(t)'!H366*$AV$25)</f>
        <v>0.98053779246745509</v>
      </c>
      <c r="AD368" s="7">
        <v>1</v>
      </c>
      <c r="AE368" s="7"/>
      <c r="AF368" s="7">
        <v>360</v>
      </c>
      <c r="AG368" s="7">
        <f>$AW$7*EXP(-'3.r(t)'!D366*$AW$21)</f>
        <v>0.86718755429225491</v>
      </c>
      <c r="AH368" s="7">
        <f ca="1">$AW$8*EXP(-'3.r(t)'!E366*$AW$22)</f>
        <v>0.87968299572449005</v>
      </c>
      <c r="AI368" s="7">
        <f ca="1">$AW$9*EXP(-'3.r(t)'!F366*$AW$23)</f>
        <v>0.9123510637792025</v>
      </c>
      <c r="AJ368" s="7">
        <f ca="1">$AW$10*EXP(-'3.r(t)'!G366*$AW$24)</f>
        <v>0.93789309786475372</v>
      </c>
      <c r="AK368" s="7">
        <f ca="1">$AW$11*EXP(-'3.r(t)'!H366*$AW$25)</f>
        <v>0.96102709096096317</v>
      </c>
      <c r="AL368" s="7">
        <f ca="1">$AW$12*EXP(-'3.r(t)'!I366*$AW$26)</f>
        <v>0.98256495462020177</v>
      </c>
      <c r="AM368" s="7">
        <v>1</v>
      </c>
      <c r="AN368" s="7"/>
    </row>
    <row r="369" spans="2:40">
      <c r="B369" s="7">
        <v>361</v>
      </c>
      <c r="C369" s="7">
        <f>$AR$7*EXP(-'3.r(t)'!D367*$AR$21)</f>
        <v>0.97765346695821032</v>
      </c>
      <c r="D369" s="7">
        <v>1</v>
      </c>
      <c r="E369" s="7"/>
      <c r="F369" s="7">
        <v>361</v>
      </c>
      <c r="G369" s="48">
        <f>$AS$7*EXP(-'3.r(t)'!D367*$AS$21)</f>
        <v>0.9553476245219803</v>
      </c>
      <c r="H369" s="7">
        <f ca="1">$AS$8*EXP(-'3.r(t)'!E367*$AS$22)</f>
        <v>0.97880344971389177</v>
      </c>
      <c r="I369" s="7">
        <v>1</v>
      </c>
      <c r="J369" s="7"/>
      <c r="K369" s="7">
        <v>361</v>
      </c>
      <c r="L369" s="7">
        <f>$AT$7*EXP(-'3.r(t)'!D367*$AT$21)</f>
        <v>0.93311670519824419</v>
      </c>
      <c r="M369" s="7">
        <f ca="1">$AT$8*EXP(-'3.r(t)'!E367*$AT$22)</f>
        <v>0.95760493525559676</v>
      </c>
      <c r="N369" s="7">
        <f ca="1">$AT$9*EXP(-'3.r(t)'!F367*$AT$23)</f>
        <v>0.97644658689119901</v>
      </c>
      <c r="O369" s="7">
        <v>1</v>
      </c>
      <c r="P369" s="7"/>
      <c r="Q369" s="7">
        <v>361</v>
      </c>
      <c r="R369" s="7">
        <f>$AU$7*EXP(-'3.r(t)'!D367*$AU$21)</f>
        <v>0.91099305977534117</v>
      </c>
      <c r="S369" s="7">
        <f ca="1">$AU$8*EXP(-'3.r(t)'!E367*$AU$22)</f>
        <v>0.93643829898269526</v>
      </c>
      <c r="T369" s="7">
        <f ca="1">$AU$9*EXP(-'3.r(t)'!F367*$AU$23)</f>
        <v>0.95300730759089969</v>
      </c>
      <c r="U369" s="7">
        <f ca="1">$AU$10*EXP(-'3.r(t)'!G367*$AU$24)</f>
        <v>0.97589074569907897</v>
      </c>
      <c r="V369" s="7">
        <v>1</v>
      </c>
      <c r="W369" s="7"/>
      <c r="X369" s="7">
        <v>361</v>
      </c>
      <c r="Y369" s="7">
        <f>$AV$7*EXP(-'3.r(t)'!D367*$AV$21)</f>
        <v>0.88900715067201674</v>
      </c>
      <c r="Z369" s="7">
        <f ca="1">$AV$8*EXP(-'3.r(t)'!E367*$AV$22)</f>
        <v>0.91533565770665137</v>
      </c>
      <c r="AA369" s="7">
        <f ca="1">$AV$9*EXP(-'3.r(t)'!F367*$AV$23)</f>
        <v>0.92971477255176971</v>
      </c>
      <c r="AB369" s="7">
        <f ca="1">$AV$10*EXP(-'3.r(t)'!G367*$AV$24)</f>
        <v>0.9519310679442009</v>
      </c>
      <c r="AC369" s="7">
        <f ca="1">$AV$11*EXP(-'3.r(t)'!H367*$AV$25)</f>
        <v>0.97733278122807443</v>
      </c>
      <c r="AD369" s="7">
        <v>1</v>
      </c>
      <c r="AE369" s="7"/>
      <c r="AF369" s="7">
        <v>361</v>
      </c>
      <c r="AG369" s="7">
        <f>$AW$7*EXP(-'3.r(t)'!D367*$AW$21)</f>
        <v>0.86718755429225491</v>
      </c>
      <c r="AH369" s="7">
        <f ca="1">$AW$8*EXP(-'3.r(t)'!E367*$AW$22)</f>
        <v>0.89432738807971257</v>
      </c>
      <c r="AI369" s="7">
        <f ca="1">$AW$9*EXP(-'3.r(t)'!F367*$AW$23)</f>
        <v>0.90659957002984615</v>
      </c>
      <c r="AJ369" s="7">
        <f ca="1">$AW$10*EXP(-'3.r(t)'!G367*$AW$24)</f>
        <v>0.92815267045470251</v>
      </c>
      <c r="AK369" s="7">
        <f ca="1">$AW$11*EXP(-'3.r(t)'!H367*$AW$25)</f>
        <v>0.95475488238345307</v>
      </c>
      <c r="AL369" s="7">
        <f ca="1">$AW$12*EXP(-'3.r(t)'!I367*$AW$26)</f>
        <v>0.97761799065131127</v>
      </c>
      <c r="AM369" s="7">
        <v>1</v>
      </c>
      <c r="AN369" s="7"/>
    </row>
    <row r="370" spans="2:40">
      <c r="B370" s="7">
        <v>362</v>
      </c>
      <c r="C370" s="7">
        <f>$AR$7*EXP(-'3.r(t)'!D368*$AR$21)</f>
        <v>0.97765346695821032</v>
      </c>
      <c r="D370" s="7">
        <v>1</v>
      </c>
      <c r="E370" s="7"/>
      <c r="F370" s="7">
        <v>362</v>
      </c>
      <c r="G370" s="48">
        <f>$AS$7*EXP(-'3.r(t)'!D368*$AS$21)</f>
        <v>0.9553476245219803</v>
      </c>
      <c r="H370" s="7">
        <f ca="1">$AS$8*EXP(-'3.r(t)'!E368*$AS$22)</f>
        <v>0.9757553355509081</v>
      </c>
      <c r="I370" s="7">
        <v>1</v>
      </c>
      <c r="J370" s="7"/>
      <c r="K370" s="7">
        <v>362</v>
      </c>
      <c r="L370" s="7">
        <f>$AT$7*EXP(-'3.r(t)'!D368*$AT$21)</f>
        <v>0.93311670519824419</v>
      </c>
      <c r="M370" s="7">
        <f ca="1">$AT$8*EXP(-'3.r(t)'!E368*$AT$22)</f>
        <v>0.95165002310880842</v>
      </c>
      <c r="N370" s="7">
        <f ca="1">$AT$9*EXP(-'3.r(t)'!F368*$AT$23)</f>
        <v>0.97785076766540158</v>
      </c>
      <c r="O370" s="7">
        <v>1</v>
      </c>
      <c r="P370" s="7"/>
      <c r="Q370" s="7">
        <v>362</v>
      </c>
      <c r="R370" s="7">
        <f>$AU$7*EXP(-'3.r(t)'!D368*$AU$21)</f>
        <v>0.91099305977534117</v>
      </c>
      <c r="S370" s="7">
        <f ca="1">$AU$8*EXP(-'3.r(t)'!E368*$AU$22)</f>
        <v>0.92771696312613583</v>
      </c>
      <c r="T370" s="7">
        <f ca="1">$AU$9*EXP(-'3.r(t)'!F368*$AU$23)</f>
        <v>0.95575022615604444</v>
      </c>
      <c r="U370" s="7">
        <f ca="1">$AU$10*EXP(-'3.r(t)'!G368*$AU$24)</f>
        <v>0.9762270199234212</v>
      </c>
      <c r="V370" s="7">
        <v>1</v>
      </c>
      <c r="W370" s="7"/>
      <c r="X370" s="7">
        <v>362</v>
      </c>
      <c r="Y370" s="7">
        <f>$AV$7*EXP(-'3.r(t)'!D368*$AV$21)</f>
        <v>0.88900715067201674</v>
      </c>
      <c r="Z370" s="7">
        <f ca="1">$AV$8*EXP(-'3.r(t)'!E368*$AV$22)</f>
        <v>0.90398693680536091</v>
      </c>
      <c r="AA370" s="7">
        <f ca="1">$AV$9*EXP(-'3.r(t)'!F368*$AV$23)</f>
        <v>0.93373147726060801</v>
      </c>
      <c r="AB370" s="7">
        <f ca="1">$AV$10*EXP(-'3.r(t)'!G368*$AV$24)</f>
        <v>0.95258721728250861</v>
      </c>
      <c r="AC370" s="7">
        <f ca="1">$AV$11*EXP(-'3.r(t)'!H368*$AV$25)</f>
        <v>0.9759136231988359</v>
      </c>
      <c r="AD370" s="7">
        <v>1</v>
      </c>
      <c r="AE370" s="7"/>
      <c r="AF370" s="7">
        <v>362</v>
      </c>
      <c r="AG370" s="7">
        <f>$AW$7*EXP(-'3.r(t)'!D368*$AW$21)</f>
        <v>0.86718755429225491</v>
      </c>
      <c r="AH370" s="7">
        <f ca="1">$AW$8*EXP(-'3.r(t)'!E368*$AW$22)</f>
        <v>0.88048862148845031</v>
      </c>
      <c r="AI370" s="7">
        <f ca="1">$AW$9*EXP(-'3.r(t)'!F368*$AW$23)</f>
        <v>0.91182577845037183</v>
      </c>
      <c r="AJ370" s="7">
        <f ca="1">$AW$10*EXP(-'3.r(t)'!G368*$AW$24)</f>
        <v>0.9291124747621321</v>
      </c>
      <c r="AK370" s="7">
        <f ca="1">$AW$11*EXP(-'3.r(t)'!H368*$AW$25)</f>
        <v>0.95198414893031091</v>
      </c>
      <c r="AL370" s="7">
        <f ca="1">$AW$12*EXP(-'3.r(t)'!I368*$AW$26)</f>
        <v>0.97547633091033614</v>
      </c>
      <c r="AM370" s="7">
        <v>1</v>
      </c>
      <c r="AN370" s="7"/>
    </row>
    <row r="371" spans="2:40">
      <c r="B371" s="7">
        <v>363</v>
      </c>
      <c r="C371" s="7">
        <f>$AR$7*EXP(-'3.r(t)'!D369*$AR$21)</f>
        <v>0.97765346695821032</v>
      </c>
      <c r="D371" s="7">
        <v>1</v>
      </c>
      <c r="E371" s="7"/>
      <c r="F371" s="7">
        <v>363</v>
      </c>
      <c r="G371" s="48">
        <f>$AS$7*EXP(-'3.r(t)'!D369*$AS$21)</f>
        <v>0.9553476245219803</v>
      </c>
      <c r="H371" s="7">
        <f ca="1">$AS$8*EXP(-'3.r(t)'!E369*$AS$22)</f>
        <v>0.97996517383476889</v>
      </c>
      <c r="I371" s="7">
        <v>1</v>
      </c>
      <c r="J371" s="7"/>
      <c r="K371" s="7">
        <v>363</v>
      </c>
      <c r="L371" s="7">
        <f>$AT$7*EXP(-'3.r(t)'!D369*$AT$21)</f>
        <v>0.93311670519824419</v>
      </c>
      <c r="M371" s="7">
        <f ca="1">$AT$8*EXP(-'3.r(t)'!E369*$AT$22)</f>
        <v>0.95987941219738171</v>
      </c>
      <c r="N371" s="7">
        <f ca="1">$AT$9*EXP(-'3.r(t)'!F369*$AT$23)</f>
        <v>0.97953680492501383</v>
      </c>
      <c r="O371" s="7">
        <v>1</v>
      </c>
      <c r="P371" s="7"/>
      <c r="Q371" s="7">
        <v>363</v>
      </c>
      <c r="R371" s="7">
        <f>$AU$7*EXP(-'3.r(t)'!D369*$AU$21)</f>
        <v>0.91099305977534117</v>
      </c>
      <c r="S371" s="7">
        <f ca="1">$AU$8*EXP(-'3.r(t)'!E369*$AU$22)</f>
        <v>0.93977658306641598</v>
      </c>
      <c r="T371" s="7">
        <f ca="1">$AU$9*EXP(-'3.r(t)'!F369*$AU$23)</f>
        <v>0.95904892935689945</v>
      </c>
      <c r="U371" s="7">
        <f ca="1">$AU$10*EXP(-'3.r(t)'!G369*$AU$24)</f>
        <v>0.97879375440123473</v>
      </c>
      <c r="V371" s="7">
        <v>1</v>
      </c>
      <c r="W371" s="7"/>
      <c r="X371" s="7">
        <v>363</v>
      </c>
      <c r="Y371" s="7">
        <f>$AV$7*EXP(-'3.r(t)'!D369*$AV$21)</f>
        <v>0.88900715067201674</v>
      </c>
      <c r="Z371" s="7">
        <f ca="1">$AV$8*EXP(-'3.r(t)'!E369*$AV$22)</f>
        <v>0.9196889817513656</v>
      </c>
      <c r="AA371" s="7">
        <f ca="1">$AV$9*EXP(-'3.r(t)'!F369*$AV$23)</f>
        <v>0.93856970657531458</v>
      </c>
      <c r="AB371" s="7">
        <f ca="1">$AV$10*EXP(-'3.r(t)'!G369*$AV$24)</f>
        <v>0.95760296197998884</v>
      </c>
      <c r="AC371" s="7">
        <f ca="1">$AV$11*EXP(-'3.r(t)'!H369*$AV$25)</f>
        <v>0.97707313787104411</v>
      </c>
      <c r="AD371" s="7">
        <v>1</v>
      </c>
      <c r="AE371" s="7"/>
      <c r="AF371" s="7">
        <v>363</v>
      </c>
      <c r="AG371" s="7">
        <f>$AW$7*EXP(-'3.r(t)'!D369*$AW$21)</f>
        <v>0.86718755429225491</v>
      </c>
      <c r="AH371" s="7">
        <f ca="1">$AW$8*EXP(-'3.r(t)'!E369*$AW$22)</f>
        <v>0.89964730638200641</v>
      </c>
      <c r="AI371" s="7">
        <f ca="1">$AW$9*EXP(-'3.r(t)'!F369*$AW$23)</f>
        <v>0.91813084269795309</v>
      </c>
      <c r="AJ371" s="7">
        <f ca="1">$AW$10*EXP(-'3.r(t)'!G369*$AW$24)</f>
        <v>0.93646033742044954</v>
      </c>
      <c r="AK371" s="7">
        <f ca="1">$AW$11*EXP(-'3.r(t)'!H369*$AW$25)</f>
        <v>0.95424765938035894</v>
      </c>
      <c r="AL371" s="7">
        <f ca="1">$AW$12*EXP(-'3.r(t)'!I369*$AW$26)</f>
        <v>0.97512329832024869</v>
      </c>
      <c r="AM371" s="7">
        <v>1</v>
      </c>
      <c r="AN371" s="7"/>
    </row>
    <row r="372" spans="2:40">
      <c r="B372" s="7">
        <v>364</v>
      </c>
      <c r="C372" s="7">
        <f>$AR$7*EXP(-'3.r(t)'!D370*$AR$21)</f>
        <v>0.97765346695821032</v>
      </c>
      <c r="D372" s="7">
        <v>1</v>
      </c>
      <c r="E372" s="7"/>
      <c r="F372" s="7">
        <v>364</v>
      </c>
      <c r="G372" s="48">
        <f>$AS$7*EXP(-'3.r(t)'!D370*$AS$21)</f>
        <v>0.9553476245219803</v>
      </c>
      <c r="H372" s="7">
        <f ca="1">$AS$8*EXP(-'3.r(t)'!E370*$AS$22)</f>
        <v>0.97891682328189134</v>
      </c>
      <c r="I372" s="7">
        <v>1</v>
      </c>
      <c r="J372" s="7"/>
      <c r="K372" s="7">
        <v>364</v>
      </c>
      <c r="L372" s="7">
        <f>$AT$7*EXP(-'3.r(t)'!D370*$AT$21)</f>
        <v>0.93311670519824419</v>
      </c>
      <c r="M372" s="7">
        <f ca="1">$AT$8*EXP(-'3.r(t)'!E370*$AT$22)</f>
        <v>0.95782678444476754</v>
      </c>
      <c r="N372" s="7">
        <f ca="1">$AT$9*EXP(-'3.r(t)'!F370*$AT$23)</f>
        <v>0.97753376665460134</v>
      </c>
      <c r="O372" s="7">
        <v>1</v>
      </c>
      <c r="P372" s="7"/>
      <c r="Q372" s="7">
        <v>364</v>
      </c>
      <c r="R372" s="7">
        <f>$AU$7*EXP(-'3.r(t)'!D370*$AU$21)</f>
        <v>0.91099305977534117</v>
      </c>
      <c r="S372" s="7">
        <f ca="1">$AU$8*EXP(-'3.r(t)'!E370*$AU$22)</f>
        <v>0.93676373607296048</v>
      </c>
      <c r="T372" s="7">
        <f ca="1">$AU$9*EXP(-'3.r(t)'!F370*$AU$23)</f>
        <v>0.95513065374571238</v>
      </c>
      <c r="U372" s="7">
        <f ca="1">$AU$10*EXP(-'3.r(t)'!G370*$AU$24)</f>
        <v>0.97803564398846032</v>
      </c>
      <c r="V372" s="7">
        <v>1</v>
      </c>
      <c r="W372" s="7"/>
      <c r="X372" s="7">
        <v>364</v>
      </c>
      <c r="Y372" s="7">
        <f>$AV$7*EXP(-'3.r(t)'!D370*$AV$21)</f>
        <v>0.88900715067201674</v>
      </c>
      <c r="Z372" s="7">
        <f ca="1">$AV$8*EXP(-'3.r(t)'!E370*$AV$22)</f>
        <v>0.91575982008990531</v>
      </c>
      <c r="AA372" s="7">
        <f ca="1">$AV$9*EXP(-'3.r(t)'!F370*$AV$23)</f>
        <v>0.93282367654118681</v>
      </c>
      <c r="AB372" s="7">
        <f ca="1">$AV$10*EXP(-'3.r(t)'!G370*$AV$24)</f>
        <v>0.95612014166312653</v>
      </c>
      <c r="AC372" s="7">
        <f ca="1">$AV$11*EXP(-'3.r(t)'!H370*$AV$25)</f>
        <v>0.9790410290063235</v>
      </c>
      <c r="AD372" s="7">
        <v>1</v>
      </c>
      <c r="AE372" s="7"/>
      <c r="AF372" s="7">
        <v>364</v>
      </c>
      <c r="AG372" s="7">
        <f>$AW$7*EXP(-'3.r(t)'!D370*$AW$21)</f>
        <v>0.86718755429225491</v>
      </c>
      <c r="AH372" s="7">
        <f ca="1">$AW$8*EXP(-'3.r(t)'!E370*$AW$22)</f>
        <v>0.89484545214131395</v>
      </c>
      <c r="AI372" s="7">
        <f ca="1">$AW$9*EXP(-'3.r(t)'!F370*$AW$23)</f>
        <v>0.91064396553339888</v>
      </c>
      <c r="AJ372" s="7">
        <f ca="1">$AW$10*EXP(-'3.r(t)'!G370*$AW$24)</f>
        <v>0.93428605729921588</v>
      </c>
      <c r="AK372" s="7">
        <f ca="1">$AW$11*EXP(-'3.r(t)'!H370*$AW$25)</f>
        <v>0.9580953684221104</v>
      </c>
      <c r="AL372" s="7">
        <f ca="1">$AW$12*EXP(-'3.r(t)'!I370*$AW$26)</f>
        <v>0.97878923011741403</v>
      </c>
      <c r="AM372" s="7">
        <v>1</v>
      </c>
      <c r="AN372" s="7"/>
    </row>
    <row r="373" spans="2:40">
      <c r="B373" s="7">
        <v>365</v>
      </c>
      <c r="C373" s="7">
        <f>$AR$7*EXP(-'3.r(t)'!D371*$AR$21)</f>
        <v>0.97765346695821032</v>
      </c>
      <c r="D373" s="7">
        <v>1</v>
      </c>
      <c r="E373" s="7"/>
      <c r="F373" s="7">
        <v>365</v>
      </c>
      <c r="G373" s="48">
        <f>$AS$7*EXP(-'3.r(t)'!D371*$AS$21)</f>
        <v>0.9553476245219803</v>
      </c>
      <c r="H373" s="7">
        <f ca="1">$AS$8*EXP(-'3.r(t)'!E371*$AS$22)</f>
        <v>0.9773251021953091</v>
      </c>
      <c r="I373" s="7">
        <v>1</v>
      </c>
      <c r="J373" s="7"/>
      <c r="K373" s="7">
        <v>365</v>
      </c>
      <c r="L373" s="7">
        <f>$AT$7*EXP(-'3.r(t)'!D371*$AT$21)</f>
        <v>0.93311670519824419</v>
      </c>
      <c r="M373" s="7">
        <f ca="1">$AT$8*EXP(-'3.r(t)'!E371*$AT$22)</f>
        <v>0.95471445956104839</v>
      </c>
      <c r="N373" s="7">
        <f ca="1">$AT$9*EXP(-'3.r(t)'!F371*$AT$23)</f>
        <v>0.97641601966743763</v>
      </c>
      <c r="O373" s="7">
        <v>1</v>
      </c>
      <c r="P373" s="7"/>
      <c r="Q373" s="7">
        <v>365</v>
      </c>
      <c r="R373" s="7">
        <f>$AU$7*EXP(-'3.r(t)'!D371*$AU$21)</f>
        <v>0.91099305977534117</v>
      </c>
      <c r="S373" s="7">
        <f ca="1">$AU$8*EXP(-'3.r(t)'!E371*$AU$22)</f>
        <v>0.932201621930002</v>
      </c>
      <c r="T373" s="7">
        <f ca="1">$AU$9*EXP(-'3.r(t)'!F371*$AU$23)</f>
        <v>0.95294764158961431</v>
      </c>
      <c r="U373" s="7">
        <f ca="1">$AU$10*EXP(-'3.r(t)'!G371*$AU$24)</f>
        <v>0.97386666437042158</v>
      </c>
      <c r="V373" s="7">
        <v>1</v>
      </c>
      <c r="W373" s="7"/>
      <c r="X373" s="7">
        <v>365</v>
      </c>
      <c r="Y373" s="7">
        <f>$AV$7*EXP(-'3.r(t)'!D371*$AV$21)</f>
        <v>0.88900715067201674</v>
      </c>
      <c r="Z373" s="7">
        <f ca="1">$AV$8*EXP(-'3.r(t)'!E371*$AV$22)</f>
        <v>0.90981822072829766</v>
      </c>
      <c r="AA373" s="7">
        <f ca="1">$AV$9*EXP(-'3.r(t)'!F371*$AV$23)</f>
        <v>0.92962746236940064</v>
      </c>
      <c r="AB373" s="7">
        <f ca="1">$AV$10*EXP(-'3.r(t)'!G371*$AV$24)</f>
        <v>0.94798638919926737</v>
      </c>
      <c r="AC373" s="7">
        <f ca="1">$AV$11*EXP(-'3.r(t)'!H371*$AV$25)</f>
        <v>0.97512342278274944</v>
      </c>
      <c r="AD373" s="7">
        <v>1</v>
      </c>
      <c r="AE373" s="7"/>
      <c r="AF373" s="7">
        <v>365</v>
      </c>
      <c r="AG373" s="7">
        <f>$AW$7*EXP(-'3.r(t)'!D371*$AW$21)</f>
        <v>0.86718755429225491</v>
      </c>
      <c r="AH373" s="7">
        <f ca="1">$AW$8*EXP(-'3.r(t)'!E371*$AW$22)</f>
        <v>0.88759396819280223</v>
      </c>
      <c r="AI373" s="7">
        <f ca="1">$AW$9*EXP(-'3.r(t)'!F371*$AW$23)</f>
        <v>0.90648605258387527</v>
      </c>
      <c r="AJ373" s="7">
        <f ca="1">$AW$10*EXP(-'3.r(t)'!G371*$AW$24)</f>
        <v>0.92238943507990756</v>
      </c>
      <c r="AK373" s="7">
        <f ca="1">$AW$11*EXP(-'3.r(t)'!H371*$AW$25)</f>
        <v>0.95044312378271478</v>
      </c>
      <c r="AL373" s="7">
        <f ca="1">$AW$12*EXP(-'3.r(t)'!I371*$AW$26)</f>
        <v>0.97489950037746598</v>
      </c>
      <c r="AM373" s="7">
        <v>1</v>
      </c>
      <c r="AN373" s="7"/>
    </row>
    <row r="374" spans="2:40">
      <c r="B374" s="7">
        <v>366</v>
      </c>
      <c r="C374" s="7">
        <f>$AR$7*EXP(-'3.r(t)'!D372*$AR$21)</f>
        <v>0.97765346695821032</v>
      </c>
      <c r="D374" s="7">
        <v>1</v>
      </c>
      <c r="E374" s="7"/>
      <c r="F374" s="7">
        <v>366</v>
      </c>
      <c r="G374" s="48">
        <f>$AS$7*EXP(-'3.r(t)'!D372*$AS$21)</f>
        <v>0.9553476245219803</v>
      </c>
      <c r="H374" s="7">
        <f ca="1">$AS$8*EXP(-'3.r(t)'!E372*$AS$22)</f>
        <v>0.97845821738612926</v>
      </c>
      <c r="I374" s="7">
        <v>1</v>
      </c>
      <c r="J374" s="7"/>
      <c r="K374" s="7">
        <v>366</v>
      </c>
      <c r="L374" s="7">
        <f>$AT$7*EXP(-'3.r(t)'!D372*$AT$21)</f>
        <v>0.93311670519824419</v>
      </c>
      <c r="M374" s="7">
        <f ca="1">$AT$8*EXP(-'3.r(t)'!E372*$AT$22)</f>
        <v>0.95692954352311965</v>
      </c>
      <c r="N374" s="7">
        <f ca="1">$AT$9*EXP(-'3.r(t)'!F372*$AT$23)</f>
        <v>0.98089973292774491</v>
      </c>
      <c r="O374" s="7">
        <v>1</v>
      </c>
      <c r="P374" s="7"/>
      <c r="Q374" s="7">
        <v>366</v>
      </c>
      <c r="R374" s="7">
        <f>$AU$7*EXP(-'3.r(t)'!D372*$AU$21)</f>
        <v>0.91099305977534117</v>
      </c>
      <c r="S374" s="7">
        <f ca="1">$AU$8*EXP(-'3.r(t)'!E372*$AU$22)</f>
        <v>0.93544777909673993</v>
      </c>
      <c r="T374" s="7">
        <f ca="1">$AU$9*EXP(-'3.r(t)'!F372*$AU$23)</f>
        <v>0.96171962839591052</v>
      </c>
      <c r="U374" s="7">
        <f ca="1">$AU$10*EXP(-'3.r(t)'!G372*$AU$24)</f>
        <v>0.98070381503113258</v>
      </c>
      <c r="V374" s="7">
        <v>1</v>
      </c>
      <c r="W374" s="7"/>
      <c r="X374" s="7">
        <v>366</v>
      </c>
      <c r="Y374" s="7">
        <f>$AV$7*EXP(-'3.r(t)'!D372*$AV$21)</f>
        <v>0.88900715067201674</v>
      </c>
      <c r="Z374" s="7">
        <f ca="1">$AV$8*EXP(-'3.r(t)'!E372*$AV$22)</f>
        <v>0.91404495398663366</v>
      </c>
      <c r="AA374" s="7">
        <f ca="1">$AV$9*EXP(-'3.r(t)'!F372*$AV$23)</f>
        <v>0.94249293938785561</v>
      </c>
      <c r="AB374" s="7">
        <f ca="1">$AV$10*EXP(-'3.r(t)'!G372*$AV$24)</f>
        <v>0.96134402465290891</v>
      </c>
      <c r="AC374" s="7">
        <f ca="1">$AV$11*EXP(-'3.r(t)'!H372*$AV$25)</f>
        <v>0.98083756511293707</v>
      </c>
      <c r="AD374" s="7">
        <v>1</v>
      </c>
      <c r="AE374" s="7"/>
      <c r="AF374" s="7">
        <v>366</v>
      </c>
      <c r="AG374" s="7">
        <f>$AW$7*EXP(-'3.r(t)'!D372*$AW$21)</f>
        <v>0.86718755429225491</v>
      </c>
      <c r="AH374" s="7">
        <f ca="1">$AW$8*EXP(-'3.r(t)'!E372*$AW$22)</f>
        <v>0.8927513157598107</v>
      </c>
      <c r="AI374" s="7">
        <f ca="1">$AW$9*EXP(-'3.r(t)'!F372*$AW$23)</f>
        <v>0.92325146844062866</v>
      </c>
      <c r="AJ374" s="7">
        <f ca="1">$AW$10*EXP(-'3.r(t)'!G372*$AW$24)</f>
        <v>0.94195339095757558</v>
      </c>
      <c r="AK374" s="7">
        <f ca="1">$AW$11*EXP(-'3.r(t)'!H372*$AW$25)</f>
        <v>0.96161479634757563</v>
      </c>
      <c r="AL374" s="7">
        <f ca="1">$AW$12*EXP(-'3.r(t)'!I372*$AW$26)</f>
        <v>0.9794837492101407</v>
      </c>
      <c r="AM374" s="7">
        <v>1</v>
      </c>
      <c r="AN374" s="7"/>
    </row>
    <row r="375" spans="2:40">
      <c r="B375" s="7">
        <v>367</v>
      </c>
      <c r="C375" s="7">
        <f>$AR$7*EXP(-'3.r(t)'!D373*$AR$21)</f>
        <v>0.97765346695821032</v>
      </c>
      <c r="D375" s="7">
        <v>1</v>
      </c>
      <c r="E375" s="7"/>
      <c r="F375" s="7">
        <v>367</v>
      </c>
      <c r="G375" s="48">
        <f>$AS$7*EXP(-'3.r(t)'!D373*$AS$21)</f>
        <v>0.9553476245219803</v>
      </c>
      <c r="H375" s="7">
        <f ca="1">$AS$8*EXP(-'3.r(t)'!E373*$AS$22)</f>
        <v>0.97792058092124523</v>
      </c>
      <c r="I375" s="7">
        <v>1</v>
      </c>
      <c r="J375" s="7"/>
      <c r="K375" s="7">
        <v>367</v>
      </c>
      <c r="L375" s="7">
        <f>$AT$7*EXP(-'3.r(t)'!D373*$AT$21)</f>
        <v>0.93311670519824419</v>
      </c>
      <c r="M375" s="7">
        <f ca="1">$AT$8*EXP(-'3.r(t)'!E373*$AT$22)</f>
        <v>0.95587821836428288</v>
      </c>
      <c r="N375" s="7">
        <f ca="1">$AT$9*EXP(-'3.r(t)'!F373*$AT$23)</f>
        <v>0.97805775989510113</v>
      </c>
      <c r="O375" s="7">
        <v>1</v>
      </c>
      <c r="P375" s="7"/>
      <c r="Q375" s="7">
        <v>367</v>
      </c>
      <c r="R375" s="7">
        <f>$AU$7*EXP(-'3.r(t)'!D373*$AU$21)</f>
        <v>0.91099305977534117</v>
      </c>
      <c r="S375" s="7">
        <f ca="1">$AU$8*EXP(-'3.r(t)'!E373*$AU$22)</f>
        <v>0.93390661607590653</v>
      </c>
      <c r="T375" s="7">
        <f ca="1">$AU$9*EXP(-'3.r(t)'!F373*$AU$23)</f>
        <v>0.9561548969209509</v>
      </c>
      <c r="U375" s="7">
        <f ca="1">$AU$10*EXP(-'3.r(t)'!G373*$AU$24)</f>
        <v>0.97770720016495627</v>
      </c>
      <c r="V375" s="7">
        <v>1</v>
      </c>
      <c r="W375" s="7"/>
      <c r="X375" s="7">
        <v>367</v>
      </c>
      <c r="Y375" s="7">
        <f>$AV$7*EXP(-'3.r(t)'!D373*$AV$21)</f>
        <v>0.88900715067201674</v>
      </c>
      <c r="Z375" s="7">
        <f ca="1">$AV$8*EXP(-'3.r(t)'!E373*$AV$22)</f>
        <v>0.91203763675584271</v>
      </c>
      <c r="AA375" s="7">
        <f ca="1">$AV$9*EXP(-'3.r(t)'!F373*$AV$23)</f>
        <v>0.93432456185696344</v>
      </c>
      <c r="AB375" s="7">
        <f ca="1">$AV$10*EXP(-'3.r(t)'!G373*$AV$24)</f>
        <v>0.95547808116577748</v>
      </c>
      <c r="AC375" s="7">
        <f ca="1">$AV$11*EXP(-'3.r(t)'!H373*$AV$25)</f>
        <v>0.97973721606142894</v>
      </c>
      <c r="AD375" s="7">
        <v>1</v>
      </c>
      <c r="AE375" s="7"/>
      <c r="AF375" s="7">
        <v>367</v>
      </c>
      <c r="AG375" s="7">
        <f>$AW$7*EXP(-'3.r(t)'!D373*$AW$21)</f>
        <v>0.86718755429225491</v>
      </c>
      <c r="AH375" s="7">
        <f ca="1">$AW$8*EXP(-'3.r(t)'!E373*$AW$22)</f>
        <v>0.89030129553803927</v>
      </c>
      <c r="AI375" s="7">
        <f ca="1">$AW$9*EXP(-'3.r(t)'!F373*$AW$23)</f>
        <v>0.91259808766114447</v>
      </c>
      <c r="AJ375" s="7">
        <f ca="1">$AW$10*EXP(-'3.r(t)'!G373*$AW$24)</f>
        <v>0.9333451178299681</v>
      </c>
      <c r="AK375" s="7">
        <f ca="1">$AW$11*EXP(-'3.r(t)'!H373*$AW$25)</f>
        <v>0.95945843846083889</v>
      </c>
      <c r="AL375" s="7">
        <f ca="1">$AW$12*EXP(-'3.r(t)'!I373*$AW$26)</f>
        <v>0.9782654211189159</v>
      </c>
      <c r="AM375" s="7">
        <v>1</v>
      </c>
      <c r="AN375" s="7"/>
    </row>
    <row r="376" spans="2:40">
      <c r="B376" s="7">
        <v>368</v>
      </c>
      <c r="C376" s="7">
        <f>$AR$7*EXP(-'3.r(t)'!D374*$AR$21)</f>
        <v>0.97765346695821032</v>
      </c>
      <c r="D376" s="7">
        <v>1</v>
      </c>
      <c r="E376" s="7"/>
      <c r="F376" s="7">
        <v>368</v>
      </c>
      <c r="G376" s="48">
        <f>$AS$7*EXP(-'3.r(t)'!D374*$AS$21)</f>
        <v>0.9553476245219803</v>
      </c>
      <c r="H376" s="7">
        <f ca="1">$AS$8*EXP(-'3.r(t)'!E374*$AS$22)</f>
        <v>0.98034370752814637</v>
      </c>
      <c r="I376" s="7">
        <v>1</v>
      </c>
      <c r="J376" s="7"/>
      <c r="K376" s="7">
        <v>368</v>
      </c>
      <c r="L376" s="7">
        <f>$AT$7*EXP(-'3.r(t)'!D374*$AT$21)</f>
        <v>0.93311670519824419</v>
      </c>
      <c r="M376" s="7">
        <f ca="1">$AT$8*EXP(-'3.r(t)'!E374*$AT$22)</f>
        <v>0.96062110564575309</v>
      </c>
      <c r="N376" s="7">
        <f ca="1">$AT$9*EXP(-'3.r(t)'!F374*$AT$23)</f>
        <v>0.97917672764354458</v>
      </c>
      <c r="O376" s="7">
        <v>1</v>
      </c>
      <c r="P376" s="7"/>
      <c r="Q376" s="7">
        <v>368</v>
      </c>
      <c r="R376" s="7">
        <f>$AU$7*EXP(-'3.r(t)'!D374*$AU$21)</f>
        <v>0.91099305977534117</v>
      </c>
      <c r="S376" s="7">
        <f ca="1">$AU$8*EXP(-'3.r(t)'!E374*$AU$22)</f>
        <v>0.94086603360902665</v>
      </c>
      <c r="T376" s="7">
        <f ca="1">$AU$9*EXP(-'3.r(t)'!F374*$AU$23)</f>
        <v>0.95834396705706637</v>
      </c>
      <c r="U376" s="7">
        <f ca="1">$AU$10*EXP(-'3.r(t)'!G374*$AU$24)</f>
        <v>0.9799348546766854</v>
      </c>
      <c r="V376" s="7">
        <v>1</v>
      </c>
      <c r="W376" s="7"/>
      <c r="X376" s="7">
        <v>368</v>
      </c>
      <c r="Y376" s="7">
        <f>$AV$7*EXP(-'3.r(t)'!D374*$AV$21)</f>
        <v>0.88900715067201674</v>
      </c>
      <c r="Z376" s="7">
        <f ca="1">$AV$8*EXP(-'3.r(t)'!E374*$AV$22)</f>
        <v>0.92111080791328392</v>
      </c>
      <c r="AA376" s="7">
        <f ca="1">$AV$9*EXP(-'3.r(t)'!F374*$AV$23)</f>
        <v>0.93753503362928314</v>
      </c>
      <c r="AB376" s="7">
        <f ca="1">$AV$10*EXP(-'3.r(t)'!G374*$AV$24)</f>
        <v>0.95983705462394586</v>
      </c>
      <c r="AC376" s="7">
        <f ca="1">$AV$11*EXP(-'3.r(t)'!H374*$AV$25)</f>
        <v>0.97489803128876629</v>
      </c>
      <c r="AD376" s="7">
        <v>1</v>
      </c>
      <c r="AE376" s="7"/>
      <c r="AF376" s="7">
        <v>368</v>
      </c>
      <c r="AG376" s="7">
        <f>$AW$7*EXP(-'3.r(t)'!D374*$AW$21)</f>
        <v>0.86718755429225491</v>
      </c>
      <c r="AH376" s="7">
        <f ca="1">$AW$8*EXP(-'3.r(t)'!E374*$AW$22)</f>
        <v>0.90138619474341219</v>
      </c>
      <c r="AI376" s="7">
        <f ca="1">$AW$9*EXP(-'3.r(t)'!F374*$AW$23)</f>
        <v>0.91678156900313112</v>
      </c>
      <c r="AJ376" s="7">
        <f ca="1">$AW$10*EXP(-'3.r(t)'!G374*$AW$24)</f>
        <v>0.93973939826784503</v>
      </c>
      <c r="AK376" s="7">
        <f ca="1">$AW$11*EXP(-'3.r(t)'!H374*$AW$25)</f>
        <v>0.9500038008563304</v>
      </c>
      <c r="AL376" s="7">
        <f ca="1">$AW$12*EXP(-'3.r(t)'!I374*$AW$26)</f>
        <v>0.97479068155924697</v>
      </c>
      <c r="AM376" s="7">
        <v>1</v>
      </c>
      <c r="AN376" s="7"/>
    </row>
    <row r="377" spans="2:40">
      <c r="B377" s="7">
        <v>369</v>
      </c>
      <c r="C377" s="7">
        <f>$AR$7*EXP(-'3.r(t)'!D375*$AR$21)</f>
        <v>0.97765346695821032</v>
      </c>
      <c r="D377" s="7">
        <v>1</v>
      </c>
      <c r="E377" s="7"/>
      <c r="F377" s="7">
        <v>369</v>
      </c>
      <c r="G377" s="48">
        <f>$AS$7*EXP(-'3.r(t)'!D375*$AS$21)</f>
        <v>0.9553476245219803</v>
      </c>
      <c r="H377" s="7">
        <f ca="1">$AS$8*EXP(-'3.r(t)'!E375*$AS$22)</f>
        <v>0.97533902777027492</v>
      </c>
      <c r="I377" s="7">
        <v>1</v>
      </c>
      <c r="J377" s="7"/>
      <c r="K377" s="7">
        <v>369</v>
      </c>
      <c r="L377" s="7">
        <f>$AT$7*EXP(-'3.r(t)'!D375*$AT$21)</f>
        <v>0.93311670519824419</v>
      </c>
      <c r="M377" s="7">
        <f ca="1">$AT$8*EXP(-'3.r(t)'!E375*$AT$22)</f>
        <v>0.95083814992847548</v>
      </c>
      <c r="N377" s="7">
        <f ca="1">$AT$9*EXP(-'3.r(t)'!F375*$AT$23)</f>
        <v>0.97322304680375227</v>
      </c>
      <c r="O377" s="7">
        <v>1</v>
      </c>
      <c r="P377" s="7"/>
      <c r="Q377" s="7">
        <v>369</v>
      </c>
      <c r="R377" s="7">
        <f>$AU$7*EXP(-'3.r(t)'!D375*$AU$21)</f>
        <v>0.91099305977534117</v>
      </c>
      <c r="S377" s="7">
        <f ca="1">$AU$8*EXP(-'3.r(t)'!E375*$AU$22)</f>
        <v>0.92653003330978401</v>
      </c>
      <c r="T377" s="7">
        <f ca="1">$AU$9*EXP(-'3.r(t)'!F375*$AU$23)</f>
        <v>0.94672537386452116</v>
      </c>
      <c r="U377" s="7">
        <f ca="1">$AU$10*EXP(-'3.r(t)'!G375*$AU$24)</f>
        <v>0.97425823347482832</v>
      </c>
      <c r="V377" s="7">
        <v>1</v>
      </c>
      <c r="W377" s="7"/>
      <c r="X377" s="7">
        <v>369</v>
      </c>
      <c r="Y377" s="7">
        <f>$AV$7*EXP(-'3.r(t)'!D375*$AV$21)</f>
        <v>0.88900715067201674</v>
      </c>
      <c r="Z377" s="7">
        <f ca="1">$AV$8*EXP(-'3.r(t)'!E375*$AV$22)</f>
        <v>0.90244517319714768</v>
      </c>
      <c r="AA377" s="7">
        <f ca="1">$AV$9*EXP(-'3.r(t)'!F375*$AV$23)</f>
        <v>0.9205373432799292</v>
      </c>
      <c r="AB377" s="7">
        <f ca="1">$AV$10*EXP(-'3.r(t)'!G375*$AV$24)</f>
        <v>0.94874886895315524</v>
      </c>
      <c r="AC377" s="7">
        <f ca="1">$AV$11*EXP(-'3.r(t)'!H375*$AV$25)</f>
        <v>0.97172651362594609</v>
      </c>
      <c r="AD377" s="7">
        <v>1</v>
      </c>
      <c r="AE377" s="7"/>
      <c r="AF377" s="7">
        <v>369</v>
      </c>
      <c r="AG377" s="7">
        <f>$AW$7*EXP(-'3.r(t)'!D375*$AW$21)</f>
        <v>0.86718755429225491</v>
      </c>
      <c r="AH377" s="7">
        <f ca="1">$AW$8*EXP(-'3.r(t)'!E375*$AW$22)</f>
        <v>0.87861191325083821</v>
      </c>
      <c r="AI377" s="7">
        <f ca="1">$AW$9*EXP(-'3.r(t)'!F375*$AW$23)</f>
        <v>0.89468690605769285</v>
      </c>
      <c r="AJ377" s="7">
        <f ca="1">$AW$10*EXP(-'3.r(t)'!G375*$AW$24)</f>
        <v>0.92350249642425064</v>
      </c>
      <c r="AK377" s="7">
        <f ca="1">$AW$11*EXP(-'3.r(t)'!H375*$AW$25)</f>
        <v>0.94383279035314793</v>
      </c>
      <c r="AL377" s="7">
        <f ca="1">$AW$12*EXP(-'3.r(t)'!I375*$AW$26)</f>
        <v>0.97395910826703458</v>
      </c>
      <c r="AM377" s="7">
        <v>1</v>
      </c>
      <c r="AN377" s="7"/>
    </row>
    <row r="378" spans="2:40">
      <c r="B378" s="7">
        <v>370</v>
      </c>
      <c r="C378" s="7">
        <f>$AR$7*EXP(-'3.r(t)'!D376*$AR$21)</f>
        <v>0.97765346695821032</v>
      </c>
      <c r="D378" s="7">
        <v>1</v>
      </c>
      <c r="E378" s="7"/>
      <c r="F378" s="7">
        <v>370</v>
      </c>
      <c r="G378" s="48">
        <f>$AS$7*EXP(-'3.r(t)'!D376*$AS$21)</f>
        <v>0.9553476245219803</v>
      </c>
      <c r="H378" s="7">
        <f ca="1">$AS$8*EXP(-'3.r(t)'!E376*$AS$22)</f>
        <v>0.97919939679220169</v>
      </c>
      <c r="I378" s="7">
        <v>1</v>
      </c>
      <c r="J378" s="7"/>
      <c r="K378" s="7">
        <v>370</v>
      </c>
      <c r="L378" s="7">
        <f>$AT$7*EXP(-'3.r(t)'!D376*$AT$21)</f>
        <v>0.93311670519824419</v>
      </c>
      <c r="M378" s="7">
        <f ca="1">$AT$8*EXP(-'3.r(t)'!E376*$AT$22)</f>
        <v>0.95837983560105677</v>
      </c>
      <c r="N378" s="7">
        <f ca="1">$AT$9*EXP(-'3.r(t)'!F376*$AT$23)</f>
        <v>0.97503612083195845</v>
      </c>
      <c r="O378" s="7">
        <v>1</v>
      </c>
      <c r="P378" s="7"/>
      <c r="Q378" s="7">
        <v>370</v>
      </c>
      <c r="R378" s="7">
        <f>$AU$7*EXP(-'3.r(t)'!D376*$AU$21)</f>
        <v>0.91099305977534117</v>
      </c>
      <c r="S378" s="7">
        <f ca="1">$AU$8*EXP(-'3.r(t)'!E376*$AU$22)</f>
        <v>0.9375751871413931</v>
      </c>
      <c r="T378" s="7">
        <f ca="1">$AU$9*EXP(-'3.r(t)'!F376*$AU$23)</f>
        <v>0.95025607951561875</v>
      </c>
      <c r="U378" s="7">
        <f ca="1">$AU$10*EXP(-'3.r(t)'!G376*$AU$24)</f>
        <v>0.97193211526389311</v>
      </c>
      <c r="V378" s="7">
        <v>1</v>
      </c>
      <c r="W378" s="7"/>
      <c r="X378" s="7">
        <v>370</v>
      </c>
      <c r="Y378" s="7">
        <f>$AV$7*EXP(-'3.r(t)'!D376*$AV$21)</f>
        <v>0.88900715067201674</v>
      </c>
      <c r="Z378" s="7">
        <f ca="1">$AV$8*EXP(-'3.r(t)'!E376*$AV$22)</f>
        <v>0.91681764860695991</v>
      </c>
      <c r="AA378" s="7">
        <f ca="1">$AV$9*EXP(-'3.r(t)'!F376*$AV$23)</f>
        <v>0.92569170198726392</v>
      </c>
      <c r="AB378" s="7">
        <f ca="1">$AV$10*EXP(-'3.r(t)'!G376*$AV$24)</f>
        <v>0.94422385213563387</v>
      </c>
      <c r="AC378" s="7">
        <f ca="1">$AV$11*EXP(-'3.r(t)'!H376*$AV$25)</f>
        <v>0.96903803687455969</v>
      </c>
      <c r="AD378" s="7">
        <v>1</v>
      </c>
      <c r="AE378" s="7"/>
      <c r="AF378" s="7">
        <v>370</v>
      </c>
      <c r="AG378" s="7">
        <f>$AW$7*EXP(-'3.r(t)'!D376*$AW$21)</f>
        <v>0.86718755429225491</v>
      </c>
      <c r="AH378" s="7">
        <f ca="1">$AW$8*EXP(-'3.r(t)'!E376*$AW$22)</f>
        <v>0.89613772558743432</v>
      </c>
      <c r="AI378" s="7">
        <f ca="1">$AW$9*EXP(-'3.r(t)'!F376*$AW$23)</f>
        <v>0.90137261775168553</v>
      </c>
      <c r="AJ378" s="7">
        <f ca="1">$AW$10*EXP(-'3.r(t)'!G376*$AW$24)</f>
        <v>0.91690347253967686</v>
      </c>
      <c r="AK378" s="7">
        <f ca="1">$AW$11*EXP(-'3.r(t)'!H376*$AW$25)</f>
        <v>0.93861740873164778</v>
      </c>
      <c r="AL378" s="7">
        <f ca="1">$AW$12*EXP(-'3.r(t)'!I376*$AW$26)</f>
        <v>0.96947880628434424</v>
      </c>
      <c r="AM378" s="7">
        <v>1</v>
      </c>
      <c r="AN378" s="7"/>
    </row>
    <row r="379" spans="2:40">
      <c r="B379" s="7">
        <v>371</v>
      </c>
      <c r="C379" s="7">
        <f>$AR$7*EXP(-'3.r(t)'!D377*$AR$21)</f>
        <v>0.97765346695821032</v>
      </c>
      <c r="D379" s="7">
        <v>1</v>
      </c>
      <c r="E379" s="7"/>
      <c r="F379" s="7">
        <v>371</v>
      </c>
      <c r="G379" s="48">
        <f>$AS$7*EXP(-'3.r(t)'!D377*$AS$21)</f>
        <v>0.9553476245219803</v>
      </c>
      <c r="H379" s="7">
        <f ca="1">$AS$8*EXP(-'3.r(t)'!E377*$AS$22)</f>
        <v>0.9736906979015435</v>
      </c>
      <c r="I379" s="7">
        <v>1</v>
      </c>
      <c r="J379" s="7"/>
      <c r="K379" s="7">
        <v>371</v>
      </c>
      <c r="L379" s="7">
        <f>$AT$7*EXP(-'3.r(t)'!D377*$AT$21)</f>
        <v>0.93311670519824419</v>
      </c>
      <c r="M379" s="7">
        <f ca="1">$AT$8*EXP(-'3.r(t)'!E377*$AT$22)</f>
        <v>0.94762701921698722</v>
      </c>
      <c r="N379" s="7">
        <f ca="1">$AT$9*EXP(-'3.r(t)'!F377*$AT$23)</f>
        <v>0.97449912656733484</v>
      </c>
      <c r="O379" s="7">
        <v>1</v>
      </c>
      <c r="P379" s="7"/>
      <c r="Q379" s="7">
        <v>371</v>
      </c>
      <c r="R379" s="7">
        <f>$AU$7*EXP(-'3.r(t)'!D377*$AU$21)</f>
        <v>0.91099305977534117</v>
      </c>
      <c r="S379" s="7">
        <f ca="1">$AU$8*EXP(-'3.r(t)'!E377*$AU$22)</f>
        <v>0.92184044072479165</v>
      </c>
      <c r="T379" s="7">
        <f ca="1">$AU$9*EXP(-'3.r(t)'!F377*$AU$23)</f>
        <v>0.94920967408180801</v>
      </c>
      <c r="U379" s="7">
        <f ca="1">$AU$10*EXP(-'3.r(t)'!G377*$AU$24)</f>
        <v>0.97403886833816777</v>
      </c>
      <c r="V379" s="7">
        <v>1</v>
      </c>
      <c r="W379" s="7"/>
      <c r="X379" s="7">
        <v>371</v>
      </c>
      <c r="Y379" s="7">
        <f>$AV$7*EXP(-'3.r(t)'!D377*$AV$21)</f>
        <v>0.88900715067201674</v>
      </c>
      <c r="Z379" s="7">
        <f ca="1">$AV$8*EXP(-'3.r(t)'!E377*$AV$22)</f>
        <v>0.89636006580047489</v>
      </c>
      <c r="AA379" s="7">
        <f ca="1">$AV$9*EXP(-'3.r(t)'!F377*$AV$23)</f>
        <v>0.92416308964669847</v>
      </c>
      <c r="AB379" s="7">
        <f ca="1">$AV$10*EXP(-'3.r(t)'!G377*$AV$24)</f>
        <v>0.94832167421648594</v>
      </c>
      <c r="AC379" s="7">
        <f ca="1">$AV$11*EXP(-'3.r(t)'!H377*$AV$25)</f>
        <v>0.97132772159362435</v>
      </c>
      <c r="AD379" s="7">
        <v>1</v>
      </c>
      <c r="AE379" s="7"/>
      <c r="AF379" s="7">
        <v>371</v>
      </c>
      <c r="AG379" s="7">
        <f>$AW$7*EXP(-'3.r(t)'!D377*$AW$21)</f>
        <v>0.86718755429225491</v>
      </c>
      <c r="AH379" s="7">
        <f ca="1">$AW$8*EXP(-'3.r(t)'!E377*$AW$22)</f>
        <v>0.8712126633238606</v>
      </c>
      <c r="AI379" s="7">
        <f ca="1">$AW$9*EXP(-'3.r(t)'!F377*$AW$23)</f>
        <v>0.89938855912357429</v>
      </c>
      <c r="AJ379" s="7">
        <f ca="1">$AW$10*EXP(-'3.r(t)'!G377*$AW$24)</f>
        <v>0.92287882612712901</v>
      </c>
      <c r="AK379" s="7">
        <f ca="1">$AW$11*EXP(-'3.r(t)'!H377*$AW$25)</f>
        <v>0.94305826016097116</v>
      </c>
      <c r="AL379" s="7">
        <f ca="1">$AW$12*EXP(-'3.r(t)'!I377*$AW$26)</f>
        <v>0.97440992066267973</v>
      </c>
      <c r="AM379" s="7">
        <v>1</v>
      </c>
      <c r="AN379" s="7"/>
    </row>
    <row r="380" spans="2:40">
      <c r="B380" s="7">
        <v>372</v>
      </c>
      <c r="C380" s="7">
        <f>$AR$7*EXP(-'3.r(t)'!D378*$AR$21)</f>
        <v>0.97765346695821032</v>
      </c>
      <c r="D380" s="7">
        <v>1</v>
      </c>
      <c r="E380" s="7"/>
      <c r="F380" s="7">
        <v>372</v>
      </c>
      <c r="G380" s="48">
        <f>$AS$7*EXP(-'3.r(t)'!D378*$AS$21)</f>
        <v>0.9553476245219803</v>
      </c>
      <c r="H380" s="7">
        <f ca="1">$AS$8*EXP(-'3.r(t)'!E378*$AS$22)</f>
        <v>0.97386383589908398</v>
      </c>
      <c r="I380" s="7">
        <v>1</v>
      </c>
      <c r="J380" s="7"/>
      <c r="K380" s="7">
        <v>372</v>
      </c>
      <c r="L380" s="7">
        <f>$AT$7*EXP(-'3.r(t)'!D378*$AT$21)</f>
        <v>0.93311670519824419</v>
      </c>
      <c r="M380" s="7">
        <f ca="1">$AT$8*EXP(-'3.r(t)'!E378*$AT$22)</f>
        <v>0.94796405608516565</v>
      </c>
      <c r="N380" s="7">
        <f ca="1">$AT$9*EXP(-'3.r(t)'!F378*$AT$23)</f>
        <v>0.97471225804879791</v>
      </c>
      <c r="O380" s="7">
        <v>1</v>
      </c>
      <c r="P380" s="7"/>
      <c r="Q380" s="7">
        <v>372</v>
      </c>
      <c r="R380" s="7">
        <f>$AU$7*EXP(-'3.r(t)'!D378*$AU$21)</f>
        <v>0.91099305977534117</v>
      </c>
      <c r="S380" s="7">
        <f ca="1">$AU$8*EXP(-'3.r(t)'!E378*$AU$22)</f>
        <v>0.92233228271460632</v>
      </c>
      <c r="T380" s="7">
        <f ca="1">$AU$9*EXP(-'3.r(t)'!F378*$AU$23)</f>
        <v>0.94962492039991475</v>
      </c>
      <c r="U380" s="7">
        <f ca="1">$AU$10*EXP(-'3.r(t)'!G378*$AU$24)</f>
        <v>0.97541511434668104</v>
      </c>
      <c r="V380" s="7">
        <v>1</v>
      </c>
      <c r="W380" s="7"/>
      <c r="X380" s="7">
        <v>372</v>
      </c>
      <c r="Y380" s="7">
        <f>$AV$7*EXP(-'3.r(t)'!D378*$AV$21)</f>
        <v>0.88900715067201674</v>
      </c>
      <c r="Z380" s="7">
        <f ca="1">$AV$8*EXP(-'3.r(t)'!E378*$AV$22)</f>
        <v>0.89699778529855123</v>
      </c>
      <c r="AA380" s="7">
        <f ca="1">$AV$9*EXP(-'3.r(t)'!F378*$AV$23)</f>
        <v>0.92476958992419889</v>
      </c>
      <c r="AB380" s="7">
        <f ca="1">$AV$10*EXP(-'3.r(t)'!G378*$AV$24)</f>
        <v>0.95100338638202997</v>
      </c>
      <c r="AC380" s="7">
        <f ca="1">$AV$11*EXP(-'3.r(t)'!H378*$AV$25)</f>
        <v>0.97583466276145525</v>
      </c>
      <c r="AD380" s="7">
        <v>1</v>
      </c>
      <c r="AE380" s="7"/>
      <c r="AF380" s="7">
        <v>372</v>
      </c>
      <c r="AG380" s="7">
        <f>$AW$7*EXP(-'3.r(t)'!D378*$AW$21)</f>
        <v>0.86718755429225491</v>
      </c>
      <c r="AH380" s="7">
        <f ca="1">$AW$8*EXP(-'3.r(t)'!E378*$AW$22)</f>
        <v>0.87198751754310511</v>
      </c>
      <c r="AI380" s="7">
        <f ca="1">$AW$9*EXP(-'3.r(t)'!F378*$AW$23)</f>
        <v>0.90017563386064581</v>
      </c>
      <c r="AJ380" s="7">
        <f ca="1">$AW$10*EXP(-'3.r(t)'!G378*$AW$24)</f>
        <v>0.92679623771481034</v>
      </c>
      <c r="AK380" s="7">
        <f ca="1">$AW$11*EXP(-'3.r(t)'!H378*$AW$25)</f>
        <v>0.95183010651906652</v>
      </c>
      <c r="AL380" s="7">
        <f ca="1">$AW$12*EXP(-'3.r(t)'!I378*$AW$26)</f>
        <v>0.9751257272836128</v>
      </c>
      <c r="AM380" s="7">
        <v>1</v>
      </c>
      <c r="AN380" s="7"/>
    </row>
    <row r="381" spans="2:40">
      <c r="B381" s="7">
        <v>373</v>
      </c>
      <c r="C381" s="7">
        <f>$AR$7*EXP(-'3.r(t)'!D379*$AR$21)</f>
        <v>0.97765346695821032</v>
      </c>
      <c r="D381" s="7">
        <v>1</v>
      </c>
      <c r="E381" s="7"/>
      <c r="F381" s="7">
        <v>373</v>
      </c>
      <c r="G381" s="48">
        <f>$AS$7*EXP(-'3.r(t)'!D379*$AS$21)</f>
        <v>0.9553476245219803</v>
      </c>
      <c r="H381" s="7">
        <f ca="1">$AS$8*EXP(-'3.r(t)'!E379*$AS$22)</f>
        <v>0.9804023355704905</v>
      </c>
      <c r="I381" s="7">
        <v>1</v>
      </c>
      <c r="J381" s="7"/>
      <c r="K381" s="7">
        <v>373</v>
      </c>
      <c r="L381" s="7">
        <f>$AT$7*EXP(-'3.r(t)'!D379*$AT$21)</f>
        <v>0.93311670519824419</v>
      </c>
      <c r="M381" s="7">
        <f ca="1">$AT$8*EXP(-'3.r(t)'!E379*$AT$22)</f>
        <v>0.96073600620251554</v>
      </c>
      <c r="N381" s="7">
        <f ca="1">$AT$9*EXP(-'3.r(t)'!F379*$AT$23)</f>
        <v>0.98064965096502865</v>
      </c>
      <c r="O381" s="7">
        <v>1</v>
      </c>
      <c r="P381" s="7"/>
      <c r="Q381" s="7">
        <v>373</v>
      </c>
      <c r="R381" s="7">
        <f>$AU$7*EXP(-'3.r(t)'!D379*$AU$21)</f>
        <v>0.91099305977534117</v>
      </c>
      <c r="S381" s="7">
        <f ca="1">$AU$8*EXP(-'3.r(t)'!E379*$AU$22)</f>
        <v>0.94103484511503055</v>
      </c>
      <c r="T381" s="7">
        <f ca="1">$AU$9*EXP(-'3.r(t)'!F379*$AU$23)</f>
        <v>0.9612293069794895</v>
      </c>
      <c r="U381" s="7">
        <f ca="1">$AU$10*EXP(-'3.r(t)'!G379*$AU$24)</f>
        <v>0.98131626805672156</v>
      </c>
      <c r="V381" s="7">
        <v>1</v>
      </c>
      <c r="W381" s="7"/>
      <c r="X381" s="7">
        <v>373</v>
      </c>
      <c r="Y381" s="7">
        <f>$AV$7*EXP(-'3.r(t)'!D379*$AV$21)</f>
        <v>0.88900715067201674</v>
      </c>
      <c r="Z381" s="7">
        <f ca="1">$AV$8*EXP(-'3.r(t)'!E379*$AV$22)</f>
        <v>0.9213311704966467</v>
      </c>
      <c r="AA381" s="7">
        <f ca="1">$AV$9*EXP(-'3.r(t)'!F379*$AV$23)</f>
        <v>0.94177225289226041</v>
      </c>
      <c r="AB381" s="7">
        <f ca="1">$AV$10*EXP(-'3.r(t)'!G379*$AV$24)</f>
        <v>0.96254512511667867</v>
      </c>
      <c r="AC381" s="7">
        <f ca="1">$AV$11*EXP(-'3.r(t)'!H379*$AV$25)</f>
        <v>0.97950644860077829</v>
      </c>
      <c r="AD381" s="7">
        <v>1</v>
      </c>
      <c r="AE381" s="7"/>
      <c r="AF381" s="7">
        <v>373</v>
      </c>
      <c r="AG381" s="7">
        <f>$AW$7*EXP(-'3.r(t)'!D379*$AW$21)</f>
        <v>0.86718755429225491</v>
      </c>
      <c r="AH381" s="7">
        <f ca="1">$AW$8*EXP(-'3.r(t)'!E379*$AW$22)</f>
        <v>0.90165575749362137</v>
      </c>
      <c r="AI381" s="7">
        <f ca="1">$AW$9*EXP(-'3.r(t)'!F379*$AW$23)</f>
        <v>0.92231029066899184</v>
      </c>
      <c r="AJ381" s="7">
        <f ca="1">$AW$10*EXP(-'3.r(t)'!G379*$AW$24)</f>
        <v>0.94371925302894033</v>
      </c>
      <c r="AK381" s="7">
        <f ca="1">$AW$11*EXP(-'3.r(t)'!H379*$AW$25)</f>
        <v>0.95900650970253443</v>
      </c>
      <c r="AL381" s="7">
        <f ca="1">$AW$12*EXP(-'3.r(t)'!I379*$AW$26)</f>
        <v>0.97912724450998001</v>
      </c>
      <c r="AM381" s="7">
        <v>1</v>
      </c>
      <c r="AN381" s="7"/>
    </row>
    <row r="382" spans="2:40">
      <c r="B382" s="7">
        <v>374</v>
      </c>
      <c r="C382" s="7">
        <f>$AR$7*EXP(-'3.r(t)'!D380*$AR$21)</f>
        <v>0.97765346695821032</v>
      </c>
      <c r="D382" s="7">
        <v>1</v>
      </c>
      <c r="E382" s="7"/>
      <c r="F382" s="7">
        <v>374</v>
      </c>
      <c r="G382" s="48">
        <f>$AS$7*EXP(-'3.r(t)'!D380*$AS$21)</f>
        <v>0.9553476245219803</v>
      </c>
      <c r="H382" s="7">
        <f ca="1">$AS$8*EXP(-'3.r(t)'!E380*$AS$22)</f>
        <v>0.97679945574445692</v>
      </c>
      <c r="I382" s="7">
        <v>1</v>
      </c>
      <c r="J382" s="7"/>
      <c r="K382" s="7">
        <v>374</v>
      </c>
      <c r="L382" s="7">
        <f>$AT$7*EXP(-'3.r(t)'!D380*$AT$21)</f>
        <v>0.93311670519824419</v>
      </c>
      <c r="M382" s="7">
        <f ca="1">$AT$8*EXP(-'3.r(t)'!E380*$AT$22)</f>
        <v>0.95368776473820249</v>
      </c>
      <c r="N382" s="7">
        <f ca="1">$AT$9*EXP(-'3.r(t)'!F380*$AT$23)</f>
        <v>0.97323382436425387</v>
      </c>
      <c r="O382" s="7">
        <v>1</v>
      </c>
      <c r="P382" s="7"/>
      <c r="Q382" s="7">
        <v>374</v>
      </c>
      <c r="R382" s="7">
        <f>$AU$7*EXP(-'3.r(t)'!D380*$AU$21)</f>
        <v>0.91099305977534117</v>
      </c>
      <c r="S382" s="7">
        <f ca="1">$AU$8*EXP(-'3.r(t)'!E380*$AU$22)</f>
        <v>0.93069829932094672</v>
      </c>
      <c r="T382" s="7">
        <f ca="1">$AU$9*EXP(-'3.r(t)'!F380*$AU$23)</f>
        <v>0.94674634222634813</v>
      </c>
      <c r="U382" s="7">
        <f ca="1">$AU$10*EXP(-'3.r(t)'!G380*$AU$24)</f>
        <v>0.97209981449773331</v>
      </c>
      <c r="V382" s="7">
        <v>1</v>
      </c>
      <c r="W382" s="7"/>
      <c r="X382" s="7">
        <v>374</v>
      </c>
      <c r="Y382" s="7">
        <f>$AV$7*EXP(-'3.r(t)'!D380*$AV$21)</f>
        <v>0.88900715067201674</v>
      </c>
      <c r="Z382" s="7">
        <f ca="1">$AV$8*EXP(-'3.r(t)'!E380*$AV$22)</f>
        <v>0.90786244561357188</v>
      </c>
      <c r="AA382" s="7">
        <f ca="1">$AV$9*EXP(-'3.r(t)'!F380*$AV$23)</f>
        <v>0.92056792596129455</v>
      </c>
      <c r="AB382" s="7">
        <f ca="1">$AV$10*EXP(-'3.r(t)'!G380*$AV$24)</f>
        <v>0.94454971702832424</v>
      </c>
      <c r="AC382" s="7">
        <f ca="1">$AV$11*EXP(-'3.r(t)'!H380*$AV$25)</f>
        <v>0.96654785825323508</v>
      </c>
      <c r="AD382" s="7">
        <v>1</v>
      </c>
      <c r="AE382" s="7"/>
      <c r="AF382" s="7">
        <v>374</v>
      </c>
      <c r="AG382" s="7">
        <f>$AW$7*EXP(-'3.r(t)'!D380*$AW$21)</f>
        <v>0.86718755429225491</v>
      </c>
      <c r="AH382" s="7">
        <f ca="1">$AW$8*EXP(-'3.r(t)'!E380*$AW$22)</f>
        <v>0.88520960798232262</v>
      </c>
      <c r="AI382" s="7">
        <f ca="1">$AW$9*EXP(-'3.r(t)'!F380*$AW$23)</f>
        <v>0.89472653809257507</v>
      </c>
      <c r="AJ382" s="7">
        <f ca="1">$AW$10*EXP(-'3.r(t)'!G380*$AW$24)</f>
        <v>0.91737816785963855</v>
      </c>
      <c r="AK382" s="7">
        <f ca="1">$AW$11*EXP(-'3.r(t)'!H380*$AW$25)</f>
        <v>0.93379959610959662</v>
      </c>
      <c r="AL382" s="7">
        <f ca="1">$AW$12*EXP(-'3.r(t)'!I380*$AW$26)</f>
        <v>0.96707380689510747</v>
      </c>
      <c r="AM382" s="7">
        <v>1</v>
      </c>
      <c r="AN382" s="7"/>
    </row>
    <row r="383" spans="2:40">
      <c r="B383" s="7">
        <v>375</v>
      </c>
      <c r="C383" s="7">
        <f>$AR$7*EXP(-'3.r(t)'!D381*$AR$21)</f>
        <v>0.97765346695821032</v>
      </c>
      <c r="D383" s="7">
        <v>1</v>
      </c>
      <c r="E383" s="7"/>
      <c r="F383" s="7">
        <v>375</v>
      </c>
      <c r="G383" s="48">
        <f>$AS$7*EXP(-'3.r(t)'!D381*$AS$21)</f>
        <v>0.9553476245219803</v>
      </c>
      <c r="H383" s="7">
        <f ca="1">$AS$8*EXP(-'3.r(t)'!E381*$AS$22)</f>
        <v>0.97936727516063227</v>
      </c>
      <c r="I383" s="7">
        <v>1</v>
      </c>
      <c r="J383" s="7"/>
      <c r="K383" s="7">
        <v>375</v>
      </c>
      <c r="L383" s="7">
        <f>$AT$7*EXP(-'3.r(t)'!D381*$AT$21)</f>
        <v>0.93311670519824419</v>
      </c>
      <c r="M383" s="7">
        <f ca="1">$AT$8*EXP(-'3.r(t)'!E381*$AT$22)</f>
        <v>0.95870848170853051</v>
      </c>
      <c r="N383" s="7">
        <f ca="1">$AT$9*EXP(-'3.r(t)'!F381*$AT$23)</f>
        <v>0.97502111926799506</v>
      </c>
      <c r="O383" s="7">
        <v>1</v>
      </c>
      <c r="P383" s="7"/>
      <c r="Q383" s="7">
        <v>375</v>
      </c>
      <c r="R383" s="7">
        <f>$AU$7*EXP(-'3.r(t)'!D381*$AU$21)</f>
        <v>0.91099305977534117</v>
      </c>
      <c r="S383" s="7">
        <f ca="1">$AU$8*EXP(-'3.r(t)'!E381*$AU$22)</f>
        <v>0.93805749619881884</v>
      </c>
      <c r="T383" s="7">
        <f ca="1">$AU$9*EXP(-'3.r(t)'!F381*$AU$23)</f>
        <v>0.95022683912669348</v>
      </c>
      <c r="U383" s="7">
        <f ca="1">$AU$10*EXP(-'3.r(t)'!G381*$AU$24)</f>
        <v>0.97214236902208739</v>
      </c>
      <c r="V383" s="7">
        <v>1</v>
      </c>
      <c r="W383" s="7"/>
      <c r="X383" s="7">
        <v>375</v>
      </c>
      <c r="Y383" s="7">
        <f>$AV$7*EXP(-'3.r(t)'!D381*$AV$21)</f>
        <v>0.88900715067201674</v>
      </c>
      <c r="Z383" s="7">
        <f ca="1">$AV$8*EXP(-'3.r(t)'!E381*$AV$22)</f>
        <v>0.91744654375356216</v>
      </c>
      <c r="AA383" s="7">
        <f ca="1">$AV$9*EXP(-'3.r(t)'!F381*$AV$23)</f>
        <v>0.92564897554054792</v>
      </c>
      <c r="AB383" s="7">
        <f ca="1">$AV$10*EXP(-'3.r(t)'!G381*$AV$24)</f>
        <v>0.94463241582760449</v>
      </c>
      <c r="AC383" s="7">
        <f ca="1">$AV$11*EXP(-'3.r(t)'!H381*$AV$25)</f>
        <v>0.97380169540521166</v>
      </c>
      <c r="AD383" s="7">
        <v>1</v>
      </c>
      <c r="AE383" s="7"/>
      <c r="AF383" s="7">
        <v>375</v>
      </c>
      <c r="AG383" s="7">
        <f>$AW$7*EXP(-'3.r(t)'!D381*$AW$21)</f>
        <v>0.86718755429225491</v>
      </c>
      <c r="AH383" s="7">
        <f ca="1">$AW$8*EXP(-'3.r(t)'!E381*$AW$22)</f>
        <v>0.89690617853766308</v>
      </c>
      <c r="AI383" s="7">
        <f ca="1">$AW$9*EXP(-'3.r(t)'!F381*$AW$23)</f>
        <v>0.90131714621939185</v>
      </c>
      <c r="AJ383" s="7">
        <f ca="1">$AW$10*EXP(-'3.r(t)'!G381*$AW$24)</f>
        <v>0.91749865024213917</v>
      </c>
      <c r="AK383" s="7">
        <f ca="1">$AW$11*EXP(-'3.r(t)'!H381*$AW$25)</f>
        <v>0.94786832085154038</v>
      </c>
      <c r="AL383" s="7">
        <f ca="1">$AW$12*EXP(-'3.r(t)'!I381*$AW$26)</f>
        <v>0.9704595253784063</v>
      </c>
      <c r="AM383" s="7">
        <v>1</v>
      </c>
      <c r="AN383" s="7"/>
    </row>
    <row r="384" spans="2:40">
      <c r="B384" s="7">
        <v>376</v>
      </c>
      <c r="C384" s="7">
        <f>$AR$7*EXP(-'3.r(t)'!D382*$AR$21)</f>
        <v>0.97765346695821032</v>
      </c>
      <c r="D384" s="7">
        <v>1</v>
      </c>
      <c r="E384" s="7"/>
      <c r="F384" s="7">
        <v>376</v>
      </c>
      <c r="G384" s="48">
        <f>$AS$7*EXP(-'3.r(t)'!D382*$AS$21)</f>
        <v>0.9553476245219803</v>
      </c>
      <c r="H384" s="7">
        <f ca="1">$AS$8*EXP(-'3.r(t)'!E382*$AS$22)</f>
        <v>0.97655093028734807</v>
      </c>
      <c r="I384" s="7">
        <v>1</v>
      </c>
      <c r="J384" s="7"/>
      <c r="K384" s="7">
        <v>376</v>
      </c>
      <c r="L384" s="7">
        <f>$AT$7*EXP(-'3.r(t)'!D382*$AT$21)</f>
        <v>0.93311670519824419</v>
      </c>
      <c r="M384" s="7">
        <f ca="1">$AT$8*EXP(-'3.r(t)'!E382*$AT$22)</f>
        <v>0.95320253609782213</v>
      </c>
      <c r="N384" s="7">
        <f ca="1">$AT$9*EXP(-'3.r(t)'!F382*$AT$23)</f>
        <v>0.97393641715498769</v>
      </c>
      <c r="O384" s="7">
        <v>1</v>
      </c>
      <c r="P384" s="7"/>
      <c r="Q384" s="7">
        <v>376</v>
      </c>
      <c r="R384" s="7">
        <f>$AU$7*EXP(-'3.r(t)'!D382*$AU$21)</f>
        <v>0.91099305977534117</v>
      </c>
      <c r="S384" s="7">
        <f ca="1">$AU$8*EXP(-'3.r(t)'!E382*$AU$22)</f>
        <v>0.92998809199826049</v>
      </c>
      <c r="T384" s="7">
        <f ca="1">$AU$9*EXP(-'3.r(t)'!F382*$AU$23)</f>
        <v>0.94811377775718098</v>
      </c>
      <c r="U384" s="7">
        <f ca="1">$AU$10*EXP(-'3.r(t)'!G382*$AU$24)</f>
        <v>0.9772137178989353</v>
      </c>
      <c r="V384" s="7">
        <v>1</v>
      </c>
      <c r="W384" s="7"/>
      <c r="X384" s="7">
        <v>376</v>
      </c>
      <c r="Y384" s="7">
        <f>$AV$7*EXP(-'3.r(t)'!D382*$AV$21)</f>
        <v>0.88900715067201674</v>
      </c>
      <c r="Z384" s="7">
        <f ca="1">$AV$8*EXP(-'3.r(t)'!E382*$AV$22)</f>
        <v>0.9069388544557706</v>
      </c>
      <c r="AA384" s="7">
        <f ca="1">$AV$9*EXP(-'3.r(t)'!F382*$AV$23)</f>
        <v>0.92256308295686118</v>
      </c>
      <c r="AB384" s="7">
        <f ca="1">$AV$10*EXP(-'3.r(t)'!G382*$AV$24)</f>
        <v>0.95451379964149419</v>
      </c>
      <c r="AC384" s="7">
        <f ca="1">$AV$11*EXP(-'3.r(t)'!H382*$AV$25)</f>
        <v>0.97201874501939944</v>
      </c>
      <c r="AD384" s="7">
        <v>1</v>
      </c>
      <c r="AE384" s="7"/>
      <c r="AF384" s="7">
        <v>376</v>
      </c>
      <c r="AG384" s="7">
        <f>$AW$7*EXP(-'3.r(t)'!D382*$AW$21)</f>
        <v>0.86718755429225491</v>
      </c>
      <c r="AH384" s="7">
        <f ca="1">$AW$8*EXP(-'3.r(t)'!E382*$AW$22)</f>
        <v>0.88408406884199797</v>
      </c>
      <c r="AI384" s="7">
        <f ca="1">$AW$9*EXP(-'3.r(t)'!F382*$AW$23)</f>
        <v>0.89731300581435303</v>
      </c>
      <c r="AJ384" s="7">
        <f ca="1">$AW$10*EXP(-'3.r(t)'!G382*$AW$24)</f>
        <v>0.93193255742045389</v>
      </c>
      <c r="AK384" s="7">
        <f ca="1">$AW$11*EXP(-'3.r(t)'!H382*$AW$25)</f>
        <v>0.94440056130831218</v>
      </c>
      <c r="AL384" s="7">
        <f ca="1">$AW$12*EXP(-'3.r(t)'!I382*$AW$26)</f>
        <v>0.96859839271600534</v>
      </c>
      <c r="AM384" s="7">
        <v>1</v>
      </c>
      <c r="AN384" s="7"/>
    </row>
    <row r="385" spans="2:40">
      <c r="B385" s="7">
        <v>377</v>
      </c>
      <c r="C385" s="7">
        <f>$AR$7*EXP(-'3.r(t)'!D383*$AR$21)</f>
        <v>0.97765346695821032</v>
      </c>
      <c r="D385" s="7">
        <v>1</v>
      </c>
      <c r="E385" s="7"/>
      <c r="F385" s="7">
        <v>377</v>
      </c>
      <c r="G385" s="48">
        <f>$AS$7*EXP(-'3.r(t)'!D383*$AS$21)</f>
        <v>0.9553476245219803</v>
      </c>
      <c r="H385" s="7">
        <f ca="1">$AS$8*EXP(-'3.r(t)'!E383*$AS$22)</f>
        <v>0.97604552028721736</v>
      </c>
      <c r="I385" s="7">
        <v>1</v>
      </c>
      <c r="J385" s="7"/>
      <c r="K385" s="7">
        <v>377</v>
      </c>
      <c r="L385" s="7">
        <f>$AT$7*EXP(-'3.r(t)'!D383*$AT$21)</f>
        <v>0.93311670519824419</v>
      </c>
      <c r="M385" s="7">
        <f ca="1">$AT$8*EXP(-'3.r(t)'!E383*$AT$22)</f>
        <v>0.95221613915123049</v>
      </c>
      <c r="N385" s="7">
        <f ca="1">$AT$9*EXP(-'3.r(t)'!F383*$AT$23)</f>
        <v>0.97742791433958121</v>
      </c>
      <c r="O385" s="7">
        <v>1</v>
      </c>
      <c r="P385" s="7"/>
      <c r="Q385" s="7">
        <v>377</v>
      </c>
      <c r="R385" s="7">
        <f>$AU$7*EXP(-'3.r(t)'!D383*$AU$21)</f>
        <v>0.91099305977534117</v>
      </c>
      <c r="S385" s="7">
        <f ca="1">$AU$8*EXP(-'3.r(t)'!E383*$AU$22)</f>
        <v>0.92854490439973436</v>
      </c>
      <c r="T385" s="7">
        <f ca="1">$AU$9*EXP(-'3.r(t)'!F383*$AU$23)</f>
        <v>0.95492381216062805</v>
      </c>
      <c r="U385" s="7">
        <f ca="1">$AU$10*EXP(-'3.r(t)'!G383*$AU$24)</f>
        <v>0.980042892110636</v>
      </c>
      <c r="V385" s="7">
        <v>1</v>
      </c>
      <c r="W385" s="7"/>
      <c r="X385" s="7">
        <v>377</v>
      </c>
      <c r="Y385" s="7">
        <f>$AV$7*EXP(-'3.r(t)'!D383*$AV$21)</f>
        <v>0.88900715067201674</v>
      </c>
      <c r="Z385" s="7">
        <f ca="1">$AV$8*EXP(-'3.r(t)'!E383*$AV$22)</f>
        <v>0.90506278131241258</v>
      </c>
      <c r="AA385" s="7">
        <f ca="1">$AV$9*EXP(-'3.r(t)'!F383*$AV$23)</f>
        <v>0.93252067671493277</v>
      </c>
      <c r="AB385" s="7">
        <f ca="1">$AV$10*EXP(-'3.r(t)'!G383*$AV$24)</f>
        <v>0.96004870960947397</v>
      </c>
      <c r="AC385" s="7">
        <f ca="1">$AV$11*EXP(-'3.r(t)'!H383*$AV$25)</f>
        <v>0.97516675525653373</v>
      </c>
      <c r="AD385" s="7">
        <v>1</v>
      </c>
      <c r="AE385" s="7"/>
      <c r="AF385" s="7">
        <v>377</v>
      </c>
      <c r="AG385" s="7">
        <f>$AW$7*EXP(-'3.r(t)'!D383*$AW$21)</f>
        <v>0.86718755429225491</v>
      </c>
      <c r="AH385" s="7">
        <f ca="1">$AW$8*EXP(-'3.r(t)'!E383*$AW$22)</f>
        <v>0.88179866492743342</v>
      </c>
      <c r="AI385" s="7">
        <f ca="1">$AW$9*EXP(-'3.r(t)'!F383*$AW$23)</f>
        <v>0.91024959300400377</v>
      </c>
      <c r="AJ385" s="7">
        <f ca="1">$AW$10*EXP(-'3.r(t)'!G383*$AW$24)</f>
        <v>0.94005025023850475</v>
      </c>
      <c r="AK385" s="7">
        <f ca="1">$AW$11*EXP(-'3.r(t)'!H383*$AW$25)</f>
        <v>0.95052759712397994</v>
      </c>
      <c r="AL385" s="7">
        <f ca="1">$AW$12*EXP(-'3.r(t)'!I383*$AW$26)</f>
        <v>0.97461998084224355</v>
      </c>
      <c r="AM385" s="7">
        <v>1</v>
      </c>
      <c r="AN385" s="7"/>
    </row>
    <row r="386" spans="2:40">
      <c r="B386" s="7">
        <v>378</v>
      </c>
      <c r="C386" s="7">
        <f>$AR$7*EXP(-'3.r(t)'!D384*$AR$21)</f>
        <v>0.97765346695821032</v>
      </c>
      <c r="D386" s="7">
        <v>1</v>
      </c>
      <c r="E386" s="7"/>
      <c r="F386" s="7">
        <v>378</v>
      </c>
      <c r="G386" s="48">
        <f>$AS$7*EXP(-'3.r(t)'!D384*$AS$21)</f>
        <v>0.9553476245219803</v>
      </c>
      <c r="H386" s="7">
        <f ca="1">$AS$8*EXP(-'3.r(t)'!E384*$AS$22)</f>
        <v>0.97709245316357374</v>
      </c>
      <c r="I386" s="7">
        <v>1</v>
      </c>
      <c r="J386" s="7"/>
      <c r="K386" s="7">
        <v>378</v>
      </c>
      <c r="L386" s="7">
        <f>$AT$7*EXP(-'3.r(t)'!D384*$AT$21)</f>
        <v>0.93311670519824419</v>
      </c>
      <c r="M386" s="7">
        <f ca="1">$AT$8*EXP(-'3.r(t)'!E384*$AT$22)</f>
        <v>0.95425998037613913</v>
      </c>
      <c r="N386" s="7">
        <f ca="1">$AT$9*EXP(-'3.r(t)'!F384*$AT$23)</f>
        <v>0.97750197223360147</v>
      </c>
      <c r="O386" s="7">
        <v>1</v>
      </c>
      <c r="P386" s="7"/>
      <c r="Q386" s="7">
        <v>378</v>
      </c>
      <c r="R386" s="7">
        <f>$AU$7*EXP(-'3.r(t)'!D384*$AU$21)</f>
        <v>0.91099305977534117</v>
      </c>
      <c r="S386" s="7">
        <f ca="1">$AU$8*EXP(-'3.r(t)'!E384*$AU$22)</f>
        <v>0.93153605778427273</v>
      </c>
      <c r="T386" s="7">
        <f ca="1">$AU$9*EXP(-'3.r(t)'!F384*$AU$23)</f>
        <v>0.95506852324282399</v>
      </c>
      <c r="U386" s="7">
        <f ca="1">$AU$10*EXP(-'3.r(t)'!G384*$AU$24)</f>
        <v>0.97777763539181117</v>
      </c>
      <c r="V386" s="7">
        <v>1</v>
      </c>
      <c r="W386" s="7"/>
      <c r="X386" s="7">
        <v>378</v>
      </c>
      <c r="Y386" s="7">
        <f>$AV$7*EXP(-'3.r(t)'!D384*$AV$21)</f>
        <v>0.88900715067201674</v>
      </c>
      <c r="Z386" s="7">
        <f ca="1">$AV$8*EXP(-'3.r(t)'!E384*$AV$22)</f>
        <v>0.90895221305408436</v>
      </c>
      <c r="AA386" s="7">
        <f ca="1">$AV$9*EXP(-'3.r(t)'!F384*$AV$23)</f>
        <v>0.93273265884421375</v>
      </c>
      <c r="AB386" s="7">
        <f ca="1">$AV$10*EXP(-'3.r(t)'!G384*$AV$24)</f>
        <v>0.95561575375232122</v>
      </c>
      <c r="AC386" s="7">
        <f ca="1">$AV$11*EXP(-'3.r(t)'!H384*$AV$25)</f>
        <v>0.9759536186224661</v>
      </c>
      <c r="AD386" s="7">
        <v>1</v>
      </c>
      <c r="AE386" s="7"/>
      <c r="AF386" s="7">
        <v>378</v>
      </c>
      <c r="AG386" s="7">
        <f>$AW$7*EXP(-'3.r(t)'!D384*$AW$21)</f>
        <v>0.86718755429225491</v>
      </c>
      <c r="AH386" s="7">
        <f ca="1">$AW$8*EXP(-'3.r(t)'!E384*$AW$22)</f>
        <v>0.88653802688971184</v>
      </c>
      <c r="AI386" s="7">
        <f ca="1">$AW$9*EXP(-'3.r(t)'!F384*$AW$23)</f>
        <v>0.91052549602955324</v>
      </c>
      <c r="AJ386" s="7">
        <f ca="1">$AW$10*EXP(-'3.r(t)'!G384*$AW$24)</f>
        <v>0.93354685034629292</v>
      </c>
      <c r="AK386" s="7">
        <f ca="1">$AW$11*EXP(-'3.r(t)'!H384*$AW$25)</f>
        <v>0.95206217999499942</v>
      </c>
      <c r="AL386" s="7">
        <f ca="1">$AW$12*EXP(-'3.r(t)'!I384*$AW$26)</f>
        <v>0.97721664096851402</v>
      </c>
      <c r="AM386" s="7">
        <v>1</v>
      </c>
      <c r="AN386" s="7"/>
    </row>
    <row r="387" spans="2:40">
      <c r="B387" s="7">
        <v>379</v>
      </c>
      <c r="C387" s="7">
        <f>$AR$7*EXP(-'3.r(t)'!D385*$AR$21)</f>
        <v>0.97765346695821032</v>
      </c>
      <c r="D387" s="7">
        <v>1</v>
      </c>
      <c r="E387" s="7"/>
      <c r="F387" s="7">
        <v>379</v>
      </c>
      <c r="G387" s="48">
        <f>$AS$7*EXP(-'3.r(t)'!D385*$AS$21)</f>
        <v>0.9553476245219803</v>
      </c>
      <c r="H387" s="7">
        <f ca="1">$AS$8*EXP(-'3.r(t)'!E385*$AS$22)</f>
        <v>0.97869812192228778</v>
      </c>
      <c r="I387" s="7">
        <v>1</v>
      </c>
      <c r="J387" s="7"/>
      <c r="K387" s="7">
        <v>379</v>
      </c>
      <c r="L387" s="7">
        <f>$AT$7*EXP(-'3.r(t)'!D385*$AT$21)</f>
        <v>0.93311670519824419</v>
      </c>
      <c r="M387" s="7">
        <f ca="1">$AT$8*EXP(-'3.r(t)'!E385*$AT$22)</f>
        <v>0.95739885305134798</v>
      </c>
      <c r="N387" s="7">
        <f ca="1">$AT$9*EXP(-'3.r(t)'!F385*$AT$23)</f>
        <v>0.97764919449435206</v>
      </c>
      <c r="O387" s="7">
        <v>1</v>
      </c>
      <c r="P387" s="7"/>
      <c r="Q387" s="7">
        <v>379</v>
      </c>
      <c r="R387" s="7">
        <f>$AU$7*EXP(-'3.r(t)'!D385*$AU$21)</f>
        <v>0.91099305977534117</v>
      </c>
      <c r="S387" s="7">
        <f ca="1">$AU$8*EXP(-'3.r(t)'!E385*$AU$22)</f>
        <v>0.93613602471717539</v>
      </c>
      <c r="T387" s="7">
        <f ca="1">$AU$9*EXP(-'3.r(t)'!F385*$AU$23)</f>
        <v>0.9553562319935861</v>
      </c>
      <c r="U387" s="7">
        <f ca="1">$AU$10*EXP(-'3.r(t)'!G385*$AU$24)</f>
        <v>0.9771078833697161</v>
      </c>
      <c r="V387" s="7">
        <v>1</v>
      </c>
      <c r="W387" s="7"/>
      <c r="X387" s="7">
        <v>379</v>
      </c>
      <c r="Y387" s="7">
        <f>$AV$7*EXP(-'3.r(t)'!D385*$AV$21)</f>
        <v>0.88900715067201674</v>
      </c>
      <c r="Z387" s="7">
        <f ca="1">$AV$8*EXP(-'3.r(t)'!E385*$AV$22)</f>
        <v>0.91494172888400338</v>
      </c>
      <c r="AA387" s="7">
        <f ca="1">$AV$9*EXP(-'3.r(t)'!F385*$AV$23)</f>
        <v>0.9331541608893148</v>
      </c>
      <c r="AB387" s="7">
        <f ca="1">$AV$10*EXP(-'3.r(t)'!G385*$AV$24)</f>
        <v>0.95430705868731203</v>
      </c>
      <c r="AC387" s="7">
        <f ca="1">$AV$11*EXP(-'3.r(t)'!H385*$AV$25)</f>
        <v>0.97530282166852844</v>
      </c>
      <c r="AD387" s="7">
        <v>1</v>
      </c>
      <c r="AE387" s="7"/>
      <c r="AF387" s="7">
        <v>379</v>
      </c>
      <c r="AG387" s="7">
        <f>$AW$7*EXP(-'3.r(t)'!D385*$AW$21)</f>
        <v>0.86718755429225491</v>
      </c>
      <c r="AH387" s="7">
        <f ca="1">$AW$8*EXP(-'3.r(t)'!E385*$AW$22)</f>
        <v>0.89384630447700175</v>
      </c>
      <c r="AI387" s="7">
        <f ca="1">$AW$9*EXP(-'3.r(t)'!F385*$AW$23)</f>
        <v>0.91107415951180915</v>
      </c>
      <c r="AJ387" s="7">
        <f ca="1">$AW$10*EXP(-'3.r(t)'!G385*$AW$24)</f>
        <v>0.93162979879111185</v>
      </c>
      <c r="AK387" s="7">
        <f ca="1">$AW$11*EXP(-'3.r(t)'!H385*$AW$25)</f>
        <v>0.95079287257986644</v>
      </c>
      <c r="AL387" s="7">
        <f ca="1">$AW$12*EXP(-'3.r(t)'!I385*$AW$26)</f>
        <v>0.97465215372947134</v>
      </c>
      <c r="AM387" s="7">
        <v>1</v>
      </c>
      <c r="AN387" s="7"/>
    </row>
    <row r="388" spans="2:40">
      <c r="B388" s="7">
        <v>380</v>
      </c>
      <c r="C388" s="7">
        <f>$AR$7*EXP(-'3.r(t)'!D386*$AR$21)</f>
        <v>0.97765346695821032</v>
      </c>
      <c r="D388" s="7">
        <v>1</v>
      </c>
      <c r="E388" s="7"/>
      <c r="F388" s="7">
        <v>380</v>
      </c>
      <c r="G388" s="48">
        <f>$AS$7*EXP(-'3.r(t)'!D386*$AS$21)</f>
        <v>0.9553476245219803</v>
      </c>
      <c r="H388" s="7">
        <f ca="1">$AS$8*EXP(-'3.r(t)'!E386*$AS$22)</f>
        <v>0.97801906344604017</v>
      </c>
      <c r="I388" s="7">
        <v>1</v>
      </c>
      <c r="J388" s="7"/>
      <c r="K388" s="7">
        <v>380</v>
      </c>
      <c r="L388" s="7">
        <f>$AT$7*EXP(-'3.r(t)'!D386*$AT$21)</f>
        <v>0.93311670519824419</v>
      </c>
      <c r="M388" s="7">
        <f ca="1">$AT$8*EXP(-'3.r(t)'!E386*$AT$22)</f>
        <v>0.9560707535093157</v>
      </c>
      <c r="N388" s="7">
        <f ca="1">$AT$9*EXP(-'3.r(t)'!F386*$AT$23)</f>
        <v>0.9692223124856878</v>
      </c>
      <c r="O388" s="7">
        <v>1</v>
      </c>
      <c r="P388" s="7"/>
      <c r="Q388" s="7">
        <v>380</v>
      </c>
      <c r="R388" s="7">
        <f>$AU$7*EXP(-'3.r(t)'!D386*$AU$21)</f>
        <v>0.91099305977534117</v>
      </c>
      <c r="S388" s="7">
        <f ca="1">$AU$8*EXP(-'3.r(t)'!E386*$AU$22)</f>
        <v>0.93418879464704785</v>
      </c>
      <c r="T388" s="7">
        <f ca="1">$AU$9*EXP(-'3.r(t)'!F386*$AU$23)</f>
        <v>0.93895775746532806</v>
      </c>
      <c r="U388" s="7">
        <f ca="1">$AU$10*EXP(-'3.r(t)'!G386*$AU$24)</f>
        <v>0.97067532489824893</v>
      </c>
      <c r="V388" s="7">
        <v>1</v>
      </c>
      <c r="W388" s="7"/>
      <c r="X388" s="7">
        <v>380</v>
      </c>
      <c r="Y388" s="7">
        <f>$AV$7*EXP(-'3.r(t)'!D386*$AV$21)</f>
        <v>0.88900715067201674</v>
      </c>
      <c r="Z388" s="7">
        <f ca="1">$AV$8*EXP(-'3.r(t)'!E386*$AV$22)</f>
        <v>0.91240508311061364</v>
      </c>
      <c r="AA388" s="7">
        <f ca="1">$AV$9*EXP(-'3.r(t)'!F386*$AV$23)</f>
        <v>0.9092314868119219</v>
      </c>
      <c r="AB388" s="7">
        <f ca="1">$AV$10*EXP(-'3.r(t)'!G386*$AV$24)</f>
        <v>0.94178350846226511</v>
      </c>
      <c r="AC388" s="7">
        <f ca="1">$AV$11*EXP(-'3.r(t)'!H386*$AV$25)</f>
        <v>0.96723195187862987</v>
      </c>
      <c r="AD388" s="7">
        <v>1</v>
      </c>
      <c r="AE388" s="7"/>
      <c r="AF388" s="7">
        <v>380</v>
      </c>
      <c r="AG388" s="7">
        <f>$AW$7*EXP(-'3.r(t)'!D386*$AW$21)</f>
        <v>0.86718755429225491</v>
      </c>
      <c r="AH388" s="7">
        <f ca="1">$AW$8*EXP(-'3.r(t)'!E386*$AW$22)</f>
        <v>0.89074967949957384</v>
      </c>
      <c r="AI388" s="7">
        <f ca="1">$AW$9*EXP(-'3.r(t)'!F386*$AW$23)</f>
        <v>0.88006582337151906</v>
      </c>
      <c r="AJ388" s="7">
        <f ca="1">$AW$10*EXP(-'3.r(t)'!G386*$AW$24)</f>
        <v>0.9133511688909175</v>
      </c>
      <c r="AK388" s="7">
        <f ca="1">$AW$11*EXP(-'3.r(t)'!H386*$AW$25)</f>
        <v>0.93512189465827045</v>
      </c>
      <c r="AL388" s="7">
        <f ca="1">$AW$12*EXP(-'3.r(t)'!I386*$AW$26)</f>
        <v>0.96548612689198632</v>
      </c>
      <c r="AM388" s="7">
        <v>1</v>
      </c>
      <c r="AN388" s="7"/>
    </row>
    <row r="389" spans="2:40">
      <c r="B389" s="7">
        <v>381</v>
      </c>
      <c r="C389" s="7">
        <f>$AR$7*EXP(-'3.r(t)'!D387*$AR$21)</f>
        <v>0.97765346695821032</v>
      </c>
      <c r="D389" s="7">
        <v>1</v>
      </c>
      <c r="E389" s="7"/>
      <c r="F389" s="7">
        <v>381</v>
      </c>
      <c r="G389" s="48">
        <f>$AS$7*EXP(-'3.r(t)'!D387*$AS$21)</f>
        <v>0.9553476245219803</v>
      </c>
      <c r="H389" s="7">
        <f ca="1">$AS$8*EXP(-'3.r(t)'!E387*$AS$22)</f>
        <v>0.97641645591050963</v>
      </c>
      <c r="I389" s="7">
        <v>1</v>
      </c>
      <c r="J389" s="7"/>
      <c r="K389" s="7">
        <v>381</v>
      </c>
      <c r="L389" s="7">
        <f>$AT$7*EXP(-'3.r(t)'!D387*$AT$21)</f>
        <v>0.93311670519824419</v>
      </c>
      <c r="M389" s="7">
        <f ca="1">$AT$8*EXP(-'3.r(t)'!E387*$AT$22)</f>
        <v>0.95294003572520214</v>
      </c>
      <c r="N389" s="7">
        <f ca="1">$AT$9*EXP(-'3.r(t)'!F387*$AT$23)</f>
        <v>0.97553864798226897</v>
      </c>
      <c r="O389" s="7">
        <v>1</v>
      </c>
      <c r="P389" s="7"/>
      <c r="Q389" s="7">
        <v>381</v>
      </c>
      <c r="R389" s="7">
        <f>$AU$7*EXP(-'3.r(t)'!D387*$AU$21)</f>
        <v>0.91099305977534117</v>
      </c>
      <c r="S389" s="7">
        <f ca="1">$AU$8*EXP(-'3.r(t)'!E387*$AU$22)</f>
        <v>0.92960395735174928</v>
      </c>
      <c r="T389" s="7">
        <f ca="1">$AU$9*EXP(-'3.r(t)'!F387*$AU$23)</f>
        <v>0.95123584329515998</v>
      </c>
      <c r="U389" s="7">
        <f ca="1">$AU$10*EXP(-'3.r(t)'!G387*$AU$24)</f>
        <v>0.97377718878931985</v>
      </c>
      <c r="V389" s="7">
        <v>1</v>
      </c>
      <c r="W389" s="7"/>
      <c r="X389" s="7">
        <v>381</v>
      </c>
      <c r="Y389" s="7">
        <f>$AV$7*EXP(-'3.r(t)'!D387*$AV$21)</f>
        <v>0.88900715067201674</v>
      </c>
      <c r="Z389" s="7">
        <f ca="1">$AV$8*EXP(-'3.r(t)'!E387*$AV$22)</f>
        <v>0.90643940340064266</v>
      </c>
      <c r="AA389" s="7">
        <f ca="1">$AV$9*EXP(-'3.r(t)'!F387*$AV$23)</f>
        <v>0.92712372588161418</v>
      </c>
      <c r="AB389" s="7">
        <f ca="1">$AV$10*EXP(-'3.r(t)'!G387*$AV$24)</f>
        <v>0.94781220162392343</v>
      </c>
      <c r="AC389" s="7">
        <f ca="1">$AV$11*EXP(-'3.r(t)'!H387*$AV$25)</f>
        <v>0.97278610048225</v>
      </c>
      <c r="AD389" s="7">
        <v>1</v>
      </c>
      <c r="AE389" s="7"/>
      <c r="AF389" s="7">
        <v>381</v>
      </c>
      <c r="AG389" s="7">
        <f>$AW$7*EXP(-'3.r(t)'!D387*$AW$21)</f>
        <v>0.86718755429225491</v>
      </c>
      <c r="AH389" s="7">
        <f ca="1">$AW$8*EXP(-'3.r(t)'!E387*$AW$22)</f>
        <v>0.88347552957967657</v>
      </c>
      <c r="AI389" s="7">
        <f ca="1">$AW$9*EXP(-'3.r(t)'!F387*$AW$23)</f>
        <v>0.90323230071417304</v>
      </c>
      <c r="AJ389" s="7">
        <f ca="1">$AW$10*EXP(-'3.r(t)'!G387*$AW$24)</f>
        <v>0.92213522035650475</v>
      </c>
      <c r="AK389" s="7">
        <f ca="1">$AW$11*EXP(-'3.r(t)'!H387*$AW$25)</f>
        <v>0.9458922547255757</v>
      </c>
      <c r="AL389" s="7">
        <f ca="1">$AW$12*EXP(-'3.r(t)'!I387*$AW$26)</f>
        <v>0.97286695096729248</v>
      </c>
      <c r="AM389" s="7">
        <v>1</v>
      </c>
      <c r="AN389" s="7"/>
    </row>
    <row r="390" spans="2:40">
      <c r="B390" s="7">
        <v>382</v>
      </c>
      <c r="C390" s="7">
        <f>$AR$7*EXP(-'3.r(t)'!D388*$AR$21)</f>
        <v>0.97765346695821032</v>
      </c>
      <c r="D390" s="7">
        <v>1</v>
      </c>
      <c r="E390" s="7"/>
      <c r="F390" s="7">
        <v>382</v>
      </c>
      <c r="G390" s="48">
        <f>$AS$7*EXP(-'3.r(t)'!D388*$AS$21)</f>
        <v>0.9553476245219803</v>
      </c>
      <c r="H390" s="7">
        <f ca="1">$AS$8*EXP(-'3.r(t)'!E388*$AS$22)</f>
        <v>0.97516465789294693</v>
      </c>
      <c r="I390" s="7">
        <v>1</v>
      </c>
      <c r="J390" s="7"/>
      <c r="K390" s="7">
        <v>382</v>
      </c>
      <c r="L390" s="7">
        <f>$AT$7*EXP(-'3.r(t)'!D388*$AT$21)</f>
        <v>0.93311670519824419</v>
      </c>
      <c r="M390" s="7">
        <f ca="1">$AT$8*EXP(-'3.r(t)'!E388*$AT$22)</f>
        <v>0.95049820103623373</v>
      </c>
      <c r="N390" s="7">
        <f ca="1">$AT$9*EXP(-'3.r(t)'!F388*$AT$23)</f>
        <v>0.98040148354275336</v>
      </c>
      <c r="O390" s="7">
        <v>1</v>
      </c>
      <c r="P390" s="7"/>
      <c r="Q390" s="7">
        <v>382</v>
      </c>
      <c r="R390" s="7">
        <f>$AU$7*EXP(-'3.r(t)'!D388*$AU$21)</f>
        <v>0.91099305977534117</v>
      </c>
      <c r="S390" s="7">
        <f ca="1">$AU$8*EXP(-'3.r(t)'!E388*$AU$22)</f>
        <v>0.92603319054412958</v>
      </c>
      <c r="T390" s="7">
        <f ca="1">$AU$9*EXP(-'3.r(t)'!F388*$AU$23)</f>
        <v>0.96074286288524946</v>
      </c>
      <c r="U390" s="7">
        <f ca="1">$AU$10*EXP(-'3.r(t)'!G388*$AU$24)</f>
        <v>0.97857207511881172</v>
      </c>
      <c r="V390" s="7">
        <v>1</v>
      </c>
      <c r="W390" s="7"/>
      <c r="X390" s="7">
        <v>382</v>
      </c>
      <c r="Y390" s="7">
        <f>$AV$7*EXP(-'3.r(t)'!D388*$AV$21)</f>
        <v>0.88900715067201674</v>
      </c>
      <c r="Z390" s="7">
        <f ca="1">$AV$8*EXP(-'3.r(t)'!E388*$AV$22)</f>
        <v>0.9017999942144016</v>
      </c>
      <c r="AA390" s="7">
        <f ca="1">$AV$9*EXP(-'3.r(t)'!F388*$AV$23)</f>
        <v>0.94105744699297356</v>
      </c>
      <c r="AB390" s="7">
        <f ca="1">$AV$10*EXP(-'3.r(t)'!G388*$AV$24)</f>
        <v>0.95716925120566476</v>
      </c>
      <c r="AC390" s="7">
        <f ca="1">$AV$11*EXP(-'3.r(t)'!H388*$AV$25)</f>
        <v>0.9760179574355603</v>
      </c>
      <c r="AD390" s="7">
        <v>1</v>
      </c>
      <c r="AE390" s="7"/>
      <c r="AF390" s="7">
        <v>382</v>
      </c>
      <c r="AG390" s="7">
        <f>$AW$7*EXP(-'3.r(t)'!D388*$AW$21)</f>
        <v>0.86718755429225491</v>
      </c>
      <c r="AH390" s="7">
        <f ca="1">$AW$8*EXP(-'3.r(t)'!E388*$AW$22)</f>
        <v>0.87782680839024141</v>
      </c>
      <c r="AI390" s="7">
        <f ca="1">$AW$9*EXP(-'3.r(t)'!F388*$AW$23)</f>
        <v>0.92137702975579283</v>
      </c>
      <c r="AJ390" s="7">
        <f ca="1">$AW$10*EXP(-'3.r(t)'!G388*$AW$24)</f>
        <v>0.93582420695291069</v>
      </c>
      <c r="AK390" s="7">
        <f ca="1">$AW$11*EXP(-'3.r(t)'!H388*$AW$25)</f>
        <v>0.95218771171814243</v>
      </c>
      <c r="AL390" s="7">
        <f ca="1">$AW$12*EXP(-'3.r(t)'!I388*$AW$26)</f>
        <v>0.97416344940244848</v>
      </c>
      <c r="AM390" s="7">
        <v>1</v>
      </c>
      <c r="AN390" s="7"/>
    </row>
    <row r="391" spans="2:40">
      <c r="B391" s="7">
        <v>383</v>
      </c>
      <c r="C391" s="7">
        <f>$AR$7*EXP(-'3.r(t)'!D389*$AR$21)</f>
        <v>0.97765346695821032</v>
      </c>
      <c r="D391" s="7">
        <v>1</v>
      </c>
      <c r="E391" s="7"/>
      <c r="F391" s="7">
        <v>383</v>
      </c>
      <c r="G391" s="48">
        <f>$AS$7*EXP(-'3.r(t)'!D389*$AS$21)</f>
        <v>0.9553476245219803</v>
      </c>
      <c r="H391" s="7">
        <f ca="1">$AS$8*EXP(-'3.r(t)'!E389*$AS$22)</f>
        <v>0.97840191711631208</v>
      </c>
      <c r="I391" s="7">
        <v>1</v>
      </c>
      <c r="J391" s="7"/>
      <c r="K391" s="7">
        <v>383</v>
      </c>
      <c r="L391" s="7">
        <f>$AT$7*EXP(-'3.r(t)'!D389*$AT$21)</f>
        <v>0.93311670519824419</v>
      </c>
      <c r="M391" s="7">
        <f ca="1">$AT$8*EXP(-'3.r(t)'!E389*$AT$22)</f>
        <v>0.95681942366199513</v>
      </c>
      <c r="N391" s="7">
        <f ca="1">$AT$9*EXP(-'3.r(t)'!F389*$AT$23)</f>
        <v>0.97957432012013912</v>
      </c>
      <c r="O391" s="7">
        <v>1</v>
      </c>
      <c r="P391" s="7"/>
      <c r="Q391" s="7">
        <v>383</v>
      </c>
      <c r="R391" s="7">
        <f>$AU$7*EXP(-'3.r(t)'!D389*$AU$21)</f>
        <v>0.91099305977534117</v>
      </c>
      <c r="S391" s="7">
        <f ca="1">$AU$8*EXP(-'3.r(t)'!E389*$AU$22)</f>
        <v>0.93528631201179691</v>
      </c>
      <c r="T391" s="7">
        <f ca="1">$AU$9*EXP(-'3.r(t)'!F389*$AU$23)</f>
        <v>0.95912239182715109</v>
      </c>
      <c r="U391" s="7">
        <f ca="1">$AU$10*EXP(-'3.r(t)'!G389*$AU$24)</f>
        <v>0.98280435269600774</v>
      </c>
      <c r="V391" s="7">
        <v>1</v>
      </c>
      <c r="W391" s="7"/>
      <c r="X391" s="7">
        <v>383</v>
      </c>
      <c r="Y391" s="7">
        <f>$AV$7*EXP(-'3.r(t)'!D389*$AV$21)</f>
        <v>0.88900715067201674</v>
      </c>
      <c r="Z391" s="7">
        <f ca="1">$AV$8*EXP(-'3.r(t)'!E389*$AV$22)</f>
        <v>0.91383459636395503</v>
      </c>
      <c r="AA391" s="7">
        <f ca="1">$AV$9*EXP(-'3.r(t)'!F389*$AV$23)</f>
        <v>0.93867754930480596</v>
      </c>
      <c r="AB391" s="7">
        <f ca="1">$AV$10*EXP(-'3.r(t)'!G389*$AV$24)</f>
        <v>0.96546657802811631</v>
      </c>
      <c r="AC391" s="7">
        <f ca="1">$AV$11*EXP(-'3.r(t)'!H389*$AV$25)</f>
        <v>0.98462453795393134</v>
      </c>
      <c r="AD391" s="7">
        <v>1</v>
      </c>
      <c r="AE391" s="7"/>
      <c r="AF391" s="7">
        <v>383</v>
      </c>
      <c r="AG391" s="7">
        <f>$AW$7*EXP(-'3.r(t)'!D389*$AW$21)</f>
        <v>0.86718755429225491</v>
      </c>
      <c r="AH391" s="7">
        <f ca="1">$AW$8*EXP(-'3.r(t)'!E389*$AW$22)</f>
        <v>0.89249450174746026</v>
      </c>
      <c r="AI391" s="7">
        <f ca="1">$AW$9*EXP(-'3.r(t)'!F389*$AW$23)</f>
        <v>0.91827150443250027</v>
      </c>
      <c r="AJ391" s="7">
        <f ca="1">$AW$10*EXP(-'3.r(t)'!G389*$AW$24)</f>
        <v>0.94801898228811721</v>
      </c>
      <c r="AK391" s="7">
        <f ca="1">$AW$11*EXP(-'3.r(t)'!H389*$AW$25)</f>
        <v>0.96905464020620613</v>
      </c>
      <c r="AL391" s="7">
        <f ca="1">$AW$12*EXP(-'3.r(t)'!I389*$AW$26)</f>
        <v>0.98624416889102318</v>
      </c>
      <c r="AM391" s="7">
        <v>1</v>
      </c>
      <c r="AN391" s="7"/>
    </row>
    <row r="392" spans="2:40">
      <c r="B392" s="7">
        <v>384</v>
      </c>
      <c r="C392" s="7">
        <f>$AR$7*EXP(-'3.r(t)'!D390*$AR$21)</f>
        <v>0.97765346695821032</v>
      </c>
      <c r="D392" s="7">
        <v>1</v>
      </c>
      <c r="E392" s="7"/>
      <c r="F392" s="7">
        <v>384</v>
      </c>
      <c r="G392" s="48">
        <f>$AS$7*EXP(-'3.r(t)'!D390*$AS$21)</f>
        <v>0.9553476245219803</v>
      </c>
      <c r="H392" s="7">
        <f ca="1">$AS$8*EXP(-'3.r(t)'!E390*$AS$22)</f>
        <v>0.97635335080563468</v>
      </c>
      <c r="I392" s="7">
        <v>1</v>
      </c>
      <c r="J392" s="7"/>
      <c r="K392" s="7">
        <v>384</v>
      </c>
      <c r="L392" s="7">
        <f>$AT$7*EXP(-'3.r(t)'!D390*$AT$21)</f>
        <v>0.93311670519824419</v>
      </c>
      <c r="M392" s="7">
        <f ca="1">$AT$8*EXP(-'3.r(t)'!E390*$AT$22)</f>
        <v>0.95281686402469168</v>
      </c>
      <c r="N392" s="7">
        <f ca="1">$AT$9*EXP(-'3.r(t)'!F390*$AT$23)</f>
        <v>0.97639465855275498</v>
      </c>
      <c r="O392" s="7">
        <v>1</v>
      </c>
      <c r="P392" s="7"/>
      <c r="Q392" s="7">
        <v>384</v>
      </c>
      <c r="R392" s="7">
        <f>$AU$7*EXP(-'3.r(t)'!D390*$AU$21)</f>
        <v>0.91099305977534117</v>
      </c>
      <c r="S392" s="7">
        <f ca="1">$AU$8*EXP(-'3.r(t)'!E390*$AU$22)</f>
        <v>0.92942373006159518</v>
      </c>
      <c r="T392" s="7">
        <f ca="1">$AU$9*EXP(-'3.r(t)'!F390*$AU$23)</f>
        <v>0.95290594665470252</v>
      </c>
      <c r="U392" s="7">
        <f ca="1">$AU$10*EXP(-'3.r(t)'!G390*$AU$24)</f>
        <v>0.97736039307357259</v>
      </c>
      <c r="V392" s="7">
        <v>1</v>
      </c>
      <c r="W392" s="7"/>
      <c r="X392" s="7">
        <v>384</v>
      </c>
      <c r="Y392" s="7">
        <f>$AV$7*EXP(-'3.r(t)'!D390*$AV$21)</f>
        <v>0.88900715067201674</v>
      </c>
      <c r="Z392" s="7">
        <f ca="1">$AV$8*EXP(-'3.r(t)'!E390*$AV$22)</f>
        <v>0.90620509596667276</v>
      </c>
      <c r="AA392" s="7">
        <f ca="1">$AV$9*EXP(-'3.r(t)'!F390*$AV$23)</f>
        <v>0.92956645114875247</v>
      </c>
      <c r="AB392" s="7">
        <f ca="1">$AV$10*EXP(-'3.r(t)'!G390*$AV$24)</f>
        <v>0.95480035719307754</v>
      </c>
      <c r="AC392" s="7">
        <f ca="1">$AV$11*EXP(-'3.r(t)'!H390*$AV$25)</f>
        <v>0.97876932304532838</v>
      </c>
      <c r="AD392" s="7">
        <v>1</v>
      </c>
      <c r="AE392" s="7"/>
      <c r="AF392" s="7">
        <v>384</v>
      </c>
      <c r="AG392" s="7">
        <f>$AW$7*EXP(-'3.r(t)'!D390*$AW$21)</f>
        <v>0.86718755429225491</v>
      </c>
      <c r="AH392" s="7">
        <f ca="1">$AW$8*EXP(-'3.r(t)'!E390*$AW$22)</f>
        <v>0.88319007448684173</v>
      </c>
      <c r="AI392" s="7">
        <f ca="1">$AW$9*EXP(-'3.r(t)'!F390*$AW$23)</f>
        <v>0.90640673017735951</v>
      </c>
      <c r="AJ392" s="7">
        <f ca="1">$AW$10*EXP(-'3.r(t)'!G390*$AW$24)</f>
        <v>0.93235225646641373</v>
      </c>
      <c r="AK392" s="7">
        <f ca="1">$AW$11*EXP(-'3.r(t)'!H390*$AW$25)</f>
        <v>0.95756365607763294</v>
      </c>
      <c r="AL392" s="7">
        <f ca="1">$AW$12*EXP(-'3.r(t)'!I390*$AW$26)</f>
        <v>0.98157058450857859</v>
      </c>
      <c r="AM392" s="7">
        <v>1</v>
      </c>
      <c r="AN392" s="7"/>
    </row>
    <row r="393" spans="2:40">
      <c r="B393" s="7">
        <v>385</v>
      </c>
      <c r="C393" s="7">
        <f>$AR$7*EXP(-'3.r(t)'!D391*$AR$21)</f>
        <v>0.97765346695821032</v>
      </c>
      <c r="D393" s="7">
        <v>1</v>
      </c>
      <c r="E393" s="7"/>
      <c r="F393" s="7">
        <v>385</v>
      </c>
      <c r="G393" s="48">
        <f>$AS$7*EXP(-'3.r(t)'!D391*$AS$21)</f>
        <v>0.9553476245219803</v>
      </c>
      <c r="H393" s="7">
        <f ca="1">$AS$8*EXP(-'3.r(t)'!E391*$AS$22)</f>
        <v>0.97837525167786998</v>
      </c>
      <c r="I393" s="7">
        <v>1</v>
      </c>
      <c r="J393" s="7"/>
      <c r="K393" s="7">
        <v>385</v>
      </c>
      <c r="L393" s="7">
        <f>$AT$7*EXP(-'3.r(t)'!D391*$AT$21)</f>
        <v>0.93311670519824419</v>
      </c>
      <c r="M393" s="7">
        <f ca="1">$AT$8*EXP(-'3.r(t)'!E391*$AT$22)</f>
        <v>0.95676726991757777</v>
      </c>
      <c r="N393" s="7">
        <f ca="1">$AT$9*EXP(-'3.r(t)'!F391*$AT$23)</f>
        <v>0.97715715314465779</v>
      </c>
      <c r="O393" s="7">
        <v>1</v>
      </c>
      <c r="P393" s="7"/>
      <c r="Q393" s="7">
        <v>385</v>
      </c>
      <c r="R393" s="7">
        <f>$AU$7*EXP(-'3.r(t)'!D391*$AU$21)</f>
        <v>0.91099305977534117</v>
      </c>
      <c r="S393" s="7">
        <f ca="1">$AU$8*EXP(-'3.r(t)'!E391*$AU$22)</f>
        <v>0.93520984300830212</v>
      </c>
      <c r="T393" s="7">
        <f ca="1">$AU$9*EXP(-'3.r(t)'!F391*$AU$23)</f>
        <v>0.95439483095026456</v>
      </c>
      <c r="U393" s="7">
        <f ca="1">$AU$10*EXP(-'3.r(t)'!G391*$AU$24)</f>
        <v>0.97737854783587275</v>
      </c>
      <c r="V393" s="7">
        <v>1</v>
      </c>
      <c r="W393" s="7"/>
      <c r="X393" s="7">
        <v>385</v>
      </c>
      <c r="Y393" s="7">
        <f>$AV$7*EXP(-'3.r(t)'!D391*$AV$21)</f>
        <v>0.88900715067201674</v>
      </c>
      <c r="Z393" s="7">
        <f ca="1">$AV$8*EXP(-'3.r(t)'!E391*$AV$22)</f>
        <v>0.91373497757300792</v>
      </c>
      <c r="AA393" s="7">
        <f ca="1">$AV$9*EXP(-'3.r(t)'!F391*$AV$23)</f>
        <v>0.93174592758376995</v>
      </c>
      <c r="AB393" s="7">
        <f ca="1">$AV$10*EXP(-'3.r(t)'!G391*$AV$24)</f>
        <v>0.95483582892826435</v>
      </c>
      <c r="AC393" s="7">
        <f ca="1">$AV$11*EXP(-'3.r(t)'!H391*$AV$25)</f>
        <v>0.97747727711274546</v>
      </c>
      <c r="AD393" s="7">
        <v>1</v>
      </c>
      <c r="AE393" s="7"/>
      <c r="AF393" s="7">
        <v>385</v>
      </c>
      <c r="AG393" s="7">
        <f>$AW$7*EXP(-'3.r(t)'!D391*$AW$21)</f>
        <v>0.86718755429225491</v>
      </c>
      <c r="AH393" s="7">
        <f ca="1">$AW$8*EXP(-'3.r(t)'!E391*$AW$22)</f>
        <v>0.89237288781974278</v>
      </c>
      <c r="AI393" s="7">
        <f ca="1">$AW$9*EXP(-'3.r(t)'!F391*$AW$23)</f>
        <v>0.90924140458061764</v>
      </c>
      <c r="AJ393" s="7">
        <f ca="1">$AW$10*EXP(-'3.r(t)'!G391*$AW$24)</f>
        <v>0.93240421359953063</v>
      </c>
      <c r="AK393" s="7">
        <f ca="1">$AW$11*EXP(-'3.r(t)'!H391*$AW$25)</f>
        <v>0.95503721886573401</v>
      </c>
      <c r="AL393" s="7">
        <f ca="1">$AW$12*EXP(-'3.r(t)'!I391*$AW$26)</f>
        <v>0.9791677876062499</v>
      </c>
      <c r="AM393" s="7">
        <v>1</v>
      </c>
      <c r="AN393" s="7"/>
    </row>
    <row r="394" spans="2:40">
      <c r="B394" s="7">
        <v>386</v>
      </c>
      <c r="C394" s="7">
        <f>$AR$7*EXP(-'3.r(t)'!D392*$AR$21)</f>
        <v>0.97765346695821032</v>
      </c>
      <c r="D394" s="7">
        <v>1</v>
      </c>
      <c r="E394" s="7"/>
      <c r="F394" s="7">
        <v>386</v>
      </c>
      <c r="G394" s="48">
        <f>$AS$7*EXP(-'3.r(t)'!D392*$AS$21)</f>
        <v>0.9553476245219803</v>
      </c>
      <c r="H394" s="7">
        <f ca="1">$AS$8*EXP(-'3.r(t)'!E392*$AS$22)</f>
        <v>0.97564484934689277</v>
      </c>
      <c r="I394" s="7">
        <v>1</v>
      </c>
      <c r="J394" s="7"/>
      <c r="K394" s="7">
        <v>386</v>
      </c>
      <c r="L394" s="7">
        <f>$AT$7*EXP(-'3.r(t)'!D392*$AT$21)</f>
        <v>0.93311670519824419</v>
      </c>
      <c r="M394" s="7">
        <f ca="1">$AT$8*EXP(-'3.r(t)'!E392*$AT$22)</f>
        <v>0.9514345218618091</v>
      </c>
      <c r="N394" s="7">
        <f ca="1">$AT$9*EXP(-'3.r(t)'!F392*$AT$23)</f>
        <v>0.9793049622160549</v>
      </c>
      <c r="O394" s="7">
        <v>1</v>
      </c>
      <c r="P394" s="7"/>
      <c r="Q394" s="7">
        <v>386</v>
      </c>
      <c r="R394" s="7">
        <f>$AU$7*EXP(-'3.r(t)'!D392*$AU$21)</f>
        <v>0.91099305977534117</v>
      </c>
      <c r="S394" s="7">
        <f ca="1">$AU$8*EXP(-'3.r(t)'!E392*$AU$22)</f>
        <v>0.92740185856208002</v>
      </c>
      <c r="T394" s="7">
        <f ca="1">$AU$9*EXP(-'3.r(t)'!F392*$AU$23)</f>
        <v>0.95859499605435738</v>
      </c>
      <c r="U394" s="7">
        <f ca="1">$AU$10*EXP(-'3.r(t)'!G392*$AU$24)</f>
        <v>0.97677224236177917</v>
      </c>
      <c r="V394" s="7">
        <v>1</v>
      </c>
      <c r="W394" s="7"/>
      <c r="X394" s="7">
        <v>386</v>
      </c>
      <c r="Y394" s="7">
        <f>$AV$7*EXP(-'3.r(t)'!D392*$AV$21)</f>
        <v>0.88900715067201674</v>
      </c>
      <c r="Z394" s="7">
        <f ca="1">$AV$8*EXP(-'3.r(t)'!E392*$AV$22)</f>
        <v>0.90357756728922622</v>
      </c>
      <c r="AA394" s="7">
        <f ca="1">$AV$9*EXP(-'3.r(t)'!F392*$AV$23)</f>
        <v>0.93790342519638226</v>
      </c>
      <c r="AB394" s="7">
        <f ca="1">$AV$10*EXP(-'3.r(t)'!G392*$AV$24)</f>
        <v>0.95365155364949949</v>
      </c>
      <c r="AC394" s="7">
        <f ca="1">$AV$11*EXP(-'3.r(t)'!H392*$AV$25)</f>
        <v>0.97516678497822129</v>
      </c>
      <c r="AD394" s="7">
        <v>1</v>
      </c>
      <c r="AE394" s="7"/>
      <c r="AF394" s="7">
        <v>386</v>
      </c>
      <c r="AG394" s="7">
        <f>$AW$7*EXP(-'3.r(t)'!D392*$AW$21)</f>
        <v>0.86718755429225491</v>
      </c>
      <c r="AH394" s="7">
        <f ca="1">$AW$8*EXP(-'3.r(t)'!E392*$AW$22)</f>
        <v>0.87999023929320908</v>
      </c>
      <c r="AI394" s="7">
        <f ca="1">$AW$9*EXP(-'3.r(t)'!F392*$AW$23)</f>
        <v>0.91726191615870856</v>
      </c>
      <c r="AJ394" s="7">
        <f ca="1">$AW$10*EXP(-'3.r(t)'!G392*$AW$24)</f>
        <v>0.93067007130108825</v>
      </c>
      <c r="AK394" s="7">
        <f ca="1">$AW$11*EXP(-'3.r(t)'!H392*$AW$25)</f>
        <v>0.95052765506542325</v>
      </c>
      <c r="AL394" s="7">
        <f ca="1">$AW$12*EXP(-'3.r(t)'!I392*$AW$26)</f>
        <v>0.97402658648098739</v>
      </c>
      <c r="AM394" s="7">
        <v>1</v>
      </c>
      <c r="AN394" s="7"/>
    </row>
    <row r="395" spans="2:40">
      <c r="B395" s="7">
        <v>387</v>
      </c>
      <c r="C395" s="7">
        <f>$AR$7*EXP(-'3.r(t)'!D393*$AR$21)</f>
        <v>0.97765346695821032</v>
      </c>
      <c r="D395" s="7">
        <v>1</v>
      </c>
      <c r="E395" s="7"/>
      <c r="F395" s="7">
        <v>387</v>
      </c>
      <c r="G395" s="48">
        <f>$AS$7*EXP(-'3.r(t)'!D393*$AS$21)</f>
        <v>0.9553476245219803</v>
      </c>
      <c r="H395" s="7">
        <f ca="1">$AS$8*EXP(-'3.r(t)'!E393*$AS$22)</f>
        <v>0.97587695579217859</v>
      </c>
      <c r="I395" s="7">
        <v>1</v>
      </c>
      <c r="J395" s="7"/>
      <c r="K395" s="7">
        <v>387</v>
      </c>
      <c r="L395" s="7">
        <f>$AT$7*EXP(-'3.r(t)'!D393*$AT$21)</f>
        <v>0.93311670519824419</v>
      </c>
      <c r="M395" s="7">
        <f ca="1">$AT$8*EXP(-'3.r(t)'!E393*$AT$22)</f>
        <v>0.95188726930000767</v>
      </c>
      <c r="N395" s="7">
        <f ca="1">$AT$9*EXP(-'3.r(t)'!F393*$AT$23)</f>
        <v>0.97746917330962635</v>
      </c>
      <c r="O395" s="7">
        <v>1</v>
      </c>
      <c r="P395" s="7"/>
      <c r="Q395" s="7">
        <v>387</v>
      </c>
      <c r="R395" s="7">
        <f>$AU$7*EXP(-'3.r(t)'!D393*$AU$21)</f>
        <v>0.91099305977534117</v>
      </c>
      <c r="S395" s="7">
        <f ca="1">$AU$8*EXP(-'3.r(t)'!E393*$AU$22)</f>
        <v>0.92806390427202001</v>
      </c>
      <c r="T395" s="7">
        <f ca="1">$AU$9*EXP(-'3.r(t)'!F393*$AU$23)</f>
        <v>0.95500443192590734</v>
      </c>
      <c r="U395" s="7">
        <f ca="1">$AU$10*EXP(-'3.r(t)'!G393*$AU$24)</f>
        <v>0.98015075605494328</v>
      </c>
      <c r="V395" s="7">
        <v>1</v>
      </c>
      <c r="W395" s="7"/>
      <c r="X395" s="7">
        <v>387</v>
      </c>
      <c r="Y395" s="7">
        <f>$AV$7*EXP(-'3.r(t)'!D393*$AV$21)</f>
        <v>0.88900715067201674</v>
      </c>
      <c r="Z395" s="7">
        <f ca="1">$AV$8*EXP(-'3.r(t)'!E393*$AV$22)</f>
        <v>0.90443772057206717</v>
      </c>
      <c r="AA395" s="7">
        <f ca="1">$AV$9*EXP(-'3.r(t)'!F393*$AV$23)</f>
        <v>0.93263877176690591</v>
      </c>
      <c r="AB395" s="7">
        <f ca="1">$AV$10*EXP(-'3.r(t)'!G393*$AV$24)</f>
        <v>0.96026004799070908</v>
      </c>
      <c r="AC395" s="7">
        <f ca="1">$AV$11*EXP(-'3.r(t)'!H393*$AV$25)</f>
        <v>0.97765733331022686</v>
      </c>
      <c r="AD395" s="7">
        <v>1</v>
      </c>
      <c r="AE395" s="7"/>
      <c r="AF395" s="7">
        <v>387</v>
      </c>
      <c r="AG395" s="7">
        <f>$AW$7*EXP(-'3.r(t)'!D393*$AW$21)</f>
        <v>0.86718755429225491</v>
      </c>
      <c r="AH395" s="7">
        <f ca="1">$AW$8*EXP(-'3.r(t)'!E393*$AW$22)</f>
        <v>0.88103748826209116</v>
      </c>
      <c r="AI395" s="7">
        <f ca="1">$AW$9*EXP(-'3.r(t)'!F393*$AW$23)</f>
        <v>0.91040329575041801</v>
      </c>
      <c r="AJ395" s="7">
        <f ca="1">$AW$10*EXP(-'3.r(t)'!G393*$AW$24)</f>
        <v>0.94036067141165725</v>
      </c>
      <c r="AK395" s="7">
        <f ca="1">$AW$11*EXP(-'3.r(t)'!H393*$AW$25)</f>
        <v>0.9553890965248647</v>
      </c>
      <c r="AL395" s="7">
        <f ca="1">$AW$12*EXP(-'3.r(t)'!I393*$AW$26)</f>
        <v>0.9765279345415413</v>
      </c>
      <c r="AM395" s="7">
        <v>1</v>
      </c>
      <c r="AN395" s="7"/>
    </row>
    <row r="396" spans="2:40">
      <c r="B396" s="7">
        <v>388</v>
      </c>
      <c r="C396" s="7">
        <f>$AR$7*EXP(-'3.r(t)'!D394*$AR$21)</f>
        <v>0.97765346695821032</v>
      </c>
      <c r="D396" s="7">
        <v>1</v>
      </c>
      <c r="E396" s="7"/>
      <c r="F396" s="7">
        <v>388</v>
      </c>
      <c r="G396" s="48">
        <f>$AS$7*EXP(-'3.r(t)'!D394*$AS$21)</f>
        <v>0.9553476245219803</v>
      </c>
      <c r="H396" s="7">
        <f ca="1">$AS$8*EXP(-'3.r(t)'!E394*$AS$22)</f>
        <v>0.97803459828826844</v>
      </c>
      <c r="I396" s="7">
        <v>1</v>
      </c>
      <c r="J396" s="7"/>
      <c r="K396" s="7">
        <v>388</v>
      </c>
      <c r="L396" s="7">
        <f>$AT$7*EXP(-'3.r(t)'!D394*$AT$21)</f>
        <v>0.93311670519824419</v>
      </c>
      <c r="M396" s="7">
        <f ca="1">$AT$8*EXP(-'3.r(t)'!E394*$AT$22)</f>
        <v>0.95610112618164422</v>
      </c>
      <c r="N396" s="7">
        <f ca="1">$AT$9*EXP(-'3.r(t)'!F394*$AT$23)</f>
        <v>0.98082912948707446</v>
      </c>
      <c r="O396" s="7">
        <v>1</v>
      </c>
      <c r="P396" s="7"/>
      <c r="Q396" s="7">
        <v>388</v>
      </c>
      <c r="R396" s="7">
        <f>$AU$7*EXP(-'3.r(t)'!D394*$AU$21)</f>
        <v>0.91099305977534117</v>
      </c>
      <c r="S396" s="7">
        <f ca="1">$AU$8*EXP(-'3.r(t)'!E394*$AU$22)</f>
        <v>0.93423331128254872</v>
      </c>
      <c r="T396" s="7">
        <f ca="1">$AU$9*EXP(-'3.r(t)'!F394*$AU$23)</f>
        <v>0.96158118759761346</v>
      </c>
      <c r="U396" s="7">
        <f ca="1">$AU$10*EXP(-'3.r(t)'!G394*$AU$24)</f>
        <v>0.98340956994983986</v>
      </c>
      <c r="V396" s="7">
        <v>1</v>
      </c>
      <c r="W396" s="7"/>
      <c r="X396" s="7">
        <v>388</v>
      </c>
      <c r="Y396" s="7">
        <f>$AV$7*EXP(-'3.r(t)'!D394*$AV$21)</f>
        <v>0.88900715067201674</v>
      </c>
      <c r="Z396" s="7">
        <f ca="1">$AV$8*EXP(-'3.r(t)'!E394*$AV$22)</f>
        <v>0.91246305501426583</v>
      </c>
      <c r="AA396" s="7">
        <f ca="1">$AV$9*EXP(-'3.r(t)'!F394*$AV$23)</f>
        <v>0.94228943707499824</v>
      </c>
      <c r="AB396" s="7">
        <f ca="1">$AV$10*EXP(-'3.r(t)'!G394*$AV$24)</f>
        <v>0.96665602523093752</v>
      </c>
      <c r="AC396" s="7">
        <f ca="1">$AV$11*EXP(-'3.r(t)'!H394*$AV$25)</f>
        <v>0.98696198368809873</v>
      </c>
      <c r="AD396" s="7">
        <v>1</v>
      </c>
      <c r="AE396" s="7"/>
      <c r="AF396" s="7">
        <v>388</v>
      </c>
      <c r="AG396" s="7">
        <f>$AW$7*EXP(-'3.r(t)'!D394*$AW$21)</f>
        <v>0.86718755429225491</v>
      </c>
      <c r="AH396" s="7">
        <f ca="1">$AW$8*EXP(-'3.r(t)'!E394*$AW$22)</f>
        <v>0.89082042502925929</v>
      </c>
      <c r="AI396" s="7">
        <f ca="1">$AW$9*EXP(-'3.r(t)'!F394*$AW$23)</f>
        <v>0.92298568105950496</v>
      </c>
      <c r="AJ396" s="7">
        <f ca="1">$AW$10*EXP(-'3.r(t)'!G394*$AW$24)</f>
        <v>0.94977144962159399</v>
      </c>
      <c r="AK396" s="7">
        <f ca="1">$AW$11*EXP(-'3.r(t)'!H394*$AW$25)</f>
        <v>0.97366106869815872</v>
      </c>
      <c r="AL396" s="7">
        <f ca="1">$AW$12*EXP(-'3.r(t)'!I394*$AW$26)</f>
        <v>0.98570268318916443</v>
      </c>
      <c r="AM396" s="7">
        <v>1</v>
      </c>
      <c r="AN396" s="7"/>
    </row>
    <row r="397" spans="2:40">
      <c r="B397" s="7">
        <v>389</v>
      </c>
      <c r="C397" s="7">
        <f>$AR$7*EXP(-'3.r(t)'!D395*$AR$21)</f>
        <v>0.97765346695821032</v>
      </c>
      <c r="D397" s="7">
        <v>1</v>
      </c>
      <c r="E397" s="7"/>
      <c r="F397" s="7">
        <v>389</v>
      </c>
      <c r="G397" s="48">
        <f>$AS$7*EXP(-'3.r(t)'!D395*$AS$21)</f>
        <v>0.9553476245219803</v>
      </c>
      <c r="H397" s="7">
        <f ca="1">$AS$8*EXP(-'3.r(t)'!E395*$AS$22)</f>
        <v>0.97701059315968908</v>
      </c>
      <c r="I397" s="7">
        <v>1</v>
      </c>
      <c r="J397" s="7"/>
      <c r="K397" s="7">
        <v>389</v>
      </c>
      <c r="L397" s="7">
        <f>$AT$7*EXP(-'3.r(t)'!D395*$AT$21)</f>
        <v>0.93311670519824419</v>
      </c>
      <c r="M397" s="7">
        <f ca="1">$AT$8*EXP(-'3.r(t)'!E395*$AT$22)</f>
        <v>0.95410009283793951</v>
      </c>
      <c r="N397" s="7">
        <f ca="1">$AT$9*EXP(-'3.r(t)'!F395*$AT$23)</f>
        <v>0.97717046712375866</v>
      </c>
      <c r="O397" s="7">
        <v>1</v>
      </c>
      <c r="P397" s="7"/>
      <c r="Q397" s="7">
        <v>389</v>
      </c>
      <c r="R397" s="7">
        <f>$AU$7*EXP(-'3.r(t)'!D395*$AU$21)</f>
        <v>0.91099305977534117</v>
      </c>
      <c r="S397" s="7">
        <f ca="1">$AU$8*EXP(-'3.r(t)'!E395*$AU$22)</f>
        <v>0.93130194741954686</v>
      </c>
      <c r="T397" s="7">
        <f ca="1">$AU$9*EXP(-'3.r(t)'!F395*$AU$23)</f>
        <v>0.95442083880244843</v>
      </c>
      <c r="U397" s="7">
        <f ca="1">$AU$10*EXP(-'3.r(t)'!G395*$AU$24)</f>
        <v>0.97743554959985424</v>
      </c>
      <c r="V397" s="7">
        <v>1</v>
      </c>
      <c r="W397" s="7"/>
      <c r="X397" s="7">
        <v>389</v>
      </c>
      <c r="Y397" s="7">
        <f>$AV$7*EXP(-'3.r(t)'!D395*$AV$21)</f>
        <v>0.88900715067201674</v>
      </c>
      <c r="Z397" s="7">
        <f ca="1">$AV$8*EXP(-'3.r(t)'!E395*$AV$22)</f>
        <v>0.90864764624934447</v>
      </c>
      <c r="AA397" s="7">
        <f ca="1">$AV$9*EXP(-'3.r(t)'!F395*$AV$23)</f>
        <v>0.93178401382647569</v>
      </c>
      <c r="AB397" s="7">
        <f ca="1">$AV$10*EXP(-'3.r(t)'!G395*$AV$24)</f>
        <v>0.95494720627292207</v>
      </c>
      <c r="AC397" s="7">
        <f ca="1">$AV$11*EXP(-'3.r(t)'!H395*$AV$25)</f>
        <v>0.97313300521917723</v>
      </c>
      <c r="AD397" s="7">
        <v>1</v>
      </c>
      <c r="AE397" s="7"/>
      <c r="AF397" s="7">
        <v>389</v>
      </c>
      <c r="AG397" s="7">
        <f>$AW$7*EXP(-'3.r(t)'!D395*$AW$21)</f>
        <v>0.86718755429225491</v>
      </c>
      <c r="AH397" s="7">
        <f ca="1">$AW$8*EXP(-'3.r(t)'!E395*$AW$22)</f>
        <v>0.88616672196834745</v>
      </c>
      <c r="AI397" s="7">
        <f ca="1">$AW$9*EXP(-'3.r(t)'!F395*$AW$23)</f>
        <v>0.9092909600423329</v>
      </c>
      <c r="AJ397" s="7">
        <f ca="1">$AW$10*EXP(-'3.r(t)'!G395*$AW$24)</f>
        <v>0.93256735955189018</v>
      </c>
      <c r="AK397" s="7">
        <f ca="1">$AW$11*EXP(-'3.r(t)'!H395*$AW$25)</f>
        <v>0.9465670032886162</v>
      </c>
      <c r="AL397" s="7">
        <f ca="1">$AW$12*EXP(-'3.r(t)'!I395*$AW$26)</f>
        <v>0.97006910553558268</v>
      </c>
      <c r="AM397" s="7">
        <v>1</v>
      </c>
      <c r="AN397" s="7"/>
    </row>
    <row r="398" spans="2:40">
      <c r="B398" s="7">
        <v>390</v>
      </c>
      <c r="C398" s="7">
        <f>$AR$7*EXP(-'3.r(t)'!D396*$AR$21)</f>
        <v>0.97765346695821032</v>
      </c>
      <c r="D398" s="7">
        <v>1</v>
      </c>
      <c r="E398" s="7"/>
      <c r="F398" s="7">
        <v>390</v>
      </c>
      <c r="G398" s="48">
        <f>$AS$7*EXP(-'3.r(t)'!D396*$AS$21)</f>
        <v>0.9553476245219803</v>
      </c>
      <c r="H398" s="7">
        <f ca="1">$AS$8*EXP(-'3.r(t)'!E396*$AS$22)</f>
        <v>0.97706682199280004</v>
      </c>
      <c r="I398" s="7">
        <v>1</v>
      </c>
      <c r="J398" s="7"/>
      <c r="K398" s="7">
        <v>390</v>
      </c>
      <c r="L398" s="7">
        <f>$AT$7*EXP(-'3.r(t)'!D396*$AT$21)</f>
        <v>0.93311670519824419</v>
      </c>
      <c r="M398" s="7">
        <f ca="1">$AT$8*EXP(-'3.r(t)'!E396*$AT$22)</f>
        <v>0.95420991657790244</v>
      </c>
      <c r="N398" s="7">
        <f ca="1">$AT$9*EXP(-'3.r(t)'!F396*$AT$23)</f>
        <v>0.97625668485050887</v>
      </c>
      <c r="O398" s="7">
        <v>1</v>
      </c>
      <c r="P398" s="7"/>
      <c r="Q398" s="7">
        <v>390</v>
      </c>
      <c r="R398" s="7">
        <f>$AU$7*EXP(-'3.r(t)'!D396*$AU$21)</f>
        <v>0.91099305977534117</v>
      </c>
      <c r="S398" s="7">
        <f ca="1">$AU$8*EXP(-'3.r(t)'!E396*$AU$22)</f>
        <v>0.93146275131246314</v>
      </c>
      <c r="T398" s="7">
        <f ca="1">$AU$9*EXP(-'3.r(t)'!F396*$AU$23)</f>
        <v>0.95263665662774677</v>
      </c>
      <c r="U398" s="7">
        <f ca="1">$AU$10*EXP(-'3.r(t)'!G396*$AU$24)</f>
        <v>0.97840354135508623</v>
      </c>
      <c r="V398" s="7">
        <v>1</v>
      </c>
      <c r="W398" s="7"/>
      <c r="X398" s="7">
        <v>390</v>
      </c>
      <c r="Y398" s="7">
        <f>$AV$7*EXP(-'3.r(t)'!D396*$AV$21)</f>
        <v>0.88900715067201674</v>
      </c>
      <c r="Z398" s="7">
        <f ca="1">$AV$8*EXP(-'3.r(t)'!E396*$AV$22)</f>
        <v>0.90885684196560568</v>
      </c>
      <c r="AA398" s="7">
        <f ca="1">$AV$9*EXP(-'3.r(t)'!F396*$AV$23)</f>
        <v>0.92917243751683065</v>
      </c>
      <c r="AB398" s="7">
        <f ca="1">$AV$10*EXP(-'3.r(t)'!G396*$AV$24)</f>
        <v>0.95683958423615034</v>
      </c>
      <c r="AC398" s="7">
        <f ca="1">$AV$11*EXP(-'3.r(t)'!H396*$AV$25)</f>
        <v>0.98350990720628861</v>
      </c>
      <c r="AD398" s="7">
        <v>1</v>
      </c>
      <c r="AE398" s="7"/>
      <c r="AF398" s="7">
        <v>390</v>
      </c>
      <c r="AG398" s="7">
        <f>$AW$7*EXP(-'3.r(t)'!D396*$AW$21)</f>
        <v>0.86718755429225491</v>
      </c>
      <c r="AH398" s="7">
        <f ca="1">$AW$8*EXP(-'3.r(t)'!E396*$AW$22)</f>
        <v>0.88642175429248427</v>
      </c>
      <c r="AI398" s="7">
        <f ca="1">$AW$9*EXP(-'3.r(t)'!F396*$AW$23)</f>
        <v>0.90589450375161662</v>
      </c>
      <c r="AJ398" s="7">
        <f ca="1">$AW$10*EXP(-'3.r(t)'!G396*$AW$24)</f>
        <v>0.93534077557824424</v>
      </c>
      <c r="AK398" s="7">
        <f ca="1">$AW$11*EXP(-'3.r(t)'!H396*$AW$25)</f>
        <v>0.96686187194028583</v>
      </c>
      <c r="AL398" s="7">
        <f ca="1">$AW$12*EXP(-'3.r(t)'!I396*$AW$26)</f>
        <v>0.98117345902895758</v>
      </c>
      <c r="AM398" s="7">
        <v>1</v>
      </c>
      <c r="AN398" s="7"/>
    </row>
    <row r="399" spans="2:40">
      <c r="B399" s="7">
        <v>391</v>
      </c>
      <c r="C399" s="7">
        <f>$AR$7*EXP(-'3.r(t)'!D397*$AR$21)</f>
        <v>0.97765346695821032</v>
      </c>
      <c r="D399" s="7">
        <v>1</v>
      </c>
      <c r="E399" s="7"/>
      <c r="F399" s="7">
        <v>391</v>
      </c>
      <c r="G399" s="48">
        <f>$AS$7*EXP(-'3.r(t)'!D397*$AS$21)</f>
        <v>0.9553476245219803</v>
      </c>
      <c r="H399" s="7">
        <f ca="1">$AS$8*EXP(-'3.r(t)'!E397*$AS$22)</f>
        <v>0.97765160605423274</v>
      </c>
      <c r="I399" s="7">
        <v>1</v>
      </c>
      <c r="J399" s="7"/>
      <c r="K399" s="7">
        <v>391</v>
      </c>
      <c r="L399" s="7">
        <f>$AT$7*EXP(-'3.r(t)'!D397*$AT$21)</f>
        <v>0.93311670519824419</v>
      </c>
      <c r="M399" s="7">
        <f ca="1">$AT$8*EXP(-'3.r(t)'!E397*$AT$22)</f>
        <v>0.95535246634863302</v>
      </c>
      <c r="N399" s="7">
        <f ca="1">$AT$9*EXP(-'3.r(t)'!F397*$AT$23)</f>
        <v>0.97750833553448935</v>
      </c>
      <c r="O399" s="7">
        <v>1</v>
      </c>
      <c r="P399" s="7"/>
      <c r="Q399" s="7">
        <v>391</v>
      </c>
      <c r="R399" s="7">
        <f>$AU$7*EXP(-'3.r(t)'!D397*$AU$21)</f>
        <v>0.91099305977534117</v>
      </c>
      <c r="S399" s="7">
        <f ca="1">$AU$8*EXP(-'3.r(t)'!E397*$AU$22)</f>
        <v>0.9331362212366624</v>
      </c>
      <c r="T399" s="7">
        <f ca="1">$AU$9*EXP(-'3.r(t)'!F397*$AU$23)</f>
        <v>0.95508095781244284</v>
      </c>
      <c r="U399" s="7">
        <f ca="1">$AU$10*EXP(-'3.r(t)'!G397*$AU$24)</f>
        <v>0.976660515109952</v>
      </c>
      <c r="V399" s="7">
        <v>1</v>
      </c>
      <c r="W399" s="7"/>
      <c r="X399" s="7">
        <v>391</v>
      </c>
      <c r="Y399" s="7">
        <f>$AV$7*EXP(-'3.r(t)'!D397*$AV$21)</f>
        <v>0.88900715067201674</v>
      </c>
      <c r="Z399" s="7">
        <f ca="1">$AV$8*EXP(-'3.r(t)'!E397*$AV$22)</f>
        <v>0.91103463501806525</v>
      </c>
      <c r="AA399" s="7">
        <f ca="1">$AV$9*EXP(-'3.r(t)'!F397*$AV$23)</f>
        <v>0.93275087455332317</v>
      </c>
      <c r="AB399" s="7">
        <f ca="1">$AV$10*EXP(-'3.r(t)'!G397*$AV$24)</f>
        <v>0.9534334009033032</v>
      </c>
      <c r="AC399" s="7">
        <f ca="1">$AV$11*EXP(-'3.r(t)'!H397*$AV$25)</f>
        <v>0.97186406386697011</v>
      </c>
      <c r="AD399" s="7">
        <v>1</v>
      </c>
      <c r="AE399" s="7"/>
      <c r="AF399" s="7">
        <v>391</v>
      </c>
      <c r="AG399" s="7">
        <f>$AW$7*EXP(-'3.r(t)'!D397*$AW$21)</f>
        <v>0.86718755429225491</v>
      </c>
      <c r="AH399" s="7">
        <f ca="1">$AW$8*EXP(-'3.r(t)'!E397*$AW$22)</f>
        <v>0.8890775919836803</v>
      </c>
      <c r="AI399" s="7">
        <f ca="1">$AW$9*EXP(-'3.r(t)'!F397*$AW$23)</f>
        <v>0.91054920546211882</v>
      </c>
      <c r="AJ399" s="7">
        <f ca="1">$AW$10*EXP(-'3.r(t)'!G397*$AW$24)</f>
        <v>0.93035074614553726</v>
      </c>
      <c r="AK399" s="7">
        <f ca="1">$AW$11*EXP(-'3.r(t)'!H397*$AW$25)</f>
        <v>0.94410001289870971</v>
      </c>
      <c r="AL399" s="7">
        <f ca="1">$AW$12*EXP(-'3.r(t)'!I397*$AW$26)</f>
        <v>0.97306868091233778</v>
      </c>
      <c r="AM399" s="7">
        <v>1</v>
      </c>
      <c r="AN399" s="7"/>
    </row>
    <row r="400" spans="2:40">
      <c r="B400" s="7">
        <v>392</v>
      </c>
      <c r="C400" s="7">
        <f>$AR$7*EXP(-'3.r(t)'!D398*$AR$21)</f>
        <v>0.97765346695821032</v>
      </c>
      <c r="D400" s="7">
        <v>1</v>
      </c>
      <c r="E400" s="7"/>
      <c r="F400" s="7">
        <v>392</v>
      </c>
      <c r="G400" s="48">
        <f>$AS$7*EXP(-'3.r(t)'!D398*$AS$21)</f>
        <v>0.9553476245219803</v>
      </c>
      <c r="H400" s="7">
        <f ca="1">$AS$8*EXP(-'3.r(t)'!E398*$AS$22)</f>
        <v>0.97883068175078458</v>
      </c>
      <c r="I400" s="7">
        <v>1</v>
      </c>
      <c r="J400" s="7"/>
      <c r="K400" s="7">
        <v>392</v>
      </c>
      <c r="L400" s="7">
        <f>$AT$7*EXP(-'3.r(t)'!D398*$AT$21)</f>
        <v>0.93311670519824419</v>
      </c>
      <c r="M400" s="7">
        <f ca="1">$AT$8*EXP(-'3.r(t)'!E398*$AT$22)</f>
        <v>0.95765822051055727</v>
      </c>
      <c r="N400" s="7">
        <f ca="1">$AT$9*EXP(-'3.r(t)'!F398*$AT$23)</f>
        <v>0.97666320297397036</v>
      </c>
      <c r="O400" s="7">
        <v>1</v>
      </c>
      <c r="P400" s="7"/>
      <c r="Q400" s="7">
        <v>392</v>
      </c>
      <c r="R400" s="7">
        <f>$AU$7*EXP(-'3.r(t)'!D398*$AU$21)</f>
        <v>0.91099305977534117</v>
      </c>
      <c r="S400" s="7">
        <f ca="1">$AU$8*EXP(-'3.r(t)'!E398*$AU$22)</f>
        <v>0.9365164612484882</v>
      </c>
      <c r="T400" s="7">
        <f ca="1">$AU$9*EXP(-'3.r(t)'!F398*$AU$23)</f>
        <v>0.953430187061581</v>
      </c>
      <c r="U400" s="7">
        <f ca="1">$AU$10*EXP(-'3.r(t)'!G398*$AU$24)</f>
        <v>0.97412136253751591</v>
      </c>
      <c r="V400" s="7">
        <v>1</v>
      </c>
      <c r="W400" s="7"/>
      <c r="X400" s="7">
        <v>392</v>
      </c>
      <c r="Y400" s="7">
        <f>$AV$7*EXP(-'3.r(t)'!D398*$AV$21)</f>
        <v>0.88900715067201674</v>
      </c>
      <c r="Z400" s="7">
        <f ca="1">$AV$8*EXP(-'3.r(t)'!E398*$AV$22)</f>
        <v>0.915437526962112</v>
      </c>
      <c r="AA400" s="7">
        <f ca="1">$AV$9*EXP(-'3.r(t)'!F398*$AV$23)</f>
        <v>0.93033365694849601</v>
      </c>
      <c r="AB400" s="7">
        <f ca="1">$AV$10*EXP(-'3.r(t)'!G398*$AV$24)</f>
        <v>0.94848231328868238</v>
      </c>
      <c r="AC400" s="7">
        <f ca="1">$AV$11*EXP(-'3.r(t)'!H398*$AV$25)</f>
        <v>0.97484878400408526</v>
      </c>
      <c r="AD400" s="7">
        <v>1</v>
      </c>
      <c r="AE400" s="7"/>
      <c r="AF400" s="7">
        <v>392</v>
      </c>
      <c r="AG400" s="7">
        <f>$AW$7*EXP(-'3.r(t)'!D398*$AW$21)</f>
        <v>0.86718755429225491</v>
      </c>
      <c r="AH400" s="7">
        <f ca="1">$AW$8*EXP(-'3.r(t)'!E398*$AW$22)</f>
        <v>0.89445180382239076</v>
      </c>
      <c r="AI400" s="7">
        <f ca="1">$AW$9*EXP(-'3.r(t)'!F398*$AW$23)</f>
        <v>0.90740432231804657</v>
      </c>
      <c r="AJ400" s="7">
        <f ca="1">$AW$10*EXP(-'3.r(t)'!G398*$AW$24)</f>
        <v>0.92311332990424078</v>
      </c>
      <c r="AK400" s="7">
        <f ca="1">$AW$11*EXP(-'3.r(t)'!H398*$AW$25)</f>
        <v>0.94990782379115024</v>
      </c>
      <c r="AL400" s="7">
        <f ca="1">$AW$12*EXP(-'3.r(t)'!I398*$AW$26)</f>
        <v>0.97356283831823887</v>
      </c>
      <c r="AM400" s="7">
        <v>1</v>
      </c>
      <c r="AN400" s="7"/>
    </row>
    <row r="401" spans="2:40">
      <c r="B401" s="7">
        <v>393</v>
      </c>
      <c r="C401" s="7">
        <f>$AR$7*EXP(-'3.r(t)'!D399*$AR$21)</f>
        <v>0.97765346695821032</v>
      </c>
      <c r="D401" s="7">
        <v>1</v>
      </c>
      <c r="E401" s="7"/>
      <c r="F401" s="7">
        <v>393</v>
      </c>
      <c r="G401" s="48">
        <f>$AS$7*EXP(-'3.r(t)'!D399*$AS$21)</f>
        <v>0.9553476245219803</v>
      </c>
      <c r="H401" s="7">
        <f ca="1">$AS$8*EXP(-'3.r(t)'!E399*$AS$22)</f>
        <v>0.97369986243813511</v>
      </c>
      <c r="I401" s="7">
        <v>1</v>
      </c>
      <c r="J401" s="7"/>
      <c r="K401" s="7">
        <v>393</v>
      </c>
      <c r="L401" s="7">
        <f>$AT$7*EXP(-'3.r(t)'!D399*$AT$21)</f>
        <v>0.93311670519824419</v>
      </c>
      <c r="M401" s="7">
        <f ca="1">$AT$8*EXP(-'3.r(t)'!E399*$AT$22)</f>
        <v>0.9476448577428801</v>
      </c>
      <c r="N401" s="7">
        <f ca="1">$AT$9*EXP(-'3.r(t)'!F399*$AT$23)</f>
        <v>0.97534466745282722</v>
      </c>
      <c r="O401" s="7">
        <v>1</v>
      </c>
      <c r="P401" s="7"/>
      <c r="Q401" s="7">
        <v>393</v>
      </c>
      <c r="R401" s="7">
        <f>$AU$7*EXP(-'3.r(t)'!D399*$AU$21)</f>
        <v>0.91099305977534117</v>
      </c>
      <c r="S401" s="7">
        <f ca="1">$AU$8*EXP(-'3.r(t)'!E399*$AU$22)</f>
        <v>0.92186647051018034</v>
      </c>
      <c r="T401" s="7">
        <f ca="1">$AU$9*EXP(-'3.r(t)'!F399*$AU$23)</f>
        <v>0.95085758480715732</v>
      </c>
      <c r="U401" s="7">
        <f ca="1">$AU$10*EXP(-'3.r(t)'!G399*$AU$24)</f>
        <v>0.97054168698210941</v>
      </c>
      <c r="V401" s="7">
        <v>1</v>
      </c>
      <c r="W401" s="7"/>
      <c r="X401" s="7">
        <v>393</v>
      </c>
      <c r="Y401" s="7">
        <f>$AV$7*EXP(-'3.r(t)'!D399*$AV$21)</f>
        <v>0.88900715067201674</v>
      </c>
      <c r="Z401" s="7">
        <f ca="1">$AV$8*EXP(-'3.r(t)'!E399*$AV$22)</f>
        <v>0.89639381302890464</v>
      </c>
      <c r="AA401" s="7">
        <f ca="1">$AV$9*EXP(-'3.r(t)'!F399*$AV$23)</f>
        <v>0.92657077538715737</v>
      </c>
      <c r="AB401" s="7">
        <f ca="1">$AV$10*EXP(-'3.r(t)'!G399*$AV$24)</f>
        <v>0.94152420585399654</v>
      </c>
      <c r="AC401" s="7">
        <f ca="1">$AV$11*EXP(-'3.r(t)'!H399*$AV$25)</f>
        <v>0.97432768896061217</v>
      </c>
      <c r="AD401" s="7">
        <v>1</v>
      </c>
      <c r="AE401" s="7"/>
      <c r="AF401" s="7">
        <v>393</v>
      </c>
      <c r="AG401" s="7">
        <f>$AW$7*EXP(-'3.r(t)'!D399*$AW$21)</f>
        <v>0.86718755429225491</v>
      </c>
      <c r="AH401" s="7">
        <f ca="1">$AW$8*EXP(-'3.r(t)'!E399*$AW$22)</f>
        <v>0.87125366407825333</v>
      </c>
      <c r="AI401" s="7">
        <f ca="1">$AW$9*EXP(-'3.r(t)'!F399*$AW$23)</f>
        <v>0.90251410373440411</v>
      </c>
      <c r="AJ401" s="7">
        <f ca="1">$AW$10*EXP(-'3.r(t)'!G399*$AW$24)</f>
        <v>0.91297398341968516</v>
      </c>
      <c r="AK401" s="7">
        <f ca="1">$AW$11*EXP(-'3.r(t)'!H399*$AW$25)</f>
        <v>0.94889256897331231</v>
      </c>
      <c r="AL401" s="7">
        <f ca="1">$AW$12*EXP(-'3.r(t)'!I399*$AW$26)</f>
        <v>0.97093124842609935</v>
      </c>
      <c r="AM401" s="7">
        <v>1</v>
      </c>
      <c r="AN401" s="7"/>
    </row>
    <row r="402" spans="2:40">
      <c r="B402" s="7">
        <v>394</v>
      </c>
      <c r="C402" s="7">
        <f>$AR$7*EXP(-'3.r(t)'!D400*$AR$21)</f>
        <v>0.97765346695821032</v>
      </c>
      <c r="D402" s="7">
        <v>1</v>
      </c>
      <c r="E402" s="7"/>
      <c r="F402" s="7">
        <v>394</v>
      </c>
      <c r="G402" s="48">
        <f>$AS$7*EXP(-'3.r(t)'!D400*$AS$21)</f>
        <v>0.9553476245219803</v>
      </c>
      <c r="H402" s="7">
        <f ca="1">$AS$8*EXP(-'3.r(t)'!E400*$AS$22)</f>
        <v>0.97401685244594538</v>
      </c>
      <c r="I402" s="7">
        <v>1</v>
      </c>
      <c r="J402" s="7"/>
      <c r="K402" s="7">
        <v>394</v>
      </c>
      <c r="L402" s="7">
        <f>$AT$7*EXP(-'3.r(t)'!D400*$AT$21)</f>
        <v>0.93311670519824419</v>
      </c>
      <c r="M402" s="7">
        <f ca="1">$AT$8*EXP(-'3.r(t)'!E400*$AT$22)</f>
        <v>0.94826197367230314</v>
      </c>
      <c r="N402" s="7">
        <f ca="1">$AT$9*EXP(-'3.r(t)'!F400*$AT$23)</f>
        <v>0.97407562580122053</v>
      </c>
      <c r="O402" s="7">
        <v>1</v>
      </c>
      <c r="P402" s="7"/>
      <c r="Q402" s="7">
        <v>394</v>
      </c>
      <c r="R402" s="7">
        <f>$AU$7*EXP(-'3.r(t)'!D400*$AU$21)</f>
        <v>0.91099305977534117</v>
      </c>
      <c r="S402" s="7">
        <f ca="1">$AU$8*EXP(-'3.r(t)'!E400*$AU$22)</f>
        <v>0.92276711027068914</v>
      </c>
      <c r="T402" s="7">
        <f ca="1">$AU$9*EXP(-'3.r(t)'!F400*$AU$23)</f>
        <v>0.94838483255248363</v>
      </c>
      <c r="U402" s="7">
        <f ca="1">$AU$10*EXP(-'3.r(t)'!G400*$AU$24)</f>
        <v>0.97199353489727469</v>
      </c>
      <c r="V402" s="7">
        <v>1</v>
      </c>
      <c r="W402" s="7"/>
      <c r="X402" s="7">
        <v>394</v>
      </c>
      <c r="Y402" s="7">
        <f>$AV$7*EXP(-'3.r(t)'!D400*$AV$21)</f>
        <v>0.88900715067201674</v>
      </c>
      <c r="Z402" s="7">
        <f ca="1">$AV$8*EXP(-'3.r(t)'!E400*$AV$22)</f>
        <v>0.8975616746268158</v>
      </c>
      <c r="AA402" s="7">
        <f ca="1">$AV$9*EXP(-'3.r(t)'!F400*$AV$23)</f>
        <v>0.92295873645115534</v>
      </c>
      <c r="AB402" s="7">
        <f ca="1">$AV$10*EXP(-'3.r(t)'!G400*$AV$24)</f>
        <v>0.94434319321785753</v>
      </c>
      <c r="AC402" s="7">
        <f ca="1">$AV$11*EXP(-'3.r(t)'!H400*$AV$25)</f>
        <v>0.96867082452476427</v>
      </c>
      <c r="AD402" s="7">
        <v>1</v>
      </c>
      <c r="AE402" s="7"/>
      <c r="AF402" s="7">
        <v>394</v>
      </c>
      <c r="AG402" s="7">
        <f>$AW$7*EXP(-'3.r(t)'!D400*$AW$21)</f>
        <v>0.86718755429225491</v>
      </c>
      <c r="AH402" s="7">
        <f ca="1">$AW$8*EXP(-'3.r(t)'!E400*$AW$22)</f>
        <v>0.87267277994800074</v>
      </c>
      <c r="AI402" s="7">
        <f ca="1">$AW$9*EXP(-'3.r(t)'!F400*$AW$23)</f>
        <v>0.89782614203462263</v>
      </c>
      <c r="AJ402" s="7">
        <f ca="1">$AW$10*EXP(-'3.r(t)'!G400*$AW$24)</f>
        <v>0.91707731009409521</v>
      </c>
      <c r="AK402" s="7">
        <f ca="1">$AW$11*EXP(-'3.r(t)'!H400*$AW$25)</f>
        <v>0.93790617432140266</v>
      </c>
      <c r="AL402" s="7">
        <f ca="1">$AW$12*EXP(-'3.r(t)'!I400*$AW$26)</f>
        <v>0.96792440470091901</v>
      </c>
      <c r="AM402" s="7">
        <v>1</v>
      </c>
      <c r="AN402" s="7"/>
    </row>
    <row r="403" spans="2:40">
      <c r="B403" s="7">
        <v>395</v>
      </c>
      <c r="C403" s="7">
        <f>$AR$7*EXP(-'3.r(t)'!D401*$AR$21)</f>
        <v>0.97765346695821032</v>
      </c>
      <c r="D403" s="7">
        <v>1</v>
      </c>
      <c r="E403" s="7"/>
      <c r="F403" s="7">
        <v>395</v>
      </c>
      <c r="G403" s="48">
        <f>$AS$7*EXP(-'3.r(t)'!D401*$AS$21)</f>
        <v>0.9553476245219803</v>
      </c>
      <c r="H403" s="7">
        <f ca="1">$AS$8*EXP(-'3.r(t)'!E401*$AS$22)</f>
        <v>0.97811079601452167</v>
      </c>
      <c r="I403" s="7">
        <v>1</v>
      </c>
      <c r="J403" s="7"/>
      <c r="K403" s="7">
        <v>395</v>
      </c>
      <c r="L403" s="7">
        <f>$AT$7*EXP(-'3.r(t)'!D401*$AT$21)</f>
        <v>0.93311670519824419</v>
      </c>
      <c r="M403" s="7">
        <f ca="1">$AT$8*EXP(-'3.r(t)'!E401*$AT$22)</f>
        <v>0.95625010980646385</v>
      </c>
      <c r="N403" s="7">
        <f ca="1">$AT$9*EXP(-'3.r(t)'!F401*$AT$23)</f>
        <v>0.97589936765779395</v>
      </c>
      <c r="O403" s="7">
        <v>1</v>
      </c>
      <c r="P403" s="7"/>
      <c r="Q403" s="7">
        <v>395</v>
      </c>
      <c r="R403" s="7">
        <f>$AU$7*EXP(-'3.r(t)'!D401*$AU$21)</f>
        <v>0.91099305977534117</v>
      </c>
      <c r="S403" s="7">
        <f ca="1">$AU$8*EXP(-'3.r(t)'!E401*$AU$22)</f>
        <v>0.9344516839263568</v>
      </c>
      <c r="T403" s="7">
        <f ca="1">$AU$9*EXP(-'3.r(t)'!F401*$AU$23)</f>
        <v>0.95193944007017728</v>
      </c>
      <c r="U403" s="7">
        <f ca="1">$AU$10*EXP(-'3.r(t)'!G401*$AU$24)</f>
        <v>0.97684998006042945</v>
      </c>
      <c r="V403" s="7">
        <v>1</v>
      </c>
      <c r="W403" s="7"/>
      <c r="X403" s="7">
        <v>395</v>
      </c>
      <c r="Y403" s="7">
        <f>$AV$7*EXP(-'3.r(t)'!D401*$AV$21)</f>
        <v>0.88900715067201674</v>
      </c>
      <c r="Z403" s="7">
        <f ca="1">$AV$8*EXP(-'3.r(t)'!E401*$AV$22)</f>
        <v>0.91274744469074065</v>
      </c>
      <c r="AA403" s="7">
        <f ca="1">$AV$9*EXP(-'3.r(t)'!F401*$AV$23)</f>
        <v>0.9281525588649332</v>
      </c>
      <c r="AB403" s="7">
        <f ca="1">$AV$10*EXP(-'3.r(t)'!G401*$AV$24)</f>
        <v>0.95380335490660395</v>
      </c>
      <c r="AC403" s="7">
        <f ca="1">$AV$11*EXP(-'3.r(t)'!H401*$AV$25)</f>
        <v>0.97621387512277225</v>
      </c>
      <c r="AD403" s="7">
        <v>1</v>
      </c>
      <c r="AE403" s="7"/>
      <c r="AF403" s="7">
        <v>395</v>
      </c>
      <c r="AG403" s="7">
        <f>$AW$7*EXP(-'3.r(t)'!D401*$AW$21)</f>
        <v>0.86718755429225491</v>
      </c>
      <c r="AH403" s="7">
        <f ca="1">$AW$8*EXP(-'3.r(t)'!E401*$AW$22)</f>
        <v>0.89116749387797223</v>
      </c>
      <c r="AI403" s="7">
        <f ca="1">$AW$9*EXP(-'3.r(t)'!F401*$AW$23)</f>
        <v>0.90456897525478497</v>
      </c>
      <c r="AJ403" s="7">
        <f ca="1">$AW$10*EXP(-'3.r(t)'!G401*$AW$24)</f>
        <v>0.93089229477698976</v>
      </c>
      <c r="AK403" s="7">
        <f ca="1">$AW$11*EXP(-'3.r(t)'!H401*$AW$25)</f>
        <v>0.9525700184905449</v>
      </c>
      <c r="AL403" s="7">
        <f ca="1">$AW$12*EXP(-'3.r(t)'!I401*$AW$26)</f>
        <v>0.97682071688185668</v>
      </c>
      <c r="AM403" s="7">
        <v>1</v>
      </c>
      <c r="AN403" s="7"/>
    </row>
    <row r="404" spans="2:40">
      <c r="B404" s="7">
        <v>396</v>
      </c>
      <c r="C404" s="7">
        <f>$AR$7*EXP(-'3.r(t)'!D402*$AR$21)</f>
        <v>0.97765346695821032</v>
      </c>
      <c r="D404" s="7">
        <v>1</v>
      </c>
      <c r="E404" s="7"/>
      <c r="F404" s="7">
        <v>396</v>
      </c>
      <c r="G404" s="48">
        <f>$AS$7*EXP(-'3.r(t)'!D402*$AS$21)</f>
        <v>0.9553476245219803</v>
      </c>
      <c r="H404" s="7">
        <f ca="1">$AS$8*EXP(-'3.r(t)'!E402*$AS$22)</f>
        <v>0.97397432917816851</v>
      </c>
      <c r="I404" s="7">
        <v>1</v>
      </c>
      <c r="J404" s="7"/>
      <c r="K404" s="7">
        <v>396</v>
      </c>
      <c r="L404" s="7">
        <f>$AT$7*EXP(-'3.r(t)'!D402*$AT$21)</f>
        <v>0.93311670519824419</v>
      </c>
      <c r="M404" s="7">
        <f ca="1">$AT$8*EXP(-'3.r(t)'!E402*$AT$22)</f>
        <v>0.94817917773808447</v>
      </c>
      <c r="N404" s="7">
        <f ca="1">$AT$9*EXP(-'3.r(t)'!F402*$AT$23)</f>
        <v>0.97020877282507767</v>
      </c>
      <c r="O404" s="7">
        <v>1</v>
      </c>
      <c r="P404" s="7"/>
      <c r="Q404" s="7">
        <v>396</v>
      </c>
      <c r="R404" s="7">
        <f>$AU$7*EXP(-'3.r(t)'!D402*$AU$21)</f>
        <v>0.91099305977534117</v>
      </c>
      <c r="S404" s="7">
        <f ca="1">$AU$8*EXP(-'3.r(t)'!E402*$AU$22)</f>
        <v>0.92264625807054323</v>
      </c>
      <c r="T404" s="7">
        <f ca="1">$AU$9*EXP(-'3.r(t)'!F402*$AU$23)</f>
        <v>0.94087004515264805</v>
      </c>
      <c r="U404" s="7">
        <f ca="1">$AU$10*EXP(-'3.r(t)'!G402*$AU$24)</f>
        <v>0.97170323703120065</v>
      </c>
      <c r="V404" s="7">
        <v>1</v>
      </c>
      <c r="W404" s="7"/>
      <c r="X404" s="7">
        <v>396</v>
      </c>
      <c r="Y404" s="7">
        <f>$AV$7*EXP(-'3.r(t)'!D402*$AV$21)</f>
        <v>0.88900715067201674</v>
      </c>
      <c r="Z404" s="7">
        <f ca="1">$AV$8*EXP(-'3.r(t)'!E402*$AV$22)</f>
        <v>0.89740494322745468</v>
      </c>
      <c r="AA404" s="7">
        <f ca="1">$AV$9*EXP(-'3.r(t)'!F402*$AV$23)</f>
        <v>0.9120105210090812</v>
      </c>
      <c r="AB404" s="7">
        <f ca="1">$AV$10*EXP(-'3.r(t)'!G402*$AV$24)</f>
        <v>0.94377919795199849</v>
      </c>
      <c r="AC404" s="7">
        <f ca="1">$AV$11*EXP(-'3.r(t)'!H402*$AV$25)</f>
        <v>0.97104808223784578</v>
      </c>
      <c r="AD404" s="7">
        <v>1</v>
      </c>
      <c r="AE404" s="7"/>
      <c r="AF404" s="7">
        <v>396</v>
      </c>
      <c r="AG404" s="7">
        <f>$AW$7*EXP(-'3.r(t)'!D402*$AW$21)</f>
        <v>0.86718755429225491</v>
      </c>
      <c r="AH404" s="7">
        <f ca="1">$AW$8*EXP(-'3.r(t)'!E402*$AW$22)</f>
        <v>0.87248230245175162</v>
      </c>
      <c r="AI404" s="7">
        <f ca="1">$AW$9*EXP(-'3.r(t)'!F402*$AW$23)</f>
        <v>0.88365416963556598</v>
      </c>
      <c r="AJ404" s="7">
        <f ca="1">$AW$10*EXP(-'3.r(t)'!G402*$AW$24)</f>
        <v>0.91625586610414567</v>
      </c>
      <c r="AK404" s="7">
        <f ca="1">$AW$11*EXP(-'3.r(t)'!H402*$AW$25)</f>
        <v>0.94251533682557376</v>
      </c>
      <c r="AL404" s="7">
        <f ca="1">$AW$12*EXP(-'3.r(t)'!I402*$AW$26)</f>
        <v>0.97306627351920072</v>
      </c>
      <c r="AM404" s="7">
        <v>1</v>
      </c>
      <c r="AN404" s="7"/>
    </row>
    <row r="405" spans="2:40">
      <c r="B405" s="7">
        <v>397</v>
      </c>
      <c r="C405" s="7">
        <f>$AR$7*EXP(-'3.r(t)'!D403*$AR$21)</f>
        <v>0.97765346695821032</v>
      </c>
      <c r="D405" s="7">
        <v>1</v>
      </c>
      <c r="E405" s="7"/>
      <c r="F405" s="7">
        <v>397</v>
      </c>
      <c r="G405" s="48">
        <f>$AS$7*EXP(-'3.r(t)'!D403*$AS$21)</f>
        <v>0.9553476245219803</v>
      </c>
      <c r="H405" s="7">
        <f ca="1">$AS$8*EXP(-'3.r(t)'!E403*$AS$22)</f>
        <v>0.97349003276428592</v>
      </c>
      <c r="I405" s="7">
        <v>1</v>
      </c>
      <c r="J405" s="7"/>
      <c r="K405" s="7">
        <v>397</v>
      </c>
      <c r="L405" s="7">
        <f>$AT$7*EXP(-'3.r(t)'!D403*$AT$21)</f>
        <v>0.93311670519824419</v>
      </c>
      <c r="M405" s="7">
        <f ca="1">$AT$8*EXP(-'3.r(t)'!E403*$AT$22)</f>
        <v>0.94723647196832483</v>
      </c>
      <c r="N405" s="7">
        <f ca="1">$AT$9*EXP(-'3.r(t)'!F403*$AT$23)</f>
        <v>0.97466201503957728</v>
      </c>
      <c r="O405" s="7">
        <v>1</v>
      </c>
      <c r="P405" s="7"/>
      <c r="Q405" s="7">
        <v>397</v>
      </c>
      <c r="R405" s="7">
        <f>$AU$7*EXP(-'3.r(t)'!D403*$AU$21)</f>
        <v>0.91099305977534117</v>
      </c>
      <c r="S405" s="7">
        <f ca="1">$AU$8*EXP(-'3.r(t)'!E403*$AU$22)</f>
        <v>0.92127061977652891</v>
      </c>
      <c r="T405" s="7">
        <f ca="1">$AU$9*EXP(-'3.r(t)'!F403*$AU$23)</f>
        <v>0.94952702323376337</v>
      </c>
      <c r="U405" s="7">
        <f ca="1">$AU$10*EXP(-'3.r(t)'!G403*$AU$24)</f>
        <v>0.97356552070651603</v>
      </c>
      <c r="V405" s="7">
        <v>1</v>
      </c>
      <c r="W405" s="7"/>
      <c r="X405" s="7">
        <v>397</v>
      </c>
      <c r="Y405" s="7">
        <f>$AV$7*EXP(-'3.r(t)'!D403*$AV$21)</f>
        <v>0.88900715067201674</v>
      </c>
      <c r="Z405" s="7">
        <f ca="1">$AV$8*EXP(-'3.r(t)'!E403*$AV$22)</f>
        <v>0.89562138103796585</v>
      </c>
      <c r="AA405" s="7">
        <f ca="1">$AV$9*EXP(-'3.r(t)'!F403*$AV$23)</f>
        <v>0.92462659137767889</v>
      </c>
      <c r="AB405" s="7">
        <f ca="1">$AV$10*EXP(-'3.r(t)'!G403*$AV$24)</f>
        <v>0.9474001981604625</v>
      </c>
      <c r="AC405" s="7">
        <f ca="1">$AV$11*EXP(-'3.r(t)'!H403*$AV$25)</f>
        <v>0.97711156151746037</v>
      </c>
      <c r="AD405" s="7">
        <v>1</v>
      </c>
      <c r="AE405" s="7"/>
      <c r="AF405" s="7">
        <v>397</v>
      </c>
      <c r="AG405" s="7">
        <f>$AW$7*EXP(-'3.r(t)'!D403*$AW$21)</f>
        <v>0.86718755429225491</v>
      </c>
      <c r="AH405" s="7">
        <f ca="1">$AW$8*EXP(-'3.r(t)'!E403*$AW$22)</f>
        <v>0.87031530461049367</v>
      </c>
      <c r="AI405" s="7">
        <f ca="1">$AW$9*EXP(-'3.r(t)'!F403*$AW$23)</f>
        <v>0.89999004458365817</v>
      </c>
      <c r="AJ405" s="7">
        <f ca="1">$AW$10*EXP(-'3.r(t)'!G403*$AW$24)</f>
        <v>0.92153402275556495</v>
      </c>
      <c r="AK405" s="7">
        <f ca="1">$AW$11*EXP(-'3.r(t)'!H403*$AW$25)</f>
        <v>0.95432271291356907</v>
      </c>
      <c r="AL405" s="7">
        <f ca="1">$AW$12*EXP(-'3.r(t)'!I403*$AW$26)</f>
        <v>0.97439898963206684</v>
      </c>
      <c r="AM405" s="7">
        <v>1</v>
      </c>
      <c r="AN405" s="7"/>
    </row>
    <row r="406" spans="2:40">
      <c r="B406" s="7">
        <v>398</v>
      </c>
      <c r="C406" s="7">
        <f>$AR$7*EXP(-'3.r(t)'!D404*$AR$21)</f>
        <v>0.97765346695821032</v>
      </c>
      <c r="D406" s="7">
        <v>1</v>
      </c>
      <c r="E406" s="7"/>
      <c r="F406" s="7">
        <v>398</v>
      </c>
      <c r="G406" s="48">
        <f>$AS$7*EXP(-'3.r(t)'!D404*$AS$21)</f>
        <v>0.9553476245219803</v>
      </c>
      <c r="H406" s="7">
        <f ca="1">$AS$8*EXP(-'3.r(t)'!E404*$AS$22)</f>
        <v>0.97877885319253832</v>
      </c>
      <c r="I406" s="7">
        <v>1</v>
      </c>
      <c r="J406" s="7"/>
      <c r="K406" s="7">
        <v>398</v>
      </c>
      <c r="L406" s="7">
        <f>$AT$7*EXP(-'3.r(t)'!D404*$AT$21)</f>
        <v>0.93311670519824419</v>
      </c>
      <c r="M406" s="7">
        <f ca="1">$AT$8*EXP(-'3.r(t)'!E404*$AT$22)</f>
        <v>0.95755680821987377</v>
      </c>
      <c r="N406" s="7">
        <f ca="1">$AT$9*EXP(-'3.r(t)'!F404*$AT$23)</f>
        <v>0.97883961180533385</v>
      </c>
      <c r="O406" s="7">
        <v>1</v>
      </c>
      <c r="P406" s="7"/>
      <c r="Q406" s="7">
        <v>398</v>
      </c>
      <c r="R406" s="7">
        <f>$AU$7*EXP(-'3.r(t)'!D404*$AU$21)</f>
        <v>0.91099305977534117</v>
      </c>
      <c r="S406" s="7">
        <f ca="1">$AU$8*EXP(-'3.r(t)'!E404*$AU$22)</f>
        <v>0.93636770499625588</v>
      </c>
      <c r="T406" s="7">
        <f ca="1">$AU$9*EXP(-'3.r(t)'!F404*$AU$23)</f>
        <v>0.95768419378825564</v>
      </c>
      <c r="U406" s="7">
        <f ca="1">$AU$10*EXP(-'3.r(t)'!G404*$AU$24)</f>
        <v>0.97961699449685968</v>
      </c>
      <c r="V406" s="7">
        <v>1</v>
      </c>
      <c r="W406" s="7"/>
      <c r="X406" s="7">
        <v>398</v>
      </c>
      <c r="Y406" s="7">
        <f>$AV$7*EXP(-'3.r(t)'!D404*$AV$21)</f>
        <v>0.88900715067201674</v>
      </c>
      <c r="Z406" s="7">
        <f ca="1">$AV$8*EXP(-'3.r(t)'!E404*$AV$22)</f>
        <v>0.91524365466178614</v>
      </c>
      <c r="AA406" s="7">
        <f ca="1">$AV$9*EXP(-'3.r(t)'!F404*$AV$23)</f>
        <v>0.93656702928964231</v>
      </c>
      <c r="AB406" s="7">
        <f ca="1">$AV$10*EXP(-'3.r(t)'!G404*$AV$24)</f>
        <v>0.95921447344752575</v>
      </c>
      <c r="AC406" s="7">
        <f ca="1">$AV$11*EXP(-'3.r(t)'!H404*$AV$25)</f>
        <v>0.98214518144893381</v>
      </c>
      <c r="AD406" s="7">
        <v>1</v>
      </c>
      <c r="AE406" s="7"/>
      <c r="AF406" s="7">
        <v>398</v>
      </c>
      <c r="AG406" s="7">
        <f>$AW$7*EXP(-'3.r(t)'!D404*$AW$21)</f>
        <v>0.86718755429225491</v>
      </c>
      <c r="AH406" s="7">
        <f ca="1">$AW$8*EXP(-'3.r(t)'!E404*$AW$22)</f>
        <v>0.89421502518815299</v>
      </c>
      <c r="AI406" s="7">
        <f ca="1">$AW$9*EXP(-'3.r(t)'!F404*$AW$23)</f>
        <v>0.91551968437246989</v>
      </c>
      <c r="AJ406" s="7">
        <f ca="1">$AW$10*EXP(-'3.r(t)'!G404*$AW$24)</f>
        <v>0.93882522876243035</v>
      </c>
      <c r="AK406" s="7">
        <f ca="1">$AW$11*EXP(-'3.r(t)'!H404*$AW$25)</f>
        <v>0.96418048395261713</v>
      </c>
      <c r="AL406" s="7">
        <f ca="1">$AW$12*EXP(-'3.r(t)'!I404*$AW$26)</f>
        <v>0.98133555943824735</v>
      </c>
      <c r="AM406" s="7">
        <v>1</v>
      </c>
      <c r="AN406" s="7"/>
    </row>
    <row r="407" spans="2:40">
      <c r="B407" s="7">
        <v>399</v>
      </c>
      <c r="C407" s="7">
        <f>$AR$7*EXP(-'3.r(t)'!D405*$AR$21)</f>
        <v>0.97765346695821032</v>
      </c>
      <c r="D407" s="7">
        <v>1</v>
      </c>
      <c r="E407" s="7"/>
      <c r="F407" s="7">
        <v>399</v>
      </c>
      <c r="G407" s="48">
        <f>$AS$7*EXP(-'3.r(t)'!D405*$AS$21)</f>
        <v>0.9553476245219803</v>
      </c>
      <c r="H407" s="7">
        <f ca="1">$AS$8*EXP(-'3.r(t)'!E405*$AS$22)</f>
        <v>0.97893039393469439</v>
      </c>
      <c r="I407" s="7">
        <v>1</v>
      </c>
      <c r="J407" s="7"/>
      <c r="K407" s="7">
        <v>399</v>
      </c>
      <c r="L407" s="7">
        <f>$AT$7*EXP(-'3.r(t)'!D405*$AT$21)</f>
        <v>0.93311670519824419</v>
      </c>
      <c r="M407" s="7">
        <f ca="1">$AT$8*EXP(-'3.r(t)'!E405*$AT$22)</f>
        <v>0.95785334119509713</v>
      </c>
      <c r="N407" s="7">
        <f ca="1">$AT$9*EXP(-'3.r(t)'!F405*$AT$23)</f>
        <v>0.97771775620823953</v>
      </c>
      <c r="O407" s="7">
        <v>1</v>
      </c>
      <c r="P407" s="7"/>
      <c r="Q407" s="7">
        <v>399</v>
      </c>
      <c r="R407" s="7">
        <f>$AU$7*EXP(-'3.r(t)'!D405*$AU$21)</f>
        <v>0.91099305977534117</v>
      </c>
      <c r="S407" s="7">
        <f ca="1">$AU$8*EXP(-'3.r(t)'!E405*$AU$22)</f>
        <v>0.93680269547589945</v>
      </c>
      <c r="T407" s="7">
        <f ca="1">$AU$9*EXP(-'3.r(t)'!F405*$AU$23)</f>
        <v>0.95549023334656136</v>
      </c>
      <c r="U407" s="7">
        <f ca="1">$AU$10*EXP(-'3.r(t)'!G405*$AU$24)</f>
        <v>0.9741153434051425</v>
      </c>
      <c r="V407" s="7">
        <v>1</v>
      </c>
      <c r="W407" s="7"/>
      <c r="X407" s="7">
        <v>399</v>
      </c>
      <c r="Y407" s="7">
        <f>$AV$7*EXP(-'3.r(t)'!D405*$AV$21)</f>
        <v>0.88900715067201674</v>
      </c>
      <c r="Z407" s="7">
        <f ca="1">$AV$8*EXP(-'3.r(t)'!E405*$AV$22)</f>
        <v>0.9158106015932882</v>
      </c>
      <c r="AA407" s="7">
        <f ca="1">$AV$9*EXP(-'3.r(t)'!F405*$AV$23)</f>
        <v>0.93335049860173502</v>
      </c>
      <c r="AB407" s="7">
        <f ca="1">$AV$10*EXP(-'3.r(t)'!G405*$AV$24)</f>
        <v>0.94847059190943983</v>
      </c>
      <c r="AC407" s="7">
        <f ca="1">$AV$11*EXP(-'3.r(t)'!H405*$AV$25)</f>
        <v>0.97507612524937004</v>
      </c>
      <c r="AD407" s="7">
        <v>1</v>
      </c>
      <c r="AE407" s="7"/>
      <c r="AF407" s="7">
        <v>399</v>
      </c>
      <c r="AG407" s="7">
        <f>$AW$7*EXP(-'3.r(t)'!D405*$AW$21)</f>
        <v>0.86718755429225491</v>
      </c>
      <c r="AH407" s="7">
        <f ca="1">$AW$8*EXP(-'3.r(t)'!E405*$AW$22)</f>
        <v>0.89490747974852214</v>
      </c>
      <c r="AI407" s="7">
        <f ca="1">$AW$9*EXP(-'3.r(t)'!F405*$AW$23)</f>
        <v>0.91132975784879999</v>
      </c>
      <c r="AJ407" s="7">
        <f ca="1">$AW$10*EXP(-'3.r(t)'!G405*$AW$24)</f>
        <v>0.92309621815448595</v>
      </c>
      <c r="AK407" s="7">
        <f ca="1">$AW$11*EXP(-'3.r(t)'!H405*$AW$25)</f>
        <v>0.95035092514589903</v>
      </c>
      <c r="AL407" s="7">
        <f ca="1">$AW$12*EXP(-'3.r(t)'!I405*$AW$26)</f>
        <v>0.97405524900328699</v>
      </c>
      <c r="AM407" s="7">
        <v>1</v>
      </c>
      <c r="AN407" s="7"/>
    </row>
    <row r="408" spans="2:40">
      <c r="B408" s="7">
        <v>400</v>
      </c>
      <c r="C408" s="7">
        <f>$AR$7*EXP(-'3.r(t)'!D406*$AR$21)</f>
        <v>0.97765346695821032</v>
      </c>
      <c r="D408" s="7">
        <v>1</v>
      </c>
      <c r="E408" s="7"/>
      <c r="F408" s="7">
        <v>400</v>
      </c>
      <c r="G408" s="48">
        <f>$AS$7*EXP(-'3.r(t)'!D406*$AS$21)</f>
        <v>0.9553476245219803</v>
      </c>
      <c r="H408" s="7">
        <f ca="1">$AS$8*EXP(-'3.r(t)'!E406*$AS$22)</f>
        <v>0.97873495587821835</v>
      </c>
      <c r="I408" s="7">
        <v>1</v>
      </c>
      <c r="J408" s="7"/>
      <c r="K408" s="7">
        <v>400</v>
      </c>
      <c r="L408" s="7">
        <f>$AT$7*EXP(-'3.r(t)'!D406*$AT$21)</f>
        <v>0.93311670519824419</v>
      </c>
      <c r="M408" s="7">
        <f ca="1">$AT$8*EXP(-'3.r(t)'!E406*$AT$22)</f>
        <v>0.95747091909495863</v>
      </c>
      <c r="N408" s="7">
        <f ca="1">$AT$9*EXP(-'3.r(t)'!F406*$AT$23)</f>
        <v>0.97572271138378408</v>
      </c>
      <c r="O408" s="7">
        <v>1</v>
      </c>
      <c r="P408" s="7"/>
      <c r="Q408" s="7">
        <v>400</v>
      </c>
      <c r="R408" s="7">
        <f>$AU$7*EXP(-'3.r(t)'!D406*$AU$21)</f>
        <v>0.91099305977534117</v>
      </c>
      <c r="S408" s="7">
        <f ca="1">$AU$8*EXP(-'3.r(t)'!E406*$AU$22)</f>
        <v>0.93624172500430469</v>
      </c>
      <c r="T408" s="7">
        <f ca="1">$AU$9*EXP(-'3.r(t)'!F406*$AU$23)</f>
        <v>0.95159483311680504</v>
      </c>
      <c r="U408" s="7">
        <f ca="1">$AU$10*EXP(-'3.r(t)'!G406*$AU$24)</f>
        <v>0.9741845591676348</v>
      </c>
      <c r="V408" s="7">
        <v>1</v>
      </c>
      <c r="W408" s="7"/>
      <c r="X408" s="7">
        <v>400</v>
      </c>
      <c r="Y408" s="7">
        <f>$AV$7*EXP(-'3.r(t)'!D406*$AV$21)</f>
        <v>0.88900715067201674</v>
      </c>
      <c r="Z408" s="7">
        <f ca="1">$AV$8*EXP(-'3.r(t)'!E406*$AV$22)</f>
        <v>0.9150794744263665</v>
      </c>
      <c r="AA408" s="7">
        <f ca="1">$AV$9*EXP(-'3.r(t)'!F406*$AV$23)</f>
        <v>0.92764861050898462</v>
      </c>
      <c r="AB408" s="7">
        <f ca="1">$AV$10*EXP(-'3.r(t)'!G406*$AV$24)</f>
        <v>0.94860538384760973</v>
      </c>
      <c r="AC408" s="7">
        <f ca="1">$AV$11*EXP(-'3.r(t)'!H406*$AV$25)</f>
        <v>0.96840668286929144</v>
      </c>
      <c r="AD408" s="7">
        <v>1</v>
      </c>
      <c r="AE408" s="7"/>
      <c r="AF408" s="7">
        <v>400</v>
      </c>
      <c r="AG408" s="7">
        <f>$AW$7*EXP(-'3.r(t)'!D406*$AW$21)</f>
        <v>0.86718755429225491</v>
      </c>
      <c r="AH408" s="7">
        <f ca="1">$AW$8*EXP(-'3.r(t)'!E406*$AW$22)</f>
        <v>0.89401451964452383</v>
      </c>
      <c r="AI408" s="7">
        <f ca="1">$AW$9*EXP(-'3.r(t)'!F406*$AW$23)</f>
        <v>0.90391417659154449</v>
      </c>
      <c r="AJ408" s="7">
        <f ca="1">$AW$10*EXP(-'3.r(t)'!G406*$AW$24)</f>
        <v>0.92329300393258718</v>
      </c>
      <c r="AK408" s="7">
        <f ca="1">$AW$11*EXP(-'3.r(t)'!H406*$AW$25)</f>
        <v>0.93739473884542157</v>
      </c>
      <c r="AL408" s="7">
        <f ca="1">$AW$12*EXP(-'3.r(t)'!I406*$AW$26)</f>
        <v>0.96501206156343144</v>
      </c>
      <c r="AM408" s="7">
        <v>1</v>
      </c>
      <c r="AN408" s="7"/>
    </row>
    <row r="409" spans="2:40">
      <c r="B409" s="7">
        <v>401</v>
      </c>
      <c r="C409" s="7">
        <f>$AR$7*EXP(-'3.r(t)'!D407*$AR$21)</f>
        <v>0.97765346695821032</v>
      </c>
      <c r="D409" s="7">
        <v>1</v>
      </c>
      <c r="E409" s="7"/>
      <c r="F409" s="7">
        <v>401</v>
      </c>
      <c r="G409" s="48">
        <f>$AS$7*EXP(-'3.r(t)'!D407*$AS$21)</f>
        <v>0.9553476245219803</v>
      </c>
      <c r="H409" s="7">
        <f ca="1">$AS$8*EXP(-'3.r(t)'!E407*$AS$22)</f>
        <v>0.9756141894914514</v>
      </c>
      <c r="I409" s="7">
        <v>1</v>
      </c>
      <c r="J409" s="7"/>
      <c r="K409" s="7">
        <v>401</v>
      </c>
      <c r="L409" s="7">
        <f>$AT$7*EXP(-'3.r(t)'!D407*$AT$21)</f>
        <v>0.93311670519824419</v>
      </c>
      <c r="M409" s="7">
        <f ca="1">$AT$8*EXP(-'3.r(t)'!E407*$AT$22)</f>
        <v>0.95137472472031548</v>
      </c>
      <c r="N409" s="7">
        <f ca="1">$AT$9*EXP(-'3.r(t)'!F407*$AT$23)</f>
        <v>0.97604200284870735</v>
      </c>
      <c r="O409" s="7">
        <v>1</v>
      </c>
      <c r="P409" s="7"/>
      <c r="Q409" s="7">
        <v>401</v>
      </c>
      <c r="R409" s="7">
        <f>$AU$7*EXP(-'3.r(t)'!D407*$AU$21)</f>
        <v>0.91099305977534117</v>
      </c>
      <c r="S409" s="7">
        <f ca="1">$AU$8*EXP(-'3.r(t)'!E407*$AU$22)</f>
        <v>0.92731442988328505</v>
      </c>
      <c r="T409" s="7">
        <f ca="1">$AU$9*EXP(-'3.r(t)'!F407*$AU$23)</f>
        <v>0.95221772693237294</v>
      </c>
      <c r="U409" s="7">
        <f ca="1">$AU$10*EXP(-'3.r(t)'!G407*$AU$24)</f>
        <v>0.97453624478895551</v>
      </c>
      <c r="V409" s="7">
        <v>1</v>
      </c>
      <c r="W409" s="7"/>
      <c r="X409" s="7">
        <v>401</v>
      </c>
      <c r="Y409" s="7">
        <f>$AV$7*EXP(-'3.r(t)'!D407*$AV$21)</f>
        <v>0.88900715067201674</v>
      </c>
      <c r="Z409" s="7">
        <f ca="1">$AV$8*EXP(-'3.r(t)'!E407*$AV$22)</f>
        <v>0.90346399214247775</v>
      </c>
      <c r="AA409" s="7">
        <f ca="1">$AV$9*EXP(-'3.r(t)'!F407*$AV$23)</f>
        <v>0.92855958823344242</v>
      </c>
      <c r="AB409" s="7">
        <f ca="1">$AV$10*EXP(-'3.r(t)'!G407*$AV$24)</f>
        <v>0.94929041029005257</v>
      </c>
      <c r="AC409" s="7">
        <f ca="1">$AV$11*EXP(-'3.r(t)'!H407*$AV$25)</f>
        <v>0.97625383928221976</v>
      </c>
      <c r="AD409" s="7">
        <v>1</v>
      </c>
      <c r="AE409" s="7"/>
      <c r="AF409" s="7">
        <v>401</v>
      </c>
      <c r="AG409" s="7">
        <f>$AW$7*EXP(-'3.r(t)'!D407*$AW$21)</f>
        <v>0.86718755429225491</v>
      </c>
      <c r="AH409" s="7">
        <f ca="1">$AW$8*EXP(-'3.r(t)'!E407*$AW$22)</f>
        <v>0.87985197854254071</v>
      </c>
      <c r="AI409" s="7">
        <f ca="1">$AW$9*EXP(-'3.r(t)'!F407*$AW$23)</f>
        <v>0.90509793003085282</v>
      </c>
      <c r="AJ409" s="7">
        <f ca="1">$AW$10*EXP(-'3.r(t)'!G407*$AW$24)</f>
        <v>0.92429330548643518</v>
      </c>
      <c r="AK409" s="7">
        <f ca="1">$AW$11*EXP(-'3.r(t)'!H407*$AW$25)</f>
        <v>0.95264801254553555</v>
      </c>
      <c r="AL409" s="7">
        <f ca="1">$AW$12*EXP(-'3.r(t)'!I407*$AW$26)</f>
        <v>0.97691149316143899</v>
      </c>
      <c r="AM409" s="7">
        <v>1</v>
      </c>
      <c r="AN409" s="7"/>
    </row>
    <row r="410" spans="2:40">
      <c r="B410" s="7">
        <v>402</v>
      </c>
      <c r="C410" s="7">
        <f>$AR$7*EXP(-'3.r(t)'!D408*$AR$21)</f>
        <v>0.97765346695821032</v>
      </c>
      <c r="D410" s="7">
        <v>1</v>
      </c>
      <c r="E410" s="7"/>
      <c r="F410" s="7">
        <v>402</v>
      </c>
      <c r="G410" s="48">
        <f>$AS$7*EXP(-'3.r(t)'!D408*$AS$21)</f>
        <v>0.9553476245219803</v>
      </c>
      <c r="H410" s="7">
        <f ca="1">$AS$8*EXP(-'3.r(t)'!E408*$AS$22)</f>
        <v>0.97513759583948478</v>
      </c>
      <c r="I410" s="7">
        <v>1</v>
      </c>
      <c r="J410" s="7"/>
      <c r="K410" s="7">
        <v>402</v>
      </c>
      <c r="L410" s="7">
        <f>$AT$7*EXP(-'3.r(t)'!D408*$AT$21)</f>
        <v>0.93311670519824419</v>
      </c>
      <c r="M410" s="7">
        <f ca="1">$AT$8*EXP(-'3.r(t)'!E408*$AT$22)</f>
        <v>0.95044544671211251</v>
      </c>
      <c r="N410" s="7">
        <f ca="1">$AT$9*EXP(-'3.r(t)'!F408*$AT$23)</f>
        <v>0.97448822408070446</v>
      </c>
      <c r="O410" s="7">
        <v>1</v>
      </c>
      <c r="P410" s="7"/>
      <c r="Q410" s="7">
        <v>402</v>
      </c>
      <c r="R410" s="7">
        <f>$AU$7*EXP(-'3.r(t)'!D408*$AU$21)</f>
        <v>0.91099305977534117</v>
      </c>
      <c r="S410" s="7">
        <f ca="1">$AU$8*EXP(-'3.r(t)'!E408*$AU$22)</f>
        <v>0.9259560969044337</v>
      </c>
      <c r="T410" s="7">
        <f ca="1">$AU$9*EXP(-'3.r(t)'!F408*$AU$23)</f>
        <v>0.94918843509326689</v>
      </c>
      <c r="U410" s="7">
        <f ca="1">$AU$10*EXP(-'3.r(t)'!G408*$AU$24)</f>
        <v>0.97434328283945082</v>
      </c>
      <c r="V410" s="7">
        <v>1</v>
      </c>
      <c r="W410" s="7"/>
      <c r="X410" s="7">
        <v>402</v>
      </c>
      <c r="Y410" s="7">
        <f>$AV$7*EXP(-'3.r(t)'!D408*$AV$21)</f>
        <v>0.88900715067201674</v>
      </c>
      <c r="Z410" s="7">
        <f ca="1">$AV$8*EXP(-'3.r(t)'!E408*$AV$22)</f>
        <v>0.90169989401659101</v>
      </c>
      <c r="AA410" s="7">
        <f ca="1">$AV$9*EXP(-'3.r(t)'!F408*$AV$23)</f>
        <v>0.92413207198009317</v>
      </c>
      <c r="AB410" s="7">
        <f ca="1">$AV$10*EXP(-'3.r(t)'!G408*$AV$24)</f>
        <v>0.9489145211544262</v>
      </c>
      <c r="AC410" s="7">
        <f ca="1">$AV$11*EXP(-'3.r(t)'!H408*$AV$25)</f>
        <v>0.97337874208433939</v>
      </c>
      <c r="AD410" s="7">
        <v>1</v>
      </c>
      <c r="AE410" s="7"/>
      <c r="AF410" s="7">
        <v>402</v>
      </c>
      <c r="AG410" s="7">
        <f>$AW$7*EXP(-'3.r(t)'!D408*$AW$21)</f>
        <v>0.86718755429225491</v>
      </c>
      <c r="AH410" s="7">
        <f ca="1">$AW$8*EXP(-'3.r(t)'!E408*$AW$22)</f>
        <v>0.87770501112576593</v>
      </c>
      <c r="AI410" s="7">
        <f ca="1">$AW$9*EXP(-'3.r(t)'!F408*$AW$23)</f>
        <v>0.89934831113598257</v>
      </c>
      <c r="AJ410" s="7">
        <f ca="1">$AW$10*EXP(-'3.r(t)'!G408*$AW$24)</f>
        <v>0.92374437323249259</v>
      </c>
      <c r="AK410" s="7">
        <f ca="1">$AW$11*EXP(-'3.r(t)'!H408*$AW$25)</f>
        <v>0.94704512041309763</v>
      </c>
      <c r="AL410" s="7">
        <f ca="1">$AW$12*EXP(-'3.r(t)'!I408*$AW$26)</f>
        <v>0.97103165064100017</v>
      </c>
      <c r="AM410" s="7">
        <v>1</v>
      </c>
      <c r="AN410" s="7"/>
    </row>
    <row r="411" spans="2:40">
      <c r="B411" s="7">
        <v>403</v>
      </c>
      <c r="C411" s="7">
        <f>$AR$7*EXP(-'3.r(t)'!D409*$AR$21)</f>
        <v>0.97765346695821032</v>
      </c>
      <c r="D411" s="7">
        <v>1</v>
      </c>
      <c r="E411" s="7"/>
      <c r="F411" s="7">
        <v>403</v>
      </c>
      <c r="G411" s="48">
        <f>$AS$7*EXP(-'3.r(t)'!D409*$AS$21)</f>
        <v>0.9553476245219803</v>
      </c>
      <c r="H411" s="7">
        <f ca="1">$AS$8*EXP(-'3.r(t)'!E409*$AS$22)</f>
        <v>0.98378715330201549</v>
      </c>
      <c r="I411" s="7">
        <v>1</v>
      </c>
      <c r="J411" s="7"/>
      <c r="K411" s="7">
        <v>403</v>
      </c>
      <c r="L411" s="7">
        <f>$AT$7*EXP(-'3.r(t)'!D409*$AT$21)</f>
        <v>0.93311670519824419</v>
      </c>
      <c r="M411" s="7">
        <f ca="1">$AT$8*EXP(-'3.r(t)'!E409*$AT$22)</f>
        <v>0.96738129811176921</v>
      </c>
      <c r="N411" s="7">
        <f ca="1">$AT$9*EXP(-'3.r(t)'!F409*$AT$23)</f>
        <v>0.98269498984874915</v>
      </c>
      <c r="O411" s="7">
        <v>1</v>
      </c>
      <c r="P411" s="7"/>
      <c r="Q411" s="7">
        <v>403</v>
      </c>
      <c r="R411" s="7">
        <f>$AU$7*EXP(-'3.r(t)'!D409*$AU$21)</f>
        <v>0.91099305977534117</v>
      </c>
      <c r="S411" s="7">
        <f ca="1">$AU$8*EXP(-'3.r(t)'!E409*$AU$22)</f>
        <v>0.95081524111635685</v>
      </c>
      <c r="T411" s="7">
        <f ca="1">$AU$9*EXP(-'3.r(t)'!F409*$AU$23)</f>
        <v>0.96524315628475288</v>
      </c>
      <c r="U411" s="7">
        <f ca="1">$AU$10*EXP(-'3.r(t)'!G409*$AU$24)</f>
        <v>0.98154577527283915</v>
      </c>
      <c r="V411" s="7">
        <v>1</v>
      </c>
      <c r="W411" s="7"/>
      <c r="X411" s="7">
        <v>403</v>
      </c>
      <c r="Y411" s="7">
        <f>$AV$7*EXP(-'3.r(t)'!D409*$AV$21)</f>
        <v>0.88900715067201674</v>
      </c>
      <c r="Z411" s="7">
        <f ca="1">$AV$8*EXP(-'3.r(t)'!E409*$AV$22)</f>
        <v>0.93412071699164345</v>
      </c>
      <c r="AA411" s="7">
        <f ca="1">$AV$9*EXP(-'3.r(t)'!F409*$AV$23)</f>
        <v>0.94767730908064107</v>
      </c>
      <c r="AB411" s="7">
        <f ca="1">$AV$10*EXP(-'3.r(t)'!G409*$AV$24)</f>
        <v>0.96299541192479954</v>
      </c>
      <c r="AC411" s="7">
        <f ca="1">$AV$11*EXP(-'3.r(t)'!H409*$AV$25)</f>
        <v>0.97951727436670288</v>
      </c>
      <c r="AD411" s="7">
        <v>1</v>
      </c>
      <c r="AE411" s="7"/>
      <c r="AF411" s="7">
        <v>403</v>
      </c>
      <c r="AG411" s="7">
        <f>$AW$7*EXP(-'3.r(t)'!D409*$AW$21)</f>
        <v>0.86718755429225491</v>
      </c>
      <c r="AH411" s="7">
        <f ca="1">$AW$8*EXP(-'3.r(t)'!E409*$AW$22)</f>
        <v>0.91732833742002451</v>
      </c>
      <c r="AI411" s="7">
        <f ca="1">$AW$9*EXP(-'3.r(t)'!F409*$AW$23)</f>
        <v>0.93002903962601158</v>
      </c>
      <c r="AJ411" s="7">
        <f ca="1">$AW$10*EXP(-'3.r(t)'!G409*$AW$24)</f>
        <v>0.9443815503281352</v>
      </c>
      <c r="AK411" s="7">
        <f ca="1">$AW$11*EXP(-'3.r(t)'!H409*$AW$25)</f>
        <v>0.95902770820996897</v>
      </c>
      <c r="AL411" s="7">
        <f ca="1">$AW$12*EXP(-'3.r(t)'!I409*$AW$26)</f>
        <v>0.9807211925219248</v>
      </c>
      <c r="AM411" s="7">
        <v>1</v>
      </c>
      <c r="AN411" s="7"/>
    </row>
    <row r="412" spans="2:40">
      <c r="B412" s="7">
        <v>404</v>
      </c>
      <c r="C412" s="7">
        <f>$AR$7*EXP(-'3.r(t)'!D410*$AR$21)</f>
        <v>0.97765346695821032</v>
      </c>
      <c r="D412" s="7">
        <v>1</v>
      </c>
      <c r="E412" s="7"/>
      <c r="F412" s="7">
        <v>404</v>
      </c>
      <c r="G412" s="48">
        <f>$AS$7*EXP(-'3.r(t)'!D410*$AS$21)</f>
        <v>0.9553476245219803</v>
      </c>
      <c r="H412" s="7">
        <f ca="1">$AS$8*EXP(-'3.r(t)'!E410*$AS$22)</f>
        <v>0.97607884673723244</v>
      </c>
      <c r="I412" s="7">
        <v>1</v>
      </c>
      <c r="J412" s="7"/>
      <c r="K412" s="7">
        <v>404</v>
      </c>
      <c r="L412" s="7">
        <f>$AT$7*EXP(-'3.r(t)'!D410*$AT$21)</f>
        <v>0.93311670519824419</v>
      </c>
      <c r="M412" s="7">
        <f ca="1">$AT$8*EXP(-'3.r(t)'!E410*$AT$22)</f>
        <v>0.95228116588343437</v>
      </c>
      <c r="N412" s="7">
        <f ca="1">$AT$9*EXP(-'3.r(t)'!F410*$AT$23)</f>
        <v>0.97775729804636469</v>
      </c>
      <c r="O412" s="7">
        <v>1</v>
      </c>
      <c r="P412" s="7"/>
      <c r="Q412" s="7">
        <v>404</v>
      </c>
      <c r="R412" s="7">
        <f>$AU$7*EXP(-'3.r(t)'!D410*$AU$21)</f>
        <v>0.91099305977534117</v>
      </c>
      <c r="S412" s="7">
        <f ca="1">$AU$8*EXP(-'3.r(t)'!E410*$AU$22)</f>
        <v>0.92864002136296886</v>
      </c>
      <c r="T412" s="7">
        <f ca="1">$AU$9*EXP(-'3.r(t)'!F410*$AU$23)</f>
        <v>0.95556752069028139</v>
      </c>
      <c r="U412" s="7">
        <f ca="1">$AU$10*EXP(-'3.r(t)'!G410*$AU$24)</f>
        <v>0.97316996583840909</v>
      </c>
      <c r="V412" s="7">
        <v>1</v>
      </c>
      <c r="W412" s="7"/>
      <c r="X412" s="7">
        <v>404</v>
      </c>
      <c r="Y412" s="7">
        <f>$AV$7*EXP(-'3.r(t)'!D410*$AV$21)</f>
        <v>0.88900715067201674</v>
      </c>
      <c r="Z412" s="7">
        <f ca="1">$AV$8*EXP(-'3.r(t)'!E410*$AV$22)</f>
        <v>0.90518639880266494</v>
      </c>
      <c r="AA412" s="7">
        <f ca="1">$AV$9*EXP(-'3.r(t)'!F410*$AV$23)</f>
        <v>0.93346374566118762</v>
      </c>
      <c r="AB412" s="7">
        <f ca="1">$AV$10*EXP(-'3.r(t)'!G410*$AV$24)</f>
        <v>0.9466305064999162</v>
      </c>
      <c r="AC412" s="7">
        <f ca="1">$AV$11*EXP(-'3.r(t)'!H410*$AV$25)</f>
        <v>0.97091712406334074</v>
      </c>
      <c r="AD412" s="7">
        <v>1</v>
      </c>
      <c r="AE412" s="7"/>
      <c r="AF412" s="7">
        <v>404</v>
      </c>
      <c r="AG412" s="7">
        <f>$AW$7*EXP(-'3.r(t)'!D410*$AW$21)</f>
        <v>0.86718755429225491</v>
      </c>
      <c r="AH412" s="7">
        <f ca="1">$AW$8*EXP(-'3.r(t)'!E410*$AW$22)</f>
        <v>0.88194921746521637</v>
      </c>
      <c r="AI412" s="7">
        <f ca="1">$AW$9*EXP(-'3.r(t)'!F410*$AW$23)</f>
        <v>0.91147719442619024</v>
      </c>
      <c r="AJ412" s="7">
        <f ca="1">$AW$10*EXP(-'3.r(t)'!G410*$AW$24)</f>
        <v>0.9204112348807878</v>
      </c>
      <c r="AK412" s="7">
        <f ca="1">$AW$11*EXP(-'3.r(t)'!H410*$AW$25)</f>
        <v>0.94226113362564334</v>
      </c>
      <c r="AL412" s="7">
        <f ca="1">$AW$12*EXP(-'3.r(t)'!I410*$AW$26)</f>
        <v>0.97010706702315885</v>
      </c>
      <c r="AM412" s="7">
        <v>1</v>
      </c>
      <c r="AN412" s="7"/>
    </row>
    <row r="413" spans="2:40">
      <c r="B413" s="7">
        <v>405</v>
      </c>
      <c r="C413" s="7">
        <f>$AR$7*EXP(-'3.r(t)'!D411*$AR$21)</f>
        <v>0.97765346695821032</v>
      </c>
      <c r="D413" s="7">
        <v>1</v>
      </c>
      <c r="E413" s="7"/>
      <c r="F413" s="7">
        <v>405</v>
      </c>
      <c r="G413" s="48">
        <f>$AS$7*EXP(-'3.r(t)'!D411*$AS$21)</f>
        <v>0.9553476245219803</v>
      </c>
      <c r="H413" s="7">
        <f ca="1">$AS$8*EXP(-'3.r(t)'!E411*$AS$22)</f>
        <v>0.97573151491331256</v>
      </c>
      <c r="I413" s="7">
        <v>1</v>
      </c>
      <c r="J413" s="7"/>
      <c r="K413" s="7">
        <v>405</v>
      </c>
      <c r="L413" s="7">
        <f>$AT$7*EXP(-'3.r(t)'!D411*$AT$21)</f>
        <v>0.93311670519824419</v>
      </c>
      <c r="M413" s="7">
        <f ca="1">$AT$8*EXP(-'3.r(t)'!E411*$AT$22)</f>
        <v>0.95160355934316987</v>
      </c>
      <c r="N413" s="7">
        <f ca="1">$AT$9*EXP(-'3.r(t)'!F411*$AT$23)</f>
        <v>0.97541474263142713</v>
      </c>
      <c r="O413" s="7">
        <v>1</v>
      </c>
      <c r="P413" s="7"/>
      <c r="Q413" s="7">
        <v>405</v>
      </c>
      <c r="R413" s="7">
        <f>$AU$7*EXP(-'3.r(t)'!D411*$AU$21)</f>
        <v>0.91099305977534117</v>
      </c>
      <c r="S413" s="7">
        <f ca="1">$AU$8*EXP(-'3.r(t)'!E411*$AU$22)</f>
        <v>0.92764902108385838</v>
      </c>
      <c r="T413" s="7">
        <f ca="1">$AU$9*EXP(-'3.r(t)'!F411*$AU$23)</f>
        <v>0.95099422144633761</v>
      </c>
      <c r="U413" s="7">
        <f ca="1">$AU$10*EXP(-'3.r(t)'!G411*$AU$24)</f>
        <v>0.97319346505979076</v>
      </c>
      <c r="V413" s="7">
        <v>1</v>
      </c>
      <c r="W413" s="7"/>
      <c r="X413" s="7">
        <v>405</v>
      </c>
      <c r="Y413" s="7">
        <f>$AV$7*EXP(-'3.r(t)'!D411*$AV$21)</f>
        <v>0.88900715067201674</v>
      </c>
      <c r="Z413" s="7">
        <f ca="1">$AV$8*EXP(-'3.r(t)'!E411*$AV$22)</f>
        <v>0.90389866567464117</v>
      </c>
      <c r="AA413" s="7">
        <f ca="1">$AV$9*EXP(-'3.r(t)'!F411*$AV$23)</f>
        <v>0.92677050255998072</v>
      </c>
      <c r="AB413" s="7">
        <f ca="1">$AV$10*EXP(-'3.r(t)'!G411*$AV$24)</f>
        <v>0.94667622379329086</v>
      </c>
      <c r="AC413" s="7">
        <f ca="1">$AV$11*EXP(-'3.r(t)'!H411*$AV$25)</f>
        <v>0.97376527668401081</v>
      </c>
      <c r="AD413" s="7">
        <v>1</v>
      </c>
      <c r="AE413" s="7"/>
      <c r="AF413" s="7">
        <v>405</v>
      </c>
      <c r="AG413" s="7">
        <f>$AW$7*EXP(-'3.r(t)'!D411*$AW$21)</f>
        <v>0.86718755429225491</v>
      </c>
      <c r="AH413" s="7">
        <f ca="1">$AW$8*EXP(-'3.r(t)'!E411*$AW$22)</f>
        <v>0.88038115204619316</v>
      </c>
      <c r="AI413" s="7">
        <f ca="1">$AW$9*EXP(-'3.r(t)'!F411*$AW$23)</f>
        <v>0.90277350189476835</v>
      </c>
      <c r="AJ413" s="7">
        <f ca="1">$AW$10*EXP(-'3.r(t)'!G411*$AW$24)</f>
        <v>0.92047791224571951</v>
      </c>
      <c r="AK413" s="7">
        <f ca="1">$AW$11*EXP(-'3.r(t)'!H411*$AW$25)</f>
        <v>0.94779742447340887</v>
      </c>
      <c r="AL413" s="7">
        <f ca="1">$AW$12*EXP(-'3.r(t)'!I411*$AW$26)</f>
        <v>0.97366571229881882</v>
      </c>
      <c r="AM413" s="7">
        <v>1</v>
      </c>
      <c r="AN413" s="7"/>
    </row>
    <row r="414" spans="2:40">
      <c r="B414" s="7">
        <v>406</v>
      </c>
      <c r="C414" s="7">
        <f>$AR$7*EXP(-'3.r(t)'!D412*$AR$21)</f>
        <v>0.97765346695821032</v>
      </c>
      <c r="D414" s="7">
        <v>1</v>
      </c>
      <c r="E414" s="7"/>
      <c r="F414" s="7">
        <v>406</v>
      </c>
      <c r="G414" s="48">
        <f>$AS$7*EXP(-'3.r(t)'!D412*$AS$21)</f>
        <v>0.9553476245219803</v>
      </c>
      <c r="H414" s="7">
        <f ca="1">$AS$8*EXP(-'3.r(t)'!E412*$AS$22)</f>
        <v>0.97560775451284398</v>
      </c>
      <c r="I414" s="7">
        <v>1</v>
      </c>
      <c r="J414" s="7"/>
      <c r="K414" s="7">
        <v>406</v>
      </c>
      <c r="L414" s="7">
        <f>$AT$7*EXP(-'3.r(t)'!D412*$AT$21)</f>
        <v>0.93311670519824419</v>
      </c>
      <c r="M414" s="7">
        <f ca="1">$AT$8*EXP(-'3.r(t)'!E412*$AT$22)</f>
        <v>0.95136217456293326</v>
      </c>
      <c r="N414" s="7">
        <f ca="1">$AT$9*EXP(-'3.r(t)'!F412*$AT$23)</f>
        <v>0.97663959628130204</v>
      </c>
      <c r="O414" s="7">
        <v>1</v>
      </c>
      <c r="P414" s="7"/>
      <c r="Q414" s="7">
        <v>406</v>
      </c>
      <c r="R414" s="7">
        <f>$AU$7*EXP(-'3.r(t)'!D412*$AU$21)</f>
        <v>0.91099305977534117</v>
      </c>
      <c r="S414" s="7">
        <f ca="1">$AU$8*EXP(-'3.r(t)'!E412*$AU$22)</f>
        <v>0.92729608079850079</v>
      </c>
      <c r="T414" s="7">
        <f ca="1">$AU$9*EXP(-'3.r(t)'!F412*$AU$23)</f>
        <v>0.95338409735260354</v>
      </c>
      <c r="U414" s="7">
        <f ca="1">$AU$10*EXP(-'3.r(t)'!G412*$AU$24)</f>
        <v>0.97593954290830409</v>
      </c>
      <c r="V414" s="7">
        <v>1</v>
      </c>
      <c r="W414" s="7"/>
      <c r="X414" s="7">
        <v>406</v>
      </c>
      <c r="Y414" s="7">
        <f>$AV$7*EXP(-'3.r(t)'!D412*$AV$21)</f>
        <v>0.88900715067201674</v>
      </c>
      <c r="Z414" s="7">
        <f ca="1">$AV$8*EXP(-'3.r(t)'!E412*$AV$22)</f>
        <v>0.90344015602363048</v>
      </c>
      <c r="AA414" s="7">
        <f ca="1">$AV$9*EXP(-'3.r(t)'!F412*$AV$23)</f>
        <v>0.93026619796217824</v>
      </c>
      <c r="AB414" s="7">
        <f ca="1">$AV$10*EXP(-'3.r(t)'!G412*$AV$24)</f>
        <v>0.95202626864376327</v>
      </c>
      <c r="AC414" s="7">
        <f ca="1">$AV$11*EXP(-'3.r(t)'!H412*$AV$25)</f>
        <v>0.97760395646242981</v>
      </c>
      <c r="AD414" s="7">
        <v>1</v>
      </c>
      <c r="AE414" s="7"/>
      <c r="AF414" s="7">
        <v>406</v>
      </c>
      <c r="AG414" s="7">
        <f>$AW$7*EXP(-'3.r(t)'!D412*$AW$21)</f>
        <v>0.86718755429225491</v>
      </c>
      <c r="AH414" s="7">
        <f ca="1">$AW$8*EXP(-'3.r(t)'!E412*$AW$22)</f>
        <v>0.87982296218529454</v>
      </c>
      <c r="AI414" s="7">
        <f ca="1">$AW$9*EXP(-'3.r(t)'!F412*$AW$23)</f>
        <v>0.90731659488744787</v>
      </c>
      <c r="AJ414" s="7">
        <f ca="1">$AW$10*EXP(-'3.r(t)'!G412*$AW$24)</f>
        <v>0.92829190794100125</v>
      </c>
      <c r="AK414" s="7">
        <f ca="1">$AW$11*EXP(-'3.r(t)'!H412*$AW$25)</f>
        <v>0.95528477722083482</v>
      </c>
      <c r="AL414" s="7">
        <f ca="1">$AW$12*EXP(-'3.r(t)'!I412*$AW$26)</f>
        <v>0.9782141609460322</v>
      </c>
      <c r="AM414" s="7">
        <v>1</v>
      </c>
      <c r="AN414" s="7"/>
    </row>
    <row r="415" spans="2:40">
      <c r="B415" s="7">
        <v>407</v>
      </c>
      <c r="C415" s="7">
        <f>$AR$7*EXP(-'3.r(t)'!D413*$AR$21)</f>
        <v>0.97765346695821032</v>
      </c>
      <c r="D415" s="7">
        <v>1</v>
      </c>
      <c r="E415" s="7"/>
      <c r="F415" s="7">
        <v>407</v>
      </c>
      <c r="G415" s="48">
        <f>$AS$7*EXP(-'3.r(t)'!D413*$AS$21)</f>
        <v>0.9553476245219803</v>
      </c>
      <c r="H415" s="7">
        <f ca="1">$AS$8*EXP(-'3.r(t)'!E413*$AS$22)</f>
        <v>0.97991999044798872</v>
      </c>
      <c r="I415" s="7">
        <v>1</v>
      </c>
      <c r="J415" s="7"/>
      <c r="K415" s="7">
        <v>407</v>
      </c>
      <c r="L415" s="7">
        <f>$AT$7*EXP(-'3.r(t)'!D413*$AT$21)</f>
        <v>0.93311670519824419</v>
      </c>
      <c r="M415" s="7">
        <f ca="1">$AT$8*EXP(-'3.r(t)'!E413*$AT$22)</f>
        <v>0.9597908996582537</v>
      </c>
      <c r="N415" s="7">
        <f ca="1">$AT$9*EXP(-'3.r(t)'!F413*$AT$23)</f>
        <v>0.98256840569842085</v>
      </c>
      <c r="O415" s="7">
        <v>1</v>
      </c>
      <c r="P415" s="7"/>
      <c r="Q415" s="7">
        <v>407</v>
      </c>
      <c r="R415" s="7">
        <f>$AU$7*EXP(-'3.r(t)'!D413*$AU$21)</f>
        <v>0.91099305977534117</v>
      </c>
      <c r="S415" s="7">
        <f ca="1">$AU$8*EXP(-'3.r(t)'!E413*$AU$22)</f>
        <v>0.93964659784187232</v>
      </c>
      <c r="T415" s="7">
        <f ca="1">$AU$9*EXP(-'3.r(t)'!F413*$AU$23)</f>
        <v>0.96499450005556819</v>
      </c>
      <c r="U415" s="7">
        <f ca="1">$AU$10*EXP(-'3.r(t)'!G413*$AU$24)</f>
        <v>0.98467520776957451</v>
      </c>
      <c r="V415" s="7">
        <v>1</v>
      </c>
      <c r="W415" s="7"/>
      <c r="X415" s="7">
        <v>407</v>
      </c>
      <c r="Y415" s="7">
        <f>$AV$7*EXP(-'3.r(t)'!D413*$AV$21)</f>
        <v>0.88900715067201674</v>
      </c>
      <c r="Z415" s="7">
        <f ca="1">$AV$8*EXP(-'3.r(t)'!E413*$AV$22)</f>
        <v>0.91951937658486338</v>
      </c>
      <c r="AA415" s="7">
        <f ca="1">$AV$9*EXP(-'3.r(t)'!F413*$AV$23)</f>
        <v>0.94731113602705119</v>
      </c>
      <c r="AB415" s="7">
        <f ca="1">$AV$10*EXP(-'3.r(t)'!G413*$AV$24)</f>
        <v>0.96914577871015795</v>
      </c>
      <c r="AC415" s="7">
        <f ca="1">$AV$11*EXP(-'3.r(t)'!H413*$AV$25)</f>
        <v>0.9851514726292987</v>
      </c>
      <c r="AD415" s="7">
        <v>1</v>
      </c>
      <c r="AE415" s="7"/>
      <c r="AF415" s="7">
        <v>407</v>
      </c>
      <c r="AG415" s="7">
        <f>$AW$7*EXP(-'3.r(t)'!D413*$AW$21)</f>
        <v>0.86718755429225491</v>
      </c>
      <c r="AH415" s="7">
        <f ca="1">$AW$8*EXP(-'3.r(t)'!E413*$AW$22)</f>
        <v>0.89943992470641265</v>
      </c>
      <c r="AI415" s="7">
        <f ca="1">$AW$9*EXP(-'3.r(t)'!F413*$AW$23)</f>
        <v>0.92954993189983237</v>
      </c>
      <c r="AJ415" s="7">
        <f ca="1">$AW$10*EXP(-'3.r(t)'!G413*$AW$24)</f>
        <v>0.95344320881862432</v>
      </c>
      <c r="AK415" s="7">
        <f ca="1">$AW$11*EXP(-'3.r(t)'!H413*$AW$25)</f>
        <v>0.97009212222562335</v>
      </c>
      <c r="AL415" s="7">
        <f ca="1">$AW$12*EXP(-'3.r(t)'!I413*$AW$26)</f>
        <v>0.98557159435212438</v>
      </c>
      <c r="AM415" s="7">
        <v>1</v>
      </c>
      <c r="AN415" s="7"/>
    </row>
    <row r="416" spans="2:40">
      <c r="B416" s="7">
        <v>408</v>
      </c>
      <c r="C416" s="7">
        <f>$AR$7*EXP(-'3.r(t)'!D414*$AR$21)</f>
        <v>0.97765346695821032</v>
      </c>
      <c r="D416" s="7">
        <v>1</v>
      </c>
      <c r="E416" s="7"/>
      <c r="F416" s="7">
        <v>408</v>
      </c>
      <c r="G416" s="48">
        <f>$AS$7*EXP(-'3.r(t)'!D414*$AS$21)</f>
        <v>0.9553476245219803</v>
      </c>
      <c r="H416" s="7">
        <f ca="1">$AS$8*EXP(-'3.r(t)'!E414*$AS$22)</f>
        <v>0.97665161212220064</v>
      </c>
      <c r="I416" s="7">
        <v>1</v>
      </c>
      <c r="J416" s="7"/>
      <c r="K416" s="7">
        <v>408</v>
      </c>
      <c r="L416" s="7">
        <f>$AT$7*EXP(-'3.r(t)'!D414*$AT$21)</f>
        <v>0.93311670519824419</v>
      </c>
      <c r="M416" s="7">
        <f ca="1">$AT$8*EXP(-'3.r(t)'!E414*$AT$22)</f>
        <v>0.95339909548777058</v>
      </c>
      <c r="N416" s="7">
        <f ca="1">$AT$9*EXP(-'3.r(t)'!F414*$AT$23)</f>
        <v>0.98094950733364406</v>
      </c>
      <c r="O416" s="7">
        <v>1</v>
      </c>
      <c r="P416" s="7"/>
      <c r="Q416" s="7">
        <v>408</v>
      </c>
      <c r="R416" s="7">
        <f>$AU$7*EXP(-'3.r(t)'!D414*$AU$21)</f>
        <v>0.91099305977534117</v>
      </c>
      <c r="S416" s="7">
        <f ca="1">$AU$8*EXP(-'3.r(t)'!E414*$AU$22)</f>
        <v>0.93027576535482392</v>
      </c>
      <c r="T416" s="7">
        <f ca="1">$AU$9*EXP(-'3.r(t)'!F414*$AU$23)</f>
        <v>0.96181723314808221</v>
      </c>
      <c r="U416" s="7">
        <f ca="1">$AU$10*EXP(-'3.r(t)'!G414*$AU$24)</f>
        <v>0.97896066600700327</v>
      </c>
      <c r="V416" s="7">
        <v>1</v>
      </c>
      <c r="W416" s="7"/>
      <c r="X416" s="7">
        <v>408</v>
      </c>
      <c r="Y416" s="7">
        <f>$AV$7*EXP(-'3.r(t)'!D414*$AV$21)</f>
        <v>0.88900715067201674</v>
      </c>
      <c r="Z416" s="7">
        <f ca="1">$AV$8*EXP(-'3.r(t)'!E414*$AV$22)</f>
        <v>0.90731293178227446</v>
      </c>
      <c r="AA416" s="7">
        <f ca="1">$AV$9*EXP(-'3.r(t)'!F414*$AV$23)</f>
        <v>0.94263642318667973</v>
      </c>
      <c r="AB416" s="7">
        <f ca="1">$AV$10*EXP(-'3.r(t)'!G414*$AV$24)</f>
        <v>0.95792958579735277</v>
      </c>
      <c r="AC416" s="7">
        <f ca="1">$AV$11*EXP(-'3.r(t)'!H414*$AV$25)</f>
        <v>0.98225793530350602</v>
      </c>
      <c r="AD416" s="7">
        <v>1</v>
      </c>
      <c r="AE416" s="7"/>
      <c r="AF416" s="7">
        <v>408</v>
      </c>
      <c r="AG416" s="7">
        <f>$AW$7*EXP(-'3.r(t)'!D414*$AW$21)</f>
        <v>0.86718755429225491</v>
      </c>
      <c r="AH416" s="7">
        <f ca="1">$AW$8*EXP(-'3.r(t)'!E414*$AW$22)</f>
        <v>0.8845399056005</v>
      </c>
      <c r="AI416" s="7">
        <f ca="1">$AW$9*EXP(-'3.r(t)'!F414*$AW$23)</f>
        <v>0.92343887920135681</v>
      </c>
      <c r="AJ416" s="7">
        <f ca="1">$AW$10*EXP(-'3.r(t)'!G414*$AW$24)</f>
        <v>0.93693949685730005</v>
      </c>
      <c r="AK416" s="7">
        <f ca="1">$AW$11*EXP(-'3.r(t)'!H414*$AW$25)</f>
        <v>0.96440187954374945</v>
      </c>
      <c r="AL416" s="7">
        <f ca="1">$AW$12*EXP(-'3.r(t)'!I414*$AW$26)</f>
        <v>0.98296576897064247</v>
      </c>
      <c r="AM416" s="7">
        <v>1</v>
      </c>
      <c r="AN416" s="7"/>
    </row>
    <row r="417" spans="2:40">
      <c r="B417" s="7">
        <v>409</v>
      </c>
      <c r="C417" s="7">
        <f>$AR$7*EXP(-'3.r(t)'!D415*$AR$21)</f>
        <v>0.97765346695821032</v>
      </c>
      <c r="D417" s="7">
        <v>1</v>
      </c>
      <c r="E417" s="7"/>
      <c r="F417" s="7">
        <v>409</v>
      </c>
      <c r="G417" s="48">
        <f>$AS$7*EXP(-'3.r(t)'!D415*$AS$21)</f>
        <v>0.9553476245219803</v>
      </c>
      <c r="H417" s="7">
        <f ca="1">$AS$8*EXP(-'3.r(t)'!E415*$AS$22)</f>
        <v>0.97751463646221892</v>
      </c>
      <c r="I417" s="7">
        <v>1</v>
      </c>
      <c r="J417" s="7"/>
      <c r="K417" s="7">
        <v>409</v>
      </c>
      <c r="L417" s="7">
        <f>$AT$7*EXP(-'3.r(t)'!D415*$AT$21)</f>
        <v>0.93311670519824419</v>
      </c>
      <c r="M417" s="7">
        <f ca="1">$AT$8*EXP(-'3.r(t)'!E415*$AT$22)</f>
        <v>0.95508479416284564</v>
      </c>
      <c r="N417" s="7">
        <f ca="1">$AT$9*EXP(-'3.r(t)'!F415*$AT$23)</f>
        <v>0.9741647200160376</v>
      </c>
      <c r="O417" s="7">
        <v>1</v>
      </c>
      <c r="P417" s="7"/>
      <c r="Q417" s="7">
        <v>409</v>
      </c>
      <c r="R417" s="7">
        <f>$AU$7*EXP(-'3.r(t)'!D415*$AU$21)</f>
        <v>0.91099305977534117</v>
      </c>
      <c r="S417" s="7">
        <f ca="1">$AU$8*EXP(-'3.r(t)'!E415*$AU$22)</f>
        <v>0.93274407730383135</v>
      </c>
      <c r="T417" s="7">
        <f ca="1">$AU$9*EXP(-'3.r(t)'!F415*$AU$23)</f>
        <v>0.94855832927896855</v>
      </c>
      <c r="U417" s="7">
        <f ca="1">$AU$10*EXP(-'3.r(t)'!G415*$AU$24)</f>
        <v>0.97512565702188025</v>
      </c>
      <c r="V417" s="7">
        <v>1</v>
      </c>
      <c r="W417" s="7"/>
      <c r="X417" s="7">
        <v>409</v>
      </c>
      <c r="Y417" s="7">
        <f>$AV$7*EXP(-'3.r(t)'!D415*$AV$21)</f>
        <v>0.88900715067201674</v>
      </c>
      <c r="Z417" s="7">
        <f ca="1">$AV$8*EXP(-'3.r(t)'!E415*$AV$22)</f>
        <v>0.91052419624636483</v>
      </c>
      <c r="AA417" s="7">
        <f ca="1">$AV$9*EXP(-'3.r(t)'!F415*$AV$23)</f>
        <v>0.92321201598061697</v>
      </c>
      <c r="AB417" s="7">
        <f ca="1">$AV$10*EXP(-'3.r(t)'!G415*$AV$24)</f>
        <v>0.95043904398517776</v>
      </c>
      <c r="AC417" s="7">
        <f ca="1">$AV$11*EXP(-'3.r(t)'!H415*$AV$25)</f>
        <v>0.97090083530602367</v>
      </c>
      <c r="AD417" s="7">
        <v>1</v>
      </c>
      <c r="AE417" s="7"/>
      <c r="AF417" s="7">
        <v>409</v>
      </c>
      <c r="AG417" s="7">
        <f>$AW$7*EXP(-'3.r(t)'!D415*$AW$21)</f>
        <v>0.86718755429225491</v>
      </c>
      <c r="AH417" s="7">
        <f ca="1">$AW$8*EXP(-'3.r(t)'!E415*$AW$22)</f>
        <v>0.88845496487849795</v>
      </c>
      <c r="AI417" s="7">
        <f ca="1">$AW$9*EXP(-'3.r(t)'!F415*$AW$23)</f>
        <v>0.89815466720595749</v>
      </c>
      <c r="AJ417" s="7">
        <f ca="1">$AW$10*EXP(-'3.r(t)'!G415*$AW$24)</f>
        <v>0.92597139395068528</v>
      </c>
      <c r="AK417" s="7">
        <f ca="1">$AW$11*EXP(-'3.r(t)'!H415*$AW$25)</f>
        <v>0.9422295178804716</v>
      </c>
      <c r="AL417" s="7">
        <f ca="1">$AW$12*EXP(-'3.r(t)'!I415*$AW$26)</f>
        <v>0.96893914165503126</v>
      </c>
      <c r="AM417" s="7">
        <v>1</v>
      </c>
      <c r="AN417" s="7"/>
    </row>
    <row r="418" spans="2:40">
      <c r="B418" s="7">
        <v>410</v>
      </c>
      <c r="C418" s="7">
        <f>$AR$7*EXP(-'3.r(t)'!D416*$AR$21)</f>
        <v>0.97765346695821032</v>
      </c>
      <c r="D418" s="7">
        <v>1</v>
      </c>
      <c r="E418" s="7"/>
      <c r="F418" s="7">
        <v>410</v>
      </c>
      <c r="G418" s="48">
        <f>$AS$7*EXP(-'3.r(t)'!D416*$AS$21)</f>
        <v>0.9553476245219803</v>
      </c>
      <c r="H418" s="7">
        <f ca="1">$AS$8*EXP(-'3.r(t)'!E416*$AS$22)</f>
        <v>0.97885465740972144</v>
      </c>
      <c r="I418" s="7">
        <v>1</v>
      </c>
      <c r="J418" s="7"/>
      <c r="K418" s="7">
        <v>410</v>
      </c>
      <c r="L418" s="7">
        <f>$AT$7*EXP(-'3.r(t)'!D416*$AT$21)</f>
        <v>0.93311670519824419</v>
      </c>
      <c r="M418" s="7">
        <f ca="1">$AT$8*EXP(-'3.r(t)'!E416*$AT$22)</f>
        <v>0.95770513519866485</v>
      </c>
      <c r="N418" s="7">
        <f ca="1">$AT$9*EXP(-'3.r(t)'!F416*$AT$23)</f>
        <v>0.97470265289373548</v>
      </c>
      <c r="O418" s="7">
        <v>1</v>
      </c>
      <c r="P418" s="7"/>
      <c r="Q418" s="7">
        <v>410</v>
      </c>
      <c r="R418" s="7">
        <f>$AU$7*EXP(-'3.r(t)'!D416*$AU$21)</f>
        <v>0.91099305977534117</v>
      </c>
      <c r="S418" s="7">
        <f ca="1">$AU$8*EXP(-'3.r(t)'!E416*$AU$22)</f>
        <v>0.93658528055402079</v>
      </c>
      <c r="T418" s="7">
        <f ca="1">$AU$9*EXP(-'3.r(t)'!F416*$AU$23)</f>
        <v>0.94960620462078282</v>
      </c>
      <c r="U418" s="7">
        <f ca="1">$AU$10*EXP(-'3.r(t)'!G416*$AU$24)</f>
        <v>0.9781702338982311</v>
      </c>
      <c r="V418" s="7">
        <v>1</v>
      </c>
      <c r="W418" s="7"/>
      <c r="X418" s="7">
        <v>410</v>
      </c>
      <c r="Y418" s="7">
        <f>$AV$7*EXP(-'3.r(t)'!D416*$AV$21)</f>
        <v>0.88900715067201674</v>
      </c>
      <c r="Z418" s="7">
        <f ca="1">$AV$8*EXP(-'3.r(t)'!E416*$AV$22)</f>
        <v>0.91552722183887603</v>
      </c>
      <c r="AA418" s="7">
        <f ca="1">$AV$9*EXP(-'3.r(t)'!F416*$AV$23)</f>
        <v>0.92474225118590947</v>
      </c>
      <c r="AB418" s="7">
        <f ca="1">$AV$10*EXP(-'3.r(t)'!G416*$AV$24)</f>
        <v>0.95638330789568304</v>
      </c>
      <c r="AC418" s="7">
        <f ca="1">$AV$11*EXP(-'3.r(t)'!H416*$AV$25)</f>
        <v>0.98060083403814569</v>
      </c>
      <c r="AD418" s="7">
        <v>1</v>
      </c>
      <c r="AE418" s="7"/>
      <c r="AF418" s="7">
        <v>410</v>
      </c>
      <c r="AG418" s="7">
        <f>$AW$7*EXP(-'3.r(t)'!D416*$AW$21)</f>
        <v>0.86718755429225491</v>
      </c>
      <c r="AH418" s="7">
        <f ca="1">$AW$8*EXP(-'3.r(t)'!E416*$AW$22)</f>
        <v>0.8945613535247473</v>
      </c>
      <c r="AI418" s="7">
        <f ca="1">$AW$9*EXP(-'3.r(t)'!F416*$AW$23)</f>
        <v>0.90014015180460227</v>
      </c>
      <c r="AJ418" s="7">
        <f ca="1">$AW$10*EXP(-'3.r(t)'!G416*$AW$24)</f>
        <v>0.93467181864196103</v>
      </c>
      <c r="AK418" s="7">
        <f ca="1">$AW$11*EXP(-'3.r(t)'!H416*$AW$25)</f>
        <v>0.96115066927754811</v>
      </c>
      <c r="AL418" s="7">
        <f ca="1">$AW$12*EXP(-'3.r(t)'!I416*$AW$26)</f>
        <v>0.98203814281674584</v>
      </c>
      <c r="AM418" s="7">
        <v>1</v>
      </c>
      <c r="AN418" s="7"/>
    </row>
    <row r="419" spans="2:40">
      <c r="B419" s="7">
        <v>411</v>
      </c>
      <c r="C419" s="7">
        <f>$AR$7*EXP(-'3.r(t)'!D417*$AR$21)</f>
        <v>0.97765346695821032</v>
      </c>
      <c r="D419" s="7">
        <v>1</v>
      </c>
      <c r="E419" s="7"/>
      <c r="F419" s="7">
        <v>411</v>
      </c>
      <c r="G419" s="48">
        <f>$AS$7*EXP(-'3.r(t)'!D417*$AS$21)</f>
        <v>0.9553476245219803</v>
      </c>
      <c r="H419" s="7">
        <f ca="1">$AS$8*EXP(-'3.r(t)'!E417*$AS$22)</f>
        <v>0.98171951410304348</v>
      </c>
      <c r="I419" s="7">
        <v>1</v>
      </c>
      <c r="J419" s="7"/>
      <c r="K419" s="7">
        <v>411</v>
      </c>
      <c r="L419" s="7">
        <f>$AT$7*EXP(-'3.r(t)'!D417*$AT$21)</f>
        <v>0.93311670519824419</v>
      </c>
      <c r="M419" s="7">
        <f ca="1">$AT$8*EXP(-'3.r(t)'!E417*$AT$22)</f>
        <v>0.96331925366196713</v>
      </c>
      <c r="N419" s="7">
        <f ca="1">$AT$9*EXP(-'3.r(t)'!F417*$AT$23)</f>
        <v>0.97851938650819303</v>
      </c>
      <c r="O419" s="7">
        <v>1</v>
      </c>
      <c r="P419" s="7"/>
      <c r="Q419" s="7">
        <v>411</v>
      </c>
      <c r="R419" s="7">
        <f>$AU$7*EXP(-'3.r(t)'!D417*$AU$21)</f>
        <v>0.91099305977534117</v>
      </c>
      <c r="S419" s="7">
        <f ca="1">$AU$8*EXP(-'3.r(t)'!E417*$AU$22)</f>
        <v>0.94483280710506212</v>
      </c>
      <c r="T419" s="7">
        <f ca="1">$AU$9*EXP(-'3.r(t)'!F417*$AU$23)</f>
        <v>0.95705768759084398</v>
      </c>
      <c r="U419" s="7">
        <f ca="1">$AU$10*EXP(-'3.r(t)'!G417*$AU$24)</f>
        <v>0.9787259779387707</v>
      </c>
      <c r="V419" s="7">
        <v>1</v>
      </c>
      <c r="W419" s="7"/>
      <c r="X419" s="7">
        <v>411</v>
      </c>
      <c r="Y419" s="7">
        <f>$AV$7*EXP(-'3.r(t)'!D417*$AV$21)</f>
        <v>0.88900715067201674</v>
      </c>
      <c r="Z419" s="7">
        <f ca="1">$AV$8*EXP(-'3.r(t)'!E417*$AV$22)</f>
        <v>0.92629242129392564</v>
      </c>
      <c r="AA419" s="7">
        <f ca="1">$AV$9*EXP(-'3.r(t)'!F417*$AV$23)</f>
        <v>0.93564814223212589</v>
      </c>
      <c r="AB419" s="7">
        <f ca="1">$AV$10*EXP(-'3.r(t)'!G417*$AV$24)</f>
        <v>0.95747034835466094</v>
      </c>
      <c r="AC419" s="7">
        <f ca="1">$AV$11*EXP(-'3.r(t)'!H417*$AV$25)</f>
        <v>0.9823309297105457</v>
      </c>
      <c r="AD419" s="7">
        <v>1</v>
      </c>
      <c r="AE419" s="7"/>
      <c r="AF419" s="7">
        <v>411</v>
      </c>
      <c r="AG419" s="7">
        <f>$AW$7*EXP(-'3.r(t)'!D417*$AW$21)</f>
        <v>0.86718755429225491</v>
      </c>
      <c r="AH419" s="7">
        <f ca="1">$AW$8*EXP(-'3.r(t)'!E417*$AW$22)</f>
        <v>0.90772896370186584</v>
      </c>
      <c r="AI419" s="7">
        <f ca="1">$AW$9*EXP(-'3.r(t)'!F417*$AW$23)</f>
        <v>0.91432223087902265</v>
      </c>
      <c r="AJ419" s="7">
        <f ca="1">$AW$10*EXP(-'3.r(t)'!G417*$AW$24)</f>
        <v>0.93626581562128541</v>
      </c>
      <c r="AK419" s="7">
        <f ca="1">$AW$11*EXP(-'3.r(t)'!H417*$AW$25)</f>
        <v>0.9645452198141149</v>
      </c>
      <c r="AL419" s="7">
        <f ca="1">$AW$12*EXP(-'3.r(t)'!I417*$AW$26)</f>
        <v>0.98175840277989224</v>
      </c>
      <c r="AM419" s="7">
        <v>1</v>
      </c>
      <c r="AN419" s="7"/>
    </row>
    <row r="420" spans="2:40">
      <c r="B420" s="7">
        <v>412</v>
      </c>
      <c r="C420" s="7">
        <f>$AR$7*EXP(-'3.r(t)'!D418*$AR$21)</f>
        <v>0.97765346695821032</v>
      </c>
      <c r="D420" s="7">
        <v>1</v>
      </c>
      <c r="E420" s="7"/>
      <c r="F420" s="7">
        <v>412</v>
      </c>
      <c r="G420" s="48">
        <f>$AS$7*EXP(-'3.r(t)'!D418*$AS$21)</f>
        <v>0.9553476245219803</v>
      </c>
      <c r="H420" s="7">
        <f ca="1">$AS$8*EXP(-'3.r(t)'!E418*$AS$22)</f>
        <v>0.98187726540458364</v>
      </c>
      <c r="I420" s="7">
        <v>1</v>
      </c>
      <c r="J420" s="7"/>
      <c r="K420" s="7">
        <v>412</v>
      </c>
      <c r="L420" s="7">
        <f>$AT$7*EXP(-'3.r(t)'!D418*$AT$21)</f>
        <v>0.93311670519824419</v>
      </c>
      <c r="M420" s="7">
        <f ca="1">$AT$8*EXP(-'3.r(t)'!E418*$AT$22)</f>
        <v>0.96362886770835077</v>
      </c>
      <c r="N420" s="7">
        <f ca="1">$AT$9*EXP(-'3.r(t)'!F418*$AT$23)</f>
        <v>0.9810090143756216</v>
      </c>
      <c r="O420" s="7">
        <v>1</v>
      </c>
      <c r="P420" s="7"/>
      <c r="Q420" s="7">
        <v>412</v>
      </c>
      <c r="R420" s="7">
        <f>$AU$7*EXP(-'3.r(t)'!D418*$AU$21)</f>
        <v>0.91099305977534117</v>
      </c>
      <c r="S420" s="7">
        <f ca="1">$AU$8*EXP(-'3.r(t)'!E418*$AU$22)</f>
        <v>0.94528835236408082</v>
      </c>
      <c r="T420" s="7">
        <f ca="1">$AU$9*EXP(-'3.r(t)'!F418*$AU$23)</f>
        <v>0.96193392954081469</v>
      </c>
      <c r="U420" s="7">
        <f ca="1">$AU$10*EXP(-'3.r(t)'!G418*$AU$24)</f>
        <v>0.98347808270669379</v>
      </c>
      <c r="V420" s="7">
        <v>1</v>
      </c>
      <c r="W420" s="7"/>
      <c r="X420" s="7">
        <v>412</v>
      </c>
      <c r="Y420" s="7">
        <f>$AV$7*EXP(-'3.r(t)'!D418*$AV$21)</f>
        <v>0.88900715067201674</v>
      </c>
      <c r="Z420" s="7">
        <f ca="1">$AV$8*EXP(-'3.r(t)'!E418*$AV$22)</f>
        <v>0.92688794397602992</v>
      </c>
      <c r="AA420" s="7">
        <f ca="1">$AV$9*EXP(-'3.r(t)'!F418*$AV$23)</f>
        <v>0.94280798219446815</v>
      </c>
      <c r="AB420" s="7">
        <f ca="1">$AV$10*EXP(-'3.r(t)'!G418*$AV$24)</f>
        <v>0.96679072104488306</v>
      </c>
      <c r="AC420" s="7">
        <f ca="1">$AV$11*EXP(-'3.r(t)'!H418*$AV$25)</f>
        <v>0.98383136745881261</v>
      </c>
      <c r="AD420" s="7">
        <v>1</v>
      </c>
      <c r="AE420" s="7"/>
      <c r="AF420" s="7">
        <v>412</v>
      </c>
      <c r="AG420" s="7">
        <f>$AW$7*EXP(-'3.r(t)'!D418*$AW$21)</f>
        <v>0.86718755429225491</v>
      </c>
      <c r="AH420" s="7">
        <f ca="1">$AW$8*EXP(-'3.r(t)'!E418*$AW$22)</f>
        <v>0.90845850737804346</v>
      </c>
      <c r="AI420" s="7">
        <f ca="1">$AW$9*EXP(-'3.r(t)'!F418*$AW$23)</f>
        <v>0.92366297276035869</v>
      </c>
      <c r="AJ420" s="7">
        <f ca="1">$AW$10*EXP(-'3.r(t)'!G418*$AW$24)</f>
        <v>0.94996997116111948</v>
      </c>
      <c r="AK420" s="7">
        <f ca="1">$AW$11*EXP(-'3.r(t)'!H418*$AW$25)</f>
        <v>0.96749401291411941</v>
      </c>
      <c r="AL420" s="7">
        <f ca="1">$AW$12*EXP(-'3.r(t)'!I418*$AW$26)</f>
        <v>0.98711166556068264</v>
      </c>
      <c r="AM420" s="7">
        <v>1</v>
      </c>
      <c r="AN420" s="7"/>
    </row>
    <row r="421" spans="2:40">
      <c r="B421" s="7">
        <v>413</v>
      </c>
      <c r="C421" s="7">
        <f>$AR$7*EXP(-'3.r(t)'!D419*$AR$21)</f>
        <v>0.97765346695821032</v>
      </c>
      <c r="D421" s="7">
        <v>1</v>
      </c>
      <c r="E421" s="7"/>
      <c r="F421" s="7">
        <v>413</v>
      </c>
      <c r="G421" s="48">
        <f>$AS$7*EXP(-'3.r(t)'!D419*$AS$21)</f>
        <v>0.9553476245219803</v>
      </c>
      <c r="H421" s="7">
        <f ca="1">$AS$8*EXP(-'3.r(t)'!E419*$AS$22)</f>
        <v>0.97250175345593459</v>
      </c>
      <c r="I421" s="7">
        <v>1</v>
      </c>
      <c r="J421" s="7"/>
      <c r="K421" s="7">
        <v>413</v>
      </c>
      <c r="L421" s="7">
        <f>$AT$7*EXP(-'3.r(t)'!D419*$AT$21)</f>
        <v>0.93311670519824419</v>
      </c>
      <c r="M421" s="7">
        <f ca="1">$AT$8*EXP(-'3.r(t)'!E419*$AT$22)</f>
        <v>0.94531419439816855</v>
      </c>
      <c r="N421" s="7">
        <f ca="1">$AT$9*EXP(-'3.r(t)'!F419*$AT$23)</f>
        <v>0.97541514241136873</v>
      </c>
      <c r="O421" s="7">
        <v>1</v>
      </c>
      <c r="P421" s="7"/>
      <c r="Q421" s="7">
        <v>413</v>
      </c>
      <c r="R421" s="7">
        <f>$AU$7*EXP(-'3.r(t)'!D419*$AU$21)</f>
        <v>0.91099305977534117</v>
      </c>
      <c r="S421" s="7">
        <f ca="1">$AU$8*EXP(-'3.r(t)'!E419*$AU$22)</f>
        <v>0.91846766750640485</v>
      </c>
      <c r="T421" s="7">
        <f ca="1">$AU$9*EXP(-'3.r(t)'!F419*$AU$23)</f>
        <v>0.9509950009885686</v>
      </c>
      <c r="U421" s="7">
        <f ca="1">$AU$10*EXP(-'3.r(t)'!G419*$AU$24)</f>
        <v>0.97823192642600687</v>
      </c>
      <c r="V421" s="7">
        <v>1</v>
      </c>
      <c r="W421" s="7"/>
      <c r="X421" s="7">
        <v>413</v>
      </c>
      <c r="Y421" s="7">
        <f>$AV$7*EXP(-'3.r(t)'!D419*$AV$21)</f>
        <v>0.88900715067201674</v>
      </c>
      <c r="Z421" s="7">
        <f ca="1">$AV$8*EXP(-'3.r(t)'!E419*$AV$22)</f>
        <v>0.8919900048352476</v>
      </c>
      <c r="AA421" s="7">
        <f ca="1">$AV$9*EXP(-'3.r(t)'!F419*$AV$23)</f>
        <v>0.92677164208881857</v>
      </c>
      <c r="AB421" s="7">
        <f ca="1">$AV$10*EXP(-'3.r(t)'!G419*$AV$24)</f>
        <v>0.95650394858242749</v>
      </c>
      <c r="AC421" s="7">
        <f ca="1">$AV$11*EXP(-'3.r(t)'!H419*$AV$25)</f>
        <v>0.97660967665001019</v>
      </c>
      <c r="AD421" s="7">
        <v>1</v>
      </c>
      <c r="AE421" s="7"/>
      <c r="AF421" s="7">
        <v>413</v>
      </c>
      <c r="AG421" s="7">
        <f>$AW$7*EXP(-'3.r(t)'!D419*$AW$21)</f>
        <v>0.86718755429225491</v>
      </c>
      <c r="AH421" s="7">
        <f ca="1">$AW$8*EXP(-'3.r(t)'!E419*$AW$22)</f>
        <v>0.86590657936714754</v>
      </c>
      <c r="AI421" s="7">
        <f ca="1">$AW$9*EXP(-'3.r(t)'!F419*$AW$23)</f>
        <v>0.90277498192554517</v>
      </c>
      <c r="AJ421" s="7">
        <f ca="1">$AW$10*EXP(-'3.r(t)'!G419*$AW$24)</f>
        <v>0.93484867713324604</v>
      </c>
      <c r="AK421" s="7">
        <f ca="1">$AW$11*EXP(-'3.r(t)'!H419*$AW$25)</f>
        <v>0.95334260554348227</v>
      </c>
      <c r="AL421" s="7">
        <f ca="1">$AW$12*EXP(-'3.r(t)'!I419*$AW$26)</f>
        <v>0.97441374247371637</v>
      </c>
      <c r="AM421" s="7">
        <v>1</v>
      </c>
      <c r="AN421" s="7"/>
    </row>
    <row r="422" spans="2:40">
      <c r="B422" s="7">
        <v>414</v>
      </c>
      <c r="C422" s="7">
        <f>$AR$7*EXP(-'3.r(t)'!D420*$AR$21)</f>
        <v>0.97765346695821032</v>
      </c>
      <c r="D422" s="7">
        <v>1</v>
      </c>
      <c r="E422" s="7"/>
      <c r="F422" s="7">
        <v>414</v>
      </c>
      <c r="G422" s="48">
        <f>$AS$7*EXP(-'3.r(t)'!D420*$AS$21)</f>
        <v>0.9553476245219803</v>
      </c>
      <c r="H422" s="7">
        <f ca="1">$AS$8*EXP(-'3.r(t)'!E420*$AS$22)</f>
        <v>0.97547300174563079</v>
      </c>
      <c r="I422" s="7">
        <v>1</v>
      </c>
      <c r="J422" s="7"/>
      <c r="K422" s="7">
        <v>414</v>
      </c>
      <c r="L422" s="7">
        <f>$AT$7*EXP(-'3.r(t)'!D420*$AT$21)</f>
        <v>0.93311670519824419</v>
      </c>
      <c r="M422" s="7">
        <f ca="1">$AT$8*EXP(-'3.r(t)'!E420*$AT$22)</f>
        <v>0.95109938486793488</v>
      </c>
      <c r="N422" s="7">
        <f ca="1">$AT$9*EXP(-'3.r(t)'!F420*$AT$23)</f>
        <v>0.9722834498940478</v>
      </c>
      <c r="O422" s="7">
        <v>1</v>
      </c>
      <c r="P422" s="7"/>
      <c r="Q422" s="7">
        <v>414</v>
      </c>
      <c r="R422" s="7">
        <f>$AU$7*EXP(-'3.r(t)'!D420*$AU$21)</f>
        <v>0.91099305977534117</v>
      </c>
      <c r="S422" s="7">
        <f ca="1">$AU$8*EXP(-'3.r(t)'!E420*$AU$22)</f>
        <v>0.92691189426242548</v>
      </c>
      <c r="T422" s="7">
        <f ca="1">$AU$9*EXP(-'3.r(t)'!F420*$AU$23)</f>
        <v>0.94489822676639812</v>
      </c>
      <c r="U422" s="7">
        <f ca="1">$AU$10*EXP(-'3.r(t)'!G420*$AU$24)</f>
        <v>0.976242289006513</v>
      </c>
      <c r="V422" s="7">
        <v>1</v>
      </c>
      <c r="W422" s="7"/>
      <c r="X422" s="7">
        <v>414</v>
      </c>
      <c r="Y422" s="7">
        <f>$AV$7*EXP(-'3.r(t)'!D420*$AV$21)</f>
        <v>0.88900715067201674</v>
      </c>
      <c r="Z422" s="7">
        <f ca="1">$AV$8*EXP(-'3.r(t)'!E420*$AV$22)</f>
        <v>0.90294112005291094</v>
      </c>
      <c r="AA422" s="7">
        <f ca="1">$AV$9*EXP(-'3.r(t)'!F420*$AV$23)</f>
        <v>0.91787372182598748</v>
      </c>
      <c r="AB422" s="7">
        <f ca="1">$AV$10*EXP(-'3.r(t)'!G420*$AV$24)</f>
        <v>0.95261701618548023</v>
      </c>
      <c r="AC422" s="7">
        <f ca="1">$AV$11*EXP(-'3.r(t)'!H420*$AV$25)</f>
        <v>0.97594925775697605</v>
      </c>
      <c r="AD422" s="7">
        <v>1</v>
      </c>
      <c r="AE422" s="7"/>
      <c r="AF422" s="7">
        <v>414</v>
      </c>
      <c r="AG422" s="7">
        <f>$AW$7*EXP(-'3.r(t)'!D420*$AW$21)</f>
        <v>0.86718755429225491</v>
      </c>
      <c r="AH422" s="7">
        <f ca="1">$AW$8*EXP(-'3.r(t)'!E420*$AW$22)</f>
        <v>0.87921551604865755</v>
      </c>
      <c r="AI422" s="7">
        <f ca="1">$AW$9*EXP(-'3.r(t)'!F420*$AW$23)</f>
        <v>0.89123680923262638</v>
      </c>
      <c r="AJ422" s="7">
        <f ca="1">$AW$10*EXP(-'3.r(t)'!G420*$AW$24)</f>
        <v>0.92915607194962013</v>
      </c>
      <c r="AK422" s="7">
        <f ca="1">$AW$11*EXP(-'3.r(t)'!H420*$AW$25)</f>
        <v>0.95205367179184264</v>
      </c>
      <c r="AL422" s="7">
        <f ca="1">$AW$12*EXP(-'3.r(t)'!I420*$AW$26)</f>
        <v>0.97820948852396261</v>
      </c>
      <c r="AM422" s="7">
        <v>1</v>
      </c>
      <c r="AN422" s="7"/>
    </row>
    <row r="423" spans="2:40">
      <c r="B423" s="7">
        <v>415</v>
      </c>
      <c r="C423" s="7">
        <f>$AR$7*EXP(-'3.r(t)'!D421*$AR$21)</f>
        <v>0.97765346695821032</v>
      </c>
      <c r="D423" s="7">
        <v>1</v>
      </c>
      <c r="E423" s="7"/>
      <c r="F423" s="7">
        <v>415</v>
      </c>
      <c r="G423" s="48">
        <f>$AS$7*EXP(-'3.r(t)'!D421*$AS$21)</f>
        <v>0.9553476245219803</v>
      </c>
      <c r="H423" s="7">
        <f ca="1">$AS$8*EXP(-'3.r(t)'!E421*$AS$22)</f>
        <v>0.97461454525902924</v>
      </c>
      <c r="I423" s="7">
        <v>1</v>
      </c>
      <c r="J423" s="7"/>
      <c r="K423" s="7">
        <v>415</v>
      </c>
      <c r="L423" s="7">
        <f>$AT$7*EXP(-'3.r(t)'!D421*$AT$21)</f>
        <v>0.93311670519824419</v>
      </c>
      <c r="M423" s="7">
        <f ca="1">$AT$8*EXP(-'3.r(t)'!E421*$AT$22)</f>
        <v>0.94942610807202654</v>
      </c>
      <c r="N423" s="7">
        <f ca="1">$AT$9*EXP(-'3.r(t)'!F421*$AT$23)</f>
        <v>0.97475115324281059</v>
      </c>
      <c r="O423" s="7">
        <v>1</v>
      </c>
      <c r="P423" s="7"/>
      <c r="Q423" s="7">
        <v>415</v>
      </c>
      <c r="R423" s="7">
        <f>$AU$7*EXP(-'3.r(t)'!D421*$AU$21)</f>
        <v>0.91099305977534117</v>
      </c>
      <c r="S423" s="7">
        <f ca="1">$AU$8*EXP(-'3.r(t)'!E421*$AU$22)</f>
        <v>0.92446688510870922</v>
      </c>
      <c r="T423" s="7">
        <f ca="1">$AU$9*EXP(-'3.r(t)'!F421*$AU$23)</f>
        <v>0.94970071011562296</v>
      </c>
      <c r="U423" s="7">
        <f ca="1">$AU$10*EXP(-'3.r(t)'!G421*$AU$24)</f>
        <v>0.97592751924330889</v>
      </c>
      <c r="V423" s="7">
        <v>1</v>
      </c>
      <c r="W423" s="7"/>
      <c r="X423" s="7">
        <v>415</v>
      </c>
      <c r="Y423" s="7">
        <f>$AV$7*EXP(-'3.r(t)'!D421*$AV$21)</f>
        <v>0.88900715067201674</v>
      </c>
      <c r="Z423" s="7">
        <f ca="1">$AV$8*EXP(-'3.r(t)'!E421*$AV$22)</f>
        <v>0.89976681165774319</v>
      </c>
      <c r="AA423" s="7">
        <f ca="1">$AV$9*EXP(-'3.r(t)'!F421*$AV$23)</f>
        <v>0.92488030114484898</v>
      </c>
      <c r="AB423" s="7">
        <f ca="1">$AV$10*EXP(-'3.r(t)'!G421*$AV$24)</f>
        <v>0.95200281068575587</v>
      </c>
      <c r="AC423" s="7">
        <f ca="1">$AV$11*EXP(-'3.r(t)'!H421*$AV$25)</f>
        <v>0.976763669461023</v>
      </c>
      <c r="AD423" s="7">
        <v>1</v>
      </c>
      <c r="AE423" s="7"/>
      <c r="AF423" s="7">
        <v>415</v>
      </c>
      <c r="AG423" s="7">
        <f>$AW$7*EXP(-'3.r(t)'!D421*$AW$21)</f>
        <v>0.86718755429225491</v>
      </c>
      <c r="AH423" s="7">
        <f ca="1">$AW$8*EXP(-'3.r(t)'!E421*$AW$22)</f>
        <v>0.87535358970275545</v>
      </c>
      <c r="AI423" s="7">
        <f ca="1">$AW$9*EXP(-'3.r(t)'!F421*$AW$23)</f>
        <v>0.90031932591505281</v>
      </c>
      <c r="AJ423" s="7">
        <f ca="1">$AW$10*EXP(-'3.r(t)'!G421*$AW$24)</f>
        <v>0.92825759843846056</v>
      </c>
      <c r="AK423" s="7">
        <f ca="1">$AW$11*EXP(-'3.r(t)'!H421*$AW$25)</f>
        <v>0.95364327731769594</v>
      </c>
      <c r="AL423" s="7">
        <f ca="1">$AW$12*EXP(-'3.r(t)'!I421*$AW$26)</f>
        <v>0.97685484909200737</v>
      </c>
      <c r="AM423" s="7">
        <v>1</v>
      </c>
      <c r="AN423" s="7"/>
    </row>
    <row r="424" spans="2:40">
      <c r="B424" s="7">
        <v>416</v>
      </c>
      <c r="C424" s="7">
        <f>$AR$7*EXP(-'3.r(t)'!D422*$AR$21)</f>
        <v>0.97765346695821032</v>
      </c>
      <c r="D424" s="7">
        <v>1</v>
      </c>
      <c r="E424" s="7"/>
      <c r="F424" s="7">
        <v>416</v>
      </c>
      <c r="G424" s="48">
        <f>$AS$7*EXP(-'3.r(t)'!D422*$AS$21)</f>
        <v>0.9553476245219803</v>
      </c>
      <c r="H424" s="7">
        <f ca="1">$AS$8*EXP(-'3.r(t)'!E422*$AS$22)</f>
        <v>0.97396057783542433</v>
      </c>
      <c r="I424" s="7">
        <v>1</v>
      </c>
      <c r="J424" s="7"/>
      <c r="K424" s="7">
        <v>416</v>
      </c>
      <c r="L424" s="7">
        <f>$AT$7*EXP(-'3.r(t)'!D422*$AT$21)</f>
        <v>0.93311670519824419</v>
      </c>
      <c r="M424" s="7">
        <f ca="1">$AT$8*EXP(-'3.r(t)'!E422*$AT$22)</f>
        <v>0.9481524036344563</v>
      </c>
      <c r="N424" s="7">
        <f ca="1">$AT$9*EXP(-'3.r(t)'!F422*$AT$23)</f>
        <v>0.97423423090067618</v>
      </c>
      <c r="O424" s="7">
        <v>1</v>
      </c>
      <c r="P424" s="7"/>
      <c r="Q424" s="7">
        <v>416</v>
      </c>
      <c r="R424" s="7">
        <f>$AU$7*EXP(-'3.r(t)'!D422*$AU$21)</f>
        <v>0.91099305977534117</v>
      </c>
      <c r="S424" s="7">
        <f ca="1">$AU$8*EXP(-'3.r(t)'!E422*$AU$22)</f>
        <v>0.92260717866543029</v>
      </c>
      <c r="T424" s="7">
        <f ca="1">$AU$9*EXP(-'3.r(t)'!F422*$AU$23)</f>
        <v>0.94869370162334432</v>
      </c>
      <c r="U424" s="7">
        <f ca="1">$AU$10*EXP(-'3.r(t)'!G422*$AU$24)</f>
        <v>0.97485386461613266</v>
      </c>
      <c r="V424" s="7">
        <v>1</v>
      </c>
      <c r="W424" s="7"/>
      <c r="X424" s="7">
        <v>416</v>
      </c>
      <c r="Y424" s="7">
        <f>$AV$7*EXP(-'3.r(t)'!D422*$AV$21)</f>
        <v>0.88900715067201674</v>
      </c>
      <c r="Z424" s="7">
        <f ca="1">$AV$8*EXP(-'3.r(t)'!E422*$AV$22)</f>
        <v>0.89735426319929623</v>
      </c>
      <c r="AA424" s="7">
        <f ca="1">$AV$9*EXP(-'3.r(t)'!F422*$AV$23)</f>
        <v>0.92340965564598132</v>
      </c>
      <c r="AB424" s="7">
        <f ca="1">$AV$10*EXP(-'3.r(t)'!G422*$AV$24)</f>
        <v>0.94990929458941831</v>
      </c>
      <c r="AC424" s="7">
        <f ca="1">$AV$11*EXP(-'3.r(t)'!H422*$AV$25)</f>
        <v>0.97466164195143379</v>
      </c>
      <c r="AD424" s="7">
        <v>1</v>
      </c>
      <c r="AE424" s="7"/>
      <c r="AF424" s="7">
        <v>416</v>
      </c>
      <c r="AG424" s="7">
        <f>$AW$7*EXP(-'3.r(t)'!D422*$AW$21)</f>
        <v>0.86718755429225491</v>
      </c>
      <c r="AH424" s="7">
        <f ca="1">$AW$8*EXP(-'3.r(t)'!E422*$AW$22)</f>
        <v>0.87242071220221673</v>
      </c>
      <c r="AI424" s="7">
        <f ca="1">$AW$9*EXP(-'3.r(t)'!F422*$AW$23)</f>
        <v>0.89841104359338164</v>
      </c>
      <c r="AJ424" s="7">
        <f ca="1">$AW$10*EXP(-'3.r(t)'!G422*$AW$24)</f>
        <v>0.92519733416634742</v>
      </c>
      <c r="AK424" s="7">
        <f ca="1">$AW$11*EXP(-'3.r(t)'!H422*$AW$25)</f>
        <v>0.94954315054166227</v>
      </c>
      <c r="AL424" s="7">
        <f ca="1">$AW$12*EXP(-'3.r(t)'!I422*$AW$26)</f>
        <v>0.97390724142590335</v>
      </c>
      <c r="AM424" s="7">
        <v>1</v>
      </c>
      <c r="AN424" s="7"/>
    </row>
    <row r="425" spans="2:40">
      <c r="B425" s="7">
        <v>417</v>
      </c>
      <c r="C425" s="7">
        <f>$AR$7*EXP(-'3.r(t)'!D423*$AR$21)</f>
        <v>0.97765346695821032</v>
      </c>
      <c r="D425" s="7">
        <v>1</v>
      </c>
      <c r="E425" s="7"/>
      <c r="F425" s="7">
        <v>417</v>
      </c>
      <c r="G425" s="48">
        <f>$AS$7*EXP(-'3.r(t)'!D423*$AS$21)</f>
        <v>0.9553476245219803</v>
      </c>
      <c r="H425" s="7">
        <f ca="1">$AS$8*EXP(-'3.r(t)'!E423*$AS$22)</f>
        <v>0.97812306418620321</v>
      </c>
      <c r="I425" s="7">
        <v>1</v>
      </c>
      <c r="J425" s="7"/>
      <c r="K425" s="7">
        <v>417</v>
      </c>
      <c r="L425" s="7">
        <f>$AT$7*EXP(-'3.r(t)'!D423*$AT$21)</f>
        <v>0.93311670519824419</v>
      </c>
      <c r="M425" s="7">
        <f ca="1">$AT$8*EXP(-'3.r(t)'!E423*$AT$22)</f>
        <v>0.95627409791524964</v>
      </c>
      <c r="N425" s="7">
        <f ca="1">$AT$9*EXP(-'3.r(t)'!F423*$AT$23)</f>
        <v>0.97804105623300841</v>
      </c>
      <c r="O425" s="7">
        <v>1</v>
      </c>
      <c r="P425" s="7"/>
      <c r="Q425" s="7">
        <v>417</v>
      </c>
      <c r="R425" s="7">
        <f>$AU$7*EXP(-'3.r(t)'!D423*$AU$21)</f>
        <v>0.91099305977534117</v>
      </c>
      <c r="S425" s="7">
        <f ca="1">$AU$8*EXP(-'3.r(t)'!E423*$AU$22)</f>
        <v>0.93448684607012533</v>
      </c>
      <c r="T425" s="7">
        <f ca="1">$AU$9*EXP(-'3.r(t)'!F423*$AU$23)</f>
        <v>0.95612223800737883</v>
      </c>
      <c r="U425" s="7">
        <f ca="1">$AU$10*EXP(-'3.r(t)'!G423*$AU$24)</f>
        <v>0.97902127187845456</v>
      </c>
      <c r="V425" s="7">
        <v>1</v>
      </c>
      <c r="W425" s="7"/>
      <c r="X425" s="7">
        <v>417</v>
      </c>
      <c r="Y425" s="7">
        <f>$AV$7*EXP(-'3.r(t)'!D423*$AV$21)</f>
        <v>0.88900715067201674</v>
      </c>
      <c r="Z425" s="7">
        <f ca="1">$AV$8*EXP(-'3.r(t)'!E423*$AV$22)</f>
        <v>0.91279323890168662</v>
      </c>
      <c r="AA425" s="7">
        <f ca="1">$AV$9*EXP(-'3.r(t)'!F423*$AV$23)</f>
        <v>0.93427669236743704</v>
      </c>
      <c r="AB425" s="7">
        <f ca="1">$AV$10*EXP(-'3.r(t)'!G423*$AV$24)</f>
        <v>0.95804819721134227</v>
      </c>
      <c r="AC425" s="7">
        <f ca="1">$AV$11*EXP(-'3.r(t)'!H423*$AV$25)</f>
        <v>0.9826129258542381</v>
      </c>
      <c r="AD425" s="7">
        <v>1</v>
      </c>
      <c r="AE425" s="7"/>
      <c r="AF425" s="7">
        <v>417</v>
      </c>
      <c r="AG425" s="7">
        <f>$AW$7*EXP(-'3.r(t)'!D423*$AW$21)</f>
        <v>0.86718755429225491</v>
      </c>
      <c r="AH425" s="7">
        <f ca="1">$AW$8*EXP(-'3.r(t)'!E423*$AW$22)</f>
        <v>0.89122338361009101</v>
      </c>
      <c r="AI425" s="7">
        <f ca="1">$AW$9*EXP(-'3.r(t)'!F423*$AW$23)</f>
        <v>0.91253574639581458</v>
      </c>
      <c r="AJ425" s="7">
        <f ca="1">$AW$10*EXP(-'3.r(t)'!G423*$AW$24)</f>
        <v>0.93711352085690369</v>
      </c>
      <c r="AK425" s="7">
        <f ca="1">$AW$11*EXP(-'3.r(t)'!H423*$AW$25)</f>
        <v>0.96509908015830914</v>
      </c>
      <c r="AL425" s="7">
        <f ca="1">$AW$12*EXP(-'3.r(t)'!I423*$AW$26)</f>
        <v>0.98461900678974912</v>
      </c>
      <c r="AM425" s="7">
        <v>1</v>
      </c>
      <c r="AN425" s="7"/>
    </row>
    <row r="426" spans="2:40">
      <c r="B426" s="7">
        <v>418</v>
      </c>
      <c r="C426" s="7">
        <f>$AR$7*EXP(-'3.r(t)'!D424*$AR$21)</f>
        <v>0.97765346695821032</v>
      </c>
      <c r="D426" s="7">
        <v>1</v>
      </c>
      <c r="E426" s="7"/>
      <c r="F426" s="7">
        <v>418</v>
      </c>
      <c r="G426" s="48">
        <f>$AS$7*EXP(-'3.r(t)'!D424*$AS$21)</f>
        <v>0.9553476245219803</v>
      </c>
      <c r="H426" s="7">
        <f ca="1">$AS$8*EXP(-'3.r(t)'!E424*$AS$22)</f>
        <v>0.9760208466170458</v>
      </c>
      <c r="I426" s="7">
        <v>1</v>
      </c>
      <c r="J426" s="7"/>
      <c r="K426" s="7">
        <v>418</v>
      </c>
      <c r="L426" s="7">
        <f>$AT$7*EXP(-'3.r(t)'!D424*$AT$21)</f>
        <v>0.93311670519824419</v>
      </c>
      <c r="M426" s="7">
        <f ca="1">$AT$8*EXP(-'3.r(t)'!E424*$AT$22)</f>
        <v>0.95216799719576284</v>
      </c>
      <c r="N426" s="7">
        <f ca="1">$AT$9*EXP(-'3.r(t)'!F424*$AT$23)</f>
        <v>0.97467769149996453</v>
      </c>
      <c r="O426" s="7">
        <v>1</v>
      </c>
      <c r="P426" s="7"/>
      <c r="Q426" s="7">
        <v>418</v>
      </c>
      <c r="R426" s="7">
        <f>$AU$7*EXP(-'3.r(t)'!D424*$AU$21)</f>
        <v>0.91099305977534117</v>
      </c>
      <c r="S426" s="7">
        <f ca="1">$AU$8*EXP(-'3.r(t)'!E424*$AU$22)</f>
        <v>0.92847448750499861</v>
      </c>
      <c r="T426" s="7">
        <f ca="1">$AU$9*EXP(-'3.r(t)'!F424*$AU$23)</f>
        <v>0.94955756785793788</v>
      </c>
      <c r="U426" s="7">
        <f ca="1">$AU$10*EXP(-'3.r(t)'!G424*$AU$24)</f>
        <v>0.97363535692858005</v>
      </c>
      <c r="V426" s="7">
        <v>1</v>
      </c>
      <c r="W426" s="7"/>
      <c r="X426" s="7">
        <v>418</v>
      </c>
      <c r="Y426" s="7">
        <f>$AV$7*EXP(-'3.r(t)'!D424*$AV$21)</f>
        <v>0.88900715067201674</v>
      </c>
      <c r="Z426" s="7">
        <f ca="1">$AV$8*EXP(-'3.r(t)'!E424*$AV$22)</f>
        <v>0.90497126765520286</v>
      </c>
      <c r="AA426" s="7">
        <f ca="1">$AV$9*EXP(-'3.r(t)'!F424*$AV$23)</f>
        <v>0.9246712071677039</v>
      </c>
      <c r="AB426" s="7">
        <f ca="1">$AV$10*EXP(-'3.r(t)'!G424*$AV$24)</f>
        <v>0.94753612167506118</v>
      </c>
      <c r="AC426" s="7">
        <f ca="1">$AV$11*EXP(-'3.r(t)'!H424*$AV$25)</f>
        <v>0.97493616350135182</v>
      </c>
      <c r="AD426" s="7">
        <v>1</v>
      </c>
      <c r="AE426" s="7"/>
      <c r="AF426" s="7">
        <v>418</v>
      </c>
      <c r="AG426" s="7">
        <f>$AW$7*EXP(-'3.r(t)'!D424*$AW$21)</f>
        <v>0.86718755429225491</v>
      </c>
      <c r="AH426" s="7">
        <f ca="1">$AW$8*EXP(-'3.r(t)'!E424*$AW$22)</f>
        <v>0.88168721464677968</v>
      </c>
      <c r="AI426" s="7">
        <f ca="1">$AW$9*EXP(-'3.r(t)'!F424*$AW$23)</f>
        <v>0.90004794772732943</v>
      </c>
      <c r="AJ426" s="7">
        <f ca="1">$AW$10*EXP(-'3.r(t)'!G424*$AW$24)</f>
        <v>0.92173234860987829</v>
      </c>
      <c r="AK426" s="7">
        <f ca="1">$AW$11*EXP(-'3.r(t)'!H424*$AW$25)</f>
        <v>0.95007811930645869</v>
      </c>
      <c r="AL426" s="7">
        <f ca="1">$AW$12*EXP(-'3.r(t)'!I424*$AW$26)</f>
        <v>0.97546676592743942</v>
      </c>
      <c r="AM426" s="7">
        <v>1</v>
      </c>
      <c r="AN426" s="7"/>
    </row>
    <row r="427" spans="2:40">
      <c r="B427" s="7">
        <v>419</v>
      </c>
      <c r="C427" s="7">
        <f>$AR$7*EXP(-'3.r(t)'!D425*$AR$21)</f>
        <v>0.97765346695821032</v>
      </c>
      <c r="D427" s="7">
        <v>1</v>
      </c>
      <c r="E427" s="7"/>
      <c r="F427" s="7">
        <v>419</v>
      </c>
      <c r="G427" s="48">
        <f>$AS$7*EXP(-'3.r(t)'!D425*$AS$21)</f>
        <v>0.9553476245219803</v>
      </c>
      <c r="H427" s="7">
        <f ca="1">$AS$8*EXP(-'3.r(t)'!E425*$AS$22)</f>
        <v>0.97738643288083404</v>
      </c>
      <c r="I427" s="7">
        <v>1</v>
      </c>
      <c r="J427" s="7"/>
      <c r="K427" s="7">
        <v>419</v>
      </c>
      <c r="L427" s="7">
        <f>$AT$7*EXP(-'3.r(t)'!D425*$AT$21)</f>
        <v>0.93311670519824419</v>
      </c>
      <c r="M427" s="7">
        <f ca="1">$AT$8*EXP(-'3.r(t)'!E425*$AT$22)</f>
        <v>0.95483428689254601</v>
      </c>
      <c r="N427" s="7">
        <f ca="1">$AT$9*EXP(-'3.r(t)'!F425*$AT$23)</f>
        <v>0.97859650011393606</v>
      </c>
      <c r="O427" s="7">
        <v>1</v>
      </c>
      <c r="P427" s="7"/>
      <c r="Q427" s="7">
        <v>419</v>
      </c>
      <c r="R427" s="7">
        <f>$AU$7*EXP(-'3.r(t)'!D425*$AU$21)</f>
        <v>0.91099305977534117</v>
      </c>
      <c r="S427" s="7">
        <f ca="1">$AU$8*EXP(-'3.r(t)'!E425*$AU$22)</f>
        <v>0.93237713001503597</v>
      </c>
      <c r="T427" s="7">
        <f ca="1">$AU$9*EXP(-'3.r(t)'!F425*$AU$23)</f>
        <v>0.95720853810694828</v>
      </c>
      <c r="U427" s="7">
        <f ca="1">$AU$10*EXP(-'3.r(t)'!G425*$AU$24)</f>
        <v>0.9745828340645204</v>
      </c>
      <c r="V427" s="7">
        <v>1</v>
      </c>
      <c r="W427" s="7"/>
      <c r="X427" s="7">
        <v>419</v>
      </c>
      <c r="Y427" s="7">
        <f>$AV$7*EXP(-'3.r(t)'!D425*$AV$21)</f>
        <v>0.88900715067201674</v>
      </c>
      <c r="Z427" s="7">
        <f ca="1">$AV$8*EXP(-'3.r(t)'!E425*$AV$22)</f>
        <v>0.9100466197645295</v>
      </c>
      <c r="AA427" s="7">
        <f ca="1">$AV$9*EXP(-'3.r(t)'!F425*$AV$23)</f>
        <v>0.93586936489488415</v>
      </c>
      <c r="AB427" s="7">
        <f ca="1">$AV$10*EXP(-'3.r(t)'!G425*$AV$24)</f>
        <v>0.94938117717515957</v>
      </c>
      <c r="AC427" s="7">
        <f ca="1">$AV$11*EXP(-'3.r(t)'!H425*$AV$25)</f>
        <v>0.9744869478383491</v>
      </c>
      <c r="AD427" s="7">
        <v>1</v>
      </c>
      <c r="AE427" s="7"/>
      <c r="AF427" s="7">
        <v>419</v>
      </c>
      <c r="AG427" s="7">
        <f>$AW$7*EXP(-'3.r(t)'!D425*$AW$21)</f>
        <v>0.86718755429225491</v>
      </c>
      <c r="AH427" s="7">
        <f ca="1">$AW$8*EXP(-'3.r(t)'!E425*$AW$22)</f>
        <v>0.88787250180996302</v>
      </c>
      <c r="AI427" s="7">
        <f ca="1">$AW$9*EXP(-'3.r(t)'!F425*$AW$23)</f>
        <v>0.91461048278292101</v>
      </c>
      <c r="AJ427" s="7">
        <f ca="1">$AW$10*EXP(-'3.r(t)'!G425*$AW$24)</f>
        <v>0.92442587381654384</v>
      </c>
      <c r="AK427" s="7">
        <f ca="1">$AW$11*EXP(-'3.r(t)'!H425*$AW$25)</f>
        <v>0.94920279707824184</v>
      </c>
      <c r="AL427" s="7">
        <f ca="1">$AW$12*EXP(-'3.r(t)'!I425*$AW$26)</f>
        <v>0.97316261605903687</v>
      </c>
      <c r="AM427" s="7">
        <v>1</v>
      </c>
      <c r="AN427" s="7"/>
    </row>
    <row r="428" spans="2:40">
      <c r="B428" s="7">
        <v>420</v>
      </c>
      <c r="C428" s="7">
        <f>$AR$7*EXP(-'3.r(t)'!D426*$AR$21)</f>
        <v>0.97765346695821032</v>
      </c>
      <c r="D428" s="7">
        <v>1</v>
      </c>
      <c r="E428" s="7"/>
      <c r="F428" s="7">
        <v>420</v>
      </c>
      <c r="G428" s="48">
        <f>$AS$7*EXP(-'3.r(t)'!D426*$AS$21)</f>
        <v>0.9553476245219803</v>
      </c>
      <c r="H428" s="7">
        <f ca="1">$AS$8*EXP(-'3.r(t)'!E426*$AS$22)</f>
        <v>0.97497215339090493</v>
      </c>
      <c r="I428" s="7">
        <v>1</v>
      </c>
      <c r="J428" s="7"/>
      <c r="K428" s="7">
        <v>420</v>
      </c>
      <c r="L428" s="7">
        <f>$AT$7*EXP(-'3.r(t)'!D426*$AT$21)</f>
        <v>0.93311670519824419</v>
      </c>
      <c r="M428" s="7">
        <f ca="1">$AT$8*EXP(-'3.r(t)'!E426*$AT$22)</f>
        <v>0.95012296774389837</v>
      </c>
      <c r="N428" s="7">
        <f ca="1">$AT$9*EXP(-'3.r(t)'!F426*$AT$23)</f>
        <v>0.97504347282621651</v>
      </c>
      <c r="O428" s="7">
        <v>1</v>
      </c>
      <c r="P428" s="7"/>
      <c r="Q428" s="7">
        <v>420</v>
      </c>
      <c r="R428" s="7">
        <f>$AU$7*EXP(-'3.r(t)'!D426*$AU$21)</f>
        <v>0.91099305977534117</v>
      </c>
      <c r="S428" s="7">
        <f ca="1">$AU$8*EXP(-'3.r(t)'!E426*$AU$22)</f>
        <v>0.9254848820050765</v>
      </c>
      <c r="T428" s="7">
        <f ca="1">$AU$9*EXP(-'3.r(t)'!F426*$AU$23)</f>
        <v>0.95027040986385936</v>
      </c>
      <c r="U428" s="7">
        <f ca="1">$AU$10*EXP(-'3.r(t)'!G426*$AU$24)</f>
        <v>0.97656532890203496</v>
      </c>
      <c r="V428" s="7">
        <v>1</v>
      </c>
      <c r="W428" s="7"/>
      <c r="X428" s="7">
        <v>420</v>
      </c>
      <c r="Y428" s="7">
        <f>$AV$7*EXP(-'3.r(t)'!D426*$AV$21)</f>
        <v>0.88900715067201674</v>
      </c>
      <c r="Z428" s="7">
        <f ca="1">$AV$8*EXP(-'3.r(t)'!E426*$AV$22)</f>
        <v>0.90108811787969845</v>
      </c>
      <c r="AA428" s="7">
        <f ca="1">$AV$9*EXP(-'3.r(t)'!F426*$AV$23)</f>
        <v>0.92571264192348435</v>
      </c>
      <c r="AB428" s="7">
        <f ca="1">$AV$10*EXP(-'3.r(t)'!G426*$AV$24)</f>
        <v>0.95324756501445429</v>
      </c>
      <c r="AC428" s="7">
        <f ca="1">$AV$11*EXP(-'3.r(t)'!H426*$AV$25)</f>
        <v>0.97504219289172822</v>
      </c>
      <c r="AD428" s="7">
        <v>1</v>
      </c>
      <c r="AE428" s="7"/>
      <c r="AF428" s="7">
        <v>420</v>
      </c>
      <c r="AG428" s="7">
        <f>$AW$7*EXP(-'3.r(t)'!D426*$AW$21)</f>
        <v>0.86718755429225491</v>
      </c>
      <c r="AH428" s="7">
        <f ca="1">$AW$8*EXP(-'3.r(t)'!E426*$AW$22)</f>
        <v>0.87696070384838309</v>
      </c>
      <c r="AI428" s="7">
        <f ca="1">$AW$9*EXP(-'3.r(t)'!F426*$AW$23)</f>
        <v>0.90139980427789224</v>
      </c>
      <c r="AJ428" s="7">
        <f ca="1">$AW$10*EXP(-'3.r(t)'!G426*$AW$24)</f>
        <v>0.9300787542066784</v>
      </c>
      <c r="AK428" s="7">
        <f ca="1">$AW$11*EXP(-'3.r(t)'!H426*$AW$25)</f>
        <v>0.95028478244065173</v>
      </c>
      <c r="AL428" s="7">
        <f ca="1">$AW$12*EXP(-'3.r(t)'!I426*$AW$26)</f>
        <v>0.97791945083667653</v>
      </c>
      <c r="AM428" s="7">
        <v>1</v>
      </c>
      <c r="AN428" s="7"/>
    </row>
    <row r="429" spans="2:40">
      <c r="B429" s="7">
        <v>421</v>
      </c>
      <c r="C429" s="7">
        <f>$AR$7*EXP(-'3.r(t)'!D427*$AR$21)</f>
        <v>0.97765346695821032</v>
      </c>
      <c r="D429" s="7">
        <v>1</v>
      </c>
      <c r="E429" s="7"/>
      <c r="F429" s="7">
        <v>421</v>
      </c>
      <c r="G429" s="48">
        <f>$AS$7*EXP(-'3.r(t)'!D427*$AS$21)</f>
        <v>0.9553476245219803</v>
      </c>
      <c r="H429" s="7">
        <f ca="1">$AS$8*EXP(-'3.r(t)'!E427*$AS$22)</f>
        <v>0.97693695234763822</v>
      </c>
      <c r="I429" s="7">
        <v>1</v>
      </c>
      <c r="J429" s="7"/>
      <c r="K429" s="7">
        <v>421</v>
      </c>
      <c r="L429" s="7">
        <f>$AT$7*EXP(-'3.r(t)'!D427*$AT$21)</f>
        <v>0.93311670519824419</v>
      </c>
      <c r="M429" s="7">
        <f ca="1">$AT$8*EXP(-'3.r(t)'!E427*$AT$22)</f>
        <v>0.9539562703283273</v>
      </c>
      <c r="N429" s="7">
        <f ca="1">$AT$9*EXP(-'3.r(t)'!F427*$AT$23)</f>
        <v>0.97600418045452308</v>
      </c>
      <c r="O429" s="7">
        <v>1</v>
      </c>
      <c r="P429" s="7"/>
      <c r="Q429" s="7">
        <v>421</v>
      </c>
      <c r="R429" s="7">
        <f>$AU$7*EXP(-'3.r(t)'!D427*$AU$21)</f>
        <v>0.91099305977534117</v>
      </c>
      <c r="S429" s="7">
        <f ca="1">$AU$8*EXP(-'3.r(t)'!E427*$AU$22)</f>
        <v>0.93109137653211993</v>
      </c>
      <c r="T429" s="7">
        <f ca="1">$AU$9*EXP(-'3.r(t)'!F427*$AU$23)</f>
        <v>0.95214392999268316</v>
      </c>
      <c r="U429" s="7">
        <f ca="1">$AU$10*EXP(-'3.r(t)'!G427*$AU$24)</f>
        <v>0.9744851411576988</v>
      </c>
      <c r="V429" s="7">
        <v>1</v>
      </c>
      <c r="W429" s="7"/>
      <c r="X429" s="7">
        <v>421</v>
      </c>
      <c r="Y429" s="7">
        <f>$AV$7*EXP(-'3.r(t)'!D427*$AV$21)</f>
        <v>0.88900715067201674</v>
      </c>
      <c r="Z429" s="7">
        <f ca="1">$AV$8*EXP(-'3.r(t)'!E427*$AV$22)</f>
        <v>0.90837372502018676</v>
      </c>
      <c r="AA429" s="7">
        <f ca="1">$AV$9*EXP(-'3.r(t)'!F427*$AV$23)</f>
        <v>0.92845164517645185</v>
      </c>
      <c r="AB429" s="7">
        <f ca="1">$AV$10*EXP(-'3.r(t)'!G427*$AV$24)</f>
        <v>0.9491908533666874</v>
      </c>
      <c r="AC429" s="7">
        <f ca="1">$AV$11*EXP(-'3.r(t)'!H427*$AV$25)</f>
        <v>0.97648167088897397</v>
      </c>
      <c r="AD429" s="7">
        <v>1</v>
      </c>
      <c r="AE429" s="7"/>
      <c r="AF429" s="7">
        <v>421</v>
      </c>
      <c r="AG429" s="7">
        <f>$AW$7*EXP(-'3.r(t)'!D427*$AW$21)</f>
        <v>0.86718755429225491</v>
      </c>
      <c r="AH429" s="7">
        <f ca="1">$AW$8*EXP(-'3.r(t)'!E427*$AW$22)</f>
        <v>0.88583280440005663</v>
      </c>
      <c r="AI429" s="7">
        <f ca="1">$AW$9*EXP(-'3.r(t)'!F427*$AW$23)</f>
        <v>0.90495764516276433</v>
      </c>
      <c r="AJ429" s="7">
        <f ca="1">$AW$10*EXP(-'3.r(t)'!G427*$AW$24)</f>
        <v>0.92414790627441035</v>
      </c>
      <c r="AK429" s="7">
        <f ca="1">$AW$11*EXP(-'3.r(t)'!H427*$AW$25)</f>
        <v>0.95309270970255944</v>
      </c>
      <c r="AL429" s="7">
        <f ca="1">$AW$12*EXP(-'3.r(t)'!I427*$AW$26)</f>
        <v>0.97381518299251901</v>
      </c>
      <c r="AM429" s="7">
        <v>1</v>
      </c>
      <c r="AN429" s="7"/>
    </row>
    <row r="430" spans="2:40">
      <c r="B430" s="7">
        <v>422</v>
      </c>
      <c r="C430" s="7">
        <f>$AR$7*EXP(-'3.r(t)'!D428*$AR$21)</f>
        <v>0.97765346695821032</v>
      </c>
      <c r="D430" s="7">
        <v>1</v>
      </c>
      <c r="E430" s="7"/>
      <c r="F430" s="7">
        <v>422</v>
      </c>
      <c r="G430" s="48">
        <f>$AS$7*EXP(-'3.r(t)'!D428*$AS$21)</f>
        <v>0.9553476245219803</v>
      </c>
      <c r="H430" s="7">
        <f ca="1">$AS$8*EXP(-'3.r(t)'!E428*$AS$22)</f>
        <v>0.97748125220496351</v>
      </c>
      <c r="I430" s="7">
        <v>1</v>
      </c>
      <c r="J430" s="7"/>
      <c r="K430" s="7">
        <v>422</v>
      </c>
      <c r="L430" s="7">
        <f>$AT$7*EXP(-'3.r(t)'!D428*$AT$21)</f>
        <v>0.93311670519824419</v>
      </c>
      <c r="M430" s="7">
        <f ca="1">$AT$8*EXP(-'3.r(t)'!E428*$AT$22)</f>
        <v>0.95501955881840761</v>
      </c>
      <c r="N430" s="7">
        <f ca="1">$AT$9*EXP(-'3.r(t)'!F428*$AT$23)</f>
        <v>0.97949188169655099</v>
      </c>
      <c r="O430" s="7">
        <v>1</v>
      </c>
      <c r="P430" s="7"/>
      <c r="Q430" s="7">
        <v>422</v>
      </c>
      <c r="R430" s="7">
        <f>$AU$7*EXP(-'3.r(t)'!D428*$AU$21)</f>
        <v>0.91099305977534117</v>
      </c>
      <c r="S430" s="7">
        <f ca="1">$AU$8*EXP(-'3.r(t)'!E428*$AU$22)</f>
        <v>0.93264851483258915</v>
      </c>
      <c r="T430" s="7">
        <f ca="1">$AU$9*EXP(-'3.r(t)'!F428*$AU$23)</f>
        <v>0.95896096413496867</v>
      </c>
      <c r="U430" s="7">
        <f ca="1">$AU$10*EXP(-'3.r(t)'!G428*$AU$24)</f>
        <v>0.97980929925866878</v>
      </c>
      <c r="V430" s="7">
        <v>1</v>
      </c>
      <c r="W430" s="7"/>
      <c r="X430" s="7">
        <v>422</v>
      </c>
      <c r="Y430" s="7">
        <f>$AV$7*EXP(-'3.r(t)'!D428*$AV$21)</f>
        <v>0.88900715067201674</v>
      </c>
      <c r="Z430" s="7">
        <f ca="1">$AV$8*EXP(-'3.r(t)'!E428*$AV$22)</f>
        <v>0.91039981706793938</v>
      </c>
      <c r="AA430" s="7">
        <f ca="1">$AV$9*EXP(-'3.r(t)'!F428*$AV$23)</f>
        <v>0.9384405792751036</v>
      </c>
      <c r="AB430" s="7">
        <f ca="1">$AV$10*EXP(-'3.r(t)'!G428*$AV$24)</f>
        <v>0.95959110965807237</v>
      </c>
      <c r="AC430" s="7">
        <f ca="1">$AV$11*EXP(-'3.r(t)'!H428*$AV$25)</f>
        <v>0.97893022338769786</v>
      </c>
      <c r="AD430" s="7">
        <v>1</v>
      </c>
      <c r="AE430" s="7"/>
      <c r="AF430" s="7">
        <v>422</v>
      </c>
      <c r="AG430" s="7">
        <f>$AW$7*EXP(-'3.r(t)'!D428*$AW$21)</f>
        <v>0.86718755429225491</v>
      </c>
      <c r="AH430" s="7">
        <f ca="1">$AW$8*EXP(-'3.r(t)'!E428*$AW$22)</f>
        <v>0.88830326186488107</v>
      </c>
      <c r="AI430" s="7">
        <f ca="1">$AW$9*EXP(-'3.r(t)'!F428*$AW$23)</f>
        <v>0.91796242609897349</v>
      </c>
      <c r="AJ430" s="7">
        <f ca="1">$AW$10*EXP(-'3.r(t)'!G428*$AW$24)</f>
        <v>0.93937822857727382</v>
      </c>
      <c r="AK430" s="7">
        <f ca="1">$AW$11*EXP(-'3.r(t)'!H428*$AW$25)</f>
        <v>0.95787851062095686</v>
      </c>
      <c r="AL430" s="7">
        <f ca="1">$AW$12*EXP(-'3.r(t)'!I428*$AW$26)</f>
        <v>0.97697691208098625</v>
      </c>
      <c r="AM430" s="7">
        <v>1</v>
      </c>
      <c r="AN430" s="7"/>
    </row>
    <row r="431" spans="2:40">
      <c r="B431" s="7">
        <v>423</v>
      </c>
      <c r="C431" s="7">
        <f>$AR$7*EXP(-'3.r(t)'!D429*$AR$21)</f>
        <v>0.97765346695821032</v>
      </c>
      <c r="D431" s="7">
        <v>1</v>
      </c>
      <c r="E431" s="7"/>
      <c r="F431" s="7">
        <v>423</v>
      </c>
      <c r="G431" s="48">
        <f>$AS$7*EXP(-'3.r(t)'!D429*$AS$21)</f>
        <v>0.9553476245219803</v>
      </c>
      <c r="H431" s="7">
        <f ca="1">$AS$8*EXP(-'3.r(t)'!E429*$AS$22)</f>
        <v>0.97930548408439</v>
      </c>
      <c r="I431" s="7">
        <v>1</v>
      </c>
      <c r="J431" s="7"/>
      <c r="K431" s="7">
        <v>423</v>
      </c>
      <c r="L431" s="7">
        <f>$AT$7*EXP(-'3.r(t)'!D429*$AT$21)</f>
        <v>0.93311670519824419</v>
      </c>
      <c r="M431" s="7">
        <f ca="1">$AT$8*EXP(-'3.r(t)'!E429*$AT$22)</f>
        <v>0.95858751021685185</v>
      </c>
      <c r="N431" s="7">
        <f ca="1">$AT$9*EXP(-'3.r(t)'!F429*$AT$23)</f>
        <v>0.98131201632894283</v>
      </c>
      <c r="O431" s="7">
        <v>1</v>
      </c>
      <c r="P431" s="7"/>
      <c r="Q431" s="7">
        <v>423</v>
      </c>
      <c r="R431" s="7">
        <f>$AU$7*EXP(-'3.r(t)'!D429*$AU$21)</f>
        <v>0.91099305977534117</v>
      </c>
      <c r="S431" s="7">
        <f ca="1">$AU$8*EXP(-'3.r(t)'!E429*$AU$22)</f>
        <v>0.93787995322778139</v>
      </c>
      <c r="T431" s="7">
        <f ca="1">$AU$9*EXP(-'3.r(t)'!F429*$AU$23)</f>
        <v>0.96252824186178654</v>
      </c>
      <c r="U431" s="7">
        <f ca="1">$AU$10*EXP(-'3.r(t)'!G429*$AU$24)</f>
        <v>0.98122429761695817</v>
      </c>
      <c r="V431" s="7">
        <v>1</v>
      </c>
      <c r="W431" s="7"/>
      <c r="X431" s="7">
        <v>423</v>
      </c>
      <c r="Y431" s="7">
        <f>$AV$7*EXP(-'3.r(t)'!D429*$AV$21)</f>
        <v>0.88900715067201674</v>
      </c>
      <c r="Z431" s="7">
        <f ca="1">$AV$8*EXP(-'3.r(t)'!E429*$AV$22)</f>
        <v>0.91721502838279234</v>
      </c>
      <c r="AA431" s="7">
        <f ca="1">$AV$9*EXP(-'3.r(t)'!F429*$AV$23)</f>
        <v>0.94368186072204452</v>
      </c>
      <c r="AB431" s="7">
        <f ca="1">$AV$10*EXP(-'3.r(t)'!G429*$AV$24)</f>
        <v>0.96236471121149925</v>
      </c>
      <c r="AC431" s="7">
        <f ca="1">$AV$11*EXP(-'3.r(t)'!H429*$AV$25)</f>
        <v>0.98368257877223975</v>
      </c>
      <c r="AD431" s="7">
        <v>1</v>
      </c>
      <c r="AE431" s="7"/>
      <c r="AF431" s="7">
        <v>423</v>
      </c>
      <c r="AG431" s="7">
        <f>$AW$7*EXP(-'3.r(t)'!D429*$AW$21)</f>
        <v>0.86718755429225491</v>
      </c>
      <c r="AH431" s="7">
        <f ca="1">$AW$8*EXP(-'3.r(t)'!E429*$AW$22)</f>
        <v>0.89662327238695649</v>
      </c>
      <c r="AI431" s="7">
        <f ca="1">$AW$9*EXP(-'3.r(t)'!F429*$AW$23)</f>
        <v>0.92480466003344874</v>
      </c>
      <c r="AJ431" s="7">
        <f ca="1">$AW$10*EXP(-'3.r(t)'!G429*$AW$24)</f>
        <v>0.94345393752372608</v>
      </c>
      <c r="AK431" s="7">
        <f ca="1">$AW$11*EXP(-'3.r(t)'!H429*$AW$25)</f>
        <v>0.96720139919395609</v>
      </c>
      <c r="AL431" s="7">
        <f ca="1">$AW$12*EXP(-'3.r(t)'!I429*$AW$26)</f>
        <v>0.98071550182676848</v>
      </c>
      <c r="AM431" s="7">
        <v>1</v>
      </c>
      <c r="AN431" s="7"/>
    </row>
    <row r="432" spans="2:40">
      <c r="B432" s="7">
        <v>424</v>
      </c>
      <c r="C432" s="7">
        <f>$AR$7*EXP(-'3.r(t)'!D430*$AR$21)</f>
        <v>0.97765346695821032</v>
      </c>
      <c r="D432" s="7">
        <v>1</v>
      </c>
      <c r="E432" s="7"/>
      <c r="F432" s="7">
        <v>424</v>
      </c>
      <c r="G432" s="48">
        <f>$AS$7*EXP(-'3.r(t)'!D430*$AS$21)</f>
        <v>0.9553476245219803</v>
      </c>
      <c r="H432" s="7">
        <f ca="1">$AS$8*EXP(-'3.r(t)'!E430*$AS$22)</f>
        <v>0.97517721545309421</v>
      </c>
      <c r="I432" s="7">
        <v>1</v>
      </c>
      <c r="J432" s="7"/>
      <c r="K432" s="7">
        <v>424</v>
      </c>
      <c r="L432" s="7">
        <f>$AT$7*EXP(-'3.r(t)'!D430*$AT$21)</f>
        <v>0.93311670519824419</v>
      </c>
      <c r="M432" s="7">
        <f ca="1">$AT$8*EXP(-'3.r(t)'!E430*$AT$22)</f>
        <v>0.95052268103575943</v>
      </c>
      <c r="N432" s="7">
        <f ca="1">$AT$9*EXP(-'3.r(t)'!F430*$AT$23)</f>
        <v>0.97517217508065834</v>
      </c>
      <c r="O432" s="7">
        <v>1</v>
      </c>
      <c r="P432" s="7"/>
      <c r="Q432" s="7">
        <v>424</v>
      </c>
      <c r="R432" s="7">
        <f>$AU$7*EXP(-'3.r(t)'!D430*$AU$21)</f>
        <v>0.91099305977534117</v>
      </c>
      <c r="S432" s="7">
        <f ca="1">$AU$8*EXP(-'3.r(t)'!E430*$AU$22)</f>
        <v>0.92606896563239582</v>
      </c>
      <c r="T432" s="7">
        <f ca="1">$AU$9*EXP(-'3.r(t)'!F430*$AU$23)</f>
        <v>0.95052129101777161</v>
      </c>
      <c r="U432" s="7">
        <f ca="1">$AU$10*EXP(-'3.r(t)'!G430*$AU$24)</f>
        <v>0.97564287291259866</v>
      </c>
      <c r="V432" s="7">
        <v>1</v>
      </c>
      <c r="W432" s="7"/>
      <c r="X432" s="7">
        <v>424</v>
      </c>
      <c r="Y432" s="7">
        <f>$AV$7*EXP(-'3.r(t)'!D430*$AV$21)</f>
        <v>0.88900715067201674</v>
      </c>
      <c r="Z432" s="7">
        <f ca="1">$AV$8*EXP(-'3.r(t)'!E430*$AV$22)</f>
        <v>0.90184644637536315</v>
      </c>
      <c r="AA432" s="7">
        <f ca="1">$AV$9*EXP(-'3.r(t)'!F430*$AV$23)</f>
        <v>0.92607926259493134</v>
      </c>
      <c r="AB432" s="7">
        <f ca="1">$AV$10*EXP(-'3.r(t)'!G430*$AV$24)</f>
        <v>0.95144755513056789</v>
      </c>
      <c r="AC432" s="7">
        <f ca="1">$AV$11*EXP(-'3.r(t)'!H430*$AV$25)</f>
        <v>0.97844801393434599</v>
      </c>
      <c r="AD432" s="7">
        <v>1</v>
      </c>
      <c r="AE432" s="7"/>
      <c r="AF432" s="7">
        <v>424</v>
      </c>
      <c r="AG432" s="7">
        <f>$AW$7*EXP(-'3.r(t)'!D430*$AW$21)</f>
        <v>0.86718755429225491</v>
      </c>
      <c r="AH432" s="7">
        <f ca="1">$AW$8*EXP(-'3.r(t)'!E430*$AW$22)</f>
        <v>0.87788333036713906</v>
      </c>
      <c r="AI432" s="7">
        <f ca="1">$AW$9*EXP(-'3.r(t)'!F430*$AW$23)</f>
        <v>0.90187582473035555</v>
      </c>
      <c r="AJ432" s="7">
        <f ca="1">$AW$10*EXP(-'3.r(t)'!G430*$AW$24)</f>
        <v>0.92744560762227013</v>
      </c>
      <c r="AK432" s="7">
        <f ca="1">$AW$11*EXP(-'3.r(t)'!H430*$AW$25)</f>
        <v>0.95693506378646986</v>
      </c>
      <c r="AL432" s="7">
        <f ca="1">$AW$12*EXP(-'3.r(t)'!I430*$AW$26)</f>
        <v>0.97815908423324904</v>
      </c>
      <c r="AM432" s="7">
        <v>1</v>
      </c>
      <c r="AN432" s="7"/>
    </row>
    <row r="433" spans="2:40">
      <c r="B433" s="7">
        <v>425</v>
      </c>
      <c r="C433" s="7">
        <f>$AR$7*EXP(-'3.r(t)'!D431*$AR$21)</f>
        <v>0.97765346695821032</v>
      </c>
      <c r="D433" s="7">
        <v>1</v>
      </c>
      <c r="E433" s="7"/>
      <c r="F433" s="7">
        <v>425</v>
      </c>
      <c r="G433" s="48">
        <f>$AS$7*EXP(-'3.r(t)'!D431*$AS$21)</f>
        <v>0.9553476245219803</v>
      </c>
      <c r="H433" s="7">
        <f ca="1">$AS$8*EXP(-'3.r(t)'!E431*$AS$22)</f>
        <v>0.975531417385754</v>
      </c>
      <c r="I433" s="7">
        <v>1</v>
      </c>
      <c r="J433" s="7"/>
      <c r="K433" s="7">
        <v>425</v>
      </c>
      <c r="L433" s="7">
        <f>$AT$7*EXP(-'3.r(t)'!D431*$AT$21)</f>
        <v>0.93311670519824419</v>
      </c>
      <c r="M433" s="7">
        <f ca="1">$AT$8*EXP(-'3.r(t)'!E431*$AT$22)</f>
        <v>0.95121330035888174</v>
      </c>
      <c r="N433" s="7">
        <f ca="1">$AT$9*EXP(-'3.r(t)'!F431*$AT$23)</f>
        <v>0.97617659031221138</v>
      </c>
      <c r="O433" s="7">
        <v>1</v>
      </c>
      <c r="P433" s="7"/>
      <c r="Q433" s="7">
        <v>425</v>
      </c>
      <c r="R433" s="7">
        <f>$AU$7*EXP(-'3.r(t)'!D431*$AU$21)</f>
        <v>0.91099305977534117</v>
      </c>
      <c r="S433" s="7">
        <f ca="1">$AU$8*EXP(-'3.r(t)'!E431*$AU$22)</f>
        <v>0.92707842699307064</v>
      </c>
      <c r="T433" s="7">
        <f ca="1">$AU$9*EXP(-'3.r(t)'!F431*$AU$23)</f>
        <v>0.9524803496556159</v>
      </c>
      <c r="U433" s="7">
        <f ca="1">$AU$10*EXP(-'3.r(t)'!G431*$AU$24)</f>
        <v>0.97525056083487427</v>
      </c>
      <c r="V433" s="7">
        <v>1</v>
      </c>
      <c r="W433" s="7"/>
      <c r="X433" s="7">
        <v>425</v>
      </c>
      <c r="Y433" s="7">
        <f>$AV$7*EXP(-'3.r(t)'!D431*$AV$21)</f>
        <v>0.88900715067201674</v>
      </c>
      <c r="Z433" s="7">
        <f ca="1">$AV$8*EXP(-'3.r(t)'!E431*$AV$22)</f>
        <v>0.90315742792243336</v>
      </c>
      <c r="AA433" s="7">
        <f ca="1">$AV$9*EXP(-'3.r(t)'!F431*$AV$23)</f>
        <v>0.92894376139209955</v>
      </c>
      <c r="AB433" s="7">
        <f ca="1">$AV$10*EXP(-'3.r(t)'!G431*$AV$24)</f>
        <v>0.95068254299016997</v>
      </c>
      <c r="AC433" s="7">
        <f ca="1">$AV$11*EXP(-'3.r(t)'!H431*$AV$25)</f>
        <v>0.97436248492156297</v>
      </c>
      <c r="AD433" s="7">
        <v>1</v>
      </c>
      <c r="AE433" s="7"/>
      <c r="AF433" s="7">
        <v>425</v>
      </c>
      <c r="AG433" s="7">
        <f>$AW$7*EXP(-'3.r(t)'!D431*$AW$21)</f>
        <v>0.86718755429225491</v>
      </c>
      <c r="AH433" s="7">
        <f ca="1">$AW$8*EXP(-'3.r(t)'!E431*$AW$22)</f>
        <v>0.87947880416003232</v>
      </c>
      <c r="AI433" s="7">
        <f ca="1">$AW$9*EXP(-'3.r(t)'!F431*$AW$23)</f>
        <v>0.9055972529384767</v>
      </c>
      <c r="AJ433" s="7">
        <f ca="1">$AW$10*EXP(-'3.r(t)'!G431*$AW$24)</f>
        <v>0.92632726246519237</v>
      </c>
      <c r="AK433" s="7">
        <f ca="1">$AW$11*EXP(-'3.r(t)'!H431*$AW$25)</f>
        <v>0.94896034538719576</v>
      </c>
      <c r="AL433" s="7">
        <f ca="1">$AW$12*EXP(-'3.r(t)'!I431*$AW$26)</f>
        <v>0.97353973841461183</v>
      </c>
      <c r="AM433" s="7">
        <v>1</v>
      </c>
      <c r="AN433" s="7"/>
    </row>
    <row r="434" spans="2:40">
      <c r="B434" s="7">
        <v>426</v>
      </c>
      <c r="C434" s="7">
        <f>$AR$7*EXP(-'3.r(t)'!D432*$AR$21)</f>
        <v>0.97765346695821032</v>
      </c>
      <c r="D434" s="7">
        <v>1</v>
      </c>
      <c r="E434" s="7"/>
      <c r="F434" s="7">
        <v>426</v>
      </c>
      <c r="G434" s="48">
        <f>$AS$7*EXP(-'3.r(t)'!D432*$AS$21)</f>
        <v>0.9553476245219803</v>
      </c>
      <c r="H434" s="7">
        <f ca="1">$AS$8*EXP(-'3.r(t)'!E432*$AS$22)</f>
        <v>0.97889114607717276</v>
      </c>
      <c r="I434" s="7">
        <v>1</v>
      </c>
      <c r="J434" s="7"/>
      <c r="K434" s="7">
        <v>426</v>
      </c>
      <c r="L434" s="7">
        <f>$AT$7*EXP(-'3.r(t)'!D432*$AT$21)</f>
        <v>0.93311670519824419</v>
      </c>
      <c r="M434" s="7">
        <f ca="1">$AT$8*EXP(-'3.r(t)'!E432*$AT$22)</f>
        <v>0.95777653708710242</v>
      </c>
      <c r="N434" s="7">
        <f ca="1">$AT$9*EXP(-'3.r(t)'!F432*$AT$23)</f>
        <v>0.97989521143607672</v>
      </c>
      <c r="O434" s="7">
        <v>1</v>
      </c>
      <c r="P434" s="7"/>
      <c r="Q434" s="7">
        <v>426</v>
      </c>
      <c r="R434" s="7">
        <f>$AU$7*EXP(-'3.r(t)'!D432*$AU$21)</f>
        <v>0.91099305977534117</v>
      </c>
      <c r="S434" s="7">
        <f ca="1">$AU$8*EXP(-'3.r(t)'!E432*$AU$22)</f>
        <v>0.93669002344673047</v>
      </c>
      <c r="T434" s="7">
        <f ca="1">$AU$9*EXP(-'3.r(t)'!F432*$AU$23)</f>
        <v>0.95975087799878289</v>
      </c>
      <c r="U434" s="7">
        <f ca="1">$AU$10*EXP(-'3.r(t)'!G432*$AU$24)</f>
        <v>0.98166628037522152</v>
      </c>
      <c r="V434" s="7">
        <v>1</v>
      </c>
      <c r="W434" s="7"/>
      <c r="X434" s="7">
        <v>426</v>
      </c>
      <c r="Y434" s="7">
        <f>$AV$7*EXP(-'3.r(t)'!D432*$AV$21)</f>
        <v>0.88900715067201674</v>
      </c>
      <c r="Z434" s="7">
        <f ca="1">$AV$8*EXP(-'3.r(t)'!E432*$AV$22)</f>
        <v>0.91566374153998831</v>
      </c>
      <c r="AA434" s="7">
        <f ca="1">$AV$9*EXP(-'3.r(t)'!F432*$AV$23)</f>
        <v>0.93960033428658452</v>
      </c>
      <c r="AB434" s="7">
        <f ca="1">$AV$10*EXP(-'3.r(t)'!G432*$AV$24)</f>
        <v>0.96323188176074503</v>
      </c>
      <c r="AC434" s="7">
        <f ca="1">$AV$11*EXP(-'3.r(t)'!H432*$AV$25)</f>
        <v>0.98110319552454095</v>
      </c>
      <c r="AD434" s="7">
        <v>1</v>
      </c>
      <c r="AE434" s="7"/>
      <c r="AF434" s="7">
        <v>426</v>
      </c>
      <c r="AG434" s="7">
        <f>$AW$7*EXP(-'3.r(t)'!D432*$AW$21)</f>
        <v>0.86718755429225491</v>
      </c>
      <c r="AH434" s="7">
        <f ca="1">$AW$8*EXP(-'3.r(t)'!E432*$AW$22)</f>
        <v>0.89472809832758393</v>
      </c>
      <c r="AI434" s="7">
        <f ca="1">$AW$9*EXP(-'3.r(t)'!F432*$AW$23)</f>
        <v>0.91947533416871119</v>
      </c>
      <c r="AJ434" s="7">
        <f ca="1">$AW$10*EXP(-'3.r(t)'!G432*$AW$24)</f>
        <v>0.94472942030171037</v>
      </c>
      <c r="AK434" s="7">
        <f ca="1">$AW$11*EXP(-'3.r(t)'!H432*$AW$25)</f>
        <v>0.96213571587916513</v>
      </c>
      <c r="AL434" s="7">
        <f ca="1">$AW$12*EXP(-'3.r(t)'!I432*$AW$26)</f>
        <v>0.97839202287521998</v>
      </c>
      <c r="AM434" s="7">
        <v>1</v>
      </c>
      <c r="AN434" s="7"/>
    </row>
    <row r="435" spans="2:40">
      <c r="B435" s="7">
        <v>427</v>
      </c>
      <c r="C435" s="7">
        <f>$AR$7*EXP(-'3.r(t)'!D433*$AR$21)</f>
        <v>0.97765346695821032</v>
      </c>
      <c r="D435" s="7">
        <v>1</v>
      </c>
      <c r="E435" s="7"/>
      <c r="F435" s="7">
        <v>427</v>
      </c>
      <c r="G435" s="48">
        <f>$AS$7*EXP(-'3.r(t)'!D433*$AS$21)</f>
        <v>0.9553476245219803</v>
      </c>
      <c r="H435" s="7">
        <f ca="1">$AS$8*EXP(-'3.r(t)'!E433*$AS$22)</f>
        <v>0.97429095517964048</v>
      </c>
      <c r="I435" s="7">
        <v>1</v>
      </c>
      <c r="J435" s="7"/>
      <c r="K435" s="7">
        <v>427</v>
      </c>
      <c r="L435" s="7">
        <f>$AT$7*EXP(-'3.r(t)'!D433*$AT$21)</f>
        <v>0.93311670519824419</v>
      </c>
      <c r="M435" s="7">
        <f ca="1">$AT$8*EXP(-'3.r(t)'!E433*$AT$22)</f>
        <v>0.94879575862976628</v>
      </c>
      <c r="N435" s="7">
        <f ca="1">$AT$9*EXP(-'3.r(t)'!F433*$AT$23)</f>
        <v>0.972075688484761</v>
      </c>
      <c r="O435" s="7">
        <v>1</v>
      </c>
      <c r="P435" s="7"/>
      <c r="Q435" s="7">
        <v>427</v>
      </c>
      <c r="R435" s="7">
        <f>$AU$7*EXP(-'3.r(t)'!D433*$AU$21)</f>
        <v>0.91099305977534117</v>
      </c>
      <c r="S435" s="7">
        <f ca="1">$AU$8*EXP(-'3.r(t)'!E433*$AU$22)</f>
        <v>0.92354637042191945</v>
      </c>
      <c r="T435" s="7">
        <f ca="1">$AU$9*EXP(-'3.r(t)'!F433*$AU$23)</f>
        <v>0.9444944506602988</v>
      </c>
      <c r="U435" s="7">
        <f ca="1">$AU$10*EXP(-'3.r(t)'!G433*$AU$24)</f>
        <v>0.97031947378366978</v>
      </c>
      <c r="V435" s="7">
        <v>1</v>
      </c>
      <c r="W435" s="7"/>
      <c r="X435" s="7">
        <v>427</v>
      </c>
      <c r="Y435" s="7">
        <f>$AV$7*EXP(-'3.r(t)'!D433*$AV$21)</f>
        <v>0.88900715067201674</v>
      </c>
      <c r="Z435" s="7">
        <f ca="1">$AV$8*EXP(-'3.r(t)'!E433*$AV$22)</f>
        <v>0.89857244966534255</v>
      </c>
      <c r="AA435" s="7">
        <f ca="1">$AV$9*EXP(-'3.r(t)'!F433*$AV$23)</f>
        <v>0.91728544278560209</v>
      </c>
      <c r="AB435" s="7">
        <f ca="1">$AV$10*EXP(-'3.r(t)'!G433*$AV$24)</f>
        <v>0.9410931163772388</v>
      </c>
      <c r="AC435" s="7">
        <f ca="1">$AV$11*EXP(-'3.r(t)'!H433*$AV$25)</f>
        <v>0.96953818257721791</v>
      </c>
      <c r="AD435" s="7">
        <v>1</v>
      </c>
      <c r="AE435" s="7"/>
      <c r="AF435" s="7">
        <v>427</v>
      </c>
      <c r="AG435" s="7">
        <f>$AW$7*EXP(-'3.r(t)'!D433*$AW$21)</f>
        <v>0.86718755429225491</v>
      </c>
      <c r="AH435" s="7">
        <f ca="1">$AW$8*EXP(-'3.r(t)'!E433*$AW$22)</f>
        <v>0.87390138632091607</v>
      </c>
      <c r="AI435" s="7">
        <f ca="1">$AW$9*EXP(-'3.r(t)'!F433*$AW$23)</f>
        <v>0.8904752812074499</v>
      </c>
      <c r="AJ435" s="7">
        <f ca="1">$AW$10*EXP(-'3.r(t)'!G433*$AW$24)</f>
        <v>0.912347029136092</v>
      </c>
      <c r="AK435" s="7">
        <f ca="1">$AW$11*EXP(-'3.r(t)'!H433*$AW$25)</f>
        <v>0.93958654841873546</v>
      </c>
      <c r="AL435" s="7">
        <f ca="1">$AW$12*EXP(-'3.r(t)'!I433*$AW$26)</f>
        <v>0.97040377958604862</v>
      </c>
      <c r="AM435" s="7">
        <v>1</v>
      </c>
      <c r="AN435" s="7"/>
    </row>
    <row r="436" spans="2:40">
      <c r="B436" s="7">
        <v>428</v>
      </c>
      <c r="C436" s="7">
        <f>$AR$7*EXP(-'3.r(t)'!D434*$AR$21)</f>
        <v>0.97765346695821032</v>
      </c>
      <c r="D436" s="7">
        <v>1</v>
      </c>
      <c r="E436" s="7"/>
      <c r="F436" s="7">
        <v>428</v>
      </c>
      <c r="G436" s="48">
        <f>$AS$7*EXP(-'3.r(t)'!D434*$AS$21)</f>
        <v>0.9553476245219803</v>
      </c>
      <c r="H436" s="7">
        <f ca="1">$AS$8*EXP(-'3.r(t)'!E434*$AS$22)</f>
        <v>0.98293070939468052</v>
      </c>
      <c r="I436" s="7">
        <v>1</v>
      </c>
      <c r="J436" s="7"/>
      <c r="K436" s="7">
        <v>428</v>
      </c>
      <c r="L436" s="7">
        <f>$AT$7*EXP(-'3.r(t)'!D434*$AT$21)</f>
        <v>0.93311670519824419</v>
      </c>
      <c r="M436" s="7">
        <f ca="1">$AT$8*EXP(-'3.r(t)'!E434*$AT$22)</f>
        <v>0.96569770794910448</v>
      </c>
      <c r="N436" s="7">
        <f ca="1">$AT$9*EXP(-'3.r(t)'!F434*$AT$23)</f>
        <v>0.9820501703024217</v>
      </c>
      <c r="O436" s="7">
        <v>1</v>
      </c>
      <c r="P436" s="7"/>
      <c r="Q436" s="7">
        <v>428</v>
      </c>
      <c r="R436" s="7">
        <f>$AU$7*EXP(-'3.r(t)'!D434*$AU$21)</f>
        <v>0.91099305977534117</v>
      </c>
      <c r="S436" s="7">
        <f ca="1">$AU$8*EXP(-'3.r(t)'!E434*$AU$22)</f>
        <v>0.94833418245317447</v>
      </c>
      <c r="T436" s="7">
        <f ca="1">$AU$9*EXP(-'3.r(t)'!F434*$AU$23)</f>
        <v>0.96397683569393977</v>
      </c>
      <c r="U436" s="7">
        <f ca="1">$AU$10*EXP(-'3.r(t)'!G434*$AU$24)</f>
        <v>0.9825704535473927</v>
      </c>
      <c r="V436" s="7">
        <v>1</v>
      </c>
      <c r="W436" s="7"/>
      <c r="X436" s="7">
        <v>428</v>
      </c>
      <c r="Y436" s="7">
        <f>$AV$7*EXP(-'3.r(t)'!D434*$AV$21)</f>
        <v>0.88900715067201674</v>
      </c>
      <c r="Z436" s="7">
        <f ca="1">$AV$8*EXP(-'3.r(t)'!E434*$AV$22)</f>
        <v>0.93087213663846735</v>
      </c>
      <c r="AA436" s="7">
        <f ca="1">$AV$9*EXP(-'3.r(t)'!F434*$AV$23)</f>
        <v>0.9458130074282971</v>
      </c>
      <c r="AB436" s="7">
        <f ca="1">$AV$10*EXP(-'3.r(t)'!G434*$AV$24)</f>
        <v>0.96500708690324632</v>
      </c>
      <c r="AC436" s="7">
        <f ca="1">$AV$11*EXP(-'3.r(t)'!H434*$AV$25)</f>
        <v>0.98451535914562893</v>
      </c>
      <c r="AD436" s="7">
        <v>1</v>
      </c>
      <c r="AE436" s="7"/>
      <c r="AF436" s="7">
        <v>428</v>
      </c>
      <c r="AG436" s="7">
        <f>$AW$7*EXP(-'3.r(t)'!D434*$AW$21)</f>
        <v>0.86718755429225491</v>
      </c>
      <c r="AH436" s="7">
        <f ca="1">$AW$8*EXP(-'3.r(t)'!E434*$AW$22)</f>
        <v>0.91334234531674496</v>
      </c>
      <c r="AI436" s="7">
        <f ca="1">$AW$9*EXP(-'3.r(t)'!F434*$AW$23)</f>
        <v>0.92759039526551612</v>
      </c>
      <c r="AJ436" s="7">
        <f ca="1">$AW$10*EXP(-'3.r(t)'!G434*$AW$24)</f>
        <v>0.94734228179134583</v>
      </c>
      <c r="AK436" s="7">
        <f ca="1">$AW$11*EXP(-'3.r(t)'!H434*$AW$25)</f>
        <v>0.96883974739994494</v>
      </c>
      <c r="AL436" s="7">
        <f ca="1">$AW$12*EXP(-'3.r(t)'!I434*$AW$26)</f>
        <v>0.98343456016976571</v>
      </c>
      <c r="AM436" s="7">
        <v>1</v>
      </c>
      <c r="AN436" s="7"/>
    </row>
    <row r="437" spans="2:40">
      <c r="B437" s="7">
        <v>429</v>
      </c>
      <c r="C437" s="7">
        <f>$AR$7*EXP(-'3.r(t)'!D435*$AR$21)</f>
        <v>0.97765346695821032</v>
      </c>
      <c r="D437" s="7">
        <v>1</v>
      </c>
      <c r="E437" s="7"/>
      <c r="F437" s="7">
        <v>429</v>
      </c>
      <c r="G437" s="48">
        <f>$AS$7*EXP(-'3.r(t)'!D435*$AS$21)</f>
        <v>0.9553476245219803</v>
      </c>
      <c r="H437" s="7">
        <f ca="1">$AS$8*EXP(-'3.r(t)'!E435*$AS$22)</f>
        <v>0.97918998512596866</v>
      </c>
      <c r="I437" s="7">
        <v>1</v>
      </c>
      <c r="J437" s="7"/>
      <c r="K437" s="7">
        <v>429</v>
      </c>
      <c r="L437" s="7">
        <f>$AT$7*EXP(-'3.r(t)'!D435*$AT$21)</f>
        <v>0.93311670519824419</v>
      </c>
      <c r="M437" s="7">
        <f ca="1">$AT$8*EXP(-'3.r(t)'!E435*$AT$22)</f>
        <v>0.95836141257543261</v>
      </c>
      <c r="N437" s="7">
        <f ca="1">$AT$9*EXP(-'3.r(t)'!F435*$AT$23)</f>
        <v>0.97946433967463242</v>
      </c>
      <c r="O437" s="7">
        <v>1</v>
      </c>
      <c r="P437" s="7"/>
      <c r="Q437" s="7">
        <v>429</v>
      </c>
      <c r="R437" s="7">
        <f>$AU$7*EXP(-'3.r(t)'!D435*$AU$21)</f>
        <v>0.91099305977534117</v>
      </c>
      <c r="S437" s="7">
        <f ca="1">$AU$8*EXP(-'3.r(t)'!E435*$AU$22)</f>
        <v>0.93754815262744795</v>
      </c>
      <c r="T437" s="7">
        <f ca="1">$AU$9*EXP(-'3.r(t)'!F435*$AU$23)</f>
        <v>0.95890703545407741</v>
      </c>
      <c r="U437" s="7">
        <f ca="1">$AU$10*EXP(-'3.r(t)'!G435*$AU$24)</f>
        <v>0.97747342465974418</v>
      </c>
      <c r="V437" s="7">
        <v>1</v>
      </c>
      <c r="W437" s="7"/>
      <c r="X437" s="7">
        <v>429</v>
      </c>
      <c r="Y437" s="7">
        <f>$AV$7*EXP(-'3.r(t)'!D435*$AV$21)</f>
        <v>0.88900715067201674</v>
      </c>
      <c r="Z437" s="7">
        <f ca="1">$AV$8*EXP(-'3.r(t)'!E435*$AV$22)</f>
        <v>0.91678240080215212</v>
      </c>
      <c r="AA437" s="7">
        <f ca="1">$AV$9*EXP(-'3.r(t)'!F435*$AV$23)</f>
        <v>0.93836141836099352</v>
      </c>
      <c r="AB437" s="7">
        <f ca="1">$AV$10*EXP(-'3.r(t)'!G435*$AV$24)</f>
        <v>0.95502121500608472</v>
      </c>
      <c r="AC437" s="7">
        <f ca="1">$AV$11*EXP(-'3.r(t)'!H435*$AV$25)</f>
        <v>0.97374572476403187</v>
      </c>
      <c r="AD437" s="7">
        <v>1</v>
      </c>
      <c r="AE437" s="7"/>
      <c r="AF437" s="7">
        <v>429</v>
      </c>
      <c r="AG437" s="7">
        <f>$AW$7*EXP(-'3.r(t)'!D435*$AW$21)</f>
        <v>0.86718755429225491</v>
      </c>
      <c r="AH437" s="7">
        <f ca="1">$AW$8*EXP(-'3.r(t)'!E435*$AW$22)</f>
        <v>0.89609465985909531</v>
      </c>
      <c r="AI437" s="7">
        <f ca="1">$AW$9*EXP(-'3.r(t)'!F435*$AW$23)</f>
        <v>0.91785918287507418</v>
      </c>
      <c r="AJ437" s="7">
        <f ca="1">$AW$10*EXP(-'3.r(t)'!G435*$AW$24)</f>
        <v>0.9326757730834927</v>
      </c>
      <c r="AK437" s="7">
        <f ca="1">$AW$11*EXP(-'3.r(t)'!H435*$AW$25)</f>
        <v>0.94775936381587333</v>
      </c>
      <c r="AL437" s="7">
        <f ca="1">$AW$12*EXP(-'3.r(t)'!I435*$AW$26)</f>
        <v>0.97465070401463305</v>
      </c>
      <c r="AM437" s="7">
        <v>1</v>
      </c>
      <c r="AN437" s="7"/>
    </row>
    <row r="438" spans="2:40">
      <c r="B438" s="7">
        <v>430</v>
      </c>
      <c r="C438" s="7">
        <f>$AR$7*EXP(-'3.r(t)'!D436*$AR$21)</f>
        <v>0.97765346695821032</v>
      </c>
      <c r="D438" s="7">
        <v>1</v>
      </c>
      <c r="E438" s="7"/>
      <c r="F438" s="7">
        <v>430</v>
      </c>
      <c r="G438" s="48">
        <f>$AS$7*EXP(-'3.r(t)'!D436*$AS$21)</f>
        <v>0.9553476245219803</v>
      </c>
      <c r="H438" s="7">
        <f ca="1">$AS$8*EXP(-'3.r(t)'!E436*$AS$22)</f>
        <v>0.98131167138041464</v>
      </c>
      <c r="I438" s="7">
        <v>1</v>
      </c>
      <c r="J438" s="7"/>
      <c r="K438" s="7">
        <v>430</v>
      </c>
      <c r="L438" s="7">
        <f>$AT$7*EXP(-'3.r(t)'!D436*$AT$21)</f>
        <v>0.93311670519824419</v>
      </c>
      <c r="M438" s="7">
        <f ca="1">$AT$8*EXP(-'3.r(t)'!E436*$AT$22)</f>
        <v>0.96251902277627344</v>
      </c>
      <c r="N438" s="7">
        <f ca="1">$AT$9*EXP(-'3.r(t)'!F436*$AT$23)</f>
        <v>0.98150090208352436</v>
      </c>
      <c r="O438" s="7">
        <v>1</v>
      </c>
      <c r="P438" s="7"/>
      <c r="Q438" s="7">
        <v>430</v>
      </c>
      <c r="R438" s="7">
        <f>$AU$7*EXP(-'3.r(t)'!D436*$AU$21)</f>
        <v>0.91099305977534117</v>
      </c>
      <c r="S438" s="7">
        <f ca="1">$AU$8*EXP(-'3.r(t)'!E436*$AU$22)</f>
        <v>0.943655740391241</v>
      </c>
      <c r="T438" s="7">
        <f ca="1">$AU$9*EXP(-'3.r(t)'!F436*$AU$23)</f>
        <v>0.96289881792260168</v>
      </c>
      <c r="U438" s="7">
        <f ca="1">$AU$10*EXP(-'3.r(t)'!G436*$AU$24)</f>
        <v>0.97951489778496215</v>
      </c>
      <c r="V438" s="7">
        <v>1</v>
      </c>
      <c r="W438" s="7"/>
      <c r="X438" s="7">
        <v>430</v>
      </c>
      <c r="Y438" s="7">
        <f>$AV$7*EXP(-'3.r(t)'!D436*$AV$21)</f>
        <v>0.88900715067201674</v>
      </c>
      <c r="Z438" s="7">
        <f ca="1">$AV$8*EXP(-'3.r(t)'!E436*$AV$22)</f>
        <v>0.92475411522560491</v>
      </c>
      <c r="AA438" s="7">
        <f ca="1">$AV$9*EXP(-'3.r(t)'!F436*$AV$23)</f>
        <v>0.94422689340058308</v>
      </c>
      <c r="AB438" s="7">
        <f ca="1">$AV$10*EXP(-'3.r(t)'!G436*$AV$24)</f>
        <v>0.9590145431870829</v>
      </c>
      <c r="AC438" s="7">
        <f ca="1">$AV$11*EXP(-'3.r(t)'!H436*$AV$25)</f>
        <v>0.98152799885618058</v>
      </c>
      <c r="AD438" s="7">
        <v>1</v>
      </c>
      <c r="AE438" s="7"/>
      <c r="AF438" s="7">
        <v>430</v>
      </c>
      <c r="AG438" s="7">
        <f>$AW$7*EXP(-'3.r(t)'!D436*$AW$21)</f>
        <v>0.86718755429225491</v>
      </c>
      <c r="AH438" s="7">
        <f ca="1">$AW$8*EXP(-'3.r(t)'!E436*$AW$22)</f>
        <v>0.90584500817321323</v>
      </c>
      <c r="AI438" s="7">
        <f ca="1">$AW$9*EXP(-'3.r(t)'!F436*$AW$23)</f>
        <v>0.92551690186755697</v>
      </c>
      <c r="AJ438" s="7">
        <f ca="1">$AW$10*EXP(-'3.r(t)'!G436*$AW$24)</f>
        <v>0.93853172330029599</v>
      </c>
      <c r="AK438" s="7">
        <f ca="1">$AW$11*EXP(-'3.r(t)'!H436*$AW$25)</f>
        <v>0.96296907763767603</v>
      </c>
      <c r="AL438" s="7">
        <f ca="1">$AW$12*EXP(-'3.r(t)'!I436*$AW$26)</f>
        <v>0.97832038962618195</v>
      </c>
      <c r="AM438" s="7">
        <v>1</v>
      </c>
      <c r="AN438" s="7"/>
    </row>
    <row r="439" spans="2:40">
      <c r="B439" s="7">
        <v>431</v>
      </c>
      <c r="C439" s="7">
        <f>$AR$7*EXP(-'3.r(t)'!D437*$AR$21)</f>
        <v>0.97765346695821032</v>
      </c>
      <c r="D439" s="7">
        <v>1</v>
      </c>
      <c r="E439" s="7"/>
      <c r="F439" s="7">
        <v>431</v>
      </c>
      <c r="G439" s="48">
        <f>$AS$7*EXP(-'3.r(t)'!D437*$AS$21)</f>
        <v>0.9553476245219803</v>
      </c>
      <c r="H439" s="7">
        <f ca="1">$AS$8*EXP(-'3.r(t)'!E437*$AS$22)</f>
        <v>0.97835167686648128</v>
      </c>
      <c r="I439" s="7">
        <v>1</v>
      </c>
      <c r="J439" s="7"/>
      <c r="K439" s="7">
        <v>431</v>
      </c>
      <c r="L439" s="7">
        <f>$AT$7*EXP(-'3.r(t)'!D437*$AT$21)</f>
        <v>0.93311670519824419</v>
      </c>
      <c r="M439" s="7">
        <f ca="1">$AT$8*EXP(-'3.r(t)'!E437*$AT$22)</f>
        <v>0.95672116217692527</v>
      </c>
      <c r="N439" s="7">
        <f ca="1">$AT$9*EXP(-'3.r(t)'!F437*$AT$23)</f>
        <v>0.97683943485808877</v>
      </c>
      <c r="O439" s="7">
        <v>1</v>
      </c>
      <c r="P439" s="7"/>
      <c r="Q439" s="7">
        <v>431</v>
      </c>
      <c r="R439" s="7">
        <f>$AU$7*EXP(-'3.r(t)'!D437*$AU$21)</f>
        <v>0.91099305977534117</v>
      </c>
      <c r="S439" s="7">
        <f ca="1">$AU$8*EXP(-'3.r(t)'!E437*$AU$22)</f>
        <v>0.93514224052845751</v>
      </c>
      <c r="T439" s="7">
        <f ca="1">$AU$9*EXP(-'3.r(t)'!F437*$AU$23)</f>
        <v>0.95377429741029807</v>
      </c>
      <c r="U439" s="7">
        <f ca="1">$AU$10*EXP(-'3.r(t)'!G437*$AU$24)</f>
        <v>0.97962515785686077</v>
      </c>
      <c r="V439" s="7">
        <v>1</v>
      </c>
      <c r="W439" s="7"/>
      <c r="X439" s="7">
        <v>431</v>
      </c>
      <c r="Y439" s="7">
        <f>$AV$7*EXP(-'3.r(t)'!D437*$AV$21)</f>
        <v>0.88900715067201674</v>
      </c>
      <c r="Z439" s="7">
        <f ca="1">$AV$8*EXP(-'3.r(t)'!E437*$AV$22)</f>
        <v>0.91364691176736779</v>
      </c>
      <c r="AA439" s="7">
        <f ca="1">$AV$9*EXP(-'3.r(t)'!F437*$AV$23)</f>
        <v>0.93083736397537209</v>
      </c>
      <c r="AB439" s="7">
        <f ca="1">$AV$10*EXP(-'3.r(t)'!G437*$AV$24)</f>
        <v>0.95923046019690883</v>
      </c>
      <c r="AC439" s="7">
        <f ca="1">$AV$11*EXP(-'3.r(t)'!H437*$AV$25)</f>
        <v>0.97426479059917603</v>
      </c>
      <c r="AD439" s="7">
        <v>1</v>
      </c>
      <c r="AE439" s="7"/>
      <c r="AF439" s="7">
        <v>431</v>
      </c>
      <c r="AG439" s="7">
        <f>$AW$7*EXP(-'3.r(t)'!D437*$AW$21)</f>
        <v>0.86718755429225491</v>
      </c>
      <c r="AH439" s="7">
        <f ca="1">$AW$8*EXP(-'3.r(t)'!E437*$AW$22)</f>
        <v>0.89226538045653081</v>
      </c>
      <c r="AI439" s="7">
        <f ca="1">$AW$9*EXP(-'3.r(t)'!F437*$AW$23)</f>
        <v>0.90805943806721656</v>
      </c>
      <c r="AJ439" s="7">
        <f ca="1">$AW$10*EXP(-'3.r(t)'!G437*$AW$24)</f>
        <v>0.938848699258234</v>
      </c>
      <c r="AK439" s="7">
        <f ca="1">$AW$11*EXP(-'3.r(t)'!H437*$AW$25)</f>
        <v>0.94877006016651044</v>
      </c>
      <c r="AL439" s="7">
        <f ca="1">$AW$12*EXP(-'3.r(t)'!I437*$AW$26)</f>
        <v>0.97923676778327318</v>
      </c>
      <c r="AM439" s="7">
        <v>1</v>
      </c>
      <c r="AN439" s="7"/>
    </row>
    <row r="440" spans="2:40">
      <c r="B440" s="7">
        <v>432</v>
      </c>
      <c r="C440" s="7">
        <f>$AR$7*EXP(-'3.r(t)'!D438*$AR$21)</f>
        <v>0.97765346695821032</v>
      </c>
      <c r="D440" s="7">
        <v>1</v>
      </c>
      <c r="E440" s="7"/>
      <c r="F440" s="7">
        <v>432</v>
      </c>
      <c r="G440" s="48">
        <f>$AS$7*EXP(-'3.r(t)'!D438*$AS$21)</f>
        <v>0.9553476245219803</v>
      </c>
      <c r="H440" s="7">
        <f ca="1">$AS$8*EXP(-'3.r(t)'!E438*$AS$22)</f>
        <v>0.97937904075835347</v>
      </c>
      <c r="I440" s="7">
        <v>1</v>
      </c>
      <c r="J440" s="7"/>
      <c r="K440" s="7">
        <v>432</v>
      </c>
      <c r="L440" s="7">
        <f>$AT$7*EXP(-'3.r(t)'!D438*$AT$21)</f>
        <v>0.93311670519824419</v>
      </c>
      <c r="M440" s="7">
        <f ca="1">$AT$8*EXP(-'3.r(t)'!E438*$AT$22)</f>
        <v>0.95873151667481604</v>
      </c>
      <c r="N440" s="7">
        <f ca="1">$AT$9*EXP(-'3.r(t)'!F438*$AT$23)</f>
        <v>0.97261041430272788</v>
      </c>
      <c r="O440" s="7">
        <v>1</v>
      </c>
      <c r="P440" s="7"/>
      <c r="Q440" s="7">
        <v>432</v>
      </c>
      <c r="R440" s="7">
        <f>$AU$7*EXP(-'3.r(t)'!D438*$AU$21)</f>
        <v>0.91099305977534117</v>
      </c>
      <c r="S440" s="7">
        <f ca="1">$AU$8*EXP(-'3.r(t)'!E438*$AU$22)</f>
        <v>0.93809130457697387</v>
      </c>
      <c r="T440" s="7">
        <f ca="1">$AU$9*EXP(-'3.r(t)'!F438*$AU$23)</f>
        <v>0.94553384395668616</v>
      </c>
      <c r="U440" s="7">
        <f ca="1">$AU$10*EXP(-'3.r(t)'!G438*$AU$24)</f>
        <v>0.97361533803084699</v>
      </c>
      <c r="V440" s="7">
        <v>1</v>
      </c>
      <c r="W440" s="7"/>
      <c r="X440" s="7">
        <v>432</v>
      </c>
      <c r="Y440" s="7">
        <f>$AV$7*EXP(-'3.r(t)'!D438*$AV$21)</f>
        <v>0.88900715067201674</v>
      </c>
      <c r="Z440" s="7">
        <f ca="1">$AV$8*EXP(-'3.r(t)'!E438*$AV$22)</f>
        <v>0.91749063140793019</v>
      </c>
      <c r="AA440" s="7">
        <f ca="1">$AV$9*EXP(-'3.r(t)'!F438*$AV$23)</f>
        <v>0.91880003494972828</v>
      </c>
      <c r="AB440" s="7">
        <f ca="1">$AV$10*EXP(-'3.r(t)'!G438*$AV$24)</f>
        <v>0.94749715753191166</v>
      </c>
      <c r="AC440" s="7">
        <f ca="1">$AV$11*EXP(-'3.r(t)'!H438*$AV$25)</f>
        <v>0.97533156034038593</v>
      </c>
      <c r="AD440" s="7">
        <v>1</v>
      </c>
      <c r="AE440" s="7"/>
      <c r="AF440" s="7">
        <v>432</v>
      </c>
      <c r="AG440" s="7">
        <f>$AW$7*EXP(-'3.r(t)'!D438*$AW$21)</f>
        <v>0.86718755429225491</v>
      </c>
      <c r="AH440" s="7">
        <f ca="1">$AW$8*EXP(-'3.r(t)'!E438*$AW$22)</f>
        <v>0.89696005460187589</v>
      </c>
      <c r="AI440" s="7">
        <f ca="1">$AW$9*EXP(-'3.r(t)'!F438*$AW$23)</f>
        <v>0.89243625262904691</v>
      </c>
      <c r="AJ440" s="7">
        <f ca="1">$AW$10*EXP(-'3.r(t)'!G438*$AW$24)</f>
        <v>0.92167549461591813</v>
      </c>
      <c r="AK440" s="7">
        <f ca="1">$AW$11*EXP(-'3.r(t)'!H438*$AW$25)</f>
        <v>0.95084890630875596</v>
      </c>
      <c r="AL440" s="7">
        <f ca="1">$AW$12*EXP(-'3.r(t)'!I438*$AW$26)</f>
        <v>0.98029683908730514</v>
      </c>
      <c r="AM440" s="7">
        <v>1</v>
      </c>
      <c r="AN440" s="7"/>
    </row>
    <row r="441" spans="2:40">
      <c r="B441" s="7">
        <v>433</v>
      </c>
      <c r="C441" s="7">
        <f>$AR$7*EXP(-'3.r(t)'!D439*$AR$21)</f>
        <v>0.97765346695821032</v>
      </c>
      <c r="D441" s="7">
        <v>1</v>
      </c>
      <c r="E441" s="7"/>
      <c r="F441" s="7">
        <v>433</v>
      </c>
      <c r="G441" s="48">
        <f>$AS$7*EXP(-'3.r(t)'!D439*$AS$21)</f>
        <v>0.9553476245219803</v>
      </c>
      <c r="H441" s="7">
        <f ca="1">$AS$8*EXP(-'3.r(t)'!E439*$AS$22)</f>
        <v>0.97663406675424158</v>
      </c>
      <c r="I441" s="7">
        <v>1</v>
      </c>
      <c r="J441" s="7"/>
      <c r="K441" s="7">
        <v>433</v>
      </c>
      <c r="L441" s="7">
        <f>$AT$7*EXP(-'3.r(t)'!D439*$AT$21)</f>
        <v>0.93311670519824419</v>
      </c>
      <c r="M441" s="7">
        <f ca="1">$AT$8*EXP(-'3.r(t)'!E439*$AT$22)</f>
        <v>0.95336484051398229</v>
      </c>
      <c r="N441" s="7">
        <f ca="1">$AT$9*EXP(-'3.r(t)'!F439*$AT$23)</f>
        <v>0.97774297545236843</v>
      </c>
      <c r="O441" s="7">
        <v>1</v>
      </c>
      <c r="P441" s="7"/>
      <c r="Q441" s="7">
        <v>433</v>
      </c>
      <c r="R441" s="7">
        <f>$AU$7*EXP(-'3.r(t)'!D439*$AU$21)</f>
        <v>0.91099305977534117</v>
      </c>
      <c r="S441" s="7">
        <f ca="1">$AU$8*EXP(-'3.r(t)'!E439*$AU$22)</f>
        <v>0.93022562955250687</v>
      </c>
      <c r="T441" s="7">
        <f ca="1">$AU$9*EXP(-'3.r(t)'!F439*$AU$23)</f>
        <v>0.95553952579743495</v>
      </c>
      <c r="U441" s="7">
        <f ca="1">$AU$10*EXP(-'3.r(t)'!G439*$AU$24)</f>
        <v>0.97424349557929624</v>
      </c>
      <c r="V441" s="7">
        <v>1</v>
      </c>
      <c r="W441" s="7"/>
      <c r="X441" s="7">
        <v>433</v>
      </c>
      <c r="Y441" s="7">
        <f>$AV$7*EXP(-'3.r(t)'!D439*$AV$21)</f>
        <v>0.88900715067201674</v>
      </c>
      <c r="Z441" s="7">
        <f ca="1">$AV$8*EXP(-'3.r(t)'!E439*$AV$22)</f>
        <v>0.90724773469429332</v>
      </c>
      <c r="AA441" s="7">
        <f ca="1">$AV$9*EXP(-'3.r(t)'!F439*$AV$23)</f>
        <v>0.93342272497101242</v>
      </c>
      <c r="AB441" s="7">
        <f ca="1">$AV$10*EXP(-'3.r(t)'!G439*$AV$24)</f>
        <v>0.94872016515476332</v>
      </c>
      <c r="AC441" s="7">
        <f ca="1">$AV$11*EXP(-'3.r(t)'!H439*$AV$25)</f>
        <v>0.97342873843356992</v>
      </c>
      <c r="AD441" s="7">
        <v>1</v>
      </c>
      <c r="AE441" s="7"/>
      <c r="AF441" s="7">
        <v>433</v>
      </c>
      <c r="AG441" s="7">
        <f>$AW$7*EXP(-'3.r(t)'!D439*$AW$21)</f>
        <v>0.86718755429225491</v>
      </c>
      <c r="AH441" s="7">
        <f ca="1">$AW$8*EXP(-'3.r(t)'!E439*$AW$22)</f>
        <v>0.88446045546535024</v>
      </c>
      <c r="AI441" s="7">
        <f ca="1">$AW$9*EXP(-'3.r(t)'!F439*$AW$23)</f>
        <v>0.91142378881735386</v>
      </c>
      <c r="AJ441" s="7">
        <f ca="1">$AW$10*EXP(-'3.r(t)'!G439*$AW$24)</f>
        <v>0.92346058676326082</v>
      </c>
      <c r="AK441" s="7">
        <f ca="1">$AW$11*EXP(-'3.r(t)'!H439*$AW$25)</f>
        <v>0.94714241042475555</v>
      </c>
      <c r="AL441" s="7">
        <f ca="1">$AW$12*EXP(-'3.r(t)'!I439*$AW$26)</f>
        <v>0.97329721585782125</v>
      </c>
      <c r="AM441" s="7">
        <v>1</v>
      </c>
      <c r="AN441" s="7"/>
    </row>
    <row r="442" spans="2:40">
      <c r="B442" s="7">
        <v>434</v>
      </c>
      <c r="C442" s="7">
        <f>$AR$7*EXP(-'3.r(t)'!D440*$AR$21)</f>
        <v>0.97765346695821032</v>
      </c>
      <c r="D442" s="7">
        <v>1</v>
      </c>
      <c r="E442" s="7"/>
      <c r="F442" s="7">
        <v>434</v>
      </c>
      <c r="G442" s="48">
        <f>$AS$7*EXP(-'3.r(t)'!D440*$AS$21)</f>
        <v>0.9553476245219803</v>
      </c>
      <c r="H442" s="7">
        <f ca="1">$AS$8*EXP(-'3.r(t)'!E440*$AS$22)</f>
        <v>0.97816373741840668</v>
      </c>
      <c r="I442" s="7">
        <v>1</v>
      </c>
      <c r="J442" s="7"/>
      <c r="K442" s="7">
        <v>434</v>
      </c>
      <c r="L442" s="7">
        <f>$AT$7*EXP(-'3.r(t)'!D440*$AT$21)</f>
        <v>0.93311670519824419</v>
      </c>
      <c r="M442" s="7">
        <f ca="1">$AT$8*EXP(-'3.r(t)'!E440*$AT$22)</f>
        <v>0.9563536289447041</v>
      </c>
      <c r="N442" s="7">
        <f ca="1">$AT$9*EXP(-'3.r(t)'!F440*$AT$23)</f>
        <v>0.98119858881537891</v>
      </c>
      <c r="O442" s="7">
        <v>1</v>
      </c>
      <c r="P442" s="7"/>
      <c r="Q442" s="7">
        <v>434</v>
      </c>
      <c r="R442" s="7">
        <f>$AU$7*EXP(-'3.r(t)'!D440*$AU$21)</f>
        <v>0.91099305977534117</v>
      </c>
      <c r="S442" s="7">
        <f ca="1">$AU$8*EXP(-'3.r(t)'!E440*$AU$22)</f>
        <v>0.93460342704772725</v>
      </c>
      <c r="T442" s="7">
        <f ca="1">$AU$9*EXP(-'3.r(t)'!F440*$AU$23)</f>
        <v>0.96230574203782093</v>
      </c>
      <c r="U442" s="7">
        <f ca="1">$AU$10*EXP(-'3.r(t)'!G440*$AU$24)</f>
        <v>0.97688925869670307</v>
      </c>
      <c r="V442" s="7">
        <v>1</v>
      </c>
      <c r="W442" s="7"/>
      <c r="X442" s="7">
        <v>434</v>
      </c>
      <c r="Y442" s="7">
        <f>$AV$7*EXP(-'3.r(t)'!D440*$AV$21)</f>
        <v>0.88900715067201674</v>
      </c>
      <c r="Z442" s="7">
        <f ca="1">$AV$8*EXP(-'3.r(t)'!E440*$AV$22)</f>
        <v>0.91294507487616205</v>
      </c>
      <c r="AA442" s="7">
        <f ca="1">$AV$9*EXP(-'3.r(t)'!F440*$AV$23)</f>
        <v>0.94335466474365859</v>
      </c>
      <c r="AB442" s="7">
        <f ca="1">$AV$10*EXP(-'3.r(t)'!G440*$AV$24)</f>
        <v>0.95388006033532835</v>
      </c>
      <c r="AC442" s="7">
        <f ca="1">$AV$11*EXP(-'3.r(t)'!H440*$AV$25)</f>
        <v>0.97448147786130013</v>
      </c>
      <c r="AD442" s="7">
        <v>1</v>
      </c>
      <c r="AE442" s="7"/>
      <c r="AF442" s="7">
        <v>434</v>
      </c>
      <c r="AG442" s="7">
        <f>$AW$7*EXP(-'3.r(t)'!D440*$AW$21)</f>
        <v>0.86718755429225491</v>
      </c>
      <c r="AH442" s="7">
        <f ca="1">$AW$8*EXP(-'3.r(t)'!E440*$AW$22)</f>
        <v>0.89140869746145668</v>
      </c>
      <c r="AI442" s="7">
        <f ca="1">$AW$9*EXP(-'3.r(t)'!F440*$AW$23)</f>
        <v>0.92437715031029799</v>
      </c>
      <c r="AJ442" s="7">
        <f ca="1">$AW$10*EXP(-'3.r(t)'!G440*$AW$24)</f>
        <v>0.93100459139627467</v>
      </c>
      <c r="AK442" s="7">
        <f ca="1">$AW$11*EXP(-'3.r(t)'!H440*$AW$25)</f>
        <v>0.94919214100336236</v>
      </c>
      <c r="AL442" s="7">
        <f ca="1">$AW$12*EXP(-'3.r(t)'!I440*$AW$26)</f>
        <v>0.9718320262185155</v>
      </c>
      <c r="AM442" s="7">
        <v>1</v>
      </c>
      <c r="AN442" s="7"/>
    </row>
    <row r="443" spans="2:40">
      <c r="B443" s="7">
        <v>435</v>
      </c>
      <c r="C443" s="7">
        <f>$AR$7*EXP(-'3.r(t)'!D441*$AR$21)</f>
        <v>0.97765346695821032</v>
      </c>
      <c r="D443" s="7">
        <v>1</v>
      </c>
      <c r="E443" s="7"/>
      <c r="F443" s="7">
        <v>435</v>
      </c>
      <c r="G443" s="48">
        <f>$AS$7*EXP(-'3.r(t)'!D441*$AS$21)</f>
        <v>0.9553476245219803</v>
      </c>
      <c r="H443" s="7">
        <f ca="1">$AS$8*EXP(-'3.r(t)'!E441*$AS$22)</f>
        <v>0.97928241153073403</v>
      </c>
      <c r="I443" s="7">
        <v>1</v>
      </c>
      <c r="J443" s="7"/>
      <c r="K443" s="7">
        <v>435</v>
      </c>
      <c r="L443" s="7">
        <f>$AT$7*EXP(-'3.r(t)'!D441*$AT$21)</f>
        <v>0.93311670519824419</v>
      </c>
      <c r="M443" s="7">
        <f ca="1">$AT$8*EXP(-'3.r(t)'!E441*$AT$22)</f>
        <v>0.95854234187748777</v>
      </c>
      <c r="N443" s="7">
        <f ca="1">$AT$9*EXP(-'3.r(t)'!F441*$AT$23)</f>
        <v>0.97412027206389495</v>
      </c>
      <c r="O443" s="7">
        <v>1</v>
      </c>
      <c r="P443" s="7"/>
      <c r="Q443" s="7">
        <v>435</v>
      </c>
      <c r="R443" s="7">
        <f>$AU$7*EXP(-'3.r(t)'!D441*$AU$21)</f>
        <v>0.91099305977534117</v>
      </c>
      <c r="S443" s="7">
        <f ca="1">$AU$8*EXP(-'3.r(t)'!E441*$AU$22)</f>
        <v>0.93781366509989295</v>
      </c>
      <c r="T443" s="7">
        <f ca="1">$AU$9*EXP(-'3.r(t)'!F441*$AU$23)</f>
        <v>0.94847177202122168</v>
      </c>
      <c r="U443" s="7">
        <f ca="1">$AU$10*EXP(-'3.r(t)'!G441*$AU$24)</f>
        <v>0.9755650207769696</v>
      </c>
      <c r="V443" s="7">
        <v>1</v>
      </c>
      <c r="W443" s="7"/>
      <c r="X443" s="7">
        <v>435</v>
      </c>
      <c r="Y443" s="7">
        <f>$AV$7*EXP(-'3.r(t)'!D441*$AV$21)</f>
        <v>0.88900715067201674</v>
      </c>
      <c r="Z443" s="7">
        <f ca="1">$AV$8*EXP(-'3.r(t)'!E441*$AV$22)</f>
        <v>0.91712859265696078</v>
      </c>
      <c r="AA443" s="7">
        <f ca="1">$AV$9*EXP(-'3.r(t)'!F441*$AV$23)</f>
        <v>0.92308565230596828</v>
      </c>
      <c r="AB443" s="7">
        <f ca="1">$AV$10*EXP(-'3.r(t)'!G441*$AV$24)</f>
        <v>0.95129571828362547</v>
      </c>
      <c r="AC443" s="7">
        <f ca="1">$AV$11*EXP(-'3.r(t)'!H441*$AV$25)</f>
        <v>0.97239823529586467</v>
      </c>
      <c r="AD443" s="7">
        <v>1</v>
      </c>
      <c r="AE443" s="7"/>
      <c r="AF443" s="7">
        <v>435</v>
      </c>
      <c r="AG443" s="7">
        <f>$AW$7*EXP(-'3.r(t)'!D441*$AW$21)</f>
        <v>0.86718755429225491</v>
      </c>
      <c r="AH443" s="7">
        <f ca="1">$AW$8*EXP(-'3.r(t)'!E441*$AW$22)</f>
        <v>0.89651765460922606</v>
      </c>
      <c r="AI443" s="7">
        <f ca="1">$AW$9*EXP(-'3.r(t)'!F441*$AW$23)</f>
        <v>0.89799075897679981</v>
      </c>
      <c r="AJ443" s="7">
        <f ca="1">$AW$10*EXP(-'3.r(t)'!G441*$AW$24)</f>
        <v>0.92722360673900539</v>
      </c>
      <c r="AK443" s="7">
        <f ca="1">$AW$11*EXP(-'3.r(t)'!H441*$AW$25)</f>
        <v>0.94513812072769932</v>
      </c>
      <c r="AL443" s="7">
        <f ca="1">$AW$12*EXP(-'3.r(t)'!I441*$AW$26)</f>
        <v>0.97071496243437327</v>
      </c>
      <c r="AM443" s="7">
        <v>1</v>
      </c>
      <c r="AN443" s="7"/>
    </row>
    <row r="444" spans="2:40">
      <c r="B444" s="7">
        <v>436</v>
      </c>
      <c r="C444" s="7">
        <f>$AR$7*EXP(-'3.r(t)'!D442*$AR$21)</f>
        <v>0.97765346695821032</v>
      </c>
      <c r="D444" s="7">
        <v>1</v>
      </c>
      <c r="E444" s="7"/>
      <c r="F444" s="7">
        <v>436</v>
      </c>
      <c r="G444" s="48">
        <f>$AS$7*EXP(-'3.r(t)'!D442*$AS$21)</f>
        <v>0.9553476245219803</v>
      </c>
      <c r="H444" s="7">
        <f ca="1">$AS$8*EXP(-'3.r(t)'!E442*$AS$22)</f>
        <v>0.97870476089693426</v>
      </c>
      <c r="I444" s="7">
        <v>1</v>
      </c>
      <c r="J444" s="7"/>
      <c r="K444" s="7">
        <v>436</v>
      </c>
      <c r="L444" s="7">
        <f>$AT$7*EXP(-'3.r(t)'!D442*$AT$21)</f>
        <v>0.93311670519824419</v>
      </c>
      <c r="M444" s="7">
        <f ca="1">$AT$8*EXP(-'3.r(t)'!E442*$AT$22)</f>
        <v>0.95741184207856278</v>
      </c>
      <c r="N444" s="7">
        <f ca="1">$AT$9*EXP(-'3.r(t)'!F442*$AT$23)</f>
        <v>0.97728327400700121</v>
      </c>
      <c r="O444" s="7">
        <v>1</v>
      </c>
      <c r="P444" s="7"/>
      <c r="Q444" s="7">
        <v>436</v>
      </c>
      <c r="R444" s="7">
        <f>$AU$7*EXP(-'3.r(t)'!D442*$AU$21)</f>
        <v>0.91099305977534117</v>
      </c>
      <c r="S444" s="7">
        <f ca="1">$AU$8*EXP(-'3.r(t)'!E442*$AU$22)</f>
        <v>0.93615507561352562</v>
      </c>
      <c r="T444" s="7">
        <f ca="1">$AU$9*EXP(-'3.r(t)'!F442*$AU$23)</f>
        <v>0.95464121274602387</v>
      </c>
      <c r="U444" s="7">
        <f ca="1">$AU$10*EXP(-'3.r(t)'!G442*$AU$24)</f>
        <v>0.97766974276399188</v>
      </c>
      <c r="V444" s="7">
        <v>1</v>
      </c>
      <c r="W444" s="7"/>
      <c r="X444" s="7">
        <v>436</v>
      </c>
      <c r="Y444" s="7">
        <f>$AV$7*EXP(-'3.r(t)'!D442*$AV$21)</f>
        <v>0.88900715067201674</v>
      </c>
      <c r="Z444" s="7">
        <f ca="1">$AV$8*EXP(-'3.r(t)'!E442*$AV$22)</f>
        <v>0.91496655507550129</v>
      </c>
      <c r="AA444" s="7">
        <f ca="1">$AV$9*EXP(-'3.r(t)'!F442*$AV$23)</f>
        <v>0.93210675317072866</v>
      </c>
      <c r="AB444" s="7">
        <f ca="1">$AV$10*EXP(-'3.r(t)'!G442*$AV$24)</f>
        <v>0.95540487102676197</v>
      </c>
      <c r="AC444" s="7">
        <f ca="1">$AV$11*EXP(-'3.r(t)'!H442*$AV$25)</f>
        <v>0.97554193657234101</v>
      </c>
      <c r="AD444" s="7">
        <v>1</v>
      </c>
      <c r="AE444" s="7"/>
      <c r="AF444" s="7">
        <v>436</v>
      </c>
      <c r="AG444" s="7">
        <f>$AW$7*EXP(-'3.r(t)'!D442*$AW$21)</f>
        <v>0.86718755429225491</v>
      </c>
      <c r="AH444" s="7">
        <f ca="1">$AW$8*EXP(-'3.r(t)'!E442*$AW$22)</f>
        <v>0.89387662181045835</v>
      </c>
      <c r="AI444" s="7">
        <f ca="1">$AW$9*EXP(-'3.r(t)'!F442*$AW$23)</f>
        <v>0.90971091560222694</v>
      </c>
      <c r="AJ444" s="7">
        <f ca="1">$AW$10*EXP(-'3.r(t)'!G442*$AW$24)</f>
        <v>0.93323784846670887</v>
      </c>
      <c r="AK444" s="7">
        <f ca="1">$AW$11*EXP(-'3.r(t)'!H442*$AW$25)</f>
        <v>0.95125914133405554</v>
      </c>
      <c r="AL444" s="7">
        <f ca="1">$AW$12*EXP(-'3.r(t)'!I442*$AW$26)</f>
        <v>0.97461126478368265</v>
      </c>
      <c r="AM444" s="7">
        <v>1</v>
      </c>
      <c r="AN444" s="7"/>
    </row>
    <row r="445" spans="2:40">
      <c r="B445" s="7">
        <v>437</v>
      </c>
      <c r="C445" s="7">
        <f>$AR$7*EXP(-'3.r(t)'!D443*$AR$21)</f>
        <v>0.97765346695821032</v>
      </c>
      <c r="D445" s="7">
        <v>1</v>
      </c>
      <c r="E445" s="7"/>
      <c r="F445" s="7">
        <v>437</v>
      </c>
      <c r="G445" s="48">
        <f>$AS$7*EXP(-'3.r(t)'!D443*$AS$21)</f>
        <v>0.9553476245219803</v>
      </c>
      <c r="H445" s="7">
        <f ca="1">$AS$8*EXP(-'3.r(t)'!E443*$AS$22)</f>
        <v>0.97513915165626819</v>
      </c>
      <c r="I445" s="7">
        <v>1</v>
      </c>
      <c r="J445" s="7"/>
      <c r="K445" s="7">
        <v>437</v>
      </c>
      <c r="L445" s="7">
        <f>$AT$7*EXP(-'3.r(t)'!D443*$AT$21)</f>
        <v>0.93311670519824419</v>
      </c>
      <c r="M445" s="7">
        <f ca="1">$AT$8*EXP(-'3.r(t)'!E443*$AT$22)</f>
        <v>0.95044847955622347</v>
      </c>
      <c r="N445" s="7">
        <f ca="1">$AT$9*EXP(-'3.r(t)'!F443*$AT$23)</f>
        <v>0.97116945347817052</v>
      </c>
      <c r="O445" s="7">
        <v>1</v>
      </c>
      <c r="P445" s="7"/>
      <c r="Q445" s="7">
        <v>437</v>
      </c>
      <c r="R445" s="7">
        <f>$AU$7*EXP(-'3.r(t)'!D443*$AU$21)</f>
        <v>0.91099305977534117</v>
      </c>
      <c r="S445" s="7">
        <f ca="1">$AU$8*EXP(-'3.r(t)'!E443*$AU$22)</f>
        <v>0.92596052895691827</v>
      </c>
      <c r="T445" s="7">
        <f ca="1">$AU$9*EXP(-'3.r(t)'!F443*$AU$23)</f>
        <v>0.94273422773739801</v>
      </c>
      <c r="U445" s="7">
        <f ca="1">$AU$10*EXP(-'3.r(t)'!G443*$AU$24)</f>
        <v>0.97100752649904931</v>
      </c>
      <c r="V445" s="7">
        <v>1</v>
      </c>
      <c r="W445" s="7"/>
      <c r="X445" s="7">
        <v>437</v>
      </c>
      <c r="Y445" s="7">
        <f>$AV$7*EXP(-'3.r(t)'!D443*$AV$21)</f>
        <v>0.88900715067201674</v>
      </c>
      <c r="Z445" s="7">
        <f ca="1">$AV$8*EXP(-'3.r(t)'!E443*$AV$22)</f>
        <v>0.90170564862267821</v>
      </c>
      <c r="AA445" s="7">
        <f ca="1">$AV$9*EXP(-'3.r(t)'!F443*$AV$23)</f>
        <v>0.91472236629531523</v>
      </c>
      <c r="AB445" s="7">
        <f ca="1">$AV$10*EXP(-'3.r(t)'!G443*$AV$24)</f>
        <v>0.94242824623948374</v>
      </c>
      <c r="AC445" s="7">
        <f ca="1">$AV$11*EXP(-'3.r(t)'!H443*$AV$25)</f>
        <v>0.9702322963769392</v>
      </c>
      <c r="AD445" s="7">
        <v>1</v>
      </c>
      <c r="AE445" s="7"/>
      <c r="AF445" s="7">
        <v>437</v>
      </c>
      <c r="AG445" s="7">
        <f>$AW$7*EXP(-'3.r(t)'!D443*$AW$21)</f>
        <v>0.86718755429225491</v>
      </c>
      <c r="AH445" s="7">
        <f ca="1">$AW$8*EXP(-'3.r(t)'!E443*$AW$22)</f>
        <v>0.87771201297120038</v>
      </c>
      <c r="AI445" s="7">
        <f ca="1">$AW$9*EXP(-'3.r(t)'!F443*$AW$23)</f>
        <v>0.88715927567052255</v>
      </c>
      <c r="AJ445" s="7">
        <f ca="1">$AW$10*EXP(-'3.r(t)'!G443*$AW$24)</f>
        <v>0.91428923921702421</v>
      </c>
      <c r="AK445" s="7">
        <f ca="1">$AW$11*EXP(-'3.r(t)'!H443*$AW$25)</f>
        <v>0.9409323715251251</v>
      </c>
      <c r="AL445" s="7">
        <f ca="1">$AW$12*EXP(-'3.r(t)'!I443*$AW$26)</f>
        <v>0.96582516145563957</v>
      </c>
      <c r="AM445" s="7">
        <v>1</v>
      </c>
      <c r="AN445" s="7"/>
    </row>
    <row r="446" spans="2:40">
      <c r="B446" s="7">
        <v>438</v>
      </c>
      <c r="C446" s="7">
        <f>$AR$7*EXP(-'3.r(t)'!D444*$AR$21)</f>
        <v>0.97765346695821032</v>
      </c>
      <c r="D446" s="7">
        <v>1</v>
      </c>
      <c r="E446" s="7"/>
      <c r="F446" s="7">
        <v>438</v>
      </c>
      <c r="G446" s="48">
        <f>$AS$7*EXP(-'3.r(t)'!D444*$AS$21)</f>
        <v>0.9553476245219803</v>
      </c>
      <c r="H446" s="7">
        <f ca="1">$AS$8*EXP(-'3.r(t)'!E444*$AS$22)</f>
        <v>0.9780937119399753</v>
      </c>
      <c r="I446" s="7">
        <v>1</v>
      </c>
      <c r="J446" s="7"/>
      <c r="K446" s="7">
        <v>438</v>
      </c>
      <c r="L446" s="7">
        <f>$AT$7*EXP(-'3.r(t)'!D444*$AT$21)</f>
        <v>0.93311670519824419</v>
      </c>
      <c r="M446" s="7">
        <f ca="1">$AT$8*EXP(-'3.r(t)'!E444*$AT$22)</f>
        <v>0.95621670560408467</v>
      </c>
      <c r="N446" s="7">
        <f ca="1">$AT$9*EXP(-'3.r(t)'!F444*$AT$23)</f>
        <v>0.97434638792740136</v>
      </c>
      <c r="O446" s="7">
        <v>1</v>
      </c>
      <c r="P446" s="7"/>
      <c r="Q446" s="7">
        <v>438</v>
      </c>
      <c r="R446" s="7">
        <f>$AU$7*EXP(-'3.r(t)'!D444*$AU$21)</f>
        <v>0.91099305977534117</v>
      </c>
      <c r="S446" s="7">
        <f ca="1">$AU$8*EXP(-'3.r(t)'!E444*$AU$22)</f>
        <v>0.93440272026051141</v>
      </c>
      <c r="T446" s="7">
        <f ca="1">$AU$9*EXP(-'3.r(t)'!F444*$AU$23)</f>
        <v>0.94891214763187715</v>
      </c>
      <c r="U446" s="7">
        <f ca="1">$AU$10*EXP(-'3.r(t)'!G444*$AU$24)</f>
        <v>0.97399788988602387</v>
      </c>
      <c r="V446" s="7">
        <v>1</v>
      </c>
      <c r="W446" s="7"/>
      <c r="X446" s="7">
        <v>438</v>
      </c>
      <c r="Y446" s="7">
        <f>$AV$7*EXP(-'3.r(t)'!D444*$AV$21)</f>
        <v>0.88900715067201674</v>
      </c>
      <c r="Z446" s="7">
        <f ca="1">$AV$8*EXP(-'3.r(t)'!E444*$AV$22)</f>
        <v>0.91268367671307049</v>
      </c>
      <c r="AA446" s="7">
        <f ca="1">$AV$9*EXP(-'3.r(t)'!F444*$AV$23)</f>
        <v>0.92372861016910257</v>
      </c>
      <c r="AB446" s="7">
        <f ca="1">$AV$10*EXP(-'3.r(t)'!G444*$AV$24)</f>
        <v>0.94824188286901845</v>
      </c>
      <c r="AC446" s="7">
        <f ca="1">$AV$11*EXP(-'3.r(t)'!H444*$AV$25)</f>
        <v>0.97589664334716608</v>
      </c>
      <c r="AD446" s="7">
        <v>1</v>
      </c>
      <c r="AE446" s="7"/>
      <c r="AF446" s="7">
        <v>438</v>
      </c>
      <c r="AG446" s="7">
        <f>$AW$7*EXP(-'3.r(t)'!D444*$AW$21)</f>
        <v>0.86718755429225491</v>
      </c>
      <c r="AH446" s="7">
        <f ca="1">$AW$8*EXP(-'3.r(t)'!E444*$AW$22)</f>
        <v>0.89108966915644738</v>
      </c>
      <c r="AI446" s="7">
        <f ca="1">$AW$9*EXP(-'3.r(t)'!F444*$AW$23)</f>
        <v>0.89882482709567779</v>
      </c>
      <c r="AJ446" s="7">
        <f ca="1">$AW$10*EXP(-'3.r(t)'!G444*$AW$24)</f>
        <v>0.92276235268024154</v>
      </c>
      <c r="AK446" s="7">
        <f ca="1">$AW$11*EXP(-'3.r(t)'!H444*$AW$25)</f>
        <v>0.95195102220959782</v>
      </c>
      <c r="AL446" s="7">
        <f ca="1">$AW$12*EXP(-'3.r(t)'!I444*$AW$26)</f>
        <v>0.97854559261234686</v>
      </c>
      <c r="AM446" s="7">
        <v>1</v>
      </c>
      <c r="AN446" s="7"/>
    </row>
    <row r="447" spans="2:40">
      <c r="B447" s="7">
        <v>439</v>
      </c>
      <c r="C447" s="7">
        <f>$AR$7*EXP(-'3.r(t)'!D445*$AR$21)</f>
        <v>0.97765346695821032</v>
      </c>
      <c r="D447" s="7">
        <v>1</v>
      </c>
      <c r="E447" s="7"/>
      <c r="F447" s="7">
        <v>439</v>
      </c>
      <c r="G447" s="48">
        <f>$AS$7*EXP(-'3.r(t)'!D445*$AS$21)</f>
        <v>0.9553476245219803</v>
      </c>
      <c r="H447" s="7">
        <f ca="1">$AS$8*EXP(-'3.r(t)'!E445*$AS$22)</f>
        <v>0.98177822219054667</v>
      </c>
      <c r="I447" s="7">
        <v>1</v>
      </c>
      <c r="J447" s="7"/>
      <c r="K447" s="7">
        <v>439</v>
      </c>
      <c r="L447" s="7">
        <f>$AT$7*EXP(-'3.r(t)'!D445*$AT$21)</f>
        <v>0.93311670519824419</v>
      </c>
      <c r="M447" s="7">
        <f ca="1">$AT$8*EXP(-'3.r(t)'!E445*$AT$22)</f>
        <v>0.96343447256358805</v>
      </c>
      <c r="N447" s="7">
        <f ca="1">$AT$9*EXP(-'3.r(t)'!F445*$AT$23)</f>
        <v>0.97908407326603009</v>
      </c>
      <c r="O447" s="7">
        <v>1</v>
      </c>
      <c r="P447" s="7"/>
      <c r="Q447" s="7">
        <v>439</v>
      </c>
      <c r="R447" s="7">
        <f>$AU$7*EXP(-'3.r(t)'!D445*$AU$21)</f>
        <v>0.91099305977534117</v>
      </c>
      <c r="S447" s="7">
        <f ca="1">$AU$8*EXP(-'3.r(t)'!E445*$AU$22)</f>
        <v>0.94500232388716232</v>
      </c>
      <c r="T447" s="7">
        <f ca="1">$AU$9*EXP(-'3.r(t)'!F445*$AU$23)</f>
        <v>0.95816260947346898</v>
      </c>
      <c r="U447" s="7">
        <f ca="1">$AU$10*EXP(-'3.r(t)'!G445*$AU$24)</f>
        <v>0.97861192387603857</v>
      </c>
      <c r="V447" s="7">
        <v>1</v>
      </c>
      <c r="W447" s="7"/>
      <c r="X447" s="7">
        <v>439</v>
      </c>
      <c r="Y447" s="7">
        <f>$AV$7*EXP(-'3.r(t)'!D445*$AV$21)</f>
        <v>0.88900715067201674</v>
      </c>
      <c r="Z447" s="7">
        <f ca="1">$AV$8*EXP(-'3.r(t)'!E445*$AV$22)</f>
        <v>0.92651401507505649</v>
      </c>
      <c r="AA447" s="7">
        <f ca="1">$AV$9*EXP(-'3.r(t)'!F445*$AV$23)</f>
        <v>0.93726891668736123</v>
      </c>
      <c r="AB447" s="7">
        <f ca="1">$AV$10*EXP(-'3.r(t)'!G445*$AV$24)</f>
        <v>0.95724720720437495</v>
      </c>
      <c r="AC447" s="7">
        <f ca="1">$AV$11*EXP(-'3.r(t)'!H445*$AV$25)</f>
        <v>0.97908722957461991</v>
      </c>
      <c r="AD447" s="7">
        <v>1</v>
      </c>
      <c r="AE447" s="7"/>
      <c r="AF447" s="7">
        <v>439</v>
      </c>
      <c r="AG447" s="7">
        <f>$AW$7*EXP(-'3.r(t)'!D445*$AW$21)</f>
        <v>0.86718755429225491</v>
      </c>
      <c r="AH447" s="7">
        <f ca="1">$AW$8*EXP(-'3.r(t)'!E445*$AW$22)</f>
        <v>0.90800041295386702</v>
      </c>
      <c r="AI447" s="7">
        <f ca="1">$AW$9*EXP(-'3.r(t)'!F445*$AW$23)</f>
        <v>0.91643461725368713</v>
      </c>
      <c r="AJ447" s="7">
        <f ca="1">$AW$10*EXP(-'3.r(t)'!G445*$AW$24)</f>
        <v>0.9359385356298332</v>
      </c>
      <c r="AK447" s="7">
        <f ca="1">$AW$11*EXP(-'3.r(t)'!H445*$AW$25)</f>
        <v>0.95818579485696931</v>
      </c>
      <c r="AL447" s="7">
        <f ca="1">$AW$12*EXP(-'3.r(t)'!I445*$AW$26)</f>
        <v>0.97626032928063267</v>
      </c>
      <c r="AM447" s="7">
        <v>1</v>
      </c>
      <c r="AN447" s="7"/>
    </row>
    <row r="448" spans="2:40">
      <c r="B448" s="7">
        <v>440</v>
      </c>
      <c r="C448" s="7">
        <f>$AR$7*EXP(-'3.r(t)'!D446*$AR$21)</f>
        <v>0.97765346695821032</v>
      </c>
      <c r="D448" s="7">
        <v>1</v>
      </c>
      <c r="E448" s="7"/>
      <c r="F448" s="7">
        <v>440</v>
      </c>
      <c r="G448" s="48">
        <f>$AS$7*EXP(-'3.r(t)'!D446*$AS$21)</f>
        <v>0.9553476245219803</v>
      </c>
      <c r="H448" s="7">
        <f ca="1">$AS$8*EXP(-'3.r(t)'!E446*$AS$22)</f>
        <v>0.97563423975042496</v>
      </c>
      <c r="I448" s="7">
        <v>1</v>
      </c>
      <c r="J448" s="7"/>
      <c r="K448" s="7">
        <v>440</v>
      </c>
      <c r="L448" s="7">
        <f>$AT$7*EXP(-'3.r(t)'!D446*$AT$21)</f>
        <v>0.93311670519824419</v>
      </c>
      <c r="M448" s="7">
        <f ca="1">$AT$8*EXP(-'3.r(t)'!E446*$AT$22)</f>
        <v>0.95141382932914398</v>
      </c>
      <c r="N448" s="7">
        <f ca="1">$AT$9*EXP(-'3.r(t)'!F446*$AT$23)</f>
        <v>0.97500693444346709</v>
      </c>
      <c r="O448" s="7">
        <v>1</v>
      </c>
      <c r="P448" s="7"/>
      <c r="Q448" s="7">
        <v>440</v>
      </c>
      <c r="R448" s="7">
        <f>$AU$7*EXP(-'3.r(t)'!D446*$AU$21)</f>
        <v>0.91099305977534117</v>
      </c>
      <c r="S448" s="7">
        <f ca="1">$AU$8*EXP(-'3.r(t)'!E446*$AU$22)</f>
        <v>0.92737160394896268</v>
      </c>
      <c r="T448" s="7">
        <f ca="1">$AU$9*EXP(-'3.r(t)'!F446*$AU$23)</f>
        <v>0.95019919110417961</v>
      </c>
      <c r="U448" s="7">
        <f ca="1">$AU$10*EXP(-'3.r(t)'!G446*$AU$24)</f>
        <v>0.97328488667840984</v>
      </c>
      <c r="V448" s="7">
        <v>1</v>
      </c>
      <c r="W448" s="7"/>
      <c r="X448" s="7">
        <v>440</v>
      </c>
      <c r="Y448" s="7">
        <f>$AV$7*EXP(-'3.r(t)'!D446*$AV$21)</f>
        <v>0.88900715067201674</v>
      </c>
      <c r="Z448" s="7">
        <f ca="1">$AV$8*EXP(-'3.r(t)'!E446*$AV$22)</f>
        <v>0.90353826431130124</v>
      </c>
      <c r="AA448" s="7">
        <f ca="1">$AV$9*EXP(-'3.r(t)'!F446*$AV$23)</f>
        <v>0.92560857648555284</v>
      </c>
      <c r="AB448" s="7">
        <f ca="1">$AV$10*EXP(-'3.r(t)'!G446*$AV$24)</f>
        <v>0.94685409333492709</v>
      </c>
      <c r="AC448" s="7">
        <f ca="1">$AV$11*EXP(-'3.r(t)'!H446*$AV$25)</f>
        <v>0.97702804786793529</v>
      </c>
      <c r="AD448" s="7">
        <v>1</v>
      </c>
      <c r="AE448" s="7"/>
      <c r="AF448" s="7">
        <v>440</v>
      </c>
      <c r="AG448" s="7">
        <f>$AW$7*EXP(-'3.r(t)'!D446*$AW$21)</f>
        <v>0.86718755429225491</v>
      </c>
      <c r="AH448" s="7">
        <f ca="1">$AW$8*EXP(-'3.r(t)'!E446*$AW$22)</f>
        <v>0.87994239330556345</v>
      </c>
      <c r="AI448" s="7">
        <f ca="1">$AW$9*EXP(-'3.r(t)'!F446*$AW$23)</f>
        <v>0.90126469711315538</v>
      </c>
      <c r="AJ448" s="7">
        <f ca="1">$AW$10*EXP(-'3.r(t)'!G446*$AW$24)</f>
        <v>0.92073734520255912</v>
      </c>
      <c r="AK448" s="7">
        <f ca="1">$AW$11*EXP(-'3.r(t)'!H446*$AW$25)</f>
        <v>0.95415958810820134</v>
      </c>
      <c r="AL448" s="7">
        <f ca="1">$AW$12*EXP(-'3.r(t)'!I446*$AW$26)</f>
        <v>0.97449120458669991</v>
      </c>
      <c r="AM448" s="7">
        <v>1</v>
      </c>
      <c r="AN448" s="7"/>
    </row>
    <row r="449" spans="2:40">
      <c r="B449" s="7">
        <v>441</v>
      </c>
      <c r="C449" s="7">
        <f>$AR$7*EXP(-'3.r(t)'!D447*$AR$21)</f>
        <v>0.97765346695821032</v>
      </c>
      <c r="D449" s="7">
        <v>1</v>
      </c>
      <c r="E449" s="7"/>
      <c r="F449" s="7">
        <v>441</v>
      </c>
      <c r="G449" s="48">
        <f>$AS$7*EXP(-'3.r(t)'!D447*$AS$21)</f>
        <v>0.9553476245219803</v>
      </c>
      <c r="H449" s="7">
        <f ca="1">$AS$8*EXP(-'3.r(t)'!E447*$AS$22)</f>
        <v>0.97640294933497396</v>
      </c>
      <c r="I449" s="7">
        <v>1</v>
      </c>
      <c r="J449" s="7"/>
      <c r="K449" s="7">
        <v>441</v>
      </c>
      <c r="L449" s="7">
        <f>$AT$7*EXP(-'3.r(t)'!D447*$AT$21)</f>
        <v>0.93311670519824419</v>
      </c>
      <c r="M449" s="7">
        <f ca="1">$AT$8*EXP(-'3.r(t)'!E447*$AT$22)</f>
        <v>0.95291367224581824</v>
      </c>
      <c r="N449" s="7">
        <f ca="1">$AT$9*EXP(-'3.r(t)'!F447*$AT$23)</f>
        <v>0.97872423656020302</v>
      </c>
      <c r="O449" s="7">
        <v>1</v>
      </c>
      <c r="P449" s="7"/>
      <c r="Q449" s="7">
        <v>441</v>
      </c>
      <c r="R449" s="7">
        <f>$AU$7*EXP(-'3.r(t)'!D447*$AU$21)</f>
        <v>0.91099305977534117</v>
      </c>
      <c r="S449" s="7">
        <f ca="1">$AU$8*EXP(-'3.r(t)'!E447*$AU$22)</f>
        <v>0.92956538080284457</v>
      </c>
      <c r="T449" s="7">
        <f ca="1">$AU$9*EXP(-'3.r(t)'!F447*$AU$23)</f>
        <v>0.95745844375646583</v>
      </c>
      <c r="U449" s="7">
        <f ca="1">$AU$10*EXP(-'3.r(t)'!G447*$AU$24)</f>
        <v>0.97908598681444503</v>
      </c>
      <c r="V449" s="7">
        <v>1</v>
      </c>
      <c r="W449" s="7"/>
      <c r="X449" s="7">
        <v>441</v>
      </c>
      <c r="Y449" s="7">
        <f>$AV$7*EXP(-'3.r(t)'!D447*$AV$21)</f>
        <v>0.88900715067201674</v>
      </c>
      <c r="Z449" s="7">
        <f ca="1">$AV$8*EXP(-'3.r(t)'!E447*$AV$22)</f>
        <v>0.90638925005401072</v>
      </c>
      <c r="AA449" s="7">
        <f ca="1">$AV$9*EXP(-'3.r(t)'!F447*$AV$23)</f>
        <v>0.93623589052121803</v>
      </c>
      <c r="AB449" s="7">
        <f ca="1">$AV$10*EXP(-'3.r(t)'!G447*$AV$24)</f>
        <v>0.95817485855914308</v>
      </c>
      <c r="AC449" s="7">
        <f ca="1">$AV$11*EXP(-'3.r(t)'!H447*$AV$25)</f>
        <v>0.97788264393318181</v>
      </c>
      <c r="AD449" s="7">
        <v>1</v>
      </c>
      <c r="AE449" s="7"/>
      <c r="AF449" s="7">
        <v>441</v>
      </c>
      <c r="AG449" s="7">
        <f>$AW$7*EXP(-'3.r(t)'!D447*$AW$21)</f>
        <v>0.86718755429225491</v>
      </c>
      <c r="AH449" s="7">
        <f ca="1">$AW$8*EXP(-'3.r(t)'!E447*$AW$22)</f>
        <v>0.88341442655964686</v>
      </c>
      <c r="AI449" s="7">
        <f ca="1">$AW$9*EXP(-'3.r(t)'!F447*$AW$23)</f>
        <v>0.91508811363225395</v>
      </c>
      <c r="AJ449" s="7">
        <f ca="1">$AW$10*EXP(-'3.r(t)'!G447*$AW$24)</f>
        <v>0.93729936743276476</v>
      </c>
      <c r="AK449" s="7">
        <f ca="1">$AW$11*EXP(-'3.r(t)'!H447*$AW$25)</f>
        <v>0.95582950465042449</v>
      </c>
      <c r="AL449" s="7">
        <f ca="1">$AW$12*EXP(-'3.r(t)'!I447*$AW$26)</f>
        <v>0.97736974211113392</v>
      </c>
      <c r="AM449" s="7">
        <v>1</v>
      </c>
      <c r="AN449" s="7"/>
    </row>
    <row r="450" spans="2:40">
      <c r="B450" s="7">
        <v>442</v>
      </c>
      <c r="C450" s="7">
        <f>$AR$7*EXP(-'3.r(t)'!D448*$AR$21)</f>
        <v>0.97765346695821032</v>
      </c>
      <c r="D450" s="7">
        <v>1</v>
      </c>
      <c r="E450" s="7"/>
      <c r="F450" s="7">
        <v>442</v>
      </c>
      <c r="G450" s="48">
        <f>$AS$7*EXP(-'3.r(t)'!D448*$AS$21)</f>
        <v>0.9553476245219803</v>
      </c>
      <c r="H450" s="7">
        <f ca="1">$AS$8*EXP(-'3.r(t)'!E448*$AS$22)</f>
        <v>0.97446955947791469</v>
      </c>
      <c r="I450" s="7">
        <v>1</v>
      </c>
      <c r="J450" s="7"/>
      <c r="K450" s="7">
        <v>442</v>
      </c>
      <c r="L450" s="7">
        <f>$AT$7*EXP(-'3.r(t)'!D448*$AT$21)</f>
        <v>0.93311670519824419</v>
      </c>
      <c r="M450" s="7">
        <f ca="1">$AT$8*EXP(-'3.r(t)'!E448*$AT$22)</f>
        <v>0.9491436516942563</v>
      </c>
      <c r="N450" s="7">
        <f ca="1">$AT$9*EXP(-'3.r(t)'!F448*$AT$23)</f>
        <v>0.97381389849464151</v>
      </c>
      <c r="O450" s="7">
        <v>1</v>
      </c>
      <c r="P450" s="7"/>
      <c r="Q450" s="7">
        <v>442</v>
      </c>
      <c r="R450" s="7">
        <f>$AU$7*EXP(-'3.r(t)'!D448*$AU$21)</f>
        <v>0.91099305977534117</v>
      </c>
      <c r="S450" s="7">
        <f ca="1">$AU$8*EXP(-'3.r(t)'!E448*$AU$22)</f>
        <v>0.92405436936342111</v>
      </c>
      <c r="T450" s="7">
        <f ca="1">$AU$9*EXP(-'3.r(t)'!F448*$AU$23)</f>
        <v>0.94787525228170688</v>
      </c>
      <c r="U450" s="7">
        <f ca="1">$AU$10*EXP(-'3.r(t)'!G448*$AU$24)</f>
        <v>0.97417275419131022</v>
      </c>
      <c r="V450" s="7">
        <v>1</v>
      </c>
      <c r="W450" s="7"/>
      <c r="X450" s="7">
        <v>442</v>
      </c>
      <c r="Y450" s="7">
        <f>$AV$7*EXP(-'3.r(t)'!D448*$AV$21)</f>
        <v>0.88900715067201674</v>
      </c>
      <c r="Z450" s="7">
        <f ca="1">$AV$8*EXP(-'3.r(t)'!E448*$AV$22)</f>
        <v>0.89923152604053558</v>
      </c>
      <c r="AA450" s="7">
        <f ca="1">$AV$9*EXP(-'3.r(t)'!F448*$AV$23)</f>
        <v>0.92221495866686076</v>
      </c>
      <c r="AB450" s="7">
        <f ca="1">$AV$10*EXP(-'3.r(t)'!G448*$AV$24)</f>
        <v>0.94858239396105648</v>
      </c>
      <c r="AC450" s="7">
        <f ca="1">$AV$11*EXP(-'3.r(t)'!H448*$AV$25)</f>
        <v>0.97378259740880646</v>
      </c>
      <c r="AD450" s="7">
        <v>1</v>
      </c>
      <c r="AE450" s="7"/>
      <c r="AF450" s="7">
        <v>442</v>
      </c>
      <c r="AG450" s="7">
        <f>$AW$7*EXP(-'3.r(t)'!D448*$AW$21)</f>
        <v>0.86718755429225491</v>
      </c>
      <c r="AH450" s="7">
        <f ca="1">$AW$8*EXP(-'3.r(t)'!E448*$AW$22)</f>
        <v>0.87470268586474575</v>
      </c>
      <c r="AI450" s="7">
        <f ca="1">$AW$9*EXP(-'3.r(t)'!F448*$AW$23)</f>
        <v>0.89686157246657061</v>
      </c>
      <c r="AJ450" s="7">
        <f ca="1">$AW$10*EXP(-'3.r(t)'!G448*$AW$24)</f>
        <v>0.92325943949182687</v>
      </c>
      <c r="AK450" s="7">
        <f ca="1">$AW$11*EXP(-'3.r(t)'!H448*$AW$25)</f>
        <v>0.94783114242320232</v>
      </c>
      <c r="AL450" s="7">
        <f ca="1">$AW$12*EXP(-'3.r(t)'!I448*$AW$26)</f>
        <v>0.97739425976868433</v>
      </c>
      <c r="AM450" s="7">
        <v>1</v>
      </c>
      <c r="AN450" s="7"/>
    </row>
    <row r="451" spans="2:40">
      <c r="B451" s="7">
        <v>443</v>
      </c>
      <c r="C451" s="7">
        <f>$AR$7*EXP(-'3.r(t)'!D449*$AR$21)</f>
        <v>0.97765346695821032</v>
      </c>
      <c r="D451" s="7">
        <v>1</v>
      </c>
      <c r="E451" s="7"/>
      <c r="F451" s="7">
        <v>443</v>
      </c>
      <c r="G451" s="48">
        <f>$AS$7*EXP(-'3.r(t)'!D449*$AS$21)</f>
        <v>0.9553476245219803</v>
      </c>
      <c r="H451" s="7">
        <f ca="1">$AS$8*EXP(-'3.r(t)'!E449*$AS$22)</f>
        <v>0.98332576631929602</v>
      </c>
      <c r="I451" s="7">
        <v>1</v>
      </c>
      <c r="J451" s="7"/>
      <c r="K451" s="7">
        <v>443</v>
      </c>
      <c r="L451" s="7">
        <f>$AT$7*EXP(-'3.r(t)'!D449*$AT$21)</f>
        <v>0.93311670519824419</v>
      </c>
      <c r="M451" s="7">
        <f ca="1">$AT$8*EXP(-'3.r(t)'!E449*$AT$22)</f>
        <v>0.96647412530959653</v>
      </c>
      <c r="N451" s="7">
        <f ca="1">$AT$9*EXP(-'3.r(t)'!F449*$AT$23)</f>
        <v>0.98308454303760984</v>
      </c>
      <c r="O451" s="7">
        <v>1</v>
      </c>
      <c r="P451" s="7"/>
      <c r="Q451" s="7">
        <v>443</v>
      </c>
      <c r="R451" s="7">
        <f>$AU$7*EXP(-'3.r(t)'!D449*$AU$21)</f>
        <v>0.91099305977534117</v>
      </c>
      <c r="S451" s="7">
        <f ca="1">$AU$8*EXP(-'3.r(t)'!E449*$AU$22)</f>
        <v>0.94947809802814054</v>
      </c>
      <c r="T451" s="7">
        <f ca="1">$AU$9*EXP(-'3.r(t)'!F449*$AU$23)</f>
        <v>0.96600857807237617</v>
      </c>
      <c r="U451" s="7">
        <f ca="1">$AU$10*EXP(-'3.r(t)'!G449*$AU$24)</f>
        <v>0.97809115456076812</v>
      </c>
      <c r="V451" s="7">
        <v>1</v>
      </c>
      <c r="W451" s="7"/>
      <c r="X451" s="7">
        <v>443</v>
      </c>
      <c r="Y451" s="7">
        <f>$AV$7*EXP(-'3.r(t)'!D449*$AV$21)</f>
        <v>0.88900715067201674</v>
      </c>
      <c r="Z451" s="7">
        <f ca="1">$AV$8*EXP(-'3.r(t)'!E449*$AV$22)</f>
        <v>0.93236957382526486</v>
      </c>
      <c r="AA451" s="7">
        <f ca="1">$AV$9*EXP(-'3.r(t)'!F449*$AV$23)</f>
        <v>0.94880477106538519</v>
      </c>
      <c r="AB451" s="7">
        <f ca="1">$AV$10*EXP(-'3.r(t)'!G449*$AV$24)</f>
        <v>0.95622867816232915</v>
      </c>
      <c r="AC451" s="7">
        <f ca="1">$AV$11*EXP(-'3.r(t)'!H449*$AV$25)</f>
        <v>0.97307698056260428</v>
      </c>
      <c r="AD451" s="7">
        <v>1</v>
      </c>
      <c r="AE451" s="7"/>
      <c r="AF451" s="7">
        <v>443</v>
      </c>
      <c r="AG451" s="7">
        <f>$AW$7*EXP(-'3.r(t)'!D449*$AW$21)</f>
        <v>0.86718755429225491</v>
      </c>
      <c r="AH451" s="7">
        <f ca="1">$AW$8*EXP(-'3.r(t)'!E449*$AW$22)</f>
        <v>0.91517926206295974</v>
      </c>
      <c r="AI451" s="7">
        <f ca="1">$AW$9*EXP(-'3.r(t)'!F449*$AW$23)</f>
        <v>0.93150461960556941</v>
      </c>
      <c r="AJ451" s="7">
        <f ca="1">$AW$10*EXP(-'3.r(t)'!G449*$AW$24)</f>
        <v>0.93444514873223128</v>
      </c>
      <c r="AK451" s="7">
        <f ca="1">$AW$11*EXP(-'3.r(t)'!H449*$AW$25)</f>
        <v>0.94645801599816282</v>
      </c>
      <c r="AL451" s="7">
        <f ca="1">$AW$12*EXP(-'3.r(t)'!I449*$AW$26)</f>
        <v>0.97316365151913276</v>
      </c>
      <c r="AM451" s="7">
        <v>1</v>
      </c>
      <c r="AN451" s="7"/>
    </row>
    <row r="452" spans="2:40">
      <c r="B452" s="7">
        <v>444</v>
      </c>
      <c r="C452" s="7">
        <f>$AR$7*EXP(-'3.r(t)'!D450*$AR$21)</f>
        <v>0.97765346695821032</v>
      </c>
      <c r="D452" s="7">
        <v>1</v>
      </c>
      <c r="E452" s="7"/>
      <c r="F452" s="7">
        <v>444</v>
      </c>
      <c r="G452" s="48">
        <f>$AS$7*EXP(-'3.r(t)'!D450*$AS$21)</f>
        <v>0.9553476245219803</v>
      </c>
      <c r="H452" s="7">
        <f ca="1">$AS$8*EXP(-'3.r(t)'!E450*$AS$22)</f>
        <v>0.97468528113632258</v>
      </c>
      <c r="I452" s="7">
        <v>1</v>
      </c>
      <c r="J452" s="7"/>
      <c r="K452" s="7">
        <v>444</v>
      </c>
      <c r="L452" s="7">
        <f>$AT$7*EXP(-'3.r(t)'!D450*$AT$21)</f>
        <v>0.93311670519824419</v>
      </c>
      <c r="M452" s="7">
        <f ca="1">$AT$8*EXP(-'3.r(t)'!E450*$AT$22)</f>
        <v>0.94956392855937966</v>
      </c>
      <c r="N452" s="7">
        <f ca="1">$AT$9*EXP(-'3.r(t)'!F450*$AT$23)</f>
        <v>0.97471830611736565</v>
      </c>
      <c r="O452" s="7">
        <v>1</v>
      </c>
      <c r="P452" s="7"/>
      <c r="Q452" s="7">
        <v>444</v>
      </c>
      <c r="R452" s="7">
        <f>$AU$7*EXP(-'3.r(t)'!D450*$AU$21)</f>
        <v>0.91099305977534117</v>
      </c>
      <c r="S452" s="7">
        <f ca="1">$AU$8*EXP(-'3.r(t)'!E450*$AU$22)</f>
        <v>0.92466818845275922</v>
      </c>
      <c r="T452" s="7">
        <f ca="1">$AU$9*EXP(-'3.r(t)'!F450*$AU$23)</f>
        <v>0.94963670524083299</v>
      </c>
      <c r="U452" s="7">
        <f ca="1">$AU$10*EXP(-'3.r(t)'!G450*$AU$24)</f>
        <v>0.97504941360904385</v>
      </c>
      <c r="V452" s="7">
        <v>1</v>
      </c>
      <c r="W452" s="7"/>
      <c r="X452" s="7">
        <v>444</v>
      </c>
      <c r="Y452" s="7">
        <f>$AV$7*EXP(-'3.r(t)'!D450*$AV$21)</f>
        <v>0.88900715067201674</v>
      </c>
      <c r="Z452" s="7">
        <f ca="1">$AV$8*EXP(-'3.r(t)'!E450*$AV$22)</f>
        <v>0.90002805431776056</v>
      </c>
      <c r="AA452" s="7">
        <f ca="1">$AV$9*EXP(-'3.r(t)'!F450*$AV$23)</f>
        <v>0.9247868045571781</v>
      </c>
      <c r="AB452" s="7">
        <f ca="1">$AV$10*EXP(-'3.r(t)'!G450*$AV$24)</f>
        <v>0.95029042337830849</v>
      </c>
      <c r="AC452" s="7">
        <f ca="1">$AV$11*EXP(-'3.r(t)'!H450*$AV$25)</f>
        <v>0.97775969463242096</v>
      </c>
      <c r="AD452" s="7">
        <v>1</v>
      </c>
      <c r="AE452" s="7"/>
      <c r="AF452" s="7">
        <v>444</v>
      </c>
      <c r="AG452" s="7">
        <f>$AW$7*EXP(-'3.r(t)'!D450*$AW$21)</f>
        <v>0.86718755429225491</v>
      </c>
      <c r="AH452" s="7">
        <f ca="1">$AW$8*EXP(-'3.r(t)'!E450*$AW$22)</f>
        <v>0.87567129424042156</v>
      </c>
      <c r="AI452" s="7">
        <f ca="1">$AW$9*EXP(-'3.r(t)'!F450*$AW$23)</f>
        <v>0.90019797635027732</v>
      </c>
      <c r="AJ452" s="7">
        <f ca="1">$AW$10*EXP(-'3.r(t)'!G450*$AW$24)</f>
        <v>0.92575421055837082</v>
      </c>
      <c r="AK452" s="7">
        <f ca="1">$AW$11*EXP(-'3.r(t)'!H450*$AW$25)</f>
        <v>0.95558916664634885</v>
      </c>
      <c r="AL452" s="7">
        <f ca="1">$AW$12*EXP(-'3.r(t)'!I450*$AW$26)</f>
        <v>0.97672362771907018</v>
      </c>
      <c r="AM452" s="7">
        <v>1</v>
      </c>
      <c r="AN452" s="7"/>
    </row>
    <row r="453" spans="2:40">
      <c r="B453" s="7">
        <v>445</v>
      </c>
      <c r="C453" s="7">
        <f>$AR$7*EXP(-'3.r(t)'!D451*$AR$21)</f>
        <v>0.97765346695821032</v>
      </c>
      <c r="D453" s="7">
        <v>1</v>
      </c>
      <c r="E453" s="7"/>
      <c r="F453" s="7">
        <v>445</v>
      </c>
      <c r="G453" s="48">
        <f>$AS$7*EXP(-'3.r(t)'!D451*$AS$21)</f>
        <v>0.9553476245219803</v>
      </c>
      <c r="H453" s="7">
        <f ca="1">$AS$8*EXP(-'3.r(t)'!E451*$AS$22)</f>
        <v>0.97769666901025787</v>
      </c>
      <c r="I453" s="7">
        <v>1</v>
      </c>
      <c r="J453" s="7"/>
      <c r="K453" s="7">
        <v>445</v>
      </c>
      <c r="L453" s="7">
        <f>$AT$7*EXP(-'3.r(t)'!D451*$AT$21)</f>
        <v>0.93311670519824419</v>
      </c>
      <c r="M453" s="7">
        <f ca="1">$AT$8*EXP(-'3.r(t)'!E451*$AT$22)</f>
        <v>0.95544053861914191</v>
      </c>
      <c r="N453" s="7">
        <f ca="1">$AT$9*EXP(-'3.r(t)'!F451*$AT$23)</f>
        <v>0.97415291021553307</v>
      </c>
      <c r="O453" s="7">
        <v>1</v>
      </c>
      <c r="P453" s="7"/>
      <c r="Q453" s="7">
        <v>445</v>
      </c>
      <c r="R453" s="7">
        <f>$AU$7*EXP(-'3.r(t)'!D451*$AU$21)</f>
        <v>0.91099305977534117</v>
      </c>
      <c r="S453" s="7">
        <f ca="1">$AU$8*EXP(-'3.r(t)'!E451*$AU$22)</f>
        <v>0.93326526050120195</v>
      </c>
      <c r="T453" s="7">
        <f ca="1">$AU$9*EXP(-'3.r(t)'!F451*$AU$23)</f>
        <v>0.94853533067000051</v>
      </c>
      <c r="U453" s="7">
        <f ca="1">$AU$10*EXP(-'3.r(t)'!G451*$AU$24)</f>
        <v>0.97306206693932773</v>
      </c>
      <c r="V453" s="7">
        <v>1</v>
      </c>
      <c r="W453" s="7"/>
      <c r="X453" s="7">
        <v>445</v>
      </c>
      <c r="Y453" s="7">
        <f>$AV$7*EXP(-'3.r(t)'!D451*$AV$21)</f>
        <v>0.88900715067201674</v>
      </c>
      <c r="Z453" s="7">
        <f ca="1">$AV$8*EXP(-'3.r(t)'!E451*$AV$22)</f>
        <v>0.91120261613517939</v>
      </c>
      <c r="AA453" s="7">
        <f ca="1">$AV$9*EXP(-'3.r(t)'!F451*$AV$23)</f>
        <v>0.92317844008529193</v>
      </c>
      <c r="AB453" s="7">
        <f ca="1">$AV$10*EXP(-'3.r(t)'!G451*$AV$24)</f>
        <v>0.94642060539171335</v>
      </c>
      <c r="AC453" s="7">
        <f ca="1">$AV$11*EXP(-'3.r(t)'!H451*$AV$25)</f>
        <v>0.97086608989633427</v>
      </c>
      <c r="AD453" s="7">
        <v>1</v>
      </c>
      <c r="AE453" s="7"/>
      <c r="AF453" s="7">
        <v>445</v>
      </c>
      <c r="AG453" s="7">
        <f>$AW$7*EXP(-'3.r(t)'!D451*$AW$21)</f>
        <v>0.86718755429225491</v>
      </c>
      <c r="AH453" s="7">
        <f ca="1">$AW$8*EXP(-'3.r(t)'!E451*$AW$22)</f>
        <v>0.8892825124161754</v>
      </c>
      <c r="AI453" s="7">
        <f ca="1">$AW$9*EXP(-'3.r(t)'!F451*$AW$23)</f>
        <v>0.89811111467590976</v>
      </c>
      <c r="AJ453" s="7">
        <f ca="1">$AW$10*EXP(-'3.r(t)'!G451*$AW$24)</f>
        <v>0.92010512078409468</v>
      </c>
      <c r="AK453" s="7">
        <f ca="1">$AW$11*EXP(-'3.r(t)'!H451*$AW$25)</f>
        <v>0.9421620803757681</v>
      </c>
      <c r="AL453" s="7">
        <f ca="1">$AW$12*EXP(-'3.r(t)'!I451*$AW$26)</f>
        <v>0.97256552411725683</v>
      </c>
      <c r="AM453" s="7">
        <v>1</v>
      </c>
      <c r="AN453" s="7"/>
    </row>
    <row r="454" spans="2:40">
      <c r="B454" s="7">
        <v>446</v>
      </c>
      <c r="C454" s="7">
        <f>$AR$7*EXP(-'3.r(t)'!D452*$AR$21)</f>
        <v>0.97765346695821032</v>
      </c>
      <c r="D454" s="7">
        <v>1</v>
      </c>
      <c r="E454" s="7"/>
      <c r="F454" s="7">
        <v>446</v>
      </c>
      <c r="G454" s="48">
        <f>$AS$7*EXP(-'3.r(t)'!D452*$AS$21)</f>
        <v>0.9553476245219803</v>
      </c>
      <c r="H454" s="7">
        <f ca="1">$AS$8*EXP(-'3.r(t)'!E452*$AS$22)</f>
        <v>0.97836827286963957</v>
      </c>
      <c r="I454" s="7">
        <v>1</v>
      </c>
      <c r="J454" s="7"/>
      <c r="K454" s="7">
        <v>446</v>
      </c>
      <c r="L454" s="7">
        <f>$AT$7*EXP(-'3.r(t)'!D452*$AT$21)</f>
        <v>0.93311670519824419</v>
      </c>
      <c r="M454" s="7">
        <f ca="1">$AT$8*EXP(-'3.r(t)'!E452*$AT$22)</f>
        <v>0.95675362061180813</v>
      </c>
      <c r="N454" s="7">
        <f ca="1">$AT$9*EXP(-'3.r(t)'!F452*$AT$23)</f>
        <v>0.97736288583248776</v>
      </c>
      <c r="O454" s="7">
        <v>1</v>
      </c>
      <c r="P454" s="7"/>
      <c r="Q454" s="7">
        <v>446</v>
      </c>
      <c r="R454" s="7">
        <f>$AU$7*EXP(-'3.r(t)'!D452*$AU$21)</f>
        <v>0.91099305977534117</v>
      </c>
      <c r="S454" s="7">
        <f ca="1">$AU$8*EXP(-'3.r(t)'!E452*$AU$22)</f>
        <v>0.93518983043056125</v>
      </c>
      <c r="T454" s="7">
        <f ca="1">$AU$9*EXP(-'3.r(t)'!F452*$AU$23)</f>
        <v>0.95479675377952611</v>
      </c>
      <c r="U454" s="7">
        <f ca="1">$AU$10*EXP(-'3.r(t)'!G452*$AU$24)</f>
        <v>0.97552309197660947</v>
      </c>
      <c r="V454" s="7">
        <v>1</v>
      </c>
      <c r="W454" s="7"/>
      <c r="X454" s="7">
        <v>446</v>
      </c>
      <c r="Y454" s="7">
        <f>$AV$7*EXP(-'3.r(t)'!D452*$AV$21)</f>
        <v>0.88900715067201674</v>
      </c>
      <c r="Z454" s="7">
        <f ca="1">$AV$8*EXP(-'3.r(t)'!E452*$AV$22)</f>
        <v>0.91370890695054552</v>
      </c>
      <c r="AA454" s="7">
        <f ca="1">$AV$9*EXP(-'3.r(t)'!F452*$AV$23)</f>
        <v>0.93233456664312486</v>
      </c>
      <c r="AB454" s="7">
        <f ca="1">$AV$10*EXP(-'3.r(t)'!G452*$AV$24)</f>
        <v>0.95121394858040509</v>
      </c>
      <c r="AC454" s="7">
        <f ca="1">$AV$11*EXP(-'3.r(t)'!H452*$AV$25)</f>
        <v>0.97854937575288159</v>
      </c>
      <c r="AD454" s="7">
        <v>1</v>
      </c>
      <c r="AE454" s="7"/>
      <c r="AF454" s="7">
        <v>446</v>
      </c>
      <c r="AG454" s="7">
        <f>$AW$7*EXP(-'3.r(t)'!D452*$AW$21)</f>
        <v>0.86718755429225491</v>
      </c>
      <c r="AH454" s="7">
        <f ca="1">$AW$8*EXP(-'3.r(t)'!E452*$AW$22)</f>
        <v>0.89234106153223747</v>
      </c>
      <c r="AI454" s="7">
        <f ca="1">$AW$9*EXP(-'3.r(t)'!F452*$AW$23)</f>
        <v>0.91000738070617326</v>
      </c>
      <c r="AJ454" s="7">
        <f ca="1">$AW$10*EXP(-'3.r(t)'!G452*$AW$24)</f>
        <v>0.92710405847174926</v>
      </c>
      <c r="AK454" s="7">
        <f ca="1">$AW$11*EXP(-'3.r(t)'!H452*$AW$25)</f>
        <v>0.95713334044719178</v>
      </c>
      <c r="AL454" s="7">
        <f ca="1">$AW$12*EXP(-'3.r(t)'!I452*$AW$26)</f>
        <v>0.97971944653934662</v>
      </c>
      <c r="AM454" s="7">
        <v>1</v>
      </c>
      <c r="AN454" s="7"/>
    </row>
    <row r="455" spans="2:40">
      <c r="B455" s="7">
        <v>447</v>
      </c>
      <c r="C455" s="7">
        <f>$AR$7*EXP(-'3.r(t)'!D453*$AR$21)</f>
        <v>0.97765346695821032</v>
      </c>
      <c r="D455" s="7">
        <v>1</v>
      </c>
      <c r="E455" s="7"/>
      <c r="F455" s="7">
        <v>447</v>
      </c>
      <c r="G455" s="48">
        <f>$AS$7*EXP(-'3.r(t)'!D453*$AS$21)</f>
        <v>0.9553476245219803</v>
      </c>
      <c r="H455" s="7">
        <f ca="1">$AS$8*EXP(-'3.r(t)'!E453*$AS$22)</f>
        <v>0.97717819363666447</v>
      </c>
      <c r="I455" s="7">
        <v>1</v>
      </c>
      <c r="J455" s="7"/>
      <c r="K455" s="7">
        <v>447</v>
      </c>
      <c r="L455" s="7">
        <f>$AT$7*EXP(-'3.r(t)'!D453*$AT$21)</f>
        <v>0.93311670519824419</v>
      </c>
      <c r="M455" s="7">
        <f ca="1">$AT$8*EXP(-'3.r(t)'!E453*$AT$22)</f>
        <v>0.95442746154278879</v>
      </c>
      <c r="N455" s="7">
        <f ca="1">$AT$9*EXP(-'3.r(t)'!F453*$AT$23)</f>
        <v>0.96740924145786922</v>
      </c>
      <c r="O455" s="7">
        <v>1</v>
      </c>
      <c r="P455" s="7"/>
      <c r="Q455" s="7">
        <v>447</v>
      </c>
      <c r="R455" s="7">
        <f>$AU$7*EXP(-'3.r(t)'!D453*$AU$21)</f>
        <v>0.91099305977534117</v>
      </c>
      <c r="S455" s="7">
        <f ca="1">$AU$8*EXP(-'3.r(t)'!E453*$AU$22)</f>
        <v>0.93178130791668667</v>
      </c>
      <c r="T455" s="7">
        <f ca="1">$AU$9*EXP(-'3.r(t)'!F453*$AU$23)</f>
        <v>0.93544812960381052</v>
      </c>
      <c r="U455" s="7">
        <f ca="1">$AU$10*EXP(-'3.r(t)'!G453*$AU$24)</f>
        <v>0.96967781980728884</v>
      </c>
      <c r="V455" s="7">
        <v>1</v>
      </c>
      <c r="W455" s="7"/>
      <c r="X455" s="7">
        <v>447</v>
      </c>
      <c r="Y455" s="7">
        <f>$AV$7*EXP(-'3.r(t)'!D453*$AV$21)</f>
        <v>0.88900715067201674</v>
      </c>
      <c r="Z455" s="7">
        <f ca="1">$AV$8*EXP(-'3.r(t)'!E453*$AV$22)</f>
        <v>0.90927129954890584</v>
      </c>
      <c r="AA455" s="7">
        <f ca="1">$AV$9*EXP(-'3.r(t)'!F453*$AV$23)</f>
        <v>0.90413847747727838</v>
      </c>
      <c r="AB455" s="7">
        <f ca="1">$AV$10*EXP(-'3.r(t)'!G453*$AV$24)</f>
        <v>0.93984887363608638</v>
      </c>
      <c r="AC455" s="7">
        <f ca="1">$AV$11*EXP(-'3.r(t)'!H453*$AV$25)</f>
        <v>0.96927962898176678</v>
      </c>
      <c r="AD455" s="7">
        <v>1</v>
      </c>
      <c r="AE455" s="7"/>
      <c r="AF455" s="7">
        <v>447</v>
      </c>
      <c r="AG455" s="7">
        <f>$AW$7*EXP(-'3.r(t)'!D453*$AW$21)</f>
        <v>0.86718755429225491</v>
      </c>
      <c r="AH455" s="7">
        <f ca="1">$AW$8*EXP(-'3.r(t)'!E453*$AW$22)</f>
        <v>0.88692706648876574</v>
      </c>
      <c r="AI455" s="7">
        <f ca="1">$AW$9*EXP(-'3.r(t)'!F453*$AW$23)</f>
        <v>0.8734991146031692</v>
      </c>
      <c r="AJ455" s="7">
        <f ca="1">$AW$10*EXP(-'3.r(t)'!G453*$AW$24)</f>
        <v>0.91053827208576366</v>
      </c>
      <c r="AK455" s="7">
        <f ca="1">$AW$11*EXP(-'3.r(t)'!H453*$AW$25)</f>
        <v>0.93908548287577376</v>
      </c>
      <c r="AL455" s="7">
        <f ca="1">$AW$12*EXP(-'3.r(t)'!I453*$AW$26)</f>
        <v>0.96832755403063131</v>
      </c>
      <c r="AM455" s="7">
        <v>1</v>
      </c>
      <c r="AN455" s="7"/>
    </row>
    <row r="456" spans="2:40">
      <c r="B456" s="7">
        <v>448</v>
      </c>
      <c r="C456" s="7">
        <f>$AR$7*EXP(-'3.r(t)'!D454*$AR$21)</f>
        <v>0.97765346695821032</v>
      </c>
      <c r="D456" s="7">
        <v>1</v>
      </c>
      <c r="E456" s="7"/>
      <c r="F456" s="7">
        <v>448</v>
      </c>
      <c r="G456" s="48">
        <f>$AS$7*EXP(-'3.r(t)'!D454*$AS$21)</f>
        <v>0.9553476245219803</v>
      </c>
      <c r="H456" s="7">
        <f ca="1">$AS$8*EXP(-'3.r(t)'!E454*$AS$22)</f>
        <v>0.97615178202268904</v>
      </c>
      <c r="I456" s="7">
        <v>1</v>
      </c>
      <c r="J456" s="7"/>
      <c r="K456" s="7">
        <v>448</v>
      </c>
      <c r="L456" s="7">
        <f>$AT$7*EXP(-'3.r(t)'!D454*$AT$21)</f>
        <v>0.93311670519824419</v>
      </c>
      <c r="M456" s="7">
        <f ca="1">$AT$8*EXP(-'3.r(t)'!E454*$AT$22)</f>
        <v>0.95242348531558074</v>
      </c>
      <c r="N456" s="7">
        <f ca="1">$AT$9*EXP(-'3.r(t)'!F454*$AT$23)</f>
        <v>0.97748958117425977</v>
      </c>
      <c r="O456" s="7">
        <v>1</v>
      </c>
      <c r="P456" s="7"/>
      <c r="Q456" s="7">
        <v>448</v>
      </c>
      <c r="R456" s="7">
        <f>$AU$7*EXP(-'3.r(t)'!D454*$AU$21)</f>
        <v>0.91099305977534117</v>
      </c>
      <c r="S456" s="7">
        <f ca="1">$AU$8*EXP(-'3.r(t)'!E454*$AU$22)</f>
        <v>0.92884820849789629</v>
      </c>
      <c r="T456" s="7">
        <f ca="1">$AU$9*EXP(-'3.r(t)'!F454*$AU$23)</f>
        <v>0.95504431002162193</v>
      </c>
      <c r="U456" s="7">
        <f ca="1">$AU$10*EXP(-'3.r(t)'!G454*$AU$24)</f>
        <v>0.97938782737739671</v>
      </c>
      <c r="V456" s="7">
        <v>1</v>
      </c>
      <c r="W456" s="7"/>
      <c r="X456" s="7">
        <v>448</v>
      </c>
      <c r="Y456" s="7">
        <f>$AV$7*EXP(-'3.r(t)'!D454*$AV$21)</f>
        <v>0.88900715067201674</v>
      </c>
      <c r="Z456" s="7">
        <f ca="1">$AV$8*EXP(-'3.r(t)'!E454*$AV$22)</f>
        <v>0.90545698115888995</v>
      </c>
      <c r="AA456" s="7">
        <f ca="1">$AV$9*EXP(-'3.r(t)'!F454*$AV$23)</f>
        <v>0.93269718863684359</v>
      </c>
      <c r="AB456" s="7">
        <f ca="1">$AV$10*EXP(-'3.r(t)'!G454*$AV$24)</f>
        <v>0.95876573744729243</v>
      </c>
      <c r="AC456" s="7">
        <f ca="1">$AV$11*EXP(-'3.r(t)'!H454*$AV$25)</f>
        <v>0.98040070714994032</v>
      </c>
      <c r="AD456" s="7">
        <v>1</v>
      </c>
      <c r="AE456" s="7"/>
      <c r="AF456" s="7">
        <v>448</v>
      </c>
      <c r="AG456" s="7">
        <f>$AW$7*EXP(-'3.r(t)'!D454*$AW$21)</f>
        <v>0.86718755429225491</v>
      </c>
      <c r="AH456" s="7">
        <f ca="1">$AW$8*EXP(-'3.r(t)'!E454*$AW$22)</f>
        <v>0.88227877502084073</v>
      </c>
      <c r="AI456" s="7">
        <f ca="1">$AW$9*EXP(-'3.r(t)'!F454*$AW$23)</f>
        <v>0.9104793287122549</v>
      </c>
      <c r="AJ456" s="7">
        <f ca="1">$AW$10*EXP(-'3.r(t)'!G454*$AW$24)</f>
        <v>0.93816650944321223</v>
      </c>
      <c r="AK456" s="7">
        <f ca="1">$AW$11*EXP(-'3.r(t)'!H454*$AW$25)</f>
        <v>0.96075839454622081</v>
      </c>
      <c r="AL456" s="7">
        <f ca="1">$AW$12*EXP(-'3.r(t)'!I454*$AW$26)</f>
        <v>0.98003608428844391</v>
      </c>
      <c r="AM456" s="7">
        <v>1</v>
      </c>
      <c r="AN456" s="7"/>
    </row>
    <row r="457" spans="2:40">
      <c r="B457" s="7">
        <v>449</v>
      </c>
      <c r="C457" s="7">
        <f>$AR$7*EXP(-'3.r(t)'!D455*$AR$21)</f>
        <v>0.97765346695821032</v>
      </c>
      <c r="D457" s="7">
        <v>1</v>
      </c>
      <c r="E457" s="7"/>
      <c r="F457" s="7">
        <v>449</v>
      </c>
      <c r="G457" s="48">
        <f>$AS$7*EXP(-'3.r(t)'!D455*$AS$21)</f>
        <v>0.9553476245219803</v>
      </c>
      <c r="H457" s="7">
        <f ca="1">$AS$8*EXP(-'3.r(t)'!E455*$AS$22)</f>
        <v>0.97908618989686025</v>
      </c>
      <c r="I457" s="7">
        <v>1</v>
      </c>
      <c r="J457" s="7"/>
      <c r="K457" s="7">
        <v>449</v>
      </c>
      <c r="L457" s="7">
        <f>$AT$7*EXP(-'3.r(t)'!D455*$AT$21)</f>
        <v>0.93311670519824419</v>
      </c>
      <c r="M457" s="7">
        <f ca="1">$AT$8*EXP(-'3.r(t)'!E455*$AT$22)</f>
        <v>0.95815824858937193</v>
      </c>
      <c r="N457" s="7">
        <f ca="1">$AT$9*EXP(-'3.r(t)'!F455*$AT$23)</f>
        <v>0.97908743024401956</v>
      </c>
      <c r="O457" s="7">
        <v>1</v>
      </c>
      <c r="P457" s="7"/>
      <c r="Q457" s="7">
        <v>449</v>
      </c>
      <c r="R457" s="7">
        <f>$AU$7*EXP(-'3.r(t)'!D455*$AU$21)</f>
        <v>0.91099305977534117</v>
      </c>
      <c r="S457" s="7">
        <f ca="1">$AU$8*EXP(-'3.r(t)'!E455*$AU$22)</f>
        <v>0.93725004078442775</v>
      </c>
      <c r="T457" s="7">
        <f ca="1">$AU$9*EXP(-'3.r(t)'!F455*$AU$23)</f>
        <v>0.95816917997418982</v>
      </c>
      <c r="U457" s="7">
        <f ca="1">$AU$10*EXP(-'3.r(t)'!G455*$AU$24)</f>
        <v>0.97899369016487481</v>
      </c>
      <c r="V457" s="7">
        <v>1</v>
      </c>
      <c r="W457" s="7"/>
      <c r="X457" s="7">
        <v>449</v>
      </c>
      <c r="Y457" s="7">
        <f>$AV$7*EXP(-'3.r(t)'!D455*$AV$21)</f>
        <v>0.88900715067201674</v>
      </c>
      <c r="Z457" s="7">
        <f ca="1">$AV$8*EXP(-'3.r(t)'!E455*$AV$22)</f>
        <v>0.91639374278225949</v>
      </c>
      <c r="AA457" s="7">
        <f ca="1">$AV$9*EXP(-'3.r(t)'!F455*$AV$23)</f>
        <v>0.93727855754047318</v>
      </c>
      <c r="AB457" s="7">
        <f ca="1">$AV$10*EXP(-'3.r(t)'!G455*$AV$24)</f>
        <v>0.95799421628262649</v>
      </c>
      <c r="AC457" s="7">
        <f ca="1">$AV$11*EXP(-'3.r(t)'!H455*$AV$25)</f>
        <v>0.97699849673266026</v>
      </c>
      <c r="AD457" s="7">
        <v>1</v>
      </c>
      <c r="AE457" s="7"/>
      <c r="AF457" s="7">
        <v>449</v>
      </c>
      <c r="AG457" s="7">
        <f>$AW$7*EXP(-'3.r(t)'!D455*$AW$21)</f>
        <v>0.86718755429225491</v>
      </c>
      <c r="AH457" s="7">
        <f ca="1">$AW$8*EXP(-'3.r(t)'!E455*$AW$22)</f>
        <v>0.89561982537536866</v>
      </c>
      <c r="AI457" s="7">
        <f ca="1">$AW$9*EXP(-'3.r(t)'!F455*$AW$23)</f>
        <v>0.91644718600746533</v>
      </c>
      <c r="AJ457" s="7">
        <f ca="1">$AW$10*EXP(-'3.r(t)'!G455*$AW$24)</f>
        <v>0.93703431991626984</v>
      </c>
      <c r="AK457" s="7">
        <f ca="1">$AW$11*EXP(-'3.r(t)'!H455*$AW$25)</f>
        <v>0.95410187006682345</v>
      </c>
      <c r="AL457" s="7">
        <f ca="1">$AW$12*EXP(-'3.r(t)'!I455*$AW$26)</f>
        <v>0.9747328697913159</v>
      </c>
      <c r="AM457" s="7">
        <v>1</v>
      </c>
      <c r="AN457" s="7"/>
    </row>
    <row r="458" spans="2:40">
      <c r="B458" s="7">
        <v>450</v>
      </c>
      <c r="C458" s="7">
        <f>$AR$7*EXP(-'3.r(t)'!D456*$AR$21)</f>
        <v>0.97765346695821032</v>
      </c>
      <c r="D458" s="7">
        <v>1</v>
      </c>
      <c r="E458" s="7"/>
      <c r="F458" s="7">
        <v>450</v>
      </c>
      <c r="G458" s="48">
        <f>$AS$7*EXP(-'3.r(t)'!D456*$AS$21)</f>
        <v>0.9553476245219803</v>
      </c>
      <c r="H458" s="7">
        <f ca="1">$AS$8*EXP(-'3.r(t)'!E456*$AS$22)</f>
        <v>0.97867953690962639</v>
      </c>
      <c r="I458" s="7">
        <v>1</v>
      </c>
      <c r="J458" s="7"/>
      <c r="K458" s="7">
        <v>450</v>
      </c>
      <c r="L458" s="7">
        <f>$AT$7*EXP(-'3.r(t)'!D456*$AT$21)</f>
        <v>0.93311670519824419</v>
      </c>
      <c r="M458" s="7">
        <f ca="1">$AT$8*EXP(-'3.r(t)'!E456*$AT$22)</f>
        <v>0.95736249229727155</v>
      </c>
      <c r="N458" s="7">
        <f ca="1">$AT$9*EXP(-'3.r(t)'!F456*$AT$23)</f>
        <v>0.97886680177642671</v>
      </c>
      <c r="O458" s="7">
        <v>1</v>
      </c>
      <c r="P458" s="7"/>
      <c r="Q458" s="7">
        <v>450</v>
      </c>
      <c r="R458" s="7">
        <f>$AU$7*EXP(-'3.r(t)'!D456*$AU$21)</f>
        <v>0.91099305977534117</v>
      </c>
      <c r="S458" s="7">
        <f ca="1">$AU$8*EXP(-'3.r(t)'!E456*$AU$22)</f>
        <v>0.93608269539395628</v>
      </c>
      <c r="T458" s="7">
        <f ca="1">$AU$9*EXP(-'3.r(t)'!F456*$AU$23)</f>
        <v>0.95773739916917677</v>
      </c>
      <c r="U458" s="7">
        <f ca="1">$AU$10*EXP(-'3.r(t)'!G456*$AU$24)</f>
        <v>0.97586185855972163</v>
      </c>
      <c r="V458" s="7">
        <v>1</v>
      </c>
      <c r="W458" s="7"/>
      <c r="X458" s="7">
        <v>450</v>
      </c>
      <c r="Y458" s="7">
        <f>$AV$7*EXP(-'3.r(t)'!D456*$AV$21)</f>
        <v>0.88900715067201674</v>
      </c>
      <c r="Z458" s="7">
        <f ca="1">$AV$8*EXP(-'3.r(t)'!E456*$AV$22)</f>
        <v>0.91487223362744419</v>
      </c>
      <c r="AA458" s="7">
        <f ca="1">$AV$9*EXP(-'3.r(t)'!F456*$AV$23)</f>
        <v>0.93664507865805602</v>
      </c>
      <c r="AB458" s="7">
        <f ca="1">$AV$10*EXP(-'3.r(t)'!G456*$AV$24)</f>
        <v>0.95187471295046855</v>
      </c>
      <c r="AC458" s="7">
        <f ca="1">$AV$11*EXP(-'3.r(t)'!H456*$AV$25)</f>
        <v>0.97657160103726259</v>
      </c>
      <c r="AD458" s="7">
        <v>1</v>
      </c>
      <c r="AE458" s="7"/>
      <c r="AF458" s="7">
        <v>450</v>
      </c>
      <c r="AG458" s="7">
        <f>$AW$7*EXP(-'3.r(t)'!D456*$AW$21)</f>
        <v>0.86718755429225491</v>
      </c>
      <c r="AH458" s="7">
        <f ca="1">$AW$8*EXP(-'3.r(t)'!E456*$AW$22)</f>
        <v>0.89376143911549533</v>
      </c>
      <c r="AI458" s="7">
        <f ca="1">$AW$9*EXP(-'3.r(t)'!F456*$AW$23)</f>
        <v>0.91562141295262856</v>
      </c>
      <c r="AJ458" s="7">
        <f ca="1">$AW$10*EXP(-'3.r(t)'!G456*$AW$24)</f>
        <v>0.92807025073093063</v>
      </c>
      <c r="AK458" s="7">
        <f ca="1">$AW$11*EXP(-'3.r(t)'!H456*$AW$25)</f>
        <v>0.95326827001901271</v>
      </c>
      <c r="AL458" s="7">
        <f ca="1">$AW$12*EXP(-'3.r(t)'!I456*$AW$26)</f>
        <v>0.98001214264669179</v>
      </c>
      <c r="AM458" s="7">
        <v>1</v>
      </c>
      <c r="AN458" s="7"/>
    </row>
    <row r="459" spans="2:40">
      <c r="B459" s="7">
        <v>451</v>
      </c>
      <c r="C459" s="7">
        <f>$AR$7*EXP(-'3.r(t)'!D457*$AR$21)</f>
        <v>0.97765346695821032</v>
      </c>
      <c r="D459" s="7">
        <v>1</v>
      </c>
      <c r="E459" s="7"/>
      <c r="F459" s="7">
        <v>451</v>
      </c>
      <c r="G459" s="48">
        <f>$AS$7*EXP(-'3.r(t)'!D457*$AS$21)</f>
        <v>0.9553476245219803</v>
      </c>
      <c r="H459" s="7">
        <f ca="1">$AS$8*EXP(-'3.r(t)'!E457*$AS$22)</f>
        <v>0.97732853204538617</v>
      </c>
      <c r="I459" s="7">
        <v>1</v>
      </c>
      <c r="J459" s="7"/>
      <c r="K459" s="7">
        <v>451</v>
      </c>
      <c r="L459" s="7">
        <f>$AT$7*EXP(-'3.r(t)'!D457*$AT$21)</f>
        <v>0.93311670519824419</v>
      </c>
      <c r="M459" s="7">
        <f ca="1">$AT$8*EXP(-'3.r(t)'!E457*$AT$22)</f>
        <v>0.95472116057220879</v>
      </c>
      <c r="N459" s="7">
        <f ca="1">$AT$9*EXP(-'3.r(t)'!F457*$AT$23)</f>
        <v>0.97547622970739056</v>
      </c>
      <c r="O459" s="7">
        <v>1</v>
      </c>
      <c r="P459" s="7"/>
      <c r="Q459" s="7">
        <v>451</v>
      </c>
      <c r="R459" s="7">
        <f>$AU$7*EXP(-'3.r(t)'!D457*$AU$21)</f>
        <v>0.91099305977534117</v>
      </c>
      <c r="S459" s="7">
        <f ca="1">$AU$8*EXP(-'3.r(t)'!E457*$AU$22)</f>
        <v>0.93221143644213844</v>
      </c>
      <c r="T459" s="7">
        <f ca="1">$AU$9*EXP(-'3.r(t)'!F457*$AU$23)</f>
        <v>0.95111412059155842</v>
      </c>
      <c r="U459" s="7">
        <f ca="1">$AU$10*EXP(-'3.r(t)'!G457*$AU$24)</f>
        <v>0.97293321013374989</v>
      </c>
      <c r="V459" s="7">
        <v>1</v>
      </c>
      <c r="W459" s="7"/>
      <c r="X459" s="7">
        <v>451</v>
      </c>
      <c r="Y459" s="7">
        <f>$AV$7*EXP(-'3.r(t)'!D457*$AV$21)</f>
        <v>0.88900715067201674</v>
      </c>
      <c r="Z459" s="7">
        <f ca="1">$AV$8*EXP(-'3.r(t)'!E457*$AV$22)</f>
        <v>0.9098309925542315</v>
      </c>
      <c r="AA459" s="7">
        <f ca="1">$AV$9*EXP(-'3.r(t)'!F457*$AV$23)</f>
        <v>0.92694577569660908</v>
      </c>
      <c r="AB459" s="7">
        <f ca="1">$AV$10*EXP(-'3.r(t)'!G457*$AV$24)</f>
        <v>0.94616996431680078</v>
      </c>
      <c r="AC459" s="7">
        <f ca="1">$AV$11*EXP(-'3.r(t)'!H457*$AV$25)</f>
        <v>0.9749608211518207</v>
      </c>
      <c r="AD459" s="7">
        <v>1</v>
      </c>
      <c r="AE459" s="7"/>
      <c r="AF459" s="7">
        <v>451</v>
      </c>
      <c r="AG459" s="7">
        <f>$AW$7*EXP(-'3.r(t)'!D457*$AW$21)</f>
        <v>0.86718755429225491</v>
      </c>
      <c r="AH459" s="7">
        <f ca="1">$AW$8*EXP(-'3.r(t)'!E457*$AW$22)</f>
        <v>0.88760954302865303</v>
      </c>
      <c r="AI459" s="7">
        <f ca="1">$AW$9*EXP(-'3.r(t)'!F457*$AW$23)</f>
        <v>0.90300115542241299</v>
      </c>
      <c r="AJ459" s="7">
        <f ca="1">$AW$10*EXP(-'3.r(t)'!G457*$AW$24)</f>
        <v>0.91973963708799344</v>
      </c>
      <c r="AK459" s="7">
        <f ca="1">$AW$11*EXP(-'3.r(t)'!H457*$AW$25)</f>
        <v>0.95012617781799968</v>
      </c>
      <c r="AL459" s="7">
        <f ca="1">$AW$12*EXP(-'3.r(t)'!I457*$AW$26)</f>
        <v>0.97779802871203181</v>
      </c>
      <c r="AM459" s="7">
        <v>1</v>
      </c>
      <c r="AN459" s="7"/>
    </row>
    <row r="460" spans="2:40">
      <c r="B460" s="7">
        <v>452</v>
      </c>
      <c r="C460" s="7">
        <f>$AR$7*EXP(-'3.r(t)'!D458*$AR$21)</f>
        <v>0.97765346695821032</v>
      </c>
      <c r="D460" s="7">
        <v>1</v>
      </c>
      <c r="E460" s="7"/>
      <c r="F460" s="7">
        <v>452</v>
      </c>
      <c r="G460" s="48">
        <f>$AS$7*EXP(-'3.r(t)'!D458*$AS$21)</f>
        <v>0.9553476245219803</v>
      </c>
      <c r="H460" s="7">
        <f ca="1">$AS$8*EXP(-'3.r(t)'!E458*$AS$22)</f>
        <v>0.97791388586917805</v>
      </c>
      <c r="I460" s="7">
        <v>1</v>
      </c>
      <c r="J460" s="7"/>
      <c r="K460" s="7">
        <v>452</v>
      </c>
      <c r="L460" s="7">
        <f>$AT$7*EXP(-'3.r(t)'!D458*$AT$21)</f>
        <v>0.93311670519824419</v>
      </c>
      <c r="M460" s="7">
        <f ca="1">$AT$8*EXP(-'3.r(t)'!E458*$AT$22)</f>
        <v>0.9558651301183454</v>
      </c>
      <c r="N460" s="7">
        <f ca="1">$AT$9*EXP(-'3.r(t)'!F458*$AT$23)</f>
        <v>0.97303832730890694</v>
      </c>
      <c r="O460" s="7">
        <v>1</v>
      </c>
      <c r="P460" s="7"/>
      <c r="Q460" s="7">
        <v>452</v>
      </c>
      <c r="R460" s="7">
        <f>$AU$7*EXP(-'3.r(t)'!D458*$AU$21)</f>
        <v>0.91099305977534117</v>
      </c>
      <c r="S460" s="7">
        <f ca="1">$AU$8*EXP(-'3.r(t)'!E458*$AU$22)</f>
        <v>0.93388743503788663</v>
      </c>
      <c r="T460" s="7">
        <f ca="1">$AU$9*EXP(-'3.r(t)'!F458*$AU$23)</f>
        <v>0.94636602759286959</v>
      </c>
      <c r="U460" s="7">
        <f ca="1">$AU$10*EXP(-'3.r(t)'!G458*$AU$24)</f>
        <v>0.97100749994491775</v>
      </c>
      <c r="V460" s="7">
        <v>1</v>
      </c>
      <c r="W460" s="7"/>
      <c r="X460" s="7">
        <v>452</v>
      </c>
      <c r="Y460" s="7">
        <f>$AV$7*EXP(-'3.r(t)'!D458*$AV$21)</f>
        <v>0.88900715067201674</v>
      </c>
      <c r="Z460" s="7">
        <f ca="1">$AV$8*EXP(-'3.r(t)'!E458*$AV$22)</f>
        <v>0.91201266099859246</v>
      </c>
      <c r="AA460" s="7">
        <f ca="1">$AV$9*EXP(-'3.r(t)'!F458*$AV$23)</f>
        <v>0.92001328380092939</v>
      </c>
      <c r="AB460" s="7">
        <f ca="1">$AV$10*EXP(-'3.r(t)'!G458*$AV$24)</f>
        <v>0.9424281946943357</v>
      </c>
      <c r="AC460" s="7">
        <f ca="1">$AV$11*EXP(-'3.r(t)'!H458*$AV$25)</f>
        <v>0.97463478746287446</v>
      </c>
      <c r="AD460" s="7">
        <v>1</v>
      </c>
      <c r="AE460" s="7"/>
      <c r="AF460" s="7">
        <v>452</v>
      </c>
      <c r="AG460" s="7">
        <f>$AW$7*EXP(-'3.r(t)'!D458*$AW$21)</f>
        <v>0.86718755429225491</v>
      </c>
      <c r="AH460" s="7">
        <f ca="1">$AW$8*EXP(-'3.r(t)'!E458*$AW$22)</f>
        <v>0.89027081999620716</v>
      </c>
      <c r="AI460" s="7">
        <f ca="1">$AW$9*EXP(-'3.r(t)'!F458*$AW$23)</f>
        <v>0.89400784664529254</v>
      </c>
      <c r="AJ460" s="7">
        <f ca="1">$AW$10*EXP(-'3.r(t)'!G458*$AW$24)</f>
        <v>0.91428916420785444</v>
      </c>
      <c r="AK460" s="7">
        <f ca="1">$AW$11*EXP(-'3.r(t)'!H458*$AW$25)</f>
        <v>0.94949082644623006</v>
      </c>
      <c r="AL460" s="7">
        <f ca="1">$AW$12*EXP(-'3.r(t)'!I458*$AW$26)</f>
        <v>0.9705611288235968</v>
      </c>
      <c r="AM460" s="7">
        <v>1</v>
      </c>
      <c r="AN460" s="7"/>
    </row>
    <row r="461" spans="2:40">
      <c r="B461" s="7">
        <v>453</v>
      </c>
      <c r="C461" s="7">
        <f>$AR$7*EXP(-'3.r(t)'!D459*$AR$21)</f>
        <v>0.97765346695821032</v>
      </c>
      <c r="D461" s="7">
        <v>1</v>
      </c>
      <c r="E461" s="7"/>
      <c r="F461" s="7">
        <v>453</v>
      </c>
      <c r="G461" s="48">
        <f>$AS$7*EXP(-'3.r(t)'!D459*$AS$21)</f>
        <v>0.9553476245219803</v>
      </c>
      <c r="H461" s="7">
        <f ca="1">$AS$8*EXP(-'3.r(t)'!E459*$AS$22)</f>
        <v>0.97466431929675068</v>
      </c>
      <c r="I461" s="7">
        <v>1</v>
      </c>
      <c r="J461" s="7"/>
      <c r="K461" s="7">
        <v>453</v>
      </c>
      <c r="L461" s="7">
        <f>$AT$7*EXP(-'3.r(t)'!D459*$AT$21)</f>
        <v>0.93311670519824419</v>
      </c>
      <c r="M461" s="7">
        <f ca="1">$AT$8*EXP(-'3.r(t)'!E459*$AT$22)</f>
        <v>0.9495230858523398</v>
      </c>
      <c r="N461" s="7">
        <f ca="1">$AT$9*EXP(-'3.r(t)'!F459*$AT$23)</f>
        <v>0.96959089258083342</v>
      </c>
      <c r="O461" s="7">
        <v>1</v>
      </c>
      <c r="P461" s="7"/>
      <c r="Q461" s="7">
        <v>453</v>
      </c>
      <c r="R461" s="7">
        <f>$AU$7*EXP(-'3.r(t)'!D459*$AU$21)</f>
        <v>0.91099305977534117</v>
      </c>
      <c r="S461" s="7">
        <f ca="1">$AU$8*EXP(-'3.r(t)'!E459*$AU$22)</f>
        <v>0.92460853125955678</v>
      </c>
      <c r="T461" s="7">
        <f ca="1">$AU$9*EXP(-'3.r(t)'!F459*$AU$23)</f>
        <v>0.93967203516972897</v>
      </c>
      <c r="U461" s="7">
        <f ca="1">$AU$10*EXP(-'3.r(t)'!G459*$AU$24)</f>
        <v>0.97051796782003641</v>
      </c>
      <c r="V461" s="7">
        <v>1</v>
      </c>
      <c r="W461" s="7"/>
      <c r="X461" s="7">
        <v>453</v>
      </c>
      <c r="Y461" s="7">
        <f>$AV$7*EXP(-'3.r(t)'!D459*$AV$21)</f>
        <v>0.88900715067201674</v>
      </c>
      <c r="Z461" s="7">
        <f ca="1">$AV$8*EXP(-'3.r(t)'!E459*$AV$22)</f>
        <v>0.89995063184942126</v>
      </c>
      <c r="AA461" s="7">
        <f ca="1">$AV$9*EXP(-'3.r(t)'!F459*$AV$23)</f>
        <v>0.91026918089638176</v>
      </c>
      <c r="AB461" s="7">
        <f ca="1">$AV$10*EXP(-'3.r(t)'!G459*$AV$24)</f>
        <v>0.94147818641424474</v>
      </c>
      <c r="AC461" s="7">
        <f ca="1">$AV$11*EXP(-'3.r(t)'!H459*$AV$25)</f>
        <v>0.96677942773235326</v>
      </c>
      <c r="AD461" s="7">
        <v>1</v>
      </c>
      <c r="AE461" s="7"/>
      <c r="AF461" s="7">
        <v>453</v>
      </c>
      <c r="AG461" s="7">
        <f>$AW$7*EXP(-'3.r(t)'!D459*$AW$21)</f>
        <v>0.86718755429225491</v>
      </c>
      <c r="AH461" s="7">
        <f ca="1">$AW$8*EXP(-'3.r(t)'!E459*$AW$22)</f>
        <v>0.87557713619763844</v>
      </c>
      <c r="AI461" s="7">
        <f ca="1">$AW$9*EXP(-'3.r(t)'!F459*$AW$23)</f>
        <v>0.88140528829969322</v>
      </c>
      <c r="AJ461" s="7">
        <f ca="1">$AW$10*EXP(-'3.r(t)'!G459*$AW$24)</f>
        <v>0.91290704827733782</v>
      </c>
      <c r="AK461" s="7">
        <f ca="1">$AW$11*EXP(-'3.r(t)'!H459*$AW$25)</f>
        <v>0.93424709674392981</v>
      </c>
      <c r="AL461" s="7">
        <f ca="1">$AW$12*EXP(-'3.r(t)'!I459*$AW$26)</f>
        <v>0.96629073640143226</v>
      </c>
      <c r="AM461" s="7">
        <v>1</v>
      </c>
      <c r="AN461" s="7"/>
    </row>
    <row r="462" spans="2:40">
      <c r="B462" s="7">
        <v>454</v>
      </c>
      <c r="C462" s="7">
        <f>$AR$7*EXP(-'3.r(t)'!D460*$AR$21)</f>
        <v>0.97765346695821032</v>
      </c>
      <c r="D462" s="7">
        <v>1</v>
      </c>
      <c r="E462" s="7"/>
      <c r="F462" s="7">
        <v>454</v>
      </c>
      <c r="G462" s="48">
        <f>$AS$7*EXP(-'3.r(t)'!D460*$AS$21)</f>
        <v>0.9553476245219803</v>
      </c>
      <c r="H462" s="7">
        <f ca="1">$AS$8*EXP(-'3.r(t)'!E460*$AS$22)</f>
        <v>0.97378470491998537</v>
      </c>
      <c r="I462" s="7">
        <v>1</v>
      </c>
      <c r="J462" s="7"/>
      <c r="K462" s="7">
        <v>454</v>
      </c>
      <c r="L462" s="7">
        <f>$AT$7*EXP(-'3.r(t)'!D460*$AT$21)</f>
        <v>0.93311670519824419</v>
      </c>
      <c r="M462" s="7">
        <f ca="1">$AT$8*EXP(-'3.r(t)'!E460*$AT$22)</f>
        <v>0.94781000934156157</v>
      </c>
      <c r="N462" s="7">
        <f ca="1">$AT$9*EXP(-'3.r(t)'!F460*$AT$23)</f>
        <v>0.96876539496844294</v>
      </c>
      <c r="O462" s="7">
        <v>1</v>
      </c>
      <c r="P462" s="7"/>
      <c r="Q462" s="7">
        <v>454</v>
      </c>
      <c r="R462" s="7">
        <f>$AU$7*EXP(-'3.r(t)'!D460*$AU$21)</f>
        <v>0.91099305977534117</v>
      </c>
      <c r="S462" s="7">
        <f ca="1">$AU$8*EXP(-'3.r(t)'!E460*$AU$22)</f>
        <v>0.9221074695825866</v>
      </c>
      <c r="T462" s="7">
        <f ca="1">$AU$9*EXP(-'3.r(t)'!F460*$AU$23)</f>
        <v>0.938072666161618</v>
      </c>
      <c r="U462" s="7">
        <f ca="1">$AU$10*EXP(-'3.r(t)'!G460*$AU$24)</f>
        <v>0.96724512106431748</v>
      </c>
      <c r="V462" s="7">
        <v>1</v>
      </c>
      <c r="W462" s="7"/>
      <c r="X462" s="7">
        <v>454</v>
      </c>
      <c r="Y462" s="7">
        <f>$AV$7*EXP(-'3.r(t)'!D460*$AV$21)</f>
        <v>0.88900715067201674</v>
      </c>
      <c r="Z462" s="7">
        <f ca="1">$AV$8*EXP(-'3.r(t)'!E460*$AV$22)</f>
        <v>0.8967062798143961</v>
      </c>
      <c r="AA462" s="7">
        <f ca="1">$AV$9*EXP(-'3.r(t)'!F460*$AV$23)</f>
        <v>0.9079461842525951</v>
      </c>
      <c r="AB462" s="7">
        <f ca="1">$AV$10*EXP(-'3.r(t)'!G460*$AV$24)</f>
        <v>0.93513905942873365</v>
      </c>
      <c r="AC462" s="7">
        <f ca="1">$AV$11*EXP(-'3.r(t)'!H460*$AV$25)</f>
        <v>0.96487522998590947</v>
      </c>
      <c r="AD462" s="7">
        <v>1</v>
      </c>
      <c r="AE462" s="7"/>
      <c r="AF462" s="7">
        <v>454</v>
      </c>
      <c r="AG462" s="7">
        <f>$AW$7*EXP(-'3.r(t)'!D460*$AW$21)</f>
        <v>0.86718755429225491</v>
      </c>
      <c r="AH462" s="7">
        <f ca="1">$AW$8*EXP(-'3.r(t)'!E460*$AW$22)</f>
        <v>0.87163330984460607</v>
      </c>
      <c r="AI462" s="7">
        <f ca="1">$AW$9*EXP(-'3.r(t)'!F460*$AW$23)</f>
        <v>0.87840744955294237</v>
      </c>
      <c r="AJ462" s="7">
        <f ca="1">$AW$10*EXP(-'3.r(t)'!G460*$AW$24)</f>
        <v>0.90370245665630411</v>
      </c>
      <c r="AK462" s="7">
        <f ca="1">$AW$11*EXP(-'3.r(t)'!H460*$AW$25)</f>
        <v>0.93057047891768629</v>
      </c>
      <c r="AL462" s="7">
        <f ca="1">$AW$12*EXP(-'3.r(t)'!I460*$AW$26)</f>
        <v>0.96582718524028111</v>
      </c>
      <c r="AM462" s="7">
        <v>1</v>
      </c>
      <c r="AN462" s="7"/>
    </row>
    <row r="463" spans="2:40">
      <c r="B463" s="7">
        <v>455</v>
      </c>
      <c r="C463" s="7">
        <f>$AR$7*EXP(-'3.r(t)'!D461*$AR$21)</f>
        <v>0.97765346695821032</v>
      </c>
      <c r="D463" s="7">
        <v>1</v>
      </c>
      <c r="E463" s="7"/>
      <c r="F463" s="7">
        <v>455</v>
      </c>
      <c r="G463" s="48">
        <f>$AS$7*EXP(-'3.r(t)'!D461*$AS$21)</f>
        <v>0.9553476245219803</v>
      </c>
      <c r="H463" s="7">
        <f ca="1">$AS$8*EXP(-'3.r(t)'!E461*$AS$22)</f>
        <v>0.9742983425174746</v>
      </c>
      <c r="I463" s="7">
        <v>1</v>
      </c>
      <c r="J463" s="7"/>
      <c r="K463" s="7">
        <v>455</v>
      </c>
      <c r="L463" s="7">
        <f>$AT$7*EXP(-'3.r(t)'!D461*$AT$21)</f>
        <v>0.93311670519824419</v>
      </c>
      <c r="M463" s="7">
        <f ca="1">$AT$8*EXP(-'3.r(t)'!E461*$AT$22)</f>
        <v>0.94881014673701425</v>
      </c>
      <c r="N463" s="7">
        <f ca="1">$AT$9*EXP(-'3.r(t)'!F461*$AT$23)</f>
        <v>0.97594410694287492</v>
      </c>
      <c r="O463" s="7">
        <v>1</v>
      </c>
      <c r="P463" s="7"/>
      <c r="Q463" s="7">
        <v>455</v>
      </c>
      <c r="R463" s="7">
        <f>$AU$7*EXP(-'3.r(t)'!D461*$AU$21)</f>
        <v>0.91099305977534117</v>
      </c>
      <c r="S463" s="7">
        <f ca="1">$AU$8*EXP(-'3.r(t)'!E461*$AU$22)</f>
        <v>0.92356737831716273</v>
      </c>
      <c r="T463" s="7">
        <f ca="1">$AU$9*EXP(-'3.r(t)'!F461*$AU$23)</f>
        <v>0.95202672379559206</v>
      </c>
      <c r="U463" s="7">
        <f ca="1">$AU$10*EXP(-'3.r(t)'!G461*$AU$24)</f>
        <v>0.9734324075807872</v>
      </c>
      <c r="V463" s="7">
        <v>1</v>
      </c>
      <c r="W463" s="7"/>
      <c r="X463" s="7">
        <v>455</v>
      </c>
      <c r="Y463" s="7">
        <f>$AV$7*EXP(-'3.r(t)'!D461*$AV$21)</f>
        <v>0.88900715067201674</v>
      </c>
      <c r="Z463" s="7">
        <f ca="1">$AV$8*EXP(-'3.r(t)'!E461*$AV$22)</f>
        <v>0.89859970285379309</v>
      </c>
      <c r="AA463" s="7">
        <f ca="1">$AV$9*EXP(-'3.r(t)'!F461*$AV$23)</f>
        <v>0.92828021583554376</v>
      </c>
      <c r="AB463" s="7">
        <f ca="1">$AV$10*EXP(-'3.r(t)'!G461*$AV$24)</f>
        <v>0.94714114465545152</v>
      </c>
      <c r="AC463" s="7">
        <f ca="1">$AV$11*EXP(-'3.r(t)'!H461*$AV$25)</f>
        <v>0.97273548374302865</v>
      </c>
      <c r="AD463" s="7">
        <v>1</v>
      </c>
      <c r="AE463" s="7"/>
      <c r="AF463" s="7">
        <v>455</v>
      </c>
      <c r="AG463" s="7">
        <f>$AW$7*EXP(-'3.r(t)'!D461*$AW$21)</f>
        <v>0.86718755429225491</v>
      </c>
      <c r="AH463" s="7">
        <f ca="1">$AW$8*EXP(-'3.r(t)'!E461*$AW$22)</f>
        <v>0.8739345176080342</v>
      </c>
      <c r="AI463" s="7">
        <f ca="1">$AW$9*EXP(-'3.r(t)'!F461*$AW$23)</f>
        <v>0.90473486347498222</v>
      </c>
      <c r="AJ463" s="7">
        <f ca="1">$AW$10*EXP(-'3.r(t)'!G461*$AW$24)</f>
        <v>0.9211560774598333</v>
      </c>
      <c r="AK463" s="7">
        <f ca="1">$AW$11*EXP(-'3.r(t)'!H461*$AW$25)</f>
        <v>0.94579382252973432</v>
      </c>
      <c r="AL463" s="7">
        <f ca="1">$AW$12*EXP(-'3.r(t)'!I461*$AW$26)</f>
        <v>0.97501230555452378</v>
      </c>
      <c r="AM463" s="7">
        <v>1</v>
      </c>
      <c r="AN463" s="7"/>
    </row>
    <row r="464" spans="2:40">
      <c r="B464" s="7">
        <v>456</v>
      </c>
      <c r="C464" s="7">
        <f>$AR$7*EXP(-'3.r(t)'!D462*$AR$21)</f>
        <v>0.97765346695821032</v>
      </c>
      <c r="D464" s="7">
        <v>1</v>
      </c>
      <c r="E464" s="7"/>
      <c r="F464" s="7">
        <v>456</v>
      </c>
      <c r="G464" s="48">
        <f>$AS$7*EXP(-'3.r(t)'!D462*$AS$21)</f>
        <v>0.9553476245219803</v>
      </c>
      <c r="H464" s="7">
        <f ca="1">$AS$8*EXP(-'3.r(t)'!E462*$AS$22)</f>
        <v>0.9759558494257079</v>
      </c>
      <c r="I464" s="7">
        <v>1</v>
      </c>
      <c r="J464" s="7"/>
      <c r="K464" s="7">
        <v>456</v>
      </c>
      <c r="L464" s="7">
        <f>$AT$7*EXP(-'3.r(t)'!D462*$AT$21)</f>
        <v>0.93311670519824419</v>
      </c>
      <c r="M464" s="7">
        <f ca="1">$AT$8*EXP(-'3.r(t)'!E462*$AT$22)</f>
        <v>0.95204118395192838</v>
      </c>
      <c r="N464" s="7">
        <f ca="1">$AT$9*EXP(-'3.r(t)'!F462*$AT$23)</f>
        <v>0.97731889713069409</v>
      </c>
      <c r="O464" s="7">
        <v>1</v>
      </c>
      <c r="P464" s="7"/>
      <c r="Q464" s="7">
        <v>456</v>
      </c>
      <c r="R464" s="7">
        <f>$AU$7*EXP(-'3.r(t)'!D462*$AU$21)</f>
        <v>0.91099305977534117</v>
      </c>
      <c r="S464" s="7">
        <f ca="1">$AU$8*EXP(-'3.r(t)'!E462*$AU$22)</f>
        <v>0.92828900719877006</v>
      </c>
      <c r="T464" s="7">
        <f ca="1">$AU$9*EXP(-'3.r(t)'!F462*$AU$23)</f>
        <v>0.95471080960235311</v>
      </c>
      <c r="U464" s="7">
        <f ca="1">$AU$10*EXP(-'3.r(t)'!G462*$AU$24)</f>
        <v>0.97668661943709734</v>
      </c>
      <c r="V464" s="7">
        <v>1</v>
      </c>
      <c r="W464" s="7"/>
      <c r="X464" s="7">
        <v>456</v>
      </c>
      <c r="Y464" s="7">
        <f>$AV$7*EXP(-'3.r(t)'!D462*$AV$21)</f>
        <v>0.88900715067201674</v>
      </c>
      <c r="Z464" s="7">
        <f ca="1">$AV$8*EXP(-'3.r(t)'!E462*$AV$22)</f>
        <v>0.90473022888866084</v>
      </c>
      <c r="AA464" s="7">
        <f ca="1">$AV$9*EXP(-'3.r(t)'!F462*$AV$23)</f>
        <v>0.93220868604548268</v>
      </c>
      <c r="AB464" s="7">
        <f ca="1">$AV$10*EXP(-'3.r(t)'!G462*$AV$24)</f>
        <v>0.95348436860321184</v>
      </c>
      <c r="AC464" s="7">
        <f ca="1">$AV$11*EXP(-'3.r(t)'!H462*$AV$25)</f>
        <v>0.98064474614731767</v>
      </c>
      <c r="AD464" s="7">
        <v>1</v>
      </c>
      <c r="AE464" s="7"/>
      <c r="AF464" s="7">
        <v>456</v>
      </c>
      <c r="AG464" s="7">
        <f>$AW$7*EXP(-'3.r(t)'!D462*$AW$21)</f>
        <v>0.86718755429225491</v>
      </c>
      <c r="AH464" s="7">
        <f ca="1">$AW$8*EXP(-'3.r(t)'!E462*$AW$22)</f>
        <v>0.8813936780862639</v>
      </c>
      <c r="AI464" s="7">
        <f ca="1">$AW$9*EXP(-'3.r(t)'!F462*$AW$23)</f>
        <v>0.90984356298204871</v>
      </c>
      <c r="AJ464" s="7">
        <f ca="1">$AW$10*EXP(-'3.r(t)'!G462*$AW$24)</f>
        <v>0.93042534779777553</v>
      </c>
      <c r="AK464" s="7">
        <f ca="1">$AW$11*EXP(-'3.r(t)'!H462*$AW$25)</f>
        <v>0.96123675343466497</v>
      </c>
      <c r="AL464" s="7">
        <f ca="1">$AW$12*EXP(-'3.r(t)'!I462*$AW$26)</f>
        <v>0.98523401116739828</v>
      </c>
      <c r="AM464" s="7">
        <v>1</v>
      </c>
      <c r="AN464" s="7"/>
    </row>
    <row r="465" spans="2:40">
      <c r="B465" s="7">
        <v>457</v>
      </c>
      <c r="C465" s="7">
        <f>$AR$7*EXP(-'3.r(t)'!D463*$AR$21)</f>
        <v>0.97765346695821032</v>
      </c>
      <c r="D465" s="7">
        <v>1</v>
      </c>
      <c r="E465" s="7"/>
      <c r="F465" s="7">
        <v>457</v>
      </c>
      <c r="G465" s="48">
        <f>$AS$7*EXP(-'3.r(t)'!D463*$AS$21)</f>
        <v>0.9553476245219803</v>
      </c>
      <c r="H465" s="7">
        <f ca="1">$AS$8*EXP(-'3.r(t)'!E463*$AS$22)</f>
        <v>0.97736398903418154</v>
      </c>
      <c r="I465" s="7">
        <v>1</v>
      </c>
      <c r="J465" s="7"/>
      <c r="K465" s="7">
        <v>457</v>
      </c>
      <c r="L465" s="7">
        <f>$AT$7*EXP(-'3.r(t)'!D463*$AT$21)</f>
        <v>0.93311670519824419</v>
      </c>
      <c r="M465" s="7">
        <f ca="1">$AT$8*EXP(-'3.r(t)'!E463*$AT$22)</f>
        <v>0.95479043543821618</v>
      </c>
      <c r="N465" s="7">
        <f ca="1">$AT$9*EXP(-'3.r(t)'!F463*$AT$23)</f>
        <v>0.97583912993165434</v>
      </c>
      <c r="O465" s="7">
        <v>1</v>
      </c>
      <c r="P465" s="7"/>
      <c r="Q465" s="7">
        <v>457</v>
      </c>
      <c r="R465" s="7">
        <f>$AU$7*EXP(-'3.r(t)'!D463*$AU$21)</f>
        <v>0.91099305977534117</v>
      </c>
      <c r="S465" s="7">
        <f ca="1">$AU$8*EXP(-'3.r(t)'!E463*$AU$22)</f>
        <v>0.93231290061272754</v>
      </c>
      <c r="T465" s="7">
        <f ca="1">$AU$9*EXP(-'3.r(t)'!F463*$AU$23)</f>
        <v>0.95182192611444616</v>
      </c>
      <c r="U465" s="7">
        <f ca="1">$AU$10*EXP(-'3.r(t)'!G463*$AU$24)</f>
        <v>0.97447234527105142</v>
      </c>
      <c r="V465" s="7">
        <v>1</v>
      </c>
      <c r="W465" s="7"/>
      <c r="X465" s="7">
        <v>457</v>
      </c>
      <c r="Y465" s="7">
        <f>$AV$7*EXP(-'3.r(t)'!D463*$AV$21)</f>
        <v>0.88900715067201674</v>
      </c>
      <c r="Z465" s="7">
        <f ca="1">$AV$8*EXP(-'3.r(t)'!E463*$AV$22)</f>
        <v>0.90996303258724343</v>
      </c>
      <c r="AA465" s="7">
        <f ca="1">$AV$9*EXP(-'3.r(t)'!F463*$AV$23)</f>
        <v>0.92798069786001169</v>
      </c>
      <c r="AB465" s="7">
        <f ca="1">$AV$10*EXP(-'3.r(t)'!G463*$AV$24)</f>
        <v>0.94916592603160332</v>
      </c>
      <c r="AC465" s="7">
        <f ca="1">$AV$11*EXP(-'3.r(t)'!H463*$AV$25)</f>
        <v>0.97475264680535878</v>
      </c>
      <c r="AD465" s="7">
        <v>1</v>
      </c>
      <c r="AE465" s="7"/>
      <c r="AF465" s="7">
        <v>457</v>
      </c>
      <c r="AG465" s="7">
        <f>$AW$7*EXP(-'3.r(t)'!D463*$AW$21)</f>
        <v>0.86718755429225491</v>
      </c>
      <c r="AH465" s="7">
        <f ca="1">$AW$8*EXP(-'3.r(t)'!E463*$AW$22)</f>
        <v>0.88777056485624983</v>
      </c>
      <c r="AI465" s="7">
        <f ca="1">$AW$9*EXP(-'3.r(t)'!F463*$AW$23)</f>
        <v>0.90434565660053035</v>
      </c>
      <c r="AJ465" s="7">
        <f ca="1">$AW$10*EXP(-'3.r(t)'!G463*$AW$24)</f>
        <v>0.92411150201514014</v>
      </c>
      <c r="AK465" s="7">
        <f ca="1">$AW$11*EXP(-'3.r(t)'!H463*$AW$25)</f>
        <v>0.94972047786473401</v>
      </c>
      <c r="AL465" s="7">
        <f ca="1">$AW$12*EXP(-'3.r(t)'!I463*$AW$26)</f>
        <v>0.97429955320502248</v>
      </c>
      <c r="AM465" s="7">
        <v>1</v>
      </c>
      <c r="AN465" s="7"/>
    </row>
    <row r="466" spans="2:40">
      <c r="B466" s="7">
        <v>458</v>
      </c>
      <c r="C466" s="7">
        <f>$AR$7*EXP(-'3.r(t)'!D464*$AR$21)</f>
        <v>0.97765346695821032</v>
      </c>
      <c r="D466" s="7">
        <v>1</v>
      </c>
      <c r="E466" s="7"/>
      <c r="F466" s="7">
        <v>458</v>
      </c>
      <c r="G466" s="48">
        <f>$AS$7*EXP(-'3.r(t)'!D464*$AS$21)</f>
        <v>0.9553476245219803</v>
      </c>
      <c r="H466" s="7">
        <f ca="1">$AS$8*EXP(-'3.r(t)'!E464*$AS$22)</f>
        <v>0.98336051395682755</v>
      </c>
      <c r="I466" s="7">
        <v>1</v>
      </c>
      <c r="J466" s="7"/>
      <c r="K466" s="7">
        <v>458</v>
      </c>
      <c r="L466" s="7">
        <f>$AT$7*EXP(-'3.r(t)'!D464*$AT$21)</f>
        <v>0.93311670519824419</v>
      </c>
      <c r="M466" s="7">
        <f ca="1">$AT$8*EXP(-'3.r(t)'!E464*$AT$22)</f>
        <v>0.96654243082358471</v>
      </c>
      <c r="N466" s="7">
        <f ca="1">$AT$9*EXP(-'3.r(t)'!F464*$AT$23)</f>
        <v>0.98292305034009131</v>
      </c>
      <c r="O466" s="7">
        <v>1</v>
      </c>
      <c r="P466" s="7"/>
      <c r="Q466" s="7">
        <v>458</v>
      </c>
      <c r="R466" s="7">
        <f>$AU$7*EXP(-'3.r(t)'!D464*$AU$21)</f>
        <v>0.91099305977534117</v>
      </c>
      <c r="S466" s="7">
        <f ca="1">$AU$8*EXP(-'3.r(t)'!E464*$AU$22)</f>
        <v>0.94957875628741495</v>
      </c>
      <c r="T466" s="7">
        <f ca="1">$AU$9*EXP(-'3.r(t)'!F464*$AU$23)</f>
        <v>0.96569122893132997</v>
      </c>
      <c r="U466" s="7">
        <f ca="1">$AU$10*EXP(-'3.r(t)'!G464*$AU$24)</f>
        <v>0.98376821912294798</v>
      </c>
      <c r="V466" s="7">
        <v>1</v>
      </c>
      <c r="W466" s="7"/>
      <c r="X466" s="7">
        <v>458</v>
      </c>
      <c r="Y466" s="7">
        <f>$AV$7*EXP(-'3.r(t)'!D464*$AV$21)</f>
        <v>0.88900715067201674</v>
      </c>
      <c r="Z466" s="7">
        <f ca="1">$AV$8*EXP(-'3.r(t)'!E464*$AV$22)</f>
        <v>0.93250136883519041</v>
      </c>
      <c r="AA466" s="7">
        <f ca="1">$AV$9*EXP(-'3.r(t)'!F464*$AV$23)</f>
        <v>0.94833726334023982</v>
      </c>
      <c r="AB466" s="7">
        <f ca="1">$AV$10*EXP(-'3.r(t)'!G464*$AV$24)</f>
        <v>0.96736123212268232</v>
      </c>
      <c r="AC466" s="7">
        <f ca="1">$AV$11*EXP(-'3.r(t)'!H464*$AV$25)</f>
        <v>0.97841564745300358</v>
      </c>
      <c r="AD466" s="7">
        <v>1</v>
      </c>
      <c r="AE466" s="7"/>
      <c r="AF466" s="7">
        <v>458</v>
      </c>
      <c r="AG466" s="7">
        <f>$AW$7*EXP(-'3.r(t)'!D464*$AW$21)</f>
        <v>0.86718755429225491</v>
      </c>
      <c r="AH466" s="7">
        <f ca="1">$AW$8*EXP(-'3.r(t)'!E464*$AW$22)</f>
        <v>0.9153409712639663</v>
      </c>
      <c r="AI466" s="7">
        <f ca="1">$AW$9*EXP(-'3.r(t)'!F464*$AW$23)</f>
        <v>0.9308926920492836</v>
      </c>
      <c r="AJ466" s="7">
        <f ca="1">$AW$10*EXP(-'3.r(t)'!G464*$AW$24)</f>
        <v>0.95081097272555315</v>
      </c>
      <c r="AK466" s="7">
        <f ca="1">$AW$11*EXP(-'3.r(t)'!H464*$AW$25)</f>
        <v>0.95687175514223166</v>
      </c>
      <c r="AL466" s="7">
        <f ca="1">$AW$12*EXP(-'3.r(t)'!I464*$AW$26)</f>
        <v>0.97367473824740336</v>
      </c>
      <c r="AM466" s="7">
        <v>1</v>
      </c>
      <c r="AN466" s="7"/>
    </row>
    <row r="467" spans="2:40">
      <c r="B467" s="7">
        <v>459</v>
      </c>
      <c r="C467" s="7">
        <f>$AR$7*EXP(-'3.r(t)'!D465*$AR$21)</f>
        <v>0.97765346695821032</v>
      </c>
      <c r="D467" s="7">
        <v>1</v>
      </c>
      <c r="E467" s="7"/>
      <c r="F467" s="7">
        <v>459</v>
      </c>
      <c r="G467" s="48">
        <f>$AS$7*EXP(-'3.r(t)'!D465*$AS$21)</f>
        <v>0.9553476245219803</v>
      </c>
      <c r="H467" s="7">
        <f ca="1">$AS$8*EXP(-'3.r(t)'!E465*$AS$22)</f>
        <v>0.97938309693407422</v>
      </c>
      <c r="I467" s="7">
        <v>1</v>
      </c>
      <c r="J467" s="7"/>
      <c r="K467" s="7">
        <v>459</v>
      </c>
      <c r="L467" s="7">
        <f>$AT$7*EXP(-'3.r(t)'!D465*$AT$21)</f>
        <v>0.93311670519824419</v>
      </c>
      <c r="M467" s="7">
        <f ca="1">$AT$8*EXP(-'3.r(t)'!E465*$AT$22)</f>
        <v>0.95873945801599592</v>
      </c>
      <c r="N467" s="7">
        <f ca="1">$AT$9*EXP(-'3.r(t)'!F465*$AT$23)</f>
        <v>0.97481289422974593</v>
      </c>
      <c r="O467" s="7">
        <v>1</v>
      </c>
      <c r="P467" s="7"/>
      <c r="Q467" s="7">
        <v>459</v>
      </c>
      <c r="R467" s="7">
        <f>$AU$7*EXP(-'3.r(t)'!D465*$AU$21)</f>
        <v>0.91099305977534117</v>
      </c>
      <c r="S467" s="7">
        <f ca="1">$AU$8*EXP(-'3.r(t)'!E465*$AU$22)</f>
        <v>0.93810296016313877</v>
      </c>
      <c r="T467" s="7">
        <f ca="1">$AU$9*EXP(-'3.r(t)'!F465*$AU$23)</f>
        <v>0.94982102249675371</v>
      </c>
      <c r="U467" s="7">
        <f ca="1">$AU$10*EXP(-'3.r(t)'!G465*$AU$24)</f>
        <v>0.97408722073205722</v>
      </c>
      <c r="V467" s="7">
        <v>1</v>
      </c>
      <c r="W467" s="7"/>
      <c r="X467" s="7">
        <v>459</v>
      </c>
      <c r="Y467" s="7">
        <f>$AV$7*EXP(-'3.r(t)'!D465*$AV$21)</f>
        <v>0.88900715067201674</v>
      </c>
      <c r="Z467" s="7">
        <f ca="1">$AV$8*EXP(-'3.r(t)'!E465*$AV$22)</f>
        <v>0.91750583094227878</v>
      </c>
      <c r="AA467" s="7">
        <f ca="1">$AV$9*EXP(-'3.r(t)'!F465*$AV$23)</f>
        <v>0.92505605874019903</v>
      </c>
      <c r="AB467" s="7">
        <f ca="1">$AV$10*EXP(-'3.r(t)'!G465*$AV$24)</f>
        <v>0.94841582807980507</v>
      </c>
      <c r="AC467" s="7">
        <f ca="1">$AV$11*EXP(-'3.r(t)'!H465*$AV$25)</f>
        <v>0.97190738204085514</v>
      </c>
      <c r="AD467" s="7">
        <v>1</v>
      </c>
      <c r="AE467" s="7"/>
      <c r="AF467" s="7">
        <v>459</v>
      </c>
      <c r="AG467" s="7">
        <f>$AW$7*EXP(-'3.r(t)'!D465*$AW$21)</f>
        <v>0.86718755429225491</v>
      </c>
      <c r="AH467" s="7">
        <f ca="1">$AW$8*EXP(-'3.r(t)'!E465*$AW$22)</f>
        <v>0.89697862891059976</v>
      </c>
      <c r="AI467" s="7">
        <f ca="1">$AW$9*EXP(-'3.r(t)'!F465*$AW$23)</f>
        <v>0.90054745341233911</v>
      </c>
      <c r="AJ467" s="7">
        <f ca="1">$AW$10*EXP(-'3.r(t)'!G465*$AW$24)</f>
        <v>0.92301627120398311</v>
      </c>
      <c r="AK467" s="7">
        <f ca="1">$AW$11*EXP(-'3.r(t)'!H465*$AW$25)</f>
        <v>0.94418417610933369</v>
      </c>
      <c r="AL467" s="7">
        <f ca="1">$AW$12*EXP(-'3.r(t)'!I465*$AW$26)</f>
        <v>0.97186964086256933</v>
      </c>
      <c r="AM467" s="7">
        <v>1</v>
      </c>
      <c r="AN467" s="7"/>
    </row>
    <row r="468" spans="2:40">
      <c r="B468" s="7">
        <v>460</v>
      </c>
      <c r="C468" s="7">
        <f>$AR$7*EXP(-'3.r(t)'!D466*$AR$21)</f>
        <v>0.97765346695821032</v>
      </c>
      <c r="D468" s="7">
        <v>1</v>
      </c>
      <c r="E468" s="7"/>
      <c r="F468" s="7">
        <v>460</v>
      </c>
      <c r="G468" s="48">
        <f>$AS$7*EXP(-'3.r(t)'!D466*$AS$21)</f>
        <v>0.9553476245219803</v>
      </c>
      <c r="H468" s="7">
        <f ca="1">$AS$8*EXP(-'3.r(t)'!E466*$AS$22)</f>
        <v>0.97785575613874909</v>
      </c>
      <c r="I468" s="7">
        <v>1</v>
      </c>
      <c r="J468" s="7"/>
      <c r="K468" s="7">
        <v>460</v>
      </c>
      <c r="L468" s="7">
        <f>$AT$7*EXP(-'3.r(t)'!D466*$AT$21)</f>
        <v>0.93311670519824419</v>
      </c>
      <c r="M468" s="7">
        <f ca="1">$AT$8*EXP(-'3.r(t)'!E466*$AT$22)</f>
        <v>0.95575149530508896</v>
      </c>
      <c r="N468" s="7">
        <f ca="1">$AT$9*EXP(-'3.r(t)'!F466*$AT$23)</f>
        <v>0.97718778856228605</v>
      </c>
      <c r="O468" s="7">
        <v>1</v>
      </c>
      <c r="P468" s="7"/>
      <c r="Q468" s="7">
        <v>460</v>
      </c>
      <c r="R468" s="7">
        <f>$AU$7*EXP(-'3.r(t)'!D466*$AU$21)</f>
        <v>0.91099305977534117</v>
      </c>
      <c r="S468" s="7">
        <f ca="1">$AU$8*EXP(-'3.r(t)'!E466*$AU$22)</f>
        <v>0.93372090688414822</v>
      </c>
      <c r="T468" s="7">
        <f ca="1">$AU$9*EXP(-'3.r(t)'!F466*$AU$23)</f>
        <v>0.95445467545422713</v>
      </c>
      <c r="U468" s="7">
        <f ca="1">$AU$10*EXP(-'3.r(t)'!G466*$AU$24)</f>
        <v>0.97619355367844607</v>
      </c>
      <c r="V468" s="7">
        <v>1</v>
      </c>
      <c r="W468" s="7"/>
      <c r="X468" s="7">
        <v>460</v>
      </c>
      <c r="Y468" s="7">
        <f>$AV$7*EXP(-'3.r(t)'!D466*$AV$21)</f>
        <v>0.88900715067201674</v>
      </c>
      <c r="Z468" s="7">
        <f ca="1">$AV$8*EXP(-'3.r(t)'!E466*$AV$22)</f>
        <v>0.91179583076821147</v>
      </c>
      <c r="AA468" s="7">
        <f ca="1">$AV$9*EXP(-'3.r(t)'!F466*$AV$23)</f>
        <v>0.93183356544359197</v>
      </c>
      <c r="AB468" s="7">
        <f ca="1">$AV$10*EXP(-'3.r(t)'!G466*$AV$24)</f>
        <v>0.95252190671419001</v>
      </c>
      <c r="AC468" s="7">
        <f ca="1">$AV$11*EXP(-'3.r(t)'!H466*$AV$25)</f>
        <v>0.9744322218308531</v>
      </c>
      <c r="AD468" s="7">
        <v>1</v>
      </c>
      <c r="AE468" s="7"/>
      <c r="AF468" s="7">
        <v>460</v>
      </c>
      <c r="AG468" s="7">
        <f>$AW$7*EXP(-'3.r(t)'!D466*$AW$21)</f>
        <v>0.86718755429225491</v>
      </c>
      <c r="AH468" s="7">
        <f ca="1">$AW$8*EXP(-'3.r(t)'!E466*$AW$22)</f>
        <v>0.89000625145168644</v>
      </c>
      <c r="AI468" s="7">
        <f ca="1">$AW$9*EXP(-'3.r(t)'!F466*$AW$23)</f>
        <v>0.90935543455026524</v>
      </c>
      <c r="AJ468" s="7">
        <f ca="1">$AW$10*EXP(-'3.r(t)'!G466*$AW$24)</f>
        <v>0.92901692473391917</v>
      </c>
      <c r="AK468" s="7">
        <f ca="1">$AW$11*EXP(-'3.r(t)'!H466*$AW$25)</f>
        <v>0.94909618791146155</v>
      </c>
      <c r="AL468" s="7">
        <f ca="1">$AW$12*EXP(-'3.r(t)'!I466*$AW$26)</f>
        <v>0.97571110106401227</v>
      </c>
      <c r="AM468" s="7">
        <v>1</v>
      </c>
      <c r="AN468" s="7"/>
    </row>
    <row r="469" spans="2:40">
      <c r="B469" s="7">
        <v>461</v>
      </c>
      <c r="C469" s="7">
        <f>$AR$7*EXP(-'3.r(t)'!D467*$AR$21)</f>
        <v>0.97765346695821032</v>
      </c>
      <c r="D469" s="7">
        <v>1</v>
      </c>
      <c r="E469" s="7"/>
      <c r="F469" s="7">
        <v>461</v>
      </c>
      <c r="G469" s="48">
        <f>$AS$7*EXP(-'3.r(t)'!D467*$AS$21)</f>
        <v>0.9553476245219803</v>
      </c>
      <c r="H469" s="7">
        <f ca="1">$AS$8*EXP(-'3.r(t)'!E467*$AS$22)</f>
        <v>0.97514007771600686</v>
      </c>
      <c r="I469" s="7">
        <v>1</v>
      </c>
      <c r="J469" s="7"/>
      <c r="K469" s="7">
        <v>461</v>
      </c>
      <c r="L469" s="7">
        <f>$AT$7*EXP(-'3.r(t)'!D467*$AT$21)</f>
        <v>0.93311670519824419</v>
      </c>
      <c r="M469" s="7">
        <f ca="1">$AT$8*EXP(-'3.r(t)'!E467*$AT$22)</f>
        <v>0.95045028478061</v>
      </c>
      <c r="N469" s="7">
        <f ca="1">$AT$9*EXP(-'3.r(t)'!F467*$AT$23)</f>
        <v>0.97470995960155038</v>
      </c>
      <c r="O469" s="7">
        <v>1</v>
      </c>
      <c r="P469" s="7"/>
      <c r="Q469" s="7">
        <v>461</v>
      </c>
      <c r="R469" s="7">
        <f>$AU$7*EXP(-'3.r(t)'!D467*$AU$21)</f>
        <v>0.91099305977534117</v>
      </c>
      <c r="S469" s="7">
        <f ca="1">$AU$8*EXP(-'3.r(t)'!E467*$AU$22)</f>
        <v>0.92596316702835124</v>
      </c>
      <c r="T469" s="7">
        <f ca="1">$AU$9*EXP(-'3.r(t)'!F467*$AU$23)</f>
        <v>0.94962044182648364</v>
      </c>
      <c r="U469" s="7">
        <f ca="1">$AU$10*EXP(-'3.r(t)'!G467*$AU$24)</f>
        <v>0.97314909581777997</v>
      </c>
      <c r="V469" s="7">
        <v>1</v>
      </c>
      <c r="W469" s="7"/>
      <c r="X469" s="7">
        <v>461</v>
      </c>
      <c r="Y469" s="7">
        <f>$AV$7*EXP(-'3.r(t)'!D467*$AV$21)</f>
        <v>0.88900715067201674</v>
      </c>
      <c r="Z469" s="7">
        <f ca="1">$AV$8*EXP(-'3.r(t)'!E467*$AV$22)</f>
        <v>0.90170907391633126</v>
      </c>
      <c r="AA469" s="7">
        <f ca="1">$AV$9*EXP(-'3.r(t)'!F467*$AV$23)</f>
        <v>0.92476304790396036</v>
      </c>
      <c r="AB469" s="7">
        <f ca="1">$AV$10*EXP(-'3.r(t)'!G467*$AV$24)</f>
        <v>0.94658990519273967</v>
      </c>
      <c r="AC469" s="7">
        <f ca="1">$AV$11*EXP(-'3.r(t)'!H467*$AV$25)</f>
        <v>0.97175147377433202</v>
      </c>
      <c r="AD469" s="7">
        <v>1</v>
      </c>
      <c r="AE469" s="7"/>
      <c r="AF469" s="7">
        <v>461</v>
      </c>
      <c r="AG469" s="7">
        <f>$AW$7*EXP(-'3.r(t)'!D467*$AW$21)</f>
        <v>0.86718755429225491</v>
      </c>
      <c r="AH469" s="7">
        <f ca="1">$AW$8*EXP(-'3.r(t)'!E467*$AW$22)</f>
        <v>0.87771618065998469</v>
      </c>
      <c r="AI469" s="7">
        <f ca="1">$AW$9*EXP(-'3.r(t)'!F467*$AW$23)</f>
        <v>0.90016714315429669</v>
      </c>
      <c r="AJ469" s="7">
        <f ca="1">$AW$10*EXP(-'3.r(t)'!G467*$AW$24)</f>
        <v>0.92035202038529873</v>
      </c>
      <c r="AK469" s="7">
        <f ca="1">$AW$11*EXP(-'3.r(t)'!H467*$AW$25)</f>
        <v>0.94388127829441748</v>
      </c>
      <c r="AL469" s="7">
        <f ca="1">$AW$12*EXP(-'3.r(t)'!I467*$AW$26)</f>
        <v>0.97160225697539981</v>
      </c>
      <c r="AM469" s="7">
        <v>1</v>
      </c>
      <c r="AN469" s="7"/>
    </row>
    <row r="470" spans="2:40">
      <c r="B470" s="7">
        <v>462</v>
      </c>
      <c r="C470" s="7">
        <f>$AR$7*EXP(-'3.r(t)'!D468*$AR$21)</f>
        <v>0.97765346695821032</v>
      </c>
      <c r="D470" s="7">
        <v>1</v>
      </c>
      <c r="E470" s="7"/>
      <c r="F470" s="7">
        <v>462</v>
      </c>
      <c r="G470" s="48">
        <f>$AS$7*EXP(-'3.r(t)'!D468*$AS$21)</f>
        <v>0.9553476245219803</v>
      </c>
      <c r="H470" s="7">
        <f ca="1">$AS$8*EXP(-'3.r(t)'!E468*$AS$22)</f>
        <v>0.9782286770626859</v>
      </c>
      <c r="I470" s="7">
        <v>1</v>
      </c>
      <c r="J470" s="7"/>
      <c r="K470" s="7">
        <v>462</v>
      </c>
      <c r="L470" s="7">
        <f>$AT$7*EXP(-'3.r(t)'!D468*$AT$21)</f>
        <v>0.93311670519824419</v>
      </c>
      <c r="M470" s="7">
        <f ca="1">$AT$8*EXP(-'3.r(t)'!E468*$AT$22)</f>
        <v>0.95648061653104921</v>
      </c>
      <c r="N470" s="7">
        <f ca="1">$AT$9*EXP(-'3.r(t)'!F468*$AT$23)</f>
        <v>0.97336283081673136</v>
      </c>
      <c r="O470" s="7">
        <v>1</v>
      </c>
      <c r="P470" s="7"/>
      <c r="Q470" s="7">
        <v>462</v>
      </c>
      <c r="R470" s="7">
        <f>$AU$7*EXP(-'3.r(t)'!D468*$AU$21)</f>
        <v>0.91099305977534117</v>
      </c>
      <c r="S470" s="7">
        <f ca="1">$AU$8*EXP(-'3.r(t)'!E468*$AU$22)</f>
        <v>0.93478958251807764</v>
      </c>
      <c r="T470" s="7">
        <f ca="1">$AU$9*EXP(-'3.r(t)'!F468*$AU$23)</f>
        <v>0.94699734970021143</v>
      </c>
      <c r="U470" s="7">
        <f ca="1">$AU$10*EXP(-'3.r(t)'!G468*$AU$24)</f>
        <v>0.9713411938492954</v>
      </c>
      <c r="V470" s="7">
        <v>1</v>
      </c>
      <c r="W470" s="7"/>
      <c r="X470" s="7">
        <v>462</v>
      </c>
      <c r="Y470" s="7">
        <f>$AV$7*EXP(-'3.r(t)'!D468*$AV$21)</f>
        <v>0.88900715067201674</v>
      </c>
      <c r="Z470" s="7">
        <f ca="1">$AV$8*EXP(-'3.r(t)'!E468*$AV$22)</f>
        <v>0.91318753830175159</v>
      </c>
      <c r="AA470" s="7">
        <f ca="1">$AV$9*EXP(-'3.r(t)'!F468*$AV$23)</f>
        <v>0.92093405055182853</v>
      </c>
      <c r="AB470" s="7">
        <f ca="1">$AV$10*EXP(-'3.r(t)'!G468*$AV$24)</f>
        <v>0.94307605082526424</v>
      </c>
      <c r="AC470" s="7">
        <f ca="1">$AV$11*EXP(-'3.r(t)'!H468*$AV$25)</f>
        <v>0.97343578084679605</v>
      </c>
      <c r="AD470" s="7">
        <v>1</v>
      </c>
      <c r="AE470" s="7"/>
      <c r="AF470" s="7">
        <v>462</v>
      </c>
      <c r="AG470" s="7">
        <f>$AW$7*EXP(-'3.r(t)'!D468*$AW$21)</f>
        <v>0.86718755429225491</v>
      </c>
      <c r="AH470" s="7">
        <f ca="1">$AW$8*EXP(-'3.r(t)'!E468*$AW$22)</f>
        <v>0.89170463692576563</v>
      </c>
      <c r="AI470" s="7">
        <f ca="1">$AW$9*EXP(-'3.r(t)'!F468*$AW$23)</f>
        <v>0.89520103228295644</v>
      </c>
      <c r="AJ470" s="7">
        <f ca="1">$AW$10*EXP(-'3.r(t)'!G468*$AW$24)</f>
        <v>0.91523209486595281</v>
      </c>
      <c r="AK470" s="7">
        <f ca="1">$AW$11*EXP(-'3.r(t)'!H468*$AW$25)</f>
        <v>0.94715611495617702</v>
      </c>
      <c r="AL470" s="7">
        <f ca="1">$AW$12*EXP(-'3.r(t)'!I468*$AW$26)</f>
        <v>0.97187237838988783</v>
      </c>
      <c r="AM470" s="7">
        <v>1</v>
      </c>
      <c r="AN470" s="7"/>
    </row>
    <row r="471" spans="2:40">
      <c r="B471" s="7">
        <v>463</v>
      </c>
      <c r="C471" s="7">
        <f>$AR$7*EXP(-'3.r(t)'!D469*$AR$21)</f>
        <v>0.97765346695821032</v>
      </c>
      <c r="D471" s="7">
        <v>1</v>
      </c>
      <c r="E471" s="7"/>
      <c r="F471" s="7">
        <v>463</v>
      </c>
      <c r="G471" s="48">
        <f>$AS$7*EXP(-'3.r(t)'!D469*$AS$21)</f>
        <v>0.9553476245219803</v>
      </c>
      <c r="H471" s="7">
        <f ca="1">$AS$8*EXP(-'3.r(t)'!E469*$AS$22)</f>
        <v>0.97474823999092919</v>
      </c>
      <c r="I471" s="7">
        <v>1</v>
      </c>
      <c r="J471" s="7"/>
      <c r="K471" s="7">
        <v>463</v>
      </c>
      <c r="L471" s="7">
        <f>$AT$7*EXP(-'3.r(t)'!D469*$AT$21)</f>
        <v>0.93311670519824419</v>
      </c>
      <c r="M471" s="7">
        <f ca="1">$AT$8*EXP(-'3.r(t)'!E469*$AT$22)</f>
        <v>0.94968660485151712</v>
      </c>
      <c r="N471" s="7">
        <f ca="1">$AT$9*EXP(-'3.r(t)'!F469*$AT$23)</f>
        <v>0.97028340399078628</v>
      </c>
      <c r="O471" s="7">
        <v>1</v>
      </c>
      <c r="P471" s="7"/>
      <c r="Q471" s="7">
        <v>463</v>
      </c>
      <c r="R471" s="7">
        <f>$AU$7*EXP(-'3.r(t)'!D469*$AU$21)</f>
        <v>0.91099305977534117</v>
      </c>
      <c r="S471" s="7">
        <f ca="1">$AU$8*EXP(-'3.r(t)'!E469*$AU$22)</f>
        <v>0.92484738417363499</v>
      </c>
      <c r="T471" s="7">
        <f ca="1">$AU$9*EXP(-'3.r(t)'!F469*$AU$23)</f>
        <v>0.9410147994177257</v>
      </c>
      <c r="U471" s="7">
        <f ca="1">$AU$10*EXP(-'3.r(t)'!G469*$AU$24)</f>
        <v>0.9630074460577801</v>
      </c>
      <c r="V471" s="7">
        <v>1</v>
      </c>
      <c r="W471" s="7"/>
      <c r="X471" s="7">
        <v>463</v>
      </c>
      <c r="Y471" s="7">
        <f>$AV$7*EXP(-'3.r(t)'!D469*$AV$21)</f>
        <v>0.88900715067201674</v>
      </c>
      <c r="Z471" s="7">
        <f ca="1">$AV$8*EXP(-'3.r(t)'!E469*$AV$22)</f>
        <v>0.90026062262284445</v>
      </c>
      <c r="AA471" s="7">
        <f ca="1">$AV$9*EXP(-'3.r(t)'!F469*$AV$23)</f>
        <v>0.91222100038032539</v>
      </c>
      <c r="AB471" s="7">
        <f ca="1">$AV$10*EXP(-'3.r(t)'!G469*$AV$24)</f>
        <v>0.9269629840373349</v>
      </c>
      <c r="AC471" s="7">
        <f ca="1">$AV$11*EXP(-'3.r(t)'!H469*$AV$25)</f>
        <v>0.96141912752213721</v>
      </c>
      <c r="AD471" s="7">
        <v>1</v>
      </c>
      <c r="AE471" s="7"/>
      <c r="AF471" s="7">
        <v>463</v>
      </c>
      <c r="AG471" s="7">
        <f>$AW$7*EXP(-'3.r(t)'!D469*$AW$21)</f>
        <v>0.86718755429225491</v>
      </c>
      <c r="AH471" s="7">
        <f ca="1">$AW$8*EXP(-'3.r(t)'!E469*$AW$22)</f>
        <v>0.8759541464878382</v>
      </c>
      <c r="AI471" s="7">
        <f ca="1">$AW$9*EXP(-'3.r(t)'!F469*$AW$23)</f>
        <v>0.88392609358584673</v>
      </c>
      <c r="AJ471" s="7">
        <f ca="1">$AW$10*EXP(-'3.r(t)'!G469*$AW$24)</f>
        <v>0.89187657019281041</v>
      </c>
      <c r="AK471" s="7">
        <f ca="1">$AW$11*EXP(-'3.r(t)'!H469*$AW$25)</f>
        <v>0.92391596683087229</v>
      </c>
      <c r="AL471" s="7">
        <f ca="1">$AW$12*EXP(-'3.r(t)'!I469*$AW$26)</f>
        <v>0.96061011770308435</v>
      </c>
      <c r="AM471" s="7">
        <v>1</v>
      </c>
      <c r="AN471" s="7"/>
    </row>
    <row r="472" spans="2:40">
      <c r="B472" s="7">
        <v>464</v>
      </c>
      <c r="C472" s="7">
        <f>$AR$7*EXP(-'3.r(t)'!D470*$AR$21)</f>
        <v>0.97765346695821032</v>
      </c>
      <c r="D472" s="7">
        <v>1</v>
      </c>
      <c r="E472" s="7"/>
      <c r="F472" s="7">
        <v>464</v>
      </c>
      <c r="G472" s="48">
        <f>$AS$7*EXP(-'3.r(t)'!D470*$AS$21)</f>
        <v>0.9553476245219803</v>
      </c>
      <c r="H472" s="7">
        <f ca="1">$AS$8*EXP(-'3.r(t)'!E470*$AS$22)</f>
        <v>0.97448228581338747</v>
      </c>
      <c r="I472" s="7">
        <v>1</v>
      </c>
      <c r="J472" s="7"/>
      <c r="K472" s="7">
        <v>464</v>
      </c>
      <c r="L472" s="7">
        <f>$AT$7*EXP(-'3.r(t)'!D470*$AT$21)</f>
        <v>0.93311670519824419</v>
      </c>
      <c r="M472" s="7">
        <f ca="1">$AT$8*EXP(-'3.r(t)'!E470*$AT$22)</f>
        <v>0.94916844302669134</v>
      </c>
      <c r="N472" s="7">
        <f ca="1">$AT$9*EXP(-'3.r(t)'!F470*$AT$23)</f>
        <v>0.97270356808440783</v>
      </c>
      <c r="O472" s="7">
        <v>1</v>
      </c>
      <c r="P472" s="7"/>
      <c r="Q472" s="7">
        <v>464</v>
      </c>
      <c r="R472" s="7">
        <f>$AU$7*EXP(-'3.r(t)'!D470*$AU$21)</f>
        <v>0.91099305977534117</v>
      </c>
      <c r="S472" s="7">
        <f ca="1">$AU$8*EXP(-'3.r(t)'!E470*$AU$22)</f>
        <v>0.92409057361228542</v>
      </c>
      <c r="T472" s="7">
        <f ca="1">$AU$9*EXP(-'3.r(t)'!F470*$AU$23)</f>
        <v>0.94571497356418499</v>
      </c>
      <c r="U472" s="7">
        <f ca="1">$AU$10*EXP(-'3.r(t)'!G470*$AU$24)</f>
        <v>0.97076951766690045</v>
      </c>
      <c r="V472" s="7">
        <v>1</v>
      </c>
      <c r="W472" s="7"/>
      <c r="X472" s="7">
        <v>464</v>
      </c>
      <c r="Y472" s="7">
        <f>$AV$7*EXP(-'3.r(t)'!D470*$AV$21)</f>
        <v>0.88900715067201674</v>
      </c>
      <c r="Z472" s="7">
        <f ca="1">$AV$8*EXP(-'3.r(t)'!E470*$AV$22)</f>
        <v>0.89927850194097669</v>
      </c>
      <c r="AA472" s="7">
        <f ca="1">$AV$9*EXP(-'3.r(t)'!F470*$AV$23)</f>
        <v>0.91906406017832087</v>
      </c>
      <c r="AB472" s="7">
        <f ca="1">$AV$10*EXP(-'3.r(t)'!G470*$AV$24)</f>
        <v>0.94196629563724654</v>
      </c>
      <c r="AC472" s="7">
        <f ca="1">$AV$11*EXP(-'3.r(t)'!H470*$AV$25)</f>
        <v>0.96703594620225275</v>
      </c>
      <c r="AD472" s="7">
        <v>1</v>
      </c>
      <c r="AE472" s="7"/>
      <c r="AF472" s="7">
        <v>464</v>
      </c>
      <c r="AG472" s="7">
        <f>$AW$7*EXP(-'3.r(t)'!D470*$AW$21)</f>
        <v>0.86718755429225491</v>
      </c>
      <c r="AH472" s="7">
        <f ca="1">$AW$8*EXP(-'3.r(t)'!E470*$AW$22)</f>
        <v>0.87475980437845868</v>
      </c>
      <c r="AI472" s="7">
        <f ca="1">$AW$9*EXP(-'3.r(t)'!F470*$AW$23)</f>
        <v>0.89277820149099918</v>
      </c>
      <c r="AJ472" s="7">
        <f ca="1">$AW$10*EXP(-'3.r(t)'!G470*$AW$24)</f>
        <v>0.91361708506822925</v>
      </c>
      <c r="AK472" s="7">
        <f ca="1">$AW$11*EXP(-'3.r(t)'!H470*$AW$25)</f>
        <v>0.9347429356553324</v>
      </c>
      <c r="AL472" s="7">
        <f ca="1">$AW$12*EXP(-'3.r(t)'!I470*$AW$26)</f>
        <v>0.96773131159480141</v>
      </c>
      <c r="AM472" s="7">
        <v>1</v>
      </c>
      <c r="AN472" s="7"/>
    </row>
    <row r="473" spans="2:40">
      <c r="B473" s="7">
        <v>465</v>
      </c>
      <c r="C473" s="7">
        <f>$AR$7*EXP(-'3.r(t)'!D471*$AR$21)</f>
        <v>0.97765346695821032</v>
      </c>
      <c r="D473" s="7">
        <v>1</v>
      </c>
      <c r="E473" s="7"/>
      <c r="F473" s="7">
        <v>465</v>
      </c>
      <c r="G473" s="48">
        <f>$AS$7*EXP(-'3.r(t)'!D471*$AS$21)</f>
        <v>0.9553476245219803</v>
      </c>
      <c r="H473" s="7">
        <f ca="1">$AS$8*EXP(-'3.r(t)'!E471*$AS$22)</f>
        <v>0.97717833705689516</v>
      </c>
      <c r="I473" s="7">
        <v>1</v>
      </c>
      <c r="J473" s="7"/>
      <c r="K473" s="7">
        <v>465</v>
      </c>
      <c r="L473" s="7">
        <f>$AT$7*EXP(-'3.r(t)'!D471*$AT$21)</f>
        <v>0.93311670519824419</v>
      </c>
      <c r="M473" s="7">
        <f ca="1">$AT$8*EXP(-'3.r(t)'!E471*$AT$22)</f>
        <v>0.95442774170503053</v>
      </c>
      <c r="N473" s="7">
        <f ca="1">$AT$9*EXP(-'3.r(t)'!F471*$AT$23)</f>
        <v>0.97839509604366759</v>
      </c>
      <c r="O473" s="7">
        <v>1</v>
      </c>
      <c r="P473" s="7"/>
      <c r="Q473" s="7">
        <v>465</v>
      </c>
      <c r="R473" s="7">
        <f>$AU$7*EXP(-'3.r(t)'!D471*$AU$21)</f>
        <v>0.91099305977534117</v>
      </c>
      <c r="S473" s="7">
        <f ca="1">$AU$8*EXP(-'3.r(t)'!E471*$AU$22)</f>
        <v>0.93178171818876554</v>
      </c>
      <c r="T473" s="7">
        <f ca="1">$AU$9*EXP(-'3.r(t)'!F471*$AU$23)</f>
        <v>0.95681457418592009</v>
      </c>
      <c r="U473" s="7">
        <f ca="1">$AU$10*EXP(-'3.r(t)'!G471*$AU$24)</f>
        <v>0.982725825171885</v>
      </c>
      <c r="V473" s="7">
        <v>1</v>
      </c>
      <c r="W473" s="7"/>
      <c r="X473" s="7">
        <v>465</v>
      </c>
      <c r="Y473" s="7">
        <f>$AV$7*EXP(-'3.r(t)'!D471*$AV$21)</f>
        <v>0.88900715067201674</v>
      </c>
      <c r="Z473" s="7">
        <f ca="1">$AV$8*EXP(-'3.r(t)'!E471*$AV$22)</f>
        <v>0.90927183336322559</v>
      </c>
      <c r="AA473" s="7">
        <f ca="1">$AV$9*EXP(-'3.r(t)'!F471*$AV$23)</f>
        <v>0.93529165249929669</v>
      </c>
      <c r="AB473" s="7">
        <f ca="1">$AV$10*EXP(-'3.r(t)'!G471*$AV$24)</f>
        <v>0.96531229977142274</v>
      </c>
      <c r="AC473" s="7">
        <f ca="1">$AV$11*EXP(-'3.r(t)'!H471*$AV$25)</f>
        <v>0.98154122361027218</v>
      </c>
      <c r="AD473" s="7">
        <v>1</v>
      </c>
      <c r="AE473" s="7"/>
      <c r="AF473" s="7">
        <v>465</v>
      </c>
      <c r="AG473" s="7">
        <f>$AW$7*EXP(-'3.r(t)'!D471*$AW$21)</f>
        <v>0.86718755429225491</v>
      </c>
      <c r="AH473" s="7">
        <f ca="1">$AW$8*EXP(-'3.r(t)'!E471*$AW$22)</f>
        <v>0.88692771735941844</v>
      </c>
      <c r="AI473" s="7">
        <f ca="1">$AW$9*EXP(-'3.r(t)'!F471*$AW$23)</f>
        <v>0.91385777453297046</v>
      </c>
      <c r="AJ473" s="7">
        <f ca="1">$AW$10*EXP(-'3.r(t)'!G471*$AW$24)</f>
        <v>0.94779175608035104</v>
      </c>
      <c r="AK473" s="7">
        <f ca="1">$AW$11*EXP(-'3.r(t)'!H471*$AW$25)</f>
        <v>0.9629950272082598</v>
      </c>
      <c r="AL473" s="7">
        <f ca="1">$AW$12*EXP(-'3.r(t)'!I471*$AW$26)</f>
        <v>0.9813084544292997</v>
      </c>
      <c r="AM473" s="7">
        <v>1</v>
      </c>
      <c r="AN473" s="7"/>
    </row>
    <row r="474" spans="2:40">
      <c r="B474" s="7">
        <v>466</v>
      </c>
      <c r="C474" s="7">
        <f>$AR$7*EXP(-'3.r(t)'!D472*$AR$21)</f>
        <v>0.97765346695821032</v>
      </c>
      <c r="D474" s="7">
        <v>1</v>
      </c>
      <c r="E474" s="7"/>
      <c r="F474" s="7">
        <v>466</v>
      </c>
      <c r="G474" s="48">
        <f>$AS$7*EXP(-'3.r(t)'!D472*$AS$21)</f>
        <v>0.9553476245219803</v>
      </c>
      <c r="H474" s="7">
        <f ca="1">$AS$8*EXP(-'3.r(t)'!E472*$AS$22)</f>
        <v>0.97215836472027406</v>
      </c>
      <c r="I474" s="7">
        <v>1</v>
      </c>
      <c r="J474" s="7"/>
      <c r="K474" s="7">
        <v>466</v>
      </c>
      <c r="L474" s="7">
        <f>$AT$7*EXP(-'3.r(t)'!D472*$AT$21)</f>
        <v>0.93311670519824419</v>
      </c>
      <c r="M474" s="7">
        <f ca="1">$AT$8*EXP(-'3.r(t)'!E472*$AT$22)</f>
        <v>0.94464673455000547</v>
      </c>
      <c r="N474" s="7">
        <f ca="1">$AT$9*EXP(-'3.r(t)'!F472*$AT$23)</f>
        <v>0.97139978334199462</v>
      </c>
      <c r="O474" s="7">
        <v>1</v>
      </c>
      <c r="P474" s="7"/>
      <c r="Q474" s="7">
        <v>466</v>
      </c>
      <c r="R474" s="7">
        <f>$AU$7*EXP(-'3.r(t)'!D472*$AU$21)</f>
        <v>0.91099305977534117</v>
      </c>
      <c r="S474" s="7">
        <f ca="1">$AU$8*EXP(-'3.r(t)'!E472*$AU$22)</f>
        <v>0.91749508283325976</v>
      </c>
      <c r="T474" s="7">
        <f ca="1">$AU$9*EXP(-'3.r(t)'!F472*$AU$23)</f>
        <v>0.94318145266767195</v>
      </c>
      <c r="U474" s="7">
        <f ca="1">$AU$10*EXP(-'3.r(t)'!G472*$AU$24)</f>
        <v>0.97018230817821915</v>
      </c>
      <c r="V474" s="7">
        <v>1</v>
      </c>
      <c r="W474" s="7"/>
      <c r="X474" s="7">
        <v>466</v>
      </c>
      <c r="Y474" s="7">
        <f>$AV$7*EXP(-'3.r(t)'!D472*$AV$21)</f>
        <v>0.88900715067201674</v>
      </c>
      <c r="Z474" s="7">
        <f ca="1">$AV$8*EXP(-'3.r(t)'!E472*$AV$22)</f>
        <v>0.89073083125981012</v>
      </c>
      <c r="AA474" s="7">
        <f ca="1">$AV$9*EXP(-'3.r(t)'!F472*$AV$23)</f>
        <v>0.91537334800479631</v>
      </c>
      <c r="AB474" s="7">
        <f ca="1">$AV$10*EXP(-'3.r(t)'!G472*$AV$24)</f>
        <v>0.94082706692295637</v>
      </c>
      <c r="AC474" s="7">
        <f ca="1">$AV$11*EXP(-'3.r(t)'!H472*$AV$25)</f>
        <v>0.97304984320876442</v>
      </c>
      <c r="AD474" s="7">
        <v>1</v>
      </c>
      <c r="AE474" s="7"/>
      <c r="AF474" s="7">
        <v>466</v>
      </c>
      <c r="AG474" s="7">
        <f>$AW$7*EXP(-'3.r(t)'!D472*$AW$21)</f>
        <v>0.86718755429225491</v>
      </c>
      <c r="AH474" s="7">
        <f ca="1">$AW$8*EXP(-'3.r(t)'!E472*$AW$22)</f>
        <v>0.86437890779101145</v>
      </c>
      <c r="AI474" s="7">
        <f ca="1">$AW$9*EXP(-'3.r(t)'!F472*$AW$23)</f>
        <v>0.88800119663449306</v>
      </c>
      <c r="AJ474" s="7">
        <f ca="1">$AW$10*EXP(-'3.r(t)'!G472*$AW$24)</f>
        <v>0.91196017218889958</v>
      </c>
      <c r="AK474" s="7">
        <f ca="1">$AW$11*EXP(-'3.r(t)'!H472*$AW$25)</f>
        <v>0.94640522673597183</v>
      </c>
      <c r="AL474" s="7">
        <f ca="1">$AW$12*EXP(-'3.r(t)'!I472*$AW$26)</f>
        <v>0.97335697572750635</v>
      </c>
      <c r="AM474" s="7">
        <v>1</v>
      </c>
      <c r="AN474" s="7"/>
    </row>
    <row r="475" spans="2:40">
      <c r="B475" s="7">
        <v>467</v>
      </c>
      <c r="C475" s="7">
        <f>$AR$7*EXP(-'3.r(t)'!D473*$AR$21)</f>
        <v>0.97765346695821032</v>
      </c>
      <c r="D475" s="7">
        <v>1</v>
      </c>
      <c r="E475" s="7"/>
      <c r="F475" s="7">
        <v>467</v>
      </c>
      <c r="G475" s="48">
        <f>$AS$7*EXP(-'3.r(t)'!D473*$AS$21)</f>
        <v>0.9553476245219803</v>
      </c>
      <c r="H475" s="7">
        <f ca="1">$AS$8*EXP(-'3.r(t)'!E473*$AS$22)</f>
        <v>0.97979338372375302</v>
      </c>
      <c r="I475" s="7">
        <v>1</v>
      </c>
      <c r="J475" s="7"/>
      <c r="K475" s="7">
        <v>467</v>
      </c>
      <c r="L475" s="7">
        <f>$AT$7*EXP(-'3.r(t)'!D473*$AT$21)</f>
        <v>0.93311670519824419</v>
      </c>
      <c r="M475" s="7">
        <f ca="1">$AT$8*EXP(-'3.r(t)'!E473*$AT$22)</f>
        <v>0.95954290363216344</v>
      </c>
      <c r="N475" s="7">
        <f ca="1">$AT$9*EXP(-'3.r(t)'!F473*$AT$23)</f>
        <v>0.97998387292189582</v>
      </c>
      <c r="O475" s="7">
        <v>1</v>
      </c>
      <c r="P475" s="7"/>
      <c r="Q475" s="7">
        <v>467</v>
      </c>
      <c r="R475" s="7">
        <f>$AU$7*EXP(-'3.r(t)'!D473*$AU$21)</f>
        <v>0.91099305977534117</v>
      </c>
      <c r="S475" s="7">
        <f ca="1">$AU$8*EXP(-'3.r(t)'!E473*$AU$22)</f>
        <v>0.9392824348213239</v>
      </c>
      <c r="T475" s="7">
        <f ca="1">$AU$9*EXP(-'3.r(t)'!F473*$AU$23)</f>
        <v>0.95992456348575228</v>
      </c>
      <c r="U475" s="7">
        <f ca="1">$AU$10*EXP(-'3.r(t)'!G473*$AU$24)</f>
        <v>0.97960364643723907</v>
      </c>
      <c r="V475" s="7">
        <v>1</v>
      </c>
      <c r="W475" s="7"/>
      <c r="X475" s="7">
        <v>467</v>
      </c>
      <c r="Y475" s="7">
        <f>$AV$7*EXP(-'3.r(t)'!D473*$AV$21)</f>
        <v>0.88900715067201674</v>
      </c>
      <c r="Z475" s="7">
        <f ca="1">$AV$8*EXP(-'3.r(t)'!E473*$AV$22)</f>
        <v>0.91904425707572135</v>
      </c>
      <c r="AA475" s="7">
        <f ca="1">$AV$9*EXP(-'3.r(t)'!F473*$AV$23)</f>
        <v>0.93985540411010249</v>
      </c>
      <c r="AB475" s="7">
        <f ca="1">$AV$10*EXP(-'3.r(t)'!G473*$AV$24)</f>
        <v>0.95918833350748289</v>
      </c>
      <c r="AC475" s="7">
        <f ca="1">$AV$11*EXP(-'3.r(t)'!H473*$AV$25)</f>
        <v>0.98135657166813928</v>
      </c>
      <c r="AD475" s="7">
        <v>1</v>
      </c>
      <c r="AE475" s="7"/>
      <c r="AF475" s="7">
        <v>467</v>
      </c>
      <c r="AG475" s="7">
        <f>$AW$7*EXP(-'3.r(t)'!D473*$AW$21)</f>
        <v>0.86718755429225491</v>
      </c>
      <c r="AH475" s="7">
        <f ca="1">$AW$8*EXP(-'3.r(t)'!E473*$AW$22)</f>
        <v>0.89885903176698057</v>
      </c>
      <c r="AI475" s="7">
        <f ca="1">$AW$9*EXP(-'3.r(t)'!F473*$AW$23)</f>
        <v>0.91980815797787163</v>
      </c>
      <c r="AJ475" s="7">
        <f ca="1">$AW$10*EXP(-'3.r(t)'!G473*$AW$24)</f>
        <v>0.93878685256710181</v>
      </c>
      <c r="AK475" s="7">
        <f ca="1">$AW$11*EXP(-'3.r(t)'!H473*$AW$25)</f>
        <v>0.96263273539266148</v>
      </c>
      <c r="AL475" s="7">
        <f ca="1">$AW$12*EXP(-'3.r(t)'!I473*$AW$26)</f>
        <v>0.98329229391021533</v>
      </c>
      <c r="AM475" s="7">
        <v>1</v>
      </c>
      <c r="AN475" s="7"/>
    </row>
    <row r="476" spans="2:40">
      <c r="B476" s="7">
        <v>468</v>
      </c>
      <c r="C476" s="7">
        <f>$AR$7*EXP(-'3.r(t)'!D474*$AR$21)</f>
        <v>0.97765346695821032</v>
      </c>
      <c r="D476" s="7">
        <v>1</v>
      </c>
      <c r="E476" s="7"/>
      <c r="F476" s="7">
        <v>468</v>
      </c>
      <c r="G476" s="48">
        <f>$AS$7*EXP(-'3.r(t)'!D474*$AS$21)</f>
        <v>0.9553476245219803</v>
      </c>
      <c r="H476" s="7">
        <f ca="1">$AS$8*EXP(-'3.r(t)'!E474*$AS$22)</f>
        <v>0.97915239005398791</v>
      </c>
      <c r="I476" s="7">
        <v>1</v>
      </c>
      <c r="J476" s="7"/>
      <c r="K476" s="7">
        <v>468</v>
      </c>
      <c r="L476" s="7">
        <f>$AT$7*EXP(-'3.r(t)'!D474*$AT$21)</f>
        <v>0.93311670519824419</v>
      </c>
      <c r="M476" s="7">
        <f ca="1">$AT$8*EXP(-'3.r(t)'!E474*$AT$22)</f>
        <v>0.95828782323082284</v>
      </c>
      <c r="N476" s="7">
        <f ca="1">$AT$9*EXP(-'3.r(t)'!F474*$AT$23)</f>
        <v>0.97680444654029386</v>
      </c>
      <c r="O476" s="7">
        <v>1</v>
      </c>
      <c r="P476" s="7"/>
      <c r="Q476" s="7">
        <v>468</v>
      </c>
      <c r="R476" s="7">
        <f>$AU$7*EXP(-'3.r(t)'!D474*$AU$21)</f>
        <v>0.91099305977534117</v>
      </c>
      <c r="S476" s="7">
        <f ca="1">$AU$8*EXP(-'3.r(t)'!E474*$AU$22)</f>
        <v>0.93744016795372653</v>
      </c>
      <c r="T476" s="7">
        <f ca="1">$AU$9*EXP(-'3.r(t)'!F474*$AU$23)</f>
        <v>0.95370597428698201</v>
      </c>
      <c r="U476" s="7">
        <f ca="1">$AU$10*EXP(-'3.r(t)'!G474*$AU$24)</f>
        <v>0.97557366877609264</v>
      </c>
      <c r="V476" s="7">
        <v>1</v>
      </c>
      <c r="W476" s="7"/>
      <c r="X476" s="7">
        <v>468</v>
      </c>
      <c r="Y476" s="7">
        <f>$AV$7*EXP(-'3.r(t)'!D474*$AV$21)</f>
        <v>0.88900715067201674</v>
      </c>
      <c r="Z476" s="7">
        <f ca="1">$AV$8*EXP(-'3.r(t)'!E474*$AV$22)</f>
        <v>0.9166416129429612</v>
      </c>
      <c r="AA476" s="7">
        <f ca="1">$AV$9*EXP(-'3.r(t)'!F474*$AV$23)</f>
        <v>0.93073734569449906</v>
      </c>
      <c r="AB476" s="7">
        <f ca="1">$AV$10*EXP(-'3.r(t)'!G474*$AV$24)</f>
        <v>0.95131258408103725</v>
      </c>
      <c r="AC476" s="7">
        <f ca="1">$AV$11*EXP(-'3.r(t)'!H474*$AV$25)</f>
        <v>0.97250451306198671</v>
      </c>
      <c r="AD476" s="7">
        <v>1</v>
      </c>
      <c r="AE476" s="7"/>
      <c r="AF476" s="7">
        <v>468</v>
      </c>
      <c r="AG476" s="7">
        <f>$AW$7*EXP(-'3.r(t)'!D474*$AW$21)</f>
        <v>0.86718755429225491</v>
      </c>
      <c r="AH476" s="7">
        <f ca="1">$AW$8*EXP(-'3.r(t)'!E474*$AW$22)</f>
        <v>0.89592264953956968</v>
      </c>
      <c r="AI476" s="7">
        <f ca="1">$AW$9*EXP(-'3.r(t)'!F474*$AW$23)</f>
        <v>0.90792934600040343</v>
      </c>
      <c r="AJ476" s="7">
        <f ca="1">$AW$10*EXP(-'3.r(t)'!G474*$AW$24)</f>
        <v>0.92724826537225713</v>
      </c>
      <c r="AK476" s="7">
        <f ca="1">$AW$11*EXP(-'3.r(t)'!H474*$AW$25)</f>
        <v>0.94534472878942222</v>
      </c>
      <c r="AL476" s="7">
        <f ca="1">$AW$12*EXP(-'3.r(t)'!I474*$AW$26)</f>
        <v>0.97163136427389962</v>
      </c>
      <c r="AM476" s="7">
        <v>1</v>
      </c>
      <c r="AN476" s="7"/>
    </row>
    <row r="477" spans="2:40">
      <c r="B477" s="7">
        <v>469</v>
      </c>
      <c r="C477" s="7">
        <f>$AR$7*EXP(-'3.r(t)'!D475*$AR$21)</f>
        <v>0.97765346695821032</v>
      </c>
      <c r="D477" s="7">
        <v>1</v>
      </c>
      <c r="E477" s="7"/>
      <c r="F477" s="7">
        <v>469</v>
      </c>
      <c r="G477" s="48">
        <f>$AS$7*EXP(-'3.r(t)'!D475*$AS$21)</f>
        <v>0.9553476245219803</v>
      </c>
      <c r="H477" s="7">
        <f ca="1">$AS$8*EXP(-'3.r(t)'!E475*$AS$22)</f>
        <v>0.97671644253060641</v>
      </c>
      <c r="I477" s="7">
        <v>1</v>
      </c>
      <c r="J477" s="7"/>
      <c r="K477" s="7">
        <v>469</v>
      </c>
      <c r="L477" s="7">
        <f>$AT$7*EXP(-'3.r(t)'!D475*$AT$21)</f>
        <v>0.93311670519824419</v>
      </c>
      <c r="M477" s="7">
        <f ca="1">$AT$8*EXP(-'3.r(t)'!E475*$AT$22)</f>
        <v>0.95352567348841033</v>
      </c>
      <c r="N477" s="7">
        <f ca="1">$AT$9*EXP(-'3.r(t)'!F475*$AT$23)</f>
        <v>0.98011078103718052</v>
      </c>
      <c r="O477" s="7">
        <v>1</v>
      </c>
      <c r="P477" s="7"/>
      <c r="Q477" s="7">
        <v>469</v>
      </c>
      <c r="R477" s="7">
        <f>$AU$7*EXP(-'3.r(t)'!D475*$AU$21)</f>
        <v>0.91099305977534117</v>
      </c>
      <c r="S477" s="7">
        <f ca="1">$AU$8*EXP(-'3.r(t)'!E475*$AU$22)</f>
        <v>0.9304610335524387</v>
      </c>
      <c r="T477" s="7">
        <f ca="1">$AU$9*EXP(-'3.r(t)'!F475*$AU$23)</f>
        <v>0.96017320044506371</v>
      </c>
      <c r="U477" s="7">
        <f ca="1">$AU$10*EXP(-'3.r(t)'!G475*$AU$24)</f>
        <v>0.97720699989055804</v>
      </c>
      <c r="V477" s="7">
        <v>1</v>
      </c>
      <c r="W477" s="7"/>
      <c r="X477" s="7">
        <v>469</v>
      </c>
      <c r="Y477" s="7">
        <f>$AV$7*EXP(-'3.r(t)'!D475*$AV$21)</f>
        <v>0.88900715067201674</v>
      </c>
      <c r="Z477" s="7">
        <f ca="1">$AV$8*EXP(-'3.r(t)'!E475*$AV$22)</f>
        <v>0.90755386652021663</v>
      </c>
      <c r="AA477" s="7">
        <f ca="1">$AV$9*EXP(-'3.r(t)'!F475*$AV$23)</f>
        <v>0.94022058580781809</v>
      </c>
      <c r="AB477" s="7">
        <f ca="1">$AV$10*EXP(-'3.r(t)'!G475*$AV$24)</f>
        <v>0.9545006757781197</v>
      </c>
      <c r="AC477" s="7">
        <f ca="1">$AV$11*EXP(-'3.r(t)'!H475*$AV$25)</f>
        <v>0.97606307653066893</v>
      </c>
      <c r="AD477" s="7">
        <v>1</v>
      </c>
      <c r="AE477" s="7"/>
      <c r="AF477" s="7">
        <v>469</v>
      </c>
      <c r="AG477" s="7">
        <f>$AW$7*EXP(-'3.r(t)'!D475*$AW$21)</f>
        <v>0.86718755429225491</v>
      </c>
      <c r="AH477" s="7">
        <f ca="1">$AW$8*EXP(-'3.r(t)'!E475*$AW$22)</f>
        <v>0.88483352461617726</v>
      </c>
      <c r="AI477" s="7">
        <f ca="1">$AW$9*EXP(-'3.r(t)'!F475*$AW$23)</f>
        <v>0.92028471192939121</v>
      </c>
      <c r="AJ477" s="7">
        <f ca="1">$AW$10*EXP(-'3.r(t)'!G475*$AW$24)</f>
        <v>0.93191333740468985</v>
      </c>
      <c r="AK477" s="7">
        <f ca="1">$AW$11*EXP(-'3.r(t)'!H475*$AW$25)</f>
        <v>0.95227574870683374</v>
      </c>
      <c r="AL477" s="7">
        <f ca="1">$AW$12*EXP(-'3.r(t)'!I475*$AW$26)</f>
        <v>0.97437532113856951</v>
      </c>
      <c r="AM477" s="7">
        <v>1</v>
      </c>
      <c r="AN477" s="7"/>
    </row>
    <row r="478" spans="2:40">
      <c r="B478" s="7">
        <v>470</v>
      </c>
      <c r="C478" s="7">
        <f>$AR$7*EXP(-'3.r(t)'!D476*$AR$21)</f>
        <v>0.97765346695821032</v>
      </c>
      <c r="D478" s="7">
        <v>1</v>
      </c>
      <c r="E478" s="7"/>
      <c r="F478" s="7">
        <v>470</v>
      </c>
      <c r="G478" s="48">
        <f>$AS$7*EXP(-'3.r(t)'!D476*$AS$21)</f>
        <v>0.9553476245219803</v>
      </c>
      <c r="H478" s="7">
        <f ca="1">$AS$8*EXP(-'3.r(t)'!E476*$AS$22)</f>
        <v>0.97863609743556434</v>
      </c>
      <c r="I478" s="7">
        <v>1</v>
      </c>
      <c r="J478" s="7"/>
      <c r="K478" s="7">
        <v>470</v>
      </c>
      <c r="L478" s="7">
        <f>$AT$7*EXP(-'3.r(t)'!D476*$AT$21)</f>
        <v>0.93311670519824419</v>
      </c>
      <c r="M478" s="7">
        <f ca="1">$AT$8*EXP(-'3.r(t)'!E476*$AT$22)</f>
        <v>0.95727750758339869</v>
      </c>
      <c r="N478" s="7">
        <f ca="1">$AT$9*EXP(-'3.r(t)'!F476*$AT$23)</f>
        <v>0.97537114724416196</v>
      </c>
      <c r="O478" s="7">
        <v>1</v>
      </c>
      <c r="P478" s="7"/>
      <c r="Q478" s="7">
        <v>470</v>
      </c>
      <c r="R478" s="7">
        <f>$AU$7*EXP(-'3.r(t)'!D476*$AU$21)</f>
        <v>0.91099305977534117</v>
      </c>
      <c r="S478" s="7">
        <f ca="1">$AU$8*EXP(-'3.r(t)'!E476*$AU$22)</f>
        <v>0.93595805458886383</v>
      </c>
      <c r="T478" s="7">
        <f ca="1">$AU$9*EXP(-'3.r(t)'!F476*$AU$23)</f>
        <v>0.95090921548308682</v>
      </c>
      <c r="U478" s="7">
        <f ca="1">$AU$10*EXP(-'3.r(t)'!G476*$AU$24)</f>
        <v>0.97402637733044162</v>
      </c>
      <c r="V478" s="7">
        <v>1</v>
      </c>
      <c r="W478" s="7"/>
      <c r="X478" s="7">
        <v>470</v>
      </c>
      <c r="Y478" s="7">
        <f>$AV$7*EXP(-'3.r(t)'!D476*$AV$21)</f>
        <v>0.88900715067201674</v>
      </c>
      <c r="Z478" s="7">
        <f ca="1">$AV$8*EXP(-'3.r(t)'!E476*$AV$22)</f>
        <v>0.91470981509798555</v>
      </c>
      <c r="AA478" s="7">
        <f ca="1">$AV$9*EXP(-'3.r(t)'!F476*$AV$23)</f>
        <v>0.92664624429900799</v>
      </c>
      <c r="AB478" s="7">
        <f ca="1">$AV$10*EXP(-'3.r(t)'!G476*$AV$24)</f>
        <v>0.94829735194805964</v>
      </c>
      <c r="AC478" s="7">
        <f ca="1">$AV$11*EXP(-'3.r(t)'!H476*$AV$25)</f>
        <v>0.97284460789724214</v>
      </c>
      <c r="AD478" s="7">
        <v>1</v>
      </c>
      <c r="AE478" s="7"/>
      <c r="AF478" s="7">
        <v>470</v>
      </c>
      <c r="AG478" s="7">
        <f>$AW$7*EXP(-'3.r(t)'!D476*$AW$21)</f>
        <v>0.86718755429225491</v>
      </c>
      <c r="AH478" s="7">
        <f ca="1">$AW$8*EXP(-'3.r(t)'!E476*$AW$22)</f>
        <v>0.89356310514086124</v>
      </c>
      <c r="AI478" s="7">
        <f ca="1">$AW$9*EXP(-'3.r(t)'!F476*$AW$23)</f>
        <v>0.90261211773577343</v>
      </c>
      <c r="AJ478" s="7">
        <f ca="1">$AW$10*EXP(-'3.r(t)'!G476*$AW$24)</f>
        <v>0.92284332177789019</v>
      </c>
      <c r="AK478" s="7">
        <f ca="1">$AW$11*EXP(-'3.r(t)'!H476*$AW$25)</f>
        <v>0.94600603796096205</v>
      </c>
      <c r="AL478" s="7">
        <f ca="1">$AW$12*EXP(-'3.r(t)'!I476*$AW$26)</f>
        <v>0.96868619077971674</v>
      </c>
      <c r="AM478" s="7">
        <v>1</v>
      </c>
      <c r="AN478" s="7"/>
    </row>
    <row r="479" spans="2:40">
      <c r="B479" s="7">
        <v>471</v>
      </c>
      <c r="C479" s="7">
        <f>$AR$7*EXP(-'3.r(t)'!D477*$AR$21)</f>
        <v>0.97765346695821032</v>
      </c>
      <c r="D479" s="7">
        <v>1</v>
      </c>
      <c r="E479" s="7"/>
      <c r="F479" s="7">
        <v>471</v>
      </c>
      <c r="G479" s="48">
        <f>$AS$7*EXP(-'3.r(t)'!D477*$AS$21)</f>
        <v>0.9553476245219803</v>
      </c>
      <c r="H479" s="7">
        <f ca="1">$AS$8*EXP(-'3.r(t)'!E477*$AS$22)</f>
        <v>0.97948803596703371</v>
      </c>
      <c r="I479" s="7">
        <v>1</v>
      </c>
      <c r="J479" s="7"/>
      <c r="K479" s="7">
        <v>471</v>
      </c>
      <c r="L479" s="7">
        <f>$AT$7*EXP(-'3.r(t)'!D477*$AT$21)</f>
        <v>0.93311670519824419</v>
      </c>
      <c r="M479" s="7">
        <f ca="1">$AT$8*EXP(-'3.r(t)'!E477*$AT$22)</f>
        <v>0.95894492323576741</v>
      </c>
      <c r="N479" s="7">
        <f ca="1">$AT$9*EXP(-'3.r(t)'!F477*$AT$23)</f>
        <v>0.9794326639322023</v>
      </c>
      <c r="O479" s="7">
        <v>1</v>
      </c>
      <c r="P479" s="7"/>
      <c r="Q479" s="7">
        <v>471</v>
      </c>
      <c r="R479" s="7">
        <f>$AU$7*EXP(-'3.r(t)'!D477*$AU$21)</f>
        <v>0.91099305977534117</v>
      </c>
      <c r="S479" s="7">
        <f ca="1">$AU$8*EXP(-'3.r(t)'!E477*$AU$22)</f>
        <v>0.93840454030941756</v>
      </c>
      <c r="T479" s="7">
        <f ca="1">$AU$9*EXP(-'3.r(t)'!F477*$AU$23)</f>
        <v>0.95884501461290472</v>
      </c>
      <c r="U479" s="7">
        <f ca="1">$AU$10*EXP(-'3.r(t)'!G477*$AU$24)</f>
        <v>0.97893270148968969</v>
      </c>
      <c r="V479" s="7">
        <v>1</v>
      </c>
      <c r="W479" s="7"/>
      <c r="X479" s="7">
        <v>471</v>
      </c>
      <c r="Y479" s="7">
        <f>$AV$7*EXP(-'3.r(t)'!D477*$AV$21)</f>
        <v>0.88900715067201674</v>
      </c>
      <c r="Z479" s="7">
        <f ca="1">$AV$8*EXP(-'3.r(t)'!E477*$AV$22)</f>
        <v>0.91789913015570446</v>
      </c>
      <c r="AA479" s="7">
        <f ca="1">$AV$9*EXP(-'3.r(t)'!F477*$AV$23)</f>
        <v>0.93827038186639034</v>
      </c>
      <c r="AB479" s="7">
        <f ca="1">$AV$10*EXP(-'3.r(t)'!G477*$AV$24)</f>
        <v>0.95787485907173398</v>
      </c>
      <c r="AC479" s="7">
        <f ca="1">$AV$11*EXP(-'3.r(t)'!H477*$AV$25)</f>
        <v>0.97562183705440075</v>
      </c>
      <c r="AD479" s="7">
        <v>1</v>
      </c>
      <c r="AE479" s="7"/>
      <c r="AF479" s="7">
        <v>471</v>
      </c>
      <c r="AG479" s="7">
        <f>$AW$7*EXP(-'3.r(t)'!D477*$AW$21)</f>
        <v>0.86718755429225491</v>
      </c>
      <c r="AH479" s="7">
        <f ca="1">$AW$8*EXP(-'3.r(t)'!E477*$AW$22)</f>
        <v>0.89745927965720829</v>
      </c>
      <c r="AI479" s="7">
        <f ca="1">$AW$9*EXP(-'3.r(t)'!F477*$AW$23)</f>
        <v>0.91774045487427103</v>
      </c>
      <c r="AJ479" s="7">
        <f ca="1">$AW$10*EXP(-'3.r(t)'!G477*$AW$24)</f>
        <v>0.93685920666816902</v>
      </c>
      <c r="AK479" s="7">
        <f ca="1">$AW$11*EXP(-'3.r(t)'!H477*$AW$25)</f>
        <v>0.95141497097847216</v>
      </c>
      <c r="AL479" s="7">
        <f ca="1">$AW$12*EXP(-'3.r(t)'!I477*$AW$26)</f>
        <v>0.97274339591879222</v>
      </c>
      <c r="AM479" s="7">
        <v>1</v>
      </c>
      <c r="AN479" s="7"/>
    </row>
    <row r="480" spans="2:40">
      <c r="B480" s="7">
        <v>472</v>
      </c>
      <c r="C480" s="7">
        <f>$AR$7*EXP(-'3.r(t)'!D478*$AR$21)</f>
        <v>0.97765346695821032</v>
      </c>
      <c r="D480" s="7">
        <v>1</v>
      </c>
      <c r="E480" s="7"/>
      <c r="F480" s="7">
        <v>472</v>
      </c>
      <c r="G480" s="48">
        <f>$AS$7*EXP(-'3.r(t)'!D478*$AS$21)</f>
        <v>0.9553476245219803</v>
      </c>
      <c r="H480" s="7">
        <f ca="1">$AS$8*EXP(-'3.r(t)'!E478*$AS$22)</f>
        <v>0.97277901382948284</v>
      </c>
      <c r="I480" s="7">
        <v>1</v>
      </c>
      <c r="J480" s="7"/>
      <c r="K480" s="7">
        <v>472</v>
      </c>
      <c r="L480" s="7">
        <f>$AT$7*EXP(-'3.r(t)'!D478*$AT$21)</f>
        <v>0.93311670519824419</v>
      </c>
      <c r="M480" s="7">
        <f ca="1">$AT$8*EXP(-'3.r(t)'!E478*$AT$22)</f>
        <v>0.94585328962928383</v>
      </c>
      <c r="N480" s="7">
        <f ca="1">$AT$9*EXP(-'3.r(t)'!F478*$AT$23)</f>
        <v>0.96821622831725096</v>
      </c>
      <c r="O480" s="7">
        <v>1</v>
      </c>
      <c r="P480" s="7"/>
      <c r="Q480" s="7">
        <v>472</v>
      </c>
      <c r="R480" s="7">
        <f>$AU$7*EXP(-'3.r(t)'!D478*$AU$21)</f>
        <v>0.91099305977534117</v>
      </c>
      <c r="S480" s="7">
        <f ca="1">$AU$8*EXP(-'3.r(t)'!E478*$AU$22)</f>
        <v>0.91925345723890661</v>
      </c>
      <c r="T480" s="7">
        <f ca="1">$AU$9*EXP(-'3.r(t)'!F478*$AU$23)</f>
        <v>0.93700943204371945</v>
      </c>
      <c r="U480" s="7">
        <f ca="1">$AU$10*EXP(-'3.r(t)'!G478*$AU$24)</f>
        <v>0.96936131738553599</v>
      </c>
      <c r="V480" s="7">
        <v>1</v>
      </c>
      <c r="W480" s="7"/>
      <c r="X480" s="7">
        <v>472</v>
      </c>
      <c r="Y480" s="7">
        <f>$AV$7*EXP(-'3.r(t)'!D478*$AV$21)</f>
        <v>0.88900715067201674</v>
      </c>
      <c r="Z480" s="7">
        <f ca="1">$AV$8*EXP(-'3.r(t)'!E478*$AV$22)</f>
        <v>0.89300766578988988</v>
      </c>
      <c r="AA480" s="7">
        <f ca="1">$AV$9*EXP(-'3.r(t)'!F478*$AV$23)</f>
        <v>0.90640298967441457</v>
      </c>
      <c r="AB480" s="7">
        <f ca="1">$AV$10*EXP(-'3.r(t)'!G478*$AV$24)</f>
        <v>0.93923544123126235</v>
      </c>
      <c r="AC480" s="7">
        <f ca="1">$AV$11*EXP(-'3.r(t)'!H478*$AV$25)</f>
        <v>0.9712075137206384</v>
      </c>
      <c r="AD480" s="7">
        <v>1</v>
      </c>
      <c r="AE480" s="7"/>
      <c r="AF480" s="7">
        <v>472</v>
      </c>
      <c r="AG480" s="7">
        <f>$AW$7*EXP(-'3.r(t)'!D478*$AW$21)</f>
        <v>0.86718755429225491</v>
      </c>
      <c r="AH480" s="7">
        <f ca="1">$AW$8*EXP(-'3.r(t)'!E478*$AW$22)</f>
        <v>0.86714163377405618</v>
      </c>
      <c r="AI480" s="7">
        <f ca="1">$AW$9*EXP(-'3.r(t)'!F478*$AW$23)</f>
        <v>0.87641736174591534</v>
      </c>
      <c r="AJ480" s="7">
        <f ca="1">$AW$10*EXP(-'3.r(t)'!G478*$AW$24)</f>
        <v>0.90964696517454402</v>
      </c>
      <c r="AK480" s="7">
        <f ca="1">$AW$11*EXP(-'3.r(t)'!H478*$AW$25)</f>
        <v>0.9428248559033876</v>
      </c>
      <c r="AL480" s="7">
        <f ca="1">$AW$12*EXP(-'3.r(t)'!I478*$AW$26)</f>
        <v>0.97441456007222405</v>
      </c>
      <c r="AM480" s="7">
        <v>1</v>
      </c>
      <c r="AN480" s="7"/>
    </row>
    <row r="481" spans="2:40">
      <c r="B481" s="7">
        <v>473</v>
      </c>
      <c r="C481" s="7">
        <f>$AR$7*EXP(-'3.r(t)'!D479*$AR$21)</f>
        <v>0.97765346695821032</v>
      </c>
      <c r="D481" s="7">
        <v>1</v>
      </c>
      <c r="E481" s="7"/>
      <c r="F481" s="7">
        <v>473</v>
      </c>
      <c r="G481" s="48">
        <f>$AS$7*EXP(-'3.r(t)'!D479*$AS$21)</f>
        <v>0.9553476245219803</v>
      </c>
      <c r="H481" s="7">
        <f ca="1">$AS$8*EXP(-'3.r(t)'!E479*$AS$22)</f>
        <v>0.97746298320267611</v>
      </c>
      <c r="I481" s="7">
        <v>1</v>
      </c>
      <c r="J481" s="7"/>
      <c r="K481" s="7">
        <v>473</v>
      </c>
      <c r="L481" s="7">
        <f>$AT$7*EXP(-'3.r(t)'!D479*$AT$21)</f>
        <v>0.93311670519824419</v>
      </c>
      <c r="M481" s="7">
        <f ca="1">$AT$8*EXP(-'3.r(t)'!E479*$AT$22)</f>
        <v>0.9549838607599096</v>
      </c>
      <c r="N481" s="7">
        <f ca="1">$AT$9*EXP(-'3.r(t)'!F479*$AT$23)</f>
        <v>0.97711539946839299</v>
      </c>
      <c r="O481" s="7">
        <v>1</v>
      </c>
      <c r="P481" s="7"/>
      <c r="Q481" s="7">
        <v>473</v>
      </c>
      <c r="R481" s="7">
        <f>$AU$7*EXP(-'3.r(t)'!D479*$AU$21)</f>
        <v>0.91099305977534117</v>
      </c>
      <c r="S481" s="7">
        <f ca="1">$AU$8*EXP(-'3.r(t)'!E479*$AU$22)</f>
        <v>0.93259622255782959</v>
      </c>
      <c r="T481" s="7">
        <f ca="1">$AU$9*EXP(-'3.r(t)'!F479*$AU$23)</f>
        <v>0.95431327059675808</v>
      </c>
      <c r="U481" s="7">
        <f ca="1">$AU$10*EXP(-'3.r(t)'!G479*$AU$24)</f>
        <v>0.97576434888450636</v>
      </c>
      <c r="V481" s="7">
        <v>1</v>
      </c>
      <c r="W481" s="7"/>
      <c r="X481" s="7">
        <v>473</v>
      </c>
      <c r="Y481" s="7">
        <f>$AV$7*EXP(-'3.r(t)'!D479*$AV$21)</f>
        <v>0.88900715067201674</v>
      </c>
      <c r="Z481" s="7">
        <f ca="1">$AV$8*EXP(-'3.r(t)'!E479*$AV$22)</f>
        <v>0.91033175794135879</v>
      </c>
      <c r="AA481" s="7">
        <f ca="1">$AV$9*EXP(-'3.r(t)'!F479*$AV$23)</f>
        <v>0.93162649288883992</v>
      </c>
      <c r="AB481" s="7">
        <f ca="1">$AV$10*EXP(-'3.r(t)'!G479*$AV$24)</f>
        <v>0.95168449677165168</v>
      </c>
      <c r="AC481" s="7">
        <f ca="1">$AV$11*EXP(-'3.r(t)'!H479*$AV$25)</f>
        <v>0.97685387790382849</v>
      </c>
      <c r="AD481" s="7">
        <v>1</v>
      </c>
      <c r="AE481" s="7"/>
      <c r="AF481" s="7">
        <v>473</v>
      </c>
      <c r="AG481" s="7">
        <f>$AW$7*EXP(-'3.r(t)'!D479*$AW$21)</f>
        <v>0.86718755429225491</v>
      </c>
      <c r="AH481" s="7">
        <f ca="1">$AW$8*EXP(-'3.r(t)'!E479*$AW$22)</f>
        <v>0.88822025358373247</v>
      </c>
      <c r="AI481" s="7">
        <f ca="1">$AW$9*EXP(-'3.r(t)'!F479*$AW$23)</f>
        <v>0.90908600792655236</v>
      </c>
      <c r="AJ481" s="7">
        <f ca="1">$AW$10*EXP(-'3.r(t)'!G479*$AW$24)</f>
        <v>0.92779207574413702</v>
      </c>
      <c r="AK481" s="7">
        <f ca="1">$AW$11*EXP(-'3.r(t)'!H479*$AW$25)</f>
        <v>0.95381943179641071</v>
      </c>
      <c r="AL481" s="7">
        <f ca="1">$AW$12*EXP(-'3.r(t)'!I479*$AW$26)</f>
        <v>0.98264131814580391</v>
      </c>
      <c r="AM481" s="7">
        <v>1</v>
      </c>
      <c r="AN481" s="7"/>
    </row>
    <row r="482" spans="2:40">
      <c r="B482" s="7">
        <v>474</v>
      </c>
      <c r="C482" s="7">
        <f>$AR$7*EXP(-'3.r(t)'!D480*$AR$21)</f>
        <v>0.97765346695821032</v>
      </c>
      <c r="D482" s="7">
        <v>1</v>
      </c>
      <c r="E482" s="7"/>
      <c r="F482" s="7">
        <v>474</v>
      </c>
      <c r="G482" s="48">
        <f>$AS$7*EXP(-'3.r(t)'!D480*$AS$21)</f>
        <v>0.9553476245219803</v>
      </c>
      <c r="H482" s="7">
        <f ca="1">$AS$8*EXP(-'3.r(t)'!E480*$AS$22)</f>
        <v>0.97895950895926986</v>
      </c>
      <c r="I482" s="7">
        <v>1</v>
      </c>
      <c r="J482" s="7"/>
      <c r="K482" s="7">
        <v>474</v>
      </c>
      <c r="L482" s="7">
        <f>$AT$7*EXP(-'3.r(t)'!D480*$AT$21)</f>
        <v>0.93311670519824419</v>
      </c>
      <c r="M482" s="7">
        <f ca="1">$AT$8*EXP(-'3.r(t)'!E480*$AT$22)</f>
        <v>0.95791031835804574</v>
      </c>
      <c r="N482" s="7">
        <f ca="1">$AT$9*EXP(-'3.r(t)'!F480*$AT$23)</f>
        <v>0.98342856758495667</v>
      </c>
      <c r="O482" s="7">
        <v>1</v>
      </c>
      <c r="P482" s="7"/>
      <c r="Q482" s="7">
        <v>474</v>
      </c>
      <c r="R482" s="7">
        <f>$AU$7*EXP(-'3.r(t)'!D480*$AU$21)</f>
        <v>0.91099305977534117</v>
      </c>
      <c r="S482" s="7">
        <f ca="1">$AU$8*EXP(-'3.r(t)'!E480*$AU$22)</f>
        <v>0.93688628419134801</v>
      </c>
      <c r="T482" s="7">
        <f ca="1">$AU$9*EXP(-'3.r(t)'!F480*$AU$23)</f>
        <v>0.96668479420194731</v>
      </c>
      <c r="U482" s="7">
        <f ca="1">$AU$10*EXP(-'3.r(t)'!G480*$AU$24)</f>
        <v>0.98310937581970503</v>
      </c>
      <c r="V482" s="7">
        <v>1</v>
      </c>
      <c r="W482" s="7"/>
      <c r="X482" s="7">
        <v>474</v>
      </c>
      <c r="Y482" s="7">
        <f>$AV$7*EXP(-'3.r(t)'!D480*$AV$21)</f>
        <v>0.88900715067201674</v>
      </c>
      <c r="Z482" s="7">
        <f ca="1">$AV$8*EXP(-'3.r(t)'!E480*$AV$22)</f>
        <v>0.9159195574001634</v>
      </c>
      <c r="AA482" s="7">
        <f ca="1">$AV$9*EXP(-'3.r(t)'!F480*$AV$23)</f>
        <v>0.94980120531967194</v>
      </c>
      <c r="AB482" s="7">
        <f ca="1">$AV$10*EXP(-'3.r(t)'!G480*$AV$24)</f>
        <v>0.96606595537019491</v>
      </c>
      <c r="AC482" s="7">
        <f ca="1">$AV$11*EXP(-'3.r(t)'!H480*$AV$25)</f>
        <v>0.98525950463666567</v>
      </c>
      <c r="AD482" s="7">
        <v>1</v>
      </c>
      <c r="AE482" s="7"/>
      <c r="AF482" s="7">
        <v>474</v>
      </c>
      <c r="AG482" s="7">
        <f>$AW$7*EXP(-'3.r(t)'!D480*$AW$21)</f>
        <v>0.86718755429225491</v>
      </c>
      <c r="AH482" s="7">
        <f ca="1">$AW$8*EXP(-'3.r(t)'!E480*$AW$22)</f>
        <v>0.89504056787882569</v>
      </c>
      <c r="AI482" s="7">
        <f ca="1">$AW$9*EXP(-'3.r(t)'!F480*$AW$23)</f>
        <v>0.9328092020505051</v>
      </c>
      <c r="AJ482" s="7">
        <f ca="1">$AW$10*EXP(-'3.r(t)'!G480*$AW$24)</f>
        <v>0.94890193767758002</v>
      </c>
      <c r="AK482" s="7">
        <f ca="1">$AW$11*EXP(-'3.r(t)'!H480*$AW$25)</f>
        <v>0.97030489508027851</v>
      </c>
      <c r="AL482" s="7">
        <f ca="1">$AW$12*EXP(-'3.r(t)'!I480*$AW$26)</f>
        <v>0.98257795707293516</v>
      </c>
      <c r="AM482" s="7">
        <v>1</v>
      </c>
      <c r="AN482" s="7"/>
    </row>
    <row r="483" spans="2:40">
      <c r="B483" s="7">
        <v>475</v>
      </c>
      <c r="C483" s="7">
        <f>$AR$7*EXP(-'3.r(t)'!D481*$AR$21)</f>
        <v>0.97765346695821032</v>
      </c>
      <c r="D483" s="7">
        <v>1</v>
      </c>
      <c r="E483" s="7"/>
      <c r="F483" s="7">
        <v>475</v>
      </c>
      <c r="G483" s="48">
        <f>$AS$7*EXP(-'3.r(t)'!D481*$AS$21)</f>
        <v>0.9553476245219803</v>
      </c>
      <c r="H483" s="7">
        <f ca="1">$AS$8*EXP(-'3.r(t)'!E481*$AS$22)</f>
        <v>0.97354140857040938</v>
      </c>
      <c r="I483" s="7">
        <v>1</v>
      </c>
      <c r="J483" s="7"/>
      <c r="K483" s="7">
        <v>475</v>
      </c>
      <c r="L483" s="7">
        <f>$AT$7*EXP(-'3.r(t)'!D481*$AT$21)</f>
        <v>0.93311670519824419</v>
      </c>
      <c r="M483" s="7">
        <f ca="1">$AT$8*EXP(-'3.r(t)'!E481*$AT$22)</f>
        <v>0.94733645516249088</v>
      </c>
      <c r="N483" s="7">
        <f ca="1">$AT$9*EXP(-'3.r(t)'!F481*$AT$23)</f>
        <v>0.97518451349760049</v>
      </c>
      <c r="O483" s="7">
        <v>1</v>
      </c>
      <c r="P483" s="7"/>
      <c r="Q483" s="7">
        <v>475</v>
      </c>
      <c r="R483" s="7">
        <f>$AU$7*EXP(-'3.r(t)'!D481*$AU$21)</f>
        <v>0.91099305977534117</v>
      </c>
      <c r="S483" s="7">
        <f ca="1">$AU$8*EXP(-'3.r(t)'!E481*$AU$22)</f>
        <v>0.92141648727518233</v>
      </c>
      <c r="T483" s="7">
        <f ca="1">$AU$9*EXP(-'3.r(t)'!F481*$AU$23)</f>
        <v>0.95054534421062276</v>
      </c>
      <c r="U483" s="7">
        <f ca="1">$AU$10*EXP(-'3.r(t)'!G481*$AU$24)</f>
        <v>0.97473833759897532</v>
      </c>
      <c r="V483" s="7">
        <v>1</v>
      </c>
      <c r="W483" s="7"/>
      <c r="X483" s="7">
        <v>475</v>
      </c>
      <c r="Y483" s="7">
        <f>$AV$7*EXP(-'3.r(t)'!D481*$AV$21)</f>
        <v>0.88900715067201674</v>
      </c>
      <c r="Z483" s="7">
        <f ca="1">$AV$8*EXP(-'3.r(t)'!E481*$AV$22)</f>
        <v>0.89581046119915042</v>
      </c>
      <c r="AA483" s="7">
        <f ca="1">$AV$9*EXP(-'3.r(t)'!F481*$AV$23)</f>
        <v>0.92611441483859225</v>
      </c>
      <c r="AB483" s="7">
        <f ca="1">$AV$10*EXP(-'3.r(t)'!G481*$AV$24)</f>
        <v>0.94968416610838924</v>
      </c>
      <c r="AC483" s="7">
        <f ca="1">$AV$11*EXP(-'3.r(t)'!H481*$AV$25)</f>
        <v>0.97733516988366786</v>
      </c>
      <c r="AD483" s="7">
        <v>1</v>
      </c>
      <c r="AE483" s="7"/>
      <c r="AF483" s="7">
        <v>475</v>
      </c>
      <c r="AG483" s="7">
        <f>$AW$7*EXP(-'3.r(t)'!D481*$AW$21)</f>
        <v>0.86718755429225491</v>
      </c>
      <c r="AH483" s="7">
        <f ca="1">$AW$8*EXP(-'3.r(t)'!E481*$AW$22)</f>
        <v>0.87054498271998126</v>
      </c>
      <c r="AI483" s="7">
        <f ca="1">$AW$9*EXP(-'3.r(t)'!F481*$AW$23)</f>
        <v>0.90192146972078024</v>
      </c>
      <c r="AJ483" s="7">
        <f ca="1">$AW$10*EXP(-'3.r(t)'!G481*$AW$24)</f>
        <v>0.9248684460344283</v>
      </c>
      <c r="AK483" s="7">
        <f ca="1">$AW$11*EXP(-'3.r(t)'!H481*$AW$25)</f>
        <v>0.95475954933706575</v>
      </c>
      <c r="AL483" s="7">
        <f ca="1">$AW$12*EXP(-'3.r(t)'!I481*$AW$26)</f>
        <v>0.97429817383547535</v>
      </c>
      <c r="AM483" s="7">
        <v>1</v>
      </c>
      <c r="AN483" s="7"/>
    </row>
    <row r="484" spans="2:40">
      <c r="B484" s="7">
        <v>476</v>
      </c>
      <c r="C484" s="7">
        <f>$AR$7*EXP(-'3.r(t)'!D482*$AR$21)</f>
        <v>0.97765346695821032</v>
      </c>
      <c r="D484" s="7">
        <v>1</v>
      </c>
      <c r="E484" s="7"/>
      <c r="F484" s="7">
        <v>476</v>
      </c>
      <c r="G484" s="48">
        <f>$AS$7*EXP(-'3.r(t)'!D482*$AS$21)</f>
        <v>0.9553476245219803</v>
      </c>
      <c r="H484" s="7">
        <f ca="1">$AS$8*EXP(-'3.r(t)'!E482*$AS$22)</f>
        <v>0.9736669062700275</v>
      </c>
      <c r="I484" s="7">
        <v>1</v>
      </c>
      <c r="J484" s="7"/>
      <c r="K484" s="7">
        <v>476</v>
      </c>
      <c r="L484" s="7">
        <f>$AT$7*EXP(-'3.r(t)'!D482*$AT$21)</f>
        <v>0.93311670519824419</v>
      </c>
      <c r="M484" s="7">
        <f ca="1">$AT$8*EXP(-'3.r(t)'!E482*$AT$22)</f>
        <v>0.94758071022490298</v>
      </c>
      <c r="N484" s="7">
        <f ca="1">$AT$9*EXP(-'3.r(t)'!F482*$AT$23)</f>
        <v>0.97460361865815714</v>
      </c>
      <c r="O484" s="7">
        <v>1</v>
      </c>
      <c r="P484" s="7"/>
      <c r="Q484" s="7">
        <v>476</v>
      </c>
      <c r="R484" s="7">
        <f>$AU$7*EXP(-'3.r(t)'!D482*$AU$21)</f>
        <v>0.91099305977534117</v>
      </c>
      <c r="S484" s="7">
        <f ca="1">$AU$8*EXP(-'3.r(t)'!E482*$AU$22)</f>
        <v>0.92177286828448424</v>
      </c>
      <c r="T484" s="7">
        <f ca="1">$AU$9*EXP(-'3.r(t)'!F482*$AU$23)</f>
        <v>0.9494132457801141</v>
      </c>
      <c r="U484" s="7">
        <f ca="1">$AU$10*EXP(-'3.r(t)'!G482*$AU$24)</f>
        <v>0.97451808345483981</v>
      </c>
      <c r="V484" s="7">
        <v>1</v>
      </c>
      <c r="W484" s="7"/>
      <c r="X484" s="7">
        <v>476</v>
      </c>
      <c r="Y484" s="7">
        <f>$AV$7*EXP(-'3.r(t)'!D482*$AV$21)</f>
        <v>0.88900715067201674</v>
      </c>
      <c r="Z484" s="7">
        <f ca="1">$AV$8*EXP(-'3.r(t)'!E482*$AV$22)</f>
        <v>0.89627246062228061</v>
      </c>
      <c r="AA484" s="7">
        <f ca="1">$AV$9*EXP(-'3.r(t)'!F482*$AV$23)</f>
        <v>0.92446040573201227</v>
      </c>
      <c r="AB484" s="7">
        <f ca="1">$AV$10*EXP(-'3.r(t)'!G482*$AV$24)</f>
        <v>0.94925502890785873</v>
      </c>
      <c r="AC484" s="7">
        <f ca="1">$AV$11*EXP(-'3.r(t)'!H482*$AV$25)</f>
        <v>0.97425430593197526</v>
      </c>
      <c r="AD484" s="7">
        <v>1</v>
      </c>
      <c r="AE484" s="7"/>
      <c r="AF484" s="7">
        <v>476</v>
      </c>
      <c r="AG484" s="7">
        <f>$AW$7*EXP(-'3.r(t)'!D482*$AW$21)</f>
        <v>0.86718755429225491</v>
      </c>
      <c r="AH484" s="7">
        <f ca="1">$AW$8*EXP(-'3.r(t)'!E482*$AW$22)</f>
        <v>0.87110623035807278</v>
      </c>
      <c r="AI484" s="7">
        <f ca="1">$AW$9*EXP(-'3.r(t)'!F482*$AW$23)</f>
        <v>0.8997743741749139</v>
      </c>
      <c r="AJ484" s="7">
        <f ca="1">$AW$10*EXP(-'3.r(t)'!G482*$AW$24)</f>
        <v>0.92424163141026527</v>
      </c>
      <c r="AK484" s="7">
        <f ca="1">$AW$11*EXP(-'3.r(t)'!H482*$AW$25)</f>
        <v>0.94874963967117709</v>
      </c>
      <c r="AL484" s="7">
        <f ca="1">$AW$12*EXP(-'3.r(t)'!I482*$AW$26)</f>
        <v>0.97343405884102974</v>
      </c>
      <c r="AM484" s="7">
        <v>1</v>
      </c>
      <c r="AN484" s="7"/>
    </row>
    <row r="485" spans="2:40">
      <c r="B485" s="7">
        <v>477</v>
      </c>
      <c r="C485" s="7">
        <f>$AR$7*EXP(-'3.r(t)'!D483*$AR$21)</f>
        <v>0.97765346695821032</v>
      </c>
      <c r="D485" s="7">
        <v>1</v>
      </c>
      <c r="E485" s="7"/>
      <c r="F485" s="7">
        <v>477</v>
      </c>
      <c r="G485" s="48">
        <f>$AS$7*EXP(-'3.r(t)'!D483*$AS$21)</f>
        <v>0.9553476245219803</v>
      </c>
      <c r="H485" s="7">
        <f ca="1">$AS$8*EXP(-'3.r(t)'!E483*$AS$22)</f>
        <v>0.97739057171336241</v>
      </c>
      <c r="I485" s="7">
        <v>1</v>
      </c>
      <c r="J485" s="7"/>
      <c r="K485" s="7">
        <v>477</v>
      </c>
      <c r="L485" s="7">
        <f>$AT$7*EXP(-'3.r(t)'!D483*$AT$21)</f>
        <v>0.93311670519824419</v>
      </c>
      <c r="M485" s="7">
        <f ca="1">$AT$8*EXP(-'3.r(t)'!E483*$AT$22)</f>
        <v>0.95484237357646173</v>
      </c>
      <c r="N485" s="7">
        <f ca="1">$AT$9*EXP(-'3.r(t)'!F483*$AT$23)</f>
        <v>0.97891960921426291</v>
      </c>
      <c r="O485" s="7">
        <v>1</v>
      </c>
      <c r="P485" s="7"/>
      <c r="Q485" s="7">
        <v>477</v>
      </c>
      <c r="R485" s="7">
        <f>$AU$7*EXP(-'3.r(t)'!D483*$AU$21)</f>
        <v>0.91099305977534117</v>
      </c>
      <c r="S485" s="7">
        <f ca="1">$AU$8*EXP(-'3.r(t)'!E483*$AU$22)</f>
        <v>0.9323889747747105</v>
      </c>
      <c r="T485" s="7">
        <f ca="1">$AU$9*EXP(-'3.r(t)'!F483*$AU$23)</f>
        <v>0.95784073707438322</v>
      </c>
      <c r="U485" s="7">
        <f ca="1">$AU$10*EXP(-'3.r(t)'!G483*$AU$24)</f>
        <v>0.97852227903695654</v>
      </c>
      <c r="V485" s="7">
        <v>1</v>
      </c>
      <c r="W485" s="7"/>
      <c r="X485" s="7">
        <v>477</v>
      </c>
      <c r="Y485" s="7">
        <f>$AV$7*EXP(-'3.r(t)'!D483*$AV$21)</f>
        <v>0.88900715067201674</v>
      </c>
      <c r="Z485" s="7">
        <f ca="1">$AV$8*EXP(-'3.r(t)'!E483*$AV$22)</f>
        <v>0.91006203456608648</v>
      </c>
      <c r="AA485" s="7">
        <f ca="1">$AV$9*EXP(-'3.r(t)'!F483*$AV$23)</f>
        <v>0.93679667587761772</v>
      </c>
      <c r="AB485" s="7">
        <f ca="1">$AV$10*EXP(-'3.r(t)'!G483*$AV$24)</f>
        <v>0.95707183974893928</v>
      </c>
      <c r="AC485" s="7">
        <f ca="1">$AV$11*EXP(-'3.r(t)'!H483*$AV$25)</f>
        <v>0.98047002128189342</v>
      </c>
      <c r="AD485" s="7">
        <v>1</v>
      </c>
      <c r="AE485" s="7"/>
      <c r="AF485" s="7">
        <v>477</v>
      </c>
      <c r="AG485" s="7">
        <f>$AW$7*EXP(-'3.r(t)'!D483*$AW$21)</f>
        <v>0.86718755429225491</v>
      </c>
      <c r="AH485" s="7">
        <f ca="1">$AW$8*EXP(-'3.r(t)'!E483*$AW$22)</f>
        <v>0.88789130085704515</v>
      </c>
      <c r="AI485" s="7">
        <f ca="1">$AW$9*EXP(-'3.r(t)'!F483*$AW$23)</f>
        <v>0.91581901096524565</v>
      </c>
      <c r="AJ485" s="7">
        <f ca="1">$AW$10*EXP(-'3.r(t)'!G483*$AW$24)</f>
        <v>0.93568135184175194</v>
      </c>
      <c r="AK485" s="7">
        <f ca="1">$AW$11*EXP(-'3.r(t)'!H483*$AW$25)</f>
        <v>0.96089425019737429</v>
      </c>
      <c r="AL485" s="7">
        <f ca="1">$AW$12*EXP(-'3.r(t)'!I483*$AW$26)</f>
        <v>0.97664612753521851</v>
      </c>
      <c r="AM485" s="7">
        <v>1</v>
      </c>
      <c r="AN485" s="7"/>
    </row>
    <row r="486" spans="2:40">
      <c r="B486" s="7">
        <v>478</v>
      </c>
      <c r="C486" s="7">
        <f>$AR$7*EXP(-'3.r(t)'!D484*$AR$21)</f>
        <v>0.97765346695821032</v>
      </c>
      <c r="D486" s="7">
        <v>1</v>
      </c>
      <c r="E486" s="7"/>
      <c r="F486" s="7">
        <v>478</v>
      </c>
      <c r="G486" s="48">
        <f>$AS$7*EXP(-'3.r(t)'!D484*$AS$21)</f>
        <v>0.9553476245219803</v>
      </c>
      <c r="H486" s="7">
        <f ca="1">$AS$8*EXP(-'3.r(t)'!E484*$AS$22)</f>
        <v>0.97958975044036678</v>
      </c>
      <c r="I486" s="7">
        <v>1</v>
      </c>
      <c r="J486" s="7"/>
      <c r="K486" s="7">
        <v>478</v>
      </c>
      <c r="L486" s="7">
        <f>$AT$7*EXP(-'3.r(t)'!D484*$AT$21)</f>
        <v>0.93311670519824419</v>
      </c>
      <c r="M486" s="7">
        <f ca="1">$AT$8*EXP(-'3.r(t)'!E484*$AT$22)</f>
        <v>0.95914409594368055</v>
      </c>
      <c r="N486" s="7">
        <f ca="1">$AT$9*EXP(-'3.r(t)'!F484*$AT$23)</f>
        <v>0.9778118998147689</v>
      </c>
      <c r="O486" s="7">
        <v>1</v>
      </c>
      <c r="P486" s="7"/>
      <c r="Q486" s="7">
        <v>478</v>
      </c>
      <c r="R486" s="7">
        <f>$AU$7*EXP(-'3.r(t)'!D484*$AU$21)</f>
        <v>0.91099305977534117</v>
      </c>
      <c r="S486" s="7">
        <f ca="1">$AU$8*EXP(-'3.r(t)'!E484*$AU$22)</f>
        <v>0.9386969152001321</v>
      </c>
      <c r="T486" s="7">
        <f ca="1">$AU$9*EXP(-'3.r(t)'!F484*$AU$23)</f>
        <v>0.95567424888021102</v>
      </c>
      <c r="U486" s="7">
        <f ca="1">$AU$10*EXP(-'3.r(t)'!G484*$AU$24)</f>
        <v>0.97952656444632469</v>
      </c>
      <c r="V486" s="7">
        <v>1</v>
      </c>
      <c r="W486" s="7"/>
      <c r="X486" s="7">
        <v>478</v>
      </c>
      <c r="Y486" s="7">
        <f>$AV$7*EXP(-'3.r(t)'!D484*$AV$21)</f>
        <v>0.88900715067201674</v>
      </c>
      <c r="Z486" s="7">
        <f ca="1">$AV$8*EXP(-'3.r(t)'!E484*$AV$22)</f>
        <v>0.91828046475960867</v>
      </c>
      <c r="AA486" s="7">
        <f ca="1">$AV$9*EXP(-'3.r(t)'!F484*$AV$23)</f>
        <v>0.93362013912724529</v>
      </c>
      <c r="AB486" s="7">
        <f ca="1">$AV$10*EXP(-'3.r(t)'!G484*$AV$24)</f>
        <v>0.95903738830066632</v>
      </c>
      <c r="AC486" s="7">
        <f ca="1">$AV$11*EXP(-'3.r(t)'!H484*$AV$25)</f>
        <v>0.97351955310902638</v>
      </c>
      <c r="AD486" s="7">
        <v>1</v>
      </c>
      <c r="AE486" s="7"/>
      <c r="AF486" s="7">
        <v>478</v>
      </c>
      <c r="AG486" s="7">
        <f>$AW$7*EXP(-'3.r(t)'!D484*$AW$21)</f>
        <v>0.86718755429225491</v>
      </c>
      <c r="AH486" s="7">
        <f ca="1">$AW$8*EXP(-'3.r(t)'!E484*$AW$22)</f>
        <v>0.89792535762547543</v>
      </c>
      <c r="AI486" s="7">
        <f ca="1">$AW$9*EXP(-'3.r(t)'!F484*$AW$23)</f>
        <v>0.91168081320074934</v>
      </c>
      <c r="AJ486" s="7">
        <f ca="1">$AW$10*EXP(-'3.r(t)'!G484*$AW$24)</f>
        <v>0.93856525927479262</v>
      </c>
      <c r="AK486" s="7">
        <f ca="1">$AW$11*EXP(-'3.r(t)'!H484*$AW$25)</f>
        <v>0.94731914332674527</v>
      </c>
      <c r="AL486" s="7">
        <f ca="1">$AW$12*EXP(-'3.r(t)'!I484*$AW$26)</f>
        <v>0.97166638632079261</v>
      </c>
      <c r="AM486" s="7">
        <v>1</v>
      </c>
      <c r="AN486" s="7"/>
    </row>
    <row r="487" spans="2:40">
      <c r="B487" s="7">
        <v>479</v>
      </c>
      <c r="C487" s="7">
        <f>$AR$7*EXP(-'3.r(t)'!D485*$AR$21)</f>
        <v>0.97765346695821032</v>
      </c>
      <c r="D487" s="7">
        <v>1</v>
      </c>
      <c r="E487" s="7"/>
      <c r="F487" s="7">
        <v>479</v>
      </c>
      <c r="G487" s="48">
        <f>$AS$7*EXP(-'3.r(t)'!D485*$AS$21)</f>
        <v>0.9553476245219803</v>
      </c>
      <c r="H487" s="7">
        <f ca="1">$AS$8*EXP(-'3.r(t)'!E485*$AS$22)</f>
        <v>0.97843741484503111</v>
      </c>
      <c r="I487" s="7">
        <v>1</v>
      </c>
      <c r="J487" s="7"/>
      <c r="K487" s="7">
        <v>479</v>
      </c>
      <c r="L487" s="7">
        <f>$AT$7*EXP(-'3.r(t)'!D485*$AT$21)</f>
        <v>0.93311670519824419</v>
      </c>
      <c r="M487" s="7">
        <f ca="1">$AT$8*EXP(-'3.r(t)'!E485*$AT$22)</f>
        <v>0.95688885429553416</v>
      </c>
      <c r="N487" s="7">
        <f ca="1">$AT$9*EXP(-'3.r(t)'!F485*$AT$23)</f>
        <v>0.9776801869575974</v>
      </c>
      <c r="O487" s="7">
        <v>1</v>
      </c>
      <c r="P487" s="7"/>
      <c r="Q487" s="7">
        <v>479</v>
      </c>
      <c r="R487" s="7">
        <f>$AU$7*EXP(-'3.r(t)'!D485*$AU$21)</f>
        <v>0.91099305977534117</v>
      </c>
      <c r="S487" s="7">
        <f ca="1">$AU$8*EXP(-'3.r(t)'!E485*$AU$22)</f>
        <v>0.93538811601618033</v>
      </c>
      <c r="T487" s="7">
        <f ca="1">$AU$9*EXP(-'3.r(t)'!F485*$AU$23)</f>
        <v>0.95541680446147781</v>
      </c>
      <c r="U487" s="7">
        <f ca="1">$AU$10*EXP(-'3.r(t)'!G485*$AU$24)</f>
        <v>0.9772704040937813</v>
      </c>
      <c r="V487" s="7">
        <v>1</v>
      </c>
      <c r="W487" s="7"/>
      <c r="X487" s="7">
        <v>479</v>
      </c>
      <c r="Y487" s="7">
        <f>$AV$7*EXP(-'3.r(t)'!D485*$AV$21)</f>
        <v>0.88900715067201674</v>
      </c>
      <c r="Z487" s="7">
        <f ca="1">$AV$8*EXP(-'3.r(t)'!E485*$AV$22)</f>
        <v>0.91396722414184173</v>
      </c>
      <c r="AA487" s="7">
        <f ca="1">$AV$9*EXP(-'3.r(t)'!F485*$AV$23)</f>
        <v>0.93324290948039323</v>
      </c>
      <c r="AB487" s="7">
        <f ca="1">$AV$10*EXP(-'3.r(t)'!G485*$AV$24)</f>
        <v>0.95462454169019728</v>
      </c>
      <c r="AC487" s="7">
        <f ca="1">$AV$11*EXP(-'3.r(t)'!H485*$AV$25)</f>
        <v>0.97780493958014891</v>
      </c>
      <c r="AD487" s="7">
        <v>1</v>
      </c>
      <c r="AE487" s="7"/>
      <c r="AF487" s="7">
        <v>479</v>
      </c>
      <c r="AG487" s="7">
        <f>$AW$7*EXP(-'3.r(t)'!D485*$AW$21)</f>
        <v>0.86718755429225491</v>
      </c>
      <c r="AH487" s="7">
        <f ca="1">$AW$8*EXP(-'3.r(t)'!E485*$AW$22)</f>
        <v>0.89265641796068373</v>
      </c>
      <c r="AI487" s="7">
        <f ca="1">$AW$9*EXP(-'3.r(t)'!F485*$AW$23)</f>
        <v>0.9111896928760258</v>
      </c>
      <c r="AJ487" s="7">
        <f ca="1">$AW$10*EXP(-'3.r(t)'!G485*$AW$24)</f>
        <v>0.93209474540672654</v>
      </c>
      <c r="AK487" s="7">
        <f ca="1">$AW$11*EXP(-'3.r(t)'!H485*$AW$25)</f>
        <v>0.95567760674563984</v>
      </c>
      <c r="AL487" s="7">
        <f ca="1">$AW$12*EXP(-'3.r(t)'!I485*$AW$26)</f>
        <v>0.9808688187933865</v>
      </c>
      <c r="AM487" s="7">
        <v>1</v>
      </c>
      <c r="AN487" s="7"/>
    </row>
    <row r="488" spans="2:40">
      <c r="B488" s="7">
        <v>480</v>
      </c>
      <c r="C488" s="7">
        <f>$AR$7*EXP(-'3.r(t)'!D486*$AR$21)</f>
        <v>0.97765346695821032</v>
      </c>
      <c r="D488" s="7">
        <v>1</v>
      </c>
      <c r="E488" s="7"/>
      <c r="F488" s="7">
        <v>480</v>
      </c>
      <c r="G488" s="48">
        <f>$AS$7*EXP(-'3.r(t)'!D486*$AS$21)</f>
        <v>0.9553476245219803</v>
      </c>
      <c r="H488" s="7">
        <f ca="1">$AS$8*EXP(-'3.r(t)'!E486*$AS$22)</f>
        <v>0.97716259220979729</v>
      </c>
      <c r="I488" s="7">
        <v>1</v>
      </c>
      <c r="J488" s="7"/>
      <c r="K488" s="7">
        <v>480</v>
      </c>
      <c r="L488" s="7">
        <f>$AT$7*EXP(-'3.r(t)'!D486*$AT$21)</f>
        <v>0.93311670519824419</v>
      </c>
      <c r="M488" s="7">
        <f ca="1">$AT$8*EXP(-'3.r(t)'!E486*$AT$22)</f>
        <v>0.95439698539940043</v>
      </c>
      <c r="N488" s="7">
        <f ca="1">$AT$9*EXP(-'3.r(t)'!F486*$AT$23)</f>
        <v>0.9756875954512767</v>
      </c>
      <c r="O488" s="7">
        <v>1</v>
      </c>
      <c r="P488" s="7"/>
      <c r="Q488" s="7">
        <v>480</v>
      </c>
      <c r="R488" s="7">
        <f>$AU$7*EXP(-'3.r(t)'!D486*$AU$21)</f>
        <v>0.91099305977534117</v>
      </c>
      <c r="S488" s="7">
        <f ca="1">$AU$8*EXP(-'3.r(t)'!E486*$AU$22)</f>
        <v>0.93173667874076671</v>
      </c>
      <c r="T488" s="7">
        <f ca="1">$AU$9*EXP(-'3.r(t)'!F486*$AU$23)</f>
        <v>0.95152633919281138</v>
      </c>
      <c r="U488" s="7">
        <f ca="1">$AU$10*EXP(-'3.r(t)'!G486*$AU$24)</f>
        <v>0.97646633066192723</v>
      </c>
      <c r="V488" s="7">
        <v>1</v>
      </c>
      <c r="W488" s="7"/>
      <c r="X488" s="7">
        <v>480</v>
      </c>
      <c r="Y488" s="7">
        <f>$AV$7*EXP(-'3.r(t)'!D486*$AV$21)</f>
        <v>0.88900715067201674</v>
      </c>
      <c r="Z488" s="7">
        <f ca="1">$AV$8*EXP(-'3.r(t)'!E486*$AV$22)</f>
        <v>0.9092132319823395</v>
      </c>
      <c r="AA488" s="7">
        <f ca="1">$AV$9*EXP(-'3.r(t)'!F486*$AV$23)</f>
        <v>0.9275484568282546</v>
      </c>
      <c r="AB488" s="7">
        <f ca="1">$AV$10*EXP(-'3.r(t)'!G486*$AV$24)</f>
        <v>0.95305430595597351</v>
      </c>
      <c r="AC488" s="7">
        <f ca="1">$AV$11*EXP(-'3.r(t)'!H486*$AV$25)</f>
        <v>0.97907393847006119</v>
      </c>
      <c r="AD488" s="7">
        <v>1</v>
      </c>
      <c r="AE488" s="7"/>
      <c r="AF488" s="7">
        <v>480</v>
      </c>
      <c r="AG488" s="7">
        <f>$AW$7*EXP(-'3.r(t)'!D486*$AW$21)</f>
        <v>0.86718755429225491</v>
      </c>
      <c r="AH488" s="7">
        <f ca="1">$AW$8*EXP(-'3.r(t)'!E486*$AW$22)</f>
        <v>0.88685626627027081</v>
      </c>
      <c r="AI488" s="7">
        <f ca="1">$AW$9*EXP(-'3.r(t)'!F486*$AW$23)</f>
        <v>0.9037840573462963</v>
      </c>
      <c r="AJ488" s="7">
        <f ca="1">$AW$10*EXP(-'3.r(t)'!G486*$AW$24)</f>
        <v>0.92979592573642977</v>
      </c>
      <c r="AK488" s="7">
        <f ca="1">$AW$11*EXP(-'3.r(t)'!H486*$AW$25)</f>
        <v>0.95815978029818361</v>
      </c>
      <c r="AL488" s="7">
        <f ca="1">$AW$12*EXP(-'3.r(t)'!I486*$AW$26)</f>
        <v>0.97934031017039669</v>
      </c>
      <c r="AM488" s="7">
        <v>1</v>
      </c>
      <c r="AN488" s="7"/>
    </row>
    <row r="489" spans="2:40">
      <c r="B489" s="7">
        <v>481</v>
      </c>
      <c r="C489" s="7">
        <f>$AR$7*EXP(-'3.r(t)'!D487*$AR$21)</f>
        <v>0.97765346695821032</v>
      </c>
      <c r="D489" s="7">
        <v>1</v>
      </c>
      <c r="E489" s="7"/>
      <c r="F489" s="7">
        <v>481</v>
      </c>
      <c r="G489" s="48">
        <f>$AS$7*EXP(-'3.r(t)'!D487*$AS$21)</f>
        <v>0.9553476245219803</v>
      </c>
      <c r="H489" s="7">
        <f ca="1">$AS$8*EXP(-'3.r(t)'!E487*$AS$22)</f>
        <v>0.97830911318726854</v>
      </c>
      <c r="I489" s="7">
        <v>1</v>
      </c>
      <c r="J489" s="7"/>
      <c r="K489" s="7">
        <v>481</v>
      </c>
      <c r="L489" s="7">
        <f>$AT$7*EXP(-'3.r(t)'!D487*$AT$21)</f>
        <v>0.93311670519824419</v>
      </c>
      <c r="M489" s="7">
        <f ca="1">$AT$8*EXP(-'3.r(t)'!E487*$AT$22)</f>
        <v>0.95663791872204162</v>
      </c>
      <c r="N489" s="7">
        <f ca="1">$AT$9*EXP(-'3.r(t)'!F487*$AT$23)</f>
        <v>0.97561306570636019</v>
      </c>
      <c r="O489" s="7">
        <v>1</v>
      </c>
      <c r="P489" s="7"/>
      <c r="Q489" s="7">
        <v>481</v>
      </c>
      <c r="R489" s="7">
        <f>$AU$7*EXP(-'3.r(t)'!D487*$AU$21)</f>
        <v>0.91099305977534117</v>
      </c>
      <c r="S489" s="7">
        <f ca="1">$AU$8*EXP(-'3.r(t)'!E487*$AU$22)</f>
        <v>0.93502019434509576</v>
      </c>
      <c r="T489" s="7">
        <f ca="1">$AU$9*EXP(-'3.r(t)'!F487*$AU$23)</f>
        <v>0.95138097646173503</v>
      </c>
      <c r="U489" s="7">
        <f ca="1">$AU$10*EXP(-'3.r(t)'!G487*$AU$24)</f>
        <v>0.97222706435996875</v>
      </c>
      <c r="V489" s="7">
        <v>1</v>
      </c>
      <c r="W489" s="7"/>
      <c r="X489" s="7">
        <v>481</v>
      </c>
      <c r="Y489" s="7">
        <f>$AV$7*EXP(-'3.r(t)'!D487*$AV$21)</f>
        <v>0.88900715067201674</v>
      </c>
      <c r="Z489" s="7">
        <f ca="1">$AV$8*EXP(-'3.r(t)'!E487*$AV$22)</f>
        <v>0.91348792747865004</v>
      </c>
      <c r="AA489" s="7">
        <f ca="1">$AV$9*EXP(-'3.r(t)'!F487*$AV$23)</f>
        <v>0.92733591542754501</v>
      </c>
      <c r="AB489" s="7">
        <f ca="1">$AV$10*EXP(-'3.r(t)'!G487*$AV$24)</f>
        <v>0.94479702020929979</v>
      </c>
      <c r="AC489" s="7">
        <f ca="1">$AV$11*EXP(-'3.r(t)'!H487*$AV$25)</f>
        <v>0.96876418683581722</v>
      </c>
      <c r="AD489" s="7">
        <v>1</v>
      </c>
      <c r="AE489" s="7"/>
      <c r="AF489" s="7">
        <v>481</v>
      </c>
      <c r="AG489" s="7">
        <f>$AW$7*EXP(-'3.r(t)'!D487*$AW$21)</f>
        <v>0.86718755429225491</v>
      </c>
      <c r="AH489" s="7">
        <f ca="1">$AW$8*EXP(-'3.r(t)'!E487*$AW$22)</f>
        <v>0.89207130508488353</v>
      </c>
      <c r="AI489" s="7">
        <f ca="1">$AW$9*EXP(-'3.r(t)'!F487*$AW$23)</f>
        <v>0.90350793995803846</v>
      </c>
      <c r="AJ489" s="7">
        <f ca="1">$AW$10*EXP(-'3.r(t)'!G487*$AW$24)</f>
        <v>0.91773847507938455</v>
      </c>
      <c r="AK489" s="7">
        <f ca="1">$AW$11*EXP(-'3.r(t)'!H487*$AW$25)</f>
        <v>0.93808697734676916</v>
      </c>
      <c r="AL489" s="7">
        <f ca="1">$AW$12*EXP(-'3.r(t)'!I487*$AW$26)</f>
        <v>0.97268597578854632</v>
      </c>
      <c r="AM489" s="7">
        <v>1</v>
      </c>
      <c r="AN489" s="7"/>
    </row>
    <row r="490" spans="2:40">
      <c r="B490" s="7">
        <v>482</v>
      </c>
      <c r="C490" s="7">
        <f>$AR$7*EXP(-'3.r(t)'!D488*$AR$21)</f>
        <v>0.97765346695821032</v>
      </c>
      <c r="D490" s="7">
        <v>1</v>
      </c>
      <c r="E490" s="7"/>
      <c r="F490" s="7">
        <v>482</v>
      </c>
      <c r="G490" s="48">
        <f>$AS$7*EXP(-'3.r(t)'!D488*$AS$21)</f>
        <v>0.9553476245219803</v>
      </c>
      <c r="H490" s="7">
        <f ca="1">$AS$8*EXP(-'3.r(t)'!E488*$AS$22)</f>
        <v>0.97473568480825712</v>
      </c>
      <c r="I490" s="7">
        <v>1</v>
      </c>
      <c r="J490" s="7"/>
      <c r="K490" s="7">
        <v>482</v>
      </c>
      <c r="L490" s="7">
        <f>$AT$7*EXP(-'3.r(t)'!D488*$AT$21)</f>
        <v>0.93311670519824419</v>
      </c>
      <c r="M490" s="7">
        <f ca="1">$AT$8*EXP(-'3.r(t)'!E488*$AT$22)</f>
        <v>0.94966214025332418</v>
      </c>
      <c r="N490" s="7">
        <f ca="1">$AT$9*EXP(-'3.r(t)'!F488*$AT$23)</f>
        <v>0.97523290136167728</v>
      </c>
      <c r="O490" s="7">
        <v>1</v>
      </c>
      <c r="P490" s="7"/>
      <c r="Q490" s="7">
        <v>482</v>
      </c>
      <c r="R490" s="7">
        <f>$AU$7*EXP(-'3.r(t)'!D488*$AU$21)</f>
        <v>0.91099305977534117</v>
      </c>
      <c r="S490" s="7">
        <f ca="1">$AU$8*EXP(-'3.r(t)'!E488*$AU$22)</f>
        <v>0.92481164732032184</v>
      </c>
      <c r="T490" s="7">
        <f ca="1">$AU$9*EXP(-'3.r(t)'!F488*$AU$23)</f>
        <v>0.95063967712791508</v>
      </c>
      <c r="U490" s="7">
        <f ca="1">$AU$10*EXP(-'3.r(t)'!G488*$AU$24)</f>
        <v>0.97605088462879019</v>
      </c>
      <c r="V490" s="7">
        <v>1</v>
      </c>
      <c r="W490" s="7"/>
      <c r="X490" s="7">
        <v>482</v>
      </c>
      <c r="Y490" s="7">
        <f>$AV$7*EXP(-'3.r(t)'!D488*$AV$21)</f>
        <v>0.88900715067201674</v>
      </c>
      <c r="Z490" s="7">
        <f ca="1">$AV$8*EXP(-'3.r(t)'!E488*$AV$22)</f>
        <v>0.90021424052035859</v>
      </c>
      <c r="AA490" s="7">
        <f ca="1">$AV$9*EXP(-'3.r(t)'!F488*$AV$23)</f>
        <v>0.92625228081598709</v>
      </c>
      <c r="AB490" s="7">
        <f ca="1">$AV$10*EXP(-'3.r(t)'!G488*$AV$24)</f>
        <v>0.95224350810306779</v>
      </c>
      <c r="AC490" s="7">
        <f ca="1">$AV$11*EXP(-'3.r(t)'!H488*$AV$25)</f>
        <v>0.97759053031341503</v>
      </c>
      <c r="AD490" s="7">
        <v>1</v>
      </c>
      <c r="AE490" s="7"/>
      <c r="AF490" s="7">
        <v>482</v>
      </c>
      <c r="AG490" s="7">
        <f>$AW$7*EXP(-'3.r(t)'!D488*$AW$21)</f>
        <v>0.86718755429225491</v>
      </c>
      <c r="AH490" s="7">
        <f ca="1">$AW$8*EXP(-'3.r(t)'!E488*$AW$22)</f>
        <v>0.87589773458288678</v>
      </c>
      <c r="AI490" s="7">
        <f ca="1">$AW$9*EXP(-'3.r(t)'!F488*$AW$23)</f>
        <v>0.90210049348997678</v>
      </c>
      <c r="AJ490" s="7">
        <f ca="1">$AW$10*EXP(-'3.r(t)'!G488*$AW$24)</f>
        <v>0.92860966146704438</v>
      </c>
      <c r="AK490" s="7">
        <f ca="1">$AW$11*EXP(-'3.r(t)'!H488*$AW$25)</f>
        <v>0.95525853815416006</v>
      </c>
      <c r="AL490" s="7">
        <f ca="1">$AW$12*EXP(-'3.r(t)'!I488*$AW$26)</f>
        <v>0.97587578074852221</v>
      </c>
      <c r="AM490" s="7">
        <v>1</v>
      </c>
      <c r="AN490" s="7"/>
    </row>
    <row r="491" spans="2:40">
      <c r="B491" s="7">
        <v>483</v>
      </c>
      <c r="C491" s="7">
        <f>$AR$7*EXP(-'3.r(t)'!D489*$AR$21)</f>
        <v>0.97765346695821032</v>
      </c>
      <c r="D491" s="7">
        <v>1</v>
      </c>
      <c r="E491" s="7"/>
      <c r="F491" s="7">
        <v>483</v>
      </c>
      <c r="G491" s="48">
        <f>$AS$7*EXP(-'3.r(t)'!D489*$AS$21)</f>
        <v>0.9553476245219803</v>
      </c>
      <c r="H491" s="7">
        <f ca="1">$AS$8*EXP(-'3.r(t)'!E489*$AS$22)</f>
        <v>0.97723787627308101</v>
      </c>
      <c r="I491" s="7">
        <v>1</v>
      </c>
      <c r="J491" s="7"/>
      <c r="K491" s="7">
        <v>483</v>
      </c>
      <c r="L491" s="7">
        <f>$AT$7*EXP(-'3.r(t)'!D489*$AT$21)</f>
        <v>0.93311670519824419</v>
      </c>
      <c r="M491" s="7">
        <f ca="1">$AT$8*EXP(-'3.r(t)'!E489*$AT$22)</f>
        <v>0.95454405130520281</v>
      </c>
      <c r="N491" s="7">
        <f ca="1">$AT$9*EXP(-'3.r(t)'!F489*$AT$23)</f>
        <v>0.97826723613959843</v>
      </c>
      <c r="O491" s="7">
        <v>1</v>
      </c>
      <c r="P491" s="7"/>
      <c r="Q491" s="7">
        <v>483</v>
      </c>
      <c r="R491" s="7">
        <f>$AU$7*EXP(-'3.r(t)'!D489*$AU$21)</f>
        <v>0.91099305977534117</v>
      </c>
      <c r="S491" s="7">
        <f ca="1">$AU$8*EXP(-'3.r(t)'!E489*$AU$22)</f>
        <v>0.93195204820332256</v>
      </c>
      <c r="T491" s="7">
        <f ca="1">$AU$9*EXP(-'3.r(t)'!F489*$AU$23)</f>
        <v>0.9565645111461919</v>
      </c>
      <c r="U491" s="7">
        <f ca="1">$AU$10*EXP(-'3.r(t)'!G489*$AU$24)</f>
        <v>0.97695205338028657</v>
      </c>
      <c r="V491" s="7">
        <v>1</v>
      </c>
      <c r="W491" s="7"/>
      <c r="X491" s="7">
        <v>483</v>
      </c>
      <c r="Y491" s="7">
        <f>$AV$7*EXP(-'3.r(t)'!D489*$AV$21)</f>
        <v>0.88900715067201674</v>
      </c>
      <c r="Z491" s="7">
        <f ca="1">$AV$8*EXP(-'3.r(t)'!E489*$AV$22)</f>
        <v>0.90949346038161538</v>
      </c>
      <c r="AA491" s="7">
        <f ca="1">$AV$9*EXP(-'3.r(t)'!F489*$AV$23)</f>
        <v>0.93492501940537642</v>
      </c>
      <c r="AB491" s="7">
        <f ca="1">$AV$10*EXP(-'3.r(t)'!G489*$AV$24)</f>
        <v>0.95400269556993722</v>
      </c>
      <c r="AC491" s="7">
        <f ca="1">$AV$11*EXP(-'3.r(t)'!H489*$AV$25)</f>
        <v>0.97587045952572493</v>
      </c>
      <c r="AD491" s="7">
        <v>1</v>
      </c>
      <c r="AE491" s="7"/>
      <c r="AF491" s="7">
        <v>483</v>
      </c>
      <c r="AG491" s="7">
        <f>$AW$7*EXP(-'3.r(t)'!D489*$AW$21)</f>
        <v>0.86718755429225491</v>
      </c>
      <c r="AH491" s="7">
        <f ca="1">$AW$8*EXP(-'3.r(t)'!E489*$AW$22)</f>
        <v>0.88719795163767168</v>
      </c>
      <c r="AI491" s="7">
        <f ca="1">$AW$9*EXP(-'3.r(t)'!F489*$AW$23)</f>
        <v>0.91338016435211022</v>
      </c>
      <c r="AJ491" s="7">
        <f ca="1">$AW$10*EXP(-'3.r(t)'!G489*$AW$24)</f>
        <v>0.93118413855451865</v>
      </c>
      <c r="AK491" s="7">
        <f ca="1">$AW$11*EXP(-'3.r(t)'!H489*$AW$25)</f>
        <v>0.95189994019928215</v>
      </c>
      <c r="AL491" s="7">
        <f ca="1">$AW$12*EXP(-'3.r(t)'!I489*$AW$26)</f>
        <v>0.97730874737843831</v>
      </c>
      <c r="AM491" s="7">
        <v>1</v>
      </c>
      <c r="AN491" s="7"/>
    </row>
    <row r="492" spans="2:40">
      <c r="B492" s="7">
        <v>484</v>
      </c>
      <c r="C492" s="7">
        <f>$AR$7*EXP(-'3.r(t)'!D490*$AR$21)</f>
        <v>0.97765346695821032</v>
      </c>
      <c r="D492" s="7">
        <v>1</v>
      </c>
      <c r="E492" s="7"/>
      <c r="F492" s="7">
        <v>484</v>
      </c>
      <c r="G492" s="48">
        <f>$AS$7*EXP(-'3.r(t)'!D490*$AS$21)</f>
        <v>0.9553476245219803</v>
      </c>
      <c r="H492" s="7">
        <f ca="1">$AS$8*EXP(-'3.r(t)'!E490*$AS$22)</f>
        <v>0.97677580519534379</v>
      </c>
      <c r="I492" s="7">
        <v>1</v>
      </c>
      <c r="J492" s="7"/>
      <c r="K492" s="7">
        <v>484</v>
      </c>
      <c r="L492" s="7">
        <f>$AT$7*EXP(-'3.r(t)'!D490*$AT$21)</f>
        <v>0.93311670519824419</v>
      </c>
      <c r="M492" s="7">
        <f ca="1">$AT$8*EXP(-'3.r(t)'!E490*$AT$22)</f>
        <v>0.95364158337286919</v>
      </c>
      <c r="N492" s="7">
        <f ca="1">$AT$9*EXP(-'3.r(t)'!F490*$AT$23)</f>
        <v>0.97673114448426779</v>
      </c>
      <c r="O492" s="7">
        <v>1</v>
      </c>
      <c r="P492" s="7"/>
      <c r="Q492" s="7">
        <v>484</v>
      </c>
      <c r="R492" s="7">
        <f>$AU$7*EXP(-'3.r(t)'!D490*$AU$21)</f>
        <v>0.91099305977534117</v>
      </c>
      <c r="S492" s="7">
        <f ca="1">$AU$8*EXP(-'3.r(t)'!E490*$AU$22)</f>
        <v>0.9306306979537583</v>
      </c>
      <c r="T492" s="7">
        <f ca="1">$AU$9*EXP(-'3.r(t)'!F490*$AU$23)</f>
        <v>0.95356284228969979</v>
      </c>
      <c r="U492" s="7">
        <f ca="1">$AU$10*EXP(-'3.r(t)'!G490*$AU$24)</f>
        <v>0.97652588389038153</v>
      </c>
      <c r="V492" s="7">
        <v>1</v>
      </c>
      <c r="W492" s="7"/>
      <c r="X492" s="7">
        <v>484</v>
      </c>
      <c r="Y492" s="7">
        <f>$AV$7*EXP(-'3.r(t)'!D490*$AV$21)</f>
        <v>0.88900715067201674</v>
      </c>
      <c r="Z492" s="7">
        <f ca="1">$AV$8*EXP(-'3.r(t)'!E490*$AV$22)</f>
        <v>0.90777452310118711</v>
      </c>
      <c r="AA492" s="7">
        <f ca="1">$AV$9*EXP(-'3.r(t)'!F490*$AV$23)</f>
        <v>0.93052782625083807</v>
      </c>
      <c r="AB492" s="7">
        <f ca="1">$AV$10*EXP(-'3.r(t)'!G490*$AV$24)</f>
        <v>0.95317056022876556</v>
      </c>
      <c r="AC492" s="7">
        <f ca="1">$AV$11*EXP(-'3.r(t)'!H490*$AV$25)</f>
        <v>0.97484722518819933</v>
      </c>
      <c r="AD492" s="7">
        <v>1</v>
      </c>
      <c r="AE492" s="7"/>
      <c r="AF492" s="7">
        <v>484</v>
      </c>
      <c r="AG492" s="7">
        <f>$AW$7*EXP(-'3.r(t)'!D490*$AW$21)</f>
        <v>0.86718755429225491</v>
      </c>
      <c r="AH492" s="7">
        <f ca="1">$AW$8*EXP(-'3.r(t)'!E490*$AW$22)</f>
        <v>0.88510244842460406</v>
      </c>
      <c r="AI492" s="7">
        <f ca="1">$AW$9*EXP(-'3.r(t)'!F490*$AW$23)</f>
        <v>0.90765684274998371</v>
      </c>
      <c r="AJ492" s="7">
        <f ca="1">$AW$10*EXP(-'3.r(t)'!G490*$AW$24)</f>
        <v>0.92996605672176436</v>
      </c>
      <c r="AK492" s="7">
        <f ca="1">$AW$11*EXP(-'3.r(t)'!H490*$AW$25)</f>
        <v>0.94990478592467009</v>
      </c>
      <c r="AL492" s="7">
        <f ca="1">$AW$12*EXP(-'3.r(t)'!I490*$AW$26)</f>
        <v>0.97144806005079576</v>
      </c>
      <c r="AM492" s="7">
        <v>1</v>
      </c>
      <c r="AN492" s="7"/>
    </row>
    <row r="493" spans="2:40">
      <c r="B493" s="7">
        <v>485</v>
      </c>
      <c r="C493" s="7">
        <f>$AR$7*EXP(-'3.r(t)'!D491*$AR$21)</f>
        <v>0.97765346695821032</v>
      </c>
      <c r="D493" s="7">
        <v>1</v>
      </c>
      <c r="E493" s="7"/>
      <c r="F493" s="7">
        <v>485</v>
      </c>
      <c r="G493" s="48">
        <f>$AS$7*EXP(-'3.r(t)'!D491*$AS$21)</f>
        <v>0.9553476245219803</v>
      </c>
      <c r="H493" s="7">
        <f ca="1">$AS$8*EXP(-'3.r(t)'!E491*$AS$22)</f>
        <v>0.97538004514603382</v>
      </c>
      <c r="I493" s="7">
        <v>1</v>
      </c>
      <c r="J493" s="7"/>
      <c r="K493" s="7">
        <v>485</v>
      </c>
      <c r="L493" s="7">
        <f>$AT$7*EXP(-'3.r(t)'!D491*$AT$21)</f>
        <v>0.93311670519824419</v>
      </c>
      <c r="M493" s="7">
        <f ca="1">$AT$8*EXP(-'3.r(t)'!E491*$AT$22)</f>
        <v>0.95091812561826572</v>
      </c>
      <c r="N493" s="7">
        <f ca="1">$AT$9*EXP(-'3.r(t)'!F491*$AT$23)</f>
        <v>0.97429835208454829</v>
      </c>
      <c r="O493" s="7">
        <v>1</v>
      </c>
      <c r="P493" s="7"/>
      <c r="Q493" s="7">
        <v>485</v>
      </c>
      <c r="R493" s="7">
        <f>$AU$7*EXP(-'3.r(t)'!D491*$AU$21)</f>
        <v>0.91099305977534117</v>
      </c>
      <c r="S493" s="7">
        <f ca="1">$AU$8*EXP(-'3.r(t)'!E491*$AU$22)</f>
        <v>0.92664693244239282</v>
      </c>
      <c r="T493" s="7">
        <f ca="1">$AU$9*EXP(-'3.r(t)'!F491*$AU$23)</f>
        <v>0.94881858609818581</v>
      </c>
      <c r="U493" s="7">
        <f ca="1">$AU$10*EXP(-'3.r(t)'!G491*$AU$24)</f>
        <v>0.97814877635248565</v>
      </c>
      <c r="V493" s="7">
        <v>1</v>
      </c>
      <c r="W493" s="7"/>
      <c r="X493" s="7">
        <v>485</v>
      </c>
      <c r="Y493" s="7">
        <f>$AV$7*EXP(-'3.r(t)'!D491*$AV$21)</f>
        <v>0.88900715067201674</v>
      </c>
      <c r="Z493" s="7">
        <f ca="1">$AV$8*EXP(-'3.r(t)'!E491*$AV$22)</f>
        <v>0.90259699022409345</v>
      </c>
      <c r="AA493" s="7">
        <f ca="1">$AV$9*EXP(-'3.r(t)'!F491*$AV$23)</f>
        <v>0.92359199583346208</v>
      </c>
      <c r="AB493" s="7">
        <f ca="1">$AV$10*EXP(-'3.r(t)'!G491*$AV$24)</f>
        <v>0.95634134911840118</v>
      </c>
      <c r="AC493" s="7">
        <f ca="1">$AV$11*EXP(-'3.r(t)'!H491*$AV$25)</f>
        <v>0.9759042712305549</v>
      </c>
      <c r="AD493" s="7">
        <v>1</v>
      </c>
      <c r="AE493" s="7"/>
      <c r="AF493" s="7">
        <v>485</v>
      </c>
      <c r="AG493" s="7">
        <f>$AW$7*EXP(-'3.r(t)'!D491*$AW$21)</f>
        <v>0.86718755429225491</v>
      </c>
      <c r="AH493" s="7">
        <f ca="1">$AW$8*EXP(-'3.r(t)'!E491*$AW$22)</f>
        <v>0.87879667662665928</v>
      </c>
      <c r="AI493" s="7">
        <f ca="1">$AW$9*EXP(-'3.r(t)'!F491*$AW$23)</f>
        <v>0.89864758985890847</v>
      </c>
      <c r="AJ493" s="7">
        <f ca="1">$AW$10*EXP(-'3.r(t)'!G491*$AW$24)</f>
        <v>0.93461030995156447</v>
      </c>
      <c r="AK493" s="7">
        <f ca="1">$AW$11*EXP(-'3.r(t)'!H491*$AW$25)</f>
        <v>0.9519659037030781</v>
      </c>
      <c r="AL493" s="7">
        <f ca="1">$AW$12*EXP(-'3.r(t)'!I491*$AW$26)</f>
        <v>0.97543480857031684</v>
      </c>
      <c r="AM493" s="7">
        <v>1</v>
      </c>
      <c r="AN493" s="7"/>
    </row>
    <row r="494" spans="2:40">
      <c r="B494" s="7">
        <v>486</v>
      </c>
      <c r="C494" s="7">
        <f>$AR$7*EXP(-'3.r(t)'!D492*$AR$21)</f>
        <v>0.97765346695821032</v>
      </c>
      <c r="D494" s="7">
        <v>1</v>
      </c>
      <c r="E494" s="7"/>
      <c r="F494" s="7">
        <v>486</v>
      </c>
      <c r="G494" s="48">
        <f>$AS$7*EXP(-'3.r(t)'!D492*$AS$21)</f>
        <v>0.9553476245219803</v>
      </c>
      <c r="H494" s="7">
        <f ca="1">$AS$8*EXP(-'3.r(t)'!E492*$AS$22)</f>
        <v>0.98015873236587814</v>
      </c>
      <c r="I494" s="7">
        <v>1</v>
      </c>
      <c r="J494" s="7"/>
      <c r="K494" s="7">
        <v>486</v>
      </c>
      <c r="L494" s="7">
        <f>$AT$7*EXP(-'3.r(t)'!D492*$AT$21)</f>
        <v>0.93311670519824419</v>
      </c>
      <c r="M494" s="7">
        <f ca="1">$AT$8*EXP(-'3.r(t)'!E492*$AT$22)</f>
        <v>0.96025863219934238</v>
      </c>
      <c r="N494" s="7">
        <f ca="1">$AT$9*EXP(-'3.r(t)'!F492*$AT$23)</f>
        <v>0.9829900638647846</v>
      </c>
      <c r="O494" s="7">
        <v>1</v>
      </c>
      <c r="P494" s="7"/>
      <c r="Q494" s="7">
        <v>486</v>
      </c>
      <c r="R494" s="7">
        <f>$AU$7*EXP(-'3.r(t)'!D492*$AU$21)</f>
        <v>0.91099305977534117</v>
      </c>
      <c r="S494" s="7">
        <f ca="1">$AU$8*EXP(-'3.r(t)'!E492*$AU$22)</f>
        <v>0.94033355502013416</v>
      </c>
      <c r="T494" s="7">
        <f ca="1">$AU$9*EXP(-'3.r(t)'!F492*$AU$23)</f>
        <v>0.96582291081433258</v>
      </c>
      <c r="U494" s="7">
        <f ca="1">$AU$10*EXP(-'3.r(t)'!G492*$AU$24)</f>
        <v>0.98486601418670472</v>
      </c>
      <c r="V494" s="7">
        <v>1</v>
      </c>
      <c r="W494" s="7"/>
      <c r="X494" s="7">
        <v>486</v>
      </c>
      <c r="Y494" s="7">
        <f>$AV$7*EXP(-'3.r(t)'!D492*$AV$21)</f>
        <v>0.88900715067201674</v>
      </c>
      <c r="Z494" s="7">
        <f ca="1">$AV$8*EXP(-'3.r(t)'!E492*$AV$22)</f>
        <v>0.9204158091971838</v>
      </c>
      <c r="AA494" s="7">
        <f ca="1">$AV$9*EXP(-'3.r(t)'!F492*$AV$23)</f>
        <v>0.94853124319091076</v>
      </c>
      <c r="AB494" s="7">
        <f ca="1">$AV$10*EXP(-'3.r(t)'!G492*$AV$24)</f>
        <v>0.9695214094739012</v>
      </c>
      <c r="AC494" s="7">
        <f ca="1">$AV$11*EXP(-'3.r(t)'!H492*$AV$25)</f>
        <v>0.98631144698413387</v>
      </c>
      <c r="AD494" s="7">
        <v>1</v>
      </c>
      <c r="AE494" s="7"/>
      <c r="AF494" s="7">
        <v>486</v>
      </c>
      <c r="AG494" s="7">
        <f>$AW$7*EXP(-'3.r(t)'!D492*$AW$21)</f>
        <v>0.86718755429225491</v>
      </c>
      <c r="AH494" s="7">
        <f ca="1">$AW$8*EXP(-'3.r(t)'!E492*$AW$22)</f>
        <v>0.90053612987261489</v>
      </c>
      <c r="AI494" s="7">
        <f ca="1">$AW$9*EXP(-'3.r(t)'!F492*$AW$23)</f>
        <v>0.93114658285107299</v>
      </c>
      <c r="AJ494" s="7">
        <f ca="1">$AW$10*EXP(-'3.r(t)'!G492*$AW$24)</f>
        <v>0.95399757944493624</v>
      </c>
      <c r="AK494" s="7">
        <f ca="1">$AW$11*EXP(-'3.r(t)'!H492*$AW$25)</f>
        <v>0.97237795237653046</v>
      </c>
      <c r="AL494" s="7">
        <f ca="1">$AW$12*EXP(-'3.r(t)'!I492*$AW$26)</f>
        <v>0.98637022418971221</v>
      </c>
      <c r="AM494" s="7">
        <v>1</v>
      </c>
      <c r="AN494" s="7"/>
    </row>
    <row r="495" spans="2:40">
      <c r="B495" s="7">
        <v>487</v>
      </c>
      <c r="C495" s="7">
        <f>$AR$7*EXP(-'3.r(t)'!D493*$AR$21)</f>
        <v>0.97765346695821032</v>
      </c>
      <c r="D495" s="7">
        <v>1</v>
      </c>
      <c r="E495" s="7"/>
      <c r="F495" s="7">
        <v>487</v>
      </c>
      <c r="G495" s="48">
        <f>$AS$7*EXP(-'3.r(t)'!D493*$AS$21)</f>
        <v>0.9553476245219803</v>
      </c>
      <c r="H495" s="7">
        <f ca="1">$AS$8*EXP(-'3.r(t)'!E493*$AS$22)</f>
        <v>0.97609259754505795</v>
      </c>
      <c r="I495" s="7">
        <v>1</v>
      </c>
      <c r="J495" s="7"/>
      <c r="K495" s="7">
        <v>487</v>
      </c>
      <c r="L495" s="7">
        <f>$AT$7*EXP(-'3.r(t)'!D493*$AT$21)</f>
        <v>0.93311670519824419</v>
      </c>
      <c r="M495" s="7">
        <f ca="1">$AT$8*EXP(-'3.r(t)'!E493*$AT$22)</f>
        <v>0.95230799717393699</v>
      </c>
      <c r="N495" s="7">
        <f ca="1">$AT$9*EXP(-'3.r(t)'!F493*$AT$23)</f>
        <v>0.97444021402264014</v>
      </c>
      <c r="O495" s="7">
        <v>1</v>
      </c>
      <c r="P495" s="7"/>
      <c r="Q495" s="7">
        <v>487</v>
      </c>
      <c r="R495" s="7">
        <f>$AU$7*EXP(-'3.r(t)'!D493*$AU$21)</f>
        <v>0.91099305977534117</v>
      </c>
      <c r="S495" s="7">
        <f ca="1">$AU$8*EXP(-'3.r(t)'!E493*$AU$22)</f>
        <v>0.92867926941268708</v>
      </c>
      <c r="T495" s="7">
        <f ca="1">$AU$9*EXP(-'3.r(t)'!F493*$AU$23)</f>
        <v>0.94909491016768077</v>
      </c>
      <c r="U495" s="7">
        <f ca="1">$AU$10*EXP(-'3.r(t)'!G493*$AU$24)</f>
        <v>0.97639606713186566</v>
      </c>
      <c r="V495" s="7">
        <v>1</v>
      </c>
      <c r="W495" s="7"/>
      <c r="X495" s="7">
        <v>487</v>
      </c>
      <c r="Y495" s="7">
        <f>$AV$7*EXP(-'3.r(t)'!D493*$AV$21)</f>
        <v>0.88900715067201674</v>
      </c>
      <c r="Z495" s="7">
        <f ca="1">$AV$8*EXP(-'3.r(t)'!E493*$AV$22)</f>
        <v>0.9052374082361242</v>
      </c>
      <c r="AA495" s="7">
        <f ca="1">$AV$9*EXP(-'3.r(t)'!F493*$AV$23)</f>
        <v>0.92399549121641655</v>
      </c>
      <c r="AB495" s="7">
        <f ca="1">$AV$10*EXP(-'3.r(t)'!G493*$AV$24)</f>
        <v>0.95291715314593317</v>
      </c>
      <c r="AC495" s="7">
        <f ca="1">$AV$11*EXP(-'3.r(t)'!H493*$AV$25)</f>
        <v>0.97058428683349574</v>
      </c>
      <c r="AD495" s="7">
        <v>1</v>
      </c>
      <c r="AE495" s="7"/>
      <c r="AF495" s="7">
        <v>487</v>
      </c>
      <c r="AG495" s="7">
        <f>$AW$7*EXP(-'3.r(t)'!D493*$AW$21)</f>
        <v>0.86718755429225491</v>
      </c>
      <c r="AH495" s="7">
        <f ca="1">$AW$8*EXP(-'3.r(t)'!E493*$AW$22)</f>
        <v>0.88201134285573479</v>
      </c>
      <c r="AI495" s="7">
        <f ca="1">$AW$9*EXP(-'3.r(t)'!F493*$AW$23)</f>
        <v>0.89917109165679043</v>
      </c>
      <c r="AJ495" s="7">
        <f ca="1">$AW$10*EXP(-'3.r(t)'!G493*$AW$24)</f>
        <v>0.92959522436750375</v>
      </c>
      <c r="AK495" s="7">
        <f ca="1">$AW$11*EXP(-'3.r(t)'!H493*$AW$25)</f>
        <v>0.94161521684812732</v>
      </c>
      <c r="AL495" s="7">
        <f ca="1">$AW$12*EXP(-'3.r(t)'!I493*$AW$26)</f>
        <v>0.97318655312913638</v>
      </c>
      <c r="AM495" s="7">
        <v>1</v>
      </c>
      <c r="AN495" s="7"/>
    </row>
    <row r="496" spans="2:40">
      <c r="B496" s="7">
        <v>488</v>
      </c>
      <c r="C496" s="7">
        <f>$AR$7*EXP(-'3.r(t)'!D494*$AR$21)</f>
        <v>0.97765346695821032</v>
      </c>
      <c r="D496" s="7">
        <v>1</v>
      </c>
      <c r="E496" s="7"/>
      <c r="F496" s="7">
        <v>488</v>
      </c>
      <c r="G496" s="48">
        <f>$AS$7*EXP(-'3.r(t)'!D494*$AS$21)</f>
        <v>0.9553476245219803</v>
      </c>
      <c r="H496" s="7">
        <f ca="1">$AS$8*EXP(-'3.r(t)'!E494*$AS$22)</f>
        <v>0.97808561946948958</v>
      </c>
      <c r="I496" s="7">
        <v>1</v>
      </c>
      <c r="J496" s="7"/>
      <c r="K496" s="7">
        <v>488</v>
      </c>
      <c r="L496" s="7">
        <f>$AT$7*EXP(-'3.r(t)'!D494*$AT$21)</f>
        <v>0.93311670519824419</v>
      </c>
      <c r="M496" s="7">
        <f ca="1">$AT$8*EXP(-'3.r(t)'!E494*$AT$22)</f>
        <v>0.9562008827368853</v>
      </c>
      <c r="N496" s="7">
        <f ca="1">$AT$9*EXP(-'3.r(t)'!F494*$AT$23)</f>
        <v>0.97709549276499319</v>
      </c>
      <c r="O496" s="7">
        <v>1</v>
      </c>
      <c r="P496" s="7"/>
      <c r="Q496" s="7">
        <v>488</v>
      </c>
      <c r="R496" s="7">
        <f>$AU$7*EXP(-'3.r(t)'!D494*$AU$21)</f>
        <v>0.91099305977534117</v>
      </c>
      <c r="S496" s="7">
        <f ca="1">$AU$8*EXP(-'3.r(t)'!E494*$AU$22)</f>
        <v>0.93437952750163622</v>
      </c>
      <c r="T496" s="7">
        <f ca="1">$AU$9*EXP(-'3.r(t)'!F494*$AU$23)</f>
        <v>0.95427438667839204</v>
      </c>
      <c r="U496" s="7">
        <f ca="1">$AU$10*EXP(-'3.r(t)'!G494*$AU$24)</f>
        <v>0.97542125664926704</v>
      </c>
      <c r="V496" s="7">
        <v>1</v>
      </c>
      <c r="W496" s="7"/>
      <c r="X496" s="7">
        <v>488</v>
      </c>
      <c r="Y496" s="7">
        <f>$AV$7*EXP(-'3.r(t)'!D494*$AV$21)</f>
        <v>0.88900715067201674</v>
      </c>
      <c r="Z496" s="7">
        <f ca="1">$AV$8*EXP(-'3.r(t)'!E494*$AV$22)</f>
        <v>0.91265347194244772</v>
      </c>
      <c r="AA496" s="7">
        <f ca="1">$AV$9*EXP(-'3.r(t)'!F494*$AV$23)</f>
        <v>0.93156955416556075</v>
      </c>
      <c r="AB496" s="7">
        <f ca="1">$AV$10*EXP(-'3.r(t)'!G494*$AV$24)</f>
        <v>0.95101536357792416</v>
      </c>
      <c r="AC496" s="7">
        <f ca="1">$AV$11*EXP(-'3.r(t)'!H494*$AV$25)</f>
        <v>0.97388979947254617</v>
      </c>
      <c r="AD496" s="7">
        <v>1</v>
      </c>
      <c r="AE496" s="7"/>
      <c r="AF496" s="7">
        <v>488</v>
      </c>
      <c r="AG496" s="7">
        <f>$AW$7*EXP(-'3.r(t)'!D494*$AW$21)</f>
        <v>0.86718755429225491</v>
      </c>
      <c r="AH496" s="7">
        <f ca="1">$AW$8*EXP(-'3.r(t)'!E494*$AW$22)</f>
        <v>0.89105280664810504</v>
      </c>
      <c r="AI496" s="7">
        <f ca="1">$AW$9*EXP(-'3.r(t)'!F494*$AW$23)</f>
        <v>0.90901192720891533</v>
      </c>
      <c r="AJ496" s="7">
        <f ca="1">$AW$10*EXP(-'3.r(t)'!G494*$AW$24)</f>
        <v>0.92681374625663437</v>
      </c>
      <c r="AK496" s="7">
        <f ca="1">$AW$11*EXP(-'3.r(t)'!H494*$AW$25)</f>
        <v>0.94803984413510523</v>
      </c>
      <c r="AL496" s="7">
        <f ca="1">$AW$12*EXP(-'3.r(t)'!I494*$AW$26)</f>
        <v>0.97562086390065794</v>
      </c>
      <c r="AM496" s="7">
        <v>1</v>
      </c>
      <c r="AN496" s="7"/>
    </row>
    <row r="497" spans="2:40">
      <c r="B497" s="7">
        <v>489</v>
      </c>
      <c r="C497" s="7">
        <f>$AR$7*EXP(-'3.r(t)'!D495*$AR$21)</f>
        <v>0.97765346695821032</v>
      </c>
      <c r="D497" s="7">
        <v>1</v>
      </c>
      <c r="E497" s="7"/>
      <c r="F497" s="7">
        <v>489</v>
      </c>
      <c r="G497" s="48">
        <f>$AS$7*EXP(-'3.r(t)'!D495*$AS$21)</f>
        <v>0.9553476245219803</v>
      </c>
      <c r="H497" s="7">
        <f ca="1">$AS$8*EXP(-'3.r(t)'!E495*$AS$22)</f>
        <v>0.97522587800846472</v>
      </c>
      <c r="I497" s="7">
        <v>1</v>
      </c>
      <c r="J497" s="7"/>
      <c r="K497" s="7">
        <v>489</v>
      </c>
      <c r="L497" s="7">
        <f>$AT$7*EXP(-'3.r(t)'!D495*$AT$21)</f>
        <v>0.93311670519824419</v>
      </c>
      <c r="M497" s="7">
        <f ca="1">$AT$8*EXP(-'3.r(t)'!E495*$AT$22)</f>
        <v>0.95061754792959419</v>
      </c>
      <c r="N497" s="7">
        <f ca="1">$AT$9*EXP(-'3.r(t)'!F495*$AT$23)</f>
        <v>0.97420497266062622</v>
      </c>
      <c r="O497" s="7">
        <v>1</v>
      </c>
      <c r="P497" s="7"/>
      <c r="Q497" s="7">
        <v>489</v>
      </c>
      <c r="R497" s="7">
        <f>$AU$7*EXP(-'3.r(t)'!D495*$AU$21)</f>
        <v>0.91099305977534117</v>
      </c>
      <c r="S497" s="7">
        <f ca="1">$AU$8*EXP(-'3.r(t)'!E495*$AU$22)</f>
        <v>0.92620760852858064</v>
      </c>
      <c r="T497" s="7">
        <f ca="1">$AU$9*EXP(-'3.r(t)'!F495*$AU$23)</f>
        <v>0.94863672006721678</v>
      </c>
      <c r="U497" s="7">
        <f ca="1">$AU$10*EXP(-'3.r(t)'!G495*$AU$24)</f>
        <v>0.97467095622554534</v>
      </c>
      <c r="V497" s="7">
        <v>1</v>
      </c>
      <c r="W497" s="7"/>
      <c r="X497" s="7">
        <v>489</v>
      </c>
      <c r="Y497" s="7">
        <f>$AV$7*EXP(-'3.r(t)'!D495*$AV$21)</f>
        <v>0.88900715067201674</v>
      </c>
      <c r="Z497" s="7">
        <f ca="1">$AV$8*EXP(-'3.r(t)'!E495*$AV$22)</f>
        <v>0.90202647288544346</v>
      </c>
      <c r="AA497" s="7">
        <f ca="1">$AV$9*EXP(-'3.r(t)'!F495*$AV$23)</f>
        <v>0.92332646252116157</v>
      </c>
      <c r="AB497" s="7">
        <f ca="1">$AV$10*EXP(-'3.r(t)'!G495*$AV$24)</f>
        <v>0.94955287177185965</v>
      </c>
      <c r="AC497" s="7">
        <f ca="1">$AV$11*EXP(-'3.r(t)'!H495*$AV$25)</f>
        <v>0.97533281719452025</v>
      </c>
      <c r="AD497" s="7">
        <v>1</v>
      </c>
      <c r="AE497" s="7"/>
      <c r="AF497" s="7">
        <v>489</v>
      </c>
      <c r="AG497" s="7">
        <f>$AW$7*EXP(-'3.r(t)'!D495*$AW$21)</f>
        <v>0.86718755429225491</v>
      </c>
      <c r="AH497" s="7">
        <f ca="1">$AW$8*EXP(-'3.r(t)'!E495*$AW$22)</f>
        <v>0.87810238957645648</v>
      </c>
      <c r="AI497" s="7">
        <f ca="1">$AW$9*EXP(-'3.r(t)'!F495*$AW$23)</f>
        <v>0.89830312399443035</v>
      </c>
      <c r="AJ497" s="7">
        <f ca="1">$AW$10*EXP(-'3.r(t)'!G495*$AW$24)</f>
        <v>0.92467665733830839</v>
      </c>
      <c r="AK497" s="7">
        <f ca="1">$AW$11*EXP(-'3.r(t)'!H495*$AW$25)</f>
        <v>0.95085135691980471</v>
      </c>
      <c r="AL497" s="7">
        <f ca="1">$AW$12*EXP(-'3.r(t)'!I495*$AW$26)</f>
        <v>0.97916755254893384</v>
      </c>
      <c r="AM497" s="7">
        <v>1</v>
      </c>
      <c r="AN497" s="7"/>
    </row>
    <row r="498" spans="2:40">
      <c r="B498" s="7">
        <v>490</v>
      </c>
      <c r="C498" s="7">
        <f>$AR$7*EXP(-'3.r(t)'!D496*$AR$21)</f>
        <v>0.97765346695821032</v>
      </c>
      <c r="D498" s="7">
        <v>1</v>
      </c>
      <c r="E498" s="7"/>
      <c r="F498" s="7">
        <v>490</v>
      </c>
      <c r="G498" s="48">
        <f>$AS$7*EXP(-'3.r(t)'!D496*$AS$21)</f>
        <v>0.9553476245219803</v>
      </c>
      <c r="H498" s="7">
        <f ca="1">$AS$8*EXP(-'3.r(t)'!E496*$AS$22)</f>
        <v>0.97420524275720599</v>
      </c>
      <c r="I498" s="7">
        <v>1</v>
      </c>
      <c r="J498" s="7"/>
      <c r="K498" s="7">
        <v>490</v>
      </c>
      <c r="L498" s="7">
        <f>$AT$7*EXP(-'3.r(t)'!D496*$AT$21)</f>
        <v>0.93311670519824419</v>
      </c>
      <c r="M498" s="7">
        <f ca="1">$AT$8*EXP(-'3.r(t)'!E496*$AT$22)</f>
        <v>0.94862882696474626</v>
      </c>
      <c r="N498" s="7">
        <f ca="1">$AT$9*EXP(-'3.r(t)'!F496*$AT$23)</f>
        <v>0.97508142134196985</v>
      </c>
      <c r="O498" s="7">
        <v>1</v>
      </c>
      <c r="P498" s="7"/>
      <c r="Q498" s="7">
        <v>490</v>
      </c>
      <c r="R498" s="7">
        <f>$AU$7*EXP(-'3.r(t)'!D496*$AU$21)</f>
        <v>0.91099305977534117</v>
      </c>
      <c r="S498" s="7">
        <f ca="1">$AU$8*EXP(-'3.r(t)'!E496*$AU$22)</f>
        <v>0.92330264723294209</v>
      </c>
      <c r="T498" s="7">
        <f ca="1">$AU$9*EXP(-'3.r(t)'!F496*$AU$23)</f>
        <v>0.95034438000852328</v>
      </c>
      <c r="U498" s="7">
        <f ca="1">$AU$10*EXP(-'3.r(t)'!G496*$AU$24)</f>
        <v>0.97566330985404237</v>
      </c>
      <c r="V498" s="7">
        <v>1</v>
      </c>
      <c r="W498" s="7"/>
      <c r="X498" s="7">
        <v>490</v>
      </c>
      <c r="Y498" s="7">
        <f>$AV$7*EXP(-'3.r(t)'!D496*$AV$21)</f>
        <v>0.88900715067201674</v>
      </c>
      <c r="Z498" s="7">
        <f ca="1">$AV$8*EXP(-'3.r(t)'!E496*$AV$22)</f>
        <v>0.89825628678573488</v>
      </c>
      <c r="AA498" s="7">
        <f ca="1">$AV$9*EXP(-'3.r(t)'!F496*$AV$23)</f>
        <v>0.92582073183640401</v>
      </c>
      <c r="AB498" s="7">
        <f ca="1">$AV$10*EXP(-'3.r(t)'!G496*$AV$24)</f>
        <v>0.95148741578484231</v>
      </c>
      <c r="AC498" s="7">
        <f ca="1">$AV$11*EXP(-'3.r(t)'!H496*$AV$25)</f>
        <v>0.9729899237318036</v>
      </c>
      <c r="AD498" s="7">
        <v>1</v>
      </c>
      <c r="AE498" s="7"/>
      <c r="AF498" s="7">
        <v>490</v>
      </c>
      <c r="AG498" s="7">
        <f>$AW$7*EXP(-'3.r(t)'!D496*$AW$21)</f>
        <v>0.86718755429225491</v>
      </c>
      <c r="AH498" s="7">
        <f ca="1">$AW$8*EXP(-'3.r(t)'!E496*$AW$22)</f>
        <v>0.8735170502748737</v>
      </c>
      <c r="AI498" s="7">
        <f ca="1">$AW$9*EXP(-'3.r(t)'!F496*$AW$23)</f>
        <v>0.90154014174041841</v>
      </c>
      <c r="AJ498" s="7">
        <f ca="1">$AW$10*EXP(-'3.r(t)'!G496*$AW$24)</f>
        <v>0.9275038908808465</v>
      </c>
      <c r="AK498" s="7">
        <f ca="1">$AW$11*EXP(-'3.r(t)'!H496*$AW$25)</f>
        <v>0.94628867287070106</v>
      </c>
      <c r="AL498" s="7">
        <f ca="1">$AW$12*EXP(-'3.r(t)'!I496*$AW$26)</f>
        <v>0.97012681093460695</v>
      </c>
      <c r="AM498" s="7">
        <v>1</v>
      </c>
      <c r="AN498" s="7"/>
    </row>
    <row r="499" spans="2:40">
      <c r="B499" s="7">
        <v>491</v>
      </c>
      <c r="C499" s="7">
        <f>$AR$7*EXP(-'3.r(t)'!D497*$AR$21)</f>
        <v>0.97765346695821032</v>
      </c>
      <c r="D499" s="7">
        <v>1</v>
      </c>
      <c r="E499" s="7"/>
      <c r="F499" s="7">
        <v>491</v>
      </c>
      <c r="G499" s="48">
        <f>$AS$7*EXP(-'3.r(t)'!D497*$AS$21)</f>
        <v>0.9553476245219803</v>
      </c>
      <c r="H499" s="7">
        <f ca="1">$AS$8*EXP(-'3.r(t)'!E497*$AS$22)</f>
        <v>0.98465532309217918</v>
      </c>
      <c r="I499" s="7">
        <v>1</v>
      </c>
      <c r="J499" s="7"/>
      <c r="K499" s="7">
        <v>491</v>
      </c>
      <c r="L499" s="7">
        <f>$AT$7*EXP(-'3.r(t)'!D497*$AT$21)</f>
        <v>0.93311670519824419</v>
      </c>
      <c r="M499" s="7">
        <f ca="1">$AT$8*EXP(-'3.r(t)'!E497*$AT$22)</f>
        <v>0.96908943546764015</v>
      </c>
      <c r="N499" s="7">
        <f ca="1">$AT$9*EXP(-'3.r(t)'!F497*$AT$23)</f>
        <v>0.98251253007141193</v>
      </c>
      <c r="O499" s="7">
        <v>1</v>
      </c>
      <c r="P499" s="7"/>
      <c r="Q499" s="7">
        <v>491</v>
      </c>
      <c r="R499" s="7">
        <f>$AU$7*EXP(-'3.r(t)'!D497*$AU$21)</f>
        <v>0.91099305977534117</v>
      </c>
      <c r="S499" s="7">
        <f ca="1">$AU$8*EXP(-'3.r(t)'!E497*$AU$22)</f>
        <v>0.95333468164031898</v>
      </c>
      <c r="T499" s="7">
        <f ca="1">$AU$9*EXP(-'3.r(t)'!F497*$AU$23)</f>
        <v>0.96488475066953949</v>
      </c>
      <c r="U499" s="7">
        <f ca="1">$AU$10*EXP(-'3.r(t)'!G497*$AU$24)</f>
        <v>0.98359613719859063</v>
      </c>
      <c r="V499" s="7">
        <v>1</v>
      </c>
      <c r="W499" s="7"/>
      <c r="X499" s="7">
        <v>491</v>
      </c>
      <c r="Y499" s="7">
        <f>$AV$7*EXP(-'3.r(t)'!D497*$AV$21)</f>
        <v>0.88900715067201674</v>
      </c>
      <c r="Z499" s="7">
        <f ca="1">$AV$8*EXP(-'3.r(t)'!E497*$AV$22)</f>
        <v>0.93742244548783904</v>
      </c>
      <c r="AA499" s="7">
        <f ca="1">$AV$9*EXP(-'3.r(t)'!F497*$AV$23)</f>
        <v>0.94714953325194196</v>
      </c>
      <c r="AB499" s="7">
        <f ca="1">$AV$10*EXP(-'3.r(t)'!G497*$AV$24)</f>
        <v>0.96702283773267461</v>
      </c>
      <c r="AC499" s="7">
        <f ca="1">$AV$11*EXP(-'3.r(t)'!H497*$AV$25)</f>
        <v>0.98687621952847615</v>
      </c>
      <c r="AD499" s="7">
        <v>1</v>
      </c>
      <c r="AE499" s="7"/>
      <c r="AF499" s="7">
        <v>491</v>
      </c>
      <c r="AG499" s="7">
        <f>$AW$7*EXP(-'3.r(t)'!D497*$AW$21)</f>
        <v>0.86718755429225491</v>
      </c>
      <c r="AH499" s="7">
        <f ca="1">$AW$8*EXP(-'3.r(t)'!E497*$AW$22)</f>
        <v>0.92138309455186096</v>
      </c>
      <c r="AI499" s="7">
        <f ca="1">$AW$9*EXP(-'3.r(t)'!F497*$AW$23)</f>
        <v>0.92933850741389734</v>
      </c>
      <c r="AJ499" s="7">
        <f ca="1">$AW$10*EXP(-'3.r(t)'!G497*$AW$24)</f>
        <v>0.95031210898846896</v>
      </c>
      <c r="AK499" s="7">
        <f ca="1">$AW$11*EXP(-'3.r(t)'!H497*$AW$25)</f>
        <v>0.97349185935370086</v>
      </c>
      <c r="AL499" s="7">
        <f ca="1">$AW$12*EXP(-'3.r(t)'!I497*$AW$26)</f>
        <v>0.98490997021447735</v>
      </c>
      <c r="AM499" s="7">
        <v>1</v>
      </c>
      <c r="AN499" s="7"/>
    </row>
    <row r="500" spans="2:40">
      <c r="B500" s="7">
        <v>492</v>
      </c>
      <c r="C500" s="7">
        <f>$AR$7*EXP(-'3.r(t)'!D498*$AR$21)</f>
        <v>0.97765346695821032</v>
      </c>
      <c r="D500" s="7">
        <v>1</v>
      </c>
      <c r="E500" s="7"/>
      <c r="F500" s="7">
        <v>492</v>
      </c>
      <c r="G500" s="48">
        <f>$AS$7*EXP(-'3.r(t)'!D498*$AS$21)</f>
        <v>0.9553476245219803</v>
      </c>
      <c r="H500" s="7">
        <f ca="1">$AS$8*EXP(-'3.r(t)'!E498*$AS$22)</f>
        <v>0.97726219324062502</v>
      </c>
      <c r="I500" s="7">
        <v>1</v>
      </c>
      <c r="J500" s="7"/>
      <c r="K500" s="7">
        <v>492</v>
      </c>
      <c r="L500" s="7">
        <f>$AT$7*EXP(-'3.r(t)'!D498*$AT$21)</f>
        <v>0.93311670519824419</v>
      </c>
      <c r="M500" s="7">
        <f ca="1">$AT$8*EXP(-'3.r(t)'!E498*$AT$22)</f>
        <v>0.95459155643383131</v>
      </c>
      <c r="N500" s="7">
        <f ca="1">$AT$9*EXP(-'3.r(t)'!F498*$AT$23)</f>
        <v>0.9734317769887133</v>
      </c>
      <c r="O500" s="7">
        <v>1</v>
      </c>
      <c r="P500" s="7"/>
      <c r="Q500" s="7">
        <v>492</v>
      </c>
      <c r="R500" s="7">
        <f>$AU$7*EXP(-'3.r(t)'!D498*$AU$21)</f>
        <v>0.91099305977534117</v>
      </c>
      <c r="S500" s="7">
        <f ca="1">$AU$8*EXP(-'3.r(t)'!E498*$AU$22)</f>
        <v>0.93202162024563673</v>
      </c>
      <c r="T500" s="7">
        <f ca="1">$AU$9*EXP(-'3.r(t)'!F498*$AU$23)</f>
        <v>0.94713151170533227</v>
      </c>
      <c r="U500" s="7">
        <f ca="1">$AU$10*EXP(-'3.r(t)'!G498*$AU$24)</f>
        <v>0.98018767044374311</v>
      </c>
      <c r="V500" s="7">
        <v>1</v>
      </c>
      <c r="W500" s="7"/>
      <c r="X500" s="7">
        <v>492</v>
      </c>
      <c r="Y500" s="7">
        <f>$AV$7*EXP(-'3.r(t)'!D498*$AV$21)</f>
        <v>0.88900715067201674</v>
      </c>
      <c r="Z500" s="7">
        <f ca="1">$AV$8*EXP(-'3.r(t)'!E498*$AV$22)</f>
        <v>0.90958398879437397</v>
      </c>
      <c r="AA500" s="7">
        <f ca="1">$AV$9*EXP(-'3.r(t)'!F498*$AV$23)</f>
        <v>0.92112976187260043</v>
      </c>
      <c r="AB500" s="7">
        <f ca="1">$AV$10*EXP(-'3.r(t)'!G498*$AV$24)</f>
        <v>0.96033237988465681</v>
      </c>
      <c r="AC500" s="7">
        <f ca="1">$AV$11*EXP(-'3.r(t)'!H498*$AV$25)</f>
        <v>0.98258535898786559</v>
      </c>
      <c r="AD500" s="7">
        <v>1</v>
      </c>
      <c r="AE500" s="7"/>
      <c r="AF500" s="7">
        <v>492</v>
      </c>
      <c r="AG500" s="7">
        <f>$AW$7*EXP(-'3.r(t)'!D498*$AW$21)</f>
        <v>0.86718755429225491</v>
      </c>
      <c r="AH500" s="7">
        <f ca="1">$AW$8*EXP(-'3.r(t)'!E498*$AW$22)</f>
        <v>0.88730833948699328</v>
      </c>
      <c r="AI500" s="7">
        <f ca="1">$AW$9*EXP(-'3.r(t)'!F498*$AW$23)</f>
        <v>0.89545469819447021</v>
      </c>
      <c r="AJ500" s="7">
        <f ca="1">$AW$10*EXP(-'3.r(t)'!G498*$AW$24)</f>
        <v>0.94046692286305433</v>
      </c>
      <c r="AK500" s="7">
        <f ca="1">$AW$11*EXP(-'3.r(t)'!H498*$AW$25)</f>
        <v>0.96504492987494683</v>
      </c>
      <c r="AL500" s="7">
        <f ca="1">$AW$12*EXP(-'3.r(t)'!I498*$AW$26)</f>
        <v>0.98444127026158335</v>
      </c>
      <c r="AM500" s="7">
        <v>1</v>
      </c>
      <c r="AN500" s="7"/>
    </row>
    <row r="501" spans="2:40">
      <c r="B501" s="7">
        <v>493</v>
      </c>
      <c r="C501" s="7">
        <f>$AR$7*EXP(-'3.r(t)'!D499*$AR$21)</f>
        <v>0.97765346695821032</v>
      </c>
      <c r="D501" s="7">
        <v>1</v>
      </c>
      <c r="E501" s="7"/>
      <c r="F501" s="7">
        <v>493</v>
      </c>
      <c r="G501" s="48">
        <f>$AS$7*EXP(-'3.r(t)'!D499*$AS$21)</f>
        <v>0.9553476245219803</v>
      </c>
      <c r="H501" s="7">
        <f ca="1">$AS$8*EXP(-'3.r(t)'!E499*$AS$22)</f>
        <v>0.98135743775483986</v>
      </c>
      <c r="I501" s="7">
        <v>1</v>
      </c>
      <c r="J501" s="7"/>
      <c r="K501" s="7">
        <v>493</v>
      </c>
      <c r="L501" s="7">
        <f>$AT$7*EXP(-'3.r(t)'!D499*$AT$21)</f>
        <v>0.93311670519824419</v>
      </c>
      <c r="M501" s="7">
        <f ca="1">$AT$8*EXP(-'3.r(t)'!E499*$AT$22)</f>
        <v>0.96260880471711241</v>
      </c>
      <c r="N501" s="7">
        <f ca="1">$AT$9*EXP(-'3.r(t)'!F499*$AT$23)</f>
        <v>0.98138121092876685</v>
      </c>
      <c r="O501" s="7">
        <v>1</v>
      </c>
      <c r="P501" s="7"/>
      <c r="Q501" s="7">
        <v>493</v>
      </c>
      <c r="R501" s="7">
        <f>$AU$7*EXP(-'3.r(t)'!D499*$AU$21)</f>
        <v>0.91099305977534117</v>
      </c>
      <c r="S501" s="7">
        <f ca="1">$AU$8*EXP(-'3.r(t)'!E499*$AU$22)</f>
        <v>0.9437877770848434</v>
      </c>
      <c r="T501" s="7">
        <f ca="1">$AU$9*EXP(-'3.r(t)'!F499*$AU$23)</f>
        <v>0.96266398687158827</v>
      </c>
      <c r="U501" s="7">
        <f ca="1">$AU$10*EXP(-'3.r(t)'!G499*$AU$24)</f>
        <v>0.98251024025484746</v>
      </c>
      <c r="V501" s="7">
        <v>1</v>
      </c>
      <c r="W501" s="7"/>
      <c r="X501" s="7">
        <v>493</v>
      </c>
      <c r="Y501" s="7">
        <f>$AV$7*EXP(-'3.r(t)'!D499*$AV$21)</f>
        <v>0.88900715067201674</v>
      </c>
      <c r="Z501" s="7">
        <f ca="1">$AV$8*EXP(-'3.r(t)'!E499*$AV$22)</f>
        <v>0.9249266418761185</v>
      </c>
      <c r="AA501" s="7">
        <f ca="1">$AV$9*EXP(-'3.r(t)'!F499*$AV$23)</f>
        <v>0.94388149842756885</v>
      </c>
      <c r="AB501" s="7">
        <f ca="1">$AV$10*EXP(-'3.r(t)'!G499*$AV$24)</f>
        <v>0.96488881655753034</v>
      </c>
      <c r="AC501" s="7">
        <f ca="1">$AV$11*EXP(-'3.r(t)'!H499*$AV$25)</f>
        <v>0.98271390844654827</v>
      </c>
      <c r="AD501" s="7">
        <v>1</v>
      </c>
      <c r="AE501" s="7"/>
      <c r="AF501" s="7">
        <v>493</v>
      </c>
      <c r="AG501" s="7">
        <f>$AW$7*EXP(-'3.r(t)'!D499*$AW$21)</f>
        <v>0.86718755429225491</v>
      </c>
      <c r="AH501" s="7">
        <f ca="1">$AW$8*EXP(-'3.r(t)'!E499*$AW$22)</f>
        <v>0.90605626169320663</v>
      </c>
      <c r="AI501" s="7">
        <f ca="1">$AW$9*EXP(-'3.r(t)'!F499*$AW$23)</f>
        <v>0.92506552816062293</v>
      </c>
      <c r="AJ501" s="7">
        <f ca="1">$AW$10*EXP(-'3.r(t)'!G499*$AW$24)</f>
        <v>0.94716812908147374</v>
      </c>
      <c r="AK501" s="7">
        <f ca="1">$AW$11*EXP(-'3.r(t)'!H499*$AW$25)</f>
        <v>0.96529745575921855</v>
      </c>
      <c r="AL501" s="7">
        <f ca="1">$AW$12*EXP(-'3.r(t)'!I499*$AW$26)</f>
        <v>0.98539698376239249</v>
      </c>
      <c r="AM501" s="7">
        <v>1</v>
      </c>
      <c r="AN501" s="7"/>
    </row>
    <row r="502" spans="2:40">
      <c r="B502" s="7">
        <v>494</v>
      </c>
      <c r="C502" s="7">
        <f>$AR$7*EXP(-'3.r(t)'!D500*$AR$21)</f>
        <v>0.97765346695821032</v>
      </c>
      <c r="D502" s="7">
        <v>1</v>
      </c>
      <c r="E502" s="7"/>
      <c r="F502" s="7">
        <v>494</v>
      </c>
      <c r="G502" s="48">
        <f>$AS$7*EXP(-'3.r(t)'!D500*$AS$21)</f>
        <v>0.9553476245219803</v>
      </c>
      <c r="H502" s="7">
        <f ca="1">$AS$8*EXP(-'3.r(t)'!E500*$AS$22)</f>
        <v>0.97763889412642102</v>
      </c>
      <c r="I502" s="7">
        <v>1</v>
      </c>
      <c r="J502" s="7"/>
      <c r="K502" s="7">
        <v>494</v>
      </c>
      <c r="L502" s="7">
        <f>$AT$7*EXP(-'3.r(t)'!D500*$AT$21)</f>
        <v>0.93311670519824419</v>
      </c>
      <c r="M502" s="7">
        <f ca="1">$AT$8*EXP(-'3.r(t)'!E500*$AT$22)</f>
        <v>0.95532762254423875</v>
      </c>
      <c r="N502" s="7">
        <f ca="1">$AT$9*EXP(-'3.r(t)'!F500*$AT$23)</f>
        <v>0.97569130974180418</v>
      </c>
      <c r="O502" s="7">
        <v>1</v>
      </c>
      <c r="P502" s="7"/>
      <c r="Q502" s="7">
        <v>494</v>
      </c>
      <c r="R502" s="7">
        <f>$AU$7*EXP(-'3.r(t)'!D500*$AU$21)</f>
        <v>0.91099305977534117</v>
      </c>
      <c r="S502" s="7">
        <f ca="1">$AU$8*EXP(-'3.r(t)'!E500*$AU$22)</f>
        <v>0.93309982236213052</v>
      </c>
      <c r="T502" s="7">
        <f ca="1">$AU$9*EXP(-'3.r(t)'!F500*$AU$23)</f>
        <v>0.95153358383138631</v>
      </c>
      <c r="U502" s="7">
        <f ca="1">$AU$10*EXP(-'3.r(t)'!G500*$AU$24)</f>
        <v>0.97669110520195368</v>
      </c>
      <c r="V502" s="7">
        <v>1</v>
      </c>
      <c r="W502" s="7"/>
      <c r="X502" s="7">
        <v>494</v>
      </c>
      <c r="Y502" s="7">
        <f>$AV$7*EXP(-'3.r(t)'!D500*$AV$21)</f>
        <v>0.88900715067201674</v>
      </c>
      <c r="Z502" s="7">
        <f ca="1">$AV$8*EXP(-'3.r(t)'!E500*$AV$22)</f>
        <v>0.91098725298311034</v>
      </c>
      <c r="AA502" s="7">
        <f ca="1">$AV$9*EXP(-'3.r(t)'!F500*$AV$23)</f>
        <v>0.92755904996558169</v>
      </c>
      <c r="AB502" s="7">
        <f ca="1">$AV$10*EXP(-'3.r(t)'!G500*$AV$24)</f>
        <v>0.95349312702461064</v>
      </c>
      <c r="AC502" s="7">
        <f ca="1">$AV$11*EXP(-'3.r(t)'!H500*$AV$25)</f>
        <v>0.97310399835116501</v>
      </c>
      <c r="AD502" s="7">
        <v>1</v>
      </c>
      <c r="AE502" s="7"/>
      <c r="AF502" s="7">
        <v>494</v>
      </c>
      <c r="AG502" s="7">
        <f>$AW$7*EXP(-'3.r(t)'!D500*$AW$21)</f>
        <v>0.86718755429225491</v>
      </c>
      <c r="AH502" s="7">
        <f ca="1">$AW$8*EXP(-'3.r(t)'!E500*$AW$22)</f>
        <v>0.88901979227161432</v>
      </c>
      <c r="AI502" s="7">
        <f ca="1">$AW$9*EXP(-'3.r(t)'!F500*$AW$23)</f>
        <v>0.9037978196847648</v>
      </c>
      <c r="AJ502" s="7">
        <f ca="1">$AW$10*EXP(-'3.r(t)'!G500*$AW$24)</f>
        <v>0.93043816773944121</v>
      </c>
      <c r="AK502" s="7">
        <f ca="1">$AW$11*EXP(-'3.r(t)'!H500*$AW$25)</f>
        <v>0.94651057413706641</v>
      </c>
      <c r="AL502" s="7">
        <f ca="1">$AW$12*EXP(-'3.r(t)'!I500*$AW$26)</f>
        <v>0.97366309703325915</v>
      </c>
      <c r="AM502" s="7">
        <v>1</v>
      </c>
      <c r="AN502" s="7"/>
    </row>
    <row r="503" spans="2:40">
      <c r="B503" s="7">
        <v>495</v>
      </c>
      <c r="C503" s="7">
        <f>$AR$7*EXP(-'3.r(t)'!D501*$AR$21)</f>
        <v>0.97765346695821032</v>
      </c>
      <c r="D503" s="7">
        <v>1</v>
      </c>
      <c r="E503" s="7"/>
      <c r="F503" s="7">
        <v>495</v>
      </c>
      <c r="G503" s="48">
        <f>$AS$7*EXP(-'3.r(t)'!D501*$AS$21)</f>
        <v>0.9553476245219803</v>
      </c>
      <c r="H503" s="7">
        <f ca="1">$AS$8*EXP(-'3.r(t)'!E501*$AS$22)</f>
        <v>0.97944250697539448</v>
      </c>
      <c r="I503" s="7">
        <v>1</v>
      </c>
      <c r="J503" s="7"/>
      <c r="K503" s="7">
        <v>495</v>
      </c>
      <c r="L503" s="7">
        <f>$AT$7*EXP(-'3.r(t)'!D501*$AT$21)</f>
        <v>0.93311670519824419</v>
      </c>
      <c r="M503" s="7">
        <f ca="1">$AT$8*EXP(-'3.r(t)'!E501*$AT$22)</f>
        <v>0.95885577711231829</v>
      </c>
      <c r="N503" s="7">
        <f ca="1">$AT$9*EXP(-'3.r(t)'!F501*$AT$23)</f>
        <v>0.97937720690079044</v>
      </c>
      <c r="O503" s="7">
        <v>1</v>
      </c>
      <c r="P503" s="7"/>
      <c r="Q503" s="7">
        <v>495</v>
      </c>
      <c r="R503" s="7">
        <f>$AU$7*EXP(-'3.r(t)'!D501*$AU$21)</f>
        <v>0.91099305977534117</v>
      </c>
      <c r="S503" s="7">
        <f ca="1">$AU$8*EXP(-'3.r(t)'!E501*$AU$22)</f>
        <v>0.93827368840009007</v>
      </c>
      <c r="T503" s="7">
        <f ca="1">$AU$9*EXP(-'3.r(t)'!F501*$AU$23)</f>
        <v>0.95873643503488037</v>
      </c>
      <c r="U503" s="7">
        <f ca="1">$AU$10*EXP(-'3.r(t)'!G501*$AU$24)</f>
        <v>0.97512606471138741</v>
      </c>
      <c r="V503" s="7">
        <v>1</v>
      </c>
      <c r="W503" s="7"/>
      <c r="X503" s="7">
        <v>495</v>
      </c>
      <c r="Y503" s="7">
        <f>$AV$7*EXP(-'3.r(t)'!D501*$AV$21)</f>
        <v>0.88900715067201674</v>
      </c>
      <c r="Z503" s="7">
        <f ca="1">$AV$8*EXP(-'3.r(t)'!E501*$AV$22)</f>
        <v>0.9177284772980665</v>
      </c>
      <c r="AA503" s="7">
        <f ca="1">$AV$9*EXP(-'3.r(t)'!F501*$AV$23)</f>
        <v>0.93811101181743828</v>
      </c>
      <c r="AB503" s="7">
        <f ca="1">$AV$10*EXP(-'3.r(t)'!G501*$AV$24)</f>
        <v>0.95043983872194548</v>
      </c>
      <c r="AC503" s="7">
        <f ca="1">$AV$11*EXP(-'3.r(t)'!H501*$AV$25)</f>
        <v>0.97051594015221865</v>
      </c>
      <c r="AD503" s="7">
        <v>1</v>
      </c>
      <c r="AE503" s="7"/>
      <c r="AF503" s="7">
        <v>495</v>
      </c>
      <c r="AG503" s="7">
        <f>$AW$7*EXP(-'3.r(t)'!D501*$AW$21)</f>
        <v>0.86718755429225491</v>
      </c>
      <c r="AH503" s="7">
        <f ca="1">$AW$8*EXP(-'3.r(t)'!E501*$AW$22)</f>
        <v>0.89725071857155481</v>
      </c>
      <c r="AI503" s="7">
        <f ca="1">$AW$9*EXP(-'3.r(t)'!F501*$AW$23)</f>
        <v>0.91753261684466936</v>
      </c>
      <c r="AJ503" s="7">
        <f ca="1">$AW$10*EXP(-'3.r(t)'!G501*$AW$24)</f>
        <v>0.92597255536709255</v>
      </c>
      <c r="AK503" s="7">
        <f ca="1">$AW$11*EXP(-'3.r(t)'!H501*$AW$25)</f>
        <v>0.94148260804730088</v>
      </c>
      <c r="AL503" s="7">
        <f ca="1">$AW$12*EXP(-'3.r(t)'!I501*$AW$26)</f>
        <v>0.9670956814672822</v>
      </c>
      <c r="AM503" s="7">
        <v>1</v>
      </c>
      <c r="AN503" s="7"/>
    </row>
    <row r="504" spans="2:40">
      <c r="B504" s="7">
        <v>496</v>
      </c>
      <c r="C504" s="7">
        <f>$AR$7*EXP(-'3.r(t)'!D502*$AR$21)</f>
        <v>0.97765346695821032</v>
      </c>
      <c r="D504" s="7">
        <v>1</v>
      </c>
      <c r="E504" s="7"/>
      <c r="F504" s="7">
        <v>496</v>
      </c>
      <c r="G504" s="48">
        <f>$AS$7*EXP(-'3.r(t)'!D502*$AS$21)</f>
        <v>0.9553476245219803</v>
      </c>
      <c r="H504" s="7">
        <f ca="1">$AS$8*EXP(-'3.r(t)'!E502*$AS$22)</f>
        <v>0.97590354705227245</v>
      </c>
      <c r="I504" s="7">
        <v>1</v>
      </c>
      <c r="J504" s="7"/>
      <c r="K504" s="7">
        <v>496</v>
      </c>
      <c r="L504" s="7">
        <f>$AT$7*EXP(-'3.r(t)'!D502*$AT$21)</f>
        <v>0.93311670519824419</v>
      </c>
      <c r="M504" s="7">
        <f ca="1">$AT$8*EXP(-'3.r(t)'!E502*$AT$22)</f>
        <v>0.95193914515723332</v>
      </c>
      <c r="N504" s="7">
        <f ca="1">$AT$9*EXP(-'3.r(t)'!F502*$AT$23)</f>
        <v>0.9778853487896737</v>
      </c>
      <c r="O504" s="7">
        <v>1</v>
      </c>
      <c r="P504" s="7"/>
      <c r="Q504" s="7">
        <v>496</v>
      </c>
      <c r="R504" s="7">
        <f>$AU$7*EXP(-'3.r(t)'!D502*$AU$21)</f>
        <v>0.91099305977534117</v>
      </c>
      <c r="S504" s="7">
        <f ca="1">$AU$8*EXP(-'3.r(t)'!E502*$AU$22)</f>
        <v>0.9281397716064399</v>
      </c>
      <c r="T504" s="7">
        <f ca="1">$AU$9*EXP(-'3.r(t)'!F502*$AU$23)</f>
        <v>0.95581782645426971</v>
      </c>
      <c r="U504" s="7">
        <f ca="1">$AU$10*EXP(-'3.r(t)'!G502*$AU$24)</f>
        <v>0.97851604636825884</v>
      </c>
      <c r="V504" s="7">
        <v>1</v>
      </c>
      <c r="W504" s="7"/>
      <c r="X504" s="7">
        <v>496</v>
      </c>
      <c r="Y504" s="7">
        <f>$AV$7*EXP(-'3.r(t)'!D502*$AV$21)</f>
        <v>0.88900715067201674</v>
      </c>
      <c r="Z504" s="7">
        <f ca="1">$AV$8*EXP(-'3.r(t)'!E502*$AV$22)</f>
        <v>0.90453630317119338</v>
      </c>
      <c r="AA504" s="7">
        <f ca="1">$AV$9*EXP(-'3.r(t)'!F502*$AV$23)</f>
        <v>0.93383054337754112</v>
      </c>
      <c r="AB504" s="7">
        <f ca="1">$AV$10*EXP(-'3.r(t)'!G502*$AV$24)</f>
        <v>0.95705964770624863</v>
      </c>
      <c r="AC504" s="7">
        <f ca="1">$AV$11*EXP(-'3.r(t)'!H502*$AV$25)</f>
        <v>0.97743833351634124</v>
      </c>
      <c r="AD504" s="7">
        <v>1</v>
      </c>
      <c r="AE504" s="7"/>
      <c r="AF504" s="7">
        <v>496</v>
      </c>
      <c r="AG504" s="7">
        <f>$AW$7*EXP(-'3.r(t)'!D502*$AW$21)</f>
        <v>0.86718755429225491</v>
      </c>
      <c r="AH504" s="7">
        <f ca="1">$AW$8*EXP(-'3.r(t)'!E502*$AW$22)</f>
        <v>0.8811575299008052</v>
      </c>
      <c r="AI504" s="7">
        <f ca="1">$AW$9*EXP(-'3.r(t)'!F502*$AW$23)</f>
        <v>0.91195477004829428</v>
      </c>
      <c r="AJ504" s="7">
        <f ca="1">$AW$10*EXP(-'3.r(t)'!G502*$AW$24)</f>
        <v>0.93566347257159432</v>
      </c>
      <c r="AK504" s="7">
        <f ca="1">$AW$11*EXP(-'3.r(t)'!H502*$AW$25)</f>
        <v>0.9549611212540966</v>
      </c>
      <c r="AL504" s="7">
        <f ca="1">$AW$12*EXP(-'3.r(t)'!I502*$AW$26)</f>
        <v>0.97792616571246227</v>
      </c>
      <c r="AM504" s="7">
        <v>1</v>
      </c>
      <c r="AN504" s="7"/>
    </row>
    <row r="505" spans="2:40">
      <c r="B505" s="7">
        <v>497</v>
      </c>
      <c r="C505" s="7">
        <f>$AR$7*EXP(-'3.r(t)'!D503*$AR$21)</f>
        <v>0.97765346695821032</v>
      </c>
      <c r="D505" s="7">
        <v>1</v>
      </c>
      <c r="E505" s="7"/>
      <c r="F505" s="7">
        <v>497</v>
      </c>
      <c r="G505" s="48">
        <f>$AS$7*EXP(-'3.r(t)'!D503*$AS$21)</f>
        <v>0.9553476245219803</v>
      </c>
      <c r="H505" s="7">
        <f ca="1">$AS$8*EXP(-'3.r(t)'!E503*$AS$22)</f>
        <v>0.97284794384789197</v>
      </c>
      <c r="I505" s="7">
        <v>1</v>
      </c>
      <c r="J505" s="7"/>
      <c r="K505" s="7">
        <v>497</v>
      </c>
      <c r="L505" s="7">
        <f>$AT$7*EXP(-'3.r(t)'!D503*$AT$21)</f>
        <v>0.93311670519824419</v>
      </c>
      <c r="M505" s="7">
        <f ca="1">$AT$8*EXP(-'3.r(t)'!E503*$AT$22)</f>
        <v>0.94598733856261086</v>
      </c>
      <c r="N505" s="7">
        <f ca="1">$AT$9*EXP(-'3.r(t)'!F503*$AT$23)</f>
        <v>0.97180082568667336</v>
      </c>
      <c r="O505" s="7">
        <v>1</v>
      </c>
      <c r="P505" s="7"/>
      <c r="Q505" s="7">
        <v>497</v>
      </c>
      <c r="R505" s="7">
        <f>$AU$7*EXP(-'3.r(t)'!D503*$AU$21)</f>
        <v>0.91099305977534117</v>
      </c>
      <c r="S505" s="7">
        <f ca="1">$AU$8*EXP(-'3.r(t)'!E503*$AU$22)</f>
        <v>0.91944888286028914</v>
      </c>
      <c r="T505" s="7">
        <f ca="1">$AU$9*EXP(-'3.r(t)'!F503*$AU$23)</f>
        <v>0.94396039824527145</v>
      </c>
      <c r="U505" s="7">
        <f ca="1">$AU$10*EXP(-'3.r(t)'!G503*$AU$24)</f>
        <v>0.97161906528118036</v>
      </c>
      <c r="V505" s="7">
        <v>1</v>
      </c>
      <c r="W505" s="7"/>
      <c r="X505" s="7">
        <v>497</v>
      </c>
      <c r="Y505" s="7">
        <f>$AV$7*EXP(-'3.r(t)'!D503*$AV$21)</f>
        <v>0.88900715067201674</v>
      </c>
      <c r="Z505" s="7">
        <f ca="1">$AV$8*EXP(-'3.r(t)'!E503*$AV$22)</f>
        <v>0.89326080273818409</v>
      </c>
      <c r="AA505" s="7">
        <f ca="1">$AV$9*EXP(-'3.r(t)'!F503*$AV$23)</f>
        <v>0.91650755163406372</v>
      </c>
      <c r="AB505" s="7">
        <f ca="1">$AV$10*EXP(-'3.r(t)'!G503*$AV$24)</f>
        <v>0.94361569925598654</v>
      </c>
      <c r="AC505" s="7">
        <f ca="1">$AV$11*EXP(-'3.r(t)'!H503*$AV$25)</f>
        <v>0.97126552387773968</v>
      </c>
      <c r="AD505" s="7">
        <v>1</v>
      </c>
      <c r="AE505" s="7"/>
      <c r="AF505" s="7">
        <v>497</v>
      </c>
      <c r="AG505" s="7">
        <f>$AW$7*EXP(-'3.r(t)'!D503*$AW$21)</f>
        <v>0.86718755429225491</v>
      </c>
      <c r="AH505" s="7">
        <f ca="1">$AW$8*EXP(-'3.r(t)'!E503*$AW$22)</f>
        <v>0.86744890068305902</v>
      </c>
      <c r="AI505" s="7">
        <f ca="1">$AW$9*EXP(-'3.r(t)'!F503*$AW$23)</f>
        <v>0.88946854998886526</v>
      </c>
      <c r="AJ505" s="7">
        <f ca="1">$AW$10*EXP(-'3.r(t)'!G503*$AW$24)</f>
        <v>0.91601778051474503</v>
      </c>
      <c r="AK505" s="7">
        <f ca="1">$AW$11*EXP(-'3.r(t)'!H503*$AW$25)</f>
        <v>0.94293748899292673</v>
      </c>
      <c r="AL505" s="7">
        <f ca="1">$AW$12*EXP(-'3.r(t)'!I503*$AW$26)</f>
        <v>0.9728512469613686</v>
      </c>
      <c r="AM505" s="7">
        <v>1</v>
      </c>
      <c r="AN505" s="7"/>
    </row>
    <row r="506" spans="2:40">
      <c r="B506" s="7">
        <v>498</v>
      </c>
      <c r="C506" s="7">
        <f>$AR$7*EXP(-'3.r(t)'!D504*$AR$21)</f>
        <v>0.97765346695821032</v>
      </c>
      <c r="D506" s="7">
        <v>1</v>
      </c>
      <c r="E506" s="7"/>
      <c r="F506" s="7">
        <v>498</v>
      </c>
      <c r="G506" s="48">
        <f>$AS$7*EXP(-'3.r(t)'!D504*$AS$21)</f>
        <v>0.9553476245219803</v>
      </c>
      <c r="H506" s="7">
        <f ca="1">$AS$8*EXP(-'3.r(t)'!E504*$AS$22)</f>
        <v>0.97664160717897708</v>
      </c>
      <c r="I506" s="7">
        <v>1</v>
      </c>
      <c r="J506" s="7"/>
      <c r="K506" s="7">
        <v>498</v>
      </c>
      <c r="L506" s="7">
        <f>$AT$7*EXP(-'3.r(t)'!D504*$AT$21)</f>
        <v>0.93311670519824419</v>
      </c>
      <c r="M506" s="7">
        <f ca="1">$AT$8*EXP(-'3.r(t)'!E504*$AT$22)</f>
        <v>0.95337956210484587</v>
      </c>
      <c r="N506" s="7">
        <f ca="1">$AT$9*EXP(-'3.r(t)'!F504*$AT$23)</f>
        <v>0.97445558956488532</v>
      </c>
      <c r="O506" s="7">
        <v>1</v>
      </c>
      <c r="P506" s="7"/>
      <c r="Q506" s="7">
        <v>498</v>
      </c>
      <c r="R506" s="7">
        <f>$AU$7*EXP(-'3.r(t)'!D504*$AU$21)</f>
        <v>0.91099305977534117</v>
      </c>
      <c r="S506" s="7">
        <f ca="1">$AU$8*EXP(-'3.r(t)'!E504*$AU$22)</f>
        <v>0.9302471760582306</v>
      </c>
      <c r="T506" s="7">
        <f ca="1">$AU$9*EXP(-'3.r(t)'!F504*$AU$23)</f>
        <v>0.94912486164916743</v>
      </c>
      <c r="U506" s="7">
        <f ca="1">$AU$10*EXP(-'3.r(t)'!G504*$AU$24)</f>
        <v>0.97455535285954309</v>
      </c>
      <c r="V506" s="7">
        <v>1</v>
      </c>
      <c r="W506" s="7"/>
      <c r="X506" s="7">
        <v>498</v>
      </c>
      <c r="Y506" s="7">
        <f>$AV$7*EXP(-'3.r(t)'!D504*$AV$21)</f>
        <v>0.88900715067201674</v>
      </c>
      <c r="Z506" s="7">
        <f ca="1">$AV$8*EXP(-'3.r(t)'!E504*$AV$22)</f>
        <v>0.90727575383767955</v>
      </c>
      <c r="AA506" s="7">
        <f ca="1">$AV$9*EXP(-'3.r(t)'!F504*$AV$23)</f>
        <v>0.92403923065473781</v>
      </c>
      <c r="AB506" s="7">
        <f ca="1">$AV$10*EXP(-'3.r(t)'!G504*$AV$24)</f>
        <v>0.94932763678849175</v>
      </c>
      <c r="AC506" s="7">
        <f ca="1">$AV$11*EXP(-'3.r(t)'!H504*$AV$25)</f>
        <v>0.97156970645125151</v>
      </c>
      <c r="AD506" s="7">
        <v>1</v>
      </c>
      <c r="AE506" s="7"/>
      <c r="AF506" s="7">
        <v>498</v>
      </c>
      <c r="AG506" s="7">
        <f>$AW$7*EXP(-'3.r(t)'!D504*$AW$21)</f>
        <v>0.86718755429225491</v>
      </c>
      <c r="AH506" s="7">
        <f ca="1">$AW$8*EXP(-'3.r(t)'!E504*$AW$22)</f>
        <v>0.88449459983276213</v>
      </c>
      <c r="AI506" s="7">
        <f ca="1">$AW$9*EXP(-'3.r(t)'!F504*$AW$23)</f>
        <v>0.89922784452938087</v>
      </c>
      <c r="AJ506" s="7">
        <f ca="1">$AW$10*EXP(-'3.r(t)'!G504*$AW$24)</f>
        <v>0.92434767537195561</v>
      </c>
      <c r="AK506" s="7">
        <f ca="1">$AW$11*EXP(-'3.r(t)'!H504*$AW$25)</f>
        <v>0.94352820298246409</v>
      </c>
      <c r="AL506" s="7">
        <f ca="1">$AW$12*EXP(-'3.r(t)'!I504*$AW$26)</f>
        <v>0.97167448285826408</v>
      </c>
      <c r="AM506" s="7">
        <v>1</v>
      </c>
      <c r="AN506" s="7"/>
    </row>
    <row r="507" spans="2:40">
      <c r="B507" s="7">
        <v>499</v>
      </c>
      <c r="C507" s="7">
        <f>$AR$7*EXP(-'3.r(t)'!D505*$AR$21)</f>
        <v>0.97765346695821032</v>
      </c>
      <c r="D507" s="7">
        <v>1</v>
      </c>
      <c r="E507" s="7"/>
      <c r="F507" s="7">
        <v>499</v>
      </c>
      <c r="G507" s="48">
        <f>$AS$7*EXP(-'3.r(t)'!D505*$AS$21)</f>
        <v>0.9553476245219803</v>
      </c>
      <c r="H507" s="7">
        <f ca="1">$AS$8*EXP(-'3.r(t)'!E505*$AS$22)</f>
        <v>0.97748810195966573</v>
      </c>
      <c r="I507" s="7">
        <v>1</v>
      </c>
      <c r="J507" s="7"/>
      <c r="K507" s="7">
        <v>499</v>
      </c>
      <c r="L507" s="7">
        <f>$AT$7*EXP(-'3.r(t)'!D505*$AT$21)</f>
        <v>0.93311670519824419</v>
      </c>
      <c r="M507" s="7">
        <f ca="1">$AT$8*EXP(-'3.r(t)'!E505*$AT$22)</f>
        <v>0.95503294357155677</v>
      </c>
      <c r="N507" s="7">
        <f ca="1">$AT$9*EXP(-'3.r(t)'!F505*$AT$23)</f>
        <v>0.97629388995528066</v>
      </c>
      <c r="O507" s="7">
        <v>1</v>
      </c>
      <c r="P507" s="7"/>
      <c r="Q507" s="7">
        <v>499</v>
      </c>
      <c r="R507" s="7">
        <f>$AU$7*EXP(-'3.r(t)'!D505*$AU$21)</f>
        <v>0.91099305977534117</v>
      </c>
      <c r="S507" s="7">
        <f ca="1">$AU$8*EXP(-'3.r(t)'!E505*$AU$22)</f>
        <v>0.93266812173032632</v>
      </c>
      <c r="T507" s="7">
        <f ca="1">$AU$9*EXP(-'3.r(t)'!F505*$AU$23)</f>
        <v>0.95270926790413346</v>
      </c>
      <c r="U507" s="7">
        <f ca="1">$AU$10*EXP(-'3.r(t)'!G505*$AU$24)</f>
        <v>0.97249016833415614</v>
      </c>
      <c r="V507" s="7">
        <v>1</v>
      </c>
      <c r="W507" s="7"/>
      <c r="X507" s="7">
        <v>499</v>
      </c>
      <c r="Y507" s="7">
        <f>$AV$7*EXP(-'3.r(t)'!D505*$AV$21)</f>
        <v>0.88900715067201674</v>
      </c>
      <c r="Z507" s="7">
        <f ca="1">$AV$8*EXP(-'3.r(t)'!E505*$AV$22)</f>
        <v>0.91042533604730802</v>
      </c>
      <c r="AA507" s="7">
        <f ca="1">$AV$9*EXP(-'3.r(t)'!F505*$AV$23)</f>
        <v>0.92927867374312823</v>
      </c>
      <c r="AB507" s="7">
        <f ca="1">$AV$10*EXP(-'3.r(t)'!G505*$AV$24)</f>
        <v>0.94530845111933337</v>
      </c>
      <c r="AC507" s="7">
        <f ca="1">$AV$11*EXP(-'3.r(t)'!H505*$AV$25)</f>
        <v>0.97486184141345777</v>
      </c>
      <c r="AD507" s="7">
        <v>1</v>
      </c>
      <c r="AE507" s="7"/>
      <c r="AF507" s="7">
        <v>499</v>
      </c>
      <c r="AG507" s="7">
        <f>$AW$7*EXP(-'3.r(t)'!D505*$AW$21)</f>
        <v>0.86718755429225491</v>
      </c>
      <c r="AH507" s="7">
        <f ca="1">$AW$8*EXP(-'3.r(t)'!E505*$AW$22)</f>
        <v>0.88833438647575769</v>
      </c>
      <c r="AI507" s="7">
        <f ca="1">$AW$9*EXP(-'3.r(t)'!F505*$AW$23)</f>
        <v>0.90603260606498481</v>
      </c>
      <c r="AJ507" s="7">
        <f ca="1">$AW$10*EXP(-'3.r(t)'!G505*$AW$24)</f>
        <v>0.91848375156526862</v>
      </c>
      <c r="AK507" s="7">
        <f ca="1">$AW$11*EXP(-'3.r(t)'!H505*$AW$25)</f>
        <v>0.94993327064730237</v>
      </c>
      <c r="AL507" s="7">
        <f ca="1">$AW$12*EXP(-'3.r(t)'!I505*$AW$26)</f>
        <v>0.97595909404468928</v>
      </c>
      <c r="AM507" s="7">
        <v>1</v>
      </c>
      <c r="AN507" s="7"/>
    </row>
    <row r="508" spans="2:40">
      <c r="B508" s="7">
        <v>500</v>
      </c>
      <c r="C508" s="7">
        <f>$AR$7*EXP(-'3.r(t)'!D506*$AR$21)</f>
        <v>0.97765346695821032</v>
      </c>
      <c r="D508" s="7">
        <v>1</v>
      </c>
      <c r="E508" s="7"/>
      <c r="F508" s="7">
        <v>500</v>
      </c>
      <c r="G508" s="48">
        <f>$AS$7*EXP(-'3.r(t)'!D506*$AS$21)</f>
        <v>0.9553476245219803</v>
      </c>
      <c r="H508" s="7">
        <f ca="1">$AS$8*EXP(-'3.r(t)'!E506*$AS$22)</f>
        <v>0.98194242033963586</v>
      </c>
      <c r="I508" s="7">
        <v>1</v>
      </c>
      <c r="J508" s="7"/>
      <c r="K508" s="7">
        <v>500</v>
      </c>
      <c r="L508" s="7">
        <f>$AT$7*EXP(-'3.r(t)'!D506*$AT$21)</f>
        <v>0.93311670519824419</v>
      </c>
      <c r="M508" s="7">
        <f ca="1">$AT$8*EXP(-'3.r(t)'!E506*$AT$22)</f>
        <v>0.96375675998498533</v>
      </c>
      <c r="N508" s="7">
        <f ca="1">$AT$9*EXP(-'3.r(t)'!F506*$AT$23)</f>
        <v>0.98226297803330853</v>
      </c>
      <c r="O508" s="7">
        <v>1</v>
      </c>
      <c r="P508" s="7"/>
      <c r="Q508" s="7">
        <v>500</v>
      </c>
      <c r="R508" s="7">
        <f>$AU$7*EXP(-'3.r(t)'!D506*$AU$21)</f>
        <v>0.91099305977534117</v>
      </c>
      <c r="S508" s="7">
        <f ca="1">$AU$8*EXP(-'3.r(t)'!E506*$AU$22)</f>
        <v>0.94547654580873175</v>
      </c>
      <c r="T508" s="7">
        <f ca="1">$AU$9*EXP(-'3.r(t)'!F506*$AU$23)</f>
        <v>0.96439466353222336</v>
      </c>
      <c r="U508" s="7">
        <f ca="1">$AU$10*EXP(-'3.r(t)'!G506*$AU$24)</f>
        <v>0.98242391410516794</v>
      </c>
      <c r="V508" s="7">
        <v>1</v>
      </c>
      <c r="W508" s="7"/>
      <c r="X508" s="7">
        <v>500</v>
      </c>
      <c r="Y508" s="7">
        <f>$AV$7*EXP(-'3.r(t)'!D506*$AV$21)</f>
        <v>0.88900715067201674</v>
      </c>
      <c r="Z508" s="7">
        <f ca="1">$AV$8*EXP(-'3.r(t)'!E506*$AV$22)</f>
        <v>0.92713399238681049</v>
      </c>
      <c r="AA508" s="7">
        <f ca="1">$AV$9*EXP(-'3.r(t)'!F506*$AV$23)</f>
        <v>0.94642800637208913</v>
      </c>
      <c r="AB508" s="7">
        <f ca="1">$AV$10*EXP(-'3.r(t)'!G506*$AV$24)</f>
        <v>0.964719268244005</v>
      </c>
      <c r="AC508" s="7">
        <f ca="1">$AV$11*EXP(-'3.r(t)'!H506*$AV$25)</f>
        <v>0.98098199482401616</v>
      </c>
      <c r="AD508" s="7">
        <v>1</v>
      </c>
      <c r="AE508" s="7"/>
      <c r="AF508" s="7">
        <v>500</v>
      </c>
      <c r="AG508" s="7">
        <f>$AW$7*EXP(-'3.r(t)'!D506*$AW$21)</f>
        <v>0.86718755429225491</v>
      </c>
      <c r="AH508" s="7">
        <f ca="1">$AW$8*EXP(-'3.r(t)'!E506*$AW$22)</f>
        <v>0.90875996262672465</v>
      </c>
      <c r="AI508" s="7">
        <f ca="1">$AW$9*EXP(-'3.r(t)'!F506*$AW$23)</f>
        <v>0.92839468240291967</v>
      </c>
      <c r="AJ508" s="7">
        <f ca="1">$AW$10*EXP(-'3.r(t)'!G506*$AW$24)</f>
        <v>0.94691848834368486</v>
      </c>
      <c r="AK508" s="7">
        <f ca="1">$AW$11*EXP(-'3.r(t)'!H506*$AW$25)</f>
        <v>0.96189801546092735</v>
      </c>
      <c r="AL508" s="7">
        <f ca="1">$AW$12*EXP(-'3.r(t)'!I506*$AW$26)</f>
        <v>0.9822572226035956</v>
      </c>
      <c r="AM508" s="7">
        <v>1</v>
      </c>
      <c r="AN508" s="7"/>
    </row>
    <row r="509" spans="2:40">
      <c r="B509" s="7">
        <v>501</v>
      </c>
      <c r="C509" s="7">
        <f>$AR$7*EXP(-'3.r(t)'!D507*$AR$21)</f>
        <v>0.97765346695821032</v>
      </c>
      <c r="D509" s="7">
        <v>1</v>
      </c>
      <c r="E509" s="7"/>
      <c r="F509" s="7">
        <v>501</v>
      </c>
      <c r="G509" s="48">
        <f>$AS$7*EXP(-'3.r(t)'!D507*$AS$21)</f>
        <v>0.9553476245219803</v>
      </c>
      <c r="H509" s="7">
        <f ca="1">$AS$8*EXP(-'3.r(t)'!E507*$AS$22)</f>
        <v>0.97630904469574897</v>
      </c>
      <c r="I509" s="7">
        <v>1</v>
      </c>
      <c r="J509" s="7"/>
      <c r="K509" s="7">
        <v>501</v>
      </c>
      <c r="L509" s="7">
        <f>$AT$7*EXP(-'3.r(t)'!D507*$AT$21)</f>
        <v>0.93311670519824419</v>
      </c>
      <c r="M509" s="7">
        <f ca="1">$AT$8*EXP(-'3.r(t)'!E507*$AT$22)</f>
        <v>0.95273038989974757</v>
      </c>
      <c r="N509" s="7">
        <f ca="1">$AT$9*EXP(-'3.r(t)'!F507*$AT$23)</f>
        <v>0.97763639758566401</v>
      </c>
      <c r="O509" s="7">
        <v>1</v>
      </c>
      <c r="P509" s="7"/>
      <c r="Q509" s="7">
        <v>501</v>
      </c>
      <c r="R509" s="7">
        <f>$AU$7*EXP(-'3.r(t)'!D507*$AU$21)</f>
        <v>0.91099305977534117</v>
      </c>
      <c r="S509" s="7">
        <f ca="1">$AU$8*EXP(-'3.r(t)'!E507*$AU$22)</f>
        <v>0.92929720635611646</v>
      </c>
      <c r="T509" s="7">
        <f ca="1">$AU$9*EXP(-'3.r(t)'!F507*$AU$23)</f>
        <v>0.95533122194597209</v>
      </c>
      <c r="U509" s="7">
        <f ca="1">$AU$10*EXP(-'3.r(t)'!G507*$AU$24)</f>
        <v>0.97529626765124888</v>
      </c>
      <c r="V509" s="7">
        <v>1</v>
      </c>
      <c r="W509" s="7"/>
      <c r="X509" s="7">
        <v>501</v>
      </c>
      <c r="Y509" s="7">
        <f>$AV$7*EXP(-'3.r(t)'!D507*$AV$21)</f>
        <v>0.88900715067201674</v>
      </c>
      <c r="Z509" s="7">
        <f ca="1">$AV$8*EXP(-'3.r(t)'!E507*$AV$22)</f>
        <v>0.90604061580333517</v>
      </c>
      <c r="AA509" s="7">
        <f ca="1">$AV$9*EXP(-'3.r(t)'!F507*$AV$23)</f>
        <v>0.93311751789196273</v>
      </c>
      <c r="AB509" s="7">
        <f ca="1">$AV$10*EXP(-'3.r(t)'!G507*$AV$24)</f>
        <v>0.95077165586518031</v>
      </c>
      <c r="AC509" s="7">
        <f ca="1">$AV$11*EXP(-'3.r(t)'!H507*$AV$25)</f>
        <v>0.97485555429279025</v>
      </c>
      <c r="AD509" s="7">
        <v>1</v>
      </c>
      <c r="AE509" s="7"/>
      <c r="AF509" s="7">
        <v>501</v>
      </c>
      <c r="AG509" s="7">
        <f>$AW$7*EXP(-'3.r(t)'!D507*$AW$21)</f>
        <v>0.86718755429225491</v>
      </c>
      <c r="AH509" s="7">
        <f ca="1">$AW$8*EXP(-'3.r(t)'!E507*$AW$22)</f>
        <v>0.88298970048710212</v>
      </c>
      <c r="AI509" s="7">
        <f ca="1">$AW$9*EXP(-'3.r(t)'!F507*$AW$23)</f>
        <v>0.91102645854102704</v>
      </c>
      <c r="AJ509" s="7">
        <f ca="1">$AW$10*EXP(-'3.r(t)'!G507*$AW$24)</f>
        <v>0.92645751039162128</v>
      </c>
      <c r="AK509" s="7">
        <f ca="1">$AW$11*EXP(-'3.r(t)'!H507*$AW$25)</f>
        <v>0.94992101798628636</v>
      </c>
      <c r="AL509" s="7">
        <f ca="1">$AW$12*EXP(-'3.r(t)'!I507*$AW$26)</f>
        <v>0.97581423665870048</v>
      </c>
      <c r="AM509" s="7">
        <v>1</v>
      </c>
      <c r="AN509" s="7"/>
    </row>
    <row r="510" spans="2:40">
      <c r="B510" s="7">
        <v>502</v>
      </c>
      <c r="C510" s="7">
        <f>$AR$7*EXP(-'3.r(t)'!D508*$AR$21)</f>
        <v>0.97765346695821032</v>
      </c>
      <c r="D510" s="7">
        <v>1</v>
      </c>
      <c r="E510" s="7"/>
      <c r="F510" s="7">
        <v>502</v>
      </c>
      <c r="G510" s="48">
        <f>$AS$7*EXP(-'3.r(t)'!D508*$AS$21)</f>
        <v>0.9553476245219803</v>
      </c>
      <c r="H510" s="7">
        <f ca="1">$AS$8*EXP(-'3.r(t)'!E508*$AS$22)</f>
        <v>0.97429586670500978</v>
      </c>
      <c r="I510" s="7">
        <v>1</v>
      </c>
      <c r="J510" s="7"/>
      <c r="K510" s="7">
        <v>502</v>
      </c>
      <c r="L510" s="7">
        <f>$AT$7*EXP(-'3.r(t)'!D508*$AT$21)</f>
        <v>0.93311670519824419</v>
      </c>
      <c r="M510" s="7">
        <f ca="1">$AT$8*EXP(-'3.r(t)'!E508*$AT$22)</f>
        <v>0.94880532465552059</v>
      </c>
      <c r="N510" s="7">
        <f ca="1">$AT$9*EXP(-'3.r(t)'!F508*$AT$23)</f>
        <v>0.97454142222569184</v>
      </c>
      <c r="O510" s="7">
        <v>1</v>
      </c>
      <c r="P510" s="7"/>
      <c r="Q510" s="7">
        <v>502</v>
      </c>
      <c r="R510" s="7">
        <f>$AU$7*EXP(-'3.r(t)'!D508*$AU$21)</f>
        <v>0.91099305977534117</v>
      </c>
      <c r="S510" s="7">
        <f ca="1">$AU$8*EXP(-'3.r(t)'!E508*$AU$22)</f>
        <v>0.92356033763860335</v>
      </c>
      <c r="T510" s="7">
        <f ca="1">$AU$9*EXP(-'3.r(t)'!F508*$AU$23)</f>
        <v>0.94929207193777032</v>
      </c>
      <c r="U510" s="7">
        <f ca="1">$AU$10*EXP(-'3.r(t)'!G508*$AU$24)</f>
        <v>0.97457488436449358</v>
      </c>
      <c r="V510" s="7">
        <v>1</v>
      </c>
      <c r="W510" s="7"/>
      <c r="X510" s="7">
        <v>502</v>
      </c>
      <c r="Y510" s="7">
        <f>$AV$7*EXP(-'3.r(t)'!D508*$AV$21)</f>
        <v>0.88900715067201674</v>
      </c>
      <c r="Z510" s="7">
        <f ca="1">$AV$8*EXP(-'3.r(t)'!E508*$AV$22)</f>
        <v>0.89859056907713342</v>
      </c>
      <c r="AA510" s="7">
        <f ca="1">$AV$9*EXP(-'3.r(t)'!F508*$AV$23)</f>
        <v>0.92428342772125549</v>
      </c>
      <c r="AB510" s="7">
        <f ca="1">$AV$10*EXP(-'3.r(t)'!G508*$AV$24)</f>
        <v>0.94936568897954599</v>
      </c>
      <c r="AC510" s="7">
        <f ca="1">$AV$11*EXP(-'3.r(t)'!H508*$AV$25)</f>
        <v>0.97647808911497636</v>
      </c>
      <c r="AD510" s="7">
        <v>1</v>
      </c>
      <c r="AE510" s="7"/>
      <c r="AF510" s="7">
        <v>502</v>
      </c>
      <c r="AG510" s="7">
        <f>$AW$7*EXP(-'3.r(t)'!D508*$AW$21)</f>
        <v>0.86718755429225491</v>
      </c>
      <c r="AH510" s="7">
        <f ca="1">$AW$8*EXP(-'3.r(t)'!E508*$AW$22)</f>
        <v>0.87392341378653871</v>
      </c>
      <c r="AI510" s="7">
        <f ca="1">$AW$9*EXP(-'3.r(t)'!F508*$AW$23)</f>
        <v>0.89954471198947583</v>
      </c>
      <c r="AJ510" s="7">
        <f ca="1">$AW$10*EXP(-'3.r(t)'!G508*$AW$24)</f>
        <v>0.92440325229626308</v>
      </c>
      <c r="AK510" s="7">
        <f ca="1">$AW$11*EXP(-'3.r(t)'!H508*$AW$25)</f>
        <v>0.95308571775068629</v>
      </c>
      <c r="AL510" s="7">
        <f ca="1">$AW$12*EXP(-'3.r(t)'!I508*$AW$26)</f>
        <v>0.9757967384055144</v>
      </c>
      <c r="AM510" s="7">
        <v>1</v>
      </c>
      <c r="AN510" s="7"/>
    </row>
    <row r="511" spans="2:40">
      <c r="B511" s="7">
        <v>503</v>
      </c>
      <c r="C511" s="7">
        <f>$AR$7*EXP(-'3.r(t)'!D509*$AR$21)</f>
        <v>0.97765346695821032</v>
      </c>
      <c r="D511" s="7">
        <v>1</v>
      </c>
      <c r="E511" s="7"/>
      <c r="F511" s="7">
        <v>503</v>
      </c>
      <c r="G511" s="48">
        <f>$AS$7*EXP(-'3.r(t)'!D509*$AS$21)</f>
        <v>0.9553476245219803</v>
      </c>
      <c r="H511" s="7">
        <f ca="1">$AS$8*EXP(-'3.r(t)'!E509*$AS$22)</f>
        <v>0.97698157130098151</v>
      </c>
      <c r="I511" s="7">
        <v>1</v>
      </c>
      <c r="J511" s="7"/>
      <c r="K511" s="7">
        <v>503</v>
      </c>
      <c r="L511" s="7">
        <f>$AT$7*EXP(-'3.r(t)'!D509*$AT$21)</f>
        <v>0.93311670519824419</v>
      </c>
      <c r="M511" s="7">
        <f ca="1">$AT$8*EXP(-'3.r(t)'!E509*$AT$22)</f>
        <v>0.9540434110639191</v>
      </c>
      <c r="N511" s="7">
        <f ca="1">$AT$9*EXP(-'3.r(t)'!F509*$AT$23)</f>
        <v>0.97646757170323029</v>
      </c>
      <c r="O511" s="7">
        <v>1</v>
      </c>
      <c r="P511" s="7"/>
      <c r="Q511" s="7">
        <v>503</v>
      </c>
      <c r="R511" s="7">
        <f>$AU$7*EXP(-'3.r(t)'!D509*$AU$21)</f>
        <v>0.91099305977534117</v>
      </c>
      <c r="S511" s="7">
        <f ca="1">$AU$8*EXP(-'3.r(t)'!E509*$AU$22)</f>
        <v>0.93121895760081053</v>
      </c>
      <c r="T511" s="7">
        <f ca="1">$AU$9*EXP(-'3.r(t)'!F509*$AU$23)</f>
        <v>0.95304827018809335</v>
      </c>
      <c r="U511" s="7">
        <f ca="1">$AU$10*EXP(-'3.r(t)'!G509*$AU$24)</f>
        <v>0.97626886012819469</v>
      </c>
      <c r="V511" s="7">
        <v>1</v>
      </c>
      <c r="W511" s="7"/>
      <c r="X511" s="7">
        <v>503</v>
      </c>
      <c r="Y511" s="7">
        <f>$AV$7*EXP(-'3.r(t)'!D509*$AV$21)</f>
        <v>0.88900715067201674</v>
      </c>
      <c r="Z511" s="7">
        <f ca="1">$AV$8*EXP(-'3.r(t)'!E509*$AV$22)</f>
        <v>0.90853968644292216</v>
      </c>
      <c r="AA511" s="7">
        <f ca="1">$AV$9*EXP(-'3.r(t)'!F509*$AV$23)</f>
        <v>0.9297747153360344</v>
      </c>
      <c r="AB511" s="7">
        <f ca="1">$AV$10*EXP(-'3.r(t)'!G509*$AV$24)</f>
        <v>0.95266887308085835</v>
      </c>
      <c r="AC511" s="7">
        <f ca="1">$AV$11*EXP(-'3.r(t)'!H509*$AV$25)</f>
        <v>0.97394234471837449</v>
      </c>
      <c r="AD511" s="7">
        <v>1</v>
      </c>
      <c r="AE511" s="7"/>
      <c r="AF511" s="7">
        <v>503</v>
      </c>
      <c r="AG511" s="7">
        <f>$AW$7*EXP(-'3.r(t)'!D509*$AW$21)</f>
        <v>0.86718755429225491</v>
      </c>
      <c r="AH511" s="7">
        <f ca="1">$AW$8*EXP(-'3.r(t)'!E509*$AW$22)</f>
        <v>0.88603511296781123</v>
      </c>
      <c r="AI511" s="7">
        <f ca="1">$AW$9*EXP(-'3.r(t)'!F509*$AW$23)</f>
        <v>0.90667750746184705</v>
      </c>
      <c r="AJ511" s="7">
        <f ca="1">$AW$10*EXP(-'3.r(t)'!G509*$AW$24)</f>
        <v>0.92923194263655295</v>
      </c>
      <c r="AK511" s="7">
        <f ca="1">$AW$11*EXP(-'3.r(t)'!H509*$AW$25)</f>
        <v>0.94814214796979135</v>
      </c>
      <c r="AL511" s="7">
        <f ca="1">$AW$12*EXP(-'3.r(t)'!I509*$AW$26)</f>
        <v>0.97240620053670412</v>
      </c>
      <c r="AM511" s="7">
        <v>1</v>
      </c>
      <c r="AN511" s="7"/>
    </row>
    <row r="512" spans="2:40">
      <c r="B512" s="7">
        <v>504</v>
      </c>
      <c r="C512" s="7">
        <f>$AR$7*EXP(-'3.r(t)'!D510*$AR$21)</f>
        <v>0.97765346695821032</v>
      </c>
      <c r="D512" s="7">
        <v>1</v>
      </c>
      <c r="E512" s="7"/>
      <c r="F512" s="7">
        <v>504</v>
      </c>
      <c r="G512" s="48">
        <f>$AS$7*EXP(-'3.r(t)'!D510*$AS$21)</f>
        <v>0.9553476245219803</v>
      </c>
      <c r="H512" s="7">
        <f ca="1">$AS$8*EXP(-'3.r(t)'!E510*$AS$22)</f>
        <v>0.97439119062782042</v>
      </c>
      <c r="I512" s="7">
        <v>1</v>
      </c>
      <c r="J512" s="7"/>
      <c r="K512" s="7">
        <v>504</v>
      </c>
      <c r="L512" s="7">
        <f>$AT$7*EXP(-'3.r(t)'!D510*$AT$21)</f>
        <v>0.93311670519824419</v>
      </c>
      <c r="M512" s="7">
        <f ca="1">$AT$8*EXP(-'3.r(t)'!E510*$AT$22)</f>
        <v>0.94899099365623929</v>
      </c>
      <c r="N512" s="7">
        <f ca="1">$AT$9*EXP(-'3.r(t)'!F510*$AT$23)</f>
        <v>0.97378073047785452</v>
      </c>
      <c r="O512" s="7">
        <v>1</v>
      </c>
      <c r="P512" s="7"/>
      <c r="Q512" s="7">
        <v>504</v>
      </c>
      <c r="R512" s="7">
        <f>$AU$7*EXP(-'3.r(t)'!D510*$AU$21)</f>
        <v>0.91099305977534117</v>
      </c>
      <c r="S512" s="7">
        <f ca="1">$AU$8*EXP(-'3.r(t)'!E510*$AU$22)</f>
        <v>0.92383144422264241</v>
      </c>
      <c r="T512" s="7">
        <f ca="1">$AU$9*EXP(-'3.r(t)'!F510*$AU$23)</f>
        <v>0.94781068428381532</v>
      </c>
      <c r="U512" s="7">
        <f ca="1">$AU$10*EXP(-'3.r(t)'!G510*$AU$24)</f>
        <v>0.97203405209912619</v>
      </c>
      <c r="V512" s="7">
        <v>1</v>
      </c>
      <c r="W512" s="7"/>
      <c r="X512" s="7">
        <v>504</v>
      </c>
      <c r="Y512" s="7">
        <f>$AV$7*EXP(-'3.r(t)'!D510*$AV$21)</f>
        <v>0.88900715067201674</v>
      </c>
      <c r="Z512" s="7">
        <f ca="1">$AV$8*EXP(-'3.r(t)'!E510*$AV$22)</f>
        <v>0.89894228872486637</v>
      </c>
      <c r="AA512" s="7">
        <f ca="1">$AV$9*EXP(-'3.r(t)'!F510*$AV$23)</f>
        <v>0.92212073019221075</v>
      </c>
      <c r="AB512" s="7">
        <f ca="1">$AV$10*EXP(-'3.r(t)'!G510*$AV$24)</f>
        <v>0.94442192407331049</v>
      </c>
      <c r="AC512" s="7">
        <f ca="1">$AV$11*EXP(-'3.r(t)'!H510*$AV$25)</f>
        <v>0.96662811562095674</v>
      </c>
      <c r="AD512" s="7">
        <v>1</v>
      </c>
      <c r="AE512" s="7"/>
      <c r="AF512" s="7">
        <v>504</v>
      </c>
      <c r="AG512" s="7">
        <f>$AW$7*EXP(-'3.r(t)'!D510*$AW$21)</f>
        <v>0.86718755429225491</v>
      </c>
      <c r="AH512" s="7">
        <f ca="1">$AW$8*EXP(-'3.r(t)'!E510*$AW$22)</f>
        <v>0.87435101547078331</v>
      </c>
      <c r="AI512" s="7">
        <f ca="1">$AW$9*EXP(-'3.r(t)'!F510*$AW$23)</f>
        <v>0.89673939060001406</v>
      </c>
      <c r="AJ512" s="7">
        <f ca="1">$AW$10*EXP(-'3.r(t)'!G510*$AW$24)</f>
        <v>0.91719199899088444</v>
      </c>
      <c r="AK512" s="7">
        <f ca="1">$AW$11*EXP(-'3.r(t)'!H510*$AW$25)</f>
        <v>0.93395467877503457</v>
      </c>
      <c r="AL512" s="7">
        <f ca="1">$AW$12*EXP(-'3.r(t)'!I510*$AW$26)</f>
        <v>0.96485334054831551</v>
      </c>
      <c r="AM512" s="7">
        <v>1</v>
      </c>
      <c r="AN512" s="7"/>
    </row>
    <row r="513" spans="2:40">
      <c r="B513" s="7">
        <v>505</v>
      </c>
      <c r="C513" s="7">
        <f>$AR$7*EXP(-'3.r(t)'!D511*$AR$21)</f>
        <v>0.97765346695821032</v>
      </c>
      <c r="D513" s="7">
        <v>1</v>
      </c>
      <c r="E513" s="7"/>
      <c r="F513" s="7">
        <v>505</v>
      </c>
      <c r="G513" s="48">
        <f>$AS$7*EXP(-'3.r(t)'!D511*$AS$21)</f>
        <v>0.9553476245219803</v>
      </c>
      <c r="H513" s="7">
        <f ca="1">$AS$8*EXP(-'3.r(t)'!E511*$AS$22)</f>
        <v>0.98034812085766698</v>
      </c>
      <c r="I513" s="7">
        <v>1</v>
      </c>
      <c r="J513" s="7"/>
      <c r="K513" s="7">
        <v>505</v>
      </c>
      <c r="L513" s="7">
        <f>$AT$7*EXP(-'3.r(t)'!D511*$AT$21)</f>
        <v>0.93311670519824419</v>
      </c>
      <c r="M513" s="7">
        <f ca="1">$AT$8*EXP(-'3.r(t)'!E511*$AT$22)</f>
        <v>0.96062975474911139</v>
      </c>
      <c r="N513" s="7">
        <f ca="1">$AT$9*EXP(-'3.r(t)'!F511*$AT$23)</f>
        <v>0.97690414360023758</v>
      </c>
      <c r="O513" s="7">
        <v>1</v>
      </c>
      <c r="P513" s="7"/>
      <c r="Q513" s="7">
        <v>505</v>
      </c>
      <c r="R513" s="7">
        <f>$AU$7*EXP(-'3.r(t)'!D511*$AU$21)</f>
        <v>0.91099305977534117</v>
      </c>
      <c r="S513" s="7">
        <f ca="1">$AU$8*EXP(-'3.r(t)'!E511*$AU$22)</f>
        <v>0.94087874049081421</v>
      </c>
      <c r="T513" s="7">
        <f ca="1">$AU$9*EXP(-'3.r(t)'!F511*$AU$23)</f>
        <v>0.95390066327361833</v>
      </c>
      <c r="U513" s="7">
        <f ca="1">$AU$10*EXP(-'3.r(t)'!G511*$AU$24)</f>
        <v>0.97710155519271258</v>
      </c>
      <c r="V513" s="7">
        <v>1</v>
      </c>
      <c r="W513" s="7"/>
      <c r="X513" s="7">
        <v>505</v>
      </c>
      <c r="Y513" s="7">
        <f>$AV$7*EXP(-'3.r(t)'!D511*$AV$21)</f>
        <v>0.88900715067201674</v>
      </c>
      <c r="Z513" s="7">
        <f ca="1">$AV$8*EXP(-'3.r(t)'!E511*$AV$22)</f>
        <v>0.92112739472029914</v>
      </c>
      <c r="AA513" s="7">
        <f ca="1">$AV$9*EXP(-'3.r(t)'!F511*$AV$23)</f>
        <v>0.93102236051504872</v>
      </c>
      <c r="AB513" s="7">
        <f ca="1">$AV$10*EXP(-'3.r(t)'!G511*$AV$24)</f>
        <v>0.95429469770951181</v>
      </c>
      <c r="AC513" s="7">
        <f ca="1">$AV$11*EXP(-'3.r(t)'!H511*$AV$25)</f>
        <v>0.97255083961129773</v>
      </c>
      <c r="AD513" s="7">
        <v>1</v>
      </c>
      <c r="AE513" s="7"/>
      <c r="AF513" s="7">
        <v>505</v>
      </c>
      <c r="AG513" s="7">
        <f>$AW$7*EXP(-'3.r(t)'!D511*$AW$21)</f>
        <v>0.86718755429225491</v>
      </c>
      <c r="AH513" s="7">
        <f ca="1">$AW$8*EXP(-'3.r(t)'!E511*$AW$22)</f>
        <v>0.90140648431170267</v>
      </c>
      <c r="AI513" s="7">
        <f ca="1">$AW$9*EXP(-'3.r(t)'!F511*$AW$23)</f>
        <v>0.90830007218082154</v>
      </c>
      <c r="AJ513" s="7">
        <f ca="1">$AW$10*EXP(-'3.r(t)'!G511*$AW$24)</f>
        <v>0.93161169798508947</v>
      </c>
      <c r="AK513" s="7">
        <f ca="1">$AW$11*EXP(-'3.r(t)'!H511*$AW$25)</f>
        <v>0.94543479644815709</v>
      </c>
      <c r="AL513" s="7">
        <f ca="1">$AW$12*EXP(-'3.r(t)'!I511*$AW$26)</f>
        <v>0.97045993199105285</v>
      </c>
      <c r="AM513" s="7">
        <v>1</v>
      </c>
      <c r="AN513" s="7"/>
    </row>
    <row r="514" spans="2:40">
      <c r="B514" s="7">
        <v>506</v>
      </c>
      <c r="C514" s="7">
        <f>$AR$7*EXP(-'3.r(t)'!D512*$AR$21)</f>
        <v>0.97765346695821032</v>
      </c>
      <c r="D514" s="7">
        <v>1</v>
      </c>
      <c r="E514" s="7"/>
      <c r="F514" s="7">
        <v>506</v>
      </c>
      <c r="G514" s="48">
        <f>$AS$7*EXP(-'3.r(t)'!D512*$AS$21)</f>
        <v>0.9553476245219803</v>
      </c>
      <c r="H514" s="7">
        <f ca="1">$AS$8*EXP(-'3.r(t)'!E512*$AS$22)</f>
        <v>0.97477322500412933</v>
      </c>
      <c r="I514" s="7">
        <v>1</v>
      </c>
      <c r="J514" s="7"/>
      <c r="K514" s="7">
        <v>506</v>
      </c>
      <c r="L514" s="7">
        <f>$AT$7*EXP(-'3.r(t)'!D512*$AT$21)</f>
        <v>0.93311670519824419</v>
      </c>
      <c r="M514" s="7">
        <f ca="1">$AT$8*EXP(-'3.r(t)'!E512*$AT$22)</f>
        <v>0.94973529072851604</v>
      </c>
      <c r="N514" s="7">
        <f ca="1">$AT$9*EXP(-'3.r(t)'!F512*$AT$23)</f>
        <v>0.97408172741231858</v>
      </c>
      <c r="O514" s="7">
        <v>1</v>
      </c>
      <c r="P514" s="7"/>
      <c r="Q514" s="7">
        <v>506</v>
      </c>
      <c r="R514" s="7">
        <f>$AU$7*EXP(-'3.r(t)'!D512*$AU$21)</f>
        <v>0.91099305977534117</v>
      </c>
      <c r="S514" s="7">
        <f ca="1">$AU$8*EXP(-'3.r(t)'!E512*$AU$22)</f>
        <v>0.92491850381905283</v>
      </c>
      <c r="T514" s="7">
        <f ca="1">$AU$9*EXP(-'3.r(t)'!F512*$AU$23)</f>
        <v>0.94839671395756164</v>
      </c>
      <c r="U514" s="7">
        <f ca="1">$AU$10*EXP(-'3.r(t)'!G512*$AU$24)</f>
        <v>0.97187228988231578</v>
      </c>
      <c r="V514" s="7">
        <v>1</v>
      </c>
      <c r="W514" s="7"/>
      <c r="X514" s="7">
        <v>506</v>
      </c>
      <c r="Y514" s="7">
        <f>$AV$7*EXP(-'3.r(t)'!D512*$AV$21)</f>
        <v>0.88900715067201674</v>
      </c>
      <c r="Z514" s="7">
        <f ca="1">$AV$8*EXP(-'3.r(t)'!E512*$AV$22)</f>
        <v>0.90035292907676823</v>
      </c>
      <c r="AA514" s="7">
        <f ca="1">$AV$9*EXP(-'3.r(t)'!F512*$AV$23)</f>
        <v>0.92297608080429228</v>
      </c>
      <c r="AB514" s="7">
        <f ca="1">$AV$10*EXP(-'3.r(t)'!G512*$AV$24)</f>
        <v>0.94410761600588755</v>
      </c>
      <c r="AC514" s="7">
        <f ca="1">$AV$11*EXP(-'3.r(t)'!H512*$AV$25)</f>
        <v>0.97151352692152793</v>
      </c>
      <c r="AD514" s="7">
        <v>1</v>
      </c>
      <c r="AE514" s="7"/>
      <c r="AF514" s="7">
        <v>506</v>
      </c>
      <c r="AG514" s="7">
        <f>$AW$7*EXP(-'3.r(t)'!D512*$AW$21)</f>
        <v>0.86718755429225491</v>
      </c>
      <c r="AH514" s="7">
        <f ca="1">$AW$8*EXP(-'3.r(t)'!E512*$AW$22)</f>
        <v>0.8760664157231407</v>
      </c>
      <c r="AI514" s="7">
        <f ca="1">$AW$9*EXP(-'3.r(t)'!F512*$AW$23)</f>
        <v>0.89784863818289085</v>
      </c>
      <c r="AJ514" s="7">
        <f ca="1">$AW$10*EXP(-'3.r(t)'!G512*$AW$24)</f>
        <v>0.91673416835818566</v>
      </c>
      <c r="AK514" s="7">
        <f ca="1">$AW$11*EXP(-'3.r(t)'!H512*$AW$25)</f>
        <v>0.94341908999170465</v>
      </c>
      <c r="AL514" s="7">
        <f ca="1">$AW$12*EXP(-'3.r(t)'!I512*$AW$26)</f>
        <v>0.96748628091306932</v>
      </c>
      <c r="AM514" s="7">
        <v>1</v>
      </c>
      <c r="AN514" s="7"/>
    </row>
    <row r="515" spans="2:40">
      <c r="B515" s="7">
        <v>507</v>
      </c>
      <c r="C515" s="7">
        <f>$AR$7*EXP(-'3.r(t)'!D513*$AR$21)</f>
        <v>0.97765346695821032</v>
      </c>
      <c r="D515" s="7">
        <v>1</v>
      </c>
      <c r="E515" s="7"/>
      <c r="F515" s="7">
        <v>507</v>
      </c>
      <c r="G515" s="48">
        <f>$AS$7*EXP(-'3.r(t)'!D513*$AS$21)</f>
        <v>0.9553476245219803</v>
      </c>
      <c r="H515" s="7">
        <f ca="1">$AS$8*EXP(-'3.r(t)'!E513*$AS$22)</f>
        <v>0.97631873583390416</v>
      </c>
      <c r="I515" s="7">
        <v>1</v>
      </c>
      <c r="J515" s="7"/>
      <c r="K515" s="7">
        <v>507</v>
      </c>
      <c r="L515" s="7">
        <f>$AT$7*EXP(-'3.r(t)'!D513*$AT$21)</f>
        <v>0.93311670519824419</v>
      </c>
      <c r="M515" s="7">
        <f ca="1">$AT$8*EXP(-'3.r(t)'!E513*$AT$22)</f>
        <v>0.95274930417224823</v>
      </c>
      <c r="N515" s="7">
        <f ca="1">$AT$9*EXP(-'3.r(t)'!F513*$AT$23)</f>
        <v>0.97259959963859899</v>
      </c>
      <c r="O515" s="7">
        <v>1</v>
      </c>
      <c r="P515" s="7"/>
      <c r="Q515" s="7">
        <v>507</v>
      </c>
      <c r="R515" s="7">
        <f>$AU$7*EXP(-'3.r(t)'!D513*$AU$21)</f>
        <v>0.91099305977534117</v>
      </c>
      <c r="S515" s="7">
        <f ca="1">$AU$8*EXP(-'3.r(t)'!E513*$AU$22)</f>
        <v>0.929324880084202</v>
      </c>
      <c r="T515" s="7">
        <f ca="1">$AU$9*EXP(-'3.r(t)'!F513*$AU$23)</f>
        <v>0.94551281688573552</v>
      </c>
      <c r="U515" s="7">
        <f ca="1">$AU$10*EXP(-'3.r(t)'!G513*$AU$24)</f>
        <v>0.97198668069146299</v>
      </c>
      <c r="V515" s="7">
        <v>1</v>
      </c>
      <c r="W515" s="7"/>
      <c r="X515" s="7">
        <v>507</v>
      </c>
      <c r="Y515" s="7">
        <f>$AV$7*EXP(-'3.r(t)'!D513*$AV$21)</f>
        <v>0.88900715067201674</v>
      </c>
      <c r="Z515" s="7">
        <f ca="1">$AV$8*EXP(-'3.r(t)'!E513*$AV$22)</f>
        <v>0.90607659086909276</v>
      </c>
      <c r="AA515" s="7">
        <f ca="1">$AV$9*EXP(-'3.r(t)'!F513*$AV$23)</f>
        <v>0.91876938628563509</v>
      </c>
      <c r="AB515" s="7">
        <f ca="1">$AV$10*EXP(-'3.r(t)'!G513*$AV$24)</f>
        <v>0.94432987481696495</v>
      </c>
      <c r="AC515" s="7">
        <f ca="1">$AV$11*EXP(-'3.r(t)'!H513*$AV$25)</f>
        <v>0.97465552998022542</v>
      </c>
      <c r="AD515" s="7">
        <v>1</v>
      </c>
      <c r="AE515" s="7"/>
      <c r="AF515" s="7">
        <v>507</v>
      </c>
      <c r="AG515" s="7">
        <f>$AW$7*EXP(-'3.r(t)'!D513*$AW$21)</f>
        <v>0.86718755429225491</v>
      </c>
      <c r="AH515" s="7">
        <f ca="1">$AW$8*EXP(-'3.r(t)'!E513*$AW$22)</f>
        <v>0.88303352546807223</v>
      </c>
      <c r="AI515" s="7">
        <f ca="1">$AW$9*EXP(-'3.r(t)'!F513*$AW$23)</f>
        <v>0.89239656052946004</v>
      </c>
      <c r="AJ515" s="7">
        <f ca="1">$AW$10*EXP(-'3.r(t)'!G513*$AW$24)</f>
        <v>0.91705790937152698</v>
      </c>
      <c r="AK515" s="7">
        <f ca="1">$AW$11*EXP(-'3.r(t)'!H513*$AW$25)</f>
        <v>0.94953124166590341</v>
      </c>
      <c r="AL515" s="7">
        <f ca="1">$AW$12*EXP(-'3.r(t)'!I513*$AW$26)</f>
        <v>0.97231157143673441</v>
      </c>
      <c r="AM515" s="7">
        <v>1</v>
      </c>
      <c r="AN515" s="7"/>
    </row>
    <row r="516" spans="2:40">
      <c r="B516" s="7">
        <v>508</v>
      </c>
      <c r="C516" s="7">
        <f>$AR$7*EXP(-'3.r(t)'!D514*$AR$21)</f>
        <v>0.97765346695821032</v>
      </c>
      <c r="D516" s="7">
        <v>1</v>
      </c>
      <c r="E516" s="7"/>
      <c r="F516" s="7">
        <v>508</v>
      </c>
      <c r="G516" s="48">
        <f>$AS$7*EXP(-'3.r(t)'!D514*$AS$21)</f>
        <v>0.9553476245219803</v>
      </c>
      <c r="H516" s="7">
        <f ca="1">$AS$8*EXP(-'3.r(t)'!E514*$AS$22)</f>
        <v>0.98004890679099932</v>
      </c>
      <c r="I516" s="7">
        <v>1</v>
      </c>
      <c r="J516" s="7"/>
      <c r="K516" s="7">
        <v>508</v>
      </c>
      <c r="L516" s="7">
        <f>$AT$7*EXP(-'3.r(t)'!D514*$AT$21)</f>
        <v>0.93311670519824419</v>
      </c>
      <c r="M516" s="7">
        <f ca="1">$AT$8*EXP(-'3.r(t)'!E514*$AT$22)</f>
        <v>0.96004345266883073</v>
      </c>
      <c r="N516" s="7">
        <f ca="1">$AT$9*EXP(-'3.r(t)'!F514*$AT$23)</f>
        <v>0.9825025539238359</v>
      </c>
      <c r="O516" s="7">
        <v>1</v>
      </c>
      <c r="P516" s="7"/>
      <c r="Q516" s="7">
        <v>508</v>
      </c>
      <c r="R516" s="7">
        <f>$AU$7*EXP(-'3.r(t)'!D514*$AU$21)</f>
        <v>0.91099305977534117</v>
      </c>
      <c r="S516" s="7">
        <f ca="1">$AU$8*EXP(-'3.r(t)'!E514*$AU$22)</f>
        <v>0.94001750079736923</v>
      </c>
      <c r="T516" s="7">
        <f ca="1">$AU$9*EXP(-'3.r(t)'!F514*$AU$23)</f>
        <v>0.96486515644859472</v>
      </c>
      <c r="U516" s="7">
        <f ca="1">$AU$10*EXP(-'3.r(t)'!G514*$AU$24)</f>
        <v>0.98215115916661699</v>
      </c>
      <c r="V516" s="7">
        <v>1</v>
      </c>
      <c r="W516" s="7"/>
      <c r="X516" s="7">
        <v>508</v>
      </c>
      <c r="Y516" s="7">
        <f>$AV$7*EXP(-'3.r(t)'!D514*$AV$21)</f>
        <v>0.88900715067201674</v>
      </c>
      <c r="Z516" s="7">
        <f ca="1">$AV$8*EXP(-'3.r(t)'!E514*$AV$22)</f>
        <v>0.92000335270989253</v>
      </c>
      <c r="AA516" s="7">
        <f ca="1">$AV$9*EXP(-'3.r(t)'!F514*$AV$23)</f>
        <v>0.9471206822990329</v>
      </c>
      <c r="AB516" s="7">
        <f ca="1">$AV$10*EXP(-'3.r(t)'!G514*$AV$24)</f>
        <v>0.9641836635754375</v>
      </c>
      <c r="AC516" s="7">
        <f ca="1">$AV$11*EXP(-'3.r(t)'!H514*$AV$25)</f>
        <v>0.97854884510402318</v>
      </c>
      <c r="AD516" s="7">
        <v>1</v>
      </c>
      <c r="AE516" s="7"/>
      <c r="AF516" s="7">
        <v>508</v>
      </c>
      <c r="AG516" s="7">
        <f>$AW$7*EXP(-'3.r(t)'!D514*$AW$21)</f>
        <v>0.86718755429225491</v>
      </c>
      <c r="AH516" s="7">
        <f ca="1">$AW$8*EXP(-'3.r(t)'!E514*$AW$22)</f>
        <v>0.90003172311833313</v>
      </c>
      <c r="AI516" s="7">
        <f ca="1">$AW$9*EXP(-'3.r(t)'!F514*$AW$23)</f>
        <v>0.92930076305294773</v>
      </c>
      <c r="AJ516" s="7">
        <f ca="1">$AW$10*EXP(-'3.r(t)'!G514*$AW$24)</f>
        <v>0.94613001508749106</v>
      </c>
      <c r="AK516" s="7">
        <f ca="1">$AW$11*EXP(-'3.r(t)'!H514*$AW$25)</f>
        <v>0.95713230237677993</v>
      </c>
      <c r="AL516" s="7">
        <f ca="1">$AW$12*EXP(-'3.r(t)'!I514*$AW$26)</f>
        <v>0.98011686985290891</v>
      </c>
      <c r="AM516" s="7">
        <v>1</v>
      </c>
      <c r="AN516" s="7"/>
    </row>
    <row r="517" spans="2:40">
      <c r="B517" s="7">
        <v>509</v>
      </c>
      <c r="C517" s="7">
        <f>$AR$7*EXP(-'3.r(t)'!D515*$AR$21)</f>
        <v>0.97765346695821032</v>
      </c>
      <c r="D517" s="7">
        <v>1</v>
      </c>
      <c r="E517" s="7"/>
      <c r="F517" s="7">
        <v>509</v>
      </c>
      <c r="G517" s="48">
        <f>$AS$7*EXP(-'3.r(t)'!D515*$AS$21)</f>
        <v>0.9553476245219803</v>
      </c>
      <c r="H517" s="7">
        <f ca="1">$AS$8*EXP(-'3.r(t)'!E515*$AS$22)</f>
        <v>0.97977298874164853</v>
      </c>
      <c r="I517" s="7">
        <v>1</v>
      </c>
      <c r="J517" s="7"/>
      <c r="K517" s="7">
        <v>509</v>
      </c>
      <c r="L517" s="7">
        <f>$AT$7*EXP(-'3.r(t)'!D515*$AT$21)</f>
        <v>0.93311670519824419</v>
      </c>
      <c r="M517" s="7">
        <f ca="1">$AT$8*EXP(-'3.r(t)'!E515*$AT$22)</f>
        <v>0.95950295713529188</v>
      </c>
      <c r="N517" s="7">
        <f ca="1">$AT$9*EXP(-'3.r(t)'!F515*$AT$23)</f>
        <v>0.97963123014067488</v>
      </c>
      <c r="O517" s="7">
        <v>1</v>
      </c>
      <c r="P517" s="7"/>
      <c r="Q517" s="7">
        <v>509</v>
      </c>
      <c r="R517" s="7">
        <f>$AU$7*EXP(-'3.r(t)'!D515*$AU$21)</f>
        <v>0.91099305977534117</v>
      </c>
      <c r="S517" s="7">
        <f ca="1">$AU$8*EXP(-'3.r(t)'!E515*$AU$22)</f>
        <v>0.93922378087444125</v>
      </c>
      <c r="T517" s="7">
        <f ca="1">$AU$9*EXP(-'3.r(t)'!F515*$AU$23)</f>
        <v>0.95923383872701251</v>
      </c>
      <c r="U517" s="7">
        <f ca="1">$AU$10*EXP(-'3.r(t)'!G515*$AU$24)</f>
        <v>0.98040469801005736</v>
      </c>
      <c r="V517" s="7">
        <v>1</v>
      </c>
      <c r="W517" s="7"/>
      <c r="X517" s="7">
        <v>509</v>
      </c>
      <c r="Y517" s="7">
        <f>$AV$7*EXP(-'3.r(t)'!D515*$AV$21)</f>
        <v>0.88900715067201674</v>
      </c>
      <c r="Z517" s="7">
        <f ca="1">$AV$8*EXP(-'3.r(t)'!E515*$AV$22)</f>
        <v>0.91896773765337003</v>
      </c>
      <c r="AA517" s="7">
        <f ca="1">$AV$9*EXP(-'3.r(t)'!F515*$AV$23)</f>
        <v>0.93884116097092807</v>
      </c>
      <c r="AB517" s="7">
        <f ca="1">$AV$10*EXP(-'3.r(t)'!G515*$AV$24)</f>
        <v>0.96075768960640406</v>
      </c>
      <c r="AC517" s="7">
        <f ca="1">$AV$11*EXP(-'3.r(t)'!H515*$AV$25)</f>
        <v>0.98295172861540536</v>
      </c>
      <c r="AD517" s="7">
        <v>1</v>
      </c>
      <c r="AE517" s="7"/>
      <c r="AF517" s="7">
        <v>509</v>
      </c>
      <c r="AG517" s="7">
        <f>$AW$7*EXP(-'3.r(t)'!D515*$AW$21)</f>
        <v>0.86718755429225491</v>
      </c>
      <c r="AH517" s="7">
        <f ca="1">$AW$8*EXP(-'3.r(t)'!E515*$AW$22)</f>
        <v>0.89876548423443003</v>
      </c>
      <c r="AI517" s="7">
        <f ca="1">$AW$9*EXP(-'3.r(t)'!F515*$AW$23)</f>
        <v>0.91848491715015379</v>
      </c>
      <c r="AJ517" s="7">
        <f ca="1">$AW$10*EXP(-'3.r(t)'!G515*$AW$24)</f>
        <v>0.94109175966489111</v>
      </c>
      <c r="AK517" s="7">
        <f ca="1">$AW$11*EXP(-'3.r(t)'!H515*$AW$25)</f>
        <v>0.96576472294650839</v>
      </c>
      <c r="AL517" s="7">
        <f ca="1">$AW$12*EXP(-'3.r(t)'!I515*$AW$26)</f>
        <v>0.97864553388005693</v>
      </c>
      <c r="AM517" s="7">
        <v>1</v>
      </c>
      <c r="AN517" s="7"/>
    </row>
    <row r="518" spans="2:40">
      <c r="B518" s="7">
        <v>510</v>
      </c>
      <c r="C518" s="7">
        <f>$AR$7*EXP(-'3.r(t)'!D516*$AR$21)</f>
        <v>0.97765346695821032</v>
      </c>
      <c r="D518" s="7">
        <v>1</v>
      </c>
      <c r="E518" s="7"/>
      <c r="F518" s="7">
        <v>510</v>
      </c>
      <c r="G518" s="48">
        <f>$AS$7*EXP(-'3.r(t)'!D516*$AS$21)</f>
        <v>0.9553476245219803</v>
      </c>
      <c r="H518" s="7">
        <f ca="1">$AS$8*EXP(-'3.r(t)'!E516*$AS$22)</f>
        <v>0.97976617211513228</v>
      </c>
      <c r="I518" s="7">
        <v>1</v>
      </c>
      <c r="J518" s="7"/>
      <c r="K518" s="7">
        <v>510</v>
      </c>
      <c r="L518" s="7">
        <f>$AT$7*EXP(-'3.r(t)'!D516*$AT$21)</f>
        <v>0.93311670519824419</v>
      </c>
      <c r="M518" s="7">
        <f ca="1">$AT$8*EXP(-'3.r(t)'!E516*$AT$22)</f>
        <v>0.95948960598023325</v>
      </c>
      <c r="N518" s="7">
        <f ca="1">$AT$9*EXP(-'3.r(t)'!F516*$AT$23)</f>
        <v>0.97745114640157382</v>
      </c>
      <c r="O518" s="7">
        <v>1</v>
      </c>
      <c r="P518" s="7"/>
      <c r="Q518" s="7">
        <v>510</v>
      </c>
      <c r="R518" s="7">
        <f>$AU$7*EXP(-'3.r(t)'!D516*$AU$21)</f>
        <v>0.91099305977534117</v>
      </c>
      <c r="S518" s="7">
        <f ca="1">$AU$8*EXP(-'3.r(t)'!E516*$AU$22)</f>
        <v>0.93920417747673679</v>
      </c>
      <c r="T518" s="7">
        <f ca="1">$AU$9*EXP(-'3.r(t)'!F516*$AU$23)</f>
        <v>0.95496920704352006</v>
      </c>
      <c r="U518" s="7">
        <f ca="1">$AU$10*EXP(-'3.r(t)'!G516*$AU$24)</f>
        <v>0.97603819039981654</v>
      </c>
      <c r="V518" s="7">
        <v>1</v>
      </c>
      <c r="W518" s="7"/>
      <c r="X518" s="7">
        <v>510</v>
      </c>
      <c r="Y518" s="7">
        <f>$AV$7*EXP(-'3.r(t)'!D516*$AV$21)</f>
        <v>0.88900715067201674</v>
      </c>
      <c r="Z518" s="7">
        <f ca="1">$AV$8*EXP(-'3.r(t)'!E516*$AV$22)</f>
        <v>0.91894216358857628</v>
      </c>
      <c r="AA518" s="7">
        <f ca="1">$AV$9*EXP(-'3.r(t)'!F516*$AV$23)</f>
        <v>0.93258717233917787</v>
      </c>
      <c r="AB518" s="7">
        <f ca="1">$AV$10*EXP(-'3.r(t)'!G516*$AV$24)</f>
        <v>0.95221873906957866</v>
      </c>
      <c r="AC518" s="7">
        <f ca="1">$AV$11*EXP(-'3.r(t)'!H516*$AV$25)</f>
        <v>0.9728999915211598</v>
      </c>
      <c r="AD518" s="7">
        <v>1</v>
      </c>
      <c r="AE518" s="7"/>
      <c r="AF518" s="7">
        <v>510</v>
      </c>
      <c r="AG518" s="7">
        <f>$AW$7*EXP(-'3.r(t)'!D516*$AW$21)</f>
        <v>0.86718755429225491</v>
      </c>
      <c r="AH518" s="7">
        <f ca="1">$AW$8*EXP(-'3.r(t)'!E516*$AW$22)</f>
        <v>0.89873421952590282</v>
      </c>
      <c r="AI518" s="7">
        <f ca="1">$AW$9*EXP(-'3.r(t)'!F516*$AW$23)</f>
        <v>0.91033613740743291</v>
      </c>
      <c r="AJ518" s="7">
        <f ca="1">$AW$10*EXP(-'3.r(t)'!G516*$AW$24)</f>
        <v>0.92857343027086847</v>
      </c>
      <c r="AK518" s="7">
        <f ca="1">$AW$11*EXP(-'3.r(t)'!H516*$AW$25)</f>
        <v>0.94611375245835905</v>
      </c>
      <c r="AL518" s="7">
        <f ca="1">$AW$12*EXP(-'3.r(t)'!I516*$AW$26)</f>
        <v>0.97182556241608675</v>
      </c>
      <c r="AM518" s="7">
        <v>1</v>
      </c>
      <c r="AN518" s="7"/>
    </row>
    <row r="519" spans="2:40">
      <c r="B519" s="7">
        <v>511</v>
      </c>
      <c r="C519" s="7">
        <f>$AR$7*EXP(-'3.r(t)'!D517*$AR$21)</f>
        <v>0.97765346695821032</v>
      </c>
      <c r="D519" s="7">
        <v>1</v>
      </c>
      <c r="E519" s="7"/>
      <c r="F519" s="7">
        <v>511</v>
      </c>
      <c r="G519" s="48">
        <f>$AS$7*EXP(-'3.r(t)'!D517*$AS$21)</f>
        <v>0.9553476245219803</v>
      </c>
      <c r="H519" s="7">
        <f ca="1">$AS$8*EXP(-'3.r(t)'!E517*$AS$22)</f>
        <v>0.9774644646403513</v>
      </c>
      <c r="I519" s="7">
        <v>1</v>
      </c>
      <c r="J519" s="7"/>
      <c r="K519" s="7">
        <v>511</v>
      </c>
      <c r="L519" s="7">
        <f>$AT$7*EXP(-'3.r(t)'!D517*$AT$21)</f>
        <v>0.93311670519824419</v>
      </c>
      <c r="M519" s="7">
        <f ca="1">$AT$8*EXP(-'3.r(t)'!E517*$AT$22)</f>
        <v>0.95498675549897782</v>
      </c>
      <c r="N519" s="7">
        <f ca="1">$AT$9*EXP(-'3.r(t)'!F517*$AT$23)</f>
        <v>0.9764986053525837</v>
      </c>
      <c r="O519" s="7">
        <v>1</v>
      </c>
      <c r="P519" s="7"/>
      <c r="Q519" s="7">
        <v>511</v>
      </c>
      <c r="R519" s="7">
        <f>$AU$7*EXP(-'3.r(t)'!D517*$AU$21)</f>
        <v>0.91099305977534117</v>
      </c>
      <c r="S519" s="7">
        <f ca="1">$AU$8*EXP(-'3.r(t)'!E517*$AU$22)</f>
        <v>0.9326004628778134</v>
      </c>
      <c r="T519" s="7">
        <f ca="1">$AU$9*EXP(-'3.r(t)'!F517*$AU$23)</f>
        <v>0.95310884984621091</v>
      </c>
      <c r="U519" s="7">
        <f ca="1">$AU$10*EXP(-'3.r(t)'!G517*$AU$24)</f>
        <v>0.9736882829248954</v>
      </c>
      <c r="V519" s="7">
        <v>1</v>
      </c>
      <c r="W519" s="7"/>
      <c r="X519" s="7">
        <v>511</v>
      </c>
      <c r="Y519" s="7">
        <f>$AV$7*EXP(-'3.r(t)'!D517*$AV$21)</f>
        <v>0.88900715067201674</v>
      </c>
      <c r="Z519" s="7">
        <f ca="1">$AV$8*EXP(-'3.r(t)'!E517*$AV$22)</f>
        <v>0.91033727672970033</v>
      </c>
      <c r="AA519" s="7">
        <f ca="1">$AV$9*EXP(-'3.r(t)'!F517*$AV$23)</f>
        <v>0.92986336718799645</v>
      </c>
      <c r="AB519" s="7">
        <f ca="1">$AV$10*EXP(-'3.r(t)'!G517*$AV$24)</f>
        <v>0.94763913900277874</v>
      </c>
      <c r="AC519" s="7">
        <f ca="1">$AV$11*EXP(-'3.r(t)'!H517*$AV$25)</f>
        <v>0.97241821122407357</v>
      </c>
      <c r="AD519" s="7">
        <v>1</v>
      </c>
      <c r="AE519" s="7"/>
      <c r="AF519" s="7">
        <v>511</v>
      </c>
      <c r="AG519" s="7">
        <f>$AW$7*EXP(-'3.r(t)'!D517*$AW$21)</f>
        <v>0.86718755429225491</v>
      </c>
      <c r="AH519" s="7">
        <f ca="1">$AW$8*EXP(-'3.r(t)'!E517*$AW$22)</f>
        <v>0.88822698451348969</v>
      </c>
      <c r="AI519" s="7">
        <f ca="1">$AW$9*EXP(-'3.r(t)'!F517*$AW$23)</f>
        <v>0.90679277540957004</v>
      </c>
      <c r="AJ519" s="7">
        <f ca="1">$AW$10*EXP(-'3.r(t)'!G517*$AW$24)</f>
        <v>0.92188267055871453</v>
      </c>
      <c r="AK519" s="7">
        <f ca="1">$AW$11*EXP(-'3.r(t)'!H517*$AW$25)</f>
        <v>0.94517695297664306</v>
      </c>
      <c r="AL519" s="7">
        <f ca="1">$AW$12*EXP(-'3.r(t)'!I517*$AW$26)</f>
        <v>0.97520342702015328</v>
      </c>
      <c r="AM519" s="7">
        <v>1</v>
      </c>
      <c r="AN519" s="7"/>
    </row>
    <row r="520" spans="2:40">
      <c r="B520" s="7">
        <v>512</v>
      </c>
      <c r="C520" s="7">
        <f>$AR$7*EXP(-'3.r(t)'!D518*$AR$21)</f>
        <v>0.97765346695821032</v>
      </c>
      <c r="D520" s="7">
        <v>1</v>
      </c>
      <c r="E520" s="7"/>
      <c r="F520" s="7">
        <v>512</v>
      </c>
      <c r="G520" s="48">
        <f>$AS$7*EXP(-'3.r(t)'!D518*$AS$21)</f>
        <v>0.9553476245219803</v>
      </c>
      <c r="H520" s="7">
        <f ca="1">$AS$8*EXP(-'3.r(t)'!E518*$AS$22)</f>
        <v>0.97700075484377125</v>
      </c>
      <c r="I520" s="7">
        <v>1</v>
      </c>
      <c r="J520" s="7"/>
      <c r="K520" s="7">
        <v>512</v>
      </c>
      <c r="L520" s="7">
        <f>$AT$7*EXP(-'3.r(t)'!D518*$AT$21)</f>
        <v>0.93311670519824419</v>
      </c>
      <c r="M520" s="7">
        <f ca="1">$AT$8*EXP(-'3.r(t)'!E518*$AT$22)</f>
        <v>0.95408087771185002</v>
      </c>
      <c r="N520" s="7">
        <f ca="1">$AT$9*EXP(-'3.r(t)'!F518*$AT$23)</f>
        <v>0.97758529392972537</v>
      </c>
      <c r="O520" s="7">
        <v>1</v>
      </c>
      <c r="P520" s="7"/>
      <c r="Q520" s="7">
        <v>512</v>
      </c>
      <c r="R520" s="7">
        <f>$AU$7*EXP(-'3.r(t)'!D518*$AU$21)</f>
        <v>0.91099305977534117</v>
      </c>
      <c r="S520" s="7">
        <f ca="1">$AU$8*EXP(-'3.r(t)'!E518*$AU$22)</f>
        <v>0.93127381358791628</v>
      </c>
      <c r="T520" s="7">
        <f ca="1">$AU$9*EXP(-'3.r(t)'!F518*$AU$23)</f>
        <v>0.95523134914623853</v>
      </c>
      <c r="U520" s="7">
        <f ca="1">$AU$10*EXP(-'3.r(t)'!G518*$AU$24)</f>
        <v>0.97939476697551642</v>
      </c>
      <c r="V520" s="7">
        <v>1</v>
      </c>
      <c r="W520" s="7"/>
      <c r="X520" s="7">
        <v>512</v>
      </c>
      <c r="Y520" s="7">
        <f>$AV$7*EXP(-'3.r(t)'!D518*$AV$21)</f>
        <v>0.88900715067201674</v>
      </c>
      <c r="Z520" s="7">
        <f ca="1">$AV$8*EXP(-'3.r(t)'!E518*$AV$22)</f>
        <v>0.90861104714740781</v>
      </c>
      <c r="AA520" s="7">
        <f ca="1">$AV$9*EXP(-'3.r(t)'!F518*$AV$23)</f>
        <v>0.93297119593396294</v>
      </c>
      <c r="AB520" s="7">
        <f ca="1">$AV$10*EXP(-'3.r(t)'!G518*$AV$24)</f>
        <v>0.95877932444989711</v>
      </c>
      <c r="AC520" s="7">
        <f ca="1">$AV$11*EXP(-'3.r(t)'!H518*$AV$25)</f>
        <v>0.97902583719327785</v>
      </c>
      <c r="AD520" s="7">
        <v>1</v>
      </c>
      <c r="AE520" s="7"/>
      <c r="AF520" s="7">
        <v>512</v>
      </c>
      <c r="AG520" s="7">
        <f>$AW$7*EXP(-'3.r(t)'!D518*$AW$21)</f>
        <v>0.86718755429225491</v>
      </c>
      <c r="AH520" s="7">
        <f ca="1">$AW$8*EXP(-'3.r(t)'!E518*$AW$22)</f>
        <v>0.88612210519221291</v>
      </c>
      <c r="AI520" s="7">
        <f ca="1">$AW$9*EXP(-'3.r(t)'!F518*$AW$23)</f>
        <v>0.91083598636769081</v>
      </c>
      <c r="AJ520" s="7">
        <f ca="1">$AW$10*EXP(-'3.r(t)'!G518*$AW$24)</f>
        <v>0.93818645213953977</v>
      </c>
      <c r="AK520" s="7">
        <f ca="1">$AW$11*EXP(-'3.r(t)'!H518*$AW$25)</f>
        <v>0.95806563505576736</v>
      </c>
      <c r="AL520" s="7">
        <f ca="1">$AW$12*EXP(-'3.r(t)'!I518*$AW$26)</f>
        <v>0.98068166701077397</v>
      </c>
      <c r="AM520" s="7">
        <v>1</v>
      </c>
      <c r="AN520" s="7"/>
    </row>
    <row r="521" spans="2:40">
      <c r="B521" s="7">
        <v>513</v>
      </c>
      <c r="C521" s="7">
        <f>$AR$7*EXP(-'3.r(t)'!D519*$AR$21)</f>
        <v>0.97765346695821032</v>
      </c>
      <c r="D521" s="7">
        <v>1</v>
      </c>
      <c r="E521" s="7"/>
      <c r="F521" s="7">
        <v>513</v>
      </c>
      <c r="G521" s="48">
        <f>$AS$7*EXP(-'3.r(t)'!D519*$AS$21)</f>
        <v>0.9553476245219803</v>
      </c>
      <c r="H521" s="7">
        <f ca="1">$AS$8*EXP(-'3.r(t)'!E519*$AS$22)</f>
        <v>0.9776076541738361</v>
      </c>
      <c r="I521" s="7">
        <v>1</v>
      </c>
      <c r="J521" s="7"/>
      <c r="K521" s="7">
        <v>513</v>
      </c>
      <c r="L521" s="7">
        <f>$AT$7*EXP(-'3.r(t)'!D519*$AT$21)</f>
        <v>0.93311670519824419</v>
      </c>
      <c r="M521" s="7">
        <f ca="1">$AT$8*EXP(-'3.r(t)'!E519*$AT$22)</f>
        <v>0.95526656950516786</v>
      </c>
      <c r="N521" s="7">
        <f ca="1">$AT$9*EXP(-'3.r(t)'!F519*$AT$23)</f>
        <v>0.97700686766927125</v>
      </c>
      <c r="O521" s="7">
        <v>1</v>
      </c>
      <c r="P521" s="7"/>
      <c r="Q521" s="7">
        <v>513</v>
      </c>
      <c r="R521" s="7">
        <f>$AU$7*EXP(-'3.r(t)'!D519*$AU$21)</f>
        <v>0.91099305977534117</v>
      </c>
      <c r="S521" s="7">
        <f ca="1">$AU$8*EXP(-'3.r(t)'!E519*$AU$22)</f>
        <v>0.93301037503269402</v>
      </c>
      <c r="T521" s="7">
        <f ca="1">$AU$9*EXP(-'3.r(t)'!F519*$AU$23)</f>
        <v>0.95410128420476303</v>
      </c>
      <c r="U521" s="7">
        <f ca="1">$AU$10*EXP(-'3.r(t)'!G519*$AU$24)</f>
        <v>0.97297991823652619</v>
      </c>
      <c r="V521" s="7">
        <v>1</v>
      </c>
      <c r="W521" s="7"/>
      <c r="X521" s="7">
        <v>513</v>
      </c>
      <c r="Y521" s="7">
        <f>$AV$7*EXP(-'3.r(t)'!D519*$AV$21)</f>
        <v>0.88900715067201674</v>
      </c>
      <c r="Z521" s="7">
        <f ca="1">$AV$8*EXP(-'3.r(t)'!E519*$AV$22)</f>
        <v>0.91087081803073733</v>
      </c>
      <c r="AA521" s="7">
        <f ca="1">$AV$9*EXP(-'3.r(t)'!F519*$AV$23)</f>
        <v>0.93131608983182512</v>
      </c>
      <c r="AB521" s="7">
        <f ca="1">$AV$10*EXP(-'3.r(t)'!G519*$AV$24)</f>
        <v>0.94626081302932119</v>
      </c>
      <c r="AC521" s="7">
        <f ca="1">$AV$11*EXP(-'3.r(t)'!H519*$AV$25)</f>
        <v>0.97124403546875848</v>
      </c>
      <c r="AD521" s="7">
        <v>1</v>
      </c>
      <c r="AE521" s="7"/>
      <c r="AF521" s="7">
        <v>513</v>
      </c>
      <c r="AG521" s="7">
        <f>$AW$7*EXP(-'3.r(t)'!D519*$AW$21)</f>
        <v>0.86718755429225491</v>
      </c>
      <c r="AH521" s="7">
        <f ca="1">$AW$8*EXP(-'3.r(t)'!E519*$AW$22)</f>
        <v>0.88887776047725175</v>
      </c>
      <c r="AI521" s="7">
        <f ca="1">$AW$9*EXP(-'3.r(t)'!F519*$AW$23)</f>
        <v>0.90868217311774835</v>
      </c>
      <c r="AJ521" s="7">
        <f ca="1">$AW$10*EXP(-'3.r(t)'!G519*$AW$24)</f>
        <v>0.9198721066823633</v>
      </c>
      <c r="AK521" s="7">
        <f ca="1">$AW$11*EXP(-'3.r(t)'!H519*$AW$25)</f>
        <v>0.94289576610301251</v>
      </c>
      <c r="AL521" s="7">
        <f ca="1">$AW$12*EXP(-'3.r(t)'!I519*$AW$26)</f>
        <v>0.97270779590770873</v>
      </c>
      <c r="AM521" s="7">
        <v>1</v>
      </c>
      <c r="AN521" s="7"/>
    </row>
    <row r="522" spans="2:40">
      <c r="B522" s="7">
        <v>514</v>
      </c>
      <c r="C522" s="7">
        <f>$AR$7*EXP(-'3.r(t)'!D520*$AR$21)</f>
        <v>0.97765346695821032</v>
      </c>
      <c r="D522" s="7">
        <v>1</v>
      </c>
      <c r="E522" s="7"/>
      <c r="F522" s="7">
        <v>514</v>
      </c>
      <c r="G522" s="48">
        <f>$AS$7*EXP(-'3.r(t)'!D520*$AS$21)</f>
        <v>0.9553476245219803</v>
      </c>
      <c r="H522" s="7">
        <f ca="1">$AS$8*EXP(-'3.r(t)'!E520*$AS$22)</f>
        <v>0.97479405181677647</v>
      </c>
      <c r="I522" s="7">
        <v>1</v>
      </c>
      <c r="J522" s="7"/>
      <c r="K522" s="7">
        <v>514</v>
      </c>
      <c r="L522" s="7">
        <f>$AT$7*EXP(-'3.r(t)'!D520*$AT$21)</f>
        <v>0.93311670519824419</v>
      </c>
      <c r="M522" s="7">
        <f ca="1">$AT$8*EXP(-'3.r(t)'!E520*$AT$22)</f>
        <v>0.94977587487622195</v>
      </c>
      <c r="N522" s="7">
        <f ca="1">$AT$9*EXP(-'3.r(t)'!F520*$AT$23)</f>
        <v>0.9743233698654713</v>
      </c>
      <c r="O522" s="7">
        <v>1</v>
      </c>
      <c r="P522" s="7"/>
      <c r="Q522" s="7">
        <v>514</v>
      </c>
      <c r="R522" s="7">
        <f>$AU$7*EXP(-'3.r(t)'!D520*$AU$21)</f>
        <v>0.91099305977534117</v>
      </c>
      <c r="S522" s="7">
        <f ca="1">$AU$8*EXP(-'3.r(t)'!E520*$AU$22)</f>
        <v>0.92497778996522517</v>
      </c>
      <c r="T522" s="7">
        <f ca="1">$AU$9*EXP(-'3.r(t)'!F520*$AU$23)</f>
        <v>0.94886731375995892</v>
      </c>
      <c r="U522" s="7">
        <f ca="1">$AU$10*EXP(-'3.r(t)'!G520*$AU$24)</f>
        <v>0.97472107533101193</v>
      </c>
      <c r="V522" s="7">
        <v>1</v>
      </c>
      <c r="W522" s="7"/>
      <c r="X522" s="7">
        <v>514</v>
      </c>
      <c r="Y522" s="7">
        <f>$AV$7*EXP(-'3.r(t)'!D520*$AV$21)</f>
        <v>0.88900715067201674</v>
      </c>
      <c r="Z522" s="7">
        <f ca="1">$AV$8*EXP(-'3.r(t)'!E520*$AV$22)</f>
        <v>0.90042987859593182</v>
      </c>
      <c r="AA522" s="7">
        <f ca="1">$AV$9*EXP(-'3.r(t)'!F520*$AV$23)</f>
        <v>0.92366314492907087</v>
      </c>
      <c r="AB522" s="7">
        <f ca="1">$AV$10*EXP(-'3.r(t)'!G520*$AV$24)</f>
        <v>0.9496505292711781</v>
      </c>
      <c r="AC522" s="7">
        <f ca="1">$AV$11*EXP(-'3.r(t)'!H520*$AV$25)</f>
        <v>0.97648372197729405</v>
      </c>
      <c r="AD522" s="7">
        <v>1</v>
      </c>
      <c r="AE522" s="7"/>
      <c r="AF522" s="7">
        <v>514</v>
      </c>
      <c r="AG522" s="7">
        <f>$AW$7*EXP(-'3.r(t)'!D520*$AW$21)</f>
        <v>0.86718755429225491</v>
      </c>
      <c r="AH522" s="7">
        <f ca="1">$AW$8*EXP(-'3.r(t)'!E520*$AW$22)</f>
        <v>0.87616000903449809</v>
      </c>
      <c r="AI522" s="7">
        <f ca="1">$AW$9*EXP(-'3.r(t)'!F520*$AW$23)</f>
        <v>0.89873989437500967</v>
      </c>
      <c r="AJ522" s="7">
        <f ca="1">$AW$10*EXP(-'3.r(t)'!G520*$AW$24)</f>
        <v>0.92481930963466252</v>
      </c>
      <c r="AK522" s="7">
        <f ca="1">$AW$11*EXP(-'3.r(t)'!H520*$AW$25)</f>
        <v>0.95309671362692638</v>
      </c>
      <c r="AL522" s="7">
        <f ca="1">$AW$12*EXP(-'3.r(t)'!I520*$AW$26)</f>
        <v>0.97679414188146707</v>
      </c>
      <c r="AM522" s="7">
        <v>1</v>
      </c>
      <c r="AN522" s="7"/>
    </row>
    <row r="523" spans="2:40">
      <c r="B523" s="7">
        <v>515</v>
      </c>
      <c r="C523" s="7">
        <f>$AR$7*EXP(-'3.r(t)'!D521*$AR$21)</f>
        <v>0.97765346695821032</v>
      </c>
      <c r="D523" s="7">
        <v>1</v>
      </c>
      <c r="E523" s="7"/>
      <c r="F523" s="7">
        <v>515</v>
      </c>
      <c r="G523" s="48">
        <f>$AS$7*EXP(-'3.r(t)'!D521*$AS$21)</f>
        <v>0.9553476245219803</v>
      </c>
      <c r="H523" s="7">
        <f ca="1">$AS$8*EXP(-'3.r(t)'!E521*$AS$22)</f>
        <v>0.97791971834500602</v>
      </c>
      <c r="I523" s="7">
        <v>1</v>
      </c>
      <c r="J523" s="7"/>
      <c r="K523" s="7">
        <v>515</v>
      </c>
      <c r="L523" s="7">
        <f>$AT$7*EXP(-'3.r(t)'!D521*$AT$21)</f>
        <v>0.93311670519824419</v>
      </c>
      <c r="M523" s="7">
        <f ca="1">$AT$8*EXP(-'3.r(t)'!E521*$AT$22)</f>
        <v>0.95587653209754275</v>
      </c>
      <c r="N523" s="7">
        <f ca="1">$AT$9*EXP(-'3.r(t)'!F521*$AT$23)</f>
        <v>0.98009022049919048</v>
      </c>
      <c r="O523" s="7">
        <v>1</v>
      </c>
      <c r="P523" s="7"/>
      <c r="Q523" s="7">
        <v>515</v>
      </c>
      <c r="R523" s="7">
        <f>$AU$7*EXP(-'3.r(t)'!D521*$AU$21)</f>
        <v>0.91099305977534117</v>
      </c>
      <c r="S523" s="7">
        <f ca="1">$AU$8*EXP(-'3.r(t)'!E521*$AU$22)</f>
        <v>0.9339041448171097</v>
      </c>
      <c r="T523" s="7">
        <f ca="1">$AU$9*EXP(-'3.r(t)'!F521*$AU$23)</f>
        <v>0.96013291628356157</v>
      </c>
      <c r="U523" s="7">
        <f ca="1">$AU$10*EXP(-'3.r(t)'!G521*$AU$24)</f>
        <v>0.98068511503162847</v>
      </c>
      <c r="V523" s="7">
        <v>1</v>
      </c>
      <c r="W523" s="7"/>
      <c r="X523" s="7">
        <v>515</v>
      </c>
      <c r="Y523" s="7">
        <f>$AV$7*EXP(-'3.r(t)'!D521*$AV$21)</f>
        <v>0.88900715067201674</v>
      </c>
      <c r="Z523" s="7">
        <f ca="1">$AV$8*EXP(-'3.r(t)'!E521*$AV$22)</f>
        <v>0.91203441890372183</v>
      </c>
      <c r="AA523" s="7">
        <f ca="1">$AV$9*EXP(-'3.r(t)'!F521*$AV$23)</f>
        <v>0.94016141585707413</v>
      </c>
      <c r="AB523" s="7">
        <f ca="1">$AV$10*EXP(-'3.r(t)'!G521*$AV$24)</f>
        <v>0.96130736330599575</v>
      </c>
      <c r="AC523" s="7">
        <f ca="1">$AV$11*EXP(-'3.r(t)'!H521*$AV$25)</f>
        <v>0.98045924187944333</v>
      </c>
      <c r="AD523" s="7">
        <v>1</v>
      </c>
      <c r="AE523" s="7"/>
      <c r="AF523" s="7">
        <v>515</v>
      </c>
      <c r="AG523" s="7">
        <f>$AW$7*EXP(-'3.r(t)'!D521*$AW$21)</f>
        <v>0.86718755429225491</v>
      </c>
      <c r="AH523" s="7">
        <f ca="1">$AW$8*EXP(-'3.r(t)'!E521*$AW$22)</f>
        <v>0.89029736908734658</v>
      </c>
      <c r="AI523" s="7">
        <f ca="1">$AW$9*EXP(-'3.r(t)'!F521*$AW$23)</f>
        <v>0.92020749227725429</v>
      </c>
      <c r="AJ523" s="7">
        <f ca="1">$AW$10*EXP(-'3.r(t)'!G521*$AW$24)</f>
        <v>0.9418995086585471</v>
      </c>
      <c r="AK523" s="7">
        <f ca="1">$AW$11*EXP(-'3.r(t)'!H521*$AW$25)</f>
        <v>0.96087312194526597</v>
      </c>
      <c r="AL523" s="7">
        <f ca="1">$AW$12*EXP(-'3.r(t)'!I521*$AW$26)</f>
        <v>0.98104808003146704</v>
      </c>
      <c r="AM523" s="7">
        <v>1</v>
      </c>
      <c r="AN523" s="7"/>
    </row>
    <row r="524" spans="2:40">
      <c r="B524" s="7">
        <v>516</v>
      </c>
      <c r="C524" s="7">
        <f>$AR$7*EXP(-'3.r(t)'!D522*$AR$21)</f>
        <v>0.97765346695821032</v>
      </c>
      <c r="D524" s="7">
        <v>1</v>
      </c>
      <c r="E524" s="7"/>
      <c r="F524" s="7">
        <v>516</v>
      </c>
      <c r="G524" s="48">
        <f>$AS$7*EXP(-'3.r(t)'!D522*$AS$21)</f>
        <v>0.9553476245219803</v>
      </c>
      <c r="H524" s="7">
        <f ca="1">$AS$8*EXP(-'3.r(t)'!E522*$AS$22)</f>
        <v>0.97950991953955568</v>
      </c>
      <c r="I524" s="7">
        <v>1</v>
      </c>
      <c r="J524" s="7"/>
      <c r="K524" s="7">
        <v>516</v>
      </c>
      <c r="L524" s="7">
        <f>$AT$7*EXP(-'3.r(t)'!D522*$AT$21)</f>
        <v>0.93311670519824419</v>
      </c>
      <c r="M524" s="7">
        <f ca="1">$AT$8*EXP(-'3.r(t)'!E522*$AT$22)</f>
        <v>0.95898777291728454</v>
      </c>
      <c r="N524" s="7">
        <f ca="1">$AT$9*EXP(-'3.r(t)'!F522*$AT$23)</f>
        <v>0.9802207178266803</v>
      </c>
      <c r="O524" s="7">
        <v>1</v>
      </c>
      <c r="P524" s="7"/>
      <c r="Q524" s="7">
        <v>516</v>
      </c>
      <c r="R524" s="7">
        <f>$AU$7*EXP(-'3.r(t)'!D522*$AU$21)</f>
        <v>0.91099305977534117</v>
      </c>
      <c r="S524" s="7">
        <f ca="1">$AU$8*EXP(-'3.r(t)'!E522*$AU$22)</f>
        <v>0.93846743878862182</v>
      </c>
      <c r="T524" s="7">
        <f ca="1">$AU$9*EXP(-'3.r(t)'!F522*$AU$23)</f>
        <v>0.96038861339874837</v>
      </c>
      <c r="U524" s="7">
        <f ca="1">$AU$10*EXP(-'3.r(t)'!G522*$AU$24)</f>
        <v>0.98435612190055977</v>
      </c>
      <c r="V524" s="7">
        <v>1</v>
      </c>
      <c r="W524" s="7"/>
      <c r="X524" s="7">
        <v>516</v>
      </c>
      <c r="Y524" s="7">
        <f>$AV$7*EXP(-'3.r(t)'!D522*$AV$21)</f>
        <v>0.88900715067201674</v>
      </c>
      <c r="Z524" s="7">
        <f ca="1">$AV$8*EXP(-'3.r(t)'!E522*$AV$22)</f>
        <v>0.9179811631550796</v>
      </c>
      <c r="AA524" s="7">
        <f ca="1">$AV$9*EXP(-'3.r(t)'!F522*$AV$23)</f>
        <v>0.94053700848958921</v>
      </c>
      <c r="AB524" s="7">
        <f ca="1">$AV$10*EXP(-'3.r(t)'!G522*$AV$24)</f>
        <v>0.96851777342366241</v>
      </c>
      <c r="AC524" s="7">
        <f ca="1">$AV$11*EXP(-'3.r(t)'!H522*$AV$25)</f>
        <v>0.98461783572157591</v>
      </c>
      <c r="AD524" s="7">
        <v>1</v>
      </c>
      <c r="AE524" s="7"/>
      <c r="AF524" s="7">
        <v>516</v>
      </c>
      <c r="AG524" s="7">
        <f>$AW$7*EXP(-'3.r(t)'!D522*$AW$21)</f>
        <v>0.86718755429225491</v>
      </c>
      <c r="AH524" s="7">
        <f ca="1">$AW$8*EXP(-'3.r(t)'!E522*$AW$22)</f>
        <v>0.89755953862975701</v>
      </c>
      <c r="AI524" s="7">
        <f ca="1">$AW$9*EXP(-'3.r(t)'!F522*$AW$23)</f>
        <v>0.92069768634994609</v>
      </c>
      <c r="AJ524" s="7">
        <f ca="1">$AW$10*EXP(-'3.r(t)'!G522*$AW$24)</f>
        <v>0.95251661390681941</v>
      </c>
      <c r="AK524" s="7">
        <f ca="1">$AW$11*EXP(-'3.r(t)'!H522*$AW$25)</f>
        <v>0.96904144775160317</v>
      </c>
      <c r="AL524" s="7">
        <f ca="1">$AW$12*EXP(-'3.r(t)'!I522*$AW$26)</f>
        <v>0.98702378644146849</v>
      </c>
      <c r="AM524" s="7">
        <v>1</v>
      </c>
      <c r="AN524" s="7"/>
    </row>
    <row r="525" spans="2:40">
      <c r="B525" s="7">
        <v>517</v>
      </c>
      <c r="C525" s="7">
        <f>$AR$7*EXP(-'3.r(t)'!D523*$AR$21)</f>
        <v>0.97765346695821032</v>
      </c>
      <c r="D525" s="7">
        <v>1</v>
      </c>
      <c r="E525" s="7"/>
      <c r="F525" s="7">
        <v>517</v>
      </c>
      <c r="G525" s="48">
        <f>$AS$7*EXP(-'3.r(t)'!D523*$AS$21)</f>
        <v>0.9553476245219803</v>
      </c>
      <c r="H525" s="7">
        <f ca="1">$AS$8*EXP(-'3.r(t)'!E523*$AS$22)</f>
        <v>0.97449243003117003</v>
      </c>
      <c r="I525" s="7">
        <v>1</v>
      </c>
      <c r="J525" s="7"/>
      <c r="K525" s="7">
        <v>517</v>
      </c>
      <c r="L525" s="7">
        <f>$AT$7*EXP(-'3.r(t)'!D523*$AT$21)</f>
        <v>0.93311670519824419</v>
      </c>
      <c r="M525" s="7">
        <f ca="1">$AT$8*EXP(-'3.r(t)'!E523*$AT$22)</f>
        <v>0.94918820453832609</v>
      </c>
      <c r="N525" s="7">
        <f ca="1">$AT$9*EXP(-'3.r(t)'!F523*$AT$23)</f>
        <v>0.97239508602628333</v>
      </c>
      <c r="O525" s="7">
        <v>1</v>
      </c>
      <c r="P525" s="7"/>
      <c r="Q525" s="7">
        <v>517</v>
      </c>
      <c r="R525" s="7">
        <f>$AU$7*EXP(-'3.r(t)'!D523*$AU$21)</f>
        <v>0.91099305977534117</v>
      </c>
      <c r="S525" s="7">
        <f ca="1">$AU$8*EXP(-'3.r(t)'!E523*$AU$22)</f>
        <v>0.92411943285503473</v>
      </c>
      <c r="T525" s="7">
        <f ca="1">$AU$9*EXP(-'3.r(t)'!F523*$AU$23)</f>
        <v>0.9451152228269738</v>
      </c>
      <c r="U525" s="7">
        <f ca="1">$AU$10*EXP(-'3.r(t)'!G523*$AU$24)</f>
        <v>0.96940258372150045</v>
      </c>
      <c r="V525" s="7">
        <v>1</v>
      </c>
      <c r="W525" s="7"/>
      <c r="X525" s="7">
        <v>517</v>
      </c>
      <c r="Y525" s="7">
        <f>$AV$7*EXP(-'3.r(t)'!D523*$AV$21)</f>
        <v>0.88900715067201674</v>
      </c>
      <c r="Z525" s="7">
        <f ca="1">$AV$8*EXP(-'3.r(t)'!E523*$AV$22)</f>
        <v>0.8993159479553382</v>
      </c>
      <c r="AA525" s="7">
        <f ca="1">$AV$9*EXP(-'3.r(t)'!F523*$AV$23)</f>
        <v>0.91818992479495087</v>
      </c>
      <c r="AB525" s="7">
        <f ca="1">$AV$10*EXP(-'3.r(t)'!G523*$AV$24)</f>
        <v>0.93931541064940627</v>
      </c>
      <c r="AC525" s="7">
        <f ca="1">$AV$11*EXP(-'3.r(t)'!H523*$AV$25)</f>
        <v>0.96563926616778395</v>
      </c>
      <c r="AD525" s="7">
        <v>1</v>
      </c>
      <c r="AE525" s="7"/>
      <c r="AF525" s="7">
        <v>517</v>
      </c>
      <c r="AG525" s="7">
        <f>$AW$7*EXP(-'3.r(t)'!D523*$AW$21)</f>
        <v>0.86718755429225491</v>
      </c>
      <c r="AH525" s="7">
        <f ca="1">$AW$8*EXP(-'3.r(t)'!E523*$AW$22)</f>
        <v>0.87480533593322973</v>
      </c>
      <c r="AI525" s="7">
        <f ca="1">$AW$9*EXP(-'3.r(t)'!F523*$AW$23)</f>
        <v>0.89164620164706854</v>
      </c>
      <c r="AJ525" s="7">
        <f ca="1">$AW$10*EXP(-'3.r(t)'!G523*$AW$24)</f>
        <v>0.90976314289269178</v>
      </c>
      <c r="AK525" s="7">
        <f ca="1">$AW$11*EXP(-'3.r(t)'!H523*$AW$25)</f>
        <v>0.932044806358163</v>
      </c>
      <c r="AL525" s="7">
        <f ca="1">$AW$12*EXP(-'3.r(t)'!I523*$AW$26)</f>
        <v>0.9640122720615022</v>
      </c>
      <c r="AM525" s="7">
        <v>1</v>
      </c>
      <c r="AN525" s="7"/>
    </row>
    <row r="526" spans="2:40">
      <c r="B526" s="7">
        <v>518</v>
      </c>
      <c r="C526" s="7">
        <f>$AR$7*EXP(-'3.r(t)'!D524*$AR$21)</f>
        <v>0.97765346695821032</v>
      </c>
      <c r="D526" s="7">
        <v>1</v>
      </c>
      <c r="E526" s="7"/>
      <c r="F526" s="7">
        <v>518</v>
      </c>
      <c r="G526" s="48">
        <f>$AS$7*EXP(-'3.r(t)'!D524*$AS$21)</f>
        <v>0.9553476245219803</v>
      </c>
      <c r="H526" s="7">
        <f ca="1">$AS$8*EXP(-'3.r(t)'!E524*$AS$22)</f>
        <v>0.97576522834701584</v>
      </c>
      <c r="I526" s="7">
        <v>1</v>
      </c>
      <c r="J526" s="7"/>
      <c r="K526" s="7">
        <v>518</v>
      </c>
      <c r="L526" s="7">
        <f>$AT$7*EXP(-'3.r(t)'!D524*$AT$21)</f>
        <v>0.93311670519824419</v>
      </c>
      <c r="M526" s="7">
        <f ca="1">$AT$8*EXP(-'3.r(t)'!E524*$AT$22)</f>
        <v>0.95166932001045257</v>
      </c>
      <c r="N526" s="7">
        <f ca="1">$AT$9*EXP(-'3.r(t)'!F524*$AT$23)</f>
        <v>0.97584355999398409</v>
      </c>
      <c r="O526" s="7">
        <v>1</v>
      </c>
      <c r="P526" s="7"/>
      <c r="Q526" s="7">
        <v>518</v>
      </c>
      <c r="R526" s="7">
        <f>$AU$7*EXP(-'3.r(t)'!D524*$AU$21)</f>
        <v>0.91099305977534117</v>
      </c>
      <c r="S526" s="7">
        <f ca="1">$AU$8*EXP(-'3.r(t)'!E524*$AU$22)</f>
        <v>0.92774518067456357</v>
      </c>
      <c r="T526" s="7">
        <f ca="1">$AU$9*EXP(-'3.r(t)'!F524*$AU$23)</f>
        <v>0.95183056819468548</v>
      </c>
      <c r="U526" s="7">
        <f ca="1">$AU$10*EXP(-'3.r(t)'!G524*$AU$24)</f>
        <v>0.97419158758941515</v>
      </c>
      <c r="V526" s="7">
        <v>1</v>
      </c>
      <c r="W526" s="7"/>
      <c r="X526" s="7">
        <v>518</v>
      </c>
      <c r="Y526" s="7">
        <f>$AV$7*EXP(-'3.r(t)'!D524*$AV$21)</f>
        <v>0.88900715067201674</v>
      </c>
      <c r="Z526" s="7">
        <f ca="1">$AV$8*EXP(-'3.r(t)'!E524*$AV$22)</f>
        <v>0.90402359802207655</v>
      </c>
      <c r="AA526" s="7">
        <f ca="1">$AV$9*EXP(-'3.r(t)'!F524*$AV$23)</f>
        <v>0.92799333630891956</v>
      </c>
      <c r="AB526" s="7">
        <f ca="1">$AV$10*EXP(-'3.r(t)'!G524*$AV$24)</f>
        <v>0.94861907164984161</v>
      </c>
      <c r="AC526" s="7">
        <f ca="1">$AV$11*EXP(-'3.r(t)'!H524*$AV$25)</f>
        <v>0.97424848195343228</v>
      </c>
      <c r="AD526" s="7">
        <v>1</v>
      </c>
      <c r="AE526" s="7"/>
      <c r="AF526" s="7">
        <v>518</v>
      </c>
      <c r="AG526" s="7">
        <f>$AW$7*EXP(-'3.r(t)'!D524*$AW$21)</f>
        <v>0.86718755429225491</v>
      </c>
      <c r="AH526" s="7">
        <f ca="1">$AW$8*EXP(-'3.r(t)'!E524*$AW$22)</f>
        <v>0.880533257017033</v>
      </c>
      <c r="AI526" s="7">
        <f ca="1">$AW$9*EXP(-'3.r(t)'!F524*$AW$23)</f>
        <v>0.90436207871267982</v>
      </c>
      <c r="AJ526" s="7">
        <f ca="1">$AW$10*EXP(-'3.r(t)'!G524*$AW$24)</f>
        <v>0.92331298784451332</v>
      </c>
      <c r="AK526" s="7">
        <f ca="1">$AW$11*EXP(-'3.r(t)'!H524*$AW$25)</f>
        <v>0.94873829667583143</v>
      </c>
      <c r="AL526" s="7">
        <f ca="1">$AW$12*EXP(-'3.r(t)'!I524*$AW$26)</f>
        <v>0.97596538349471484</v>
      </c>
      <c r="AM526" s="7">
        <v>1</v>
      </c>
      <c r="AN526" s="7"/>
    </row>
    <row r="527" spans="2:40">
      <c r="B527" s="7">
        <v>519</v>
      </c>
      <c r="C527" s="7">
        <f>$AR$7*EXP(-'3.r(t)'!D525*$AR$21)</f>
        <v>0.97765346695821032</v>
      </c>
      <c r="D527" s="7">
        <v>1</v>
      </c>
      <c r="E527" s="7"/>
      <c r="F527" s="7">
        <v>519</v>
      </c>
      <c r="G527" s="48">
        <f>$AS$7*EXP(-'3.r(t)'!D525*$AS$21)</f>
        <v>0.9553476245219803</v>
      </c>
      <c r="H527" s="7">
        <f ca="1">$AS$8*EXP(-'3.r(t)'!E525*$AS$22)</f>
        <v>0.97914008108328954</v>
      </c>
      <c r="I527" s="7">
        <v>1</v>
      </c>
      <c r="J527" s="7"/>
      <c r="K527" s="7">
        <v>519</v>
      </c>
      <c r="L527" s="7">
        <f>$AT$7*EXP(-'3.r(t)'!D525*$AT$21)</f>
        <v>0.93311670519824419</v>
      </c>
      <c r="M527" s="7">
        <f ca="1">$AT$8*EXP(-'3.r(t)'!E525*$AT$22)</f>
        <v>0.95826373001976517</v>
      </c>
      <c r="N527" s="7">
        <f ca="1">$AT$9*EXP(-'3.r(t)'!F525*$AT$23)</f>
        <v>0.97654546491646244</v>
      </c>
      <c r="O527" s="7">
        <v>1</v>
      </c>
      <c r="P527" s="7"/>
      <c r="Q527" s="7">
        <v>519</v>
      </c>
      <c r="R527" s="7">
        <f>$AU$7*EXP(-'3.r(t)'!D525*$AU$21)</f>
        <v>0.91099305977534117</v>
      </c>
      <c r="S527" s="7">
        <f ca="1">$AU$8*EXP(-'3.r(t)'!E525*$AU$22)</f>
        <v>0.93740481458497538</v>
      </c>
      <c r="T527" s="7">
        <f ca="1">$AU$9*EXP(-'3.r(t)'!F525*$AU$23)</f>
        <v>0.95320032634479368</v>
      </c>
      <c r="U527" s="7">
        <f ca="1">$AU$10*EXP(-'3.r(t)'!G525*$AU$24)</f>
        <v>0.97909707197554086</v>
      </c>
      <c r="V527" s="7">
        <v>1</v>
      </c>
      <c r="W527" s="7"/>
      <c r="X527" s="7">
        <v>519</v>
      </c>
      <c r="Y527" s="7">
        <f>$AV$7*EXP(-'3.r(t)'!D525*$AV$21)</f>
        <v>0.88900715067201674</v>
      </c>
      <c r="Z527" s="7">
        <f ca="1">$AV$8*EXP(-'3.r(t)'!E525*$AV$22)</f>
        <v>0.9165955212329725</v>
      </c>
      <c r="AA527" s="7">
        <f ca="1">$AV$9*EXP(-'3.r(t)'!F525*$AV$23)</f>
        <v>0.92999723860143069</v>
      </c>
      <c r="AB527" s="7">
        <f ca="1">$AV$10*EXP(-'3.r(t)'!G525*$AV$24)</f>
        <v>0.95819655549472638</v>
      </c>
      <c r="AC527" s="7">
        <f ca="1">$AV$11*EXP(-'3.r(t)'!H525*$AV$25)</f>
        <v>0.97497088866855564</v>
      </c>
      <c r="AD527" s="7">
        <v>1</v>
      </c>
      <c r="AE527" s="7"/>
      <c r="AF527" s="7">
        <v>519</v>
      </c>
      <c r="AG527" s="7">
        <f>$AW$7*EXP(-'3.r(t)'!D525*$AW$21)</f>
        <v>0.86718755429225491</v>
      </c>
      <c r="AH527" s="7">
        <f ca="1">$AW$8*EXP(-'3.r(t)'!E525*$AW$22)</f>
        <v>0.89586633752678935</v>
      </c>
      <c r="AI527" s="7">
        <f ca="1">$AW$9*EXP(-'3.r(t)'!F525*$AW$23)</f>
        <v>0.90696684620684276</v>
      </c>
      <c r="AJ527" s="7">
        <f ca="1">$AW$10*EXP(-'3.r(t)'!G525*$AW$24)</f>
        <v>0.93733120395864611</v>
      </c>
      <c r="AK527" s="7">
        <f ca="1">$AW$11*EXP(-'3.r(t)'!H525*$AW$25)</f>
        <v>0.95014580006409322</v>
      </c>
      <c r="AL527" s="7">
        <f ca="1">$AW$12*EXP(-'3.r(t)'!I525*$AW$26)</f>
        <v>0.97479185657001555</v>
      </c>
      <c r="AM527" s="7">
        <v>1</v>
      </c>
      <c r="AN527" s="7"/>
    </row>
    <row r="528" spans="2:40">
      <c r="B528" s="7">
        <v>520</v>
      </c>
      <c r="C528" s="7">
        <f>$AR$7*EXP(-'3.r(t)'!D526*$AR$21)</f>
        <v>0.97765346695821032</v>
      </c>
      <c r="D528" s="7">
        <v>1</v>
      </c>
      <c r="E528" s="7"/>
      <c r="F528" s="7">
        <v>520</v>
      </c>
      <c r="G528" s="48">
        <f>$AS$7*EXP(-'3.r(t)'!D526*$AS$21)</f>
        <v>0.9553476245219803</v>
      </c>
      <c r="H528" s="7">
        <f ca="1">$AS$8*EXP(-'3.r(t)'!E526*$AS$22)</f>
        <v>0.97476973471500483</v>
      </c>
      <c r="I528" s="7">
        <v>1</v>
      </c>
      <c r="J528" s="7"/>
      <c r="K528" s="7">
        <v>520</v>
      </c>
      <c r="L528" s="7">
        <f>$AT$7*EXP(-'3.r(t)'!D526*$AT$21)</f>
        <v>0.93311670519824419</v>
      </c>
      <c r="M528" s="7">
        <f ca="1">$AT$8*EXP(-'3.r(t)'!E526*$AT$22)</f>
        <v>0.94972848946492616</v>
      </c>
      <c r="N528" s="7">
        <f ca="1">$AT$9*EXP(-'3.r(t)'!F526*$AT$23)</f>
        <v>0.97415868264016725</v>
      </c>
      <c r="O528" s="7">
        <v>1</v>
      </c>
      <c r="P528" s="7"/>
      <c r="Q528" s="7">
        <v>520</v>
      </c>
      <c r="R528" s="7">
        <f>$AU$7*EXP(-'3.r(t)'!D526*$AU$21)</f>
        <v>0.91099305977534117</v>
      </c>
      <c r="S528" s="7">
        <f ca="1">$AU$8*EXP(-'3.r(t)'!E526*$AU$22)</f>
        <v>0.92490856851917047</v>
      </c>
      <c r="T528" s="7">
        <f ca="1">$AU$9*EXP(-'3.r(t)'!F526*$AU$23)</f>
        <v>0.94854657195434933</v>
      </c>
      <c r="U528" s="7">
        <f ca="1">$AU$10*EXP(-'3.r(t)'!G526*$AU$24)</f>
        <v>0.97749767340240412</v>
      </c>
      <c r="V528" s="7">
        <v>1</v>
      </c>
      <c r="W528" s="7"/>
      <c r="X528" s="7">
        <v>520</v>
      </c>
      <c r="Y528" s="7">
        <f>$AV$7*EXP(-'3.r(t)'!D526*$AV$21)</f>
        <v>0.88900715067201674</v>
      </c>
      <c r="Z528" s="7">
        <f ca="1">$AV$8*EXP(-'3.r(t)'!E526*$AV$22)</f>
        <v>0.90034003387169714</v>
      </c>
      <c r="AA528" s="7">
        <f ca="1">$AV$9*EXP(-'3.r(t)'!F526*$AV$23)</f>
        <v>0.92319485129596768</v>
      </c>
      <c r="AB528" s="7">
        <f ca="1">$AV$10*EXP(-'3.r(t)'!G526*$AV$24)</f>
        <v>0.95506859910951081</v>
      </c>
      <c r="AC528" s="7">
        <f ca="1">$AV$11*EXP(-'3.r(t)'!H526*$AV$25)</f>
        <v>0.97710445819777569</v>
      </c>
      <c r="AD528" s="7">
        <v>1</v>
      </c>
      <c r="AE528" s="7"/>
      <c r="AF528" s="7">
        <v>520</v>
      </c>
      <c r="AG528" s="7">
        <f>$AW$7*EXP(-'3.r(t)'!D526*$AW$21)</f>
        <v>0.86718755429225491</v>
      </c>
      <c r="AH528" s="7">
        <f ca="1">$AW$8*EXP(-'3.r(t)'!E526*$AW$22)</f>
        <v>0.87605073154600221</v>
      </c>
      <c r="AI528" s="7">
        <f ca="1">$AW$9*EXP(-'3.r(t)'!F526*$AW$23)</f>
        <v>0.89813240219555168</v>
      </c>
      <c r="AJ528" s="7">
        <f ca="1">$AW$10*EXP(-'3.r(t)'!G526*$AW$24)</f>
        <v>0.9327451870704947</v>
      </c>
      <c r="AK528" s="7">
        <f ca="1">$AW$11*EXP(-'3.r(t)'!H526*$AW$25)</f>
        <v>0.95430883766136887</v>
      </c>
      <c r="AL528" s="7">
        <f ca="1">$AW$12*EXP(-'3.r(t)'!I526*$AW$26)</f>
        <v>0.97601038062019418</v>
      </c>
      <c r="AM528" s="7">
        <v>1</v>
      </c>
      <c r="AN528" s="7"/>
    </row>
    <row r="529" spans="2:40">
      <c r="B529" s="7">
        <v>521</v>
      </c>
      <c r="C529" s="7">
        <f>$AR$7*EXP(-'3.r(t)'!D527*$AR$21)</f>
        <v>0.97765346695821032</v>
      </c>
      <c r="D529" s="7">
        <v>1</v>
      </c>
      <c r="E529" s="7"/>
      <c r="F529" s="7">
        <v>521</v>
      </c>
      <c r="G529" s="48">
        <f>$AS$7*EXP(-'3.r(t)'!D527*$AS$21)</f>
        <v>0.9553476245219803</v>
      </c>
      <c r="H529" s="7">
        <f ca="1">$AS$8*EXP(-'3.r(t)'!E527*$AS$22)</f>
        <v>0.98080490327717718</v>
      </c>
      <c r="I529" s="7">
        <v>1</v>
      </c>
      <c r="J529" s="7"/>
      <c r="K529" s="7">
        <v>521</v>
      </c>
      <c r="L529" s="7">
        <f>$AT$7*EXP(-'3.r(t)'!D527*$AT$21)</f>
        <v>0.93311670519824419</v>
      </c>
      <c r="M529" s="7">
        <f ca="1">$AT$8*EXP(-'3.r(t)'!E527*$AT$22)</f>
        <v>0.96152515302860442</v>
      </c>
      <c r="N529" s="7">
        <f ca="1">$AT$9*EXP(-'3.r(t)'!F527*$AT$23)</f>
        <v>0.97539600931278903</v>
      </c>
      <c r="O529" s="7">
        <v>1</v>
      </c>
      <c r="P529" s="7"/>
      <c r="Q529" s="7">
        <v>521</v>
      </c>
      <c r="R529" s="7">
        <f>$AU$7*EXP(-'3.r(t)'!D527*$AU$21)</f>
        <v>0.91099305977534117</v>
      </c>
      <c r="S529" s="7">
        <f ca="1">$AU$8*EXP(-'3.r(t)'!E527*$AU$22)</f>
        <v>0.94219452966601436</v>
      </c>
      <c r="T529" s="7">
        <f ca="1">$AU$9*EXP(-'3.r(t)'!F527*$AU$23)</f>
        <v>0.95095769317601497</v>
      </c>
      <c r="U529" s="7">
        <f ca="1">$AU$10*EXP(-'3.r(t)'!G527*$AU$24)</f>
        <v>0.97622997198183514</v>
      </c>
      <c r="V529" s="7">
        <v>1</v>
      </c>
      <c r="W529" s="7"/>
      <c r="X529" s="7">
        <v>521</v>
      </c>
      <c r="Y529" s="7">
        <f>$AV$7*EXP(-'3.r(t)'!D527*$AV$21)</f>
        <v>0.88900715067201674</v>
      </c>
      <c r="Z529" s="7">
        <f ca="1">$AV$8*EXP(-'3.r(t)'!E527*$AV$22)</f>
        <v>0.92284535164412773</v>
      </c>
      <c r="AA529" s="7">
        <f ca="1">$AV$9*EXP(-'3.r(t)'!F527*$AV$23)</f>
        <v>0.92671710633906179</v>
      </c>
      <c r="AB529" s="7">
        <f ca="1">$AV$10*EXP(-'3.r(t)'!G527*$AV$24)</f>
        <v>0.95259297843704371</v>
      </c>
      <c r="AC529" s="7">
        <f ca="1">$AV$11*EXP(-'3.r(t)'!H527*$AV$25)</f>
        <v>0.97493318163063591</v>
      </c>
      <c r="AD529" s="7">
        <v>1</v>
      </c>
      <c r="AE529" s="7"/>
      <c r="AF529" s="7">
        <v>521</v>
      </c>
      <c r="AG529" s="7">
        <f>$AW$7*EXP(-'3.r(t)'!D527*$AW$21)</f>
        <v>0.86718755429225491</v>
      </c>
      <c r="AH529" s="7">
        <f ca="1">$AW$8*EXP(-'3.r(t)'!E527*$AW$22)</f>
        <v>0.90350844433256949</v>
      </c>
      <c r="AI529" s="7">
        <f ca="1">$AW$9*EXP(-'3.r(t)'!F527*$AW$23)</f>
        <v>0.90270415106077806</v>
      </c>
      <c r="AJ529" s="7">
        <f ca="1">$AW$10*EXP(-'3.r(t)'!G527*$AW$24)</f>
        <v>0.92912090354725085</v>
      </c>
      <c r="AK529" s="7">
        <f ca="1">$AW$11*EXP(-'3.r(t)'!H527*$AW$25)</f>
        <v>0.95007230763202222</v>
      </c>
      <c r="AL529" s="7">
        <f ca="1">$AW$12*EXP(-'3.r(t)'!I527*$AW$26)</f>
        <v>0.9751315991705205</v>
      </c>
      <c r="AM529" s="7">
        <v>1</v>
      </c>
      <c r="AN529" s="7"/>
    </row>
    <row r="530" spans="2:40">
      <c r="B530" s="7">
        <v>522</v>
      </c>
      <c r="C530" s="7">
        <f>$AR$7*EXP(-'3.r(t)'!D528*$AR$21)</f>
        <v>0.97765346695821032</v>
      </c>
      <c r="D530" s="7">
        <v>1</v>
      </c>
      <c r="E530" s="7"/>
      <c r="F530" s="7">
        <v>522</v>
      </c>
      <c r="G530" s="48">
        <f>$AS$7*EXP(-'3.r(t)'!D528*$AS$21)</f>
        <v>0.9553476245219803</v>
      </c>
      <c r="H530" s="7">
        <f ca="1">$AS$8*EXP(-'3.r(t)'!E528*$AS$22)</f>
        <v>0.97865431139702586</v>
      </c>
      <c r="I530" s="7">
        <v>1</v>
      </c>
      <c r="J530" s="7"/>
      <c r="K530" s="7">
        <v>522</v>
      </c>
      <c r="L530" s="7">
        <f>$AT$7*EXP(-'3.r(t)'!D528*$AT$21)</f>
        <v>0.93311670519824419</v>
      </c>
      <c r="M530" s="7">
        <f ca="1">$AT$8*EXP(-'3.r(t)'!E528*$AT$22)</f>
        <v>0.9573131408038178</v>
      </c>
      <c r="N530" s="7">
        <f ca="1">$AT$9*EXP(-'3.r(t)'!F528*$AT$23)</f>
        <v>0.98063740580751024</v>
      </c>
      <c r="O530" s="7">
        <v>1</v>
      </c>
      <c r="P530" s="7"/>
      <c r="Q530" s="7">
        <v>522</v>
      </c>
      <c r="R530" s="7">
        <f>$AU$7*EXP(-'3.r(t)'!D528*$AU$21)</f>
        <v>0.91099305977534117</v>
      </c>
      <c r="S530" s="7">
        <f ca="1">$AU$8*EXP(-'3.r(t)'!E528*$AU$22)</f>
        <v>0.93601031452878414</v>
      </c>
      <c r="T530" s="7">
        <f ca="1">$AU$9*EXP(-'3.r(t)'!F528*$AU$23)</f>
        <v>0.96120530180949526</v>
      </c>
      <c r="U530" s="7">
        <f ca="1">$AU$10*EXP(-'3.r(t)'!G528*$AU$24)</f>
        <v>0.98035678576175256</v>
      </c>
      <c r="V530" s="7">
        <v>1</v>
      </c>
      <c r="W530" s="7"/>
      <c r="X530" s="7">
        <v>522</v>
      </c>
      <c r="Y530" s="7">
        <f>$AV$7*EXP(-'3.r(t)'!D528*$AV$21)</f>
        <v>0.88900715067201674</v>
      </c>
      <c r="Z530" s="7">
        <f ca="1">$AV$8*EXP(-'3.r(t)'!E528*$AV$22)</f>
        <v>0.91477791376913398</v>
      </c>
      <c r="AA530" s="7">
        <f ca="1">$AV$9*EXP(-'3.r(t)'!F528*$AV$23)</f>
        <v>0.94173697422090308</v>
      </c>
      <c r="AB530" s="7">
        <f ca="1">$AV$10*EXP(-'3.r(t)'!G528*$AV$24)</f>
        <v>0.96066378769775695</v>
      </c>
      <c r="AC530" s="7">
        <f ca="1">$AV$11*EXP(-'3.r(t)'!H528*$AV$25)</f>
        <v>0.98070503815066901</v>
      </c>
      <c r="AD530" s="7">
        <v>1</v>
      </c>
      <c r="AE530" s="7"/>
      <c r="AF530" s="7">
        <v>522</v>
      </c>
      <c r="AG530" s="7">
        <f>$AW$7*EXP(-'3.r(t)'!D528*$AW$21)</f>
        <v>0.86718755429225491</v>
      </c>
      <c r="AH530" s="7">
        <f ca="1">$AW$8*EXP(-'3.r(t)'!E528*$AW$22)</f>
        <v>0.89364626133054792</v>
      </c>
      <c r="AI530" s="7">
        <f ca="1">$AW$9*EXP(-'3.r(t)'!F528*$AW$23)</f>
        <v>0.92226422478503289</v>
      </c>
      <c r="AJ530" s="7">
        <f ca="1">$AW$10*EXP(-'3.r(t)'!G528*$AW$24)</f>
        <v>0.94095379331693163</v>
      </c>
      <c r="AK530" s="7">
        <f ca="1">$AW$11*EXP(-'3.r(t)'!H528*$AW$25)</f>
        <v>0.96135495459034037</v>
      </c>
      <c r="AL530" s="7">
        <f ca="1">$AW$12*EXP(-'3.r(t)'!I528*$AW$26)</f>
        <v>0.97835900351741456</v>
      </c>
      <c r="AM530" s="7">
        <v>1</v>
      </c>
      <c r="AN530" s="7"/>
    </row>
    <row r="531" spans="2:40">
      <c r="B531" s="7">
        <v>523</v>
      </c>
      <c r="C531" s="7">
        <f>$AR$7*EXP(-'3.r(t)'!D529*$AR$21)</f>
        <v>0.97765346695821032</v>
      </c>
      <c r="D531" s="7">
        <v>1</v>
      </c>
      <c r="E531" s="7"/>
      <c r="F531" s="7">
        <v>523</v>
      </c>
      <c r="G531" s="48">
        <f>$AS$7*EXP(-'3.r(t)'!D529*$AS$21)</f>
        <v>0.9553476245219803</v>
      </c>
      <c r="H531" s="7">
        <f ca="1">$AS$8*EXP(-'3.r(t)'!E529*$AS$22)</f>
        <v>0.97528055759123067</v>
      </c>
      <c r="I531" s="7">
        <v>1</v>
      </c>
      <c r="J531" s="7"/>
      <c r="K531" s="7">
        <v>523</v>
      </c>
      <c r="L531" s="7">
        <f>$AT$7*EXP(-'3.r(t)'!D529*$AT$21)</f>
        <v>0.93311670519824419</v>
      </c>
      <c r="M531" s="7">
        <f ca="1">$AT$8*EXP(-'3.r(t)'!E529*$AT$22)</f>
        <v>0.95072415057267234</v>
      </c>
      <c r="N531" s="7">
        <f ca="1">$AT$9*EXP(-'3.r(t)'!F529*$AT$23)</f>
        <v>0.98455650168261677</v>
      </c>
      <c r="O531" s="7">
        <v>1</v>
      </c>
      <c r="P531" s="7"/>
      <c r="Q531" s="7">
        <v>523</v>
      </c>
      <c r="R531" s="7">
        <f>$AU$7*EXP(-'3.r(t)'!D529*$AU$21)</f>
        <v>0.91099305977534117</v>
      </c>
      <c r="S531" s="7">
        <f ca="1">$AU$8*EXP(-'3.r(t)'!E529*$AU$22)</f>
        <v>0.92636341084995122</v>
      </c>
      <c r="T531" s="7">
        <f ca="1">$AU$9*EXP(-'3.r(t)'!F529*$AU$23)</f>
        <v>0.96890352581948969</v>
      </c>
      <c r="U531" s="7">
        <f ca="1">$AU$10*EXP(-'3.r(t)'!G529*$AU$24)</f>
        <v>0.98117745774573972</v>
      </c>
      <c r="V531" s="7">
        <v>1</v>
      </c>
      <c r="W531" s="7"/>
      <c r="X531" s="7">
        <v>523</v>
      </c>
      <c r="Y531" s="7">
        <f>$AV$7*EXP(-'3.r(t)'!D529*$AV$21)</f>
        <v>0.88900715067201674</v>
      </c>
      <c r="Z531" s="7">
        <f ca="1">$AV$8*EXP(-'3.r(t)'!E529*$AV$22)</f>
        <v>0.90222879146869928</v>
      </c>
      <c r="AA531" s="7">
        <f ca="1">$AV$9*EXP(-'3.r(t)'!F529*$AV$23)</f>
        <v>0.95307305160245781</v>
      </c>
      <c r="AB531" s="7">
        <f ca="1">$AV$10*EXP(-'3.r(t)'!G529*$AV$24)</f>
        <v>0.9622728342301694</v>
      </c>
      <c r="AC531" s="7">
        <f ca="1">$AV$11*EXP(-'3.r(t)'!H529*$AV$25)</f>
        <v>0.98137129049057403</v>
      </c>
      <c r="AD531" s="7">
        <v>1</v>
      </c>
      <c r="AE531" s="7"/>
      <c r="AF531" s="7">
        <v>523</v>
      </c>
      <c r="AG531" s="7">
        <f>$AW$7*EXP(-'3.r(t)'!D529*$AW$21)</f>
        <v>0.86718755429225491</v>
      </c>
      <c r="AH531" s="7">
        <f ca="1">$AW$8*EXP(-'3.r(t)'!E529*$AW$22)</f>
        <v>0.87834858719006526</v>
      </c>
      <c r="AI531" s="7">
        <f ca="1">$AW$9*EXP(-'3.r(t)'!F529*$AW$23)</f>
        <v>0.93709607697123987</v>
      </c>
      <c r="AJ531" s="7">
        <f ca="1">$AW$10*EXP(-'3.r(t)'!G529*$AW$24)</f>
        <v>0.94331883339446321</v>
      </c>
      <c r="AK531" s="7">
        <f ca="1">$AW$11*EXP(-'3.r(t)'!H529*$AW$25)</f>
        <v>0.96266161159722641</v>
      </c>
      <c r="AL531" s="7">
        <f ca="1">$AW$12*EXP(-'3.r(t)'!I529*$AW$26)</f>
        <v>0.98215376832565326</v>
      </c>
      <c r="AM531" s="7">
        <v>1</v>
      </c>
      <c r="AN531" s="7"/>
    </row>
    <row r="532" spans="2:40">
      <c r="B532" s="7">
        <v>524</v>
      </c>
      <c r="C532" s="7">
        <f>$AR$7*EXP(-'3.r(t)'!D530*$AR$21)</f>
        <v>0.97765346695821032</v>
      </c>
      <c r="D532" s="7">
        <v>1</v>
      </c>
      <c r="E532" s="7"/>
      <c r="F532" s="7">
        <v>524</v>
      </c>
      <c r="G532" s="48">
        <f>$AS$7*EXP(-'3.r(t)'!D530*$AS$21)</f>
        <v>0.9553476245219803</v>
      </c>
      <c r="H532" s="7">
        <f ca="1">$AS$8*EXP(-'3.r(t)'!E530*$AS$22)</f>
        <v>0.98002060611331188</v>
      </c>
      <c r="I532" s="7">
        <v>1</v>
      </c>
      <c r="J532" s="7"/>
      <c r="K532" s="7">
        <v>524</v>
      </c>
      <c r="L532" s="7">
        <f>$AT$7*EXP(-'3.r(t)'!D530*$AT$21)</f>
        <v>0.93311670519824419</v>
      </c>
      <c r="M532" s="7">
        <f ca="1">$AT$8*EXP(-'3.r(t)'!E530*$AT$22)</f>
        <v>0.95998800750105984</v>
      </c>
      <c r="N532" s="7">
        <f ca="1">$AT$9*EXP(-'3.r(t)'!F530*$AT$23)</f>
        <v>0.97998279355549123</v>
      </c>
      <c r="O532" s="7">
        <v>1</v>
      </c>
      <c r="P532" s="7"/>
      <c r="Q532" s="7">
        <v>524</v>
      </c>
      <c r="R532" s="7">
        <f>$AU$7*EXP(-'3.r(t)'!D530*$AU$21)</f>
        <v>0.91099305977534117</v>
      </c>
      <c r="S532" s="7">
        <f ca="1">$AU$8*EXP(-'3.r(t)'!E530*$AU$22)</f>
        <v>0.93993606905272775</v>
      </c>
      <c r="T532" s="7">
        <f ca="1">$AU$9*EXP(-'3.r(t)'!F530*$AU$23)</f>
        <v>0.95992244894125267</v>
      </c>
      <c r="U532" s="7">
        <f ca="1">$AU$10*EXP(-'3.r(t)'!G530*$AU$24)</f>
        <v>0.98314253133439489</v>
      </c>
      <c r="V532" s="7">
        <v>1</v>
      </c>
      <c r="W532" s="7"/>
      <c r="X532" s="7">
        <v>524</v>
      </c>
      <c r="Y532" s="7">
        <f>$AV$7*EXP(-'3.r(t)'!D530*$AV$21)</f>
        <v>0.88900715067201674</v>
      </c>
      <c r="Z532" s="7">
        <f ca="1">$AV$8*EXP(-'3.r(t)'!E530*$AV$22)</f>
        <v>0.91989709029620259</v>
      </c>
      <c r="AA532" s="7">
        <f ca="1">$AV$9*EXP(-'3.r(t)'!F530*$AV$23)</f>
        <v>0.93985229860829067</v>
      </c>
      <c r="AB532" s="7">
        <f ca="1">$AV$10*EXP(-'3.r(t)'!G530*$AV$24)</f>
        <v>0.96613111791442008</v>
      </c>
      <c r="AC532" s="7">
        <f ca="1">$AV$11*EXP(-'3.r(t)'!H530*$AV$25)</f>
        <v>0.98182716947160897</v>
      </c>
      <c r="AD532" s="7">
        <v>1</v>
      </c>
      <c r="AE532" s="7"/>
      <c r="AF532" s="7">
        <v>524</v>
      </c>
      <c r="AG532" s="7">
        <f>$AW$7*EXP(-'3.r(t)'!D530*$AW$21)</f>
        <v>0.86718755429225491</v>
      </c>
      <c r="AH532" s="7">
        <f ca="1">$AW$8*EXP(-'3.r(t)'!E530*$AW$22)</f>
        <v>0.8999017804363959</v>
      </c>
      <c r="AI532" s="7">
        <f ca="1">$AW$9*EXP(-'3.r(t)'!F530*$AW$23)</f>
        <v>0.9198041056320666</v>
      </c>
      <c r="AJ532" s="7">
        <f ca="1">$AW$10*EXP(-'3.r(t)'!G530*$AW$24)</f>
        <v>0.94899794650617408</v>
      </c>
      <c r="AK532" s="7">
        <f ca="1">$AW$11*EXP(-'3.r(t)'!H530*$AW$25)</f>
        <v>0.96355619478010945</v>
      </c>
      <c r="AL532" s="7">
        <f ca="1">$AW$12*EXP(-'3.r(t)'!I530*$AW$26)</f>
        <v>0.98041675081421409</v>
      </c>
      <c r="AM532" s="7">
        <v>1</v>
      </c>
      <c r="AN532" s="7"/>
    </row>
    <row r="533" spans="2:40">
      <c r="B533" s="7">
        <v>525</v>
      </c>
      <c r="C533" s="7">
        <f>$AR$7*EXP(-'3.r(t)'!D531*$AR$21)</f>
        <v>0.97765346695821032</v>
      </c>
      <c r="D533" s="7">
        <v>1</v>
      </c>
      <c r="E533" s="7"/>
      <c r="F533" s="7">
        <v>525</v>
      </c>
      <c r="G533" s="48">
        <f>$AS$7*EXP(-'3.r(t)'!D531*$AS$21)</f>
        <v>0.9553476245219803</v>
      </c>
      <c r="H533" s="7">
        <f ca="1">$AS$8*EXP(-'3.r(t)'!E531*$AS$22)</f>
        <v>0.97980071618186271</v>
      </c>
      <c r="I533" s="7">
        <v>1</v>
      </c>
      <c r="J533" s="7"/>
      <c r="K533" s="7">
        <v>525</v>
      </c>
      <c r="L533" s="7">
        <f>$AT$7*EXP(-'3.r(t)'!D531*$AT$21)</f>
        <v>0.93311670519824419</v>
      </c>
      <c r="M533" s="7">
        <f ca="1">$AT$8*EXP(-'3.r(t)'!E531*$AT$22)</f>
        <v>0.95955726550598119</v>
      </c>
      <c r="N533" s="7">
        <f ca="1">$AT$9*EXP(-'3.r(t)'!F531*$AT$23)</f>
        <v>0.97777915635492485</v>
      </c>
      <c r="O533" s="7">
        <v>1</v>
      </c>
      <c r="P533" s="7"/>
      <c r="Q533" s="7">
        <v>525</v>
      </c>
      <c r="R533" s="7">
        <f>$AU$7*EXP(-'3.r(t)'!D531*$AU$21)</f>
        <v>0.91099305977534117</v>
      </c>
      <c r="S533" s="7">
        <f ca="1">$AU$8*EXP(-'3.r(t)'!E531*$AU$22)</f>
        <v>0.93930352284078722</v>
      </c>
      <c r="T533" s="7">
        <f ca="1">$AU$9*EXP(-'3.r(t)'!F531*$AU$23)</f>
        <v>0.95561024565532182</v>
      </c>
      <c r="U533" s="7">
        <f ca="1">$AU$10*EXP(-'3.r(t)'!G531*$AU$24)</f>
        <v>0.97329507568105844</v>
      </c>
      <c r="V533" s="7">
        <v>1</v>
      </c>
      <c r="W533" s="7"/>
      <c r="X533" s="7">
        <v>525</v>
      </c>
      <c r="Y533" s="7">
        <f>$AV$7*EXP(-'3.r(t)'!D531*$AV$21)</f>
        <v>0.88900715067201674</v>
      </c>
      <c r="Z533" s="7">
        <f ca="1">$AV$8*EXP(-'3.r(t)'!E531*$AV$22)</f>
        <v>0.91907176870940033</v>
      </c>
      <c r="AA533" s="7">
        <f ca="1">$AV$9*EXP(-'3.r(t)'!F531*$AV$23)</f>
        <v>0.93352635136538842</v>
      </c>
      <c r="AB533" s="7">
        <f ca="1">$AV$10*EXP(-'3.r(t)'!G531*$AV$24)</f>
        <v>0.94687391805324983</v>
      </c>
      <c r="AC533" s="7">
        <f ca="1">$AV$11*EXP(-'3.r(t)'!H531*$AV$25)</f>
        <v>0.97366301759722718</v>
      </c>
      <c r="AD533" s="7">
        <v>1</v>
      </c>
      <c r="AE533" s="7"/>
      <c r="AF533" s="7">
        <v>525</v>
      </c>
      <c r="AG533" s="7">
        <f>$AW$7*EXP(-'3.r(t)'!D531*$AW$21)</f>
        <v>0.86718755429225491</v>
      </c>
      <c r="AH533" s="7">
        <f ca="1">$AW$8*EXP(-'3.r(t)'!E531*$AW$22)</f>
        <v>0.89889266612783048</v>
      </c>
      <c r="AI533" s="7">
        <f ca="1">$AW$9*EXP(-'3.r(t)'!F531*$AW$23)</f>
        <v>0.91155870347923418</v>
      </c>
      <c r="AJ533" s="7">
        <f ca="1">$AW$10*EXP(-'3.r(t)'!G531*$AW$24)</f>
        <v>0.92076626220390723</v>
      </c>
      <c r="AK533" s="7">
        <f ca="1">$AW$11*EXP(-'3.r(t)'!H531*$AW$25)</f>
        <v>0.94759837073351405</v>
      </c>
      <c r="AL533" s="7">
        <f ca="1">$AW$12*EXP(-'3.r(t)'!I531*$AW$26)</f>
        <v>0.97415757703762795</v>
      </c>
      <c r="AM533" s="7">
        <v>1</v>
      </c>
      <c r="AN533" s="7"/>
    </row>
    <row r="534" spans="2:40">
      <c r="B534" s="7">
        <v>526</v>
      </c>
      <c r="C534" s="7">
        <f>$AR$7*EXP(-'3.r(t)'!D532*$AR$21)</f>
        <v>0.97765346695821032</v>
      </c>
      <c r="D534" s="7">
        <v>1</v>
      </c>
      <c r="E534" s="7"/>
      <c r="F534" s="7">
        <v>526</v>
      </c>
      <c r="G534" s="48">
        <f>$AS$7*EXP(-'3.r(t)'!D532*$AS$21)</f>
        <v>0.9553476245219803</v>
      </c>
      <c r="H534" s="7">
        <f ca="1">$AS$8*EXP(-'3.r(t)'!E532*$AS$22)</f>
        <v>0.97750669980382043</v>
      </c>
      <c r="I534" s="7">
        <v>1</v>
      </c>
      <c r="J534" s="7"/>
      <c r="K534" s="7">
        <v>526</v>
      </c>
      <c r="L534" s="7">
        <f>$AT$7*EXP(-'3.r(t)'!D532*$AT$21)</f>
        <v>0.93311670519824419</v>
      </c>
      <c r="M534" s="7">
        <f ca="1">$AT$8*EXP(-'3.r(t)'!E532*$AT$22)</f>
        <v>0.95506928513475031</v>
      </c>
      <c r="N534" s="7">
        <f ca="1">$AT$9*EXP(-'3.r(t)'!F532*$AT$23)</f>
        <v>0.97282763265667016</v>
      </c>
      <c r="O534" s="7">
        <v>1</v>
      </c>
      <c r="P534" s="7"/>
      <c r="Q534" s="7">
        <v>526</v>
      </c>
      <c r="R534" s="7">
        <f>$AU$7*EXP(-'3.r(t)'!D532*$AU$21)</f>
        <v>0.91099305977534117</v>
      </c>
      <c r="S534" s="7">
        <f ca="1">$AU$8*EXP(-'3.r(t)'!E532*$AU$22)</f>
        <v>0.93272135801943423</v>
      </c>
      <c r="T534" s="7">
        <f ca="1">$AU$9*EXP(-'3.r(t)'!F532*$AU$23)</f>
        <v>0.94595623351223712</v>
      </c>
      <c r="U534" s="7">
        <f ca="1">$AU$10*EXP(-'3.r(t)'!G532*$AU$24)</f>
        <v>0.97115227790394842</v>
      </c>
      <c r="V534" s="7">
        <v>1</v>
      </c>
      <c r="W534" s="7"/>
      <c r="X534" s="7">
        <v>526</v>
      </c>
      <c r="Y534" s="7">
        <f>$AV$7*EXP(-'3.r(t)'!D532*$AV$21)</f>
        <v>0.88900715067201674</v>
      </c>
      <c r="Z534" s="7">
        <f ca="1">$AV$8*EXP(-'3.r(t)'!E532*$AV$22)</f>
        <v>0.91049462561394878</v>
      </c>
      <c r="AA534" s="7">
        <f ca="1">$AV$9*EXP(-'3.r(t)'!F532*$AV$23)</f>
        <v>0.91941577421668752</v>
      </c>
      <c r="AB534" s="7">
        <f ca="1">$AV$10*EXP(-'3.r(t)'!G532*$AV$24)</f>
        <v>0.94270924917112109</v>
      </c>
      <c r="AC534" s="7">
        <f ca="1">$AV$11*EXP(-'3.r(t)'!H532*$AV$25)</f>
        <v>0.97279854869364124</v>
      </c>
      <c r="AD534" s="7">
        <v>1</v>
      </c>
      <c r="AE534" s="7"/>
      <c r="AF534" s="7">
        <v>526</v>
      </c>
      <c r="AG534" s="7">
        <f>$AW$7*EXP(-'3.r(t)'!D532*$AW$21)</f>
        <v>0.86718755429225491</v>
      </c>
      <c r="AH534" s="7">
        <f ca="1">$AW$8*EXP(-'3.r(t)'!E532*$AW$22)</f>
        <v>0.88841889764843618</v>
      </c>
      <c r="AI534" s="7">
        <f ca="1">$AW$9*EXP(-'3.r(t)'!F532*$AW$23)</f>
        <v>0.89323377024618367</v>
      </c>
      <c r="AJ534" s="7">
        <f ca="1">$AW$10*EXP(-'3.r(t)'!G532*$AW$24)</f>
        <v>0.91469818882337928</v>
      </c>
      <c r="AK534" s="7">
        <f ca="1">$AW$11*EXP(-'3.r(t)'!H532*$AW$25)</f>
        <v>0.94591646301159316</v>
      </c>
      <c r="AL534" s="7">
        <f ca="1">$AW$12*EXP(-'3.r(t)'!I532*$AW$26)</f>
        <v>0.97447524590976387</v>
      </c>
      <c r="AM534" s="7">
        <v>1</v>
      </c>
      <c r="AN534" s="7"/>
    </row>
    <row r="535" spans="2:40">
      <c r="B535" s="7">
        <v>527</v>
      </c>
      <c r="C535" s="7">
        <f>$AR$7*EXP(-'3.r(t)'!D533*$AR$21)</f>
        <v>0.97765346695821032</v>
      </c>
      <c r="D535" s="7">
        <v>1</v>
      </c>
      <c r="E535" s="7"/>
      <c r="F535" s="7">
        <v>527</v>
      </c>
      <c r="G535" s="48">
        <f>$AS$7*EXP(-'3.r(t)'!D533*$AS$21)</f>
        <v>0.9553476245219803</v>
      </c>
      <c r="H535" s="7">
        <f ca="1">$AS$8*EXP(-'3.r(t)'!E533*$AS$22)</f>
        <v>0.97905112588643328</v>
      </c>
      <c r="I535" s="7">
        <v>1</v>
      </c>
      <c r="J535" s="7"/>
      <c r="K535" s="7">
        <v>527</v>
      </c>
      <c r="L535" s="7">
        <f>$AT$7*EXP(-'3.r(t)'!D533*$AT$21)</f>
        <v>0.93311670519824419</v>
      </c>
      <c r="M535" s="7">
        <f ca="1">$AT$8*EXP(-'3.r(t)'!E533*$AT$22)</f>
        <v>0.95808962078200699</v>
      </c>
      <c r="N535" s="7">
        <f ca="1">$AT$9*EXP(-'3.r(t)'!F533*$AT$23)</f>
        <v>0.97638807927057003</v>
      </c>
      <c r="O535" s="7">
        <v>1</v>
      </c>
      <c r="P535" s="7"/>
      <c r="Q535" s="7">
        <v>527</v>
      </c>
      <c r="R535" s="7">
        <f>$AU$7*EXP(-'3.r(t)'!D533*$AU$21)</f>
        <v>0.91099305977534117</v>
      </c>
      <c r="S535" s="7">
        <f ca="1">$AU$8*EXP(-'3.r(t)'!E533*$AU$22)</f>
        <v>0.9371493471929746</v>
      </c>
      <c r="T535" s="7">
        <f ca="1">$AU$9*EXP(-'3.r(t)'!F533*$AU$23)</f>
        <v>0.95289310468359778</v>
      </c>
      <c r="U535" s="7">
        <f ca="1">$AU$10*EXP(-'3.r(t)'!G533*$AU$24)</f>
        <v>0.97831831059933283</v>
      </c>
      <c r="V535" s="7">
        <v>1</v>
      </c>
      <c r="W535" s="7"/>
      <c r="X535" s="7">
        <v>527</v>
      </c>
      <c r="Y535" s="7">
        <f>$AV$7*EXP(-'3.r(t)'!D533*$AV$21)</f>
        <v>0.88900715067201674</v>
      </c>
      <c r="Z535" s="7">
        <f ca="1">$AV$8*EXP(-'3.r(t)'!E533*$AV$22)</f>
        <v>0.91626247461001298</v>
      </c>
      <c r="AA535" s="7">
        <f ca="1">$AV$9*EXP(-'3.r(t)'!F533*$AV$23)</f>
        <v>0.92954766006239997</v>
      </c>
      <c r="AB535" s="7">
        <f ca="1">$AV$10*EXP(-'3.r(t)'!G533*$AV$24)</f>
        <v>0.95667288694742703</v>
      </c>
      <c r="AC535" s="7">
        <f ca="1">$AV$11*EXP(-'3.r(t)'!H533*$AV$25)</f>
        <v>0.97994827157769948</v>
      </c>
      <c r="AD535" s="7">
        <v>1</v>
      </c>
      <c r="AE535" s="7"/>
      <c r="AF535" s="7">
        <v>527</v>
      </c>
      <c r="AG535" s="7">
        <f>$AW$7*EXP(-'3.r(t)'!D533*$AW$21)</f>
        <v>0.86718755429225491</v>
      </c>
      <c r="AH535" s="7">
        <f ca="1">$AW$8*EXP(-'3.r(t)'!E533*$AW$22)</f>
        <v>0.89545946271294008</v>
      </c>
      <c r="AI535" s="7">
        <f ca="1">$AW$9*EXP(-'3.r(t)'!F533*$AW$23)</f>
        <v>0.90638229970624207</v>
      </c>
      <c r="AJ535" s="7">
        <f ca="1">$AW$10*EXP(-'3.r(t)'!G533*$AW$24)</f>
        <v>0.93509635846363326</v>
      </c>
      <c r="AK535" s="7">
        <f ca="1">$AW$11*EXP(-'3.r(t)'!H533*$AW$25)</f>
        <v>0.95987185708773304</v>
      </c>
      <c r="AL535" s="7">
        <f ca="1">$AW$12*EXP(-'3.r(t)'!I533*$AW$26)</f>
        <v>0.9765036066425522</v>
      </c>
      <c r="AM535" s="7">
        <v>1</v>
      </c>
      <c r="AN535" s="7"/>
    </row>
    <row r="536" spans="2:40">
      <c r="B536" s="7">
        <v>528</v>
      </c>
      <c r="C536" s="7">
        <f>$AR$7*EXP(-'3.r(t)'!D534*$AR$21)</f>
        <v>0.97765346695821032</v>
      </c>
      <c r="D536" s="7">
        <v>1</v>
      </c>
      <c r="E536" s="7"/>
      <c r="F536" s="7">
        <v>528</v>
      </c>
      <c r="G536" s="48">
        <f>$AS$7*EXP(-'3.r(t)'!D534*$AS$21)</f>
        <v>0.9553476245219803</v>
      </c>
      <c r="H536" s="7">
        <f ca="1">$AS$8*EXP(-'3.r(t)'!E534*$AS$22)</f>
        <v>0.97456765389319122</v>
      </c>
      <c r="I536" s="7">
        <v>1</v>
      </c>
      <c r="J536" s="7"/>
      <c r="K536" s="7">
        <v>528</v>
      </c>
      <c r="L536" s="7">
        <f>$AT$7*EXP(-'3.r(t)'!D534*$AT$21)</f>
        <v>0.93311670519824419</v>
      </c>
      <c r="M536" s="7">
        <f ca="1">$AT$8*EXP(-'3.r(t)'!E534*$AT$22)</f>
        <v>0.94933475130703748</v>
      </c>
      <c r="N536" s="7">
        <f ca="1">$AT$9*EXP(-'3.r(t)'!F534*$AT$23)</f>
        <v>0.97618654086888823</v>
      </c>
      <c r="O536" s="7">
        <v>1</v>
      </c>
      <c r="P536" s="7"/>
      <c r="Q536" s="7">
        <v>528</v>
      </c>
      <c r="R536" s="7">
        <f>$AU$7*EXP(-'3.r(t)'!D534*$AU$21)</f>
        <v>0.91099305977534117</v>
      </c>
      <c r="S536" s="7">
        <f ca="1">$AU$8*EXP(-'3.r(t)'!E534*$AU$22)</f>
        <v>0.92433345565345792</v>
      </c>
      <c r="T536" s="7">
        <f ca="1">$AU$9*EXP(-'3.r(t)'!F534*$AU$23)</f>
        <v>0.95249976777750478</v>
      </c>
      <c r="U536" s="7">
        <f ca="1">$AU$10*EXP(-'3.r(t)'!G534*$AU$24)</f>
        <v>0.97688575159195801</v>
      </c>
      <c r="V536" s="7">
        <v>1</v>
      </c>
      <c r="W536" s="7"/>
      <c r="X536" s="7">
        <v>528</v>
      </c>
      <c r="Y536" s="7">
        <f>$AV$7*EXP(-'3.r(t)'!D534*$AV$21)</f>
        <v>0.88900715067201674</v>
      </c>
      <c r="Z536" s="7">
        <f ca="1">$AV$8*EXP(-'3.r(t)'!E534*$AV$22)</f>
        <v>0.89959366320585676</v>
      </c>
      <c r="AA536" s="7">
        <f ca="1">$AV$9*EXP(-'3.r(t)'!F534*$AV$23)</f>
        <v>0.92897216896260093</v>
      </c>
      <c r="AB536" s="7">
        <f ca="1">$AV$10*EXP(-'3.r(t)'!G534*$AV$24)</f>
        <v>0.95387321134758274</v>
      </c>
      <c r="AC536" s="7">
        <f ca="1">$AV$11*EXP(-'3.r(t)'!H534*$AV$25)</f>
        <v>0.9770704048302441</v>
      </c>
      <c r="AD536" s="7">
        <v>1</v>
      </c>
      <c r="AE536" s="7"/>
      <c r="AF536" s="7">
        <v>528</v>
      </c>
      <c r="AG536" s="7">
        <f>$AW$7*EXP(-'3.r(t)'!D534*$AW$21)</f>
        <v>0.86718755429225491</v>
      </c>
      <c r="AH536" s="7">
        <f ca="1">$AW$8*EXP(-'3.r(t)'!E534*$AW$22)</f>
        <v>0.87514303171302898</v>
      </c>
      <c r="AI536" s="7">
        <f ca="1">$AW$9*EXP(-'3.r(t)'!F534*$AW$23)</f>
        <v>0.90563417795661039</v>
      </c>
      <c r="AJ536" s="7">
        <f ca="1">$AW$10*EXP(-'3.r(t)'!G534*$AW$24)</f>
        <v>0.93099456430609306</v>
      </c>
      <c r="AK536" s="7">
        <f ca="1">$AW$11*EXP(-'3.r(t)'!H534*$AW$25)</f>
        <v>0.95424232099976547</v>
      </c>
      <c r="AL536" s="7">
        <f ca="1">$AW$12*EXP(-'3.r(t)'!I534*$AW$26)</f>
        <v>0.9774064469886744</v>
      </c>
      <c r="AM536" s="7">
        <v>1</v>
      </c>
      <c r="AN536" s="7"/>
    </row>
    <row r="537" spans="2:40">
      <c r="B537" s="7">
        <v>529</v>
      </c>
      <c r="C537" s="7">
        <f>$AR$7*EXP(-'3.r(t)'!D535*$AR$21)</f>
        <v>0.97765346695821032</v>
      </c>
      <c r="D537" s="7">
        <v>1</v>
      </c>
      <c r="E537" s="7"/>
      <c r="F537" s="7">
        <v>529</v>
      </c>
      <c r="G537" s="48">
        <f>$AS$7*EXP(-'3.r(t)'!D535*$AS$21)</f>
        <v>0.9553476245219803</v>
      </c>
      <c r="H537" s="7">
        <f ca="1">$AS$8*EXP(-'3.r(t)'!E535*$AS$22)</f>
        <v>0.9765516361872123</v>
      </c>
      <c r="I537" s="7">
        <v>1</v>
      </c>
      <c r="J537" s="7"/>
      <c r="K537" s="7">
        <v>529</v>
      </c>
      <c r="L537" s="7">
        <f>$AT$7*EXP(-'3.r(t)'!D535*$AT$21)</f>
        <v>0.93311670519824419</v>
      </c>
      <c r="M537" s="7">
        <f ca="1">$AT$8*EXP(-'3.r(t)'!E535*$AT$22)</f>
        <v>0.9532039141432741</v>
      </c>
      <c r="N537" s="7">
        <f ca="1">$AT$9*EXP(-'3.r(t)'!F535*$AT$23)</f>
        <v>0.97296189427474</v>
      </c>
      <c r="O537" s="7">
        <v>1</v>
      </c>
      <c r="P537" s="7"/>
      <c r="Q537" s="7">
        <v>529</v>
      </c>
      <c r="R537" s="7">
        <f>$AU$7*EXP(-'3.r(t)'!D535*$AU$21)</f>
        <v>0.91099305977534117</v>
      </c>
      <c r="S537" s="7">
        <f ca="1">$AU$8*EXP(-'3.r(t)'!E535*$AU$22)</f>
        <v>0.92999010872546461</v>
      </c>
      <c r="T537" s="7">
        <f ca="1">$AU$9*EXP(-'3.r(t)'!F535*$AU$23)</f>
        <v>0.94621735763002091</v>
      </c>
      <c r="U537" s="7">
        <f ca="1">$AU$10*EXP(-'3.r(t)'!G535*$AU$24)</f>
        <v>0.96913229306440818</v>
      </c>
      <c r="V537" s="7">
        <v>1</v>
      </c>
      <c r="W537" s="7"/>
      <c r="X537" s="7">
        <v>529</v>
      </c>
      <c r="Y537" s="7">
        <f>$AV$7*EXP(-'3.r(t)'!D535*$AV$21)</f>
        <v>0.88900715067201674</v>
      </c>
      <c r="Z537" s="7">
        <f ca="1">$AV$8*EXP(-'3.r(t)'!E535*$AV$22)</f>
        <v>0.90694147678170822</v>
      </c>
      <c r="AA537" s="7">
        <f ca="1">$AV$9*EXP(-'3.r(t)'!F535*$AV$23)</f>
        <v>0.9197964972224153</v>
      </c>
      <c r="AB537" s="7">
        <f ca="1">$AV$10*EXP(-'3.r(t)'!G535*$AV$24)</f>
        <v>0.93879168028385218</v>
      </c>
      <c r="AC537" s="7">
        <f ca="1">$AV$11*EXP(-'3.r(t)'!H535*$AV$25)</f>
        <v>0.97283072626624834</v>
      </c>
      <c r="AD537" s="7">
        <v>1</v>
      </c>
      <c r="AE537" s="7"/>
      <c r="AF537" s="7">
        <v>529</v>
      </c>
      <c r="AG537" s="7">
        <f>$AW$7*EXP(-'3.r(t)'!D535*$AW$21)</f>
        <v>0.86718755429225491</v>
      </c>
      <c r="AH537" s="7">
        <f ca="1">$AW$8*EXP(-'3.r(t)'!E535*$AW$22)</f>
        <v>0.88408726414757344</v>
      </c>
      <c r="AI537" s="7">
        <f ca="1">$AW$9*EXP(-'3.r(t)'!F535*$AW$23)</f>
        <v>0.89372697926519562</v>
      </c>
      <c r="AJ537" s="7">
        <f ca="1">$AW$10*EXP(-'3.r(t)'!G535*$AW$24)</f>
        <v>0.90900236942533352</v>
      </c>
      <c r="AK537" s="7">
        <f ca="1">$AW$11*EXP(-'3.r(t)'!H535*$AW$25)</f>
        <v>0.94597904081683737</v>
      </c>
      <c r="AL537" s="7">
        <f ca="1">$AW$12*EXP(-'3.r(t)'!I535*$AW$26)</f>
        <v>0.97412038887574626</v>
      </c>
      <c r="AM537" s="7">
        <v>1</v>
      </c>
      <c r="AN537" s="7"/>
    </row>
    <row r="538" spans="2:40">
      <c r="B538" s="7">
        <v>530</v>
      </c>
      <c r="C538" s="7">
        <f>$AR$7*EXP(-'3.r(t)'!D536*$AR$21)</f>
        <v>0.97765346695821032</v>
      </c>
      <c r="D538" s="7">
        <v>1</v>
      </c>
      <c r="E538" s="7"/>
      <c r="F538" s="7">
        <v>530</v>
      </c>
      <c r="G538" s="48">
        <f>$AS$7*EXP(-'3.r(t)'!D536*$AS$21)</f>
        <v>0.9553476245219803</v>
      </c>
      <c r="H538" s="7">
        <f ca="1">$AS$8*EXP(-'3.r(t)'!E536*$AS$22)</f>
        <v>0.97778551517402323</v>
      </c>
      <c r="I538" s="7">
        <v>1</v>
      </c>
      <c r="J538" s="7"/>
      <c r="K538" s="7">
        <v>530</v>
      </c>
      <c r="L538" s="7">
        <f>$AT$7*EXP(-'3.r(t)'!D536*$AT$21)</f>
        <v>0.93311670519824419</v>
      </c>
      <c r="M538" s="7">
        <f ca="1">$AT$8*EXP(-'3.r(t)'!E536*$AT$22)</f>
        <v>0.95561419387690971</v>
      </c>
      <c r="N538" s="7">
        <f ca="1">$AT$9*EXP(-'3.r(t)'!F536*$AT$23)</f>
        <v>0.97549565233303859</v>
      </c>
      <c r="O538" s="7">
        <v>1</v>
      </c>
      <c r="P538" s="7"/>
      <c r="Q538" s="7">
        <v>530</v>
      </c>
      <c r="R538" s="7">
        <f>$AU$7*EXP(-'3.r(t)'!D536*$AU$21)</f>
        <v>0.91099305977534117</v>
      </c>
      <c r="S538" s="7">
        <f ca="1">$AU$8*EXP(-'3.r(t)'!E536*$AU$22)</f>
        <v>0.93351970927639616</v>
      </c>
      <c r="T538" s="7">
        <f ca="1">$AU$9*EXP(-'3.r(t)'!F536*$AU$23)</f>
        <v>0.95115199607608336</v>
      </c>
      <c r="U538" s="7">
        <f ca="1">$AU$10*EXP(-'3.r(t)'!G536*$AU$24)</f>
        <v>0.97398801594629159</v>
      </c>
      <c r="V538" s="7">
        <v>1</v>
      </c>
      <c r="W538" s="7"/>
      <c r="X538" s="7">
        <v>530</v>
      </c>
      <c r="Y538" s="7">
        <f>$AV$7*EXP(-'3.r(t)'!D536*$AV$21)</f>
        <v>0.88900715067201674</v>
      </c>
      <c r="Z538" s="7">
        <f ca="1">$AV$8*EXP(-'3.r(t)'!E536*$AV$22)</f>
        <v>0.91153387590223001</v>
      </c>
      <c r="AA538" s="7">
        <f ca="1">$AV$9*EXP(-'3.r(t)'!F536*$AV$23)</f>
        <v>0.92700114581857218</v>
      </c>
      <c r="AB538" s="7">
        <f ca="1">$AV$10*EXP(-'3.r(t)'!G536*$AV$24)</f>
        <v>0.94822265729195698</v>
      </c>
      <c r="AC538" s="7">
        <f ca="1">$AV$11*EXP(-'3.r(t)'!H536*$AV$25)</f>
        <v>0.97831379891314307</v>
      </c>
      <c r="AD538" s="7">
        <v>1</v>
      </c>
      <c r="AE538" s="7"/>
      <c r="AF538" s="7">
        <v>530</v>
      </c>
      <c r="AG538" s="7">
        <f>$AW$7*EXP(-'3.r(t)'!D536*$AW$21)</f>
        <v>0.86718755429225491</v>
      </c>
      <c r="AH538" s="7">
        <f ca="1">$AW$8*EXP(-'3.r(t)'!E536*$AW$22)</f>
        <v>0.88968664440906442</v>
      </c>
      <c r="AI538" s="7">
        <f ca="1">$AW$9*EXP(-'3.r(t)'!F536*$AW$23)</f>
        <v>0.90307307589239616</v>
      </c>
      <c r="AJ538" s="7">
        <f ca="1">$AW$10*EXP(-'3.r(t)'!G536*$AW$24)</f>
        <v>0.92273428935201529</v>
      </c>
      <c r="AK538" s="7">
        <f ca="1">$AW$11*EXP(-'3.r(t)'!H536*$AW$25)</f>
        <v>0.95667255366995352</v>
      </c>
      <c r="AL538" s="7">
        <f ca="1">$AW$12*EXP(-'3.r(t)'!I536*$AW$26)</f>
        <v>0.9791918954645743</v>
      </c>
      <c r="AM538" s="7">
        <v>1</v>
      </c>
      <c r="AN538" s="7"/>
    </row>
    <row r="539" spans="2:40">
      <c r="B539" s="7">
        <v>531</v>
      </c>
      <c r="C539" s="7">
        <f>$AR$7*EXP(-'3.r(t)'!D537*$AR$21)</f>
        <v>0.97765346695821032</v>
      </c>
      <c r="D539" s="7">
        <v>1</v>
      </c>
      <c r="E539" s="7"/>
      <c r="F539" s="7">
        <v>531</v>
      </c>
      <c r="G539" s="48">
        <f>$AS$7*EXP(-'3.r(t)'!D537*$AS$21)</f>
        <v>0.9553476245219803</v>
      </c>
      <c r="H539" s="7">
        <f ca="1">$AS$8*EXP(-'3.r(t)'!E537*$AS$22)</f>
        <v>0.97719105171428877</v>
      </c>
      <c r="I539" s="7">
        <v>1</v>
      </c>
      <c r="J539" s="7"/>
      <c r="K539" s="7">
        <v>531</v>
      </c>
      <c r="L539" s="7">
        <f>$AT$7*EXP(-'3.r(t)'!D537*$AT$21)</f>
        <v>0.93311670519824419</v>
      </c>
      <c r="M539" s="7">
        <f ca="1">$AT$8*EXP(-'3.r(t)'!E537*$AT$22)</f>
        <v>0.95445257913793702</v>
      </c>
      <c r="N539" s="7">
        <f ca="1">$AT$9*EXP(-'3.r(t)'!F537*$AT$23)</f>
        <v>0.97761014593304119</v>
      </c>
      <c r="O539" s="7">
        <v>1</v>
      </c>
      <c r="P539" s="7"/>
      <c r="Q539" s="7">
        <v>531</v>
      </c>
      <c r="R539" s="7">
        <f>$AU$7*EXP(-'3.r(t)'!D537*$AU$21)</f>
        <v>0.91099305977534117</v>
      </c>
      <c r="S539" s="7">
        <f ca="1">$AU$8*EXP(-'3.r(t)'!E537*$AU$22)</f>
        <v>0.93181809058574583</v>
      </c>
      <c r="T539" s="7">
        <f ca="1">$AU$9*EXP(-'3.r(t)'!F537*$AU$23)</f>
        <v>0.95527991721401406</v>
      </c>
      <c r="U539" s="7">
        <f ca="1">$AU$10*EXP(-'3.r(t)'!G537*$AU$24)</f>
        <v>0.97787821842849143</v>
      </c>
      <c r="V539" s="7">
        <v>1</v>
      </c>
      <c r="W539" s="7"/>
      <c r="X539" s="7">
        <v>531</v>
      </c>
      <c r="Y539" s="7">
        <f>$AV$7*EXP(-'3.r(t)'!D537*$AV$21)</f>
        <v>0.88900715067201674</v>
      </c>
      <c r="Z539" s="7">
        <f ca="1">$AV$8*EXP(-'3.r(t)'!E537*$AV$22)</f>
        <v>0.90931915862636226</v>
      </c>
      <c r="AA539" s="7">
        <f ca="1">$AV$9*EXP(-'3.r(t)'!F537*$AV$23)</f>
        <v>0.93304235123725843</v>
      </c>
      <c r="AB539" s="7">
        <f ca="1">$AV$10*EXP(-'3.r(t)'!G537*$AV$24)</f>
        <v>0.95581237039551903</v>
      </c>
      <c r="AC539" s="7">
        <f ca="1">$AV$11*EXP(-'3.r(t)'!H537*$AV$25)</f>
        <v>0.97677789477243704</v>
      </c>
      <c r="AD539" s="7">
        <v>1</v>
      </c>
      <c r="AE539" s="7"/>
      <c r="AF539" s="7">
        <v>531</v>
      </c>
      <c r="AG539" s="7">
        <f>$AW$7*EXP(-'3.r(t)'!D537*$AW$21)</f>
        <v>0.86718755429225491</v>
      </c>
      <c r="AH539" s="7">
        <f ca="1">$AW$8*EXP(-'3.r(t)'!E537*$AW$22)</f>
        <v>0.88698542062144636</v>
      </c>
      <c r="AI539" s="7">
        <f ca="1">$AW$9*EXP(-'3.r(t)'!F537*$AW$23)</f>
        <v>0.91092861035573591</v>
      </c>
      <c r="AJ539" s="7">
        <f ca="1">$AW$10*EXP(-'3.r(t)'!G537*$AW$24)</f>
        <v>0.93383497916000224</v>
      </c>
      <c r="AK539" s="7">
        <f ca="1">$AW$11*EXP(-'3.r(t)'!H537*$AW$25)</f>
        <v>0.95367105470501434</v>
      </c>
      <c r="AL539" s="7">
        <f ca="1">$AW$12*EXP(-'3.r(t)'!I537*$AW$26)</f>
        <v>0.97484640008022339</v>
      </c>
      <c r="AM539" s="7">
        <v>1</v>
      </c>
      <c r="AN539" s="7"/>
    </row>
    <row r="540" spans="2:40">
      <c r="B540" s="7">
        <v>532</v>
      </c>
      <c r="C540" s="7">
        <f>$AR$7*EXP(-'3.r(t)'!D538*$AR$21)</f>
        <v>0.97765346695821032</v>
      </c>
      <c r="D540" s="7">
        <v>1</v>
      </c>
      <c r="E540" s="7"/>
      <c r="F540" s="7">
        <v>532</v>
      </c>
      <c r="G540" s="48">
        <f>$AS$7*EXP(-'3.r(t)'!D538*$AS$21)</f>
        <v>0.9553476245219803</v>
      </c>
      <c r="H540" s="7">
        <f ca="1">$AS$8*EXP(-'3.r(t)'!E538*$AS$22)</f>
        <v>0.98356828172702382</v>
      </c>
      <c r="I540" s="7">
        <v>1</v>
      </c>
      <c r="J540" s="7"/>
      <c r="K540" s="7">
        <v>532</v>
      </c>
      <c r="L540" s="7">
        <f>$AT$7*EXP(-'3.r(t)'!D538*$AT$21)</f>
        <v>0.93311670519824419</v>
      </c>
      <c r="M540" s="7">
        <f ca="1">$AT$8*EXP(-'3.r(t)'!E538*$AT$22)</f>
        <v>0.96695090274692475</v>
      </c>
      <c r="N540" s="7">
        <f ca="1">$AT$9*EXP(-'3.r(t)'!F538*$AT$23)</f>
        <v>0.98702490993195502</v>
      </c>
      <c r="O540" s="7">
        <v>1</v>
      </c>
      <c r="P540" s="7"/>
      <c r="Q540" s="7">
        <v>532</v>
      </c>
      <c r="R540" s="7">
        <f>$AU$7*EXP(-'3.r(t)'!D538*$AU$21)</f>
        <v>0.91099305977534117</v>
      </c>
      <c r="S540" s="7">
        <f ca="1">$AU$8*EXP(-'3.r(t)'!E538*$AU$22)</f>
        <v>0.95018077420084501</v>
      </c>
      <c r="T540" s="7">
        <f ca="1">$AU$9*EXP(-'3.r(t)'!F538*$AU$23)</f>
        <v>0.97376794454282378</v>
      </c>
      <c r="U540" s="7">
        <f ca="1">$AU$10*EXP(-'3.r(t)'!G538*$AU$24)</f>
        <v>0.98809041870067205</v>
      </c>
      <c r="V540" s="7">
        <v>1</v>
      </c>
      <c r="W540" s="7"/>
      <c r="X540" s="7">
        <v>532</v>
      </c>
      <c r="Y540" s="7">
        <f>$AV$7*EXP(-'3.r(t)'!D538*$AV$21)</f>
        <v>0.88900715067201674</v>
      </c>
      <c r="Z540" s="7">
        <f ca="1">$AV$8*EXP(-'3.r(t)'!E538*$AV$22)</f>
        <v>0.93328970694013835</v>
      </c>
      <c r="AA540" s="7">
        <f ca="1">$AV$9*EXP(-'3.r(t)'!F538*$AV$23)</f>
        <v>0.96025946449498145</v>
      </c>
      <c r="AB540" s="7">
        <f ca="1">$AV$10*EXP(-'3.r(t)'!G538*$AV$24)</f>
        <v>0.97588013556091113</v>
      </c>
      <c r="AC540" s="7">
        <f ca="1">$AV$11*EXP(-'3.r(t)'!H538*$AV$25)</f>
        <v>0.98832094797776682</v>
      </c>
      <c r="AD540" s="7">
        <v>1</v>
      </c>
      <c r="AE540" s="7"/>
      <c r="AF540" s="7">
        <v>532</v>
      </c>
      <c r="AG540" s="7">
        <f>$AW$7*EXP(-'3.r(t)'!D538*$AW$21)</f>
        <v>0.86718755429225491</v>
      </c>
      <c r="AH540" s="7">
        <f ca="1">$AW$8*EXP(-'3.r(t)'!E538*$AW$22)</f>
        <v>0.91630836180850317</v>
      </c>
      <c r="AI540" s="7">
        <f ca="1">$AW$9*EXP(-'3.r(t)'!F538*$AW$23)</f>
        <v>0.94652915356654255</v>
      </c>
      <c r="AJ540" s="7">
        <f ca="1">$AW$10*EXP(-'3.r(t)'!G538*$AW$24)</f>
        <v>0.96339831812809784</v>
      </c>
      <c r="AK540" s="7">
        <f ca="1">$AW$11*EXP(-'3.r(t)'!H538*$AW$25)</f>
        <v>0.97634421474075961</v>
      </c>
      <c r="AL540" s="7">
        <f ca="1">$AW$12*EXP(-'3.r(t)'!I538*$AW$26)</f>
        <v>0.9919611304626732</v>
      </c>
      <c r="AM540" s="7">
        <v>1</v>
      </c>
      <c r="AN540" s="7"/>
    </row>
    <row r="541" spans="2:40">
      <c r="B541" s="7">
        <v>533</v>
      </c>
      <c r="C541" s="7">
        <f>$AR$7*EXP(-'3.r(t)'!D539*$AR$21)</f>
        <v>0.97765346695821032</v>
      </c>
      <c r="D541" s="7">
        <v>1</v>
      </c>
      <c r="E541" s="7"/>
      <c r="F541" s="7">
        <v>533</v>
      </c>
      <c r="G541" s="48">
        <f>$AS$7*EXP(-'3.r(t)'!D539*$AS$21)</f>
        <v>0.9553476245219803</v>
      </c>
      <c r="H541" s="7">
        <f ca="1">$AS$8*EXP(-'3.r(t)'!E539*$AS$22)</f>
        <v>0.97961326313135555</v>
      </c>
      <c r="I541" s="7">
        <v>1</v>
      </c>
      <c r="J541" s="7"/>
      <c r="K541" s="7">
        <v>533</v>
      </c>
      <c r="L541" s="7">
        <f>$AT$7*EXP(-'3.r(t)'!D539*$AT$21)</f>
        <v>0.93311670519824419</v>
      </c>
      <c r="M541" s="7">
        <f ca="1">$AT$8*EXP(-'3.r(t)'!E539*$AT$22)</f>
        <v>0.95919014038092676</v>
      </c>
      <c r="N541" s="7">
        <f ca="1">$AT$9*EXP(-'3.r(t)'!F539*$AT$23)</f>
        <v>0.97809345630959943</v>
      </c>
      <c r="O541" s="7">
        <v>1</v>
      </c>
      <c r="P541" s="7"/>
      <c r="Q541" s="7">
        <v>533</v>
      </c>
      <c r="R541" s="7">
        <f>$AU$7*EXP(-'3.r(t)'!D539*$AU$21)</f>
        <v>0.91099305977534117</v>
      </c>
      <c r="S541" s="7">
        <f ca="1">$AU$8*EXP(-'3.r(t)'!E539*$AU$22)</f>
        <v>0.93876451029367503</v>
      </c>
      <c r="T541" s="7">
        <f ca="1">$AU$9*EXP(-'3.r(t)'!F539*$AU$23)</f>
        <v>0.95622469223524365</v>
      </c>
      <c r="U541" s="7">
        <f ca="1">$AU$10*EXP(-'3.r(t)'!G539*$AU$24)</f>
        <v>0.9751730782267104</v>
      </c>
      <c r="V541" s="7">
        <v>1</v>
      </c>
      <c r="W541" s="7"/>
      <c r="X541" s="7">
        <v>533</v>
      </c>
      <c r="Y541" s="7">
        <f>$AV$7*EXP(-'3.r(t)'!D539*$AV$21)</f>
        <v>0.88900715067201674</v>
      </c>
      <c r="Z541" s="7">
        <f ca="1">$AV$8*EXP(-'3.r(t)'!E539*$AV$22)</f>
        <v>0.91836863237132704</v>
      </c>
      <c r="AA541" s="7">
        <f ca="1">$AV$9*EXP(-'3.r(t)'!F539*$AV$23)</f>
        <v>0.93442686641036254</v>
      </c>
      <c r="AB541" s="7">
        <f ca="1">$AV$10*EXP(-'3.r(t)'!G539*$AV$24)</f>
        <v>0.95053148757986494</v>
      </c>
      <c r="AC541" s="7">
        <f ca="1">$AV$11*EXP(-'3.r(t)'!H539*$AV$25)</f>
        <v>0.9738074452559099</v>
      </c>
      <c r="AD541" s="7">
        <v>1</v>
      </c>
      <c r="AE541" s="7"/>
      <c r="AF541" s="7">
        <v>533</v>
      </c>
      <c r="AG541" s="7">
        <f>$AW$7*EXP(-'3.r(t)'!D539*$AW$21)</f>
        <v>0.86718755429225491</v>
      </c>
      <c r="AH541" s="7">
        <f ca="1">$AW$8*EXP(-'3.r(t)'!E539*$AW$22)</f>
        <v>0.89803312546908431</v>
      </c>
      <c r="AI541" s="7">
        <f ca="1">$AW$9*EXP(-'3.r(t)'!F539*$AW$23)</f>
        <v>0.91273132422206893</v>
      </c>
      <c r="AJ541" s="7">
        <f ca="1">$AW$10*EXP(-'3.r(t)'!G539*$AW$24)</f>
        <v>0.92610649289184899</v>
      </c>
      <c r="AK541" s="7">
        <f ca="1">$AW$11*EXP(-'3.r(t)'!H539*$AW$25)</f>
        <v>0.94787951433670758</v>
      </c>
      <c r="AL541" s="7">
        <f ca="1">$AW$12*EXP(-'3.r(t)'!I539*$AW$26)</f>
        <v>0.96983186342460048</v>
      </c>
      <c r="AM541" s="7">
        <v>1</v>
      </c>
      <c r="AN541" s="7"/>
    </row>
    <row r="542" spans="2:40">
      <c r="B542" s="7">
        <v>534</v>
      </c>
      <c r="C542" s="7">
        <f>$AR$7*EXP(-'3.r(t)'!D540*$AR$21)</f>
        <v>0.97765346695821032</v>
      </c>
      <c r="D542" s="7">
        <v>1</v>
      </c>
      <c r="E542" s="7"/>
      <c r="F542" s="7">
        <v>534</v>
      </c>
      <c r="G542" s="48">
        <f>$AS$7*EXP(-'3.r(t)'!D540*$AS$21)</f>
        <v>0.9553476245219803</v>
      </c>
      <c r="H542" s="7">
        <f ca="1">$AS$8*EXP(-'3.r(t)'!E540*$AS$22)</f>
        <v>0.97504760534877477</v>
      </c>
      <c r="I542" s="7">
        <v>1</v>
      </c>
      <c r="J542" s="7"/>
      <c r="K542" s="7">
        <v>534</v>
      </c>
      <c r="L542" s="7">
        <f>$AT$7*EXP(-'3.r(t)'!D540*$AT$21)</f>
        <v>0.93311670519824419</v>
      </c>
      <c r="M542" s="7">
        <f ca="1">$AT$8*EXP(-'3.r(t)'!E540*$AT$22)</f>
        <v>0.95027003125096188</v>
      </c>
      <c r="N542" s="7">
        <f ca="1">$AT$9*EXP(-'3.r(t)'!F540*$AT$23)</f>
        <v>0.97472085202299985</v>
      </c>
      <c r="O542" s="7">
        <v>1</v>
      </c>
      <c r="P542" s="7"/>
      <c r="Q542" s="7">
        <v>534</v>
      </c>
      <c r="R542" s="7">
        <f>$AU$7*EXP(-'3.r(t)'!D540*$AU$21)</f>
        <v>0.91099305977534117</v>
      </c>
      <c r="S542" s="7">
        <f ca="1">$AU$8*EXP(-'3.r(t)'!E540*$AU$22)</f>
        <v>0.92569976522073871</v>
      </c>
      <c r="T542" s="7">
        <f ca="1">$AU$9*EXP(-'3.r(t)'!F540*$AU$23)</f>
        <v>0.94964166603531197</v>
      </c>
      <c r="U542" s="7">
        <f ca="1">$AU$10*EXP(-'3.r(t)'!G540*$AU$24)</f>
        <v>0.97434177616442297</v>
      </c>
      <c r="V542" s="7">
        <v>1</v>
      </c>
      <c r="W542" s="7"/>
      <c r="X542" s="7">
        <v>534</v>
      </c>
      <c r="Y542" s="7">
        <f>$AV$7*EXP(-'3.r(t)'!D540*$AV$21)</f>
        <v>0.88900715067201674</v>
      </c>
      <c r="Z542" s="7">
        <f ca="1">$AV$8*EXP(-'3.r(t)'!E540*$AV$22)</f>
        <v>0.90136708689536205</v>
      </c>
      <c r="AA542" s="7">
        <f ca="1">$AV$9*EXP(-'3.r(t)'!F540*$AV$23)</f>
        <v>0.92479405103876478</v>
      </c>
      <c r="AB542" s="7">
        <f ca="1">$AV$10*EXP(-'3.r(t)'!G540*$AV$24)</f>
        <v>0.94891158645013385</v>
      </c>
      <c r="AC542" s="7">
        <f ca="1">$AV$11*EXP(-'3.r(t)'!H540*$AV$25)</f>
        <v>0.97219321082835297</v>
      </c>
      <c r="AD542" s="7">
        <v>1</v>
      </c>
      <c r="AE542" s="7"/>
      <c r="AF542" s="7">
        <v>534</v>
      </c>
      <c r="AG542" s="7">
        <f>$AW$7*EXP(-'3.r(t)'!D540*$AW$21)</f>
        <v>0.86718755429225491</v>
      </c>
      <c r="AH542" s="7">
        <f ca="1">$AW$8*EXP(-'3.r(t)'!E540*$AW$22)</f>
        <v>0.87730009120438945</v>
      </c>
      <c r="AI542" s="7">
        <f ca="1">$AW$9*EXP(-'3.r(t)'!F540*$AW$23)</f>
        <v>0.90020738143917201</v>
      </c>
      <c r="AJ542" s="7">
        <f ca="1">$AW$10*EXP(-'3.r(t)'!G540*$AW$24)</f>
        <v>0.92374008794479701</v>
      </c>
      <c r="AK542" s="7">
        <f ca="1">$AW$11*EXP(-'3.r(t)'!H540*$AW$25)</f>
        <v>0.94473960907973253</v>
      </c>
      <c r="AL542" s="7">
        <f ca="1">$AW$12*EXP(-'3.r(t)'!I540*$AW$26)</f>
        <v>0.97448320781784048</v>
      </c>
      <c r="AM542" s="7">
        <v>1</v>
      </c>
      <c r="AN542" s="7"/>
    </row>
    <row r="543" spans="2:40">
      <c r="B543" s="7">
        <v>535</v>
      </c>
      <c r="C543" s="7">
        <f>$AR$7*EXP(-'3.r(t)'!D541*$AR$21)</f>
        <v>0.97765346695821032</v>
      </c>
      <c r="D543" s="7">
        <v>1</v>
      </c>
      <c r="E543" s="7"/>
      <c r="F543" s="7">
        <v>535</v>
      </c>
      <c r="G543" s="48">
        <f>$AS$7*EXP(-'3.r(t)'!D541*$AS$21)</f>
        <v>0.9553476245219803</v>
      </c>
      <c r="H543" s="7">
        <f ca="1">$AS$8*EXP(-'3.r(t)'!E541*$AS$22)</f>
        <v>0.98192888698737035</v>
      </c>
      <c r="I543" s="7">
        <v>1</v>
      </c>
      <c r="J543" s="7"/>
      <c r="K543" s="7">
        <v>535</v>
      </c>
      <c r="L543" s="7">
        <f>$AT$7*EXP(-'3.r(t)'!D541*$AT$21)</f>
        <v>0.93311670519824419</v>
      </c>
      <c r="M543" s="7">
        <f ca="1">$AT$8*EXP(-'3.r(t)'!E541*$AT$22)</f>
        <v>0.96373019474127819</v>
      </c>
      <c r="N543" s="7">
        <f ca="1">$AT$9*EXP(-'3.r(t)'!F541*$AT$23)</f>
        <v>0.97583331530204798</v>
      </c>
      <c r="O543" s="7">
        <v>1</v>
      </c>
      <c r="P543" s="7"/>
      <c r="Q543" s="7">
        <v>535</v>
      </c>
      <c r="R543" s="7">
        <f>$AU$7*EXP(-'3.r(t)'!D541*$AU$21)</f>
        <v>0.91099305977534117</v>
      </c>
      <c r="S543" s="7">
        <f ca="1">$AU$8*EXP(-'3.r(t)'!E541*$AU$22)</f>
        <v>0.94543745403347401</v>
      </c>
      <c r="T543" s="7">
        <f ca="1">$AU$9*EXP(-'3.r(t)'!F541*$AU$23)</f>
        <v>0.95181058310658162</v>
      </c>
      <c r="U543" s="7">
        <f ca="1">$AU$10*EXP(-'3.r(t)'!G541*$AU$24)</f>
        <v>0.97097716343385887</v>
      </c>
      <c r="V543" s="7">
        <v>1</v>
      </c>
      <c r="W543" s="7"/>
      <c r="X543" s="7">
        <v>535</v>
      </c>
      <c r="Y543" s="7">
        <f>$AV$7*EXP(-'3.r(t)'!D541*$AV$21)</f>
        <v>0.88900715067201674</v>
      </c>
      <c r="Z543" s="7">
        <f ca="1">$AV$8*EXP(-'3.r(t)'!E541*$AV$22)</f>
        <v>0.92708288156293472</v>
      </c>
      <c r="AA543" s="7">
        <f ca="1">$AV$9*EXP(-'3.r(t)'!F541*$AV$23)</f>
        <v>0.92796410957699638</v>
      </c>
      <c r="AB543" s="7">
        <f ca="1">$AV$10*EXP(-'3.r(t)'!G541*$AV$24)</f>
        <v>0.94236930835876409</v>
      </c>
      <c r="AC543" s="7">
        <f ca="1">$AV$11*EXP(-'3.r(t)'!H541*$AV$25)</f>
        <v>0.97481495841595778</v>
      </c>
      <c r="AD543" s="7">
        <v>1</v>
      </c>
      <c r="AE543" s="7"/>
      <c r="AF543" s="7">
        <v>535</v>
      </c>
      <c r="AG543" s="7">
        <f>$AW$7*EXP(-'3.r(t)'!D541*$AW$21)</f>
        <v>0.86718755429225491</v>
      </c>
      <c r="AH543" s="7">
        <f ca="1">$AW$8*EXP(-'3.r(t)'!E541*$AW$22)</f>
        <v>0.90869734067738406</v>
      </c>
      <c r="AI543" s="7">
        <f ca="1">$AW$9*EXP(-'3.r(t)'!F541*$AW$23)</f>
        <v>0.90432410227720439</v>
      </c>
      <c r="AJ543" s="7">
        <f ca="1">$AW$10*EXP(-'3.r(t)'!G541*$AW$24)</f>
        <v>0.91420347338629737</v>
      </c>
      <c r="AK543" s="7">
        <f ca="1">$AW$11*EXP(-'3.r(t)'!H541*$AW$25)</f>
        <v>0.94984190457601636</v>
      </c>
      <c r="AL543" s="7">
        <f ca="1">$AW$12*EXP(-'3.r(t)'!I541*$AW$26)</f>
        <v>0.9769190544766011</v>
      </c>
      <c r="AM543" s="7">
        <v>1</v>
      </c>
      <c r="AN543" s="7"/>
    </row>
    <row r="544" spans="2:40">
      <c r="B544" s="7">
        <v>536</v>
      </c>
      <c r="C544" s="7">
        <f>$AR$7*EXP(-'3.r(t)'!D542*$AR$21)</f>
        <v>0.97765346695821032</v>
      </c>
      <c r="D544" s="7">
        <v>1</v>
      </c>
      <c r="E544" s="7"/>
      <c r="F544" s="7">
        <v>536</v>
      </c>
      <c r="G544" s="48">
        <f>$AS$7*EXP(-'3.r(t)'!D542*$AS$21)</f>
        <v>0.9553476245219803</v>
      </c>
      <c r="H544" s="7">
        <f ca="1">$AS$8*EXP(-'3.r(t)'!E542*$AS$22)</f>
        <v>0.97857956061224227</v>
      </c>
      <c r="I544" s="7">
        <v>1</v>
      </c>
      <c r="J544" s="7"/>
      <c r="K544" s="7">
        <v>536</v>
      </c>
      <c r="L544" s="7">
        <f>$AT$7*EXP(-'3.r(t)'!D542*$AT$21)</f>
        <v>0.93311670519824419</v>
      </c>
      <c r="M544" s="7">
        <f ca="1">$AT$8*EXP(-'3.r(t)'!E542*$AT$22)</f>
        <v>0.9571669049474798</v>
      </c>
      <c r="N544" s="7">
        <f ca="1">$AT$9*EXP(-'3.r(t)'!F542*$AT$23)</f>
        <v>0.97492542517974612</v>
      </c>
      <c r="O544" s="7">
        <v>1</v>
      </c>
      <c r="P544" s="7"/>
      <c r="Q544" s="7">
        <v>536</v>
      </c>
      <c r="R544" s="7">
        <f>$AU$7*EXP(-'3.r(t)'!D542*$AU$21)</f>
        <v>0.91099305977534117</v>
      </c>
      <c r="S544" s="7">
        <f ca="1">$AU$8*EXP(-'3.r(t)'!E542*$AU$22)</f>
        <v>0.93579585015450162</v>
      </c>
      <c r="T544" s="7">
        <f ca="1">$AU$9*EXP(-'3.r(t)'!F542*$AU$23)</f>
        <v>0.95004032700514585</v>
      </c>
      <c r="U544" s="7">
        <f ca="1">$AU$10*EXP(-'3.r(t)'!G542*$AU$24)</f>
        <v>0.97599032370797001</v>
      </c>
      <c r="V544" s="7">
        <v>1</v>
      </c>
      <c r="W544" s="7"/>
      <c r="X544" s="7">
        <v>536</v>
      </c>
      <c r="Y544" s="7">
        <f>$AV$7*EXP(-'3.r(t)'!D542*$AV$21)</f>
        <v>0.88900715067201674</v>
      </c>
      <c r="Z544" s="7">
        <f ca="1">$AV$8*EXP(-'3.r(t)'!E542*$AV$22)</f>
        <v>0.9144984584718</v>
      </c>
      <c r="AA544" s="7">
        <f ca="1">$AV$9*EXP(-'3.r(t)'!F542*$AV$23)</f>
        <v>0.92537645700849824</v>
      </c>
      <c r="AB544" s="7">
        <f ca="1">$AV$10*EXP(-'3.r(t)'!G542*$AV$24)</f>
        <v>0.95212534427468354</v>
      </c>
      <c r="AC544" s="7">
        <f ca="1">$AV$11*EXP(-'3.r(t)'!H542*$AV$25)</f>
        <v>0.97561658541080609</v>
      </c>
      <c r="AD544" s="7">
        <v>1</v>
      </c>
      <c r="AE544" s="7"/>
      <c r="AF544" s="7">
        <v>536</v>
      </c>
      <c r="AG544" s="7">
        <f>$AW$7*EXP(-'3.r(t)'!D542*$AW$21)</f>
        <v>0.86718755429225491</v>
      </c>
      <c r="AH544" s="7">
        <f ca="1">$AW$8*EXP(-'3.r(t)'!E542*$AW$22)</f>
        <v>0.89330502462055061</v>
      </c>
      <c r="AI544" s="7">
        <f ca="1">$AW$9*EXP(-'3.r(t)'!F542*$AW$23)</f>
        <v>0.9009633568543961</v>
      </c>
      <c r="AJ544" s="7">
        <f ca="1">$AW$10*EXP(-'3.r(t)'!G542*$AW$24)</f>
        <v>0.92843682017020346</v>
      </c>
      <c r="AK544" s="7">
        <f ca="1">$AW$11*EXP(-'3.r(t)'!H542*$AW$25)</f>
        <v>0.95140472832358114</v>
      </c>
      <c r="AL544" s="7">
        <f ca="1">$AW$12*EXP(-'3.r(t)'!I542*$AW$26)</f>
        <v>0.97685327085913742</v>
      </c>
      <c r="AM544" s="7">
        <v>1</v>
      </c>
      <c r="AN544" s="7"/>
    </row>
    <row r="545" spans="2:40">
      <c r="B545" s="7">
        <v>537</v>
      </c>
      <c r="C545" s="7">
        <f>$AR$7*EXP(-'3.r(t)'!D543*$AR$21)</f>
        <v>0.97765346695821032</v>
      </c>
      <c r="D545" s="7">
        <v>1</v>
      </c>
      <c r="E545" s="7"/>
      <c r="F545" s="7">
        <v>537</v>
      </c>
      <c r="G545" s="48">
        <f>$AS$7*EXP(-'3.r(t)'!D543*$AS$21)</f>
        <v>0.9553476245219803</v>
      </c>
      <c r="H545" s="7">
        <f ca="1">$AS$8*EXP(-'3.r(t)'!E543*$AS$22)</f>
        <v>0.97464532005692417</v>
      </c>
      <c r="I545" s="7">
        <v>1</v>
      </c>
      <c r="J545" s="7"/>
      <c r="K545" s="7">
        <v>537</v>
      </c>
      <c r="L545" s="7">
        <f>$AT$7*EXP(-'3.r(t)'!D543*$AT$21)</f>
        <v>0.93311670519824419</v>
      </c>
      <c r="M545" s="7">
        <f ca="1">$AT$8*EXP(-'3.r(t)'!E543*$AT$22)</f>
        <v>0.94948606789519951</v>
      </c>
      <c r="N545" s="7">
        <f ca="1">$AT$9*EXP(-'3.r(t)'!F543*$AT$23)</f>
        <v>0.97298173239754571</v>
      </c>
      <c r="O545" s="7">
        <v>1</v>
      </c>
      <c r="P545" s="7"/>
      <c r="Q545" s="7">
        <v>537</v>
      </c>
      <c r="R545" s="7">
        <f>$AU$7*EXP(-'3.r(t)'!D543*$AU$21)</f>
        <v>0.91099305977534117</v>
      </c>
      <c r="S545" s="7">
        <f ca="1">$AU$8*EXP(-'3.r(t)'!E543*$AU$22)</f>
        <v>0.92455446182317935</v>
      </c>
      <c r="T545" s="7">
        <f ca="1">$AU$9*EXP(-'3.r(t)'!F543*$AU$23)</f>
        <v>0.94625594365814525</v>
      </c>
      <c r="U545" s="7">
        <f ca="1">$AU$10*EXP(-'3.r(t)'!G543*$AU$24)</f>
        <v>0.97671667125085226</v>
      </c>
      <c r="V545" s="7">
        <v>1</v>
      </c>
      <c r="W545" s="7"/>
      <c r="X545" s="7">
        <v>537</v>
      </c>
      <c r="Y545" s="7">
        <f>$AV$7*EXP(-'3.r(t)'!D543*$AV$21)</f>
        <v>0.88900715067201674</v>
      </c>
      <c r="Z545" s="7">
        <f ca="1">$AV$8*EXP(-'3.r(t)'!E543*$AV$22)</f>
        <v>0.89988046255070531</v>
      </c>
      <c r="AA545" s="7">
        <f ca="1">$AV$9*EXP(-'3.r(t)'!F543*$AV$23)</f>
        <v>0.91985276070413347</v>
      </c>
      <c r="AB545" s="7">
        <f ca="1">$AV$10*EXP(-'3.r(t)'!G543*$AV$24)</f>
        <v>0.95354304530651024</v>
      </c>
      <c r="AC545" s="7">
        <f ca="1">$AV$11*EXP(-'3.r(t)'!H543*$AV$25)</f>
        <v>0.97473962988988494</v>
      </c>
      <c r="AD545" s="7">
        <v>1</v>
      </c>
      <c r="AE545" s="7"/>
      <c r="AF545" s="7">
        <v>537</v>
      </c>
      <c r="AG545" s="7">
        <f>$AW$7*EXP(-'3.r(t)'!D543*$AW$21)</f>
        <v>0.86718755429225491</v>
      </c>
      <c r="AH545" s="7">
        <f ca="1">$AW$8*EXP(-'3.r(t)'!E543*$AW$22)</f>
        <v>0.87549180091279721</v>
      </c>
      <c r="AI545" s="7">
        <f ca="1">$AW$9*EXP(-'3.r(t)'!F543*$AW$23)</f>
        <v>0.89379987177181253</v>
      </c>
      <c r="AJ545" s="7">
        <f ca="1">$AW$10*EXP(-'3.r(t)'!G543*$AW$24)</f>
        <v>0.93051123562213733</v>
      </c>
      <c r="AK545" s="7">
        <f ca="1">$AW$11*EXP(-'3.r(t)'!H543*$AW$25)</f>
        <v>0.94969511276584417</v>
      </c>
      <c r="AL545" s="7">
        <f ca="1">$AW$12*EXP(-'3.r(t)'!I543*$AW$26)</f>
        <v>0.97391939723742127</v>
      </c>
      <c r="AM545" s="7">
        <v>1</v>
      </c>
      <c r="AN545" s="7"/>
    </row>
    <row r="546" spans="2:40">
      <c r="B546" s="7">
        <v>538</v>
      </c>
      <c r="C546" s="7">
        <f>$AR$7*EXP(-'3.r(t)'!D544*$AR$21)</f>
        <v>0.97765346695821032</v>
      </c>
      <c r="D546" s="7">
        <v>1</v>
      </c>
      <c r="E546" s="7"/>
      <c r="F546" s="7">
        <v>538</v>
      </c>
      <c r="G546" s="48">
        <f>$AS$7*EXP(-'3.r(t)'!D544*$AS$21)</f>
        <v>0.9553476245219803</v>
      </c>
      <c r="H546" s="7">
        <f ca="1">$AS$8*EXP(-'3.r(t)'!E544*$AS$22)</f>
        <v>0.98168383531208703</v>
      </c>
      <c r="I546" s="7">
        <v>1</v>
      </c>
      <c r="J546" s="7"/>
      <c r="K546" s="7">
        <v>538</v>
      </c>
      <c r="L546" s="7">
        <f>$AT$7*EXP(-'3.r(t)'!D544*$AT$21)</f>
        <v>0.93311670519824419</v>
      </c>
      <c r="M546" s="7">
        <f ca="1">$AT$8*EXP(-'3.r(t)'!E544*$AT$22)</f>
        <v>0.96324923479970859</v>
      </c>
      <c r="N546" s="7">
        <f ca="1">$AT$9*EXP(-'3.r(t)'!F544*$AT$23)</f>
        <v>0.98419560962321095</v>
      </c>
      <c r="O546" s="7">
        <v>1</v>
      </c>
      <c r="P546" s="7"/>
      <c r="Q546" s="7">
        <v>538</v>
      </c>
      <c r="R546" s="7">
        <f>$AU$7*EXP(-'3.r(t)'!D544*$AU$21)</f>
        <v>0.91099305977534117</v>
      </c>
      <c r="S546" s="7">
        <f ca="1">$AU$8*EXP(-'3.r(t)'!E544*$AU$22)</f>
        <v>0.94472979621468611</v>
      </c>
      <c r="T546" s="7">
        <f ca="1">$AU$9*EXP(-'3.r(t)'!F544*$AU$23)</f>
        <v>0.96819334717154648</v>
      </c>
      <c r="U546" s="7">
        <f ca="1">$AU$10*EXP(-'3.r(t)'!G544*$AU$24)</f>
        <v>0.98470696177173966</v>
      </c>
      <c r="V546" s="7">
        <v>1</v>
      </c>
      <c r="W546" s="7"/>
      <c r="X546" s="7">
        <v>538</v>
      </c>
      <c r="Y546" s="7">
        <f>$AV$7*EXP(-'3.r(t)'!D544*$AV$21)</f>
        <v>0.88900715067201674</v>
      </c>
      <c r="Z546" s="7">
        <f ca="1">$AV$8*EXP(-'3.r(t)'!E544*$AV$22)</f>
        <v>0.92615777105391162</v>
      </c>
      <c r="AA546" s="7">
        <f ca="1">$AV$9*EXP(-'3.r(t)'!F544*$AV$23)</f>
        <v>0.95202538059652841</v>
      </c>
      <c r="AB546" s="7">
        <f ca="1">$AV$10*EXP(-'3.r(t)'!G544*$AV$24)</f>
        <v>0.96920828613010701</v>
      </c>
      <c r="AC546" s="7">
        <f ca="1">$AV$11*EXP(-'3.r(t)'!H544*$AV$25)</f>
        <v>0.98709049258396764</v>
      </c>
      <c r="AD546" s="7">
        <v>1</v>
      </c>
      <c r="AE546" s="7"/>
      <c r="AF546" s="7">
        <v>538</v>
      </c>
      <c r="AG546" s="7">
        <f>$AW$7*EXP(-'3.r(t)'!D544*$AW$21)</f>
        <v>0.86718755429225491</v>
      </c>
      <c r="AH546" s="7">
        <f ca="1">$AW$8*EXP(-'3.r(t)'!E544*$AW$22)</f>
        <v>0.90756402698881689</v>
      </c>
      <c r="AI546" s="7">
        <f ca="1">$AW$9*EXP(-'3.r(t)'!F544*$AW$23)</f>
        <v>0.93572285103307762</v>
      </c>
      <c r="AJ546" s="7">
        <f ca="1">$AW$10*EXP(-'3.r(t)'!G544*$AW$24)</f>
        <v>0.9535354522725783</v>
      </c>
      <c r="AK546" s="7">
        <f ca="1">$AW$11*EXP(-'3.r(t)'!H544*$AW$25)</f>
        <v>0.97391463926510036</v>
      </c>
      <c r="AL546" s="7">
        <f ca="1">$AW$12*EXP(-'3.r(t)'!I544*$AW$26)</f>
        <v>0.98396618147381598</v>
      </c>
      <c r="AM546" s="7">
        <v>1</v>
      </c>
      <c r="AN546" s="7"/>
    </row>
    <row r="547" spans="2:40">
      <c r="B547" s="7">
        <v>539</v>
      </c>
      <c r="C547" s="7">
        <f>$AR$7*EXP(-'3.r(t)'!D545*$AR$21)</f>
        <v>0.97765346695821032</v>
      </c>
      <c r="D547" s="7">
        <v>1</v>
      </c>
      <c r="E547" s="7"/>
      <c r="F547" s="7">
        <v>539</v>
      </c>
      <c r="G547" s="48">
        <f>$AS$7*EXP(-'3.r(t)'!D545*$AS$21)</f>
        <v>0.9553476245219803</v>
      </c>
      <c r="H547" s="7">
        <f ca="1">$AS$8*EXP(-'3.r(t)'!E545*$AS$22)</f>
        <v>0.97616081647317343</v>
      </c>
      <c r="I547" s="7">
        <v>1</v>
      </c>
      <c r="J547" s="7"/>
      <c r="K547" s="7">
        <v>539</v>
      </c>
      <c r="L547" s="7">
        <f>$AT$7*EXP(-'3.r(t)'!D545*$AT$21)</f>
        <v>0.93311670519824419</v>
      </c>
      <c r="M547" s="7">
        <f ca="1">$AT$8*EXP(-'3.r(t)'!E545*$AT$22)</f>
        <v>0.95244111507930251</v>
      </c>
      <c r="N547" s="7">
        <f ca="1">$AT$9*EXP(-'3.r(t)'!F545*$AT$23)</f>
        <v>0.97730377631734677</v>
      </c>
      <c r="O547" s="7">
        <v>1</v>
      </c>
      <c r="P547" s="7"/>
      <c r="Q547" s="7">
        <v>539</v>
      </c>
      <c r="R547" s="7">
        <f>$AU$7*EXP(-'3.r(t)'!D545*$AU$21)</f>
        <v>0.91099305977534117</v>
      </c>
      <c r="S547" s="7">
        <f ca="1">$AU$8*EXP(-'3.r(t)'!E545*$AU$22)</f>
        <v>0.92887399868022624</v>
      </c>
      <c r="T547" s="7">
        <f ca="1">$AU$9*EXP(-'3.r(t)'!F545*$AU$23)</f>
        <v>0.95468126777660911</v>
      </c>
      <c r="U547" s="7">
        <f ca="1">$AU$10*EXP(-'3.r(t)'!G545*$AU$24)</f>
        <v>0.97944975599199802</v>
      </c>
      <c r="V547" s="7">
        <v>1</v>
      </c>
      <c r="W547" s="7"/>
      <c r="X547" s="7">
        <v>539</v>
      </c>
      <c r="Y547" s="7">
        <f>$AV$7*EXP(-'3.r(t)'!D545*$AV$21)</f>
        <v>0.88900715067201674</v>
      </c>
      <c r="Z547" s="7">
        <f ca="1">$AV$8*EXP(-'3.r(t)'!E545*$AV$22)</f>
        <v>0.90549050225664751</v>
      </c>
      <c r="AA547" s="7">
        <f ca="1">$AV$9*EXP(-'3.r(t)'!F545*$AV$23)</f>
        <v>0.93216541807379227</v>
      </c>
      <c r="AB547" s="7">
        <f ca="1">$AV$10*EXP(-'3.r(t)'!G545*$AV$24)</f>
        <v>0.95888699055946613</v>
      </c>
      <c r="AC547" s="7">
        <f ca="1">$AV$11*EXP(-'3.r(t)'!H545*$AV$25)</f>
        <v>0.9737741232031959</v>
      </c>
      <c r="AD547" s="7">
        <v>1</v>
      </c>
      <c r="AE547" s="7"/>
      <c r="AF547" s="7">
        <v>539</v>
      </c>
      <c r="AG547" s="7">
        <f>$AW$7*EXP(-'3.r(t)'!D545*$AW$21)</f>
        <v>0.86718755429225491</v>
      </c>
      <c r="AH547" s="7">
        <f ca="1">$AW$8*EXP(-'3.r(t)'!E545*$AW$22)</f>
        <v>0.88231960397592024</v>
      </c>
      <c r="AI547" s="7">
        <f ca="1">$AW$9*EXP(-'3.r(t)'!F545*$AW$23)</f>
        <v>0.90978725687580408</v>
      </c>
      <c r="AJ547" s="7">
        <f ca="1">$AW$10*EXP(-'3.r(t)'!G545*$AW$24)</f>
        <v>0.93834448702589568</v>
      </c>
      <c r="AK547" s="7">
        <f ca="1">$AW$11*EXP(-'3.r(t)'!H545*$AW$25)</f>
        <v>0.94781464576150953</v>
      </c>
      <c r="AL547" s="7">
        <f ca="1">$AW$12*EXP(-'3.r(t)'!I545*$AW$26)</f>
        <v>0.97326910093776742</v>
      </c>
      <c r="AM547" s="7">
        <v>1</v>
      </c>
      <c r="AN547" s="7"/>
    </row>
    <row r="548" spans="2:40">
      <c r="B548" s="7">
        <v>540</v>
      </c>
      <c r="C548" s="7">
        <f>$AR$7*EXP(-'3.r(t)'!D546*$AR$21)</f>
        <v>0.97765346695821032</v>
      </c>
      <c r="D548" s="7">
        <v>1</v>
      </c>
      <c r="E548" s="7"/>
      <c r="F548" s="7">
        <v>540</v>
      </c>
      <c r="G548" s="48">
        <f>$AS$7*EXP(-'3.r(t)'!D546*$AS$21)</f>
        <v>0.9553476245219803</v>
      </c>
      <c r="H548" s="7">
        <f ca="1">$AS$8*EXP(-'3.r(t)'!E546*$AS$22)</f>
        <v>0.97577221799105784</v>
      </c>
      <c r="I548" s="7">
        <v>1</v>
      </c>
      <c r="J548" s="7"/>
      <c r="K548" s="7">
        <v>540</v>
      </c>
      <c r="L548" s="7">
        <f>$AT$7*EXP(-'3.r(t)'!D546*$AT$21)</f>
        <v>0.93311670519824419</v>
      </c>
      <c r="M548" s="7">
        <f ca="1">$AT$8*EXP(-'3.r(t)'!E546*$AT$22)</f>
        <v>0.95168295413764536</v>
      </c>
      <c r="N548" s="7">
        <f ca="1">$AT$9*EXP(-'3.r(t)'!F546*$AT$23)</f>
        <v>0.97563609258056283</v>
      </c>
      <c r="O548" s="7">
        <v>1</v>
      </c>
      <c r="P548" s="7"/>
      <c r="Q548" s="7">
        <v>540</v>
      </c>
      <c r="R548" s="7">
        <f>$AU$7*EXP(-'3.r(t)'!D546*$AU$21)</f>
        <v>0.91099305977534117</v>
      </c>
      <c r="S548" s="7">
        <f ca="1">$AU$8*EXP(-'3.r(t)'!E546*$AU$22)</f>
        <v>0.92776511781160342</v>
      </c>
      <c r="T548" s="7">
        <f ca="1">$AU$9*EXP(-'3.r(t)'!F546*$AU$23)</f>
        <v>0.9514258868660076</v>
      </c>
      <c r="U548" s="7">
        <f ca="1">$AU$10*EXP(-'3.r(t)'!G546*$AU$24)</f>
        <v>0.97411824081295462</v>
      </c>
      <c r="V548" s="7">
        <v>1</v>
      </c>
      <c r="W548" s="7"/>
      <c r="X548" s="7">
        <v>540</v>
      </c>
      <c r="Y548" s="7">
        <f>$AV$7*EXP(-'3.r(t)'!D546*$AV$21)</f>
        <v>0.88900715067201674</v>
      </c>
      <c r="Z548" s="7">
        <f ca="1">$AV$8*EXP(-'3.r(t)'!E546*$AV$22)</f>
        <v>0.90404950126546779</v>
      </c>
      <c r="AA548" s="7">
        <f ca="1">$AV$9*EXP(-'3.r(t)'!F546*$AV$23)</f>
        <v>0.92740157922056321</v>
      </c>
      <c r="AB548" s="7">
        <f ca="1">$AV$10*EXP(-'3.r(t)'!G546*$AV$24)</f>
        <v>0.94847623417800286</v>
      </c>
      <c r="AC548" s="7">
        <f ca="1">$AV$11*EXP(-'3.r(t)'!H546*$AV$25)</f>
        <v>0.97664420941041563</v>
      </c>
      <c r="AD548" s="7">
        <v>1</v>
      </c>
      <c r="AE548" s="7"/>
      <c r="AF548" s="7">
        <v>540</v>
      </c>
      <c r="AG548" s="7">
        <f>$AW$7*EXP(-'3.r(t)'!D546*$AW$21)</f>
        <v>0.86718755429225491</v>
      </c>
      <c r="AH548" s="7">
        <f ca="1">$AW$8*EXP(-'3.r(t)'!E546*$AW$22)</f>
        <v>0.88056479484001249</v>
      </c>
      <c r="AI548" s="7">
        <f ca="1">$AW$9*EXP(-'3.r(t)'!F546*$AW$23)</f>
        <v>0.90359324303972133</v>
      </c>
      <c r="AJ548" s="7">
        <f ca="1">$AW$10*EXP(-'3.r(t)'!G546*$AW$24)</f>
        <v>0.92310445514869954</v>
      </c>
      <c r="AK548" s="7">
        <f ca="1">$AW$11*EXP(-'3.r(t)'!H546*$AW$25)</f>
        <v>0.95341002681652331</v>
      </c>
      <c r="AL548" s="7">
        <f ca="1">$AW$12*EXP(-'3.r(t)'!I546*$AW$26)</f>
        <v>0.97584075521148339</v>
      </c>
      <c r="AM548" s="7">
        <v>1</v>
      </c>
      <c r="AN548" s="7"/>
    </row>
    <row r="549" spans="2:40">
      <c r="B549" s="7">
        <v>541</v>
      </c>
      <c r="C549" s="7">
        <f>$AR$7*EXP(-'3.r(t)'!D547*$AR$21)</f>
        <v>0.97765346695821032</v>
      </c>
      <c r="D549" s="7">
        <v>1</v>
      </c>
      <c r="E549" s="7"/>
      <c r="F549" s="7">
        <v>541</v>
      </c>
      <c r="G549" s="48">
        <f>$AS$7*EXP(-'3.r(t)'!D547*$AS$21)</f>
        <v>0.9553476245219803</v>
      </c>
      <c r="H549" s="7">
        <f ca="1">$AS$8*EXP(-'3.r(t)'!E547*$AS$22)</f>
        <v>0.97878569424663564</v>
      </c>
      <c r="I549" s="7">
        <v>1</v>
      </c>
      <c r="J549" s="7"/>
      <c r="K549" s="7">
        <v>541</v>
      </c>
      <c r="L549" s="7">
        <f>$AT$7*EXP(-'3.r(t)'!D547*$AT$21)</f>
        <v>0.93311670519824419</v>
      </c>
      <c r="M549" s="7">
        <f ca="1">$AT$8*EXP(-'3.r(t)'!E547*$AT$22)</f>
        <v>0.95757019371711383</v>
      </c>
      <c r="N549" s="7">
        <f ca="1">$AT$9*EXP(-'3.r(t)'!F547*$AT$23)</f>
        <v>0.9787185180315735</v>
      </c>
      <c r="O549" s="7">
        <v>1</v>
      </c>
      <c r="P549" s="7"/>
      <c r="Q549" s="7">
        <v>541</v>
      </c>
      <c r="R549" s="7">
        <f>$AU$7*EXP(-'3.r(t)'!D547*$AU$21)</f>
        <v>0.91099305977534117</v>
      </c>
      <c r="S549" s="7">
        <f ca="1">$AU$8*EXP(-'3.r(t)'!E547*$AU$22)</f>
        <v>0.93638733901330584</v>
      </c>
      <c r="T549" s="7">
        <f ca="1">$AU$9*EXP(-'3.r(t)'!F547*$AU$23)</f>
        <v>0.95744725523712171</v>
      </c>
      <c r="U549" s="7">
        <f ca="1">$AU$10*EXP(-'3.r(t)'!G547*$AU$24)</f>
        <v>0.97564678157643958</v>
      </c>
      <c r="V549" s="7">
        <v>1</v>
      </c>
      <c r="W549" s="7"/>
      <c r="X549" s="7">
        <v>541</v>
      </c>
      <c r="Y549" s="7">
        <f>$AV$7*EXP(-'3.r(t)'!D547*$AV$21)</f>
        <v>0.88900715067201674</v>
      </c>
      <c r="Z549" s="7">
        <f ca="1">$AV$8*EXP(-'3.r(t)'!E547*$AV$22)</f>
        <v>0.91526924286070122</v>
      </c>
      <c r="AA549" s="7">
        <f ca="1">$AV$9*EXP(-'3.r(t)'!F547*$AV$23)</f>
        <v>0.93621947978897491</v>
      </c>
      <c r="AB549" s="7">
        <f ca="1">$AV$10*EXP(-'3.r(t)'!G547*$AV$24)</f>
        <v>0.95145517860880524</v>
      </c>
      <c r="AC549" s="7">
        <f ca="1">$AV$11*EXP(-'3.r(t)'!H547*$AV$25)</f>
        <v>0.97602892529704222</v>
      </c>
      <c r="AD549" s="7">
        <v>1</v>
      </c>
      <c r="AE549" s="7"/>
      <c r="AF549" s="7">
        <v>541</v>
      </c>
      <c r="AG549" s="7">
        <f>$AW$7*EXP(-'3.r(t)'!D547*$AW$21)</f>
        <v>0.86718755429225491</v>
      </c>
      <c r="AH549" s="7">
        <f ca="1">$AW$8*EXP(-'3.r(t)'!E547*$AW$22)</f>
        <v>0.89424627565324</v>
      </c>
      <c r="AI549" s="7">
        <f ca="1">$AW$9*EXP(-'3.r(t)'!F547*$AW$23)</f>
        <v>0.91506672696778613</v>
      </c>
      <c r="AJ549" s="7">
        <f ca="1">$AW$10*EXP(-'3.r(t)'!G547*$AW$24)</f>
        <v>0.92745675438836994</v>
      </c>
      <c r="AK549" s="7">
        <f ca="1">$AW$11*EXP(-'3.r(t)'!H547*$AW$25)</f>
        <v>0.95220911198342606</v>
      </c>
      <c r="AL549" s="7">
        <f ca="1">$AW$12*EXP(-'3.r(t)'!I547*$AW$26)</f>
        <v>0.97776010269161961</v>
      </c>
      <c r="AM549" s="7">
        <v>1</v>
      </c>
      <c r="AN549" s="7"/>
    </row>
    <row r="550" spans="2:40">
      <c r="B550" s="7">
        <v>542</v>
      </c>
      <c r="C550" s="7">
        <f>$AR$7*EXP(-'3.r(t)'!D548*$AR$21)</f>
        <v>0.97765346695821032</v>
      </c>
      <c r="D550" s="7">
        <v>1</v>
      </c>
      <c r="E550" s="7"/>
      <c r="F550" s="7">
        <v>542</v>
      </c>
      <c r="G550" s="48">
        <f>$AS$7*EXP(-'3.r(t)'!D548*$AS$21)</f>
        <v>0.9553476245219803</v>
      </c>
      <c r="H550" s="7">
        <f ca="1">$AS$8*EXP(-'3.r(t)'!E548*$AS$22)</f>
        <v>0.97477672645572289</v>
      </c>
      <c r="I550" s="7">
        <v>1</v>
      </c>
      <c r="J550" s="7"/>
      <c r="K550" s="7">
        <v>542</v>
      </c>
      <c r="L550" s="7">
        <f>$AT$7*EXP(-'3.r(t)'!D548*$AT$21)</f>
        <v>0.93311670519824419</v>
      </c>
      <c r="M550" s="7">
        <f ca="1">$AT$8*EXP(-'3.r(t)'!E548*$AT$22)</f>
        <v>0.94974211376803841</v>
      </c>
      <c r="N550" s="7">
        <f ca="1">$AT$9*EXP(-'3.r(t)'!F548*$AT$23)</f>
        <v>0.97678835459307789</v>
      </c>
      <c r="O550" s="7">
        <v>1</v>
      </c>
      <c r="P550" s="7"/>
      <c r="Q550" s="7">
        <v>542</v>
      </c>
      <c r="R550" s="7">
        <f>$AU$7*EXP(-'3.r(t)'!D548*$AU$21)</f>
        <v>0.91099305977534117</v>
      </c>
      <c r="S550" s="7">
        <f ca="1">$AU$8*EXP(-'3.r(t)'!E548*$AU$22)</f>
        <v>0.92492847096500774</v>
      </c>
      <c r="T550" s="7">
        <f ca="1">$AU$9*EXP(-'3.r(t)'!F548*$AU$23)</f>
        <v>0.95367455170319149</v>
      </c>
      <c r="U550" s="7">
        <f ca="1">$AU$10*EXP(-'3.r(t)'!G548*$AU$24)</f>
        <v>0.97338190730085539</v>
      </c>
      <c r="V550" s="7">
        <v>1</v>
      </c>
      <c r="W550" s="7"/>
      <c r="X550" s="7">
        <v>542</v>
      </c>
      <c r="Y550" s="7">
        <f>$AV$7*EXP(-'3.r(t)'!D548*$AV$21)</f>
        <v>0.88900715067201674</v>
      </c>
      <c r="Z550" s="7">
        <f ca="1">$AV$8*EXP(-'3.r(t)'!E548*$AV$22)</f>
        <v>0.90036586566182675</v>
      </c>
      <c r="AA550" s="7">
        <f ca="1">$AV$9*EXP(-'3.r(t)'!F548*$AV$23)</f>
        <v>0.93069134734890913</v>
      </c>
      <c r="AB550" s="7">
        <f ca="1">$AV$10*EXP(-'3.r(t)'!G548*$AV$24)</f>
        <v>0.94704287455088454</v>
      </c>
      <c r="AC550" s="7">
        <f ca="1">$AV$11*EXP(-'3.r(t)'!H548*$AV$25)</f>
        <v>0.97452681031678867</v>
      </c>
      <c r="AD550" s="7">
        <v>1</v>
      </c>
      <c r="AE550" s="7"/>
      <c r="AF550" s="7">
        <v>542</v>
      </c>
      <c r="AG550" s="7">
        <f>$AW$7*EXP(-'3.r(t)'!D548*$AW$21)</f>
        <v>0.86718755429225491</v>
      </c>
      <c r="AH550" s="7">
        <f ca="1">$AW$8*EXP(-'3.r(t)'!E548*$AW$22)</f>
        <v>0.8760821502863505</v>
      </c>
      <c r="AI550" s="7">
        <f ca="1">$AW$9*EXP(-'3.r(t)'!F548*$AW$23)</f>
        <v>0.90786951830355167</v>
      </c>
      <c r="AJ550" s="7">
        <f ca="1">$AW$10*EXP(-'3.r(t)'!G548*$AW$24)</f>
        <v>0.92101272012100321</v>
      </c>
      <c r="AK550" s="7">
        <f ca="1">$AW$11*EXP(-'3.r(t)'!H548*$AW$25)</f>
        <v>0.94928045507050418</v>
      </c>
      <c r="AL550" s="7">
        <f ca="1">$AW$12*EXP(-'3.r(t)'!I548*$AW$26)</f>
        <v>0.97370353984896707</v>
      </c>
      <c r="AM550" s="7">
        <v>1</v>
      </c>
      <c r="AN550" s="7"/>
    </row>
    <row r="551" spans="2:40">
      <c r="B551" s="7">
        <v>543</v>
      </c>
      <c r="C551" s="7">
        <f>$AR$7*EXP(-'3.r(t)'!D549*$AR$21)</f>
        <v>0.97765346695821032</v>
      </c>
      <c r="D551" s="7">
        <v>1</v>
      </c>
      <c r="E551" s="7"/>
      <c r="F551" s="7">
        <v>543</v>
      </c>
      <c r="G551" s="48">
        <f>$AS$7*EXP(-'3.r(t)'!D549*$AS$21)</f>
        <v>0.9553476245219803</v>
      </c>
      <c r="H551" s="7">
        <f ca="1">$AS$8*EXP(-'3.r(t)'!E549*$AS$22)</f>
        <v>0.97551052401180149</v>
      </c>
      <c r="I551" s="7">
        <v>1</v>
      </c>
      <c r="J551" s="7"/>
      <c r="K551" s="7">
        <v>543</v>
      </c>
      <c r="L551" s="7">
        <f>$AT$7*EXP(-'3.r(t)'!D549*$AT$21)</f>
        <v>0.93311670519824419</v>
      </c>
      <c r="M551" s="7">
        <f ca="1">$AT$8*EXP(-'3.r(t)'!E549*$AT$22)</f>
        <v>0.9511725557103482</v>
      </c>
      <c r="N551" s="7">
        <f ca="1">$AT$9*EXP(-'3.r(t)'!F549*$AT$23)</f>
        <v>0.97262237157826348</v>
      </c>
      <c r="O551" s="7">
        <v>1</v>
      </c>
      <c r="P551" s="7"/>
      <c r="Q551" s="7">
        <v>543</v>
      </c>
      <c r="R551" s="7">
        <f>$AU$7*EXP(-'3.r(t)'!D549*$AU$21)</f>
        <v>0.91099305977534117</v>
      </c>
      <c r="S551" s="7">
        <f ca="1">$AU$8*EXP(-'3.r(t)'!E549*$AU$22)</f>
        <v>0.92701886136228207</v>
      </c>
      <c r="T551" s="7">
        <f ca="1">$AU$9*EXP(-'3.r(t)'!F549*$AU$23)</f>
        <v>0.94555709289178325</v>
      </c>
      <c r="U551" s="7">
        <f ca="1">$AU$10*EXP(-'3.r(t)'!G549*$AU$24)</f>
        <v>0.97058965333567881</v>
      </c>
      <c r="V551" s="7">
        <v>1</v>
      </c>
      <c r="W551" s="7"/>
      <c r="X551" s="7">
        <v>543</v>
      </c>
      <c r="Y551" s="7">
        <f>$AV$7*EXP(-'3.r(t)'!D549*$AV$21)</f>
        <v>0.88900715067201674</v>
      </c>
      <c r="Z551" s="7">
        <f ca="1">$AV$8*EXP(-'3.r(t)'!E549*$AV$22)</f>
        <v>0.90308005717114248</v>
      </c>
      <c r="AA551" s="7">
        <f ca="1">$AV$9*EXP(-'3.r(t)'!F549*$AV$23)</f>
        <v>0.91883392255801966</v>
      </c>
      <c r="AB551" s="7">
        <f ca="1">$AV$10*EXP(-'3.r(t)'!G549*$AV$24)</f>
        <v>0.94161727264246942</v>
      </c>
      <c r="AC551" s="7">
        <f ca="1">$AV$11*EXP(-'3.r(t)'!H549*$AV$25)</f>
        <v>0.9663041597034483</v>
      </c>
      <c r="AD551" s="7">
        <v>1</v>
      </c>
      <c r="AE551" s="7"/>
      <c r="AF551" s="7">
        <v>543</v>
      </c>
      <c r="AG551" s="7">
        <f>$AW$7*EXP(-'3.r(t)'!D549*$AW$21)</f>
        <v>0.86718755429225491</v>
      </c>
      <c r="AH551" s="7">
        <f ca="1">$AW$8*EXP(-'3.r(t)'!E549*$AW$22)</f>
        <v>0.87938462732407618</v>
      </c>
      <c r="AI551" s="7">
        <f ca="1">$AW$9*EXP(-'3.r(t)'!F549*$AW$23)</f>
        <v>0.89248013989490871</v>
      </c>
      <c r="AJ551" s="7">
        <f ca="1">$AW$10*EXP(-'3.r(t)'!G549*$AW$24)</f>
        <v>0.91310935379422642</v>
      </c>
      <c r="AK551" s="7">
        <f ca="1">$AW$11*EXP(-'3.r(t)'!H549*$AW$25)</f>
        <v>0.93332877220361377</v>
      </c>
      <c r="AL551" s="7">
        <f ca="1">$AW$12*EXP(-'3.r(t)'!I549*$AW$26)</f>
        <v>0.96917900332346751</v>
      </c>
      <c r="AM551" s="7">
        <v>1</v>
      </c>
      <c r="AN551" s="7"/>
    </row>
    <row r="552" spans="2:40">
      <c r="B552" s="7">
        <v>544</v>
      </c>
      <c r="C552" s="7">
        <f>$AR$7*EXP(-'3.r(t)'!D550*$AR$21)</f>
        <v>0.97765346695821032</v>
      </c>
      <c r="D552" s="7">
        <v>1</v>
      </c>
      <c r="E552" s="7"/>
      <c r="F552" s="7">
        <v>544</v>
      </c>
      <c r="G552" s="48">
        <f>$AS$7*EXP(-'3.r(t)'!D550*$AS$21)</f>
        <v>0.9553476245219803</v>
      </c>
      <c r="H552" s="7">
        <f ca="1">$AS$8*EXP(-'3.r(t)'!E550*$AS$22)</f>
        <v>0.97656229713942511</v>
      </c>
      <c r="I552" s="7">
        <v>1</v>
      </c>
      <c r="J552" s="7"/>
      <c r="K552" s="7">
        <v>544</v>
      </c>
      <c r="L552" s="7">
        <f>$AT$7*EXP(-'3.r(t)'!D550*$AT$21)</f>
        <v>0.93311670519824419</v>
      </c>
      <c r="M552" s="7">
        <f ca="1">$AT$8*EXP(-'3.r(t)'!E550*$AT$22)</f>
        <v>0.95322472639010336</v>
      </c>
      <c r="N552" s="7">
        <f ca="1">$AT$9*EXP(-'3.r(t)'!F550*$AT$23)</f>
        <v>0.97642178108477673</v>
      </c>
      <c r="O552" s="7">
        <v>1</v>
      </c>
      <c r="P552" s="7"/>
      <c r="Q552" s="7">
        <v>544</v>
      </c>
      <c r="R552" s="7">
        <f>$AU$7*EXP(-'3.r(t)'!D550*$AU$21)</f>
        <v>0.91099305977534117</v>
      </c>
      <c r="S552" s="7">
        <f ca="1">$AU$8*EXP(-'3.r(t)'!E550*$AU$22)</f>
        <v>0.93002056698689362</v>
      </c>
      <c r="T552" s="7">
        <f ca="1">$AU$9*EXP(-'3.r(t)'!F550*$AU$23)</f>
        <v>0.95295888750355473</v>
      </c>
      <c r="U552" s="7">
        <f ca="1">$AU$10*EXP(-'3.r(t)'!G550*$AU$24)</f>
        <v>0.97405487634294297</v>
      </c>
      <c r="V552" s="7">
        <v>1</v>
      </c>
      <c r="W552" s="7"/>
      <c r="X552" s="7">
        <v>544</v>
      </c>
      <c r="Y552" s="7">
        <f>$AV$7*EXP(-'3.r(t)'!D550*$AV$21)</f>
        <v>0.88900715067201674</v>
      </c>
      <c r="Z552" s="7">
        <f ca="1">$AV$8*EXP(-'3.r(t)'!E550*$AV$22)</f>
        <v>0.90698108152033352</v>
      </c>
      <c r="AA552" s="7">
        <f ca="1">$AV$9*EXP(-'3.r(t)'!F550*$AV$23)</f>
        <v>0.92964391848014483</v>
      </c>
      <c r="AB552" s="7">
        <f ca="1">$AV$10*EXP(-'3.r(t)'!G550*$AV$24)</f>
        <v>0.94835284517511576</v>
      </c>
      <c r="AC552" s="7">
        <f ca="1">$AV$11*EXP(-'3.r(t)'!H550*$AV$25)</f>
        <v>0.97592500301335194</v>
      </c>
      <c r="AD552" s="7">
        <v>1</v>
      </c>
      <c r="AE552" s="7"/>
      <c r="AF552" s="7">
        <v>544</v>
      </c>
      <c r="AG552" s="7">
        <f>$AW$7*EXP(-'3.r(t)'!D550*$AW$21)</f>
        <v>0.86718755429225491</v>
      </c>
      <c r="AH552" s="7">
        <f ca="1">$AW$8*EXP(-'3.r(t)'!E550*$AW$22)</f>
        <v>0.8841355228239034</v>
      </c>
      <c r="AI552" s="7">
        <f ca="1">$AW$9*EXP(-'3.r(t)'!F550*$AW$23)</f>
        <v>0.90650744793413962</v>
      </c>
      <c r="AJ552" s="7">
        <f ca="1">$AW$10*EXP(-'3.r(t)'!G550*$AW$24)</f>
        <v>0.92292432849443817</v>
      </c>
      <c r="AK552" s="7">
        <f ca="1">$AW$11*EXP(-'3.r(t)'!H550*$AW$25)</f>
        <v>0.95200635062099714</v>
      </c>
      <c r="AL552" s="7">
        <f ca="1">$AW$12*EXP(-'3.r(t)'!I550*$AW$26)</f>
        <v>0.97039895095379147</v>
      </c>
      <c r="AM552" s="7">
        <v>1</v>
      </c>
      <c r="AN552" s="7"/>
    </row>
    <row r="553" spans="2:40">
      <c r="B553" s="7">
        <v>545</v>
      </c>
      <c r="C553" s="7">
        <f>$AR$7*EXP(-'3.r(t)'!D551*$AR$21)</f>
        <v>0.97765346695821032</v>
      </c>
      <c r="D553" s="7">
        <v>1</v>
      </c>
      <c r="E553" s="7"/>
      <c r="F553" s="7">
        <v>545</v>
      </c>
      <c r="G553" s="48">
        <f>$AS$7*EXP(-'3.r(t)'!D551*$AS$21)</f>
        <v>0.9553476245219803</v>
      </c>
      <c r="H553" s="7">
        <f ca="1">$AS$8*EXP(-'3.r(t)'!E551*$AS$22)</f>
        <v>0.97990154719628764</v>
      </c>
      <c r="I553" s="7">
        <v>1</v>
      </c>
      <c r="J553" s="7"/>
      <c r="K553" s="7">
        <v>545</v>
      </c>
      <c r="L553" s="7">
        <f>$AT$7*EXP(-'3.r(t)'!D551*$AT$21)</f>
        <v>0.93311670519824419</v>
      </c>
      <c r="M553" s="7">
        <f ca="1">$AT$8*EXP(-'3.r(t)'!E551*$AT$22)</f>
        <v>0.9597547712013752</v>
      </c>
      <c r="N553" s="7">
        <f ca="1">$AT$9*EXP(-'3.r(t)'!F551*$AT$23)</f>
        <v>0.97682565951943867</v>
      </c>
      <c r="O553" s="7">
        <v>1</v>
      </c>
      <c r="P553" s="7"/>
      <c r="Q553" s="7">
        <v>545</v>
      </c>
      <c r="R553" s="7">
        <f>$AU$7*EXP(-'3.r(t)'!D551*$AU$21)</f>
        <v>0.91099305977534117</v>
      </c>
      <c r="S553" s="7">
        <f ca="1">$AU$8*EXP(-'3.r(t)'!E551*$AU$22)</f>
        <v>0.93959354306379461</v>
      </c>
      <c r="T553" s="7">
        <f ca="1">$AU$9*EXP(-'3.r(t)'!F551*$AU$23)</f>
        <v>0.95374739744939541</v>
      </c>
      <c r="U553" s="7">
        <f ca="1">$AU$10*EXP(-'3.r(t)'!G551*$AU$24)</f>
        <v>0.97481563269067018</v>
      </c>
      <c r="V553" s="7">
        <v>1</v>
      </c>
      <c r="W553" s="7"/>
      <c r="X553" s="7">
        <v>545</v>
      </c>
      <c r="Y553" s="7">
        <f>$AV$7*EXP(-'3.r(t)'!D551*$AV$21)</f>
        <v>0.88900715067201674</v>
      </c>
      <c r="Z553" s="7">
        <f ca="1">$AV$8*EXP(-'3.r(t)'!E551*$AV$22)</f>
        <v>0.91945015277599307</v>
      </c>
      <c r="AA553" s="7">
        <f ca="1">$AV$9*EXP(-'3.r(t)'!F551*$AV$23)</f>
        <v>0.93079798467114883</v>
      </c>
      <c r="AB553" s="7">
        <f ca="1">$AV$10*EXP(-'3.r(t)'!G551*$AV$24)</f>
        <v>0.94983478875726091</v>
      </c>
      <c r="AC553" s="7">
        <f ca="1">$AV$11*EXP(-'3.r(t)'!H551*$AV$25)</f>
        <v>0.97645554264760559</v>
      </c>
      <c r="AD553" s="7">
        <v>1</v>
      </c>
      <c r="AE553" s="7"/>
      <c r="AF553" s="7">
        <v>545</v>
      </c>
      <c r="AG553" s="7">
        <f>$AW$7*EXP(-'3.r(t)'!D551*$AW$21)</f>
        <v>0.86718755429225491</v>
      </c>
      <c r="AH553" s="7">
        <f ca="1">$AW$8*EXP(-'3.r(t)'!E551*$AW$22)</f>
        <v>0.89935528528349662</v>
      </c>
      <c r="AI553" s="7">
        <f ca="1">$AW$9*EXP(-'3.r(t)'!F551*$AW$23)</f>
        <v>0.90800821752377103</v>
      </c>
      <c r="AJ553" s="7">
        <f ca="1">$AW$10*EXP(-'3.r(t)'!G551*$AW$24)</f>
        <v>0.92508848496465479</v>
      </c>
      <c r="AK553" s="7">
        <f ca="1">$AW$11*EXP(-'3.r(t)'!H551*$AW$25)</f>
        <v>0.9530417055640461</v>
      </c>
      <c r="AL553" s="7">
        <f ca="1">$AW$12*EXP(-'3.r(t)'!I551*$AW$26)</f>
        <v>0.97793976267353877</v>
      </c>
      <c r="AM553" s="7">
        <v>1</v>
      </c>
      <c r="AN553" s="7"/>
    </row>
    <row r="554" spans="2:40">
      <c r="B554" s="7">
        <v>546</v>
      </c>
      <c r="C554" s="7">
        <f>$AR$7*EXP(-'3.r(t)'!D552*$AR$21)</f>
        <v>0.97765346695821032</v>
      </c>
      <c r="D554" s="7">
        <v>1</v>
      </c>
      <c r="E554" s="7"/>
      <c r="F554" s="7">
        <v>546</v>
      </c>
      <c r="G554" s="48">
        <f>$AS$7*EXP(-'3.r(t)'!D552*$AS$21)</f>
        <v>0.9553476245219803</v>
      </c>
      <c r="H554" s="7">
        <f ca="1">$AS$8*EXP(-'3.r(t)'!E552*$AS$22)</f>
        <v>0.97794793731064522</v>
      </c>
      <c r="I554" s="7">
        <v>1</v>
      </c>
      <c r="J554" s="7"/>
      <c r="K554" s="7">
        <v>546</v>
      </c>
      <c r="L554" s="7">
        <f>$AT$7*EXP(-'3.r(t)'!D552*$AT$21)</f>
        <v>0.93311670519824419</v>
      </c>
      <c r="M554" s="7">
        <f ca="1">$AT$8*EXP(-'3.r(t)'!E552*$AT$22)</f>
        <v>0.95593169866324079</v>
      </c>
      <c r="N554" s="7">
        <f ca="1">$AT$9*EXP(-'3.r(t)'!F552*$AT$23)</f>
        <v>0.9766489412297672</v>
      </c>
      <c r="O554" s="7">
        <v>1</v>
      </c>
      <c r="P554" s="7"/>
      <c r="Q554" s="7">
        <v>546</v>
      </c>
      <c r="R554" s="7">
        <f>$AU$7*EXP(-'3.r(t)'!D552*$AU$21)</f>
        <v>0.91099305977534117</v>
      </c>
      <c r="S554" s="7">
        <f ca="1">$AU$8*EXP(-'3.r(t)'!E552*$AU$22)</f>
        <v>0.93398499369137111</v>
      </c>
      <c r="T554" s="7">
        <f ca="1">$AU$9*EXP(-'3.r(t)'!F552*$AU$23)</f>
        <v>0.95340234229764875</v>
      </c>
      <c r="U554" s="7">
        <f ca="1">$AU$10*EXP(-'3.r(t)'!G552*$AU$24)</f>
        <v>0.97559217107065788</v>
      </c>
      <c r="V554" s="7">
        <v>1</v>
      </c>
      <c r="W554" s="7"/>
      <c r="X554" s="7">
        <v>546</v>
      </c>
      <c r="Y554" s="7">
        <f>$AV$7*EXP(-'3.r(t)'!D552*$AV$21)</f>
        <v>0.88900715067201674</v>
      </c>
      <c r="Z554" s="7">
        <f ca="1">$AV$8*EXP(-'3.r(t)'!E552*$AV$22)</f>
        <v>0.912139694547347</v>
      </c>
      <c r="AA554" s="7">
        <f ca="1">$AV$9*EXP(-'3.r(t)'!F552*$AV$23)</f>
        <v>0.93029290189542124</v>
      </c>
      <c r="AB554" s="7">
        <f ca="1">$AV$10*EXP(-'3.r(t)'!G552*$AV$24)</f>
        <v>0.95134866876254998</v>
      </c>
      <c r="AC554" s="7">
        <f ca="1">$AV$11*EXP(-'3.r(t)'!H552*$AV$25)</f>
        <v>0.97482432952170794</v>
      </c>
      <c r="AD554" s="7">
        <v>1</v>
      </c>
      <c r="AE554" s="7"/>
      <c r="AF554" s="7">
        <v>546</v>
      </c>
      <c r="AG554" s="7">
        <f>$AW$7*EXP(-'3.r(t)'!D552*$AW$21)</f>
        <v>0.86718755429225491</v>
      </c>
      <c r="AH554" s="7">
        <f ca="1">$AW$8*EXP(-'3.r(t)'!E552*$AW$22)</f>
        <v>0.89042582912531032</v>
      </c>
      <c r="AI554" s="7">
        <f ca="1">$AW$9*EXP(-'3.r(t)'!F552*$AW$23)</f>
        <v>0.90735132191898715</v>
      </c>
      <c r="AJ554" s="7">
        <f ca="1">$AW$10*EXP(-'3.r(t)'!G552*$AW$24)</f>
        <v>0.92730102370246636</v>
      </c>
      <c r="AK554" s="7">
        <f ca="1">$AW$11*EXP(-'3.r(t)'!H552*$AW$25)</f>
        <v>0.9498601667326253</v>
      </c>
      <c r="AL554" s="7">
        <f ca="1">$AW$12*EXP(-'3.r(t)'!I552*$AW$26)</f>
        <v>0.97551508681066135</v>
      </c>
      <c r="AM554" s="7">
        <v>1</v>
      </c>
      <c r="AN554" s="7"/>
    </row>
    <row r="555" spans="2:40">
      <c r="B555" s="7">
        <v>547</v>
      </c>
      <c r="C555" s="7">
        <f>$AR$7*EXP(-'3.r(t)'!D553*$AR$21)</f>
        <v>0.97765346695821032</v>
      </c>
      <c r="D555" s="7">
        <v>1</v>
      </c>
      <c r="E555" s="7"/>
      <c r="F555" s="7">
        <v>547</v>
      </c>
      <c r="G555" s="48">
        <f>$AS$7*EXP(-'3.r(t)'!D553*$AS$21)</f>
        <v>0.9553476245219803</v>
      </c>
      <c r="H555" s="7">
        <f ca="1">$AS$8*EXP(-'3.r(t)'!E553*$AS$22)</f>
        <v>0.97501078176922407</v>
      </c>
      <c r="I555" s="7">
        <v>1</v>
      </c>
      <c r="J555" s="7"/>
      <c r="K555" s="7">
        <v>547</v>
      </c>
      <c r="L555" s="7">
        <f>$AT$7*EXP(-'3.r(t)'!D553*$AT$21)</f>
        <v>0.93311670519824419</v>
      </c>
      <c r="M555" s="7">
        <f ca="1">$AT$8*EXP(-'3.r(t)'!E553*$AT$22)</f>
        <v>0.95019825694345261</v>
      </c>
      <c r="N555" s="7">
        <f ca="1">$AT$9*EXP(-'3.r(t)'!F553*$AT$23)</f>
        <v>0.97484186361151925</v>
      </c>
      <c r="O555" s="7">
        <v>1</v>
      </c>
      <c r="P555" s="7"/>
      <c r="Q555" s="7">
        <v>547</v>
      </c>
      <c r="R555" s="7">
        <f>$AU$7*EXP(-'3.r(t)'!D553*$AU$21)</f>
        <v>0.91099305977534117</v>
      </c>
      <c r="S555" s="7">
        <f ca="1">$AU$8*EXP(-'3.r(t)'!E553*$AU$22)</f>
        <v>0.92559488944413626</v>
      </c>
      <c r="T555" s="7">
        <f ca="1">$AU$9*EXP(-'3.r(t)'!F553*$AU$23)</f>
        <v>0.94987747668777756</v>
      </c>
      <c r="U555" s="7">
        <f ca="1">$AU$10*EXP(-'3.r(t)'!G553*$AU$24)</f>
        <v>0.97459382040151565</v>
      </c>
      <c r="V555" s="7">
        <v>1</v>
      </c>
      <c r="W555" s="7"/>
      <c r="X555" s="7">
        <v>547</v>
      </c>
      <c r="Y555" s="7">
        <f>$AV$7*EXP(-'3.r(t)'!D553*$AV$21)</f>
        <v>0.88900715067201674</v>
      </c>
      <c r="Z555" s="7">
        <f ca="1">$AV$8*EXP(-'3.r(t)'!E553*$AV$22)</f>
        <v>0.90123093074368854</v>
      </c>
      <c r="AA555" s="7">
        <f ca="1">$AV$9*EXP(-'3.r(t)'!F553*$AV$23)</f>
        <v>0.92513853333203966</v>
      </c>
      <c r="AB555" s="7">
        <f ca="1">$AV$10*EXP(-'3.r(t)'!G553*$AV$24)</f>
        <v>0.94940258178023584</v>
      </c>
      <c r="AC555" s="7">
        <f ca="1">$AV$11*EXP(-'3.r(t)'!H553*$AV$25)</f>
        <v>0.97480328805483341</v>
      </c>
      <c r="AD555" s="7">
        <v>1</v>
      </c>
      <c r="AE555" s="7"/>
      <c r="AF555" s="7">
        <v>547</v>
      </c>
      <c r="AG555" s="7">
        <f>$AW$7*EXP(-'3.r(t)'!D553*$AW$21)</f>
        <v>0.86718755429225491</v>
      </c>
      <c r="AH555" s="7">
        <f ca="1">$AW$8*EXP(-'3.r(t)'!E553*$AW$22)</f>
        <v>0.87713444344764602</v>
      </c>
      <c r="AI555" s="7">
        <f ca="1">$AW$9*EXP(-'3.r(t)'!F553*$AW$23)</f>
        <v>0.90065450766282895</v>
      </c>
      <c r="AJ555" s="7">
        <f ca="1">$AW$10*EXP(-'3.r(t)'!G553*$AW$24)</f>
        <v>0.9244571369426019</v>
      </c>
      <c r="AK555" s="7">
        <f ca="1">$AW$11*EXP(-'3.r(t)'!H553*$AW$25)</f>
        <v>0.9498191619383749</v>
      </c>
      <c r="AL555" s="7">
        <f ca="1">$AW$12*EXP(-'3.r(t)'!I553*$AW$26)</f>
        <v>0.97770531319173226</v>
      </c>
      <c r="AM555" s="7">
        <v>1</v>
      </c>
      <c r="AN555" s="7"/>
    </row>
    <row r="556" spans="2:40">
      <c r="B556" s="7">
        <v>548</v>
      </c>
      <c r="C556" s="7">
        <f>$AR$7*EXP(-'3.r(t)'!D554*$AR$21)</f>
        <v>0.97765346695821032</v>
      </c>
      <c r="D556" s="7">
        <v>1</v>
      </c>
      <c r="E556" s="7"/>
      <c r="F556" s="7">
        <v>548</v>
      </c>
      <c r="G556" s="48">
        <f>$AS$7*EXP(-'3.r(t)'!D554*$AS$21)</f>
        <v>0.9553476245219803</v>
      </c>
      <c r="H556" s="7">
        <f ca="1">$AS$8*EXP(-'3.r(t)'!E554*$AS$22)</f>
        <v>0.97550429501195923</v>
      </c>
      <c r="I556" s="7">
        <v>1</v>
      </c>
      <c r="J556" s="7"/>
      <c r="K556" s="7">
        <v>548</v>
      </c>
      <c r="L556" s="7">
        <f>$AT$7*EXP(-'3.r(t)'!D554*$AT$21)</f>
        <v>0.93311670519824419</v>
      </c>
      <c r="M556" s="7">
        <f ca="1">$AT$8*EXP(-'3.r(t)'!E554*$AT$22)</f>
        <v>0.95116040856352113</v>
      </c>
      <c r="N556" s="7">
        <f ca="1">$AT$9*EXP(-'3.r(t)'!F554*$AT$23)</f>
        <v>0.9741109216107382</v>
      </c>
      <c r="O556" s="7">
        <v>1</v>
      </c>
      <c r="P556" s="7"/>
      <c r="Q556" s="7">
        <v>548</v>
      </c>
      <c r="R556" s="7">
        <f>$AU$7*EXP(-'3.r(t)'!D554*$AU$21)</f>
        <v>0.91099305977534117</v>
      </c>
      <c r="S556" s="7">
        <f ca="1">$AU$8*EXP(-'3.r(t)'!E554*$AU$22)</f>
        <v>0.92700110338839847</v>
      </c>
      <c r="T556" s="7">
        <f ca="1">$AU$9*EXP(-'3.r(t)'!F554*$AU$23)</f>
        <v>0.94845356359549715</v>
      </c>
      <c r="U556" s="7">
        <f ca="1">$AU$10*EXP(-'3.r(t)'!G554*$AU$24)</f>
        <v>0.97299933943551076</v>
      </c>
      <c r="V556" s="7">
        <v>1</v>
      </c>
      <c r="W556" s="7"/>
      <c r="X556" s="7">
        <v>548</v>
      </c>
      <c r="Y556" s="7">
        <f>$AV$7*EXP(-'3.r(t)'!D554*$AV$21)</f>
        <v>0.88900715067201674</v>
      </c>
      <c r="Z556" s="7">
        <f ca="1">$AV$8*EXP(-'3.r(t)'!E554*$AV$22)</f>
        <v>0.90305699137527029</v>
      </c>
      <c r="AA556" s="7">
        <f ca="1">$AV$9*EXP(-'3.r(t)'!F554*$AV$23)</f>
        <v>0.92305907082558369</v>
      </c>
      <c r="AB556" s="7">
        <f ca="1">$AV$10*EXP(-'3.r(t)'!G554*$AV$24)</f>
        <v>0.94629858914907283</v>
      </c>
      <c r="AC556" s="7">
        <f ca="1">$AV$11*EXP(-'3.r(t)'!H554*$AV$25)</f>
        <v>0.97028548468411269</v>
      </c>
      <c r="AD556" s="7">
        <v>1</v>
      </c>
      <c r="AE556" s="7"/>
      <c r="AF556" s="7">
        <v>548</v>
      </c>
      <c r="AG556" s="7">
        <f>$AW$7*EXP(-'3.r(t)'!D554*$AW$21)</f>
        <v>0.86718755429225491</v>
      </c>
      <c r="AH556" s="7">
        <f ca="1">$AW$8*EXP(-'3.r(t)'!E554*$AW$22)</f>
        <v>0.87935655168257199</v>
      </c>
      <c r="AI556" s="7">
        <f ca="1">$AW$9*EXP(-'3.r(t)'!F554*$AW$23)</f>
        <v>0.89795628068958433</v>
      </c>
      <c r="AJ556" s="7">
        <f ca="1">$AW$10*EXP(-'3.r(t)'!G554*$AW$24)</f>
        <v>0.91992719119794364</v>
      </c>
      <c r="AK556" s="7">
        <f ca="1">$AW$11*EXP(-'3.r(t)'!H554*$AW$25)</f>
        <v>0.94103553851302002</v>
      </c>
      <c r="AL556" s="7">
        <f ca="1">$AW$12*EXP(-'3.r(t)'!I554*$AW$26)</f>
        <v>0.96928255803759822</v>
      </c>
      <c r="AM556" s="7">
        <v>1</v>
      </c>
      <c r="AN556" s="7"/>
    </row>
    <row r="557" spans="2:40">
      <c r="B557" s="7">
        <v>549</v>
      </c>
      <c r="C557" s="7">
        <f>$AR$7*EXP(-'3.r(t)'!D555*$AR$21)</f>
        <v>0.97765346695821032</v>
      </c>
      <c r="D557" s="7">
        <v>1</v>
      </c>
      <c r="E557" s="7"/>
      <c r="F557" s="7">
        <v>549</v>
      </c>
      <c r="G557" s="48">
        <f>$AS$7*EXP(-'3.r(t)'!D555*$AS$21)</f>
        <v>0.9553476245219803</v>
      </c>
      <c r="H557" s="7">
        <f ca="1">$AS$8*EXP(-'3.r(t)'!E555*$AS$22)</f>
        <v>0.9763536360713847</v>
      </c>
      <c r="I557" s="7">
        <v>1</v>
      </c>
      <c r="J557" s="7"/>
      <c r="K557" s="7">
        <v>549</v>
      </c>
      <c r="L557" s="7">
        <f>$AT$7*EXP(-'3.r(t)'!D555*$AT$21)</f>
        <v>0.93311670519824419</v>
      </c>
      <c r="M557" s="7">
        <f ca="1">$AT$8*EXP(-'3.r(t)'!E555*$AT$22)</f>
        <v>0.95281742080274101</v>
      </c>
      <c r="N557" s="7">
        <f ca="1">$AT$9*EXP(-'3.r(t)'!F555*$AT$23)</f>
        <v>0.97887238355454542</v>
      </c>
      <c r="O557" s="7">
        <v>1</v>
      </c>
      <c r="P557" s="7"/>
      <c r="Q557" s="7">
        <v>549</v>
      </c>
      <c r="R557" s="7">
        <f>$AU$7*EXP(-'3.r(t)'!D555*$AU$21)</f>
        <v>0.91099305977534117</v>
      </c>
      <c r="S557" s="7">
        <f ca="1">$AU$8*EXP(-'3.r(t)'!E555*$AU$22)</f>
        <v>0.92942454472413927</v>
      </c>
      <c r="T557" s="7">
        <f ca="1">$AU$9*EXP(-'3.r(t)'!F555*$AU$23)</f>
        <v>0.95774832178477742</v>
      </c>
      <c r="U557" s="7">
        <f ca="1">$AU$10*EXP(-'3.r(t)'!G555*$AU$24)</f>
        <v>0.97658169639142134</v>
      </c>
      <c r="V557" s="7">
        <v>1</v>
      </c>
      <c r="W557" s="7"/>
      <c r="X557" s="7">
        <v>549</v>
      </c>
      <c r="Y557" s="7">
        <f>$AV$7*EXP(-'3.r(t)'!D555*$AV$21)</f>
        <v>0.88900715067201674</v>
      </c>
      <c r="Z557" s="7">
        <f ca="1">$AV$8*EXP(-'3.r(t)'!E555*$AV$22)</f>
        <v>0.9062061550479551</v>
      </c>
      <c r="AA557" s="7">
        <f ca="1">$AV$9*EXP(-'3.r(t)'!F555*$AV$23)</f>
        <v>0.9366611018028026</v>
      </c>
      <c r="AB557" s="7">
        <f ca="1">$AV$10*EXP(-'3.r(t)'!G555*$AV$24)</f>
        <v>0.95327951863740257</v>
      </c>
      <c r="AC557" s="7">
        <f ca="1">$AV$11*EXP(-'3.r(t)'!H555*$AV$25)</f>
        <v>0.97633751563692084</v>
      </c>
      <c r="AD557" s="7">
        <v>1</v>
      </c>
      <c r="AE557" s="7"/>
      <c r="AF557" s="7">
        <v>549</v>
      </c>
      <c r="AG557" s="7">
        <f>$AW$7*EXP(-'3.r(t)'!D555*$AW$21)</f>
        <v>0.86718755429225491</v>
      </c>
      <c r="AH557" s="7">
        <f ca="1">$AW$8*EXP(-'3.r(t)'!E555*$AW$22)</f>
        <v>0.88319136471658288</v>
      </c>
      <c r="AI557" s="7">
        <f ca="1">$AW$9*EXP(-'3.r(t)'!F555*$AW$23)</f>
        <v>0.91564229767064564</v>
      </c>
      <c r="AJ557" s="7">
        <f ca="1">$AW$10*EXP(-'3.r(t)'!G555*$AW$24)</f>
        <v>0.93012552007732086</v>
      </c>
      <c r="AK557" s="7">
        <f ca="1">$AW$11*EXP(-'3.r(t)'!H555*$AW$25)</f>
        <v>0.952811325663519</v>
      </c>
      <c r="AL557" s="7">
        <f ca="1">$AW$12*EXP(-'3.r(t)'!I555*$AW$26)</f>
        <v>0.98142816973910596</v>
      </c>
      <c r="AM557" s="7">
        <v>1</v>
      </c>
      <c r="AN557" s="7"/>
    </row>
    <row r="558" spans="2:40">
      <c r="B558" s="7">
        <v>550</v>
      </c>
      <c r="C558" s="7">
        <f>$AR$7*EXP(-'3.r(t)'!D556*$AR$21)</f>
        <v>0.97765346695821032</v>
      </c>
      <c r="D558" s="7">
        <v>1</v>
      </c>
      <c r="E558" s="7"/>
      <c r="F558" s="7">
        <v>550</v>
      </c>
      <c r="G558" s="48">
        <f>$AS$7*EXP(-'3.r(t)'!D556*$AS$21)</f>
        <v>0.9553476245219803</v>
      </c>
      <c r="H558" s="7">
        <f ca="1">$AS$8*EXP(-'3.r(t)'!E556*$AS$22)</f>
        <v>0.97732239361405016</v>
      </c>
      <c r="I558" s="7">
        <v>1</v>
      </c>
      <c r="J558" s="7"/>
      <c r="K558" s="7">
        <v>550</v>
      </c>
      <c r="L558" s="7">
        <f>$AT$7*EXP(-'3.r(t)'!D556*$AT$21)</f>
        <v>0.93311670519824419</v>
      </c>
      <c r="M558" s="7">
        <f ca="1">$AT$8*EXP(-'3.r(t)'!E556*$AT$22)</f>
        <v>0.95470916773317294</v>
      </c>
      <c r="N558" s="7">
        <f ca="1">$AT$9*EXP(-'3.r(t)'!F556*$AT$23)</f>
        <v>0.97049253051294349</v>
      </c>
      <c r="O558" s="7">
        <v>1</v>
      </c>
      <c r="P558" s="7"/>
      <c r="Q558" s="7">
        <v>550</v>
      </c>
      <c r="R558" s="7">
        <f>$AU$7*EXP(-'3.r(t)'!D556*$AU$21)</f>
        <v>0.91099305977534117</v>
      </c>
      <c r="S558" s="7">
        <f ca="1">$AU$8*EXP(-'3.r(t)'!E556*$AU$22)</f>
        <v>0.93219387137645715</v>
      </c>
      <c r="T558" s="7">
        <f ca="1">$AU$9*EXP(-'3.r(t)'!F556*$AU$23)</f>
        <v>0.94142047957019581</v>
      </c>
      <c r="U558" s="7">
        <f ca="1">$AU$10*EXP(-'3.r(t)'!G556*$AU$24)</f>
        <v>0.97228299961275966</v>
      </c>
      <c r="V558" s="7">
        <v>1</v>
      </c>
      <c r="W558" s="7"/>
      <c r="X558" s="7">
        <v>550</v>
      </c>
      <c r="Y558" s="7">
        <f>$AV$7*EXP(-'3.r(t)'!D556*$AV$21)</f>
        <v>0.88900715067201674</v>
      </c>
      <c r="Z558" s="7">
        <f ca="1">$AV$8*EXP(-'3.r(t)'!E556*$AV$22)</f>
        <v>0.9098081348056839</v>
      </c>
      <c r="AA558" s="7">
        <f ca="1">$AV$9*EXP(-'3.r(t)'!F556*$AV$23)</f>
        <v>0.912810964274134</v>
      </c>
      <c r="AB558" s="7">
        <f ca="1">$AV$10*EXP(-'3.r(t)'!G556*$AV$24)</f>
        <v>0.94490573757037388</v>
      </c>
      <c r="AC558" s="7">
        <f ca="1">$AV$11*EXP(-'3.r(t)'!H556*$AV$25)</f>
        <v>0.97277434561892884</v>
      </c>
      <c r="AD558" s="7">
        <v>1</v>
      </c>
      <c r="AE558" s="7"/>
      <c r="AF558" s="7">
        <v>550</v>
      </c>
      <c r="AG558" s="7">
        <f>$AW$7*EXP(-'3.r(t)'!D556*$AW$21)</f>
        <v>0.86718755429225491</v>
      </c>
      <c r="AH558" s="7">
        <f ca="1">$AW$8*EXP(-'3.r(t)'!E556*$AW$22)</f>
        <v>0.88758166876932054</v>
      </c>
      <c r="AI558" s="7">
        <f ca="1">$AW$9*EXP(-'3.r(t)'!F556*$AW$23)</f>
        <v>0.8846883952385759</v>
      </c>
      <c r="AJ558" s="7">
        <f ca="1">$AW$10*EXP(-'3.r(t)'!G556*$AW$24)</f>
        <v>0.91789688525620172</v>
      </c>
      <c r="AK558" s="7">
        <f ca="1">$AW$11*EXP(-'3.r(t)'!H556*$AW$25)</f>
        <v>0.94586939509181467</v>
      </c>
      <c r="AL558" s="7">
        <f ca="1">$AW$12*EXP(-'3.r(t)'!I556*$AW$26)</f>
        <v>0.97388465263574908</v>
      </c>
      <c r="AM558" s="7">
        <v>1</v>
      </c>
      <c r="AN558" s="7"/>
    </row>
    <row r="559" spans="2:40">
      <c r="B559" s="7">
        <v>551</v>
      </c>
      <c r="C559" s="7">
        <f>$AR$7*EXP(-'3.r(t)'!D557*$AR$21)</f>
        <v>0.97765346695821032</v>
      </c>
      <c r="D559" s="7">
        <v>1</v>
      </c>
      <c r="E559" s="7"/>
      <c r="F559" s="7">
        <v>551</v>
      </c>
      <c r="G559" s="48">
        <f>$AS$7*EXP(-'3.r(t)'!D557*$AS$21)</f>
        <v>0.9553476245219803</v>
      </c>
      <c r="H559" s="7">
        <f ca="1">$AS$8*EXP(-'3.r(t)'!E557*$AS$22)</f>
        <v>0.97895732285874903</v>
      </c>
      <c r="I559" s="7">
        <v>1</v>
      </c>
      <c r="J559" s="7"/>
      <c r="K559" s="7">
        <v>551</v>
      </c>
      <c r="L559" s="7">
        <f>$AT$7*EXP(-'3.r(t)'!D557*$AT$21)</f>
        <v>0.93311670519824419</v>
      </c>
      <c r="M559" s="7">
        <f ca="1">$AT$8*EXP(-'3.r(t)'!E557*$AT$22)</f>
        <v>0.95790604017107572</v>
      </c>
      <c r="N559" s="7">
        <f ca="1">$AT$9*EXP(-'3.r(t)'!F557*$AT$23)</f>
        <v>0.97854638080109957</v>
      </c>
      <c r="O559" s="7">
        <v>1</v>
      </c>
      <c r="P559" s="7"/>
      <c r="Q559" s="7">
        <v>551</v>
      </c>
      <c r="R559" s="7">
        <f>$AU$7*EXP(-'3.r(t)'!D557*$AU$21)</f>
        <v>0.91099305977534117</v>
      </c>
      <c r="S559" s="7">
        <f ca="1">$AU$8*EXP(-'3.r(t)'!E557*$AU$22)</f>
        <v>0.9368800077631565</v>
      </c>
      <c r="T559" s="7">
        <f ca="1">$AU$9*EXP(-'3.r(t)'!F557*$AU$23)</f>
        <v>0.95711049278256166</v>
      </c>
      <c r="U559" s="7">
        <f ca="1">$AU$10*EXP(-'3.r(t)'!G557*$AU$24)</f>
        <v>0.97611634926359647</v>
      </c>
      <c r="V559" s="7">
        <v>1</v>
      </c>
      <c r="W559" s="7"/>
      <c r="X559" s="7">
        <v>551</v>
      </c>
      <c r="Y559" s="7">
        <f>$AV$7*EXP(-'3.r(t)'!D557*$AV$21)</f>
        <v>0.88900715067201674</v>
      </c>
      <c r="Z559" s="7">
        <f ca="1">$AV$8*EXP(-'3.r(t)'!E557*$AV$22)</f>
        <v>0.91591137611995244</v>
      </c>
      <c r="AA559" s="7">
        <f ca="1">$AV$9*EXP(-'3.r(t)'!F557*$AV$23)</f>
        <v>0.93572557919596022</v>
      </c>
      <c r="AB559" s="7">
        <f ca="1">$AV$10*EXP(-'3.r(t)'!G557*$AV$24)</f>
        <v>0.95237124809086782</v>
      </c>
      <c r="AC559" s="7">
        <f ca="1">$AV$11*EXP(-'3.r(t)'!H557*$AV$25)</f>
        <v>0.97272808120566179</v>
      </c>
      <c r="AD559" s="7">
        <v>1</v>
      </c>
      <c r="AE559" s="7"/>
      <c r="AF559" s="7">
        <v>551</v>
      </c>
      <c r="AG559" s="7">
        <f>$AW$7*EXP(-'3.r(t)'!D557*$AW$21)</f>
        <v>0.86718755429225491</v>
      </c>
      <c r="AH559" s="7">
        <f ca="1">$AW$8*EXP(-'3.r(t)'!E557*$AW$22)</f>
        <v>0.89503057441180811</v>
      </c>
      <c r="AI559" s="7">
        <f ca="1">$AW$9*EXP(-'3.r(t)'!F557*$AW$23)</f>
        <v>0.91442312822984839</v>
      </c>
      <c r="AJ559" s="7">
        <f ca="1">$AW$10*EXP(-'3.r(t)'!G557*$AW$24)</f>
        <v>0.92879652212378516</v>
      </c>
      <c r="AK559" s="7">
        <f ca="1">$AW$11*EXP(-'3.r(t)'!H557*$AW$25)</f>
        <v>0.94577942756298361</v>
      </c>
      <c r="AL559" s="7">
        <f ca="1">$AW$12*EXP(-'3.r(t)'!I557*$AW$26)</f>
        <v>0.97230761976470181</v>
      </c>
      <c r="AM559" s="7">
        <v>1</v>
      </c>
      <c r="AN559" s="7"/>
    </row>
    <row r="560" spans="2:40">
      <c r="B560" s="7">
        <v>552</v>
      </c>
      <c r="C560" s="7">
        <f>$AR$7*EXP(-'3.r(t)'!D558*$AR$21)</f>
        <v>0.97765346695821032</v>
      </c>
      <c r="D560" s="7">
        <v>1</v>
      </c>
      <c r="E560" s="7"/>
      <c r="F560" s="7">
        <v>552</v>
      </c>
      <c r="G560" s="48">
        <f>$AS$7*EXP(-'3.r(t)'!D558*$AS$21)</f>
        <v>0.9553476245219803</v>
      </c>
      <c r="H560" s="7">
        <f ca="1">$AS$8*EXP(-'3.r(t)'!E558*$AS$22)</f>
        <v>0.97875262523810658</v>
      </c>
      <c r="I560" s="7">
        <v>1</v>
      </c>
      <c r="J560" s="7"/>
      <c r="K560" s="7">
        <v>552</v>
      </c>
      <c r="L560" s="7">
        <f>$AT$7*EXP(-'3.r(t)'!D558*$AT$21)</f>
        <v>0.93311670519824419</v>
      </c>
      <c r="M560" s="7">
        <f ca="1">$AT$8*EXP(-'3.r(t)'!E558*$AT$22)</f>
        <v>0.95750549035628341</v>
      </c>
      <c r="N560" s="7">
        <f ca="1">$AT$9*EXP(-'3.r(t)'!F558*$AT$23)</f>
        <v>0.9777927876163971</v>
      </c>
      <c r="O560" s="7">
        <v>1</v>
      </c>
      <c r="P560" s="7"/>
      <c r="Q560" s="7">
        <v>552</v>
      </c>
      <c r="R560" s="7">
        <f>$AU$7*EXP(-'3.r(t)'!D558*$AU$21)</f>
        <v>0.91099305977534117</v>
      </c>
      <c r="S560" s="7">
        <f ca="1">$AU$8*EXP(-'3.r(t)'!E558*$AU$22)</f>
        <v>0.93629243257493555</v>
      </c>
      <c r="T560" s="7">
        <f ca="1">$AU$9*EXP(-'3.r(t)'!F558*$AU$23)</f>
        <v>0.95563689024850751</v>
      </c>
      <c r="U560" s="7">
        <f ca="1">$AU$10*EXP(-'3.r(t)'!G558*$AU$24)</f>
        <v>0.98038525410484878</v>
      </c>
      <c r="V560" s="7">
        <v>1</v>
      </c>
      <c r="W560" s="7"/>
      <c r="X560" s="7">
        <v>552</v>
      </c>
      <c r="Y560" s="7">
        <f>$AV$7*EXP(-'3.r(t)'!D558*$AV$21)</f>
        <v>0.88900715067201674</v>
      </c>
      <c r="Z560" s="7">
        <f ca="1">$AV$8*EXP(-'3.r(t)'!E558*$AV$22)</f>
        <v>0.9151455568987229</v>
      </c>
      <c r="AA560" s="7">
        <f ca="1">$AV$9*EXP(-'3.r(t)'!F558*$AV$23)</f>
        <v>0.93356539490330737</v>
      </c>
      <c r="AB560" s="7">
        <f ca="1">$AV$10*EXP(-'3.r(t)'!G558*$AV$24)</f>
        <v>0.9607195814736329</v>
      </c>
      <c r="AC560" s="7">
        <f ca="1">$AV$11*EXP(-'3.r(t)'!H558*$AV$25)</f>
        <v>0.98013924867820357</v>
      </c>
      <c r="AD560" s="7">
        <v>1</v>
      </c>
      <c r="AE560" s="7"/>
      <c r="AF560" s="7">
        <v>552</v>
      </c>
      <c r="AG560" s="7">
        <f>$AW$7*EXP(-'3.r(t)'!D558*$AW$21)</f>
        <v>0.86718755429225491</v>
      </c>
      <c r="AH560" s="7">
        <f ca="1">$AW$8*EXP(-'3.r(t)'!E558*$AW$22)</f>
        <v>0.89409522195606883</v>
      </c>
      <c r="AI560" s="7">
        <f ca="1">$AW$9*EXP(-'3.r(t)'!F558*$AW$23)</f>
        <v>0.91160953685933532</v>
      </c>
      <c r="AJ560" s="7">
        <f ca="1">$AW$10*EXP(-'3.r(t)'!G558*$AW$24)</f>
        <v>0.94103576808477662</v>
      </c>
      <c r="AK560" s="7">
        <f ca="1">$AW$11*EXP(-'3.r(t)'!H558*$AW$25)</f>
        <v>0.96024602256556135</v>
      </c>
      <c r="AL560" s="7">
        <f ca="1">$AW$12*EXP(-'3.r(t)'!I558*$AW$26)</f>
        <v>0.97659154079322719</v>
      </c>
      <c r="AM560" s="7">
        <v>1</v>
      </c>
      <c r="AN560" s="7"/>
    </row>
    <row r="561" spans="2:40">
      <c r="B561" s="7">
        <v>553</v>
      </c>
      <c r="C561" s="7">
        <f>$AR$7*EXP(-'3.r(t)'!D559*$AR$21)</f>
        <v>0.97765346695821032</v>
      </c>
      <c r="D561" s="7">
        <v>1</v>
      </c>
      <c r="E561" s="7"/>
      <c r="F561" s="7">
        <v>553</v>
      </c>
      <c r="G561" s="48">
        <f>$AS$7*EXP(-'3.r(t)'!D559*$AS$21)</f>
        <v>0.9553476245219803</v>
      </c>
      <c r="H561" s="7">
        <f ca="1">$AS$8*EXP(-'3.r(t)'!E559*$AS$22)</f>
        <v>0.97489325105844671</v>
      </c>
      <c r="I561" s="7">
        <v>1</v>
      </c>
      <c r="J561" s="7"/>
      <c r="K561" s="7">
        <v>553</v>
      </c>
      <c r="L561" s="7">
        <f>$AT$7*EXP(-'3.r(t)'!D559*$AT$21)</f>
        <v>0.93311670519824419</v>
      </c>
      <c r="M561" s="7">
        <f ca="1">$AT$8*EXP(-'3.r(t)'!E559*$AT$22)</f>
        <v>0.94996919128051294</v>
      </c>
      <c r="N561" s="7">
        <f ca="1">$AT$9*EXP(-'3.r(t)'!F559*$AT$23)</f>
        <v>0.97353327065713424</v>
      </c>
      <c r="O561" s="7">
        <v>1</v>
      </c>
      <c r="P561" s="7"/>
      <c r="Q561" s="7">
        <v>553</v>
      </c>
      <c r="R561" s="7">
        <f>$AU$7*EXP(-'3.r(t)'!D559*$AU$21)</f>
        <v>0.91099305977534117</v>
      </c>
      <c r="S561" s="7">
        <f ca="1">$AU$8*EXP(-'3.r(t)'!E559*$AU$22)</f>
        <v>0.92526020787617591</v>
      </c>
      <c r="T561" s="7">
        <f ca="1">$AU$9*EXP(-'3.r(t)'!F559*$AU$23)</f>
        <v>0.94732902500867577</v>
      </c>
      <c r="U561" s="7">
        <f ca="1">$AU$10*EXP(-'3.r(t)'!G559*$AU$24)</f>
        <v>0.97502560530016125</v>
      </c>
      <c r="V561" s="7">
        <v>1</v>
      </c>
      <c r="W561" s="7"/>
      <c r="X561" s="7">
        <v>553</v>
      </c>
      <c r="Y561" s="7">
        <f>$AV$7*EXP(-'3.r(t)'!D559*$AV$21)</f>
        <v>0.88900715067201674</v>
      </c>
      <c r="Z561" s="7">
        <f ca="1">$AV$8*EXP(-'3.r(t)'!E559*$AV$22)</f>
        <v>0.90079646104100852</v>
      </c>
      <c r="AA561" s="7">
        <f ca="1">$AV$9*EXP(-'3.r(t)'!F559*$AV$23)</f>
        <v>0.92141791330346245</v>
      </c>
      <c r="AB561" s="7">
        <f ca="1">$AV$10*EXP(-'3.r(t)'!G559*$AV$24)</f>
        <v>0.95024401643443246</v>
      </c>
      <c r="AC561" s="7">
        <f ca="1">$AV$11*EXP(-'3.r(t)'!H559*$AV$25)</f>
        <v>0.97444905805071291</v>
      </c>
      <c r="AD561" s="7">
        <v>1</v>
      </c>
      <c r="AE561" s="7"/>
      <c r="AF561" s="7">
        <v>553</v>
      </c>
      <c r="AG561" s="7">
        <f>$AW$7*EXP(-'3.r(t)'!D559*$AW$21)</f>
        <v>0.86718755429225491</v>
      </c>
      <c r="AH561" s="7">
        <f ca="1">$AW$8*EXP(-'3.r(t)'!E559*$AW$22)</f>
        <v>0.87660590886167455</v>
      </c>
      <c r="AI561" s="7">
        <f ca="1">$AW$9*EXP(-'3.r(t)'!F559*$AW$23)</f>
        <v>0.895828210541468</v>
      </c>
      <c r="AJ561" s="7">
        <f ca="1">$AW$10*EXP(-'3.r(t)'!G559*$AW$24)</f>
        <v>0.92568639829046051</v>
      </c>
      <c r="AK561" s="7">
        <f ca="1">$AW$11*EXP(-'3.r(t)'!H559*$AW$25)</f>
        <v>0.9491289851235688</v>
      </c>
      <c r="AL561" s="7">
        <f ca="1">$AW$12*EXP(-'3.r(t)'!I559*$AW$26)</f>
        <v>0.97331108570641012</v>
      </c>
      <c r="AM561" s="7">
        <v>1</v>
      </c>
      <c r="AN561" s="7"/>
    </row>
    <row r="562" spans="2:40">
      <c r="B562" s="7">
        <v>554</v>
      </c>
      <c r="C562" s="7">
        <f>$AR$7*EXP(-'3.r(t)'!D560*$AR$21)</f>
        <v>0.97765346695821032</v>
      </c>
      <c r="D562" s="7">
        <v>1</v>
      </c>
      <c r="E562" s="7"/>
      <c r="F562" s="7">
        <v>554</v>
      </c>
      <c r="G562" s="48">
        <f>$AS$7*EXP(-'3.r(t)'!D560*$AS$21)</f>
        <v>0.9553476245219803</v>
      </c>
      <c r="H562" s="7">
        <f ca="1">$AS$8*EXP(-'3.r(t)'!E560*$AS$22)</f>
        <v>0.98022799195652222</v>
      </c>
      <c r="I562" s="7">
        <v>1</v>
      </c>
      <c r="J562" s="7"/>
      <c r="K562" s="7">
        <v>554</v>
      </c>
      <c r="L562" s="7">
        <f>$AT$7*EXP(-'3.r(t)'!D560*$AT$21)</f>
        <v>0.93311670519824419</v>
      </c>
      <c r="M562" s="7">
        <f ca="1">$AT$8*EXP(-'3.r(t)'!E560*$AT$22)</f>
        <v>0.96039434382916788</v>
      </c>
      <c r="N562" s="7">
        <f ca="1">$AT$9*EXP(-'3.r(t)'!F560*$AT$23)</f>
        <v>0.98067013047875506</v>
      </c>
      <c r="O562" s="7">
        <v>1</v>
      </c>
      <c r="P562" s="7"/>
      <c r="Q562" s="7">
        <v>554</v>
      </c>
      <c r="R562" s="7">
        <f>$AU$7*EXP(-'3.r(t)'!D560*$AU$21)</f>
        <v>0.91099305977534117</v>
      </c>
      <c r="S562" s="7">
        <f ca="1">$AU$8*EXP(-'3.r(t)'!E560*$AU$22)</f>
        <v>0.94053290554480118</v>
      </c>
      <c r="T562" s="7">
        <f ca="1">$AU$9*EXP(-'3.r(t)'!F560*$AU$23)</f>
        <v>0.9612694552920279</v>
      </c>
      <c r="U562" s="7">
        <f ca="1">$AU$10*EXP(-'3.r(t)'!G560*$AU$24)</f>
        <v>0.98060905079972327</v>
      </c>
      <c r="V562" s="7">
        <v>1</v>
      </c>
      <c r="W562" s="7"/>
      <c r="X562" s="7">
        <v>554</v>
      </c>
      <c r="Y562" s="7">
        <f>$AV$7*EXP(-'3.r(t)'!D560*$AV$21)</f>
        <v>0.88900715067201674</v>
      </c>
      <c r="Z562" s="7">
        <f ca="1">$AV$8*EXP(-'3.r(t)'!E560*$AV$22)</f>
        <v>0.92067598901151182</v>
      </c>
      <c r="AA562" s="7">
        <f ca="1">$AV$9*EXP(-'3.r(t)'!F560*$AV$23)</f>
        <v>0.94183125696332859</v>
      </c>
      <c r="AB562" s="7">
        <f ca="1">$AV$10*EXP(-'3.r(t)'!G560*$AV$24)</f>
        <v>0.96115824659284943</v>
      </c>
      <c r="AC562" s="7">
        <f ca="1">$AV$11*EXP(-'3.r(t)'!H560*$AV$25)</f>
        <v>0.98453993090922476</v>
      </c>
      <c r="AD562" s="7">
        <v>1</v>
      </c>
      <c r="AE562" s="7"/>
      <c r="AF562" s="7">
        <v>554</v>
      </c>
      <c r="AG562" s="7">
        <f>$AW$7*EXP(-'3.r(t)'!D560*$AW$21)</f>
        <v>0.86718755429225491</v>
      </c>
      <c r="AH562" s="7">
        <f ca="1">$AW$8*EXP(-'3.r(t)'!E560*$AW$22)</f>
        <v>0.90085434148832022</v>
      </c>
      <c r="AI562" s="7">
        <f ca="1">$AW$9*EXP(-'3.r(t)'!F560*$AW$23)</f>
        <v>0.92238733778948645</v>
      </c>
      <c r="AJ562" s="7">
        <f ca="1">$AW$10*EXP(-'3.r(t)'!G560*$AW$24)</f>
        <v>0.94168035786867488</v>
      </c>
      <c r="AK562" s="7">
        <f ca="1">$AW$11*EXP(-'3.r(t)'!H560*$AW$25)</f>
        <v>0.96888810905950318</v>
      </c>
      <c r="AL562" s="7">
        <f ca="1">$AW$12*EXP(-'3.r(t)'!I560*$AW$26)</f>
        <v>0.98455187740796879</v>
      </c>
      <c r="AM562" s="7">
        <v>1</v>
      </c>
      <c r="AN562" s="7"/>
    </row>
    <row r="563" spans="2:40">
      <c r="B563" s="7">
        <v>555</v>
      </c>
      <c r="C563" s="7">
        <f>$AR$7*EXP(-'3.r(t)'!D561*$AR$21)</f>
        <v>0.97765346695821032</v>
      </c>
      <c r="D563" s="7">
        <v>1</v>
      </c>
      <c r="E563" s="7"/>
      <c r="F563" s="7">
        <v>555</v>
      </c>
      <c r="G563" s="48">
        <f>$AS$7*EXP(-'3.r(t)'!D561*$AS$21)</f>
        <v>0.9553476245219803</v>
      </c>
      <c r="H563" s="7">
        <f ca="1">$AS$8*EXP(-'3.r(t)'!E561*$AS$22)</f>
        <v>0.97905116904639122</v>
      </c>
      <c r="I563" s="7">
        <v>1</v>
      </c>
      <c r="J563" s="7"/>
      <c r="K563" s="7">
        <v>555</v>
      </c>
      <c r="L563" s="7">
        <f>$AT$7*EXP(-'3.r(t)'!D561*$AT$21)</f>
        <v>0.93311670519824419</v>
      </c>
      <c r="M563" s="7">
        <f ca="1">$AT$8*EXP(-'3.r(t)'!E561*$AT$22)</f>
        <v>0.95808970525381365</v>
      </c>
      <c r="N563" s="7">
        <f ca="1">$AT$9*EXP(-'3.r(t)'!F561*$AT$23)</f>
        <v>0.97889686827120492</v>
      </c>
      <c r="O563" s="7">
        <v>1</v>
      </c>
      <c r="P563" s="7"/>
      <c r="Q563" s="7">
        <v>555</v>
      </c>
      <c r="R563" s="7">
        <f>$AU$7*EXP(-'3.r(t)'!D561*$AU$21)</f>
        <v>0.91099305977534117</v>
      </c>
      <c r="S563" s="7">
        <f ca="1">$AU$8*EXP(-'3.r(t)'!E561*$AU$22)</f>
        <v>0.93714947113132818</v>
      </c>
      <c r="T563" s="7">
        <f ca="1">$AU$9*EXP(-'3.r(t)'!F561*$AU$23)</f>
        <v>0.95779623505716305</v>
      </c>
      <c r="U563" s="7">
        <f ca="1">$AU$10*EXP(-'3.r(t)'!G561*$AU$24)</f>
        <v>0.97313455014899575</v>
      </c>
      <c r="V563" s="7">
        <v>1</v>
      </c>
      <c r="W563" s="7"/>
      <c r="X563" s="7">
        <v>555</v>
      </c>
      <c r="Y563" s="7">
        <f>$AV$7*EXP(-'3.r(t)'!D561*$AV$21)</f>
        <v>0.88900715067201674</v>
      </c>
      <c r="Z563" s="7">
        <f ca="1">$AV$8*EXP(-'3.r(t)'!E561*$AV$22)</f>
        <v>0.91626263617809212</v>
      </c>
      <c r="AA563" s="7">
        <f ca="1">$AV$9*EXP(-'3.r(t)'!F561*$AV$23)</f>
        <v>0.93673139019500695</v>
      </c>
      <c r="AB563" s="7">
        <f ca="1">$AV$10*EXP(-'3.r(t)'!G561*$AV$24)</f>
        <v>0.94656160802760125</v>
      </c>
      <c r="AC563" s="7">
        <f ca="1">$AV$11*EXP(-'3.r(t)'!H561*$AV$25)</f>
        <v>0.97373957949836965</v>
      </c>
      <c r="AD563" s="7">
        <v>1</v>
      </c>
      <c r="AE563" s="7"/>
      <c r="AF563" s="7">
        <v>555</v>
      </c>
      <c r="AG563" s="7">
        <f>$AW$7*EXP(-'3.r(t)'!D561*$AW$21)</f>
        <v>0.86718755429225491</v>
      </c>
      <c r="AH563" s="7">
        <f ca="1">$AW$8*EXP(-'3.r(t)'!E561*$AW$22)</f>
        <v>0.89545966008769984</v>
      </c>
      <c r="AI563" s="7">
        <f ca="1">$AW$9*EXP(-'3.r(t)'!F561*$AW$23)</f>
        <v>0.91573391363111423</v>
      </c>
      <c r="AJ563" s="7">
        <f ca="1">$AW$10*EXP(-'3.r(t)'!G561*$AW$24)</f>
        <v>0.92031075147096419</v>
      </c>
      <c r="AK563" s="7">
        <f ca="1">$AW$11*EXP(-'3.r(t)'!H561*$AW$25)</f>
        <v>0.94774740131981694</v>
      </c>
      <c r="AL563" s="7">
        <f ca="1">$AW$12*EXP(-'3.r(t)'!I561*$AW$26)</f>
        <v>0.9729140032487742</v>
      </c>
      <c r="AM563" s="7">
        <v>1</v>
      </c>
      <c r="AN563" s="7"/>
    </row>
    <row r="564" spans="2:40">
      <c r="B564" s="7">
        <v>556</v>
      </c>
      <c r="C564" s="7">
        <f>$AR$7*EXP(-'3.r(t)'!D562*$AR$21)</f>
        <v>0.97765346695821032</v>
      </c>
      <c r="D564" s="7">
        <v>1</v>
      </c>
      <c r="E564" s="7"/>
      <c r="F564" s="7">
        <v>556</v>
      </c>
      <c r="G564" s="48">
        <f>$AS$7*EXP(-'3.r(t)'!D562*$AS$21)</f>
        <v>0.9553476245219803</v>
      </c>
      <c r="H564" s="7">
        <f ca="1">$AS$8*EXP(-'3.r(t)'!E562*$AS$22)</f>
        <v>0.97879365674788354</v>
      </c>
      <c r="I564" s="7">
        <v>1</v>
      </c>
      <c r="J564" s="7"/>
      <c r="K564" s="7">
        <v>556</v>
      </c>
      <c r="L564" s="7">
        <f>$AT$7*EXP(-'3.r(t)'!D562*$AT$21)</f>
        <v>0.93311670519824419</v>
      </c>
      <c r="M564" s="7">
        <f ca="1">$AT$8*EXP(-'3.r(t)'!E562*$AT$22)</f>
        <v>0.95758577360333563</v>
      </c>
      <c r="N564" s="7">
        <f ca="1">$AT$9*EXP(-'3.r(t)'!F562*$AT$23)</f>
        <v>0.9791675235482542</v>
      </c>
      <c r="O564" s="7">
        <v>1</v>
      </c>
      <c r="P564" s="7"/>
      <c r="Q564" s="7">
        <v>556</v>
      </c>
      <c r="R564" s="7">
        <f>$AU$7*EXP(-'3.r(t)'!D562*$AU$21)</f>
        <v>0.91099305977534117</v>
      </c>
      <c r="S564" s="7">
        <f ca="1">$AU$8*EXP(-'3.r(t)'!E562*$AU$22)</f>
        <v>0.93641019196075204</v>
      </c>
      <c r="T564" s="7">
        <f ca="1">$AU$9*EXP(-'3.r(t)'!F562*$AU$23)</f>
        <v>0.95832595059999959</v>
      </c>
      <c r="U564" s="7">
        <f ca="1">$AU$10*EXP(-'3.r(t)'!G562*$AU$24)</f>
        <v>0.97576515660021579</v>
      </c>
      <c r="V564" s="7">
        <v>1</v>
      </c>
      <c r="W564" s="7"/>
      <c r="X564" s="7">
        <v>556</v>
      </c>
      <c r="Y564" s="7">
        <f>$AV$7*EXP(-'3.r(t)'!D562*$AV$21)</f>
        <v>0.88900715067201674</v>
      </c>
      <c r="Z564" s="7">
        <f ca="1">$AV$8*EXP(-'3.r(t)'!E562*$AV$22)</f>
        <v>0.91529902638313076</v>
      </c>
      <c r="AA564" s="7">
        <f ca="1">$AV$9*EXP(-'3.r(t)'!F562*$AV$23)</f>
        <v>0.93750859586652324</v>
      </c>
      <c r="AB564" s="7">
        <f ca="1">$AV$10*EXP(-'3.r(t)'!G562*$AV$24)</f>
        <v>0.95168607233820623</v>
      </c>
      <c r="AC564" s="7">
        <f ca="1">$AV$11*EXP(-'3.r(t)'!H562*$AV$25)</f>
        <v>0.97321229268688247</v>
      </c>
      <c r="AD564" s="7">
        <v>1</v>
      </c>
      <c r="AE564" s="7"/>
      <c r="AF564" s="7">
        <v>556</v>
      </c>
      <c r="AG564" s="7">
        <f>$AW$7*EXP(-'3.r(t)'!D562*$AW$21)</f>
        <v>0.86718755429225491</v>
      </c>
      <c r="AH564" s="7">
        <f ca="1">$AW$8*EXP(-'3.r(t)'!E562*$AW$22)</f>
        <v>0.89428265007605423</v>
      </c>
      <c r="AI564" s="7">
        <f ca="1">$AW$9*EXP(-'3.r(t)'!F562*$AW$23)</f>
        <v>0.91674709912365648</v>
      </c>
      <c r="AJ564" s="7">
        <f ca="1">$AW$10*EXP(-'3.r(t)'!G562*$AW$24)</f>
        <v>0.92779437976207679</v>
      </c>
      <c r="AK564" s="7">
        <f ca="1">$AW$11*EXP(-'3.r(t)'!H562*$AW$25)</f>
        <v>0.94672125549821895</v>
      </c>
      <c r="AL564" s="7">
        <f ca="1">$AW$12*EXP(-'3.r(t)'!I562*$AW$26)</f>
        <v>0.97261609144593275</v>
      </c>
      <c r="AM564" s="7">
        <v>1</v>
      </c>
      <c r="AN564" s="7"/>
    </row>
    <row r="565" spans="2:40">
      <c r="B565" s="7">
        <v>557</v>
      </c>
      <c r="C565" s="7">
        <f>$AR$7*EXP(-'3.r(t)'!D563*$AR$21)</f>
        <v>0.97765346695821032</v>
      </c>
      <c r="D565" s="7">
        <v>1</v>
      </c>
      <c r="E565" s="7"/>
      <c r="F565" s="7">
        <v>557</v>
      </c>
      <c r="G565" s="48">
        <f>$AS$7*EXP(-'3.r(t)'!D563*$AS$21)</f>
        <v>0.9553476245219803</v>
      </c>
      <c r="H565" s="7">
        <f ca="1">$AS$8*EXP(-'3.r(t)'!E563*$AS$22)</f>
        <v>0.97861886861922787</v>
      </c>
      <c r="I565" s="7">
        <v>1</v>
      </c>
      <c r="J565" s="7"/>
      <c r="K565" s="7">
        <v>557</v>
      </c>
      <c r="L565" s="7">
        <f>$AT$7*EXP(-'3.r(t)'!D563*$AT$21)</f>
        <v>0.93311670519824419</v>
      </c>
      <c r="M565" s="7">
        <f ca="1">$AT$8*EXP(-'3.r(t)'!E563*$AT$22)</f>
        <v>0.9572438022802171</v>
      </c>
      <c r="N565" s="7">
        <f ca="1">$AT$9*EXP(-'3.r(t)'!F563*$AT$23)</f>
        <v>0.97886774887371586</v>
      </c>
      <c r="O565" s="7">
        <v>1</v>
      </c>
      <c r="P565" s="7"/>
      <c r="Q565" s="7">
        <v>557</v>
      </c>
      <c r="R565" s="7">
        <f>$AU$7*EXP(-'3.r(t)'!D563*$AU$21)</f>
        <v>0.91099305977534117</v>
      </c>
      <c r="S565" s="7">
        <f ca="1">$AU$8*EXP(-'3.r(t)'!E563*$AU$22)</f>
        <v>0.93590862304149569</v>
      </c>
      <c r="T565" s="7">
        <f ca="1">$AU$9*EXP(-'3.r(t)'!F563*$AU$23)</f>
        <v>0.9577392524773729</v>
      </c>
      <c r="U565" s="7">
        <f ca="1">$AU$10*EXP(-'3.r(t)'!G563*$AU$24)</f>
        <v>0.97784872851850435</v>
      </c>
      <c r="V565" s="7">
        <v>1</v>
      </c>
      <c r="W565" s="7"/>
      <c r="X565" s="7">
        <v>557</v>
      </c>
      <c r="Y565" s="7">
        <f>$AV$7*EXP(-'3.r(t)'!D563*$AV$21)</f>
        <v>0.88900715067201674</v>
      </c>
      <c r="Z565" s="7">
        <f ca="1">$AV$8*EXP(-'3.r(t)'!E563*$AV$22)</f>
        <v>0.91464540320356269</v>
      </c>
      <c r="AA565" s="7">
        <f ca="1">$AV$9*EXP(-'3.r(t)'!F563*$AV$23)</f>
        <v>0.93664779739835324</v>
      </c>
      <c r="AB565" s="7">
        <f ca="1">$AV$10*EXP(-'3.r(t)'!G563*$AV$24)</f>
        <v>0.95575472232601344</v>
      </c>
      <c r="AC565" s="7">
        <f ca="1">$AV$11*EXP(-'3.r(t)'!H563*$AV$25)</f>
        <v>0.97247224952371136</v>
      </c>
      <c r="AD565" s="7">
        <v>1</v>
      </c>
      <c r="AE565" s="7"/>
      <c r="AF565" s="7">
        <v>557</v>
      </c>
      <c r="AG565" s="7">
        <f>$AW$7*EXP(-'3.r(t)'!D563*$AW$21)</f>
        <v>0.86718755429225491</v>
      </c>
      <c r="AH565" s="7">
        <f ca="1">$AW$8*EXP(-'3.r(t)'!E563*$AW$22)</f>
        <v>0.89348445234736373</v>
      </c>
      <c r="AI565" s="7">
        <f ca="1">$AW$9*EXP(-'3.r(t)'!F563*$AW$23)</f>
        <v>0.91562495657599008</v>
      </c>
      <c r="AJ565" s="7">
        <f ca="1">$AW$10*EXP(-'3.r(t)'!G563*$AW$24)</f>
        <v>0.93375049661867426</v>
      </c>
      <c r="AK565" s="7">
        <f ca="1">$AW$11*EXP(-'3.r(t)'!H563*$AW$25)</f>
        <v>0.94528200484418889</v>
      </c>
      <c r="AL565" s="7">
        <f ca="1">$AW$12*EXP(-'3.r(t)'!I563*$AW$26)</f>
        <v>0.97142609267949231</v>
      </c>
      <c r="AM565" s="7">
        <v>1</v>
      </c>
      <c r="AN565" s="7"/>
    </row>
    <row r="566" spans="2:40">
      <c r="B566" s="7">
        <v>558</v>
      </c>
      <c r="C566" s="7">
        <f>$AR$7*EXP(-'3.r(t)'!D564*$AR$21)</f>
        <v>0.97765346695821032</v>
      </c>
      <c r="D566" s="7">
        <v>1</v>
      </c>
      <c r="E566" s="7"/>
      <c r="F566" s="7">
        <v>558</v>
      </c>
      <c r="G566" s="48">
        <f>$AS$7*EXP(-'3.r(t)'!D564*$AS$21)</f>
        <v>0.9553476245219803</v>
      </c>
      <c r="H566" s="7">
        <f ca="1">$AS$8*EXP(-'3.r(t)'!E564*$AS$22)</f>
        <v>0.97999321767175129</v>
      </c>
      <c r="I566" s="7">
        <v>1</v>
      </c>
      <c r="J566" s="7"/>
      <c r="K566" s="7">
        <v>558</v>
      </c>
      <c r="L566" s="7">
        <f>$AT$7*EXP(-'3.r(t)'!D564*$AT$21)</f>
        <v>0.93311670519824419</v>
      </c>
      <c r="M566" s="7">
        <f ca="1">$AT$8*EXP(-'3.r(t)'!E564*$AT$22)</f>
        <v>0.95993435106183467</v>
      </c>
      <c r="N566" s="7">
        <f ca="1">$AT$9*EXP(-'3.r(t)'!F564*$AT$23)</f>
        <v>0.98320411411508402</v>
      </c>
      <c r="O566" s="7">
        <v>1</v>
      </c>
      <c r="P566" s="7"/>
      <c r="Q566" s="7">
        <v>558</v>
      </c>
      <c r="R566" s="7">
        <f>$AU$7*EXP(-'3.r(t)'!D564*$AU$21)</f>
        <v>0.91099305977534117</v>
      </c>
      <c r="S566" s="7">
        <f ca="1">$AU$8*EXP(-'3.r(t)'!E564*$AU$22)</f>
        <v>0.93985726663419045</v>
      </c>
      <c r="T566" s="7">
        <f ca="1">$AU$9*EXP(-'3.r(t)'!F564*$AU$23)</f>
        <v>0.96624358067067517</v>
      </c>
      <c r="U566" s="7">
        <f ca="1">$AU$10*EXP(-'3.r(t)'!G564*$AU$24)</f>
        <v>0.98192156301763078</v>
      </c>
      <c r="V566" s="7">
        <v>1</v>
      </c>
      <c r="W566" s="7"/>
      <c r="X566" s="7">
        <v>558</v>
      </c>
      <c r="Y566" s="7">
        <f>$AV$7*EXP(-'3.r(t)'!D564*$AV$21)</f>
        <v>0.88900715067201674</v>
      </c>
      <c r="Z566" s="7">
        <f ca="1">$AV$8*EXP(-'3.r(t)'!E564*$AV$22)</f>
        <v>0.9197942618805498</v>
      </c>
      <c r="AA566" s="7">
        <f ca="1">$AV$9*EXP(-'3.r(t)'!F564*$AV$23)</f>
        <v>0.94915101821835468</v>
      </c>
      <c r="AB566" s="7">
        <f ca="1">$AV$10*EXP(-'3.r(t)'!G564*$AV$24)</f>
        <v>0.96373292444228109</v>
      </c>
      <c r="AC566" s="7">
        <f ca="1">$AV$11*EXP(-'3.r(t)'!H564*$AV$25)</f>
        <v>0.98306454022382483</v>
      </c>
      <c r="AD566" s="7">
        <v>1</v>
      </c>
      <c r="AE566" s="7"/>
      <c r="AF566" s="7">
        <v>558</v>
      </c>
      <c r="AG566" s="7">
        <f>$AW$7*EXP(-'3.r(t)'!D564*$AW$21)</f>
        <v>0.86718755429225491</v>
      </c>
      <c r="AH566" s="7">
        <f ca="1">$AW$8*EXP(-'3.r(t)'!E564*$AW$22)</f>
        <v>0.89977604058151917</v>
      </c>
      <c r="AI566" s="7">
        <f ca="1">$AW$9*EXP(-'3.r(t)'!F564*$AW$23)</f>
        <v>0.9319578922528895</v>
      </c>
      <c r="AJ566" s="7">
        <f ca="1">$AW$10*EXP(-'3.r(t)'!G564*$AW$24)</f>
        <v>0.94546664358265675</v>
      </c>
      <c r="AK566" s="7">
        <f ca="1">$AW$11*EXP(-'3.r(t)'!H564*$AW$25)</f>
        <v>0.96598641384046868</v>
      </c>
      <c r="AL566" s="7">
        <f ca="1">$AW$12*EXP(-'3.r(t)'!I564*$AW$26)</f>
        <v>0.98027447387321798</v>
      </c>
      <c r="AM566" s="7">
        <v>1</v>
      </c>
      <c r="AN566" s="7"/>
    </row>
    <row r="567" spans="2:40">
      <c r="B567" s="7">
        <v>559</v>
      </c>
      <c r="C567" s="7">
        <f>$AR$7*EXP(-'3.r(t)'!D565*$AR$21)</f>
        <v>0.97765346695821032</v>
      </c>
      <c r="D567" s="7">
        <v>1</v>
      </c>
      <c r="E567" s="7"/>
      <c r="F567" s="7">
        <v>559</v>
      </c>
      <c r="G567" s="48">
        <f>$AS$7*EXP(-'3.r(t)'!D565*$AS$21)</f>
        <v>0.9553476245219803</v>
      </c>
      <c r="H567" s="7">
        <f ca="1">$AS$8*EXP(-'3.r(t)'!E565*$AS$22)</f>
        <v>0.97953780922248312</v>
      </c>
      <c r="I567" s="7">
        <v>1</v>
      </c>
      <c r="J567" s="7"/>
      <c r="K567" s="7">
        <v>559</v>
      </c>
      <c r="L567" s="7">
        <f>$AT$7*EXP(-'3.r(t)'!D565*$AT$21)</f>
        <v>0.93311670519824419</v>
      </c>
      <c r="M567" s="7">
        <f ca="1">$AT$8*EXP(-'3.r(t)'!E565*$AT$22)</f>
        <v>0.95904238440238176</v>
      </c>
      <c r="N567" s="7">
        <f ca="1">$AT$9*EXP(-'3.r(t)'!F565*$AT$23)</f>
        <v>0.98134793773504281</v>
      </c>
      <c r="O567" s="7">
        <v>1</v>
      </c>
      <c r="P567" s="7"/>
      <c r="Q567" s="7">
        <v>559</v>
      </c>
      <c r="R567" s="7">
        <f>$AU$7*EXP(-'3.r(t)'!D565*$AU$21)</f>
        <v>0.91099305977534117</v>
      </c>
      <c r="S567" s="7">
        <f ca="1">$AU$8*EXP(-'3.r(t)'!E565*$AU$22)</f>
        <v>0.93854760430006634</v>
      </c>
      <c r="T567" s="7">
        <f ca="1">$AU$9*EXP(-'3.r(t)'!F565*$AU$23)</f>
        <v>0.96259871078524273</v>
      </c>
      <c r="U567" s="7">
        <f ca="1">$AU$10*EXP(-'3.r(t)'!G565*$AU$24)</f>
        <v>0.97594761547102027</v>
      </c>
      <c r="V567" s="7">
        <v>1</v>
      </c>
      <c r="W567" s="7"/>
      <c r="X567" s="7">
        <v>559</v>
      </c>
      <c r="Y567" s="7">
        <f>$AV$7*EXP(-'3.r(t)'!D565*$AV$21)</f>
        <v>0.88900715067201674</v>
      </c>
      <c r="Z567" s="7">
        <f ca="1">$AV$8*EXP(-'3.r(t)'!E565*$AV$22)</f>
        <v>0.918085718694722</v>
      </c>
      <c r="AA567" s="7">
        <f ca="1">$AV$9*EXP(-'3.r(t)'!F565*$AV$23)</f>
        <v>0.943785496323156</v>
      </c>
      <c r="AB567" s="7">
        <f ca="1">$AV$10*EXP(-'3.r(t)'!G565*$AV$24)</f>
        <v>0.95204201823317502</v>
      </c>
      <c r="AC567" s="7">
        <f ca="1">$AV$11*EXP(-'3.r(t)'!H565*$AV$25)</f>
        <v>0.96959933043077695</v>
      </c>
      <c r="AD567" s="7">
        <v>1</v>
      </c>
      <c r="AE567" s="7"/>
      <c r="AF567" s="7">
        <v>559</v>
      </c>
      <c r="AG567" s="7">
        <f>$AW$7*EXP(-'3.r(t)'!D565*$AW$21)</f>
        <v>0.86718755429225491</v>
      </c>
      <c r="AH567" s="7">
        <f ca="1">$AW$8*EXP(-'3.r(t)'!E565*$AW$22)</f>
        <v>0.89768732741472168</v>
      </c>
      <c r="AI567" s="7">
        <f ca="1">$AW$9*EXP(-'3.r(t)'!F565*$AW$23)</f>
        <v>0.92494007917563781</v>
      </c>
      <c r="AJ567" s="7">
        <f ca="1">$AW$10*EXP(-'3.r(t)'!G565*$AW$24)</f>
        <v>0.92831494345591126</v>
      </c>
      <c r="AK567" s="7">
        <f ca="1">$AW$11*EXP(-'3.r(t)'!H565*$AW$25)</f>
        <v>0.93970506982093804</v>
      </c>
      <c r="AL567" s="7">
        <f ca="1">$AW$12*EXP(-'3.r(t)'!I565*$AW$26)</f>
        <v>0.96566622044182249</v>
      </c>
      <c r="AM567" s="7">
        <v>1</v>
      </c>
      <c r="AN567" s="7"/>
    </row>
    <row r="568" spans="2:40">
      <c r="B568" s="7">
        <v>560</v>
      </c>
      <c r="C568" s="7">
        <f>$AR$7*EXP(-'3.r(t)'!D566*$AR$21)</f>
        <v>0.97765346695821032</v>
      </c>
      <c r="D568" s="7">
        <v>1</v>
      </c>
      <c r="E568" s="7"/>
      <c r="F568" s="7">
        <v>560</v>
      </c>
      <c r="G568" s="48">
        <f>$AS$7*EXP(-'3.r(t)'!D566*$AS$21)</f>
        <v>0.9553476245219803</v>
      </c>
      <c r="H568" s="7">
        <f ca="1">$AS$8*EXP(-'3.r(t)'!E566*$AS$22)</f>
        <v>0.97790300297520583</v>
      </c>
      <c r="I568" s="7">
        <v>1</v>
      </c>
      <c r="J568" s="7"/>
      <c r="K568" s="7">
        <v>560</v>
      </c>
      <c r="L568" s="7">
        <f>$AT$7*EXP(-'3.r(t)'!D566*$AT$21)</f>
        <v>0.93311670519824419</v>
      </c>
      <c r="M568" s="7">
        <f ca="1">$AT$8*EXP(-'3.r(t)'!E566*$AT$22)</f>
        <v>0.95584385519602433</v>
      </c>
      <c r="N568" s="7">
        <f ca="1">$AT$9*EXP(-'3.r(t)'!F566*$AT$23)</f>
        <v>0.97986879340117716</v>
      </c>
      <c r="O568" s="7">
        <v>1</v>
      </c>
      <c r="P568" s="7"/>
      <c r="Q568" s="7">
        <v>560</v>
      </c>
      <c r="R568" s="7">
        <f>$AU$7*EXP(-'3.r(t)'!D566*$AU$21)</f>
        <v>0.91099305977534117</v>
      </c>
      <c r="S568" s="7">
        <f ca="1">$AU$8*EXP(-'3.r(t)'!E566*$AU$22)</f>
        <v>0.93385625657223792</v>
      </c>
      <c r="T568" s="7">
        <f ca="1">$AU$9*EXP(-'3.r(t)'!F566*$AU$23)</f>
        <v>0.95969912881149966</v>
      </c>
      <c r="U568" s="7">
        <f ca="1">$AU$10*EXP(-'3.r(t)'!G566*$AU$24)</f>
        <v>0.97325285076129897</v>
      </c>
      <c r="V568" s="7">
        <v>1</v>
      </c>
      <c r="W568" s="7"/>
      <c r="X568" s="7">
        <v>560</v>
      </c>
      <c r="Y568" s="7">
        <f>$AV$7*EXP(-'3.r(t)'!D566*$AV$21)</f>
        <v>0.88900715067201674</v>
      </c>
      <c r="Z568" s="7">
        <f ca="1">$AV$8*EXP(-'3.r(t)'!E566*$AV$22)</f>
        <v>0.91197206367585604</v>
      </c>
      <c r="AA568" s="7">
        <f ca="1">$AV$9*EXP(-'3.r(t)'!F566*$AV$23)</f>
        <v>0.9395243412877643</v>
      </c>
      <c r="AB568" s="7">
        <f ca="1">$AV$10*EXP(-'3.r(t)'!G566*$AV$24)</f>
        <v>0.94679176247897645</v>
      </c>
      <c r="AC568" s="7">
        <f ca="1">$AV$11*EXP(-'3.r(t)'!H566*$AV$25)</f>
        <v>0.97368922710417349</v>
      </c>
      <c r="AD568" s="7">
        <v>1</v>
      </c>
      <c r="AE568" s="7"/>
      <c r="AF568" s="7">
        <v>560</v>
      </c>
      <c r="AG568" s="7">
        <f>$AW$7*EXP(-'3.r(t)'!D566*$AW$21)</f>
        <v>0.86718755429225491</v>
      </c>
      <c r="AH568" s="7">
        <f ca="1">$AW$8*EXP(-'3.r(t)'!E566*$AW$22)</f>
        <v>0.89022128338854933</v>
      </c>
      <c r="AI568" s="7">
        <f ca="1">$AW$9*EXP(-'3.r(t)'!F566*$AW$23)</f>
        <v>0.91937618173329938</v>
      </c>
      <c r="AJ568" s="7">
        <f ca="1">$AW$10*EXP(-'3.r(t)'!G566*$AW$24)</f>
        <v>0.9206464292904889</v>
      </c>
      <c r="AK568" s="7">
        <f ca="1">$AW$11*EXP(-'3.r(t)'!H566*$AW$25)</f>
        <v>0.94764938719384095</v>
      </c>
      <c r="AL568" s="7">
        <f ca="1">$AW$12*EXP(-'3.r(t)'!I566*$AW$26)</f>
        <v>0.97386205486522004</v>
      </c>
      <c r="AM568" s="7">
        <v>1</v>
      </c>
      <c r="AN568" s="7"/>
    </row>
    <row r="569" spans="2:40">
      <c r="B569" s="7">
        <v>561</v>
      </c>
      <c r="C569" s="7">
        <f>$AR$7*EXP(-'3.r(t)'!D567*$AR$21)</f>
        <v>0.97765346695821032</v>
      </c>
      <c r="D569" s="7">
        <v>1</v>
      </c>
      <c r="E569" s="7"/>
      <c r="F569" s="7">
        <v>561</v>
      </c>
      <c r="G569" s="48">
        <f>$AS$7*EXP(-'3.r(t)'!D567*$AS$21)</f>
        <v>0.9553476245219803</v>
      </c>
      <c r="H569" s="7">
        <f ca="1">$AS$8*EXP(-'3.r(t)'!E567*$AS$22)</f>
        <v>0.97252316779090497</v>
      </c>
      <c r="I569" s="7">
        <v>1</v>
      </c>
      <c r="J569" s="7"/>
      <c r="K569" s="7">
        <v>561</v>
      </c>
      <c r="L569" s="7">
        <f>$AT$7*EXP(-'3.r(t)'!D567*$AT$21)</f>
        <v>0.93311670519824419</v>
      </c>
      <c r="M569" s="7">
        <f ca="1">$AT$8*EXP(-'3.r(t)'!E567*$AT$22)</f>
        <v>0.94535582619495662</v>
      </c>
      <c r="N569" s="7">
        <f ca="1">$AT$9*EXP(-'3.r(t)'!F567*$AT$23)</f>
        <v>0.97308897772814251</v>
      </c>
      <c r="O569" s="7">
        <v>1</v>
      </c>
      <c r="P569" s="7"/>
      <c r="Q569" s="7">
        <v>561</v>
      </c>
      <c r="R569" s="7">
        <f>$AU$7*EXP(-'3.r(t)'!D567*$AU$21)</f>
        <v>0.91099305977534117</v>
      </c>
      <c r="S569" s="7">
        <f ca="1">$AU$8*EXP(-'3.r(t)'!E567*$AU$22)</f>
        <v>0.91852834238123937</v>
      </c>
      <c r="T569" s="7">
        <f ca="1">$AU$9*EXP(-'3.r(t)'!F567*$AU$23)</f>
        <v>0.94646455420230236</v>
      </c>
      <c r="U569" s="7">
        <f ca="1">$AU$10*EXP(-'3.r(t)'!G567*$AU$24)</f>
        <v>0.97098149721800153</v>
      </c>
      <c r="V569" s="7">
        <v>1</v>
      </c>
      <c r="W569" s="7"/>
      <c r="X569" s="7">
        <v>561</v>
      </c>
      <c r="Y569" s="7">
        <f>$AV$7*EXP(-'3.r(t)'!D567*$AV$21)</f>
        <v>0.88900715067201674</v>
      </c>
      <c r="Z569" s="7">
        <f ca="1">$AV$8*EXP(-'3.r(t)'!E567*$AV$22)</f>
        <v>0.8920685733462409</v>
      </c>
      <c r="AA569" s="7">
        <f ca="1">$AV$9*EXP(-'3.r(t)'!F567*$AV$23)</f>
        <v>0.92015696205981012</v>
      </c>
      <c r="AB569" s="7">
        <f ca="1">$AV$10*EXP(-'3.r(t)'!G567*$AV$24)</f>
        <v>0.94237772057366087</v>
      </c>
      <c r="AC569" s="7">
        <f ca="1">$AV$11*EXP(-'3.r(t)'!H567*$AV$25)</f>
        <v>0.96982834143337782</v>
      </c>
      <c r="AD569" s="7">
        <v>1</v>
      </c>
      <c r="AE569" s="7"/>
      <c r="AF569" s="7">
        <v>561</v>
      </c>
      <c r="AG569" s="7">
        <f>$AW$7*EXP(-'3.r(t)'!D567*$AW$21)</f>
        <v>0.86718755429225491</v>
      </c>
      <c r="AH569" s="7">
        <f ca="1">$AW$8*EXP(-'3.r(t)'!E567*$AW$22)</f>
        <v>0.86600191919617797</v>
      </c>
      <c r="AI569" s="7">
        <f ca="1">$AW$9*EXP(-'3.r(t)'!F567*$AW$23)</f>
        <v>0.89419400748492195</v>
      </c>
      <c r="AJ569" s="7">
        <f ca="1">$AW$10*EXP(-'3.r(t)'!G567*$AW$24)</f>
        <v>0.91421571459551076</v>
      </c>
      <c r="AK569" s="7">
        <f ca="1">$AW$11*EXP(-'3.r(t)'!H567*$AW$25)</f>
        <v>0.94014902271561718</v>
      </c>
      <c r="AL569" s="7">
        <f ca="1">$AW$12*EXP(-'3.r(t)'!I567*$AW$26)</f>
        <v>0.97132345794753128</v>
      </c>
      <c r="AM569" s="7">
        <v>1</v>
      </c>
      <c r="AN569" s="7"/>
    </row>
    <row r="570" spans="2:40">
      <c r="B570" s="7">
        <v>562</v>
      </c>
      <c r="C570" s="7">
        <f>$AR$7*EXP(-'3.r(t)'!D568*$AR$21)</f>
        <v>0.97765346695821032</v>
      </c>
      <c r="D570" s="7">
        <v>1</v>
      </c>
      <c r="E570" s="7"/>
      <c r="F570" s="7">
        <v>562</v>
      </c>
      <c r="G570" s="48">
        <f>$AS$7*EXP(-'3.r(t)'!D568*$AS$21)</f>
        <v>0.9553476245219803</v>
      </c>
      <c r="H570" s="7">
        <f ca="1">$AS$8*EXP(-'3.r(t)'!E568*$AS$22)</f>
        <v>0.97315611119599654</v>
      </c>
      <c r="I570" s="7">
        <v>1</v>
      </c>
      <c r="J570" s="7"/>
      <c r="K570" s="7">
        <v>562</v>
      </c>
      <c r="L570" s="7">
        <f>$AT$7*EXP(-'3.r(t)'!D568*$AT$21)</f>
        <v>0.93311670519824419</v>
      </c>
      <c r="M570" s="7">
        <f ca="1">$AT$8*EXP(-'3.r(t)'!E568*$AT$22)</f>
        <v>0.9465867510069339</v>
      </c>
      <c r="N570" s="7">
        <f ca="1">$AT$9*EXP(-'3.r(t)'!F568*$AT$23)</f>
        <v>0.97501425233009975</v>
      </c>
      <c r="O570" s="7">
        <v>1</v>
      </c>
      <c r="P570" s="7"/>
      <c r="Q570" s="7">
        <v>562</v>
      </c>
      <c r="R570" s="7">
        <f>$AU$7*EXP(-'3.r(t)'!D568*$AU$21)</f>
        <v>0.91099305977534117</v>
      </c>
      <c r="S570" s="7">
        <f ca="1">$AU$8*EXP(-'3.r(t)'!E568*$AU$22)</f>
        <v>0.92032291632967989</v>
      </c>
      <c r="T570" s="7">
        <f ca="1">$AU$9*EXP(-'3.r(t)'!F568*$AU$23)</f>
        <v>0.95021345454335693</v>
      </c>
      <c r="U570" s="7">
        <f ca="1">$AU$10*EXP(-'3.r(t)'!G568*$AU$24)</f>
        <v>0.97449199816586418</v>
      </c>
      <c r="V570" s="7">
        <v>1</v>
      </c>
      <c r="W570" s="7"/>
      <c r="X570" s="7">
        <v>562</v>
      </c>
      <c r="Y570" s="7">
        <f>$AV$7*EXP(-'3.r(t)'!D568*$AV$21)</f>
        <v>0.88900715067201674</v>
      </c>
      <c r="Z570" s="7">
        <f ca="1">$AV$8*EXP(-'3.r(t)'!E568*$AV$22)</f>
        <v>0.89439316731425178</v>
      </c>
      <c r="AA570" s="7">
        <f ca="1">$AV$9*EXP(-'3.r(t)'!F568*$AV$23)</f>
        <v>0.92562941802799159</v>
      </c>
      <c r="AB570" s="7">
        <f ca="1">$AV$10*EXP(-'3.r(t)'!G568*$AV$24)</f>
        <v>0.94920421146124656</v>
      </c>
      <c r="AC570" s="7">
        <f ca="1">$AV$11*EXP(-'3.r(t)'!H568*$AV$25)</f>
        <v>0.96734715391048198</v>
      </c>
      <c r="AD570" s="7">
        <v>1</v>
      </c>
      <c r="AE570" s="7"/>
      <c r="AF570" s="7">
        <v>562</v>
      </c>
      <c r="AG570" s="7">
        <f>$AW$7*EXP(-'3.r(t)'!D568*$AW$21)</f>
        <v>0.86718755429225491</v>
      </c>
      <c r="AH570" s="7">
        <f ca="1">$AW$8*EXP(-'3.r(t)'!E568*$AW$22)</f>
        <v>0.86882367275974925</v>
      </c>
      <c r="AI570" s="7">
        <f ca="1">$AW$9*EXP(-'3.r(t)'!F568*$AW$23)</f>
        <v>0.90129175508330417</v>
      </c>
      <c r="AJ570" s="7">
        <f ca="1">$AW$10*EXP(-'3.r(t)'!G568*$AW$24)</f>
        <v>0.9241674148355824</v>
      </c>
      <c r="AK570" s="7">
        <f ca="1">$AW$11*EXP(-'3.r(t)'!H568*$AW$25)</f>
        <v>0.93534466305947117</v>
      </c>
      <c r="AL570" s="7">
        <f ca="1">$AW$12*EXP(-'3.r(t)'!I568*$AW$26)</f>
        <v>0.96826146450074024</v>
      </c>
      <c r="AM570" s="7">
        <v>1</v>
      </c>
      <c r="AN570" s="7"/>
    </row>
    <row r="571" spans="2:40">
      <c r="B571" s="7">
        <v>563</v>
      </c>
      <c r="C571" s="7">
        <f>$AR$7*EXP(-'3.r(t)'!D569*$AR$21)</f>
        <v>0.97765346695821032</v>
      </c>
      <c r="D571" s="7">
        <v>1</v>
      </c>
      <c r="E571" s="7"/>
      <c r="F571" s="7">
        <v>563</v>
      </c>
      <c r="G571" s="48">
        <f>$AS$7*EXP(-'3.r(t)'!D569*$AS$21)</f>
        <v>0.9553476245219803</v>
      </c>
      <c r="H571" s="7">
        <f ca="1">$AS$8*EXP(-'3.r(t)'!E569*$AS$22)</f>
        <v>0.9738074909011194</v>
      </c>
      <c r="I571" s="7">
        <v>1</v>
      </c>
      <c r="J571" s="7"/>
      <c r="K571" s="7">
        <v>563</v>
      </c>
      <c r="L571" s="7">
        <f>$AT$7*EXP(-'3.r(t)'!D569*$AT$21)</f>
        <v>0.93311670519824419</v>
      </c>
      <c r="M571" s="7">
        <f ca="1">$AT$8*EXP(-'3.r(t)'!E569*$AT$22)</f>
        <v>0.94785436623802599</v>
      </c>
      <c r="N571" s="7">
        <f ca="1">$AT$9*EXP(-'3.r(t)'!F569*$AT$23)</f>
        <v>0.97556113012521251</v>
      </c>
      <c r="O571" s="7">
        <v>1</v>
      </c>
      <c r="P571" s="7"/>
      <c r="Q571" s="7">
        <v>563</v>
      </c>
      <c r="R571" s="7">
        <f>$AU$7*EXP(-'3.r(t)'!D569*$AU$21)</f>
        <v>0.91099305977534117</v>
      </c>
      <c r="S571" s="7">
        <f ca="1">$AU$8*EXP(-'3.r(t)'!E569*$AU$22)</f>
        <v>0.92217220139122191</v>
      </c>
      <c r="T571" s="7">
        <f ca="1">$AU$9*EXP(-'3.r(t)'!F569*$AU$23)</f>
        <v>0.95127968792740214</v>
      </c>
      <c r="U571" s="7">
        <f ca="1">$AU$10*EXP(-'3.r(t)'!G569*$AU$24)</f>
        <v>0.97424812005836348</v>
      </c>
      <c r="V571" s="7">
        <v>1</v>
      </c>
      <c r="W571" s="7"/>
      <c r="X571" s="7">
        <v>563</v>
      </c>
      <c r="Y571" s="7">
        <f>$AV$7*EXP(-'3.r(t)'!D569*$AV$21)</f>
        <v>0.88900715067201674</v>
      </c>
      <c r="Z571" s="7">
        <f ca="1">$AV$8*EXP(-'3.r(t)'!E569*$AV$22)</f>
        <v>0.89679021232818101</v>
      </c>
      <c r="AA571" s="7">
        <f ca="1">$AV$9*EXP(-'3.r(t)'!F569*$AV$23)</f>
        <v>0.92718782649476883</v>
      </c>
      <c r="AB571" s="7">
        <f ca="1">$AV$10*EXP(-'3.r(t)'!G569*$AV$24)</f>
        <v>0.94872917182912586</v>
      </c>
      <c r="AC571" s="7">
        <f ca="1">$AV$11*EXP(-'3.r(t)'!H569*$AV$25)</f>
        <v>0.97501930956467309</v>
      </c>
      <c r="AD571" s="7">
        <v>1</v>
      </c>
      <c r="AE571" s="7"/>
      <c r="AF571" s="7">
        <v>563</v>
      </c>
      <c r="AG571" s="7">
        <f>$AW$7*EXP(-'3.r(t)'!D569*$AW$21)</f>
        <v>0.86718755429225491</v>
      </c>
      <c r="AH571" s="7">
        <f ca="1">$AW$8*EXP(-'3.r(t)'!E569*$AW$22)</f>
        <v>0.87173529311435394</v>
      </c>
      <c r="AI571" s="7">
        <f ca="1">$AW$9*EXP(-'3.r(t)'!F569*$AW$23)</f>
        <v>0.90331556671177804</v>
      </c>
      <c r="AJ571" s="7">
        <f ca="1">$AW$10*EXP(-'3.r(t)'!G569*$AW$24)</f>
        <v>0.92347373710332481</v>
      </c>
      <c r="AK571" s="7">
        <f ca="1">$AW$11*EXP(-'3.r(t)'!H569*$AW$25)</f>
        <v>0.95024017837642694</v>
      </c>
      <c r="AL571" s="7">
        <f ca="1">$AW$12*EXP(-'3.r(t)'!I569*$AW$26)</f>
        <v>0.97577160531325569</v>
      </c>
      <c r="AM571" s="7">
        <v>1</v>
      </c>
      <c r="AN571" s="7"/>
    </row>
    <row r="572" spans="2:40">
      <c r="B572" s="7">
        <v>564</v>
      </c>
      <c r="C572" s="7">
        <f>$AR$7*EXP(-'3.r(t)'!D570*$AR$21)</f>
        <v>0.97765346695821032</v>
      </c>
      <c r="D572" s="7">
        <v>1</v>
      </c>
      <c r="E572" s="7"/>
      <c r="F572" s="7">
        <v>564</v>
      </c>
      <c r="G572" s="48">
        <f>$AS$7*EXP(-'3.r(t)'!D570*$AS$21)</f>
        <v>0.9553476245219803</v>
      </c>
      <c r="H572" s="7">
        <f ca="1">$AS$8*EXP(-'3.r(t)'!E570*$AS$22)</f>
        <v>0.97623876452016678</v>
      </c>
      <c r="I572" s="7">
        <v>1</v>
      </c>
      <c r="J572" s="7"/>
      <c r="K572" s="7">
        <v>564</v>
      </c>
      <c r="L572" s="7">
        <f>$AT$7*EXP(-'3.r(t)'!D570*$AT$21)</f>
        <v>0.93311670519824419</v>
      </c>
      <c r="M572" s="7">
        <f ca="1">$AT$8*EXP(-'3.r(t)'!E570*$AT$22)</f>
        <v>0.9525932291319742</v>
      </c>
      <c r="N572" s="7">
        <f ca="1">$AT$9*EXP(-'3.r(t)'!F570*$AT$23)</f>
        <v>0.97562334043929644</v>
      </c>
      <c r="O572" s="7">
        <v>1</v>
      </c>
      <c r="P572" s="7"/>
      <c r="Q572" s="7">
        <v>564</v>
      </c>
      <c r="R572" s="7">
        <f>$AU$7*EXP(-'3.r(t)'!D570*$AU$21)</f>
        <v>0.91099305977534117</v>
      </c>
      <c r="S572" s="7">
        <f ca="1">$AU$8*EXP(-'3.r(t)'!E570*$AU$22)</f>
        <v>0.92909653279941096</v>
      </c>
      <c r="T572" s="7">
        <f ca="1">$AU$9*EXP(-'3.r(t)'!F570*$AU$23)</f>
        <v>0.95140101562945689</v>
      </c>
      <c r="U572" s="7">
        <f ca="1">$AU$10*EXP(-'3.r(t)'!G570*$AU$24)</f>
        <v>0.96947542476446824</v>
      </c>
      <c r="V572" s="7">
        <v>1</v>
      </c>
      <c r="W572" s="7"/>
      <c r="X572" s="7">
        <v>564</v>
      </c>
      <c r="Y572" s="7">
        <f>$AV$7*EXP(-'3.r(t)'!D570*$AV$21)</f>
        <v>0.88900715067201674</v>
      </c>
      <c r="Z572" s="7">
        <f ca="1">$AV$8*EXP(-'3.r(t)'!E570*$AV$22)</f>
        <v>0.90577975652508369</v>
      </c>
      <c r="AA572" s="7">
        <f ca="1">$AV$9*EXP(-'3.r(t)'!F570*$AV$23)</f>
        <v>0.92736521463300203</v>
      </c>
      <c r="AB572" s="7">
        <f ca="1">$AV$10*EXP(-'3.r(t)'!G570*$AV$24)</f>
        <v>0.93945657653014014</v>
      </c>
      <c r="AC572" s="7">
        <f ca="1">$AV$11*EXP(-'3.r(t)'!H570*$AV$25)</f>
        <v>0.97049782735916224</v>
      </c>
      <c r="AD572" s="7">
        <v>1</v>
      </c>
      <c r="AE572" s="7"/>
      <c r="AF572" s="7">
        <v>564</v>
      </c>
      <c r="AG572" s="7">
        <f>$AW$7*EXP(-'3.r(t)'!D570*$AW$21)</f>
        <v>0.86718755429225491</v>
      </c>
      <c r="AH572" s="7">
        <f ca="1">$AW$8*EXP(-'3.r(t)'!E570*$AW$22)</f>
        <v>0.8826719335986537</v>
      </c>
      <c r="AI572" s="7">
        <f ca="1">$AW$9*EXP(-'3.r(t)'!F570*$AW$23)</f>
        <v>0.90354600197162838</v>
      </c>
      <c r="AJ572" s="7">
        <f ca="1">$AW$10*EXP(-'3.r(t)'!G570*$AW$24)</f>
        <v>0.90996823748439215</v>
      </c>
      <c r="AK572" s="7">
        <f ca="1">$AW$11*EXP(-'3.r(t)'!H570*$AW$25)</f>
        <v>0.94144746649050448</v>
      </c>
      <c r="AL572" s="7">
        <f ca="1">$AW$12*EXP(-'3.r(t)'!I570*$AW$26)</f>
        <v>0.97065756409411053</v>
      </c>
      <c r="AM572" s="7">
        <v>1</v>
      </c>
      <c r="AN572" s="7"/>
    </row>
    <row r="573" spans="2:40">
      <c r="B573" s="7">
        <v>565</v>
      </c>
      <c r="C573" s="7">
        <f>$AR$7*EXP(-'3.r(t)'!D571*$AR$21)</f>
        <v>0.97765346695821032</v>
      </c>
      <c r="D573" s="7">
        <v>1</v>
      </c>
      <c r="E573" s="7"/>
      <c r="F573" s="7">
        <v>565</v>
      </c>
      <c r="G573" s="48">
        <f>$AS$7*EXP(-'3.r(t)'!D571*$AS$21)</f>
        <v>0.9553476245219803</v>
      </c>
      <c r="H573" s="7">
        <f ca="1">$AS$8*EXP(-'3.r(t)'!E571*$AS$22)</f>
        <v>0.97432642575453765</v>
      </c>
      <c r="I573" s="7">
        <v>1</v>
      </c>
      <c r="J573" s="7"/>
      <c r="K573" s="7">
        <v>565</v>
      </c>
      <c r="L573" s="7">
        <f>$AT$7*EXP(-'3.r(t)'!D571*$AT$21)</f>
        <v>0.93311670519824419</v>
      </c>
      <c r="M573" s="7">
        <f ca="1">$AT$8*EXP(-'3.r(t)'!E571*$AT$22)</f>
        <v>0.94886484465270182</v>
      </c>
      <c r="N573" s="7">
        <f ca="1">$AT$9*EXP(-'3.r(t)'!F571*$AT$23)</f>
        <v>0.97037263233915927</v>
      </c>
      <c r="O573" s="7">
        <v>1</v>
      </c>
      <c r="P573" s="7"/>
      <c r="Q573" s="7">
        <v>565</v>
      </c>
      <c r="R573" s="7">
        <f>$AU$7*EXP(-'3.r(t)'!D571*$AU$21)</f>
        <v>0.91099305977534117</v>
      </c>
      <c r="S573" s="7">
        <f ca="1">$AU$8*EXP(-'3.r(t)'!E571*$AU$22)</f>
        <v>0.92364724351278249</v>
      </c>
      <c r="T573" s="7">
        <f ca="1">$AU$9*EXP(-'3.r(t)'!F571*$AU$23)</f>
        <v>0.94118788092518602</v>
      </c>
      <c r="U573" s="7">
        <f ca="1">$AU$10*EXP(-'3.r(t)'!G571*$AU$24)</f>
        <v>0.96924391488440764</v>
      </c>
      <c r="V573" s="7">
        <v>1</v>
      </c>
      <c r="W573" s="7"/>
      <c r="X573" s="7">
        <v>565</v>
      </c>
      <c r="Y573" s="7">
        <f>$AV$7*EXP(-'3.r(t)'!D571*$AV$21)</f>
        <v>0.88900715067201674</v>
      </c>
      <c r="Z573" s="7">
        <f ca="1">$AV$8*EXP(-'3.r(t)'!E571*$AV$22)</f>
        <v>0.89870331251210001</v>
      </c>
      <c r="AA573" s="7">
        <f ca="1">$AV$9*EXP(-'3.r(t)'!F571*$AV$23)</f>
        <v>0.91247269011872911</v>
      </c>
      <c r="AB573" s="7">
        <f ca="1">$AV$10*EXP(-'3.r(t)'!G571*$AV$24)</f>
        <v>0.93900794729174242</v>
      </c>
      <c r="AC573" s="7">
        <f ca="1">$AV$11*EXP(-'3.r(t)'!H571*$AV$25)</f>
        <v>0.97107482417158175</v>
      </c>
      <c r="AD573" s="7">
        <v>1</v>
      </c>
      <c r="AE573" s="7"/>
      <c r="AF573" s="7">
        <v>565</v>
      </c>
      <c r="AG573" s="7">
        <f>$AW$7*EXP(-'3.r(t)'!D571*$AW$21)</f>
        <v>0.86718755429225491</v>
      </c>
      <c r="AH573" s="7">
        <f ca="1">$AW$8*EXP(-'3.r(t)'!E571*$AW$22)</f>
        <v>0.87406047658824626</v>
      </c>
      <c r="AI573" s="7">
        <f ca="1">$AW$9*EXP(-'3.r(t)'!F571*$AW$23)</f>
        <v>0.88425128577357992</v>
      </c>
      <c r="AJ573" s="7">
        <f ca="1">$AW$10*EXP(-'3.r(t)'!G571*$AW$24)</f>
        <v>0.90931649429688477</v>
      </c>
      <c r="AK573" s="7">
        <f ca="1">$AW$11*EXP(-'3.r(t)'!H571*$AW$25)</f>
        <v>0.94256724986716789</v>
      </c>
      <c r="AL573" s="7">
        <f ca="1">$AW$12*EXP(-'3.r(t)'!I571*$AW$26)</f>
        <v>0.97067251441183966</v>
      </c>
      <c r="AM573" s="7">
        <v>1</v>
      </c>
      <c r="AN573" s="7"/>
    </row>
    <row r="574" spans="2:40">
      <c r="B574" s="7">
        <v>566</v>
      </c>
      <c r="C574" s="7">
        <f>$AR$7*EXP(-'3.r(t)'!D572*$AR$21)</f>
        <v>0.97765346695821032</v>
      </c>
      <c r="D574" s="7">
        <v>1</v>
      </c>
      <c r="E574" s="7"/>
      <c r="F574" s="7">
        <v>566</v>
      </c>
      <c r="G574" s="48">
        <f>$AS$7*EXP(-'3.r(t)'!D572*$AS$21)</f>
        <v>0.9553476245219803</v>
      </c>
      <c r="H574" s="7">
        <f ca="1">$AS$8*EXP(-'3.r(t)'!E572*$AS$22)</f>
        <v>0.97579628579588895</v>
      </c>
      <c r="I574" s="7">
        <v>1</v>
      </c>
      <c r="J574" s="7"/>
      <c r="K574" s="7">
        <v>566</v>
      </c>
      <c r="L574" s="7">
        <f>$AT$7*EXP(-'3.r(t)'!D572*$AT$21)</f>
        <v>0.93311670519824419</v>
      </c>
      <c r="M574" s="7">
        <f ca="1">$AT$8*EXP(-'3.r(t)'!E572*$AT$22)</f>
        <v>0.9517299019839941</v>
      </c>
      <c r="N574" s="7">
        <f ca="1">$AT$9*EXP(-'3.r(t)'!F572*$AT$23)</f>
        <v>0.97278159707596246</v>
      </c>
      <c r="O574" s="7">
        <v>1</v>
      </c>
      <c r="P574" s="7"/>
      <c r="Q574" s="7">
        <v>566</v>
      </c>
      <c r="R574" s="7">
        <f>$AU$7*EXP(-'3.r(t)'!D572*$AU$21)</f>
        <v>0.91099305977534117</v>
      </c>
      <c r="S574" s="7">
        <f ca="1">$AU$8*EXP(-'3.r(t)'!E572*$AU$22)</f>
        <v>0.92783377057749838</v>
      </c>
      <c r="T574" s="7">
        <f ca="1">$AU$9*EXP(-'3.r(t)'!F572*$AU$23)</f>
        <v>0.94586670765441005</v>
      </c>
      <c r="U574" s="7">
        <f ca="1">$AU$10*EXP(-'3.r(t)'!G572*$AU$24)</f>
        <v>0.97358461908925908</v>
      </c>
      <c r="V574" s="7">
        <v>1</v>
      </c>
      <c r="W574" s="7"/>
      <c r="X574" s="7">
        <v>566</v>
      </c>
      <c r="Y574" s="7">
        <f>$AV$7*EXP(-'3.r(t)'!D572*$AV$21)</f>
        <v>0.88900715067201674</v>
      </c>
      <c r="Z574" s="7">
        <f ca="1">$AV$8*EXP(-'3.r(t)'!E572*$AV$22)</f>
        <v>0.90413869950902814</v>
      </c>
      <c r="AA574" s="7">
        <f ca="1">$AV$9*EXP(-'3.r(t)'!F572*$AV$23)</f>
        <v>0.9192852562253081</v>
      </c>
      <c r="AB574" s="7">
        <f ca="1">$AV$10*EXP(-'3.r(t)'!G572*$AV$24)</f>
        <v>0.94743736872306572</v>
      </c>
      <c r="AC574" s="7">
        <f ca="1">$AV$11*EXP(-'3.r(t)'!H572*$AV$25)</f>
        <v>0.97214168449670646</v>
      </c>
      <c r="AD574" s="7">
        <v>1</v>
      </c>
      <c r="AE574" s="7"/>
      <c r="AF574" s="7">
        <v>566</v>
      </c>
      <c r="AG574" s="7">
        <f>$AW$7*EXP(-'3.r(t)'!D572*$AW$21)</f>
        <v>0.86718755429225491</v>
      </c>
      <c r="AH574" s="7">
        <f ca="1">$AW$8*EXP(-'3.r(t)'!E572*$AW$22)</f>
        <v>0.88067339757914942</v>
      </c>
      <c r="AI574" s="7">
        <f ca="1">$AW$9*EXP(-'3.r(t)'!F572*$AW$23)</f>
        <v>0.89306470590134002</v>
      </c>
      <c r="AJ574" s="7">
        <f ca="1">$AW$10*EXP(-'3.r(t)'!G572*$AW$24)</f>
        <v>0.9215882568703514</v>
      </c>
      <c r="AK574" s="7">
        <f ca="1">$AW$11*EXP(-'3.r(t)'!H572*$AW$25)</f>
        <v>0.94463946915717378</v>
      </c>
      <c r="AL574" s="7">
        <f ca="1">$AW$12*EXP(-'3.r(t)'!I572*$AW$26)</f>
        <v>0.97347255780094333</v>
      </c>
      <c r="AM574" s="7">
        <v>1</v>
      </c>
      <c r="AN574" s="7"/>
    </row>
    <row r="575" spans="2:40">
      <c r="B575" s="7">
        <v>567</v>
      </c>
      <c r="C575" s="7">
        <f>$AR$7*EXP(-'3.r(t)'!D573*$AR$21)</f>
        <v>0.97765346695821032</v>
      </c>
      <c r="D575" s="7">
        <v>1</v>
      </c>
      <c r="E575" s="7"/>
      <c r="F575" s="7">
        <v>567</v>
      </c>
      <c r="G575" s="48">
        <f>$AS$7*EXP(-'3.r(t)'!D573*$AS$21)</f>
        <v>0.9553476245219803</v>
      </c>
      <c r="H575" s="7">
        <f ca="1">$AS$8*EXP(-'3.r(t)'!E573*$AS$22)</f>
        <v>0.97577889695868347</v>
      </c>
      <c r="I575" s="7">
        <v>1</v>
      </c>
      <c r="J575" s="7"/>
      <c r="K575" s="7">
        <v>567</v>
      </c>
      <c r="L575" s="7">
        <f>$AT$7*EXP(-'3.r(t)'!D573*$AT$21)</f>
        <v>0.93311670519824419</v>
      </c>
      <c r="M575" s="7">
        <f ca="1">$AT$8*EXP(-'3.r(t)'!E573*$AT$22)</f>
        <v>0.95169598234500163</v>
      </c>
      <c r="N575" s="7">
        <f ca="1">$AT$9*EXP(-'3.r(t)'!F573*$AT$23)</f>
        <v>0.97434856063734054</v>
      </c>
      <c r="O575" s="7">
        <v>1</v>
      </c>
      <c r="P575" s="7"/>
      <c r="Q575" s="7">
        <v>567</v>
      </c>
      <c r="R575" s="7">
        <f>$AU$7*EXP(-'3.r(t)'!D573*$AU$21)</f>
        <v>0.91099305977534117</v>
      </c>
      <c r="S575" s="7">
        <f ca="1">$AU$8*EXP(-'3.r(t)'!E573*$AU$22)</f>
        <v>0.92778416904759631</v>
      </c>
      <c r="T575" s="7">
        <f ca="1">$AU$9*EXP(-'3.r(t)'!F573*$AU$23)</f>
        <v>0.94891637962406972</v>
      </c>
      <c r="U575" s="7">
        <f ca="1">$AU$10*EXP(-'3.r(t)'!G573*$AU$24)</f>
        <v>0.97133535920011116</v>
      </c>
      <c r="V575" s="7">
        <v>1</v>
      </c>
      <c r="W575" s="7"/>
      <c r="X575" s="7">
        <v>567</v>
      </c>
      <c r="Y575" s="7">
        <f>$AV$7*EXP(-'3.r(t)'!D573*$AV$21)</f>
        <v>0.88900715067201674</v>
      </c>
      <c r="Z575" s="7">
        <f ca="1">$AV$8*EXP(-'3.r(t)'!E573*$AV$22)</f>
        <v>0.90407425367892857</v>
      </c>
      <c r="AA575" s="7">
        <f ca="1">$AV$9*EXP(-'3.r(t)'!F573*$AV$23)</f>
        <v>0.92373478969262546</v>
      </c>
      <c r="AB575" s="7">
        <f ca="1">$AV$10*EXP(-'3.r(t)'!G573*$AV$24)</f>
        <v>0.94306472112686557</v>
      </c>
      <c r="AC575" s="7">
        <f ca="1">$AV$11*EXP(-'3.r(t)'!H573*$AV$25)</f>
        <v>0.96615208423306798</v>
      </c>
      <c r="AD575" s="7">
        <v>1</v>
      </c>
      <c r="AE575" s="7"/>
      <c r="AF575" s="7">
        <v>567</v>
      </c>
      <c r="AG575" s="7">
        <f>$AW$7*EXP(-'3.r(t)'!D573*$AW$21)</f>
        <v>0.86718755429225491</v>
      </c>
      <c r="AH575" s="7">
        <f ca="1">$AW$8*EXP(-'3.r(t)'!E573*$AW$22)</f>
        <v>0.88059493171089942</v>
      </c>
      <c r="AI575" s="7">
        <f ca="1">$AW$9*EXP(-'3.r(t)'!F573*$AW$23)</f>
        <v>0.8988328443355087</v>
      </c>
      <c r="AJ575" s="7">
        <f ca="1">$AW$10*EXP(-'3.r(t)'!G573*$AW$24)</f>
        <v>0.91521560212533959</v>
      </c>
      <c r="AK575" s="7">
        <f ca="1">$AW$11*EXP(-'3.r(t)'!H573*$AW$25)</f>
        <v>0.93303502361160062</v>
      </c>
      <c r="AL575" s="7">
        <f ca="1">$AW$12*EXP(-'3.r(t)'!I573*$AW$26)</f>
        <v>0.96450237466483202</v>
      </c>
      <c r="AM575" s="7">
        <v>1</v>
      </c>
      <c r="AN575" s="7"/>
    </row>
    <row r="576" spans="2:40">
      <c r="B576" s="7">
        <v>568</v>
      </c>
      <c r="C576" s="7">
        <f>$AR$7*EXP(-'3.r(t)'!D574*$AR$21)</f>
        <v>0.97765346695821032</v>
      </c>
      <c r="D576" s="7">
        <v>1</v>
      </c>
      <c r="E576" s="7"/>
      <c r="F576" s="7">
        <v>568</v>
      </c>
      <c r="G576" s="48">
        <f>$AS$7*EXP(-'3.r(t)'!D574*$AS$21)</f>
        <v>0.9553476245219803</v>
      </c>
      <c r="H576" s="7">
        <f ca="1">$AS$8*EXP(-'3.r(t)'!E574*$AS$22)</f>
        <v>0.97754352380394216</v>
      </c>
      <c r="I576" s="7">
        <v>1</v>
      </c>
      <c r="J576" s="7"/>
      <c r="K576" s="7">
        <v>568</v>
      </c>
      <c r="L576" s="7">
        <f>$AT$7*EXP(-'3.r(t)'!D574*$AT$21)</f>
        <v>0.93311670519824419</v>
      </c>
      <c r="M576" s="7">
        <f ca="1">$AT$8*EXP(-'3.r(t)'!E574*$AT$22)</f>
        <v>0.95514124399481715</v>
      </c>
      <c r="N576" s="7">
        <f ca="1">$AT$9*EXP(-'3.r(t)'!F574*$AT$23)</f>
        <v>0.97972264278774968</v>
      </c>
      <c r="O576" s="7">
        <v>1</v>
      </c>
      <c r="P576" s="7"/>
      <c r="Q576" s="7">
        <v>568</v>
      </c>
      <c r="R576" s="7">
        <f>$AU$7*EXP(-'3.r(t)'!D574*$AU$21)</f>
        <v>0.91099305977534117</v>
      </c>
      <c r="S576" s="7">
        <f ca="1">$AU$8*EXP(-'3.r(t)'!E574*$AU$22)</f>
        <v>0.93282677261752733</v>
      </c>
      <c r="T576" s="7">
        <f ca="1">$AU$9*EXP(-'3.r(t)'!F574*$AU$23)</f>
        <v>0.95941286567675566</v>
      </c>
      <c r="U576" s="7">
        <f ca="1">$AU$10*EXP(-'3.r(t)'!G574*$AU$24)</f>
        <v>0.98157830619012765</v>
      </c>
      <c r="V576" s="7">
        <v>1</v>
      </c>
      <c r="W576" s="7"/>
      <c r="X576" s="7">
        <v>568</v>
      </c>
      <c r="Y576" s="7">
        <f>$AV$7*EXP(-'3.r(t)'!D574*$AV$21)</f>
        <v>0.88900715067201674</v>
      </c>
      <c r="Z576" s="7">
        <f ca="1">$AV$8*EXP(-'3.r(t)'!E574*$AV$22)</f>
        <v>0.91063183162524031</v>
      </c>
      <c r="AA576" s="7">
        <f ca="1">$AV$9*EXP(-'3.r(t)'!F574*$AV$23)</f>
        <v>0.93910400466653732</v>
      </c>
      <c r="AB576" s="7">
        <f ca="1">$AV$10*EXP(-'3.r(t)'!G574*$AV$24)</f>
        <v>0.96305924520494568</v>
      </c>
      <c r="AC576" s="7">
        <f ca="1">$AV$11*EXP(-'3.r(t)'!H574*$AV$25)</f>
        <v>0.9820597895528953</v>
      </c>
      <c r="AD576" s="7">
        <v>1</v>
      </c>
      <c r="AE576" s="7"/>
      <c r="AF576" s="7">
        <v>568</v>
      </c>
      <c r="AG576" s="7">
        <f>$AW$7*EXP(-'3.r(t)'!D574*$AW$21)</f>
        <v>0.86718755429225491</v>
      </c>
      <c r="AH576" s="7">
        <f ca="1">$AW$8*EXP(-'3.r(t)'!E574*$AW$22)</f>
        <v>0.88858624996705182</v>
      </c>
      <c r="AI576" s="7">
        <f ca="1">$AW$9*EXP(-'3.r(t)'!F574*$AW$23)</f>
        <v>0.91882779266396619</v>
      </c>
      <c r="AJ576" s="7">
        <f ca="1">$AW$10*EXP(-'3.r(t)'!G574*$AW$24)</f>
        <v>0.94447545104192576</v>
      </c>
      <c r="AK576" s="7">
        <f ca="1">$AW$11*EXP(-'3.r(t)'!H574*$AW$25)</f>
        <v>0.9640128313041022</v>
      </c>
      <c r="AL576" s="7">
        <f ca="1">$AW$12*EXP(-'3.r(t)'!I574*$AW$26)</f>
        <v>0.98164626613714179</v>
      </c>
      <c r="AM576" s="7">
        <v>1</v>
      </c>
      <c r="AN576" s="7"/>
    </row>
    <row r="577" spans="2:40">
      <c r="B577" s="7">
        <v>569</v>
      </c>
      <c r="C577" s="7">
        <f>$AR$7*EXP(-'3.r(t)'!D575*$AR$21)</f>
        <v>0.97765346695821032</v>
      </c>
      <c r="D577" s="7">
        <v>1</v>
      </c>
      <c r="E577" s="7"/>
      <c r="F577" s="7">
        <v>569</v>
      </c>
      <c r="G577" s="48">
        <f>$AS$7*EXP(-'3.r(t)'!D575*$AS$21)</f>
        <v>0.9553476245219803</v>
      </c>
      <c r="H577" s="7">
        <f ca="1">$AS$8*EXP(-'3.r(t)'!E575*$AS$22)</f>
        <v>0.97902116461639233</v>
      </c>
      <c r="I577" s="7">
        <v>1</v>
      </c>
      <c r="J577" s="7"/>
      <c r="K577" s="7">
        <v>569</v>
      </c>
      <c r="L577" s="7">
        <f>$AT$7*EXP(-'3.r(t)'!D575*$AT$21)</f>
        <v>0.93311670519824419</v>
      </c>
      <c r="M577" s="7">
        <f ca="1">$AT$8*EXP(-'3.r(t)'!E575*$AT$22)</f>
        <v>0.95803098208201798</v>
      </c>
      <c r="N577" s="7">
        <f ca="1">$AT$9*EXP(-'3.r(t)'!F575*$AT$23)</f>
        <v>0.97826455512792077</v>
      </c>
      <c r="O577" s="7">
        <v>1</v>
      </c>
      <c r="P577" s="7"/>
      <c r="Q577" s="7">
        <v>569</v>
      </c>
      <c r="R577" s="7">
        <f>$AU$7*EXP(-'3.r(t)'!D575*$AU$21)</f>
        <v>0.91099305977534117</v>
      </c>
      <c r="S577" s="7">
        <f ca="1">$AU$8*EXP(-'3.r(t)'!E575*$AU$22)</f>
        <v>0.93706331289506795</v>
      </c>
      <c r="T577" s="7">
        <f ca="1">$AU$9*EXP(-'3.r(t)'!F575*$AU$23)</f>
        <v>0.95655926808577652</v>
      </c>
      <c r="U577" s="7">
        <f ca="1">$AU$10*EXP(-'3.r(t)'!G575*$AU$24)</f>
        <v>0.9785368241443454</v>
      </c>
      <c r="V577" s="7">
        <v>1</v>
      </c>
      <c r="W577" s="7"/>
      <c r="X577" s="7">
        <v>569</v>
      </c>
      <c r="Y577" s="7">
        <f>$AV$7*EXP(-'3.r(t)'!D575*$AV$21)</f>
        <v>0.88900715067201674</v>
      </c>
      <c r="Z577" s="7">
        <f ca="1">$AV$8*EXP(-'3.r(t)'!E575*$AV$22)</f>
        <v>0.91615032060061152</v>
      </c>
      <c r="AA577" s="7">
        <f ca="1">$AV$9*EXP(-'3.r(t)'!F575*$AV$23)</f>
        <v>0.93491733273879019</v>
      </c>
      <c r="AB577" s="7">
        <f ca="1">$AV$10*EXP(-'3.r(t)'!G575*$AV$24)</f>
        <v>0.95710029248107931</v>
      </c>
      <c r="AC577" s="7">
        <f ca="1">$AV$11*EXP(-'3.r(t)'!H575*$AV$25)</f>
        <v>0.97539543667461148</v>
      </c>
      <c r="AD577" s="7">
        <v>1</v>
      </c>
      <c r="AE577" s="7"/>
      <c r="AF577" s="7">
        <v>569</v>
      </c>
      <c r="AG577" s="7">
        <f>$AW$7*EXP(-'3.r(t)'!D575*$AW$21)</f>
        <v>0.86718755429225491</v>
      </c>
      <c r="AH577" s="7">
        <f ca="1">$AW$8*EXP(-'3.r(t)'!E575*$AW$22)</f>
        <v>0.89532245525721843</v>
      </c>
      <c r="AI577" s="7">
        <f ca="1">$AW$9*EXP(-'3.r(t)'!F575*$AW$23)</f>
        <v>0.91337015165729729</v>
      </c>
      <c r="AJ577" s="7">
        <f ca="1">$AW$10*EXP(-'3.r(t)'!G575*$AW$24)</f>
        <v>0.93572307737524651</v>
      </c>
      <c r="AK577" s="7">
        <f ca="1">$AW$11*EXP(-'3.r(t)'!H575*$AW$25)</f>
        <v>0.9509734562236567</v>
      </c>
      <c r="AL577" s="7">
        <f ca="1">$AW$12*EXP(-'3.r(t)'!I575*$AW$26)</f>
        <v>0.97622404711421951</v>
      </c>
      <c r="AM577" s="7">
        <v>1</v>
      </c>
      <c r="AN577" s="7"/>
    </row>
    <row r="578" spans="2:40">
      <c r="B578" s="7">
        <v>570</v>
      </c>
      <c r="C578" s="7">
        <f>$AR$7*EXP(-'3.r(t)'!D576*$AR$21)</f>
        <v>0.97765346695821032</v>
      </c>
      <c r="D578" s="7">
        <v>1</v>
      </c>
      <c r="E578" s="7"/>
      <c r="F578" s="7">
        <v>570</v>
      </c>
      <c r="G578" s="48">
        <f>$AS$7*EXP(-'3.r(t)'!D576*$AS$21)</f>
        <v>0.9553476245219803</v>
      </c>
      <c r="H578" s="7">
        <f ca="1">$AS$8*EXP(-'3.r(t)'!E576*$AS$22)</f>
        <v>0.97795032856950714</v>
      </c>
      <c r="I578" s="7">
        <v>1</v>
      </c>
      <c r="J578" s="7"/>
      <c r="K578" s="7">
        <v>570</v>
      </c>
      <c r="L578" s="7">
        <f>$AT$7*EXP(-'3.r(t)'!D576*$AT$21)</f>
        <v>0.93311670519824419</v>
      </c>
      <c r="M578" s="7">
        <f ca="1">$AT$8*EXP(-'3.r(t)'!E576*$AT$22)</f>
        <v>0.95593637351934191</v>
      </c>
      <c r="N578" s="7">
        <f ca="1">$AT$9*EXP(-'3.r(t)'!F576*$AT$23)</f>
        <v>0.97702896353702029</v>
      </c>
      <c r="O578" s="7">
        <v>1</v>
      </c>
      <c r="P578" s="7"/>
      <c r="Q578" s="7">
        <v>570</v>
      </c>
      <c r="R578" s="7">
        <f>$AU$7*EXP(-'3.r(t)'!D576*$AU$21)</f>
        <v>0.91099305977534117</v>
      </c>
      <c r="S578" s="7">
        <f ca="1">$AU$8*EXP(-'3.r(t)'!E576*$AU$22)</f>
        <v>0.93399184499276167</v>
      </c>
      <c r="T578" s="7">
        <f ca="1">$AU$9*EXP(-'3.r(t)'!F576*$AU$23)</f>
        <v>0.95414444036851831</v>
      </c>
      <c r="U578" s="7">
        <f ca="1">$AU$10*EXP(-'3.r(t)'!G576*$AU$24)</f>
        <v>0.9769904545704744</v>
      </c>
      <c r="V578" s="7">
        <v>1</v>
      </c>
      <c r="W578" s="7"/>
      <c r="X578" s="7">
        <v>570</v>
      </c>
      <c r="Y578" s="7">
        <f>$AV$7*EXP(-'3.r(t)'!D576*$AV$21)</f>
        <v>0.88900715067201674</v>
      </c>
      <c r="Z578" s="7">
        <f ca="1">$AV$8*EXP(-'3.r(t)'!E576*$AV$22)</f>
        <v>0.91214861596348717</v>
      </c>
      <c r="AA578" s="7">
        <f ca="1">$AV$9*EXP(-'3.r(t)'!F576*$AV$23)</f>
        <v>0.93137927885300686</v>
      </c>
      <c r="AB578" s="7">
        <f ca="1">$AV$10*EXP(-'3.r(t)'!G576*$AV$24)</f>
        <v>0.95407769527709985</v>
      </c>
      <c r="AC578" s="7">
        <f ca="1">$AV$11*EXP(-'3.r(t)'!H576*$AV$25)</f>
        <v>0.97921936201858584</v>
      </c>
      <c r="AD578" s="7">
        <v>1</v>
      </c>
      <c r="AE578" s="7"/>
      <c r="AF578" s="7">
        <v>570</v>
      </c>
      <c r="AG578" s="7">
        <f>$AW$7*EXP(-'3.r(t)'!D576*$AW$21)</f>
        <v>0.86718755429225491</v>
      </c>
      <c r="AH578" s="7">
        <f ca="1">$AW$8*EXP(-'3.r(t)'!E576*$AW$22)</f>
        <v>0.89043671543626013</v>
      </c>
      <c r="AI578" s="7">
        <f ca="1">$AW$9*EXP(-'3.r(t)'!F576*$AW$23)</f>
        <v>0.90876437848569158</v>
      </c>
      <c r="AJ578" s="7">
        <f ca="1">$AW$10*EXP(-'3.r(t)'!G576*$AW$24)</f>
        <v>0.93129394942394694</v>
      </c>
      <c r="AK578" s="7">
        <f ca="1">$AW$11*EXP(-'3.r(t)'!H576*$AW$25)</f>
        <v>0.9584444357015407</v>
      </c>
      <c r="AL578" s="7">
        <f ca="1">$AW$12*EXP(-'3.r(t)'!I576*$AW$26)</f>
        <v>0.9835617309838699</v>
      </c>
      <c r="AM578" s="7">
        <v>1</v>
      </c>
      <c r="AN578" s="7"/>
    </row>
    <row r="579" spans="2:40">
      <c r="B579" s="7">
        <v>571</v>
      </c>
      <c r="C579" s="7">
        <f>$AR$7*EXP(-'3.r(t)'!D577*$AR$21)</f>
        <v>0.97765346695821032</v>
      </c>
      <c r="D579" s="7">
        <v>1</v>
      </c>
      <c r="E579" s="7"/>
      <c r="F579" s="7">
        <v>571</v>
      </c>
      <c r="G579" s="48">
        <f>$AS$7*EXP(-'3.r(t)'!D577*$AS$21)</f>
        <v>0.9553476245219803</v>
      </c>
      <c r="H579" s="7">
        <f ca="1">$AS$8*EXP(-'3.r(t)'!E577*$AS$22)</f>
        <v>0.98001257899779526</v>
      </c>
      <c r="I579" s="7">
        <v>1</v>
      </c>
      <c r="J579" s="7"/>
      <c r="K579" s="7">
        <v>571</v>
      </c>
      <c r="L579" s="7">
        <f>$AT$7*EXP(-'3.r(t)'!D577*$AT$21)</f>
        <v>0.93311670519824419</v>
      </c>
      <c r="M579" s="7">
        <f ca="1">$AT$8*EXP(-'3.r(t)'!E577*$AT$22)</f>
        <v>0.95997228149892477</v>
      </c>
      <c r="N579" s="7">
        <f ca="1">$AT$9*EXP(-'3.r(t)'!F577*$AT$23)</f>
        <v>0.9817745128152584</v>
      </c>
      <c r="O579" s="7">
        <v>1</v>
      </c>
      <c r="P579" s="7"/>
      <c r="Q579" s="7">
        <v>571</v>
      </c>
      <c r="R579" s="7">
        <f>$AU$7*EXP(-'3.r(t)'!D577*$AU$21)</f>
        <v>0.91099305977534117</v>
      </c>
      <c r="S579" s="7">
        <f ca="1">$AU$8*EXP(-'3.r(t)'!E577*$AU$22)</f>
        <v>0.93991297286406028</v>
      </c>
      <c r="T579" s="7">
        <f ca="1">$AU$9*EXP(-'3.r(t)'!F577*$AU$23)</f>
        <v>0.96343574289452671</v>
      </c>
      <c r="U579" s="7">
        <f ca="1">$AU$10*EXP(-'3.r(t)'!G577*$AU$24)</f>
        <v>0.98001070282809311</v>
      </c>
      <c r="V579" s="7">
        <v>1</v>
      </c>
      <c r="W579" s="7"/>
      <c r="X579" s="7">
        <v>571</v>
      </c>
      <c r="Y579" s="7">
        <f>$AV$7*EXP(-'3.r(t)'!D577*$AV$21)</f>
        <v>0.88900715067201674</v>
      </c>
      <c r="Z579" s="7">
        <f ca="1">$AV$8*EXP(-'3.r(t)'!E577*$AV$22)</f>
        <v>0.91986695203405067</v>
      </c>
      <c r="AA579" s="7">
        <f ca="1">$AV$9*EXP(-'3.r(t)'!F577*$AV$23)</f>
        <v>0.94501677338083923</v>
      </c>
      <c r="AB579" s="7">
        <f ca="1">$AV$10*EXP(-'3.r(t)'!G577*$AV$24)</f>
        <v>0.95998564548868537</v>
      </c>
      <c r="AC579" s="7">
        <f ca="1">$AV$11*EXP(-'3.r(t)'!H577*$AV$25)</f>
        <v>0.9812257178583802</v>
      </c>
      <c r="AD579" s="7">
        <v>1</v>
      </c>
      <c r="AE579" s="7"/>
      <c r="AF579" s="7">
        <v>571</v>
      </c>
      <c r="AG579" s="7">
        <f>$AW$7*EXP(-'3.r(t)'!D577*$AW$21)</f>
        <v>0.86718755429225491</v>
      </c>
      <c r="AH579" s="7">
        <f ca="1">$AW$8*EXP(-'3.r(t)'!E577*$AW$22)</f>
        <v>0.899864926633694</v>
      </c>
      <c r="AI579" s="7">
        <f ca="1">$AW$9*EXP(-'3.r(t)'!F577*$AW$23)</f>
        <v>0.92654935029413465</v>
      </c>
      <c r="AJ579" s="7">
        <f ca="1">$AW$10*EXP(-'3.r(t)'!G577*$AW$24)</f>
        <v>0.93995762608043099</v>
      </c>
      <c r="AK579" s="7">
        <f ca="1">$AW$11*EXP(-'3.r(t)'!H577*$AW$25)</f>
        <v>0.96237603815039852</v>
      </c>
      <c r="AL579" s="7">
        <f ca="1">$AW$12*EXP(-'3.r(t)'!I577*$AW$26)</f>
        <v>0.97968313875787205</v>
      </c>
      <c r="AM579" s="7">
        <v>1</v>
      </c>
      <c r="AN579" s="7"/>
    </row>
    <row r="580" spans="2:40">
      <c r="B580" s="7">
        <v>572</v>
      </c>
      <c r="C580" s="7">
        <f>$AR$7*EXP(-'3.r(t)'!D578*$AR$21)</f>
        <v>0.97765346695821032</v>
      </c>
      <c r="D580" s="7">
        <v>1</v>
      </c>
      <c r="E580" s="7"/>
      <c r="F580" s="7">
        <v>572</v>
      </c>
      <c r="G580" s="48">
        <f>$AS$7*EXP(-'3.r(t)'!D578*$AS$21)</f>
        <v>0.9553476245219803</v>
      </c>
      <c r="H580" s="7">
        <f ca="1">$AS$8*EXP(-'3.r(t)'!E578*$AS$22)</f>
        <v>0.97782003436220233</v>
      </c>
      <c r="I580" s="7">
        <v>1</v>
      </c>
      <c r="J580" s="7"/>
      <c r="K580" s="7">
        <v>572</v>
      </c>
      <c r="L580" s="7">
        <f>$AT$7*EXP(-'3.r(t)'!D578*$AT$21)</f>
        <v>0.93311670519824419</v>
      </c>
      <c r="M580" s="7">
        <f ca="1">$AT$8*EXP(-'3.r(t)'!E578*$AT$22)</f>
        <v>0.95568166799664422</v>
      </c>
      <c r="N580" s="7">
        <f ca="1">$AT$9*EXP(-'3.r(t)'!F578*$AT$23)</f>
        <v>0.97713437522676316</v>
      </c>
      <c r="O580" s="7">
        <v>1</v>
      </c>
      <c r="P580" s="7"/>
      <c r="Q580" s="7">
        <v>572</v>
      </c>
      <c r="R580" s="7">
        <f>$AU$7*EXP(-'3.r(t)'!D578*$AU$21)</f>
        <v>0.91099305977534117</v>
      </c>
      <c r="S580" s="7">
        <f ca="1">$AU$8*EXP(-'3.r(t)'!E578*$AU$22)</f>
        <v>0.93361858212629034</v>
      </c>
      <c r="T580" s="7">
        <f ca="1">$AU$9*EXP(-'3.r(t)'!F578*$AU$23)</f>
        <v>0.95435033683045056</v>
      </c>
      <c r="U580" s="7">
        <f ca="1">$AU$10*EXP(-'3.r(t)'!G578*$AU$24)</f>
        <v>0.97746827574283746</v>
      </c>
      <c r="V580" s="7">
        <v>1</v>
      </c>
      <c r="W580" s="7"/>
      <c r="X580" s="7">
        <v>572</v>
      </c>
      <c r="Y580" s="7">
        <f>$AV$7*EXP(-'3.r(t)'!D578*$AV$21)</f>
        <v>0.88900715067201674</v>
      </c>
      <c r="Z580" s="7">
        <f ca="1">$AV$8*EXP(-'3.r(t)'!E578*$AV$22)</f>
        <v>0.91166260382957365</v>
      </c>
      <c r="AA580" s="7">
        <f ca="1">$AV$9*EXP(-'3.r(t)'!F578*$AV$23)</f>
        <v>0.9316807710095667</v>
      </c>
      <c r="AB580" s="7">
        <f ca="1">$AV$10*EXP(-'3.r(t)'!G578*$AV$24)</f>
        <v>0.95501115373627421</v>
      </c>
      <c r="AC580" s="7">
        <f ca="1">$AV$11*EXP(-'3.r(t)'!H578*$AV$25)</f>
        <v>0.97800286883572352</v>
      </c>
      <c r="AD580" s="7">
        <v>1</v>
      </c>
      <c r="AE580" s="7"/>
      <c r="AF580" s="7">
        <v>572</v>
      </c>
      <c r="AG580" s="7">
        <f>$AW$7*EXP(-'3.r(t)'!D578*$AW$21)</f>
        <v>0.86718755429225491</v>
      </c>
      <c r="AH580" s="7">
        <f ca="1">$AW$8*EXP(-'3.r(t)'!E578*$AW$22)</f>
        <v>0.88984370047465744</v>
      </c>
      <c r="AI580" s="7">
        <f ca="1">$AW$9*EXP(-'3.r(t)'!F578*$AW$23)</f>
        <v>0.90915662844468004</v>
      </c>
      <c r="AJ580" s="7">
        <f ca="1">$AW$10*EXP(-'3.r(t)'!G578*$AW$24)</f>
        <v>0.93266103433569947</v>
      </c>
      <c r="AK580" s="7">
        <f ca="1">$AW$11*EXP(-'3.r(t)'!H578*$AW$25)</f>
        <v>0.95606454629634485</v>
      </c>
      <c r="AL580" s="7">
        <f ca="1">$AW$12*EXP(-'3.r(t)'!I578*$AW$26)</f>
        <v>0.97559378397296148</v>
      </c>
      <c r="AM580" s="7">
        <v>1</v>
      </c>
      <c r="AN580" s="7"/>
    </row>
    <row r="581" spans="2:40">
      <c r="B581" s="7">
        <v>573</v>
      </c>
      <c r="C581" s="7">
        <f>$AR$7*EXP(-'3.r(t)'!D579*$AR$21)</f>
        <v>0.97765346695821032</v>
      </c>
      <c r="D581" s="7">
        <v>1</v>
      </c>
      <c r="E581" s="7"/>
      <c r="F581" s="7">
        <v>573</v>
      </c>
      <c r="G581" s="48">
        <f>$AS$7*EXP(-'3.r(t)'!D579*$AS$21)</f>
        <v>0.9553476245219803</v>
      </c>
      <c r="H581" s="7">
        <f ca="1">$AS$8*EXP(-'3.r(t)'!E579*$AS$22)</f>
        <v>0.97556535613378592</v>
      </c>
      <c r="I581" s="7">
        <v>1</v>
      </c>
      <c r="J581" s="7"/>
      <c r="K581" s="7">
        <v>573</v>
      </c>
      <c r="L581" s="7">
        <f>$AT$7*EXP(-'3.r(t)'!D579*$AT$21)</f>
        <v>0.93311670519824419</v>
      </c>
      <c r="M581" s="7">
        <f ca="1">$AT$8*EXP(-'3.r(t)'!E579*$AT$22)</f>
        <v>0.95127948695115916</v>
      </c>
      <c r="N581" s="7">
        <f ca="1">$AT$9*EXP(-'3.r(t)'!F579*$AT$23)</f>
        <v>0.97487823524664829</v>
      </c>
      <c r="O581" s="7">
        <v>1</v>
      </c>
      <c r="P581" s="7"/>
      <c r="Q581" s="7">
        <v>573</v>
      </c>
      <c r="R581" s="7">
        <f>$AU$7*EXP(-'3.r(t)'!D579*$AU$21)</f>
        <v>0.91099305977534117</v>
      </c>
      <c r="S581" s="7">
        <f ca="1">$AU$8*EXP(-'3.r(t)'!E579*$AU$22)</f>
        <v>0.92717518956335843</v>
      </c>
      <c r="T581" s="7">
        <f ca="1">$AU$9*EXP(-'3.r(t)'!F579*$AU$23)</f>
        <v>0.94994835842316094</v>
      </c>
      <c r="U581" s="7">
        <f ca="1">$AU$10*EXP(-'3.r(t)'!G579*$AU$24)</f>
        <v>0.97054088015694484</v>
      </c>
      <c r="V581" s="7">
        <v>1</v>
      </c>
      <c r="W581" s="7"/>
      <c r="X581" s="7">
        <v>573</v>
      </c>
      <c r="Y581" s="7">
        <f>$AV$7*EXP(-'3.r(t)'!D579*$AV$21)</f>
        <v>0.88900715067201674</v>
      </c>
      <c r="Z581" s="7">
        <f ca="1">$AV$8*EXP(-'3.r(t)'!E579*$AV$22)</f>
        <v>0.90328311790615667</v>
      </c>
      <c r="AA581" s="7">
        <f ca="1">$AV$9*EXP(-'3.r(t)'!F579*$AV$23)</f>
        <v>0.92524208876363268</v>
      </c>
      <c r="AB581" s="7">
        <f ca="1">$AV$10*EXP(-'3.r(t)'!G579*$AV$24)</f>
        <v>0.94152264044961109</v>
      </c>
      <c r="AC581" s="7">
        <f ca="1">$AV$11*EXP(-'3.r(t)'!H579*$AV$25)</f>
        <v>0.96790122121807021</v>
      </c>
      <c r="AD581" s="7">
        <v>1</v>
      </c>
      <c r="AE581" s="7"/>
      <c r="AF581" s="7">
        <v>573</v>
      </c>
      <c r="AG581" s="7">
        <f>$AW$7*EXP(-'3.r(t)'!D579*$AW$21)</f>
        <v>0.86718755429225491</v>
      </c>
      <c r="AH581" s="7">
        <f ca="1">$AW$8*EXP(-'3.r(t)'!E579*$AW$22)</f>
        <v>0.87963180018828391</v>
      </c>
      <c r="AI581" s="7">
        <f ca="1">$AW$9*EXP(-'3.r(t)'!F579*$AW$23)</f>
        <v>0.90078892991829351</v>
      </c>
      <c r="AJ581" s="7">
        <f ca="1">$AW$10*EXP(-'3.r(t)'!G579*$AW$24)</f>
        <v>0.91297170651664672</v>
      </c>
      <c r="AK581" s="7">
        <f ca="1">$AW$11*EXP(-'3.r(t)'!H579*$AW$25)</f>
        <v>0.93641644440348859</v>
      </c>
      <c r="AL581" s="7">
        <f ca="1">$AW$12*EXP(-'3.r(t)'!I579*$AW$26)</f>
        <v>0.96778460337717231</v>
      </c>
      <c r="AM581" s="7">
        <v>1</v>
      </c>
      <c r="AN581" s="7"/>
    </row>
    <row r="582" spans="2:40">
      <c r="B582" s="7">
        <v>574</v>
      </c>
      <c r="C582" s="7">
        <f>$AR$7*EXP(-'3.r(t)'!D580*$AR$21)</f>
        <v>0.97765346695821032</v>
      </c>
      <c r="D582" s="7">
        <v>1</v>
      </c>
      <c r="E582" s="7"/>
      <c r="F582" s="7">
        <v>574</v>
      </c>
      <c r="G582" s="48">
        <f>$AS$7*EXP(-'3.r(t)'!D580*$AS$21)</f>
        <v>0.9553476245219803</v>
      </c>
      <c r="H582" s="7">
        <f ca="1">$AS$8*EXP(-'3.r(t)'!E580*$AS$22)</f>
        <v>0.97293724655306157</v>
      </c>
      <c r="I582" s="7">
        <v>1</v>
      </c>
      <c r="J582" s="7"/>
      <c r="K582" s="7">
        <v>574</v>
      </c>
      <c r="L582" s="7">
        <f>$AT$7*EXP(-'3.r(t)'!D580*$AT$21)</f>
        <v>0.93311670519824419</v>
      </c>
      <c r="M582" s="7">
        <f ca="1">$AT$8*EXP(-'3.r(t)'!E580*$AT$22)</f>
        <v>0.94616102059856555</v>
      </c>
      <c r="N582" s="7">
        <f ca="1">$AT$9*EXP(-'3.r(t)'!F580*$AT$23)</f>
        <v>0.96924696538193666</v>
      </c>
      <c r="O582" s="7">
        <v>1</v>
      </c>
      <c r="P582" s="7"/>
      <c r="Q582" s="7">
        <v>574</v>
      </c>
      <c r="R582" s="7">
        <f>$AU$7*EXP(-'3.r(t)'!D580*$AU$21)</f>
        <v>0.91099305977534117</v>
      </c>
      <c r="S582" s="7">
        <f ca="1">$AU$8*EXP(-'3.r(t)'!E580*$AU$22)</f>
        <v>0.91970210889777859</v>
      </c>
      <c r="T582" s="7">
        <f ca="1">$AU$9*EXP(-'3.r(t)'!F580*$AU$23)</f>
        <v>0.939005524262011</v>
      </c>
      <c r="U582" s="7">
        <f ca="1">$AU$10*EXP(-'3.r(t)'!G580*$AU$24)</f>
        <v>0.97154765431501944</v>
      </c>
      <c r="V582" s="7">
        <v>1</v>
      </c>
      <c r="W582" s="7"/>
      <c r="X582" s="7">
        <v>574</v>
      </c>
      <c r="Y582" s="7">
        <f>$AV$7*EXP(-'3.r(t)'!D580*$AV$21)</f>
        <v>0.88900715067201674</v>
      </c>
      <c r="Z582" s="7">
        <f ca="1">$AV$8*EXP(-'3.r(t)'!E580*$AV$22)</f>
        <v>0.8935888358747629</v>
      </c>
      <c r="AA582" s="7">
        <f ca="1">$AV$9*EXP(-'3.r(t)'!F580*$AV$23)</f>
        <v>0.90930086953054212</v>
      </c>
      <c r="AB582" s="7">
        <f ca="1">$AV$10*EXP(-'3.r(t)'!G580*$AV$24)</f>
        <v>0.94347699874073165</v>
      </c>
      <c r="AC582" s="7">
        <f ca="1">$AV$11*EXP(-'3.r(t)'!H580*$AV$25)</f>
        <v>0.9714659884038841</v>
      </c>
      <c r="AD582" s="7">
        <v>1</v>
      </c>
      <c r="AE582" s="7"/>
      <c r="AF582" s="7">
        <v>574</v>
      </c>
      <c r="AG582" s="7">
        <f>$AW$7*EXP(-'3.r(t)'!D580*$AW$21)</f>
        <v>0.86718755429225491</v>
      </c>
      <c r="AH582" s="7">
        <f ca="1">$AW$8*EXP(-'3.r(t)'!E580*$AW$22)</f>
        <v>0.86784711171460149</v>
      </c>
      <c r="AI582" s="7">
        <f ca="1">$AW$9*EXP(-'3.r(t)'!F580*$AW$23)</f>
        <v>0.88015536732426469</v>
      </c>
      <c r="AJ582" s="7">
        <f ca="1">$AW$10*EXP(-'3.r(t)'!G580*$AW$24)</f>
        <v>0.9158158220225382</v>
      </c>
      <c r="AK582" s="7">
        <f ca="1">$AW$11*EXP(-'3.r(t)'!H580*$AW$25)</f>
        <v>0.94332676467345988</v>
      </c>
      <c r="AL582" s="7">
        <f ca="1">$AW$12*EXP(-'3.r(t)'!I580*$AW$26)</f>
        <v>0.97003341439121449</v>
      </c>
      <c r="AM582" s="7">
        <v>1</v>
      </c>
      <c r="AN582" s="7"/>
    </row>
    <row r="583" spans="2:40">
      <c r="B583" s="7">
        <v>575</v>
      </c>
      <c r="C583" s="7">
        <f>$AR$7*EXP(-'3.r(t)'!D581*$AR$21)</f>
        <v>0.97765346695821032</v>
      </c>
      <c r="D583" s="7">
        <v>1</v>
      </c>
      <c r="E583" s="7"/>
      <c r="F583" s="7">
        <v>575</v>
      </c>
      <c r="G583" s="48">
        <f>$AS$7*EXP(-'3.r(t)'!D581*$AS$21)</f>
        <v>0.9553476245219803</v>
      </c>
      <c r="H583" s="7">
        <f ca="1">$AS$8*EXP(-'3.r(t)'!E581*$AS$22)</f>
        <v>0.97775506521428057</v>
      </c>
      <c r="I583" s="7">
        <v>1</v>
      </c>
      <c r="J583" s="7"/>
      <c r="K583" s="7">
        <v>575</v>
      </c>
      <c r="L583" s="7">
        <f>$AT$7*EXP(-'3.r(t)'!D581*$AT$21)</f>
        <v>0.93311670519824419</v>
      </c>
      <c r="M583" s="7">
        <f ca="1">$AT$8*EXP(-'3.r(t)'!E581*$AT$22)</f>
        <v>0.9555546757920258</v>
      </c>
      <c r="N583" s="7">
        <f ca="1">$AT$9*EXP(-'3.r(t)'!F581*$AT$23)</f>
        <v>0.9775032063822412</v>
      </c>
      <c r="O583" s="7">
        <v>1</v>
      </c>
      <c r="P583" s="7"/>
      <c r="Q583" s="7">
        <v>575</v>
      </c>
      <c r="R583" s="7">
        <f>$AU$7*EXP(-'3.r(t)'!D581*$AU$21)</f>
        <v>0.91099305977534117</v>
      </c>
      <c r="S583" s="7">
        <f ca="1">$AU$8*EXP(-'3.r(t)'!E581*$AU$22)</f>
        <v>0.9334324976581726</v>
      </c>
      <c r="T583" s="7">
        <f ca="1">$AU$9*EXP(-'3.r(t)'!F581*$AU$23)</f>
        <v>0.95507093489476225</v>
      </c>
      <c r="U583" s="7">
        <f ca="1">$AU$10*EXP(-'3.r(t)'!G581*$AU$24)</f>
        <v>0.98483298949970211</v>
      </c>
      <c r="V583" s="7">
        <v>1</v>
      </c>
      <c r="W583" s="7"/>
      <c r="X583" s="7">
        <v>575</v>
      </c>
      <c r="Y583" s="7">
        <f>$AV$7*EXP(-'3.r(t)'!D581*$AV$21)</f>
        <v>0.88900715067201674</v>
      </c>
      <c r="Z583" s="7">
        <f ca="1">$AV$8*EXP(-'3.r(t)'!E581*$AV$22)</f>
        <v>0.91142033413726165</v>
      </c>
      <c r="AA583" s="7">
        <f ca="1">$AV$9*EXP(-'3.r(t)'!F581*$AV$23)</f>
        <v>0.93273619172361943</v>
      </c>
      <c r="AB583" s="7">
        <f ca="1">$AV$10*EXP(-'3.r(t)'!G581*$AV$24)</f>
        <v>0.96945639026558184</v>
      </c>
      <c r="AC583" s="7">
        <f ca="1">$AV$11*EXP(-'3.r(t)'!H581*$AV$25)</f>
        <v>0.98249769383001861</v>
      </c>
      <c r="AD583" s="7">
        <v>1</v>
      </c>
      <c r="AE583" s="7"/>
      <c r="AF583" s="7">
        <v>575</v>
      </c>
      <c r="AG583" s="7">
        <f>$AW$7*EXP(-'3.r(t)'!D581*$AW$21)</f>
        <v>0.86718755429225491</v>
      </c>
      <c r="AH583" s="7">
        <f ca="1">$AW$8*EXP(-'3.r(t)'!E581*$AW$22)</f>
        <v>0.88954812100684544</v>
      </c>
      <c r="AI583" s="7">
        <f ca="1">$AW$9*EXP(-'3.r(t)'!F581*$AW$23)</f>
        <v>0.91053009438725485</v>
      </c>
      <c r="AJ583" s="7">
        <f ca="1">$AW$10*EXP(-'3.r(t)'!G581*$AW$24)</f>
        <v>0.95390161385802208</v>
      </c>
      <c r="AK583" s="7">
        <f ca="1">$AW$11*EXP(-'3.r(t)'!H581*$AW$25)</f>
        <v>0.96487273711563393</v>
      </c>
      <c r="AL583" s="7">
        <f ca="1">$AW$12*EXP(-'3.r(t)'!I581*$AW$26)</f>
        <v>0.98052332162415268</v>
      </c>
      <c r="AM583" s="7">
        <v>1</v>
      </c>
      <c r="AN583" s="7"/>
    </row>
    <row r="584" spans="2:40">
      <c r="B584" s="7">
        <v>576</v>
      </c>
      <c r="C584" s="7">
        <f>$AR$7*EXP(-'3.r(t)'!D582*$AR$21)</f>
        <v>0.97765346695821032</v>
      </c>
      <c r="D584" s="7">
        <v>1</v>
      </c>
      <c r="E584" s="7"/>
      <c r="F584" s="7">
        <v>576</v>
      </c>
      <c r="G584" s="48">
        <f>$AS$7*EXP(-'3.r(t)'!D582*$AS$21)</f>
        <v>0.9553476245219803</v>
      </c>
      <c r="H584" s="7">
        <f ca="1">$AS$8*EXP(-'3.r(t)'!E582*$AS$22)</f>
        <v>0.98549928576554047</v>
      </c>
      <c r="I584" s="7">
        <v>1</v>
      </c>
      <c r="J584" s="7"/>
      <c r="K584" s="7">
        <v>576</v>
      </c>
      <c r="L584" s="7">
        <f>$AT$7*EXP(-'3.r(t)'!D582*$AT$21)</f>
        <v>0.93311670519824419</v>
      </c>
      <c r="M584" s="7">
        <f ca="1">$AT$8*EXP(-'3.r(t)'!E582*$AT$22)</f>
        <v>0.97075138924582149</v>
      </c>
      <c r="N584" s="7">
        <f ca="1">$AT$9*EXP(-'3.r(t)'!F582*$AT$23)</f>
        <v>0.98440857816054728</v>
      </c>
      <c r="O584" s="7">
        <v>1</v>
      </c>
      <c r="P584" s="7"/>
      <c r="Q584" s="7">
        <v>576</v>
      </c>
      <c r="R584" s="7">
        <f>$AU$7*EXP(-'3.r(t)'!D582*$AU$21)</f>
        <v>0.91099305977534117</v>
      </c>
      <c r="S584" s="7">
        <f ca="1">$AU$8*EXP(-'3.r(t)'!E582*$AU$22)</f>
        <v>0.95578813519251271</v>
      </c>
      <c r="T584" s="7">
        <f ca="1">$AU$9*EXP(-'3.r(t)'!F582*$AU$23)</f>
        <v>0.96861240417213634</v>
      </c>
      <c r="U584" s="7">
        <f ca="1">$AU$10*EXP(-'3.r(t)'!G582*$AU$24)</f>
        <v>0.98337632326055635</v>
      </c>
      <c r="V584" s="7">
        <v>1</v>
      </c>
      <c r="W584" s="7"/>
      <c r="X584" s="7">
        <v>576</v>
      </c>
      <c r="Y584" s="7">
        <f>$AV$7*EXP(-'3.r(t)'!D582*$AV$21)</f>
        <v>0.88900715067201674</v>
      </c>
      <c r="Z584" s="7">
        <f ca="1">$AV$8*EXP(-'3.r(t)'!E582*$AV$22)</f>
        <v>0.94064049458558296</v>
      </c>
      <c r="AA584" s="7">
        <f ca="1">$AV$9*EXP(-'3.r(t)'!F582*$AV$23)</f>
        <v>0.95264353615542863</v>
      </c>
      <c r="AB584" s="7">
        <f ca="1">$AV$10*EXP(-'3.r(t)'!G582*$AV$24)</f>
        <v>0.96659066575053143</v>
      </c>
      <c r="AC584" s="7">
        <f ca="1">$AV$11*EXP(-'3.r(t)'!H582*$AV$25)</f>
        <v>0.98900124370215559</v>
      </c>
      <c r="AD584" s="7">
        <v>1</v>
      </c>
      <c r="AE584" s="7"/>
      <c r="AF584" s="7">
        <v>576</v>
      </c>
      <c r="AG584" s="7">
        <f>$AW$7*EXP(-'3.r(t)'!D582*$AW$21)</f>
        <v>0.86718755429225491</v>
      </c>
      <c r="AH584" s="7">
        <f ca="1">$AW$8*EXP(-'3.r(t)'!E582*$AW$22)</f>
        <v>0.92533852480031875</v>
      </c>
      <c r="AI584" s="7">
        <f ca="1">$AW$9*EXP(-'3.r(t)'!F582*$AW$23)</f>
        <v>0.93653303233034557</v>
      </c>
      <c r="AJ584" s="7">
        <f ca="1">$AW$10*EXP(-'3.r(t)'!G582*$AW$24)</f>
        <v>0.94967512447980329</v>
      </c>
      <c r="AK584" s="7">
        <f ca="1">$AW$11*EXP(-'3.r(t)'!H582*$AW$25)</f>
        <v>0.97768878078104426</v>
      </c>
      <c r="AL584" s="7">
        <f ca="1">$AW$12*EXP(-'3.r(t)'!I582*$AW$26)</f>
        <v>0.98804179210661858</v>
      </c>
      <c r="AM584" s="7">
        <v>1</v>
      </c>
      <c r="AN584" s="7"/>
    </row>
    <row r="585" spans="2:40">
      <c r="B585" s="7">
        <v>577</v>
      </c>
      <c r="C585" s="7">
        <f>$AR$7*EXP(-'3.r(t)'!D583*$AR$21)</f>
        <v>0.97765346695821032</v>
      </c>
      <c r="D585" s="7">
        <v>1</v>
      </c>
      <c r="E585" s="7"/>
      <c r="F585" s="7">
        <v>577</v>
      </c>
      <c r="G585" s="48">
        <f>$AS$7*EXP(-'3.r(t)'!D583*$AS$21)</f>
        <v>0.9553476245219803</v>
      </c>
      <c r="H585" s="7">
        <f ca="1">$AS$8*EXP(-'3.r(t)'!E583*$AS$22)</f>
        <v>0.97725164590617042</v>
      </c>
      <c r="I585" s="7">
        <v>1</v>
      </c>
      <c r="J585" s="7"/>
      <c r="K585" s="7">
        <v>577</v>
      </c>
      <c r="L585" s="7">
        <f>$AT$7*EXP(-'3.r(t)'!D583*$AT$21)</f>
        <v>0.93311670519824419</v>
      </c>
      <c r="M585" s="7">
        <f ca="1">$AT$8*EXP(-'3.r(t)'!E583*$AT$22)</f>
        <v>0.95457095123258617</v>
      </c>
      <c r="N585" s="7">
        <f ca="1">$AT$9*EXP(-'3.r(t)'!F583*$AT$23)</f>
        <v>0.97497245501894358</v>
      </c>
      <c r="O585" s="7">
        <v>1</v>
      </c>
      <c r="P585" s="7"/>
      <c r="Q585" s="7">
        <v>577</v>
      </c>
      <c r="R585" s="7">
        <f>$AU$7*EXP(-'3.r(t)'!D583*$AU$21)</f>
        <v>0.91099305977534117</v>
      </c>
      <c r="S585" s="7">
        <f ca="1">$AU$8*EXP(-'3.r(t)'!E583*$AU$22)</f>
        <v>0.93199144337687101</v>
      </c>
      <c r="T585" s="7">
        <f ca="1">$AU$9*EXP(-'3.r(t)'!F583*$AU$23)</f>
        <v>0.95013198800880994</v>
      </c>
      <c r="U585" s="7">
        <f ca="1">$AU$10*EXP(-'3.r(t)'!G583*$AU$24)</f>
        <v>0.97287059541088805</v>
      </c>
      <c r="V585" s="7">
        <v>1</v>
      </c>
      <c r="W585" s="7"/>
      <c r="X585" s="7">
        <v>577</v>
      </c>
      <c r="Y585" s="7">
        <f>$AV$7*EXP(-'3.r(t)'!D583*$AV$21)</f>
        <v>0.88900715067201674</v>
      </c>
      <c r="Z585" s="7">
        <f ca="1">$AV$8*EXP(-'3.r(t)'!E583*$AV$22)</f>
        <v>0.90954472182467572</v>
      </c>
      <c r="AA585" s="7">
        <f ca="1">$AV$9*EXP(-'3.r(t)'!F583*$AV$23)</f>
        <v>0.9255103823455787</v>
      </c>
      <c r="AB585" s="7">
        <f ca="1">$AV$10*EXP(-'3.r(t)'!G583*$AV$24)</f>
        <v>0.94604818357563447</v>
      </c>
      <c r="AC585" s="7">
        <f ca="1">$AV$11*EXP(-'3.r(t)'!H583*$AV$25)</f>
        <v>0.97375848125496767</v>
      </c>
      <c r="AD585" s="7">
        <v>1</v>
      </c>
      <c r="AE585" s="7"/>
      <c r="AF585" s="7">
        <v>577</v>
      </c>
      <c r="AG585" s="7">
        <f>$AW$7*EXP(-'3.r(t)'!D583*$AW$21)</f>
        <v>0.86718755429225491</v>
      </c>
      <c r="AH585" s="7">
        <f ca="1">$AW$8*EXP(-'3.r(t)'!E583*$AW$22)</f>
        <v>0.88726045808998921</v>
      </c>
      <c r="AI585" s="7">
        <f ca="1">$AW$9*EXP(-'3.r(t)'!F583*$AW$23)</f>
        <v>0.90113721724130502</v>
      </c>
      <c r="AJ585" s="7">
        <f ca="1">$AW$10*EXP(-'3.r(t)'!G583*$AW$24)</f>
        <v>0.91956207442785332</v>
      </c>
      <c r="AK585" s="7">
        <f ca="1">$AW$11*EXP(-'3.r(t)'!H583*$AW$25)</f>
        <v>0.94778419609522313</v>
      </c>
      <c r="AL585" s="7">
        <f ca="1">$AW$12*EXP(-'3.r(t)'!I583*$AW$26)</f>
        <v>0.97239446085945813</v>
      </c>
      <c r="AM585" s="7">
        <v>1</v>
      </c>
      <c r="AN585" s="7"/>
    </row>
    <row r="586" spans="2:40">
      <c r="B586" s="7">
        <v>578</v>
      </c>
      <c r="C586" s="7">
        <f>$AR$7*EXP(-'3.r(t)'!D584*$AR$21)</f>
        <v>0.97765346695821032</v>
      </c>
      <c r="D586" s="7">
        <v>1</v>
      </c>
      <c r="E586" s="7"/>
      <c r="F586" s="7">
        <v>578</v>
      </c>
      <c r="G586" s="48">
        <f>$AS$7*EXP(-'3.r(t)'!D584*$AS$21)</f>
        <v>0.9553476245219803</v>
      </c>
      <c r="H586" s="7">
        <f ca="1">$AS$8*EXP(-'3.r(t)'!E584*$AS$22)</f>
        <v>0.97836986342752086</v>
      </c>
      <c r="I586" s="7">
        <v>1</v>
      </c>
      <c r="J586" s="7"/>
      <c r="K586" s="7">
        <v>578</v>
      </c>
      <c r="L586" s="7">
        <f>$AT$7*EXP(-'3.r(t)'!D584*$AT$21)</f>
        <v>0.93311670519824419</v>
      </c>
      <c r="M586" s="7">
        <f ca="1">$AT$8*EXP(-'3.r(t)'!E584*$AT$22)</f>
        <v>0.95675673145113294</v>
      </c>
      <c r="N586" s="7">
        <f ca="1">$AT$9*EXP(-'3.r(t)'!F584*$AT$23)</f>
        <v>0.97595863814300199</v>
      </c>
      <c r="O586" s="7">
        <v>1</v>
      </c>
      <c r="P586" s="7"/>
      <c r="Q586" s="7">
        <v>578</v>
      </c>
      <c r="R586" s="7">
        <f>$AU$7*EXP(-'3.r(t)'!D584*$AU$21)</f>
        <v>0.91099305977534117</v>
      </c>
      <c r="S586" s="7">
        <f ca="1">$AU$8*EXP(-'3.r(t)'!E584*$AU$22)</f>
        <v>0.93519439152278416</v>
      </c>
      <c r="T586" s="7">
        <f ca="1">$AU$9*EXP(-'3.r(t)'!F584*$AU$23)</f>
        <v>0.9520550741770164</v>
      </c>
      <c r="U586" s="7">
        <f ca="1">$AU$10*EXP(-'3.r(t)'!G584*$AU$24)</f>
        <v>0.97183625140922536</v>
      </c>
      <c r="V586" s="7">
        <v>1</v>
      </c>
      <c r="W586" s="7"/>
      <c r="X586" s="7">
        <v>578</v>
      </c>
      <c r="Y586" s="7">
        <f>$AV$7*EXP(-'3.r(t)'!D584*$AV$21)</f>
        <v>0.88900715067201674</v>
      </c>
      <c r="Z586" s="7">
        <f ca="1">$AV$8*EXP(-'3.r(t)'!E584*$AV$22)</f>
        <v>0.91371484872313757</v>
      </c>
      <c r="AA586" s="7">
        <f ca="1">$AV$9*EXP(-'3.r(t)'!F584*$AV$23)</f>
        <v>0.92832168099632062</v>
      </c>
      <c r="AB586" s="7">
        <f ca="1">$AV$10*EXP(-'3.r(t)'!G584*$AV$24)</f>
        <v>0.94403759946887089</v>
      </c>
      <c r="AC586" s="7">
        <f ca="1">$AV$11*EXP(-'3.r(t)'!H584*$AV$25)</f>
        <v>0.97048277150354778</v>
      </c>
      <c r="AD586" s="7">
        <v>1</v>
      </c>
      <c r="AE586" s="7"/>
      <c r="AF586" s="7">
        <v>578</v>
      </c>
      <c r="AG586" s="7">
        <f>$AW$7*EXP(-'3.r(t)'!D584*$AW$21)</f>
        <v>0.86718755429225491</v>
      </c>
      <c r="AH586" s="7">
        <f ca="1">$AW$8*EXP(-'3.r(t)'!E584*$AW$22)</f>
        <v>0.89234831506223444</v>
      </c>
      <c r="AI586" s="7">
        <f ca="1">$AW$9*EXP(-'3.r(t)'!F584*$AW$23)</f>
        <v>0.90478874843374524</v>
      </c>
      <c r="AJ586" s="7">
        <f ca="1">$AW$10*EXP(-'3.r(t)'!G584*$AW$24)</f>
        <v>0.91663219053168699</v>
      </c>
      <c r="AK586" s="7">
        <f ca="1">$AW$11*EXP(-'3.r(t)'!H584*$AW$25)</f>
        <v>0.94141825635364962</v>
      </c>
      <c r="AL586" s="7">
        <f ca="1">$AW$12*EXP(-'3.r(t)'!I584*$AW$26)</f>
        <v>0.96953219380194844</v>
      </c>
      <c r="AM586" s="7">
        <v>1</v>
      </c>
      <c r="AN586" s="7"/>
    </row>
    <row r="587" spans="2:40">
      <c r="B587" s="7">
        <v>579</v>
      </c>
      <c r="C587" s="7">
        <f>$AR$7*EXP(-'3.r(t)'!D585*$AR$21)</f>
        <v>0.97765346695821032</v>
      </c>
      <c r="D587" s="7">
        <v>1</v>
      </c>
      <c r="E587" s="7"/>
      <c r="F587" s="7">
        <v>579</v>
      </c>
      <c r="G587" s="48">
        <f>$AS$7*EXP(-'3.r(t)'!D585*$AS$21)</f>
        <v>0.9553476245219803</v>
      </c>
      <c r="H587" s="7">
        <f ca="1">$AS$8*EXP(-'3.r(t)'!E585*$AS$22)</f>
        <v>0.97823039501116793</v>
      </c>
      <c r="I587" s="7">
        <v>1</v>
      </c>
      <c r="J587" s="7"/>
      <c r="K587" s="7">
        <v>579</v>
      </c>
      <c r="L587" s="7">
        <f>$AT$7*EXP(-'3.r(t)'!D585*$AT$21)</f>
        <v>0.93311670519824419</v>
      </c>
      <c r="M587" s="7">
        <f ca="1">$AT$8*EXP(-'3.r(t)'!E585*$AT$22)</f>
        <v>0.95648397604381896</v>
      </c>
      <c r="N587" s="7">
        <f ca="1">$AT$9*EXP(-'3.r(t)'!F585*$AT$23)</f>
        <v>0.97614631018381881</v>
      </c>
      <c r="O587" s="7">
        <v>1</v>
      </c>
      <c r="P587" s="7"/>
      <c r="Q587" s="7">
        <v>579</v>
      </c>
      <c r="R587" s="7">
        <f>$AU$7*EXP(-'3.r(t)'!D585*$AU$21)</f>
        <v>0.91099305977534117</v>
      </c>
      <c r="S587" s="7">
        <f ca="1">$AU$8*EXP(-'3.r(t)'!E585*$AU$22)</f>
        <v>0.93479450751118698</v>
      </c>
      <c r="T587" s="7">
        <f ca="1">$AU$9*EXP(-'3.r(t)'!F585*$AU$23)</f>
        <v>0.95242126038785302</v>
      </c>
      <c r="U587" s="7">
        <f ca="1">$AU$10*EXP(-'3.r(t)'!G585*$AU$24)</f>
        <v>0.97476448318953435</v>
      </c>
      <c r="V587" s="7">
        <v>1</v>
      </c>
      <c r="W587" s="7"/>
      <c r="X587" s="7">
        <v>579</v>
      </c>
      <c r="Y587" s="7">
        <f>$AV$7*EXP(-'3.r(t)'!D585*$AV$21)</f>
        <v>0.88900715067201674</v>
      </c>
      <c r="Z587" s="7">
        <f ca="1">$AV$8*EXP(-'3.r(t)'!E585*$AV$22)</f>
        <v>0.9131939532160338</v>
      </c>
      <c r="AA587" s="7">
        <f ca="1">$AV$9*EXP(-'3.r(t)'!F585*$AV$23)</f>
        <v>0.92885731904919622</v>
      </c>
      <c r="AB587" s="7">
        <f ca="1">$AV$10*EXP(-'3.r(t)'!G585*$AV$24)</f>
        <v>0.94973511390723997</v>
      </c>
      <c r="AC587" s="7">
        <f ca="1">$AV$11*EXP(-'3.r(t)'!H585*$AV$25)</f>
        <v>0.97705958902355616</v>
      </c>
      <c r="AD587" s="7">
        <v>1</v>
      </c>
      <c r="AE587" s="7"/>
      <c r="AF587" s="7">
        <v>579</v>
      </c>
      <c r="AG587" s="7">
        <f>$AW$7*EXP(-'3.r(t)'!D585*$AW$21)</f>
        <v>0.86718755429225491</v>
      </c>
      <c r="AH587" s="7">
        <f ca="1">$AW$8*EXP(-'3.r(t)'!E585*$AW$22)</f>
        <v>0.89171246693547601</v>
      </c>
      <c r="AI587" s="7">
        <f ca="1">$AW$9*EXP(-'3.r(t)'!F585*$AW$23)</f>
        <v>0.90548489488564476</v>
      </c>
      <c r="AJ587" s="7">
        <f ca="1">$AW$10*EXP(-'3.r(t)'!G585*$AW$24)</f>
        <v>0.92494287179384016</v>
      </c>
      <c r="AK587" s="7">
        <f ca="1">$AW$11*EXP(-'3.r(t)'!H585*$AW$25)</f>
        <v>0.95422119490014745</v>
      </c>
      <c r="AL587" s="7">
        <f ca="1">$AW$12*EXP(-'3.r(t)'!I585*$AW$26)</f>
        <v>0.9791586850952736</v>
      </c>
      <c r="AM587" s="7">
        <v>1</v>
      </c>
      <c r="AN587" s="7"/>
    </row>
    <row r="588" spans="2:40">
      <c r="B588" s="7">
        <v>580</v>
      </c>
      <c r="C588" s="7">
        <f>$AR$7*EXP(-'3.r(t)'!D586*$AR$21)</f>
        <v>0.97765346695821032</v>
      </c>
      <c r="D588" s="7">
        <v>1</v>
      </c>
      <c r="E588" s="7"/>
      <c r="F588" s="7">
        <v>580</v>
      </c>
      <c r="G588" s="48">
        <f>$AS$7*EXP(-'3.r(t)'!D586*$AS$21)</f>
        <v>0.9553476245219803</v>
      </c>
      <c r="H588" s="7">
        <f ca="1">$AS$8*EXP(-'3.r(t)'!E586*$AS$22)</f>
        <v>0.9745270634766322</v>
      </c>
      <c r="I588" s="7">
        <v>1</v>
      </c>
      <c r="J588" s="7"/>
      <c r="K588" s="7">
        <v>580</v>
      </c>
      <c r="L588" s="7">
        <f>$AT$7*EXP(-'3.r(t)'!D586*$AT$21)</f>
        <v>0.93311670519824419</v>
      </c>
      <c r="M588" s="7">
        <f ca="1">$AT$8*EXP(-'3.r(t)'!E586*$AT$22)</f>
        <v>0.94925567400461797</v>
      </c>
      <c r="N588" s="7">
        <f ca="1">$AT$9*EXP(-'3.r(t)'!F586*$AT$23)</f>
        <v>0.97389993552636933</v>
      </c>
      <c r="O588" s="7">
        <v>1</v>
      </c>
      <c r="P588" s="7"/>
      <c r="Q588" s="7">
        <v>580</v>
      </c>
      <c r="R588" s="7">
        <f>$AU$7*EXP(-'3.r(t)'!D586*$AU$21)</f>
        <v>0.91099305977534117</v>
      </c>
      <c r="S588" s="7">
        <f ca="1">$AU$8*EXP(-'3.r(t)'!E586*$AU$22)</f>
        <v>0.92421796592664696</v>
      </c>
      <c r="T588" s="7">
        <f ca="1">$AU$9*EXP(-'3.r(t)'!F586*$AU$23)</f>
        <v>0.94804275035475938</v>
      </c>
      <c r="U588" s="7">
        <f ca="1">$AU$10*EXP(-'3.r(t)'!G586*$AU$24)</f>
        <v>0.97572378429337259</v>
      </c>
      <c r="V588" s="7">
        <v>1</v>
      </c>
      <c r="W588" s="7"/>
      <c r="X588" s="7">
        <v>580</v>
      </c>
      <c r="Y588" s="7">
        <f>$AV$7*EXP(-'3.r(t)'!D586*$AV$21)</f>
        <v>0.88900715067201674</v>
      </c>
      <c r="Z588" s="7">
        <f ca="1">$AV$8*EXP(-'3.r(t)'!E586*$AV$22)</f>
        <v>0.8994438014689442</v>
      </c>
      <c r="AA588" s="7">
        <f ca="1">$AV$9*EXP(-'3.r(t)'!F586*$AV$23)</f>
        <v>0.92245941496841932</v>
      </c>
      <c r="AB588" s="7">
        <f ca="1">$AV$10*EXP(-'3.r(t)'!G586*$AV$24)</f>
        <v>0.95160537133505485</v>
      </c>
      <c r="AC588" s="7">
        <f ca="1">$AV$11*EXP(-'3.r(t)'!H586*$AV$25)</f>
        <v>0.97782696886255926</v>
      </c>
      <c r="AD588" s="7">
        <v>1</v>
      </c>
      <c r="AE588" s="7"/>
      <c r="AF588" s="7">
        <v>580</v>
      </c>
      <c r="AG588" s="7">
        <f>$AW$7*EXP(-'3.r(t)'!D586*$AW$21)</f>
        <v>0.86718755429225491</v>
      </c>
      <c r="AH588" s="7">
        <f ca="1">$AW$8*EXP(-'3.r(t)'!E586*$AW$22)</f>
        <v>0.8749607998218234</v>
      </c>
      <c r="AI588" s="7">
        <f ca="1">$AW$9*EXP(-'3.r(t)'!F586*$AW$23)</f>
        <v>0.89717856746704472</v>
      </c>
      <c r="AJ588" s="7">
        <f ca="1">$AW$10*EXP(-'3.r(t)'!G586*$AW$24)</f>
        <v>0.92767636970808398</v>
      </c>
      <c r="AK588" s="7">
        <f ca="1">$AW$11*EXP(-'3.r(t)'!H586*$AW$25)</f>
        <v>0.95572066876791817</v>
      </c>
      <c r="AL588" s="7">
        <f ca="1">$AW$12*EXP(-'3.r(t)'!I586*$AW$26)</f>
        <v>0.97267922421954101</v>
      </c>
      <c r="AM588" s="7">
        <v>1</v>
      </c>
      <c r="AN588" s="7"/>
    </row>
    <row r="589" spans="2:40">
      <c r="B589" s="7">
        <v>581</v>
      </c>
      <c r="C589" s="7">
        <f>$AR$7*EXP(-'3.r(t)'!D587*$AR$21)</f>
        <v>0.97765346695821032</v>
      </c>
      <c r="D589" s="7">
        <v>1</v>
      </c>
      <c r="E589" s="7"/>
      <c r="F589" s="7">
        <v>581</v>
      </c>
      <c r="G589" s="48">
        <f>$AS$7*EXP(-'3.r(t)'!D587*$AS$21)</f>
        <v>0.9553476245219803</v>
      </c>
      <c r="H589" s="7">
        <f ca="1">$AS$8*EXP(-'3.r(t)'!E587*$AS$22)</f>
        <v>0.97701097071477216</v>
      </c>
      <c r="I589" s="7">
        <v>1</v>
      </c>
      <c r="J589" s="7"/>
      <c r="K589" s="7">
        <v>581</v>
      </c>
      <c r="L589" s="7">
        <f>$AT$7*EXP(-'3.r(t)'!D587*$AT$21)</f>
        <v>0.93311670519824419</v>
      </c>
      <c r="M589" s="7">
        <f ca="1">$AT$8*EXP(-'3.r(t)'!E587*$AT$22)</f>
        <v>0.9541008302412225</v>
      </c>
      <c r="N589" s="7">
        <f ca="1">$AT$9*EXP(-'3.r(t)'!F587*$AT$23)</f>
        <v>0.97513972361944423</v>
      </c>
      <c r="O589" s="7">
        <v>1</v>
      </c>
      <c r="P589" s="7"/>
      <c r="Q589" s="7">
        <v>581</v>
      </c>
      <c r="R589" s="7">
        <f>$AU$7*EXP(-'3.r(t)'!D587*$AU$21)</f>
        <v>0.91099305977534117</v>
      </c>
      <c r="S589" s="7">
        <f ca="1">$AU$8*EXP(-'3.r(t)'!E587*$AU$22)</f>
        <v>0.93130302709439128</v>
      </c>
      <c r="T589" s="7">
        <f ca="1">$AU$9*EXP(-'3.r(t)'!F587*$AU$23)</f>
        <v>0.95045802979609495</v>
      </c>
      <c r="U589" s="7">
        <f ca="1">$AU$10*EXP(-'3.r(t)'!G587*$AU$24)</f>
        <v>0.97504148908837618</v>
      </c>
      <c r="V589" s="7">
        <v>1</v>
      </c>
      <c r="W589" s="7"/>
      <c r="X589" s="7">
        <v>581</v>
      </c>
      <c r="Y589" s="7">
        <f>$AV$7*EXP(-'3.r(t)'!D587*$AV$21)</f>
        <v>0.88900715067201674</v>
      </c>
      <c r="Z589" s="7">
        <f ca="1">$AV$8*EXP(-'3.r(t)'!E587*$AV$22)</f>
        <v>0.90864905079803149</v>
      </c>
      <c r="AA589" s="7">
        <f ca="1">$AV$9*EXP(-'3.r(t)'!F587*$AV$23)</f>
        <v>0.92598681238161862</v>
      </c>
      <c r="AB589" s="7">
        <f ca="1">$AV$10*EXP(-'3.r(t)'!G587*$AV$24)</f>
        <v>0.95027497684730511</v>
      </c>
      <c r="AC589" s="7">
        <f ca="1">$AV$11*EXP(-'3.r(t)'!H587*$AV$25)</f>
        <v>0.97178929944722159</v>
      </c>
      <c r="AD589" s="7">
        <v>1</v>
      </c>
      <c r="AE589" s="7"/>
      <c r="AF589" s="7">
        <v>581</v>
      </c>
      <c r="AG589" s="7">
        <f>$AW$7*EXP(-'3.r(t)'!D587*$AW$21)</f>
        <v>0.86718755429225491</v>
      </c>
      <c r="AH589" s="7">
        <f ca="1">$AW$8*EXP(-'3.r(t)'!E587*$AW$22)</f>
        <v>0.88616843421697256</v>
      </c>
      <c r="AI589" s="7">
        <f ca="1">$AW$9*EXP(-'3.r(t)'!F587*$AW$23)</f>
        <v>0.90175578140586132</v>
      </c>
      <c r="AJ589" s="7">
        <f ca="1">$AW$10*EXP(-'3.r(t)'!G587*$AW$24)</f>
        <v>0.92573163909076317</v>
      </c>
      <c r="AK589" s="7">
        <f ca="1">$AW$11*EXP(-'3.r(t)'!H587*$AW$25)</f>
        <v>0.94395476136146927</v>
      </c>
      <c r="AL589" s="7">
        <f ca="1">$AW$12*EXP(-'3.r(t)'!I587*$AW$26)</f>
        <v>0.97340827922138606</v>
      </c>
      <c r="AM589" s="7">
        <v>1</v>
      </c>
      <c r="AN589" s="7"/>
    </row>
    <row r="590" spans="2:40">
      <c r="B590" s="7">
        <v>582</v>
      </c>
      <c r="C590" s="7">
        <f>$AR$7*EXP(-'3.r(t)'!D588*$AR$21)</f>
        <v>0.97765346695821032</v>
      </c>
      <c r="D590" s="7">
        <v>1</v>
      </c>
      <c r="E590" s="7"/>
      <c r="F590" s="7">
        <v>582</v>
      </c>
      <c r="G590" s="48">
        <f>$AS$7*EXP(-'3.r(t)'!D588*$AS$21)</f>
        <v>0.9553476245219803</v>
      </c>
      <c r="H590" s="7">
        <f ca="1">$AS$8*EXP(-'3.r(t)'!E588*$AS$22)</f>
        <v>0.97381456512915954</v>
      </c>
      <c r="I590" s="7">
        <v>1</v>
      </c>
      <c r="J590" s="7"/>
      <c r="K590" s="7">
        <v>582</v>
      </c>
      <c r="L590" s="7">
        <f>$AT$7*EXP(-'3.r(t)'!D588*$AT$21)</f>
        <v>0.93311670519824419</v>
      </c>
      <c r="M590" s="7">
        <f ca="1">$AT$8*EXP(-'3.r(t)'!E588*$AT$22)</f>
        <v>0.94786813767099121</v>
      </c>
      <c r="N590" s="7">
        <f ca="1">$AT$9*EXP(-'3.r(t)'!F588*$AT$23)</f>
        <v>0.97638637121088279</v>
      </c>
      <c r="O590" s="7">
        <v>1</v>
      </c>
      <c r="P590" s="7"/>
      <c r="Q590" s="7">
        <v>582</v>
      </c>
      <c r="R590" s="7">
        <f>$AU$7*EXP(-'3.r(t)'!D588*$AU$21)</f>
        <v>0.91099305977534117</v>
      </c>
      <c r="S590" s="7">
        <f ca="1">$AU$8*EXP(-'3.r(t)'!E588*$AU$22)</f>
        <v>0.92219229890709775</v>
      </c>
      <c r="T590" s="7">
        <f ca="1">$AU$9*EXP(-'3.r(t)'!F588*$AU$23)</f>
        <v>0.95288977076973858</v>
      </c>
      <c r="U590" s="7">
        <f ca="1">$AU$10*EXP(-'3.r(t)'!G588*$AU$24)</f>
        <v>0.9780106145419627</v>
      </c>
      <c r="V590" s="7">
        <v>1</v>
      </c>
      <c r="W590" s="7"/>
      <c r="X590" s="7">
        <v>582</v>
      </c>
      <c r="Y590" s="7">
        <f>$AV$7*EXP(-'3.r(t)'!D588*$AV$21)</f>
        <v>0.88900715067201674</v>
      </c>
      <c r="Z590" s="7">
        <f ca="1">$AV$8*EXP(-'3.r(t)'!E588*$AV$22)</f>
        <v>0.89681627155510557</v>
      </c>
      <c r="AA590" s="7">
        <f ca="1">$AV$9*EXP(-'3.r(t)'!F588*$AV$23)</f>
        <v>0.929542781714922</v>
      </c>
      <c r="AB590" s="7">
        <f ca="1">$AV$10*EXP(-'3.r(t)'!G588*$AV$24)</f>
        <v>0.95607120509959642</v>
      </c>
      <c r="AC590" s="7">
        <f ca="1">$AV$11*EXP(-'3.r(t)'!H588*$AV$25)</f>
        <v>0.97921348884146275</v>
      </c>
      <c r="AD590" s="7">
        <v>1</v>
      </c>
      <c r="AE590" s="7"/>
      <c r="AF590" s="7">
        <v>582</v>
      </c>
      <c r="AG590" s="7">
        <f>$AW$7*EXP(-'3.r(t)'!D588*$AW$21)</f>
        <v>0.86718755429225491</v>
      </c>
      <c r="AH590" s="7">
        <f ca="1">$AW$8*EXP(-'3.r(t)'!E588*$AW$22)</f>
        <v>0.87176695719534858</v>
      </c>
      <c r="AI590" s="7">
        <f ca="1">$AW$9*EXP(-'3.r(t)'!F588*$AW$23)</f>
        <v>0.90637595734693721</v>
      </c>
      <c r="AJ590" s="7">
        <f ca="1">$AW$10*EXP(-'3.r(t)'!G588*$AW$24)</f>
        <v>0.93421432965436846</v>
      </c>
      <c r="AK590" s="7">
        <f ca="1">$AW$11*EXP(-'3.r(t)'!H588*$AW$25)</f>
        <v>0.95843293859012602</v>
      </c>
      <c r="AL590" s="7">
        <f ca="1">$AW$12*EXP(-'3.r(t)'!I588*$AW$26)</f>
        <v>0.97696591534927224</v>
      </c>
      <c r="AM590" s="7">
        <v>1</v>
      </c>
      <c r="AN590" s="7"/>
    </row>
    <row r="591" spans="2:40">
      <c r="B591" s="7">
        <v>583</v>
      </c>
      <c r="C591" s="7">
        <f>$AR$7*EXP(-'3.r(t)'!D589*$AR$21)</f>
        <v>0.97765346695821032</v>
      </c>
      <c r="D591" s="7">
        <v>1</v>
      </c>
      <c r="E591" s="7"/>
      <c r="F591" s="7">
        <v>583</v>
      </c>
      <c r="G591" s="48">
        <f>$AS$7*EXP(-'3.r(t)'!D589*$AS$21)</f>
        <v>0.9553476245219803</v>
      </c>
      <c r="H591" s="7">
        <f ca="1">$AS$8*EXP(-'3.r(t)'!E589*$AS$22)</f>
        <v>0.97445181135217651</v>
      </c>
      <c r="I591" s="7">
        <v>1</v>
      </c>
      <c r="J591" s="7"/>
      <c r="K591" s="7">
        <v>583</v>
      </c>
      <c r="L591" s="7">
        <f>$AT$7*EXP(-'3.r(t)'!D589*$AT$21)</f>
        <v>0.93311670519824419</v>
      </c>
      <c r="M591" s="7">
        <f ca="1">$AT$8*EXP(-'3.r(t)'!E589*$AT$22)</f>
        <v>0.94910907828494784</v>
      </c>
      <c r="N591" s="7">
        <f ca="1">$AT$9*EXP(-'3.r(t)'!F589*$AT$23)</f>
        <v>0.96913293719778615</v>
      </c>
      <c r="O591" s="7">
        <v>1</v>
      </c>
      <c r="P591" s="7"/>
      <c r="Q591" s="7">
        <v>583</v>
      </c>
      <c r="R591" s="7">
        <f>$AU$7*EXP(-'3.r(t)'!D589*$AU$21)</f>
        <v>0.91099305977534117</v>
      </c>
      <c r="S591" s="7">
        <f ca="1">$AU$8*EXP(-'3.r(t)'!E589*$AU$22)</f>
        <v>0.92400388055867777</v>
      </c>
      <c r="T591" s="7">
        <f ca="1">$AU$9*EXP(-'3.r(t)'!F589*$AU$23)</f>
        <v>0.93878459646900547</v>
      </c>
      <c r="U591" s="7">
        <f ca="1">$AU$10*EXP(-'3.r(t)'!G589*$AU$24)</f>
        <v>0.96782696710480243</v>
      </c>
      <c r="V591" s="7">
        <v>1</v>
      </c>
      <c r="W591" s="7"/>
      <c r="X591" s="7">
        <v>583</v>
      </c>
      <c r="Y591" s="7">
        <f>$AV$7*EXP(-'3.r(t)'!D589*$AV$21)</f>
        <v>0.88900715067201674</v>
      </c>
      <c r="Z591" s="7">
        <f ca="1">$AV$8*EXP(-'3.r(t)'!E589*$AV$22)</f>
        <v>0.89916601660300022</v>
      </c>
      <c r="AA591" s="7">
        <f ca="1">$AV$9*EXP(-'3.r(t)'!F589*$AV$23)</f>
        <v>0.90897998001653069</v>
      </c>
      <c r="AB591" s="7">
        <f ca="1">$AV$10*EXP(-'3.r(t)'!G589*$AV$24)</f>
        <v>0.93626446311571088</v>
      </c>
      <c r="AC591" s="7">
        <f ca="1">$AV$11*EXP(-'3.r(t)'!H589*$AV$25)</f>
        <v>0.96456359659080704</v>
      </c>
      <c r="AD591" s="7">
        <v>1</v>
      </c>
      <c r="AE591" s="7"/>
      <c r="AF591" s="7">
        <v>583</v>
      </c>
      <c r="AG591" s="7">
        <f>$AW$7*EXP(-'3.r(t)'!D589*$AW$21)</f>
        <v>0.86718755429225491</v>
      </c>
      <c r="AH591" s="7">
        <f ca="1">$AW$8*EXP(-'3.r(t)'!E589*$AW$22)</f>
        <v>0.87462303346504444</v>
      </c>
      <c r="AI591" s="7">
        <f ca="1">$AW$9*EXP(-'3.r(t)'!F589*$AW$23)</f>
        <v>0.87974125281111448</v>
      </c>
      <c r="AJ591" s="7">
        <f ca="1">$AW$10*EXP(-'3.r(t)'!G589*$AW$24)</f>
        <v>0.90533430380374746</v>
      </c>
      <c r="AK591" s="7">
        <f ca="1">$AW$11*EXP(-'3.r(t)'!H589*$AW$25)</f>
        <v>0.92996946855400719</v>
      </c>
      <c r="AL591" s="7">
        <f ca="1">$AW$12*EXP(-'3.r(t)'!I589*$AW$26)</f>
        <v>0.96473003397735879</v>
      </c>
      <c r="AM591" s="7">
        <v>1</v>
      </c>
      <c r="AN591" s="7"/>
    </row>
    <row r="592" spans="2:40">
      <c r="B592" s="7">
        <v>584</v>
      </c>
      <c r="C592" s="7">
        <f>$AR$7*EXP(-'3.r(t)'!D590*$AR$21)</f>
        <v>0.97765346695821032</v>
      </c>
      <c r="D592" s="7">
        <v>1</v>
      </c>
      <c r="E592" s="7"/>
      <c r="F592" s="7">
        <v>584</v>
      </c>
      <c r="G592" s="48">
        <f>$AS$7*EXP(-'3.r(t)'!D590*$AS$21)</f>
        <v>0.9553476245219803</v>
      </c>
      <c r="H592" s="7">
        <f ca="1">$AS$8*EXP(-'3.r(t)'!E590*$AS$22)</f>
        <v>0.97636280365302575</v>
      </c>
      <c r="I592" s="7">
        <v>1</v>
      </c>
      <c r="J592" s="7"/>
      <c r="K592" s="7">
        <v>584</v>
      </c>
      <c r="L592" s="7">
        <f>$AT$7*EXP(-'3.r(t)'!D590*$AT$21)</f>
        <v>0.93311670519824419</v>
      </c>
      <c r="M592" s="7">
        <f ca="1">$AT$8*EXP(-'3.r(t)'!E590*$AT$22)</f>
        <v>0.95283531405817801</v>
      </c>
      <c r="N592" s="7">
        <f ca="1">$AT$9*EXP(-'3.r(t)'!F590*$AT$23)</f>
        <v>0.97746936690943753</v>
      </c>
      <c r="O592" s="7">
        <v>1</v>
      </c>
      <c r="P592" s="7"/>
      <c r="Q592" s="7">
        <v>584</v>
      </c>
      <c r="R592" s="7">
        <f>$AU$7*EXP(-'3.r(t)'!D590*$AU$21)</f>
        <v>0.91099305977534117</v>
      </c>
      <c r="S592" s="7">
        <f ca="1">$AU$8*EXP(-'3.r(t)'!E590*$AU$22)</f>
        <v>0.92945072577703858</v>
      </c>
      <c r="T592" s="7">
        <f ca="1">$AU$9*EXP(-'3.r(t)'!F590*$AU$23)</f>
        <v>0.95500481022672989</v>
      </c>
      <c r="U592" s="7">
        <f ca="1">$AU$10*EXP(-'3.r(t)'!G590*$AU$24)</f>
        <v>0.98183240044148934</v>
      </c>
      <c r="V592" s="7">
        <v>1</v>
      </c>
      <c r="W592" s="7"/>
      <c r="X592" s="7">
        <v>584</v>
      </c>
      <c r="Y592" s="7">
        <f>$AV$7*EXP(-'3.r(t)'!D590*$AV$21)</f>
        <v>0.88900715067201674</v>
      </c>
      <c r="Z592" s="7">
        <f ca="1">$AV$8*EXP(-'3.r(t)'!E590*$AV$22)</f>
        <v>0.9062401912234278</v>
      </c>
      <c r="AA592" s="7">
        <f ca="1">$AV$9*EXP(-'3.r(t)'!F590*$AV$23)</f>
        <v>0.93263932592880949</v>
      </c>
      <c r="AB592" s="7">
        <f ca="1">$AV$10*EXP(-'3.r(t)'!G590*$AV$24)</f>
        <v>0.96355791044495176</v>
      </c>
      <c r="AC592" s="7">
        <f ca="1">$AV$11*EXP(-'3.r(t)'!H590*$AV$25)</f>
        <v>0.98260462673198479</v>
      </c>
      <c r="AD592" s="7">
        <v>1</v>
      </c>
      <c r="AE592" s="7"/>
      <c r="AF592" s="7">
        <v>584</v>
      </c>
      <c r="AG592" s="7">
        <f>$AW$7*EXP(-'3.r(t)'!D590*$AW$21)</f>
        <v>0.86718755429225491</v>
      </c>
      <c r="AH592" s="7">
        <f ca="1">$AW$8*EXP(-'3.r(t)'!E590*$AW$22)</f>
        <v>0.88323282961563865</v>
      </c>
      <c r="AI592" s="7">
        <f ca="1">$AW$9*EXP(-'3.r(t)'!F590*$AW$23)</f>
        <v>0.91040401701698437</v>
      </c>
      <c r="AJ592" s="7">
        <f ca="1">$AW$10*EXP(-'3.r(t)'!G590*$AW$24)</f>
        <v>0.94520911001727759</v>
      </c>
      <c r="AK592" s="7">
        <f ca="1">$AW$11*EXP(-'3.r(t)'!H590*$AW$25)</f>
        <v>0.9650827778255836</v>
      </c>
      <c r="AL592" s="7">
        <f ca="1">$AW$12*EXP(-'3.r(t)'!I590*$AW$26)</f>
        <v>0.98263794398768578</v>
      </c>
      <c r="AM592" s="7">
        <v>1</v>
      </c>
      <c r="AN592" s="7"/>
    </row>
    <row r="593" spans="2:40">
      <c r="B593" s="7">
        <v>585</v>
      </c>
      <c r="C593" s="7">
        <f>$AR$7*EXP(-'3.r(t)'!D591*$AR$21)</f>
        <v>0.97765346695821032</v>
      </c>
      <c r="D593" s="7">
        <v>1</v>
      </c>
      <c r="E593" s="7"/>
      <c r="F593" s="7">
        <v>585</v>
      </c>
      <c r="G593" s="48">
        <f>$AS$7*EXP(-'3.r(t)'!D591*$AS$21)</f>
        <v>0.9553476245219803</v>
      </c>
      <c r="H593" s="7">
        <f ca="1">$AS$8*EXP(-'3.r(t)'!E591*$AS$22)</f>
        <v>0.97316766664622412</v>
      </c>
      <c r="I593" s="7">
        <v>1</v>
      </c>
      <c r="J593" s="7"/>
      <c r="K593" s="7">
        <v>585</v>
      </c>
      <c r="L593" s="7">
        <f>$AT$7*EXP(-'3.r(t)'!D591*$AT$21)</f>
        <v>0.93311670519824419</v>
      </c>
      <c r="M593" s="7">
        <f ca="1">$AT$8*EXP(-'3.r(t)'!E591*$AT$22)</f>
        <v>0.94660923106106498</v>
      </c>
      <c r="N593" s="7">
        <f ca="1">$AT$9*EXP(-'3.r(t)'!F591*$AT$23)</f>
        <v>0.97053997634503375</v>
      </c>
      <c r="O593" s="7">
        <v>1</v>
      </c>
      <c r="P593" s="7"/>
      <c r="Q593" s="7">
        <v>585</v>
      </c>
      <c r="R593" s="7">
        <f>$AU$7*EXP(-'3.r(t)'!D591*$AU$21)</f>
        <v>0.91099305977534117</v>
      </c>
      <c r="S593" s="7">
        <f ca="1">$AU$8*EXP(-'3.r(t)'!E591*$AU$22)</f>
        <v>0.92035570101389519</v>
      </c>
      <c r="T593" s="7">
        <f ca="1">$AU$9*EXP(-'3.r(t)'!F591*$AU$23)</f>
        <v>0.94151253091202913</v>
      </c>
      <c r="U593" s="7">
        <f ca="1">$AU$10*EXP(-'3.r(t)'!G591*$AU$24)</f>
        <v>0.97101500642841077</v>
      </c>
      <c r="V593" s="7">
        <v>1</v>
      </c>
      <c r="W593" s="7"/>
      <c r="X593" s="7">
        <v>585</v>
      </c>
      <c r="Y593" s="7">
        <f>$AV$7*EXP(-'3.r(t)'!D591*$AV$21)</f>
        <v>0.88900715067201674</v>
      </c>
      <c r="Z593" s="7">
        <f ca="1">$AV$8*EXP(-'3.r(t)'!E591*$AV$22)</f>
        <v>0.89443564888403582</v>
      </c>
      <c r="AA593" s="7">
        <f ca="1">$AV$9*EXP(-'3.r(t)'!F591*$AV$23)</f>
        <v>0.91294484843622348</v>
      </c>
      <c r="AB593" s="7">
        <f ca="1">$AV$10*EXP(-'3.r(t)'!G591*$AV$24)</f>
        <v>0.94244276584652886</v>
      </c>
      <c r="AC593" s="7">
        <f ca="1">$AV$11*EXP(-'3.r(t)'!H591*$AV$25)</f>
        <v>0.97069698440904095</v>
      </c>
      <c r="AD593" s="7">
        <v>1</v>
      </c>
      <c r="AE593" s="7"/>
      <c r="AF593" s="7">
        <v>585</v>
      </c>
      <c r="AG593" s="7">
        <f>$AW$7*EXP(-'3.r(t)'!D591*$AW$21)</f>
        <v>0.86718755429225491</v>
      </c>
      <c r="AH593" s="7">
        <f ca="1">$AW$8*EXP(-'3.r(t)'!E591*$AW$22)</f>
        <v>0.86887525691474798</v>
      </c>
      <c r="AI593" s="7">
        <f ca="1">$AW$9*EXP(-'3.r(t)'!F591*$AW$23)</f>
        <v>0.88486141194484857</v>
      </c>
      <c r="AJ593" s="7">
        <f ca="1">$AW$10*EXP(-'3.r(t)'!G591*$AW$24)</f>
        <v>0.91431036841969249</v>
      </c>
      <c r="AK593" s="7">
        <f ca="1">$AW$11*EXP(-'3.r(t)'!H591*$AW$25)</f>
        <v>0.94183389731577316</v>
      </c>
      <c r="AL593" s="7">
        <f ca="1">$AW$12*EXP(-'3.r(t)'!I591*$AW$26)</f>
        <v>0.96997939331208605</v>
      </c>
      <c r="AM593" s="7">
        <v>1</v>
      </c>
      <c r="AN593" s="7"/>
    </row>
    <row r="594" spans="2:40">
      <c r="B594" s="7">
        <v>586</v>
      </c>
      <c r="C594" s="7">
        <f>$AR$7*EXP(-'3.r(t)'!D592*$AR$21)</f>
        <v>0.97765346695821032</v>
      </c>
      <c r="D594" s="7">
        <v>1</v>
      </c>
      <c r="E594" s="7"/>
      <c r="F594" s="7">
        <v>586</v>
      </c>
      <c r="G594" s="48">
        <f>$AS$7*EXP(-'3.r(t)'!D592*$AS$21)</f>
        <v>0.9553476245219803</v>
      </c>
      <c r="H594" s="7">
        <f ca="1">$AS$8*EXP(-'3.r(t)'!E592*$AS$22)</f>
        <v>0.97728884006381711</v>
      </c>
      <c r="I594" s="7">
        <v>1</v>
      </c>
      <c r="J594" s="7"/>
      <c r="K594" s="7">
        <v>586</v>
      </c>
      <c r="L594" s="7">
        <f>$AT$7*EXP(-'3.r(t)'!D592*$AT$21)</f>
        <v>0.93311670519824419</v>
      </c>
      <c r="M594" s="7">
        <f ca="1">$AT$8*EXP(-'3.r(t)'!E592*$AT$22)</f>
        <v>0.95464361447801149</v>
      </c>
      <c r="N594" s="7">
        <f ca="1">$AT$9*EXP(-'3.r(t)'!F592*$AT$23)</f>
        <v>0.97450678697968762</v>
      </c>
      <c r="O594" s="7">
        <v>1</v>
      </c>
      <c r="P594" s="7"/>
      <c r="Q594" s="7">
        <v>586</v>
      </c>
      <c r="R594" s="7">
        <f>$AU$7*EXP(-'3.r(t)'!D592*$AU$21)</f>
        <v>0.91099305977534117</v>
      </c>
      <c r="S594" s="7">
        <f ca="1">$AU$8*EXP(-'3.r(t)'!E592*$AU$22)</f>
        <v>0.93209786209563306</v>
      </c>
      <c r="T594" s="7">
        <f ca="1">$AU$9*EXP(-'3.r(t)'!F592*$AU$23)</f>
        <v>0.94922459737089904</v>
      </c>
      <c r="U594" s="7">
        <f ca="1">$AU$10*EXP(-'3.r(t)'!G592*$AU$24)</f>
        <v>0.97182504838300798</v>
      </c>
      <c r="V594" s="7">
        <v>1</v>
      </c>
      <c r="W594" s="7"/>
      <c r="X594" s="7">
        <v>586</v>
      </c>
      <c r="Y594" s="7">
        <f>$AV$7*EXP(-'3.r(t)'!D592*$AV$21)</f>
        <v>0.88900715067201674</v>
      </c>
      <c r="Z594" s="7">
        <f ca="1">$AV$8*EXP(-'3.r(t)'!E592*$AV$22)</f>
        <v>0.90968319866960878</v>
      </c>
      <c r="AA594" s="7">
        <f ca="1">$AV$9*EXP(-'3.r(t)'!F592*$AV$23)</f>
        <v>0.92418488399973364</v>
      </c>
      <c r="AB594" s="7">
        <f ca="1">$AV$10*EXP(-'3.r(t)'!G592*$AV$24)</f>
        <v>0.94401583445032433</v>
      </c>
      <c r="AC594" s="7">
        <f ca="1">$AV$11*EXP(-'3.r(t)'!H592*$AV$25)</f>
        <v>0.96599017025476885</v>
      </c>
      <c r="AD594" s="7">
        <v>1</v>
      </c>
      <c r="AE594" s="7"/>
      <c r="AF594" s="7">
        <v>586</v>
      </c>
      <c r="AG594" s="7">
        <f>$AW$7*EXP(-'3.r(t)'!D592*$AW$21)</f>
        <v>0.86718755429225491</v>
      </c>
      <c r="AH594" s="7">
        <f ca="1">$AW$8*EXP(-'3.r(t)'!E592*$AW$22)</f>
        <v>0.88742931642659084</v>
      </c>
      <c r="AI594" s="7">
        <f ca="1">$AW$9*EXP(-'3.r(t)'!F592*$AW$23)</f>
        <v>0.89941683936838679</v>
      </c>
      <c r="AJ594" s="7">
        <f ca="1">$AW$10*EXP(-'3.r(t)'!G592*$AW$24)</f>
        <v>0.91660049094422269</v>
      </c>
      <c r="AK594" s="7">
        <f ca="1">$AW$11*EXP(-'3.r(t)'!H592*$AW$25)</f>
        <v>0.93272232179938863</v>
      </c>
      <c r="AL594" s="7">
        <f ca="1">$AW$12*EXP(-'3.r(t)'!I592*$AW$26)</f>
        <v>0.96855485172122613</v>
      </c>
      <c r="AM594" s="7">
        <v>1</v>
      </c>
      <c r="AN594" s="7"/>
    </row>
    <row r="595" spans="2:40">
      <c r="B595" s="7">
        <v>587</v>
      </c>
      <c r="C595" s="7">
        <f>$AR$7*EXP(-'3.r(t)'!D593*$AR$21)</f>
        <v>0.97765346695821032</v>
      </c>
      <c r="D595" s="7">
        <v>1</v>
      </c>
      <c r="E595" s="7"/>
      <c r="F595" s="7">
        <v>587</v>
      </c>
      <c r="G595" s="48">
        <f>$AS$7*EXP(-'3.r(t)'!D593*$AS$21)</f>
        <v>0.9553476245219803</v>
      </c>
      <c r="H595" s="7">
        <f ca="1">$AS$8*EXP(-'3.r(t)'!E593*$AS$22)</f>
        <v>0.97821753729357408</v>
      </c>
      <c r="I595" s="7">
        <v>1</v>
      </c>
      <c r="J595" s="7"/>
      <c r="K595" s="7">
        <v>587</v>
      </c>
      <c r="L595" s="7">
        <f>$AT$7*EXP(-'3.r(t)'!D593*$AT$21)</f>
        <v>0.93311670519824419</v>
      </c>
      <c r="M595" s="7">
        <f ca="1">$AT$8*EXP(-'3.r(t)'!E593*$AT$22)</f>
        <v>0.9564588324373906</v>
      </c>
      <c r="N595" s="7">
        <f ca="1">$AT$9*EXP(-'3.r(t)'!F593*$AT$23)</f>
        <v>0.97767647399832436</v>
      </c>
      <c r="O595" s="7">
        <v>1</v>
      </c>
      <c r="P595" s="7"/>
      <c r="Q595" s="7">
        <v>587</v>
      </c>
      <c r="R595" s="7">
        <f>$AU$7*EXP(-'3.r(t)'!D593*$AU$21)</f>
        <v>0.91099305977534117</v>
      </c>
      <c r="S595" s="7">
        <f ca="1">$AU$8*EXP(-'3.r(t)'!E593*$AU$22)</f>
        <v>0.93475764758779567</v>
      </c>
      <c r="T595" s="7">
        <f ca="1">$AU$9*EXP(-'3.r(t)'!F593*$AU$23)</f>
        <v>0.95540954765706443</v>
      </c>
      <c r="U595" s="7">
        <f ca="1">$AU$10*EXP(-'3.r(t)'!G593*$AU$24)</f>
        <v>0.97681382417197404</v>
      </c>
      <c r="V595" s="7">
        <v>1</v>
      </c>
      <c r="W595" s="7"/>
      <c r="X595" s="7">
        <v>587</v>
      </c>
      <c r="Y595" s="7">
        <f>$AV$7*EXP(-'3.r(t)'!D593*$AV$21)</f>
        <v>0.88900715067201674</v>
      </c>
      <c r="Z595" s="7">
        <f ca="1">$AV$8*EXP(-'3.r(t)'!E593*$AV$22)</f>
        <v>0.91314594261024518</v>
      </c>
      <c r="AA595" s="7">
        <f ca="1">$AV$9*EXP(-'3.r(t)'!F593*$AV$23)</f>
        <v>0.93323227692446664</v>
      </c>
      <c r="AB595" s="7">
        <f ca="1">$AV$10*EXP(-'3.r(t)'!G593*$AV$24)</f>
        <v>0.95373275047356099</v>
      </c>
      <c r="AC595" s="7">
        <f ca="1">$AV$11*EXP(-'3.r(t)'!H593*$AV$25)</f>
        <v>0.98193615081055818</v>
      </c>
      <c r="AD595" s="7">
        <v>1</v>
      </c>
      <c r="AE595" s="7"/>
      <c r="AF595" s="7">
        <v>587</v>
      </c>
      <c r="AG595" s="7">
        <f>$AW$7*EXP(-'3.r(t)'!D593*$AW$21)</f>
        <v>0.86718755429225491</v>
      </c>
      <c r="AH595" s="7">
        <f ca="1">$AW$8*EXP(-'3.r(t)'!E593*$AW$22)</f>
        <v>0.89165386578313732</v>
      </c>
      <c r="AI595" s="7">
        <f ca="1">$AW$9*EXP(-'3.r(t)'!F593*$AW$23)</f>
        <v>0.9111758511678999</v>
      </c>
      <c r="AJ595" s="7">
        <f ca="1">$AW$10*EXP(-'3.r(t)'!G593*$AW$24)</f>
        <v>0.93078893399612295</v>
      </c>
      <c r="AK595" s="7">
        <f ca="1">$AW$11*EXP(-'3.r(t)'!H593*$AW$25)</f>
        <v>0.96377011322824691</v>
      </c>
      <c r="AL595" s="7">
        <f ca="1">$AW$12*EXP(-'3.r(t)'!I593*$AW$26)</f>
        <v>0.98087594155241442</v>
      </c>
      <c r="AM595" s="7">
        <v>1</v>
      </c>
      <c r="AN595" s="7"/>
    </row>
    <row r="596" spans="2:40">
      <c r="B596" s="7">
        <v>588</v>
      </c>
      <c r="C596" s="7">
        <f>$AR$7*EXP(-'3.r(t)'!D594*$AR$21)</f>
        <v>0.97765346695821032</v>
      </c>
      <c r="D596" s="7">
        <v>1</v>
      </c>
      <c r="E596" s="7"/>
      <c r="F596" s="7">
        <v>588</v>
      </c>
      <c r="G596" s="48">
        <f>$AS$7*EXP(-'3.r(t)'!D594*$AS$21)</f>
        <v>0.9553476245219803</v>
      </c>
      <c r="H596" s="7">
        <f ca="1">$AS$8*EXP(-'3.r(t)'!E594*$AS$22)</f>
        <v>0.97765572416909841</v>
      </c>
      <c r="I596" s="7">
        <v>1</v>
      </c>
      <c r="J596" s="7"/>
      <c r="K596" s="7">
        <v>588</v>
      </c>
      <c r="L596" s="7">
        <f>$AT$7*EXP(-'3.r(t)'!D594*$AT$21)</f>
        <v>0.93311670519824419</v>
      </c>
      <c r="M596" s="7">
        <f ca="1">$AT$8*EXP(-'3.r(t)'!E594*$AT$22)</f>
        <v>0.95536051473612671</v>
      </c>
      <c r="N596" s="7">
        <f ca="1">$AT$9*EXP(-'3.r(t)'!F594*$AT$23)</f>
        <v>0.97856637434394456</v>
      </c>
      <c r="O596" s="7">
        <v>1</v>
      </c>
      <c r="P596" s="7"/>
      <c r="Q596" s="7">
        <v>588</v>
      </c>
      <c r="R596" s="7">
        <f>$AU$7*EXP(-'3.r(t)'!D594*$AU$21)</f>
        <v>0.91099305977534117</v>
      </c>
      <c r="S596" s="7">
        <f ca="1">$AU$8*EXP(-'3.r(t)'!E594*$AU$22)</f>
        <v>0.93314801310088269</v>
      </c>
      <c r="T596" s="7">
        <f ca="1">$AU$9*EXP(-'3.r(t)'!F594*$AU$23)</f>
        <v>0.95714960431679841</v>
      </c>
      <c r="U596" s="7">
        <f ca="1">$AU$10*EXP(-'3.r(t)'!G594*$AU$24)</f>
        <v>0.98025577715128287</v>
      </c>
      <c r="V596" s="7">
        <v>1</v>
      </c>
      <c r="W596" s="7"/>
      <c r="X596" s="7">
        <v>588</v>
      </c>
      <c r="Y596" s="7">
        <f>$AV$7*EXP(-'3.r(t)'!D594*$AV$21)</f>
        <v>0.88900715067201674</v>
      </c>
      <c r="Z596" s="7">
        <f ca="1">$AV$8*EXP(-'3.r(t)'!E594*$AV$22)</f>
        <v>0.91104998514465618</v>
      </c>
      <c r="AA596" s="7">
        <f ca="1">$AV$9*EXP(-'3.r(t)'!F594*$AV$23)</f>
        <v>0.93578293626787146</v>
      </c>
      <c r="AB596" s="7">
        <f ca="1">$AV$10*EXP(-'3.r(t)'!G594*$AV$24)</f>
        <v>0.96046583871257607</v>
      </c>
      <c r="AC596" s="7">
        <f ca="1">$AV$11*EXP(-'3.r(t)'!H594*$AV$25)</f>
        <v>0.98130497535031069</v>
      </c>
      <c r="AD596" s="7">
        <v>1</v>
      </c>
      <c r="AE596" s="7"/>
      <c r="AF596" s="7">
        <v>588</v>
      </c>
      <c r="AG596" s="7">
        <f>$AW$7*EXP(-'3.r(t)'!D594*$AW$21)</f>
        <v>0.86718755429225491</v>
      </c>
      <c r="AH596" s="7">
        <f ca="1">$AW$8*EXP(-'3.r(t)'!E594*$AW$22)</f>
        <v>0.88909631723545013</v>
      </c>
      <c r="AI596" s="7">
        <f ca="1">$AW$9*EXP(-'3.r(t)'!F594*$AW$23)</f>
        <v>0.91449786405711087</v>
      </c>
      <c r="AJ596" s="7">
        <f ca="1">$AW$10*EXP(-'3.r(t)'!G594*$AW$24)</f>
        <v>0.94066297681758171</v>
      </c>
      <c r="AK596" s="7">
        <f ca="1">$AW$11*EXP(-'3.r(t)'!H594*$AW$25)</f>
        <v>0.96253151428647465</v>
      </c>
      <c r="AL596" s="7">
        <f ca="1">$AW$12*EXP(-'3.r(t)'!I594*$AW$26)</f>
        <v>0.98011240656338783</v>
      </c>
      <c r="AM596" s="7">
        <v>1</v>
      </c>
      <c r="AN596" s="7"/>
    </row>
    <row r="597" spans="2:40">
      <c r="B597" s="7">
        <v>589</v>
      </c>
      <c r="C597" s="7">
        <f>$AR$7*EXP(-'3.r(t)'!D595*$AR$21)</f>
        <v>0.97765346695821032</v>
      </c>
      <c r="D597" s="7">
        <v>1</v>
      </c>
      <c r="E597" s="7"/>
      <c r="F597" s="7">
        <v>589</v>
      </c>
      <c r="G597" s="48">
        <f>$AS$7*EXP(-'3.r(t)'!D595*$AS$21)</f>
        <v>0.9553476245219803</v>
      </c>
      <c r="H597" s="7">
        <f ca="1">$AS$8*EXP(-'3.r(t)'!E595*$AS$22)</f>
        <v>0.97574698759482459</v>
      </c>
      <c r="I597" s="7">
        <v>1</v>
      </c>
      <c r="J597" s="7"/>
      <c r="K597" s="7">
        <v>589</v>
      </c>
      <c r="L597" s="7">
        <f>$AT$7*EXP(-'3.r(t)'!D595*$AT$21)</f>
        <v>0.93311670519824419</v>
      </c>
      <c r="M597" s="7">
        <f ca="1">$AT$8*EXP(-'3.r(t)'!E595*$AT$22)</f>
        <v>0.95163373972643384</v>
      </c>
      <c r="N597" s="7">
        <f ca="1">$AT$9*EXP(-'3.r(t)'!F595*$AT$23)</f>
        <v>0.97815895047271673</v>
      </c>
      <c r="O597" s="7">
        <v>1</v>
      </c>
      <c r="P597" s="7"/>
      <c r="Q597" s="7">
        <v>589</v>
      </c>
      <c r="R597" s="7">
        <f>$AU$7*EXP(-'3.r(t)'!D595*$AU$21)</f>
        <v>0.91099305977534117</v>
      </c>
      <c r="S597" s="7">
        <f ca="1">$AU$8*EXP(-'3.r(t)'!E595*$AU$22)</f>
        <v>0.92769315242095196</v>
      </c>
      <c r="T597" s="7">
        <f ca="1">$AU$9*EXP(-'3.r(t)'!F595*$AU$23)</f>
        <v>0.9563527561382491</v>
      </c>
      <c r="U597" s="7">
        <f ca="1">$AU$10*EXP(-'3.r(t)'!G595*$AU$24)</f>
        <v>0.97993457008999285</v>
      </c>
      <c r="V597" s="7">
        <v>1</v>
      </c>
      <c r="W597" s="7"/>
      <c r="X597" s="7">
        <v>589</v>
      </c>
      <c r="Y597" s="7">
        <f>$AV$7*EXP(-'3.r(t)'!D595*$AV$21)</f>
        <v>0.88900715067201674</v>
      </c>
      <c r="Z597" s="7">
        <f ca="1">$AV$8*EXP(-'3.r(t)'!E595*$AV$22)</f>
        <v>0.90395600140124843</v>
      </c>
      <c r="AA597" s="7">
        <f ca="1">$AV$9*EXP(-'3.r(t)'!F595*$AV$23)</f>
        <v>0.93461458958739552</v>
      </c>
      <c r="AB597" s="7">
        <f ca="1">$AV$10*EXP(-'3.r(t)'!G595*$AV$24)</f>
        <v>0.95983649712400221</v>
      </c>
      <c r="AC597" s="7">
        <f ca="1">$AV$11*EXP(-'3.r(t)'!H595*$AV$25)</f>
        <v>0.98171964532770584</v>
      </c>
      <c r="AD597" s="7">
        <v>1</v>
      </c>
      <c r="AE597" s="7"/>
      <c r="AF597" s="7">
        <v>589</v>
      </c>
      <c r="AG597" s="7">
        <f>$AW$7*EXP(-'3.r(t)'!D595*$AW$21)</f>
        <v>0.86718755429225491</v>
      </c>
      <c r="AH597" s="7">
        <f ca="1">$AW$8*EXP(-'3.r(t)'!E595*$AW$22)</f>
        <v>0.88045095756641689</v>
      </c>
      <c r="AI597" s="7">
        <f ca="1">$AW$9*EXP(-'3.r(t)'!F595*$AW$23)</f>
        <v>0.91297581856304377</v>
      </c>
      <c r="AJ597" s="7">
        <f ca="1">$AW$10*EXP(-'3.r(t)'!G595*$AW$24)</f>
        <v>0.93973857952796158</v>
      </c>
      <c r="AK597" s="7">
        <f ca="1">$AW$11*EXP(-'3.r(t)'!H595*$AW$25)</f>
        <v>0.96334515991568292</v>
      </c>
      <c r="AL597" s="7">
        <f ca="1">$AW$12*EXP(-'3.r(t)'!I595*$AW$26)</f>
        <v>0.98457336993120037</v>
      </c>
      <c r="AM597" s="7">
        <v>1</v>
      </c>
      <c r="AN597" s="7"/>
    </row>
    <row r="598" spans="2:40">
      <c r="B598" s="7">
        <v>590</v>
      </c>
      <c r="C598" s="7">
        <f>$AR$7*EXP(-'3.r(t)'!D596*$AR$21)</f>
        <v>0.97765346695821032</v>
      </c>
      <c r="D598" s="7">
        <v>1</v>
      </c>
      <c r="E598" s="7"/>
      <c r="F598" s="7">
        <v>590</v>
      </c>
      <c r="G598" s="48">
        <f>$AS$7*EXP(-'3.r(t)'!D596*$AS$21)</f>
        <v>0.9553476245219803</v>
      </c>
      <c r="H598" s="7">
        <f ca="1">$AS$8*EXP(-'3.r(t)'!E596*$AS$22)</f>
        <v>0.972150541025118</v>
      </c>
      <c r="I598" s="7">
        <v>1</v>
      </c>
      <c r="J598" s="7"/>
      <c r="K598" s="7">
        <v>590</v>
      </c>
      <c r="L598" s="7">
        <f>$AT$7*EXP(-'3.r(t)'!D596*$AT$21)</f>
        <v>0.93311670519824419</v>
      </c>
      <c r="M598" s="7">
        <f ca="1">$AT$8*EXP(-'3.r(t)'!E596*$AT$22)</f>
        <v>0.94463153003475275</v>
      </c>
      <c r="N598" s="7">
        <f ca="1">$AT$9*EXP(-'3.r(t)'!F596*$AT$23)</f>
        <v>0.97115878217070828</v>
      </c>
      <c r="O598" s="7">
        <v>1</v>
      </c>
      <c r="P598" s="7"/>
      <c r="Q598" s="7">
        <v>590</v>
      </c>
      <c r="R598" s="7">
        <f>$AU$7*EXP(-'3.r(t)'!D596*$AU$21)</f>
        <v>0.91099305977534117</v>
      </c>
      <c r="S598" s="7">
        <f ca="1">$AU$8*EXP(-'3.r(t)'!E596*$AU$22)</f>
        <v>0.91747293167663513</v>
      </c>
      <c r="T598" s="7">
        <f ca="1">$AU$9*EXP(-'3.r(t)'!F596*$AU$23)</f>
        <v>0.94271351013452864</v>
      </c>
      <c r="U598" s="7">
        <f ca="1">$AU$10*EXP(-'3.r(t)'!G596*$AU$24)</f>
        <v>0.97315860381678021</v>
      </c>
      <c r="V598" s="7">
        <v>1</v>
      </c>
      <c r="W598" s="7"/>
      <c r="X598" s="7">
        <v>590</v>
      </c>
      <c r="Y598" s="7">
        <f>$AV$7*EXP(-'3.r(t)'!D596*$AV$21)</f>
        <v>0.88900715067201674</v>
      </c>
      <c r="Z598" s="7">
        <f ca="1">$AV$8*EXP(-'3.r(t)'!E596*$AV$22)</f>
        <v>0.89070215806162223</v>
      </c>
      <c r="AA598" s="7">
        <f ca="1">$AV$9*EXP(-'3.r(t)'!F596*$AV$23)</f>
        <v>0.91469221344303775</v>
      </c>
      <c r="AB598" s="7">
        <f ca="1">$AV$10*EXP(-'3.r(t)'!G596*$AV$24)</f>
        <v>0.94660840229637611</v>
      </c>
      <c r="AC598" s="7">
        <f ca="1">$AV$11*EXP(-'3.r(t)'!H596*$AV$25)</f>
        <v>0.97174653724872695</v>
      </c>
      <c r="AD598" s="7">
        <v>1</v>
      </c>
      <c r="AE598" s="7"/>
      <c r="AF598" s="7">
        <v>590</v>
      </c>
      <c r="AG598" s="7">
        <f>$AW$7*EXP(-'3.r(t)'!D596*$AW$21)</f>
        <v>0.86718755429225491</v>
      </c>
      <c r="AH598" s="7">
        <f ca="1">$AW$8*EXP(-'3.r(t)'!E596*$AW$22)</f>
        <v>0.86434412678993167</v>
      </c>
      <c r="AI598" s="7">
        <f ca="1">$AW$9*EXP(-'3.r(t)'!F596*$AW$23)</f>
        <v>0.88712028353242833</v>
      </c>
      <c r="AJ598" s="7">
        <f ca="1">$AW$10*EXP(-'3.r(t)'!G596*$AW$24)</f>
        <v>0.92037899710949722</v>
      </c>
      <c r="AK598" s="7">
        <f ca="1">$AW$11*EXP(-'3.r(t)'!H596*$AW$25)</f>
        <v>0.94387168843036495</v>
      </c>
      <c r="AL598" s="7">
        <f ca="1">$AW$12*EXP(-'3.r(t)'!I596*$AW$26)</f>
        <v>0.97403285743085544</v>
      </c>
      <c r="AM598" s="7">
        <v>1</v>
      </c>
      <c r="AN598" s="7"/>
    </row>
    <row r="599" spans="2:40">
      <c r="B599" s="7">
        <v>591</v>
      </c>
      <c r="C599" s="7">
        <f>$AR$7*EXP(-'3.r(t)'!D597*$AR$21)</f>
        <v>0.97765346695821032</v>
      </c>
      <c r="D599" s="7">
        <v>1</v>
      </c>
      <c r="E599" s="7"/>
      <c r="F599" s="7">
        <v>591</v>
      </c>
      <c r="G599" s="48">
        <f>$AS$7*EXP(-'3.r(t)'!D597*$AS$21)</f>
        <v>0.9553476245219803</v>
      </c>
      <c r="H599" s="7">
        <f ca="1">$AS$8*EXP(-'3.r(t)'!E597*$AS$22)</f>
        <v>0.98136563341419636</v>
      </c>
      <c r="I599" s="7">
        <v>1</v>
      </c>
      <c r="J599" s="7"/>
      <c r="K599" s="7">
        <v>591</v>
      </c>
      <c r="L599" s="7">
        <f>$AT$7*EXP(-'3.r(t)'!D597*$AT$21)</f>
        <v>0.93311670519824419</v>
      </c>
      <c r="M599" s="7">
        <f ca="1">$AT$8*EXP(-'3.r(t)'!E597*$AT$22)</f>
        <v>0.96262488295017268</v>
      </c>
      <c r="N599" s="7">
        <f ca="1">$AT$9*EXP(-'3.r(t)'!F597*$AT$23)</f>
        <v>0.98253472237870298</v>
      </c>
      <c r="O599" s="7">
        <v>1</v>
      </c>
      <c r="P599" s="7"/>
      <c r="Q599" s="7">
        <v>591</v>
      </c>
      <c r="R599" s="7">
        <f>$AU$7*EXP(-'3.r(t)'!D597*$AU$21)</f>
        <v>0.91099305977534117</v>
      </c>
      <c r="S599" s="7">
        <f ca="1">$AU$8*EXP(-'3.r(t)'!E597*$AU$22)</f>
        <v>0.94381142298823939</v>
      </c>
      <c r="T599" s="7">
        <f ca="1">$AU$9*EXP(-'3.r(t)'!F597*$AU$23)</f>
        <v>0.9649283394484367</v>
      </c>
      <c r="U599" s="7">
        <f ca="1">$AU$10*EXP(-'3.r(t)'!G597*$AU$24)</f>
        <v>0.97887830171736179</v>
      </c>
      <c r="V599" s="7">
        <v>1</v>
      </c>
      <c r="W599" s="7"/>
      <c r="X599" s="7">
        <v>591</v>
      </c>
      <c r="Y599" s="7">
        <f>$AV$7*EXP(-'3.r(t)'!D597*$AV$21)</f>
        <v>0.88900715067201674</v>
      </c>
      <c r="Z599" s="7">
        <f ca="1">$AV$8*EXP(-'3.r(t)'!E597*$AV$22)</f>
        <v>0.9249575398073111</v>
      </c>
      <c r="AA599" s="7">
        <f ca="1">$AV$9*EXP(-'3.r(t)'!F597*$AV$23)</f>
        <v>0.94721371535942156</v>
      </c>
      <c r="AB599" s="7">
        <f ca="1">$AV$10*EXP(-'3.r(t)'!G597*$AV$24)</f>
        <v>0.95776840287441944</v>
      </c>
      <c r="AC599" s="7">
        <f ca="1">$AV$11*EXP(-'3.r(t)'!H597*$AV$25)</f>
        <v>0.97725889040003167</v>
      </c>
      <c r="AD599" s="7">
        <v>1</v>
      </c>
      <c r="AE599" s="7"/>
      <c r="AF599" s="7">
        <v>591</v>
      </c>
      <c r="AG599" s="7">
        <f>$AW$7*EXP(-'3.r(t)'!D597*$AW$21)</f>
        <v>0.86718755429225491</v>
      </c>
      <c r="AH599" s="7">
        <f ca="1">$AW$8*EXP(-'3.r(t)'!E597*$AW$22)</f>
        <v>0.90609409628957138</v>
      </c>
      <c r="AI599" s="7">
        <f ca="1">$AW$9*EXP(-'3.r(t)'!F597*$AW$23)</f>
        <v>0.92942247525707322</v>
      </c>
      <c r="AJ599" s="7">
        <f ca="1">$AW$10*EXP(-'3.r(t)'!G597*$AW$24)</f>
        <v>0.93670303016479473</v>
      </c>
      <c r="AK599" s="7">
        <f ca="1">$AW$11*EXP(-'3.r(t)'!H597*$AW$25)</f>
        <v>0.95461052016961878</v>
      </c>
      <c r="AL599" s="7">
        <f ca="1">$AW$12*EXP(-'3.r(t)'!I597*$AW$26)</f>
        <v>0.97428628058440303</v>
      </c>
      <c r="AM599" s="7">
        <v>1</v>
      </c>
      <c r="AN599" s="7"/>
    </row>
    <row r="600" spans="2:40">
      <c r="B600" s="7">
        <v>592</v>
      </c>
      <c r="C600" s="7">
        <f>$AR$7*EXP(-'3.r(t)'!D598*$AR$21)</f>
        <v>0.97765346695821032</v>
      </c>
      <c r="D600" s="7">
        <v>1</v>
      </c>
      <c r="E600" s="7"/>
      <c r="F600" s="7">
        <v>592</v>
      </c>
      <c r="G600" s="48">
        <f>$AS$7*EXP(-'3.r(t)'!D598*$AS$21)</f>
        <v>0.9553476245219803</v>
      </c>
      <c r="H600" s="7">
        <f ca="1">$AS$8*EXP(-'3.r(t)'!E598*$AS$22)</f>
        <v>0.98076142563745727</v>
      </c>
      <c r="I600" s="7">
        <v>1</v>
      </c>
      <c r="J600" s="7"/>
      <c r="K600" s="7">
        <v>592</v>
      </c>
      <c r="L600" s="7">
        <f>$AT$7*EXP(-'3.r(t)'!D598*$AT$21)</f>
        <v>0.93311670519824419</v>
      </c>
      <c r="M600" s="7">
        <f ca="1">$AT$8*EXP(-'3.r(t)'!E598*$AT$22)</f>
        <v>0.96143990892455966</v>
      </c>
      <c r="N600" s="7">
        <f ca="1">$AT$9*EXP(-'3.r(t)'!F598*$AT$23)</f>
        <v>0.97717505501037505</v>
      </c>
      <c r="O600" s="7">
        <v>1</v>
      </c>
      <c r="P600" s="7"/>
      <c r="Q600" s="7">
        <v>592</v>
      </c>
      <c r="R600" s="7">
        <f>$AU$7*EXP(-'3.r(t)'!D598*$AU$21)</f>
        <v>0.91099305977534117</v>
      </c>
      <c r="S600" s="7">
        <f ca="1">$AU$8*EXP(-'3.r(t)'!E598*$AU$22)</f>
        <v>0.94206923692439337</v>
      </c>
      <c r="T600" s="7">
        <f ca="1">$AU$9*EXP(-'3.r(t)'!F598*$AU$23)</f>
        <v>0.95442980097439167</v>
      </c>
      <c r="U600" s="7">
        <f ca="1">$AU$10*EXP(-'3.r(t)'!G598*$AU$24)</f>
        <v>0.98094437739865925</v>
      </c>
      <c r="V600" s="7">
        <v>1</v>
      </c>
      <c r="W600" s="7"/>
      <c r="X600" s="7">
        <v>592</v>
      </c>
      <c r="Y600" s="7">
        <f>$AV$7*EXP(-'3.r(t)'!D598*$AV$21)</f>
        <v>0.88900715067201674</v>
      </c>
      <c r="Z600" s="7">
        <f ca="1">$AV$8*EXP(-'3.r(t)'!E598*$AV$22)</f>
        <v>0.92268172901230294</v>
      </c>
      <c r="AA600" s="7">
        <f ca="1">$AV$9*EXP(-'3.r(t)'!F598*$AV$23)</f>
        <v>0.93179713826981914</v>
      </c>
      <c r="AB600" s="7">
        <f ca="1">$AV$10*EXP(-'3.r(t)'!G598*$AV$24)</f>
        <v>0.96181570948773787</v>
      </c>
      <c r="AC600" s="7">
        <f ca="1">$AV$11*EXP(-'3.r(t)'!H598*$AV$25)</f>
        <v>0.98298036960526536</v>
      </c>
      <c r="AD600" s="7">
        <v>1</v>
      </c>
      <c r="AE600" s="7"/>
      <c r="AF600" s="7">
        <v>592</v>
      </c>
      <c r="AG600" s="7">
        <f>$AW$7*EXP(-'3.r(t)'!D598*$AW$21)</f>
        <v>0.86718755429225491</v>
      </c>
      <c r="AH600" s="7">
        <f ca="1">$AW$8*EXP(-'3.r(t)'!E598*$AW$22)</f>
        <v>0.9033082060793437</v>
      </c>
      <c r="AI600" s="7">
        <f ca="1">$AW$9*EXP(-'3.r(t)'!F598*$AW$23)</f>
        <v>0.90930803691211659</v>
      </c>
      <c r="AJ600" s="7">
        <f ca="1">$AW$10*EXP(-'3.r(t)'!G598*$AW$24)</f>
        <v>0.94264673217599115</v>
      </c>
      <c r="AK600" s="7">
        <f ca="1">$AW$11*EXP(-'3.r(t)'!H598*$AW$25)</f>
        <v>0.96582100416523631</v>
      </c>
      <c r="AL600" s="7">
        <f ca="1">$AW$12*EXP(-'3.r(t)'!I598*$AW$26)</f>
        <v>0.97985656218223149</v>
      </c>
      <c r="AM600" s="7">
        <v>1</v>
      </c>
      <c r="AN600" s="7"/>
    </row>
    <row r="601" spans="2:40">
      <c r="B601" s="7">
        <v>593</v>
      </c>
      <c r="C601" s="7">
        <f>$AR$7*EXP(-'3.r(t)'!D599*$AR$21)</f>
        <v>0.97765346695821032</v>
      </c>
      <c r="D601" s="7">
        <v>1</v>
      </c>
      <c r="E601" s="7"/>
      <c r="F601" s="7">
        <v>593</v>
      </c>
      <c r="G601" s="48">
        <f>$AS$7*EXP(-'3.r(t)'!D599*$AS$21)</f>
        <v>0.9553476245219803</v>
      </c>
      <c r="H601" s="7">
        <f ca="1">$AS$8*EXP(-'3.r(t)'!E599*$AS$22)</f>
        <v>0.97717089109843602</v>
      </c>
      <c r="I601" s="7">
        <v>1</v>
      </c>
      <c r="J601" s="7"/>
      <c r="K601" s="7">
        <v>593</v>
      </c>
      <c r="L601" s="7">
        <f>$AT$7*EXP(-'3.r(t)'!D599*$AT$21)</f>
        <v>0.93311670519824419</v>
      </c>
      <c r="M601" s="7">
        <f ca="1">$AT$8*EXP(-'3.r(t)'!E599*$AT$22)</f>
        <v>0.95441319655606083</v>
      </c>
      <c r="N601" s="7">
        <f ca="1">$AT$9*EXP(-'3.r(t)'!F599*$AT$23)</f>
        <v>0.9754915710792873</v>
      </c>
      <c r="O601" s="7">
        <v>1</v>
      </c>
      <c r="P601" s="7"/>
      <c r="Q601" s="7">
        <v>593</v>
      </c>
      <c r="R601" s="7">
        <f>$AU$7*EXP(-'3.r(t)'!D599*$AU$21)</f>
        <v>0.91099305977534117</v>
      </c>
      <c r="S601" s="7">
        <f ca="1">$AU$8*EXP(-'3.r(t)'!E599*$AU$22)</f>
        <v>0.93176041822282163</v>
      </c>
      <c r="T601" s="7">
        <f ca="1">$AU$9*EXP(-'3.r(t)'!F599*$AU$23)</f>
        <v>0.95114403728196217</v>
      </c>
      <c r="U601" s="7">
        <f ca="1">$AU$10*EXP(-'3.r(t)'!G599*$AU$24)</f>
        <v>0.9751546607688828</v>
      </c>
      <c r="V601" s="7">
        <v>1</v>
      </c>
      <c r="W601" s="7"/>
      <c r="X601" s="7">
        <v>593</v>
      </c>
      <c r="Y601" s="7">
        <f>$AV$7*EXP(-'3.r(t)'!D599*$AV$21)</f>
        <v>0.88900715067201674</v>
      </c>
      <c r="Z601" s="7">
        <f ca="1">$AV$8*EXP(-'3.r(t)'!E599*$AV$22)</f>
        <v>0.90924411959733964</v>
      </c>
      <c r="AA601" s="7">
        <f ca="1">$AV$9*EXP(-'3.r(t)'!F599*$AV$23)</f>
        <v>0.92698951077622382</v>
      </c>
      <c r="AB601" s="7">
        <f ca="1">$AV$10*EXP(-'3.r(t)'!G599*$AV$24)</f>
        <v>0.9504955837825565</v>
      </c>
      <c r="AC601" s="7">
        <f ca="1">$AV$11*EXP(-'3.r(t)'!H599*$AV$25)</f>
        <v>0.97229005744935471</v>
      </c>
      <c r="AD601" s="7">
        <v>1</v>
      </c>
      <c r="AE601" s="7"/>
      <c r="AF601" s="7">
        <v>593</v>
      </c>
      <c r="AG601" s="7">
        <f>$AW$7*EXP(-'3.r(t)'!D599*$AW$21)</f>
        <v>0.86718755429225491</v>
      </c>
      <c r="AH601" s="7">
        <f ca="1">$AW$8*EXP(-'3.r(t)'!E599*$AW$22)</f>
        <v>0.88689392656583144</v>
      </c>
      <c r="AI601" s="7">
        <f ca="1">$AW$9*EXP(-'3.r(t)'!F599*$AW$23)</f>
        <v>0.90305796297112439</v>
      </c>
      <c r="AJ601" s="7">
        <f ca="1">$AW$10*EXP(-'3.r(t)'!G599*$AW$24)</f>
        <v>0.92605402157514383</v>
      </c>
      <c r="AK601" s="7">
        <f ca="1">$AW$11*EXP(-'3.r(t)'!H599*$AW$25)</f>
        <v>0.94492784202571678</v>
      </c>
      <c r="AL601" s="7">
        <f ca="1">$AW$12*EXP(-'3.r(t)'!I599*$AW$26)</f>
        <v>0.96976730508799103</v>
      </c>
      <c r="AM601" s="7">
        <v>1</v>
      </c>
      <c r="AN601" s="7"/>
    </row>
    <row r="602" spans="2:40">
      <c r="B602" s="7">
        <v>594</v>
      </c>
      <c r="C602" s="7">
        <f>$AR$7*EXP(-'3.r(t)'!D600*$AR$21)</f>
        <v>0.97765346695821032</v>
      </c>
      <c r="D602" s="7">
        <v>1</v>
      </c>
      <c r="E602" s="7"/>
      <c r="F602" s="7">
        <v>594</v>
      </c>
      <c r="G602" s="48">
        <f>$AS$7*EXP(-'3.r(t)'!D600*$AS$21)</f>
        <v>0.9553476245219803</v>
      </c>
      <c r="H602" s="7">
        <f ca="1">$AS$8*EXP(-'3.r(t)'!E600*$AS$22)</f>
        <v>0.97601093887058787</v>
      </c>
      <c r="I602" s="7">
        <v>1</v>
      </c>
      <c r="J602" s="7"/>
      <c r="K602" s="7">
        <v>594</v>
      </c>
      <c r="L602" s="7">
        <f>$AT$7*EXP(-'3.r(t)'!D600*$AT$21)</f>
        <v>0.93311670519824419</v>
      </c>
      <c r="M602" s="7">
        <f ca="1">$AT$8*EXP(-'3.r(t)'!E600*$AT$22)</f>
        <v>0.95214866606927706</v>
      </c>
      <c r="N602" s="7">
        <f ca="1">$AT$9*EXP(-'3.r(t)'!F600*$AT$23)</f>
        <v>0.97714486332019412</v>
      </c>
      <c r="O602" s="7">
        <v>1</v>
      </c>
      <c r="P602" s="7"/>
      <c r="Q602" s="7">
        <v>594</v>
      </c>
      <c r="R602" s="7">
        <f>$AU$7*EXP(-'3.r(t)'!D600*$AU$21)</f>
        <v>0.91099305977534117</v>
      </c>
      <c r="S602" s="7">
        <f ca="1">$AU$8*EXP(-'3.r(t)'!E600*$AU$22)</f>
        <v>0.92844621250513892</v>
      </c>
      <c r="T602" s="7">
        <f ca="1">$AU$9*EXP(-'3.r(t)'!F600*$AU$23)</f>
        <v>0.95437082402130158</v>
      </c>
      <c r="U602" s="7">
        <f ca="1">$AU$10*EXP(-'3.r(t)'!G600*$AU$24)</f>
        <v>0.97657175974193156</v>
      </c>
      <c r="V602" s="7">
        <v>1</v>
      </c>
      <c r="W602" s="7"/>
      <c r="X602" s="7">
        <v>594</v>
      </c>
      <c r="Y602" s="7">
        <f>$AV$7*EXP(-'3.r(t)'!D600*$AV$21)</f>
        <v>0.88900715067201674</v>
      </c>
      <c r="Z602" s="7">
        <f ca="1">$AV$8*EXP(-'3.r(t)'!E600*$AV$22)</f>
        <v>0.90493452217224635</v>
      </c>
      <c r="AA602" s="7">
        <f ca="1">$AV$9*EXP(-'3.r(t)'!F600*$AV$23)</f>
        <v>0.93171077198007435</v>
      </c>
      <c r="AB602" s="7">
        <f ca="1">$AV$10*EXP(-'3.r(t)'!G600*$AV$24)</f>
        <v>0.95326011963312673</v>
      </c>
      <c r="AC602" s="7">
        <f ca="1">$AV$11*EXP(-'3.r(t)'!H600*$AV$25)</f>
        <v>0.97528584573835597</v>
      </c>
      <c r="AD602" s="7">
        <v>1</v>
      </c>
      <c r="AE602" s="7"/>
      <c r="AF602" s="7">
        <v>594</v>
      </c>
      <c r="AG602" s="7">
        <f>$AW$7*EXP(-'3.r(t)'!D600*$AW$21)</f>
        <v>0.86718755429225491</v>
      </c>
      <c r="AH602" s="7">
        <f ca="1">$AW$8*EXP(-'3.r(t)'!E600*$AW$22)</f>
        <v>0.88164246480327813</v>
      </c>
      <c r="AI602" s="7">
        <f ca="1">$AW$9*EXP(-'3.r(t)'!F600*$AW$23)</f>
        <v>0.90919566288426856</v>
      </c>
      <c r="AJ602" s="7">
        <f ca="1">$AW$10*EXP(-'3.r(t)'!G600*$AW$24)</f>
        <v>0.93009712848263204</v>
      </c>
      <c r="AK602" s="7">
        <f ca="1">$AW$11*EXP(-'3.r(t)'!H600*$AW$25)</f>
        <v>0.95075977423833635</v>
      </c>
      <c r="AL602" s="7">
        <f ca="1">$AW$12*EXP(-'3.r(t)'!I600*$AW$26)</f>
        <v>0.9693761319970714</v>
      </c>
      <c r="AM602" s="7">
        <v>1</v>
      </c>
      <c r="AN602" s="7"/>
    </row>
    <row r="603" spans="2:40">
      <c r="B603" s="7">
        <v>595</v>
      </c>
      <c r="C603" s="7">
        <f>$AR$7*EXP(-'3.r(t)'!D601*$AR$21)</f>
        <v>0.97765346695821032</v>
      </c>
      <c r="D603" s="7">
        <v>1</v>
      </c>
      <c r="E603" s="7"/>
      <c r="F603" s="7">
        <v>595</v>
      </c>
      <c r="G603" s="48">
        <f>$AS$7*EXP(-'3.r(t)'!D601*$AS$21)</f>
        <v>0.9553476245219803</v>
      </c>
      <c r="H603" s="7">
        <f ca="1">$AS$8*EXP(-'3.r(t)'!E601*$AS$22)</f>
        <v>0.97699655528119811</v>
      </c>
      <c r="I603" s="7">
        <v>1</v>
      </c>
      <c r="J603" s="7"/>
      <c r="K603" s="7">
        <v>595</v>
      </c>
      <c r="L603" s="7">
        <f>$AT$7*EXP(-'3.r(t)'!D601*$AT$21)</f>
        <v>0.93311670519824419</v>
      </c>
      <c r="M603" s="7">
        <f ca="1">$AT$8*EXP(-'3.r(t)'!E601*$AT$22)</f>
        <v>0.95407267564298848</v>
      </c>
      <c r="N603" s="7">
        <f ca="1">$AT$9*EXP(-'3.r(t)'!F601*$AT$23)</f>
        <v>0.97602094898255554</v>
      </c>
      <c r="O603" s="7">
        <v>1</v>
      </c>
      <c r="P603" s="7"/>
      <c r="Q603" s="7">
        <v>595</v>
      </c>
      <c r="R603" s="7">
        <f>$AU$7*EXP(-'3.r(t)'!D601*$AU$21)</f>
        <v>0.91099305977534117</v>
      </c>
      <c r="S603" s="7">
        <f ca="1">$AU$8*EXP(-'3.r(t)'!E601*$AU$22)</f>
        <v>0.93126180461303276</v>
      </c>
      <c r="T603" s="7">
        <f ca="1">$AU$9*EXP(-'3.r(t)'!F601*$AU$23)</f>
        <v>0.95217664745364405</v>
      </c>
      <c r="U603" s="7">
        <f ca="1">$AU$10*EXP(-'3.r(t)'!G601*$AU$24)</f>
        <v>0.9748578920032539</v>
      </c>
      <c r="V603" s="7">
        <v>1</v>
      </c>
      <c r="W603" s="7"/>
      <c r="X603" s="7">
        <v>595</v>
      </c>
      <c r="Y603" s="7">
        <f>$AV$7*EXP(-'3.r(t)'!D601*$AV$21)</f>
        <v>0.88900715067201674</v>
      </c>
      <c r="Z603" s="7">
        <f ca="1">$AV$8*EXP(-'3.r(t)'!E601*$AV$22)</f>
        <v>0.90859542486942846</v>
      </c>
      <c r="AA603" s="7">
        <f ca="1">$AV$9*EXP(-'3.r(t)'!F601*$AV$23)</f>
        <v>0.92849950061161113</v>
      </c>
      <c r="AB603" s="7">
        <f ca="1">$AV$10*EXP(-'3.r(t)'!G601*$AV$24)</f>
        <v>0.94991714327423293</v>
      </c>
      <c r="AC603" s="7">
        <f ca="1">$AV$11*EXP(-'3.r(t)'!H601*$AV$25)</f>
        <v>0.97517877593163738</v>
      </c>
      <c r="AD603" s="7">
        <v>1</v>
      </c>
      <c r="AE603" s="7"/>
      <c r="AF603" s="7">
        <v>595</v>
      </c>
      <c r="AG603" s="7">
        <f>$AW$7*EXP(-'3.r(t)'!D601*$AW$21)</f>
        <v>0.86718755429225491</v>
      </c>
      <c r="AH603" s="7">
        <f ca="1">$AW$8*EXP(-'3.r(t)'!E601*$AW$22)</f>
        <v>0.88610306071748646</v>
      </c>
      <c r="AI603" s="7">
        <f ca="1">$AW$9*EXP(-'3.r(t)'!F601*$AW$23)</f>
        <v>0.90501983833374633</v>
      </c>
      <c r="AJ603" s="7">
        <f ca="1">$AW$10*EXP(-'3.r(t)'!G601*$AW$24)</f>
        <v>0.92520880094108315</v>
      </c>
      <c r="AK603" s="7">
        <f ca="1">$AW$11*EXP(-'3.r(t)'!H601*$AW$25)</f>
        <v>0.95055103117519901</v>
      </c>
      <c r="AL603" s="7">
        <f ca="1">$AW$12*EXP(-'3.r(t)'!I601*$AW$26)</f>
        <v>0.97041070589156286</v>
      </c>
      <c r="AM603" s="7">
        <v>1</v>
      </c>
      <c r="AN603" s="7"/>
    </row>
    <row r="604" spans="2:40">
      <c r="B604" s="7">
        <v>596</v>
      </c>
      <c r="C604" s="7">
        <f>$AR$7*EXP(-'3.r(t)'!D602*$AR$21)</f>
        <v>0.97765346695821032</v>
      </c>
      <c r="D604" s="7">
        <v>1</v>
      </c>
      <c r="E604" s="7"/>
      <c r="F604" s="7">
        <v>596</v>
      </c>
      <c r="G604" s="48">
        <f>$AS$7*EXP(-'3.r(t)'!D602*$AS$21)</f>
        <v>0.9553476245219803</v>
      </c>
      <c r="H604" s="7">
        <f ca="1">$AS$8*EXP(-'3.r(t)'!E602*$AS$22)</f>
        <v>0.97788317289532412</v>
      </c>
      <c r="I604" s="7">
        <v>1</v>
      </c>
      <c r="J604" s="7"/>
      <c r="K604" s="7">
        <v>596</v>
      </c>
      <c r="L604" s="7">
        <f>$AT$7*EXP(-'3.r(t)'!D602*$AT$21)</f>
        <v>0.93311670519824419</v>
      </c>
      <c r="M604" s="7">
        <f ca="1">$AT$8*EXP(-'3.r(t)'!E602*$AT$22)</f>
        <v>0.9558050900674494</v>
      </c>
      <c r="N604" s="7">
        <f ca="1">$AT$9*EXP(-'3.r(t)'!F602*$AT$23)</f>
        <v>0.9780818612080997</v>
      </c>
      <c r="O604" s="7">
        <v>1</v>
      </c>
      <c r="P604" s="7"/>
      <c r="Q604" s="7">
        <v>596</v>
      </c>
      <c r="R604" s="7">
        <f>$AU$7*EXP(-'3.r(t)'!D602*$AU$21)</f>
        <v>0.91099305977534117</v>
      </c>
      <c r="S604" s="7">
        <f ca="1">$AU$8*EXP(-'3.r(t)'!E602*$AU$22)</f>
        <v>0.93379944704636908</v>
      </c>
      <c r="T604" s="7">
        <f ca="1">$AU$9*EXP(-'3.r(t)'!F602*$AU$23)</f>
        <v>0.95620202066624127</v>
      </c>
      <c r="U604" s="7">
        <f ca="1">$AU$10*EXP(-'3.r(t)'!G602*$AU$24)</f>
        <v>0.98161436862764595</v>
      </c>
      <c r="V604" s="7">
        <v>1</v>
      </c>
      <c r="W604" s="7"/>
      <c r="X604" s="7">
        <v>596</v>
      </c>
      <c r="Y604" s="7">
        <f>$AV$7*EXP(-'3.r(t)'!D602*$AV$21)</f>
        <v>0.88900715067201674</v>
      </c>
      <c r="Z604" s="7">
        <f ca="1">$AV$8*EXP(-'3.r(t)'!E602*$AV$22)</f>
        <v>0.91189809344058803</v>
      </c>
      <c r="AA604" s="7">
        <f ca="1">$AV$9*EXP(-'3.r(t)'!F602*$AV$23)</f>
        <v>0.93439363447578661</v>
      </c>
      <c r="AB604" s="7">
        <f ca="1">$AV$10*EXP(-'3.r(t)'!G602*$AV$24)</f>
        <v>0.96313001062757053</v>
      </c>
      <c r="AC604" s="7">
        <f ca="1">$AV$11*EXP(-'3.r(t)'!H602*$AV$25)</f>
        <v>0.97969104839920174</v>
      </c>
      <c r="AD604" s="7">
        <v>1</v>
      </c>
      <c r="AE604" s="7"/>
      <c r="AF604" s="7">
        <v>596</v>
      </c>
      <c r="AG604" s="7">
        <f>$AW$7*EXP(-'3.r(t)'!D602*$AW$21)</f>
        <v>0.86718755429225491</v>
      </c>
      <c r="AH604" s="7">
        <f ca="1">$AW$8*EXP(-'3.r(t)'!E602*$AW$22)</f>
        <v>0.89013102677222167</v>
      </c>
      <c r="AI604" s="7">
        <f ca="1">$AW$9*EXP(-'3.r(t)'!F602*$AW$23)</f>
        <v>0.91268804400549386</v>
      </c>
      <c r="AJ604" s="7">
        <f ca="1">$AW$10*EXP(-'3.r(t)'!G602*$AW$24)</f>
        <v>0.94457955278729744</v>
      </c>
      <c r="AK604" s="7">
        <f ca="1">$AW$11*EXP(-'3.r(t)'!H602*$AW$25)</f>
        <v>0.95936801644008907</v>
      </c>
      <c r="AL604" s="7">
        <f ca="1">$AW$12*EXP(-'3.r(t)'!I602*$AW$26)</f>
        <v>0.97688843107182655</v>
      </c>
      <c r="AM604" s="7">
        <v>1</v>
      </c>
      <c r="AN604" s="7"/>
    </row>
    <row r="605" spans="2:40">
      <c r="B605" s="7">
        <v>597</v>
      </c>
      <c r="C605" s="7">
        <f>$AR$7*EXP(-'3.r(t)'!D603*$AR$21)</f>
        <v>0.97765346695821032</v>
      </c>
      <c r="D605" s="7">
        <v>1</v>
      </c>
      <c r="E605" s="7"/>
      <c r="F605" s="7">
        <v>597</v>
      </c>
      <c r="G605" s="48">
        <f>$AS$7*EXP(-'3.r(t)'!D603*$AS$21)</f>
        <v>0.9553476245219803</v>
      </c>
      <c r="H605" s="7">
        <f ca="1">$AS$8*EXP(-'3.r(t)'!E603*$AS$22)</f>
        <v>0.97830311934405223</v>
      </c>
      <c r="I605" s="7">
        <v>1</v>
      </c>
      <c r="J605" s="7"/>
      <c r="K605" s="7">
        <v>597</v>
      </c>
      <c r="L605" s="7">
        <f>$AT$7*EXP(-'3.r(t)'!D603*$AT$21)</f>
        <v>0.93311670519824419</v>
      </c>
      <c r="M605" s="7">
        <f ca="1">$AT$8*EXP(-'3.r(t)'!E603*$AT$22)</f>
        <v>0.95662619661896164</v>
      </c>
      <c r="N605" s="7">
        <f ca="1">$AT$9*EXP(-'3.r(t)'!F603*$AT$23)</f>
        <v>0.97101953601300783</v>
      </c>
      <c r="O605" s="7">
        <v>1</v>
      </c>
      <c r="P605" s="7"/>
      <c r="Q605" s="7">
        <v>597</v>
      </c>
      <c r="R605" s="7">
        <f>$AU$7*EXP(-'3.r(t)'!D603*$AU$21)</f>
        <v>0.91099305977534117</v>
      </c>
      <c r="S605" s="7">
        <f ca="1">$AU$8*EXP(-'3.r(t)'!E603*$AU$22)</f>
        <v>0.93500300858027841</v>
      </c>
      <c r="T605" s="7">
        <f ca="1">$AU$9*EXP(-'3.r(t)'!F603*$AU$23)</f>
        <v>0.94244319424855516</v>
      </c>
      <c r="U605" s="7">
        <f ca="1">$AU$10*EXP(-'3.r(t)'!G603*$AU$24)</f>
        <v>0.96737691308324714</v>
      </c>
      <c r="V605" s="7">
        <v>1</v>
      </c>
      <c r="W605" s="7"/>
      <c r="X605" s="7">
        <v>597</v>
      </c>
      <c r="Y605" s="7">
        <f>$AV$7*EXP(-'3.r(t)'!D603*$AV$21)</f>
        <v>0.88900715067201674</v>
      </c>
      <c r="Z605" s="7">
        <f ca="1">$AV$8*EXP(-'3.r(t)'!E603*$AV$22)</f>
        <v>0.91346554088110066</v>
      </c>
      <c r="AA605" s="7">
        <f ca="1">$AV$9*EXP(-'3.r(t)'!F603*$AV$23)</f>
        <v>0.91429882015671327</v>
      </c>
      <c r="AB605" s="7">
        <f ca="1">$AV$10*EXP(-'3.r(t)'!G603*$AV$24)</f>
        <v>0.93539391160267893</v>
      </c>
      <c r="AC605" s="7">
        <f ca="1">$AV$11*EXP(-'3.r(t)'!H603*$AV$25)</f>
        <v>0.9678754323565848</v>
      </c>
      <c r="AD605" s="7">
        <v>1</v>
      </c>
      <c r="AE605" s="7"/>
      <c r="AF605" s="7">
        <v>597</v>
      </c>
      <c r="AG605" s="7">
        <f>$AW$7*EXP(-'3.r(t)'!D603*$AW$21)</f>
        <v>0.86718755429225491</v>
      </c>
      <c r="AH605" s="7">
        <f ca="1">$AW$8*EXP(-'3.r(t)'!E603*$AW$22)</f>
        <v>0.89204397798575763</v>
      </c>
      <c r="AI605" s="7">
        <f ca="1">$AW$9*EXP(-'3.r(t)'!F603*$AW$23)</f>
        <v>0.8866116065652796</v>
      </c>
      <c r="AJ605" s="7">
        <f ca="1">$AW$10*EXP(-'3.r(t)'!G603*$AW$24)</f>
        <v>0.90407190902415946</v>
      </c>
      <c r="AK605" s="7">
        <f ca="1">$AW$11*EXP(-'3.r(t)'!H603*$AW$25)</f>
        <v>0.93636654511266793</v>
      </c>
      <c r="AL605" s="7">
        <f ca="1">$AW$12*EXP(-'3.r(t)'!I603*$AW$26)</f>
        <v>0.96746134711327669</v>
      </c>
      <c r="AM605" s="7">
        <v>1</v>
      </c>
      <c r="AN605" s="7"/>
    </row>
    <row r="606" spans="2:40">
      <c r="B606" s="7">
        <v>598</v>
      </c>
      <c r="C606" s="7">
        <f>$AR$7*EXP(-'3.r(t)'!D604*$AR$21)</f>
        <v>0.97765346695821032</v>
      </c>
      <c r="D606" s="7">
        <v>1</v>
      </c>
      <c r="E606" s="7"/>
      <c r="F606" s="7">
        <v>598</v>
      </c>
      <c r="G606" s="48">
        <f>$AS$7*EXP(-'3.r(t)'!D604*$AS$21)</f>
        <v>0.9553476245219803</v>
      </c>
      <c r="H606" s="7">
        <f ca="1">$AS$8*EXP(-'3.r(t)'!E604*$AS$22)</f>
        <v>0.97889876756020133</v>
      </c>
      <c r="I606" s="7">
        <v>1</v>
      </c>
      <c r="J606" s="7"/>
      <c r="K606" s="7">
        <v>598</v>
      </c>
      <c r="L606" s="7">
        <f>$AT$7*EXP(-'3.r(t)'!D604*$AT$21)</f>
        <v>0.93311670519824419</v>
      </c>
      <c r="M606" s="7">
        <f ca="1">$AT$8*EXP(-'3.r(t)'!E604*$AT$22)</f>
        <v>0.9577914513215785</v>
      </c>
      <c r="N606" s="7">
        <f ca="1">$AT$9*EXP(-'3.r(t)'!F604*$AT$23)</f>
        <v>0.97696578085175001</v>
      </c>
      <c r="O606" s="7">
        <v>1</v>
      </c>
      <c r="P606" s="7"/>
      <c r="Q606" s="7">
        <v>598</v>
      </c>
      <c r="R606" s="7">
        <f>$AU$7*EXP(-'3.r(t)'!D604*$AU$21)</f>
        <v>0.91099305977534117</v>
      </c>
      <c r="S606" s="7">
        <f ca="1">$AU$8*EXP(-'3.r(t)'!E604*$AU$22)</f>
        <v>0.9367119023534759</v>
      </c>
      <c r="T606" s="7">
        <f ca="1">$AU$9*EXP(-'3.r(t)'!F604*$AU$23)</f>
        <v>0.95402103878912992</v>
      </c>
      <c r="U606" s="7">
        <f ca="1">$AU$10*EXP(-'3.r(t)'!G604*$AU$24)</f>
        <v>0.9727662325394083</v>
      </c>
      <c r="V606" s="7">
        <v>1</v>
      </c>
      <c r="W606" s="7"/>
      <c r="X606" s="7">
        <v>598</v>
      </c>
      <c r="Y606" s="7">
        <f>$AV$7*EXP(-'3.r(t)'!D604*$AV$21)</f>
        <v>0.88900715067201674</v>
      </c>
      <c r="Z606" s="7">
        <f ca="1">$AV$8*EXP(-'3.r(t)'!E604*$AV$22)</f>
        <v>0.91569225869308379</v>
      </c>
      <c r="AA606" s="7">
        <f ca="1">$AV$9*EXP(-'3.r(t)'!F604*$AV$23)</f>
        <v>0.93119859872808786</v>
      </c>
      <c r="AB606" s="7">
        <f ca="1">$AV$10*EXP(-'3.r(t)'!G604*$AV$24)</f>
        <v>0.94584522336735966</v>
      </c>
      <c r="AC606" s="7">
        <f ca="1">$AV$11*EXP(-'3.r(t)'!H604*$AV$25)</f>
        <v>0.97461015195007439</v>
      </c>
      <c r="AD606" s="7">
        <v>1</v>
      </c>
      <c r="AE606" s="7"/>
      <c r="AF606" s="7">
        <v>598</v>
      </c>
      <c r="AG606" s="7">
        <f>$AW$7*EXP(-'3.r(t)'!D604*$AW$21)</f>
        <v>0.86718755429225491</v>
      </c>
      <c r="AH606" s="7">
        <f ca="1">$AW$8*EXP(-'3.r(t)'!E604*$AW$22)</f>
        <v>0.89476292988791795</v>
      </c>
      <c r="AI606" s="7">
        <f ca="1">$AW$9*EXP(-'3.r(t)'!F604*$AW$23)</f>
        <v>0.90852932873220338</v>
      </c>
      <c r="AJ606" s="7">
        <f ca="1">$AW$10*EXP(-'3.r(t)'!G604*$AW$24)</f>
        <v>0.91926617327324089</v>
      </c>
      <c r="AK606" s="7">
        <f ca="1">$AW$11*EXP(-'3.r(t)'!H604*$AW$25)</f>
        <v>0.94944282713800998</v>
      </c>
      <c r="AL606" s="7">
        <f ca="1">$AW$12*EXP(-'3.r(t)'!I604*$AW$26)</f>
        <v>0.97115520996639926</v>
      </c>
      <c r="AM606" s="7">
        <v>1</v>
      </c>
      <c r="AN606" s="7"/>
    </row>
    <row r="607" spans="2:40">
      <c r="B607" s="7">
        <v>599</v>
      </c>
      <c r="C607" s="7">
        <f>$AR$7*EXP(-'3.r(t)'!D605*$AR$21)</f>
        <v>0.97765346695821032</v>
      </c>
      <c r="D607" s="7">
        <v>1</v>
      </c>
      <c r="E607" s="7"/>
      <c r="F607" s="7">
        <v>599</v>
      </c>
      <c r="G607" s="48">
        <f>$AS$7*EXP(-'3.r(t)'!D605*$AS$21)</f>
        <v>0.9553476245219803</v>
      </c>
      <c r="H607" s="7">
        <f ca="1">$AS$8*EXP(-'3.r(t)'!E605*$AS$22)</f>
        <v>0.97739491021364822</v>
      </c>
      <c r="I607" s="7">
        <v>1</v>
      </c>
      <c r="J607" s="7"/>
      <c r="K607" s="7">
        <v>599</v>
      </c>
      <c r="L607" s="7">
        <f>$AT$7*EXP(-'3.r(t)'!D605*$AT$21)</f>
        <v>0.93311670519824419</v>
      </c>
      <c r="M607" s="7">
        <f ca="1">$AT$8*EXP(-'3.r(t)'!E605*$AT$22)</f>
        <v>0.95485085041924034</v>
      </c>
      <c r="N607" s="7">
        <f ca="1">$AT$9*EXP(-'3.r(t)'!F605*$AT$23)</f>
        <v>0.97871895111736573</v>
      </c>
      <c r="O607" s="7">
        <v>1</v>
      </c>
      <c r="P607" s="7"/>
      <c r="Q607" s="7">
        <v>599</v>
      </c>
      <c r="R607" s="7">
        <f>$AU$7*EXP(-'3.r(t)'!D605*$AU$21)</f>
        <v>0.91099305977534117</v>
      </c>
      <c r="S607" s="7">
        <f ca="1">$AU$8*EXP(-'3.r(t)'!E605*$AU$22)</f>
        <v>0.93240139106326492</v>
      </c>
      <c r="T607" s="7">
        <f ca="1">$AU$9*EXP(-'3.r(t)'!F605*$AU$23)</f>
        <v>0.95744810258370239</v>
      </c>
      <c r="U607" s="7">
        <f ca="1">$AU$10*EXP(-'3.r(t)'!G605*$AU$24)</f>
        <v>0.98117504039147763</v>
      </c>
      <c r="V607" s="7">
        <v>1</v>
      </c>
      <c r="W607" s="7"/>
      <c r="X607" s="7">
        <v>599</v>
      </c>
      <c r="Y607" s="7">
        <f>$AV$7*EXP(-'3.r(t)'!D605*$AV$21)</f>
        <v>0.88900715067201674</v>
      </c>
      <c r="Z607" s="7">
        <f ca="1">$AV$8*EXP(-'3.r(t)'!E605*$AV$22)</f>
        <v>0.9100781932269143</v>
      </c>
      <c r="AA607" s="7">
        <f ca="1">$AV$9*EXP(-'3.r(t)'!F605*$AV$23)</f>
        <v>0.93622072262905731</v>
      </c>
      <c r="AB607" s="7">
        <f ca="1">$AV$10*EXP(-'3.r(t)'!G605*$AV$24)</f>
        <v>0.96226809267918256</v>
      </c>
      <c r="AC607" s="7">
        <f ca="1">$AV$11*EXP(-'3.r(t)'!H605*$AV$25)</f>
        <v>0.98211604371910133</v>
      </c>
      <c r="AD607" s="7">
        <v>1</v>
      </c>
      <c r="AE607" s="7"/>
      <c r="AF607" s="7">
        <v>599</v>
      </c>
      <c r="AG607" s="7">
        <f>$AW$7*EXP(-'3.r(t)'!D605*$AW$21)</f>
        <v>0.86718755429225491</v>
      </c>
      <c r="AH607" s="7">
        <f ca="1">$AW$8*EXP(-'3.r(t)'!E605*$AW$22)</f>
        <v>0.88791100715958304</v>
      </c>
      <c r="AI607" s="7">
        <f ca="1">$AW$9*EXP(-'3.r(t)'!F605*$AW$23)</f>
        <v>0.91506834664761905</v>
      </c>
      <c r="AJ607" s="7">
        <f ca="1">$AW$10*EXP(-'3.r(t)'!G605*$AW$24)</f>
        <v>0.9433118611689002</v>
      </c>
      <c r="AK607" s="7">
        <f ca="1">$AW$11*EXP(-'3.r(t)'!H605*$AW$25)</f>
        <v>0.96412327527462771</v>
      </c>
      <c r="AL607" s="7">
        <f ca="1">$AW$12*EXP(-'3.r(t)'!I605*$AW$26)</f>
        <v>0.98298335531464953</v>
      </c>
      <c r="AM607" s="7">
        <v>1</v>
      </c>
      <c r="AN607" s="7"/>
    </row>
    <row r="608" spans="2:40">
      <c r="B608" s="7">
        <v>600</v>
      </c>
      <c r="C608" s="7">
        <f>$AR$7*EXP(-'3.r(t)'!D606*$AR$21)</f>
        <v>0.97765346695821032</v>
      </c>
      <c r="D608" s="7">
        <v>1</v>
      </c>
      <c r="E608" s="7"/>
      <c r="F608" s="7">
        <v>600</v>
      </c>
      <c r="G608" s="48">
        <f>$AS$7*EXP(-'3.r(t)'!D606*$AS$21)</f>
        <v>0.9553476245219803</v>
      </c>
      <c r="H608" s="7">
        <f ca="1">$AS$8*EXP(-'3.r(t)'!E606*$AS$22)</f>
        <v>0.97936998702100941</v>
      </c>
      <c r="I608" s="7">
        <v>1</v>
      </c>
      <c r="J608" s="7"/>
      <c r="K608" s="7">
        <v>600</v>
      </c>
      <c r="L608" s="7">
        <f>$AT$7*EXP(-'3.r(t)'!D606*$AT$21)</f>
        <v>0.93311670519824419</v>
      </c>
      <c r="M608" s="7">
        <f ca="1">$AT$8*EXP(-'3.r(t)'!E606*$AT$22)</f>
        <v>0.95871379102855825</v>
      </c>
      <c r="N608" s="7">
        <f ca="1">$AT$9*EXP(-'3.r(t)'!F606*$AT$23)</f>
        <v>0.97901785822321008</v>
      </c>
      <c r="O608" s="7">
        <v>1</v>
      </c>
      <c r="P608" s="7"/>
      <c r="Q608" s="7">
        <v>600</v>
      </c>
      <c r="R608" s="7">
        <f>$AU$7*EXP(-'3.r(t)'!D606*$AU$21)</f>
        <v>0.91099305977534117</v>
      </c>
      <c r="S608" s="7">
        <f ca="1">$AU$8*EXP(-'3.r(t)'!E606*$AU$22)</f>
        <v>0.93806528864215621</v>
      </c>
      <c r="T608" s="7">
        <f ca="1">$AU$9*EXP(-'3.r(t)'!F606*$AU$23)</f>
        <v>0.95803301358977444</v>
      </c>
      <c r="U608" s="7">
        <f ca="1">$AU$10*EXP(-'3.r(t)'!G606*$AU$24)</f>
        <v>0.97936414895742419</v>
      </c>
      <c r="V608" s="7">
        <v>1</v>
      </c>
      <c r="W608" s="7"/>
      <c r="X608" s="7">
        <v>600</v>
      </c>
      <c r="Y608" s="7">
        <f>$AV$7*EXP(-'3.r(t)'!D606*$AV$21)</f>
        <v>0.88900715067201674</v>
      </c>
      <c r="Z608" s="7">
        <f ca="1">$AV$8*EXP(-'3.r(t)'!E606*$AV$22)</f>
        <v>0.91745670540517987</v>
      </c>
      <c r="AA608" s="7">
        <f ca="1">$AV$9*EXP(-'3.r(t)'!F606*$AV$23)</f>
        <v>0.93707876824333525</v>
      </c>
      <c r="AB608" s="7">
        <f ca="1">$AV$10*EXP(-'3.r(t)'!G606*$AV$24)</f>
        <v>0.95871937831821008</v>
      </c>
      <c r="AC608" s="7">
        <f ca="1">$AV$11*EXP(-'3.r(t)'!H606*$AV$25)</f>
        <v>0.97798532381779457</v>
      </c>
      <c r="AD608" s="7">
        <v>1</v>
      </c>
      <c r="AE608" s="7"/>
      <c r="AF608" s="7">
        <v>600</v>
      </c>
      <c r="AG608" s="7">
        <f>$AW$7*EXP(-'3.r(t)'!D606*$AW$21)</f>
        <v>0.86718755429225491</v>
      </c>
      <c r="AH608" s="7">
        <f ca="1">$AW$8*EXP(-'3.r(t)'!E606*$AW$22)</f>
        <v>0.89691859623763759</v>
      </c>
      <c r="AI608" s="7">
        <f ca="1">$AW$9*EXP(-'3.r(t)'!F606*$AW$23)</f>
        <v>0.9161867300557025</v>
      </c>
      <c r="AJ608" s="7">
        <f ca="1">$AW$10*EXP(-'3.r(t)'!G606*$AW$24)</f>
        <v>0.93809846562156651</v>
      </c>
      <c r="AK608" s="7">
        <f ca="1">$AW$11*EXP(-'3.r(t)'!H606*$AW$25)</f>
        <v>0.95603024369932976</v>
      </c>
      <c r="AL608" s="7">
        <f ca="1">$AW$12*EXP(-'3.r(t)'!I606*$AW$26)</f>
        <v>0.98091621406976581</v>
      </c>
      <c r="AM608" s="7">
        <v>1</v>
      </c>
      <c r="AN608" s="7"/>
    </row>
    <row r="609" spans="2:40">
      <c r="B609" s="7">
        <v>601</v>
      </c>
      <c r="C609" s="7">
        <f>$AR$7*EXP(-'3.r(t)'!D607*$AR$21)</f>
        <v>0.97765346695821032</v>
      </c>
      <c r="D609" s="7">
        <v>1</v>
      </c>
      <c r="E609" s="7"/>
      <c r="F609" s="7">
        <v>601</v>
      </c>
      <c r="G609" s="48">
        <f>$AS$7*EXP(-'3.r(t)'!D607*$AS$21)</f>
        <v>0.9553476245219803</v>
      </c>
      <c r="H609" s="7">
        <f ca="1">$AS$8*EXP(-'3.r(t)'!E607*$AS$22)</f>
        <v>0.98004076289476461</v>
      </c>
      <c r="I609" s="7">
        <v>1</v>
      </c>
      <c r="J609" s="7"/>
      <c r="K609" s="7">
        <v>601</v>
      </c>
      <c r="L609" s="7">
        <f>$AT$7*EXP(-'3.r(t)'!D607*$AT$21)</f>
        <v>0.93311670519824419</v>
      </c>
      <c r="M609" s="7">
        <f ca="1">$AT$8*EXP(-'3.r(t)'!E607*$AT$22)</f>
        <v>0.9600274974206372</v>
      </c>
      <c r="N609" s="7">
        <f ca="1">$AT$9*EXP(-'3.r(t)'!F607*$AT$23)</f>
        <v>0.97981720810963058</v>
      </c>
      <c r="O609" s="7">
        <v>1</v>
      </c>
      <c r="P609" s="7"/>
      <c r="Q609" s="7">
        <v>601</v>
      </c>
      <c r="R609" s="7">
        <f>$AU$7*EXP(-'3.r(t)'!D607*$AU$21)</f>
        <v>0.91099305977534117</v>
      </c>
      <c r="S609" s="7">
        <f ca="1">$AU$8*EXP(-'3.r(t)'!E607*$AU$22)</f>
        <v>0.93999406724833368</v>
      </c>
      <c r="T609" s="7">
        <f ca="1">$AU$9*EXP(-'3.r(t)'!F607*$AU$23)</f>
        <v>0.95959808455627593</v>
      </c>
      <c r="U609" s="7">
        <f ca="1">$AU$10*EXP(-'3.r(t)'!G607*$AU$24)</f>
        <v>0.97775421021213726</v>
      </c>
      <c r="V609" s="7">
        <v>1</v>
      </c>
      <c r="W609" s="7"/>
      <c r="X609" s="7">
        <v>601</v>
      </c>
      <c r="Y609" s="7">
        <f>$AV$7*EXP(-'3.r(t)'!D607*$AV$21)</f>
        <v>0.88900715067201674</v>
      </c>
      <c r="Z609" s="7">
        <f ca="1">$AV$8*EXP(-'3.r(t)'!E607*$AV$22)</f>
        <v>0.9199727733443146</v>
      </c>
      <c r="AA609" s="7">
        <f ca="1">$AV$9*EXP(-'3.r(t)'!F607*$AV$23)</f>
        <v>0.9393759650379444</v>
      </c>
      <c r="AB609" s="7">
        <f ca="1">$AV$10*EXP(-'3.r(t)'!G607*$AV$24)</f>
        <v>0.95556996583128517</v>
      </c>
      <c r="AC609" s="7">
        <f ca="1">$AV$11*EXP(-'3.r(t)'!H607*$AV$25)</f>
        <v>0.97416044316120798</v>
      </c>
      <c r="AD609" s="7">
        <v>1</v>
      </c>
      <c r="AE609" s="7"/>
      <c r="AF609" s="7">
        <v>601</v>
      </c>
      <c r="AG609" s="7">
        <f>$AW$7*EXP(-'3.r(t)'!D607*$AW$21)</f>
        <v>0.86718755429225491</v>
      </c>
      <c r="AH609" s="7">
        <f ca="1">$AW$8*EXP(-'3.r(t)'!E607*$AW$22)</f>
        <v>0.89999432884598995</v>
      </c>
      <c r="AI609" s="7">
        <f ca="1">$AW$9*EXP(-'3.r(t)'!F607*$AW$23)</f>
        <v>0.9191825944135118</v>
      </c>
      <c r="AJ609" s="7">
        <f ca="1">$AW$10*EXP(-'3.r(t)'!G607*$AW$24)</f>
        <v>0.93347975540159467</v>
      </c>
      <c r="AK609" s="7">
        <f ca="1">$AW$11*EXP(-'3.r(t)'!H607*$AW$25)</f>
        <v>0.94856683733792191</v>
      </c>
      <c r="AL609" s="7">
        <f ca="1">$AW$12*EXP(-'3.r(t)'!I607*$AW$26)</f>
        <v>0.97459025758416251</v>
      </c>
      <c r="AM609" s="7">
        <v>1</v>
      </c>
      <c r="AN609" s="7"/>
    </row>
    <row r="610" spans="2:40">
      <c r="B610" s="7">
        <v>602</v>
      </c>
      <c r="C610" s="7">
        <f>$AR$7*EXP(-'3.r(t)'!D608*$AR$21)</f>
        <v>0.97765346695821032</v>
      </c>
      <c r="D610" s="7">
        <v>1</v>
      </c>
      <c r="E610" s="7"/>
      <c r="F610" s="7">
        <v>602</v>
      </c>
      <c r="G610" s="48">
        <f>$AS$7*EXP(-'3.r(t)'!D608*$AS$21)</f>
        <v>0.9553476245219803</v>
      </c>
      <c r="H610" s="7">
        <f ca="1">$AS$8*EXP(-'3.r(t)'!E608*$AS$22)</f>
        <v>0.98102527080048962</v>
      </c>
      <c r="I610" s="7">
        <v>1</v>
      </c>
      <c r="J610" s="7"/>
      <c r="K610" s="7">
        <v>602</v>
      </c>
      <c r="L610" s="7">
        <f>$AT$7*EXP(-'3.r(t)'!D608*$AT$21)</f>
        <v>0.93311670519824419</v>
      </c>
      <c r="M610" s="7">
        <f ca="1">$AT$8*EXP(-'3.r(t)'!E608*$AT$22)</f>
        <v>0.96195727305471457</v>
      </c>
      <c r="N610" s="7">
        <f ca="1">$AT$9*EXP(-'3.r(t)'!F608*$AT$23)</f>
        <v>0.98263179596368777</v>
      </c>
      <c r="O610" s="7">
        <v>1</v>
      </c>
      <c r="P610" s="7"/>
      <c r="Q610" s="7">
        <v>602</v>
      </c>
      <c r="R610" s="7">
        <f>$AU$7*EXP(-'3.r(t)'!D608*$AU$21)</f>
        <v>0.91099305977534117</v>
      </c>
      <c r="S610" s="7">
        <f ca="1">$AU$8*EXP(-'3.r(t)'!E608*$AU$22)</f>
        <v>0.9428297499670355</v>
      </c>
      <c r="T610" s="7">
        <f ca="1">$AU$9*EXP(-'3.r(t)'!F608*$AU$23)</f>
        <v>0.96511901704637015</v>
      </c>
      <c r="U610" s="7">
        <f ca="1">$AU$10*EXP(-'3.r(t)'!G608*$AU$24)</f>
        <v>0.98666123052293109</v>
      </c>
      <c r="V610" s="7">
        <v>1</v>
      </c>
      <c r="W610" s="7"/>
      <c r="X610" s="7">
        <v>602</v>
      </c>
      <c r="Y610" s="7">
        <f>$AV$7*EXP(-'3.r(t)'!D608*$AV$21)</f>
        <v>0.88900715067201674</v>
      </c>
      <c r="Z610" s="7">
        <f ca="1">$AV$8*EXP(-'3.r(t)'!E608*$AV$22)</f>
        <v>0.9236750118235848</v>
      </c>
      <c r="AA610" s="7">
        <f ca="1">$AV$9*EXP(-'3.r(t)'!F608*$AV$23)</f>
        <v>0.94749449479802905</v>
      </c>
      <c r="AB610" s="7">
        <f ca="1">$AV$10*EXP(-'3.r(t)'!G608*$AV$24)</f>
        <v>0.97305912311635501</v>
      </c>
      <c r="AC610" s="7">
        <f ca="1">$AV$11*EXP(-'3.r(t)'!H608*$AV$25)</f>
        <v>0.98621226715048427</v>
      </c>
      <c r="AD610" s="7">
        <v>1</v>
      </c>
      <c r="AE610" s="7"/>
      <c r="AF610" s="7">
        <v>602</v>
      </c>
      <c r="AG610" s="7">
        <f>$AW$7*EXP(-'3.r(t)'!D608*$AW$21)</f>
        <v>0.86718755429225491</v>
      </c>
      <c r="AH610" s="7">
        <f ca="1">$AW$8*EXP(-'3.r(t)'!E608*$AW$22)</f>
        <v>0.90452390320241016</v>
      </c>
      <c r="AI610" s="7">
        <f ca="1">$AW$9*EXP(-'3.r(t)'!F608*$AW$23)</f>
        <v>0.92978983425743511</v>
      </c>
      <c r="AJ610" s="7">
        <f ca="1">$AW$10*EXP(-'3.r(t)'!G608*$AW$24)</f>
        <v>0.95922394232548058</v>
      </c>
      <c r="AK610" s="7">
        <f ca="1">$AW$11*EXP(-'3.r(t)'!H608*$AW$25)</f>
        <v>0.97218240474293705</v>
      </c>
      <c r="AL610" s="7">
        <f ca="1">$AW$12*EXP(-'3.r(t)'!I608*$AW$26)</f>
        <v>0.98322641689119639</v>
      </c>
      <c r="AM610" s="7">
        <v>1</v>
      </c>
      <c r="AN610" s="7"/>
    </row>
    <row r="611" spans="2:40">
      <c r="B611" s="7">
        <v>603</v>
      </c>
      <c r="C611" s="7">
        <f>$AR$7*EXP(-'3.r(t)'!D609*$AR$21)</f>
        <v>0.97765346695821032</v>
      </c>
      <c r="D611" s="7">
        <v>1</v>
      </c>
      <c r="E611" s="7"/>
      <c r="F611" s="7">
        <v>603</v>
      </c>
      <c r="G611" s="48">
        <f>$AS$7*EXP(-'3.r(t)'!D609*$AS$21)</f>
        <v>0.9553476245219803</v>
      </c>
      <c r="H611" s="7">
        <f ca="1">$AS$8*EXP(-'3.r(t)'!E609*$AS$22)</f>
        <v>0.97536743286180494</v>
      </c>
      <c r="I611" s="7">
        <v>1</v>
      </c>
      <c r="J611" s="7"/>
      <c r="K611" s="7">
        <v>603</v>
      </c>
      <c r="L611" s="7">
        <f>$AT$7*EXP(-'3.r(t)'!D609*$AT$21)</f>
        <v>0.93311670519824419</v>
      </c>
      <c r="M611" s="7">
        <f ca="1">$AT$8*EXP(-'3.r(t)'!E609*$AT$22)</f>
        <v>0.9508935338251524</v>
      </c>
      <c r="N611" s="7">
        <f ca="1">$AT$9*EXP(-'3.r(t)'!F609*$AT$23)</f>
        <v>0.97637287628234426</v>
      </c>
      <c r="O611" s="7">
        <v>1</v>
      </c>
      <c r="P611" s="7"/>
      <c r="Q611" s="7">
        <v>603</v>
      </c>
      <c r="R611" s="7">
        <f>$AU$7*EXP(-'3.r(t)'!D609*$AU$21)</f>
        <v>0.91099305977534117</v>
      </c>
      <c r="S611" s="7">
        <f ca="1">$AU$8*EXP(-'3.r(t)'!E609*$AU$22)</f>
        <v>0.92661098650492424</v>
      </c>
      <c r="T611" s="7">
        <f ca="1">$AU$9*EXP(-'3.r(t)'!F609*$AU$23)</f>
        <v>0.95286343060179768</v>
      </c>
      <c r="U611" s="7">
        <f ca="1">$AU$10*EXP(-'3.r(t)'!G609*$AU$24)</f>
        <v>0.97547404275800209</v>
      </c>
      <c r="V611" s="7">
        <v>1</v>
      </c>
      <c r="W611" s="7"/>
      <c r="X611" s="7">
        <v>603</v>
      </c>
      <c r="Y611" s="7">
        <f>$AV$7*EXP(-'3.r(t)'!D609*$AV$21)</f>
        <v>0.88900715067201674</v>
      </c>
      <c r="Z611" s="7">
        <f ca="1">$AV$8*EXP(-'3.r(t)'!E609*$AV$22)</f>
        <v>0.90255030651739465</v>
      </c>
      <c r="AA611" s="7">
        <f ca="1">$AV$9*EXP(-'3.r(t)'!F609*$AV$23)</f>
        <v>0.92950423977986152</v>
      </c>
      <c r="AB611" s="7">
        <f ca="1">$AV$10*EXP(-'3.r(t)'!G609*$AV$24)</f>
        <v>0.95111829707127615</v>
      </c>
      <c r="AC611" s="7">
        <f ca="1">$AV$11*EXP(-'3.r(t)'!H609*$AV$25)</f>
        <v>0.97462682898885933</v>
      </c>
      <c r="AD611" s="7">
        <v>1</v>
      </c>
      <c r="AE611" s="7"/>
      <c r="AF611" s="7">
        <v>603</v>
      </c>
      <c r="AG611" s="7">
        <f>$AW$7*EXP(-'3.r(t)'!D609*$AW$21)</f>
        <v>0.86718755429225491</v>
      </c>
      <c r="AH611" s="7">
        <f ca="1">$AW$8*EXP(-'3.r(t)'!E609*$AW$22)</f>
        <v>0.87873986109671787</v>
      </c>
      <c r="AI611" s="7">
        <f ca="1">$AW$9*EXP(-'3.r(t)'!F609*$AW$23)</f>
        <v>0.9063258492112477</v>
      </c>
      <c r="AJ611" s="7">
        <f ca="1">$AW$10*EXP(-'3.r(t)'!G609*$AW$24)</f>
        <v>0.92696422136189693</v>
      </c>
      <c r="AK611" s="7">
        <f ca="1">$AW$11*EXP(-'3.r(t)'!H609*$AW$25)</f>
        <v>0.94947532019236891</v>
      </c>
      <c r="AL611" s="7">
        <f ca="1">$AW$12*EXP(-'3.r(t)'!I609*$AW$26)</f>
        <v>0.97849330112182364</v>
      </c>
      <c r="AM611" s="7">
        <v>1</v>
      </c>
      <c r="AN611" s="7"/>
    </row>
    <row r="612" spans="2:40">
      <c r="B612" s="7">
        <v>604</v>
      </c>
      <c r="C612" s="7">
        <f>$AR$7*EXP(-'3.r(t)'!D610*$AR$21)</f>
        <v>0.97765346695821032</v>
      </c>
      <c r="D612" s="7">
        <v>1</v>
      </c>
      <c r="E612" s="7"/>
      <c r="F612" s="7">
        <v>604</v>
      </c>
      <c r="G612" s="48">
        <f>$AS$7*EXP(-'3.r(t)'!D610*$AS$21)</f>
        <v>0.9553476245219803</v>
      </c>
      <c r="H612" s="7">
        <f ca="1">$AS$8*EXP(-'3.r(t)'!E610*$AS$22)</f>
        <v>0.98011858757431725</v>
      </c>
      <c r="I612" s="7">
        <v>1</v>
      </c>
      <c r="J612" s="7"/>
      <c r="K612" s="7">
        <v>604</v>
      </c>
      <c r="L612" s="7">
        <f>$AT$7*EXP(-'3.r(t)'!D610*$AT$21)</f>
        <v>0.93311670519824419</v>
      </c>
      <c r="M612" s="7">
        <f ca="1">$AT$8*EXP(-'3.r(t)'!E610*$AT$22)</f>
        <v>0.96017997434134572</v>
      </c>
      <c r="N612" s="7">
        <f ca="1">$AT$9*EXP(-'3.r(t)'!F610*$AT$23)</f>
        <v>0.98423800910947323</v>
      </c>
      <c r="O612" s="7">
        <v>1</v>
      </c>
      <c r="P612" s="7"/>
      <c r="Q612" s="7">
        <v>604</v>
      </c>
      <c r="R612" s="7">
        <f>$AU$7*EXP(-'3.r(t)'!D610*$AU$21)</f>
        <v>0.91099305977534117</v>
      </c>
      <c r="S612" s="7">
        <f ca="1">$AU$8*EXP(-'3.r(t)'!E610*$AU$22)</f>
        <v>0.94021801878947242</v>
      </c>
      <c r="T612" s="7">
        <f ca="1">$AU$9*EXP(-'3.r(t)'!F610*$AU$23)</f>
        <v>0.96827676917498706</v>
      </c>
      <c r="U612" s="7">
        <f ca="1">$AU$10*EXP(-'3.r(t)'!G610*$AU$24)</f>
        <v>0.98004291562428048</v>
      </c>
      <c r="V612" s="7">
        <v>1</v>
      </c>
      <c r="W612" s="7"/>
      <c r="X612" s="7">
        <v>604</v>
      </c>
      <c r="Y612" s="7">
        <f>$AV$7*EXP(-'3.r(t)'!D610*$AV$21)</f>
        <v>0.88900715067201674</v>
      </c>
      <c r="Z612" s="7">
        <f ca="1">$AV$8*EXP(-'3.r(t)'!E610*$AV$22)</f>
        <v>0.92026502696327972</v>
      </c>
      <c r="AA612" s="7">
        <f ca="1">$AV$9*EXP(-'3.r(t)'!F610*$AV$23)</f>
        <v>0.952148426642348</v>
      </c>
      <c r="AB612" s="7">
        <f ca="1">$AV$10*EXP(-'3.r(t)'!G610*$AV$24)</f>
        <v>0.96004875567734427</v>
      </c>
      <c r="AC612" s="7">
        <f ca="1">$AV$11*EXP(-'3.r(t)'!H610*$AV$25)</f>
        <v>0.97837645740519374</v>
      </c>
      <c r="AD612" s="7">
        <v>1</v>
      </c>
      <c r="AE612" s="7"/>
      <c r="AF612" s="7">
        <v>604</v>
      </c>
      <c r="AG612" s="7">
        <f>$AW$7*EXP(-'3.r(t)'!D610*$AW$21)</f>
        <v>0.86718755429225491</v>
      </c>
      <c r="AH612" s="7">
        <f ca="1">$AW$8*EXP(-'3.r(t)'!E610*$AW$22)</f>
        <v>0.90035172671024277</v>
      </c>
      <c r="AI612" s="7">
        <f ca="1">$AW$9*EXP(-'3.r(t)'!F610*$AW$23)</f>
        <v>0.93588410650554132</v>
      </c>
      <c r="AJ612" s="7">
        <f ca="1">$AW$10*EXP(-'3.r(t)'!G610*$AW$24)</f>
        <v>0.9400503179008739</v>
      </c>
      <c r="AK612" s="7">
        <f ca="1">$AW$11*EXP(-'3.r(t)'!H610*$AW$25)</f>
        <v>0.95679510244578547</v>
      </c>
      <c r="AL612" s="7">
        <f ca="1">$AW$12*EXP(-'3.r(t)'!I610*$AW$26)</f>
        <v>0.97609583638323505</v>
      </c>
      <c r="AM612" s="7">
        <v>1</v>
      </c>
      <c r="AN612" s="7"/>
    </row>
    <row r="613" spans="2:40">
      <c r="B613" s="7">
        <v>605</v>
      </c>
      <c r="C613" s="7">
        <f>$AR$7*EXP(-'3.r(t)'!D611*$AR$21)</f>
        <v>0.97765346695821032</v>
      </c>
      <c r="D613" s="7">
        <v>1</v>
      </c>
      <c r="E613" s="7"/>
      <c r="F613" s="7">
        <v>605</v>
      </c>
      <c r="G613" s="48">
        <f>$AS$7*EXP(-'3.r(t)'!D611*$AS$21)</f>
        <v>0.9553476245219803</v>
      </c>
      <c r="H613" s="7">
        <f ca="1">$AS$8*EXP(-'3.r(t)'!E611*$AS$22)</f>
        <v>0.98002872056152013</v>
      </c>
      <c r="I613" s="7">
        <v>1</v>
      </c>
      <c r="J613" s="7"/>
      <c r="K613" s="7">
        <v>605</v>
      </c>
      <c r="L613" s="7">
        <f>$AT$7*EXP(-'3.r(t)'!D611*$AT$21)</f>
        <v>0.93311670519824419</v>
      </c>
      <c r="M613" s="7">
        <f ca="1">$AT$8*EXP(-'3.r(t)'!E611*$AT$22)</f>
        <v>0.96000390472846087</v>
      </c>
      <c r="N613" s="7">
        <f ca="1">$AT$9*EXP(-'3.r(t)'!F611*$AT$23)</f>
        <v>0.98316872155423241</v>
      </c>
      <c r="O613" s="7">
        <v>1</v>
      </c>
      <c r="P613" s="7"/>
      <c r="Q613" s="7">
        <v>605</v>
      </c>
      <c r="R613" s="7">
        <f>$AU$7*EXP(-'3.r(t)'!D611*$AU$21)</f>
        <v>0.91099305977534117</v>
      </c>
      <c r="S613" s="7">
        <f ca="1">$AU$8*EXP(-'3.r(t)'!E611*$AU$22)</f>
        <v>0.93995941690578855</v>
      </c>
      <c r="T613" s="7">
        <f ca="1">$AU$9*EXP(-'3.r(t)'!F611*$AU$23)</f>
        <v>0.96617401786327251</v>
      </c>
      <c r="U613" s="7">
        <f ca="1">$AU$10*EXP(-'3.r(t)'!G611*$AU$24)</f>
        <v>0.98429108288632983</v>
      </c>
      <c r="V613" s="7">
        <v>1</v>
      </c>
      <c r="W613" s="7"/>
      <c r="X613" s="7">
        <v>605</v>
      </c>
      <c r="Y613" s="7">
        <f>$AV$7*EXP(-'3.r(t)'!D611*$AV$21)</f>
        <v>0.88900715067201674</v>
      </c>
      <c r="Z613" s="7">
        <f ca="1">$AV$8*EXP(-'3.r(t)'!E611*$AV$22)</f>
        <v>0.91992755720662167</v>
      </c>
      <c r="AA613" s="7">
        <f ca="1">$AV$9*EXP(-'3.r(t)'!F611*$AV$23)</f>
        <v>0.94904852167022202</v>
      </c>
      <c r="AB613" s="7">
        <f ca="1">$AV$10*EXP(-'3.r(t)'!G611*$AV$24)</f>
        <v>0.96838979258656366</v>
      </c>
      <c r="AC613" s="7">
        <f ca="1">$AV$11*EXP(-'3.r(t)'!H611*$AV$25)</f>
        <v>0.98339454512638202</v>
      </c>
      <c r="AD613" s="7">
        <v>1</v>
      </c>
      <c r="AE613" s="7"/>
      <c r="AF613" s="7">
        <v>605</v>
      </c>
      <c r="AG613" s="7">
        <f>$AW$7*EXP(-'3.r(t)'!D611*$AW$21)</f>
        <v>0.86718755429225491</v>
      </c>
      <c r="AH613" s="7">
        <f ca="1">$AW$8*EXP(-'3.r(t)'!E611*$AW$22)</f>
        <v>0.89993903642503548</v>
      </c>
      <c r="AI613" s="7">
        <f ca="1">$AW$9*EXP(-'3.r(t)'!F611*$AW$23)</f>
        <v>0.931823708129915</v>
      </c>
      <c r="AJ613" s="7">
        <f ca="1">$AW$10*EXP(-'3.r(t)'!G611*$AW$24)</f>
        <v>0.95232782050044362</v>
      </c>
      <c r="AK613" s="7">
        <f ca="1">$AW$11*EXP(-'3.r(t)'!H611*$AW$25)</f>
        <v>0.9666350665890755</v>
      </c>
      <c r="AL613" s="7">
        <f ca="1">$AW$12*EXP(-'3.r(t)'!I611*$AW$26)</f>
        <v>0.98348958027539923</v>
      </c>
      <c r="AM613" s="7">
        <v>1</v>
      </c>
      <c r="AN613" s="7"/>
    </row>
    <row r="614" spans="2:40">
      <c r="B614" s="7">
        <v>606</v>
      </c>
      <c r="C614" s="7">
        <f>$AR$7*EXP(-'3.r(t)'!D612*$AR$21)</f>
        <v>0.97765346695821032</v>
      </c>
      <c r="D614" s="7">
        <v>1</v>
      </c>
      <c r="E614" s="7"/>
      <c r="F614" s="7">
        <v>606</v>
      </c>
      <c r="G614" s="48">
        <f>$AS$7*EXP(-'3.r(t)'!D612*$AS$21)</f>
        <v>0.9553476245219803</v>
      </c>
      <c r="H614" s="7">
        <f ca="1">$AS$8*EXP(-'3.r(t)'!E612*$AS$22)</f>
        <v>0.9793496804978884</v>
      </c>
      <c r="I614" s="7">
        <v>1</v>
      </c>
      <c r="J614" s="7"/>
      <c r="K614" s="7">
        <v>606</v>
      </c>
      <c r="L614" s="7">
        <f>$AT$7*EXP(-'3.r(t)'!D612*$AT$21)</f>
        <v>0.93311670519824419</v>
      </c>
      <c r="M614" s="7">
        <f ca="1">$AT$8*EXP(-'3.r(t)'!E612*$AT$22)</f>
        <v>0.95867403497682491</v>
      </c>
      <c r="N614" s="7">
        <f ca="1">$AT$9*EXP(-'3.r(t)'!F612*$AT$23)</f>
        <v>0.97817138609303911</v>
      </c>
      <c r="O614" s="7">
        <v>1</v>
      </c>
      <c r="P614" s="7"/>
      <c r="Q614" s="7">
        <v>606</v>
      </c>
      <c r="R614" s="7">
        <f>$AU$7*EXP(-'3.r(t)'!D612*$AU$21)</f>
        <v>0.91099305977534117</v>
      </c>
      <c r="S614" s="7">
        <f ca="1">$AU$8*EXP(-'3.r(t)'!E612*$AU$22)</f>
        <v>0.93800693955111591</v>
      </c>
      <c r="T614" s="7">
        <f ca="1">$AU$9*EXP(-'3.r(t)'!F612*$AU$23)</f>
        <v>0.9563770730764366</v>
      </c>
      <c r="U614" s="7">
        <f ca="1">$AU$10*EXP(-'3.r(t)'!G612*$AU$24)</f>
        <v>0.97740980057467208</v>
      </c>
      <c r="V614" s="7">
        <v>1</v>
      </c>
      <c r="W614" s="7"/>
      <c r="X614" s="7">
        <v>606</v>
      </c>
      <c r="Y614" s="7">
        <f>$AV$7*EXP(-'3.r(t)'!D612*$AV$21)</f>
        <v>0.88900715067201674</v>
      </c>
      <c r="Z614" s="7">
        <f ca="1">$AV$8*EXP(-'3.r(t)'!E612*$AV$22)</f>
        <v>0.91738061658634562</v>
      </c>
      <c r="AA614" s="7">
        <f ca="1">$AV$9*EXP(-'3.r(t)'!F612*$AV$23)</f>
        <v>0.93465023612502385</v>
      </c>
      <c r="AB614" s="7">
        <f ca="1">$AV$10*EXP(-'3.r(t)'!G612*$AV$24)</f>
        <v>0.95489689372639563</v>
      </c>
      <c r="AC614" s="7">
        <f ca="1">$AV$11*EXP(-'3.r(t)'!H612*$AV$25)</f>
        <v>0.97308396603048986</v>
      </c>
      <c r="AD614" s="7">
        <v>1</v>
      </c>
      <c r="AE614" s="7"/>
      <c r="AF614" s="7">
        <v>606</v>
      </c>
      <c r="AG614" s="7">
        <f>$AW$7*EXP(-'3.r(t)'!D612*$AW$21)</f>
        <v>0.86718755429225491</v>
      </c>
      <c r="AH614" s="7">
        <f ca="1">$AW$8*EXP(-'3.r(t)'!E612*$AW$22)</f>
        <v>0.89682561532546845</v>
      </c>
      <c r="AI614" s="7">
        <f ca="1">$AW$9*EXP(-'3.r(t)'!F612*$AW$23)</f>
        <v>0.91302224716096625</v>
      </c>
      <c r="AJ614" s="7">
        <f ca="1">$AW$10*EXP(-'3.r(t)'!G612*$AW$24)</f>
        <v>0.93249366036672177</v>
      </c>
      <c r="AK614" s="7">
        <f ca="1">$AW$11*EXP(-'3.r(t)'!H612*$AW$25)</f>
        <v>0.94647160480138981</v>
      </c>
      <c r="AL614" s="7">
        <f ca="1">$AW$12*EXP(-'3.r(t)'!I612*$AW$26)</f>
        <v>0.97672505064949533</v>
      </c>
      <c r="AM614" s="7">
        <v>1</v>
      </c>
      <c r="AN614" s="7"/>
    </row>
    <row r="615" spans="2:40">
      <c r="B615" s="7">
        <v>607</v>
      </c>
      <c r="C615" s="7">
        <f>$AR$7*EXP(-'3.r(t)'!D613*$AR$21)</f>
        <v>0.97765346695821032</v>
      </c>
      <c r="D615" s="7">
        <v>1</v>
      </c>
      <c r="E615" s="7"/>
      <c r="F615" s="7">
        <v>607</v>
      </c>
      <c r="G615" s="48">
        <f>$AS$7*EXP(-'3.r(t)'!D613*$AS$21)</f>
        <v>0.9553476245219803</v>
      </c>
      <c r="H615" s="7">
        <f ca="1">$AS$8*EXP(-'3.r(t)'!E613*$AS$22)</f>
        <v>0.97801507654189668</v>
      </c>
      <c r="I615" s="7">
        <v>1</v>
      </c>
      <c r="J615" s="7"/>
      <c r="K615" s="7">
        <v>607</v>
      </c>
      <c r="L615" s="7">
        <f>$AT$7*EXP(-'3.r(t)'!D613*$AT$21)</f>
        <v>0.93311670519824419</v>
      </c>
      <c r="M615" s="7">
        <f ca="1">$AT$8*EXP(-'3.r(t)'!E613*$AT$22)</f>
        <v>0.95606295866191082</v>
      </c>
      <c r="N615" s="7">
        <f ca="1">$AT$9*EXP(-'3.r(t)'!F613*$AT$23)</f>
        <v>0.97791027241907991</v>
      </c>
      <c r="O615" s="7">
        <v>1</v>
      </c>
      <c r="P615" s="7"/>
      <c r="Q615" s="7">
        <v>607</v>
      </c>
      <c r="R615" s="7">
        <f>$AU$7*EXP(-'3.r(t)'!D613*$AU$21)</f>
        <v>0.91099305977534117</v>
      </c>
      <c r="S615" s="7">
        <f ca="1">$AU$8*EXP(-'3.r(t)'!E613*$AU$22)</f>
        <v>0.93417737000473045</v>
      </c>
      <c r="T615" s="7">
        <f ca="1">$AU$9*EXP(-'3.r(t)'!F613*$AU$23)</f>
        <v>0.95586654945211491</v>
      </c>
      <c r="U615" s="7">
        <f ca="1">$AU$10*EXP(-'3.r(t)'!G613*$AU$24)</f>
        <v>0.97710490586694621</v>
      </c>
      <c r="V615" s="7">
        <v>1</v>
      </c>
      <c r="W615" s="7"/>
      <c r="X615" s="7">
        <v>607</v>
      </c>
      <c r="Y615" s="7">
        <f>$AV$7*EXP(-'3.r(t)'!D613*$AV$21)</f>
        <v>0.88900715067201674</v>
      </c>
      <c r="Z615" s="7">
        <f ca="1">$AV$8*EXP(-'3.r(t)'!E613*$AV$22)</f>
        <v>0.91239020548910732</v>
      </c>
      <c r="AA615" s="7">
        <f ca="1">$AV$9*EXP(-'3.r(t)'!F613*$AV$23)</f>
        <v>0.93390194757526412</v>
      </c>
      <c r="AB615" s="7">
        <f ca="1">$AV$10*EXP(-'3.r(t)'!G613*$AV$24)</f>
        <v>0.95430124265076255</v>
      </c>
      <c r="AC615" s="7">
        <f ca="1">$AV$11*EXP(-'3.r(t)'!H613*$AV$25)</f>
        <v>0.97969816871245963</v>
      </c>
      <c r="AD615" s="7">
        <v>1</v>
      </c>
      <c r="AE615" s="7"/>
      <c r="AF615" s="7">
        <v>607</v>
      </c>
      <c r="AG615" s="7">
        <f>$AW$7*EXP(-'3.r(t)'!D613*$AW$21)</f>
        <v>0.86718755429225491</v>
      </c>
      <c r="AH615" s="7">
        <f ca="1">$AW$8*EXP(-'3.r(t)'!E613*$AW$22)</f>
        <v>0.8907315238993061</v>
      </c>
      <c r="AI615" s="7">
        <f ca="1">$AW$9*EXP(-'3.r(t)'!F613*$AW$23)</f>
        <v>0.91204774655817078</v>
      </c>
      <c r="AJ615" s="7">
        <f ca="1">$AW$10*EXP(-'3.r(t)'!G613*$AW$24)</f>
        <v>0.93162128205953865</v>
      </c>
      <c r="AK615" s="7">
        <f ca="1">$AW$11*EXP(-'3.r(t)'!H613*$AW$25)</f>
        <v>0.95938196170506096</v>
      </c>
      <c r="AL615" s="7">
        <f ca="1">$AW$12*EXP(-'3.r(t)'!I613*$AW$26)</f>
        <v>0.97684438475295798</v>
      </c>
      <c r="AM615" s="7">
        <v>1</v>
      </c>
      <c r="AN615" s="7"/>
    </row>
    <row r="616" spans="2:40">
      <c r="B616" s="7">
        <v>608</v>
      </c>
      <c r="C616" s="7">
        <f>$AR$7*EXP(-'3.r(t)'!D614*$AR$21)</f>
        <v>0.97765346695821032</v>
      </c>
      <c r="D616" s="7">
        <v>1</v>
      </c>
      <c r="E616" s="7"/>
      <c r="F616" s="7">
        <v>608</v>
      </c>
      <c r="G616" s="48">
        <f>$AS$7*EXP(-'3.r(t)'!D614*$AS$21)</f>
        <v>0.9553476245219803</v>
      </c>
      <c r="H616" s="7">
        <f ca="1">$AS$8*EXP(-'3.r(t)'!E614*$AS$22)</f>
        <v>0.97946100786643109</v>
      </c>
      <c r="I616" s="7">
        <v>1</v>
      </c>
      <c r="J616" s="7"/>
      <c r="K616" s="7">
        <v>608</v>
      </c>
      <c r="L616" s="7">
        <f>$AT$7*EXP(-'3.r(t)'!D614*$AT$21)</f>
        <v>0.93311670519824419</v>
      </c>
      <c r="M616" s="7">
        <f ca="1">$AT$8*EXP(-'3.r(t)'!E614*$AT$22)</f>
        <v>0.95889200150256093</v>
      </c>
      <c r="N616" s="7">
        <f ca="1">$AT$9*EXP(-'3.r(t)'!F614*$AT$23)</f>
        <v>0.97197627263479025</v>
      </c>
      <c r="O616" s="7">
        <v>1</v>
      </c>
      <c r="P616" s="7"/>
      <c r="Q616" s="7">
        <v>608</v>
      </c>
      <c r="R616" s="7">
        <f>$AU$7*EXP(-'3.r(t)'!D614*$AU$21)</f>
        <v>0.91099305977534117</v>
      </c>
      <c r="S616" s="7">
        <f ca="1">$AU$8*EXP(-'3.r(t)'!E614*$AU$22)</f>
        <v>0.93832685913868619</v>
      </c>
      <c r="T616" s="7">
        <f ca="1">$AU$9*EXP(-'3.r(t)'!F614*$AU$23)</f>
        <v>0.94430127040041412</v>
      </c>
      <c r="U616" s="7">
        <f ca="1">$AU$10*EXP(-'3.r(t)'!G614*$AU$24)</f>
        <v>0.97053517085491925</v>
      </c>
      <c r="V616" s="7">
        <v>1</v>
      </c>
      <c r="W616" s="7"/>
      <c r="X616" s="7">
        <v>608</v>
      </c>
      <c r="Y616" s="7">
        <f>$AV$7*EXP(-'3.r(t)'!D614*$AV$21)</f>
        <v>0.88900715067201674</v>
      </c>
      <c r="Z616" s="7">
        <f ca="1">$AV$8*EXP(-'3.r(t)'!E614*$AV$22)</f>
        <v>0.91779781991090481</v>
      </c>
      <c r="AA616" s="7">
        <f ca="1">$AV$9*EXP(-'3.r(t)'!F614*$AV$23)</f>
        <v>0.91700403449531209</v>
      </c>
      <c r="AB616" s="7">
        <f ca="1">$AV$10*EXP(-'3.r(t)'!G614*$AV$24)</f>
        <v>0.94151156328343</v>
      </c>
      <c r="AC616" s="7">
        <f ca="1">$AV$11*EXP(-'3.r(t)'!H614*$AV$25)</f>
        <v>0.97154184762491802</v>
      </c>
      <c r="AD616" s="7">
        <v>1</v>
      </c>
      <c r="AE616" s="7"/>
      <c r="AF616" s="7">
        <v>608</v>
      </c>
      <c r="AG616" s="7">
        <f>$AW$7*EXP(-'3.r(t)'!D614*$AW$21)</f>
        <v>0.86718755429225491</v>
      </c>
      <c r="AH616" s="7">
        <f ca="1">$AW$8*EXP(-'3.r(t)'!E614*$AW$22)</f>
        <v>0.89733546354019611</v>
      </c>
      <c r="AI616" s="7">
        <f ca="1">$AW$9*EXP(-'3.r(t)'!F614*$AW$23)</f>
        <v>0.89011105534246282</v>
      </c>
      <c r="AJ616" s="7">
        <f ca="1">$AW$10*EXP(-'3.r(t)'!G614*$AW$24)</f>
        <v>0.91295559467429988</v>
      </c>
      <c r="AK616" s="7">
        <f ca="1">$AW$11*EXP(-'3.r(t)'!H614*$AW$25)</f>
        <v>0.94347409423181838</v>
      </c>
      <c r="AL616" s="7">
        <f ca="1">$AW$12*EXP(-'3.r(t)'!I614*$AW$26)</f>
        <v>0.96716570445807049</v>
      </c>
      <c r="AM616" s="7">
        <v>1</v>
      </c>
      <c r="AN616" s="7"/>
    </row>
    <row r="617" spans="2:40">
      <c r="B617" s="7">
        <v>609</v>
      </c>
      <c r="C617" s="7">
        <f>$AR$7*EXP(-'3.r(t)'!D615*$AR$21)</f>
        <v>0.97765346695821032</v>
      </c>
      <c r="D617" s="7">
        <v>1</v>
      </c>
      <c r="E617" s="7"/>
      <c r="F617" s="7">
        <v>609</v>
      </c>
      <c r="G617" s="48">
        <f>$AS$7*EXP(-'3.r(t)'!D615*$AS$21)</f>
        <v>0.9553476245219803</v>
      </c>
      <c r="H617" s="7">
        <f ca="1">$AS$8*EXP(-'3.r(t)'!E615*$AS$22)</f>
        <v>0.97718345551549335</v>
      </c>
      <c r="I617" s="7">
        <v>1</v>
      </c>
      <c r="J617" s="7"/>
      <c r="K617" s="7">
        <v>609</v>
      </c>
      <c r="L617" s="7">
        <f>$AT$7*EXP(-'3.r(t)'!D615*$AT$21)</f>
        <v>0.93311670519824419</v>
      </c>
      <c r="M617" s="7">
        <f ca="1">$AT$8*EXP(-'3.r(t)'!E615*$AT$22)</f>
        <v>0.95443774031324768</v>
      </c>
      <c r="N617" s="7">
        <f ca="1">$AT$9*EXP(-'3.r(t)'!F615*$AT$23)</f>
        <v>0.97687845811237217</v>
      </c>
      <c r="O617" s="7">
        <v>1</v>
      </c>
      <c r="P617" s="7"/>
      <c r="Q617" s="7">
        <v>609</v>
      </c>
      <c r="R617" s="7">
        <f>$AU$7*EXP(-'3.r(t)'!D615*$AU$21)</f>
        <v>0.91099305977534117</v>
      </c>
      <c r="S617" s="7">
        <f ca="1">$AU$8*EXP(-'3.r(t)'!E615*$AU$22)</f>
        <v>0.9317963602789997</v>
      </c>
      <c r="T617" s="7">
        <f ca="1">$AU$9*EXP(-'3.r(t)'!F615*$AU$23)</f>
        <v>0.95385050260643878</v>
      </c>
      <c r="U617" s="7">
        <f ca="1">$AU$10*EXP(-'3.r(t)'!G615*$AU$24)</f>
        <v>0.97312724433683351</v>
      </c>
      <c r="V617" s="7">
        <v>1</v>
      </c>
      <c r="W617" s="7"/>
      <c r="X617" s="7">
        <v>609</v>
      </c>
      <c r="Y617" s="7">
        <f>$AV$7*EXP(-'3.r(t)'!D615*$AV$21)</f>
        <v>0.88900715067201674</v>
      </c>
      <c r="Z617" s="7">
        <f ca="1">$AV$8*EXP(-'3.r(t)'!E615*$AV$22)</f>
        <v>0.90929088457066343</v>
      </c>
      <c r="AA617" s="7">
        <f ca="1">$AV$9*EXP(-'3.r(t)'!F615*$AV$23)</f>
        <v>0.93094892505585702</v>
      </c>
      <c r="AB617" s="7">
        <f ca="1">$AV$10*EXP(-'3.r(t)'!G615*$AV$24)</f>
        <v>0.94654739544960065</v>
      </c>
      <c r="AC617" s="7">
        <f ca="1">$AV$11*EXP(-'3.r(t)'!H615*$AV$25)</f>
        <v>0.97179421592589899</v>
      </c>
      <c r="AD617" s="7">
        <v>1</v>
      </c>
      <c r="AE617" s="7"/>
      <c r="AF617" s="7">
        <v>609</v>
      </c>
      <c r="AG617" s="7">
        <f>$AW$7*EXP(-'3.r(t)'!D615*$AW$21)</f>
        <v>0.86718755429225491</v>
      </c>
      <c r="AH617" s="7">
        <f ca="1">$AW$8*EXP(-'3.r(t)'!E615*$AW$22)</f>
        <v>0.88695094623273119</v>
      </c>
      <c r="AI617" s="7">
        <f ca="1">$AW$9*EXP(-'3.r(t)'!F615*$AW$23)</f>
        <v>0.90820454915317772</v>
      </c>
      <c r="AJ617" s="7">
        <f ca="1">$AW$10*EXP(-'3.r(t)'!G615*$AW$24)</f>
        <v>0.92029002391483317</v>
      </c>
      <c r="AK617" s="7">
        <f ca="1">$AW$11*EXP(-'3.r(t)'!H615*$AW$25)</f>
        <v>0.94396431270186576</v>
      </c>
      <c r="AL617" s="7">
        <f ca="1">$AW$12*EXP(-'3.r(t)'!I615*$AW$26)</f>
        <v>0.97100181299254418</v>
      </c>
      <c r="AM617" s="7">
        <v>1</v>
      </c>
      <c r="AN617" s="7"/>
    </row>
    <row r="618" spans="2:40">
      <c r="B618" s="7">
        <v>610</v>
      </c>
      <c r="C618" s="7">
        <f>$AR$7*EXP(-'3.r(t)'!D616*$AR$21)</f>
        <v>0.97765346695821032</v>
      </c>
      <c r="D618" s="7">
        <v>1</v>
      </c>
      <c r="E618" s="7"/>
      <c r="F618" s="7">
        <v>610</v>
      </c>
      <c r="G618" s="48">
        <f>$AS$7*EXP(-'3.r(t)'!D616*$AS$21)</f>
        <v>0.9553476245219803</v>
      </c>
      <c r="H618" s="7">
        <f ca="1">$AS$8*EXP(-'3.r(t)'!E616*$AS$22)</f>
        <v>0.9797979297664362</v>
      </c>
      <c r="I618" s="7">
        <v>1</v>
      </c>
      <c r="J618" s="7"/>
      <c r="K618" s="7">
        <v>610</v>
      </c>
      <c r="L618" s="7">
        <f>$AT$7*EXP(-'3.r(t)'!D616*$AT$21)</f>
        <v>0.93311670519824419</v>
      </c>
      <c r="M618" s="7">
        <f ca="1">$AT$8*EXP(-'3.r(t)'!E616*$AT$22)</f>
        <v>0.95955180782194149</v>
      </c>
      <c r="N618" s="7">
        <f ca="1">$AT$9*EXP(-'3.r(t)'!F616*$AT$23)</f>
        <v>0.98192904797370706</v>
      </c>
      <c r="O618" s="7">
        <v>1</v>
      </c>
      <c r="P618" s="7"/>
      <c r="Q618" s="7">
        <v>610</v>
      </c>
      <c r="R618" s="7">
        <f>$AU$7*EXP(-'3.r(t)'!D616*$AU$21)</f>
        <v>0.91099305977534117</v>
      </c>
      <c r="S618" s="7">
        <f ca="1">$AU$8*EXP(-'3.r(t)'!E616*$AU$22)</f>
        <v>0.93929550912226312</v>
      </c>
      <c r="T618" s="7">
        <f ca="1">$AU$9*EXP(-'3.r(t)'!F616*$AU$23)</f>
        <v>0.96373906389289687</v>
      </c>
      <c r="U618" s="7">
        <f ca="1">$AU$10*EXP(-'3.r(t)'!G616*$AU$24)</f>
        <v>0.98359008604282983</v>
      </c>
      <c r="V618" s="7">
        <v>1</v>
      </c>
      <c r="W618" s="7"/>
      <c r="X618" s="7">
        <v>610</v>
      </c>
      <c r="Y618" s="7">
        <f>$AV$7*EXP(-'3.r(t)'!D616*$AV$21)</f>
        <v>0.88900715067201674</v>
      </c>
      <c r="Z618" s="7">
        <f ca="1">$AV$8*EXP(-'3.r(t)'!E616*$AV$22)</f>
        <v>0.91906131391063217</v>
      </c>
      <c r="AA618" s="7">
        <f ca="1">$AV$9*EXP(-'3.r(t)'!F616*$AV$23)</f>
        <v>0.94546309166405262</v>
      </c>
      <c r="AB618" s="7">
        <f ca="1">$AV$10*EXP(-'3.r(t)'!G616*$AV$24)</f>
        <v>0.96701093937806692</v>
      </c>
      <c r="AC618" s="7">
        <f ca="1">$AV$11*EXP(-'3.r(t)'!H616*$AV$25)</f>
        <v>0.98384370305701074</v>
      </c>
      <c r="AD618" s="7">
        <v>1</v>
      </c>
      <c r="AE618" s="7"/>
      <c r="AF618" s="7">
        <v>610</v>
      </c>
      <c r="AG618" s="7">
        <f>$AW$7*EXP(-'3.r(t)'!D616*$AW$21)</f>
        <v>0.86718755429225491</v>
      </c>
      <c r="AH618" s="7">
        <f ca="1">$AW$8*EXP(-'3.r(t)'!E616*$AW$22)</f>
        <v>0.89887988457896839</v>
      </c>
      <c r="AI618" s="7">
        <f ca="1">$AW$9*EXP(-'3.r(t)'!F616*$AW$23)</f>
        <v>0.92713285805086465</v>
      </c>
      <c r="AJ618" s="7">
        <f ca="1">$AW$10*EXP(-'3.r(t)'!G616*$AW$24)</f>
        <v>0.95029456992645545</v>
      </c>
      <c r="AK618" s="7">
        <f ca="1">$AW$11*EXP(-'3.r(t)'!H616*$AW$25)</f>
        <v>0.96751827457646755</v>
      </c>
      <c r="AL618" s="7">
        <f ca="1">$AW$12*EXP(-'3.r(t)'!I616*$AW$26)</f>
        <v>0.97800334242382592</v>
      </c>
      <c r="AM618" s="7">
        <v>1</v>
      </c>
      <c r="AN618" s="7"/>
    </row>
    <row r="619" spans="2:40">
      <c r="B619" s="7">
        <v>611</v>
      </c>
      <c r="C619" s="7">
        <f>$AR$7*EXP(-'3.r(t)'!D617*$AR$21)</f>
        <v>0.97765346695821032</v>
      </c>
      <c r="D619" s="7">
        <v>1</v>
      </c>
      <c r="E619" s="7"/>
      <c r="F619" s="7">
        <v>611</v>
      </c>
      <c r="G619" s="48">
        <f>$AS$7*EXP(-'3.r(t)'!D617*$AS$21)</f>
        <v>0.9553476245219803</v>
      </c>
      <c r="H619" s="7">
        <f ca="1">$AS$8*EXP(-'3.r(t)'!E617*$AS$22)</f>
        <v>0.97381257162924029</v>
      </c>
      <c r="I619" s="7">
        <v>1</v>
      </c>
      <c r="J619" s="7"/>
      <c r="K619" s="7">
        <v>611</v>
      </c>
      <c r="L619" s="7">
        <f>$AT$7*EXP(-'3.r(t)'!D617*$AT$21)</f>
        <v>0.93311670519824419</v>
      </c>
      <c r="M619" s="7">
        <f ca="1">$AT$8*EXP(-'3.r(t)'!E617*$AT$22)</f>
        <v>0.94786425690520804</v>
      </c>
      <c r="N619" s="7">
        <f ca="1">$AT$9*EXP(-'3.r(t)'!F617*$AT$23)</f>
        <v>0.97467535751145262</v>
      </c>
      <c r="O619" s="7">
        <v>1</v>
      </c>
      <c r="P619" s="7"/>
      <c r="Q619" s="7">
        <v>611</v>
      </c>
      <c r="R619" s="7">
        <f>$AU$7*EXP(-'3.r(t)'!D617*$AU$21)</f>
        <v>0.91099305977534117</v>
      </c>
      <c r="S619" s="7">
        <f ca="1">$AU$8*EXP(-'3.r(t)'!E617*$AU$22)</f>
        <v>0.92218663544741308</v>
      </c>
      <c r="T619" s="7">
        <f ca="1">$AU$9*EXP(-'3.r(t)'!F617*$AU$23)</f>
        <v>0.94955302019295973</v>
      </c>
      <c r="U619" s="7">
        <f ca="1">$AU$10*EXP(-'3.r(t)'!G617*$AU$24)</f>
        <v>0.97544877056931534</v>
      </c>
      <c r="V619" s="7">
        <v>1</v>
      </c>
      <c r="W619" s="7"/>
      <c r="X619" s="7">
        <v>611</v>
      </c>
      <c r="Y619" s="7">
        <f>$AV$7*EXP(-'3.r(t)'!D617*$AV$21)</f>
        <v>0.88900715067201674</v>
      </c>
      <c r="Z619" s="7">
        <f ca="1">$AV$8*EXP(-'3.r(t)'!E617*$AV$22)</f>
        <v>0.89680892807210932</v>
      </c>
      <c r="AA619" s="7">
        <f ca="1">$AV$9*EXP(-'3.r(t)'!F617*$AV$23)</f>
        <v>0.92466456445855283</v>
      </c>
      <c r="AB619" s="7">
        <f ca="1">$AV$10*EXP(-'3.r(t)'!G617*$AV$24)</f>
        <v>0.95106901532999966</v>
      </c>
      <c r="AC619" s="7">
        <f ca="1">$AV$11*EXP(-'3.r(t)'!H617*$AV$25)</f>
        <v>0.97324037529534935</v>
      </c>
      <c r="AD619" s="7">
        <v>1</v>
      </c>
      <c r="AE619" s="7"/>
      <c r="AF619" s="7">
        <v>611</v>
      </c>
      <c r="AG619" s="7">
        <f>$AW$7*EXP(-'3.r(t)'!D617*$AW$21)</f>
        <v>0.86718755429225491</v>
      </c>
      <c r="AH619" s="7">
        <f ca="1">$AW$8*EXP(-'3.r(t)'!E617*$AW$22)</f>
        <v>0.87175803424273646</v>
      </c>
      <c r="AI619" s="7">
        <f ca="1">$AW$9*EXP(-'3.r(t)'!F617*$AW$23)</f>
        <v>0.90003932664553798</v>
      </c>
      <c r="AJ619" s="7">
        <f ca="1">$AW$10*EXP(-'3.r(t)'!G617*$AW$24)</f>
        <v>0.92689217698112081</v>
      </c>
      <c r="AK619" s="7">
        <f ca="1">$AW$11*EXP(-'3.r(t)'!H617*$AW$25)</f>
        <v>0.94677589267477014</v>
      </c>
      <c r="AL619" s="7">
        <f ca="1">$AW$12*EXP(-'3.r(t)'!I617*$AW$26)</f>
        <v>0.97066936715189078</v>
      </c>
      <c r="AM619" s="7">
        <v>1</v>
      </c>
      <c r="AN619" s="7"/>
    </row>
    <row r="620" spans="2:40">
      <c r="B620" s="7">
        <v>612</v>
      </c>
      <c r="C620" s="7">
        <f>$AR$7*EXP(-'3.r(t)'!D618*$AR$21)</f>
        <v>0.97765346695821032</v>
      </c>
      <c r="D620" s="7">
        <v>1</v>
      </c>
      <c r="E620" s="7"/>
      <c r="F620" s="7">
        <v>612</v>
      </c>
      <c r="G620" s="48">
        <f>$AS$7*EXP(-'3.r(t)'!D618*$AS$21)</f>
        <v>0.9553476245219803</v>
      </c>
      <c r="H620" s="7">
        <f ca="1">$AS$8*EXP(-'3.r(t)'!E618*$AS$22)</f>
        <v>0.97908912277466209</v>
      </c>
      <c r="I620" s="7">
        <v>1</v>
      </c>
      <c r="J620" s="7"/>
      <c r="K620" s="7">
        <v>612</v>
      </c>
      <c r="L620" s="7">
        <f>$AT$7*EXP(-'3.r(t)'!D618*$AT$21)</f>
        <v>0.93311670519824419</v>
      </c>
      <c r="M620" s="7">
        <f ca="1">$AT$8*EXP(-'3.r(t)'!E618*$AT$22)</f>
        <v>0.95816398897320321</v>
      </c>
      <c r="N620" s="7">
        <f ca="1">$AT$9*EXP(-'3.r(t)'!F618*$AT$23)</f>
        <v>0.98145843000882382</v>
      </c>
      <c r="O620" s="7">
        <v>1</v>
      </c>
      <c r="P620" s="7"/>
      <c r="Q620" s="7">
        <v>612</v>
      </c>
      <c r="R620" s="7">
        <f>$AU$7*EXP(-'3.r(t)'!D618*$AU$21)</f>
        <v>0.91099305977534117</v>
      </c>
      <c r="S620" s="7">
        <f ca="1">$AU$8*EXP(-'3.r(t)'!E618*$AU$22)</f>
        <v>0.93725846347928954</v>
      </c>
      <c r="T620" s="7">
        <f ca="1">$AU$9*EXP(-'3.r(t)'!F618*$AU$23)</f>
        <v>0.96281548549653317</v>
      </c>
      <c r="U620" s="7">
        <f ca="1">$AU$10*EXP(-'3.r(t)'!G618*$AU$24)</f>
        <v>0.98584956573624416</v>
      </c>
      <c r="V620" s="7">
        <v>1</v>
      </c>
      <c r="W620" s="7"/>
      <c r="X620" s="7">
        <v>612</v>
      </c>
      <c r="Y620" s="7">
        <f>$AV$7*EXP(-'3.r(t)'!D618*$AV$21)</f>
        <v>0.88900715067201674</v>
      </c>
      <c r="Z620" s="7">
        <f ca="1">$AV$8*EXP(-'3.r(t)'!E618*$AV$22)</f>
        <v>0.91640472315546972</v>
      </c>
      <c r="AA620" s="7">
        <f ca="1">$AV$9*EXP(-'3.r(t)'!F618*$AV$23)</f>
        <v>0.94410432130802979</v>
      </c>
      <c r="AB620" s="7">
        <f ca="1">$AV$10*EXP(-'3.r(t)'!G618*$AV$24)</f>
        <v>0.97145883125848664</v>
      </c>
      <c r="AC620" s="7">
        <f ca="1">$AV$11*EXP(-'3.r(t)'!H618*$AV$25)</f>
        <v>0.98628655107025498</v>
      </c>
      <c r="AD620" s="7">
        <v>1</v>
      </c>
      <c r="AE620" s="7"/>
      <c r="AF620" s="7">
        <v>612</v>
      </c>
      <c r="AG620" s="7">
        <f>$AW$7*EXP(-'3.r(t)'!D618*$AW$21)</f>
        <v>0.86718755429225491</v>
      </c>
      <c r="AH620" s="7">
        <f ca="1">$AW$8*EXP(-'3.r(t)'!E618*$AW$22)</f>
        <v>0.89563323971656195</v>
      </c>
      <c r="AI620" s="7">
        <f ca="1">$AW$9*EXP(-'3.r(t)'!F618*$AW$23)</f>
        <v>0.92535671425487209</v>
      </c>
      <c r="AJ620" s="7">
        <f ca="1">$AW$10*EXP(-'3.r(t)'!G618*$AW$24)</f>
        <v>0.95685860769466691</v>
      </c>
      <c r="AK620" s="7">
        <f ca="1">$AW$11*EXP(-'3.r(t)'!H618*$AW$25)</f>
        <v>0.97232886457103307</v>
      </c>
      <c r="AL620" s="7">
        <f ca="1">$AW$12*EXP(-'3.r(t)'!I618*$AW$26)</f>
        <v>0.98869811367823557</v>
      </c>
      <c r="AM620" s="7">
        <v>1</v>
      </c>
      <c r="AN620" s="7"/>
    </row>
    <row r="621" spans="2:40">
      <c r="B621" s="7">
        <v>613</v>
      </c>
      <c r="C621" s="7">
        <f>$AR$7*EXP(-'3.r(t)'!D619*$AR$21)</f>
        <v>0.97765346695821032</v>
      </c>
      <c r="D621" s="7">
        <v>1</v>
      </c>
      <c r="E621" s="7"/>
      <c r="F621" s="7">
        <v>613</v>
      </c>
      <c r="G621" s="48">
        <f>$AS$7*EXP(-'3.r(t)'!D619*$AS$21)</f>
        <v>0.9553476245219803</v>
      </c>
      <c r="H621" s="7">
        <f ca="1">$AS$8*EXP(-'3.r(t)'!E619*$AS$22)</f>
        <v>0.97810338532847685</v>
      </c>
      <c r="I621" s="7">
        <v>1</v>
      </c>
      <c r="J621" s="7"/>
      <c r="K621" s="7">
        <v>613</v>
      </c>
      <c r="L621" s="7">
        <f>$AT$7*EXP(-'3.r(t)'!D619*$AT$21)</f>
        <v>0.93311670519824419</v>
      </c>
      <c r="M621" s="7">
        <f ca="1">$AT$8*EXP(-'3.r(t)'!E619*$AT$22)</f>
        <v>0.95623561974556781</v>
      </c>
      <c r="N621" s="7">
        <f ca="1">$AT$9*EXP(-'3.r(t)'!F619*$AT$23)</f>
        <v>0.97488432065410024</v>
      </c>
      <c r="O621" s="7">
        <v>1</v>
      </c>
      <c r="P621" s="7"/>
      <c r="Q621" s="7">
        <v>613</v>
      </c>
      <c r="R621" s="7">
        <f>$AU$7*EXP(-'3.r(t)'!D619*$AU$21)</f>
        <v>0.91099305977534117</v>
      </c>
      <c r="S621" s="7">
        <f ca="1">$AU$8*EXP(-'3.r(t)'!E619*$AU$22)</f>
        <v>0.93443044438289691</v>
      </c>
      <c r="T621" s="7">
        <f ca="1">$AU$9*EXP(-'3.r(t)'!F619*$AU$23)</f>
        <v>0.94996021803937314</v>
      </c>
      <c r="U621" s="7">
        <f ca="1">$AU$10*EXP(-'3.r(t)'!G619*$AU$24)</f>
        <v>0.97599826485380825</v>
      </c>
      <c r="V621" s="7">
        <v>1</v>
      </c>
      <c r="W621" s="7"/>
      <c r="X621" s="7">
        <v>613</v>
      </c>
      <c r="Y621" s="7">
        <f>$AV$7*EXP(-'3.r(t)'!D619*$AV$21)</f>
        <v>0.88900715067201674</v>
      </c>
      <c r="Z621" s="7">
        <f ca="1">$AV$8*EXP(-'3.r(t)'!E619*$AV$22)</f>
        <v>0.91271978317056801</v>
      </c>
      <c r="AA621" s="7">
        <f ca="1">$AV$9*EXP(-'3.r(t)'!F619*$AV$23)</f>
        <v>0.92525941557444347</v>
      </c>
      <c r="AB621" s="7">
        <f ca="1">$AV$10*EXP(-'3.r(t)'!G619*$AV$24)</f>
        <v>0.95214083827455509</v>
      </c>
      <c r="AC621" s="7">
        <f ca="1">$AV$11*EXP(-'3.r(t)'!H619*$AV$25)</f>
        <v>0.97756288952520987</v>
      </c>
      <c r="AD621" s="7">
        <v>1</v>
      </c>
      <c r="AE621" s="7"/>
      <c r="AF621" s="7">
        <v>613</v>
      </c>
      <c r="AG621" s="7">
        <f>$AW$7*EXP(-'3.r(t)'!D619*$AW$21)</f>
        <v>0.86718755429225491</v>
      </c>
      <c r="AH621" s="7">
        <f ca="1">$AW$8*EXP(-'3.r(t)'!E619*$AW$22)</f>
        <v>0.89113373460210665</v>
      </c>
      <c r="AI621" s="7">
        <f ca="1">$AW$9*EXP(-'3.r(t)'!F619*$AW$23)</f>
        <v>0.90081142183080287</v>
      </c>
      <c r="AJ621" s="7">
        <f ca="1">$AW$10*EXP(-'3.r(t)'!G619*$AW$24)</f>
        <v>0.92845948303478576</v>
      </c>
      <c r="AK621" s="7">
        <f ca="1">$AW$11*EXP(-'3.r(t)'!H619*$AW$25)</f>
        <v>0.95520452018889679</v>
      </c>
      <c r="AL621" s="7">
        <f ca="1">$AW$12*EXP(-'3.r(t)'!I619*$AW$26)</f>
        <v>0.98365286505866723</v>
      </c>
      <c r="AM621" s="7">
        <v>1</v>
      </c>
      <c r="AN621" s="7"/>
    </row>
    <row r="622" spans="2:40">
      <c r="B622" s="7">
        <v>614</v>
      </c>
      <c r="C622" s="7">
        <f>$AR$7*EXP(-'3.r(t)'!D620*$AR$21)</f>
        <v>0.97765346695821032</v>
      </c>
      <c r="D622" s="7">
        <v>1</v>
      </c>
      <c r="E622" s="7"/>
      <c r="F622" s="7">
        <v>614</v>
      </c>
      <c r="G622" s="48">
        <f>$AS$7*EXP(-'3.r(t)'!D620*$AS$21)</f>
        <v>0.9553476245219803</v>
      </c>
      <c r="H622" s="7">
        <f ca="1">$AS$8*EXP(-'3.r(t)'!E620*$AS$22)</f>
        <v>0.9740690357689139</v>
      </c>
      <c r="I622" s="7">
        <v>1</v>
      </c>
      <c r="J622" s="7"/>
      <c r="K622" s="7">
        <v>614</v>
      </c>
      <c r="L622" s="7">
        <f>$AT$7*EXP(-'3.r(t)'!D620*$AT$21)</f>
        <v>0.93311670519824419</v>
      </c>
      <c r="M622" s="7">
        <f ca="1">$AT$8*EXP(-'3.r(t)'!E620*$AT$22)</f>
        <v>0.94836358338522386</v>
      </c>
      <c r="N622" s="7">
        <f ca="1">$AT$9*EXP(-'3.r(t)'!F620*$AT$23)</f>
        <v>0.96901307462684683</v>
      </c>
      <c r="O622" s="7">
        <v>1</v>
      </c>
      <c r="P622" s="7"/>
      <c r="Q622" s="7">
        <v>614</v>
      </c>
      <c r="R622" s="7">
        <f>$AU$7*EXP(-'3.r(t)'!D620*$AU$21)</f>
        <v>0.91099305977534117</v>
      </c>
      <c r="S622" s="7">
        <f ca="1">$AU$8*EXP(-'3.r(t)'!E620*$AU$22)</f>
        <v>0.92291543101241957</v>
      </c>
      <c r="T622" s="7">
        <f ca="1">$AU$9*EXP(-'3.r(t)'!F620*$AU$23)</f>
        <v>0.93855239266619217</v>
      </c>
      <c r="U622" s="7">
        <f ca="1">$AU$10*EXP(-'3.r(t)'!G620*$AU$24)</f>
        <v>0.96720827400857479</v>
      </c>
      <c r="V622" s="7">
        <v>1</v>
      </c>
      <c r="W622" s="7"/>
      <c r="X622" s="7">
        <v>614</v>
      </c>
      <c r="Y622" s="7">
        <f>$AV$7*EXP(-'3.r(t)'!D620*$AV$21)</f>
        <v>0.88900715067201674</v>
      </c>
      <c r="Z622" s="7">
        <f ca="1">$AV$8*EXP(-'3.r(t)'!E620*$AV$22)</f>
        <v>0.89775403891617478</v>
      </c>
      <c r="AA622" s="7">
        <f ca="1">$AV$9*EXP(-'3.r(t)'!F620*$AV$23)</f>
        <v>0.90864275320763599</v>
      </c>
      <c r="AB622" s="7">
        <f ca="1">$AV$10*EXP(-'3.r(t)'!G620*$AV$24)</f>
        <v>0.93506781282540585</v>
      </c>
      <c r="AC622" s="7">
        <f ca="1">$AV$11*EXP(-'3.r(t)'!H620*$AV$25)</f>
        <v>0.96154277492135254</v>
      </c>
      <c r="AD622" s="7">
        <v>1</v>
      </c>
      <c r="AE622" s="7"/>
      <c r="AF622" s="7">
        <v>614</v>
      </c>
      <c r="AG622" s="7">
        <f>$AW$7*EXP(-'3.r(t)'!D620*$AW$21)</f>
        <v>0.86718755429225491</v>
      </c>
      <c r="AH622" s="7">
        <f ca="1">$AW$8*EXP(-'3.r(t)'!E620*$AW$22)</f>
        <v>0.87290657387673876</v>
      </c>
      <c r="AI622" s="7">
        <f ca="1">$AW$9*EXP(-'3.r(t)'!F620*$AW$23)</f>
        <v>0.87930610719534363</v>
      </c>
      <c r="AJ622" s="7">
        <f ca="1">$AW$10*EXP(-'3.r(t)'!G620*$AW$24)</f>
        <v>0.90359918136783424</v>
      </c>
      <c r="AK622" s="7">
        <f ca="1">$AW$11*EXP(-'3.r(t)'!H620*$AW$25)</f>
        <v>0.92415363040395915</v>
      </c>
      <c r="AL622" s="7">
        <f ca="1">$AW$12*EXP(-'3.r(t)'!I620*$AW$26)</f>
        <v>0.96325711156597027</v>
      </c>
      <c r="AM622" s="7">
        <v>1</v>
      </c>
      <c r="AN622" s="7"/>
    </row>
    <row r="623" spans="2:40">
      <c r="B623" s="7">
        <v>615</v>
      </c>
      <c r="C623" s="7">
        <f>$AR$7*EXP(-'3.r(t)'!D621*$AR$21)</f>
        <v>0.97765346695821032</v>
      </c>
      <c r="D623" s="7">
        <v>1</v>
      </c>
      <c r="E623" s="7"/>
      <c r="F623" s="7">
        <v>615</v>
      </c>
      <c r="G623" s="48">
        <f>$AS$7*EXP(-'3.r(t)'!D621*$AS$21)</f>
        <v>0.9553476245219803</v>
      </c>
      <c r="H623" s="7">
        <f ca="1">$AS$8*EXP(-'3.r(t)'!E621*$AS$22)</f>
        <v>0.97454470888805278</v>
      </c>
      <c r="I623" s="7">
        <v>1</v>
      </c>
      <c r="J623" s="7"/>
      <c r="K623" s="7">
        <v>615</v>
      </c>
      <c r="L623" s="7">
        <f>$AT$7*EXP(-'3.r(t)'!D621*$AT$21)</f>
        <v>0.93311670519824419</v>
      </c>
      <c r="M623" s="7">
        <f ca="1">$AT$8*EXP(-'3.r(t)'!E621*$AT$22)</f>
        <v>0.94929004997873301</v>
      </c>
      <c r="N623" s="7">
        <f ca="1">$AT$9*EXP(-'3.r(t)'!F621*$AT$23)</f>
        <v>0.97493327436992627</v>
      </c>
      <c r="O623" s="7">
        <v>1</v>
      </c>
      <c r="P623" s="7"/>
      <c r="Q623" s="7">
        <v>615</v>
      </c>
      <c r="R623" s="7">
        <f>$AU$7*EXP(-'3.r(t)'!D621*$AU$21)</f>
        <v>0.91099305977534117</v>
      </c>
      <c r="S623" s="7">
        <f ca="1">$AU$8*EXP(-'3.r(t)'!E621*$AU$22)</f>
        <v>0.92426817028366526</v>
      </c>
      <c r="T623" s="7">
        <f ca="1">$AU$9*EXP(-'3.r(t)'!F621*$AU$23)</f>
        <v>0.95005562474388894</v>
      </c>
      <c r="U623" s="7">
        <f ca="1">$AU$10*EXP(-'3.r(t)'!G621*$AU$24)</f>
        <v>0.97739017226600555</v>
      </c>
      <c r="V623" s="7">
        <v>1</v>
      </c>
      <c r="W623" s="7"/>
      <c r="X623" s="7">
        <v>615</v>
      </c>
      <c r="Y623" s="7">
        <f>$AV$7*EXP(-'3.r(t)'!D621*$AV$21)</f>
        <v>0.88900715067201674</v>
      </c>
      <c r="Z623" s="7">
        <f ca="1">$AV$8*EXP(-'3.r(t)'!E621*$AV$22)</f>
        <v>0.89950894686134553</v>
      </c>
      <c r="AA623" s="7">
        <f ca="1">$AV$9*EXP(-'3.r(t)'!F621*$AV$23)</f>
        <v>0.92539880799275986</v>
      </c>
      <c r="AB623" s="7">
        <f ca="1">$AV$10*EXP(-'3.r(t)'!G621*$AV$24)</f>
        <v>0.95485854170093909</v>
      </c>
      <c r="AC623" s="7">
        <f ca="1">$AV$11*EXP(-'3.r(t)'!H621*$AV$25)</f>
        <v>0.98012421733467947</v>
      </c>
      <c r="AD623" s="7">
        <v>1</v>
      </c>
      <c r="AE623" s="7"/>
      <c r="AF623" s="7">
        <v>615</v>
      </c>
      <c r="AG623" s="7">
        <f>$AW$7*EXP(-'3.r(t)'!D621*$AW$21)</f>
        <v>0.86718755429225491</v>
      </c>
      <c r="AH623" s="7">
        <f ca="1">$AW$8*EXP(-'3.r(t)'!E621*$AW$22)</f>
        <v>0.87504001569471623</v>
      </c>
      <c r="AI623" s="7">
        <f ca="1">$AW$9*EXP(-'3.r(t)'!F621*$AW$23)</f>
        <v>0.90099237207117022</v>
      </c>
      <c r="AJ623" s="7">
        <f ca="1">$AW$10*EXP(-'3.r(t)'!G621*$AW$24)</f>
        <v>0.93243748258186243</v>
      </c>
      <c r="AK623" s="7">
        <f ca="1">$AW$11*EXP(-'3.r(t)'!H621*$AW$25)</f>
        <v>0.96021657026646312</v>
      </c>
      <c r="AL623" s="7">
        <f ca="1">$AW$12*EXP(-'3.r(t)'!I621*$AW$26)</f>
        <v>0.98065348227628679</v>
      </c>
      <c r="AM623" s="7">
        <v>1</v>
      </c>
      <c r="AN623" s="7"/>
    </row>
    <row r="624" spans="2:40">
      <c r="B624" s="7">
        <v>616</v>
      </c>
      <c r="C624" s="7">
        <f>$AR$7*EXP(-'3.r(t)'!D622*$AR$21)</f>
        <v>0.97765346695821032</v>
      </c>
      <c r="D624" s="7">
        <v>1</v>
      </c>
      <c r="E624" s="7"/>
      <c r="F624" s="7">
        <v>616</v>
      </c>
      <c r="G624" s="48">
        <f>$AS$7*EXP(-'3.r(t)'!D622*$AS$21)</f>
        <v>0.9553476245219803</v>
      </c>
      <c r="H624" s="7">
        <f ca="1">$AS$8*EXP(-'3.r(t)'!E622*$AS$22)</f>
        <v>0.97855319242152028</v>
      </c>
      <c r="I624" s="7">
        <v>1</v>
      </c>
      <c r="J624" s="7"/>
      <c r="K624" s="7">
        <v>616</v>
      </c>
      <c r="L624" s="7">
        <f>$AT$7*EXP(-'3.r(t)'!D622*$AT$21)</f>
        <v>0.93311670519824419</v>
      </c>
      <c r="M624" s="7">
        <f ca="1">$AT$8*EXP(-'3.r(t)'!E622*$AT$22)</f>
        <v>0.95711532320495329</v>
      </c>
      <c r="N624" s="7">
        <f ca="1">$AT$9*EXP(-'3.r(t)'!F622*$AT$23)</f>
        <v>0.97641148808105571</v>
      </c>
      <c r="O624" s="7">
        <v>1</v>
      </c>
      <c r="P624" s="7"/>
      <c r="Q624" s="7">
        <v>616</v>
      </c>
      <c r="R624" s="7">
        <f>$AU$7*EXP(-'3.r(t)'!D622*$AU$21)</f>
        <v>0.91099305977534117</v>
      </c>
      <c r="S624" s="7">
        <f ca="1">$AU$8*EXP(-'3.r(t)'!E622*$AU$22)</f>
        <v>0.93572020608966744</v>
      </c>
      <c r="T624" s="7">
        <f ca="1">$AU$9*EXP(-'3.r(t)'!F622*$AU$23)</f>
        <v>0.9529387962727669</v>
      </c>
      <c r="U624" s="7">
        <f ca="1">$AU$10*EXP(-'3.r(t)'!G622*$AU$24)</f>
        <v>0.9725907130394601</v>
      </c>
      <c r="V624" s="7">
        <v>1</v>
      </c>
      <c r="W624" s="7"/>
      <c r="X624" s="7">
        <v>616</v>
      </c>
      <c r="Y624" s="7">
        <f>$AV$7*EXP(-'3.r(t)'!D622*$AV$21)</f>
        <v>0.88900715067201674</v>
      </c>
      <c r="Z624" s="7">
        <f ca="1">$AV$8*EXP(-'3.r(t)'!E622*$AV$22)</f>
        <v>0.91439989644934072</v>
      </c>
      <c r="AA624" s="7">
        <f ca="1">$AV$9*EXP(-'3.r(t)'!F622*$AV$23)</f>
        <v>0.92961451911310622</v>
      </c>
      <c r="AB624" s="7">
        <f ca="1">$AV$10*EXP(-'3.r(t)'!G622*$AV$24)</f>
        <v>0.94550393005798639</v>
      </c>
      <c r="AC624" s="7">
        <f ca="1">$AV$11*EXP(-'3.r(t)'!H622*$AV$25)</f>
        <v>0.9730607343801928</v>
      </c>
      <c r="AD624" s="7">
        <v>1</v>
      </c>
      <c r="AE624" s="7"/>
      <c r="AF624" s="7">
        <v>616</v>
      </c>
      <c r="AG624" s="7">
        <f>$AW$7*EXP(-'3.r(t)'!D622*$AW$21)</f>
        <v>0.86718755429225491</v>
      </c>
      <c r="AH624" s="7">
        <f ca="1">$AW$8*EXP(-'3.r(t)'!E622*$AW$22)</f>
        <v>0.89318467892329367</v>
      </c>
      <c r="AI624" s="7">
        <f ca="1">$AW$9*EXP(-'3.r(t)'!F622*$AW$23)</f>
        <v>0.90646922454676082</v>
      </c>
      <c r="AJ624" s="7">
        <f ca="1">$AW$10*EXP(-'3.r(t)'!G622*$AW$24)</f>
        <v>0.91876866414112934</v>
      </c>
      <c r="AK624" s="7">
        <f ca="1">$AW$11*EXP(-'3.r(t)'!H622*$AW$25)</f>
        <v>0.94642641274061867</v>
      </c>
      <c r="AL624" s="7">
        <f ca="1">$AW$12*EXP(-'3.r(t)'!I622*$AW$26)</f>
        <v>0.97152505068909123</v>
      </c>
      <c r="AM624" s="7">
        <v>1</v>
      </c>
      <c r="AN624" s="7"/>
    </row>
    <row r="625" spans="2:40">
      <c r="B625" s="7">
        <v>617</v>
      </c>
      <c r="C625" s="7">
        <f>$AR$7*EXP(-'3.r(t)'!D623*$AR$21)</f>
        <v>0.97765346695821032</v>
      </c>
      <c r="D625" s="7">
        <v>1</v>
      </c>
      <c r="E625" s="7"/>
      <c r="F625" s="7">
        <v>617</v>
      </c>
      <c r="G625" s="48">
        <f>$AS$7*EXP(-'3.r(t)'!D623*$AS$21)</f>
        <v>0.9553476245219803</v>
      </c>
      <c r="H625" s="7">
        <f ca="1">$AS$8*EXP(-'3.r(t)'!E623*$AS$22)</f>
        <v>0.97860858302200904</v>
      </c>
      <c r="I625" s="7">
        <v>1</v>
      </c>
      <c r="J625" s="7"/>
      <c r="K625" s="7">
        <v>617</v>
      </c>
      <c r="L625" s="7">
        <f>$AT$7*EXP(-'3.r(t)'!D623*$AT$21)</f>
        <v>0.93311670519824419</v>
      </c>
      <c r="M625" s="7">
        <f ca="1">$AT$8*EXP(-'3.r(t)'!E623*$AT$22)</f>
        <v>0.95722368050908668</v>
      </c>
      <c r="N625" s="7">
        <f ca="1">$AT$9*EXP(-'3.r(t)'!F623*$AT$23)</f>
        <v>0.97610517099831318</v>
      </c>
      <c r="O625" s="7">
        <v>1</v>
      </c>
      <c r="P625" s="7"/>
      <c r="Q625" s="7">
        <v>617</v>
      </c>
      <c r="R625" s="7">
        <f>$AU$7*EXP(-'3.r(t)'!D623*$AU$21)</f>
        <v>0.91099305977534117</v>
      </c>
      <c r="S625" s="7">
        <f ca="1">$AU$8*EXP(-'3.r(t)'!E623*$AU$22)</f>
        <v>0.93587911325501094</v>
      </c>
      <c r="T625" s="7">
        <f ca="1">$AU$9*EXP(-'3.r(t)'!F623*$AU$23)</f>
        <v>0.95234098346859897</v>
      </c>
      <c r="U625" s="7">
        <f ca="1">$AU$10*EXP(-'3.r(t)'!G623*$AU$24)</f>
        <v>0.97431557819370307</v>
      </c>
      <c r="V625" s="7">
        <v>1</v>
      </c>
      <c r="W625" s="7"/>
      <c r="X625" s="7">
        <v>617</v>
      </c>
      <c r="Y625" s="7">
        <f>$AV$7*EXP(-'3.r(t)'!D623*$AV$21)</f>
        <v>0.88900715067201674</v>
      </c>
      <c r="Z625" s="7">
        <f ca="1">$AV$8*EXP(-'3.r(t)'!E623*$AV$22)</f>
        <v>0.91460695094721789</v>
      </c>
      <c r="AA625" s="7">
        <f ca="1">$AV$9*EXP(-'3.r(t)'!F623*$AV$23)</f>
        <v>0.92873988535282159</v>
      </c>
      <c r="AB625" s="7">
        <f ca="1">$AV$10*EXP(-'3.r(t)'!G623*$AV$24)</f>
        <v>0.94886055872176278</v>
      </c>
      <c r="AC625" s="7">
        <f ca="1">$AV$11*EXP(-'3.r(t)'!H623*$AV$25)</f>
        <v>0.971574827406819</v>
      </c>
      <c r="AD625" s="7">
        <v>1</v>
      </c>
      <c r="AE625" s="7"/>
      <c r="AF625" s="7">
        <v>617</v>
      </c>
      <c r="AG625" s="7">
        <f>$AW$7*EXP(-'3.r(t)'!D623*$AW$21)</f>
        <v>0.86718755429225491</v>
      </c>
      <c r="AH625" s="7">
        <f ca="1">$AW$8*EXP(-'3.r(t)'!E623*$AW$22)</f>
        <v>0.89343749929794491</v>
      </c>
      <c r="AI625" s="7">
        <f ca="1">$AW$9*EXP(-'3.r(t)'!F623*$AW$23)</f>
        <v>0.90533225974945697</v>
      </c>
      <c r="AJ625" s="7">
        <f ca="1">$AW$10*EXP(-'3.r(t)'!G623*$AW$24)</f>
        <v>0.92366557775026825</v>
      </c>
      <c r="AK625" s="7">
        <f ca="1">$AW$11*EXP(-'3.r(t)'!H623*$AW$25)</f>
        <v>0.94353814931715463</v>
      </c>
      <c r="AL625" s="7">
        <f ca="1">$AW$12*EXP(-'3.r(t)'!I623*$AW$26)</f>
        <v>0.97275569263089423</v>
      </c>
      <c r="AM625" s="7">
        <v>1</v>
      </c>
      <c r="AN625" s="7"/>
    </row>
    <row r="626" spans="2:40">
      <c r="B626" s="7">
        <v>618</v>
      </c>
      <c r="C626" s="7">
        <f>$AR$7*EXP(-'3.r(t)'!D624*$AR$21)</f>
        <v>0.97765346695821032</v>
      </c>
      <c r="D626" s="7">
        <v>1</v>
      </c>
      <c r="E626" s="7"/>
      <c r="F626" s="7">
        <v>618</v>
      </c>
      <c r="G626" s="48">
        <f>$AS$7*EXP(-'3.r(t)'!D624*$AS$21)</f>
        <v>0.9553476245219803</v>
      </c>
      <c r="H626" s="7">
        <f ca="1">$AS$8*EXP(-'3.r(t)'!E624*$AS$22)</f>
        <v>0.9779693848265496</v>
      </c>
      <c r="I626" s="7">
        <v>1</v>
      </c>
      <c r="J626" s="7"/>
      <c r="K626" s="7">
        <v>618</v>
      </c>
      <c r="L626" s="7">
        <f>$AT$7*EXP(-'3.r(t)'!D624*$AT$21)</f>
        <v>0.93311670519824419</v>
      </c>
      <c r="M626" s="7">
        <f ca="1">$AT$8*EXP(-'3.r(t)'!E624*$AT$22)</f>
        <v>0.95597362847227985</v>
      </c>
      <c r="N626" s="7">
        <f ca="1">$AT$9*EXP(-'3.r(t)'!F624*$AT$23)</f>
        <v>0.97779617854339951</v>
      </c>
      <c r="O626" s="7">
        <v>1</v>
      </c>
      <c r="P626" s="7"/>
      <c r="Q626" s="7">
        <v>618</v>
      </c>
      <c r="R626" s="7">
        <f>$AU$7*EXP(-'3.r(t)'!D624*$AU$21)</f>
        <v>0.91099305977534117</v>
      </c>
      <c r="S626" s="7">
        <f ca="1">$AU$8*EXP(-'3.r(t)'!E624*$AU$22)</f>
        <v>0.93404644511397594</v>
      </c>
      <c r="T626" s="7">
        <f ca="1">$AU$9*EXP(-'3.r(t)'!F624*$AU$23)</f>
        <v>0.95564351844334738</v>
      </c>
      <c r="U626" s="7">
        <f ca="1">$AU$10*EXP(-'3.r(t)'!G624*$AU$24)</f>
        <v>0.97436211189812394</v>
      </c>
      <c r="V626" s="7">
        <v>1</v>
      </c>
      <c r="W626" s="7"/>
      <c r="X626" s="7">
        <v>618</v>
      </c>
      <c r="Y626" s="7">
        <f>$AV$7*EXP(-'3.r(t)'!D624*$AV$21)</f>
        <v>0.88900715067201674</v>
      </c>
      <c r="Z626" s="7">
        <f ca="1">$AV$8*EXP(-'3.r(t)'!E624*$AV$22)</f>
        <v>0.91221971424341319</v>
      </c>
      <c r="AA626" s="7">
        <f ca="1">$AV$9*EXP(-'3.r(t)'!F624*$AV$23)</f>
        <v>0.93357510758412665</v>
      </c>
      <c r="AB626" s="7">
        <f ca="1">$AV$10*EXP(-'3.r(t)'!G624*$AV$24)</f>
        <v>0.94895119681104434</v>
      </c>
      <c r="AC626" s="7">
        <f ca="1">$AV$11*EXP(-'3.r(t)'!H624*$AV$25)</f>
        <v>0.97175863119897743</v>
      </c>
      <c r="AD626" s="7">
        <v>1</v>
      </c>
      <c r="AE626" s="7"/>
      <c r="AF626" s="7">
        <v>618</v>
      </c>
      <c r="AG626" s="7">
        <f>$AW$7*EXP(-'3.r(t)'!D624*$AW$21)</f>
        <v>0.86718755429225491</v>
      </c>
      <c r="AH626" s="7">
        <f ca="1">$AW$8*EXP(-'3.r(t)'!E624*$AW$22)</f>
        <v>0.89052347368837048</v>
      </c>
      <c r="AI626" s="7">
        <f ca="1">$AW$9*EXP(-'3.r(t)'!F624*$AW$23)</f>
        <v>0.91162218255487992</v>
      </c>
      <c r="AJ626" s="7">
        <f ca="1">$AW$10*EXP(-'3.r(t)'!G624*$AW$24)</f>
        <v>0.92379792799116855</v>
      </c>
      <c r="AK626" s="7">
        <f ca="1">$AW$11*EXP(-'3.r(t)'!H624*$AW$25)</f>
        <v>0.94389518263968619</v>
      </c>
      <c r="AL626" s="7">
        <f ca="1">$AW$12*EXP(-'3.r(t)'!I624*$AW$26)</f>
        <v>0.96959884399644936</v>
      </c>
      <c r="AM626" s="7">
        <v>1</v>
      </c>
      <c r="AN626" s="7"/>
    </row>
    <row r="627" spans="2:40">
      <c r="B627" s="7">
        <v>619</v>
      </c>
      <c r="C627" s="7">
        <f>$AR$7*EXP(-'3.r(t)'!D625*$AR$21)</f>
        <v>0.97765346695821032</v>
      </c>
      <c r="D627" s="7">
        <v>1</v>
      </c>
      <c r="E627" s="7"/>
      <c r="F627" s="7">
        <v>619</v>
      </c>
      <c r="G627" s="48">
        <f>$AS$7*EXP(-'3.r(t)'!D625*$AS$21)</f>
        <v>0.9553476245219803</v>
      </c>
      <c r="H627" s="7">
        <f ca="1">$AS$8*EXP(-'3.r(t)'!E625*$AS$22)</f>
        <v>0.97884087890481675</v>
      </c>
      <c r="I627" s="7">
        <v>1</v>
      </c>
      <c r="J627" s="7"/>
      <c r="K627" s="7">
        <v>619</v>
      </c>
      <c r="L627" s="7">
        <f>$AT$7*EXP(-'3.r(t)'!D625*$AT$21)</f>
        <v>0.93311670519824419</v>
      </c>
      <c r="M627" s="7">
        <f ca="1">$AT$8*EXP(-'3.r(t)'!E625*$AT$22)</f>
        <v>0.95767817378630382</v>
      </c>
      <c r="N627" s="7">
        <f ca="1">$AT$9*EXP(-'3.r(t)'!F625*$AT$23)</f>
        <v>0.97900272648983711</v>
      </c>
      <c r="O627" s="7">
        <v>1</v>
      </c>
      <c r="P627" s="7"/>
      <c r="Q627" s="7">
        <v>619</v>
      </c>
      <c r="R627" s="7">
        <f>$AU$7*EXP(-'3.r(t)'!D625*$AU$21)</f>
        <v>0.91099305977534117</v>
      </c>
      <c r="S627" s="7">
        <f ca="1">$AU$8*EXP(-'3.r(t)'!E625*$AU$22)</f>
        <v>0.9365457305662801</v>
      </c>
      <c r="T627" s="7">
        <f ca="1">$AU$9*EXP(-'3.r(t)'!F625*$AU$23)</f>
        <v>0.9580033990368394</v>
      </c>
      <c r="U627" s="7">
        <f ca="1">$AU$10*EXP(-'3.r(t)'!G625*$AU$24)</f>
        <v>0.98236077470699767</v>
      </c>
      <c r="V627" s="7">
        <v>1</v>
      </c>
      <c r="W627" s="7"/>
      <c r="X627" s="7">
        <v>619</v>
      </c>
      <c r="Y627" s="7">
        <f>$AV$7*EXP(-'3.r(t)'!D625*$AV$21)</f>
        <v>0.88900715067201674</v>
      </c>
      <c r="Z627" s="7">
        <f ca="1">$AV$8*EXP(-'3.r(t)'!E625*$AV$22)</f>
        <v>0.91547567453355927</v>
      </c>
      <c r="AA627" s="7">
        <f ca="1">$AV$9*EXP(-'3.r(t)'!F625*$AV$23)</f>
        <v>0.93703531835079745</v>
      </c>
      <c r="AB627" s="7">
        <f ca="1">$AV$10*EXP(-'3.r(t)'!G625*$AV$24)</f>
        <v>0.96459526915205362</v>
      </c>
      <c r="AC627" s="7">
        <f ca="1">$AV$11*EXP(-'3.r(t)'!H625*$AV$25)</f>
        <v>0.98196093278096175</v>
      </c>
      <c r="AD627" s="7">
        <v>1</v>
      </c>
      <c r="AE627" s="7"/>
      <c r="AF627" s="7">
        <v>619</v>
      </c>
      <c r="AG627" s="7">
        <f>$AW$7*EXP(-'3.r(t)'!D625*$AW$21)</f>
        <v>0.86718755429225491</v>
      </c>
      <c r="AH627" s="7">
        <f ca="1">$AW$8*EXP(-'3.r(t)'!E625*$AW$22)</f>
        <v>0.89449839539857734</v>
      </c>
      <c r="AI627" s="7">
        <f ca="1">$AW$9*EXP(-'3.r(t)'!F625*$AW$23)</f>
        <v>0.91613008891562975</v>
      </c>
      <c r="AJ627" s="7">
        <f ca="1">$AW$10*EXP(-'3.r(t)'!G625*$AW$24)</f>
        <v>0.94673592757682568</v>
      </c>
      <c r="AK627" s="7">
        <f ca="1">$AW$11*EXP(-'3.r(t)'!H625*$AW$25)</f>
        <v>0.96381876083897833</v>
      </c>
      <c r="AL627" s="7">
        <f ca="1">$AW$12*EXP(-'3.r(t)'!I625*$AW$26)</f>
        <v>0.98208838873048987</v>
      </c>
      <c r="AM627" s="7">
        <v>1</v>
      </c>
      <c r="AN627" s="7"/>
    </row>
    <row r="628" spans="2:40">
      <c r="B628" s="7">
        <v>620</v>
      </c>
      <c r="C628" s="7">
        <f>$AR$7*EXP(-'3.r(t)'!D626*$AR$21)</f>
        <v>0.97765346695821032</v>
      </c>
      <c r="D628" s="7">
        <v>1</v>
      </c>
      <c r="E628" s="7"/>
      <c r="F628" s="7">
        <v>620</v>
      </c>
      <c r="G628" s="48">
        <f>$AS$7*EXP(-'3.r(t)'!D626*$AS$21)</f>
        <v>0.9553476245219803</v>
      </c>
      <c r="H628" s="7">
        <f ca="1">$AS$8*EXP(-'3.r(t)'!E626*$AS$22)</f>
        <v>0.97785683378084676</v>
      </c>
      <c r="I628" s="7">
        <v>1</v>
      </c>
      <c r="J628" s="7"/>
      <c r="K628" s="7">
        <v>620</v>
      </c>
      <c r="L628" s="7">
        <f>$AT$7*EXP(-'3.r(t)'!D626*$AT$21)</f>
        <v>0.93311670519824419</v>
      </c>
      <c r="M628" s="7">
        <f ca="1">$AT$8*EXP(-'3.r(t)'!E626*$AT$22)</f>
        <v>0.95575360187061742</v>
      </c>
      <c r="N628" s="7">
        <f ca="1">$AT$9*EXP(-'3.r(t)'!F626*$AT$23)</f>
        <v>0.97757691774686883</v>
      </c>
      <c r="O628" s="7">
        <v>1</v>
      </c>
      <c r="P628" s="7"/>
      <c r="Q628" s="7">
        <v>620</v>
      </c>
      <c r="R628" s="7">
        <f>$AU$7*EXP(-'3.r(t)'!D626*$AU$21)</f>
        <v>0.91099305977534117</v>
      </c>
      <c r="S628" s="7">
        <f ca="1">$AU$8*EXP(-'3.r(t)'!E626*$AU$22)</f>
        <v>0.93372399389793148</v>
      </c>
      <c r="T628" s="7">
        <f ca="1">$AU$9*EXP(-'3.r(t)'!F626*$AU$23)</f>
        <v>0.95521497991846394</v>
      </c>
      <c r="U628" s="7">
        <f ca="1">$AU$10*EXP(-'3.r(t)'!G626*$AU$24)</f>
        <v>0.97627964938048306</v>
      </c>
      <c r="V628" s="7">
        <v>1</v>
      </c>
      <c r="W628" s="7"/>
      <c r="X628" s="7">
        <v>620</v>
      </c>
      <c r="Y628" s="7">
        <f>$AV$7*EXP(-'3.r(t)'!D626*$AV$21)</f>
        <v>0.88900715067201674</v>
      </c>
      <c r="Z628" s="7">
        <f ca="1">$AV$8*EXP(-'3.r(t)'!E626*$AV$22)</f>
        <v>0.91179985013892106</v>
      </c>
      <c r="AA628" s="7">
        <f ca="1">$AV$9*EXP(-'3.r(t)'!F626*$AV$23)</f>
        <v>0.93294721438342032</v>
      </c>
      <c r="AB628" s="7">
        <f ca="1">$AV$10*EXP(-'3.r(t)'!G626*$AV$24)</f>
        <v>0.95268993007045555</v>
      </c>
      <c r="AC628" s="7">
        <f ca="1">$AV$11*EXP(-'3.r(t)'!H626*$AV$25)</f>
        <v>0.9759014994232269</v>
      </c>
      <c r="AD628" s="7">
        <v>1</v>
      </c>
      <c r="AE628" s="7"/>
      <c r="AF628" s="7">
        <v>620</v>
      </c>
      <c r="AG628" s="7">
        <f>$AW$7*EXP(-'3.r(t)'!D626*$AW$21)</f>
        <v>0.86718755429225491</v>
      </c>
      <c r="AH628" s="7">
        <f ca="1">$AW$8*EXP(-'3.r(t)'!E626*$AW$22)</f>
        <v>0.89001115560197541</v>
      </c>
      <c r="AI628" s="7">
        <f ca="1">$AW$9*EXP(-'3.r(t)'!F626*$AW$23)</f>
        <v>0.91080476973312319</v>
      </c>
      <c r="AJ628" s="7">
        <f ca="1">$AW$10*EXP(-'3.r(t)'!G626*$AW$24)</f>
        <v>0.9292627512459618</v>
      </c>
      <c r="AK628" s="7">
        <f ca="1">$AW$11*EXP(-'3.r(t)'!H626*$AW$25)</f>
        <v>0.9519604960777639</v>
      </c>
      <c r="AL628" s="7">
        <f ca="1">$AW$12*EXP(-'3.r(t)'!I626*$AW$26)</f>
        <v>0.97620238991923436</v>
      </c>
      <c r="AM628" s="7">
        <v>1</v>
      </c>
      <c r="AN628" s="7"/>
    </row>
    <row r="629" spans="2:40">
      <c r="B629" s="7">
        <v>621</v>
      </c>
      <c r="C629" s="7">
        <f>$AR$7*EXP(-'3.r(t)'!D627*$AR$21)</f>
        <v>0.97765346695821032</v>
      </c>
      <c r="D629" s="7">
        <v>1</v>
      </c>
      <c r="E629" s="7"/>
      <c r="F629" s="7">
        <v>621</v>
      </c>
      <c r="G629" s="48">
        <f>$AS$7*EXP(-'3.r(t)'!D627*$AS$21)</f>
        <v>0.9553476245219803</v>
      </c>
      <c r="H629" s="7">
        <f ca="1">$AS$8*EXP(-'3.r(t)'!E627*$AS$22)</f>
        <v>0.97618093688518282</v>
      </c>
      <c r="I629" s="7">
        <v>1</v>
      </c>
      <c r="J629" s="7"/>
      <c r="K629" s="7">
        <v>621</v>
      </c>
      <c r="L629" s="7">
        <f>$AT$7*EXP(-'3.r(t)'!D627*$AT$21)</f>
        <v>0.93311670519824419</v>
      </c>
      <c r="M629" s="7">
        <f ca="1">$AT$8*EXP(-'3.r(t)'!E627*$AT$22)</f>
        <v>0.95248037849742717</v>
      </c>
      <c r="N629" s="7">
        <f ca="1">$AT$9*EXP(-'3.r(t)'!F627*$AT$23)</f>
        <v>0.96936263099764908</v>
      </c>
      <c r="O629" s="7">
        <v>1</v>
      </c>
      <c r="P629" s="7"/>
      <c r="Q629" s="7">
        <v>621</v>
      </c>
      <c r="R629" s="7">
        <f>$AU$7*EXP(-'3.r(t)'!D627*$AU$21)</f>
        <v>0.91099305977534117</v>
      </c>
      <c r="S629" s="7">
        <f ca="1">$AU$8*EXP(-'3.r(t)'!E627*$AU$22)</f>
        <v>0.9289314371036882</v>
      </c>
      <c r="T629" s="7">
        <f ca="1">$AU$9*EXP(-'3.r(t)'!F627*$AU$23)</f>
        <v>0.93922965110801893</v>
      </c>
      <c r="U629" s="7">
        <f ca="1">$AU$10*EXP(-'3.r(t)'!G627*$AU$24)</f>
        <v>0.96316843098457516</v>
      </c>
      <c r="V629" s="7">
        <v>1</v>
      </c>
      <c r="W629" s="7"/>
      <c r="X629" s="7">
        <v>621</v>
      </c>
      <c r="Y629" s="7">
        <f>$AV$7*EXP(-'3.r(t)'!D627*$AV$21)</f>
        <v>0.88900715067201674</v>
      </c>
      <c r="Z629" s="7">
        <f ca="1">$AV$8*EXP(-'3.r(t)'!E627*$AV$22)</f>
        <v>0.90556515964899675</v>
      </c>
      <c r="AA629" s="7">
        <f ca="1">$AV$9*EXP(-'3.r(t)'!F627*$AV$23)</f>
        <v>0.90962644412699412</v>
      </c>
      <c r="AB629" s="7">
        <f ca="1">$AV$10*EXP(-'3.r(t)'!G627*$AV$24)</f>
        <v>0.92727292876684397</v>
      </c>
      <c r="AC629" s="7">
        <f ca="1">$AV$11*EXP(-'3.r(t)'!H627*$AV$25)</f>
        <v>0.96048775700986666</v>
      </c>
      <c r="AD629" s="7">
        <v>1</v>
      </c>
      <c r="AE629" s="7"/>
      <c r="AF629" s="7">
        <v>621</v>
      </c>
      <c r="AG629" s="7">
        <f>$AW$7*EXP(-'3.r(t)'!D627*$AW$21)</f>
        <v>0.86718755429225491</v>
      </c>
      <c r="AH629" s="7">
        <f ca="1">$AW$8*EXP(-'3.r(t)'!E627*$AW$22)</f>
        <v>0.88241053861239704</v>
      </c>
      <c r="AI629" s="7">
        <f ca="1">$AW$9*EXP(-'3.r(t)'!F627*$AW$23)</f>
        <v>0.88057557782075557</v>
      </c>
      <c r="AJ629" s="7">
        <f ca="1">$AW$10*EXP(-'3.r(t)'!G627*$AW$24)</f>
        <v>0.89232392713127462</v>
      </c>
      <c r="AK629" s="7">
        <f ca="1">$AW$11*EXP(-'3.r(t)'!H627*$AW$25)</f>
        <v>0.92212675491276952</v>
      </c>
      <c r="AL629" s="7">
        <f ca="1">$AW$12*EXP(-'3.r(t)'!I627*$AW$26)</f>
        <v>0.95998449532072139</v>
      </c>
      <c r="AM629" s="7">
        <v>1</v>
      </c>
      <c r="AN629" s="7"/>
    </row>
    <row r="630" spans="2:40">
      <c r="B630" s="7">
        <v>622</v>
      </c>
      <c r="C630" s="7">
        <f>$AR$7*EXP(-'3.r(t)'!D628*$AR$21)</f>
        <v>0.97765346695821032</v>
      </c>
      <c r="D630" s="7">
        <v>1</v>
      </c>
      <c r="E630" s="7"/>
      <c r="F630" s="7">
        <v>622</v>
      </c>
      <c r="G630" s="48">
        <f>$AS$7*EXP(-'3.r(t)'!D628*$AS$21)</f>
        <v>0.9553476245219803</v>
      </c>
      <c r="H630" s="7">
        <f ca="1">$AS$8*EXP(-'3.r(t)'!E628*$AS$22)</f>
        <v>0.9790078775200356</v>
      </c>
      <c r="I630" s="7">
        <v>1</v>
      </c>
      <c r="J630" s="7"/>
      <c r="K630" s="7">
        <v>622</v>
      </c>
      <c r="L630" s="7">
        <f>$AT$7*EXP(-'3.r(t)'!D628*$AT$21)</f>
        <v>0.93311670519824419</v>
      </c>
      <c r="M630" s="7">
        <f ca="1">$AT$8*EXP(-'3.r(t)'!E628*$AT$22)</f>
        <v>0.95800497781561222</v>
      </c>
      <c r="N630" s="7">
        <f ca="1">$AT$9*EXP(-'3.r(t)'!F628*$AT$23)</f>
        <v>0.98115154739996202</v>
      </c>
      <c r="O630" s="7">
        <v>1</v>
      </c>
      <c r="P630" s="7"/>
      <c r="Q630" s="7">
        <v>622</v>
      </c>
      <c r="R630" s="7">
        <f>$AU$7*EXP(-'3.r(t)'!D628*$AU$21)</f>
        <v>0.91099305977534117</v>
      </c>
      <c r="S630" s="7">
        <f ca="1">$AU$8*EXP(-'3.r(t)'!E628*$AU$22)</f>
        <v>0.93702516045669115</v>
      </c>
      <c r="T630" s="7">
        <f ca="1">$AU$9*EXP(-'3.r(t)'!F628*$AU$23)</f>
        <v>0.96221347297110527</v>
      </c>
      <c r="U630" s="7">
        <f ca="1">$AU$10*EXP(-'3.r(t)'!G628*$AU$24)</f>
        <v>0.98126972523811606</v>
      </c>
      <c r="V630" s="7">
        <v>1</v>
      </c>
      <c r="W630" s="7"/>
      <c r="X630" s="7">
        <v>622</v>
      </c>
      <c r="Y630" s="7">
        <f>$AV$7*EXP(-'3.r(t)'!D628*$AV$21)</f>
        <v>0.88900715067201674</v>
      </c>
      <c r="Z630" s="7">
        <f ca="1">$AV$8*EXP(-'3.r(t)'!E628*$AV$22)</f>
        <v>0.91610058631410118</v>
      </c>
      <c r="AA630" s="7">
        <f ca="1">$AV$9*EXP(-'3.r(t)'!F628*$AV$23)</f>
        <v>0.94321899003418375</v>
      </c>
      <c r="AB630" s="7">
        <f ca="1">$AV$10*EXP(-'3.r(t)'!G628*$AV$24)</f>
        <v>0.96245382223662324</v>
      </c>
      <c r="AC630" s="7">
        <f ca="1">$AV$11*EXP(-'3.r(t)'!H628*$AV$25)</f>
        <v>0.98294981219222488</v>
      </c>
      <c r="AD630" s="7">
        <v>1</v>
      </c>
      <c r="AE630" s="7"/>
      <c r="AF630" s="7">
        <v>622</v>
      </c>
      <c r="AG630" s="7">
        <f>$AW$7*EXP(-'3.r(t)'!D628*$AW$21)</f>
        <v>0.86718755429225491</v>
      </c>
      <c r="AH630" s="7">
        <f ca="1">$AW$8*EXP(-'3.r(t)'!E628*$AW$22)</f>
        <v>0.89526170114249348</v>
      </c>
      <c r="AI630" s="7">
        <f ca="1">$AW$9*EXP(-'3.r(t)'!F628*$AW$23)</f>
        <v>0.92419989411361381</v>
      </c>
      <c r="AJ630" s="7">
        <f ca="1">$AW$10*EXP(-'3.r(t)'!G628*$AW$24)</f>
        <v>0.9435849805046842</v>
      </c>
      <c r="AK630" s="7">
        <f ca="1">$AW$11*EXP(-'3.r(t)'!H628*$AW$25)</f>
        <v>0.96576095712150645</v>
      </c>
      <c r="AL630" s="7">
        <f ca="1">$AW$12*EXP(-'3.r(t)'!I628*$AW$26)</f>
        <v>0.98138646222196857</v>
      </c>
      <c r="AM630" s="7">
        <v>1</v>
      </c>
      <c r="AN630" s="7"/>
    </row>
    <row r="631" spans="2:40">
      <c r="B631" s="7">
        <v>623</v>
      </c>
      <c r="C631" s="7">
        <f>$AR$7*EXP(-'3.r(t)'!D629*$AR$21)</f>
        <v>0.97765346695821032</v>
      </c>
      <c r="D631" s="7">
        <v>1</v>
      </c>
      <c r="E631" s="7"/>
      <c r="F631" s="7">
        <v>623</v>
      </c>
      <c r="G631" s="48">
        <f>$AS$7*EXP(-'3.r(t)'!D629*$AS$21)</f>
        <v>0.9553476245219803</v>
      </c>
      <c r="H631" s="7">
        <f ca="1">$AS$8*EXP(-'3.r(t)'!E629*$AS$22)</f>
        <v>0.97455223732712537</v>
      </c>
      <c r="I631" s="7">
        <v>1</v>
      </c>
      <c r="J631" s="7"/>
      <c r="K631" s="7">
        <v>623</v>
      </c>
      <c r="L631" s="7">
        <f>$AT$7*EXP(-'3.r(t)'!D629*$AT$21)</f>
        <v>0.93311670519824419</v>
      </c>
      <c r="M631" s="7">
        <f ca="1">$AT$8*EXP(-'3.r(t)'!E629*$AT$22)</f>
        <v>0.94930471672484074</v>
      </c>
      <c r="N631" s="7">
        <f ca="1">$AT$9*EXP(-'3.r(t)'!F629*$AT$23)</f>
        <v>0.97805042302160405</v>
      </c>
      <c r="O631" s="7">
        <v>1</v>
      </c>
      <c r="P631" s="7"/>
      <c r="Q631" s="7">
        <v>623</v>
      </c>
      <c r="R631" s="7">
        <f>$AU$7*EXP(-'3.r(t)'!D629*$AU$21)</f>
        <v>0.91099305977534117</v>
      </c>
      <c r="S631" s="7">
        <f ca="1">$AU$8*EXP(-'3.r(t)'!E629*$AU$22)</f>
        <v>0.92428959059500737</v>
      </c>
      <c r="T631" s="7">
        <f ca="1">$AU$9*EXP(-'3.r(t)'!F629*$AU$23)</f>
        <v>0.95614055183521496</v>
      </c>
      <c r="U631" s="7">
        <f ca="1">$AU$10*EXP(-'3.r(t)'!G629*$AU$24)</f>
        <v>0.97637898900212083</v>
      </c>
      <c r="V631" s="7">
        <v>1</v>
      </c>
      <c r="W631" s="7"/>
      <c r="X631" s="7">
        <v>623</v>
      </c>
      <c r="Y631" s="7">
        <f>$AV$7*EXP(-'3.r(t)'!D629*$AV$21)</f>
        <v>0.88900715067201674</v>
      </c>
      <c r="Z631" s="7">
        <f ca="1">$AV$8*EXP(-'3.r(t)'!E629*$AV$22)</f>
        <v>0.89953674230966385</v>
      </c>
      <c r="AA631" s="7">
        <f ca="1">$AV$9*EXP(-'3.r(t)'!F629*$AV$23)</f>
        <v>0.93430353558436297</v>
      </c>
      <c r="AB631" s="7">
        <f ca="1">$AV$10*EXP(-'3.r(t)'!G629*$AV$24)</f>
        <v>0.95288381851667614</v>
      </c>
      <c r="AC631" s="7">
        <f ca="1">$AV$11*EXP(-'3.r(t)'!H629*$AV$25)</f>
        <v>0.97792255313692411</v>
      </c>
      <c r="AD631" s="7">
        <v>1</v>
      </c>
      <c r="AE631" s="7"/>
      <c r="AF631" s="7">
        <v>623</v>
      </c>
      <c r="AG631" s="7">
        <f>$AW$7*EXP(-'3.r(t)'!D629*$AW$21)</f>
        <v>0.86718755429225491</v>
      </c>
      <c r="AH631" s="7">
        <f ca="1">$AW$8*EXP(-'3.r(t)'!E629*$AW$22)</f>
        <v>0.87507381500205383</v>
      </c>
      <c r="AI631" s="7">
        <f ca="1">$AW$9*EXP(-'3.r(t)'!F629*$AW$23)</f>
        <v>0.91257070465103096</v>
      </c>
      <c r="AJ631" s="7">
        <f ca="1">$AW$10*EXP(-'3.r(t)'!G629*$AW$24)</f>
        <v>0.92954644661007901</v>
      </c>
      <c r="AK631" s="7">
        <f ca="1">$AW$11*EXP(-'3.r(t)'!H629*$AW$25)</f>
        <v>0.95590752459094208</v>
      </c>
      <c r="AL631" s="7">
        <f ca="1">$AW$12*EXP(-'3.r(t)'!I629*$AW$26)</f>
        <v>0.97606240513299336</v>
      </c>
      <c r="AM631" s="7">
        <v>1</v>
      </c>
      <c r="AN631" s="7"/>
    </row>
    <row r="632" spans="2:40">
      <c r="B632" s="7">
        <v>624</v>
      </c>
      <c r="C632" s="7">
        <f>$AR$7*EXP(-'3.r(t)'!D630*$AR$21)</f>
        <v>0.97765346695821032</v>
      </c>
      <c r="D632" s="7">
        <v>1</v>
      </c>
      <c r="E632" s="7"/>
      <c r="F632" s="7">
        <v>624</v>
      </c>
      <c r="G632" s="48">
        <f>$AS$7*EXP(-'3.r(t)'!D630*$AS$21)</f>
        <v>0.9553476245219803</v>
      </c>
      <c r="H632" s="7">
        <f ca="1">$AS$8*EXP(-'3.r(t)'!E630*$AS$22)</f>
        <v>0.97645451849348597</v>
      </c>
      <c r="I632" s="7">
        <v>1</v>
      </c>
      <c r="J632" s="7"/>
      <c r="K632" s="7">
        <v>624</v>
      </c>
      <c r="L632" s="7">
        <f>$AT$7*EXP(-'3.r(t)'!D630*$AT$21)</f>
        <v>0.93311670519824419</v>
      </c>
      <c r="M632" s="7">
        <f ca="1">$AT$8*EXP(-'3.r(t)'!E630*$AT$22)</f>
        <v>0.95301433202761532</v>
      </c>
      <c r="N632" s="7">
        <f ca="1">$AT$9*EXP(-'3.r(t)'!F630*$AT$23)</f>
        <v>0.9741252257246602</v>
      </c>
      <c r="O632" s="7">
        <v>1</v>
      </c>
      <c r="P632" s="7"/>
      <c r="Q632" s="7">
        <v>624</v>
      </c>
      <c r="R632" s="7">
        <f>$AU$7*EXP(-'3.r(t)'!D630*$AU$21)</f>
        <v>0.91099305977534117</v>
      </c>
      <c r="S632" s="7">
        <f ca="1">$AU$8*EXP(-'3.r(t)'!E630*$AU$22)</f>
        <v>0.92971267481610864</v>
      </c>
      <c r="T632" s="7">
        <f ca="1">$AU$9*EXP(-'3.r(t)'!F630*$AU$23)</f>
        <v>0.94848141850838552</v>
      </c>
      <c r="U632" s="7">
        <f ca="1">$AU$10*EXP(-'3.r(t)'!G630*$AU$24)</f>
        <v>0.97067946914088088</v>
      </c>
      <c r="V632" s="7">
        <v>1</v>
      </c>
      <c r="W632" s="7"/>
      <c r="X632" s="7">
        <v>624</v>
      </c>
      <c r="Y632" s="7">
        <f>$AV$7*EXP(-'3.r(t)'!D630*$AV$21)</f>
        <v>0.88900715067201674</v>
      </c>
      <c r="Z632" s="7">
        <f ca="1">$AV$8*EXP(-'3.r(t)'!E630*$AV$22)</f>
        <v>0.90658075063929644</v>
      </c>
      <c r="AA632" s="7">
        <f ca="1">$AV$9*EXP(-'3.r(t)'!F630*$AV$23)</f>
        <v>0.92309973478601648</v>
      </c>
      <c r="AB632" s="7">
        <f ca="1">$AV$10*EXP(-'3.r(t)'!G630*$AV$24)</f>
        <v>0.9417915502607892</v>
      </c>
      <c r="AC632" s="7">
        <f ca="1">$AV$11*EXP(-'3.r(t)'!H630*$AV$25)</f>
        <v>0.97042571304561298</v>
      </c>
      <c r="AD632" s="7">
        <v>1</v>
      </c>
      <c r="AE632" s="7"/>
      <c r="AF632" s="7">
        <v>624</v>
      </c>
      <c r="AG632" s="7">
        <f>$AW$7*EXP(-'3.r(t)'!D630*$AW$21)</f>
        <v>0.86718755429225491</v>
      </c>
      <c r="AH632" s="7">
        <f ca="1">$AW$8*EXP(-'3.r(t)'!E630*$AW$22)</f>
        <v>0.88364774084398179</v>
      </c>
      <c r="AI632" s="7">
        <f ca="1">$AW$9*EXP(-'3.r(t)'!F630*$AW$23)</f>
        <v>0.89800902520387438</v>
      </c>
      <c r="AJ632" s="7">
        <f ca="1">$AW$10*EXP(-'3.r(t)'!G630*$AW$24)</f>
        <v>0.91336286744216988</v>
      </c>
      <c r="AK632" s="7">
        <f ca="1">$AW$11*EXP(-'3.r(t)'!H630*$AW$25)</f>
        <v>0.94130756032385121</v>
      </c>
      <c r="AL632" s="7">
        <f ca="1">$AW$12*EXP(-'3.r(t)'!I630*$AW$26)</f>
        <v>0.96818682435975234</v>
      </c>
      <c r="AM632" s="7">
        <v>1</v>
      </c>
      <c r="AN632" s="7"/>
    </row>
    <row r="633" spans="2:40">
      <c r="B633" s="7">
        <v>625</v>
      </c>
      <c r="C633" s="7">
        <f>$AR$7*EXP(-'3.r(t)'!D631*$AR$21)</f>
        <v>0.97765346695821032</v>
      </c>
      <c r="D633" s="7">
        <v>1</v>
      </c>
      <c r="E633" s="7"/>
      <c r="F633" s="7">
        <v>625</v>
      </c>
      <c r="G633" s="48">
        <f>$AS$7*EXP(-'3.r(t)'!D631*$AS$21)</f>
        <v>0.9553476245219803</v>
      </c>
      <c r="H633" s="7">
        <f ca="1">$AS$8*EXP(-'3.r(t)'!E631*$AS$22)</f>
        <v>0.97590272548513046</v>
      </c>
      <c r="I633" s="7">
        <v>1</v>
      </c>
      <c r="J633" s="7"/>
      <c r="K633" s="7">
        <v>625</v>
      </c>
      <c r="L633" s="7">
        <f>$AT$7*EXP(-'3.r(t)'!D631*$AT$21)</f>
        <v>0.93311670519824419</v>
      </c>
      <c r="M633" s="7">
        <f ca="1">$AT$8*EXP(-'3.r(t)'!E631*$AT$22)</f>
        <v>0.95193754237262207</v>
      </c>
      <c r="N633" s="7">
        <f ca="1">$AT$9*EXP(-'3.r(t)'!F631*$AT$23)</f>
        <v>0.97621854233287253</v>
      </c>
      <c r="O633" s="7">
        <v>1</v>
      </c>
      <c r="P633" s="7"/>
      <c r="Q633" s="7">
        <v>625</v>
      </c>
      <c r="R633" s="7">
        <f>$AU$7*EXP(-'3.r(t)'!D631*$AU$21)</f>
        <v>0.91099305977534117</v>
      </c>
      <c r="S633" s="7">
        <f ca="1">$AU$8*EXP(-'3.r(t)'!E631*$AU$22)</f>
        <v>0.92813742753719275</v>
      </c>
      <c r="T633" s="7">
        <f ca="1">$AU$9*EXP(-'3.r(t)'!F631*$AU$23)</f>
        <v>0.95256221872383462</v>
      </c>
      <c r="U633" s="7">
        <f ca="1">$AU$10*EXP(-'3.r(t)'!G631*$AU$24)</f>
        <v>0.97479514486039387</v>
      </c>
      <c r="V633" s="7">
        <v>1</v>
      </c>
      <c r="W633" s="7"/>
      <c r="X633" s="7">
        <v>625</v>
      </c>
      <c r="Y633" s="7">
        <f>$AV$7*EXP(-'3.r(t)'!D631*$AV$21)</f>
        <v>0.88900715067201674</v>
      </c>
      <c r="Z633" s="7">
        <f ca="1">$AV$8*EXP(-'3.r(t)'!E631*$AV$22)</f>
        <v>0.90453325722933042</v>
      </c>
      <c r="AA633" s="7">
        <f ca="1">$AV$9*EXP(-'3.r(t)'!F631*$AV$23)</f>
        <v>0.9290635329880278</v>
      </c>
      <c r="AB633" s="7">
        <f ca="1">$AV$10*EXP(-'3.r(t)'!G631*$AV$24)</f>
        <v>0.94979486356773235</v>
      </c>
      <c r="AC633" s="7">
        <f ca="1">$AV$11*EXP(-'3.r(t)'!H631*$AV$25)</f>
        <v>0.97264928501827741</v>
      </c>
      <c r="AD633" s="7">
        <v>1</v>
      </c>
      <c r="AE633" s="7"/>
      <c r="AF633" s="7">
        <v>625</v>
      </c>
      <c r="AG633" s="7">
        <f>$AW$7*EXP(-'3.r(t)'!D631*$AW$21)</f>
        <v>0.86718755429225491</v>
      </c>
      <c r="AH633" s="7">
        <f ca="1">$AW$8*EXP(-'3.r(t)'!E631*$AW$22)</f>
        <v>0.88115382088234318</v>
      </c>
      <c r="AI633" s="7">
        <f ca="1">$AW$9*EXP(-'3.r(t)'!F631*$AW$23)</f>
        <v>0.90575293822819791</v>
      </c>
      <c r="AJ633" s="7">
        <f ca="1">$AW$10*EXP(-'3.r(t)'!G631*$AW$24)</f>
        <v>0.92503015806601219</v>
      </c>
      <c r="AK633" s="7">
        <f ca="1">$AW$11*EXP(-'3.r(t)'!H631*$AW$25)</f>
        <v>0.94562620736501857</v>
      </c>
      <c r="AL633" s="7">
        <f ca="1">$AW$12*EXP(-'3.r(t)'!I631*$AW$26)</f>
        <v>0.9721333379983107</v>
      </c>
      <c r="AM633" s="7">
        <v>1</v>
      </c>
      <c r="AN633" s="7"/>
    </row>
    <row r="634" spans="2:40">
      <c r="B634" s="7">
        <v>626</v>
      </c>
      <c r="C634" s="7">
        <f>$AR$7*EXP(-'3.r(t)'!D632*$AR$21)</f>
        <v>0.97765346695821032</v>
      </c>
      <c r="D634" s="7">
        <v>1</v>
      </c>
      <c r="E634" s="7"/>
      <c r="F634" s="7">
        <v>626</v>
      </c>
      <c r="G634" s="48">
        <f>$AS$7*EXP(-'3.r(t)'!D632*$AS$21)</f>
        <v>0.9553476245219803</v>
      </c>
      <c r="H634" s="7">
        <f ca="1">$AS$8*EXP(-'3.r(t)'!E632*$AS$22)</f>
        <v>0.97814596274809074</v>
      </c>
      <c r="I634" s="7">
        <v>1</v>
      </c>
      <c r="J634" s="7"/>
      <c r="K634" s="7">
        <v>626</v>
      </c>
      <c r="L634" s="7">
        <f>$AT$7*EXP(-'3.r(t)'!D632*$AT$21)</f>
        <v>0.93311670519824419</v>
      </c>
      <c r="M634" s="7">
        <f ca="1">$AT$8*EXP(-'3.r(t)'!E632*$AT$22)</f>
        <v>0.9563188725632058</v>
      </c>
      <c r="N634" s="7">
        <f ca="1">$AT$9*EXP(-'3.r(t)'!F632*$AT$23)</f>
        <v>0.97844775235677395</v>
      </c>
      <c r="O634" s="7">
        <v>1</v>
      </c>
      <c r="P634" s="7"/>
      <c r="Q634" s="7">
        <v>626</v>
      </c>
      <c r="R634" s="7">
        <f>$AU$7*EXP(-'3.r(t)'!D632*$AU$21)</f>
        <v>0.91099305977534117</v>
      </c>
      <c r="S634" s="7">
        <f ca="1">$AU$8*EXP(-'3.r(t)'!E632*$AU$22)</f>
        <v>0.93455247862685764</v>
      </c>
      <c r="T634" s="7">
        <f ca="1">$AU$9*EXP(-'3.r(t)'!F632*$AU$23)</f>
        <v>0.95691756669635231</v>
      </c>
      <c r="U634" s="7">
        <f ca="1">$AU$10*EXP(-'3.r(t)'!G632*$AU$24)</f>
        <v>0.97626194754488271</v>
      </c>
      <c r="V634" s="7">
        <v>1</v>
      </c>
      <c r="W634" s="7"/>
      <c r="X634" s="7">
        <v>626</v>
      </c>
      <c r="Y634" s="7">
        <f>$AV$7*EXP(-'3.r(t)'!D632*$AV$21)</f>
        <v>0.88900715067201674</v>
      </c>
      <c r="Z634" s="7">
        <f ca="1">$AV$8*EXP(-'3.r(t)'!E632*$AV$22)</f>
        <v>0.91287871847877622</v>
      </c>
      <c r="AA634" s="7">
        <f ca="1">$AV$9*EXP(-'3.r(t)'!F632*$AV$23)</f>
        <v>0.93544267020435989</v>
      </c>
      <c r="AB634" s="7">
        <f ca="1">$AV$10*EXP(-'3.r(t)'!G632*$AV$24)</f>
        <v>0.952655382166811</v>
      </c>
      <c r="AC634" s="7">
        <f ca="1">$AV$11*EXP(-'3.r(t)'!H632*$AV$25)</f>
        <v>0.97621249083114747</v>
      </c>
      <c r="AD634" s="7">
        <v>1</v>
      </c>
      <c r="AE634" s="7"/>
      <c r="AF634" s="7">
        <v>626</v>
      </c>
      <c r="AG634" s="7">
        <f>$AW$7*EXP(-'3.r(t)'!D632*$AW$21)</f>
        <v>0.86718755429225491</v>
      </c>
      <c r="AH634" s="7">
        <f ca="1">$AW$8*EXP(-'3.r(t)'!E632*$AW$22)</f>
        <v>0.89132770938510986</v>
      </c>
      <c r="AI634" s="7">
        <f ca="1">$AW$9*EXP(-'3.r(t)'!F632*$AW$23)</f>
        <v>0.91405452231363971</v>
      </c>
      <c r="AJ634" s="7">
        <f ca="1">$AW$10*EXP(-'3.r(t)'!G632*$AW$24)</f>
        <v>0.92921220417719863</v>
      </c>
      <c r="AK634" s="7">
        <f ca="1">$AW$11*EXP(-'3.r(t)'!H632*$AW$25)</f>
        <v>0.95256731696417363</v>
      </c>
      <c r="AL634" s="7">
        <f ca="1">$AW$12*EXP(-'3.r(t)'!I632*$AW$26)</f>
        <v>0.97816134574566105</v>
      </c>
      <c r="AM634" s="7">
        <v>1</v>
      </c>
      <c r="AN634" s="7"/>
    </row>
    <row r="635" spans="2:40">
      <c r="B635" s="7">
        <v>627</v>
      </c>
      <c r="C635" s="7">
        <f>$AR$7*EXP(-'3.r(t)'!D633*$AR$21)</f>
        <v>0.97765346695821032</v>
      </c>
      <c r="D635" s="7">
        <v>1</v>
      </c>
      <c r="E635" s="7"/>
      <c r="F635" s="7">
        <v>627</v>
      </c>
      <c r="G635" s="48">
        <f>$AS$7*EXP(-'3.r(t)'!D633*$AS$21)</f>
        <v>0.9553476245219803</v>
      </c>
      <c r="H635" s="7">
        <f ca="1">$AS$8*EXP(-'3.r(t)'!E633*$AS$22)</f>
        <v>0.97903655642069676</v>
      </c>
      <c r="I635" s="7">
        <v>1</v>
      </c>
      <c r="J635" s="7"/>
      <c r="K635" s="7">
        <v>627</v>
      </c>
      <c r="L635" s="7">
        <f>$AT$7*EXP(-'3.r(t)'!D633*$AT$21)</f>
        <v>0.93311670519824419</v>
      </c>
      <c r="M635" s="7">
        <f ca="1">$AT$8*EXP(-'3.r(t)'!E633*$AT$22)</f>
        <v>0.95806110592783655</v>
      </c>
      <c r="N635" s="7">
        <f ca="1">$AT$9*EXP(-'3.r(t)'!F633*$AT$23)</f>
        <v>0.98035059823621828</v>
      </c>
      <c r="O635" s="7">
        <v>1</v>
      </c>
      <c r="P635" s="7"/>
      <c r="Q635" s="7">
        <v>627</v>
      </c>
      <c r="R635" s="7">
        <f>$AU$7*EXP(-'3.r(t)'!D633*$AU$21)</f>
        <v>0.91099305977534117</v>
      </c>
      <c r="S635" s="7">
        <f ca="1">$AU$8*EXP(-'3.r(t)'!E633*$AU$22)</f>
        <v>0.93710751006590554</v>
      </c>
      <c r="T635" s="7">
        <f ca="1">$AU$9*EXP(-'3.r(t)'!F633*$AU$23)</f>
        <v>0.96064313552415803</v>
      </c>
      <c r="U635" s="7">
        <f ca="1">$AU$10*EXP(-'3.r(t)'!G633*$AU$24)</f>
        <v>0.98369133018065047</v>
      </c>
      <c r="V635" s="7">
        <v>1</v>
      </c>
      <c r="W635" s="7"/>
      <c r="X635" s="7">
        <v>627</v>
      </c>
      <c r="Y635" s="7">
        <f>$AV$7*EXP(-'3.r(t)'!D633*$AV$21)</f>
        <v>0.88900715067201674</v>
      </c>
      <c r="Z635" s="7">
        <f ca="1">$AV$8*EXP(-'3.r(t)'!E633*$AV$22)</f>
        <v>0.91620793544900159</v>
      </c>
      <c r="AA635" s="7">
        <f ca="1">$AV$9*EXP(-'3.r(t)'!F633*$AV$23)</f>
        <v>0.9409109248423031</v>
      </c>
      <c r="AB635" s="7">
        <f ca="1">$AV$10*EXP(-'3.r(t)'!G633*$AV$24)</f>
        <v>0.96721002480808205</v>
      </c>
      <c r="AC635" s="7">
        <f ca="1">$AV$11*EXP(-'3.r(t)'!H633*$AV$25)</f>
        <v>0.98211707167875695</v>
      </c>
      <c r="AD635" s="7">
        <v>1</v>
      </c>
      <c r="AE635" s="7"/>
      <c r="AF635" s="7">
        <v>627</v>
      </c>
      <c r="AG635" s="7">
        <f>$AW$7*EXP(-'3.r(t)'!D633*$AW$21)</f>
        <v>0.86718755429225491</v>
      </c>
      <c r="AH635" s="7">
        <f ca="1">$AW$8*EXP(-'3.r(t)'!E633*$AW$22)</f>
        <v>0.89539283709283846</v>
      </c>
      <c r="AI635" s="7">
        <f ca="1">$AW$9*EXP(-'3.r(t)'!F633*$AW$23)</f>
        <v>0.92118575749287968</v>
      </c>
      <c r="AJ635" s="7">
        <f ca="1">$AW$10*EXP(-'3.r(t)'!G633*$AW$24)</f>
        <v>0.95058805089836507</v>
      </c>
      <c r="AK635" s="7">
        <f ca="1">$AW$11*EXP(-'3.r(t)'!H633*$AW$25)</f>
        <v>0.96412529352971066</v>
      </c>
      <c r="AL635" s="7">
        <f ca="1">$AW$12*EXP(-'3.r(t)'!I633*$AW$26)</f>
        <v>0.98127610723342829</v>
      </c>
      <c r="AM635" s="7">
        <v>1</v>
      </c>
      <c r="AN635" s="7"/>
    </row>
    <row r="636" spans="2:40">
      <c r="B636" s="7">
        <v>628</v>
      </c>
      <c r="C636" s="7">
        <f>$AR$7*EXP(-'3.r(t)'!D634*$AR$21)</f>
        <v>0.97765346695821032</v>
      </c>
      <c r="D636" s="7">
        <v>1</v>
      </c>
      <c r="E636" s="7"/>
      <c r="F636" s="7">
        <v>628</v>
      </c>
      <c r="G636" s="48">
        <f>$AS$7*EXP(-'3.r(t)'!D634*$AS$21)</f>
        <v>0.9553476245219803</v>
      </c>
      <c r="H636" s="7">
        <f ca="1">$AS$8*EXP(-'3.r(t)'!E634*$AS$22)</f>
        <v>0.97924259572037675</v>
      </c>
      <c r="I636" s="7">
        <v>1</v>
      </c>
      <c r="J636" s="7"/>
      <c r="K636" s="7">
        <v>628</v>
      </c>
      <c r="L636" s="7">
        <f>$AT$7*EXP(-'3.r(t)'!D634*$AT$21)</f>
        <v>0.93311670519824419</v>
      </c>
      <c r="M636" s="7">
        <f ca="1">$AT$8*EXP(-'3.r(t)'!E634*$AT$22)</f>
        <v>0.95846439834701636</v>
      </c>
      <c r="N636" s="7">
        <f ca="1">$AT$9*EXP(-'3.r(t)'!F634*$AT$23)</f>
        <v>0.97869536805472945</v>
      </c>
      <c r="O636" s="7">
        <v>1</v>
      </c>
      <c r="P636" s="7"/>
      <c r="Q636" s="7">
        <v>628</v>
      </c>
      <c r="R636" s="7">
        <f>$AU$7*EXP(-'3.r(t)'!D634*$AU$21)</f>
        <v>0.91099305977534117</v>
      </c>
      <c r="S636" s="7">
        <f ca="1">$AU$8*EXP(-'3.r(t)'!E634*$AU$22)</f>
        <v>0.93769928044704909</v>
      </c>
      <c r="T636" s="7">
        <f ca="1">$AU$9*EXP(-'3.r(t)'!F634*$AU$23)</f>
        <v>0.95740196209258033</v>
      </c>
      <c r="U636" s="7">
        <f ca="1">$AU$10*EXP(-'3.r(t)'!G634*$AU$24)</f>
        <v>0.97888248164538272</v>
      </c>
      <c r="V636" s="7">
        <v>1</v>
      </c>
      <c r="W636" s="7"/>
      <c r="X636" s="7">
        <v>628</v>
      </c>
      <c r="Y636" s="7">
        <f>$AV$7*EXP(-'3.r(t)'!D634*$AV$21)</f>
        <v>0.88900715067201674</v>
      </c>
      <c r="Z636" s="7">
        <f ca="1">$AV$8*EXP(-'3.r(t)'!E634*$AV$22)</f>
        <v>0.91697944674878917</v>
      </c>
      <c r="AA636" s="7">
        <f ca="1">$AV$9*EXP(-'3.r(t)'!F634*$AV$23)</f>
        <v>0.93615304716437608</v>
      </c>
      <c r="AB636" s="7">
        <f ca="1">$AV$10*EXP(-'3.r(t)'!G634*$AV$24)</f>
        <v>0.95777658246431352</v>
      </c>
      <c r="AC636" s="7">
        <f ca="1">$AV$11*EXP(-'3.r(t)'!H634*$AV$25)</f>
        <v>0.97849927227965083</v>
      </c>
      <c r="AD636" s="7">
        <v>1</v>
      </c>
      <c r="AE636" s="7"/>
      <c r="AF636" s="7">
        <v>628</v>
      </c>
      <c r="AG636" s="7">
        <f>$AW$7*EXP(-'3.r(t)'!D634*$AW$21)</f>
        <v>0.86718755429225491</v>
      </c>
      <c r="AH636" s="7">
        <f ca="1">$AW$8*EXP(-'3.r(t)'!E634*$AW$22)</f>
        <v>0.89633541568619723</v>
      </c>
      <c r="AI636" s="7">
        <f ca="1">$AW$9*EXP(-'3.r(t)'!F634*$AW$23)</f>
        <v>0.91498015244585484</v>
      </c>
      <c r="AJ636" s="7">
        <f ca="1">$AW$10*EXP(-'3.r(t)'!G634*$AW$24)</f>
        <v>0.93671502971965837</v>
      </c>
      <c r="AK636" s="7">
        <f ca="1">$AW$11*EXP(-'3.r(t)'!H634*$AW$25)</f>
        <v>0.95703532908837663</v>
      </c>
      <c r="AL636" s="7">
        <f ca="1">$AW$12*EXP(-'3.r(t)'!I634*$AW$26)</f>
        <v>0.97761885655903247</v>
      </c>
      <c r="AM636" s="7">
        <v>1</v>
      </c>
      <c r="AN636" s="7"/>
    </row>
    <row r="637" spans="2:40">
      <c r="B637" s="7">
        <v>629</v>
      </c>
      <c r="C637" s="7">
        <f>$AR$7*EXP(-'3.r(t)'!D635*$AR$21)</f>
        <v>0.97765346695821032</v>
      </c>
      <c r="D637" s="7">
        <v>1</v>
      </c>
      <c r="E637" s="7"/>
      <c r="F637" s="7">
        <v>629</v>
      </c>
      <c r="G637" s="48">
        <f>$AS$7*EXP(-'3.r(t)'!D635*$AS$21)</f>
        <v>0.9553476245219803</v>
      </c>
      <c r="H637" s="7">
        <f ca="1">$AS$8*EXP(-'3.r(t)'!E635*$AS$22)</f>
        <v>0.97825468367137525</v>
      </c>
      <c r="I637" s="7">
        <v>1</v>
      </c>
      <c r="J637" s="7"/>
      <c r="K637" s="7">
        <v>629</v>
      </c>
      <c r="L637" s="7">
        <f>$AT$7*EXP(-'3.r(t)'!D635*$AT$21)</f>
        <v>0.93311670519824419</v>
      </c>
      <c r="M637" s="7">
        <f ca="1">$AT$8*EXP(-'3.r(t)'!E635*$AT$22)</f>
        <v>0.95653147406231964</v>
      </c>
      <c r="N637" s="7">
        <f ca="1">$AT$9*EXP(-'3.r(t)'!F635*$AT$23)</f>
        <v>0.97485006843915567</v>
      </c>
      <c r="O637" s="7">
        <v>1</v>
      </c>
      <c r="P637" s="7"/>
      <c r="Q637" s="7">
        <v>629</v>
      </c>
      <c r="R637" s="7">
        <f>$AU$7*EXP(-'3.r(t)'!D635*$AU$21)</f>
        <v>0.91099305977534117</v>
      </c>
      <c r="S637" s="7">
        <f ca="1">$AU$8*EXP(-'3.r(t)'!E635*$AU$22)</f>
        <v>0.9348641397880656</v>
      </c>
      <c r="T637" s="7">
        <f ca="1">$AU$9*EXP(-'3.r(t)'!F635*$AU$23)</f>
        <v>0.94989346618117232</v>
      </c>
      <c r="U637" s="7">
        <f ca="1">$AU$10*EXP(-'3.r(t)'!G635*$AU$24)</f>
        <v>0.97667604351918902</v>
      </c>
      <c r="V637" s="7">
        <v>1</v>
      </c>
      <c r="W637" s="7"/>
      <c r="X637" s="7">
        <v>629</v>
      </c>
      <c r="Y637" s="7">
        <f>$AV$7*EXP(-'3.r(t)'!D635*$AV$21)</f>
        <v>0.88900715067201674</v>
      </c>
      <c r="Z637" s="7">
        <f ca="1">$AV$8*EXP(-'3.r(t)'!E635*$AV$22)</f>
        <v>0.91328465202824116</v>
      </c>
      <c r="AA637" s="7">
        <f ca="1">$AV$9*EXP(-'3.r(t)'!F635*$AV$23)</f>
        <v>0.92516189301644447</v>
      </c>
      <c r="AB637" s="7">
        <f ca="1">$AV$10*EXP(-'3.r(t)'!G635*$AV$24)</f>
        <v>0.95346371936401464</v>
      </c>
      <c r="AC637" s="7">
        <f ca="1">$AV$11*EXP(-'3.r(t)'!H635*$AV$25)</f>
        <v>0.97758551971108565</v>
      </c>
      <c r="AD637" s="7">
        <v>1</v>
      </c>
      <c r="AE637" s="7"/>
      <c r="AF637" s="7">
        <v>629</v>
      </c>
      <c r="AG637" s="7">
        <f>$AW$7*EXP(-'3.r(t)'!D635*$AW$21)</f>
        <v>0.86718755429225491</v>
      </c>
      <c r="AH637" s="7">
        <f ca="1">$AW$8*EXP(-'3.r(t)'!E635*$AW$22)</f>
        <v>0.89182317488717577</v>
      </c>
      <c r="AI637" s="7">
        <f ca="1">$AW$9*EXP(-'3.r(t)'!F635*$AW$23)</f>
        <v>0.90068482974301778</v>
      </c>
      <c r="AJ637" s="7">
        <f ca="1">$AW$10*EXP(-'3.r(t)'!G635*$AW$24)</f>
        <v>0.93039512317295581</v>
      </c>
      <c r="AK637" s="7">
        <f ca="1">$AW$11*EXP(-'3.r(t)'!H635*$AW$25)</f>
        <v>0.95524874589811493</v>
      </c>
      <c r="AL637" s="7">
        <f ca="1">$AW$12*EXP(-'3.r(t)'!I635*$AW$26)</f>
        <v>0.98238902245747417</v>
      </c>
      <c r="AM637" s="7">
        <v>1</v>
      </c>
      <c r="AN637" s="7"/>
    </row>
    <row r="638" spans="2:40">
      <c r="B638" s="7">
        <v>630</v>
      </c>
      <c r="C638" s="7">
        <f>$AR$7*EXP(-'3.r(t)'!D636*$AR$21)</f>
        <v>0.97765346695821032</v>
      </c>
      <c r="D638" s="7">
        <v>1</v>
      </c>
      <c r="E638" s="7"/>
      <c r="F638" s="7">
        <v>630</v>
      </c>
      <c r="G638" s="48">
        <f>$AS$7*EXP(-'3.r(t)'!D636*$AS$21)</f>
        <v>0.9553476245219803</v>
      </c>
      <c r="H638" s="7">
        <f ca="1">$AS$8*EXP(-'3.r(t)'!E636*$AS$22)</f>
        <v>0.97554622200537056</v>
      </c>
      <c r="I638" s="7">
        <v>1</v>
      </c>
      <c r="J638" s="7"/>
      <c r="K638" s="7">
        <v>630</v>
      </c>
      <c r="L638" s="7">
        <f>$AT$7*EXP(-'3.r(t)'!D636*$AT$21)</f>
        <v>0.93311670519824419</v>
      </c>
      <c r="M638" s="7">
        <f ca="1">$AT$8*EXP(-'3.r(t)'!E636*$AT$22)</f>
        <v>0.95124217171595271</v>
      </c>
      <c r="N638" s="7">
        <f ca="1">$AT$9*EXP(-'3.r(t)'!F636*$AT$23)</f>
        <v>0.97180199007479351</v>
      </c>
      <c r="O638" s="7">
        <v>1</v>
      </c>
      <c r="P638" s="7"/>
      <c r="Q638" s="7">
        <v>630</v>
      </c>
      <c r="R638" s="7">
        <f>$AU$7*EXP(-'3.r(t)'!D636*$AU$21)</f>
        <v>0.91099305977534117</v>
      </c>
      <c r="S638" s="7">
        <f ca="1">$AU$8*EXP(-'3.r(t)'!E636*$AU$22)</f>
        <v>0.9271206355314533</v>
      </c>
      <c r="T638" s="7">
        <f ca="1">$AU$9*EXP(-'3.r(t)'!F636*$AU$23)</f>
        <v>0.94396266030742038</v>
      </c>
      <c r="U638" s="7">
        <f ca="1">$AU$10*EXP(-'3.r(t)'!G636*$AU$24)</f>
        <v>0.9705371513182891</v>
      </c>
      <c r="V638" s="7">
        <v>1</v>
      </c>
      <c r="W638" s="7"/>
      <c r="X638" s="7">
        <v>630</v>
      </c>
      <c r="Y638" s="7">
        <f>$AV$7*EXP(-'3.r(t)'!D636*$AV$21)</f>
        <v>0.88900715067201674</v>
      </c>
      <c r="Z638" s="7">
        <f ca="1">$AV$8*EXP(-'3.r(t)'!E636*$AV$22)</f>
        <v>0.90321225427169638</v>
      </c>
      <c r="AA638" s="7">
        <f ca="1">$AV$9*EXP(-'3.r(t)'!F636*$AV$23)</f>
        <v>0.91651084604920174</v>
      </c>
      <c r="AB638" s="7">
        <f ca="1">$AV$10*EXP(-'3.r(t)'!G636*$AV$24)</f>
        <v>0.94151540576358272</v>
      </c>
      <c r="AC638" s="7">
        <f ca="1">$AV$11*EXP(-'3.r(t)'!H636*$AV$25)</f>
        <v>0.96970956722991397</v>
      </c>
      <c r="AD638" s="7">
        <v>1</v>
      </c>
      <c r="AE638" s="7"/>
      <c r="AF638" s="7">
        <v>630</v>
      </c>
      <c r="AG638" s="7">
        <f>$AW$7*EXP(-'3.r(t)'!D636*$AW$21)</f>
        <v>0.86718755429225491</v>
      </c>
      <c r="AH638" s="7">
        <f ca="1">$AW$8*EXP(-'3.r(t)'!E636*$AW$22)</f>
        <v>0.87954554083361769</v>
      </c>
      <c r="AI638" s="7">
        <f ca="1">$AW$9*EXP(-'3.r(t)'!F636*$AW$23)</f>
        <v>0.8894728129548839</v>
      </c>
      <c r="AJ638" s="7">
        <f ca="1">$AW$10*EXP(-'3.r(t)'!G636*$AW$24)</f>
        <v>0.91296118358706857</v>
      </c>
      <c r="AK638" s="7">
        <f ca="1">$AW$11*EXP(-'3.r(t)'!H636*$AW$25)</f>
        <v>0.93991875802083591</v>
      </c>
      <c r="AL638" s="7">
        <f ca="1">$AW$12*EXP(-'3.r(t)'!I636*$AW$26)</f>
        <v>0.96918240233298325</v>
      </c>
      <c r="AM638" s="7">
        <v>1</v>
      </c>
      <c r="AN638" s="7"/>
    </row>
    <row r="639" spans="2:40">
      <c r="B639" s="7">
        <v>631</v>
      </c>
      <c r="C639" s="7">
        <f>$AR$7*EXP(-'3.r(t)'!D637*$AR$21)</f>
        <v>0.97765346695821032</v>
      </c>
      <c r="D639" s="7">
        <v>1</v>
      </c>
      <c r="E639" s="7"/>
      <c r="F639" s="7">
        <v>631</v>
      </c>
      <c r="G639" s="48">
        <f>$AS$7*EXP(-'3.r(t)'!D637*$AS$21)</f>
        <v>0.9553476245219803</v>
      </c>
      <c r="H639" s="7">
        <f ca="1">$AS$8*EXP(-'3.r(t)'!E637*$AS$22)</f>
        <v>0.97822758107914398</v>
      </c>
      <c r="I639" s="7">
        <v>1</v>
      </c>
      <c r="J639" s="7"/>
      <c r="K639" s="7">
        <v>631</v>
      </c>
      <c r="L639" s="7">
        <f>$AT$7*EXP(-'3.r(t)'!D637*$AT$21)</f>
        <v>0.93311670519824419</v>
      </c>
      <c r="M639" s="7">
        <f ca="1">$AT$8*EXP(-'3.r(t)'!E637*$AT$22)</f>
        <v>0.95647847329715896</v>
      </c>
      <c r="N639" s="7">
        <f ca="1">$AT$9*EXP(-'3.r(t)'!F637*$AT$23)</f>
        <v>0.98152806534457271</v>
      </c>
      <c r="O639" s="7">
        <v>1</v>
      </c>
      <c r="P639" s="7"/>
      <c r="Q639" s="7">
        <v>631</v>
      </c>
      <c r="R639" s="7">
        <f>$AU$7*EXP(-'3.r(t)'!D637*$AU$21)</f>
        <v>0.91099305977534117</v>
      </c>
      <c r="S639" s="7">
        <f ca="1">$AU$8*EXP(-'3.r(t)'!E637*$AU$22)</f>
        <v>0.93478644057527727</v>
      </c>
      <c r="T639" s="7">
        <f ca="1">$AU$9*EXP(-'3.r(t)'!F637*$AU$23)</f>
        <v>0.96295211554836679</v>
      </c>
      <c r="U639" s="7">
        <f ca="1">$AU$10*EXP(-'3.r(t)'!G637*$AU$24)</f>
        <v>0.98134922390826074</v>
      </c>
      <c r="V639" s="7">
        <v>1</v>
      </c>
      <c r="W639" s="7"/>
      <c r="X639" s="7">
        <v>631</v>
      </c>
      <c r="Y639" s="7">
        <f>$AV$7*EXP(-'3.r(t)'!D637*$AV$21)</f>
        <v>0.88900715067201674</v>
      </c>
      <c r="Z639" s="7">
        <f ca="1">$AV$8*EXP(-'3.r(t)'!E637*$AV$22)</f>
        <v>0.91318344585648148</v>
      </c>
      <c r="AA639" s="7">
        <f ca="1">$AV$9*EXP(-'3.r(t)'!F637*$AV$23)</f>
        <v>0.94430529065330593</v>
      </c>
      <c r="AB639" s="7">
        <f ca="1">$AV$10*EXP(-'3.r(t)'!G637*$AV$24)</f>
        <v>0.96260977711100948</v>
      </c>
      <c r="AC639" s="7">
        <f ca="1">$AV$11*EXP(-'3.r(t)'!H637*$AV$25)</f>
        <v>0.98578386637965376</v>
      </c>
      <c r="AD639" s="7">
        <v>1</v>
      </c>
      <c r="AE639" s="7"/>
      <c r="AF639" s="7">
        <v>631</v>
      </c>
      <c r="AG639" s="7">
        <f>$AW$7*EXP(-'3.r(t)'!D637*$AW$21)</f>
        <v>0.86718755429225491</v>
      </c>
      <c r="AH639" s="7">
        <f ca="1">$AW$8*EXP(-'3.r(t)'!E637*$AW$22)</f>
        <v>0.89169964171636673</v>
      </c>
      <c r="AI639" s="7">
        <f ca="1">$AW$9*EXP(-'3.r(t)'!F637*$AW$23)</f>
        <v>0.9256193616852143</v>
      </c>
      <c r="AJ639" s="7">
        <f ca="1">$AW$10*EXP(-'3.r(t)'!G637*$AW$24)</f>
        <v>0.94381433587969488</v>
      </c>
      <c r="AK639" s="7">
        <f ca="1">$AW$11*EXP(-'3.r(t)'!H637*$AW$25)</f>
        <v>0.97133797551148493</v>
      </c>
      <c r="AL639" s="7">
        <f ca="1">$AW$12*EXP(-'3.r(t)'!I637*$AW$26)</f>
        <v>0.98574524742342062</v>
      </c>
      <c r="AM639" s="7">
        <v>1</v>
      </c>
      <c r="AN639" s="7"/>
    </row>
    <row r="640" spans="2:40">
      <c r="B640" s="7">
        <v>632</v>
      </c>
      <c r="C640" s="7">
        <f>$AR$7*EXP(-'3.r(t)'!D638*$AR$21)</f>
        <v>0.97765346695821032</v>
      </c>
      <c r="D640" s="7">
        <v>1</v>
      </c>
      <c r="E640" s="7"/>
      <c r="F640" s="7">
        <v>632</v>
      </c>
      <c r="G640" s="48">
        <f>$AS$7*EXP(-'3.r(t)'!D638*$AS$21)</f>
        <v>0.9553476245219803</v>
      </c>
      <c r="H640" s="7">
        <f ca="1">$AS$8*EXP(-'3.r(t)'!E638*$AS$22)</f>
        <v>0.97510511845727821</v>
      </c>
      <c r="I640" s="7">
        <v>1</v>
      </c>
      <c r="J640" s="7"/>
      <c r="K640" s="7">
        <v>632</v>
      </c>
      <c r="L640" s="7">
        <f>$AT$7*EXP(-'3.r(t)'!D638*$AT$21)</f>
        <v>0.93311670519824419</v>
      </c>
      <c r="M640" s="7">
        <f ca="1">$AT$8*EXP(-'3.r(t)'!E638*$AT$22)</f>
        <v>0.95038213776753844</v>
      </c>
      <c r="N640" s="7">
        <f ca="1">$AT$9*EXP(-'3.r(t)'!F638*$AT$23)</f>
        <v>0.97519060851049422</v>
      </c>
      <c r="O640" s="7">
        <v>1</v>
      </c>
      <c r="P640" s="7"/>
      <c r="Q640" s="7">
        <v>632</v>
      </c>
      <c r="R640" s="7">
        <f>$AU$7*EXP(-'3.r(t)'!D638*$AU$21)</f>
        <v>0.91099305977534117</v>
      </c>
      <c r="S640" s="7">
        <f ca="1">$AU$8*EXP(-'3.r(t)'!E638*$AU$22)</f>
        <v>0.92586358187284312</v>
      </c>
      <c r="T640" s="7">
        <f ca="1">$AU$9*EXP(-'3.r(t)'!F638*$AU$23)</f>
        <v>0.95055722627838324</v>
      </c>
      <c r="U640" s="7">
        <f ca="1">$AU$10*EXP(-'3.r(t)'!G638*$AU$24)</f>
        <v>0.97558861450516765</v>
      </c>
      <c r="V640" s="7">
        <v>1</v>
      </c>
      <c r="W640" s="7"/>
      <c r="X640" s="7">
        <v>632</v>
      </c>
      <c r="Y640" s="7">
        <f>$AV$7*EXP(-'3.r(t)'!D638*$AV$21)</f>
        <v>0.88900715067201674</v>
      </c>
      <c r="Z640" s="7">
        <f ca="1">$AV$8*EXP(-'3.r(t)'!E638*$AV$22)</f>
        <v>0.90157977398744293</v>
      </c>
      <c r="AA640" s="7">
        <f ca="1">$AV$9*EXP(-'3.r(t)'!F638*$AV$23)</f>
        <v>0.9261317799048987</v>
      </c>
      <c r="AB640" s="7">
        <f ca="1">$AV$10*EXP(-'3.r(t)'!G638*$AV$24)</f>
        <v>0.95134173240578668</v>
      </c>
      <c r="AC640" s="7">
        <f ca="1">$AV$11*EXP(-'3.r(t)'!H638*$AV$25)</f>
        <v>0.97539636512041028</v>
      </c>
      <c r="AD640" s="7">
        <v>1</v>
      </c>
      <c r="AE640" s="7"/>
      <c r="AF640" s="7">
        <v>632</v>
      </c>
      <c r="AG640" s="7">
        <f>$AW$7*EXP(-'3.r(t)'!D638*$AW$21)</f>
        <v>0.86718755429225491</v>
      </c>
      <c r="AH640" s="7">
        <f ca="1">$AW$8*EXP(-'3.r(t)'!E638*$AW$22)</f>
        <v>0.87755885912365095</v>
      </c>
      <c r="AI640" s="7">
        <f ca="1">$AW$9*EXP(-'3.r(t)'!F638*$AW$23)</f>
        <v>0.90194401837469518</v>
      </c>
      <c r="AJ640" s="7">
        <f ca="1">$AW$10*EXP(-'3.r(t)'!G638*$AW$24)</f>
        <v>0.92729088218566846</v>
      </c>
      <c r="AK640" s="7">
        <f ca="1">$AW$11*EXP(-'3.r(t)'!H638*$AW$25)</f>
        <v>0.95097526662320819</v>
      </c>
      <c r="AL640" s="7">
        <f ca="1">$AW$12*EXP(-'3.r(t)'!I638*$AW$26)</f>
        <v>0.97340068241908906</v>
      </c>
      <c r="AM640" s="7">
        <v>1</v>
      </c>
      <c r="AN640" s="7"/>
    </row>
    <row r="641" spans="2:40">
      <c r="B641" s="7">
        <v>633</v>
      </c>
      <c r="C641" s="7">
        <f>$AR$7*EXP(-'3.r(t)'!D639*$AR$21)</f>
        <v>0.97765346695821032</v>
      </c>
      <c r="D641" s="7">
        <v>1</v>
      </c>
      <c r="E641" s="7"/>
      <c r="F641" s="7">
        <v>633</v>
      </c>
      <c r="G641" s="48">
        <f>$AS$7*EXP(-'3.r(t)'!D639*$AS$21)</f>
        <v>0.9553476245219803</v>
      </c>
      <c r="H641" s="7">
        <f ca="1">$AS$8*EXP(-'3.r(t)'!E639*$AS$22)</f>
        <v>0.97783358518233976</v>
      </c>
      <c r="I641" s="7">
        <v>1</v>
      </c>
      <c r="J641" s="7"/>
      <c r="K641" s="7">
        <v>633</v>
      </c>
      <c r="L641" s="7">
        <f>$AT$7*EXP(-'3.r(t)'!D639*$AT$21)</f>
        <v>0.93311670519824419</v>
      </c>
      <c r="M641" s="7">
        <f ca="1">$AT$8*EXP(-'3.r(t)'!E639*$AT$22)</f>
        <v>0.95570815622488703</v>
      </c>
      <c r="N641" s="7">
        <f ca="1">$AT$9*EXP(-'3.r(t)'!F639*$AT$23)</f>
        <v>0.97562352331746827</v>
      </c>
      <c r="O641" s="7">
        <v>1</v>
      </c>
      <c r="P641" s="7"/>
      <c r="Q641" s="7">
        <v>633</v>
      </c>
      <c r="R641" s="7">
        <f>$AU$7*EXP(-'3.r(t)'!D639*$AU$21)</f>
        <v>0.91099305977534117</v>
      </c>
      <c r="S641" s="7">
        <f ca="1">$AU$8*EXP(-'3.r(t)'!E639*$AU$22)</f>
        <v>0.93365739746765264</v>
      </c>
      <c r="T641" s="7">
        <f ca="1">$AU$9*EXP(-'3.r(t)'!F639*$AU$23)</f>
        <v>0.95140137230500466</v>
      </c>
      <c r="U641" s="7">
        <f ca="1">$AU$10*EXP(-'3.r(t)'!G639*$AU$24)</f>
        <v>0.97350970162135209</v>
      </c>
      <c r="V641" s="7">
        <v>1</v>
      </c>
      <c r="W641" s="7"/>
      <c r="X641" s="7">
        <v>633</v>
      </c>
      <c r="Y641" s="7">
        <f>$AV$7*EXP(-'3.r(t)'!D639*$AV$21)</f>
        <v>0.88900715067201674</v>
      </c>
      <c r="Z641" s="7">
        <f ca="1">$AV$8*EXP(-'3.r(t)'!E639*$AV$22)</f>
        <v>0.91171314087050237</v>
      </c>
      <c r="AA641" s="7">
        <f ca="1">$AV$9*EXP(-'3.r(t)'!F639*$AV$23)</f>
        <v>0.92736573613001794</v>
      </c>
      <c r="AB641" s="7">
        <f ca="1">$AV$10*EXP(-'3.r(t)'!G639*$AV$24)</f>
        <v>0.94729156346622767</v>
      </c>
      <c r="AC641" s="7">
        <f ca="1">$AV$11*EXP(-'3.r(t)'!H639*$AV$25)</f>
        <v>0.97343244491189018</v>
      </c>
      <c r="AD641" s="7">
        <v>1</v>
      </c>
      <c r="AE641" s="7"/>
      <c r="AF641" s="7">
        <v>633</v>
      </c>
      <c r="AG641" s="7">
        <f>$AW$7*EXP(-'3.r(t)'!D639*$AW$21)</f>
        <v>0.86718755429225491</v>
      </c>
      <c r="AH641" s="7">
        <f ca="1">$AW$8*EXP(-'3.r(t)'!E639*$AW$22)</f>
        <v>0.88990536031861489</v>
      </c>
      <c r="AI641" s="7">
        <f ca="1">$AW$9*EXP(-'3.r(t)'!F639*$AW$23)</f>
        <v>0.90354667944163392</v>
      </c>
      <c r="AJ641" s="7">
        <f ca="1">$AW$10*EXP(-'3.r(t)'!G639*$AW$24)</f>
        <v>0.92137552421855884</v>
      </c>
      <c r="AK641" s="7">
        <f ca="1">$AW$11*EXP(-'3.r(t)'!H639*$AW$25)</f>
        <v>0.94714962321672524</v>
      </c>
      <c r="AL641" s="7">
        <f ca="1">$AW$12*EXP(-'3.r(t)'!I639*$AW$26)</f>
        <v>0.97265518312001253</v>
      </c>
      <c r="AM641" s="7">
        <v>1</v>
      </c>
      <c r="AN641" s="7"/>
    </row>
    <row r="642" spans="2:40">
      <c r="B642" s="7">
        <v>634</v>
      </c>
      <c r="C642" s="7">
        <f>$AR$7*EXP(-'3.r(t)'!D640*$AR$21)</f>
        <v>0.97765346695821032</v>
      </c>
      <c r="D642" s="7">
        <v>1</v>
      </c>
      <c r="E642" s="7"/>
      <c r="F642" s="7">
        <v>634</v>
      </c>
      <c r="G642" s="48">
        <f>$AS$7*EXP(-'3.r(t)'!D640*$AS$21)</f>
        <v>0.9553476245219803</v>
      </c>
      <c r="H642" s="7">
        <f ca="1">$AS$8*EXP(-'3.r(t)'!E640*$AS$22)</f>
        <v>0.97787941953002544</v>
      </c>
      <c r="I642" s="7">
        <v>1</v>
      </c>
      <c r="J642" s="7"/>
      <c r="K642" s="7">
        <v>634</v>
      </c>
      <c r="L642" s="7">
        <f>$AT$7*EXP(-'3.r(t)'!D640*$AT$21)</f>
        <v>0.93311670519824419</v>
      </c>
      <c r="M642" s="7">
        <f ca="1">$AT$8*EXP(-'3.r(t)'!E640*$AT$22)</f>
        <v>0.95579775283357127</v>
      </c>
      <c r="N642" s="7">
        <f ca="1">$AT$9*EXP(-'3.r(t)'!F640*$AT$23)</f>
        <v>0.97798369901313742</v>
      </c>
      <c r="O642" s="7">
        <v>1</v>
      </c>
      <c r="P642" s="7"/>
      <c r="Q642" s="7">
        <v>634</v>
      </c>
      <c r="R642" s="7">
        <f>$AU$7*EXP(-'3.r(t)'!D640*$AU$21)</f>
        <v>0.91099305977534117</v>
      </c>
      <c r="S642" s="7">
        <f ca="1">$AU$8*EXP(-'3.r(t)'!E640*$AU$22)</f>
        <v>0.93378869460553049</v>
      </c>
      <c r="T642" s="7">
        <f ca="1">$AU$9*EXP(-'3.r(t)'!F640*$AU$23)</f>
        <v>0.95601009771425205</v>
      </c>
      <c r="U642" s="7">
        <f ca="1">$AU$10*EXP(-'3.r(t)'!G640*$AU$24)</f>
        <v>0.97172112907520281</v>
      </c>
      <c r="V642" s="7">
        <v>1</v>
      </c>
      <c r="W642" s="7"/>
      <c r="X642" s="7">
        <v>634</v>
      </c>
      <c r="Y642" s="7">
        <f>$AV$7*EXP(-'3.r(t)'!D640*$AV$21)</f>
        <v>0.88900715067201674</v>
      </c>
      <c r="Z642" s="7">
        <f ca="1">$AV$8*EXP(-'3.r(t)'!E640*$AV$22)</f>
        <v>0.9118840931303297</v>
      </c>
      <c r="AA642" s="7">
        <f ca="1">$AV$9*EXP(-'3.r(t)'!F640*$AV$23)</f>
        <v>0.93411233003087257</v>
      </c>
      <c r="AB642" s="7">
        <f ca="1">$AV$10*EXP(-'3.r(t)'!G640*$AV$24)</f>
        <v>0.94381395402516421</v>
      </c>
      <c r="AC642" s="7">
        <f ca="1">$AV$11*EXP(-'3.r(t)'!H640*$AV$25)</f>
        <v>0.97036741726137665</v>
      </c>
      <c r="AD642" s="7">
        <v>1</v>
      </c>
      <c r="AE642" s="7"/>
      <c r="AF642" s="7">
        <v>634</v>
      </c>
      <c r="AG642" s="7">
        <f>$AW$7*EXP(-'3.r(t)'!D640*$AW$21)</f>
        <v>0.86718755429225491</v>
      </c>
      <c r="AH642" s="7">
        <f ca="1">$AW$8*EXP(-'3.r(t)'!E640*$AW$22)</f>
        <v>0.8901139441525755</v>
      </c>
      <c r="AI642" s="7">
        <f ca="1">$AW$9*EXP(-'3.r(t)'!F640*$AW$23)</f>
        <v>0.91232170258230216</v>
      </c>
      <c r="AJ642" s="7">
        <f ca="1">$AW$10*EXP(-'3.r(t)'!G640*$AW$24)</f>
        <v>0.91630648029840411</v>
      </c>
      <c r="AK642" s="7">
        <f ca="1">$AW$11*EXP(-'3.r(t)'!H640*$AW$25)</f>
        <v>0.94119447054585947</v>
      </c>
      <c r="AL642" s="7">
        <f ca="1">$AW$12*EXP(-'3.r(t)'!I640*$AW$26)</f>
        <v>0.96969975199883018</v>
      </c>
      <c r="AM642" s="7">
        <v>1</v>
      </c>
      <c r="AN642" s="7"/>
    </row>
    <row r="643" spans="2:40">
      <c r="B643" s="7">
        <v>635</v>
      </c>
      <c r="C643" s="7">
        <f>$AR$7*EXP(-'3.r(t)'!D641*$AR$21)</f>
        <v>0.97765346695821032</v>
      </c>
      <c r="D643" s="7">
        <v>1</v>
      </c>
      <c r="E643" s="7"/>
      <c r="F643" s="7">
        <v>635</v>
      </c>
      <c r="G643" s="48">
        <f>$AS$7*EXP(-'3.r(t)'!D641*$AS$21)</f>
        <v>0.9553476245219803</v>
      </c>
      <c r="H643" s="7">
        <f ca="1">$AS$8*EXP(-'3.r(t)'!E641*$AS$22)</f>
        <v>0.97531266323261889</v>
      </c>
      <c r="I643" s="7">
        <v>1</v>
      </c>
      <c r="J643" s="7"/>
      <c r="K643" s="7">
        <v>635</v>
      </c>
      <c r="L643" s="7">
        <f>$AT$7*EXP(-'3.r(t)'!D641*$AT$21)</f>
        <v>0.93311670519824419</v>
      </c>
      <c r="M643" s="7">
        <f ca="1">$AT$8*EXP(-'3.r(t)'!E641*$AT$22)</f>
        <v>0.95078674612183844</v>
      </c>
      <c r="N643" s="7">
        <f ca="1">$AT$9*EXP(-'3.r(t)'!F641*$AT$23)</f>
        <v>0.97466775873609013</v>
      </c>
      <c r="O643" s="7">
        <v>1</v>
      </c>
      <c r="P643" s="7"/>
      <c r="Q643" s="7">
        <v>635</v>
      </c>
      <c r="R643" s="7">
        <f>$AU$7*EXP(-'3.r(t)'!D641*$AU$21)</f>
        <v>0.91099305977534117</v>
      </c>
      <c r="S643" s="7">
        <f ca="1">$AU$8*EXP(-'3.r(t)'!E641*$AU$22)</f>
        <v>0.92645489981786389</v>
      </c>
      <c r="T643" s="7">
        <f ca="1">$AU$9*EXP(-'3.r(t)'!F641*$AU$23)</f>
        <v>0.94953821441806652</v>
      </c>
      <c r="U643" s="7">
        <f ca="1">$AU$10*EXP(-'3.r(t)'!G641*$AU$24)</f>
        <v>0.97519795445644308</v>
      </c>
      <c r="V643" s="7">
        <v>1</v>
      </c>
      <c r="W643" s="7"/>
      <c r="X643" s="7">
        <v>635</v>
      </c>
      <c r="Y643" s="7">
        <f>$AV$7*EXP(-'3.r(t)'!D641*$AV$21)</f>
        <v>0.88900715067201674</v>
      </c>
      <c r="Z643" s="7">
        <f ca="1">$AV$8*EXP(-'3.r(t)'!E641*$AV$22)</f>
        <v>0.90234760062235608</v>
      </c>
      <c r="AA643" s="7">
        <f ca="1">$AV$9*EXP(-'3.r(t)'!F641*$AV$23)</f>
        <v>0.92464293798525088</v>
      </c>
      <c r="AB643" s="7">
        <f ca="1">$AV$10*EXP(-'3.r(t)'!G641*$AV$24)</f>
        <v>0.95057998346593053</v>
      </c>
      <c r="AC643" s="7">
        <f ca="1">$AV$11*EXP(-'3.r(t)'!H641*$AV$25)</f>
        <v>0.97505627062376621</v>
      </c>
      <c r="AD643" s="7">
        <v>1</v>
      </c>
      <c r="AE643" s="7"/>
      <c r="AF643" s="7">
        <v>635</v>
      </c>
      <c r="AG643" s="7">
        <f>$AW$7*EXP(-'3.r(t)'!D641*$AW$21)</f>
        <v>0.86718755429225491</v>
      </c>
      <c r="AH643" s="7">
        <f ca="1">$AW$8*EXP(-'3.r(t)'!E641*$AW$22)</f>
        <v>0.87849317020900153</v>
      </c>
      <c r="AI643" s="7">
        <f ca="1">$AW$9*EXP(-'3.r(t)'!F641*$AW$23)</f>
        <v>0.90001125938548665</v>
      </c>
      <c r="AJ643" s="7">
        <f ca="1">$AW$10*EXP(-'3.r(t)'!G641*$AW$24)</f>
        <v>0.92617736838897924</v>
      </c>
      <c r="AK643" s="7">
        <f ca="1">$AW$11*EXP(-'3.r(t)'!H641*$AW$25)</f>
        <v>0.950312223204138</v>
      </c>
      <c r="AL643" s="7">
        <f ca="1">$AW$12*EXP(-'3.r(t)'!I641*$AW$26)</f>
        <v>0.97320286376904641</v>
      </c>
      <c r="AM643" s="7">
        <v>1</v>
      </c>
      <c r="AN643" s="7"/>
    </row>
    <row r="644" spans="2:40">
      <c r="B644" s="7">
        <v>636</v>
      </c>
      <c r="C644" s="7">
        <f>$AR$7*EXP(-'3.r(t)'!D642*$AR$21)</f>
        <v>0.97765346695821032</v>
      </c>
      <c r="D644" s="7">
        <v>1</v>
      </c>
      <c r="E644" s="7"/>
      <c r="F644" s="7">
        <v>636</v>
      </c>
      <c r="G644" s="48">
        <f>$AS$7*EXP(-'3.r(t)'!D642*$AS$21)</f>
        <v>0.9553476245219803</v>
      </c>
      <c r="H644" s="7">
        <f ca="1">$AS$8*EXP(-'3.r(t)'!E642*$AS$22)</f>
        <v>0.97928096515200402</v>
      </c>
      <c r="I644" s="7">
        <v>1</v>
      </c>
      <c r="J644" s="7"/>
      <c r="K644" s="7">
        <v>636</v>
      </c>
      <c r="L644" s="7">
        <f>$AT$7*EXP(-'3.r(t)'!D642*$AT$21)</f>
        <v>0.93311670519824419</v>
      </c>
      <c r="M644" s="7">
        <f ca="1">$AT$8*EXP(-'3.r(t)'!E642*$AT$22)</f>
        <v>0.95853951038737839</v>
      </c>
      <c r="N644" s="7">
        <f ca="1">$AT$9*EXP(-'3.r(t)'!F642*$AT$23)</f>
        <v>0.98107778504755672</v>
      </c>
      <c r="O644" s="7">
        <v>1</v>
      </c>
      <c r="P644" s="7"/>
      <c r="Q644" s="7">
        <v>636</v>
      </c>
      <c r="R644" s="7">
        <f>$AU$7*EXP(-'3.r(t)'!D642*$AU$21)</f>
        <v>0.91099305977534117</v>
      </c>
      <c r="S644" s="7">
        <f ca="1">$AU$8*EXP(-'3.r(t)'!E642*$AU$22)</f>
        <v>0.9378095097151381</v>
      </c>
      <c r="T644" s="7">
        <f ca="1">$AU$9*EXP(-'3.r(t)'!F642*$AU$23)</f>
        <v>0.96206880120956562</v>
      </c>
      <c r="U644" s="7">
        <f ca="1">$AU$10*EXP(-'3.r(t)'!G642*$AU$24)</f>
        <v>0.98484127986164671</v>
      </c>
      <c r="V644" s="7">
        <v>1</v>
      </c>
      <c r="W644" s="7"/>
      <c r="X644" s="7">
        <v>636</v>
      </c>
      <c r="Y644" s="7">
        <f>$AV$7*EXP(-'3.r(t)'!D642*$AV$21)</f>
        <v>0.88900715067201674</v>
      </c>
      <c r="Z644" s="7">
        <f ca="1">$AV$8*EXP(-'3.r(t)'!E642*$AV$22)</f>
        <v>0.91712317435337565</v>
      </c>
      <c r="AA644" s="7">
        <f ca="1">$AV$9*EXP(-'3.r(t)'!F642*$AV$23)</f>
        <v>0.94300627420658112</v>
      </c>
      <c r="AB644" s="7">
        <f ca="1">$AV$10*EXP(-'3.r(t)'!G642*$AV$24)</f>
        <v>0.96947271217656361</v>
      </c>
      <c r="AC644" s="7">
        <f ca="1">$AV$11*EXP(-'3.r(t)'!H642*$AV$25)</f>
        <v>0.98412985684555276</v>
      </c>
      <c r="AD644" s="7">
        <v>1</v>
      </c>
      <c r="AE644" s="7"/>
      <c r="AF644" s="7">
        <v>636</v>
      </c>
      <c r="AG644" s="7">
        <f>$AW$7*EXP(-'3.r(t)'!D642*$AW$21)</f>
        <v>0.86718755429225491</v>
      </c>
      <c r="AH644" s="7">
        <f ca="1">$AW$8*EXP(-'3.r(t)'!E642*$AW$22)</f>
        <v>0.89651103394382314</v>
      </c>
      <c r="AI644" s="7">
        <f ca="1">$AW$9*EXP(-'3.r(t)'!F642*$AW$23)</f>
        <v>0.92392200240054767</v>
      </c>
      <c r="AJ644" s="7">
        <f ca="1">$AW$10*EXP(-'3.r(t)'!G642*$AW$24)</f>
        <v>0.95392570400212073</v>
      </c>
      <c r="AK644" s="7">
        <f ca="1">$AW$11*EXP(-'3.r(t)'!H642*$AW$25)</f>
        <v>0.96808116740490546</v>
      </c>
      <c r="AL644" s="7">
        <f ca="1">$AW$12*EXP(-'3.r(t)'!I642*$AW$26)</f>
        <v>0.98455434227010541</v>
      </c>
      <c r="AM644" s="7">
        <v>1</v>
      </c>
      <c r="AN644" s="7"/>
    </row>
    <row r="645" spans="2:40">
      <c r="B645" s="7">
        <v>637</v>
      </c>
      <c r="C645" s="7">
        <f>$AR$7*EXP(-'3.r(t)'!D643*$AR$21)</f>
        <v>0.97765346695821032</v>
      </c>
      <c r="D645" s="7">
        <v>1</v>
      </c>
      <c r="E645" s="7"/>
      <c r="F645" s="7">
        <v>637</v>
      </c>
      <c r="G645" s="48">
        <f>$AS$7*EXP(-'3.r(t)'!D643*$AS$21)</f>
        <v>0.9553476245219803</v>
      </c>
      <c r="H645" s="7">
        <f ca="1">$AS$8*EXP(-'3.r(t)'!E643*$AS$22)</f>
        <v>0.97461104745244531</v>
      </c>
      <c r="I645" s="7">
        <v>1</v>
      </c>
      <c r="J645" s="7"/>
      <c r="K645" s="7">
        <v>637</v>
      </c>
      <c r="L645" s="7">
        <f>$AT$7*EXP(-'3.r(t)'!D643*$AT$21)</f>
        <v>0.93311670519824419</v>
      </c>
      <c r="M645" s="7">
        <f ca="1">$AT$8*EXP(-'3.r(t)'!E643*$AT$22)</f>
        <v>0.94941929326929508</v>
      </c>
      <c r="N645" s="7">
        <f ca="1">$AT$9*EXP(-'3.r(t)'!F643*$AT$23)</f>
        <v>0.97259797121036984</v>
      </c>
      <c r="O645" s="7">
        <v>1</v>
      </c>
      <c r="P645" s="7"/>
      <c r="Q645" s="7">
        <v>637</v>
      </c>
      <c r="R645" s="7">
        <f>$AU$7*EXP(-'3.r(t)'!D643*$AU$21)</f>
        <v>0.91099305977534117</v>
      </c>
      <c r="S645" s="7">
        <f ca="1">$AU$8*EXP(-'3.r(t)'!E643*$AU$22)</f>
        <v>0.92445693165141274</v>
      </c>
      <c r="T645" s="7">
        <f ca="1">$AU$9*EXP(-'3.r(t)'!F643*$AU$23)</f>
        <v>0.94550965073499138</v>
      </c>
      <c r="U645" s="7">
        <f ca="1">$AU$10*EXP(-'3.r(t)'!G643*$AU$24)</f>
        <v>0.97398552488780743</v>
      </c>
      <c r="V645" s="7">
        <v>1</v>
      </c>
      <c r="W645" s="7"/>
      <c r="X645" s="7">
        <v>637</v>
      </c>
      <c r="Y645" s="7">
        <f>$AV$7*EXP(-'3.r(t)'!D643*$AV$21)</f>
        <v>0.88900715067201674</v>
      </c>
      <c r="Z645" s="7">
        <f ca="1">$AV$8*EXP(-'3.r(t)'!E643*$AV$22)</f>
        <v>0.89975389498888958</v>
      </c>
      <c r="AA645" s="7">
        <f ca="1">$AV$9*EXP(-'3.r(t)'!F643*$AV$23)</f>
        <v>0.91876477139323687</v>
      </c>
      <c r="AB645" s="7">
        <f ca="1">$AV$10*EXP(-'3.r(t)'!G643*$AV$24)</f>
        <v>0.94821780697545188</v>
      </c>
      <c r="AC645" s="7">
        <f ca="1">$AV$11*EXP(-'3.r(t)'!H643*$AV$25)</f>
        <v>0.97269364298451322</v>
      </c>
      <c r="AD645" s="7">
        <v>1</v>
      </c>
      <c r="AE645" s="7"/>
      <c r="AF645" s="7">
        <v>637</v>
      </c>
      <c r="AG645" s="7">
        <f>$AW$7*EXP(-'3.r(t)'!D643*$AW$21)</f>
        <v>0.86718755429225491</v>
      </c>
      <c r="AH645" s="7">
        <f ca="1">$AW$8*EXP(-'3.r(t)'!E643*$AW$22)</f>
        <v>0.87533788197713658</v>
      </c>
      <c r="AI645" s="7">
        <f ca="1">$AW$9*EXP(-'3.r(t)'!F643*$AW$23)</f>
        <v>0.89239058396890369</v>
      </c>
      <c r="AJ645" s="7">
        <f ca="1">$AW$10*EXP(-'3.r(t)'!G643*$AW$24)</f>
        <v>0.92272720945216957</v>
      </c>
      <c r="AK645" s="7">
        <f ca="1">$AW$11*EXP(-'3.r(t)'!H643*$AW$25)</f>
        <v>0.94571246047290702</v>
      </c>
      <c r="AL645" s="7">
        <f ca="1">$AW$12*EXP(-'3.r(t)'!I643*$AW$26)</f>
        <v>0.97260118183955102</v>
      </c>
      <c r="AM645" s="7">
        <v>1</v>
      </c>
      <c r="AN645" s="7"/>
    </row>
    <row r="646" spans="2:40">
      <c r="B646" s="7">
        <v>638</v>
      </c>
      <c r="C646" s="7">
        <f>$AR$7*EXP(-'3.r(t)'!D644*$AR$21)</f>
        <v>0.97765346695821032</v>
      </c>
      <c r="D646" s="7">
        <v>1</v>
      </c>
      <c r="E646" s="7"/>
      <c r="F646" s="7">
        <v>638</v>
      </c>
      <c r="G646" s="48">
        <f>$AS$7*EXP(-'3.r(t)'!D644*$AS$21)</f>
        <v>0.9553476245219803</v>
      </c>
      <c r="H646" s="7">
        <f ca="1">$AS$8*EXP(-'3.r(t)'!E644*$AS$22)</f>
        <v>0.97783462069702642</v>
      </c>
      <c r="I646" s="7">
        <v>1</v>
      </c>
      <c r="J646" s="7"/>
      <c r="K646" s="7">
        <v>638</v>
      </c>
      <c r="L646" s="7">
        <f>$AT$7*EXP(-'3.r(t)'!D644*$AT$21)</f>
        <v>0.93311670519824419</v>
      </c>
      <c r="M646" s="7">
        <f ca="1">$AT$8*EXP(-'3.r(t)'!E644*$AT$22)</f>
        <v>0.9557101803941751</v>
      </c>
      <c r="N646" s="7">
        <f ca="1">$AT$9*EXP(-'3.r(t)'!F644*$AT$23)</f>
        <v>0.97554969399731917</v>
      </c>
      <c r="O646" s="7">
        <v>1</v>
      </c>
      <c r="P646" s="7"/>
      <c r="Q646" s="7">
        <v>638</v>
      </c>
      <c r="R646" s="7">
        <f>$AU$7*EXP(-'3.r(t)'!D644*$AU$21)</f>
        <v>0.91099305977534117</v>
      </c>
      <c r="S646" s="7">
        <f ca="1">$AU$8*EXP(-'3.r(t)'!E644*$AU$22)</f>
        <v>0.93366036366860738</v>
      </c>
      <c r="T646" s="7">
        <f ca="1">$AU$9*EXP(-'3.r(t)'!F644*$AU$23)</f>
        <v>0.95125738508635471</v>
      </c>
      <c r="U646" s="7">
        <f ca="1">$AU$10*EXP(-'3.r(t)'!G644*$AU$24)</f>
        <v>0.97547948766915482</v>
      </c>
      <c r="V646" s="7">
        <v>1</v>
      </c>
      <c r="W646" s="7"/>
      <c r="X646" s="7">
        <v>638</v>
      </c>
      <c r="Y646" s="7">
        <f>$AV$7*EXP(-'3.r(t)'!D644*$AV$21)</f>
        <v>0.88900715067201674</v>
      </c>
      <c r="Z646" s="7">
        <f ca="1">$AV$8*EXP(-'3.r(t)'!E644*$AV$22)</f>
        <v>0.91171700285217872</v>
      </c>
      <c r="AA646" s="7">
        <f ca="1">$AV$9*EXP(-'3.r(t)'!F644*$AV$23)</f>
        <v>0.92715521967822589</v>
      </c>
      <c r="AB646" s="7">
        <f ca="1">$AV$10*EXP(-'3.r(t)'!G644*$AV$24)</f>
        <v>0.95112891502490648</v>
      </c>
      <c r="AC646" s="7">
        <f ca="1">$AV$11*EXP(-'3.r(t)'!H644*$AV$25)</f>
        <v>0.97139917956391275</v>
      </c>
      <c r="AD646" s="7">
        <v>1</v>
      </c>
      <c r="AE646" s="7"/>
      <c r="AF646" s="7">
        <v>638</v>
      </c>
      <c r="AG646" s="7">
        <f>$AW$7*EXP(-'3.r(t)'!D644*$AW$21)</f>
        <v>0.86718755429225491</v>
      </c>
      <c r="AH646" s="7">
        <f ca="1">$AW$8*EXP(-'3.r(t)'!E644*$AW$22)</f>
        <v>0.88991007232705943</v>
      </c>
      <c r="AI646" s="7">
        <f ca="1">$AW$9*EXP(-'3.r(t)'!F644*$AW$23)</f>
        <v>0.90327321057280585</v>
      </c>
      <c r="AJ646" s="7">
        <f ca="1">$AW$10*EXP(-'3.r(t)'!G644*$AW$24)</f>
        <v>0.92697974386412252</v>
      </c>
      <c r="AK646" s="7">
        <f ca="1">$AW$11*EXP(-'3.r(t)'!H644*$AW$25)</f>
        <v>0.94319702178889853</v>
      </c>
      <c r="AL646" s="7">
        <f ca="1">$AW$12*EXP(-'3.r(t)'!I644*$AW$26)</f>
        <v>0.97223860507801985</v>
      </c>
      <c r="AM646" s="7">
        <v>1</v>
      </c>
      <c r="AN646" s="7"/>
    </row>
    <row r="647" spans="2:40">
      <c r="B647" s="7">
        <v>639</v>
      </c>
      <c r="C647" s="7">
        <f>$AR$7*EXP(-'3.r(t)'!D645*$AR$21)</f>
        <v>0.97765346695821032</v>
      </c>
      <c r="D647" s="7">
        <v>1</v>
      </c>
      <c r="E647" s="7"/>
      <c r="F647" s="7">
        <v>639</v>
      </c>
      <c r="G647" s="48">
        <f>$AS$7*EXP(-'3.r(t)'!D645*$AS$21)</f>
        <v>0.9553476245219803</v>
      </c>
      <c r="H647" s="7">
        <f ca="1">$AS$8*EXP(-'3.r(t)'!E645*$AS$22)</f>
        <v>0.97794822967524841</v>
      </c>
      <c r="I647" s="7">
        <v>1</v>
      </c>
      <c r="J647" s="7"/>
      <c r="K647" s="7">
        <v>639</v>
      </c>
      <c r="L647" s="7">
        <f>$AT$7*EXP(-'3.r(t)'!D645*$AT$21)</f>
        <v>0.93311670519824419</v>
      </c>
      <c r="M647" s="7">
        <f ca="1">$AT$8*EXP(-'3.r(t)'!E645*$AT$22)</f>
        <v>0.95593227022870553</v>
      </c>
      <c r="N647" s="7">
        <f ca="1">$AT$9*EXP(-'3.r(t)'!F645*$AT$23)</f>
        <v>0.98101145467829698</v>
      </c>
      <c r="O647" s="7">
        <v>1</v>
      </c>
      <c r="P647" s="7"/>
      <c r="Q647" s="7">
        <v>639</v>
      </c>
      <c r="R647" s="7">
        <f>$AU$7*EXP(-'3.r(t)'!D645*$AU$21)</f>
        <v>0.91099305977534117</v>
      </c>
      <c r="S647" s="7">
        <f ca="1">$AU$8*EXP(-'3.r(t)'!E645*$AU$22)</f>
        <v>0.93398583135631219</v>
      </c>
      <c r="T647" s="7">
        <f ca="1">$AU$9*EXP(-'3.r(t)'!F645*$AU$23)</f>
        <v>0.96193871525190811</v>
      </c>
      <c r="U647" s="7">
        <f ca="1">$AU$10*EXP(-'3.r(t)'!G645*$AU$24)</f>
        <v>0.9809176875322182</v>
      </c>
      <c r="V647" s="7">
        <v>1</v>
      </c>
      <c r="W647" s="7"/>
      <c r="X647" s="7">
        <v>639</v>
      </c>
      <c r="Y647" s="7">
        <f>$AV$7*EXP(-'3.r(t)'!D645*$AV$21)</f>
        <v>0.88900715067201674</v>
      </c>
      <c r="Z647" s="7">
        <f ca="1">$AV$8*EXP(-'3.r(t)'!E645*$AV$22)</f>
        <v>0.9121407853108503</v>
      </c>
      <c r="AA647" s="7">
        <f ca="1">$AV$9*EXP(-'3.r(t)'!F645*$AV$23)</f>
        <v>0.94281501803979917</v>
      </c>
      <c r="AB647" s="7">
        <f ca="1">$AV$10*EXP(-'3.r(t)'!G645*$AV$24)</f>
        <v>0.96176337138541623</v>
      </c>
      <c r="AC647" s="7">
        <f ca="1">$AV$11*EXP(-'3.r(t)'!H645*$AV$25)</f>
        <v>0.97935915599138912</v>
      </c>
      <c r="AD647" s="7">
        <v>1</v>
      </c>
      <c r="AE647" s="7"/>
      <c r="AF647" s="7">
        <v>639</v>
      </c>
      <c r="AG647" s="7">
        <f>$AW$7*EXP(-'3.r(t)'!D645*$AW$21)</f>
        <v>0.86718755429225491</v>
      </c>
      <c r="AH647" s="7">
        <f ca="1">$AW$8*EXP(-'3.r(t)'!E645*$AW$22)</f>
        <v>0.89042716012228873</v>
      </c>
      <c r="AI647" s="7">
        <f ca="1">$AW$9*EXP(-'3.r(t)'!F645*$AW$23)</f>
        <v>0.92367216340224267</v>
      </c>
      <c r="AJ647" s="7">
        <f ca="1">$AW$10*EXP(-'3.r(t)'!G645*$AW$24)</f>
        <v>0.94256979071601354</v>
      </c>
      <c r="AK647" s="7">
        <f ca="1">$AW$11*EXP(-'3.r(t)'!H645*$AW$25)</f>
        <v>0.95871811149768871</v>
      </c>
      <c r="AL647" s="7">
        <f ca="1">$AW$12*EXP(-'3.r(t)'!I645*$AW$26)</f>
        <v>0.9757589704890467</v>
      </c>
      <c r="AM647" s="7">
        <v>1</v>
      </c>
      <c r="AN647" s="7"/>
    </row>
    <row r="648" spans="2:40">
      <c r="B648" s="7">
        <v>640</v>
      </c>
      <c r="C648" s="7">
        <f>$AR$7*EXP(-'3.r(t)'!D646*$AR$21)</f>
        <v>0.97765346695821032</v>
      </c>
      <c r="D648" s="7">
        <v>1</v>
      </c>
      <c r="E648" s="7"/>
      <c r="F648" s="7">
        <v>640</v>
      </c>
      <c r="G648" s="48">
        <f>$AS$7*EXP(-'3.r(t)'!D646*$AS$21)</f>
        <v>0.9553476245219803</v>
      </c>
      <c r="H648" s="7">
        <f ca="1">$AS$8*EXP(-'3.r(t)'!E646*$AS$22)</f>
        <v>0.97430175174377931</v>
      </c>
      <c r="I648" s="7">
        <v>1</v>
      </c>
      <c r="J648" s="7"/>
      <c r="K648" s="7">
        <v>640</v>
      </c>
      <c r="L648" s="7">
        <f>$AT$7*EXP(-'3.r(t)'!D646*$AT$21)</f>
        <v>0.93311670519824419</v>
      </c>
      <c r="M648" s="7">
        <f ca="1">$AT$8*EXP(-'3.r(t)'!E646*$AT$22)</f>
        <v>0.94881678682666359</v>
      </c>
      <c r="N648" s="7">
        <f ca="1">$AT$9*EXP(-'3.r(t)'!F646*$AT$23)</f>
        <v>0.97395449932661982</v>
      </c>
      <c r="O648" s="7">
        <v>1</v>
      </c>
      <c r="P648" s="7"/>
      <c r="Q648" s="7">
        <v>640</v>
      </c>
      <c r="R648" s="7">
        <f>$AU$7*EXP(-'3.r(t)'!D646*$AU$21)</f>
        <v>0.91099305977534117</v>
      </c>
      <c r="S648" s="7">
        <f ca="1">$AU$8*EXP(-'3.r(t)'!E646*$AU$22)</f>
        <v>0.92357707348263884</v>
      </c>
      <c r="T648" s="7">
        <f ca="1">$AU$9*EXP(-'3.r(t)'!F646*$AU$23)</f>
        <v>0.94814898357740096</v>
      </c>
      <c r="U648" s="7">
        <f ca="1">$AU$10*EXP(-'3.r(t)'!G646*$AU$24)</f>
        <v>0.97337342719147346</v>
      </c>
      <c r="V648" s="7">
        <v>1</v>
      </c>
      <c r="W648" s="7"/>
      <c r="X648" s="7">
        <v>640</v>
      </c>
      <c r="Y648" s="7">
        <f>$AV$7*EXP(-'3.r(t)'!D646*$AV$21)</f>
        <v>0.88900715067201674</v>
      </c>
      <c r="Z648" s="7">
        <f ca="1">$AV$8*EXP(-'3.r(t)'!E646*$AV$22)</f>
        <v>0.89861228029825901</v>
      </c>
      <c r="AA648" s="7">
        <f ca="1">$AV$9*EXP(-'3.r(t)'!F646*$AV$23)</f>
        <v>0.92261446902303634</v>
      </c>
      <c r="AB648" s="7">
        <f ca="1">$AV$10*EXP(-'3.r(t)'!G646*$AV$24)</f>
        <v>0.94702637333564277</v>
      </c>
      <c r="AC648" s="7">
        <f ca="1">$AV$11*EXP(-'3.r(t)'!H646*$AV$25)</f>
        <v>0.96985101133716078</v>
      </c>
      <c r="AD648" s="7">
        <v>1</v>
      </c>
      <c r="AE648" s="7"/>
      <c r="AF648" s="7">
        <v>640</v>
      </c>
      <c r="AG648" s="7">
        <f>$AW$7*EXP(-'3.r(t)'!D646*$AW$21)</f>
        <v>0.86718755429225491</v>
      </c>
      <c r="AH648" s="7">
        <f ca="1">$AW$8*EXP(-'3.r(t)'!E646*$AW$22)</f>
        <v>0.8739498079008895</v>
      </c>
      <c r="AI648" s="7">
        <f ca="1">$AW$9*EXP(-'3.r(t)'!F646*$AW$23)</f>
        <v>0.89737964597426711</v>
      </c>
      <c r="AJ648" s="7">
        <f ca="1">$AW$10*EXP(-'3.r(t)'!G646*$AW$24)</f>
        <v>0.92098864872464659</v>
      </c>
      <c r="AK648" s="7">
        <f ca="1">$AW$11*EXP(-'3.r(t)'!H646*$AW$25)</f>
        <v>0.94019297551855063</v>
      </c>
      <c r="AL648" s="7">
        <f ca="1">$AW$12*EXP(-'3.r(t)'!I646*$AW$26)</f>
        <v>0.97680781660078708</v>
      </c>
      <c r="AM648" s="7">
        <v>1</v>
      </c>
      <c r="AN648" s="7"/>
    </row>
    <row r="649" spans="2:40">
      <c r="B649" s="7">
        <v>641</v>
      </c>
      <c r="C649" s="7">
        <f>$AR$7*EXP(-'3.r(t)'!D647*$AR$21)</f>
        <v>0.97765346695821032</v>
      </c>
      <c r="D649" s="7">
        <v>1</v>
      </c>
      <c r="E649" s="7"/>
      <c r="F649" s="7">
        <v>641</v>
      </c>
      <c r="G649" s="48">
        <f>$AS$7*EXP(-'3.r(t)'!D647*$AS$21)</f>
        <v>0.9553476245219803</v>
      </c>
      <c r="H649" s="7">
        <f ca="1">$AS$8*EXP(-'3.r(t)'!E647*$AS$22)</f>
        <v>0.98125805352553575</v>
      </c>
      <c r="I649" s="7">
        <v>1</v>
      </c>
      <c r="J649" s="7"/>
      <c r="K649" s="7">
        <v>641</v>
      </c>
      <c r="L649" s="7">
        <f>$AT$7*EXP(-'3.r(t)'!D647*$AT$21)</f>
        <v>0.93311670519824419</v>
      </c>
      <c r="M649" s="7">
        <f ca="1">$AT$8*EXP(-'3.r(t)'!E647*$AT$22)</f>
        <v>0.96241384356180582</v>
      </c>
      <c r="N649" s="7">
        <f ca="1">$AT$9*EXP(-'3.r(t)'!F647*$AT$23)</f>
        <v>0.98021928323560403</v>
      </c>
      <c r="O649" s="7">
        <v>1</v>
      </c>
      <c r="P649" s="7"/>
      <c r="Q649" s="7">
        <v>641</v>
      </c>
      <c r="R649" s="7">
        <f>$AU$7*EXP(-'3.r(t)'!D647*$AU$21)</f>
        <v>0.91099305977534117</v>
      </c>
      <c r="S649" s="7">
        <f ca="1">$AU$8*EXP(-'3.r(t)'!E647*$AU$22)</f>
        <v>0.94350106772144648</v>
      </c>
      <c r="T649" s="7">
        <f ca="1">$AU$9*EXP(-'3.r(t)'!F647*$AU$23)</f>
        <v>0.96038580226876269</v>
      </c>
      <c r="U649" s="7">
        <f ca="1">$AU$10*EXP(-'3.r(t)'!G647*$AU$24)</f>
        <v>0.97973262749085022</v>
      </c>
      <c r="V649" s="7">
        <v>1</v>
      </c>
      <c r="W649" s="7"/>
      <c r="X649" s="7">
        <v>641</v>
      </c>
      <c r="Y649" s="7">
        <f>$AV$7*EXP(-'3.r(t)'!D647*$AV$21)</f>
        <v>0.88900715067201674</v>
      </c>
      <c r="Z649" s="7">
        <f ca="1">$AV$8*EXP(-'3.r(t)'!E647*$AV$22)</f>
        <v>0.92455202135565584</v>
      </c>
      <c r="AA649" s="7">
        <f ca="1">$AV$9*EXP(-'3.r(t)'!F647*$AV$23)</f>
        <v>0.94053287895835214</v>
      </c>
      <c r="AB649" s="7">
        <f ca="1">$AV$10*EXP(-'3.r(t)'!G647*$AV$24)</f>
        <v>0.95944093621475535</v>
      </c>
      <c r="AC649" s="7">
        <f ca="1">$AV$11*EXP(-'3.r(t)'!H647*$AV$25)</f>
        <v>0.97951715380685656</v>
      </c>
      <c r="AD649" s="7">
        <v>1</v>
      </c>
      <c r="AE649" s="7"/>
      <c r="AF649" s="7">
        <v>641</v>
      </c>
      <c r="AG649" s="7">
        <f>$AW$7*EXP(-'3.r(t)'!D647*$AW$21)</f>
        <v>0.86718755429225491</v>
      </c>
      <c r="AH649" s="7">
        <f ca="1">$AW$8*EXP(-'3.r(t)'!E647*$AW$22)</f>
        <v>0.90559756304274885</v>
      </c>
      <c r="AI649" s="7">
        <f ca="1">$AW$9*EXP(-'3.r(t)'!F647*$AW$23)</f>
        <v>0.92069229645454376</v>
      </c>
      <c r="AJ649" s="7">
        <f ca="1">$AW$10*EXP(-'3.r(t)'!G647*$AW$24)</f>
        <v>0.93915772193281466</v>
      </c>
      <c r="AK649" s="7">
        <f ca="1">$AW$11*EXP(-'3.r(t)'!H647*$AW$25)</f>
        <v>0.95902747213403872</v>
      </c>
      <c r="AL649" s="7">
        <f ca="1">$AW$12*EXP(-'3.r(t)'!I647*$AW$26)</f>
        <v>0.97712874906680203</v>
      </c>
      <c r="AM649" s="7">
        <v>1</v>
      </c>
      <c r="AN649" s="7"/>
    </row>
    <row r="650" spans="2:40">
      <c r="B650" s="7">
        <v>642</v>
      </c>
      <c r="C650" s="7">
        <f>$AR$7*EXP(-'3.r(t)'!D648*$AR$21)</f>
        <v>0.97765346695821032</v>
      </c>
      <c r="D650" s="7">
        <v>1</v>
      </c>
      <c r="E650" s="7"/>
      <c r="F650" s="7">
        <v>642</v>
      </c>
      <c r="G650" s="48">
        <f>$AS$7*EXP(-'3.r(t)'!D648*$AS$21)</f>
        <v>0.9553476245219803</v>
      </c>
      <c r="H650" s="7">
        <f ca="1">$AS$8*EXP(-'3.r(t)'!E648*$AS$22)</f>
        <v>0.98108961696355912</v>
      </c>
      <c r="I650" s="7">
        <v>1</v>
      </c>
      <c r="J650" s="7"/>
      <c r="K650" s="7">
        <v>642</v>
      </c>
      <c r="L650" s="7">
        <f>$AT$7*EXP(-'3.r(t)'!D648*$AT$21)</f>
        <v>0.93311670519824419</v>
      </c>
      <c r="M650" s="7">
        <f ca="1">$AT$8*EXP(-'3.r(t)'!E648*$AT$22)</f>
        <v>0.96208346815157153</v>
      </c>
      <c r="N650" s="7">
        <f ca="1">$AT$9*EXP(-'3.r(t)'!F648*$AT$23)</f>
        <v>0.97548403198342326</v>
      </c>
      <c r="O650" s="7">
        <v>1</v>
      </c>
      <c r="P650" s="7"/>
      <c r="Q650" s="7">
        <v>642</v>
      </c>
      <c r="R650" s="7">
        <f>$AU$7*EXP(-'3.r(t)'!D648*$AU$21)</f>
        <v>0.91099305977534117</v>
      </c>
      <c r="S650" s="7">
        <f ca="1">$AU$8*EXP(-'3.r(t)'!E648*$AU$22)</f>
        <v>0.94301528480886387</v>
      </c>
      <c r="T650" s="7">
        <f ca="1">$AU$9*EXP(-'3.r(t)'!F648*$AU$23)</f>
        <v>0.9511293354873378</v>
      </c>
      <c r="U650" s="7">
        <f ca="1">$AU$10*EXP(-'3.r(t)'!G648*$AU$24)</f>
        <v>0.97350644729673996</v>
      </c>
      <c r="V650" s="7">
        <v>1</v>
      </c>
      <c r="W650" s="7"/>
      <c r="X650" s="7">
        <v>642</v>
      </c>
      <c r="Y650" s="7">
        <f>$AV$7*EXP(-'3.r(t)'!D648*$AV$21)</f>
        <v>0.88900715067201674</v>
      </c>
      <c r="Z650" s="7">
        <f ca="1">$AV$8*EXP(-'3.r(t)'!E648*$AV$22)</f>
        <v>0.92391737373833183</v>
      </c>
      <c r="AA650" s="7">
        <f ca="1">$AV$9*EXP(-'3.r(t)'!F648*$AV$23)</f>
        <v>0.92696801820063812</v>
      </c>
      <c r="AB650" s="7">
        <f ca="1">$AV$10*EXP(-'3.r(t)'!G648*$AV$24)</f>
        <v>0.94728523011568766</v>
      </c>
      <c r="AC650" s="7">
        <f ca="1">$AV$11*EXP(-'3.r(t)'!H648*$AV$25)</f>
        <v>0.9750157381299569</v>
      </c>
      <c r="AD650" s="7">
        <v>1</v>
      </c>
      <c r="AE650" s="7"/>
      <c r="AF650" s="7">
        <v>642</v>
      </c>
      <c r="AG650" s="7">
        <f>$AW$7*EXP(-'3.r(t)'!D648*$AW$21)</f>
        <v>0.86718755429225491</v>
      </c>
      <c r="AH650" s="7">
        <f ca="1">$AW$8*EXP(-'3.r(t)'!E648*$AW$22)</f>
        <v>0.90482058403172549</v>
      </c>
      <c r="AI650" s="7">
        <f ca="1">$AW$9*EXP(-'3.r(t)'!F648*$AW$23)</f>
        <v>0.90303004612661419</v>
      </c>
      <c r="AJ650" s="7">
        <f ca="1">$AW$10*EXP(-'3.r(t)'!G648*$AW$24)</f>
        <v>0.92136628411026689</v>
      </c>
      <c r="AK650" s="7">
        <f ca="1">$AW$11*EXP(-'3.r(t)'!H648*$AW$25)</f>
        <v>0.95023321704855779</v>
      </c>
      <c r="AL650" s="7">
        <f ca="1">$AW$12*EXP(-'3.r(t)'!I648*$AW$26)</f>
        <v>0.97684152146908798</v>
      </c>
      <c r="AM650" s="7">
        <v>1</v>
      </c>
      <c r="AN650" s="7"/>
    </row>
    <row r="651" spans="2:40">
      <c r="B651" s="7">
        <v>643</v>
      </c>
      <c r="C651" s="7">
        <f>$AR$7*EXP(-'3.r(t)'!D649*$AR$21)</f>
        <v>0.97765346695821032</v>
      </c>
      <c r="D651" s="7">
        <v>1</v>
      </c>
      <c r="E651" s="7"/>
      <c r="F651" s="7">
        <v>643</v>
      </c>
      <c r="G651" s="48">
        <f>$AS$7*EXP(-'3.r(t)'!D649*$AS$21)</f>
        <v>0.9553476245219803</v>
      </c>
      <c r="H651" s="7">
        <f ca="1">$AS$8*EXP(-'3.r(t)'!E649*$AS$22)</f>
        <v>0.97780698440053271</v>
      </c>
      <c r="I651" s="7">
        <v>1</v>
      </c>
      <c r="J651" s="7"/>
      <c r="K651" s="7">
        <v>643</v>
      </c>
      <c r="L651" s="7">
        <f>$AT$7*EXP(-'3.r(t)'!D649*$AT$21)</f>
        <v>0.93311670519824419</v>
      </c>
      <c r="M651" s="7">
        <f ca="1">$AT$8*EXP(-'3.r(t)'!E649*$AT$22)</f>
        <v>0.95565615915969138</v>
      </c>
      <c r="N651" s="7">
        <f ca="1">$AT$9*EXP(-'3.r(t)'!F649*$AT$23)</f>
        <v>0.97594586598610578</v>
      </c>
      <c r="O651" s="7">
        <v>1</v>
      </c>
      <c r="P651" s="7"/>
      <c r="Q651" s="7">
        <v>643</v>
      </c>
      <c r="R651" s="7">
        <f>$AU$7*EXP(-'3.r(t)'!D649*$AU$21)</f>
        <v>0.91099305977534117</v>
      </c>
      <c r="S651" s="7">
        <f ca="1">$AU$8*EXP(-'3.r(t)'!E649*$AU$22)</f>
        <v>0.93358120247457455</v>
      </c>
      <c r="T651" s="7">
        <f ca="1">$AU$9*EXP(-'3.r(t)'!F649*$AU$23)</f>
        <v>0.95203015566768689</v>
      </c>
      <c r="U651" s="7">
        <f ca="1">$AU$10*EXP(-'3.r(t)'!G649*$AU$24)</f>
        <v>0.97763959596015748</v>
      </c>
      <c r="V651" s="7">
        <v>1</v>
      </c>
      <c r="W651" s="7"/>
      <c r="X651" s="7">
        <v>643</v>
      </c>
      <c r="Y651" s="7">
        <f>$AV$7*EXP(-'3.r(t)'!D649*$AV$21)</f>
        <v>0.88900715067201674</v>
      </c>
      <c r="Z651" s="7">
        <f ca="1">$AV$8*EXP(-'3.r(t)'!E649*$AV$22)</f>
        <v>0.91161393669880986</v>
      </c>
      <c r="AA651" s="7">
        <f ca="1">$AV$9*EXP(-'3.r(t)'!F649*$AV$23)</f>
        <v>0.92828523524586126</v>
      </c>
      <c r="AB651" s="7">
        <f ca="1">$AV$10*EXP(-'3.r(t)'!G649*$AV$24)</f>
        <v>0.95534595141842571</v>
      </c>
      <c r="AC651" s="7">
        <f ca="1">$AV$11*EXP(-'3.r(t)'!H649*$AV$25)</f>
        <v>0.97404276422447766</v>
      </c>
      <c r="AD651" s="7">
        <v>1</v>
      </c>
      <c r="AE651" s="7"/>
      <c r="AF651" s="7">
        <v>643</v>
      </c>
      <c r="AG651" s="7">
        <f>$AW$7*EXP(-'3.r(t)'!D649*$AW$21)</f>
        <v>0.86718755429225491</v>
      </c>
      <c r="AH651" s="7">
        <f ca="1">$AW$8*EXP(-'3.r(t)'!E649*$AW$22)</f>
        <v>0.88978432290096821</v>
      </c>
      <c r="AI651" s="7">
        <f ca="1">$AW$9*EXP(-'3.r(t)'!F649*$AW$23)</f>
        <v>0.9047413862749204</v>
      </c>
      <c r="AJ651" s="7">
        <f ca="1">$AW$10*EXP(-'3.r(t)'!G649*$AW$24)</f>
        <v>0.93315152093829978</v>
      </c>
      <c r="AK651" s="7">
        <f ca="1">$AW$11*EXP(-'3.r(t)'!H649*$AW$25)</f>
        <v>0.94833767674046987</v>
      </c>
      <c r="AL651" s="7">
        <f ca="1">$AW$12*EXP(-'3.r(t)'!I649*$AW$26)</f>
        <v>0.97834570559377931</v>
      </c>
      <c r="AM651" s="7">
        <v>1</v>
      </c>
      <c r="AN651" s="7"/>
    </row>
    <row r="652" spans="2:40">
      <c r="B652" s="7">
        <v>644</v>
      </c>
      <c r="C652" s="7">
        <f>$AR$7*EXP(-'3.r(t)'!D650*$AR$21)</f>
        <v>0.97765346695821032</v>
      </c>
      <c r="D652" s="7">
        <v>1</v>
      </c>
      <c r="E652" s="7"/>
      <c r="F652" s="7">
        <v>644</v>
      </c>
      <c r="G652" s="48">
        <f>$AS$7*EXP(-'3.r(t)'!D650*$AS$21)</f>
        <v>0.9553476245219803</v>
      </c>
      <c r="H652" s="7">
        <f ca="1">$AS$8*EXP(-'3.r(t)'!E650*$AS$22)</f>
        <v>0.97738796276300244</v>
      </c>
      <c r="I652" s="7">
        <v>1</v>
      </c>
      <c r="J652" s="7"/>
      <c r="K652" s="7">
        <v>644</v>
      </c>
      <c r="L652" s="7">
        <f>$AT$7*EXP(-'3.r(t)'!D650*$AT$21)</f>
        <v>0.93311670519824419</v>
      </c>
      <c r="M652" s="7">
        <f ca="1">$AT$8*EXP(-'3.r(t)'!E650*$AT$22)</f>
        <v>0.9548372760584346</v>
      </c>
      <c r="N652" s="7">
        <f ca="1">$AT$9*EXP(-'3.r(t)'!F650*$AT$23)</f>
        <v>0.97644329392918361</v>
      </c>
      <c r="O652" s="7">
        <v>1</v>
      </c>
      <c r="P652" s="7"/>
      <c r="Q652" s="7">
        <v>644</v>
      </c>
      <c r="R652" s="7">
        <f>$AU$7*EXP(-'3.r(t)'!D650*$AU$21)</f>
        <v>0.91099305977534117</v>
      </c>
      <c r="S652" s="7">
        <f ca="1">$AU$8*EXP(-'3.r(t)'!E650*$AU$22)</f>
        <v>0.93238150831208477</v>
      </c>
      <c r="T652" s="7">
        <f ca="1">$AU$9*EXP(-'3.r(t)'!F650*$AU$23)</f>
        <v>0.95300087977064851</v>
      </c>
      <c r="U652" s="7">
        <f ca="1">$AU$10*EXP(-'3.r(t)'!G650*$AU$24)</f>
        <v>0.97412676575991575</v>
      </c>
      <c r="V652" s="7">
        <v>1</v>
      </c>
      <c r="W652" s="7"/>
      <c r="X652" s="7">
        <v>644</v>
      </c>
      <c r="Y652" s="7">
        <f>$AV$7*EXP(-'3.r(t)'!D650*$AV$21)</f>
        <v>0.88900715067201674</v>
      </c>
      <c r="Z652" s="7">
        <f ca="1">$AV$8*EXP(-'3.r(t)'!E650*$AV$22)</f>
        <v>0.91005231768427985</v>
      </c>
      <c r="AA652" s="7">
        <f ca="1">$AV$9*EXP(-'3.r(t)'!F650*$AV$23)</f>
        <v>0.92970536649162971</v>
      </c>
      <c r="AB652" s="7">
        <f ca="1">$AV$10*EXP(-'3.r(t)'!G650*$AV$24)</f>
        <v>0.9484928353350951</v>
      </c>
      <c r="AC652" s="7">
        <f ca="1">$AV$11*EXP(-'3.r(t)'!H650*$AV$25)</f>
        <v>0.96936267133582976</v>
      </c>
      <c r="AD652" s="7">
        <v>1</v>
      </c>
      <c r="AE652" s="7"/>
      <c r="AF652" s="7">
        <v>644</v>
      </c>
      <c r="AG652" s="7">
        <f>$AW$7*EXP(-'3.r(t)'!D650*$AW$21)</f>
        <v>0.86718755429225491</v>
      </c>
      <c r="AH652" s="7">
        <f ca="1">$AW$8*EXP(-'3.r(t)'!E650*$AW$22)</f>
        <v>0.88787945067130902</v>
      </c>
      <c r="AI652" s="7">
        <f ca="1">$AW$9*EXP(-'3.r(t)'!F650*$AW$23)</f>
        <v>0.9065873404501209</v>
      </c>
      <c r="AJ652" s="7">
        <f ca="1">$AW$10*EXP(-'3.r(t)'!G650*$AW$24)</f>
        <v>0.92312869086791427</v>
      </c>
      <c r="AK652" s="7">
        <f ca="1">$AW$11*EXP(-'3.r(t)'!H650*$AW$25)</f>
        <v>0.93924640075218269</v>
      </c>
      <c r="AL652" s="7">
        <f ca="1">$AW$12*EXP(-'3.r(t)'!I650*$AW$26)</f>
        <v>0.97253999059351648</v>
      </c>
      <c r="AM652" s="7">
        <v>1</v>
      </c>
      <c r="AN652" s="7"/>
    </row>
    <row r="653" spans="2:40">
      <c r="B653" s="7">
        <v>645</v>
      </c>
      <c r="C653" s="7">
        <f>$AR$7*EXP(-'3.r(t)'!D651*$AR$21)</f>
        <v>0.97765346695821032</v>
      </c>
      <c r="D653" s="7">
        <v>1</v>
      </c>
      <c r="E653" s="7"/>
      <c r="F653" s="7">
        <v>645</v>
      </c>
      <c r="G653" s="48">
        <f>$AS$7*EXP(-'3.r(t)'!D651*$AS$21)</f>
        <v>0.9553476245219803</v>
      </c>
      <c r="H653" s="7">
        <f ca="1">$AS$8*EXP(-'3.r(t)'!E651*$AS$22)</f>
        <v>0.9719260938758929</v>
      </c>
      <c r="I653" s="7">
        <v>1</v>
      </c>
      <c r="J653" s="7"/>
      <c r="K653" s="7">
        <v>645</v>
      </c>
      <c r="L653" s="7">
        <f>$AT$7*EXP(-'3.r(t)'!D651*$AT$21)</f>
        <v>0.93311670519824419</v>
      </c>
      <c r="M653" s="7">
        <f ca="1">$AT$8*EXP(-'3.r(t)'!E651*$AT$22)</f>
        <v>0.94419539309959744</v>
      </c>
      <c r="N653" s="7">
        <f ca="1">$AT$9*EXP(-'3.r(t)'!F651*$AT$23)</f>
        <v>0.97117197534525967</v>
      </c>
      <c r="O653" s="7">
        <v>1</v>
      </c>
      <c r="P653" s="7"/>
      <c r="Q653" s="7">
        <v>645</v>
      </c>
      <c r="R653" s="7">
        <f>$AU$7*EXP(-'3.r(t)'!D651*$AU$21)</f>
        <v>0.91099305977534117</v>
      </c>
      <c r="S653" s="7">
        <f ca="1">$AU$8*EXP(-'3.r(t)'!E651*$AU$22)</f>
        <v>0.9168376083316494</v>
      </c>
      <c r="T653" s="7">
        <f ca="1">$AU$9*EXP(-'3.r(t)'!F651*$AU$23)</f>
        <v>0.94273912380059499</v>
      </c>
      <c r="U653" s="7">
        <f ca="1">$AU$10*EXP(-'3.r(t)'!G651*$AU$24)</f>
        <v>0.96744926799500908</v>
      </c>
      <c r="V653" s="7">
        <v>1</v>
      </c>
      <c r="W653" s="7"/>
      <c r="X653" s="7">
        <v>645</v>
      </c>
      <c r="Y653" s="7">
        <f>$AV$7*EXP(-'3.r(t)'!D651*$AV$21)</f>
        <v>0.88900715067201674</v>
      </c>
      <c r="Z653" s="7">
        <f ca="1">$AV$8*EXP(-'3.r(t)'!E651*$AV$22)</f>
        <v>0.88987987250576894</v>
      </c>
      <c r="AA653" s="7">
        <f ca="1">$AV$9*EXP(-'3.r(t)'!F651*$AV$23)</f>
        <v>0.91472949218116317</v>
      </c>
      <c r="AB653" s="7">
        <f ca="1">$AV$10*EXP(-'3.r(t)'!G651*$AV$24)</f>
        <v>0.93553384232481096</v>
      </c>
      <c r="AC653" s="7">
        <f ca="1">$AV$11*EXP(-'3.r(t)'!H651*$AV$25)</f>
        <v>0.96707361139386627</v>
      </c>
      <c r="AD653" s="7">
        <v>1</v>
      </c>
      <c r="AE653" s="7"/>
      <c r="AF653" s="7">
        <v>645</v>
      </c>
      <c r="AG653" s="7">
        <f>$AW$7*EXP(-'3.r(t)'!D651*$AW$21)</f>
        <v>0.86718755429225491</v>
      </c>
      <c r="AH653" s="7">
        <f ca="1">$AW$8*EXP(-'3.r(t)'!E651*$AW$22)</f>
        <v>0.86334680174795209</v>
      </c>
      <c r="AI653" s="7">
        <f ca="1">$AW$9*EXP(-'3.r(t)'!F651*$AW$23)</f>
        <v>0.88716849056700331</v>
      </c>
      <c r="AJ653" s="7">
        <f ca="1">$AW$10*EXP(-'3.r(t)'!G651*$AW$24)</f>
        <v>0.90427478424812302</v>
      </c>
      <c r="AK653" s="7">
        <f ca="1">$AW$11*EXP(-'3.r(t)'!H651*$AW$25)</f>
        <v>0.9348157518884106</v>
      </c>
      <c r="AL653" s="7">
        <f ca="1">$AW$12*EXP(-'3.r(t)'!I651*$AW$26)</f>
        <v>0.96489257027529862</v>
      </c>
      <c r="AM653" s="7">
        <v>1</v>
      </c>
      <c r="AN653" s="7"/>
    </row>
    <row r="654" spans="2:40">
      <c r="B654" s="7">
        <v>646</v>
      </c>
      <c r="C654" s="7">
        <f>$AR$7*EXP(-'3.r(t)'!D652*$AR$21)</f>
        <v>0.97765346695821032</v>
      </c>
      <c r="D654" s="7">
        <v>1</v>
      </c>
      <c r="E654" s="7"/>
      <c r="F654" s="7">
        <v>646</v>
      </c>
      <c r="G654" s="48">
        <f>$AS$7*EXP(-'3.r(t)'!D652*$AS$21)</f>
        <v>0.9553476245219803</v>
      </c>
      <c r="H654" s="7">
        <f ca="1">$AS$8*EXP(-'3.r(t)'!E652*$AS$22)</f>
        <v>0.97870948571703398</v>
      </c>
      <c r="I654" s="7">
        <v>1</v>
      </c>
      <c r="J654" s="7"/>
      <c r="K654" s="7">
        <v>646</v>
      </c>
      <c r="L654" s="7">
        <f>$AT$7*EXP(-'3.r(t)'!D652*$AT$21)</f>
        <v>0.93311670519824419</v>
      </c>
      <c r="M654" s="7">
        <f ca="1">$AT$8*EXP(-'3.r(t)'!E652*$AT$22)</f>
        <v>0.95742108615259824</v>
      </c>
      <c r="N654" s="7">
        <f ca="1">$AT$9*EXP(-'3.r(t)'!F652*$AT$23)</f>
        <v>0.98180367202328445</v>
      </c>
      <c r="O654" s="7">
        <v>1</v>
      </c>
      <c r="P654" s="7"/>
      <c r="Q654" s="7">
        <v>646</v>
      </c>
      <c r="R654" s="7">
        <f>$AU$7*EXP(-'3.r(t)'!D652*$AU$21)</f>
        <v>0.91099305977534117</v>
      </c>
      <c r="S654" s="7">
        <f ca="1">$AU$8*EXP(-'3.r(t)'!E652*$AU$22)</f>
        <v>0.93616863389743699</v>
      </c>
      <c r="T654" s="7">
        <f ca="1">$AU$9*EXP(-'3.r(t)'!F652*$AU$23)</f>
        <v>0.9634929728186461</v>
      </c>
      <c r="U654" s="7">
        <f ca="1">$AU$10*EXP(-'3.r(t)'!G652*$AU$24)</f>
        <v>0.98016244945203679</v>
      </c>
      <c r="V654" s="7">
        <v>1</v>
      </c>
      <c r="W654" s="7"/>
      <c r="X654" s="7">
        <v>646</v>
      </c>
      <c r="Y654" s="7">
        <f>$AV$7*EXP(-'3.r(t)'!D652*$AV$21)</f>
        <v>0.88900715067201674</v>
      </c>
      <c r="Z654" s="7">
        <f ca="1">$AV$8*EXP(-'3.r(t)'!E652*$AV$22)</f>
        <v>0.91498422366708476</v>
      </c>
      <c r="AA654" s="7">
        <f ca="1">$AV$9*EXP(-'3.r(t)'!F652*$AV$23)</f>
        <v>0.94510097833449325</v>
      </c>
      <c r="AB654" s="7">
        <f ca="1">$AV$10*EXP(-'3.r(t)'!G652*$AV$24)</f>
        <v>0.96028296032121596</v>
      </c>
      <c r="AC654" s="7">
        <f ca="1">$AV$11*EXP(-'3.r(t)'!H652*$AV$25)</f>
        <v>0.98125262038603112</v>
      </c>
      <c r="AD654" s="7">
        <v>1</v>
      </c>
      <c r="AE654" s="7"/>
      <c r="AF654" s="7">
        <v>646</v>
      </c>
      <c r="AG654" s="7">
        <f>$AW$7*EXP(-'3.r(t)'!D652*$AW$21)</f>
        <v>0.86718755429225491</v>
      </c>
      <c r="AH654" s="7">
        <f ca="1">$AW$8*EXP(-'3.r(t)'!E652*$AW$22)</f>
        <v>0.89389819852683106</v>
      </c>
      <c r="AI654" s="7">
        <f ca="1">$AW$9*EXP(-'3.r(t)'!F652*$AW$23)</f>
        <v>0.92665943116737282</v>
      </c>
      <c r="AJ654" s="7">
        <f ca="1">$AW$10*EXP(-'3.r(t)'!G652*$AW$24)</f>
        <v>0.94039432789315014</v>
      </c>
      <c r="AK654" s="7">
        <f ca="1">$AW$11*EXP(-'3.r(t)'!H652*$AW$25)</f>
        <v>0.96242881031571581</v>
      </c>
      <c r="AL654" s="7">
        <f ca="1">$AW$12*EXP(-'3.r(t)'!I652*$AW$26)</f>
        <v>0.9804513969286438</v>
      </c>
      <c r="AM654" s="7">
        <v>1</v>
      </c>
      <c r="AN654" s="7"/>
    </row>
    <row r="655" spans="2:40">
      <c r="B655" s="7">
        <v>647</v>
      </c>
      <c r="C655" s="7">
        <f>$AR$7*EXP(-'3.r(t)'!D653*$AR$21)</f>
        <v>0.97765346695821032</v>
      </c>
      <c r="D655" s="7">
        <v>1</v>
      </c>
      <c r="E655" s="7"/>
      <c r="F655" s="7">
        <v>647</v>
      </c>
      <c r="G655" s="48">
        <f>$AS$7*EXP(-'3.r(t)'!D653*$AS$21)</f>
        <v>0.9553476245219803</v>
      </c>
      <c r="H655" s="7">
        <f ca="1">$AS$8*EXP(-'3.r(t)'!E653*$AS$22)</f>
        <v>0.97877996860130656</v>
      </c>
      <c r="I655" s="7">
        <v>1</v>
      </c>
      <c r="J655" s="7"/>
      <c r="K655" s="7">
        <v>647</v>
      </c>
      <c r="L655" s="7">
        <f>$AT$7*EXP(-'3.r(t)'!D653*$AT$21)</f>
        <v>0.93311670519824419</v>
      </c>
      <c r="M655" s="7">
        <f ca="1">$AT$8*EXP(-'3.r(t)'!E653*$AT$22)</f>
        <v>0.95755899066969918</v>
      </c>
      <c r="N655" s="7">
        <f ca="1">$AT$9*EXP(-'3.r(t)'!F653*$AT$23)</f>
        <v>0.97253476560050711</v>
      </c>
      <c r="O655" s="7">
        <v>1</v>
      </c>
      <c r="P655" s="7"/>
      <c r="Q655" s="7">
        <v>647</v>
      </c>
      <c r="R655" s="7">
        <f>$AU$7*EXP(-'3.r(t)'!D653*$AU$21)</f>
        <v>0.91099305977534117</v>
      </c>
      <c r="S655" s="7">
        <f ca="1">$AU$8*EXP(-'3.r(t)'!E653*$AU$22)</f>
        <v>0.93637090623196517</v>
      </c>
      <c r="T655" s="7">
        <f ca="1">$AU$9*EXP(-'3.r(t)'!F653*$AU$23)</f>
        <v>0.94538676425150525</v>
      </c>
      <c r="U655" s="7">
        <f ca="1">$AU$10*EXP(-'3.r(t)'!G653*$AU$24)</f>
        <v>0.96826920958522278</v>
      </c>
      <c r="V655" s="7">
        <v>1</v>
      </c>
      <c r="W655" s="7"/>
      <c r="X655" s="7">
        <v>647</v>
      </c>
      <c r="Y655" s="7">
        <f>$AV$7*EXP(-'3.r(t)'!D653*$AV$21)</f>
        <v>0.88900715067201674</v>
      </c>
      <c r="Z655" s="7">
        <f ca="1">$AV$8*EXP(-'3.r(t)'!E653*$AV$22)</f>
        <v>0.91524782668711879</v>
      </c>
      <c r="AA655" s="7">
        <f ca="1">$AV$9*EXP(-'3.r(t)'!F653*$AV$23)</f>
        <v>0.91858566147628928</v>
      </c>
      <c r="AB655" s="7">
        <f ca="1">$AV$10*EXP(-'3.r(t)'!G653*$AV$24)</f>
        <v>0.93712029898866245</v>
      </c>
      <c r="AC655" s="7">
        <f ca="1">$AV$11*EXP(-'3.r(t)'!H653*$AV$25)</f>
        <v>0.96638452067025749</v>
      </c>
      <c r="AD655" s="7">
        <v>1</v>
      </c>
      <c r="AE655" s="7"/>
      <c r="AF655" s="7">
        <v>647</v>
      </c>
      <c r="AG655" s="7">
        <f>$AW$7*EXP(-'3.r(t)'!D653*$AW$21)</f>
        <v>0.86718755429225491</v>
      </c>
      <c r="AH655" s="7">
        <f ca="1">$AW$8*EXP(-'3.r(t)'!E653*$AW$22)</f>
        <v>0.89422012040220433</v>
      </c>
      <c r="AI655" s="7">
        <f ca="1">$AW$9*EXP(-'3.r(t)'!F653*$AW$23)</f>
        <v>0.89215863368828385</v>
      </c>
      <c r="AJ655" s="7">
        <f ca="1">$AW$10*EXP(-'3.r(t)'!G653*$AW$24)</f>
        <v>0.90657593153112759</v>
      </c>
      <c r="AK655" s="7">
        <f ca="1">$AW$11*EXP(-'3.r(t)'!H653*$AW$25)</f>
        <v>0.93348401591334207</v>
      </c>
      <c r="AL655" s="7">
        <f ca="1">$AW$12*EXP(-'3.r(t)'!I653*$AW$26)</f>
        <v>0.96364119712553076</v>
      </c>
      <c r="AM655" s="7">
        <v>1</v>
      </c>
      <c r="AN655" s="7"/>
    </row>
    <row r="656" spans="2:40">
      <c r="B656" s="7">
        <v>648</v>
      </c>
      <c r="C656" s="7">
        <f>$AR$7*EXP(-'3.r(t)'!D654*$AR$21)</f>
        <v>0.97765346695821032</v>
      </c>
      <c r="D656" s="7">
        <v>1</v>
      </c>
      <c r="E656" s="7"/>
      <c r="F656" s="7">
        <v>648</v>
      </c>
      <c r="G656" s="48">
        <f>$AS$7*EXP(-'3.r(t)'!D654*$AS$21)</f>
        <v>0.9553476245219803</v>
      </c>
      <c r="H656" s="7">
        <f ca="1">$AS$8*EXP(-'3.r(t)'!E654*$AS$22)</f>
        <v>0.9743486216929137</v>
      </c>
      <c r="I656" s="7">
        <v>1</v>
      </c>
      <c r="J656" s="7"/>
      <c r="K656" s="7">
        <v>648</v>
      </c>
      <c r="L656" s="7">
        <f>$AT$7*EXP(-'3.r(t)'!D654*$AT$21)</f>
        <v>0.93311670519824419</v>
      </c>
      <c r="M656" s="7">
        <f ca="1">$AT$8*EXP(-'3.r(t)'!E654*$AT$22)</f>
        <v>0.9489080769513546</v>
      </c>
      <c r="N656" s="7">
        <f ca="1">$AT$9*EXP(-'3.r(t)'!F654*$AT$23)</f>
        <v>0.96855395224505336</v>
      </c>
      <c r="O656" s="7">
        <v>1</v>
      </c>
      <c r="P656" s="7"/>
      <c r="Q656" s="7">
        <v>648</v>
      </c>
      <c r="R656" s="7">
        <f>$AU$7*EXP(-'3.r(t)'!D654*$AU$21)</f>
        <v>0.91099305977534117</v>
      </c>
      <c r="S656" s="7">
        <f ca="1">$AU$8*EXP(-'3.r(t)'!E654*$AU$22)</f>
        <v>0.92371036922854066</v>
      </c>
      <c r="T656" s="7">
        <f ca="1">$AU$9*EXP(-'3.r(t)'!F654*$AU$23)</f>
        <v>0.93766322339143882</v>
      </c>
      <c r="U656" s="7">
        <f ca="1">$AU$10*EXP(-'3.r(t)'!G654*$AU$24)</f>
        <v>0.96768741011732062</v>
      </c>
      <c r="V656" s="7">
        <v>1</v>
      </c>
      <c r="W656" s="7"/>
      <c r="X656" s="7">
        <v>648</v>
      </c>
      <c r="Y656" s="7">
        <f>$AV$7*EXP(-'3.r(t)'!D654*$AV$21)</f>
        <v>0.88900715067201674</v>
      </c>
      <c r="Z656" s="7">
        <f ca="1">$AV$8*EXP(-'3.r(t)'!E654*$AV$22)</f>
        <v>0.89878520804303585</v>
      </c>
      <c r="AA656" s="7">
        <f ca="1">$AV$9*EXP(-'3.r(t)'!F654*$AV$23)</f>
        <v>0.90735180903021939</v>
      </c>
      <c r="AB656" s="7">
        <f ca="1">$AV$10*EXP(-'3.r(t)'!G654*$AV$24)</f>
        <v>0.9359944709954281</v>
      </c>
      <c r="AC656" s="7">
        <f ca="1">$AV$11*EXP(-'3.r(t)'!H654*$AV$25)</f>
        <v>0.96746870561111109</v>
      </c>
      <c r="AD656" s="7">
        <v>1</v>
      </c>
      <c r="AE656" s="7"/>
      <c r="AF656" s="7">
        <v>648</v>
      </c>
      <c r="AG656" s="7">
        <f>$AW$7*EXP(-'3.r(t)'!D654*$AW$21)</f>
        <v>0.86718755429225491</v>
      </c>
      <c r="AH656" s="7">
        <f ca="1">$AW$8*EXP(-'3.r(t)'!E654*$AW$22)</f>
        <v>0.87416004012211301</v>
      </c>
      <c r="AI656" s="7">
        <f ca="1">$AW$9*EXP(-'3.r(t)'!F654*$AW$23)</f>
        <v>0.87764081578954767</v>
      </c>
      <c r="AJ656" s="7">
        <f ca="1">$AW$10*EXP(-'3.r(t)'!G654*$AW$24)</f>
        <v>0.90494272292814837</v>
      </c>
      <c r="AK656" s="7">
        <f ca="1">$AW$11*EXP(-'3.r(t)'!H654*$AW$25)</f>
        <v>0.93557973870324995</v>
      </c>
      <c r="AL656" s="7">
        <f ca="1">$AW$12*EXP(-'3.r(t)'!I654*$AW$26)</f>
        <v>0.96945045722224088</v>
      </c>
      <c r="AM656" s="7">
        <v>1</v>
      </c>
      <c r="AN656" s="7"/>
    </row>
    <row r="657" spans="2:40">
      <c r="B657" s="7">
        <v>649</v>
      </c>
      <c r="C657" s="7">
        <f>$AR$7*EXP(-'3.r(t)'!D655*$AR$21)</f>
        <v>0.97765346695821032</v>
      </c>
      <c r="D657" s="7">
        <v>1</v>
      </c>
      <c r="E657" s="7"/>
      <c r="F657" s="7">
        <v>649</v>
      </c>
      <c r="G657" s="48">
        <f>$AS$7*EXP(-'3.r(t)'!D655*$AS$21)</f>
        <v>0.9553476245219803</v>
      </c>
      <c r="H657" s="7">
        <f ca="1">$AS$8*EXP(-'3.r(t)'!E655*$AS$22)</f>
        <v>0.97856283372844088</v>
      </c>
      <c r="I657" s="7">
        <v>1</v>
      </c>
      <c r="J657" s="7"/>
      <c r="K657" s="7">
        <v>649</v>
      </c>
      <c r="L657" s="7">
        <f>$AT$7*EXP(-'3.r(t)'!D655*$AT$21)</f>
        <v>0.93311670519824419</v>
      </c>
      <c r="M657" s="7">
        <f ca="1">$AT$8*EXP(-'3.r(t)'!E655*$AT$22)</f>
        <v>0.95713418347360313</v>
      </c>
      <c r="N657" s="7">
        <f ca="1">$AT$9*EXP(-'3.r(t)'!F655*$AT$23)</f>
        <v>0.97931488178953585</v>
      </c>
      <c r="O657" s="7">
        <v>1</v>
      </c>
      <c r="P657" s="7"/>
      <c r="Q657" s="7">
        <v>649</v>
      </c>
      <c r="R657" s="7">
        <f>$AU$7*EXP(-'3.r(t)'!D655*$AU$21)</f>
        <v>0.91099305977534117</v>
      </c>
      <c r="S657" s="7">
        <f ca="1">$AU$8*EXP(-'3.r(t)'!E655*$AU$22)</f>
        <v>0.93574786423228529</v>
      </c>
      <c r="T657" s="7">
        <f ca="1">$AU$9*EXP(-'3.r(t)'!F655*$AU$23)</f>
        <v>0.95861441574899231</v>
      </c>
      <c r="U657" s="7">
        <f ca="1">$AU$10*EXP(-'3.r(t)'!G655*$AU$24)</f>
        <v>0.97885056458771968</v>
      </c>
      <c r="V657" s="7">
        <v>1</v>
      </c>
      <c r="W657" s="7"/>
      <c r="X657" s="7">
        <v>649</v>
      </c>
      <c r="Y657" s="7">
        <f>$AV$7*EXP(-'3.r(t)'!D655*$AV$21)</f>
        <v>0.88900715067201674</v>
      </c>
      <c r="Z657" s="7">
        <f ca="1">$AV$8*EXP(-'3.r(t)'!E655*$AV$22)</f>
        <v>0.91443593389895561</v>
      </c>
      <c r="AA657" s="7">
        <f ca="1">$AV$9*EXP(-'3.r(t)'!F655*$AV$23)</f>
        <v>0.93793192611246534</v>
      </c>
      <c r="AB657" s="7">
        <f ca="1">$AV$10*EXP(-'3.r(t)'!G655*$AV$24)</f>
        <v>0.95771412570853987</v>
      </c>
      <c r="AC657" s="7">
        <f ca="1">$AV$11*EXP(-'3.r(t)'!H655*$AV$25)</f>
        <v>0.9805260124666344</v>
      </c>
      <c r="AD657" s="7">
        <v>1</v>
      </c>
      <c r="AE657" s="7"/>
      <c r="AF657" s="7">
        <v>649</v>
      </c>
      <c r="AG657" s="7">
        <f>$AW$7*EXP(-'3.r(t)'!D655*$AW$21)</f>
        <v>0.86718755429225491</v>
      </c>
      <c r="AH657" s="7">
        <f ca="1">$AW$8*EXP(-'3.r(t)'!E655*$AW$22)</f>
        <v>0.89322868080988305</v>
      </c>
      <c r="AI657" s="7">
        <f ca="1">$AW$9*EXP(-'3.r(t)'!F655*$AW$23)</f>
        <v>0.91729908123221104</v>
      </c>
      <c r="AJ657" s="7">
        <f ca="1">$AW$10*EXP(-'3.r(t)'!G655*$AW$24)</f>
        <v>0.93662340622029294</v>
      </c>
      <c r="AK657" s="7">
        <f ca="1">$AW$11*EXP(-'3.r(t)'!H655*$AW$25)</f>
        <v>0.9610039998939921</v>
      </c>
      <c r="AL657" s="7">
        <f ca="1">$AW$12*EXP(-'3.r(t)'!I655*$AW$26)</f>
        <v>0.97685740171621149</v>
      </c>
      <c r="AM657" s="7">
        <v>1</v>
      </c>
      <c r="AN657" s="7"/>
    </row>
    <row r="658" spans="2:40">
      <c r="B658" s="7">
        <v>650</v>
      </c>
      <c r="C658" s="7">
        <f>$AR$7*EXP(-'3.r(t)'!D656*$AR$21)</f>
        <v>0.97765346695821032</v>
      </c>
      <c r="D658" s="7">
        <v>1</v>
      </c>
      <c r="E658" s="7"/>
      <c r="F658" s="7">
        <v>650</v>
      </c>
      <c r="G658" s="48">
        <f>$AS$7*EXP(-'3.r(t)'!D656*$AS$21)</f>
        <v>0.9553476245219803</v>
      </c>
      <c r="H658" s="7">
        <f ca="1">$AS$8*EXP(-'3.r(t)'!E656*$AS$22)</f>
        <v>0.9730384581123539</v>
      </c>
      <c r="I658" s="7">
        <v>1</v>
      </c>
      <c r="J658" s="7"/>
      <c r="K658" s="7">
        <v>650</v>
      </c>
      <c r="L658" s="7">
        <f>$AT$7*EXP(-'3.r(t)'!D656*$AT$21)</f>
        <v>0.93311670519824419</v>
      </c>
      <c r="M658" s="7">
        <f ca="1">$AT$8*EXP(-'3.r(t)'!E656*$AT$22)</f>
        <v>0.94635788306529878</v>
      </c>
      <c r="N658" s="7">
        <f ca="1">$AT$9*EXP(-'3.r(t)'!F656*$AT$23)</f>
        <v>0.97637140381035414</v>
      </c>
      <c r="O658" s="7">
        <v>1</v>
      </c>
      <c r="P658" s="7"/>
      <c r="Q658" s="7">
        <v>650</v>
      </c>
      <c r="R658" s="7">
        <f>$AU$7*EXP(-'3.r(t)'!D656*$AU$21)</f>
        <v>0.91099305977534117</v>
      </c>
      <c r="S658" s="7">
        <f ca="1">$AU$8*EXP(-'3.r(t)'!E656*$AU$22)</f>
        <v>0.91998915978972551</v>
      </c>
      <c r="T658" s="7">
        <f ca="1">$AU$9*EXP(-'3.r(t)'!F656*$AU$23)</f>
        <v>0.95286055656937019</v>
      </c>
      <c r="U658" s="7">
        <f ca="1">$AU$10*EXP(-'3.r(t)'!G656*$AU$24)</f>
        <v>0.97618052824658885</v>
      </c>
      <c r="V658" s="7">
        <v>1</v>
      </c>
      <c r="W658" s="7"/>
      <c r="X658" s="7">
        <v>650</v>
      </c>
      <c r="Y658" s="7">
        <f>$AV$7*EXP(-'3.r(t)'!D656*$AV$21)</f>
        <v>0.88900715067201674</v>
      </c>
      <c r="Z658" s="7">
        <f ca="1">$AV$8*EXP(-'3.r(t)'!E656*$AV$22)</f>
        <v>0.89396072268764259</v>
      </c>
      <c r="AA658" s="7">
        <f ca="1">$AV$9*EXP(-'3.r(t)'!F656*$AV$23)</f>
        <v>0.92950003441858975</v>
      </c>
      <c r="AB658" s="7">
        <f ca="1">$AV$10*EXP(-'3.r(t)'!G656*$AV$24)</f>
        <v>0.95249648772557283</v>
      </c>
      <c r="AC658" s="7">
        <f ca="1">$AV$11*EXP(-'3.r(t)'!H656*$AV$25)</f>
        <v>0.97839633516087343</v>
      </c>
      <c r="AD658" s="7">
        <v>1</v>
      </c>
      <c r="AE658" s="7"/>
      <c r="AF658" s="7">
        <v>650</v>
      </c>
      <c r="AG658" s="7">
        <f>$AW$7*EXP(-'3.r(t)'!D656*$AW$21)</f>
        <v>0.86718755429225491</v>
      </c>
      <c r="AH658" s="7">
        <f ca="1">$AW$8*EXP(-'3.r(t)'!E656*$AW$22)</f>
        <v>0.86829860247748203</v>
      </c>
      <c r="AI658" s="7">
        <f ca="1">$AW$9*EXP(-'3.r(t)'!F656*$AW$23)</f>
        <v>0.9063203818885055</v>
      </c>
      <c r="AJ658" s="7">
        <f ca="1">$AW$10*EXP(-'3.r(t)'!G656*$AW$24)</f>
        <v>0.92897973737960859</v>
      </c>
      <c r="AK658" s="7">
        <f ca="1">$AW$11*EXP(-'3.r(t)'!H656*$AW$25)</f>
        <v>0.95683398141173504</v>
      </c>
      <c r="AL658" s="7">
        <f ca="1">$AW$12*EXP(-'3.r(t)'!I656*$AW$26)</f>
        <v>0.97740924218484859</v>
      </c>
      <c r="AM658" s="7">
        <v>1</v>
      </c>
      <c r="AN658" s="7"/>
    </row>
    <row r="659" spans="2:40">
      <c r="B659" s="7">
        <v>651</v>
      </c>
      <c r="C659" s="7">
        <f>$AR$7*EXP(-'3.r(t)'!D657*$AR$21)</f>
        <v>0.97765346695821032</v>
      </c>
      <c r="D659" s="7">
        <v>1</v>
      </c>
      <c r="E659" s="7"/>
      <c r="F659" s="7">
        <v>651</v>
      </c>
      <c r="G659" s="48">
        <f>$AS$7*EXP(-'3.r(t)'!D657*$AS$21)</f>
        <v>0.9553476245219803</v>
      </c>
      <c r="H659" s="7">
        <f ca="1">$AS$8*EXP(-'3.r(t)'!E657*$AS$22)</f>
        <v>0.97888067971446757</v>
      </c>
      <c r="I659" s="7">
        <v>1</v>
      </c>
      <c r="J659" s="7"/>
      <c r="K659" s="7">
        <v>651</v>
      </c>
      <c r="L659" s="7">
        <f>$AT$7*EXP(-'3.r(t)'!D657*$AT$21)</f>
        <v>0.93311670519824419</v>
      </c>
      <c r="M659" s="7">
        <f ca="1">$AT$8*EXP(-'3.r(t)'!E657*$AT$22)</f>
        <v>0.95775605598851055</v>
      </c>
      <c r="N659" s="7">
        <f ca="1">$AT$9*EXP(-'3.r(t)'!F657*$AT$23)</f>
        <v>0.98056265623613292</v>
      </c>
      <c r="O659" s="7">
        <v>1</v>
      </c>
      <c r="P659" s="7"/>
      <c r="Q659" s="7">
        <v>651</v>
      </c>
      <c r="R659" s="7">
        <f>$AU$7*EXP(-'3.r(t)'!D657*$AU$21)</f>
        <v>0.91099305977534117</v>
      </c>
      <c r="S659" s="7">
        <f ca="1">$AU$8*EXP(-'3.r(t)'!E657*$AU$22)</f>
        <v>0.93665997833064607</v>
      </c>
      <c r="T659" s="7">
        <f ca="1">$AU$9*EXP(-'3.r(t)'!F657*$AU$23)</f>
        <v>0.96105877069513757</v>
      </c>
      <c r="U659" s="7">
        <f ca="1">$AU$10*EXP(-'3.r(t)'!G657*$AU$24)</f>
        <v>0.98227355316924958</v>
      </c>
      <c r="V659" s="7">
        <v>1</v>
      </c>
      <c r="W659" s="7"/>
      <c r="X659" s="7">
        <v>651</v>
      </c>
      <c r="Y659" s="7">
        <f>$AV$7*EXP(-'3.r(t)'!D657*$AV$21)</f>
        <v>0.88900715067201674</v>
      </c>
      <c r="Z659" s="7">
        <f ca="1">$AV$8*EXP(-'3.r(t)'!E657*$AV$22)</f>
        <v>0.91562458084200593</v>
      </c>
      <c r="AA659" s="7">
        <f ca="1">$AV$9*EXP(-'3.r(t)'!F657*$AV$23)</f>
        <v>0.94152163753567597</v>
      </c>
      <c r="AB659" s="7">
        <f ca="1">$AV$10*EXP(-'3.r(t)'!G657*$AV$24)</f>
        <v>0.96442398839688181</v>
      </c>
      <c r="AC659" s="7">
        <f ca="1">$AV$11*EXP(-'3.r(t)'!H657*$AV$25)</f>
        <v>0.97893601257951579</v>
      </c>
      <c r="AD659" s="7">
        <v>1</v>
      </c>
      <c r="AE659" s="7"/>
      <c r="AF659" s="7">
        <v>651</v>
      </c>
      <c r="AG659" s="7">
        <f>$AW$7*EXP(-'3.r(t)'!D657*$AW$21)</f>
        <v>0.86718755429225491</v>
      </c>
      <c r="AH659" s="7">
        <f ca="1">$AW$8*EXP(-'3.r(t)'!E657*$AW$22)</f>
        <v>0.89468026691861324</v>
      </c>
      <c r="AI659" s="7">
        <f ca="1">$AW$9*EXP(-'3.r(t)'!F657*$AW$23)</f>
        <v>0.92198305674822734</v>
      </c>
      <c r="AJ659" s="7">
        <f ca="1">$AW$10*EXP(-'3.r(t)'!G657*$AW$24)</f>
        <v>0.94648377449597154</v>
      </c>
      <c r="AK659" s="7">
        <f ca="1">$AW$11*EXP(-'3.r(t)'!H657*$AW$25)</f>
        <v>0.95788984004710143</v>
      </c>
      <c r="AL659" s="7">
        <f ca="1">$AW$12*EXP(-'3.r(t)'!I657*$AW$26)</f>
        <v>0.9783901720989796</v>
      </c>
      <c r="AM659" s="7">
        <v>1</v>
      </c>
      <c r="AN659" s="7"/>
    </row>
    <row r="660" spans="2:40">
      <c r="B660" s="7">
        <v>652</v>
      </c>
      <c r="C660" s="7">
        <f>$AR$7*EXP(-'3.r(t)'!D658*$AR$21)</f>
        <v>0.97765346695821032</v>
      </c>
      <c r="D660" s="7">
        <v>1</v>
      </c>
      <c r="E660" s="7"/>
      <c r="F660" s="7">
        <v>652</v>
      </c>
      <c r="G660" s="48">
        <f>$AS$7*EXP(-'3.r(t)'!D658*$AS$21)</f>
        <v>0.9553476245219803</v>
      </c>
      <c r="H660" s="7">
        <f ca="1">$AS$8*EXP(-'3.r(t)'!E658*$AS$22)</f>
        <v>0.98026027340972433</v>
      </c>
      <c r="I660" s="7">
        <v>1</v>
      </c>
      <c r="J660" s="7"/>
      <c r="K660" s="7">
        <v>652</v>
      </c>
      <c r="L660" s="7">
        <f>$AT$7*EXP(-'3.r(t)'!D658*$AT$21)</f>
        <v>0.93311670519824419</v>
      </c>
      <c r="M660" s="7">
        <f ca="1">$AT$8*EXP(-'3.r(t)'!E658*$AT$22)</f>
        <v>0.96045760143010084</v>
      </c>
      <c r="N660" s="7">
        <f ca="1">$AT$9*EXP(-'3.r(t)'!F658*$AT$23)</f>
        <v>0.98131404702282166</v>
      </c>
      <c r="O660" s="7">
        <v>1</v>
      </c>
      <c r="P660" s="7"/>
      <c r="Q660" s="7">
        <v>652</v>
      </c>
      <c r="R660" s="7">
        <f>$AU$7*EXP(-'3.r(t)'!D658*$AU$21)</f>
        <v>0.91099305977534117</v>
      </c>
      <c r="S660" s="7">
        <f ca="1">$AU$8*EXP(-'3.r(t)'!E658*$AU$22)</f>
        <v>0.94062583117779908</v>
      </c>
      <c r="T660" s="7">
        <f ca="1">$AU$9*EXP(-'3.r(t)'!F658*$AU$23)</f>
        <v>0.96253222551265138</v>
      </c>
      <c r="U660" s="7">
        <f ca="1">$AU$10*EXP(-'3.r(t)'!G658*$AU$24)</f>
        <v>0.98438638105002374</v>
      </c>
      <c r="V660" s="7">
        <v>1</v>
      </c>
      <c r="W660" s="7"/>
      <c r="X660" s="7">
        <v>652</v>
      </c>
      <c r="Y660" s="7">
        <f>$AV$7*EXP(-'3.r(t)'!D658*$AV$21)</f>
        <v>0.88900715067201674</v>
      </c>
      <c r="Z660" s="7">
        <f ca="1">$AV$8*EXP(-'3.r(t)'!E658*$AV$22)</f>
        <v>0.92079727600719996</v>
      </c>
      <c r="AA660" s="7">
        <f ca="1">$AV$9*EXP(-'3.r(t)'!F658*$AV$23)</f>
        <v>0.94368771920409245</v>
      </c>
      <c r="AB660" s="7">
        <f ca="1">$AV$10*EXP(-'3.r(t)'!G658*$AV$24)</f>
        <v>0.96857731889476661</v>
      </c>
      <c r="AC660" s="7">
        <f ca="1">$AV$11*EXP(-'3.r(t)'!H658*$AV$25)</f>
        <v>0.98401735058150963</v>
      </c>
      <c r="AD660" s="7">
        <v>1</v>
      </c>
      <c r="AE660" s="7"/>
      <c r="AF660" s="7">
        <v>652</v>
      </c>
      <c r="AG660" s="7">
        <f>$AW$7*EXP(-'3.r(t)'!D658*$AW$21)</f>
        <v>0.86718755429225491</v>
      </c>
      <c r="AH660" s="7">
        <f ca="1">$AW$8*EXP(-'3.r(t)'!E658*$AW$22)</f>
        <v>0.90100268862279642</v>
      </c>
      <c r="AI660" s="7">
        <f ca="1">$AW$9*EXP(-'3.r(t)'!F658*$AW$23)</f>
        <v>0.92481231509508199</v>
      </c>
      <c r="AJ660" s="7">
        <f ca="1">$AW$10*EXP(-'3.r(t)'!G658*$AW$24)</f>
        <v>0.9526044578119518</v>
      </c>
      <c r="AK660" s="7">
        <f ca="1">$AW$11*EXP(-'3.r(t)'!H658*$AW$25)</f>
        <v>0.96785983691878053</v>
      </c>
      <c r="AL660" s="7">
        <f ca="1">$AW$12*EXP(-'3.r(t)'!I658*$AW$26)</f>
        <v>0.98771480444079196</v>
      </c>
      <c r="AM660" s="7">
        <v>1</v>
      </c>
      <c r="AN660" s="7"/>
    </row>
    <row r="661" spans="2:40">
      <c r="B661" s="7">
        <v>653</v>
      </c>
      <c r="C661" s="7">
        <f>$AR$7*EXP(-'3.r(t)'!D659*$AR$21)</f>
        <v>0.97765346695821032</v>
      </c>
      <c r="D661" s="7">
        <v>1</v>
      </c>
      <c r="E661" s="7"/>
      <c r="F661" s="7">
        <v>653</v>
      </c>
      <c r="G661" s="48">
        <f>$AS$7*EXP(-'3.r(t)'!D659*$AS$21)</f>
        <v>0.9553476245219803</v>
      </c>
      <c r="H661" s="7">
        <f ca="1">$AS$8*EXP(-'3.r(t)'!E659*$AS$22)</f>
        <v>0.97790576334009038</v>
      </c>
      <c r="I661" s="7">
        <v>1</v>
      </c>
      <c r="J661" s="7"/>
      <c r="K661" s="7">
        <v>653</v>
      </c>
      <c r="L661" s="7">
        <f>$AT$7*EXP(-'3.r(t)'!D659*$AT$21)</f>
        <v>0.93311670519824419</v>
      </c>
      <c r="M661" s="7">
        <f ca="1">$AT$8*EXP(-'3.r(t)'!E659*$AT$22)</f>
        <v>0.95584925139897881</v>
      </c>
      <c r="N661" s="7">
        <f ca="1">$AT$9*EXP(-'3.r(t)'!F659*$AT$23)</f>
        <v>0.97944914837236563</v>
      </c>
      <c r="O661" s="7">
        <v>1</v>
      </c>
      <c r="P661" s="7"/>
      <c r="Q661" s="7">
        <v>653</v>
      </c>
      <c r="R661" s="7">
        <f>$AU$7*EXP(-'3.r(t)'!D659*$AU$21)</f>
        <v>0.91099305977534117</v>
      </c>
      <c r="S661" s="7">
        <f ca="1">$AU$8*EXP(-'3.r(t)'!E659*$AU$22)</f>
        <v>0.93386416469181566</v>
      </c>
      <c r="T661" s="7">
        <f ca="1">$AU$9*EXP(-'3.r(t)'!F659*$AU$23)</f>
        <v>0.95887729075982897</v>
      </c>
      <c r="U661" s="7">
        <f ca="1">$AU$10*EXP(-'3.r(t)'!G659*$AU$24)</f>
        <v>0.97653230057680485</v>
      </c>
      <c r="V661" s="7">
        <v>1</v>
      </c>
      <c r="W661" s="7"/>
      <c r="X661" s="7">
        <v>653</v>
      </c>
      <c r="Y661" s="7">
        <f>$AV$7*EXP(-'3.r(t)'!D659*$AV$21)</f>
        <v>0.88900715067201674</v>
      </c>
      <c r="Z661" s="7">
        <f ca="1">$AV$8*EXP(-'3.r(t)'!E659*$AV$22)</f>
        <v>0.91198236075567485</v>
      </c>
      <c r="AA661" s="7">
        <f ca="1">$AV$9*EXP(-'3.r(t)'!F659*$AV$23)</f>
        <v>0.93831775762642333</v>
      </c>
      <c r="AB661" s="7">
        <f ca="1">$AV$10*EXP(-'3.r(t)'!G659*$AV$24)</f>
        <v>0.95318308671022045</v>
      </c>
      <c r="AC661" s="7">
        <f ca="1">$AV$11*EXP(-'3.r(t)'!H659*$AV$25)</f>
        <v>0.97633014477600155</v>
      </c>
      <c r="AD661" s="7">
        <v>1</v>
      </c>
      <c r="AE661" s="7"/>
      <c r="AF661" s="7">
        <v>653</v>
      </c>
      <c r="AG661" s="7">
        <f>$AW$7*EXP(-'3.r(t)'!D659*$AW$21)</f>
        <v>0.86718755429225491</v>
      </c>
      <c r="AH661" s="7">
        <f ca="1">$AW$8*EXP(-'3.r(t)'!E659*$AW$22)</f>
        <v>0.89023384777088377</v>
      </c>
      <c r="AI661" s="7">
        <f ca="1">$AW$9*EXP(-'3.r(t)'!F659*$AW$23)</f>
        <v>0.91780224092697804</v>
      </c>
      <c r="AJ661" s="7">
        <f ca="1">$AW$10*EXP(-'3.r(t)'!G659*$AW$24)</f>
        <v>0.92998438907694136</v>
      </c>
      <c r="AK661" s="7">
        <f ca="1">$AW$11*EXP(-'3.r(t)'!H659*$AW$25)</f>
        <v>0.95279693921796915</v>
      </c>
      <c r="AL661" s="7">
        <f ca="1">$AW$12*EXP(-'3.r(t)'!I659*$AW$26)</f>
        <v>0.97334761698700412</v>
      </c>
      <c r="AM661" s="7">
        <v>1</v>
      </c>
      <c r="AN661" s="7"/>
    </row>
    <row r="662" spans="2:40">
      <c r="B662" s="7">
        <v>654</v>
      </c>
      <c r="C662" s="7">
        <f>$AR$7*EXP(-'3.r(t)'!D660*$AR$21)</f>
        <v>0.97765346695821032</v>
      </c>
      <c r="D662" s="7">
        <v>1</v>
      </c>
      <c r="E662" s="7"/>
      <c r="F662" s="7">
        <v>654</v>
      </c>
      <c r="G662" s="48">
        <f>$AS$7*EXP(-'3.r(t)'!D660*$AS$21)</f>
        <v>0.9553476245219803</v>
      </c>
      <c r="H662" s="7">
        <f ca="1">$AS$8*EXP(-'3.r(t)'!E660*$AS$22)</f>
        <v>0.97945690603551172</v>
      </c>
      <c r="I662" s="7">
        <v>1</v>
      </c>
      <c r="J662" s="7"/>
      <c r="K662" s="7">
        <v>654</v>
      </c>
      <c r="L662" s="7">
        <f>$AT$7*EXP(-'3.r(t)'!D660*$AT$21)</f>
        <v>0.93311670519824419</v>
      </c>
      <c r="M662" s="7">
        <f ca="1">$AT$8*EXP(-'3.r(t)'!E660*$AT$22)</f>
        <v>0.95888397013716142</v>
      </c>
      <c r="N662" s="7">
        <f ca="1">$AT$9*EXP(-'3.r(t)'!F660*$AT$23)</f>
        <v>0.9772825744267899</v>
      </c>
      <c r="O662" s="7">
        <v>1</v>
      </c>
      <c r="P662" s="7"/>
      <c r="Q662" s="7">
        <v>654</v>
      </c>
      <c r="R662" s="7">
        <f>$AU$7*EXP(-'3.r(t)'!D660*$AU$21)</f>
        <v>0.91099305977534117</v>
      </c>
      <c r="S662" s="7">
        <f ca="1">$AU$8*EXP(-'3.r(t)'!E660*$AU$22)</f>
        <v>0.9383150704856188</v>
      </c>
      <c r="T662" s="7">
        <f ca="1">$AU$9*EXP(-'3.r(t)'!F660*$AU$23)</f>
        <v>0.95463984600235785</v>
      </c>
      <c r="U662" s="7">
        <f ca="1">$AU$10*EXP(-'3.r(t)'!G660*$AU$24)</f>
        <v>0.97990416338932362</v>
      </c>
      <c r="V662" s="7">
        <v>1</v>
      </c>
      <c r="W662" s="7"/>
      <c r="X662" s="7">
        <v>654</v>
      </c>
      <c r="Y662" s="7">
        <f>$AV$7*EXP(-'3.r(t)'!D660*$AV$21)</f>
        <v>0.88900715067201674</v>
      </c>
      <c r="Z662" s="7">
        <f ca="1">$AV$8*EXP(-'3.r(t)'!E660*$AV$22)</f>
        <v>0.91778244562730737</v>
      </c>
      <c r="AA662" s="7">
        <f ca="1">$AV$9*EXP(-'3.r(t)'!F660*$AV$23)</f>
        <v>0.93210475144925242</v>
      </c>
      <c r="AB662" s="7">
        <f ca="1">$AV$10*EXP(-'3.r(t)'!G660*$AV$24)</f>
        <v>0.95977693190577684</v>
      </c>
      <c r="AC662" s="7">
        <f ca="1">$AV$11*EXP(-'3.r(t)'!H660*$AV$25)</f>
        <v>0.98212041484866675</v>
      </c>
      <c r="AD662" s="7">
        <v>1</v>
      </c>
      <c r="AE662" s="7"/>
      <c r="AF662" s="7">
        <v>654</v>
      </c>
      <c r="AG662" s="7">
        <f>$AW$7*EXP(-'3.r(t)'!D660*$AW$21)</f>
        <v>0.86718755429225491</v>
      </c>
      <c r="AH662" s="7">
        <f ca="1">$AW$8*EXP(-'3.r(t)'!E660*$AW$22)</f>
        <v>0.89731667418823902</v>
      </c>
      <c r="AI662" s="7">
        <f ca="1">$AW$9*EXP(-'3.r(t)'!F660*$AW$23)</f>
        <v>0.90970831076865122</v>
      </c>
      <c r="AJ662" s="7">
        <f ca="1">$AW$10*EXP(-'3.r(t)'!G660*$AW$24)</f>
        <v>0.93965110390275008</v>
      </c>
      <c r="AK662" s="7">
        <f ca="1">$AW$11*EXP(-'3.r(t)'!H660*$AW$25)</f>
        <v>0.96413185739108642</v>
      </c>
      <c r="AL662" s="7">
        <f ca="1">$AW$12*EXP(-'3.r(t)'!I660*$AW$26)</f>
        <v>0.98270599725045926</v>
      </c>
      <c r="AM662" s="7">
        <v>1</v>
      </c>
      <c r="AN662" s="7"/>
    </row>
    <row r="663" spans="2:40">
      <c r="B663" s="7">
        <v>655</v>
      </c>
      <c r="C663" s="7">
        <f>$AR$7*EXP(-'3.r(t)'!D661*$AR$21)</f>
        <v>0.97765346695821032</v>
      </c>
      <c r="D663" s="7">
        <v>1</v>
      </c>
      <c r="E663" s="7"/>
      <c r="F663" s="7">
        <v>655</v>
      </c>
      <c r="G663" s="48">
        <f>$AS$7*EXP(-'3.r(t)'!D661*$AS$21)</f>
        <v>0.9553476245219803</v>
      </c>
      <c r="H663" s="7">
        <f ca="1">$AS$8*EXP(-'3.r(t)'!E661*$AS$22)</f>
        <v>0.97348333756921868</v>
      </c>
      <c r="I663" s="7">
        <v>1</v>
      </c>
      <c r="J663" s="7"/>
      <c r="K663" s="7">
        <v>655</v>
      </c>
      <c r="L663" s="7">
        <f>$AT$7*EXP(-'3.r(t)'!D661*$AT$21)</f>
        <v>0.93311670519824419</v>
      </c>
      <c r="M663" s="7">
        <f ca="1">$AT$8*EXP(-'3.r(t)'!E661*$AT$22)</f>
        <v>0.94722344274166015</v>
      </c>
      <c r="N663" s="7">
        <f ca="1">$AT$9*EXP(-'3.r(t)'!F661*$AT$23)</f>
        <v>0.97068248436660598</v>
      </c>
      <c r="O663" s="7">
        <v>1</v>
      </c>
      <c r="P663" s="7"/>
      <c r="Q663" s="7">
        <v>655</v>
      </c>
      <c r="R663" s="7">
        <f>$AU$7*EXP(-'3.r(t)'!D661*$AU$21)</f>
        <v>0.91099305977534117</v>
      </c>
      <c r="S663" s="7">
        <f ca="1">$AU$8*EXP(-'3.r(t)'!E661*$AU$22)</f>
        <v>0.92125161174188908</v>
      </c>
      <c r="T663" s="7">
        <f ca="1">$AU$9*EXP(-'3.r(t)'!F661*$AU$23)</f>
        <v>0.94178904283715281</v>
      </c>
      <c r="U663" s="7">
        <f ca="1">$AU$10*EXP(-'3.r(t)'!G661*$AU$24)</f>
        <v>0.97308318579500719</v>
      </c>
      <c r="V663" s="7">
        <v>1</v>
      </c>
      <c r="W663" s="7"/>
      <c r="X663" s="7">
        <v>655</v>
      </c>
      <c r="Y663" s="7">
        <f>$AV$7*EXP(-'3.r(t)'!D661*$AV$21)</f>
        <v>0.88900715067201674</v>
      </c>
      <c r="Z663" s="7">
        <f ca="1">$AV$8*EXP(-'3.r(t)'!E661*$AV$22)</f>
        <v>0.89559674268403977</v>
      </c>
      <c r="AA663" s="7">
        <f ca="1">$AV$9*EXP(-'3.r(t)'!F661*$AV$23)</f>
        <v>0.9133470608281512</v>
      </c>
      <c r="AB663" s="7">
        <f ca="1">$AV$10*EXP(-'3.r(t)'!G661*$AV$24)</f>
        <v>0.94646168712278445</v>
      </c>
      <c r="AC663" s="7">
        <f ca="1">$AV$11*EXP(-'3.r(t)'!H661*$AV$25)</f>
        <v>0.97414130658516951</v>
      </c>
      <c r="AD663" s="7">
        <v>1</v>
      </c>
      <c r="AE663" s="7"/>
      <c r="AF663" s="7">
        <v>655</v>
      </c>
      <c r="AG663" s="7">
        <f>$AW$7*EXP(-'3.r(t)'!D661*$AW$21)</f>
        <v>0.86718755429225491</v>
      </c>
      <c r="AH663" s="7">
        <f ca="1">$AW$8*EXP(-'3.r(t)'!E661*$AW$22)</f>
        <v>0.87028537697698316</v>
      </c>
      <c r="AI663" s="7">
        <f ca="1">$AW$9*EXP(-'3.r(t)'!F661*$AW$23)</f>
        <v>0.88538123649013212</v>
      </c>
      <c r="AJ663" s="7">
        <f ca="1">$AW$10*EXP(-'3.r(t)'!G661*$AW$24)</f>
        <v>0.92016503059761667</v>
      </c>
      <c r="AK663" s="7">
        <f ca="1">$AW$11*EXP(-'3.r(t)'!H661*$AW$25)</f>
        <v>0.94852957008231953</v>
      </c>
      <c r="AL663" s="7">
        <f ca="1">$AW$12*EXP(-'3.r(t)'!I661*$AW$26)</f>
        <v>0.97451027806347801</v>
      </c>
      <c r="AM663" s="7">
        <v>1</v>
      </c>
      <c r="AN663" s="7"/>
    </row>
    <row r="664" spans="2:40">
      <c r="B664" s="7">
        <v>656</v>
      </c>
      <c r="C664" s="7">
        <f>$AR$7*EXP(-'3.r(t)'!D662*$AR$21)</f>
        <v>0.97765346695821032</v>
      </c>
      <c r="D664" s="7">
        <v>1</v>
      </c>
      <c r="E664" s="7"/>
      <c r="F664" s="7">
        <v>656</v>
      </c>
      <c r="G664" s="48">
        <f>$AS$7*EXP(-'3.r(t)'!D662*$AS$21)</f>
        <v>0.9553476245219803</v>
      </c>
      <c r="H664" s="7">
        <f ca="1">$AS$8*EXP(-'3.r(t)'!E662*$AS$22)</f>
        <v>0.9768684655105504</v>
      </c>
      <c r="I664" s="7">
        <v>1</v>
      </c>
      <c r="J664" s="7"/>
      <c r="K664" s="7">
        <v>656</v>
      </c>
      <c r="L664" s="7">
        <f>$AT$7*EXP(-'3.r(t)'!D662*$AT$21)</f>
        <v>0.93311670519824419</v>
      </c>
      <c r="M664" s="7">
        <f ca="1">$AT$8*EXP(-'3.r(t)'!E662*$AT$22)</f>
        <v>0.95382252340133933</v>
      </c>
      <c r="N664" s="7">
        <f ca="1">$AT$9*EXP(-'3.r(t)'!F662*$AT$23)</f>
        <v>0.97563173181376317</v>
      </c>
      <c r="O664" s="7">
        <v>1</v>
      </c>
      <c r="P664" s="7"/>
      <c r="Q664" s="7">
        <v>656</v>
      </c>
      <c r="R664" s="7">
        <f>$AU$7*EXP(-'3.r(t)'!D662*$AU$21)</f>
        <v>0.91099305977534117</v>
      </c>
      <c r="S664" s="7">
        <f ca="1">$AU$8*EXP(-'3.r(t)'!E662*$AU$22)</f>
        <v>0.93089557157346137</v>
      </c>
      <c r="T664" s="7">
        <f ca="1">$AU$9*EXP(-'3.r(t)'!F662*$AU$23)</f>
        <v>0.95141738177444912</v>
      </c>
      <c r="U664" s="7">
        <f ca="1">$AU$10*EXP(-'3.r(t)'!G662*$AU$24)</f>
        <v>0.978188061923703</v>
      </c>
      <c r="V664" s="7">
        <v>1</v>
      </c>
      <c r="W664" s="7"/>
      <c r="X664" s="7">
        <v>656</v>
      </c>
      <c r="Y664" s="7">
        <f>$AV$7*EXP(-'3.r(t)'!D662*$AV$21)</f>
        <v>0.88900715067201674</v>
      </c>
      <c r="Z664" s="7">
        <f ca="1">$AV$8*EXP(-'3.r(t)'!E662*$AV$22)</f>
        <v>0.90811903058332433</v>
      </c>
      <c r="AA664" s="7">
        <f ca="1">$AV$9*EXP(-'3.r(t)'!F662*$AV$23)</f>
        <v>0.92738914375214043</v>
      </c>
      <c r="AB664" s="7">
        <f ca="1">$AV$10*EXP(-'3.r(t)'!G662*$AV$24)</f>
        <v>0.95641817009198149</v>
      </c>
      <c r="AC664" s="7">
        <f ca="1">$AV$11*EXP(-'3.r(t)'!H662*$AV$25)</f>
        <v>0.97631110968515189</v>
      </c>
      <c r="AD664" s="7">
        <v>1</v>
      </c>
      <c r="AE664" s="7"/>
      <c r="AF664" s="7">
        <v>656</v>
      </c>
      <c r="AG664" s="7">
        <f>$AW$7*EXP(-'3.r(t)'!D662*$AW$21)</f>
        <v>0.86718755429225491</v>
      </c>
      <c r="AH664" s="7">
        <f ca="1">$AW$8*EXP(-'3.r(t)'!E662*$AW$22)</f>
        <v>0.88552234740826685</v>
      </c>
      <c r="AI664" s="7">
        <f ca="1">$AW$9*EXP(-'3.r(t)'!F662*$AW$23)</f>
        <v>0.90357708811053594</v>
      </c>
      <c r="AJ664" s="7">
        <f ca="1">$AW$10*EXP(-'3.r(t)'!G662*$AW$24)</f>
        <v>0.93472292525751588</v>
      </c>
      <c r="AK664" s="7">
        <f ca="1">$AW$11*EXP(-'3.r(t)'!H662*$AW$25)</f>
        <v>0.95275978703211095</v>
      </c>
      <c r="AL664" s="7">
        <f ca="1">$AW$12*EXP(-'3.r(t)'!I662*$AW$26)</f>
        <v>0.97820388152571991</v>
      </c>
      <c r="AM664" s="7">
        <v>1</v>
      </c>
      <c r="AN664" s="7"/>
    </row>
    <row r="665" spans="2:40">
      <c r="B665" s="7">
        <v>657</v>
      </c>
      <c r="C665" s="7">
        <f>$AR$7*EXP(-'3.r(t)'!D663*$AR$21)</f>
        <v>0.97765346695821032</v>
      </c>
      <c r="D665" s="7">
        <v>1</v>
      </c>
      <c r="E665" s="7"/>
      <c r="F665" s="7">
        <v>657</v>
      </c>
      <c r="G665" s="48">
        <f>$AS$7*EXP(-'3.r(t)'!D663*$AS$21)</f>
        <v>0.9553476245219803</v>
      </c>
      <c r="H665" s="7">
        <f ca="1">$AS$8*EXP(-'3.r(t)'!E663*$AS$22)</f>
        <v>0.97479041978098924</v>
      </c>
      <c r="I665" s="7">
        <v>1</v>
      </c>
      <c r="J665" s="7"/>
      <c r="K665" s="7">
        <v>657</v>
      </c>
      <c r="L665" s="7">
        <f>$AT$7*EXP(-'3.r(t)'!D663*$AT$21)</f>
        <v>0.93311670519824419</v>
      </c>
      <c r="M665" s="7">
        <f ca="1">$AT$8*EXP(-'3.r(t)'!E663*$AT$22)</f>
        <v>0.94976879725088281</v>
      </c>
      <c r="N665" s="7">
        <f ca="1">$AT$9*EXP(-'3.r(t)'!F663*$AT$23)</f>
        <v>0.9696224240618545</v>
      </c>
      <c r="O665" s="7">
        <v>1</v>
      </c>
      <c r="P665" s="7"/>
      <c r="Q665" s="7">
        <v>657</v>
      </c>
      <c r="R665" s="7">
        <f>$AU$7*EXP(-'3.r(t)'!D663*$AU$21)</f>
        <v>0.91099305977534117</v>
      </c>
      <c r="S665" s="7">
        <f ca="1">$AU$8*EXP(-'3.r(t)'!E663*$AU$22)</f>
        <v>0.92496745073537945</v>
      </c>
      <c r="T665" s="7">
        <f ca="1">$AU$9*EXP(-'3.r(t)'!F663*$AU$23)</f>
        <v>0.93973315317928763</v>
      </c>
      <c r="U665" s="7">
        <f ca="1">$AU$10*EXP(-'3.r(t)'!G663*$AU$24)</f>
        <v>0.97175166979453087</v>
      </c>
      <c r="V665" s="7">
        <v>1</v>
      </c>
      <c r="W665" s="7"/>
      <c r="X665" s="7">
        <v>657</v>
      </c>
      <c r="Y665" s="7">
        <f>$AV$7*EXP(-'3.r(t)'!D663*$AV$21)</f>
        <v>0.88900715067201674</v>
      </c>
      <c r="Z665" s="7">
        <f ca="1">$AV$8*EXP(-'3.r(t)'!E663*$AV$22)</f>
        <v>0.90041645883712673</v>
      </c>
      <c r="AA665" s="7">
        <f ca="1">$AV$9*EXP(-'3.r(t)'!F663*$AV$23)</f>
        <v>0.91035799073062007</v>
      </c>
      <c r="AB665" s="7">
        <f ca="1">$AV$10*EXP(-'3.r(t)'!G663*$AV$24)</f>
        <v>0.94387328217843658</v>
      </c>
      <c r="AC665" s="7">
        <f ca="1">$AV$11*EXP(-'3.r(t)'!H663*$AV$25)</f>
        <v>0.97490748318059572</v>
      </c>
      <c r="AD665" s="7">
        <v>1</v>
      </c>
      <c r="AE665" s="7"/>
      <c r="AF665" s="7">
        <v>657</v>
      </c>
      <c r="AG665" s="7">
        <f>$AW$7*EXP(-'3.r(t)'!D663*$AW$21)</f>
        <v>0.86718755429225491</v>
      </c>
      <c r="AH665" s="7">
        <f ca="1">$AW$8*EXP(-'3.r(t)'!E663*$AW$22)</f>
        <v>0.87614368650571117</v>
      </c>
      <c r="AI665" s="7">
        <f ca="1">$AW$9*EXP(-'3.r(t)'!F663*$AW$23)</f>
        <v>0.88151994849327753</v>
      </c>
      <c r="AJ665" s="7">
        <f ca="1">$AW$10*EXP(-'3.r(t)'!G663*$AW$24)</f>
        <v>0.91639288020599896</v>
      </c>
      <c r="AK665" s="7">
        <f ca="1">$AW$11*EXP(-'3.r(t)'!H663*$AW$25)</f>
        <v>0.9500222220171155</v>
      </c>
      <c r="AL665" s="7">
        <f ca="1">$AW$12*EXP(-'3.r(t)'!I663*$AW$26)</f>
        <v>0.97104877400353451</v>
      </c>
      <c r="AM665" s="7">
        <v>1</v>
      </c>
      <c r="AN665" s="7"/>
    </row>
    <row r="666" spans="2:40">
      <c r="B666" s="7">
        <v>658</v>
      </c>
      <c r="C666" s="7">
        <f>$AR$7*EXP(-'3.r(t)'!D664*$AR$21)</f>
        <v>0.97765346695821032</v>
      </c>
      <c r="D666" s="7">
        <v>1</v>
      </c>
      <c r="E666" s="7"/>
      <c r="F666" s="7">
        <v>658</v>
      </c>
      <c r="G666" s="48">
        <f>$AS$7*EXP(-'3.r(t)'!D664*$AS$21)</f>
        <v>0.9553476245219803</v>
      </c>
      <c r="H666" s="7">
        <f ca="1">$AS$8*EXP(-'3.r(t)'!E664*$AS$22)</f>
        <v>0.9805838762092336</v>
      </c>
      <c r="I666" s="7">
        <v>1</v>
      </c>
      <c r="J666" s="7"/>
      <c r="K666" s="7">
        <v>658</v>
      </c>
      <c r="L666" s="7">
        <f>$AT$7*EXP(-'3.r(t)'!D664*$AT$21)</f>
        <v>0.93311670519824419</v>
      </c>
      <c r="M666" s="7">
        <f ca="1">$AT$8*EXP(-'3.r(t)'!E664*$AT$22)</f>
        <v>0.9610918372115882</v>
      </c>
      <c r="N666" s="7">
        <f ca="1">$AT$9*EXP(-'3.r(t)'!F664*$AT$23)</f>
        <v>0.97885245322894987</v>
      </c>
      <c r="O666" s="7">
        <v>1</v>
      </c>
      <c r="P666" s="7"/>
      <c r="Q666" s="7">
        <v>658</v>
      </c>
      <c r="R666" s="7">
        <f>$AU$7*EXP(-'3.r(t)'!D664*$AU$21)</f>
        <v>0.91099305977534117</v>
      </c>
      <c r="S666" s="7">
        <f ca="1">$AU$8*EXP(-'3.r(t)'!E664*$AU$22)</f>
        <v>0.94155769485614893</v>
      </c>
      <c r="T666" s="7">
        <f ca="1">$AU$9*EXP(-'3.r(t)'!F664*$AU$23)</f>
        <v>0.95770932172329959</v>
      </c>
      <c r="U666" s="7">
        <f ca="1">$AU$10*EXP(-'3.r(t)'!G664*$AU$24)</f>
        <v>0.97694966253167526</v>
      </c>
      <c r="V666" s="7">
        <v>1</v>
      </c>
      <c r="W666" s="7"/>
      <c r="X666" s="7">
        <v>658</v>
      </c>
      <c r="Y666" s="7">
        <f>$AV$7*EXP(-'3.r(t)'!D664*$AV$21)</f>
        <v>0.88900715067201674</v>
      </c>
      <c r="Z666" s="7">
        <f ca="1">$AV$8*EXP(-'3.r(t)'!E664*$AV$22)</f>
        <v>0.92201376989801509</v>
      </c>
      <c r="AA666" s="7">
        <f ca="1">$AV$9*EXP(-'3.r(t)'!F664*$AV$23)</f>
        <v>0.93660389031857161</v>
      </c>
      <c r="AB666" s="7">
        <f ca="1">$AV$10*EXP(-'3.r(t)'!G664*$AV$24)</f>
        <v>0.95399802620418672</v>
      </c>
      <c r="AC666" s="7">
        <f ca="1">$AV$11*EXP(-'3.r(t)'!H664*$AV$25)</f>
        <v>0.9762029035960792</v>
      </c>
      <c r="AD666" s="7">
        <v>1</v>
      </c>
      <c r="AE666" s="7"/>
      <c r="AF666" s="7">
        <v>658</v>
      </c>
      <c r="AG666" s="7">
        <f>$AW$7*EXP(-'3.r(t)'!D664*$AW$21)</f>
        <v>0.86718755429225491</v>
      </c>
      <c r="AH666" s="7">
        <f ca="1">$AW$8*EXP(-'3.r(t)'!E664*$AW$22)</f>
        <v>0.90249086256822286</v>
      </c>
      <c r="AI666" s="7">
        <f ca="1">$AW$9*EXP(-'3.r(t)'!F664*$AW$23)</f>
        <v>0.91556772822892352</v>
      </c>
      <c r="AJ666" s="7">
        <f ca="1">$AW$10*EXP(-'3.r(t)'!G664*$AW$24)</f>
        <v>0.93117730204238347</v>
      </c>
      <c r="AK666" s="7">
        <f ca="1">$AW$11*EXP(-'3.r(t)'!H664*$AW$25)</f>
        <v>0.95254860701725652</v>
      </c>
      <c r="AL666" s="7">
        <f ca="1">$AW$12*EXP(-'3.r(t)'!I664*$AW$26)</f>
        <v>0.97551728598932119</v>
      </c>
      <c r="AM666" s="7">
        <v>1</v>
      </c>
      <c r="AN666" s="7"/>
    </row>
    <row r="667" spans="2:40">
      <c r="B667" s="7">
        <v>659</v>
      </c>
      <c r="C667" s="7">
        <f>$AR$7*EXP(-'3.r(t)'!D665*$AR$21)</f>
        <v>0.97765346695821032</v>
      </c>
      <c r="D667" s="7">
        <v>1</v>
      </c>
      <c r="E667" s="7"/>
      <c r="F667" s="7">
        <v>659</v>
      </c>
      <c r="G667" s="48">
        <f>$AS$7*EXP(-'3.r(t)'!D665*$AS$21)</f>
        <v>0.9553476245219803</v>
      </c>
      <c r="H667" s="7">
        <f ca="1">$AS$8*EXP(-'3.r(t)'!E665*$AS$22)</f>
        <v>0.97358802001408462</v>
      </c>
      <c r="I667" s="7">
        <v>1</v>
      </c>
      <c r="J667" s="7"/>
      <c r="K667" s="7">
        <v>659</v>
      </c>
      <c r="L667" s="7">
        <f>$AT$7*EXP(-'3.r(t)'!D665*$AT$21)</f>
        <v>0.93311670519824419</v>
      </c>
      <c r="M667" s="7">
        <f ca="1">$AT$8*EXP(-'3.r(t)'!E665*$AT$22)</f>
        <v>0.94742717092764595</v>
      </c>
      <c r="N667" s="7">
        <f ca="1">$AT$9*EXP(-'3.r(t)'!F665*$AT$23)</f>
        <v>0.97169423886429718</v>
      </c>
      <c r="O667" s="7">
        <v>1</v>
      </c>
      <c r="P667" s="7"/>
      <c r="Q667" s="7">
        <v>659</v>
      </c>
      <c r="R667" s="7">
        <f>$AU$7*EXP(-'3.r(t)'!D665*$AU$21)</f>
        <v>0.91099305977534117</v>
      </c>
      <c r="S667" s="7">
        <f ca="1">$AU$8*EXP(-'3.r(t)'!E665*$AU$22)</f>
        <v>0.92154884099528211</v>
      </c>
      <c r="T667" s="7">
        <f ca="1">$AU$9*EXP(-'3.r(t)'!F665*$AU$23)</f>
        <v>0.94375334301544178</v>
      </c>
      <c r="U667" s="7">
        <f ca="1">$AU$10*EXP(-'3.r(t)'!G665*$AU$24)</f>
        <v>0.97124404558315025</v>
      </c>
      <c r="V667" s="7">
        <v>1</v>
      </c>
      <c r="W667" s="7"/>
      <c r="X667" s="7">
        <v>659</v>
      </c>
      <c r="Y667" s="7">
        <f>$AV$7*EXP(-'3.r(t)'!D665*$AV$21)</f>
        <v>0.88900715067201674</v>
      </c>
      <c r="Z667" s="7">
        <f ca="1">$AV$8*EXP(-'3.r(t)'!E665*$AV$22)</f>
        <v>0.89598203281313171</v>
      </c>
      <c r="AA667" s="7">
        <f ca="1">$AV$9*EXP(-'3.r(t)'!F665*$AV$23)</f>
        <v>0.91620601789050404</v>
      </c>
      <c r="AB667" s="7">
        <f ca="1">$AV$10*EXP(-'3.r(t)'!G665*$AV$24)</f>
        <v>0.94288741757840222</v>
      </c>
      <c r="AC667" s="7">
        <f ca="1">$AV$11*EXP(-'3.r(t)'!H665*$AV$25)</f>
        <v>0.97045234894738519</v>
      </c>
      <c r="AD667" s="7">
        <v>1</v>
      </c>
      <c r="AE667" s="7"/>
      <c r="AF667" s="7">
        <v>659</v>
      </c>
      <c r="AG667" s="7">
        <f>$AW$7*EXP(-'3.r(t)'!D665*$AW$21)</f>
        <v>0.86718755429225491</v>
      </c>
      <c r="AH667" s="7">
        <f ca="1">$AW$8*EXP(-'3.r(t)'!E665*$AW$22)</f>
        <v>0.87075340345998364</v>
      </c>
      <c r="AI667" s="7">
        <f ca="1">$AW$9*EXP(-'3.r(t)'!F665*$AW$23)</f>
        <v>0.88907838761154279</v>
      </c>
      <c r="AJ667" s="7">
        <f ca="1">$AW$10*EXP(-'3.r(t)'!G665*$AW$24)</f>
        <v>0.91495751271280235</v>
      </c>
      <c r="AK667" s="7">
        <f ca="1">$AW$11*EXP(-'3.r(t)'!H665*$AW$25)</f>
        <v>0.9413592343870355</v>
      </c>
      <c r="AL667" s="7">
        <f ca="1">$AW$12*EXP(-'3.r(t)'!I665*$AW$26)</f>
        <v>0.97062007628779701</v>
      </c>
      <c r="AM667" s="7">
        <v>1</v>
      </c>
      <c r="AN667" s="7"/>
    </row>
    <row r="668" spans="2:40">
      <c r="B668" s="7">
        <v>660</v>
      </c>
      <c r="C668" s="7">
        <f>$AR$7*EXP(-'3.r(t)'!D666*$AR$21)</f>
        <v>0.97765346695821032</v>
      </c>
      <c r="D668" s="7">
        <v>1</v>
      </c>
      <c r="E668" s="7"/>
      <c r="F668" s="7">
        <v>660</v>
      </c>
      <c r="G668" s="48">
        <f>$AS$7*EXP(-'3.r(t)'!D666*$AS$21)</f>
        <v>0.9553476245219803</v>
      </c>
      <c r="H668" s="7">
        <f ca="1">$AS$8*EXP(-'3.r(t)'!E666*$AS$22)</f>
        <v>0.97630552621532429</v>
      </c>
      <c r="I668" s="7">
        <v>1</v>
      </c>
      <c r="J668" s="7"/>
      <c r="K668" s="7">
        <v>660</v>
      </c>
      <c r="L668" s="7">
        <f>$AT$7*EXP(-'3.r(t)'!D666*$AT$21)</f>
        <v>0.93311670519824419</v>
      </c>
      <c r="M668" s="7">
        <f ca="1">$AT$8*EXP(-'3.r(t)'!E666*$AT$22)</f>
        <v>0.95272352289958051</v>
      </c>
      <c r="N668" s="7">
        <f ca="1">$AT$9*EXP(-'3.r(t)'!F666*$AT$23)</f>
        <v>0.97741449729547136</v>
      </c>
      <c r="O668" s="7">
        <v>1</v>
      </c>
      <c r="P668" s="7"/>
      <c r="Q668" s="7">
        <v>660</v>
      </c>
      <c r="R668" s="7">
        <f>$AU$7*EXP(-'3.r(t)'!D666*$AU$21)</f>
        <v>0.91099305977534117</v>
      </c>
      <c r="S668" s="7">
        <f ca="1">$AU$8*EXP(-'3.r(t)'!E666*$AU$22)</f>
        <v>0.92928715922320237</v>
      </c>
      <c r="T668" s="7">
        <f ca="1">$AU$9*EXP(-'3.r(t)'!F666*$AU$23)</f>
        <v>0.95489759607495017</v>
      </c>
      <c r="U668" s="7">
        <f ca="1">$AU$10*EXP(-'3.r(t)'!G666*$AU$24)</f>
        <v>0.97712257030614968</v>
      </c>
      <c r="V668" s="7">
        <v>1</v>
      </c>
      <c r="W668" s="7"/>
      <c r="X668" s="7">
        <v>660</v>
      </c>
      <c r="Y668" s="7">
        <f>$AV$7*EXP(-'3.r(t)'!D666*$AV$21)</f>
        <v>0.88900715067201674</v>
      </c>
      <c r="Z668" s="7">
        <f ca="1">$AV$8*EXP(-'3.r(t)'!E666*$AV$22)</f>
        <v>0.9060275549023632</v>
      </c>
      <c r="AA668" s="7">
        <f ca="1">$AV$9*EXP(-'3.r(t)'!F666*$AV$23)</f>
        <v>0.93248227541968509</v>
      </c>
      <c r="AB668" s="7">
        <f ca="1">$AV$10*EXP(-'3.r(t)'!G666*$AV$24)</f>
        <v>0.95433574733609672</v>
      </c>
      <c r="AC668" s="7">
        <f ca="1">$AV$11*EXP(-'3.r(t)'!H666*$AV$25)</f>
        <v>0.97862000543154415</v>
      </c>
      <c r="AD668" s="7">
        <v>1</v>
      </c>
      <c r="AE668" s="7"/>
      <c r="AF668" s="7">
        <v>660</v>
      </c>
      <c r="AG668" s="7">
        <f>$AW$7*EXP(-'3.r(t)'!D666*$AW$21)</f>
        <v>0.86718755429225491</v>
      </c>
      <c r="AH668" s="7">
        <f ca="1">$AW$8*EXP(-'3.r(t)'!E666*$AW$22)</f>
        <v>0.88297378974858887</v>
      </c>
      <c r="AI668" s="7">
        <f ca="1">$AW$9*EXP(-'3.r(t)'!F666*$AW$23)</f>
        <v>0.91019961445398867</v>
      </c>
      <c r="AJ668" s="7">
        <f ca="1">$AW$10*EXP(-'3.r(t)'!G666*$AW$24)</f>
        <v>0.93167180948471529</v>
      </c>
      <c r="AK668" s="7">
        <f ca="1">$AW$11*EXP(-'3.r(t)'!H666*$AW$25)</f>
        <v>0.95727151326020532</v>
      </c>
      <c r="AL668" s="7">
        <f ca="1">$AW$12*EXP(-'3.r(t)'!I666*$AW$26)</f>
        <v>0.97601382010351501</v>
      </c>
      <c r="AM668" s="7">
        <v>1</v>
      </c>
      <c r="AN668" s="7"/>
    </row>
    <row r="669" spans="2:40">
      <c r="B669" s="7">
        <v>661</v>
      </c>
      <c r="C669" s="7">
        <f>$AR$7*EXP(-'3.r(t)'!D667*$AR$21)</f>
        <v>0.97765346695821032</v>
      </c>
      <c r="D669" s="7">
        <v>1</v>
      </c>
      <c r="E669" s="7"/>
      <c r="F669" s="7">
        <v>661</v>
      </c>
      <c r="G669" s="48">
        <f>$AS$7*EXP(-'3.r(t)'!D667*$AS$21)</f>
        <v>0.9553476245219803</v>
      </c>
      <c r="H669" s="7">
        <f ca="1">$AS$8*EXP(-'3.r(t)'!E667*$AS$22)</f>
        <v>0.97544627208824741</v>
      </c>
      <c r="I669" s="7">
        <v>1</v>
      </c>
      <c r="J669" s="7"/>
      <c r="K669" s="7">
        <v>661</v>
      </c>
      <c r="L669" s="7">
        <f>$AT$7*EXP(-'3.r(t)'!D667*$AT$21)</f>
        <v>0.93311670519824419</v>
      </c>
      <c r="M669" s="7">
        <f ca="1">$AT$8*EXP(-'3.r(t)'!E667*$AT$22)</f>
        <v>0.95104726202632195</v>
      </c>
      <c r="N669" s="7">
        <f ca="1">$AT$9*EXP(-'3.r(t)'!F667*$AT$23)</f>
        <v>0.9739381961361181</v>
      </c>
      <c r="O669" s="7">
        <v>1</v>
      </c>
      <c r="P669" s="7"/>
      <c r="Q669" s="7">
        <v>661</v>
      </c>
      <c r="R669" s="7">
        <f>$AU$7*EXP(-'3.r(t)'!D667*$AU$21)</f>
        <v>0.91099305977534117</v>
      </c>
      <c r="S669" s="7">
        <f ca="1">$AU$8*EXP(-'3.r(t)'!E667*$AU$22)</f>
        <v>0.92683569935468268</v>
      </c>
      <c r="T669" s="7">
        <f ca="1">$AU$9*EXP(-'3.r(t)'!F667*$AU$23)</f>
        <v>0.94811724138792886</v>
      </c>
      <c r="U669" s="7">
        <f ca="1">$AU$10*EXP(-'3.r(t)'!G667*$AU$24)</f>
        <v>0.96943420389610535</v>
      </c>
      <c r="V669" s="7">
        <v>1</v>
      </c>
      <c r="W669" s="7"/>
      <c r="X669" s="7">
        <v>661</v>
      </c>
      <c r="Y669" s="7">
        <f>$AV$7*EXP(-'3.r(t)'!D667*$AV$21)</f>
        <v>0.88900715067201674</v>
      </c>
      <c r="Z669" s="7">
        <f ca="1">$AV$8*EXP(-'3.r(t)'!E667*$AV$22)</f>
        <v>0.90284215549017188</v>
      </c>
      <c r="AA669" s="7">
        <f ca="1">$AV$9*EXP(-'3.r(t)'!F667*$AV$23)</f>
        <v>0.92256813839565088</v>
      </c>
      <c r="AB669" s="7">
        <f ca="1">$AV$10*EXP(-'3.r(t)'!G667*$AV$24)</f>
        <v>0.939376689218691</v>
      </c>
      <c r="AC669" s="7">
        <f ca="1">$AV$11*EXP(-'3.r(t)'!H667*$AV$25)</f>
        <v>0.96830036826277444</v>
      </c>
      <c r="AD669" s="7">
        <v>1</v>
      </c>
      <c r="AE669" s="7"/>
      <c r="AF669" s="7">
        <v>661</v>
      </c>
      <c r="AG669" s="7">
        <f>$AW$7*EXP(-'3.r(t)'!D667*$AW$21)</f>
        <v>0.86718755429225491</v>
      </c>
      <c r="AH669" s="7">
        <f ca="1">$AW$8*EXP(-'3.r(t)'!E667*$AW$22)</f>
        <v>0.87909506247608482</v>
      </c>
      <c r="AI669" s="7">
        <f ca="1">$AW$9*EXP(-'3.r(t)'!F667*$AW$23)</f>
        <v>0.89731956191904694</v>
      </c>
      <c r="AJ669" s="7">
        <f ca="1">$AW$10*EXP(-'3.r(t)'!G667*$AW$24)</f>
        <v>0.90985217032539445</v>
      </c>
      <c r="AK669" s="7">
        <f ca="1">$AW$11*EXP(-'3.r(t)'!H667*$AW$25)</f>
        <v>0.93718893009966442</v>
      </c>
      <c r="AL669" s="7">
        <f ca="1">$AW$12*EXP(-'3.r(t)'!I667*$AW$26)</f>
        <v>0.9678039234600172</v>
      </c>
      <c r="AM669" s="7">
        <v>1</v>
      </c>
      <c r="AN669" s="7"/>
    </row>
    <row r="670" spans="2:40">
      <c r="B670" s="7">
        <v>662</v>
      </c>
      <c r="C670" s="7">
        <f>$AR$7*EXP(-'3.r(t)'!D668*$AR$21)</f>
        <v>0.97765346695821032</v>
      </c>
      <c r="D670" s="7">
        <v>1</v>
      </c>
      <c r="E670" s="7"/>
      <c r="F670" s="7">
        <v>662</v>
      </c>
      <c r="G670" s="48">
        <f>$AS$7*EXP(-'3.r(t)'!D668*$AS$21)</f>
        <v>0.9553476245219803</v>
      </c>
      <c r="H670" s="7">
        <f ca="1">$AS$8*EXP(-'3.r(t)'!E668*$AS$22)</f>
        <v>0.97447146967050013</v>
      </c>
      <c r="I670" s="7">
        <v>1</v>
      </c>
      <c r="J670" s="7"/>
      <c r="K670" s="7">
        <v>662</v>
      </c>
      <c r="L670" s="7">
        <f>$AT$7*EXP(-'3.r(t)'!D668*$AT$21)</f>
        <v>0.93311670519824419</v>
      </c>
      <c r="M670" s="7">
        <f ca="1">$AT$8*EXP(-'3.r(t)'!E668*$AT$22)</f>
        <v>0.94914737279344352</v>
      </c>
      <c r="N670" s="7">
        <f ca="1">$AT$9*EXP(-'3.r(t)'!F668*$AT$23)</f>
        <v>0.975553337185043</v>
      </c>
      <c r="O670" s="7">
        <v>1</v>
      </c>
      <c r="P670" s="7"/>
      <c r="Q670" s="7">
        <v>662</v>
      </c>
      <c r="R670" s="7">
        <f>$AU$7*EXP(-'3.r(t)'!D668*$AU$21)</f>
        <v>0.91099305977534117</v>
      </c>
      <c r="S670" s="7">
        <f ca="1">$AU$8*EXP(-'3.r(t)'!E668*$AU$22)</f>
        <v>0.92405980347446459</v>
      </c>
      <c r="T670" s="7">
        <f ca="1">$AU$9*EXP(-'3.r(t)'!F668*$AU$23)</f>
        <v>0.95126449003594371</v>
      </c>
      <c r="U670" s="7">
        <f ca="1">$AU$10*EXP(-'3.r(t)'!G668*$AU$24)</f>
        <v>0.97203463723519046</v>
      </c>
      <c r="V670" s="7">
        <v>1</v>
      </c>
      <c r="W670" s="7"/>
      <c r="X670" s="7">
        <v>662</v>
      </c>
      <c r="Y670" s="7">
        <f>$AV$7*EXP(-'3.r(t)'!D668*$AV$21)</f>
        <v>0.88900715067201674</v>
      </c>
      <c r="Z670" s="7">
        <f ca="1">$AV$8*EXP(-'3.r(t)'!E668*$AV$22)</f>
        <v>0.89923857689370001</v>
      </c>
      <c r="AA670" s="7">
        <f ca="1">$AV$9*EXP(-'3.r(t)'!F668*$AV$23)</f>
        <v>0.92716560709308438</v>
      </c>
      <c r="AB670" s="7">
        <f ca="1">$AV$10*EXP(-'3.r(t)'!G668*$AV$24)</f>
        <v>0.9444230611023946</v>
      </c>
      <c r="AC670" s="7">
        <f ca="1">$AV$11*EXP(-'3.r(t)'!H668*$AV$25)</f>
        <v>0.97235379702844416</v>
      </c>
      <c r="AD670" s="7">
        <v>1</v>
      </c>
      <c r="AE670" s="7"/>
      <c r="AF670" s="7">
        <v>662</v>
      </c>
      <c r="AG670" s="7">
        <f>$AW$7*EXP(-'3.r(t)'!D668*$AW$21)</f>
        <v>0.86718755429225491</v>
      </c>
      <c r="AH670" s="7">
        <f ca="1">$AW$8*EXP(-'3.r(t)'!E668*$AW$22)</f>
        <v>0.87471125902703317</v>
      </c>
      <c r="AI670" s="7">
        <f ca="1">$AW$9*EXP(-'3.r(t)'!F668*$AW$23)</f>
        <v>0.90328670373394981</v>
      </c>
      <c r="AJ670" s="7">
        <f ca="1">$AW$10*EXP(-'3.r(t)'!G668*$AW$24)</f>
        <v>0.91719365536013953</v>
      </c>
      <c r="AK670" s="7">
        <f ca="1">$AW$11*EXP(-'3.r(t)'!H668*$AW$25)</f>
        <v>0.9450517377226012</v>
      </c>
      <c r="AL670" s="7">
        <f ca="1">$AW$12*EXP(-'3.r(t)'!I668*$AW$26)</f>
        <v>0.97555083742513737</v>
      </c>
      <c r="AM670" s="7">
        <v>1</v>
      </c>
      <c r="AN670" s="7"/>
    </row>
    <row r="671" spans="2:40">
      <c r="B671" s="7">
        <v>663</v>
      </c>
      <c r="C671" s="7">
        <f>$AR$7*EXP(-'3.r(t)'!D669*$AR$21)</f>
        <v>0.97765346695821032</v>
      </c>
      <c r="D671" s="7">
        <v>1</v>
      </c>
      <c r="E671" s="7"/>
      <c r="F671" s="7">
        <v>663</v>
      </c>
      <c r="G671" s="48">
        <f>$AS$7*EXP(-'3.r(t)'!D669*$AS$21)</f>
        <v>0.9553476245219803</v>
      </c>
      <c r="H671" s="7">
        <f ca="1">$AS$8*EXP(-'3.r(t)'!E669*$AS$22)</f>
        <v>0.97614928562832359</v>
      </c>
      <c r="I671" s="7">
        <v>1</v>
      </c>
      <c r="J671" s="7"/>
      <c r="K671" s="7">
        <v>663</v>
      </c>
      <c r="L671" s="7">
        <f>$AT$7*EXP(-'3.r(t)'!D669*$AT$21)</f>
        <v>0.93311670519824419</v>
      </c>
      <c r="M671" s="7">
        <f ca="1">$AT$8*EXP(-'3.r(t)'!E669*$AT$22)</f>
        <v>0.95241861389778293</v>
      </c>
      <c r="N671" s="7">
        <f ca="1">$AT$9*EXP(-'3.r(t)'!F669*$AT$23)</f>
        <v>0.98038245512527744</v>
      </c>
      <c r="O671" s="7">
        <v>1</v>
      </c>
      <c r="P671" s="7"/>
      <c r="Q671" s="7">
        <v>663</v>
      </c>
      <c r="R671" s="7">
        <f>$AU$7*EXP(-'3.r(t)'!D669*$AU$21)</f>
        <v>0.91099305977534117</v>
      </c>
      <c r="S671" s="7">
        <f ca="1">$AU$8*EXP(-'3.r(t)'!E669*$AU$22)</f>
        <v>0.92884108225314543</v>
      </c>
      <c r="T671" s="7">
        <f ca="1">$AU$9*EXP(-'3.r(t)'!F669*$AU$23)</f>
        <v>0.96070556951273089</v>
      </c>
      <c r="U671" s="7">
        <f ca="1">$AU$10*EXP(-'3.r(t)'!G669*$AU$24)</f>
        <v>0.97983297534598224</v>
      </c>
      <c r="V671" s="7">
        <v>1</v>
      </c>
      <c r="W671" s="7"/>
      <c r="X671" s="7">
        <v>663</v>
      </c>
      <c r="Y671" s="7">
        <f>$AV$7*EXP(-'3.r(t)'!D669*$AV$21)</f>
        <v>0.88900715067201674</v>
      </c>
      <c r="Z671" s="7">
        <f ca="1">$AV$8*EXP(-'3.r(t)'!E669*$AV$22)</f>
        <v>0.9054477187918003</v>
      </c>
      <c r="AA671" s="7">
        <f ca="1">$AV$9*EXP(-'3.r(t)'!F669*$AV$23)</f>
        <v>0.94100265366578217</v>
      </c>
      <c r="AB671" s="7">
        <f ca="1">$AV$10*EXP(-'3.r(t)'!G669*$AV$24)</f>
        <v>0.95963748528935044</v>
      </c>
      <c r="AC671" s="7">
        <f ca="1">$AV$11*EXP(-'3.r(t)'!H669*$AV$25)</f>
        <v>0.97896187275474078</v>
      </c>
      <c r="AD671" s="7">
        <v>1</v>
      </c>
      <c r="AE671" s="7"/>
      <c r="AF671" s="7">
        <v>663</v>
      </c>
      <c r="AG671" s="7">
        <f>$AW$7*EXP(-'3.r(t)'!D669*$AW$21)</f>
        <v>0.86718755429225491</v>
      </c>
      <c r="AH671" s="7">
        <f ca="1">$AW$8*EXP(-'3.r(t)'!E669*$AW$22)</f>
        <v>0.88226749345306565</v>
      </c>
      <c r="AI671" s="7">
        <f ca="1">$AW$9*EXP(-'3.r(t)'!F669*$AW$23)</f>
        <v>0.9213055005439218</v>
      </c>
      <c r="AJ671" s="7">
        <f ca="1">$AW$10*EXP(-'3.r(t)'!G669*$AW$24)</f>
        <v>0.93944632755859858</v>
      </c>
      <c r="AK671" s="7">
        <f ca="1">$AW$11*EXP(-'3.r(t)'!H669*$AW$25)</f>
        <v>0.95794044912875154</v>
      </c>
      <c r="AL671" s="7">
        <f ca="1">$AW$12*EXP(-'3.r(t)'!I669*$AW$26)</f>
        <v>0.97390615505445521</v>
      </c>
      <c r="AM671" s="7">
        <v>1</v>
      </c>
      <c r="AN671" s="7"/>
    </row>
    <row r="672" spans="2:40">
      <c r="B672" s="7">
        <v>664</v>
      </c>
      <c r="C672" s="7">
        <f>$AR$7*EXP(-'3.r(t)'!D670*$AR$21)</f>
        <v>0.97765346695821032</v>
      </c>
      <c r="D672" s="7">
        <v>1</v>
      </c>
      <c r="E672" s="7"/>
      <c r="F672" s="7">
        <v>664</v>
      </c>
      <c r="G672" s="48">
        <f>$AS$7*EXP(-'3.r(t)'!D670*$AS$21)</f>
        <v>0.9553476245219803</v>
      </c>
      <c r="H672" s="7">
        <f ca="1">$AS$8*EXP(-'3.r(t)'!E670*$AS$22)</f>
        <v>0.97440590880011013</v>
      </c>
      <c r="I672" s="7">
        <v>1</v>
      </c>
      <c r="J672" s="7"/>
      <c r="K672" s="7">
        <v>664</v>
      </c>
      <c r="L672" s="7">
        <f>$AT$7*EXP(-'3.r(t)'!D670*$AT$21)</f>
        <v>0.93311670519824419</v>
      </c>
      <c r="M672" s="7">
        <f ca="1">$AT$8*EXP(-'3.r(t)'!E670*$AT$22)</f>
        <v>0.94901966287773709</v>
      </c>
      <c r="N672" s="7">
        <f ca="1">$AT$9*EXP(-'3.r(t)'!F670*$AT$23)</f>
        <v>0.97568259022801018</v>
      </c>
      <c r="O672" s="7">
        <v>1</v>
      </c>
      <c r="P672" s="7"/>
      <c r="Q672" s="7">
        <v>664</v>
      </c>
      <c r="R672" s="7">
        <f>$AU$7*EXP(-'3.r(t)'!D670*$AU$21)</f>
        <v>0.91099305977534117</v>
      </c>
      <c r="S672" s="7">
        <f ca="1">$AU$8*EXP(-'3.r(t)'!E670*$AU$22)</f>
        <v>0.92387330825798697</v>
      </c>
      <c r="T672" s="7">
        <f ca="1">$AU$9*EXP(-'3.r(t)'!F670*$AU$23)</f>
        <v>0.95151657666312894</v>
      </c>
      <c r="U672" s="7">
        <f ca="1">$AU$10*EXP(-'3.r(t)'!G670*$AU$24)</f>
        <v>0.97499327601875352</v>
      </c>
      <c r="V672" s="7">
        <v>1</v>
      </c>
      <c r="W672" s="7"/>
      <c r="X672" s="7">
        <v>664</v>
      </c>
      <c r="Y672" s="7">
        <f>$AV$7*EXP(-'3.r(t)'!D670*$AV$21)</f>
        <v>0.88900715067201674</v>
      </c>
      <c r="Z672" s="7">
        <f ca="1">$AV$8*EXP(-'3.r(t)'!E670*$AV$22)</f>
        <v>0.8989966040240629</v>
      </c>
      <c r="AA672" s="7">
        <f ca="1">$AV$9*EXP(-'3.r(t)'!F670*$AV$23)</f>
        <v>0.92753418208501981</v>
      </c>
      <c r="AB672" s="7">
        <f ca="1">$AV$10*EXP(-'3.r(t)'!G670*$AV$24)</f>
        <v>0.95018100230077795</v>
      </c>
      <c r="AC672" s="7">
        <f ca="1">$AV$11*EXP(-'3.r(t)'!H670*$AV$25)</f>
        <v>0.97561828694088804</v>
      </c>
      <c r="AD672" s="7">
        <v>1</v>
      </c>
      <c r="AE672" s="7"/>
      <c r="AF672" s="7">
        <v>664</v>
      </c>
      <c r="AG672" s="7">
        <f>$AW$7*EXP(-'3.r(t)'!D670*$AW$21)</f>
        <v>0.86718755429225491</v>
      </c>
      <c r="AH672" s="7">
        <f ca="1">$AW$8*EXP(-'3.r(t)'!E670*$AW$22)</f>
        <v>0.87441705279637039</v>
      </c>
      <c r="AI672" s="7">
        <f ca="1">$AW$9*EXP(-'3.r(t)'!F670*$AW$23)</f>
        <v>0.90376551204059019</v>
      </c>
      <c r="AJ672" s="7">
        <f ca="1">$AW$10*EXP(-'3.r(t)'!G670*$AW$24)</f>
        <v>0.92559432137385178</v>
      </c>
      <c r="AK672" s="7">
        <f ca="1">$AW$11*EXP(-'3.r(t)'!H670*$AW$25)</f>
        <v>0.95140804693296366</v>
      </c>
      <c r="AL672" s="7">
        <f ca="1">$AW$12*EXP(-'3.r(t)'!I670*$AW$26)</f>
        <v>0.97541616888089233</v>
      </c>
      <c r="AM672" s="7">
        <v>1</v>
      </c>
      <c r="AN672" s="7"/>
    </row>
    <row r="673" spans="2:40">
      <c r="B673" s="7">
        <v>665</v>
      </c>
      <c r="C673" s="7">
        <f>$AR$7*EXP(-'3.r(t)'!D671*$AR$21)</f>
        <v>0.97765346695821032</v>
      </c>
      <c r="D673" s="7">
        <v>1</v>
      </c>
      <c r="E673" s="7"/>
      <c r="F673" s="7">
        <v>665</v>
      </c>
      <c r="G673" s="48">
        <f>$AS$7*EXP(-'3.r(t)'!D671*$AS$21)</f>
        <v>0.9553476245219803</v>
      </c>
      <c r="H673" s="7">
        <f ca="1">$AS$8*EXP(-'3.r(t)'!E671*$AS$22)</f>
        <v>0.97341509932620218</v>
      </c>
      <c r="I673" s="7">
        <v>1</v>
      </c>
      <c r="J673" s="7"/>
      <c r="K673" s="7">
        <v>665</v>
      </c>
      <c r="L673" s="7">
        <f>$AT$7*EXP(-'3.r(t)'!D671*$AT$21)</f>
        <v>0.93311670519824419</v>
      </c>
      <c r="M673" s="7">
        <f ca="1">$AT$8*EXP(-'3.r(t)'!E671*$AT$22)</f>
        <v>0.94709065238858936</v>
      </c>
      <c r="N673" s="7">
        <f ca="1">$AT$9*EXP(-'3.r(t)'!F671*$AT$23)</f>
        <v>0.97580032926915294</v>
      </c>
      <c r="O673" s="7">
        <v>1</v>
      </c>
      <c r="P673" s="7"/>
      <c r="Q673" s="7">
        <v>665</v>
      </c>
      <c r="R673" s="7">
        <f>$AU$7*EXP(-'3.r(t)'!D671*$AU$21)</f>
        <v>0.91099305977534117</v>
      </c>
      <c r="S673" s="7">
        <f ca="1">$AU$8*EXP(-'3.r(t)'!E671*$AU$22)</f>
        <v>0.92105789445134989</v>
      </c>
      <c r="T673" s="7">
        <f ca="1">$AU$9*EXP(-'3.r(t)'!F671*$AU$23)</f>
        <v>0.95174623620621313</v>
      </c>
      <c r="U673" s="7">
        <f ca="1">$AU$10*EXP(-'3.r(t)'!G671*$AU$24)</f>
        <v>0.9776942292466495</v>
      </c>
      <c r="V673" s="7">
        <v>1</v>
      </c>
      <c r="W673" s="7"/>
      <c r="X673" s="7">
        <v>665</v>
      </c>
      <c r="Y673" s="7">
        <f>$AV$7*EXP(-'3.r(t)'!D671*$AV$21)</f>
        <v>0.88900715067201674</v>
      </c>
      <c r="Z673" s="7">
        <f ca="1">$AV$8*EXP(-'3.r(t)'!E671*$AV$22)</f>
        <v>0.89534565457494075</v>
      </c>
      <c r="AA673" s="7">
        <f ca="1">$AV$9*EXP(-'3.r(t)'!F671*$AV$23)</f>
        <v>0.92787000901861438</v>
      </c>
      <c r="AB673" s="7">
        <f ca="1">$AV$10*EXP(-'3.r(t)'!G671*$AV$24)</f>
        <v>0.95545272931008329</v>
      </c>
      <c r="AC673" s="7">
        <f ca="1">$AV$11*EXP(-'3.r(t)'!H671*$AV$25)</f>
        <v>0.97614451795618595</v>
      </c>
      <c r="AD673" s="7">
        <v>1</v>
      </c>
      <c r="AE673" s="7"/>
      <c r="AF673" s="7">
        <v>665</v>
      </c>
      <c r="AG673" s="7">
        <f>$AW$7*EXP(-'3.r(t)'!D671*$AW$21)</f>
        <v>0.86718755429225491</v>
      </c>
      <c r="AH673" s="7">
        <f ca="1">$AW$8*EXP(-'3.r(t)'!E671*$AW$22)</f>
        <v>0.86998039784854408</v>
      </c>
      <c r="AI673" s="7">
        <f ca="1">$AW$9*EXP(-'3.r(t)'!F671*$AW$23)</f>
        <v>0.90420183323130854</v>
      </c>
      <c r="AJ673" s="7">
        <f ca="1">$AW$10*EXP(-'3.r(t)'!G671*$AW$24)</f>
        <v>0.93330797117912057</v>
      </c>
      <c r="AK673" s="7">
        <f ca="1">$AW$11*EXP(-'3.r(t)'!H671*$AW$25)</f>
        <v>0.95243466862063031</v>
      </c>
      <c r="AL673" s="7">
        <f ca="1">$AW$12*EXP(-'3.r(t)'!I671*$AW$26)</f>
        <v>0.97262361306536127</v>
      </c>
      <c r="AM673" s="7">
        <v>1</v>
      </c>
      <c r="AN673" s="7"/>
    </row>
    <row r="674" spans="2:40">
      <c r="B674" s="7">
        <v>666</v>
      </c>
      <c r="C674" s="7">
        <f>$AR$7*EXP(-'3.r(t)'!D672*$AR$21)</f>
        <v>0.97765346695821032</v>
      </c>
      <c r="D674" s="7">
        <v>1</v>
      </c>
      <c r="E674" s="7"/>
      <c r="F674" s="7">
        <v>666</v>
      </c>
      <c r="G674" s="48">
        <f>$AS$7*EXP(-'3.r(t)'!D672*$AS$21)</f>
        <v>0.9553476245219803</v>
      </c>
      <c r="H674" s="7">
        <f ca="1">$AS$8*EXP(-'3.r(t)'!E672*$AS$22)</f>
        <v>0.97734409658048826</v>
      </c>
      <c r="I674" s="7">
        <v>1</v>
      </c>
      <c r="J674" s="7"/>
      <c r="K674" s="7">
        <v>666</v>
      </c>
      <c r="L674" s="7">
        <f>$AT$7*EXP(-'3.r(t)'!D672*$AT$21)</f>
        <v>0.93311670519824419</v>
      </c>
      <c r="M674" s="7">
        <f ca="1">$AT$8*EXP(-'3.r(t)'!E672*$AT$22)</f>
        <v>0.95475156981302123</v>
      </c>
      <c r="N674" s="7">
        <f ca="1">$AT$9*EXP(-'3.r(t)'!F672*$AT$23)</f>
        <v>0.9770231176654347</v>
      </c>
      <c r="O674" s="7">
        <v>1</v>
      </c>
      <c r="P674" s="7"/>
      <c r="Q674" s="7">
        <v>666</v>
      </c>
      <c r="R674" s="7">
        <f>$AU$7*EXP(-'3.r(t)'!D672*$AU$21)</f>
        <v>0.91099305977534117</v>
      </c>
      <c r="S674" s="7">
        <f ca="1">$AU$8*EXP(-'3.r(t)'!E672*$AU$22)</f>
        <v>0.93225597520742143</v>
      </c>
      <c r="T674" s="7">
        <f ca="1">$AU$9*EXP(-'3.r(t)'!F672*$AU$23)</f>
        <v>0.95413302251010534</v>
      </c>
      <c r="U674" s="7">
        <f ca="1">$AU$10*EXP(-'3.r(t)'!G672*$AU$24)</f>
        <v>0.98019276056280091</v>
      </c>
      <c r="V674" s="7">
        <v>1</v>
      </c>
      <c r="W674" s="7"/>
      <c r="X674" s="7">
        <v>666</v>
      </c>
      <c r="Y674" s="7">
        <f>$AV$7*EXP(-'3.r(t)'!D672*$AV$21)</f>
        <v>0.88900715067201674</v>
      </c>
      <c r="Z674" s="7">
        <f ca="1">$AV$8*EXP(-'3.r(t)'!E672*$AV$22)</f>
        <v>0.90988895232618383</v>
      </c>
      <c r="AA674" s="7">
        <f ca="1">$AV$9*EXP(-'3.r(t)'!F672*$AV$23)</f>
        <v>0.93136256074754431</v>
      </c>
      <c r="AB674" s="7">
        <f ca="1">$AV$10*EXP(-'3.r(t)'!G672*$AV$24)</f>
        <v>0.96034235393144041</v>
      </c>
      <c r="AC674" s="7">
        <f ca="1">$AV$11*EXP(-'3.r(t)'!H672*$AV$25)</f>
        <v>0.98337066659331007</v>
      </c>
      <c r="AD674" s="7">
        <v>1</v>
      </c>
      <c r="AE674" s="7"/>
      <c r="AF674" s="7">
        <v>666</v>
      </c>
      <c r="AG674" s="7">
        <f>$AW$7*EXP(-'3.r(t)'!D672*$AW$21)</f>
        <v>0.86718755429225491</v>
      </c>
      <c r="AH674" s="7">
        <f ca="1">$AW$8*EXP(-'3.r(t)'!E672*$AW$22)</f>
        <v>0.88768022381548606</v>
      </c>
      <c r="AI674" s="7">
        <f ca="1">$AW$9*EXP(-'3.r(t)'!F672*$AW$23)</f>
        <v>0.90874262898848401</v>
      </c>
      <c r="AJ674" s="7">
        <f ca="1">$AW$10*EXP(-'3.r(t)'!G672*$AW$24)</f>
        <v>0.94048157448624137</v>
      </c>
      <c r="AK674" s="7">
        <f ca="1">$AW$11*EXP(-'3.r(t)'!H672*$AW$25)</f>
        <v>0.96658812399154537</v>
      </c>
      <c r="AL674" s="7">
        <f ca="1">$AW$12*EXP(-'3.r(t)'!I672*$AW$26)</f>
        <v>0.98245195774325522</v>
      </c>
      <c r="AM674" s="7">
        <v>1</v>
      </c>
      <c r="AN674" s="7"/>
    </row>
    <row r="675" spans="2:40">
      <c r="B675" s="7">
        <v>667</v>
      </c>
      <c r="C675" s="7">
        <f>$AR$7*EXP(-'3.r(t)'!D673*$AR$21)</f>
        <v>0.97765346695821032</v>
      </c>
      <c r="D675" s="7">
        <v>1</v>
      </c>
      <c r="E675" s="7"/>
      <c r="F675" s="7">
        <v>667</v>
      </c>
      <c r="G675" s="48">
        <f>$AS$7*EXP(-'3.r(t)'!D673*$AS$21)</f>
        <v>0.9553476245219803</v>
      </c>
      <c r="H675" s="7">
        <f ca="1">$AS$8*EXP(-'3.r(t)'!E673*$AS$22)</f>
        <v>0.97748616452400083</v>
      </c>
      <c r="I675" s="7">
        <v>1</v>
      </c>
      <c r="J675" s="7"/>
      <c r="K675" s="7">
        <v>667</v>
      </c>
      <c r="L675" s="7">
        <f>$AT$7*EXP(-'3.r(t)'!D673*$AT$21)</f>
        <v>0.93311670519824419</v>
      </c>
      <c r="M675" s="7">
        <f ca="1">$AT$8*EXP(-'3.r(t)'!E673*$AT$22)</f>
        <v>0.95502915771871888</v>
      </c>
      <c r="N675" s="7">
        <f ca="1">$AT$9*EXP(-'3.r(t)'!F673*$AT$23)</f>
        <v>0.97145527825660982</v>
      </c>
      <c r="O675" s="7">
        <v>1</v>
      </c>
      <c r="P675" s="7"/>
      <c r="Q675" s="7">
        <v>667</v>
      </c>
      <c r="R675" s="7">
        <f>$AU$7*EXP(-'3.r(t)'!D673*$AU$21)</f>
        <v>0.91099305977534117</v>
      </c>
      <c r="S675" s="7">
        <f ca="1">$AU$8*EXP(-'3.r(t)'!E673*$AU$22)</f>
        <v>0.93266257594138802</v>
      </c>
      <c r="T675" s="7">
        <f ca="1">$AU$9*EXP(-'3.r(t)'!F673*$AU$23)</f>
        <v>0.94328922141580573</v>
      </c>
      <c r="U675" s="7">
        <f ca="1">$AU$10*EXP(-'3.r(t)'!G673*$AU$24)</f>
        <v>0.97385218307854526</v>
      </c>
      <c r="V675" s="7">
        <v>1</v>
      </c>
      <c r="W675" s="7"/>
      <c r="X675" s="7">
        <v>667</v>
      </c>
      <c r="Y675" s="7">
        <f>$AV$7*EXP(-'3.r(t)'!D673*$AV$21)</f>
        <v>0.88900715067201674</v>
      </c>
      <c r="Z675" s="7">
        <f ca="1">$AV$8*EXP(-'3.r(t)'!E673*$AV$22)</f>
        <v>0.91041811801460326</v>
      </c>
      <c r="AA675" s="7">
        <f ca="1">$AV$9*EXP(-'3.r(t)'!F673*$AV$23)</f>
        <v>0.91553023954042356</v>
      </c>
      <c r="AB675" s="7">
        <f ca="1">$AV$10*EXP(-'3.r(t)'!G673*$AV$24)</f>
        <v>0.94795819649890767</v>
      </c>
      <c r="AC675" s="7">
        <f ca="1">$AV$11*EXP(-'3.r(t)'!H673*$AV$25)</f>
        <v>0.97565517712719119</v>
      </c>
      <c r="AD675" s="7">
        <v>1</v>
      </c>
      <c r="AE675" s="7"/>
      <c r="AF675" s="7">
        <v>667</v>
      </c>
      <c r="AG675" s="7">
        <f>$AW$7*EXP(-'3.r(t)'!D673*$AW$21)</f>
        <v>0.86718755429225491</v>
      </c>
      <c r="AH675" s="7">
        <f ca="1">$AW$8*EXP(-'3.r(t)'!E673*$AW$22)</f>
        <v>0.88832558287039043</v>
      </c>
      <c r="AI675" s="7">
        <f ca="1">$AW$9*EXP(-'3.r(t)'!F673*$AW$23)</f>
        <v>0.88820413583425251</v>
      </c>
      <c r="AJ675" s="7">
        <f ca="1">$AW$10*EXP(-'3.r(t)'!G673*$AW$24)</f>
        <v>0.92234828819861536</v>
      </c>
      <c r="AK675" s="7">
        <f ca="1">$AW$11*EXP(-'3.r(t)'!H673*$AW$25)</f>
        <v>0.95147999778531867</v>
      </c>
      <c r="AL675" s="7">
        <f ca="1">$AW$12*EXP(-'3.r(t)'!I673*$AW$26)</f>
        <v>0.97646268360970079</v>
      </c>
      <c r="AM675" s="7">
        <v>1</v>
      </c>
      <c r="AN675" s="7"/>
    </row>
    <row r="676" spans="2:40">
      <c r="B676" s="7">
        <v>668</v>
      </c>
      <c r="C676" s="7">
        <f>$AR$7*EXP(-'3.r(t)'!D674*$AR$21)</f>
        <v>0.97765346695821032</v>
      </c>
      <c r="D676" s="7">
        <v>1</v>
      </c>
      <c r="E676" s="7"/>
      <c r="F676" s="7">
        <v>668</v>
      </c>
      <c r="G676" s="48">
        <f>$AS$7*EXP(-'3.r(t)'!D674*$AS$21)</f>
        <v>0.9553476245219803</v>
      </c>
      <c r="H676" s="7">
        <f ca="1">$AS$8*EXP(-'3.r(t)'!E674*$AS$22)</f>
        <v>0.97698399720083973</v>
      </c>
      <c r="I676" s="7">
        <v>1</v>
      </c>
      <c r="J676" s="7"/>
      <c r="K676" s="7">
        <v>668</v>
      </c>
      <c r="L676" s="7">
        <f>$AT$7*EXP(-'3.r(t)'!D674*$AT$21)</f>
        <v>0.93311670519824419</v>
      </c>
      <c r="M676" s="7">
        <f ca="1">$AT$8*EXP(-'3.r(t)'!E674*$AT$22)</f>
        <v>0.95404814895604939</v>
      </c>
      <c r="N676" s="7">
        <f ca="1">$AT$9*EXP(-'3.r(t)'!F674*$AT$23)</f>
        <v>0.97087512244567731</v>
      </c>
      <c r="O676" s="7">
        <v>1</v>
      </c>
      <c r="P676" s="7"/>
      <c r="Q676" s="7">
        <v>668</v>
      </c>
      <c r="R676" s="7">
        <f>$AU$7*EXP(-'3.r(t)'!D674*$AU$21)</f>
        <v>0.91099305977534117</v>
      </c>
      <c r="S676" s="7">
        <f ca="1">$AU$8*EXP(-'3.r(t)'!E674*$AU$22)</f>
        <v>0.93122589442422543</v>
      </c>
      <c r="T676" s="7">
        <f ca="1">$AU$9*EXP(-'3.r(t)'!F674*$AU$23)</f>
        <v>0.94216288791510139</v>
      </c>
      <c r="U676" s="7">
        <f ca="1">$AU$10*EXP(-'3.r(t)'!G674*$AU$24)</f>
        <v>0.97198067483673711</v>
      </c>
      <c r="V676" s="7">
        <v>1</v>
      </c>
      <c r="W676" s="7"/>
      <c r="X676" s="7">
        <v>668</v>
      </c>
      <c r="Y676" s="7">
        <f>$AV$7*EXP(-'3.r(t)'!D674*$AV$21)</f>
        <v>0.88900715067201674</v>
      </c>
      <c r="Z676" s="7">
        <f ca="1">$AV$8*EXP(-'3.r(t)'!E674*$AV$22)</f>
        <v>0.90854871029586015</v>
      </c>
      <c r="AA676" s="7">
        <f ca="1">$AV$9*EXP(-'3.r(t)'!F674*$AV$23)</f>
        <v>0.91389094725635933</v>
      </c>
      <c r="AB676" s="7">
        <f ca="1">$AV$10*EXP(-'3.r(t)'!G674*$AV$24)</f>
        <v>0.9443182049234734</v>
      </c>
      <c r="AC676" s="7">
        <f ca="1">$AV$11*EXP(-'3.r(t)'!H674*$AV$25)</f>
        <v>0.974475224624896</v>
      </c>
      <c r="AD676" s="7">
        <v>1</v>
      </c>
      <c r="AE676" s="7"/>
      <c r="AF676" s="7">
        <v>668</v>
      </c>
      <c r="AG676" s="7">
        <f>$AW$7*EXP(-'3.r(t)'!D674*$AW$21)</f>
        <v>0.86718755429225491</v>
      </c>
      <c r="AH676" s="7">
        <f ca="1">$AW$8*EXP(-'3.r(t)'!E674*$AW$22)</f>
        <v>0.88604611339603023</v>
      </c>
      <c r="AI676" s="7">
        <f ca="1">$AW$9*EXP(-'3.r(t)'!F674*$AW$23)</f>
        <v>0.88608428376922321</v>
      </c>
      <c r="AJ676" s="7">
        <f ca="1">$AW$10*EXP(-'3.r(t)'!G674*$AW$24)</f>
        <v>0.91704091011837918</v>
      </c>
      <c r="AK676" s="7">
        <f ca="1">$AW$11*EXP(-'3.r(t)'!H674*$AW$25)</f>
        <v>0.94917995913240527</v>
      </c>
      <c r="AL676" s="7">
        <f ca="1">$AW$12*EXP(-'3.r(t)'!I674*$AW$26)</f>
        <v>0.97613135687941821</v>
      </c>
      <c r="AM676" s="7">
        <v>1</v>
      </c>
      <c r="AN676" s="7"/>
    </row>
    <row r="677" spans="2:40">
      <c r="B677" s="7">
        <v>669</v>
      </c>
      <c r="C677" s="7">
        <f>$AR$7*EXP(-'3.r(t)'!D675*$AR$21)</f>
        <v>0.97765346695821032</v>
      </c>
      <c r="D677" s="7">
        <v>1</v>
      </c>
      <c r="E677" s="7"/>
      <c r="F677" s="7">
        <v>669</v>
      </c>
      <c r="G677" s="48">
        <f>$AS$7*EXP(-'3.r(t)'!D675*$AS$21)</f>
        <v>0.9553476245219803</v>
      </c>
      <c r="H677" s="7">
        <f ca="1">$AS$8*EXP(-'3.r(t)'!E675*$AS$22)</f>
        <v>0.97586535440579725</v>
      </c>
      <c r="I677" s="7">
        <v>1</v>
      </c>
      <c r="J677" s="7"/>
      <c r="K677" s="7">
        <v>669</v>
      </c>
      <c r="L677" s="7">
        <f>$AT$7*EXP(-'3.r(t)'!D675*$AT$21)</f>
        <v>0.93311670519824419</v>
      </c>
      <c r="M677" s="7">
        <f ca="1">$AT$8*EXP(-'3.r(t)'!E675*$AT$22)</f>
        <v>0.9518646370484819</v>
      </c>
      <c r="N677" s="7">
        <f ca="1">$AT$9*EXP(-'3.r(t)'!F675*$AT$23)</f>
        <v>0.97093713603279985</v>
      </c>
      <c r="O677" s="7">
        <v>1</v>
      </c>
      <c r="P677" s="7"/>
      <c r="Q677" s="7">
        <v>669</v>
      </c>
      <c r="R677" s="7">
        <f>$AU$7*EXP(-'3.r(t)'!D675*$AU$21)</f>
        <v>0.91099305977534117</v>
      </c>
      <c r="S677" s="7">
        <f ca="1">$AU$8*EXP(-'3.r(t)'!E675*$AU$22)</f>
        <v>0.92803080573471319</v>
      </c>
      <c r="T677" s="7">
        <f ca="1">$AU$9*EXP(-'3.r(t)'!F675*$AU$23)</f>
        <v>0.9422832510080672</v>
      </c>
      <c r="U677" s="7">
        <f ca="1">$AU$10*EXP(-'3.r(t)'!G675*$AU$24)</f>
        <v>0.97016761929283291</v>
      </c>
      <c r="V677" s="7">
        <v>1</v>
      </c>
      <c r="W677" s="7"/>
      <c r="X677" s="7">
        <v>669</v>
      </c>
      <c r="Y677" s="7">
        <f>$AV$7*EXP(-'3.r(t)'!D675*$AV$21)</f>
        <v>0.88900715067201674</v>
      </c>
      <c r="Z677" s="7">
        <f ca="1">$AV$8*EXP(-'3.r(t)'!E675*$AV$22)</f>
        <v>0.90439471291916818</v>
      </c>
      <c r="AA677" s="7">
        <f ca="1">$AV$9*EXP(-'3.r(t)'!F675*$AV$23)</f>
        <v>0.91406607979795851</v>
      </c>
      <c r="AB677" s="7">
        <f ca="1">$AV$10*EXP(-'3.r(t)'!G675*$AV$24)</f>
        <v>0.94079857826423685</v>
      </c>
      <c r="AC677" s="7">
        <f ca="1">$AV$11*EXP(-'3.r(t)'!H675*$AV$25)</f>
        <v>0.96771331240855007</v>
      </c>
      <c r="AD677" s="7">
        <v>1</v>
      </c>
      <c r="AE677" s="7"/>
      <c r="AF677" s="7">
        <v>669</v>
      </c>
      <c r="AG677" s="7">
        <f>$AW$7*EXP(-'3.r(t)'!D675*$AW$21)</f>
        <v>0.86718755429225491</v>
      </c>
      <c r="AH677" s="7">
        <f ca="1">$AW$8*EXP(-'3.r(t)'!E675*$AW$22)</f>
        <v>0.88098511991157302</v>
      </c>
      <c r="AI677" s="7">
        <f ca="1">$AW$9*EXP(-'3.r(t)'!F675*$AW$23)</f>
        <v>0.8863106961207996</v>
      </c>
      <c r="AJ677" s="7">
        <f ca="1">$AW$10*EXP(-'3.r(t)'!G675*$AW$24)</f>
        <v>0.91191875066785444</v>
      </c>
      <c r="AK677" s="7">
        <f ca="1">$AW$11*EXP(-'3.r(t)'!H675*$AW$25)</f>
        <v>0.93605288701796396</v>
      </c>
      <c r="AL677" s="7">
        <f ca="1">$AW$12*EXP(-'3.r(t)'!I675*$AW$26)</f>
        <v>0.96580822030756497</v>
      </c>
      <c r="AM677" s="7">
        <v>1</v>
      </c>
      <c r="AN677" s="7"/>
    </row>
    <row r="678" spans="2:40">
      <c r="B678" s="7">
        <v>670</v>
      </c>
      <c r="C678" s="7">
        <f>$AR$7*EXP(-'3.r(t)'!D676*$AR$21)</f>
        <v>0.97765346695821032</v>
      </c>
      <c r="D678" s="7">
        <v>1</v>
      </c>
      <c r="E678" s="7"/>
      <c r="F678" s="7">
        <v>670</v>
      </c>
      <c r="G678" s="48">
        <f>$AS$7*EXP(-'3.r(t)'!D676*$AS$21)</f>
        <v>0.9553476245219803</v>
      </c>
      <c r="H678" s="7">
        <f ca="1">$AS$8*EXP(-'3.r(t)'!E676*$AS$22)</f>
        <v>0.97642430134344738</v>
      </c>
      <c r="I678" s="7">
        <v>1</v>
      </c>
      <c r="J678" s="7"/>
      <c r="K678" s="7">
        <v>670</v>
      </c>
      <c r="L678" s="7">
        <f>$AT$7*EXP(-'3.r(t)'!D676*$AT$21)</f>
        <v>0.93311670519824419</v>
      </c>
      <c r="M678" s="7">
        <f ca="1">$AT$8*EXP(-'3.r(t)'!E676*$AT$22)</f>
        <v>0.95295534939005122</v>
      </c>
      <c r="N678" s="7">
        <f ca="1">$AT$9*EXP(-'3.r(t)'!F676*$AT$23)</f>
        <v>0.97716671904723496</v>
      </c>
      <c r="O678" s="7">
        <v>1</v>
      </c>
      <c r="P678" s="7"/>
      <c r="Q678" s="7">
        <v>670</v>
      </c>
      <c r="R678" s="7">
        <f>$AU$7*EXP(-'3.r(t)'!D676*$AU$21)</f>
        <v>0.91099305977534117</v>
      </c>
      <c r="S678" s="7">
        <f ca="1">$AU$8*EXP(-'3.r(t)'!E676*$AU$22)</f>
        <v>0.92962636542587163</v>
      </c>
      <c r="T678" s="7">
        <f ca="1">$AU$9*EXP(-'3.r(t)'!F676*$AU$23)</f>
        <v>0.95441351718232281</v>
      </c>
      <c r="U678" s="7">
        <f ca="1">$AU$10*EXP(-'3.r(t)'!G676*$AU$24)</f>
        <v>0.97451500014936998</v>
      </c>
      <c r="V678" s="7">
        <v>1</v>
      </c>
      <c r="W678" s="7"/>
      <c r="X678" s="7">
        <v>670</v>
      </c>
      <c r="Y678" s="7">
        <f>$AV$7*EXP(-'3.r(t)'!D676*$AV$21)</f>
        <v>0.88900715067201674</v>
      </c>
      <c r="Z678" s="7">
        <f ca="1">$AV$8*EXP(-'3.r(t)'!E676*$AV$22)</f>
        <v>0.90646853644205516</v>
      </c>
      <c r="AA678" s="7">
        <f ca="1">$AV$9*EXP(-'3.r(t)'!F676*$AV$23)</f>
        <v>0.93177329189665081</v>
      </c>
      <c r="AB678" s="7">
        <f ca="1">$AV$10*EXP(-'3.r(t)'!G676*$AV$24)</f>
        <v>0.94924902216741458</v>
      </c>
      <c r="AC678" s="7">
        <f ca="1">$AV$11*EXP(-'3.r(t)'!H676*$AV$25)</f>
        <v>0.97217039871481203</v>
      </c>
      <c r="AD678" s="7">
        <v>1</v>
      </c>
      <c r="AE678" s="7"/>
      <c r="AF678" s="7">
        <v>670</v>
      </c>
      <c r="AG678" s="7">
        <f>$AW$7*EXP(-'3.r(t)'!D676*$AW$21)</f>
        <v>0.86718755429225491</v>
      </c>
      <c r="AH678" s="7">
        <f ca="1">$AW$8*EXP(-'3.r(t)'!E676*$AW$22)</f>
        <v>0.88351102344790533</v>
      </c>
      <c r="AI678" s="7">
        <f ca="1">$AW$9*EXP(-'3.r(t)'!F676*$AW$23)</f>
        <v>0.90927700926257859</v>
      </c>
      <c r="AJ678" s="7">
        <f ca="1">$AW$10*EXP(-'3.r(t)'!G676*$AW$24)</f>
        <v>0.92423285873490002</v>
      </c>
      <c r="AK678" s="7">
        <f ca="1">$AW$11*EXP(-'3.r(t)'!H676*$AW$25)</f>
        <v>0.94469527374774209</v>
      </c>
      <c r="AL678" s="7">
        <f ca="1">$AW$12*EXP(-'3.r(t)'!I676*$AW$26)</f>
        <v>0.97039867144126091</v>
      </c>
      <c r="AM678" s="7">
        <v>1</v>
      </c>
      <c r="AN678" s="7"/>
    </row>
    <row r="679" spans="2:40">
      <c r="B679" s="7">
        <v>671</v>
      </c>
      <c r="C679" s="7">
        <f>$AR$7*EXP(-'3.r(t)'!D677*$AR$21)</f>
        <v>0.97765346695821032</v>
      </c>
      <c r="D679" s="7">
        <v>1</v>
      </c>
      <c r="E679" s="7"/>
      <c r="F679" s="7">
        <v>671</v>
      </c>
      <c r="G679" s="48">
        <f>$AS$7*EXP(-'3.r(t)'!D677*$AS$21)</f>
        <v>0.9553476245219803</v>
      </c>
      <c r="H679" s="7">
        <f ca="1">$AS$8*EXP(-'3.r(t)'!E677*$AS$22)</f>
        <v>0.98225048214737343</v>
      </c>
      <c r="I679" s="7">
        <v>1</v>
      </c>
      <c r="J679" s="7"/>
      <c r="K679" s="7">
        <v>671</v>
      </c>
      <c r="L679" s="7">
        <f>$AT$7*EXP(-'3.r(t)'!D677*$AT$21)</f>
        <v>0.93311670519824419</v>
      </c>
      <c r="M679" s="7">
        <f ca="1">$AT$8*EXP(-'3.r(t)'!E677*$AT$22)</f>
        <v>0.96436156779405979</v>
      </c>
      <c r="N679" s="7">
        <f ca="1">$AT$9*EXP(-'3.r(t)'!F677*$AT$23)</f>
        <v>0.97754973481599949</v>
      </c>
      <c r="O679" s="7">
        <v>1</v>
      </c>
      <c r="P679" s="7"/>
      <c r="Q679" s="7">
        <v>671</v>
      </c>
      <c r="R679" s="7">
        <f>$AU$7*EXP(-'3.r(t)'!D677*$AU$21)</f>
        <v>0.91099305977534117</v>
      </c>
      <c r="S679" s="7">
        <f ca="1">$AU$8*EXP(-'3.r(t)'!E677*$AU$22)</f>
        <v>0.94636668945202107</v>
      </c>
      <c r="T679" s="7">
        <f ca="1">$AU$9*EXP(-'3.r(t)'!F677*$AU$23)</f>
        <v>0.95516185840692158</v>
      </c>
      <c r="U679" s="7">
        <f ca="1">$AU$10*EXP(-'3.r(t)'!G677*$AU$24)</f>
        <v>0.97725170007622031</v>
      </c>
      <c r="V679" s="7">
        <v>1</v>
      </c>
      <c r="W679" s="7"/>
      <c r="X679" s="7">
        <v>671</v>
      </c>
      <c r="Y679" s="7">
        <f>$AV$7*EXP(-'3.r(t)'!D677*$AV$21)</f>
        <v>0.88900715067201674</v>
      </c>
      <c r="Z679" s="7">
        <f ca="1">$AV$8*EXP(-'3.r(t)'!E677*$AV$22)</f>
        <v>0.92829800772372273</v>
      </c>
      <c r="AA679" s="7">
        <f ca="1">$AV$9*EXP(-'3.r(t)'!F677*$AV$23)</f>
        <v>0.93286939073394104</v>
      </c>
      <c r="AB679" s="7">
        <f ca="1">$AV$10*EXP(-'3.r(t)'!G677*$AV$24)</f>
        <v>0.95458800084489936</v>
      </c>
      <c r="AC679" s="7">
        <f ca="1">$AV$11*EXP(-'3.r(t)'!H677*$AV$25)</f>
        <v>0.97641112469761471</v>
      </c>
      <c r="AD679" s="7">
        <v>1</v>
      </c>
      <c r="AE679" s="7"/>
      <c r="AF679" s="7">
        <v>671</v>
      </c>
      <c r="AG679" s="7">
        <f>$AW$7*EXP(-'3.r(t)'!D677*$AW$21)</f>
        <v>0.86718755429225491</v>
      </c>
      <c r="AH679" s="7">
        <f ca="1">$AW$8*EXP(-'3.r(t)'!E677*$AW$22)</f>
        <v>0.91018636984054391</v>
      </c>
      <c r="AI679" s="7">
        <f ca="1">$AW$9*EXP(-'3.r(t)'!F677*$AW$23)</f>
        <v>0.91070346901704102</v>
      </c>
      <c r="AJ679" s="7">
        <f ca="1">$AW$10*EXP(-'3.r(t)'!G677*$AW$24)</f>
        <v>0.93204122823456836</v>
      </c>
      <c r="AK679" s="7">
        <f ca="1">$AW$11*EXP(-'3.r(t)'!H677*$AW$25)</f>
        <v>0.95295500177847647</v>
      </c>
      <c r="AL679" s="7">
        <f ca="1">$AW$12*EXP(-'3.r(t)'!I677*$AW$26)</f>
        <v>0.97566557038834378</v>
      </c>
      <c r="AM679" s="7">
        <v>1</v>
      </c>
      <c r="AN679" s="7"/>
    </row>
    <row r="680" spans="2:40">
      <c r="B680" s="7">
        <v>672</v>
      </c>
      <c r="C680" s="7">
        <f>$AR$7*EXP(-'3.r(t)'!D678*$AR$21)</f>
        <v>0.97765346695821032</v>
      </c>
      <c r="D680" s="7">
        <v>1</v>
      </c>
      <c r="E680" s="7"/>
      <c r="F680" s="7">
        <v>672</v>
      </c>
      <c r="G680" s="48">
        <f>$AS$7*EXP(-'3.r(t)'!D678*$AS$21)</f>
        <v>0.9553476245219803</v>
      </c>
      <c r="H680" s="7">
        <f ca="1">$AS$8*EXP(-'3.r(t)'!E678*$AS$22)</f>
        <v>0.976816201841609</v>
      </c>
      <c r="I680" s="7">
        <v>1</v>
      </c>
      <c r="J680" s="7"/>
      <c r="K680" s="7">
        <v>672</v>
      </c>
      <c r="L680" s="7">
        <f>$AT$7*EXP(-'3.r(t)'!D678*$AT$21)</f>
        <v>0.93311670519824419</v>
      </c>
      <c r="M680" s="7">
        <f ca="1">$AT$8*EXP(-'3.r(t)'!E678*$AT$22)</f>
        <v>0.95372046476637173</v>
      </c>
      <c r="N680" s="7">
        <f ca="1">$AT$9*EXP(-'3.r(t)'!F678*$AT$23)</f>
        <v>0.97514362464523796</v>
      </c>
      <c r="O680" s="7">
        <v>1</v>
      </c>
      <c r="P680" s="7"/>
      <c r="Q680" s="7">
        <v>672</v>
      </c>
      <c r="R680" s="7">
        <f>$AU$7*EXP(-'3.r(t)'!D678*$AU$21)</f>
        <v>0.91099305977534117</v>
      </c>
      <c r="S680" s="7">
        <f ca="1">$AU$8*EXP(-'3.r(t)'!E678*$AU$22)</f>
        <v>0.93074616737998184</v>
      </c>
      <c r="T680" s="7">
        <f ca="1">$AU$9*EXP(-'3.r(t)'!F678*$AU$23)</f>
        <v>0.95046563438570764</v>
      </c>
      <c r="U680" s="7">
        <f ca="1">$AU$10*EXP(-'3.r(t)'!G678*$AU$24)</f>
        <v>0.97598404315995757</v>
      </c>
      <c r="V680" s="7">
        <v>1</v>
      </c>
      <c r="W680" s="7"/>
      <c r="X680" s="7">
        <v>672</v>
      </c>
      <c r="Y680" s="7">
        <f>$AV$7*EXP(-'3.r(t)'!D678*$AV$21)</f>
        <v>0.88900715067201674</v>
      </c>
      <c r="Z680" s="7">
        <f ca="1">$AV$8*EXP(-'3.r(t)'!E678*$AV$22)</f>
        <v>0.90792470422188976</v>
      </c>
      <c r="AA680" s="7">
        <f ca="1">$AV$9*EXP(-'3.r(t)'!F678*$AV$23)</f>
        <v>0.9259979255979196</v>
      </c>
      <c r="AB680" s="7">
        <f ca="1">$AV$10*EXP(-'3.r(t)'!G678*$AV$24)</f>
        <v>0.95211309036283021</v>
      </c>
      <c r="AC680" s="7">
        <f ca="1">$AV$11*EXP(-'3.r(t)'!H678*$AV$25)</f>
        <v>0.97958675692835362</v>
      </c>
      <c r="AD680" s="7">
        <v>1</v>
      </c>
      <c r="AE680" s="7"/>
      <c r="AF680" s="7">
        <v>672</v>
      </c>
      <c r="AG680" s="7">
        <f>$AW$7*EXP(-'3.r(t)'!D678*$AW$21)</f>
        <v>0.86718755429225491</v>
      </c>
      <c r="AH680" s="7">
        <f ca="1">$AW$8*EXP(-'3.r(t)'!E678*$AW$22)</f>
        <v>0.88528549005970669</v>
      </c>
      <c r="AI680" s="7">
        <f ca="1">$AW$9*EXP(-'3.r(t)'!F678*$AW$23)</f>
        <v>0.90177021131200497</v>
      </c>
      <c r="AJ680" s="7">
        <f ca="1">$AW$10*EXP(-'3.r(t)'!G678*$AW$24)</f>
        <v>0.92841889666924038</v>
      </c>
      <c r="AK680" s="7">
        <f ca="1">$AW$11*EXP(-'3.r(t)'!H678*$AW$25)</f>
        <v>0.95916377128312413</v>
      </c>
      <c r="AL680" s="7">
        <f ca="1">$AW$12*EXP(-'3.r(t)'!I678*$AW$26)</f>
        <v>0.97424336163897174</v>
      </c>
      <c r="AM680" s="7">
        <v>1</v>
      </c>
      <c r="AN680" s="7"/>
    </row>
    <row r="681" spans="2:40">
      <c r="B681" s="7">
        <v>673</v>
      </c>
      <c r="C681" s="7">
        <f>$AR$7*EXP(-'3.r(t)'!D679*$AR$21)</f>
        <v>0.97765346695821032</v>
      </c>
      <c r="D681" s="7">
        <v>1</v>
      </c>
      <c r="E681" s="7"/>
      <c r="F681" s="7">
        <v>673</v>
      </c>
      <c r="G681" s="48">
        <f>$AS$7*EXP(-'3.r(t)'!D679*$AS$21)</f>
        <v>0.9553476245219803</v>
      </c>
      <c r="H681" s="7">
        <f ca="1">$AS$8*EXP(-'3.r(t)'!E679*$AS$22)</f>
        <v>0.97228413813979497</v>
      </c>
      <c r="I681" s="7">
        <v>1</v>
      </c>
      <c r="J681" s="7"/>
      <c r="K681" s="7">
        <v>673</v>
      </c>
      <c r="L681" s="7">
        <f>$AT$7*EXP(-'3.r(t)'!D679*$AT$21)</f>
        <v>0.93311670519824419</v>
      </c>
      <c r="M681" s="7">
        <f ca="1">$AT$8*EXP(-'3.r(t)'!E679*$AT$22)</f>
        <v>0.94489117854184368</v>
      </c>
      <c r="N681" s="7">
        <f ca="1">$AT$9*EXP(-'3.r(t)'!F679*$AT$23)</f>
        <v>0.97684519618874199</v>
      </c>
      <c r="O681" s="7">
        <v>1</v>
      </c>
      <c r="P681" s="7"/>
      <c r="Q681" s="7">
        <v>673</v>
      </c>
      <c r="R681" s="7">
        <f>$AU$7*EXP(-'3.r(t)'!D679*$AU$21)</f>
        <v>0.91099305977534117</v>
      </c>
      <c r="S681" s="7">
        <f ca="1">$AU$8*EXP(-'3.r(t)'!E679*$AU$22)</f>
        <v>0.91785123290592141</v>
      </c>
      <c r="T681" s="7">
        <f ca="1">$AU$9*EXP(-'3.r(t)'!F679*$AU$23)</f>
        <v>0.95378554803164761</v>
      </c>
      <c r="U681" s="7">
        <f ca="1">$AU$10*EXP(-'3.r(t)'!G679*$AU$24)</f>
        <v>0.97415430845976481</v>
      </c>
      <c r="V681" s="7">
        <v>1</v>
      </c>
      <c r="W681" s="7"/>
      <c r="X681" s="7">
        <v>673</v>
      </c>
      <c r="Y681" s="7">
        <f>$AV$7*EXP(-'3.r(t)'!D679*$AV$21)</f>
        <v>0.88900715067201674</v>
      </c>
      <c r="Z681" s="7">
        <f ca="1">$AV$8*EXP(-'3.r(t)'!E679*$AV$22)</f>
        <v>0.891191875506958</v>
      </c>
      <c r="AA681" s="7">
        <f ca="1">$AV$9*EXP(-'3.r(t)'!F679*$AV$23)</f>
        <v>0.93085383411348255</v>
      </c>
      <c r="AB681" s="7">
        <f ca="1">$AV$10*EXP(-'3.r(t)'!G679*$AV$24)</f>
        <v>0.94854647193293817</v>
      </c>
      <c r="AC681" s="7">
        <f ca="1">$AV$11*EXP(-'3.r(t)'!H679*$AV$25)</f>
        <v>0.97610591293543747</v>
      </c>
      <c r="AD681" s="7">
        <v>1</v>
      </c>
      <c r="AE681" s="7"/>
      <c r="AF681" s="7">
        <v>673</v>
      </c>
      <c r="AG681" s="7">
        <f>$AW$7*EXP(-'3.r(t)'!D679*$AW$21)</f>
        <v>0.86718755429225491</v>
      </c>
      <c r="AH681" s="7">
        <f ca="1">$AW$8*EXP(-'3.r(t)'!E679*$AW$22)</f>
        <v>0.86493819951195794</v>
      </c>
      <c r="AI681" s="7">
        <f ca="1">$AW$9*EXP(-'3.r(t)'!F679*$AW$23)</f>
        <v>0.90808086094091545</v>
      </c>
      <c r="AJ681" s="7">
        <f ca="1">$AW$10*EXP(-'3.r(t)'!G679*$AW$24)</f>
        <v>0.92320699538506978</v>
      </c>
      <c r="AK681" s="7">
        <f ca="1">$AW$11*EXP(-'3.r(t)'!H679*$AW$25)</f>
        <v>0.95235933544527895</v>
      </c>
      <c r="AL681" s="7">
        <f ca="1">$AW$12*EXP(-'3.r(t)'!I679*$AW$26)</f>
        <v>0.97976659533307764</v>
      </c>
      <c r="AM681" s="7">
        <v>1</v>
      </c>
      <c r="AN681" s="7"/>
    </row>
    <row r="682" spans="2:40">
      <c r="B682" s="7">
        <v>674</v>
      </c>
      <c r="C682" s="7">
        <f>$AR$7*EXP(-'3.r(t)'!D680*$AR$21)</f>
        <v>0.97765346695821032</v>
      </c>
      <c r="D682" s="7">
        <v>1</v>
      </c>
      <c r="E682" s="7"/>
      <c r="F682" s="7">
        <v>674</v>
      </c>
      <c r="G682" s="48">
        <f>$AS$7*EXP(-'3.r(t)'!D680*$AS$21)</f>
        <v>0.9553476245219803</v>
      </c>
      <c r="H682" s="7">
        <f ca="1">$AS$8*EXP(-'3.r(t)'!E680*$AS$22)</f>
        <v>0.97526269077400729</v>
      </c>
      <c r="I682" s="7">
        <v>1</v>
      </c>
      <c r="J682" s="7"/>
      <c r="K682" s="7">
        <v>674</v>
      </c>
      <c r="L682" s="7">
        <f>$AT$7*EXP(-'3.r(t)'!D680*$AT$21)</f>
        <v>0.93311670519824419</v>
      </c>
      <c r="M682" s="7">
        <f ca="1">$AT$8*EXP(-'3.r(t)'!E680*$AT$22)</f>
        <v>0.9506893169878069</v>
      </c>
      <c r="N682" s="7">
        <f ca="1">$AT$9*EXP(-'3.r(t)'!F680*$AT$23)</f>
        <v>0.97657235057034353</v>
      </c>
      <c r="O682" s="7">
        <v>1</v>
      </c>
      <c r="P682" s="7"/>
      <c r="Q682" s="7">
        <v>674</v>
      </c>
      <c r="R682" s="7">
        <f>$AU$7*EXP(-'3.r(t)'!D680*$AU$21)</f>
        <v>0.91099305977534117</v>
      </c>
      <c r="S682" s="7">
        <f ca="1">$AU$8*EXP(-'3.r(t)'!E680*$AU$22)</f>
        <v>0.92631249976881125</v>
      </c>
      <c r="T682" s="7">
        <f ca="1">$AU$9*EXP(-'3.r(t)'!F680*$AU$23)</f>
        <v>0.95325281292683883</v>
      </c>
      <c r="U682" s="7">
        <f ca="1">$AU$10*EXP(-'3.r(t)'!G680*$AU$24)</f>
        <v>0.97666864419563881</v>
      </c>
      <c r="V682" s="7">
        <v>1</v>
      </c>
      <c r="W682" s="7"/>
      <c r="X682" s="7">
        <v>674</v>
      </c>
      <c r="Y682" s="7">
        <f>$AV$7*EXP(-'3.r(t)'!D680*$AV$21)</f>
        <v>0.88900715067201674</v>
      </c>
      <c r="Z682" s="7">
        <f ca="1">$AV$8*EXP(-'3.r(t)'!E680*$AV$22)</f>
        <v>0.90216267915333626</v>
      </c>
      <c r="AA682" s="7">
        <f ca="1">$AV$9*EXP(-'3.r(t)'!F680*$AV$23)</f>
        <v>0.93007405306575031</v>
      </c>
      <c r="AB682" s="7">
        <f ca="1">$AV$10*EXP(-'3.r(t)'!G680*$AV$24)</f>
        <v>0.95344927248600353</v>
      </c>
      <c r="AC682" s="7">
        <f ca="1">$AV$11*EXP(-'3.r(t)'!H680*$AV$25)</f>
        <v>0.97606035407961345</v>
      </c>
      <c r="AD682" s="7">
        <v>1</v>
      </c>
      <c r="AE682" s="7"/>
      <c r="AF682" s="7">
        <v>674</v>
      </c>
      <c r="AG682" s="7">
        <f>$AW$7*EXP(-'3.r(t)'!D680*$AW$21)</f>
        <v>0.86718755429225491</v>
      </c>
      <c r="AH682" s="7">
        <f ca="1">$AW$8*EXP(-'3.r(t)'!E680*$AW$22)</f>
        <v>0.87826813485990185</v>
      </c>
      <c r="AI682" s="7">
        <f ca="1">$AW$9*EXP(-'3.r(t)'!F680*$AW$23)</f>
        <v>0.9070667305629031</v>
      </c>
      <c r="AJ682" s="7">
        <f ca="1">$AW$10*EXP(-'3.r(t)'!G680*$AW$24)</f>
        <v>0.93037397723893978</v>
      </c>
      <c r="AK682" s="7">
        <f ca="1">$AW$11*EXP(-'3.r(t)'!H680*$AW$25)</f>
        <v>0.95227043650813681</v>
      </c>
      <c r="AL682" s="7">
        <f ca="1">$AW$12*EXP(-'3.r(t)'!I680*$AW$26)</f>
        <v>0.97479577998973799</v>
      </c>
      <c r="AM682" s="7">
        <v>1</v>
      </c>
      <c r="AN682" s="7"/>
    </row>
    <row r="683" spans="2:40">
      <c r="B683" s="7">
        <v>675</v>
      </c>
      <c r="C683" s="7">
        <f>$AR$7*EXP(-'3.r(t)'!D681*$AR$21)</f>
        <v>0.97765346695821032</v>
      </c>
      <c r="D683" s="7">
        <v>1</v>
      </c>
      <c r="E683" s="7"/>
      <c r="F683" s="7">
        <v>675</v>
      </c>
      <c r="G683" s="48">
        <f>$AS$7*EXP(-'3.r(t)'!D681*$AS$21)</f>
        <v>0.9553476245219803</v>
      </c>
      <c r="H683" s="7">
        <f ca="1">$AS$8*EXP(-'3.r(t)'!E681*$AS$22)</f>
        <v>0.97697150426455526</v>
      </c>
      <c r="I683" s="7">
        <v>1</v>
      </c>
      <c r="J683" s="7"/>
      <c r="K683" s="7">
        <v>675</v>
      </c>
      <c r="L683" s="7">
        <f>$AT$7*EXP(-'3.r(t)'!D681*$AT$21)</f>
        <v>0.93311670519824419</v>
      </c>
      <c r="M683" s="7">
        <f ca="1">$AT$8*EXP(-'3.r(t)'!E681*$AT$22)</f>
        <v>0.9540237498122216</v>
      </c>
      <c r="N683" s="7">
        <f ca="1">$AT$9*EXP(-'3.r(t)'!F681*$AT$23)</f>
        <v>0.9730693767443811</v>
      </c>
      <c r="O683" s="7">
        <v>1</v>
      </c>
      <c r="P683" s="7"/>
      <c r="Q683" s="7">
        <v>675</v>
      </c>
      <c r="R683" s="7">
        <f>$AU$7*EXP(-'3.r(t)'!D681*$AU$21)</f>
        <v>0.91099305977534117</v>
      </c>
      <c r="S683" s="7">
        <f ca="1">$AU$8*EXP(-'3.r(t)'!E681*$AU$22)</f>
        <v>0.93119017143274574</v>
      </c>
      <c r="T683" s="7">
        <f ca="1">$AU$9*EXP(-'3.r(t)'!F681*$AU$23)</f>
        <v>0.94642642521319886</v>
      </c>
      <c r="U683" s="7">
        <f ca="1">$AU$10*EXP(-'3.r(t)'!G681*$AU$24)</f>
        <v>0.97839697100318535</v>
      </c>
      <c r="V683" s="7">
        <v>1</v>
      </c>
      <c r="W683" s="7"/>
      <c r="X683" s="7">
        <v>675</v>
      </c>
      <c r="Y683" s="7">
        <f>$AV$7*EXP(-'3.r(t)'!D681*$AV$21)</f>
        <v>0.88900715067201674</v>
      </c>
      <c r="Z683" s="7">
        <f ca="1">$AV$8*EXP(-'3.r(t)'!E681*$AV$22)</f>
        <v>0.90850223983791145</v>
      </c>
      <c r="AA683" s="7">
        <f ca="1">$AV$9*EXP(-'3.r(t)'!F681*$AV$23)</f>
        <v>0.92010135886589872</v>
      </c>
      <c r="AB683" s="7">
        <f ca="1">$AV$10*EXP(-'3.r(t)'!G681*$AV$24)</f>
        <v>0.95682673319584555</v>
      </c>
      <c r="AC683" s="7">
        <f ca="1">$AV$11*EXP(-'3.r(t)'!H681*$AV$25)</f>
        <v>0.97861477053011781</v>
      </c>
      <c r="AD683" s="7">
        <v>1</v>
      </c>
      <c r="AE683" s="7"/>
      <c r="AF683" s="7">
        <v>675</v>
      </c>
      <c r="AG683" s="7">
        <f>$AW$7*EXP(-'3.r(t)'!D681*$AW$21)</f>
        <v>0.86718755429225491</v>
      </c>
      <c r="AH683" s="7">
        <f ca="1">$AW$8*EXP(-'3.r(t)'!E681*$AW$22)</f>
        <v>0.88598946438958326</v>
      </c>
      <c r="AI683" s="7">
        <f ca="1">$AW$9*EXP(-'3.r(t)'!F681*$AW$23)</f>
        <v>0.89412196246928599</v>
      </c>
      <c r="AJ683" s="7">
        <f ca="1">$AW$10*EXP(-'3.r(t)'!G681*$AW$24)</f>
        <v>0.93532193219763371</v>
      </c>
      <c r="AK683" s="7">
        <f ca="1">$AW$11*EXP(-'3.r(t)'!H681*$AW$25)</f>
        <v>0.9572612718823893</v>
      </c>
      <c r="AL683" s="7">
        <f ca="1">$AW$12*EXP(-'3.r(t)'!I681*$AW$26)</f>
        <v>0.97837585670594474</v>
      </c>
      <c r="AM683" s="7">
        <v>1</v>
      </c>
      <c r="AN683" s="7"/>
    </row>
    <row r="684" spans="2:40">
      <c r="B684" s="7">
        <v>676</v>
      </c>
      <c r="C684" s="7">
        <f>$AR$7*EXP(-'3.r(t)'!D682*$AR$21)</f>
        <v>0.97765346695821032</v>
      </c>
      <c r="D684" s="7">
        <v>1</v>
      </c>
      <c r="E684" s="7"/>
      <c r="F684" s="7">
        <v>676</v>
      </c>
      <c r="G684" s="48">
        <f>$AS$7*EXP(-'3.r(t)'!D682*$AS$21)</f>
        <v>0.9553476245219803</v>
      </c>
      <c r="H684" s="7">
        <f ca="1">$AS$8*EXP(-'3.r(t)'!E682*$AS$22)</f>
        <v>0.98107737161817821</v>
      </c>
      <c r="I684" s="7">
        <v>1</v>
      </c>
      <c r="J684" s="7"/>
      <c r="K684" s="7">
        <v>676</v>
      </c>
      <c r="L684" s="7">
        <f>$AT$7*EXP(-'3.r(t)'!D682*$AT$21)</f>
        <v>0.93311670519824419</v>
      </c>
      <c r="M684" s="7">
        <f ca="1">$AT$8*EXP(-'3.r(t)'!E682*$AT$22)</f>
        <v>0.96205945205634968</v>
      </c>
      <c r="N684" s="7">
        <f ca="1">$AT$9*EXP(-'3.r(t)'!F682*$AT$23)</f>
        <v>0.97939491637173148</v>
      </c>
      <c r="O684" s="7">
        <v>1</v>
      </c>
      <c r="P684" s="7"/>
      <c r="Q684" s="7">
        <v>676</v>
      </c>
      <c r="R684" s="7">
        <f>$AU$7*EXP(-'3.r(t)'!D682*$AU$21)</f>
        <v>0.91099305977534117</v>
      </c>
      <c r="S684" s="7">
        <f ca="1">$AU$8*EXP(-'3.r(t)'!E682*$AU$22)</f>
        <v>0.94297997487325635</v>
      </c>
      <c r="T684" s="7">
        <f ca="1">$AU$9*EXP(-'3.r(t)'!F682*$AU$23)</f>
        <v>0.95877110782167696</v>
      </c>
      <c r="U684" s="7">
        <f ca="1">$AU$10*EXP(-'3.r(t)'!G682*$AU$24)</f>
        <v>0.98007329084198425</v>
      </c>
      <c r="V684" s="7">
        <v>1</v>
      </c>
      <c r="W684" s="7"/>
      <c r="X684" s="7">
        <v>676</v>
      </c>
      <c r="Y684" s="7">
        <f>$AV$7*EXP(-'3.r(t)'!D682*$AV$21)</f>
        <v>0.88900715067201674</v>
      </c>
      <c r="Z684" s="7">
        <f ca="1">$AV$8*EXP(-'3.r(t)'!E682*$AV$22)</f>
        <v>0.92387124757274819</v>
      </c>
      <c r="AA684" s="7">
        <f ca="1">$AV$9*EXP(-'3.r(t)'!F682*$AV$23)</f>
        <v>0.93816190257739873</v>
      </c>
      <c r="AB684" s="7">
        <f ca="1">$AV$10*EXP(-'3.r(t)'!G682*$AV$24)</f>
        <v>0.96010826764648394</v>
      </c>
      <c r="AC684" s="7">
        <f ca="1">$AV$11*EXP(-'3.r(t)'!H682*$AV$25)</f>
        <v>0.97755892566224156</v>
      </c>
      <c r="AD684" s="7">
        <v>1</v>
      </c>
      <c r="AE684" s="7"/>
      <c r="AF684" s="7">
        <v>676</v>
      </c>
      <c r="AG684" s="7">
        <f>$AW$7*EXP(-'3.r(t)'!D682*$AW$21)</f>
        <v>0.86718755429225491</v>
      </c>
      <c r="AH684" s="7">
        <f ca="1">$AW$8*EXP(-'3.r(t)'!E682*$AW$22)</f>
        <v>0.90476411842558779</v>
      </c>
      <c r="AI684" s="7">
        <f ca="1">$AW$9*EXP(-'3.r(t)'!F682*$AW$23)</f>
        <v>0.91759898333895806</v>
      </c>
      <c r="AJ684" s="7">
        <f ca="1">$AW$10*EXP(-'3.r(t)'!G682*$AW$24)</f>
        <v>0.94013772769981963</v>
      </c>
      <c r="AK684" s="7">
        <f ca="1">$AW$11*EXP(-'3.r(t)'!H682*$AW$25)</f>
        <v>0.95519677379797086</v>
      </c>
      <c r="AL684" s="7">
        <f ca="1">$AW$12*EXP(-'3.r(t)'!I682*$AW$26)</f>
        <v>0.97699641761724665</v>
      </c>
      <c r="AM684" s="7">
        <v>1</v>
      </c>
      <c r="AN684" s="7"/>
    </row>
    <row r="685" spans="2:40">
      <c r="B685" s="7">
        <v>677</v>
      </c>
      <c r="C685" s="7">
        <f>$AR$7*EXP(-'3.r(t)'!D683*$AR$21)</f>
        <v>0.97765346695821032</v>
      </c>
      <c r="D685" s="7">
        <v>1</v>
      </c>
      <c r="E685" s="7"/>
      <c r="F685" s="7">
        <v>677</v>
      </c>
      <c r="G685" s="48">
        <f>$AS$7*EXP(-'3.r(t)'!D683*$AS$21)</f>
        <v>0.9553476245219803</v>
      </c>
      <c r="H685" s="7">
        <f ca="1">$AS$8*EXP(-'3.r(t)'!E683*$AS$22)</f>
        <v>0.97914563961371148</v>
      </c>
      <c r="I685" s="7">
        <v>1</v>
      </c>
      <c r="J685" s="7"/>
      <c r="K685" s="7">
        <v>677</v>
      </c>
      <c r="L685" s="7">
        <f>$AT$7*EXP(-'3.r(t)'!D683*$AT$21)</f>
        <v>0.93311670519824419</v>
      </c>
      <c r="M685" s="7">
        <f ca="1">$AT$8*EXP(-'3.r(t)'!E683*$AT$22)</f>
        <v>0.95827461008344095</v>
      </c>
      <c r="N685" s="7">
        <f ca="1">$AT$9*EXP(-'3.r(t)'!F683*$AT$23)</f>
        <v>0.98036748730670253</v>
      </c>
      <c r="O685" s="7">
        <v>1</v>
      </c>
      <c r="P685" s="7"/>
      <c r="Q685" s="7">
        <v>677</v>
      </c>
      <c r="R685" s="7">
        <f>$AU$7*EXP(-'3.r(t)'!D683*$AU$21)</f>
        <v>0.91099305977534117</v>
      </c>
      <c r="S685" s="7">
        <f ca="1">$AU$8*EXP(-'3.r(t)'!E683*$AU$22)</f>
        <v>0.93742077947966396</v>
      </c>
      <c r="T685" s="7">
        <f ca="1">$AU$9*EXP(-'3.r(t)'!F683*$AU$23)</f>
        <v>0.960676234926369</v>
      </c>
      <c r="U685" s="7">
        <f ca="1">$AU$10*EXP(-'3.r(t)'!G683*$AU$24)</f>
        <v>0.97918615618038485</v>
      </c>
      <c r="V685" s="7">
        <v>1</v>
      </c>
      <c r="W685" s="7"/>
      <c r="X685" s="7">
        <v>677</v>
      </c>
      <c r="Y685" s="7">
        <f>$AV$7*EXP(-'3.r(t)'!D683*$AV$21)</f>
        <v>0.88900715067201674</v>
      </c>
      <c r="Z685" s="7">
        <f ca="1">$AV$8*EXP(-'3.r(t)'!E683*$AV$22)</f>
        <v>0.91661633528225317</v>
      </c>
      <c r="AA685" s="7">
        <f ca="1">$AV$9*EXP(-'3.r(t)'!F683*$AV$23)</f>
        <v>0.9409595545408761</v>
      </c>
      <c r="AB685" s="7">
        <f ca="1">$AV$10*EXP(-'3.r(t)'!G683*$AV$24)</f>
        <v>0.95837092852466965</v>
      </c>
      <c r="AC685" s="7">
        <f ca="1">$AV$11*EXP(-'3.r(t)'!H683*$AV$25)</f>
        <v>0.97979584548017196</v>
      </c>
      <c r="AD685" s="7">
        <v>1</v>
      </c>
      <c r="AE685" s="7"/>
      <c r="AF685" s="7">
        <v>677</v>
      </c>
      <c r="AG685" s="7">
        <f>$AW$7*EXP(-'3.r(t)'!D683*$AW$21)</f>
        <v>0.86718755429225491</v>
      </c>
      <c r="AH685" s="7">
        <f ca="1">$AW$8*EXP(-'3.r(t)'!E683*$AW$22)</f>
        <v>0.8958917667627424</v>
      </c>
      <c r="AI685" s="7">
        <f ca="1">$AW$9*EXP(-'3.r(t)'!F683*$AW$23)</f>
        <v>0.9212492383466041</v>
      </c>
      <c r="AJ685" s="7">
        <f ca="1">$AW$10*EXP(-'3.r(t)'!G683*$AW$24)</f>
        <v>0.93758707951501219</v>
      </c>
      <c r="AK685" s="7">
        <f ca="1">$AW$11*EXP(-'3.r(t)'!H683*$AW$25)</f>
        <v>0.95957327368963918</v>
      </c>
      <c r="AL685" s="7">
        <f ca="1">$AW$12*EXP(-'3.r(t)'!I683*$AW$26)</f>
        <v>0.97981574380801717</v>
      </c>
      <c r="AM685" s="7">
        <v>1</v>
      </c>
      <c r="AN685" s="7"/>
    </row>
    <row r="686" spans="2:40">
      <c r="B686" s="7">
        <v>678</v>
      </c>
      <c r="C686" s="7">
        <f>$AR$7*EXP(-'3.r(t)'!D684*$AR$21)</f>
        <v>0.97765346695821032</v>
      </c>
      <c r="D686" s="7">
        <v>1</v>
      </c>
      <c r="E686" s="7"/>
      <c r="F686" s="7">
        <v>678</v>
      </c>
      <c r="G686" s="48">
        <f>$AS$7*EXP(-'3.r(t)'!D684*$AS$21)</f>
        <v>0.9553476245219803</v>
      </c>
      <c r="H686" s="7">
        <f ca="1">$AS$8*EXP(-'3.r(t)'!E684*$AS$22)</f>
        <v>0.97763329375191443</v>
      </c>
      <c r="I686" s="7">
        <v>1</v>
      </c>
      <c r="J686" s="7"/>
      <c r="K686" s="7">
        <v>678</v>
      </c>
      <c r="L686" s="7">
        <f>$AT$7*EXP(-'3.r(t)'!D684*$AT$21)</f>
        <v>0.93311670519824419</v>
      </c>
      <c r="M686" s="7">
        <f ca="1">$AT$8*EXP(-'3.r(t)'!E684*$AT$22)</f>
        <v>0.95531667744544901</v>
      </c>
      <c r="N686" s="7">
        <f ca="1">$AT$9*EXP(-'3.r(t)'!F684*$AT$23)</f>
        <v>0.97717910670817809</v>
      </c>
      <c r="O686" s="7">
        <v>1</v>
      </c>
      <c r="P686" s="7"/>
      <c r="Q686" s="7">
        <v>678</v>
      </c>
      <c r="R686" s="7">
        <f>$AU$7*EXP(-'3.r(t)'!D684*$AU$21)</f>
        <v>0.91099305977534117</v>
      </c>
      <c r="S686" s="7">
        <f ca="1">$AU$8*EXP(-'3.r(t)'!E684*$AU$22)</f>
        <v>0.93308378675260217</v>
      </c>
      <c r="T686" s="7">
        <f ca="1">$AU$9*EXP(-'3.r(t)'!F684*$AU$23)</f>
        <v>0.95443771576739633</v>
      </c>
      <c r="U686" s="7">
        <f ca="1">$AU$10*EXP(-'3.r(t)'!G684*$AU$24)</f>
        <v>0.97938968444882935</v>
      </c>
      <c r="V686" s="7">
        <v>1</v>
      </c>
      <c r="W686" s="7"/>
      <c r="X686" s="7">
        <v>678</v>
      </c>
      <c r="Y686" s="7">
        <f>$AV$7*EXP(-'3.r(t)'!D684*$AV$21)</f>
        <v>0.88900715067201674</v>
      </c>
      <c r="Z686" s="7">
        <f ca="1">$AV$8*EXP(-'3.r(t)'!E684*$AV$22)</f>
        <v>0.91096637891200138</v>
      </c>
      <c r="AA686" s="7">
        <f ca="1">$AV$9*EXP(-'3.r(t)'!F684*$AV$23)</f>
        <v>0.93180872895478162</v>
      </c>
      <c r="AB686" s="7">
        <f ca="1">$AV$10*EXP(-'3.r(t)'!G684*$AV$24)</f>
        <v>0.9587693733882342</v>
      </c>
      <c r="AC686" s="7">
        <f ca="1">$AV$11*EXP(-'3.r(t)'!H684*$AV$25)</f>
        <v>0.97791318268031047</v>
      </c>
      <c r="AD686" s="7">
        <v>1</v>
      </c>
      <c r="AE686" s="7"/>
      <c r="AF686" s="7">
        <v>678</v>
      </c>
      <c r="AG686" s="7">
        <f>$AW$7*EXP(-'3.r(t)'!D684*$AW$21)</f>
        <v>0.86718755429225491</v>
      </c>
      <c r="AH686" s="7">
        <f ca="1">$AW$8*EXP(-'3.r(t)'!E684*$AW$22)</f>
        <v>0.88899432894988906</v>
      </c>
      <c r="AI686" s="7">
        <f ca="1">$AW$9*EXP(-'3.r(t)'!F684*$AW$23)</f>
        <v>0.90932311819881451</v>
      </c>
      <c r="AJ686" s="7">
        <f ca="1">$AW$10*EXP(-'3.r(t)'!G684*$AW$24)</f>
        <v>0.93817184618156657</v>
      </c>
      <c r="AK686" s="7">
        <f ca="1">$AW$11*EXP(-'3.r(t)'!H684*$AW$25)</f>
        <v>0.95588920566161062</v>
      </c>
      <c r="AL686" s="7">
        <f ca="1">$AW$12*EXP(-'3.r(t)'!I684*$AW$26)</f>
        <v>0.9708950408514182</v>
      </c>
      <c r="AM686" s="7">
        <v>1</v>
      </c>
      <c r="AN686" s="7"/>
    </row>
    <row r="687" spans="2:40">
      <c r="B687" s="7">
        <v>679</v>
      </c>
      <c r="C687" s="7">
        <f>$AR$7*EXP(-'3.r(t)'!D685*$AR$21)</f>
        <v>0.97765346695821032</v>
      </c>
      <c r="D687" s="7">
        <v>1</v>
      </c>
      <c r="E687" s="7"/>
      <c r="F687" s="7">
        <v>679</v>
      </c>
      <c r="G687" s="48">
        <f>$AS$7*EXP(-'3.r(t)'!D685*$AS$21)</f>
        <v>0.9553476245219803</v>
      </c>
      <c r="H687" s="7">
        <f ca="1">$AS$8*EXP(-'3.r(t)'!E685*$AS$22)</f>
        <v>0.97218389664362126</v>
      </c>
      <c r="I687" s="7">
        <v>1</v>
      </c>
      <c r="J687" s="7"/>
      <c r="K687" s="7">
        <v>679</v>
      </c>
      <c r="L687" s="7">
        <f>$AT$7*EXP(-'3.r(t)'!D685*$AT$21)</f>
        <v>0.93311670519824419</v>
      </c>
      <c r="M687" s="7">
        <f ca="1">$AT$8*EXP(-'3.r(t)'!E685*$AT$22)</f>
        <v>0.94469635396512897</v>
      </c>
      <c r="N687" s="7">
        <f ca="1">$AT$9*EXP(-'3.r(t)'!F685*$AT$23)</f>
        <v>0.97297178363134373</v>
      </c>
      <c r="O687" s="7">
        <v>1</v>
      </c>
      <c r="P687" s="7"/>
      <c r="Q687" s="7">
        <v>679</v>
      </c>
      <c r="R687" s="7">
        <f>$AU$7*EXP(-'3.r(t)'!D685*$AU$21)</f>
        <v>0.91099305977534117</v>
      </c>
      <c r="S687" s="7">
        <f ca="1">$AU$8*EXP(-'3.r(t)'!E685*$AU$22)</f>
        <v>0.91756737361490603</v>
      </c>
      <c r="T687" s="7">
        <f ca="1">$AU$9*EXP(-'3.r(t)'!F685*$AU$23)</f>
        <v>0.94623659276859073</v>
      </c>
      <c r="U687" s="7">
        <f ca="1">$AU$10*EXP(-'3.r(t)'!G685*$AU$24)</f>
        <v>0.97164734846282197</v>
      </c>
      <c r="V687" s="7">
        <v>1</v>
      </c>
      <c r="W687" s="7"/>
      <c r="X687" s="7">
        <v>679</v>
      </c>
      <c r="Y687" s="7">
        <f>$AV$7*EXP(-'3.r(t)'!D685*$AV$21)</f>
        <v>0.88900715067201674</v>
      </c>
      <c r="Z687" s="7">
        <f ca="1">$AV$8*EXP(-'3.r(t)'!E685*$AV$22)</f>
        <v>0.89082440847136246</v>
      </c>
      <c r="AA687" s="7">
        <f ca="1">$AV$9*EXP(-'3.r(t)'!F685*$AV$23)</f>
        <v>0.9198245444298333</v>
      </c>
      <c r="AB687" s="7">
        <f ca="1">$AV$10*EXP(-'3.r(t)'!G685*$AV$24)</f>
        <v>0.94367063610030599</v>
      </c>
      <c r="AC687" s="7">
        <f ca="1">$AV$11*EXP(-'3.r(t)'!H685*$AV$25)</f>
        <v>0.96897321808496295</v>
      </c>
      <c r="AD687" s="7">
        <v>1</v>
      </c>
      <c r="AE687" s="7"/>
      <c r="AF687" s="7">
        <v>679</v>
      </c>
      <c r="AG687" s="7">
        <f>$AW$7*EXP(-'3.r(t)'!D685*$AW$21)</f>
        <v>0.86718755429225491</v>
      </c>
      <c r="AH687" s="7">
        <f ca="1">$AW$8*EXP(-'3.r(t)'!E685*$AW$22)</f>
        <v>0.86449242023951611</v>
      </c>
      <c r="AI687" s="7">
        <f ca="1">$AW$9*EXP(-'3.r(t)'!F685*$AW$23)</f>
        <v>0.89376331581489843</v>
      </c>
      <c r="AJ687" s="7">
        <f ca="1">$AW$10*EXP(-'3.r(t)'!G685*$AW$24)</f>
        <v>0.91609777683954363</v>
      </c>
      <c r="AK687" s="7">
        <f ca="1">$AW$11*EXP(-'3.r(t)'!H685*$AW$25)</f>
        <v>0.93849184501335559</v>
      </c>
      <c r="AL687" s="7">
        <f ca="1">$AW$12*EXP(-'3.r(t)'!I685*$AW$26)</f>
        <v>0.96809217530653258</v>
      </c>
      <c r="AM687" s="7">
        <v>1</v>
      </c>
      <c r="AN687" s="7"/>
    </row>
    <row r="688" spans="2:40">
      <c r="B688" s="7">
        <v>680</v>
      </c>
      <c r="C688" s="7">
        <f>$AR$7*EXP(-'3.r(t)'!D686*$AR$21)</f>
        <v>0.97765346695821032</v>
      </c>
      <c r="D688" s="7">
        <v>1</v>
      </c>
      <c r="E688" s="7"/>
      <c r="F688" s="7">
        <v>680</v>
      </c>
      <c r="G688" s="48">
        <f>$AS$7*EXP(-'3.r(t)'!D686*$AS$21)</f>
        <v>0.9553476245219803</v>
      </c>
      <c r="H688" s="7">
        <f ca="1">$AS$8*EXP(-'3.r(t)'!E686*$AS$22)</f>
        <v>0.97972760911979984</v>
      </c>
      <c r="I688" s="7">
        <v>1</v>
      </c>
      <c r="J688" s="7"/>
      <c r="K688" s="7">
        <v>680</v>
      </c>
      <c r="L688" s="7">
        <f>$AT$7*EXP(-'3.r(t)'!D686*$AT$21)</f>
        <v>0.93311670519824419</v>
      </c>
      <c r="M688" s="7">
        <f ca="1">$AT$8*EXP(-'3.r(t)'!E686*$AT$22)</f>
        <v>0.95941407762237441</v>
      </c>
      <c r="N688" s="7">
        <f ca="1">$AT$9*EXP(-'3.r(t)'!F686*$AT$23)</f>
        <v>0.97903824247547022</v>
      </c>
      <c r="O688" s="7">
        <v>1</v>
      </c>
      <c r="P688" s="7"/>
      <c r="Q688" s="7">
        <v>680</v>
      </c>
      <c r="R688" s="7">
        <f>$AU$7*EXP(-'3.r(t)'!D686*$AU$21)</f>
        <v>0.91099305977534117</v>
      </c>
      <c r="S688" s="7">
        <f ca="1">$AU$8*EXP(-'3.r(t)'!E686*$AU$22)</f>
        <v>0.93909328234127654</v>
      </c>
      <c r="T688" s="7">
        <f ca="1">$AU$9*EXP(-'3.r(t)'!F686*$AU$23)</f>
        <v>0.95807290865351447</v>
      </c>
      <c r="U688" s="7">
        <f ca="1">$AU$10*EXP(-'3.r(t)'!G686*$AU$24)</f>
        <v>0.9829903114683719</v>
      </c>
      <c r="V688" s="7">
        <v>1</v>
      </c>
      <c r="W688" s="7"/>
      <c r="X688" s="7">
        <v>680</v>
      </c>
      <c r="Y688" s="7">
        <f>$AV$7*EXP(-'3.r(t)'!D686*$AV$21)</f>
        <v>0.88900715067201674</v>
      </c>
      <c r="Z688" s="7">
        <f ca="1">$AV$8*EXP(-'3.r(t)'!E686*$AV$22)</f>
        <v>0.91879749613117156</v>
      </c>
      <c r="AA688" s="7">
        <f ca="1">$AV$9*EXP(-'3.r(t)'!F686*$AV$23)</f>
        <v>0.93713730256186589</v>
      </c>
      <c r="AB688" s="7">
        <f ca="1">$AV$10*EXP(-'3.r(t)'!G686*$AV$24)</f>
        <v>0.96583196909385116</v>
      </c>
      <c r="AC688" s="7">
        <f ca="1">$AV$11*EXP(-'3.r(t)'!H686*$AV$25)</f>
        <v>0.97717518762328937</v>
      </c>
      <c r="AD688" s="7">
        <v>1</v>
      </c>
      <c r="AE688" s="7"/>
      <c r="AF688" s="7">
        <v>680</v>
      </c>
      <c r="AG688" s="7">
        <f>$AW$7*EXP(-'3.r(t)'!D686*$AW$21)</f>
        <v>0.86718755429225491</v>
      </c>
      <c r="AH688" s="7">
        <f ca="1">$AW$8*EXP(-'3.r(t)'!E686*$AW$22)</f>
        <v>0.89855736531119146</v>
      </c>
      <c r="AI688" s="7">
        <f ca="1">$AW$9*EXP(-'3.r(t)'!F686*$AW$23)</f>
        <v>0.91626303658903185</v>
      </c>
      <c r="AJ688" s="7">
        <f ca="1">$AW$10*EXP(-'3.r(t)'!G686*$AW$24)</f>
        <v>0.94855721496218359</v>
      </c>
      <c r="AK688" s="7">
        <f ca="1">$AW$11*EXP(-'3.r(t)'!H686*$AW$25)</f>
        <v>0.95444700131061755</v>
      </c>
      <c r="AL688" s="7">
        <f ca="1">$AW$12*EXP(-'3.r(t)'!I686*$AW$26)</f>
        <v>0.97405847268819568</v>
      </c>
      <c r="AM688" s="7">
        <v>1</v>
      </c>
      <c r="AN688" s="7"/>
    </row>
    <row r="689" spans="2:40">
      <c r="B689" s="7">
        <v>681</v>
      </c>
      <c r="C689" s="7">
        <f>$AR$7*EXP(-'3.r(t)'!D687*$AR$21)</f>
        <v>0.97765346695821032</v>
      </c>
      <c r="D689" s="7">
        <v>1</v>
      </c>
      <c r="E689" s="7"/>
      <c r="F689" s="7">
        <v>681</v>
      </c>
      <c r="G689" s="48">
        <f>$AS$7*EXP(-'3.r(t)'!D687*$AS$21)</f>
        <v>0.9553476245219803</v>
      </c>
      <c r="H689" s="7">
        <f ca="1">$AS$8*EXP(-'3.r(t)'!E687*$AS$22)</f>
        <v>0.97676471980248547</v>
      </c>
      <c r="I689" s="7">
        <v>1</v>
      </c>
      <c r="J689" s="7"/>
      <c r="K689" s="7">
        <v>681</v>
      </c>
      <c r="L689" s="7">
        <f>$AT$7*EXP(-'3.r(t)'!D687*$AT$21)</f>
        <v>0.93311670519824419</v>
      </c>
      <c r="M689" s="7">
        <f ca="1">$AT$8*EXP(-'3.r(t)'!E687*$AT$22)</f>
        <v>0.95361993780885368</v>
      </c>
      <c r="N689" s="7">
        <f ca="1">$AT$9*EXP(-'3.r(t)'!F687*$AT$23)</f>
        <v>0.97531119409499734</v>
      </c>
      <c r="O689" s="7">
        <v>1</v>
      </c>
      <c r="P689" s="7"/>
      <c r="Q689" s="7">
        <v>681</v>
      </c>
      <c r="R689" s="7">
        <f>$AU$7*EXP(-'3.r(t)'!D687*$AU$21)</f>
        <v>0.91099305977534117</v>
      </c>
      <c r="S689" s="7">
        <f ca="1">$AU$8*EXP(-'3.r(t)'!E687*$AU$22)</f>
        <v>0.93059901323217331</v>
      </c>
      <c r="T689" s="7">
        <f ca="1">$AU$9*EXP(-'3.r(t)'!F687*$AU$23)</f>
        <v>0.95079231998114022</v>
      </c>
      <c r="U689" s="7">
        <f ca="1">$AU$10*EXP(-'3.r(t)'!G687*$AU$24)</f>
        <v>0.97583290081946472</v>
      </c>
      <c r="V689" s="7">
        <v>1</v>
      </c>
      <c r="W689" s="7"/>
      <c r="X689" s="7">
        <v>681</v>
      </c>
      <c r="Y689" s="7">
        <f>$AV$7*EXP(-'3.r(t)'!D687*$AV$21)</f>
        <v>0.88900715067201674</v>
      </c>
      <c r="Z689" s="7">
        <f ca="1">$AV$8*EXP(-'3.r(t)'!E687*$AV$22)</f>
        <v>0.90773331460336937</v>
      </c>
      <c r="AA689" s="7">
        <f ca="1">$AV$9*EXP(-'3.r(t)'!F687*$AV$23)</f>
        <v>0.92647538027690035</v>
      </c>
      <c r="AB689" s="7">
        <f ca="1">$AV$10*EXP(-'3.r(t)'!G687*$AV$24)</f>
        <v>0.95181822189800336</v>
      </c>
      <c r="AC689" s="7">
        <f ca="1">$AV$11*EXP(-'3.r(t)'!H687*$AV$25)</f>
        <v>0.97761358133103682</v>
      </c>
      <c r="AD689" s="7">
        <v>1</v>
      </c>
      <c r="AE689" s="7"/>
      <c r="AF689" s="7">
        <v>681</v>
      </c>
      <c r="AG689" s="7">
        <f>$AW$7*EXP(-'3.r(t)'!D687*$AW$21)</f>
        <v>0.86718755429225491</v>
      </c>
      <c r="AH689" s="7">
        <f ca="1">$AW$8*EXP(-'3.r(t)'!E687*$AW$22)</f>
        <v>0.88505222458815336</v>
      </c>
      <c r="AI689" s="7">
        <f ca="1">$AW$9*EXP(-'3.r(t)'!F687*$AW$23)</f>
        <v>0.90239021472004233</v>
      </c>
      <c r="AJ689" s="7">
        <f ca="1">$AW$10*EXP(-'3.r(t)'!G687*$AW$24)</f>
        <v>0.92798763446854915</v>
      </c>
      <c r="AK689" s="7">
        <f ca="1">$AW$11*EXP(-'3.r(t)'!H687*$AW$25)</f>
        <v>0.95530358756967559</v>
      </c>
      <c r="AL689" s="7">
        <f ca="1">$AW$12*EXP(-'3.r(t)'!I687*$AW$26)</f>
        <v>0.98019023616382162</v>
      </c>
      <c r="AM689" s="7">
        <v>1</v>
      </c>
      <c r="AN689" s="7"/>
    </row>
    <row r="690" spans="2:40">
      <c r="B690" s="7">
        <v>682</v>
      </c>
      <c r="C690" s="7">
        <f>$AR$7*EXP(-'3.r(t)'!D688*$AR$21)</f>
        <v>0.97765346695821032</v>
      </c>
      <c r="D690" s="7">
        <v>1</v>
      </c>
      <c r="E690" s="7"/>
      <c r="F690" s="7">
        <v>682</v>
      </c>
      <c r="G690" s="48">
        <f>$AS$7*EXP(-'3.r(t)'!D688*$AS$21)</f>
        <v>0.9553476245219803</v>
      </c>
      <c r="H690" s="7">
        <f ca="1">$AS$8*EXP(-'3.r(t)'!E688*$AS$22)</f>
        <v>0.9734901241102264</v>
      </c>
      <c r="I690" s="7">
        <v>1</v>
      </c>
      <c r="J690" s="7"/>
      <c r="K690" s="7">
        <v>682</v>
      </c>
      <c r="L690" s="7">
        <f>$AT$7*EXP(-'3.r(t)'!D688*$AT$21)</f>
        <v>0.93311670519824419</v>
      </c>
      <c r="M690" s="7">
        <f ca="1">$AT$8*EXP(-'3.r(t)'!E688*$AT$22)</f>
        <v>0.94723664973328892</v>
      </c>
      <c r="N690" s="7">
        <f ca="1">$AT$9*EXP(-'3.r(t)'!F688*$AT$23)</f>
        <v>0.97564739173506188</v>
      </c>
      <c r="O690" s="7">
        <v>1</v>
      </c>
      <c r="P690" s="7"/>
      <c r="Q690" s="7">
        <v>682</v>
      </c>
      <c r="R690" s="7">
        <f>$AU$7*EXP(-'3.r(t)'!D688*$AU$21)</f>
        <v>0.91099305977534117</v>
      </c>
      <c r="S690" s="7">
        <f ca="1">$AU$8*EXP(-'3.r(t)'!E688*$AU$22)</f>
        <v>0.9212708791145896</v>
      </c>
      <c r="T690" s="7">
        <f ca="1">$AU$9*EXP(-'3.r(t)'!F688*$AU$23)</f>
        <v>0.95144792453030325</v>
      </c>
      <c r="U690" s="7">
        <f ca="1">$AU$10*EXP(-'3.r(t)'!G688*$AU$24)</f>
        <v>0.97401581315238706</v>
      </c>
      <c r="V690" s="7">
        <v>1</v>
      </c>
      <c r="W690" s="7"/>
      <c r="X690" s="7">
        <v>682</v>
      </c>
      <c r="Y690" s="7">
        <f>$AV$7*EXP(-'3.r(t)'!D688*$AV$21)</f>
        <v>0.88900715067201674</v>
      </c>
      <c r="Z690" s="7">
        <f ca="1">$AV$8*EXP(-'3.r(t)'!E688*$AV$22)</f>
        <v>0.89562171719503392</v>
      </c>
      <c r="AA690" s="7">
        <f ca="1">$AV$9*EXP(-'3.r(t)'!F688*$AV$23)</f>
        <v>0.92743380119912289</v>
      </c>
      <c r="AB690" s="7">
        <f ca="1">$AV$10*EXP(-'3.r(t)'!G688*$AV$24)</f>
        <v>0.94827678181160169</v>
      </c>
      <c r="AC690" s="7">
        <f ca="1">$AV$11*EXP(-'3.r(t)'!H688*$AV$25)</f>
        <v>0.97349746642692125</v>
      </c>
      <c r="AD690" s="7">
        <v>1</v>
      </c>
      <c r="AE690" s="7"/>
      <c r="AF690" s="7">
        <v>682</v>
      </c>
      <c r="AG690" s="7">
        <f>$AW$7*EXP(-'3.r(t)'!D688*$AW$21)</f>
        <v>0.86718755429225491</v>
      </c>
      <c r="AH690" s="7">
        <f ca="1">$AW$8*EXP(-'3.r(t)'!E688*$AW$22)</f>
        <v>0.8703157129340624</v>
      </c>
      <c r="AI690" s="7">
        <f ca="1">$AW$9*EXP(-'3.r(t)'!F688*$AW$23)</f>
        <v>0.90363510297951488</v>
      </c>
      <c r="AJ690" s="7">
        <f ca="1">$AW$10*EXP(-'3.r(t)'!G688*$AW$24)</f>
        <v>0.92281329494599651</v>
      </c>
      <c r="AK690" s="7">
        <f ca="1">$AW$11*EXP(-'3.r(t)'!H688*$AW$25)</f>
        <v>0.94727615929143238</v>
      </c>
      <c r="AL690" s="7">
        <f ca="1">$AW$12*EXP(-'3.r(t)'!I688*$AW$26)</f>
        <v>0.97024506007849964</v>
      </c>
      <c r="AM690" s="7">
        <v>1</v>
      </c>
      <c r="AN690" s="7"/>
    </row>
    <row r="691" spans="2:40">
      <c r="B691" s="7">
        <v>683</v>
      </c>
      <c r="C691" s="7">
        <f>$AR$7*EXP(-'3.r(t)'!D689*$AR$21)</f>
        <v>0.97765346695821032</v>
      </c>
      <c r="D691" s="7">
        <v>1</v>
      </c>
      <c r="E691" s="7"/>
      <c r="F691" s="7">
        <v>683</v>
      </c>
      <c r="G691" s="48">
        <f>$AS$7*EXP(-'3.r(t)'!D689*$AS$21)</f>
        <v>0.9553476245219803</v>
      </c>
      <c r="H691" s="7">
        <f ca="1">$AS$8*EXP(-'3.r(t)'!E689*$AS$22)</f>
        <v>0.97577159321771456</v>
      </c>
      <c r="I691" s="7">
        <v>1</v>
      </c>
      <c r="J691" s="7"/>
      <c r="K691" s="7">
        <v>683</v>
      </c>
      <c r="L691" s="7">
        <f>$AT$7*EXP(-'3.r(t)'!D689*$AT$21)</f>
        <v>0.93311670519824419</v>
      </c>
      <c r="M691" s="7">
        <f ca="1">$AT$8*EXP(-'3.r(t)'!E689*$AT$22)</f>
        <v>0.95168173543938828</v>
      </c>
      <c r="N691" s="7">
        <f ca="1">$AT$9*EXP(-'3.r(t)'!F689*$AT$23)</f>
        <v>0.97636625328545612</v>
      </c>
      <c r="O691" s="7">
        <v>1</v>
      </c>
      <c r="P691" s="7"/>
      <c r="Q691" s="7">
        <v>683</v>
      </c>
      <c r="R691" s="7">
        <f>$AU$7*EXP(-'3.r(t)'!D689*$AU$21)</f>
        <v>0.91099305977534117</v>
      </c>
      <c r="S691" s="7">
        <f ca="1">$AU$8*EXP(-'3.r(t)'!E689*$AU$22)</f>
        <v>0.92776333570754499</v>
      </c>
      <c r="T691" s="7">
        <f ca="1">$AU$9*EXP(-'3.r(t)'!F689*$AU$23)</f>
        <v>0.95285050359351009</v>
      </c>
      <c r="U691" s="7">
        <f ca="1">$AU$10*EXP(-'3.r(t)'!G689*$AU$24)</f>
        <v>0.9741795566781607</v>
      </c>
      <c r="V691" s="7">
        <v>1</v>
      </c>
      <c r="W691" s="7"/>
      <c r="X691" s="7">
        <v>683</v>
      </c>
      <c r="Y691" s="7">
        <f>$AV$7*EXP(-'3.r(t)'!D689*$AV$21)</f>
        <v>0.88900715067201674</v>
      </c>
      <c r="Z691" s="7">
        <f ca="1">$AV$8*EXP(-'3.r(t)'!E689*$AV$22)</f>
        <v>0.90404718586653965</v>
      </c>
      <c r="AA691" s="7">
        <f ca="1">$AV$9*EXP(-'3.r(t)'!F689*$AV$23)</f>
        <v>0.92948532468478251</v>
      </c>
      <c r="AB691" s="7">
        <f ca="1">$AV$10*EXP(-'3.r(t)'!G689*$AV$24)</f>
        <v>0.94859564159452381</v>
      </c>
      <c r="AC691" s="7">
        <f ca="1">$AV$11*EXP(-'3.r(t)'!H689*$AV$25)</f>
        <v>0.97179800751650403</v>
      </c>
      <c r="AD691" s="7">
        <v>1</v>
      </c>
      <c r="AE691" s="7"/>
      <c r="AF691" s="7">
        <v>683</v>
      </c>
      <c r="AG691" s="7">
        <f>$AW$7*EXP(-'3.r(t)'!D689*$AW$21)</f>
        <v>0.86718755429225491</v>
      </c>
      <c r="AH691" s="7">
        <f ca="1">$AW$8*EXP(-'3.r(t)'!E689*$AW$22)</f>
        <v>0.8805619757768326</v>
      </c>
      <c r="AI691" s="7">
        <f ca="1">$AW$9*EXP(-'3.r(t)'!F689*$AW$23)</f>
        <v>0.90630125806436435</v>
      </c>
      <c r="AJ691" s="7">
        <f ca="1">$AW$10*EXP(-'3.r(t)'!G689*$AW$24)</f>
        <v>0.92327878052972367</v>
      </c>
      <c r="AK691" s="7">
        <f ca="1">$AW$11*EXP(-'3.r(t)'!H689*$AW$25)</f>
        <v>0.94397167873295174</v>
      </c>
      <c r="AL691" s="7">
        <f ca="1">$AW$12*EXP(-'3.r(t)'!I689*$AW$26)</f>
        <v>0.97633167490644979</v>
      </c>
      <c r="AM691" s="7">
        <v>1</v>
      </c>
      <c r="AN691" s="7"/>
    </row>
    <row r="692" spans="2:40">
      <c r="B692" s="7">
        <v>684</v>
      </c>
      <c r="C692" s="7">
        <f>$AR$7*EXP(-'3.r(t)'!D690*$AR$21)</f>
        <v>0.97765346695821032</v>
      </c>
      <c r="D692" s="7">
        <v>1</v>
      </c>
      <c r="E692" s="7"/>
      <c r="F692" s="7">
        <v>684</v>
      </c>
      <c r="G692" s="48">
        <f>$AS$7*EXP(-'3.r(t)'!D690*$AS$21)</f>
        <v>0.9553476245219803</v>
      </c>
      <c r="H692" s="7">
        <f ca="1">$AS$8*EXP(-'3.r(t)'!E690*$AS$22)</f>
        <v>0.97358547115429039</v>
      </c>
      <c r="I692" s="7">
        <v>1</v>
      </c>
      <c r="J692" s="7"/>
      <c r="K692" s="7">
        <v>684</v>
      </c>
      <c r="L692" s="7">
        <f>$AT$7*EXP(-'3.r(t)'!D690*$AT$21)</f>
        <v>0.93311670519824419</v>
      </c>
      <c r="M692" s="7">
        <f ca="1">$AT$8*EXP(-'3.r(t)'!E690*$AT$22)</f>
        <v>0.94742221019309825</v>
      </c>
      <c r="N692" s="7">
        <f ca="1">$AT$9*EXP(-'3.r(t)'!F690*$AT$23)</f>
        <v>0.97231192985392945</v>
      </c>
      <c r="O692" s="7">
        <v>1</v>
      </c>
      <c r="P692" s="7"/>
      <c r="Q692" s="7">
        <v>684</v>
      </c>
      <c r="R692" s="7">
        <f>$AU$7*EXP(-'3.r(t)'!D690*$AU$21)</f>
        <v>0.91099305977534117</v>
      </c>
      <c r="S692" s="7">
        <f ca="1">$AU$8*EXP(-'3.r(t)'!E690*$AU$22)</f>
        <v>0.92154160315157918</v>
      </c>
      <c r="T692" s="7">
        <f ca="1">$AU$9*EXP(-'3.r(t)'!F690*$AU$23)</f>
        <v>0.94495358317038658</v>
      </c>
      <c r="U692" s="7">
        <f ca="1">$AU$10*EXP(-'3.r(t)'!G690*$AU$24)</f>
        <v>0.97273893937495348</v>
      </c>
      <c r="V692" s="7">
        <v>1</v>
      </c>
      <c r="W692" s="7"/>
      <c r="X692" s="7">
        <v>684</v>
      </c>
      <c r="Y692" s="7">
        <f>$AV$7*EXP(-'3.r(t)'!D690*$AV$21)</f>
        <v>0.88900715067201674</v>
      </c>
      <c r="Z692" s="7">
        <f ca="1">$AV$8*EXP(-'3.r(t)'!E690*$AV$22)</f>
        <v>0.89597265010272553</v>
      </c>
      <c r="AA692" s="7">
        <f ca="1">$AV$9*EXP(-'3.r(t)'!F690*$AV$23)</f>
        <v>0.91795438278705477</v>
      </c>
      <c r="AB692" s="7">
        <f ca="1">$AV$10*EXP(-'3.r(t)'!G690*$AV$24)</f>
        <v>0.94579214844305415</v>
      </c>
      <c r="AC692" s="7">
        <f ca="1">$AV$11*EXP(-'3.r(t)'!H690*$AV$25)</f>
        <v>0.9715406346200488</v>
      </c>
      <c r="AD692" s="7">
        <v>1</v>
      </c>
      <c r="AE692" s="7"/>
      <c r="AF692" s="7">
        <v>684</v>
      </c>
      <c r="AG692" s="7">
        <f>$AW$7*EXP(-'3.r(t)'!D690*$AW$21)</f>
        <v>0.86718755429225491</v>
      </c>
      <c r="AH692" s="7">
        <f ca="1">$AW$8*EXP(-'3.r(t)'!E690*$AW$22)</f>
        <v>0.87074200532918122</v>
      </c>
      <c r="AI692" s="7">
        <f ca="1">$AW$9*EXP(-'3.r(t)'!F690*$AW$23)</f>
        <v>0.89134123764325679</v>
      </c>
      <c r="AJ692" s="7">
        <f ca="1">$AW$10*EXP(-'3.r(t)'!G690*$AW$24)</f>
        <v>0.91918879914758467</v>
      </c>
      <c r="AK692" s="7">
        <f ca="1">$AW$11*EXP(-'3.r(t)'!H690*$AW$25)</f>
        <v>0.94347173831074549</v>
      </c>
      <c r="AL692" s="7">
        <f ca="1">$AW$12*EXP(-'3.r(t)'!I690*$AW$26)</f>
        <v>0.9676311130496783</v>
      </c>
      <c r="AM692" s="7">
        <v>1</v>
      </c>
      <c r="AN692" s="7"/>
    </row>
    <row r="693" spans="2:40">
      <c r="B693" s="7">
        <v>685</v>
      </c>
      <c r="C693" s="7">
        <f>$AR$7*EXP(-'3.r(t)'!D691*$AR$21)</f>
        <v>0.97765346695821032</v>
      </c>
      <c r="D693" s="7">
        <v>1</v>
      </c>
      <c r="E693" s="7"/>
      <c r="F693" s="7">
        <v>685</v>
      </c>
      <c r="G693" s="48">
        <f>$AS$7*EXP(-'3.r(t)'!D691*$AS$21)</f>
        <v>0.9553476245219803</v>
      </c>
      <c r="H693" s="7">
        <f ca="1">$AS$8*EXP(-'3.r(t)'!E691*$AS$22)</f>
        <v>0.97620972813794094</v>
      </c>
      <c r="I693" s="7">
        <v>1</v>
      </c>
      <c r="J693" s="7"/>
      <c r="K693" s="7">
        <v>685</v>
      </c>
      <c r="L693" s="7">
        <f>$AT$7*EXP(-'3.r(t)'!D691*$AT$21)</f>
        <v>0.93311670519824419</v>
      </c>
      <c r="M693" s="7">
        <f ca="1">$AT$8*EXP(-'3.r(t)'!E691*$AT$22)</f>
        <v>0.95253656379401208</v>
      </c>
      <c r="N693" s="7">
        <f ca="1">$AT$9*EXP(-'3.r(t)'!F691*$AT$23)</f>
        <v>0.97864937471484947</v>
      </c>
      <c r="O693" s="7">
        <v>1</v>
      </c>
      <c r="P693" s="7"/>
      <c r="Q693" s="7">
        <v>685</v>
      </c>
      <c r="R693" s="7">
        <f>$AU$7*EXP(-'3.r(t)'!D691*$AU$21)</f>
        <v>0.91099305977534117</v>
      </c>
      <c r="S693" s="7">
        <f ca="1">$AU$8*EXP(-'3.r(t)'!E691*$AU$22)</f>
        <v>0.92901363258900682</v>
      </c>
      <c r="T693" s="7">
        <f ca="1">$AU$9*EXP(-'3.r(t)'!F691*$AU$23)</f>
        <v>0.95731197887492137</v>
      </c>
      <c r="U693" s="7">
        <f ca="1">$AU$10*EXP(-'3.r(t)'!G691*$AU$24)</f>
        <v>0.98002291398518182</v>
      </c>
      <c r="V693" s="7">
        <v>1</v>
      </c>
      <c r="W693" s="7"/>
      <c r="X693" s="7">
        <v>685</v>
      </c>
      <c r="Y693" s="7">
        <f>$AV$7*EXP(-'3.r(t)'!D691*$AV$21)</f>
        <v>0.88900715067201674</v>
      </c>
      <c r="Z693" s="7">
        <f ca="1">$AV$8*EXP(-'3.r(t)'!E691*$AV$22)</f>
        <v>0.90567199848551061</v>
      </c>
      <c r="AA693" s="7">
        <f ca="1">$AV$9*EXP(-'3.r(t)'!F691*$AV$23)</f>
        <v>0.93602107111765065</v>
      </c>
      <c r="AB693" s="7">
        <f ca="1">$AV$10*EXP(-'3.r(t)'!G691*$AV$24)</f>
        <v>0.96000956891833567</v>
      </c>
      <c r="AC693" s="7">
        <f ca="1">$AV$11*EXP(-'3.r(t)'!H691*$AV$25)</f>
        <v>0.98094139103970857</v>
      </c>
      <c r="AD693" s="7">
        <v>1</v>
      </c>
      <c r="AE693" s="7"/>
      <c r="AF693" s="7">
        <v>685</v>
      </c>
      <c r="AG693" s="7">
        <f>$AW$7*EXP(-'3.r(t)'!D691*$AW$21)</f>
        <v>0.86718755429225491</v>
      </c>
      <c r="AH693" s="7">
        <f ca="1">$AW$8*EXP(-'3.r(t)'!E691*$AW$22)</f>
        <v>0.88254067434112105</v>
      </c>
      <c r="AI693" s="7">
        <f ca="1">$AW$9*EXP(-'3.r(t)'!F691*$AW$23)</f>
        <v>0.9148081682796072</v>
      </c>
      <c r="AJ693" s="7">
        <f ca="1">$AW$10*EXP(-'3.r(t)'!G691*$AW$24)</f>
        <v>0.93999276277806454</v>
      </c>
      <c r="AK693" s="7">
        <f ca="1">$AW$11*EXP(-'3.r(t)'!H691*$AW$25)</f>
        <v>0.96181838934861408</v>
      </c>
      <c r="AL693" s="7">
        <f ca="1">$AW$12*EXP(-'3.r(t)'!I691*$AW$26)</f>
        <v>0.98054293706331663</v>
      </c>
      <c r="AM693" s="7">
        <v>1</v>
      </c>
      <c r="AN693" s="7"/>
    </row>
    <row r="694" spans="2:40">
      <c r="B694" s="7">
        <v>686</v>
      </c>
      <c r="C694" s="7">
        <f>$AR$7*EXP(-'3.r(t)'!D692*$AR$21)</f>
        <v>0.97765346695821032</v>
      </c>
      <c r="D694" s="7">
        <v>1</v>
      </c>
      <c r="E694" s="7"/>
      <c r="F694" s="7">
        <v>686</v>
      </c>
      <c r="G694" s="48">
        <f>$AS$7*EXP(-'3.r(t)'!D692*$AS$21)</f>
        <v>0.9553476245219803</v>
      </c>
      <c r="H694" s="7">
        <f ca="1">$AS$8*EXP(-'3.r(t)'!E692*$AS$22)</f>
        <v>0.97594539479309583</v>
      </c>
      <c r="I694" s="7">
        <v>1</v>
      </c>
      <c r="J694" s="7"/>
      <c r="K694" s="7">
        <v>686</v>
      </c>
      <c r="L694" s="7">
        <f>$AT$7*EXP(-'3.r(t)'!D692*$AT$21)</f>
        <v>0.93311670519824419</v>
      </c>
      <c r="M694" s="7">
        <f ca="1">$AT$8*EXP(-'3.r(t)'!E692*$AT$22)</f>
        <v>0.95202078715323091</v>
      </c>
      <c r="N694" s="7">
        <f ca="1">$AT$9*EXP(-'3.r(t)'!F692*$AT$23)</f>
        <v>0.97297374427312411</v>
      </c>
      <c r="O694" s="7">
        <v>1</v>
      </c>
      <c r="P694" s="7"/>
      <c r="Q694" s="7">
        <v>686</v>
      </c>
      <c r="R694" s="7">
        <f>$AU$7*EXP(-'3.r(t)'!D692*$AU$21)</f>
        <v>0.91099305977534117</v>
      </c>
      <c r="S694" s="7">
        <f ca="1">$AU$8*EXP(-'3.r(t)'!E692*$AU$22)</f>
        <v>0.92825917547050152</v>
      </c>
      <c r="T694" s="7">
        <f ca="1">$AU$9*EXP(-'3.r(t)'!F692*$AU$23)</f>
        <v>0.9462404063074793</v>
      </c>
      <c r="U694" s="7">
        <f ca="1">$AU$10*EXP(-'3.r(t)'!G692*$AU$24)</f>
        <v>0.97659395909799762</v>
      </c>
      <c r="V694" s="7">
        <v>1</v>
      </c>
      <c r="W694" s="7"/>
      <c r="X694" s="7">
        <v>686</v>
      </c>
      <c r="Y694" s="7">
        <f>$AV$7*EXP(-'3.r(t)'!D692*$AV$21)</f>
        <v>0.88900715067201674</v>
      </c>
      <c r="Z694" s="7">
        <f ca="1">$AV$8*EXP(-'3.r(t)'!E692*$AV$22)</f>
        <v>0.90469146291301261</v>
      </c>
      <c r="AA694" s="7">
        <f ca="1">$AV$9*EXP(-'3.r(t)'!F692*$AV$23)</f>
        <v>0.91983010507433571</v>
      </c>
      <c r="AB694" s="7">
        <f ca="1">$AV$10*EXP(-'3.r(t)'!G692*$AV$24)</f>
        <v>0.95330345900093472</v>
      </c>
      <c r="AC694" s="7">
        <f ca="1">$AV$11*EXP(-'3.r(t)'!H692*$AV$25)</f>
        <v>0.97948709584812277</v>
      </c>
      <c r="AD694" s="7">
        <v>1</v>
      </c>
      <c r="AE694" s="7"/>
      <c r="AF694" s="7">
        <v>686</v>
      </c>
      <c r="AG694" s="7">
        <f>$AW$7*EXP(-'3.r(t)'!D692*$AW$21)</f>
        <v>0.86718755429225491</v>
      </c>
      <c r="AH694" s="7">
        <f ca="1">$AW$8*EXP(-'3.r(t)'!E692*$AW$22)</f>
        <v>0.88134647077826822</v>
      </c>
      <c r="AI694" s="7">
        <f ca="1">$AW$9*EXP(-'3.r(t)'!F692*$AW$23)</f>
        <v>0.89377051994979728</v>
      </c>
      <c r="AJ694" s="7">
        <f ca="1">$AW$10*EXP(-'3.r(t)'!G692*$AW$24)</f>
        <v>0.93016055861919178</v>
      </c>
      <c r="AK694" s="7">
        <f ca="1">$AW$11*EXP(-'3.r(t)'!H692*$AW$25)</f>
        <v>0.95896861463311778</v>
      </c>
      <c r="AL694" s="7">
        <f ca="1">$AW$12*EXP(-'3.r(t)'!I692*$AW$26)</f>
        <v>0.97515434598431361</v>
      </c>
      <c r="AM694" s="7">
        <v>1</v>
      </c>
      <c r="AN694" s="7"/>
    </row>
    <row r="695" spans="2:40">
      <c r="B695" s="7">
        <v>687</v>
      </c>
      <c r="C695" s="7">
        <f>$AR$7*EXP(-'3.r(t)'!D693*$AR$21)</f>
        <v>0.97765346695821032</v>
      </c>
      <c r="D695" s="7">
        <v>1</v>
      </c>
      <c r="E695" s="7"/>
      <c r="F695" s="7">
        <v>687</v>
      </c>
      <c r="G695" s="48">
        <f>$AS$7*EXP(-'3.r(t)'!D693*$AS$21)</f>
        <v>0.9553476245219803</v>
      </c>
      <c r="H695" s="7">
        <f ca="1">$AS$8*EXP(-'3.r(t)'!E693*$AS$22)</f>
        <v>0.97524435326086789</v>
      </c>
      <c r="I695" s="7">
        <v>1</v>
      </c>
      <c r="J695" s="7"/>
      <c r="K695" s="7">
        <v>687</v>
      </c>
      <c r="L695" s="7">
        <f>$AT$7*EXP(-'3.r(t)'!D693*$AT$21)</f>
        <v>0.93311670519824419</v>
      </c>
      <c r="M695" s="7">
        <f ca="1">$AT$8*EXP(-'3.r(t)'!E693*$AT$22)</f>
        <v>0.95065356638622844</v>
      </c>
      <c r="N695" s="7">
        <f ca="1">$AT$9*EXP(-'3.r(t)'!F693*$AT$23)</f>
        <v>0.97578721193930795</v>
      </c>
      <c r="O695" s="7">
        <v>1</v>
      </c>
      <c r="P695" s="7"/>
      <c r="Q695" s="7">
        <v>687</v>
      </c>
      <c r="R695" s="7">
        <f>$AU$7*EXP(-'3.r(t)'!D693*$AU$21)</f>
        <v>0.91099305977534117</v>
      </c>
      <c r="S695" s="7">
        <f ca="1">$AU$8*EXP(-'3.r(t)'!E693*$AU$22)</f>
        <v>0.92626024939028717</v>
      </c>
      <c r="T695" s="7">
        <f ca="1">$AU$9*EXP(-'3.r(t)'!F693*$AU$23)</f>
        <v>0.9517206484194024</v>
      </c>
      <c r="U695" s="7">
        <f ca="1">$AU$10*EXP(-'3.r(t)'!G693*$AU$24)</f>
        <v>0.97231559573631277</v>
      </c>
      <c r="V695" s="7">
        <v>1</v>
      </c>
      <c r="W695" s="7"/>
      <c r="X695" s="7">
        <v>687</v>
      </c>
      <c r="Y695" s="7">
        <f>$AV$7*EXP(-'3.r(t)'!D693*$AV$21)</f>
        <v>0.88900715067201674</v>
      </c>
      <c r="Z695" s="7">
        <f ca="1">$AV$8*EXP(-'3.r(t)'!E693*$AV$22)</f>
        <v>0.90209482890722181</v>
      </c>
      <c r="AA695" s="7">
        <f ca="1">$AV$9*EXP(-'3.r(t)'!F693*$AV$23)</f>
        <v>0.92783259046181188</v>
      </c>
      <c r="AB695" s="7">
        <f ca="1">$AV$10*EXP(-'3.r(t)'!G693*$AV$24)</f>
        <v>0.94496909521516437</v>
      </c>
      <c r="AC695" s="7">
        <f ca="1">$AV$11*EXP(-'3.r(t)'!H693*$AV$25)</f>
        <v>0.97031824650517062</v>
      </c>
      <c r="AD695" s="7">
        <v>1</v>
      </c>
      <c r="AE695" s="7"/>
      <c r="AF695" s="7">
        <v>687</v>
      </c>
      <c r="AG695" s="7">
        <f>$AW$7*EXP(-'3.r(t)'!D693*$AW$21)</f>
        <v>0.86718755429225491</v>
      </c>
      <c r="AH695" s="7">
        <f ca="1">$AW$8*EXP(-'3.r(t)'!E693*$AW$22)</f>
        <v>0.87818556916768276</v>
      </c>
      <c r="AI695" s="7">
        <f ca="1">$AW$9*EXP(-'3.r(t)'!F693*$AW$23)</f>
        <v>0.90415321478271671</v>
      </c>
      <c r="AJ695" s="7">
        <f ca="1">$AW$10*EXP(-'3.r(t)'!G693*$AW$24)</f>
        <v>0.91798920678206908</v>
      </c>
      <c r="AK695" s="7">
        <f ca="1">$AW$11*EXP(-'3.r(t)'!H693*$AW$25)</f>
        <v>0.94109908797119268</v>
      </c>
      <c r="AL695" s="7">
        <f ca="1">$AW$12*EXP(-'3.r(t)'!I693*$AW$26)</f>
        <v>0.97221778663084557</v>
      </c>
      <c r="AM695" s="7">
        <v>1</v>
      </c>
      <c r="AN695" s="7"/>
    </row>
    <row r="696" spans="2:40">
      <c r="B696" s="7">
        <v>688</v>
      </c>
      <c r="C696" s="7">
        <f>$AR$7*EXP(-'3.r(t)'!D694*$AR$21)</f>
        <v>0.97765346695821032</v>
      </c>
      <c r="D696" s="7">
        <v>1</v>
      </c>
      <c r="E696" s="7"/>
      <c r="F696" s="7">
        <v>688</v>
      </c>
      <c r="G696" s="48">
        <f>$AS$7*EXP(-'3.r(t)'!D694*$AS$21)</f>
        <v>0.9553476245219803</v>
      </c>
      <c r="H696" s="7">
        <f ca="1">$AS$8*EXP(-'3.r(t)'!E694*$AS$22)</f>
        <v>0.98019316236954956</v>
      </c>
      <c r="I696" s="7">
        <v>1</v>
      </c>
      <c r="J696" s="7"/>
      <c r="K696" s="7">
        <v>688</v>
      </c>
      <c r="L696" s="7">
        <f>$AT$7*EXP(-'3.r(t)'!D694*$AT$21)</f>
        <v>0.93311670519824419</v>
      </c>
      <c r="M696" s="7">
        <f ca="1">$AT$8*EXP(-'3.r(t)'!E694*$AT$22)</f>
        <v>0.96032609533121893</v>
      </c>
      <c r="N696" s="7">
        <f ca="1">$AT$9*EXP(-'3.r(t)'!F694*$AT$23)</f>
        <v>0.98074828586169782</v>
      </c>
      <c r="O696" s="7">
        <v>1</v>
      </c>
      <c r="P696" s="7"/>
      <c r="Q696" s="7">
        <v>688</v>
      </c>
      <c r="R696" s="7">
        <f>$AU$7*EXP(-'3.r(t)'!D694*$AU$21)</f>
        <v>0.91099305977534117</v>
      </c>
      <c r="S696" s="7">
        <f ca="1">$AU$8*EXP(-'3.r(t)'!E694*$AU$22)</f>
        <v>0.94043265169893386</v>
      </c>
      <c r="T696" s="7">
        <f ca="1">$AU$9*EXP(-'3.r(t)'!F694*$AU$23)</f>
        <v>0.96142267985504126</v>
      </c>
      <c r="U696" s="7">
        <f ca="1">$AU$10*EXP(-'3.r(t)'!G694*$AU$24)</f>
        <v>0.97902600018459895</v>
      </c>
      <c r="V696" s="7">
        <v>1</v>
      </c>
      <c r="W696" s="7"/>
      <c r="X696" s="7">
        <v>688</v>
      </c>
      <c r="Y696" s="7">
        <f>$AV$7*EXP(-'3.r(t)'!D694*$AV$21)</f>
        <v>0.88900715067201674</v>
      </c>
      <c r="Z696" s="7">
        <f ca="1">$AV$8*EXP(-'3.r(t)'!E694*$AV$22)</f>
        <v>0.92054514167543877</v>
      </c>
      <c r="AA696" s="7">
        <f ca="1">$AV$9*EXP(-'3.r(t)'!F694*$AV$23)</f>
        <v>0.94205645516231429</v>
      </c>
      <c r="AB696" s="7">
        <f ca="1">$AV$10*EXP(-'3.r(t)'!G694*$AV$24)</f>
        <v>0.95805745126178343</v>
      </c>
      <c r="AC696" s="7">
        <f ca="1">$AV$11*EXP(-'3.r(t)'!H694*$AV$25)</f>
        <v>0.97679683631022507</v>
      </c>
      <c r="AD696" s="7">
        <v>1</v>
      </c>
      <c r="AE696" s="7"/>
      <c r="AF696" s="7">
        <v>688</v>
      </c>
      <c r="AG696" s="7">
        <f>$AW$7*EXP(-'3.r(t)'!D694*$AW$21)</f>
        <v>0.86718755429225491</v>
      </c>
      <c r="AH696" s="7">
        <f ca="1">$AW$8*EXP(-'3.r(t)'!E694*$AW$22)</f>
        <v>0.90069430650036919</v>
      </c>
      <c r="AI696" s="7">
        <f ca="1">$AW$9*EXP(-'3.r(t)'!F694*$AW$23)</f>
        <v>0.92268141487691346</v>
      </c>
      <c r="AJ696" s="7">
        <f ca="1">$AW$10*EXP(-'3.r(t)'!G694*$AW$24)</f>
        <v>0.93712709864467791</v>
      </c>
      <c r="AK696" s="7">
        <f ca="1">$AW$11*EXP(-'3.r(t)'!H694*$AW$25)</f>
        <v>0.95370804197011083</v>
      </c>
      <c r="AL696" s="7">
        <f ca="1">$AW$12*EXP(-'3.r(t)'!I694*$AW$26)</f>
        <v>0.9744101436852779</v>
      </c>
      <c r="AM696" s="7">
        <v>1</v>
      </c>
      <c r="AN696" s="7"/>
    </row>
    <row r="697" spans="2:40">
      <c r="B697" s="7">
        <v>689</v>
      </c>
      <c r="C697" s="7">
        <f>$AR$7*EXP(-'3.r(t)'!D695*$AR$21)</f>
        <v>0.97765346695821032</v>
      </c>
      <c r="D697" s="7">
        <v>1</v>
      </c>
      <c r="E697" s="7"/>
      <c r="F697" s="7">
        <v>689</v>
      </c>
      <c r="G697" s="48">
        <f>$AS$7*EXP(-'3.r(t)'!D695*$AS$21)</f>
        <v>0.9553476245219803</v>
      </c>
      <c r="H697" s="7">
        <f ca="1">$AS$8*EXP(-'3.r(t)'!E695*$AS$22)</f>
        <v>0.97727883920363656</v>
      </c>
      <c r="I697" s="7">
        <v>1</v>
      </c>
      <c r="J697" s="7"/>
      <c r="K697" s="7">
        <v>689</v>
      </c>
      <c r="L697" s="7">
        <f>$AT$7*EXP(-'3.r(t)'!D695*$AT$21)</f>
        <v>0.93311670519824419</v>
      </c>
      <c r="M697" s="7">
        <f ca="1">$AT$8*EXP(-'3.r(t)'!E695*$AT$22)</f>
        <v>0.95462407632701762</v>
      </c>
      <c r="N697" s="7">
        <f ca="1">$AT$9*EXP(-'3.r(t)'!F695*$AT$23)</f>
        <v>0.9769513508719242</v>
      </c>
      <c r="O697" s="7">
        <v>1</v>
      </c>
      <c r="P697" s="7"/>
      <c r="Q697" s="7">
        <v>689</v>
      </c>
      <c r="R697" s="7">
        <f>$AU$7*EXP(-'3.r(t)'!D695*$AU$21)</f>
        <v>0.91099305977534117</v>
      </c>
      <c r="S697" s="7">
        <f ca="1">$AU$8*EXP(-'3.r(t)'!E695*$AU$22)</f>
        <v>0.93206924716230111</v>
      </c>
      <c r="T697" s="7">
        <f ca="1">$AU$9*EXP(-'3.r(t)'!F695*$AU$23)</f>
        <v>0.95399285683445767</v>
      </c>
      <c r="U697" s="7">
        <f ca="1">$AU$10*EXP(-'3.r(t)'!G695*$AU$24)</f>
        <v>0.97731136632936599</v>
      </c>
      <c r="V697" s="7">
        <v>1</v>
      </c>
      <c r="W697" s="7"/>
      <c r="X697" s="7">
        <v>689</v>
      </c>
      <c r="Y697" s="7">
        <f>$AV$7*EXP(-'3.r(t)'!D695*$AV$21)</f>
        <v>0.88900715067201674</v>
      </c>
      <c r="Z697" s="7">
        <f ca="1">$AV$8*EXP(-'3.r(t)'!E695*$AV$22)</f>
        <v>0.90964596310747403</v>
      </c>
      <c r="AA697" s="7">
        <f ca="1">$AV$9*EXP(-'3.r(t)'!F695*$AV$23)</f>
        <v>0.93115733736933393</v>
      </c>
      <c r="AB697" s="7">
        <f ca="1">$AV$10*EXP(-'3.r(t)'!G695*$AV$24)</f>
        <v>0.95470456943834048</v>
      </c>
      <c r="AC697" s="7">
        <f ca="1">$AV$11*EXP(-'3.r(t)'!H695*$AV$25)</f>
        <v>0.97294014904520065</v>
      </c>
      <c r="AD697" s="7">
        <v>1</v>
      </c>
      <c r="AE697" s="7"/>
      <c r="AF697" s="7">
        <v>689</v>
      </c>
      <c r="AG697" s="7">
        <f>$AW$7*EXP(-'3.r(t)'!D695*$AW$21)</f>
        <v>0.86718755429225491</v>
      </c>
      <c r="AH697" s="7">
        <f ca="1">$AW$8*EXP(-'3.r(t)'!E695*$AW$22)</f>
        <v>0.88738391083865154</v>
      </c>
      <c r="AI697" s="7">
        <f ca="1">$AW$9*EXP(-'3.r(t)'!F695*$AW$23)</f>
        <v>0.90847565328240865</v>
      </c>
      <c r="AJ697" s="7">
        <f ca="1">$AW$10*EXP(-'3.r(t)'!G695*$AW$24)</f>
        <v>0.93221195642044052</v>
      </c>
      <c r="AK697" s="7">
        <f ca="1">$AW$11*EXP(-'3.r(t)'!H695*$AW$25)</f>
        <v>0.94619185785501747</v>
      </c>
      <c r="AL697" s="7">
        <f ca="1">$AW$12*EXP(-'3.r(t)'!I695*$AW$26)</f>
        <v>0.97075131641335644</v>
      </c>
      <c r="AM697" s="7">
        <v>1</v>
      </c>
      <c r="AN697" s="7"/>
    </row>
    <row r="698" spans="2:40">
      <c r="B698" s="7">
        <v>690</v>
      </c>
      <c r="C698" s="7">
        <f>$AR$7*EXP(-'3.r(t)'!D696*$AR$21)</f>
        <v>0.97765346695821032</v>
      </c>
      <c r="D698" s="7">
        <v>1</v>
      </c>
      <c r="E698" s="7"/>
      <c r="F698" s="7">
        <v>690</v>
      </c>
      <c r="G698" s="48">
        <f>$AS$7*EXP(-'3.r(t)'!D696*$AS$21)</f>
        <v>0.9553476245219803</v>
      </c>
      <c r="H698" s="7">
        <f ca="1">$AS$8*EXP(-'3.r(t)'!E696*$AS$22)</f>
        <v>0.97608806477817356</v>
      </c>
      <c r="I698" s="7">
        <v>1</v>
      </c>
      <c r="J698" s="7"/>
      <c r="K698" s="7">
        <v>690</v>
      </c>
      <c r="L698" s="7">
        <f>$AT$7*EXP(-'3.r(t)'!D696*$AT$21)</f>
        <v>0.93311670519824419</v>
      </c>
      <c r="M698" s="7">
        <f ca="1">$AT$8*EXP(-'3.r(t)'!E696*$AT$22)</f>
        <v>0.95229915256197817</v>
      </c>
      <c r="N698" s="7">
        <f ca="1">$AT$9*EXP(-'3.r(t)'!F696*$AT$23)</f>
        <v>0.97969539761497093</v>
      </c>
      <c r="O698" s="7">
        <v>1</v>
      </c>
      <c r="P698" s="7"/>
      <c r="Q698" s="7">
        <v>690</v>
      </c>
      <c r="R698" s="7">
        <f>$AU$7*EXP(-'3.r(t)'!D696*$AU$21)</f>
        <v>0.91099305977534117</v>
      </c>
      <c r="S698" s="7">
        <f ca="1">$AU$8*EXP(-'3.r(t)'!E696*$AU$22)</f>
        <v>0.9286663317044167</v>
      </c>
      <c r="T698" s="7">
        <f ca="1">$AU$9*EXP(-'3.r(t)'!F696*$AU$23)</f>
        <v>0.95935950566506611</v>
      </c>
      <c r="U698" s="7">
        <f ca="1">$AU$10*EXP(-'3.r(t)'!G696*$AU$24)</f>
        <v>0.9810567286022791</v>
      </c>
      <c r="V698" s="7">
        <v>1</v>
      </c>
      <c r="W698" s="7"/>
      <c r="X698" s="7">
        <v>690</v>
      </c>
      <c r="Y698" s="7">
        <f>$AV$7*EXP(-'3.r(t)'!D696*$AV$21)</f>
        <v>0.88900715067201674</v>
      </c>
      <c r="Z698" s="7">
        <f ca="1">$AV$8*EXP(-'3.r(t)'!E696*$AV$22)</f>
        <v>0.90522059343156502</v>
      </c>
      <c r="AA698" s="7">
        <f ca="1">$AV$9*EXP(-'3.r(t)'!F696*$AV$23)</f>
        <v>0.93902566002624011</v>
      </c>
      <c r="AB698" s="7">
        <f ca="1">$AV$10*EXP(-'3.r(t)'!G696*$AV$24)</f>
        <v>0.96203604275725618</v>
      </c>
      <c r="AC698" s="7">
        <f ca="1">$AV$11*EXP(-'3.r(t)'!H696*$AV$25)</f>
        <v>0.97561709929993579</v>
      </c>
      <c r="AD698" s="7">
        <v>1</v>
      </c>
      <c r="AE698" s="7"/>
      <c r="AF698" s="7">
        <v>690</v>
      </c>
      <c r="AG698" s="7">
        <f>$AW$7*EXP(-'3.r(t)'!D696*$AW$21)</f>
        <v>0.86718755429225491</v>
      </c>
      <c r="AH698" s="7">
        <f ca="1">$AW$8*EXP(-'3.r(t)'!E696*$AW$22)</f>
        <v>0.88199086367842383</v>
      </c>
      <c r="AI698" s="7">
        <f ca="1">$AW$9*EXP(-'3.r(t)'!F696*$AW$23)</f>
        <v>0.91872558995210218</v>
      </c>
      <c r="AJ698" s="7">
        <f ca="1">$AW$10*EXP(-'3.r(t)'!G696*$AW$24)</f>
        <v>0.94297066377037264</v>
      </c>
      <c r="AK698" s="7">
        <f ca="1">$AW$11*EXP(-'3.r(t)'!H696*$AW$25)</f>
        <v>0.9514057305957524</v>
      </c>
      <c r="AL698" s="7">
        <f ca="1">$AW$12*EXP(-'3.r(t)'!I696*$AW$26)</f>
        <v>0.97483621451412439</v>
      </c>
      <c r="AM698" s="7">
        <v>1</v>
      </c>
      <c r="AN698" s="7"/>
    </row>
    <row r="699" spans="2:40">
      <c r="B699" s="7">
        <v>691</v>
      </c>
      <c r="C699" s="7">
        <f>$AR$7*EXP(-'3.r(t)'!D697*$AR$21)</f>
        <v>0.97765346695821032</v>
      </c>
      <c r="D699" s="7">
        <v>1</v>
      </c>
      <c r="E699" s="7"/>
      <c r="F699" s="7">
        <v>691</v>
      </c>
      <c r="G699" s="48">
        <f>$AS$7*EXP(-'3.r(t)'!D697*$AS$21)</f>
        <v>0.9553476245219803</v>
      </c>
      <c r="H699" s="7">
        <f ca="1">$AS$8*EXP(-'3.r(t)'!E697*$AS$22)</f>
        <v>0.98002597351099796</v>
      </c>
      <c r="I699" s="7">
        <v>1</v>
      </c>
      <c r="J699" s="7"/>
      <c r="K699" s="7">
        <v>691</v>
      </c>
      <c r="L699" s="7">
        <f>$AT$7*EXP(-'3.r(t)'!D697*$AT$21)</f>
        <v>0.93311670519824419</v>
      </c>
      <c r="M699" s="7">
        <f ca="1">$AT$8*EXP(-'3.r(t)'!E697*$AT$22)</f>
        <v>0.95999852289530374</v>
      </c>
      <c r="N699" s="7">
        <f ca="1">$AT$9*EXP(-'3.r(t)'!F697*$AT$23)</f>
        <v>0.97833849809512774</v>
      </c>
      <c r="O699" s="7">
        <v>1</v>
      </c>
      <c r="P699" s="7"/>
      <c r="Q699" s="7">
        <v>691</v>
      </c>
      <c r="R699" s="7">
        <f>$AU$7*EXP(-'3.r(t)'!D697*$AU$21)</f>
        <v>0.91099305977534117</v>
      </c>
      <c r="S699" s="7">
        <f ca="1">$AU$8*EXP(-'3.r(t)'!E697*$AU$22)</f>
        <v>0.93995151272283439</v>
      </c>
      <c r="T699" s="7">
        <f ca="1">$AU$9*EXP(-'3.r(t)'!F697*$AU$23)</f>
        <v>0.95670387825967307</v>
      </c>
      <c r="U699" s="7">
        <f ca="1">$AU$10*EXP(-'3.r(t)'!G697*$AU$24)</f>
        <v>0.98280912912255025</v>
      </c>
      <c r="V699" s="7">
        <v>1</v>
      </c>
      <c r="W699" s="7"/>
      <c r="X699" s="7">
        <v>691</v>
      </c>
      <c r="Y699" s="7">
        <f>$AV$7*EXP(-'3.r(t)'!D697*$AV$21)</f>
        <v>0.88900715067201674</v>
      </c>
      <c r="Z699" s="7">
        <f ca="1">$AV$8*EXP(-'3.r(t)'!E697*$AV$22)</f>
        <v>0.91991724290950749</v>
      </c>
      <c r="AA699" s="7">
        <f ca="1">$AV$9*EXP(-'3.r(t)'!F697*$AV$23)</f>
        <v>0.9351293483538039</v>
      </c>
      <c r="AB699" s="7">
        <f ca="1">$AV$10*EXP(-'3.r(t)'!G697*$AV$24)</f>
        <v>0.96547596238092737</v>
      </c>
      <c r="AC699" s="7">
        <f ca="1">$AV$11*EXP(-'3.r(t)'!H697*$AV$25)</f>
        <v>0.98009135112616785</v>
      </c>
      <c r="AD699" s="7">
        <v>1</v>
      </c>
      <c r="AE699" s="7"/>
      <c r="AF699" s="7">
        <v>691</v>
      </c>
      <c r="AG699" s="7">
        <f>$AW$7*EXP(-'3.r(t)'!D697*$AW$21)</f>
        <v>0.86718755429225491</v>
      </c>
      <c r="AH699" s="7">
        <f ca="1">$AW$8*EXP(-'3.r(t)'!E697*$AW$22)</f>
        <v>0.8999264237123219</v>
      </c>
      <c r="AI699" s="7">
        <f ca="1">$AW$9*EXP(-'3.r(t)'!F697*$AW$23)</f>
        <v>0.91364633444037302</v>
      </c>
      <c r="AJ699" s="7">
        <f ca="1">$AW$10*EXP(-'3.r(t)'!G697*$AW$24)</f>
        <v>0.94803280446449667</v>
      </c>
      <c r="AK699" s="7">
        <f ca="1">$AW$11*EXP(-'3.r(t)'!H697*$AW$25)</f>
        <v>0.96015217404334607</v>
      </c>
      <c r="AL699" s="7">
        <f ca="1">$AW$12*EXP(-'3.r(t)'!I697*$AW$26)</f>
        <v>0.98123745916846128</v>
      </c>
      <c r="AM699" s="7">
        <v>1</v>
      </c>
      <c r="AN699" s="7"/>
    </row>
    <row r="700" spans="2:40">
      <c r="B700" s="7">
        <v>692</v>
      </c>
      <c r="C700" s="7">
        <f>$AR$7*EXP(-'3.r(t)'!D698*$AR$21)</f>
        <v>0.97765346695821032</v>
      </c>
      <c r="D700" s="7">
        <v>1</v>
      </c>
      <c r="E700" s="7"/>
      <c r="F700" s="7">
        <v>692</v>
      </c>
      <c r="G700" s="48">
        <f>$AS$7*EXP(-'3.r(t)'!D698*$AS$21)</f>
        <v>0.9553476245219803</v>
      </c>
      <c r="H700" s="7">
        <f ca="1">$AS$8*EXP(-'3.r(t)'!E698*$AS$22)</f>
        <v>0.97279019516103327</v>
      </c>
      <c r="I700" s="7">
        <v>1</v>
      </c>
      <c r="J700" s="7"/>
      <c r="K700" s="7">
        <v>692</v>
      </c>
      <c r="L700" s="7">
        <f>$AT$7*EXP(-'3.r(t)'!D698*$AT$21)</f>
        <v>0.93311670519824419</v>
      </c>
      <c r="M700" s="7">
        <f ca="1">$AT$8*EXP(-'3.r(t)'!E698*$AT$22)</f>
        <v>0.9458750334371987</v>
      </c>
      <c r="N700" s="7">
        <f ca="1">$AT$9*EXP(-'3.r(t)'!F698*$AT$23)</f>
        <v>0.97231042178123839</v>
      </c>
      <c r="O700" s="7">
        <v>1</v>
      </c>
      <c r="P700" s="7"/>
      <c r="Q700" s="7">
        <v>692</v>
      </c>
      <c r="R700" s="7">
        <f>$AU$7*EXP(-'3.r(t)'!D698*$AU$21)</f>
        <v>0.91099305977534117</v>
      </c>
      <c r="S700" s="7">
        <f ca="1">$AU$8*EXP(-'3.r(t)'!E698*$AU$22)</f>
        <v>0.91928515589507076</v>
      </c>
      <c r="T700" s="7">
        <f ca="1">$AU$9*EXP(-'3.r(t)'!F698*$AU$23)</f>
        <v>0.94495065189381944</v>
      </c>
      <c r="U700" s="7">
        <f ca="1">$AU$10*EXP(-'3.r(t)'!G698*$AU$24)</f>
        <v>0.97188100335876082</v>
      </c>
      <c r="V700" s="7">
        <v>1</v>
      </c>
      <c r="W700" s="7"/>
      <c r="X700" s="7">
        <v>692</v>
      </c>
      <c r="Y700" s="7">
        <f>$AV$7*EXP(-'3.r(t)'!D698*$AV$21)</f>
        <v>0.88900715067201674</v>
      </c>
      <c r="Z700" s="7">
        <f ca="1">$AV$8*EXP(-'3.r(t)'!E698*$AV$22)</f>
        <v>0.89304872418774772</v>
      </c>
      <c r="AA700" s="7">
        <f ca="1">$AV$9*EXP(-'3.r(t)'!F698*$AV$23)</f>
        <v>0.9179501115041051</v>
      </c>
      <c r="AB700" s="7">
        <f ca="1">$AV$10*EXP(-'3.r(t)'!G698*$AV$24)</f>
        <v>0.94412454517742006</v>
      </c>
      <c r="AC700" s="7">
        <f ca="1">$AV$11*EXP(-'3.r(t)'!H698*$AV$25)</f>
        <v>0.97265089244094138</v>
      </c>
      <c r="AD700" s="7">
        <v>1</v>
      </c>
      <c r="AE700" s="7"/>
      <c r="AF700" s="7">
        <v>692</v>
      </c>
      <c r="AG700" s="7">
        <f>$AW$7*EXP(-'3.r(t)'!D698*$AW$21)</f>
        <v>0.86718755429225491</v>
      </c>
      <c r="AH700" s="7">
        <f ca="1">$AW$8*EXP(-'3.r(t)'!E698*$AW$22)</f>
        <v>0.86719147048344358</v>
      </c>
      <c r="AI700" s="7">
        <f ca="1">$AW$9*EXP(-'3.r(t)'!F698*$AW$23)</f>
        <v>0.89133570771315795</v>
      </c>
      <c r="AJ700" s="7">
        <f ca="1">$AW$10*EXP(-'3.r(t)'!G698*$AW$24)</f>
        <v>0.91675882595965119</v>
      </c>
      <c r="AK700" s="7">
        <f ca="1">$AW$11*EXP(-'3.r(t)'!H698*$AW$25)</f>
        <v>0.94562933289500495</v>
      </c>
      <c r="AL700" s="7">
        <f ca="1">$AW$12*EXP(-'3.r(t)'!I698*$AW$26)</f>
        <v>0.97057412881302929</v>
      </c>
      <c r="AM700" s="7">
        <v>1</v>
      </c>
      <c r="AN700" s="7"/>
    </row>
    <row r="701" spans="2:40">
      <c r="B701" s="7">
        <v>693</v>
      </c>
      <c r="C701" s="7">
        <f>$AR$7*EXP(-'3.r(t)'!D699*$AR$21)</f>
        <v>0.97765346695821032</v>
      </c>
      <c r="D701" s="7">
        <v>1</v>
      </c>
      <c r="E701" s="7"/>
      <c r="F701" s="7">
        <v>693</v>
      </c>
      <c r="G701" s="48">
        <f>$AS$7*EXP(-'3.r(t)'!D699*$AS$21)</f>
        <v>0.9553476245219803</v>
      </c>
      <c r="H701" s="7">
        <f ca="1">$AS$8*EXP(-'3.r(t)'!E699*$AS$22)</f>
        <v>0.98187912167892066</v>
      </c>
      <c r="I701" s="7">
        <v>1</v>
      </c>
      <c r="J701" s="7"/>
      <c r="K701" s="7">
        <v>693</v>
      </c>
      <c r="L701" s="7">
        <f>$AT$7*EXP(-'3.r(t)'!D699*$AT$21)</f>
        <v>0.93311670519824419</v>
      </c>
      <c r="M701" s="7">
        <f ca="1">$AT$8*EXP(-'3.r(t)'!E699*$AT$22)</f>
        <v>0.9636325112619627</v>
      </c>
      <c r="N701" s="7">
        <f ca="1">$AT$9*EXP(-'3.r(t)'!F699*$AT$23)</f>
        <v>0.98280950068303552</v>
      </c>
      <c r="O701" s="7">
        <v>1</v>
      </c>
      <c r="P701" s="7"/>
      <c r="Q701" s="7">
        <v>693</v>
      </c>
      <c r="R701" s="7">
        <f>$AU$7*EXP(-'3.r(t)'!D699*$AU$21)</f>
        <v>0.91099305977534117</v>
      </c>
      <c r="S701" s="7">
        <f ca="1">$AU$8*EXP(-'3.r(t)'!E699*$AU$22)</f>
        <v>0.94529371367925363</v>
      </c>
      <c r="T701" s="7">
        <f ca="1">$AU$9*EXP(-'3.r(t)'!F699*$AU$23)</f>
        <v>0.96546812382847158</v>
      </c>
      <c r="U701" s="7">
        <f ca="1">$AU$10*EXP(-'3.r(t)'!G699*$AU$24)</f>
        <v>0.98087302614020055</v>
      </c>
      <c r="V701" s="7">
        <v>1</v>
      </c>
      <c r="W701" s="7"/>
      <c r="X701" s="7">
        <v>693</v>
      </c>
      <c r="Y701" s="7">
        <f>$AV$7*EXP(-'3.r(t)'!D699*$AV$21)</f>
        <v>0.88900715067201674</v>
      </c>
      <c r="Z701" s="7">
        <f ca="1">$AV$8*EXP(-'3.r(t)'!E699*$AV$22)</f>
        <v>0.92689495325608351</v>
      </c>
      <c r="AA701" s="7">
        <f ca="1">$AV$9*EXP(-'3.r(t)'!F699*$AV$23)</f>
        <v>0.94800863863775853</v>
      </c>
      <c r="AB701" s="7">
        <f ca="1">$AV$10*EXP(-'3.r(t)'!G699*$AV$24)</f>
        <v>0.9616757947953346</v>
      </c>
      <c r="AC701" s="7">
        <f ca="1">$AV$11*EXP(-'3.r(t)'!H699*$AV$25)</f>
        <v>0.97965850667645749</v>
      </c>
      <c r="AD701" s="7">
        <v>1</v>
      </c>
      <c r="AE701" s="7"/>
      <c r="AF701" s="7">
        <v>693</v>
      </c>
      <c r="AG701" s="7">
        <f>$AW$7*EXP(-'3.r(t)'!D699*$AW$21)</f>
        <v>0.86718755429225491</v>
      </c>
      <c r="AH701" s="7">
        <f ca="1">$AW$8*EXP(-'3.r(t)'!E699*$AW$22)</f>
        <v>0.90846709477816534</v>
      </c>
      <c r="AI701" s="7">
        <f ca="1">$AW$9*EXP(-'3.r(t)'!F699*$AW$23)</f>
        <v>0.93046261064753066</v>
      </c>
      <c r="AJ701" s="7">
        <f ca="1">$AW$10*EXP(-'3.r(t)'!G699*$AW$24)</f>
        <v>0.94244105036553449</v>
      </c>
      <c r="AK701" s="7">
        <f ca="1">$AW$11*EXP(-'3.r(t)'!H699*$AW$25)</f>
        <v>0.95930428416540181</v>
      </c>
      <c r="AL701" s="7">
        <f ca="1">$AW$12*EXP(-'3.r(t)'!I699*$AW$26)</f>
        <v>0.97644261595378412</v>
      </c>
      <c r="AM701" s="7">
        <v>1</v>
      </c>
      <c r="AN701" s="7"/>
    </row>
    <row r="702" spans="2:40">
      <c r="B702" s="7">
        <v>694</v>
      </c>
      <c r="C702" s="7">
        <f>$AR$7*EXP(-'3.r(t)'!D700*$AR$21)</f>
        <v>0.97765346695821032</v>
      </c>
      <c r="D702" s="7">
        <v>1</v>
      </c>
      <c r="E702" s="7"/>
      <c r="F702" s="7">
        <v>694</v>
      </c>
      <c r="G702" s="48">
        <f>$AS$7*EXP(-'3.r(t)'!D700*$AS$21)</f>
        <v>0.9553476245219803</v>
      </c>
      <c r="H702" s="7">
        <f ca="1">$AS$8*EXP(-'3.r(t)'!E700*$AS$22)</f>
        <v>0.97534056816704906</v>
      </c>
      <c r="I702" s="7">
        <v>1</v>
      </c>
      <c r="J702" s="7"/>
      <c r="K702" s="7">
        <v>694</v>
      </c>
      <c r="L702" s="7">
        <f>$AT$7*EXP(-'3.r(t)'!D700*$AT$21)</f>
        <v>0.93311670519824419</v>
      </c>
      <c r="M702" s="7">
        <f ca="1">$AT$8*EXP(-'3.r(t)'!E700*$AT$22)</f>
        <v>0.95084115333371988</v>
      </c>
      <c r="N702" s="7">
        <f ca="1">$AT$9*EXP(-'3.r(t)'!F700*$AT$23)</f>
        <v>0.9758773959221132</v>
      </c>
      <c r="O702" s="7">
        <v>1</v>
      </c>
      <c r="P702" s="7"/>
      <c r="Q702" s="7">
        <v>694</v>
      </c>
      <c r="R702" s="7">
        <f>$AU$7*EXP(-'3.r(t)'!D700*$AU$21)</f>
        <v>0.91099305977534117</v>
      </c>
      <c r="S702" s="7">
        <f ca="1">$AU$8*EXP(-'3.r(t)'!E700*$AU$22)</f>
        <v>0.92653442324832203</v>
      </c>
      <c r="T702" s="7">
        <f ca="1">$AU$9*EXP(-'3.r(t)'!F700*$AU$23)</f>
        <v>0.95189657596553257</v>
      </c>
      <c r="U702" s="7">
        <f ca="1">$AU$10*EXP(-'3.r(t)'!G700*$AU$24)</f>
        <v>0.97832924619254391</v>
      </c>
      <c r="V702" s="7">
        <v>1</v>
      </c>
      <c r="W702" s="7"/>
      <c r="X702" s="7">
        <v>694</v>
      </c>
      <c r="Y702" s="7">
        <f>$AV$7*EXP(-'3.r(t)'!D700*$AV$21)</f>
        <v>0.88900715067201674</v>
      </c>
      <c r="Z702" s="7">
        <f ca="1">$AV$8*EXP(-'3.r(t)'!E700*$AV$22)</f>
        <v>0.90245087429958404</v>
      </c>
      <c r="AA702" s="7">
        <f ca="1">$AV$9*EXP(-'3.r(t)'!F700*$AV$23)</f>
        <v>0.92808987003378018</v>
      </c>
      <c r="AB702" s="7">
        <f ca="1">$AV$10*EXP(-'3.r(t)'!G700*$AV$24)</f>
        <v>0.95669427435045329</v>
      </c>
      <c r="AC702" s="7">
        <f ca="1">$AV$11*EXP(-'3.r(t)'!H700*$AV$25)</f>
        <v>0.97320385731174019</v>
      </c>
      <c r="AD702" s="7">
        <v>1</v>
      </c>
      <c r="AE702" s="7"/>
      <c r="AF702" s="7">
        <v>694</v>
      </c>
      <c r="AG702" s="7">
        <f>$AW$7*EXP(-'3.r(t)'!D700*$AW$21)</f>
        <v>0.86718755429225491</v>
      </c>
      <c r="AH702" s="7">
        <f ca="1">$AW$8*EXP(-'3.r(t)'!E700*$AW$22)</f>
        <v>0.87861885142922225</v>
      </c>
      <c r="AI702" s="7">
        <f ca="1">$AW$9*EXP(-'3.r(t)'!F700*$AW$23)</f>
        <v>0.90448751489159251</v>
      </c>
      <c r="AJ702" s="7">
        <f ca="1">$AW$10*EXP(-'3.r(t)'!G700*$AW$24)</f>
        <v>0.93512771619531254</v>
      </c>
      <c r="AK702" s="7">
        <f ca="1">$AW$11*EXP(-'3.r(t)'!H700*$AW$25)</f>
        <v>0.94670484404432376</v>
      </c>
      <c r="AL702" s="7">
        <f ca="1">$AW$12*EXP(-'3.r(t)'!I700*$AW$26)</f>
        <v>0.97132825650656363</v>
      </c>
      <c r="AM702" s="7">
        <v>1</v>
      </c>
      <c r="AN702" s="7"/>
    </row>
    <row r="703" spans="2:40">
      <c r="B703" s="7">
        <v>695</v>
      </c>
      <c r="C703" s="7">
        <f>$AR$7*EXP(-'3.r(t)'!D701*$AR$21)</f>
        <v>0.97765346695821032</v>
      </c>
      <c r="D703" s="7">
        <v>1</v>
      </c>
      <c r="E703" s="7"/>
      <c r="F703" s="7">
        <v>695</v>
      </c>
      <c r="G703" s="48">
        <f>$AS$7*EXP(-'3.r(t)'!D701*$AS$21)</f>
        <v>0.9553476245219803</v>
      </c>
      <c r="H703" s="7">
        <f ca="1">$AS$8*EXP(-'3.r(t)'!E701*$AS$22)</f>
        <v>0.97788348059980623</v>
      </c>
      <c r="I703" s="7">
        <v>1</v>
      </c>
      <c r="J703" s="7"/>
      <c r="K703" s="7">
        <v>695</v>
      </c>
      <c r="L703" s="7">
        <f>$AT$7*EXP(-'3.r(t)'!D701*$AT$21)</f>
        <v>0.93311670519824419</v>
      </c>
      <c r="M703" s="7">
        <f ca="1">$AT$8*EXP(-'3.r(t)'!E701*$AT$22)</f>
        <v>0.95580569158215944</v>
      </c>
      <c r="N703" s="7">
        <f ca="1">$AT$9*EXP(-'3.r(t)'!F701*$AT$23)</f>
        <v>0.98116836380042793</v>
      </c>
      <c r="O703" s="7">
        <v>1</v>
      </c>
      <c r="P703" s="7"/>
      <c r="Q703" s="7">
        <v>695</v>
      </c>
      <c r="R703" s="7">
        <f>$AU$7*EXP(-'3.r(t)'!D701*$AU$21)</f>
        <v>0.91099305977534117</v>
      </c>
      <c r="S703" s="7">
        <f ca="1">$AU$8*EXP(-'3.r(t)'!E701*$AU$22)</f>
        <v>0.93380032854542849</v>
      </c>
      <c r="T703" s="7">
        <f ca="1">$AU$9*EXP(-'3.r(t)'!F701*$AU$23)</f>
        <v>0.96224645687823862</v>
      </c>
      <c r="U703" s="7">
        <f ca="1">$AU$10*EXP(-'3.r(t)'!G701*$AU$24)</f>
        <v>0.97888215375316445</v>
      </c>
      <c r="V703" s="7">
        <v>1</v>
      </c>
      <c r="W703" s="7"/>
      <c r="X703" s="7">
        <v>695</v>
      </c>
      <c r="Y703" s="7">
        <f>$AV$7*EXP(-'3.r(t)'!D701*$AV$21)</f>
        <v>0.88900715067201674</v>
      </c>
      <c r="Z703" s="7">
        <f ca="1">$AV$8*EXP(-'3.r(t)'!E701*$AV$22)</f>
        <v>0.91189924120658239</v>
      </c>
      <c r="AA703" s="7">
        <f ca="1">$AV$9*EXP(-'3.r(t)'!F701*$AV$23)</f>
        <v>0.94326748963701856</v>
      </c>
      <c r="AB703" s="7">
        <f ca="1">$AV$10*EXP(-'3.r(t)'!G701*$AV$24)</f>
        <v>0.95777594081949624</v>
      </c>
      <c r="AC703" s="7">
        <f ca="1">$AV$11*EXP(-'3.r(t)'!H701*$AV$25)</f>
        <v>0.97705363778773069</v>
      </c>
      <c r="AD703" s="7">
        <v>1</v>
      </c>
      <c r="AE703" s="7"/>
      <c r="AF703" s="7">
        <v>695</v>
      </c>
      <c r="AG703" s="7">
        <f>$AW$7*EXP(-'3.r(t)'!D701*$AW$21)</f>
        <v>0.86718755429225491</v>
      </c>
      <c r="AH703" s="7">
        <f ca="1">$AW$8*EXP(-'3.r(t)'!E701*$AW$22)</f>
        <v>0.89013242723337394</v>
      </c>
      <c r="AI703" s="7">
        <f ca="1">$AW$9*EXP(-'3.r(t)'!F701*$AW$23)</f>
        <v>0.92426325686380428</v>
      </c>
      <c r="AJ703" s="7">
        <f ca="1">$AW$10*EXP(-'3.r(t)'!G701*$AW$24)</f>
        <v>0.93671408841729009</v>
      </c>
      <c r="AK703" s="7">
        <f ca="1">$AW$11*EXP(-'3.r(t)'!H701*$AW$25)</f>
        <v>0.95420957067961965</v>
      </c>
      <c r="AL703" s="7">
        <f ca="1">$AW$12*EXP(-'3.r(t)'!I701*$AW$26)</f>
        <v>0.97133300875410733</v>
      </c>
      <c r="AM703" s="7">
        <v>1</v>
      </c>
      <c r="AN703" s="7"/>
    </row>
    <row r="704" spans="2:40">
      <c r="B704" s="7">
        <v>696</v>
      </c>
      <c r="C704" s="7">
        <f>$AR$7*EXP(-'3.r(t)'!D702*$AR$21)</f>
        <v>0.97765346695821032</v>
      </c>
      <c r="D704" s="7">
        <v>1</v>
      </c>
      <c r="E704" s="7"/>
      <c r="F704" s="7">
        <v>696</v>
      </c>
      <c r="G704" s="48">
        <f>$AS$7*EXP(-'3.r(t)'!D702*$AS$21)</f>
        <v>0.9553476245219803</v>
      </c>
      <c r="H704" s="7">
        <f ca="1">$AS$8*EXP(-'3.r(t)'!E702*$AS$22)</f>
        <v>0.97843204575313247</v>
      </c>
      <c r="I704" s="7">
        <v>1</v>
      </c>
      <c r="J704" s="7"/>
      <c r="K704" s="7">
        <v>696</v>
      </c>
      <c r="L704" s="7">
        <f>$AT$7*EXP(-'3.r(t)'!D702*$AT$21)</f>
        <v>0.93311670519824419</v>
      </c>
      <c r="M704" s="7">
        <f ca="1">$AT$8*EXP(-'3.r(t)'!E702*$AT$22)</f>
        <v>0.95687835263232857</v>
      </c>
      <c r="N704" s="7">
        <f ca="1">$AT$9*EXP(-'3.r(t)'!F702*$AT$23)</f>
        <v>0.97890096574512142</v>
      </c>
      <c r="O704" s="7">
        <v>1</v>
      </c>
      <c r="P704" s="7"/>
      <c r="Q704" s="7">
        <v>696</v>
      </c>
      <c r="R704" s="7">
        <f>$AU$7*EXP(-'3.r(t)'!D702*$AU$21)</f>
        <v>0.91099305977534117</v>
      </c>
      <c r="S704" s="7">
        <f ca="1">$AU$8*EXP(-'3.r(t)'!E702*$AU$22)</f>
        <v>0.93537271751305462</v>
      </c>
      <c r="T704" s="7">
        <f ca="1">$AU$9*EXP(-'3.r(t)'!F702*$AU$23)</f>
        <v>0.95780425337539743</v>
      </c>
      <c r="U704" s="7">
        <f ca="1">$AU$10*EXP(-'3.r(t)'!G702*$AU$24)</f>
        <v>0.98010107964955206</v>
      </c>
      <c r="V704" s="7">
        <v>1</v>
      </c>
      <c r="W704" s="7"/>
      <c r="X704" s="7">
        <v>696</v>
      </c>
      <c r="Y704" s="7">
        <f>$AV$7*EXP(-'3.r(t)'!D702*$AV$21)</f>
        <v>0.88900715067201674</v>
      </c>
      <c r="Z704" s="7">
        <f ca="1">$AV$8*EXP(-'3.r(t)'!E702*$AV$22)</f>
        <v>0.91394716303807422</v>
      </c>
      <c r="AA704" s="7">
        <f ca="1">$AV$9*EXP(-'3.r(t)'!F702*$AV$23)</f>
        <v>0.93674315317626267</v>
      </c>
      <c r="AB704" s="7">
        <f ca="1">$AV$10*EXP(-'3.r(t)'!G702*$AV$24)</f>
        <v>0.9601627138647143</v>
      </c>
      <c r="AC704" s="7">
        <f ca="1">$AV$11*EXP(-'3.r(t)'!H702*$AV$25)</f>
        <v>0.97793127471445929</v>
      </c>
      <c r="AD704" s="7">
        <v>1</v>
      </c>
      <c r="AE704" s="7"/>
      <c r="AF704" s="7">
        <v>696</v>
      </c>
      <c r="AG704" s="7">
        <f>$AW$7*EXP(-'3.r(t)'!D702*$AW$21)</f>
        <v>0.86718755429225491</v>
      </c>
      <c r="AH704" s="7">
        <f ca="1">$AW$8*EXP(-'3.r(t)'!E702*$AW$22)</f>
        <v>0.89263192634951993</v>
      </c>
      <c r="AI704" s="7">
        <f ca="1">$AW$9*EXP(-'3.r(t)'!F702*$AW$23)</f>
        <v>0.9157492460711546</v>
      </c>
      <c r="AJ704" s="7">
        <f ca="1">$AW$10*EXP(-'3.r(t)'!G702*$AW$24)</f>
        <v>0.94021769941440048</v>
      </c>
      <c r="AK704" s="7">
        <f ca="1">$AW$11*EXP(-'3.r(t)'!H702*$AW$25)</f>
        <v>0.95592457514109508</v>
      </c>
      <c r="AL704" s="7">
        <f ca="1">$AW$12*EXP(-'3.r(t)'!I702*$AW$26)</f>
        <v>0.97854090996464405</v>
      </c>
      <c r="AM704" s="7">
        <v>1</v>
      </c>
      <c r="AN704" s="7"/>
    </row>
    <row r="705" spans="2:40">
      <c r="B705" s="7">
        <v>697</v>
      </c>
      <c r="C705" s="7">
        <f>$AR$7*EXP(-'3.r(t)'!D703*$AR$21)</f>
        <v>0.97765346695821032</v>
      </c>
      <c r="D705" s="7">
        <v>1</v>
      </c>
      <c r="E705" s="7"/>
      <c r="F705" s="7">
        <v>697</v>
      </c>
      <c r="G705" s="48">
        <f>$AS$7*EXP(-'3.r(t)'!D703*$AS$21)</f>
        <v>0.9553476245219803</v>
      </c>
      <c r="H705" s="7">
        <f ca="1">$AS$8*EXP(-'3.r(t)'!E703*$AS$22)</f>
        <v>0.97445769198645815</v>
      </c>
      <c r="I705" s="7">
        <v>1</v>
      </c>
      <c r="J705" s="7"/>
      <c r="K705" s="7">
        <v>697</v>
      </c>
      <c r="L705" s="7">
        <f>$AT$7*EXP(-'3.r(t)'!D703*$AT$21)</f>
        <v>0.93311670519824419</v>
      </c>
      <c r="M705" s="7">
        <f ca="1">$AT$8*EXP(-'3.r(t)'!E703*$AT$22)</f>
        <v>0.94912053371077598</v>
      </c>
      <c r="N705" s="7">
        <f ca="1">$AT$9*EXP(-'3.r(t)'!F703*$AT$23)</f>
        <v>0.97338234605210572</v>
      </c>
      <c r="O705" s="7">
        <v>1</v>
      </c>
      <c r="P705" s="7"/>
      <c r="Q705" s="7">
        <v>697</v>
      </c>
      <c r="R705" s="7">
        <f>$AU$7*EXP(-'3.r(t)'!D703*$AU$21)</f>
        <v>0.91099305977534117</v>
      </c>
      <c r="S705" s="7">
        <f ca="1">$AU$8*EXP(-'3.r(t)'!E703*$AU$22)</f>
        <v>0.92402060923101859</v>
      </c>
      <c r="T705" s="7">
        <f ca="1">$AU$9*EXP(-'3.r(t)'!F703*$AU$23)</f>
        <v>0.94703532333318263</v>
      </c>
      <c r="U705" s="7">
        <f ca="1">$AU$10*EXP(-'3.r(t)'!G703*$AU$24)</f>
        <v>0.97102250473245766</v>
      </c>
      <c r="V705" s="7">
        <v>1</v>
      </c>
      <c r="W705" s="7"/>
      <c r="X705" s="7">
        <v>697</v>
      </c>
      <c r="Y705" s="7">
        <f>$AV$7*EXP(-'3.r(t)'!D703*$AV$21)</f>
        <v>0.88900715067201674</v>
      </c>
      <c r="Z705" s="7">
        <f ca="1">$AV$8*EXP(-'3.r(t)'!E703*$AV$22)</f>
        <v>0.89918772199389108</v>
      </c>
      <c r="AA705" s="7">
        <f ca="1">$AV$9*EXP(-'3.r(t)'!F703*$AV$23)</f>
        <v>0.92098944388879911</v>
      </c>
      <c r="AB705" s="7">
        <f ca="1">$AV$10*EXP(-'3.r(t)'!G703*$AV$24)</f>
        <v>0.94245732123371329</v>
      </c>
      <c r="AC705" s="7">
        <f ca="1">$AV$11*EXP(-'3.r(t)'!H703*$AV$25)</f>
        <v>0.9723822486948599</v>
      </c>
      <c r="AD705" s="7">
        <v>1</v>
      </c>
      <c r="AE705" s="7"/>
      <c r="AF705" s="7">
        <v>697</v>
      </c>
      <c r="AG705" s="7">
        <f>$AW$7*EXP(-'3.r(t)'!D703*$AW$21)</f>
        <v>0.86718755429225491</v>
      </c>
      <c r="AH705" s="7">
        <f ca="1">$AW$8*EXP(-'3.r(t)'!E703*$AW$22)</f>
        <v>0.87464942471504126</v>
      </c>
      <c r="AI705" s="7">
        <f ca="1">$AW$9*EXP(-'3.r(t)'!F703*$AW$23)</f>
        <v>0.89527282702875854</v>
      </c>
      <c r="AJ705" s="7">
        <f ca="1">$AW$10*EXP(-'3.r(t)'!G703*$AW$24)</f>
        <v>0.91433154985365073</v>
      </c>
      <c r="AK705" s="7">
        <f ca="1">$AW$11*EXP(-'3.r(t)'!H703*$AW$25)</f>
        <v>0.94510704411468494</v>
      </c>
      <c r="AL705" s="7">
        <f ca="1">$AW$12*EXP(-'3.r(t)'!I703*$AW$26)</f>
        <v>0.96863554802640128</v>
      </c>
      <c r="AM705" s="7">
        <v>1</v>
      </c>
      <c r="AN705" s="7"/>
    </row>
    <row r="706" spans="2:40">
      <c r="B706" s="7">
        <v>698</v>
      </c>
      <c r="C706" s="7">
        <f>$AR$7*EXP(-'3.r(t)'!D704*$AR$21)</f>
        <v>0.97765346695821032</v>
      </c>
      <c r="D706" s="7">
        <v>1</v>
      </c>
      <c r="E706" s="7"/>
      <c r="F706" s="7">
        <v>698</v>
      </c>
      <c r="G706" s="48">
        <f>$AS$7*EXP(-'3.r(t)'!D704*$AS$21)</f>
        <v>0.9553476245219803</v>
      </c>
      <c r="H706" s="7">
        <f ca="1">$AS$8*EXP(-'3.r(t)'!E704*$AS$22)</f>
        <v>0.97771043073754338</v>
      </c>
      <c r="I706" s="7">
        <v>1</v>
      </c>
      <c r="J706" s="7"/>
      <c r="K706" s="7">
        <v>698</v>
      </c>
      <c r="L706" s="7">
        <f>$AT$7*EXP(-'3.r(t)'!D704*$AT$21)</f>
        <v>0.93311670519824419</v>
      </c>
      <c r="M706" s="7">
        <f ca="1">$AT$8*EXP(-'3.r(t)'!E704*$AT$22)</f>
        <v>0.95546743572349713</v>
      </c>
      <c r="N706" s="7">
        <f ca="1">$AT$9*EXP(-'3.r(t)'!F704*$AT$23)</f>
        <v>0.97989996666357904</v>
      </c>
      <c r="O706" s="7">
        <v>1</v>
      </c>
      <c r="P706" s="7"/>
      <c r="Q706" s="7">
        <v>698</v>
      </c>
      <c r="R706" s="7">
        <f>$AU$7*EXP(-'3.r(t)'!D704*$AU$21)</f>
        <v>0.91099305977534117</v>
      </c>
      <c r="S706" s="7">
        <f ca="1">$AU$8*EXP(-'3.r(t)'!E704*$AU$22)</f>
        <v>0.93330467003338069</v>
      </c>
      <c r="T706" s="7">
        <f ca="1">$AU$9*EXP(-'3.r(t)'!F704*$AU$23)</f>
        <v>0.9597601929638746</v>
      </c>
      <c r="U706" s="7">
        <f ca="1">$AU$10*EXP(-'3.r(t)'!G704*$AU$24)</f>
        <v>0.98148074174040523</v>
      </c>
      <c r="V706" s="7">
        <v>1</v>
      </c>
      <c r="W706" s="7"/>
      <c r="X706" s="7">
        <v>698</v>
      </c>
      <c r="Y706" s="7">
        <f>$AV$7*EXP(-'3.r(t)'!D704*$AV$21)</f>
        <v>0.88900715067201674</v>
      </c>
      <c r="Z706" s="7">
        <f ca="1">$AV$8*EXP(-'3.r(t)'!E704*$AV$22)</f>
        <v>0.91125392033642039</v>
      </c>
      <c r="AA706" s="7">
        <f ca="1">$AV$9*EXP(-'3.r(t)'!F704*$AV$23)</f>
        <v>0.93961401340751805</v>
      </c>
      <c r="AB706" s="7">
        <f ca="1">$AV$10*EXP(-'3.r(t)'!G704*$AV$24)</f>
        <v>0.96286780724202614</v>
      </c>
      <c r="AC706" s="7">
        <f ca="1">$AV$11*EXP(-'3.r(t)'!H704*$AV$25)</f>
        <v>0.98229916981053855</v>
      </c>
      <c r="AD706" s="7">
        <v>1</v>
      </c>
      <c r="AE706" s="7"/>
      <c r="AF706" s="7">
        <v>698</v>
      </c>
      <c r="AG706" s="7">
        <f>$AW$7*EXP(-'3.r(t)'!D704*$AW$21)</f>
        <v>0.86718755429225491</v>
      </c>
      <c r="AH706" s="7">
        <f ca="1">$AW$8*EXP(-'3.r(t)'!E704*$AW$22)</f>
        <v>0.88934510037584691</v>
      </c>
      <c r="AI706" s="7">
        <f ca="1">$AW$9*EXP(-'3.r(t)'!F704*$AW$23)</f>
        <v>0.91949318238828703</v>
      </c>
      <c r="AJ706" s="7">
        <f ca="1">$AW$10*EXP(-'3.r(t)'!G704*$AW$24)</f>
        <v>0.94419384925316951</v>
      </c>
      <c r="AK706" s="7">
        <f ca="1">$AW$11*EXP(-'3.r(t)'!H704*$AW$25)</f>
        <v>0.96448285108766441</v>
      </c>
      <c r="AL706" s="7">
        <f ca="1">$AW$12*EXP(-'3.r(t)'!I704*$AW$26)</f>
        <v>0.97878778386370358</v>
      </c>
      <c r="AM706" s="7">
        <v>1</v>
      </c>
      <c r="AN706" s="7"/>
    </row>
    <row r="707" spans="2:40">
      <c r="B707" s="7">
        <v>699</v>
      </c>
      <c r="C707" s="7">
        <f>$AR$7*EXP(-'3.r(t)'!D705*$AR$21)</f>
        <v>0.97765346695821032</v>
      </c>
      <c r="D707" s="7">
        <v>1</v>
      </c>
      <c r="E707" s="7"/>
      <c r="F707" s="7">
        <v>699</v>
      </c>
      <c r="G707" s="48">
        <f>$AS$7*EXP(-'3.r(t)'!D705*$AS$21)</f>
        <v>0.9553476245219803</v>
      </c>
      <c r="H707" s="7">
        <f ca="1">$AS$8*EXP(-'3.r(t)'!E705*$AS$22)</f>
        <v>0.97523284531366039</v>
      </c>
      <c r="I707" s="7">
        <v>1</v>
      </c>
      <c r="J707" s="7"/>
      <c r="K707" s="7">
        <v>699</v>
      </c>
      <c r="L707" s="7">
        <f>$AT$7*EXP(-'3.r(t)'!D705*$AT$21)</f>
        <v>0.93311670519824419</v>
      </c>
      <c r="M707" s="7">
        <f ca="1">$AT$8*EXP(-'3.r(t)'!E705*$AT$22)</f>
        <v>0.95063113096997376</v>
      </c>
      <c r="N707" s="7">
        <f ca="1">$AT$9*EXP(-'3.r(t)'!F705*$AT$23)</f>
        <v>0.97346409741000017</v>
      </c>
      <c r="O707" s="7">
        <v>1</v>
      </c>
      <c r="P707" s="7"/>
      <c r="Q707" s="7">
        <v>699</v>
      </c>
      <c r="R707" s="7">
        <f>$AU$7*EXP(-'3.r(t)'!D705*$AU$21)</f>
        <v>0.91099305977534117</v>
      </c>
      <c r="S707" s="7">
        <f ca="1">$AU$8*EXP(-'3.r(t)'!E705*$AU$22)</f>
        <v>0.92622745998248146</v>
      </c>
      <c r="T707" s="7">
        <f ca="1">$AU$9*EXP(-'3.r(t)'!F705*$AU$23)</f>
        <v>0.94719440712006842</v>
      </c>
      <c r="U707" s="7">
        <f ca="1">$AU$10*EXP(-'3.r(t)'!G705*$AU$24)</f>
        <v>0.97388360916459626</v>
      </c>
      <c r="V707" s="7">
        <v>1</v>
      </c>
      <c r="W707" s="7"/>
      <c r="X707" s="7">
        <v>699</v>
      </c>
      <c r="Y707" s="7">
        <f>$AV$7*EXP(-'3.r(t)'!D705*$AV$21)</f>
        <v>0.88900715067201674</v>
      </c>
      <c r="Z707" s="7">
        <f ca="1">$AV$8*EXP(-'3.r(t)'!E705*$AV$22)</f>
        <v>0.90205225054874349</v>
      </c>
      <c r="AA707" s="7">
        <f ca="1">$AV$9*EXP(-'3.r(t)'!F705*$AV$23)</f>
        <v>0.92122151650141471</v>
      </c>
      <c r="AB707" s="7">
        <f ca="1">$AV$10*EXP(-'3.r(t)'!G705*$AV$24)</f>
        <v>0.9480193784668558</v>
      </c>
      <c r="AC707" s="7">
        <f ca="1">$AV$11*EXP(-'3.r(t)'!H705*$AV$25)</f>
        <v>0.97437172259095106</v>
      </c>
      <c r="AD707" s="7">
        <v>1</v>
      </c>
      <c r="AE707" s="7"/>
      <c r="AF707" s="7">
        <v>699</v>
      </c>
      <c r="AG707" s="7">
        <f>$AW$7*EXP(-'3.r(t)'!D705*$AW$21)</f>
        <v>0.86718755429225491</v>
      </c>
      <c r="AH707" s="7">
        <f ca="1">$AW$8*EXP(-'3.r(t)'!E705*$AW$22)</f>
        <v>0.87813375715445896</v>
      </c>
      <c r="AI707" s="7">
        <f ca="1">$AW$9*EXP(-'3.r(t)'!F705*$AW$23)</f>
        <v>0.89557362964997156</v>
      </c>
      <c r="AJ707" s="7">
        <f ca="1">$AW$10*EXP(-'3.r(t)'!G705*$AW$24)</f>
        <v>0.92243758326584091</v>
      </c>
      <c r="AK707" s="7">
        <f ca="1">$AW$11*EXP(-'3.r(t)'!H705*$AW$25)</f>
        <v>0.94897833914952467</v>
      </c>
      <c r="AL707" s="7">
        <f ca="1">$AW$12*EXP(-'3.r(t)'!I705*$AW$26)</f>
        <v>0.97486546270605956</v>
      </c>
      <c r="AM707" s="7">
        <v>1</v>
      </c>
      <c r="AN707" s="7"/>
    </row>
    <row r="708" spans="2:40">
      <c r="B708" s="7">
        <v>700</v>
      </c>
      <c r="C708" s="7">
        <f>$AR$7*EXP(-'3.r(t)'!D706*$AR$21)</f>
        <v>0.97765346695821032</v>
      </c>
      <c r="D708" s="7">
        <v>1</v>
      </c>
      <c r="E708" s="7"/>
      <c r="F708" s="7">
        <v>700</v>
      </c>
      <c r="G708" s="48">
        <f>$AS$7*EXP(-'3.r(t)'!D706*$AS$21)</f>
        <v>0.9553476245219803</v>
      </c>
      <c r="H708" s="7">
        <f ca="1">$AS$8*EXP(-'3.r(t)'!E706*$AS$22)</f>
        <v>0.97917137239903862</v>
      </c>
      <c r="I708" s="7">
        <v>1</v>
      </c>
      <c r="J708" s="7"/>
      <c r="K708" s="7">
        <v>700</v>
      </c>
      <c r="L708" s="7">
        <f>$AT$7*EXP(-'3.r(t)'!D706*$AT$21)</f>
        <v>0.93311670519824419</v>
      </c>
      <c r="M708" s="7">
        <f ca="1">$AT$8*EXP(-'3.r(t)'!E706*$AT$22)</f>
        <v>0.95832497929892591</v>
      </c>
      <c r="N708" s="7">
        <f ca="1">$AT$9*EXP(-'3.r(t)'!F706*$AT$23)</f>
        <v>0.97663047262901415</v>
      </c>
      <c r="O708" s="7">
        <v>1</v>
      </c>
      <c r="P708" s="7"/>
      <c r="Q708" s="7">
        <v>700</v>
      </c>
      <c r="R708" s="7">
        <f>$AU$7*EXP(-'3.r(t)'!D706*$AU$21)</f>
        <v>0.91099305977534117</v>
      </c>
      <c r="S708" s="7">
        <f ca="1">$AU$8*EXP(-'3.r(t)'!E706*$AU$22)</f>
        <v>0.93749469008295194</v>
      </c>
      <c r="T708" s="7">
        <f ca="1">$AU$9*EXP(-'3.r(t)'!F706*$AU$23)</f>
        <v>0.95336628463150419</v>
      </c>
      <c r="U708" s="7">
        <f ca="1">$AU$10*EXP(-'3.r(t)'!G706*$AU$24)</f>
        <v>0.97694046957598923</v>
      </c>
      <c r="V708" s="7">
        <v>1</v>
      </c>
      <c r="W708" s="7"/>
      <c r="X708" s="7">
        <v>700</v>
      </c>
      <c r="Y708" s="7">
        <f>$AV$7*EXP(-'3.r(t)'!D706*$AV$21)</f>
        <v>0.88900715067201674</v>
      </c>
      <c r="Z708" s="7">
        <f ca="1">$AV$8*EXP(-'3.r(t)'!E706*$AV$22)</f>
        <v>0.9167126969276651</v>
      </c>
      <c r="AA708" s="7">
        <f ca="1">$AV$9*EXP(-'3.r(t)'!F706*$AV$23)</f>
        <v>0.93024012689337421</v>
      </c>
      <c r="AB708" s="7">
        <f ca="1">$AV$10*EXP(-'3.r(t)'!G706*$AV$24)</f>
        <v>0.95398007232047477</v>
      </c>
      <c r="AC708" s="7">
        <f ca="1">$AV$11*EXP(-'3.r(t)'!H706*$AV$25)</f>
        <v>0.97725884480345504</v>
      </c>
      <c r="AD708" s="7">
        <v>1</v>
      </c>
      <c r="AE708" s="7"/>
      <c r="AF708" s="7">
        <v>700</v>
      </c>
      <c r="AG708" s="7">
        <f>$AW$7*EXP(-'3.r(t)'!D706*$AW$21)</f>
        <v>0.86718755429225491</v>
      </c>
      <c r="AH708" s="7">
        <f ca="1">$AW$8*EXP(-'3.r(t)'!E706*$AW$22)</f>
        <v>0.89600949696219445</v>
      </c>
      <c r="AI708" s="7">
        <f ca="1">$AW$9*EXP(-'3.r(t)'!F706*$AW$23)</f>
        <v>0.90728269118270211</v>
      </c>
      <c r="AJ708" s="7">
        <f ca="1">$AW$10*EXP(-'3.r(t)'!G706*$AW$24)</f>
        <v>0.93115101555664825</v>
      </c>
      <c r="AK708" s="7">
        <f ca="1">$AW$11*EXP(-'3.r(t)'!H706*$AW$25)</f>
        <v>0.95461043108990584</v>
      </c>
      <c r="AL708" s="7">
        <f ca="1">$AW$12*EXP(-'3.r(t)'!I706*$AW$26)</f>
        <v>0.97769337385149324</v>
      </c>
      <c r="AM708" s="7">
        <v>1</v>
      </c>
      <c r="AN708" s="7"/>
    </row>
    <row r="709" spans="2:40">
      <c r="B709" s="7">
        <v>701</v>
      </c>
      <c r="C709" s="7">
        <f>$AR$7*EXP(-'3.r(t)'!D707*$AR$21)</f>
        <v>0.97765346695821032</v>
      </c>
      <c r="D709" s="7">
        <v>1</v>
      </c>
      <c r="E709" s="7"/>
      <c r="F709" s="7">
        <v>701</v>
      </c>
      <c r="G709" s="48">
        <f>$AS$7*EXP(-'3.r(t)'!D707*$AS$21)</f>
        <v>0.9553476245219803</v>
      </c>
      <c r="H709" s="7">
        <f ca="1">$AS$8*EXP(-'3.r(t)'!E707*$AS$22)</f>
        <v>0.97590450617109392</v>
      </c>
      <c r="I709" s="7">
        <v>1</v>
      </c>
      <c r="J709" s="7"/>
      <c r="K709" s="7">
        <v>701</v>
      </c>
      <c r="L709" s="7">
        <f>$AT$7*EXP(-'3.r(t)'!D707*$AT$21)</f>
        <v>0.93311670519824419</v>
      </c>
      <c r="M709" s="7">
        <f ca="1">$AT$8*EXP(-'3.r(t)'!E707*$AT$22)</f>
        <v>0.95194101629132732</v>
      </c>
      <c r="N709" s="7">
        <f ca="1">$AT$9*EXP(-'3.r(t)'!F707*$AT$23)</f>
        <v>0.97643970764648924</v>
      </c>
      <c r="O709" s="7">
        <v>1</v>
      </c>
      <c r="P709" s="7"/>
      <c r="Q709" s="7">
        <v>701</v>
      </c>
      <c r="R709" s="7">
        <f>$AU$7*EXP(-'3.r(t)'!D707*$AU$21)</f>
        <v>0.91099305977534117</v>
      </c>
      <c r="S709" s="7">
        <f ca="1">$AU$8*EXP(-'3.r(t)'!E707*$AU$22)</f>
        <v>0.92814250813875854</v>
      </c>
      <c r="T709" s="7">
        <f ca="1">$AU$9*EXP(-'3.r(t)'!F707*$AU$23)</f>
        <v>0.95299387941679758</v>
      </c>
      <c r="U709" s="7">
        <f ca="1">$AU$10*EXP(-'3.r(t)'!G707*$AU$24)</f>
        <v>0.97572988873100808</v>
      </c>
      <c r="V709" s="7">
        <v>1</v>
      </c>
      <c r="W709" s="7"/>
      <c r="X709" s="7">
        <v>701</v>
      </c>
      <c r="Y709" s="7">
        <f>$AV$7*EXP(-'3.r(t)'!D707*$AV$21)</f>
        <v>0.88900715067201674</v>
      </c>
      <c r="Z709" s="7">
        <f ca="1">$AV$8*EXP(-'3.r(t)'!E707*$AV$22)</f>
        <v>0.90453985909257384</v>
      </c>
      <c r="AA709" s="7">
        <f ca="1">$AV$9*EXP(-'3.r(t)'!F707*$AV$23)</f>
        <v>0.92969512265860355</v>
      </c>
      <c r="AB709" s="7">
        <f ca="1">$AV$10*EXP(-'3.r(t)'!G707*$AV$24)</f>
        <v>0.95161727846268251</v>
      </c>
      <c r="AC709" s="7">
        <f ca="1">$AV$11*EXP(-'3.r(t)'!H707*$AV$25)</f>
        <v>0.97791086418065032</v>
      </c>
      <c r="AD709" s="7">
        <v>1</v>
      </c>
      <c r="AE709" s="7"/>
      <c r="AF709" s="7">
        <v>701</v>
      </c>
      <c r="AG709" s="7">
        <f>$AW$7*EXP(-'3.r(t)'!D707*$AW$21)</f>
        <v>0.86718755429225491</v>
      </c>
      <c r="AH709" s="7">
        <f ca="1">$AW$8*EXP(-'3.r(t)'!E707*$AW$22)</f>
        <v>0.88116185992109952</v>
      </c>
      <c r="AI709" s="7">
        <f ca="1">$AW$9*EXP(-'3.r(t)'!F707*$AW$23)</f>
        <v>0.90657402166100853</v>
      </c>
      <c r="AJ709" s="7">
        <f ca="1">$AW$10*EXP(-'3.r(t)'!G707*$AW$24)</f>
        <v>0.92769378133030289</v>
      </c>
      <c r="AK709" s="7">
        <f ca="1">$AW$11*EXP(-'3.r(t)'!H707*$AW$25)</f>
        <v>0.95588467309939429</v>
      </c>
      <c r="AL709" s="7">
        <f ca="1">$AW$12*EXP(-'3.r(t)'!I707*$AW$26)</f>
        <v>0.97788440620616313</v>
      </c>
      <c r="AM709" s="7">
        <v>1</v>
      </c>
      <c r="AN709" s="7"/>
    </row>
    <row r="710" spans="2:40">
      <c r="B710" s="7">
        <v>702</v>
      </c>
      <c r="C710" s="7">
        <f>$AR$7*EXP(-'3.r(t)'!D708*$AR$21)</f>
        <v>0.97765346695821032</v>
      </c>
      <c r="D710" s="7">
        <v>1</v>
      </c>
      <c r="E710" s="7"/>
      <c r="F710" s="7">
        <v>702</v>
      </c>
      <c r="G710" s="48">
        <f>$AS$7*EXP(-'3.r(t)'!D708*$AS$21)</f>
        <v>0.9553476245219803</v>
      </c>
      <c r="H710" s="7">
        <f ca="1">$AS$8*EXP(-'3.r(t)'!E708*$AS$22)</f>
        <v>0.98402043303403297</v>
      </c>
      <c r="I710" s="7">
        <v>1</v>
      </c>
      <c r="J710" s="7"/>
      <c r="K710" s="7">
        <v>702</v>
      </c>
      <c r="L710" s="7">
        <f>$AT$7*EXP(-'3.r(t)'!D708*$AT$21)</f>
        <v>0.93311670519824419</v>
      </c>
      <c r="M710" s="7">
        <f ca="1">$AT$8*EXP(-'3.r(t)'!E708*$AT$22)</f>
        <v>0.96784013151935355</v>
      </c>
      <c r="N710" s="7">
        <f ca="1">$AT$9*EXP(-'3.r(t)'!F708*$AT$23)</f>
        <v>0.98272990970544627</v>
      </c>
      <c r="O710" s="7">
        <v>1</v>
      </c>
      <c r="P710" s="7"/>
      <c r="Q710" s="7">
        <v>702</v>
      </c>
      <c r="R710" s="7">
        <f>$AU$7*EXP(-'3.r(t)'!D708*$AU$21)</f>
        <v>0.91099305977534117</v>
      </c>
      <c r="S710" s="7">
        <f ca="1">$AU$8*EXP(-'3.r(t)'!E708*$AU$22)</f>
        <v>0.95149178539814172</v>
      </c>
      <c r="T710" s="7">
        <f ca="1">$AU$9*EXP(-'3.r(t)'!F708*$AU$23)</f>
        <v>0.96531175692261906</v>
      </c>
      <c r="U710" s="7">
        <f ca="1">$AU$10*EXP(-'3.r(t)'!G708*$AU$24)</f>
        <v>0.98074384880294185</v>
      </c>
      <c r="V710" s="7">
        <v>1</v>
      </c>
      <c r="W710" s="7"/>
      <c r="X710" s="7">
        <v>702</v>
      </c>
      <c r="Y710" s="7">
        <f>$AV$7*EXP(-'3.r(t)'!D708*$AV$21)</f>
        <v>0.88900715067201674</v>
      </c>
      <c r="Z710" s="7">
        <f ca="1">$AV$8*EXP(-'3.r(t)'!E708*$AV$22)</f>
        <v>0.93500704265735612</v>
      </c>
      <c r="AA710" s="7">
        <f ca="1">$AV$9*EXP(-'3.r(t)'!F708*$AV$23)</f>
        <v>0.94777833920329746</v>
      </c>
      <c r="AB710" s="7">
        <f ca="1">$AV$10*EXP(-'3.r(t)'!G708*$AV$24)</f>
        <v>0.96142251320828209</v>
      </c>
      <c r="AC710" s="7">
        <f ca="1">$AV$11*EXP(-'3.r(t)'!H708*$AV$25)</f>
        <v>0.98037908785385053</v>
      </c>
      <c r="AD710" s="7">
        <v>1</v>
      </c>
      <c r="AE710" s="7"/>
      <c r="AF710" s="7">
        <v>702</v>
      </c>
      <c r="AG710" s="7">
        <f>$AW$7*EXP(-'3.r(t)'!D708*$AW$21)</f>
        <v>0.86718755429225491</v>
      </c>
      <c r="AH710" s="7">
        <f ca="1">$AW$8*EXP(-'3.r(t)'!E708*$AW$22)</f>
        <v>0.91841645703224972</v>
      </c>
      <c r="AI710" s="7">
        <f ca="1">$AW$9*EXP(-'3.r(t)'!F708*$AW$23)</f>
        <v>0.93016124020597402</v>
      </c>
      <c r="AJ710" s="7">
        <f ca="1">$AW$10*EXP(-'3.r(t)'!G708*$AW$24)</f>
        <v>0.94206875143418534</v>
      </c>
      <c r="AK710" s="7">
        <f ca="1">$AW$11*EXP(-'3.r(t)'!H708*$AW$25)</f>
        <v>0.96071602270573542</v>
      </c>
      <c r="AL710" s="7">
        <f ca="1">$AW$12*EXP(-'3.r(t)'!I708*$AW$26)</f>
        <v>0.97808446307324948</v>
      </c>
      <c r="AM710" s="7">
        <v>1</v>
      </c>
      <c r="AN710" s="7"/>
    </row>
    <row r="711" spans="2:40">
      <c r="B711" s="7">
        <v>703</v>
      </c>
      <c r="C711" s="7">
        <f>$AR$7*EXP(-'3.r(t)'!D709*$AR$21)</f>
        <v>0.97765346695821032</v>
      </c>
      <c r="D711" s="7">
        <v>1</v>
      </c>
      <c r="E711" s="7"/>
      <c r="F711" s="7">
        <v>703</v>
      </c>
      <c r="G711" s="48">
        <f>$AS$7*EXP(-'3.r(t)'!D709*$AS$21)</f>
        <v>0.9553476245219803</v>
      </c>
      <c r="H711" s="7">
        <f ca="1">$AS$8*EXP(-'3.r(t)'!E709*$AS$22)</f>
        <v>0.97855662712038582</v>
      </c>
      <c r="I711" s="7">
        <v>1</v>
      </c>
      <c r="J711" s="7"/>
      <c r="K711" s="7">
        <v>703</v>
      </c>
      <c r="L711" s="7">
        <f>$AT$7*EXP(-'3.r(t)'!D709*$AT$21)</f>
        <v>0.93311670519824419</v>
      </c>
      <c r="M711" s="7">
        <f ca="1">$AT$8*EXP(-'3.r(t)'!E709*$AT$22)</f>
        <v>0.95712204212163476</v>
      </c>
      <c r="N711" s="7">
        <f ca="1">$AT$9*EXP(-'3.r(t)'!F709*$AT$23)</f>
        <v>0.9737021225342084</v>
      </c>
      <c r="O711" s="7">
        <v>1</v>
      </c>
      <c r="P711" s="7"/>
      <c r="Q711" s="7">
        <v>703</v>
      </c>
      <c r="R711" s="7">
        <f>$AU$7*EXP(-'3.r(t)'!D709*$AU$21)</f>
        <v>0.91099305977534117</v>
      </c>
      <c r="S711" s="7">
        <f ca="1">$AU$8*EXP(-'3.r(t)'!E709*$AU$22)</f>
        <v>0.9357300591925013</v>
      </c>
      <c r="T711" s="7">
        <f ca="1">$AU$9*EXP(-'3.r(t)'!F709*$AU$23)</f>
        <v>0.94765766740985447</v>
      </c>
      <c r="U711" s="7">
        <f ca="1">$AU$10*EXP(-'3.r(t)'!G709*$AU$24)</f>
        <v>0.97296845062416826</v>
      </c>
      <c r="V711" s="7">
        <v>1</v>
      </c>
      <c r="W711" s="7"/>
      <c r="X711" s="7">
        <v>703</v>
      </c>
      <c r="Y711" s="7">
        <f>$AV$7*EXP(-'3.r(t)'!D709*$AV$21)</f>
        <v>0.88900715067201674</v>
      </c>
      <c r="Z711" s="7">
        <f ca="1">$AV$8*EXP(-'3.r(t)'!E709*$AV$22)</f>
        <v>0.91441273460610917</v>
      </c>
      <c r="AA711" s="7">
        <f ca="1">$AV$9*EXP(-'3.r(t)'!F709*$AV$23)</f>
        <v>0.92189743506769173</v>
      </c>
      <c r="AB711" s="7">
        <f ca="1">$AV$10*EXP(-'3.r(t)'!G709*$AV$24)</f>
        <v>0.94623850776270135</v>
      </c>
      <c r="AC711" s="7">
        <f ca="1">$AV$11*EXP(-'3.r(t)'!H709*$AV$25)</f>
        <v>0.97089855936479907</v>
      </c>
      <c r="AD711" s="7">
        <v>1</v>
      </c>
      <c r="AE711" s="7"/>
      <c r="AF711" s="7">
        <v>703</v>
      </c>
      <c r="AG711" s="7">
        <f>$AW$7*EXP(-'3.r(t)'!D709*$AW$21)</f>
        <v>0.86718755429225491</v>
      </c>
      <c r="AH711" s="7">
        <f ca="1">$AW$8*EXP(-'3.r(t)'!E709*$AW$22)</f>
        <v>0.89320035432021228</v>
      </c>
      <c r="AI711" s="7">
        <f ca="1">$AW$9*EXP(-'3.r(t)'!F709*$AW$23)</f>
        <v>0.89644987037341572</v>
      </c>
      <c r="AJ711" s="7">
        <f ca="1">$AW$10*EXP(-'3.r(t)'!G709*$AW$24)</f>
        <v>0.91983958202626404</v>
      </c>
      <c r="AK711" s="7">
        <f ca="1">$AW$11*EXP(-'3.r(t)'!H709*$AW$25)</f>
        <v>0.94222510042317542</v>
      </c>
      <c r="AL711" s="7">
        <f ca="1">$AW$12*EXP(-'3.r(t)'!I709*$AW$26)</f>
        <v>0.97104749342276309</v>
      </c>
      <c r="AM711" s="7">
        <v>1</v>
      </c>
      <c r="AN711" s="7"/>
    </row>
    <row r="712" spans="2:40">
      <c r="B712" s="7">
        <v>704</v>
      </c>
      <c r="C712" s="7">
        <f>$AR$7*EXP(-'3.r(t)'!D710*$AR$21)</f>
        <v>0.97765346695821032</v>
      </c>
      <c r="D712" s="7">
        <v>1</v>
      </c>
      <c r="E712" s="7"/>
      <c r="F712" s="7">
        <v>704</v>
      </c>
      <c r="G712" s="48">
        <f>$AS$7*EXP(-'3.r(t)'!D710*$AS$21)</f>
        <v>0.9553476245219803</v>
      </c>
      <c r="H712" s="7">
        <f ca="1">$AS$8*EXP(-'3.r(t)'!E710*$AS$22)</f>
        <v>0.97929021656673754</v>
      </c>
      <c r="I712" s="7">
        <v>1</v>
      </c>
      <c r="J712" s="7"/>
      <c r="K712" s="7">
        <v>704</v>
      </c>
      <c r="L712" s="7">
        <f>$AT$7*EXP(-'3.r(t)'!D710*$AT$21)</f>
        <v>0.93311670519824419</v>
      </c>
      <c r="M712" s="7">
        <f ca="1">$AT$8*EXP(-'3.r(t)'!E710*$AT$22)</f>
        <v>0.95855762140710121</v>
      </c>
      <c r="N712" s="7">
        <f ca="1">$AT$9*EXP(-'3.r(t)'!F710*$AT$23)</f>
        <v>0.97535213590446401</v>
      </c>
      <c r="O712" s="7">
        <v>1</v>
      </c>
      <c r="P712" s="7"/>
      <c r="Q712" s="7">
        <v>704</v>
      </c>
      <c r="R712" s="7">
        <f>$AU$7*EXP(-'3.r(t)'!D710*$AU$21)</f>
        <v>0.91099305977534117</v>
      </c>
      <c r="S712" s="7">
        <f ca="1">$AU$8*EXP(-'3.r(t)'!E710*$AU$22)</f>
        <v>0.93783608884918201</v>
      </c>
      <c r="T712" s="7">
        <f ca="1">$AU$9*EXP(-'3.r(t)'!F710*$AU$23)</f>
        <v>0.95087214675907283</v>
      </c>
      <c r="U712" s="7">
        <f ca="1">$AU$10*EXP(-'3.r(t)'!G710*$AU$24)</f>
        <v>0.97594431131311288</v>
      </c>
      <c r="V712" s="7">
        <v>1</v>
      </c>
      <c r="W712" s="7"/>
      <c r="X712" s="7">
        <v>704</v>
      </c>
      <c r="Y712" s="7">
        <f>$AV$7*EXP(-'3.r(t)'!D710*$AV$21)</f>
        <v>0.88900715067201674</v>
      </c>
      <c r="Z712" s="7">
        <f ca="1">$AV$8*EXP(-'3.r(t)'!E710*$AV$22)</f>
        <v>0.91715783164738851</v>
      </c>
      <c r="AA712" s="7">
        <f ca="1">$AV$9*EXP(-'3.r(t)'!F710*$AV$23)</f>
        <v>0.92659206048434473</v>
      </c>
      <c r="AB712" s="7">
        <f ca="1">$AV$10*EXP(-'3.r(t)'!G710*$AV$24)</f>
        <v>0.95203557179734632</v>
      </c>
      <c r="AC712" s="7">
        <f ca="1">$AV$11*EXP(-'3.r(t)'!H710*$AV$25)</f>
        <v>0.97038935366927503</v>
      </c>
      <c r="AD712" s="7">
        <v>1</v>
      </c>
      <c r="AE712" s="7"/>
      <c r="AF712" s="7">
        <v>704</v>
      </c>
      <c r="AG712" s="7">
        <f>$AW$7*EXP(-'3.r(t)'!D710*$AW$21)</f>
        <v>0.86718755429225491</v>
      </c>
      <c r="AH712" s="7">
        <f ca="1">$AW$8*EXP(-'3.r(t)'!E710*$AW$22)</f>
        <v>0.89655338211760616</v>
      </c>
      <c r="AI712" s="7">
        <f ca="1">$AW$9*EXP(-'3.r(t)'!F710*$AW$23)</f>
        <v>0.9025417471330085</v>
      </c>
      <c r="AJ712" s="7">
        <f ca="1">$AW$10*EXP(-'3.r(t)'!G710*$AW$24)</f>
        <v>0.92830551480811996</v>
      </c>
      <c r="AK712" s="7">
        <f ca="1">$AW$11*EXP(-'3.r(t)'!H710*$AW$25)</f>
        <v>0.94123702485842176</v>
      </c>
      <c r="AL712" s="7">
        <f ca="1">$AW$12*EXP(-'3.r(t)'!I710*$AW$26)</f>
        <v>0.9680725723667567</v>
      </c>
      <c r="AM712" s="7">
        <v>1</v>
      </c>
      <c r="AN712" s="7"/>
    </row>
    <row r="713" spans="2:40">
      <c r="B713" s="7">
        <v>705</v>
      </c>
      <c r="C713" s="7">
        <f>$AR$7*EXP(-'3.r(t)'!D711*$AR$21)</f>
        <v>0.97765346695821032</v>
      </c>
      <c r="D713" s="7">
        <v>1</v>
      </c>
      <c r="E713" s="7"/>
      <c r="F713" s="7">
        <v>705</v>
      </c>
      <c r="G713" s="48">
        <f>$AS$7*EXP(-'3.r(t)'!D711*$AS$21)</f>
        <v>0.9553476245219803</v>
      </c>
      <c r="H713" s="7">
        <f ca="1">$AS$8*EXP(-'3.r(t)'!E711*$AS$22)</f>
        <v>0.97716647764326958</v>
      </c>
      <c r="I713" s="7">
        <v>1</v>
      </c>
      <c r="J713" s="7"/>
      <c r="K713" s="7">
        <v>705</v>
      </c>
      <c r="L713" s="7">
        <f>$AT$7*EXP(-'3.r(t)'!D711*$AT$21)</f>
        <v>0.93311670519824419</v>
      </c>
      <c r="M713" s="7">
        <f ca="1">$AT$8*EXP(-'3.r(t)'!E711*$AT$22)</f>
        <v>0.95440457523837896</v>
      </c>
      <c r="N713" s="7">
        <f ca="1">$AT$9*EXP(-'3.r(t)'!F711*$AT$23)</f>
        <v>0.97560998848507818</v>
      </c>
      <c r="O713" s="7">
        <v>1</v>
      </c>
      <c r="P713" s="7"/>
      <c r="Q713" s="7">
        <v>705</v>
      </c>
      <c r="R713" s="7">
        <f>$AU$7*EXP(-'3.r(t)'!D711*$AU$21)</f>
        <v>0.91099305977534117</v>
      </c>
      <c r="S713" s="7">
        <f ca="1">$AU$8*EXP(-'3.r(t)'!E711*$AU$22)</f>
        <v>0.93174779321230672</v>
      </c>
      <c r="T713" s="7">
        <f ca="1">$AU$9*EXP(-'3.r(t)'!F711*$AU$23)</f>
        <v>0.9513749748914937</v>
      </c>
      <c r="U713" s="7">
        <f ca="1">$AU$10*EXP(-'3.r(t)'!G711*$AU$24)</f>
        <v>0.97570165781768592</v>
      </c>
      <c r="V713" s="7">
        <v>1</v>
      </c>
      <c r="W713" s="7"/>
      <c r="X713" s="7">
        <v>705</v>
      </c>
      <c r="Y713" s="7">
        <f>$AV$7*EXP(-'3.r(t)'!D711*$AV$21)</f>
        <v>0.88900715067201674</v>
      </c>
      <c r="Z713" s="7">
        <f ca="1">$AV$8*EXP(-'3.r(t)'!E711*$AV$22)</f>
        <v>0.90922769307048756</v>
      </c>
      <c r="AA713" s="7">
        <f ca="1">$AV$9*EXP(-'3.r(t)'!F711*$AV$23)</f>
        <v>0.92732714061020949</v>
      </c>
      <c r="AB713" s="7">
        <f ca="1">$AV$10*EXP(-'3.r(t)'!G711*$AV$24)</f>
        <v>0.9515622127389205</v>
      </c>
      <c r="AC713" s="7">
        <f ca="1">$AV$11*EXP(-'3.r(t)'!H711*$AV$25)</f>
        <v>0.97500713747244494</v>
      </c>
      <c r="AD713" s="7">
        <v>1</v>
      </c>
      <c r="AE713" s="7"/>
      <c r="AF713" s="7">
        <v>705</v>
      </c>
      <c r="AG713" s="7">
        <f>$AW$7*EXP(-'3.r(t)'!D711*$AW$21)</f>
        <v>0.86718755429225491</v>
      </c>
      <c r="AH713" s="7">
        <f ca="1">$AW$8*EXP(-'3.r(t)'!E711*$AW$22)</f>
        <v>0.88687389817949691</v>
      </c>
      <c r="AI713" s="7">
        <f ca="1">$AW$9*EXP(-'3.r(t)'!F711*$AW$23)</f>
        <v>0.90349654084580844</v>
      </c>
      <c r="AJ713" s="7">
        <f ca="1">$AW$10*EXP(-'3.r(t)'!G711*$AW$24)</f>
        <v>0.92761326042397896</v>
      </c>
      <c r="AK713" s="7">
        <f ca="1">$AW$11*EXP(-'3.r(t)'!H711*$AW$25)</f>
        <v>0.95021645302293023</v>
      </c>
      <c r="AL713" s="7">
        <f ca="1">$AW$12*EXP(-'3.r(t)'!I711*$AW$26)</f>
        <v>0.9714445124470481</v>
      </c>
      <c r="AM713" s="7">
        <v>1</v>
      </c>
      <c r="AN713" s="7"/>
    </row>
    <row r="714" spans="2:40">
      <c r="B714" s="7">
        <v>706</v>
      </c>
      <c r="C714" s="7">
        <f>$AR$7*EXP(-'3.r(t)'!D712*$AR$21)</f>
        <v>0.97765346695821032</v>
      </c>
      <c r="D714" s="7">
        <v>1</v>
      </c>
      <c r="E714" s="7"/>
      <c r="F714" s="7">
        <v>706</v>
      </c>
      <c r="G714" s="48">
        <f>$AS$7*EXP(-'3.r(t)'!D712*$AS$21)</f>
        <v>0.9553476245219803</v>
      </c>
      <c r="H714" s="7">
        <f ca="1">$AS$8*EXP(-'3.r(t)'!E712*$AS$22)</f>
        <v>0.9753283138410489</v>
      </c>
      <c r="I714" s="7">
        <v>1</v>
      </c>
      <c r="J714" s="7"/>
      <c r="K714" s="7">
        <v>706</v>
      </c>
      <c r="L714" s="7">
        <f>$AT$7*EXP(-'3.r(t)'!D712*$AT$21)</f>
        <v>0.93311670519824419</v>
      </c>
      <c r="M714" s="7">
        <f ca="1">$AT$8*EXP(-'3.r(t)'!E712*$AT$22)</f>
        <v>0.9508172604605033</v>
      </c>
      <c r="N714" s="7">
        <f ca="1">$AT$9*EXP(-'3.r(t)'!F712*$AT$23)</f>
        <v>0.9708763481001722</v>
      </c>
      <c r="O714" s="7">
        <v>1</v>
      </c>
      <c r="P714" s="7"/>
      <c r="Q714" s="7">
        <v>706</v>
      </c>
      <c r="R714" s="7">
        <f>$AU$7*EXP(-'3.r(t)'!D712*$AU$21)</f>
        <v>0.91099305977534117</v>
      </c>
      <c r="S714" s="7">
        <f ca="1">$AU$8*EXP(-'3.r(t)'!E712*$AU$22)</f>
        <v>0.92649950033239936</v>
      </c>
      <c r="T714" s="7">
        <f ca="1">$AU$9*EXP(-'3.r(t)'!F712*$AU$23)</f>
        <v>0.94216526673165713</v>
      </c>
      <c r="U714" s="7">
        <f ca="1">$AU$10*EXP(-'3.r(t)'!G712*$AU$24)</f>
        <v>0.97229196020630171</v>
      </c>
      <c r="V714" s="7">
        <v>1</v>
      </c>
      <c r="W714" s="7"/>
      <c r="X714" s="7">
        <v>706</v>
      </c>
      <c r="Y714" s="7">
        <f>$AV$7*EXP(-'3.r(t)'!D712*$AV$21)</f>
        <v>0.88900715067201674</v>
      </c>
      <c r="Z714" s="7">
        <f ca="1">$AV$8*EXP(-'3.r(t)'!E712*$AV$22)</f>
        <v>0.90240552103875837</v>
      </c>
      <c r="AA714" s="7">
        <f ca="1">$AV$9*EXP(-'3.r(t)'!F712*$AV$23)</f>
        <v>0.91389440840991731</v>
      </c>
      <c r="AB714" s="7">
        <f ca="1">$AV$10*EXP(-'3.r(t)'!G712*$AV$24)</f>
        <v>0.94492315421813777</v>
      </c>
      <c r="AC714" s="7">
        <f ca="1">$AV$11*EXP(-'3.r(t)'!H712*$AV$25)</f>
        <v>0.97187311352062866</v>
      </c>
      <c r="AD714" s="7">
        <v>1</v>
      </c>
      <c r="AE714" s="7"/>
      <c r="AF714" s="7">
        <v>706</v>
      </c>
      <c r="AG714" s="7">
        <f>$AW$7*EXP(-'3.r(t)'!D712*$AW$21)</f>
        <v>0.86718755429225491</v>
      </c>
      <c r="AH714" s="7">
        <f ca="1">$AW$8*EXP(-'3.r(t)'!E712*$AW$22)</f>
        <v>0.87856365731735697</v>
      </c>
      <c r="AI714" s="7">
        <f ca="1">$AW$9*EXP(-'3.r(t)'!F712*$AW$23)</f>
        <v>0.88608875822826216</v>
      </c>
      <c r="AJ714" s="7">
        <f ca="1">$AW$10*EXP(-'3.r(t)'!G712*$AW$24)</f>
        <v>0.91792226359781648</v>
      </c>
      <c r="AK714" s="7">
        <f ca="1">$AW$11*EXP(-'3.r(t)'!H712*$AW$25)</f>
        <v>0.94411759522988481</v>
      </c>
      <c r="AL714" s="7">
        <f ca="1">$AW$12*EXP(-'3.r(t)'!I712*$AW$26)</f>
        <v>0.97094901435266623</v>
      </c>
      <c r="AM714" s="7">
        <v>1</v>
      </c>
      <c r="AN714" s="7"/>
    </row>
    <row r="715" spans="2:40">
      <c r="B715" s="7">
        <v>707</v>
      </c>
      <c r="C715" s="7">
        <f>$AR$7*EXP(-'3.r(t)'!D713*$AR$21)</f>
        <v>0.97765346695821032</v>
      </c>
      <c r="D715" s="7">
        <v>1</v>
      </c>
      <c r="E715" s="7"/>
      <c r="F715" s="7">
        <v>707</v>
      </c>
      <c r="G715" s="48">
        <f>$AS$7*EXP(-'3.r(t)'!D713*$AS$21)</f>
        <v>0.9553476245219803</v>
      </c>
      <c r="H715" s="7">
        <f ca="1">$AS$8*EXP(-'3.r(t)'!E713*$AS$22)</f>
        <v>0.97607234681990418</v>
      </c>
      <c r="I715" s="7">
        <v>1</v>
      </c>
      <c r="J715" s="7"/>
      <c r="K715" s="7">
        <v>707</v>
      </c>
      <c r="L715" s="7">
        <f>$AT$7*EXP(-'3.r(t)'!D713*$AT$21)</f>
        <v>0.93311670519824419</v>
      </c>
      <c r="M715" s="7">
        <f ca="1">$AT$8*EXP(-'3.r(t)'!E713*$AT$22)</f>
        <v>0.95226848303867684</v>
      </c>
      <c r="N715" s="7">
        <f ca="1">$AT$9*EXP(-'3.r(t)'!F713*$AT$23)</f>
        <v>0.9735409720700211</v>
      </c>
      <c r="O715" s="7">
        <v>1</v>
      </c>
      <c r="P715" s="7"/>
      <c r="Q715" s="7">
        <v>707</v>
      </c>
      <c r="R715" s="7">
        <f>$AU$7*EXP(-'3.r(t)'!D713*$AU$21)</f>
        <v>0.91099305977534117</v>
      </c>
      <c r="S715" s="7">
        <f ca="1">$AU$8*EXP(-'3.r(t)'!E713*$AU$22)</f>
        <v>0.92862146945030932</v>
      </c>
      <c r="T715" s="7">
        <f ca="1">$AU$9*EXP(-'3.r(t)'!F713*$AU$23)</f>
        <v>0.94734401330140039</v>
      </c>
      <c r="U715" s="7">
        <f ca="1">$AU$10*EXP(-'3.r(t)'!G713*$AU$24)</f>
        <v>0.97599493994440623</v>
      </c>
      <c r="V715" s="7">
        <v>1</v>
      </c>
      <c r="W715" s="7"/>
      <c r="X715" s="7">
        <v>707</v>
      </c>
      <c r="Y715" s="7">
        <f>$AV$7*EXP(-'3.r(t)'!D713*$AV$21)</f>
        <v>0.88900715067201674</v>
      </c>
      <c r="Z715" s="7">
        <f ca="1">$AV$8*EXP(-'3.r(t)'!E713*$AV$22)</f>
        <v>0.90516228772594909</v>
      </c>
      <c r="AA715" s="7">
        <f ca="1">$AV$9*EXP(-'3.r(t)'!F713*$AV$23)</f>
        <v>0.92143978089487089</v>
      </c>
      <c r="AB715" s="7">
        <f ca="1">$AV$10*EXP(-'3.r(t)'!G713*$AV$24)</f>
        <v>0.95213435101582333</v>
      </c>
      <c r="AC715" s="7">
        <f ca="1">$AV$11*EXP(-'3.r(t)'!H713*$AV$25)</f>
        <v>0.97376179998404744</v>
      </c>
      <c r="AD715" s="7">
        <v>1</v>
      </c>
      <c r="AE715" s="7"/>
      <c r="AF715" s="7">
        <v>707</v>
      </c>
      <c r="AG715" s="7">
        <f>$AW$7*EXP(-'3.r(t)'!D713*$AW$21)</f>
        <v>0.86718755429225491</v>
      </c>
      <c r="AH715" s="7">
        <f ca="1">$AW$8*EXP(-'3.r(t)'!E713*$AW$22)</f>
        <v>0.88191985241611304</v>
      </c>
      <c r="AI715" s="7">
        <f ca="1">$AW$9*EXP(-'3.r(t)'!F713*$AW$23)</f>
        <v>0.89585655769713224</v>
      </c>
      <c r="AJ715" s="7">
        <f ca="1">$AW$10*EXP(-'3.r(t)'!G713*$AW$24)</f>
        <v>0.92844999418651863</v>
      </c>
      <c r="AK715" s="7">
        <f ca="1">$AW$11*EXP(-'3.r(t)'!H713*$AW$25)</f>
        <v>0.94779065651511918</v>
      </c>
      <c r="AL715" s="7">
        <f ca="1">$AW$12*EXP(-'3.r(t)'!I713*$AW$26)</f>
        <v>0.97700303293183677</v>
      </c>
      <c r="AM715" s="7">
        <v>1</v>
      </c>
      <c r="AN715" s="7"/>
    </row>
    <row r="716" spans="2:40">
      <c r="B716" s="7">
        <v>708</v>
      </c>
      <c r="C716" s="7">
        <f>$AR$7*EXP(-'3.r(t)'!D714*$AR$21)</f>
        <v>0.97765346695821032</v>
      </c>
      <c r="D716" s="7">
        <v>1</v>
      </c>
      <c r="E716" s="7"/>
      <c r="F716" s="7">
        <v>708</v>
      </c>
      <c r="G716" s="48">
        <f>$AS$7*EXP(-'3.r(t)'!D714*$AS$21)</f>
        <v>0.9553476245219803</v>
      </c>
      <c r="H716" s="7">
        <f ca="1">$AS$8*EXP(-'3.r(t)'!E714*$AS$22)</f>
        <v>0.9732627882386139</v>
      </c>
      <c r="I716" s="7">
        <v>1</v>
      </c>
      <c r="J716" s="7"/>
      <c r="K716" s="7">
        <v>708</v>
      </c>
      <c r="L716" s="7">
        <f>$AT$7*EXP(-'3.r(t)'!D714*$AT$21)</f>
        <v>0.93311670519824419</v>
      </c>
      <c r="M716" s="7">
        <f ca="1">$AT$8*EXP(-'3.r(t)'!E714*$AT$22)</f>
        <v>0.94679429141830762</v>
      </c>
      <c r="N716" s="7">
        <f ca="1">$AT$9*EXP(-'3.r(t)'!F714*$AT$23)</f>
        <v>0.96905587135146332</v>
      </c>
      <c r="O716" s="7">
        <v>1</v>
      </c>
      <c r="P716" s="7"/>
      <c r="Q716" s="7">
        <v>708</v>
      </c>
      <c r="R716" s="7">
        <f>$AU$7*EXP(-'3.r(t)'!D714*$AU$21)</f>
        <v>0.91099305977534117</v>
      </c>
      <c r="S716" s="7">
        <f ca="1">$AU$8*EXP(-'3.r(t)'!E714*$AU$22)</f>
        <v>0.92062560596517407</v>
      </c>
      <c r="T716" s="7">
        <f ca="1">$AU$9*EXP(-'3.r(t)'!F714*$AU$23)</f>
        <v>0.93863529733761797</v>
      </c>
      <c r="U716" s="7">
        <f ca="1">$AU$10*EXP(-'3.r(t)'!G714*$AU$24)</f>
        <v>0.96975860893455712</v>
      </c>
      <c r="V716" s="7">
        <v>1</v>
      </c>
      <c r="W716" s="7"/>
      <c r="X716" s="7">
        <v>708</v>
      </c>
      <c r="Y716" s="7">
        <f>$AV$7*EXP(-'3.r(t)'!D714*$AV$21)</f>
        <v>0.88900715067201674</v>
      </c>
      <c r="Z716" s="7">
        <f ca="1">$AV$8*EXP(-'3.r(t)'!E714*$AV$22)</f>
        <v>0.89478540410542218</v>
      </c>
      <c r="AA716" s="7">
        <f ca="1">$AV$9*EXP(-'3.r(t)'!F714*$AV$23)</f>
        <v>0.90876314988394291</v>
      </c>
      <c r="AB716" s="7">
        <f ca="1">$AV$10*EXP(-'3.r(t)'!G714*$AV$24)</f>
        <v>0.9400054879914248</v>
      </c>
      <c r="AC716" s="7">
        <f ca="1">$AV$11*EXP(-'3.r(t)'!H714*$AV$25)</f>
        <v>0.96847640746021046</v>
      </c>
      <c r="AD716" s="7">
        <v>1</v>
      </c>
      <c r="AE716" s="7"/>
      <c r="AF716" s="7">
        <v>708</v>
      </c>
      <c r="AG716" s="7">
        <f>$AW$7*EXP(-'3.r(t)'!D714*$AW$21)</f>
        <v>0.86718755429225491</v>
      </c>
      <c r="AH716" s="7">
        <f ca="1">$AW$8*EXP(-'3.r(t)'!E714*$AW$22)</f>
        <v>0.86929997795376401</v>
      </c>
      <c r="AI716" s="7">
        <f ca="1">$AW$9*EXP(-'3.r(t)'!F714*$AW$23)</f>
        <v>0.87946145665505637</v>
      </c>
      <c r="AJ716" s="7">
        <f ca="1">$AW$10*EXP(-'3.r(t)'!G714*$AW$24)</f>
        <v>0.91076587671844511</v>
      </c>
      <c r="AK716" s="7">
        <f ca="1">$AW$11*EXP(-'3.r(t)'!H714*$AW$25)</f>
        <v>0.93752972721088701</v>
      </c>
      <c r="AL716" s="7">
        <f ca="1">$AW$12*EXP(-'3.r(t)'!I714*$AW$26)</f>
        <v>0.97133706399518271</v>
      </c>
      <c r="AM716" s="7">
        <v>1</v>
      </c>
      <c r="AN716" s="7"/>
    </row>
    <row r="717" spans="2:40">
      <c r="B717" s="7">
        <v>709</v>
      </c>
      <c r="C717" s="7">
        <f>$AR$7*EXP(-'3.r(t)'!D715*$AR$21)</f>
        <v>0.97765346695821032</v>
      </c>
      <c r="D717" s="7">
        <v>1</v>
      </c>
      <c r="E717" s="7"/>
      <c r="F717" s="7">
        <v>709</v>
      </c>
      <c r="G717" s="48">
        <f>$AS$7*EXP(-'3.r(t)'!D715*$AS$21)</f>
        <v>0.9553476245219803</v>
      </c>
      <c r="H717" s="7">
        <f ca="1">$AS$8*EXP(-'3.r(t)'!E715*$AS$22)</f>
        <v>0.97454822436621935</v>
      </c>
      <c r="I717" s="7">
        <v>1</v>
      </c>
      <c r="J717" s="7"/>
      <c r="K717" s="7">
        <v>709</v>
      </c>
      <c r="L717" s="7">
        <f>$AT$7*EXP(-'3.r(t)'!D715*$AT$21)</f>
        <v>0.93311670519824419</v>
      </c>
      <c r="M717" s="7">
        <f ca="1">$AT$8*EXP(-'3.r(t)'!E715*$AT$22)</f>
        <v>0.94929689874499923</v>
      </c>
      <c r="N717" s="7">
        <f ca="1">$AT$9*EXP(-'3.r(t)'!F715*$AT$23)</f>
        <v>0.97510229338359633</v>
      </c>
      <c r="O717" s="7">
        <v>1</v>
      </c>
      <c r="P717" s="7"/>
      <c r="Q717" s="7">
        <v>709</v>
      </c>
      <c r="R717" s="7">
        <f>$AU$7*EXP(-'3.r(t)'!D715*$AU$21)</f>
        <v>0.91099305977534117</v>
      </c>
      <c r="S717" s="7">
        <f ca="1">$AU$8*EXP(-'3.r(t)'!E715*$AU$22)</f>
        <v>0.92427817266610324</v>
      </c>
      <c r="T717" s="7">
        <f ca="1">$AU$9*EXP(-'3.r(t)'!F715*$AU$23)</f>
        <v>0.95038506551297464</v>
      </c>
      <c r="U717" s="7">
        <f ca="1">$AU$10*EXP(-'3.r(t)'!G715*$AU$24)</f>
        <v>0.97353094277387742</v>
      </c>
      <c r="V717" s="7">
        <v>1</v>
      </c>
      <c r="W717" s="7"/>
      <c r="X717" s="7">
        <v>709</v>
      </c>
      <c r="Y717" s="7">
        <f>$AV$7*EXP(-'3.r(t)'!D715*$AV$21)</f>
        <v>0.88900715067201674</v>
      </c>
      <c r="Z717" s="7">
        <f ca="1">$AV$8*EXP(-'3.r(t)'!E715*$AV$22)</f>
        <v>0.89952192613728876</v>
      </c>
      <c r="AA717" s="7">
        <f ca="1">$AV$9*EXP(-'3.r(t)'!F715*$AV$23)</f>
        <v>0.92588018589449772</v>
      </c>
      <c r="AB717" s="7">
        <f ca="1">$AV$10*EXP(-'3.r(t)'!G715*$AV$24)</f>
        <v>0.94733290210737264</v>
      </c>
      <c r="AC717" s="7">
        <f ca="1">$AV$11*EXP(-'3.r(t)'!H715*$AV$25)</f>
        <v>0.97191810252399191</v>
      </c>
      <c r="AD717" s="7">
        <v>1</v>
      </c>
      <c r="AE717" s="7"/>
      <c r="AF717" s="7">
        <v>709</v>
      </c>
      <c r="AG717" s="7">
        <f>$AW$7*EXP(-'3.r(t)'!D715*$AW$21)</f>
        <v>0.86718755429225491</v>
      </c>
      <c r="AH717" s="7">
        <f ca="1">$AW$8*EXP(-'3.r(t)'!E715*$AW$22)</f>
        <v>0.87505579848146542</v>
      </c>
      <c r="AI717" s="7">
        <f ca="1">$AW$9*EXP(-'3.r(t)'!F715*$AW$23)</f>
        <v>0.90161733565322077</v>
      </c>
      <c r="AJ717" s="7">
        <f ca="1">$AW$10*EXP(-'3.r(t)'!G715*$AW$24)</f>
        <v>0.92143583642203597</v>
      </c>
      <c r="AK717" s="7">
        <f ca="1">$AW$11*EXP(-'3.r(t)'!H715*$AW$25)</f>
        <v>0.94420500559689635</v>
      </c>
      <c r="AL717" s="7">
        <f ca="1">$AW$12*EXP(-'3.r(t)'!I715*$AW$26)</f>
        <v>0.97539822322757086</v>
      </c>
      <c r="AM717" s="7">
        <v>1</v>
      </c>
      <c r="AN717" s="7"/>
    </row>
    <row r="718" spans="2:40">
      <c r="B718" s="7">
        <v>710</v>
      </c>
      <c r="C718" s="7">
        <f>$AR$7*EXP(-'3.r(t)'!D716*$AR$21)</f>
        <v>0.97765346695821032</v>
      </c>
      <c r="D718" s="7">
        <v>1</v>
      </c>
      <c r="E718" s="7"/>
      <c r="F718" s="7">
        <v>710</v>
      </c>
      <c r="G718" s="48">
        <f>$AS$7*EXP(-'3.r(t)'!D716*$AS$21)</f>
        <v>0.9553476245219803</v>
      </c>
      <c r="H718" s="7">
        <f ca="1">$AS$8*EXP(-'3.r(t)'!E716*$AS$22)</f>
        <v>0.97541578095228576</v>
      </c>
      <c r="I718" s="7">
        <v>1</v>
      </c>
      <c r="J718" s="7"/>
      <c r="K718" s="7">
        <v>710</v>
      </c>
      <c r="L718" s="7">
        <f>$AT$7*EXP(-'3.r(t)'!D716*$AT$21)</f>
        <v>0.93311670519824419</v>
      </c>
      <c r="M718" s="7">
        <f ca="1">$AT$8*EXP(-'3.r(t)'!E716*$AT$22)</f>
        <v>0.95098780604401933</v>
      </c>
      <c r="N718" s="7">
        <f ca="1">$AT$9*EXP(-'3.r(t)'!F716*$AT$23)</f>
        <v>0.97691774487790228</v>
      </c>
      <c r="O718" s="7">
        <v>1</v>
      </c>
      <c r="P718" s="7"/>
      <c r="Q718" s="7">
        <v>710</v>
      </c>
      <c r="R718" s="7">
        <f>$AU$7*EXP(-'3.r(t)'!D716*$AU$21)</f>
        <v>0.91099305977534117</v>
      </c>
      <c r="S718" s="7">
        <f ca="1">$AU$8*EXP(-'3.r(t)'!E716*$AU$22)</f>
        <v>0.92674878716660158</v>
      </c>
      <c r="T718" s="7">
        <f ca="1">$AU$9*EXP(-'3.r(t)'!F716*$AU$23)</f>
        <v>0.95392722546641906</v>
      </c>
      <c r="U718" s="7">
        <f ca="1">$AU$10*EXP(-'3.r(t)'!G716*$AU$24)</f>
        <v>0.9742991067405522</v>
      </c>
      <c r="V718" s="7">
        <v>1</v>
      </c>
      <c r="W718" s="7"/>
      <c r="X718" s="7">
        <v>710</v>
      </c>
      <c r="Y718" s="7">
        <f>$AV$7*EXP(-'3.r(t)'!D716*$AV$21)</f>
        <v>0.88900715067201674</v>
      </c>
      <c r="Z718" s="7">
        <f ca="1">$AV$8*EXP(-'3.r(t)'!E716*$AV$22)</f>
        <v>0.90272927426661198</v>
      </c>
      <c r="AA718" s="7">
        <f ca="1">$AV$9*EXP(-'3.r(t)'!F716*$AV$23)</f>
        <v>0.93106124847563532</v>
      </c>
      <c r="AB718" s="7">
        <f ca="1">$AV$10*EXP(-'3.r(t)'!G716*$AV$24)</f>
        <v>0.94882847675473014</v>
      </c>
      <c r="AC718" s="7">
        <f ca="1">$AV$11*EXP(-'3.r(t)'!H716*$AV$25)</f>
        <v>0.97466755043422071</v>
      </c>
      <c r="AD718" s="7">
        <v>1</v>
      </c>
      <c r="AE718" s="7"/>
      <c r="AF718" s="7">
        <v>710</v>
      </c>
      <c r="AG718" s="7">
        <f>$AW$7*EXP(-'3.r(t)'!D716*$AW$21)</f>
        <v>0.86718755429225491</v>
      </c>
      <c r="AH718" s="7">
        <f ca="1">$AW$8*EXP(-'3.r(t)'!E716*$AW$22)</f>
        <v>0.87895767443052708</v>
      </c>
      <c r="AI718" s="7">
        <f ca="1">$AW$9*EXP(-'3.r(t)'!F716*$AW$23)</f>
        <v>0.90835065769455026</v>
      </c>
      <c r="AJ718" s="7">
        <f ca="1">$AW$10*EXP(-'3.r(t)'!G716*$AW$24)</f>
        <v>0.92361873299864483</v>
      </c>
      <c r="AK718" s="7">
        <f ca="1">$AW$11*EXP(-'3.r(t)'!H716*$AW$25)</f>
        <v>0.94955466300121572</v>
      </c>
      <c r="AL718" s="7">
        <f ca="1">$AW$12*EXP(-'3.r(t)'!I716*$AW$26)</f>
        <v>0.97583587739793398</v>
      </c>
      <c r="AM718" s="7">
        <v>1</v>
      </c>
      <c r="AN718" s="7"/>
    </row>
    <row r="719" spans="2:40">
      <c r="B719" s="7">
        <v>711</v>
      </c>
      <c r="C719" s="7">
        <f>$AR$7*EXP(-'3.r(t)'!D717*$AR$21)</f>
        <v>0.97765346695821032</v>
      </c>
      <c r="D719" s="7">
        <v>1</v>
      </c>
      <c r="E719" s="7"/>
      <c r="F719" s="7">
        <v>711</v>
      </c>
      <c r="G719" s="48">
        <f>$AS$7*EXP(-'3.r(t)'!D717*$AS$21)</f>
        <v>0.9553476245219803</v>
      </c>
      <c r="H719" s="7">
        <f ca="1">$AS$8*EXP(-'3.r(t)'!E717*$AS$22)</f>
        <v>0.97963216686067445</v>
      </c>
      <c r="I719" s="7">
        <v>1</v>
      </c>
      <c r="J719" s="7"/>
      <c r="K719" s="7">
        <v>711</v>
      </c>
      <c r="L719" s="7">
        <f>$AT$7*EXP(-'3.r(t)'!D717*$AT$21)</f>
        <v>0.93311670519824419</v>
      </c>
      <c r="M719" s="7">
        <f ca="1">$AT$8*EXP(-'3.r(t)'!E717*$AT$22)</f>
        <v>0.95922715998123642</v>
      </c>
      <c r="N719" s="7">
        <f ca="1">$AT$9*EXP(-'3.r(t)'!F717*$AT$23)</f>
        <v>0.97655241895109757</v>
      </c>
      <c r="O719" s="7">
        <v>1</v>
      </c>
      <c r="P719" s="7"/>
      <c r="Q719" s="7">
        <v>711</v>
      </c>
      <c r="R719" s="7">
        <f>$AU$7*EXP(-'3.r(t)'!D717*$AU$21)</f>
        <v>0.91099305977534117</v>
      </c>
      <c r="S719" s="7">
        <f ca="1">$AU$8*EXP(-'3.r(t)'!E717*$AU$22)</f>
        <v>0.93881885773868257</v>
      </c>
      <c r="T719" s="7">
        <f ca="1">$AU$9*EXP(-'3.r(t)'!F717*$AU$23)</f>
        <v>0.95321390197833678</v>
      </c>
      <c r="U719" s="7">
        <f ca="1">$AU$10*EXP(-'3.r(t)'!G717*$AU$24)</f>
        <v>0.98256704409145268</v>
      </c>
      <c r="V719" s="7">
        <v>1</v>
      </c>
      <c r="W719" s="7"/>
      <c r="X719" s="7">
        <v>711</v>
      </c>
      <c r="Y719" s="7">
        <f>$AV$7*EXP(-'3.r(t)'!D717*$AV$21)</f>
        <v>0.88900715067201674</v>
      </c>
      <c r="Z719" s="7">
        <f ca="1">$AV$8*EXP(-'3.r(t)'!E717*$AV$22)</f>
        <v>0.91843952195690448</v>
      </c>
      <c r="AA719" s="7">
        <f ca="1">$AV$9*EXP(-'3.r(t)'!F717*$AV$23)</f>
        <v>0.93001710642928059</v>
      </c>
      <c r="AB719" s="7">
        <f ca="1">$AV$10*EXP(-'3.r(t)'!G717*$AV$24)</f>
        <v>0.96500038989047832</v>
      </c>
      <c r="AC719" s="7">
        <f ca="1">$AV$11*EXP(-'3.r(t)'!H717*$AV$25)</f>
        <v>0.98059580498580767</v>
      </c>
      <c r="AD719" s="7">
        <v>1</v>
      </c>
      <c r="AE719" s="7"/>
      <c r="AF719" s="7">
        <v>711</v>
      </c>
      <c r="AG719" s="7">
        <f>$AW$7*EXP(-'3.r(t)'!D717*$AW$21)</f>
        <v>0.86718755429225491</v>
      </c>
      <c r="AH719" s="7">
        <f ca="1">$AW$8*EXP(-'3.r(t)'!E717*$AW$22)</f>
        <v>0.89811977614521343</v>
      </c>
      <c r="AI719" s="7">
        <f ca="1">$AW$9*EXP(-'3.r(t)'!F717*$AW$23)</f>
        <v>0.90699268072846218</v>
      </c>
      <c r="AJ719" s="7">
        <f ca="1">$AW$10*EXP(-'3.r(t)'!G717*$AW$24)</f>
        <v>0.94733242017617902</v>
      </c>
      <c r="AK719" s="7">
        <f ca="1">$AW$11*EXP(-'3.r(t)'!H717*$AW$25)</f>
        <v>0.96114081070011714</v>
      </c>
      <c r="AL719" s="7">
        <f ca="1">$AW$12*EXP(-'3.r(t)'!I717*$AW$26)</f>
        <v>0.97845542598746182</v>
      </c>
      <c r="AM719" s="7">
        <v>1</v>
      </c>
      <c r="AN719" s="7"/>
    </row>
    <row r="720" spans="2:40">
      <c r="B720" s="7">
        <v>712</v>
      </c>
      <c r="C720" s="7">
        <f>$AR$7*EXP(-'3.r(t)'!D718*$AR$21)</f>
        <v>0.97765346695821032</v>
      </c>
      <c r="D720" s="7">
        <v>1</v>
      </c>
      <c r="E720" s="7"/>
      <c r="F720" s="7">
        <v>712</v>
      </c>
      <c r="G720" s="48">
        <f>$AS$7*EXP(-'3.r(t)'!D718*$AS$21)</f>
        <v>0.9553476245219803</v>
      </c>
      <c r="H720" s="7">
        <f ca="1">$AS$8*EXP(-'3.r(t)'!E718*$AS$22)</f>
        <v>0.97881812541744151</v>
      </c>
      <c r="I720" s="7">
        <v>1</v>
      </c>
      <c r="J720" s="7"/>
      <c r="K720" s="7">
        <v>712</v>
      </c>
      <c r="L720" s="7">
        <f>$AT$7*EXP(-'3.r(t)'!D718*$AT$21)</f>
        <v>0.93311670519824419</v>
      </c>
      <c r="M720" s="7">
        <f ca="1">$AT$8*EXP(-'3.r(t)'!E718*$AT$22)</f>
        <v>0.95763365119751032</v>
      </c>
      <c r="N720" s="7">
        <f ca="1">$AT$9*EXP(-'3.r(t)'!F718*$AT$23)</f>
        <v>0.97972056546159392</v>
      </c>
      <c r="O720" s="7">
        <v>1</v>
      </c>
      <c r="P720" s="7"/>
      <c r="Q720" s="7">
        <v>712</v>
      </c>
      <c r="R720" s="7">
        <f>$AU$7*EXP(-'3.r(t)'!D718*$AU$21)</f>
        <v>0.91099305977534117</v>
      </c>
      <c r="S720" s="7">
        <f ca="1">$AU$8*EXP(-'3.r(t)'!E718*$AU$22)</f>
        <v>0.93648042111741303</v>
      </c>
      <c r="T720" s="7">
        <f ca="1">$AU$9*EXP(-'3.r(t)'!F718*$AU$23)</f>
        <v>0.9594087971552373</v>
      </c>
      <c r="U720" s="7">
        <f ca="1">$AU$10*EXP(-'3.r(t)'!G718*$AU$24)</f>
        <v>0.98154272737858905</v>
      </c>
      <c r="V720" s="7">
        <v>1</v>
      </c>
      <c r="W720" s="7"/>
      <c r="X720" s="7">
        <v>712</v>
      </c>
      <c r="Y720" s="7">
        <f>$AV$7*EXP(-'3.r(t)'!D718*$AV$21)</f>
        <v>0.88900715067201674</v>
      </c>
      <c r="Z720" s="7">
        <f ca="1">$AV$8*EXP(-'3.r(t)'!E718*$AV$22)</f>
        <v>0.91539055533450153</v>
      </c>
      <c r="AA720" s="7">
        <f ca="1">$AV$9*EXP(-'3.r(t)'!F718*$AV$23)</f>
        <v>0.93909803107434831</v>
      </c>
      <c r="AB720" s="7">
        <f ca="1">$AV$10*EXP(-'3.r(t)'!G718*$AV$24)</f>
        <v>0.96298943135069737</v>
      </c>
      <c r="AC720" s="7">
        <f ca="1">$AV$11*EXP(-'3.r(t)'!H718*$AV$25)</f>
        <v>0.98339454921896241</v>
      </c>
      <c r="AD720" s="7">
        <v>1</v>
      </c>
      <c r="AE720" s="7"/>
      <c r="AF720" s="7">
        <v>712</v>
      </c>
      <c r="AG720" s="7">
        <f>$AW$7*EXP(-'3.r(t)'!D718*$AW$21)</f>
        <v>0.86718755429225491</v>
      </c>
      <c r="AH720" s="7">
        <f ca="1">$AW$8*EXP(-'3.r(t)'!E718*$AW$22)</f>
        <v>0.89439443564278476</v>
      </c>
      <c r="AI720" s="7">
        <f ca="1">$AW$9*EXP(-'3.r(t)'!F718*$AW$23)</f>
        <v>0.91881999985056217</v>
      </c>
      <c r="AJ720" s="7">
        <f ca="1">$AW$10*EXP(-'3.r(t)'!G718*$AW$24)</f>
        <v>0.94437275287956457</v>
      </c>
      <c r="AK720" s="7">
        <f ca="1">$AW$11*EXP(-'3.r(t)'!H718*$AW$25)</f>
        <v>0.96663507463474063</v>
      </c>
      <c r="AL720" s="7">
        <f ca="1">$AW$12*EXP(-'3.r(t)'!I718*$AW$26)</f>
        <v>0.98253910485076834</v>
      </c>
      <c r="AM720" s="7">
        <v>1</v>
      </c>
      <c r="AN720" s="7"/>
    </row>
    <row r="721" spans="2:40">
      <c r="B721" s="7">
        <v>713</v>
      </c>
      <c r="C721" s="7">
        <f>$AR$7*EXP(-'3.r(t)'!D719*$AR$21)</f>
        <v>0.97765346695821032</v>
      </c>
      <c r="D721" s="7">
        <v>1</v>
      </c>
      <c r="E721" s="7"/>
      <c r="F721" s="7">
        <v>713</v>
      </c>
      <c r="G721" s="48">
        <f>$AS$7*EXP(-'3.r(t)'!D719*$AS$21)</f>
        <v>0.9553476245219803</v>
      </c>
      <c r="H721" s="7">
        <f ca="1">$AS$8*EXP(-'3.r(t)'!E719*$AS$22)</f>
        <v>0.97584950318809205</v>
      </c>
      <c r="I721" s="7">
        <v>1</v>
      </c>
      <c r="J721" s="7"/>
      <c r="K721" s="7">
        <v>713</v>
      </c>
      <c r="L721" s="7">
        <f>$AT$7*EXP(-'3.r(t)'!D719*$AT$21)</f>
        <v>0.93311670519824419</v>
      </c>
      <c r="M721" s="7">
        <f ca="1">$AT$8*EXP(-'3.r(t)'!E719*$AT$22)</f>
        <v>0.95183371456316357</v>
      </c>
      <c r="N721" s="7">
        <f ca="1">$AT$9*EXP(-'3.r(t)'!F719*$AT$23)</f>
        <v>0.97614855213918739</v>
      </c>
      <c r="O721" s="7">
        <v>1</v>
      </c>
      <c r="P721" s="7"/>
      <c r="Q721" s="7">
        <v>713</v>
      </c>
      <c r="R721" s="7">
        <f>$AU$7*EXP(-'3.r(t)'!D719*$AU$21)</f>
        <v>0.91099305977534117</v>
      </c>
      <c r="S721" s="7">
        <f ca="1">$AU$8*EXP(-'3.r(t)'!E719*$AU$22)</f>
        <v>0.92798558378069385</v>
      </c>
      <c r="T721" s="7">
        <f ca="1">$AU$9*EXP(-'3.r(t)'!F719*$AU$23)</f>
        <v>0.95242563532301938</v>
      </c>
      <c r="U721" s="7">
        <f ca="1">$AU$10*EXP(-'3.r(t)'!G719*$AU$24)</f>
        <v>0.97438016626605195</v>
      </c>
      <c r="V721" s="7">
        <v>1</v>
      </c>
      <c r="W721" s="7"/>
      <c r="X721" s="7">
        <v>713</v>
      </c>
      <c r="Y721" s="7">
        <f>$AV$7*EXP(-'3.r(t)'!D719*$AV$21)</f>
        <v>0.88900715067201674</v>
      </c>
      <c r="Z721" s="7">
        <f ca="1">$AV$8*EXP(-'3.r(t)'!E719*$AV$22)</f>
        <v>0.90433595313991666</v>
      </c>
      <c r="AA721" s="7">
        <f ca="1">$AV$9*EXP(-'3.r(t)'!F719*$AV$23)</f>
        <v>0.92886371909828991</v>
      </c>
      <c r="AB721" s="7">
        <f ca="1">$AV$10*EXP(-'3.r(t)'!G719*$AV$24)</f>
        <v>0.94898636417351345</v>
      </c>
      <c r="AC721" s="7">
        <f ca="1">$AV$11*EXP(-'3.r(t)'!H719*$AV$25)</f>
        <v>0.97149093670209719</v>
      </c>
      <c r="AD721" s="7">
        <v>1</v>
      </c>
      <c r="AE721" s="7"/>
      <c r="AF721" s="7">
        <v>713</v>
      </c>
      <c r="AG721" s="7">
        <f>$AW$7*EXP(-'3.r(t)'!D719*$AW$21)</f>
        <v>0.86718755429225491</v>
      </c>
      <c r="AH721" s="7">
        <f ca="1">$AW$8*EXP(-'3.r(t)'!E719*$AW$22)</f>
        <v>0.88091357196076403</v>
      </c>
      <c r="AI721" s="7">
        <f ca="1">$AW$9*EXP(-'3.r(t)'!F719*$AW$23)</f>
        <v>0.90549321357186585</v>
      </c>
      <c r="AJ721" s="7">
        <f ca="1">$AW$10*EXP(-'3.r(t)'!G719*$AW$24)</f>
        <v>0.92384928127099952</v>
      </c>
      <c r="AK721" s="7">
        <f ca="1">$AW$11*EXP(-'3.r(t)'!H719*$AW$25)</f>
        <v>0.94337521660057366</v>
      </c>
      <c r="AL721" s="7">
        <f ca="1">$AW$12*EXP(-'3.r(t)'!I719*$AW$26)</f>
        <v>0.96883436273007972</v>
      </c>
      <c r="AM721" s="7">
        <v>1</v>
      </c>
      <c r="AN721" s="7"/>
    </row>
    <row r="722" spans="2:40">
      <c r="B722" s="7">
        <v>714</v>
      </c>
      <c r="C722" s="7">
        <f>$AR$7*EXP(-'3.r(t)'!D720*$AR$21)</f>
        <v>0.97765346695821032</v>
      </c>
      <c r="D722" s="7">
        <v>1</v>
      </c>
      <c r="E722" s="7"/>
      <c r="F722" s="7">
        <v>714</v>
      </c>
      <c r="G722" s="48">
        <f>$AS$7*EXP(-'3.r(t)'!D720*$AS$21)</f>
        <v>0.9553476245219803</v>
      </c>
      <c r="H722" s="7">
        <f ca="1">$AS$8*EXP(-'3.r(t)'!E720*$AS$22)</f>
        <v>0.98091222087435626</v>
      </c>
      <c r="I722" s="7">
        <v>1</v>
      </c>
      <c r="J722" s="7"/>
      <c r="K722" s="7">
        <v>714</v>
      </c>
      <c r="L722" s="7">
        <f>$AT$7*EXP(-'3.r(t)'!D720*$AT$21)</f>
        <v>0.93311670519824419</v>
      </c>
      <c r="M722" s="7">
        <f ca="1">$AT$8*EXP(-'3.r(t)'!E720*$AT$22)</f>
        <v>0.96173558063565034</v>
      </c>
      <c r="N722" s="7">
        <f ca="1">$AT$9*EXP(-'3.r(t)'!F720*$AT$23)</f>
        <v>0.97941203664880272</v>
      </c>
      <c r="O722" s="7">
        <v>1</v>
      </c>
      <c r="P722" s="7"/>
      <c r="Q722" s="7">
        <v>714</v>
      </c>
      <c r="R722" s="7">
        <f>$AU$7*EXP(-'3.r(t)'!D720*$AU$21)</f>
        <v>0.91099305977534117</v>
      </c>
      <c r="S722" s="7">
        <f ca="1">$AU$8*EXP(-'3.r(t)'!E720*$AU$22)</f>
        <v>0.94250384230326889</v>
      </c>
      <c r="T722" s="7">
        <f ca="1">$AU$9*EXP(-'3.r(t)'!F720*$AU$23)</f>
        <v>0.95880462764132335</v>
      </c>
      <c r="U722" s="7">
        <f ca="1">$AU$10*EXP(-'3.r(t)'!G720*$AU$24)</f>
        <v>0.97874146010958019</v>
      </c>
      <c r="V722" s="7">
        <v>1</v>
      </c>
      <c r="W722" s="7"/>
      <c r="X722" s="7">
        <v>714</v>
      </c>
      <c r="Y722" s="7">
        <f>$AV$7*EXP(-'3.r(t)'!D720*$AV$21)</f>
        <v>0.88900715067201674</v>
      </c>
      <c r="Z722" s="7">
        <f ca="1">$AV$8*EXP(-'3.r(t)'!E720*$AV$22)</f>
        <v>0.92324932108302082</v>
      </c>
      <c r="AA722" s="7">
        <f ca="1">$AV$9*EXP(-'3.r(t)'!F720*$AV$23)</f>
        <v>0.93821110195205448</v>
      </c>
      <c r="AB722" s="7">
        <f ca="1">$AV$10*EXP(-'3.r(t)'!G720*$AV$24)</f>
        <v>0.95750064046309247</v>
      </c>
      <c r="AC722" s="7">
        <f ca="1">$AV$11*EXP(-'3.r(t)'!H720*$AV$25)</f>
        <v>0.97614855178682358</v>
      </c>
      <c r="AD722" s="7">
        <v>1</v>
      </c>
      <c r="AE722" s="7"/>
      <c r="AF722" s="7">
        <v>714</v>
      </c>
      <c r="AG722" s="7">
        <f>$AW$7*EXP(-'3.r(t)'!D720*$AW$21)</f>
        <v>0.86718755429225491</v>
      </c>
      <c r="AH722" s="7">
        <f ca="1">$AW$8*EXP(-'3.r(t)'!E720*$AW$22)</f>
        <v>0.90400285242589229</v>
      </c>
      <c r="AI722" s="7">
        <f ca="1">$AW$9*EXP(-'3.r(t)'!F720*$AW$23)</f>
        <v>0.91766314524338521</v>
      </c>
      <c r="AJ722" s="7">
        <f ca="1">$AW$10*EXP(-'3.r(t)'!G720*$AW$24)</f>
        <v>0.93631024784309402</v>
      </c>
      <c r="AK722" s="7">
        <f ca="1">$AW$11*EXP(-'3.r(t)'!H720*$AW$25)</f>
        <v>0.95244254034047116</v>
      </c>
      <c r="AL722" s="7">
        <f ca="1">$AW$12*EXP(-'3.r(t)'!I720*$AW$26)</f>
        <v>0.97500100500018239</v>
      </c>
      <c r="AM722" s="7">
        <v>1</v>
      </c>
      <c r="AN722" s="7"/>
    </row>
    <row r="723" spans="2:40">
      <c r="B723" s="7">
        <v>715</v>
      </c>
      <c r="C723" s="7">
        <f>$AR$7*EXP(-'3.r(t)'!D721*$AR$21)</f>
        <v>0.97765346695821032</v>
      </c>
      <c r="D723" s="7">
        <v>1</v>
      </c>
      <c r="E723" s="7"/>
      <c r="F723" s="7">
        <v>715</v>
      </c>
      <c r="G723" s="48">
        <f>$AS$7*EXP(-'3.r(t)'!D721*$AS$21)</f>
        <v>0.9553476245219803</v>
      </c>
      <c r="H723" s="7">
        <f ca="1">$AS$8*EXP(-'3.r(t)'!E721*$AS$22)</f>
        <v>0.97686648995356129</v>
      </c>
      <c r="I723" s="7">
        <v>1</v>
      </c>
      <c r="J723" s="7"/>
      <c r="K723" s="7">
        <v>715</v>
      </c>
      <c r="L723" s="7">
        <f>$AT$7*EXP(-'3.r(t)'!D721*$AT$21)</f>
        <v>0.93311670519824419</v>
      </c>
      <c r="M723" s="7">
        <f ca="1">$AT$8*EXP(-'3.r(t)'!E721*$AT$22)</f>
        <v>0.95381866550457328</v>
      </c>
      <c r="N723" s="7">
        <f ca="1">$AT$9*EXP(-'3.r(t)'!F721*$AT$23)</f>
        <v>0.98025215663684273</v>
      </c>
      <c r="O723" s="7">
        <v>1</v>
      </c>
      <c r="P723" s="7"/>
      <c r="Q723" s="7">
        <v>715</v>
      </c>
      <c r="R723" s="7">
        <f>$AU$7*EXP(-'3.r(t)'!D721*$AU$21)</f>
        <v>0.91099305977534117</v>
      </c>
      <c r="S723" s="7">
        <f ca="1">$AU$8*EXP(-'3.r(t)'!E721*$AU$22)</f>
        <v>0.93088992383193336</v>
      </c>
      <c r="T723" s="7">
        <f ca="1">$AU$9*EXP(-'3.r(t)'!F721*$AU$23)</f>
        <v>0.96045021984911261</v>
      </c>
      <c r="U723" s="7">
        <f ca="1">$AU$10*EXP(-'3.r(t)'!G721*$AU$24)</f>
        <v>0.98198690088346419</v>
      </c>
      <c r="V723" s="7">
        <v>1</v>
      </c>
      <c r="W723" s="7"/>
      <c r="X723" s="7">
        <v>715</v>
      </c>
      <c r="Y723" s="7">
        <f>$AV$7*EXP(-'3.r(t)'!D721*$AV$21)</f>
        <v>0.88900715067201674</v>
      </c>
      <c r="Z723" s="7">
        <f ca="1">$AV$8*EXP(-'3.r(t)'!E721*$AV$22)</f>
        <v>0.90811168451568525</v>
      </c>
      <c r="AA723" s="7">
        <f ca="1">$AV$9*EXP(-'3.r(t)'!F721*$AV$23)</f>
        <v>0.94062750947263407</v>
      </c>
      <c r="AB723" s="7">
        <f ca="1">$AV$10*EXP(-'3.r(t)'!G721*$AV$24)</f>
        <v>0.9638611838672041</v>
      </c>
      <c r="AC723" s="7">
        <f ca="1">$AV$11*EXP(-'3.r(t)'!H721*$AV$25)</f>
        <v>0.97992895800863178</v>
      </c>
      <c r="AD723" s="7">
        <v>1</v>
      </c>
      <c r="AE723" s="7"/>
      <c r="AF723" s="7">
        <v>715</v>
      </c>
      <c r="AG723" s="7">
        <f>$AW$7*EXP(-'3.r(t)'!D721*$AW$21)</f>
        <v>0.86718755429225491</v>
      </c>
      <c r="AH723" s="7">
        <f ca="1">$AW$8*EXP(-'3.r(t)'!E721*$AW$22)</f>
        <v>0.88551339332259194</v>
      </c>
      <c r="AI723" s="7">
        <f ca="1">$AW$9*EXP(-'3.r(t)'!F721*$AW$23)</f>
        <v>0.92081581089822473</v>
      </c>
      <c r="AJ723" s="7">
        <f ca="1">$AW$10*EXP(-'3.r(t)'!G721*$AW$24)</f>
        <v>0.94565539251842856</v>
      </c>
      <c r="AK723" s="7">
        <f ca="1">$AW$11*EXP(-'3.r(t)'!H721*$AW$25)</f>
        <v>0.95983402168507004</v>
      </c>
      <c r="AL723" s="7">
        <f ca="1">$AW$12*EXP(-'3.r(t)'!I721*$AW$26)</f>
        <v>0.97748821473896441</v>
      </c>
      <c r="AM723" s="7">
        <v>1</v>
      </c>
      <c r="AN723" s="7"/>
    </row>
    <row r="724" spans="2:40">
      <c r="B724" s="7">
        <v>716</v>
      </c>
      <c r="C724" s="7">
        <f>$AR$7*EXP(-'3.r(t)'!D722*$AR$21)</f>
        <v>0.97765346695821032</v>
      </c>
      <c r="D724" s="7">
        <v>1</v>
      </c>
      <c r="E724" s="7"/>
      <c r="F724" s="7">
        <v>716</v>
      </c>
      <c r="G724" s="48">
        <f>$AS$7*EXP(-'3.r(t)'!D722*$AS$21)</f>
        <v>0.9553476245219803</v>
      </c>
      <c r="H724" s="7">
        <f ca="1">$AS$8*EXP(-'3.r(t)'!E722*$AS$22)</f>
        <v>0.97641941186857983</v>
      </c>
      <c r="I724" s="7">
        <v>1</v>
      </c>
      <c r="J724" s="7"/>
      <c r="K724" s="7">
        <v>716</v>
      </c>
      <c r="L724" s="7">
        <f>$AT$7*EXP(-'3.r(t)'!D722*$AT$21)</f>
        <v>0.93311670519824419</v>
      </c>
      <c r="M724" s="7">
        <f ca="1">$AT$8*EXP(-'3.r(t)'!E722*$AT$22)</f>
        <v>0.95294580550721619</v>
      </c>
      <c r="N724" s="7">
        <f ca="1">$AT$9*EXP(-'3.r(t)'!F722*$AT$23)</f>
        <v>0.97653336422679715</v>
      </c>
      <c r="O724" s="7">
        <v>1</v>
      </c>
      <c r="P724" s="7"/>
      <c r="Q724" s="7">
        <v>716</v>
      </c>
      <c r="R724" s="7">
        <f>$AU$7*EXP(-'3.r(t)'!D722*$AU$21)</f>
        <v>0.91099305977534117</v>
      </c>
      <c r="S724" s="7">
        <f ca="1">$AU$8*EXP(-'3.r(t)'!E722*$AU$22)</f>
        <v>0.92961240009753232</v>
      </c>
      <c r="T724" s="7">
        <f ca="1">$AU$9*EXP(-'3.r(t)'!F722*$AU$23)</f>
        <v>0.95317670366609786</v>
      </c>
      <c r="U724" s="7">
        <f ca="1">$AU$10*EXP(-'3.r(t)'!G722*$AU$24)</f>
        <v>0.97666070702535734</v>
      </c>
      <c r="V724" s="7">
        <v>1</v>
      </c>
      <c r="W724" s="7"/>
      <c r="X724" s="7">
        <v>716</v>
      </c>
      <c r="Y724" s="7">
        <f>$AV$7*EXP(-'3.r(t)'!D722*$AV$21)</f>
        <v>0.88900715067201674</v>
      </c>
      <c r="Z724" s="7">
        <f ca="1">$AV$8*EXP(-'3.r(t)'!E722*$AV$22)</f>
        <v>0.90645037990158395</v>
      </c>
      <c r="AA724" s="7">
        <f ca="1">$AV$9*EXP(-'3.r(t)'!F722*$AV$23)</f>
        <v>0.92996266734305633</v>
      </c>
      <c r="AB724" s="7">
        <f ca="1">$AV$10*EXP(-'3.r(t)'!G722*$AV$24)</f>
        <v>0.95343377560581799</v>
      </c>
      <c r="AC724" s="7">
        <f ca="1">$AV$11*EXP(-'3.r(t)'!H722*$AV$25)</f>
        <v>0.97705375016991258</v>
      </c>
      <c r="AD724" s="7">
        <v>1</v>
      </c>
      <c r="AE724" s="7"/>
      <c r="AF724" s="7">
        <v>716</v>
      </c>
      <c r="AG724" s="7">
        <f>$AW$7*EXP(-'3.r(t)'!D722*$AW$21)</f>
        <v>0.86718755429225491</v>
      </c>
      <c r="AH724" s="7">
        <f ca="1">$AW$8*EXP(-'3.r(t)'!E722*$AW$22)</f>
        <v>0.88348890262566349</v>
      </c>
      <c r="AI724" s="7">
        <f ca="1">$AW$9*EXP(-'3.r(t)'!F722*$AW$23)</f>
        <v>0.90692189296811365</v>
      </c>
      <c r="AJ724" s="7">
        <f ca="1">$AW$10*EXP(-'3.r(t)'!G722*$AW$24)</f>
        <v>0.93035129459202248</v>
      </c>
      <c r="AK724" s="7">
        <f ca="1">$AW$11*EXP(-'3.r(t)'!H722*$AW$25)</f>
        <v>0.95420979018887808</v>
      </c>
      <c r="AL724" s="7">
        <f ca="1">$AW$12*EXP(-'3.r(t)'!I722*$AW$26)</f>
        <v>0.97735034761274342</v>
      </c>
      <c r="AM724" s="7">
        <v>1</v>
      </c>
      <c r="AN724" s="7"/>
    </row>
    <row r="725" spans="2:40">
      <c r="B725" s="7">
        <v>717</v>
      </c>
      <c r="C725" s="7">
        <f>$AR$7*EXP(-'3.r(t)'!D723*$AR$21)</f>
        <v>0.97765346695821032</v>
      </c>
      <c r="D725" s="7">
        <v>1</v>
      </c>
      <c r="E725" s="7"/>
      <c r="F725" s="7">
        <v>717</v>
      </c>
      <c r="G725" s="48">
        <f>$AS$7*EXP(-'3.r(t)'!D723*$AS$21)</f>
        <v>0.9553476245219803</v>
      </c>
      <c r="H725" s="7">
        <f ca="1">$AS$8*EXP(-'3.r(t)'!E723*$AS$22)</f>
        <v>0.98062264760257478</v>
      </c>
      <c r="I725" s="7">
        <v>1</v>
      </c>
      <c r="J725" s="7"/>
      <c r="K725" s="7">
        <v>717</v>
      </c>
      <c r="L725" s="7">
        <f>$AT$7*EXP(-'3.r(t)'!D723*$AT$21)</f>
        <v>0.93311670519824419</v>
      </c>
      <c r="M725" s="7">
        <f ca="1">$AT$8*EXP(-'3.r(t)'!E723*$AT$22)</f>
        <v>0.96116784010584666</v>
      </c>
      <c r="N725" s="7">
        <f ca="1">$AT$9*EXP(-'3.r(t)'!F723*$AT$23)</f>
        <v>0.98098639574590518</v>
      </c>
      <c r="O725" s="7">
        <v>1</v>
      </c>
      <c r="P725" s="7"/>
      <c r="Q725" s="7">
        <v>717</v>
      </c>
      <c r="R725" s="7">
        <f>$AU$7*EXP(-'3.r(t)'!D723*$AU$21)</f>
        <v>0.91099305977534117</v>
      </c>
      <c r="S725" s="7">
        <f ca="1">$AU$8*EXP(-'3.r(t)'!E723*$AU$22)</f>
        <v>0.94166938427315783</v>
      </c>
      <c r="T725" s="7">
        <f ca="1">$AU$9*EXP(-'3.r(t)'!F723*$AU$23)</f>
        <v>0.96188957240195505</v>
      </c>
      <c r="U725" s="7">
        <f ca="1">$AU$10*EXP(-'3.r(t)'!G723*$AU$24)</f>
        <v>0.98223024066031417</v>
      </c>
      <c r="V725" s="7">
        <v>1</v>
      </c>
      <c r="W725" s="7"/>
      <c r="X725" s="7">
        <v>717</v>
      </c>
      <c r="Y725" s="7">
        <f>$AV$7*EXP(-'3.r(t)'!D723*$AV$21)</f>
        <v>0.88900715067201674</v>
      </c>
      <c r="Z725" s="7">
        <f ca="1">$AV$8*EXP(-'3.r(t)'!E723*$AV$22)</f>
        <v>0.92215960088550186</v>
      </c>
      <c r="AA725" s="7">
        <f ca="1">$AV$9*EXP(-'3.r(t)'!F723*$AV$23)</f>
        <v>0.94274277015465824</v>
      </c>
      <c r="AB725" s="7">
        <f ca="1">$AV$10*EXP(-'3.r(t)'!G723*$AV$24)</f>
        <v>0.96433893937659965</v>
      </c>
      <c r="AC725" s="7">
        <f ca="1">$AV$11*EXP(-'3.r(t)'!H723*$AV$25)</f>
        <v>0.98257958708730664</v>
      </c>
      <c r="AD725" s="7">
        <v>1</v>
      </c>
      <c r="AE725" s="7"/>
      <c r="AF725" s="7">
        <v>717</v>
      </c>
      <c r="AG725" s="7">
        <f>$AW$7*EXP(-'3.r(t)'!D723*$AW$21)</f>
        <v>0.86718755429225491</v>
      </c>
      <c r="AH725" s="7">
        <f ca="1">$AW$8*EXP(-'3.r(t)'!E723*$AW$22)</f>
        <v>0.90266929501132553</v>
      </c>
      <c r="AI725" s="7">
        <f ca="1">$AW$9*EXP(-'3.r(t)'!F723*$AW$23)</f>
        <v>0.92357778998252693</v>
      </c>
      <c r="AJ725" s="7">
        <f ca="1">$AW$10*EXP(-'3.r(t)'!G723*$AW$24)</f>
        <v>0.94635857684849334</v>
      </c>
      <c r="AK725" s="7">
        <f ca="1">$AW$11*EXP(-'3.r(t)'!H723*$AW$25)</f>
        <v>0.96503359217902229</v>
      </c>
      <c r="AL725" s="7">
        <f ca="1">$AW$12*EXP(-'3.r(t)'!I723*$AW$26)</f>
        <v>0.98525044867942224</v>
      </c>
      <c r="AM725" s="7">
        <v>1</v>
      </c>
      <c r="AN725" s="7"/>
    </row>
    <row r="726" spans="2:40">
      <c r="B726" s="7">
        <v>718</v>
      </c>
      <c r="C726" s="7">
        <f>$AR$7*EXP(-'3.r(t)'!D724*$AR$21)</f>
        <v>0.97765346695821032</v>
      </c>
      <c r="D726" s="7">
        <v>1</v>
      </c>
      <c r="E726" s="7"/>
      <c r="F726" s="7">
        <v>718</v>
      </c>
      <c r="G726" s="48">
        <f>$AS$7*EXP(-'3.r(t)'!D724*$AS$21)</f>
        <v>0.9553476245219803</v>
      </c>
      <c r="H726" s="7">
        <f ca="1">$AS$8*EXP(-'3.r(t)'!E724*$AS$22)</f>
        <v>0.97839053284734279</v>
      </c>
      <c r="I726" s="7">
        <v>1</v>
      </c>
      <c r="J726" s="7"/>
      <c r="K726" s="7">
        <v>718</v>
      </c>
      <c r="L726" s="7">
        <f>$AT$7*EXP(-'3.r(t)'!D724*$AT$21)</f>
        <v>0.93311670519824419</v>
      </c>
      <c r="M726" s="7">
        <f ca="1">$AT$8*EXP(-'3.r(t)'!E724*$AT$22)</f>
        <v>0.95679715750304328</v>
      </c>
      <c r="N726" s="7">
        <f ca="1">$AT$9*EXP(-'3.r(t)'!F724*$AT$23)</f>
        <v>0.97351993390884228</v>
      </c>
      <c r="O726" s="7">
        <v>1</v>
      </c>
      <c r="P726" s="7"/>
      <c r="Q726" s="7">
        <v>718</v>
      </c>
      <c r="R726" s="7">
        <f>$AU$7*EXP(-'3.r(t)'!D724*$AU$21)</f>
        <v>0.91099305977534117</v>
      </c>
      <c r="S726" s="7">
        <f ca="1">$AU$8*EXP(-'3.r(t)'!E724*$AU$22)</f>
        <v>0.93525366460934467</v>
      </c>
      <c r="T726" s="7">
        <f ca="1">$AU$9*EXP(-'3.r(t)'!F724*$AU$23)</f>
        <v>0.9473030696508129</v>
      </c>
      <c r="U726" s="7">
        <f ca="1">$AU$10*EXP(-'3.r(t)'!G724*$AU$24)</f>
        <v>0.97414738922144795</v>
      </c>
      <c r="V726" s="7">
        <v>1</v>
      </c>
      <c r="W726" s="7"/>
      <c r="X726" s="7">
        <v>718</v>
      </c>
      <c r="Y726" s="7">
        <f>$AV$7*EXP(-'3.r(t)'!D724*$AV$21)</f>
        <v>0.88900715067201674</v>
      </c>
      <c r="Z726" s="7">
        <f ca="1">$AV$8*EXP(-'3.r(t)'!E724*$AV$22)</f>
        <v>0.91379206514203226</v>
      </c>
      <c r="AA726" s="7">
        <f ca="1">$AV$9*EXP(-'3.r(t)'!F724*$AV$23)</f>
        <v>0.92138004541294816</v>
      </c>
      <c r="AB726" s="7">
        <f ca="1">$AV$10*EXP(-'3.r(t)'!G724*$AV$24)</f>
        <v>0.94853299727963492</v>
      </c>
      <c r="AC726" s="7">
        <f ca="1">$AV$11*EXP(-'3.r(t)'!H724*$AV$25)</f>
        <v>0.97492551769102398</v>
      </c>
      <c r="AD726" s="7">
        <v>1</v>
      </c>
      <c r="AE726" s="7"/>
      <c r="AF726" s="7">
        <v>718</v>
      </c>
      <c r="AG726" s="7">
        <f>$AW$7*EXP(-'3.r(t)'!D724*$AW$21)</f>
        <v>0.86718755429225491</v>
      </c>
      <c r="AH726" s="7">
        <f ca="1">$AW$8*EXP(-'3.r(t)'!E724*$AW$22)</f>
        <v>0.89244257952182682</v>
      </c>
      <c r="AI726" s="7">
        <f ca="1">$AW$9*EXP(-'3.r(t)'!F724*$AW$23)</f>
        <v>0.89577912258438852</v>
      </c>
      <c r="AJ726" s="7">
        <f ca="1">$AW$10*EXP(-'3.r(t)'!G724*$AW$24)</f>
        <v>0.92318732341794063</v>
      </c>
      <c r="AK726" s="7">
        <f ca="1">$AW$11*EXP(-'3.r(t)'!H724*$AW$25)</f>
        <v>0.95005737067365248</v>
      </c>
      <c r="AL726" s="7">
        <f ca="1">$AW$12*EXP(-'3.r(t)'!I724*$AW$26)</f>
        <v>0.97552331514317014</v>
      </c>
      <c r="AM726" s="7">
        <v>1</v>
      </c>
      <c r="AN726" s="7"/>
    </row>
    <row r="727" spans="2:40">
      <c r="B727" s="7">
        <v>719</v>
      </c>
      <c r="C727" s="7">
        <f>$AR$7*EXP(-'3.r(t)'!D725*$AR$21)</f>
        <v>0.97765346695821032</v>
      </c>
      <c r="D727" s="7">
        <v>1</v>
      </c>
      <c r="E727" s="7"/>
      <c r="F727" s="7">
        <v>719</v>
      </c>
      <c r="G727" s="48">
        <f>$AS$7*EXP(-'3.r(t)'!D725*$AS$21)</f>
        <v>0.9553476245219803</v>
      </c>
      <c r="H727" s="7">
        <f ca="1">$AS$8*EXP(-'3.r(t)'!E725*$AS$22)</f>
        <v>0.97634567688511897</v>
      </c>
      <c r="I727" s="7">
        <v>1</v>
      </c>
      <c r="J727" s="7"/>
      <c r="K727" s="7">
        <v>719</v>
      </c>
      <c r="L727" s="7">
        <f>$AT$7*EXP(-'3.r(t)'!D725*$AT$21)</f>
        <v>0.93311670519824419</v>
      </c>
      <c r="M727" s="7">
        <f ca="1">$AT$8*EXP(-'3.r(t)'!E725*$AT$22)</f>
        <v>0.9528018862256401</v>
      </c>
      <c r="N727" s="7">
        <f ca="1">$AT$9*EXP(-'3.r(t)'!F725*$AT$23)</f>
        <v>0.974603281213272</v>
      </c>
      <c r="O727" s="7">
        <v>1</v>
      </c>
      <c r="P727" s="7"/>
      <c r="Q727" s="7">
        <v>719</v>
      </c>
      <c r="R727" s="7">
        <f>$AU$7*EXP(-'3.r(t)'!D725*$AU$21)</f>
        <v>0.91099305977534117</v>
      </c>
      <c r="S727" s="7">
        <f ca="1">$AU$8*EXP(-'3.r(t)'!E725*$AU$22)</f>
        <v>0.92940181504148778</v>
      </c>
      <c r="T727" s="7">
        <f ca="1">$AU$9*EXP(-'3.r(t)'!F725*$AU$23)</f>
        <v>0.9494125883341904</v>
      </c>
      <c r="U727" s="7">
        <f ca="1">$AU$10*EXP(-'3.r(t)'!G725*$AU$24)</f>
        <v>0.97430169576079528</v>
      </c>
      <c r="V727" s="7">
        <v>1</v>
      </c>
      <c r="W727" s="7"/>
      <c r="X727" s="7">
        <v>719</v>
      </c>
      <c r="Y727" s="7">
        <f>$AV$7*EXP(-'3.r(t)'!D725*$AV$21)</f>
        <v>0.88900715067201674</v>
      </c>
      <c r="Z727" s="7">
        <f ca="1">$AV$8*EXP(-'3.r(t)'!E725*$AV$22)</f>
        <v>0.90617660601931893</v>
      </c>
      <c r="AA727" s="7">
        <f ca="1">$AV$9*EXP(-'3.r(t)'!F725*$AV$23)</f>
        <v>0.92445944548215853</v>
      </c>
      <c r="AB727" s="7">
        <f ca="1">$AV$10*EXP(-'3.r(t)'!G725*$AV$24)</f>
        <v>0.94883351943491023</v>
      </c>
      <c r="AC727" s="7">
        <f ca="1">$AV$11*EXP(-'3.r(t)'!H725*$AV$25)</f>
        <v>0.97158019122132477</v>
      </c>
      <c r="AD727" s="7">
        <v>1</v>
      </c>
      <c r="AE727" s="7"/>
      <c r="AF727" s="7">
        <v>719</v>
      </c>
      <c r="AG727" s="7">
        <f>$AW$7*EXP(-'3.r(t)'!D725*$AW$21)</f>
        <v>0.86718755429225491</v>
      </c>
      <c r="AH727" s="7">
        <f ca="1">$AW$8*EXP(-'3.r(t)'!E725*$AW$22)</f>
        <v>0.88315536664317318</v>
      </c>
      <c r="AI727" s="7">
        <f ca="1">$AW$9*EXP(-'3.r(t)'!F725*$AW$23)</f>
        <v>0.8997731280309561</v>
      </c>
      <c r="AJ727" s="7">
        <f ca="1">$AW$10*EXP(-'3.r(t)'!G725*$AW$24)</f>
        <v>0.92362609605769264</v>
      </c>
      <c r="AK727" s="7">
        <f ca="1">$AW$11*EXP(-'3.r(t)'!H725*$AW$25)</f>
        <v>0.94354856740835968</v>
      </c>
      <c r="AL727" s="7">
        <f ca="1">$AW$12*EXP(-'3.r(t)'!I725*$AW$26)</f>
        <v>0.97152295899665431</v>
      </c>
      <c r="AM727" s="7">
        <v>1</v>
      </c>
      <c r="AN727" s="7"/>
    </row>
    <row r="728" spans="2:40">
      <c r="B728" s="7">
        <v>720</v>
      </c>
      <c r="C728" s="7">
        <f>$AR$7*EXP(-'3.r(t)'!D726*$AR$21)</f>
        <v>0.97765346695821032</v>
      </c>
      <c r="D728" s="7">
        <v>1</v>
      </c>
      <c r="E728" s="7"/>
      <c r="F728" s="7">
        <v>720</v>
      </c>
      <c r="G728" s="48">
        <f>$AS$7*EXP(-'3.r(t)'!D726*$AS$21)</f>
        <v>0.9553476245219803</v>
      </c>
      <c r="H728" s="7">
        <f ca="1">$AS$8*EXP(-'3.r(t)'!E726*$AS$22)</f>
        <v>0.97522527210651888</v>
      </c>
      <c r="I728" s="7">
        <v>1</v>
      </c>
      <c r="J728" s="7"/>
      <c r="K728" s="7">
        <v>720</v>
      </c>
      <c r="L728" s="7">
        <f>$AT$7*EXP(-'3.r(t)'!D726*$AT$21)</f>
        <v>0.93311670519824419</v>
      </c>
      <c r="M728" s="7">
        <f ca="1">$AT$8*EXP(-'3.r(t)'!E726*$AT$22)</f>
        <v>0.95061636670408323</v>
      </c>
      <c r="N728" s="7">
        <f ca="1">$AT$9*EXP(-'3.r(t)'!F726*$AT$23)</f>
        <v>0.97720948967031818</v>
      </c>
      <c r="O728" s="7">
        <v>1</v>
      </c>
      <c r="P728" s="7"/>
      <c r="Q728" s="7">
        <v>720</v>
      </c>
      <c r="R728" s="7">
        <f>$AU$7*EXP(-'3.r(t)'!D726*$AU$21)</f>
        <v>0.91099305977534117</v>
      </c>
      <c r="S728" s="7">
        <f ca="1">$AU$8*EXP(-'3.r(t)'!E726*$AU$22)</f>
        <v>0.92620588218807975</v>
      </c>
      <c r="T728" s="7">
        <f ca="1">$AU$9*EXP(-'3.r(t)'!F726*$AU$23)</f>
        <v>0.95449706844001203</v>
      </c>
      <c r="U728" s="7">
        <f ca="1">$AU$10*EXP(-'3.r(t)'!G726*$AU$24)</f>
        <v>0.97937665177418676</v>
      </c>
      <c r="V728" s="7">
        <v>1</v>
      </c>
      <c r="W728" s="7"/>
      <c r="X728" s="7">
        <v>720</v>
      </c>
      <c r="Y728" s="7">
        <f>$AV$7*EXP(-'3.r(t)'!D726*$AV$21)</f>
        <v>0.88900715067201674</v>
      </c>
      <c r="Z728" s="7">
        <f ca="1">$AV$8*EXP(-'3.r(t)'!E726*$AV$22)</f>
        <v>0.90202423119314201</v>
      </c>
      <c r="AA728" s="7">
        <f ca="1">$AV$9*EXP(-'3.r(t)'!F726*$AV$23)</f>
        <v>0.93189564850539053</v>
      </c>
      <c r="AB728" s="7">
        <f ca="1">$AV$10*EXP(-'3.r(t)'!G726*$AV$24)</f>
        <v>0.95874385699499076</v>
      </c>
      <c r="AC728" s="7">
        <f ca="1">$AV$11*EXP(-'3.r(t)'!H726*$AV$25)</f>
        <v>0.97915118339900142</v>
      </c>
      <c r="AD728" s="7">
        <v>1</v>
      </c>
      <c r="AE728" s="7"/>
      <c r="AF728" s="7">
        <v>720</v>
      </c>
      <c r="AG728" s="7">
        <f>$AW$7*EXP(-'3.r(t)'!D726*$AW$21)</f>
        <v>0.86718755429225491</v>
      </c>
      <c r="AH728" s="7">
        <f ca="1">$AW$8*EXP(-'3.r(t)'!E726*$AW$22)</f>
        <v>0.87809966178129983</v>
      </c>
      <c r="AI728" s="7">
        <f ca="1">$AW$9*EXP(-'3.r(t)'!F726*$AW$23)</f>
        <v>0.90943621606692626</v>
      </c>
      <c r="AJ728" s="7">
        <f ca="1">$AW$10*EXP(-'3.r(t)'!G726*$AW$24)</f>
        <v>0.93813439410527055</v>
      </c>
      <c r="AK728" s="7">
        <f ca="1">$AW$11*EXP(-'3.r(t)'!H726*$AW$25)</f>
        <v>0.95831097603712667</v>
      </c>
      <c r="AL728" s="7">
        <f ca="1">$AW$12*EXP(-'3.r(t)'!I726*$AW$26)</f>
        <v>0.98195824173246893</v>
      </c>
      <c r="AM728" s="7">
        <v>1</v>
      </c>
      <c r="AN728" s="7"/>
    </row>
    <row r="729" spans="2:40">
      <c r="B729" s="7">
        <v>721</v>
      </c>
      <c r="C729" s="7">
        <f>$AR$7*EXP(-'3.r(t)'!D727*$AR$21)</f>
        <v>0.97765346695821032</v>
      </c>
      <c r="D729" s="7">
        <v>1</v>
      </c>
      <c r="E729" s="7"/>
      <c r="F729" s="7">
        <v>721</v>
      </c>
      <c r="G729" s="48">
        <f>$AS$7*EXP(-'3.r(t)'!D727*$AS$21)</f>
        <v>0.9553476245219803</v>
      </c>
      <c r="H729" s="7">
        <f ca="1">$AS$8*EXP(-'3.r(t)'!E727*$AS$22)</f>
        <v>0.97474487859233883</v>
      </c>
      <c r="I729" s="7">
        <v>1</v>
      </c>
      <c r="J729" s="7"/>
      <c r="K729" s="7">
        <v>721</v>
      </c>
      <c r="L729" s="7">
        <f>$AT$7*EXP(-'3.r(t)'!D727*$AT$21)</f>
        <v>0.93311670519824419</v>
      </c>
      <c r="M729" s="7">
        <f ca="1">$AT$8*EXP(-'3.r(t)'!E727*$AT$22)</f>
        <v>0.94968005491466223</v>
      </c>
      <c r="N729" s="7">
        <f ca="1">$AT$9*EXP(-'3.r(t)'!F727*$AT$23)</f>
        <v>0.97551249709146926</v>
      </c>
      <c r="O729" s="7">
        <v>1</v>
      </c>
      <c r="P729" s="7"/>
      <c r="Q729" s="7">
        <v>721</v>
      </c>
      <c r="R729" s="7">
        <f>$AU$7*EXP(-'3.r(t)'!D727*$AU$21)</f>
        <v>0.91099305977534117</v>
      </c>
      <c r="S729" s="7">
        <f ca="1">$AU$8*EXP(-'3.r(t)'!E727*$AU$22)</f>
        <v>0.92483781625698103</v>
      </c>
      <c r="T729" s="7">
        <f ca="1">$AU$9*EXP(-'3.r(t)'!F727*$AU$23)</f>
        <v>0.95118484514906276</v>
      </c>
      <c r="U729" s="7">
        <f ca="1">$AU$10*EXP(-'3.r(t)'!G727*$AU$24)</f>
        <v>0.97700504045307146</v>
      </c>
      <c r="V729" s="7">
        <v>1</v>
      </c>
      <c r="W729" s="7"/>
      <c r="X729" s="7">
        <v>721</v>
      </c>
      <c r="Y729" s="7">
        <f>$AV$7*EXP(-'3.r(t)'!D727*$AV$21)</f>
        <v>0.88900715067201674</v>
      </c>
      <c r="Z729" s="7">
        <f ca="1">$AV$8*EXP(-'3.r(t)'!E727*$AV$22)</f>
        <v>0.90024820456858001</v>
      </c>
      <c r="AA729" s="7">
        <f ca="1">$AV$9*EXP(-'3.r(t)'!F727*$AV$23)</f>
        <v>0.92704916872868159</v>
      </c>
      <c r="AB729" s="7">
        <f ca="1">$AV$10*EXP(-'3.r(t)'!G727*$AV$24)</f>
        <v>0.95410618310738726</v>
      </c>
      <c r="AC729" s="7">
        <f ca="1">$AV$11*EXP(-'3.r(t)'!H727*$AV$25)</f>
        <v>0.97751484418056533</v>
      </c>
      <c r="AD729" s="7">
        <v>1</v>
      </c>
      <c r="AE729" s="7"/>
      <c r="AF729" s="7">
        <v>721</v>
      </c>
      <c r="AG729" s="7">
        <f>$AW$7*EXP(-'3.r(t)'!D727*$AW$21)</f>
        <v>0.86718755429225491</v>
      </c>
      <c r="AH729" s="7">
        <f ca="1">$AW$8*EXP(-'3.r(t)'!E727*$AW$22)</f>
        <v>0.87593904304571379</v>
      </c>
      <c r="AI729" s="7">
        <f ca="1">$AW$9*EXP(-'3.r(t)'!F727*$AW$23)</f>
        <v>0.90313545419945263</v>
      </c>
      <c r="AJ729" s="7">
        <f ca="1">$AW$10*EXP(-'3.r(t)'!G727*$AW$24)</f>
        <v>0.93133566103006649</v>
      </c>
      <c r="AK729" s="7">
        <f ca="1">$AW$11*EXP(-'3.r(t)'!H727*$AW$25)</f>
        <v>0.95511062954904002</v>
      </c>
      <c r="AL729" s="7">
        <f ca="1">$AW$12*EXP(-'3.r(t)'!I727*$AW$26)</f>
        <v>0.97577744570287472</v>
      </c>
      <c r="AM729" s="7">
        <v>1</v>
      </c>
      <c r="AN729" s="7"/>
    </row>
    <row r="730" spans="2:40">
      <c r="B730" s="7">
        <v>722</v>
      </c>
      <c r="C730" s="7">
        <f>$AR$7*EXP(-'3.r(t)'!D728*$AR$21)</f>
        <v>0.97765346695821032</v>
      </c>
      <c r="D730" s="7">
        <v>1</v>
      </c>
      <c r="E730" s="7"/>
      <c r="F730" s="7">
        <v>722</v>
      </c>
      <c r="G730" s="48">
        <f>$AS$7*EXP(-'3.r(t)'!D728*$AS$21)</f>
        <v>0.9553476245219803</v>
      </c>
      <c r="H730" s="7">
        <f ca="1">$AS$8*EXP(-'3.r(t)'!E728*$AS$22)</f>
        <v>0.98080340568671653</v>
      </c>
      <c r="I730" s="7">
        <v>1</v>
      </c>
      <c r="J730" s="7"/>
      <c r="K730" s="7">
        <v>722</v>
      </c>
      <c r="L730" s="7">
        <f>$AT$7*EXP(-'3.r(t)'!D728*$AT$21)</f>
        <v>0.93311670519824419</v>
      </c>
      <c r="M730" s="7">
        <f ca="1">$AT$8*EXP(-'3.r(t)'!E728*$AT$22)</f>
        <v>0.96152221672640503</v>
      </c>
      <c r="N730" s="7">
        <f ca="1">$AT$9*EXP(-'3.r(t)'!F728*$AT$23)</f>
        <v>0.97541414344154131</v>
      </c>
      <c r="O730" s="7">
        <v>1</v>
      </c>
      <c r="P730" s="7"/>
      <c r="Q730" s="7">
        <v>722</v>
      </c>
      <c r="R730" s="7">
        <f>$AU$7*EXP(-'3.r(t)'!D728*$AU$21)</f>
        <v>0.91099305977534117</v>
      </c>
      <c r="S730" s="7">
        <f ca="1">$AU$8*EXP(-'3.r(t)'!E728*$AU$22)</f>
        <v>0.94219021376369649</v>
      </c>
      <c r="T730" s="7">
        <f ca="1">$AU$9*EXP(-'3.r(t)'!F728*$AU$23)</f>
        <v>0.95099305306960724</v>
      </c>
      <c r="U730" s="7">
        <f ca="1">$AU$10*EXP(-'3.r(t)'!G728*$AU$24)</f>
        <v>0.97287110490624629</v>
      </c>
      <c r="V730" s="7">
        <v>1</v>
      </c>
      <c r="W730" s="7"/>
      <c r="X730" s="7">
        <v>722</v>
      </c>
      <c r="Y730" s="7">
        <f>$AV$7*EXP(-'3.r(t)'!D728*$AV$21)</f>
        <v>0.88900715067201674</v>
      </c>
      <c r="Z730" s="7">
        <f ca="1">$AV$8*EXP(-'3.r(t)'!E728*$AV$22)</f>
        <v>0.92283971528882314</v>
      </c>
      <c r="AA730" s="7">
        <f ca="1">$AV$9*EXP(-'3.r(t)'!F728*$AV$23)</f>
        <v>0.92676879463673711</v>
      </c>
      <c r="AB730" s="7">
        <f ca="1">$AV$10*EXP(-'3.r(t)'!G728*$AV$24)</f>
        <v>0.94604917447264925</v>
      </c>
      <c r="AC730" s="7">
        <f ca="1">$AV$11*EXP(-'3.r(t)'!H728*$AV$25)</f>
        <v>0.97556821719181819</v>
      </c>
      <c r="AD730" s="7">
        <v>1</v>
      </c>
      <c r="AE730" s="7"/>
      <c r="AF730" s="7">
        <v>722</v>
      </c>
      <c r="AG730" s="7">
        <f>$AW$7*EXP(-'3.r(t)'!D728*$AW$21)</f>
        <v>0.86718755429225491</v>
      </c>
      <c r="AH730" s="7">
        <f ca="1">$AW$8*EXP(-'3.r(t)'!E728*$AW$22)</f>
        <v>0.90350154652093195</v>
      </c>
      <c r="AI730" s="7">
        <f ca="1">$AW$9*EXP(-'3.r(t)'!F728*$AW$23)</f>
        <v>0.90277128362912451</v>
      </c>
      <c r="AJ730" s="7">
        <f ca="1">$AW$10*EXP(-'3.r(t)'!G728*$AW$24)</f>
        <v>0.91956351916116963</v>
      </c>
      <c r="AK730" s="7">
        <f ca="1">$AW$11*EXP(-'3.r(t)'!H728*$AW$25)</f>
        <v>0.95131039493027714</v>
      </c>
      <c r="AL730" s="7">
        <f ca="1">$AW$12*EXP(-'3.r(t)'!I728*$AW$26)</f>
        <v>0.97274841418811098</v>
      </c>
      <c r="AM730" s="7">
        <v>1</v>
      </c>
      <c r="AN730" s="7"/>
    </row>
    <row r="731" spans="2:40">
      <c r="B731" s="7">
        <v>723</v>
      </c>
      <c r="C731" s="7">
        <f>$AR$7*EXP(-'3.r(t)'!D729*$AR$21)</f>
        <v>0.97765346695821032</v>
      </c>
      <c r="D731" s="7">
        <v>1</v>
      </c>
      <c r="E731" s="7"/>
      <c r="F731" s="7">
        <v>723</v>
      </c>
      <c r="G731" s="48">
        <f>$AS$7*EXP(-'3.r(t)'!D729*$AS$21)</f>
        <v>0.9553476245219803</v>
      </c>
      <c r="H731" s="7">
        <f ca="1">$AS$8*EXP(-'3.r(t)'!E729*$AS$22)</f>
        <v>0.97426416076342437</v>
      </c>
      <c r="I731" s="7">
        <v>1</v>
      </c>
      <c r="J731" s="7"/>
      <c r="K731" s="7">
        <v>723</v>
      </c>
      <c r="L731" s="7">
        <f>$AT$7*EXP(-'3.r(t)'!D729*$AT$21)</f>
        <v>0.93311670519824419</v>
      </c>
      <c r="M731" s="7">
        <f ca="1">$AT$8*EXP(-'3.r(t)'!E729*$AT$22)</f>
        <v>0.94874357282479937</v>
      </c>
      <c r="N731" s="7">
        <f ca="1">$AT$9*EXP(-'3.r(t)'!F729*$AT$23)</f>
        <v>0.9749726600001607</v>
      </c>
      <c r="O731" s="7">
        <v>1</v>
      </c>
      <c r="P731" s="7"/>
      <c r="Q731" s="7">
        <v>723</v>
      </c>
      <c r="R731" s="7">
        <f>$AU$7*EXP(-'3.r(t)'!D729*$AU$21)</f>
        <v>0.91099305977534117</v>
      </c>
      <c r="S731" s="7">
        <f ca="1">$AU$8*EXP(-'3.r(t)'!E729*$AU$22)</f>
        <v>0.92347017591809821</v>
      </c>
      <c r="T731" s="7">
        <f ca="1">$AU$9*EXP(-'3.r(t)'!F729*$AU$23)</f>
        <v>0.95013238752621332</v>
      </c>
      <c r="U731" s="7">
        <f ca="1">$AU$10*EXP(-'3.r(t)'!G729*$AU$24)</f>
        <v>0.97368734031919046</v>
      </c>
      <c r="V731" s="7">
        <v>1</v>
      </c>
      <c r="W731" s="7"/>
      <c r="X731" s="7">
        <v>723</v>
      </c>
      <c r="Y731" s="7">
        <f>$AV$7*EXP(-'3.r(t)'!D729*$AV$21)</f>
        <v>0.88900715067201674</v>
      </c>
      <c r="Z731" s="7">
        <f ca="1">$AV$8*EXP(-'3.r(t)'!E729*$AV$22)</f>
        <v>0.89847360555357236</v>
      </c>
      <c r="AA731" s="7">
        <f ca="1">$AV$9*EXP(-'3.r(t)'!F729*$AV$23)</f>
        <v>0.92551096609217642</v>
      </c>
      <c r="AB731" s="7">
        <f ca="1">$AV$10*EXP(-'3.r(t)'!G729*$AV$24)</f>
        <v>0.94763730422743653</v>
      </c>
      <c r="AC731" s="7">
        <f ca="1">$AV$11*EXP(-'3.r(t)'!H729*$AV$25)</f>
        <v>0.97599376808078553</v>
      </c>
      <c r="AD731" s="7">
        <v>1</v>
      </c>
      <c r="AE731" s="7"/>
      <c r="AF731" s="7">
        <v>723</v>
      </c>
      <c r="AG731" s="7">
        <f>$AW$7*EXP(-'3.r(t)'!D729*$AW$21)</f>
        <v>0.86718755429225491</v>
      </c>
      <c r="AH731" s="7">
        <f ca="1">$AW$8*EXP(-'3.r(t)'!E729*$AW$22)</f>
        <v>0.87378122514392054</v>
      </c>
      <c r="AI731" s="7">
        <f ca="1">$AW$9*EXP(-'3.r(t)'!F729*$AW$23)</f>
        <v>0.90113797507301963</v>
      </c>
      <c r="AJ731" s="7">
        <f ca="1">$AW$10*EXP(-'3.r(t)'!G729*$AW$24)</f>
        <v>0.92187999319973268</v>
      </c>
      <c r="AK731" s="7">
        <f ca="1">$AW$11*EXP(-'3.r(t)'!H729*$AW$25)</f>
        <v>0.9521405147976838</v>
      </c>
      <c r="AL731" s="7">
        <f ca="1">$AW$12*EXP(-'3.r(t)'!I729*$AW$26)</f>
        <v>0.97492895911258615</v>
      </c>
      <c r="AM731" s="7">
        <v>1</v>
      </c>
      <c r="AN731" s="7"/>
    </row>
    <row r="732" spans="2:40">
      <c r="B732" s="7">
        <v>724</v>
      </c>
      <c r="C732" s="7">
        <f>$AR$7*EXP(-'3.r(t)'!D730*$AR$21)</f>
        <v>0.97765346695821032</v>
      </c>
      <c r="D732" s="7">
        <v>1</v>
      </c>
      <c r="E732" s="7"/>
      <c r="F732" s="7">
        <v>724</v>
      </c>
      <c r="G732" s="48">
        <f>$AS$7*EXP(-'3.r(t)'!D730*$AS$21)</f>
        <v>0.9553476245219803</v>
      </c>
      <c r="H732" s="7">
        <f ca="1">$AS$8*EXP(-'3.r(t)'!E730*$AS$22)</f>
        <v>0.97753663609585739</v>
      </c>
      <c r="I732" s="7">
        <v>1</v>
      </c>
      <c r="J732" s="7"/>
      <c r="K732" s="7">
        <v>724</v>
      </c>
      <c r="L732" s="7">
        <f>$AT$7*EXP(-'3.r(t)'!D730*$AT$21)</f>
        <v>0.93311670519824419</v>
      </c>
      <c r="M732" s="7">
        <f ca="1">$AT$8*EXP(-'3.r(t)'!E730*$AT$22)</f>
        <v>0.9551277843160787</v>
      </c>
      <c r="N732" s="7">
        <f ca="1">$AT$9*EXP(-'3.r(t)'!F730*$AT$23)</f>
        <v>0.97945096260789666</v>
      </c>
      <c r="O732" s="7">
        <v>1</v>
      </c>
      <c r="P732" s="7"/>
      <c r="Q732" s="7">
        <v>724</v>
      </c>
      <c r="R732" s="7">
        <f>$AU$7*EXP(-'3.r(t)'!D730*$AU$21)</f>
        <v>0.91099305977534117</v>
      </c>
      <c r="S732" s="7">
        <f ca="1">$AU$8*EXP(-'3.r(t)'!E730*$AU$22)</f>
        <v>0.93280705484616488</v>
      </c>
      <c r="T732" s="7">
        <f ca="1">$AU$9*EXP(-'3.r(t)'!F730*$AU$23)</f>
        <v>0.95888084302359877</v>
      </c>
      <c r="U732" s="7">
        <f ca="1">$AU$10*EXP(-'3.r(t)'!G730*$AU$24)</f>
        <v>0.97741422055186244</v>
      </c>
      <c r="V732" s="7">
        <v>1</v>
      </c>
      <c r="W732" s="7"/>
      <c r="X732" s="7">
        <v>724</v>
      </c>
      <c r="Y732" s="7">
        <f>$AV$7*EXP(-'3.r(t)'!D730*$AV$21)</f>
        <v>0.88900715067201674</v>
      </c>
      <c r="Z732" s="7">
        <f ca="1">$AV$8*EXP(-'3.r(t)'!E730*$AV$22)</f>
        <v>0.91060616688587459</v>
      </c>
      <c r="AA732" s="7">
        <f ca="1">$AV$9*EXP(-'3.r(t)'!F730*$AV$23)</f>
        <v>0.93832297177941348</v>
      </c>
      <c r="AB732" s="7">
        <f ca="1">$AV$10*EXP(-'3.r(t)'!G730*$AV$24)</f>
        <v>0.95490553008758228</v>
      </c>
      <c r="AC732" s="7">
        <f ca="1">$AV$11*EXP(-'3.r(t)'!H730*$AV$25)</f>
        <v>0.97605312256571486</v>
      </c>
      <c r="AD732" s="7">
        <v>1</v>
      </c>
      <c r="AE732" s="7"/>
      <c r="AF732" s="7">
        <v>724</v>
      </c>
      <c r="AG732" s="7">
        <f>$AW$7*EXP(-'3.r(t)'!D730*$AW$21)</f>
        <v>0.86718755429225491</v>
      </c>
      <c r="AH732" s="7">
        <f ca="1">$AW$8*EXP(-'3.r(t)'!E730*$AW$22)</f>
        <v>0.88855494580359207</v>
      </c>
      <c r="AI732" s="7">
        <f ca="1">$AW$9*EXP(-'3.r(t)'!F730*$AW$23)</f>
        <v>0.91780904113325823</v>
      </c>
      <c r="AJ732" s="7">
        <f ca="1">$AW$10*EXP(-'3.r(t)'!G730*$AW$24)</f>
        <v>0.93250631100521042</v>
      </c>
      <c r="AK732" s="7">
        <f ca="1">$AW$11*EXP(-'3.r(t)'!H730*$AW$25)</f>
        <v>0.95225632604589361</v>
      </c>
      <c r="AL732" s="7">
        <f ca="1">$AW$12*EXP(-'3.r(t)'!I730*$AW$26)</f>
        <v>0.97844603346736703</v>
      </c>
      <c r="AM732" s="7">
        <v>1</v>
      </c>
      <c r="AN732" s="7"/>
    </row>
    <row r="733" spans="2:40">
      <c r="B733" s="7">
        <v>725</v>
      </c>
      <c r="C733" s="7">
        <f>$AR$7*EXP(-'3.r(t)'!D731*$AR$21)</f>
        <v>0.97765346695821032</v>
      </c>
      <c r="D733" s="7">
        <v>1</v>
      </c>
      <c r="E733" s="7"/>
      <c r="F733" s="7">
        <v>725</v>
      </c>
      <c r="G733" s="48">
        <f>$AS$7*EXP(-'3.r(t)'!D731*$AS$21)</f>
        <v>0.9553476245219803</v>
      </c>
      <c r="H733" s="7">
        <f ca="1">$AS$8*EXP(-'3.r(t)'!E731*$AS$22)</f>
        <v>0.9780453898385375</v>
      </c>
      <c r="I733" s="7">
        <v>1</v>
      </c>
      <c r="J733" s="7"/>
      <c r="K733" s="7">
        <v>725</v>
      </c>
      <c r="L733" s="7">
        <f>$AT$7*EXP(-'3.r(t)'!D731*$AT$21)</f>
        <v>0.93311670519824419</v>
      </c>
      <c r="M733" s="7">
        <f ca="1">$AT$8*EXP(-'3.r(t)'!E731*$AT$22)</f>
        <v>0.95612222537446734</v>
      </c>
      <c r="N733" s="7">
        <f ca="1">$AT$9*EXP(-'3.r(t)'!F731*$AT$23)</f>
        <v>0.97503365870324787</v>
      </c>
      <c r="O733" s="7">
        <v>1</v>
      </c>
      <c r="P733" s="7"/>
      <c r="Q733" s="7">
        <v>725</v>
      </c>
      <c r="R733" s="7">
        <f>$AU$7*EXP(-'3.r(t)'!D731*$AU$21)</f>
        <v>0.91099305977534117</v>
      </c>
      <c r="S733" s="7">
        <f ca="1">$AU$8*EXP(-'3.r(t)'!E731*$AU$22)</f>
        <v>0.93426423637559308</v>
      </c>
      <c r="T733" s="7">
        <f ca="1">$AU$9*EXP(-'3.r(t)'!F731*$AU$23)</f>
        <v>0.95025128041172569</v>
      </c>
      <c r="U733" s="7">
        <f ca="1">$AU$10*EXP(-'3.r(t)'!G731*$AU$24)</f>
        <v>0.9732801460648427</v>
      </c>
      <c r="V733" s="7">
        <v>1</v>
      </c>
      <c r="W733" s="7"/>
      <c r="X733" s="7">
        <v>725</v>
      </c>
      <c r="Y733" s="7">
        <f>$AV$7*EXP(-'3.r(t)'!D731*$AV$21)</f>
        <v>0.88900715067201674</v>
      </c>
      <c r="Z733" s="7">
        <f ca="1">$AV$8*EXP(-'3.r(t)'!E731*$AV$22)</f>
        <v>0.9125033278386423</v>
      </c>
      <c r="AA733" s="7">
        <f ca="1">$AV$9*EXP(-'3.r(t)'!F731*$AV$23)</f>
        <v>0.92568468942748527</v>
      </c>
      <c r="AB733" s="7">
        <f ca="1">$AV$10*EXP(-'3.r(t)'!G731*$AV$24)</f>
        <v>0.94684486960508008</v>
      </c>
      <c r="AC733" s="7">
        <f ca="1">$AV$11*EXP(-'3.r(t)'!H731*$AV$25)</f>
        <v>0.97124264520069137</v>
      </c>
      <c r="AD733" s="7">
        <v>1</v>
      </c>
      <c r="AE733" s="7"/>
      <c r="AF733" s="7">
        <v>725</v>
      </c>
      <c r="AG733" s="7">
        <f>$AW$7*EXP(-'3.r(t)'!D731*$AW$21)</f>
        <v>0.86718755429225491</v>
      </c>
      <c r="AH733" s="7">
        <f ca="1">$AW$8*EXP(-'3.r(t)'!E731*$AW$22)</f>
        <v>0.89086957229645214</v>
      </c>
      <c r="AI733" s="7">
        <f ca="1">$AW$9*EXP(-'3.r(t)'!F731*$AW$23)</f>
        <v>0.90136351332181885</v>
      </c>
      <c r="AJ733" s="7">
        <f ca="1">$AW$10*EXP(-'3.r(t)'!G731*$AW$24)</f>
        <v>0.92072389126296705</v>
      </c>
      <c r="AK733" s="7">
        <f ca="1">$AW$11*EXP(-'3.r(t)'!H731*$AW$25)</f>
        <v>0.94289306672594941</v>
      </c>
      <c r="AL733" s="7">
        <f ca="1">$AW$12*EXP(-'3.r(t)'!I731*$AW$26)</f>
        <v>0.97208186143087183</v>
      </c>
      <c r="AM733" s="7">
        <v>1</v>
      </c>
      <c r="AN733" s="7"/>
    </row>
    <row r="734" spans="2:40">
      <c r="B734" s="7">
        <v>726</v>
      </c>
      <c r="C734" s="7">
        <f>$AR$7*EXP(-'3.r(t)'!D732*$AR$21)</f>
        <v>0.97765346695821032</v>
      </c>
      <c r="D734" s="7">
        <v>1</v>
      </c>
      <c r="E734" s="7"/>
      <c r="F734" s="7">
        <v>726</v>
      </c>
      <c r="G734" s="48">
        <f>$AS$7*EXP(-'3.r(t)'!D732*$AS$21)</f>
        <v>0.9553476245219803</v>
      </c>
      <c r="H734" s="7">
        <f ca="1">$AS$8*EXP(-'3.r(t)'!E732*$AS$22)</f>
        <v>0.97514772489830848</v>
      </c>
      <c r="I734" s="7">
        <v>1</v>
      </c>
      <c r="J734" s="7"/>
      <c r="K734" s="7">
        <v>726</v>
      </c>
      <c r="L734" s="7">
        <f>$AT$7*EXP(-'3.r(t)'!D732*$AT$21)</f>
        <v>0.93311670519824419</v>
      </c>
      <c r="M734" s="7">
        <f ca="1">$AT$8*EXP(-'3.r(t)'!E732*$AT$22)</f>
        <v>0.9504651919621766</v>
      </c>
      <c r="N734" s="7">
        <f ca="1">$AT$9*EXP(-'3.r(t)'!F732*$AT$23)</f>
        <v>0.97052858839291267</v>
      </c>
      <c r="O734" s="7">
        <v>1</v>
      </c>
      <c r="P734" s="7"/>
      <c r="Q734" s="7">
        <v>726</v>
      </c>
      <c r="R734" s="7">
        <f>$AU$7*EXP(-'3.r(t)'!D732*$AU$21)</f>
        <v>0.91099305977534117</v>
      </c>
      <c r="S734" s="7">
        <f ca="1">$AU$8*EXP(-'3.r(t)'!E732*$AU$22)</f>
        <v>0.92598495178984874</v>
      </c>
      <c r="T734" s="7">
        <f ca="1">$AU$9*EXP(-'3.r(t)'!F732*$AU$23)</f>
        <v>0.94149043633173068</v>
      </c>
      <c r="U734" s="7">
        <f ca="1">$AU$10*EXP(-'3.r(t)'!G732*$AU$24)</f>
        <v>0.96836955766040533</v>
      </c>
      <c r="V734" s="7">
        <v>1</v>
      </c>
      <c r="W734" s="7"/>
      <c r="X734" s="7">
        <v>726</v>
      </c>
      <c r="Y734" s="7">
        <f>$AV$7*EXP(-'3.r(t)'!D732*$AV$21)</f>
        <v>0.88900715067201674</v>
      </c>
      <c r="Z734" s="7">
        <f ca="1">$AV$8*EXP(-'3.r(t)'!E732*$AV$22)</f>
        <v>0.90173735955423218</v>
      </c>
      <c r="AA734" s="7">
        <f ca="1">$AV$9*EXP(-'3.r(t)'!F732*$AV$23)</f>
        <v>0.91291271235583227</v>
      </c>
      <c r="AB734" s="7">
        <f ca="1">$AV$10*EXP(-'3.r(t)'!G732*$AV$24)</f>
        <v>0.93731454887327104</v>
      </c>
      <c r="AC734" s="7">
        <f ca="1">$AV$11*EXP(-'3.r(t)'!H732*$AV$25)</f>
        <v>0.96503591593452254</v>
      </c>
      <c r="AD734" s="7">
        <v>1</v>
      </c>
      <c r="AE734" s="7"/>
      <c r="AF734" s="7">
        <v>726</v>
      </c>
      <c r="AG734" s="7">
        <f>$AW$7*EXP(-'3.r(t)'!D732*$AW$21)</f>
        <v>0.86718755429225491</v>
      </c>
      <c r="AH734" s="7">
        <f ca="1">$AW$8*EXP(-'3.r(t)'!E732*$AW$22)</f>
        <v>0.87775059705343672</v>
      </c>
      <c r="AI734" s="7">
        <f ca="1">$AW$9*EXP(-'3.r(t)'!F732*$AW$23)</f>
        <v>0.88481988214789165</v>
      </c>
      <c r="AJ734" s="7">
        <f ca="1">$AW$10*EXP(-'3.r(t)'!G732*$AW$24)</f>
        <v>0.90685782393451253</v>
      </c>
      <c r="AK734" s="7">
        <f ca="1">$AW$11*EXP(-'3.r(t)'!H732*$AW$25)</f>
        <v>0.93088045070782</v>
      </c>
      <c r="AL734" s="7">
        <f ca="1">$AW$12*EXP(-'3.r(t)'!I732*$AW$26)</f>
        <v>0.96489977486367995</v>
      </c>
      <c r="AM734" s="7">
        <v>1</v>
      </c>
      <c r="AN734" s="7"/>
    </row>
    <row r="735" spans="2:40">
      <c r="B735" s="7">
        <v>727</v>
      </c>
      <c r="C735" s="7">
        <f>$AR$7*EXP(-'3.r(t)'!D733*$AR$21)</f>
        <v>0.97765346695821032</v>
      </c>
      <c r="D735" s="7">
        <v>1</v>
      </c>
      <c r="E735" s="7"/>
      <c r="F735" s="7">
        <v>727</v>
      </c>
      <c r="G735" s="48">
        <f>$AS$7*EXP(-'3.r(t)'!D733*$AS$21)</f>
        <v>0.9553476245219803</v>
      </c>
      <c r="H735" s="7">
        <f ca="1">$AS$8*EXP(-'3.r(t)'!E733*$AS$22)</f>
        <v>0.98125911372224883</v>
      </c>
      <c r="I735" s="7">
        <v>1</v>
      </c>
      <c r="J735" s="7"/>
      <c r="K735" s="7">
        <v>727</v>
      </c>
      <c r="L735" s="7">
        <f>$AT$7*EXP(-'3.r(t)'!D733*$AT$21)</f>
        <v>0.93311670519824419</v>
      </c>
      <c r="M735" s="7">
        <f ca="1">$AT$8*EXP(-'3.r(t)'!E733*$AT$22)</f>
        <v>0.96241592323603842</v>
      </c>
      <c r="N735" s="7">
        <f ca="1">$AT$9*EXP(-'3.r(t)'!F733*$AT$23)</f>
        <v>0.98130170396541327</v>
      </c>
      <c r="O735" s="7">
        <v>1</v>
      </c>
      <c r="P735" s="7"/>
      <c r="Q735" s="7">
        <v>727</v>
      </c>
      <c r="R735" s="7">
        <f>$AU$7*EXP(-'3.r(t)'!D733*$AU$21)</f>
        <v>0.91099305977534117</v>
      </c>
      <c r="S735" s="7">
        <f ca="1">$AU$8*EXP(-'3.r(t)'!E733*$AU$22)</f>
        <v>0.94350412593169375</v>
      </c>
      <c r="T735" s="7">
        <f ca="1">$AU$9*EXP(-'3.r(t)'!F733*$AU$23)</f>
        <v>0.96250801202903669</v>
      </c>
      <c r="U735" s="7">
        <f ca="1">$AU$10*EXP(-'3.r(t)'!G733*$AU$24)</f>
        <v>0.97741558067333345</v>
      </c>
      <c r="V735" s="7">
        <v>1</v>
      </c>
      <c r="W735" s="7"/>
      <c r="X735" s="7">
        <v>727</v>
      </c>
      <c r="Y735" s="7">
        <f>$AV$7*EXP(-'3.r(t)'!D733*$AV$21)</f>
        <v>0.88900715067201674</v>
      </c>
      <c r="Z735" s="7">
        <f ca="1">$AV$8*EXP(-'3.r(t)'!E733*$AV$22)</f>
        <v>0.92455601707767465</v>
      </c>
      <c r="AA735" s="7">
        <f ca="1">$AV$9*EXP(-'3.r(t)'!F733*$AV$23)</f>
        <v>0.94365211028189233</v>
      </c>
      <c r="AB735" s="7">
        <f ca="1">$AV$10*EXP(-'3.r(t)'!G733*$AV$24)</f>
        <v>0.95490818768840413</v>
      </c>
      <c r="AC735" s="7">
        <f ca="1">$AV$11*EXP(-'3.r(t)'!H733*$AV$25)</f>
        <v>0.97612711803839736</v>
      </c>
      <c r="AD735" s="7">
        <v>1</v>
      </c>
      <c r="AE735" s="7"/>
      <c r="AF735" s="7">
        <v>727</v>
      </c>
      <c r="AG735" s="7">
        <f>$AW$7*EXP(-'3.r(t)'!D733*$AW$21)</f>
        <v>0.86718755429225491</v>
      </c>
      <c r="AH735" s="7">
        <f ca="1">$AW$8*EXP(-'3.r(t)'!E733*$AW$22)</f>
        <v>0.90560245530136996</v>
      </c>
      <c r="AI735" s="7">
        <f ca="1">$AW$9*EXP(-'3.r(t)'!F733*$AW$23)</f>
        <v>0.92476578647902896</v>
      </c>
      <c r="AJ735" s="7">
        <f ca="1">$AW$10*EXP(-'3.r(t)'!G733*$AW$24)</f>
        <v>0.93251020390013795</v>
      </c>
      <c r="AK735" s="7">
        <f ca="1">$AW$11*EXP(-'3.r(t)'!H733*$AW$25)</f>
        <v>0.95240071435069074</v>
      </c>
      <c r="AL735" s="7">
        <f ca="1">$AW$12*EXP(-'3.r(t)'!I733*$AW$26)</f>
        <v>0.97502071221813158</v>
      </c>
      <c r="AM735" s="7">
        <v>1</v>
      </c>
      <c r="AN735" s="7"/>
    </row>
    <row r="736" spans="2:40">
      <c r="B736" s="7">
        <v>728</v>
      </c>
      <c r="C736" s="7">
        <f>$AR$7*EXP(-'3.r(t)'!D734*$AR$21)</f>
        <v>0.97765346695821032</v>
      </c>
      <c r="D736" s="7">
        <v>1</v>
      </c>
      <c r="E736" s="7"/>
      <c r="F736" s="7">
        <v>728</v>
      </c>
      <c r="G736" s="48">
        <f>$AS$7*EXP(-'3.r(t)'!D734*$AS$21)</f>
        <v>0.9553476245219803</v>
      </c>
      <c r="H736" s="7">
        <f ca="1">$AS$8*EXP(-'3.r(t)'!E734*$AS$22)</f>
        <v>0.97667030895594265</v>
      </c>
      <c r="I736" s="7">
        <v>1</v>
      </c>
      <c r="J736" s="7"/>
      <c r="K736" s="7">
        <v>728</v>
      </c>
      <c r="L736" s="7">
        <f>$AT$7*EXP(-'3.r(t)'!D734*$AT$21)</f>
        <v>0.93311670519824419</v>
      </c>
      <c r="M736" s="7">
        <f ca="1">$AT$8*EXP(-'3.r(t)'!E734*$AT$22)</f>
        <v>0.95343559922110044</v>
      </c>
      <c r="N736" s="7">
        <f ca="1">$AT$9*EXP(-'3.r(t)'!F734*$AT$23)</f>
        <v>0.97852659205678993</v>
      </c>
      <c r="O736" s="7">
        <v>1</v>
      </c>
      <c r="P736" s="7"/>
      <c r="Q736" s="7">
        <v>728</v>
      </c>
      <c r="R736" s="7">
        <f>$AU$7*EXP(-'3.r(t)'!D734*$AU$21)</f>
        <v>0.91099305977534117</v>
      </c>
      <c r="S736" s="7">
        <f ca="1">$AU$8*EXP(-'3.r(t)'!E734*$AU$22)</f>
        <v>0.93032919344753684</v>
      </c>
      <c r="T736" s="7">
        <f ca="1">$AU$9*EXP(-'3.r(t)'!F734*$AU$23)</f>
        <v>0.95707178266379545</v>
      </c>
      <c r="U736" s="7">
        <f ca="1">$AU$10*EXP(-'3.r(t)'!G734*$AU$24)</f>
        <v>0.97674300972748973</v>
      </c>
      <c r="V736" s="7">
        <v>1</v>
      </c>
      <c r="W736" s="7"/>
      <c r="X736" s="7">
        <v>728</v>
      </c>
      <c r="Y736" s="7">
        <f>$AV$7*EXP(-'3.r(t)'!D734*$AV$21)</f>
        <v>0.88900715067201674</v>
      </c>
      <c r="Z736" s="7">
        <f ca="1">$AV$8*EXP(-'3.r(t)'!E734*$AV$22)</f>
        <v>0.90738241148604226</v>
      </c>
      <c r="AA736" s="7">
        <f ca="1">$AV$9*EXP(-'3.r(t)'!F734*$AV$23)</f>
        <v>0.93566881195384055</v>
      </c>
      <c r="AB736" s="7">
        <f ca="1">$AV$10*EXP(-'3.r(t)'!G734*$AV$24)</f>
        <v>0.95359447313730061</v>
      </c>
      <c r="AC736" s="7">
        <f ca="1">$AV$11*EXP(-'3.r(t)'!H734*$AV$25)</f>
        <v>0.97540544204243462</v>
      </c>
      <c r="AD736" s="7">
        <v>1</v>
      </c>
      <c r="AE736" s="7"/>
      <c r="AF736" s="7">
        <v>728</v>
      </c>
      <c r="AG736" s="7">
        <f>$AW$7*EXP(-'3.r(t)'!D734*$AW$21)</f>
        <v>0.86718755429225491</v>
      </c>
      <c r="AH736" s="7">
        <f ca="1">$AW$8*EXP(-'3.r(t)'!E734*$AW$22)</f>
        <v>0.88462457616554269</v>
      </c>
      <c r="AI736" s="7">
        <f ca="1">$AW$9*EXP(-'3.r(t)'!F734*$AW$23)</f>
        <v>0.91434916244984099</v>
      </c>
      <c r="AJ736" s="7">
        <f ca="1">$AW$10*EXP(-'3.r(t)'!G734*$AW$24)</f>
        <v>0.93058651510716728</v>
      </c>
      <c r="AK736" s="7">
        <f ca="1">$AW$11*EXP(-'3.r(t)'!H734*$AW$25)</f>
        <v>0.95099296602996153</v>
      </c>
      <c r="AL736" s="7">
        <f ca="1">$AW$12*EXP(-'3.r(t)'!I734*$AW$26)</f>
        <v>0.9704847936901343</v>
      </c>
      <c r="AM736" s="7">
        <v>1</v>
      </c>
      <c r="AN736" s="7"/>
    </row>
    <row r="737" spans="2:40">
      <c r="B737" s="7">
        <v>729</v>
      </c>
      <c r="C737" s="7">
        <f>$AR$7*EXP(-'3.r(t)'!D735*$AR$21)</f>
        <v>0.97765346695821032</v>
      </c>
      <c r="D737" s="7">
        <v>1</v>
      </c>
      <c r="E737" s="7"/>
      <c r="F737" s="7">
        <v>729</v>
      </c>
      <c r="G737" s="48">
        <f>$AS$7*EXP(-'3.r(t)'!D735*$AS$21)</f>
        <v>0.9553476245219803</v>
      </c>
      <c r="H737" s="7">
        <f ca="1">$AS$8*EXP(-'3.r(t)'!E735*$AS$22)</f>
        <v>0.97394794387326167</v>
      </c>
      <c r="I737" s="7">
        <v>1</v>
      </c>
      <c r="J737" s="7"/>
      <c r="K737" s="7">
        <v>729</v>
      </c>
      <c r="L737" s="7">
        <f>$AT$7*EXP(-'3.r(t)'!D735*$AT$21)</f>
        <v>0.93311670519824419</v>
      </c>
      <c r="M737" s="7">
        <f ca="1">$AT$8*EXP(-'3.r(t)'!E735*$AT$22)</f>
        <v>0.94812780542345909</v>
      </c>
      <c r="N737" s="7">
        <f ca="1">$AT$9*EXP(-'3.r(t)'!F735*$AT$23)</f>
        <v>0.97112516480536892</v>
      </c>
      <c r="O737" s="7">
        <v>1</v>
      </c>
      <c r="P737" s="7"/>
      <c r="Q737" s="7">
        <v>729</v>
      </c>
      <c r="R737" s="7">
        <f>$AU$7*EXP(-'3.r(t)'!D735*$AU$21)</f>
        <v>0.91099305977534117</v>
      </c>
      <c r="S737" s="7">
        <f ca="1">$AU$8*EXP(-'3.r(t)'!E735*$AU$22)</f>
        <v>0.92257127567330355</v>
      </c>
      <c r="T737" s="7">
        <f ca="1">$AU$9*EXP(-'3.r(t)'!F735*$AU$23)</f>
        <v>0.94264824584088369</v>
      </c>
      <c r="U737" s="7">
        <f ca="1">$AU$10*EXP(-'3.r(t)'!G735*$AU$24)</f>
        <v>0.96982654041967653</v>
      </c>
      <c r="V737" s="7">
        <v>1</v>
      </c>
      <c r="W737" s="7"/>
      <c r="X737" s="7">
        <v>729</v>
      </c>
      <c r="Y737" s="7">
        <f>$AV$7*EXP(-'3.r(t)'!D735*$AV$21)</f>
        <v>0.88900715067201674</v>
      </c>
      <c r="Z737" s="7">
        <f ca="1">$AV$8*EXP(-'3.r(t)'!E735*$AV$22)</f>
        <v>0.89730770312500152</v>
      </c>
      <c r="AA737" s="7">
        <f ca="1">$AV$9*EXP(-'3.r(t)'!F735*$AV$23)</f>
        <v>0.91459722852871217</v>
      </c>
      <c r="AB737" s="7">
        <f ca="1">$AV$10*EXP(-'3.r(t)'!G735*$AV$24)</f>
        <v>0.94013718716848449</v>
      </c>
      <c r="AC737" s="7">
        <f ca="1">$AV$11*EXP(-'3.r(t)'!H735*$AV$25)</f>
        <v>0.96924401857220566</v>
      </c>
      <c r="AD737" s="7">
        <v>1</v>
      </c>
      <c r="AE737" s="7"/>
      <c r="AF737" s="7">
        <v>729</v>
      </c>
      <c r="AG737" s="7">
        <f>$AW$7*EXP(-'3.r(t)'!D735*$AW$21)</f>
        <v>0.86718755429225491</v>
      </c>
      <c r="AH737" s="7">
        <f ca="1">$AW$8*EXP(-'3.r(t)'!E735*$AW$22)</f>
        <v>0.87236412960241727</v>
      </c>
      <c r="AI737" s="7">
        <f ca="1">$AW$9*EXP(-'3.r(t)'!F735*$AW$23)</f>
        <v>0.88699745666310092</v>
      </c>
      <c r="AJ737" s="7">
        <f ca="1">$AW$10*EXP(-'3.r(t)'!G735*$AW$24)</f>
        <v>0.91095728727803316</v>
      </c>
      <c r="AK737" s="7">
        <f ca="1">$AW$11*EXP(-'3.r(t)'!H735*$AW$25)</f>
        <v>0.93901648193247733</v>
      </c>
      <c r="AL737" s="7">
        <f ca="1">$AW$12*EXP(-'3.r(t)'!I735*$AW$26)</f>
        <v>0.96786399937709366</v>
      </c>
      <c r="AM737" s="7">
        <v>1</v>
      </c>
      <c r="AN737" s="7"/>
    </row>
    <row r="738" spans="2:40">
      <c r="B738" s="7">
        <v>730</v>
      </c>
      <c r="C738" s="7">
        <f>$AR$7*EXP(-'3.r(t)'!D736*$AR$21)</f>
        <v>0.97765346695821032</v>
      </c>
      <c r="D738" s="7">
        <v>1</v>
      </c>
      <c r="E738" s="7"/>
      <c r="F738" s="7">
        <v>730</v>
      </c>
      <c r="G738" s="48">
        <f>$AS$7*EXP(-'3.r(t)'!D736*$AS$21)</f>
        <v>0.9553476245219803</v>
      </c>
      <c r="H738" s="7">
        <f ca="1">$AS$8*EXP(-'3.r(t)'!E736*$AS$22)</f>
        <v>0.9766947861197155</v>
      </c>
      <c r="I738" s="7">
        <v>1</v>
      </c>
      <c r="J738" s="7"/>
      <c r="K738" s="7">
        <v>730</v>
      </c>
      <c r="L738" s="7">
        <f>$AT$7*EXP(-'3.r(t)'!D736*$AT$21)</f>
        <v>0.93311670519824419</v>
      </c>
      <c r="M738" s="7">
        <f ca="1">$AT$8*EXP(-'3.r(t)'!E736*$AT$22)</f>
        <v>0.95348338953792311</v>
      </c>
      <c r="N738" s="7">
        <f ca="1">$AT$9*EXP(-'3.r(t)'!F736*$AT$23)</f>
        <v>0.97214439093989191</v>
      </c>
      <c r="O738" s="7">
        <v>1</v>
      </c>
      <c r="P738" s="7"/>
      <c r="Q738" s="7">
        <v>730</v>
      </c>
      <c r="R738" s="7">
        <f>$AU$7*EXP(-'3.r(t)'!D736*$AU$21)</f>
        <v>0.91099305977534117</v>
      </c>
      <c r="S738" s="7">
        <f ca="1">$AU$8*EXP(-'3.r(t)'!E736*$AU$22)</f>
        <v>0.93039914250976541</v>
      </c>
      <c r="T738" s="7">
        <f ca="1">$AU$9*EXP(-'3.r(t)'!F736*$AU$23)</f>
        <v>0.94462796162336105</v>
      </c>
      <c r="U738" s="7">
        <f ca="1">$AU$10*EXP(-'3.r(t)'!G736*$AU$24)</f>
        <v>0.96964765932827846</v>
      </c>
      <c r="V738" s="7">
        <v>1</v>
      </c>
      <c r="W738" s="7"/>
      <c r="X738" s="7">
        <v>730</v>
      </c>
      <c r="Y738" s="7">
        <f>$AV$7*EXP(-'3.r(t)'!D736*$AV$21)</f>
        <v>0.88900715067201674</v>
      </c>
      <c r="Z738" s="7">
        <f ca="1">$AV$8*EXP(-'3.r(t)'!E736*$AV$22)</f>
        <v>0.90747337762944547</v>
      </c>
      <c r="AA738" s="7">
        <f ca="1">$AV$9*EXP(-'3.r(t)'!F736*$AV$23)</f>
        <v>0.91747994682519551</v>
      </c>
      <c r="AB738" s="7">
        <f ca="1">$AV$10*EXP(-'3.r(t)'!G736*$AV$24)</f>
        <v>0.93979040916301859</v>
      </c>
      <c r="AC738" s="7">
        <f ca="1">$AV$11*EXP(-'3.r(t)'!H736*$AV$25)</f>
        <v>0.96922103346110511</v>
      </c>
      <c r="AD738" s="7">
        <v>1</v>
      </c>
      <c r="AE738" s="7"/>
      <c r="AF738" s="7">
        <v>730</v>
      </c>
      <c r="AG738" s="7">
        <f>$AW$7*EXP(-'3.r(t)'!D736*$AW$21)</f>
        <v>0.86718755429225491</v>
      </c>
      <c r="AH738" s="7">
        <f ca="1">$AW$8*EXP(-'3.r(t)'!E736*$AW$22)</f>
        <v>0.88473543335957427</v>
      </c>
      <c r="AI738" s="7">
        <f ca="1">$AW$9*EXP(-'3.r(t)'!F736*$AW$23)</f>
        <v>0.89072704894444066</v>
      </c>
      <c r="AJ738" s="7">
        <f ca="1">$AW$10*EXP(-'3.r(t)'!G736*$AW$24)</f>
        <v>0.91045331165133181</v>
      </c>
      <c r="AK738" s="7">
        <f ca="1">$AW$11*EXP(-'3.r(t)'!H736*$AW$25)</f>
        <v>0.93897194589855948</v>
      </c>
      <c r="AL738" s="7">
        <f ca="1">$AW$12*EXP(-'3.r(t)'!I736*$AW$26)</f>
        <v>0.97102473502404674</v>
      </c>
      <c r="AM738" s="7">
        <v>1</v>
      </c>
      <c r="AN738" s="7"/>
    </row>
    <row r="739" spans="2:40">
      <c r="B739" s="7">
        <v>731</v>
      </c>
      <c r="C739" s="7">
        <f>$AR$7*EXP(-'3.r(t)'!D737*$AR$21)</f>
        <v>0.97765346695821032</v>
      </c>
      <c r="D739" s="7">
        <v>1</v>
      </c>
      <c r="E739" s="7"/>
      <c r="F739" s="7">
        <v>731</v>
      </c>
      <c r="G739" s="48">
        <f>$AS$7*EXP(-'3.r(t)'!D737*$AS$21)</f>
        <v>0.9553476245219803</v>
      </c>
      <c r="H739" s="7">
        <f ca="1">$AS$8*EXP(-'3.r(t)'!E737*$AS$22)</f>
        <v>0.97631243651410426</v>
      </c>
      <c r="I739" s="7">
        <v>1</v>
      </c>
      <c r="J739" s="7"/>
      <c r="K739" s="7">
        <v>731</v>
      </c>
      <c r="L739" s="7">
        <f>$AT$7*EXP(-'3.r(t)'!D737*$AT$21)</f>
        <v>0.93311670519824419</v>
      </c>
      <c r="M739" s="7">
        <f ca="1">$AT$8*EXP(-'3.r(t)'!E737*$AT$22)</f>
        <v>0.95273700971763198</v>
      </c>
      <c r="N739" s="7">
        <f ca="1">$AT$9*EXP(-'3.r(t)'!F737*$AT$23)</f>
        <v>0.97908942411934896</v>
      </c>
      <c r="O739" s="7">
        <v>1</v>
      </c>
      <c r="P739" s="7"/>
      <c r="Q739" s="7">
        <v>731</v>
      </c>
      <c r="R739" s="7">
        <f>$AU$7*EXP(-'3.r(t)'!D737*$AU$21)</f>
        <v>0.91099305977534117</v>
      </c>
      <c r="S739" s="7">
        <f ca="1">$AU$8*EXP(-'3.r(t)'!E737*$AU$22)</f>
        <v>0.92930689187001081</v>
      </c>
      <c r="T739" s="7">
        <f ca="1">$AU$9*EXP(-'3.r(t)'!F737*$AU$23)</f>
        <v>0.95817308253033673</v>
      </c>
      <c r="U739" s="7">
        <f ca="1">$AU$10*EXP(-'3.r(t)'!G737*$AU$24)</f>
        <v>0.97496198011650559</v>
      </c>
      <c r="V739" s="7">
        <v>1</v>
      </c>
      <c r="W739" s="7"/>
      <c r="X739" s="7">
        <v>731</v>
      </c>
      <c r="Y739" s="7">
        <f>$AV$7*EXP(-'3.r(t)'!D737*$AV$21)</f>
        <v>0.88900715067201674</v>
      </c>
      <c r="Z739" s="7">
        <f ca="1">$AV$8*EXP(-'3.r(t)'!E737*$AV$22)</f>
        <v>0.90605320665752287</v>
      </c>
      <c r="AA739" s="7">
        <f ca="1">$AV$9*EXP(-'3.r(t)'!F737*$AV$23)</f>
        <v>0.93728428375145512</v>
      </c>
      <c r="AB739" s="7">
        <f ca="1">$AV$10*EXP(-'3.r(t)'!G737*$AV$24)</f>
        <v>0.95012000435290878</v>
      </c>
      <c r="AC739" s="7">
        <f ca="1">$AV$11*EXP(-'3.r(t)'!H737*$AV$25)</f>
        <v>0.97574570953618189</v>
      </c>
      <c r="AD739" s="7">
        <v>1</v>
      </c>
      <c r="AE739" s="7"/>
      <c r="AF739" s="7">
        <v>731</v>
      </c>
      <c r="AG739" s="7">
        <f>$AW$7*EXP(-'3.r(t)'!D737*$AW$21)</f>
        <v>0.86718755429225491</v>
      </c>
      <c r="AH739" s="7">
        <f ca="1">$AW$8*EXP(-'3.r(t)'!E737*$AW$22)</f>
        <v>0.88300503867074165</v>
      </c>
      <c r="AI739" s="7">
        <f ca="1">$AW$9*EXP(-'3.r(t)'!F737*$AW$23)</f>
        <v>0.91645465127342718</v>
      </c>
      <c r="AJ739" s="7">
        <f ca="1">$AW$10*EXP(-'3.r(t)'!G737*$AW$24)</f>
        <v>0.92550519343733428</v>
      </c>
      <c r="AK739" s="7">
        <f ca="1">$AW$11*EXP(-'3.r(t)'!H737*$AW$25)</f>
        <v>0.95165658429834221</v>
      </c>
      <c r="AL739" s="7">
        <f ca="1">$AW$12*EXP(-'3.r(t)'!I737*$AW$26)</f>
        <v>0.97119706574995213</v>
      </c>
      <c r="AM739" s="7">
        <v>1</v>
      </c>
      <c r="AN739" s="7"/>
    </row>
    <row r="740" spans="2:40">
      <c r="B740" s="7">
        <v>732</v>
      </c>
      <c r="C740" s="7">
        <f>$AR$7*EXP(-'3.r(t)'!D738*$AR$21)</f>
        <v>0.97765346695821032</v>
      </c>
      <c r="D740" s="7">
        <v>1</v>
      </c>
      <c r="E740" s="7"/>
      <c r="F740" s="7">
        <v>732</v>
      </c>
      <c r="G740" s="48">
        <f>$AS$7*EXP(-'3.r(t)'!D738*$AS$21)</f>
        <v>0.9553476245219803</v>
      </c>
      <c r="H740" s="7">
        <f ca="1">$AS$8*EXP(-'3.r(t)'!E738*$AS$22)</f>
        <v>0.97870997256526371</v>
      </c>
      <c r="I740" s="7">
        <v>1</v>
      </c>
      <c r="J740" s="7"/>
      <c r="K740" s="7">
        <v>732</v>
      </c>
      <c r="L740" s="7">
        <f>$AT$7*EXP(-'3.r(t)'!D738*$AT$21)</f>
        <v>0.93311670519824419</v>
      </c>
      <c r="M740" s="7">
        <f ca="1">$AT$8*EXP(-'3.r(t)'!E738*$AT$22)</f>
        <v>0.95742203866993569</v>
      </c>
      <c r="N740" s="7">
        <f ca="1">$AT$9*EXP(-'3.r(t)'!F738*$AT$23)</f>
        <v>0.97814872121364516</v>
      </c>
      <c r="O740" s="7">
        <v>1</v>
      </c>
      <c r="P740" s="7"/>
      <c r="Q740" s="7">
        <v>732</v>
      </c>
      <c r="R740" s="7">
        <f>$AU$7*EXP(-'3.r(t)'!D738*$AU$21)</f>
        <v>0.91099305977534117</v>
      </c>
      <c r="S740" s="7">
        <f ca="1">$AU$8*EXP(-'3.r(t)'!E738*$AU$22)</f>
        <v>0.93617003095838947</v>
      </c>
      <c r="T740" s="7">
        <f ca="1">$AU$9*EXP(-'3.r(t)'!F738*$AU$23)</f>
        <v>0.95633275380846583</v>
      </c>
      <c r="U740" s="7">
        <f ca="1">$AU$10*EXP(-'3.r(t)'!G738*$AU$24)</f>
        <v>0.97766960428772076</v>
      </c>
      <c r="V740" s="7">
        <v>1</v>
      </c>
      <c r="W740" s="7"/>
      <c r="X740" s="7">
        <v>732</v>
      </c>
      <c r="Y740" s="7">
        <f>$AV$7*EXP(-'3.r(t)'!D738*$AV$21)</f>
        <v>0.88900715067201674</v>
      </c>
      <c r="Z740" s="7">
        <f ca="1">$AV$8*EXP(-'3.r(t)'!E738*$AV$22)</f>
        <v>0.91498604426364905</v>
      </c>
      <c r="AA740" s="7">
        <f ca="1">$AV$9*EXP(-'3.r(t)'!F738*$AV$23)</f>
        <v>0.93458526823389232</v>
      </c>
      <c r="AB740" s="7">
        <f ca="1">$AV$10*EXP(-'3.r(t)'!G738*$AV$24)</f>
        <v>0.95540460038139186</v>
      </c>
      <c r="AC740" s="7">
        <f ca="1">$AV$11*EXP(-'3.r(t)'!H738*$AV$25)</f>
        <v>0.97572166701539087</v>
      </c>
      <c r="AD740" s="7">
        <v>1</v>
      </c>
      <c r="AE740" s="7"/>
      <c r="AF740" s="7">
        <v>732</v>
      </c>
      <c r="AG740" s="7">
        <f>$AW$7*EXP(-'3.r(t)'!D738*$AW$21)</f>
        <v>0.86718755429225491</v>
      </c>
      <c r="AH740" s="7">
        <f ca="1">$AW$8*EXP(-'3.r(t)'!E738*$AW$22)</f>
        <v>0.89390042182799823</v>
      </c>
      <c r="AI740" s="7">
        <f ca="1">$AW$9*EXP(-'3.r(t)'!F738*$AW$23)</f>
        <v>0.91293762877937523</v>
      </c>
      <c r="AJ740" s="7">
        <f ca="1">$AW$10*EXP(-'3.r(t)'!G738*$AW$24)</f>
        <v>0.93323745191783314</v>
      </c>
      <c r="AK740" s="7">
        <f ca="1">$AW$11*EXP(-'3.r(t)'!H738*$AW$25)</f>
        <v>0.95160968695387194</v>
      </c>
      <c r="AL740" s="7">
        <f ca="1">$AW$12*EXP(-'3.r(t)'!I738*$AW$26)</f>
        <v>0.97340562573608547</v>
      </c>
      <c r="AM740" s="7">
        <v>1</v>
      </c>
      <c r="AN740" s="7"/>
    </row>
    <row r="741" spans="2:40">
      <c r="B741" s="7">
        <v>733</v>
      </c>
      <c r="C741" s="7">
        <f>$AR$7*EXP(-'3.r(t)'!D739*$AR$21)</f>
        <v>0.97765346695821032</v>
      </c>
      <c r="D741" s="7">
        <v>1</v>
      </c>
      <c r="E741" s="7"/>
      <c r="F741" s="7">
        <v>733</v>
      </c>
      <c r="G741" s="48">
        <f>$AS$7*EXP(-'3.r(t)'!D739*$AS$21)</f>
        <v>0.9553476245219803</v>
      </c>
      <c r="H741" s="7">
        <f ca="1">$AS$8*EXP(-'3.r(t)'!E739*$AS$22)</f>
        <v>0.97918282670007861</v>
      </c>
      <c r="I741" s="7">
        <v>1</v>
      </c>
      <c r="J741" s="7"/>
      <c r="K741" s="7">
        <v>733</v>
      </c>
      <c r="L741" s="7">
        <f>$AT$7*EXP(-'3.r(t)'!D739*$AT$21)</f>
        <v>0.93311670519824419</v>
      </c>
      <c r="M741" s="7">
        <f ca="1">$AT$8*EXP(-'3.r(t)'!E739*$AT$22)</f>
        <v>0.95834740031187715</v>
      </c>
      <c r="N741" s="7">
        <f ca="1">$AT$9*EXP(-'3.r(t)'!F739*$AT$23)</f>
        <v>0.98379477241708468</v>
      </c>
      <c r="O741" s="7">
        <v>1</v>
      </c>
      <c r="P741" s="7"/>
      <c r="Q741" s="7">
        <v>733</v>
      </c>
      <c r="R741" s="7">
        <f>$AU$7*EXP(-'3.r(t)'!D739*$AU$21)</f>
        <v>0.91099305977534117</v>
      </c>
      <c r="S741" s="7">
        <f ca="1">$AU$8*EXP(-'3.r(t)'!E739*$AU$22)</f>
        <v>0.93752759077528303</v>
      </c>
      <c r="T741" s="7">
        <f ca="1">$AU$9*EXP(-'3.r(t)'!F739*$AU$23)</f>
        <v>0.96740486796389191</v>
      </c>
      <c r="U741" s="7">
        <f ca="1">$AU$10*EXP(-'3.r(t)'!G739*$AU$24)</f>
        <v>0.97903516285688752</v>
      </c>
      <c r="V741" s="7">
        <v>1</v>
      </c>
      <c r="W741" s="7"/>
      <c r="X741" s="7">
        <v>733</v>
      </c>
      <c r="Y741" s="7">
        <f>$AV$7*EXP(-'3.r(t)'!D739*$AV$21)</f>
        <v>0.88900715067201674</v>
      </c>
      <c r="Z741" s="7">
        <f ca="1">$AV$8*EXP(-'3.r(t)'!E739*$AV$22)</f>
        <v>0.91675559232981174</v>
      </c>
      <c r="AA741" s="7">
        <f ca="1">$AV$9*EXP(-'3.r(t)'!F739*$AV$23)</f>
        <v>0.95086264894309269</v>
      </c>
      <c r="AB741" s="7">
        <f ca="1">$AV$10*EXP(-'3.r(t)'!G739*$AV$24)</f>
        <v>0.95807538420235094</v>
      </c>
      <c r="AC741" s="7">
        <f ca="1">$AV$11*EXP(-'3.r(t)'!H739*$AV$25)</f>
        <v>0.98062319872255577</v>
      </c>
      <c r="AD741" s="7">
        <v>1</v>
      </c>
      <c r="AE741" s="7"/>
      <c r="AF741" s="7">
        <v>733</v>
      </c>
      <c r="AG741" s="7">
        <f>$AW$7*EXP(-'3.r(t)'!D739*$AW$21)</f>
        <v>0.86718755429225491</v>
      </c>
      <c r="AH741" s="7">
        <f ca="1">$AW$8*EXP(-'3.r(t)'!E739*$AW$22)</f>
        <v>0.89606190557482912</v>
      </c>
      <c r="AI741" s="7">
        <f ca="1">$AW$9*EXP(-'3.r(t)'!F739*$AW$23)</f>
        <v>0.93419939997937829</v>
      </c>
      <c r="AJ741" s="7">
        <f ca="1">$AW$10*EXP(-'3.r(t)'!G739*$AW$24)</f>
        <v>0.93715341051644985</v>
      </c>
      <c r="AK741" s="7">
        <f ca="1">$AW$11*EXP(-'3.r(t)'!H739*$AW$25)</f>
        <v>0.96119451194170225</v>
      </c>
      <c r="AL741" s="7">
        <f ca="1">$AW$12*EXP(-'3.r(t)'!I739*$AW$26)</f>
        <v>0.97928017699647696</v>
      </c>
      <c r="AM741" s="7">
        <v>1</v>
      </c>
      <c r="AN741" s="7"/>
    </row>
    <row r="742" spans="2:40">
      <c r="B742" s="7">
        <v>734</v>
      </c>
      <c r="C742" s="7">
        <f>$AR$7*EXP(-'3.r(t)'!D740*$AR$21)</f>
        <v>0.97765346695821032</v>
      </c>
      <c r="D742" s="7">
        <v>1</v>
      </c>
      <c r="E742" s="7"/>
      <c r="F742" s="7">
        <v>734</v>
      </c>
      <c r="G742" s="48">
        <f>$AS$7*EXP(-'3.r(t)'!D740*$AS$21)</f>
        <v>0.9553476245219803</v>
      </c>
      <c r="H742" s="7">
        <f ca="1">$AS$8*EXP(-'3.r(t)'!E740*$AS$22)</f>
        <v>0.97579523804813484</v>
      </c>
      <c r="I742" s="7">
        <v>1</v>
      </c>
      <c r="J742" s="7"/>
      <c r="K742" s="7">
        <v>734</v>
      </c>
      <c r="L742" s="7">
        <f>$AT$7*EXP(-'3.r(t)'!D740*$AT$21)</f>
        <v>0.93311670519824419</v>
      </c>
      <c r="M742" s="7">
        <f ca="1">$AT$8*EXP(-'3.r(t)'!E740*$AT$22)</f>
        <v>0.95172785817147609</v>
      </c>
      <c r="N742" s="7">
        <f ca="1">$AT$9*EXP(-'3.r(t)'!F740*$AT$23)</f>
        <v>0.97764303941821329</v>
      </c>
      <c r="O742" s="7">
        <v>1</v>
      </c>
      <c r="P742" s="7"/>
      <c r="Q742" s="7">
        <v>734</v>
      </c>
      <c r="R742" s="7">
        <f>$AU$7*EXP(-'3.r(t)'!D740*$AU$21)</f>
        <v>0.91099305977534117</v>
      </c>
      <c r="S742" s="7">
        <f ca="1">$AU$8*EXP(-'3.r(t)'!E740*$AU$22)</f>
        <v>0.92783078183470524</v>
      </c>
      <c r="T742" s="7">
        <f ca="1">$AU$9*EXP(-'3.r(t)'!F740*$AU$23)</f>
        <v>0.95534420258289332</v>
      </c>
      <c r="U742" s="7">
        <f ca="1">$AU$10*EXP(-'3.r(t)'!G740*$AU$24)</f>
        <v>0.98104158683217246</v>
      </c>
      <c r="V742" s="7">
        <v>1</v>
      </c>
      <c r="W742" s="7"/>
      <c r="X742" s="7">
        <v>734</v>
      </c>
      <c r="Y742" s="7">
        <f>$AV$7*EXP(-'3.r(t)'!D740*$AV$21)</f>
        <v>0.88900715067201674</v>
      </c>
      <c r="Z742" s="7">
        <f ca="1">$AV$8*EXP(-'3.r(t)'!E740*$AV$22)</f>
        <v>0.9041348162896311</v>
      </c>
      <c r="AA742" s="7">
        <f ca="1">$AV$9*EXP(-'3.r(t)'!F740*$AV$23)</f>
        <v>0.93313653616631254</v>
      </c>
      <c r="AB742" s="7">
        <f ca="1">$AV$10*EXP(-'3.r(t)'!G740*$AV$24)</f>
        <v>0.96200634658219319</v>
      </c>
      <c r="AC742" s="7">
        <f ca="1">$AV$11*EXP(-'3.r(t)'!H740*$AV$25)</f>
        <v>0.97858956105346984</v>
      </c>
      <c r="AD742" s="7">
        <v>1</v>
      </c>
      <c r="AE742" s="7"/>
      <c r="AF742" s="7">
        <v>734</v>
      </c>
      <c r="AG742" s="7">
        <f>$AW$7*EXP(-'3.r(t)'!D740*$AW$21)</f>
        <v>0.86718755429225491</v>
      </c>
      <c r="AH742" s="7">
        <f ca="1">$AW$8*EXP(-'3.r(t)'!E740*$AW$22)</f>
        <v>0.88066866953495415</v>
      </c>
      <c r="AI742" s="7">
        <f ca="1">$AW$9*EXP(-'3.r(t)'!F740*$AW$23)</f>
        <v>0.91105121599426142</v>
      </c>
      <c r="AJ742" s="7">
        <f ca="1">$AW$10*EXP(-'3.r(t)'!G740*$AW$24)</f>
        <v>0.94292700261127604</v>
      </c>
      <c r="AK742" s="7">
        <f ca="1">$AW$11*EXP(-'3.r(t)'!H740*$AW$25)</f>
        <v>0.9572119537122965</v>
      </c>
      <c r="AL742" s="7">
        <f ca="1">$AW$12*EXP(-'3.r(t)'!I740*$AW$26)</f>
        <v>0.9820579956322566</v>
      </c>
      <c r="AM742" s="7">
        <v>1</v>
      </c>
      <c r="AN742" s="7"/>
    </row>
    <row r="743" spans="2:40">
      <c r="B743" s="7">
        <v>735</v>
      </c>
      <c r="C743" s="7">
        <f>$AR$7*EXP(-'3.r(t)'!D741*$AR$21)</f>
        <v>0.97765346695821032</v>
      </c>
      <c r="D743" s="7">
        <v>1</v>
      </c>
      <c r="E743" s="7"/>
      <c r="F743" s="7">
        <v>735</v>
      </c>
      <c r="G743" s="48">
        <f>$AS$7*EXP(-'3.r(t)'!D741*$AS$21)</f>
        <v>0.9553476245219803</v>
      </c>
      <c r="H743" s="7">
        <f ca="1">$AS$8*EXP(-'3.r(t)'!E741*$AS$22)</f>
        <v>0.97738063452977297</v>
      </c>
      <c r="I743" s="7">
        <v>1</v>
      </c>
      <c r="J743" s="7"/>
      <c r="K743" s="7">
        <v>735</v>
      </c>
      <c r="L743" s="7">
        <f>$AT$7*EXP(-'3.r(t)'!D741*$AT$21)</f>
        <v>0.93311670519824419</v>
      </c>
      <c r="M743" s="7">
        <f ca="1">$AT$8*EXP(-'3.r(t)'!E741*$AT$22)</f>
        <v>0.95482295780552007</v>
      </c>
      <c r="N743" s="7">
        <f ca="1">$AT$9*EXP(-'3.r(t)'!F741*$AT$23)</f>
        <v>0.98310414718126371</v>
      </c>
      <c r="O743" s="7">
        <v>1</v>
      </c>
      <c r="P743" s="7"/>
      <c r="Q743" s="7">
        <v>735</v>
      </c>
      <c r="R743" s="7">
        <f>$AU$7*EXP(-'3.r(t)'!D741*$AU$21)</f>
        <v>0.91099305977534117</v>
      </c>
      <c r="S743" s="7">
        <f ca="1">$AU$8*EXP(-'3.r(t)'!E741*$AU$22)</f>
        <v>0.93236053611419978</v>
      </c>
      <c r="T743" s="7">
        <f ca="1">$AU$9*EXP(-'3.r(t)'!F741*$AU$23)</f>
        <v>0.96604710570439511</v>
      </c>
      <c r="U743" s="7">
        <f ca="1">$AU$10*EXP(-'3.r(t)'!G741*$AU$24)</f>
        <v>0.98236735258013452</v>
      </c>
      <c r="V743" s="7">
        <v>1</v>
      </c>
      <c r="W743" s="7"/>
      <c r="X743" s="7">
        <v>735</v>
      </c>
      <c r="Y743" s="7">
        <f>$AV$7*EXP(-'3.r(t)'!D741*$AV$21)</f>
        <v>0.88900715067201674</v>
      </c>
      <c r="Z743" s="7">
        <f ca="1">$AV$8*EXP(-'3.r(t)'!E741*$AV$22)</f>
        <v>0.9100250245278888</v>
      </c>
      <c r="AA743" s="7">
        <f ca="1">$AV$9*EXP(-'3.r(t)'!F741*$AV$23)</f>
        <v>0.94886153386189198</v>
      </c>
      <c r="AB743" s="7">
        <f ca="1">$AV$10*EXP(-'3.r(t)'!G741*$AV$24)</f>
        <v>0.96460818702645423</v>
      </c>
      <c r="AC743" s="7">
        <f ca="1">$AV$11*EXP(-'3.r(t)'!H741*$AV$25)</f>
        <v>0.98228603686223359</v>
      </c>
      <c r="AD743" s="7">
        <v>1</v>
      </c>
      <c r="AE743" s="7"/>
      <c r="AF743" s="7">
        <v>735</v>
      </c>
      <c r="AG743" s="7">
        <f>$AW$7*EXP(-'3.r(t)'!D741*$AW$21)</f>
        <v>0.86718755429225491</v>
      </c>
      <c r="AH743" s="7">
        <f ca="1">$AW$8*EXP(-'3.r(t)'!E741*$AW$22)</f>
        <v>0.887846165576889</v>
      </c>
      <c r="AI743" s="7">
        <f ca="1">$AW$9*EXP(-'3.r(t)'!F741*$AW$23)</f>
        <v>0.93157892408630028</v>
      </c>
      <c r="AJ743" s="7">
        <f ca="1">$AW$10*EXP(-'3.r(t)'!G741*$AW$24)</f>
        <v>0.94675494569324103</v>
      </c>
      <c r="AK743" s="7">
        <f ca="1">$AW$11*EXP(-'3.r(t)'!H741*$AW$25)</f>
        <v>0.96445706175760981</v>
      </c>
      <c r="AL743" s="7">
        <f ca="1">$AW$12*EXP(-'3.r(t)'!I741*$AW$26)</f>
        <v>0.9797900801120758</v>
      </c>
      <c r="AM743" s="7">
        <v>1</v>
      </c>
      <c r="AN743" s="7"/>
    </row>
    <row r="744" spans="2:40">
      <c r="B744" s="7">
        <v>736</v>
      </c>
      <c r="C744" s="7">
        <f>$AR$7*EXP(-'3.r(t)'!D742*$AR$21)</f>
        <v>0.97765346695821032</v>
      </c>
      <c r="D744" s="7">
        <v>1</v>
      </c>
      <c r="E744" s="7"/>
      <c r="F744" s="7">
        <v>736</v>
      </c>
      <c r="G744" s="48">
        <f>$AS$7*EXP(-'3.r(t)'!D742*$AS$21)</f>
        <v>0.9553476245219803</v>
      </c>
      <c r="H744" s="7">
        <f ca="1">$AS$8*EXP(-'3.r(t)'!E742*$AS$22)</f>
        <v>0.97798130396893812</v>
      </c>
      <c r="I744" s="7">
        <v>1</v>
      </c>
      <c r="J744" s="7"/>
      <c r="K744" s="7">
        <v>736</v>
      </c>
      <c r="L744" s="7">
        <f>$AT$7*EXP(-'3.r(t)'!D742*$AT$21)</f>
        <v>0.93311670519824419</v>
      </c>
      <c r="M744" s="7">
        <f ca="1">$AT$8*EXP(-'3.r(t)'!E742*$AT$22)</f>
        <v>0.95599693074617409</v>
      </c>
      <c r="N744" s="7">
        <f ca="1">$AT$9*EXP(-'3.r(t)'!F742*$AT$23)</f>
        <v>0.98154079135491767</v>
      </c>
      <c r="O744" s="7">
        <v>1</v>
      </c>
      <c r="P744" s="7"/>
      <c r="Q744" s="7">
        <v>736</v>
      </c>
      <c r="R744" s="7">
        <f>$AU$7*EXP(-'3.r(t)'!D742*$AU$21)</f>
        <v>0.91099305977534117</v>
      </c>
      <c r="S744" s="7">
        <f ca="1">$AU$8*EXP(-'3.r(t)'!E742*$AU$22)</f>
        <v>0.93408059700595369</v>
      </c>
      <c r="T744" s="7">
        <f ca="1">$AU$9*EXP(-'3.r(t)'!F742*$AU$23)</f>
        <v>0.96297708603766818</v>
      </c>
      <c r="U744" s="7">
        <f ca="1">$AU$10*EXP(-'3.r(t)'!G742*$AU$24)</f>
        <v>0.97760829560599072</v>
      </c>
      <c r="V744" s="7">
        <v>1</v>
      </c>
      <c r="W744" s="7"/>
      <c r="X744" s="7">
        <v>736</v>
      </c>
      <c r="Y744" s="7">
        <f>$AV$7*EXP(-'3.r(t)'!D742*$AV$21)</f>
        <v>0.88900715067201674</v>
      </c>
      <c r="Z744" s="7">
        <f ca="1">$AV$8*EXP(-'3.r(t)'!E742*$AV$22)</f>
        <v>0.91226418629174533</v>
      </c>
      <c r="AA744" s="7">
        <f ca="1">$AV$9*EXP(-'3.r(t)'!F742*$AV$23)</f>
        <v>0.94434202132397871</v>
      </c>
      <c r="AB744" s="7">
        <f ca="1">$AV$10*EXP(-'3.r(t)'!G742*$AV$24)</f>
        <v>0.95528477920717469</v>
      </c>
      <c r="AC744" s="7">
        <f ca="1">$AV$11*EXP(-'3.r(t)'!H742*$AV$25)</f>
        <v>0.97805376787436671</v>
      </c>
      <c r="AD744" s="7">
        <v>1</v>
      </c>
      <c r="AE744" s="7"/>
      <c r="AF744" s="7">
        <v>736</v>
      </c>
      <c r="AG744" s="7">
        <f>$AW$7*EXP(-'3.r(t)'!D742*$AW$21)</f>
        <v>0.86718755429225491</v>
      </c>
      <c r="AH744" s="7">
        <f ca="1">$AW$8*EXP(-'3.r(t)'!E742*$AW$22)</f>
        <v>0.890577741925071</v>
      </c>
      <c r="AI744" s="7">
        <f ca="1">$AW$9*EXP(-'3.r(t)'!F742*$AW$23)</f>
        <v>0.92566736712114606</v>
      </c>
      <c r="AJ744" s="7">
        <f ca="1">$AW$10*EXP(-'3.r(t)'!G742*$AW$24)</f>
        <v>0.9330618957693797</v>
      </c>
      <c r="AK744" s="7">
        <f ca="1">$AW$11*EXP(-'3.r(t)'!H742*$AW$25)</f>
        <v>0.95616406345347593</v>
      </c>
      <c r="AL744" s="7">
        <f ca="1">$AW$12*EXP(-'3.r(t)'!I742*$AW$26)</f>
        <v>0.97676427053837156</v>
      </c>
      <c r="AM744" s="7">
        <v>1</v>
      </c>
      <c r="AN744" s="7"/>
    </row>
    <row r="745" spans="2:40">
      <c r="B745" s="7">
        <v>737</v>
      </c>
      <c r="C745" s="7">
        <f>$AR$7*EXP(-'3.r(t)'!D743*$AR$21)</f>
        <v>0.97765346695821032</v>
      </c>
      <c r="D745" s="7">
        <v>1</v>
      </c>
      <c r="E745" s="7"/>
      <c r="F745" s="7">
        <v>737</v>
      </c>
      <c r="G745" s="48">
        <f>$AS$7*EXP(-'3.r(t)'!D743*$AS$21)</f>
        <v>0.9553476245219803</v>
      </c>
      <c r="H745" s="7">
        <f ca="1">$AS$8*EXP(-'3.r(t)'!E743*$AS$22)</f>
        <v>0.97280544032067351</v>
      </c>
      <c r="I745" s="7">
        <v>1</v>
      </c>
      <c r="J745" s="7"/>
      <c r="K745" s="7">
        <v>737</v>
      </c>
      <c r="L745" s="7">
        <f>$AT$7*EXP(-'3.r(t)'!D743*$AT$21)</f>
        <v>0.93311670519824419</v>
      </c>
      <c r="M745" s="7">
        <f ca="1">$AT$8*EXP(-'3.r(t)'!E743*$AT$22)</f>
        <v>0.94590468038254927</v>
      </c>
      <c r="N745" s="7">
        <f ca="1">$AT$9*EXP(-'3.r(t)'!F743*$AT$23)</f>
        <v>0.97229333672440177</v>
      </c>
      <c r="O745" s="7">
        <v>1</v>
      </c>
      <c r="P745" s="7"/>
      <c r="Q745" s="7">
        <v>737</v>
      </c>
      <c r="R745" s="7">
        <f>$AU$7*EXP(-'3.r(t)'!D743*$AU$21)</f>
        <v>0.91099305977534117</v>
      </c>
      <c r="S745" s="7">
        <f ca="1">$AU$8*EXP(-'3.r(t)'!E743*$AU$22)</f>
        <v>0.91932837652576516</v>
      </c>
      <c r="T745" s="7">
        <f ca="1">$AU$9*EXP(-'3.r(t)'!F743*$AU$23)</f>
        <v>0.94491744358217089</v>
      </c>
      <c r="U745" s="7">
        <f ca="1">$AU$10*EXP(-'3.r(t)'!G743*$AU$24)</f>
        <v>0.96878831488445816</v>
      </c>
      <c r="V745" s="7">
        <v>1</v>
      </c>
      <c r="W745" s="7"/>
      <c r="X745" s="7">
        <v>737</v>
      </c>
      <c r="Y745" s="7">
        <f>$AV$7*EXP(-'3.r(t)'!D743*$AV$21)</f>
        <v>0.88900715067201674</v>
      </c>
      <c r="Z745" s="7">
        <f ca="1">$AV$8*EXP(-'3.r(t)'!E743*$AV$22)</f>
        <v>0.89310470744285431</v>
      </c>
      <c r="AA745" s="7">
        <f ca="1">$AV$9*EXP(-'3.r(t)'!F743*$AV$23)</f>
        <v>0.91790172277793591</v>
      </c>
      <c r="AB745" s="7">
        <f ca="1">$AV$10*EXP(-'3.r(t)'!G743*$AV$24)</f>
        <v>0.93812538003260781</v>
      </c>
      <c r="AC745" s="7">
        <f ca="1">$AV$11*EXP(-'3.r(t)'!H743*$AV$25)</f>
        <v>0.96758965609852365</v>
      </c>
      <c r="AD745" s="7">
        <v>1</v>
      </c>
      <c r="AE745" s="7"/>
      <c r="AF745" s="7">
        <v>737</v>
      </c>
      <c r="AG745" s="7">
        <f>$AW$7*EXP(-'3.r(t)'!D743*$AW$21)</f>
        <v>0.86718755429225491</v>
      </c>
      <c r="AH745" s="7">
        <f ca="1">$AW$8*EXP(-'3.r(t)'!E743*$AW$22)</f>
        <v>0.86725942391703004</v>
      </c>
      <c r="AI745" s="7">
        <f ca="1">$AW$9*EXP(-'3.r(t)'!F743*$AW$23)</f>
        <v>0.89127306056053646</v>
      </c>
      <c r="AJ745" s="7">
        <f ca="1">$AW$10*EXP(-'3.r(t)'!G743*$AW$24)</f>
        <v>0.90803480488469301</v>
      </c>
      <c r="AK745" s="7">
        <f ca="1">$AW$11*EXP(-'3.r(t)'!H743*$AW$25)</f>
        <v>0.93581368094482953</v>
      </c>
      <c r="AL745" s="7">
        <f ca="1">$AW$12*EXP(-'3.r(t)'!I743*$AW$26)</f>
        <v>0.96843221649723654</v>
      </c>
      <c r="AM745" s="7">
        <v>1</v>
      </c>
      <c r="AN745" s="7"/>
    </row>
    <row r="746" spans="2:40">
      <c r="B746" s="7">
        <v>738</v>
      </c>
      <c r="C746" s="7">
        <f>$AR$7*EXP(-'3.r(t)'!D744*$AR$21)</f>
        <v>0.97765346695821032</v>
      </c>
      <c r="D746" s="7">
        <v>1</v>
      </c>
      <c r="E746" s="7"/>
      <c r="F746" s="7">
        <v>738</v>
      </c>
      <c r="G746" s="48">
        <f>$AS$7*EXP(-'3.r(t)'!D744*$AS$21)</f>
        <v>0.9553476245219803</v>
      </c>
      <c r="H746" s="7">
        <f ca="1">$AS$8*EXP(-'3.r(t)'!E744*$AS$22)</f>
        <v>0.98135013291712425</v>
      </c>
      <c r="I746" s="7">
        <v>1</v>
      </c>
      <c r="J746" s="7"/>
      <c r="K746" s="7">
        <v>738</v>
      </c>
      <c r="L746" s="7">
        <f>$AT$7*EXP(-'3.r(t)'!D744*$AT$21)</f>
        <v>0.93311670519824419</v>
      </c>
      <c r="M746" s="7">
        <f ca="1">$AT$8*EXP(-'3.r(t)'!E744*$AT$22)</f>
        <v>0.96259447420987632</v>
      </c>
      <c r="N746" s="7">
        <f ca="1">$AT$9*EXP(-'3.r(t)'!F744*$AT$23)</f>
        <v>0.98375611908604543</v>
      </c>
      <c r="O746" s="7">
        <v>1</v>
      </c>
      <c r="P746" s="7"/>
      <c r="Q746" s="7">
        <v>738</v>
      </c>
      <c r="R746" s="7">
        <f>$AU$7*EXP(-'3.r(t)'!D744*$AU$21)</f>
        <v>0.91099305977534117</v>
      </c>
      <c r="S746" s="7">
        <f ca="1">$AU$8*EXP(-'3.r(t)'!E744*$AU$22)</f>
        <v>0.94376670168978338</v>
      </c>
      <c r="T746" s="7">
        <f ca="1">$AU$9*EXP(-'3.r(t)'!F744*$AU$23)</f>
        <v>0.96732885071504193</v>
      </c>
      <c r="U746" s="7">
        <f ca="1">$AU$10*EXP(-'3.r(t)'!G744*$AU$24)</f>
        <v>0.98395301263840851</v>
      </c>
      <c r="V746" s="7">
        <v>1</v>
      </c>
      <c r="W746" s="7"/>
      <c r="X746" s="7">
        <v>738</v>
      </c>
      <c r="Y746" s="7">
        <f>$AV$7*EXP(-'3.r(t)'!D744*$AV$21)</f>
        <v>0.88900715067201674</v>
      </c>
      <c r="Z746" s="7">
        <f ca="1">$AV$8*EXP(-'3.r(t)'!E744*$AV$22)</f>
        <v>0.92489910302709233</v>
      </c>
      <c r="AA746" s="7">
        <f ca="1">$AV$9*EXP(-'3.r(t)'!F744*$AV$23)</f>
        <v>0.95075057506632821</v>
      </c>
      <c r="AB746" s="7">
        <f ca="1">$AV$10*EXP(-'3.r(t)'!G744*$AV$24)</f>
        <v>0.96772468942673084</v>
      </c>
      <c r="AC746" s="7">
        <f ca="1">$AV$11*EXP(-'3.r(t)'!H744*$AV$25)</f>
        <v>0.97956174623495895</v>
      </c>
      <c r="AD746" s="7">
        <v>1</v>
      </c>
      <c r="AE746" s="7"/>
      <c r="AF746" s="7">
        <v>738</v>
      </c>
      <c r="AG746" s="7">
        <f>$AW$7*EXP(-'3.r(t)'!D744*$AW$21)</f>
        <v>0.86718755429225491</v>
      </c>
      <c r="AH746" s="7">
        <f ca="1">$AW$8*EXP(-'3.r(t)'!E744*$AW$22)</f>
        <v>0.90602254056792342</v>
      </c>
      <c r="AI746" s="7">
        <f ca="1">$AW$9*EXP(-'3.r(t)'!F744*$AW$23)</f>
        <v>0.93405258972344984</v>
      </c>
      <c r="AJ746" s="7">
        <f ca="1">$AW$10*EXP(-'3.r(t)'!G744*$AW$24)</f>
        <v>0.95134688160775027</v>
      </c>
      <c r="AK746" s="7">
        <f ca="1">$AW$11*EXP(-'3.r(t)'!H744*$AW$25)</f>
        <v>0.95911479339610672</v>
      </c>
      <c r="AL746" s="7">
        <f ca="1">$AW$12*EXP(-'3.r(t)'!I744*$AW$26)</f>
        <v>0.97996432058782501</v>
      </c>
      <c r="AM746" s="7">
        <v>1</v>
      </c>
      <c r="AN746" s="7"/>
    </row>
    <row r="747" spans="2:40">
      <c r="B747" s="7">
        <v>739</v>
      </c>
      <c r="C747" s="7">
        <f>$AR$7*EXP(-'3.r(t)'!D745*$AR$21)</f>
        <v>0.97765346695821032</v>
      </c>
      <c r="D747" s="7">
        <v>1</v>
      </c>
      <c r="E747" s="7"/>
      <c r="F747" s="7">
        <v>739</v>
      </c>
      <c r="G747" s="48">
        <f>$AS$7*EXP(-'3.r(t)'!D745*$AS$21)</f>
        <v>0.9553476245219803</v>
      </c>
      <c r="H747" s="7">
        <f ca="1">$AS$8*EXP(-'3.r(t)'!E745*$AS$22)</f>
        <v>0.97790544903957921</v>
      </c>
      <c r="I747" s="7">
        <v>1</v>
      </c>
      <c r="J747" s="7"/>
      <c r="K747" s="7">
        <v>739</v>
      </c>
      <c r="L747" s="7">
        <f>$AT$7*EXP(-'3.r(t)'!D745*$AT$21)</f>
        <v>0.93311670519824419</v>
      </c>
      <c r="M747" s="7">
        <f ca="1">$AT$8*EXP(-'3.r(t)'!E745*$AT$22)</f>
        <v>0.95584863697605327</v>
      </c>
      <c r="N747" s="7">
        <f ca="1">$AT$9*EXP(-'3.r(t)'!F745*$AT$23)</f>
        <v>0.97585825170214491</v>
      </c>
      <c r="O747" s="7">
        <v>1</v>
      </c>
      <c r="P747" s="7"/>
      <c r="Q747" s="7">
        <v>739</v>
      </c>
      <c r="R747" s="7">
        <f>$AU$7*EXP(-'3.r(t)'!D745*$AU$21)</f>
        <v>0.91099305977534117</v>
      </c>
      <c r="S747" s="7">
        <f ca="1">$AU$8*EXP(-'3.r(t)'!E745*$AU$22)</f>
        <v>0.9338632642556971</v>
      </c>
      <c r="T747" s="7">
        <f ca="1">$AU$9*EXP(-'3.r(t)'!F745*$AU$23)</f>
        <v>0.95185922877670315</v>
      </c>
      <c r="U747" s="7">
        <f ca="1">$AU$10*EXP(-'3.r(t)'!G745*$AU$24)</f>
        <v>0.97271097419736408</v>
      </c>
      <c r="V747" s="7">
        <v>1</v>
      </c>
      <c r="W747" s="7"/>
      <c r="X747" s="7">
        <v>739</v>
      </c>
      <c r="Y747" s="7">
        <f>$AV$7*EXP(-'3.r(t)'!D745*$AV$21)</f>
        <v>0.88900715067201674</v>
      </c>
      <c r="Z747" s="7">
        <f ca="1">$AV$8*EXP(-'3.r(t)'!E745*$AV$22)</f>
        <v>0.91198118830575292</v>
      </c>
      <c r="AA747" s="7">
        <f ca="1">$AV$9*EXP(-'3.r(t)'!F745*$AV$23)</f>
        <v>0.92803525085268801</v>
      </c>
      <c r="AB747" s="7">
        <f ca="1">$AV$10*EXP(-'3.r(t)'!G745*$AV$24)</f>
        <v>0.94573776825093914</v>
      </c>
      <c r="AC747" s="7">
        <f ca="1">$AV$11*EXP(-'3.r(t)'!H745*$AV$25)</f>
        <v>0.97035682572969839</v>
      </c>
      <c r="AD747" s="7">
        <v>1</v>
      </c>
      <c r="AE747" s="7"/>
      <c r="AF747" s="7">
        <v>739</v>
      </c>
      <c r="AG747" s="7">
        <f>$AW$7*EXP(-'3.r(t)'!D745*$AW$21)</f>
        <v>0.86718755429225491</v>
      </c>
      <c r="AH747" s="7">
        <f ca="1">$AW$8*EXP(-'3.r(t)'!E745*$AW$22)</f>
        <v>0.89023241715873258</v>
      </c>
      <c r="AI747" s="7">
        <f ca="1">$AW$9*EXP(-'3.r(t)'!F745*$AW$23)</f>
        <v>0.90441654204812749</v>
      </c>
      <c r="AJ747" s="7">
        <f ca="1">$AW$10*EXP(-'3.r(t)'!G745*$AW$24)</f>
        <v>0.91910952441731197</v>
      </c>
      <c r="AK747" s="7">
        <f ca="1">$AW$11*EXP(-'3.r(t)'!H745*$AW$25)</f>
        <v>0.94117392443833603</v>
      </c>
      <c r="AL747" s="7">
        <f ca="1">$AW$12*EXP(-'3.r(t)'!I745*$AW$26)</f>
        <v>0.96735379181015912</v>
      </c>
      <c r="AM747" s="7">
        <v>1</v>
      </c>
      <c r="AN747" s="7"/>
    </row>
    <row r="748" spans="2:40">
      <c r="B748" s="7">
        <v>740</v>
      </c>
      <c r="C748" s="7">
        <f>$AR$7*EXP(-'3.r(t)'!D746*$AR$21)</f>
        <v>0.97765346695821032</v>
      </c>
      <c r="D748" s="7">
        <v>1</v>
      </c>
      <c r="E748" s="7"/>
      <c r="F748" s="7">
        <v>740</v>
      </c>
      <c r="G748" s="48">
        <f>$AS$7*EXP(-'3.r(t)'!D746*$AS$21)</f>
        <v>0.9553476245219803</v>
      </c>
      <c r="H748" s="7">
        <f ca="1">$AS$8*EXP(-'3.r(t)'!E746*$AS$22)</f>
        <v>0.97517311326931377</v>
      </c>
      <c r="I748" s="7">
        <v>1</v>
      </c>
      <c r="J748" s="7"/>
      <c r="K748" s="7">
        <v>740</v>
      </c>
      <c r="L748" s="7">
        <f>$AT$7*EXP(-'3.r(t)'!D746*$AT$21)</f>
        <v>0.93311670519824419</v>
      </c>
      <c r="M748" s="7">
        <f ca="1">$AT$8*EXP(-'3.r(t)'!E746*$AT$22)</f>
        <v>0.95051468410871442</v>
      </c>
      <c r="N748" s="7">
        <f ca="1">$AT$9*EXP(-'3.r(t)'!F746*$AT$23)</f>
        <v>0.97262225237984801</v>
      </c>
      <c r="O748" s="7">
        <v>1</v>
      </c>
      <c r="P748" s="7"/>
      <c r="Q748" s="7">
        <v>740</v>
      </c>
      <c r="R748" s="7">
        <f>$AU$7*EXP(-'3.r(t)'!D746*$AU$21)</f>
        <v>0.91099305977534117</v>
      </c>
      <c r="S748" s="7">
        <f ca="1">$AU$8*EXP(-'3.r(t)'!E746*$AU$22)</f>
        <v>0.92605727886700651</v>
      </c>
      <c r="T748" s="7">
        <f ca="1">$AU$9*EXP(-'3.r(t)'!F746*$AU$23)</f>
        <v>0.9455568611288635</v>
      </c>
      <c r="U748" s="7">
        <f ca="1">$AU$10*EXP(-'3.r(t)'!G746*$AU$24)</f>
        <v>0.97094922078997792</v>
      </c>
      <c r="V748" s="7">
        <v>1</v>
      </c>
      <c r="W748" s="7"/>
      <c r="X748" s="7">
        <v>740</v>
      </c>
      <c r="Y748" s="7">
        <f>$AV$7*EXP(-'3.r(t)'!D746*$AV$21)</f>
        <v>0.88900715067201674</v>
      </c>
      <c r="Z748" s="7">
        <f ca="1">$AV$8*EXP(-'3.r(t)'!E746*$AV$22)</f>
        <v>0.90183127162983978</v>
      </c>
      <c r="AA748" s="7">
        <f ca="1">$AV$9*EXP(-'3.r(t)'!F746*$AV$23)</f>
        <v>0.91883358473872589</v>
      </c>
      <c r="AB748" s="7">
        <f ca="1">$AV$10*EXP(-'3.r(t)'!G746*$AV$24)</f>
        <v>0.94231507039707785</v>
      </c>
      <c r="AC748" s="7">
        <f ca="1">$AV$11*EXP(-'3.r(t)'!H746*$AV$25)</f>
        <v>0.96462720307114991</v>
      </c>
      <c r="AD748" s="7">
        <v>1</v>
      </c>
      <c r="AE748" s="7"/>
      <c r="AF748" s="7">
        <v>740</v>
      </c>
      <c r="AG748" s="7">
        <f>$AW$7*EXP(-'3.r(t)'!D746*$AW$21)</f>
        <v>0.86718755429225491</v>
      </c>
      <c r="AH748" s="7">
        <f ca="1">$AW$8*EXP(-'3.r(t)'!E746*$AW$22)</f>
        <v>0.8778648659875159</v>
      </c>
      <c r="AI748" s="7">
        <f ca="1">$AW$9*EXP(-'3.r(t)'!F746*$AW$23)</f>
        <v>0.89247970238821717</v>
      </c>
      <c r="AJ748" s="7">
        <f ca="1">$AW$10*EXP(-'3.r(t)'!G746*$AW$24)</f>
        <v>0.91412454920170494</v>
      </c>
      <c r="AK748" s="7">
        <f ca="1">$AW$11*EXP(-'3.r(t)'!H746*$AW$25)</f>
        <v>0.9300921230586372</v>
      </c>
      <c r="AL748" s="7">
        <f ca="1">$AW$12*EXP(-'3.r(t)'!I746*$AW$26)</f>
        <v>0.96447228422796671</v>
      </c>
      <c r="AM748" s="7">
        <v>1</v>
      </c>
      <c r="AN748" s="7"/>
    </row>
    <row r="749" spans="2:40">
      <c r="B749" s="7">
        <v>741</v>
      </c>
      <c r="C749" s="7">
        <f>$AR$7*EXP(-'3.r(t)'!D747*$AR$21)</f>
        <v>0.97765346695821032</v>
      </c>
      <c r="D749" s="7">
        <v>1</v>
      </c>
      <c r="E749" s="7"/>
      <c r="F749" s="7">
        <v>741</v>
      </c>
      <c r="G749" s="48">
        <f>$AS$7*EXP(-'3.r(t)'!D747*$AS$21)</f>
        <v>0.9553476245219803</v>
      </c>
      <c r="H749" s="7">
        <f ca="1">$AS$8*EXP(-'3.r(t)'!E747*$AS$22)</f>
        <v>0.97276971318766337</v>
      </c>
      <c r="I749" s="7">
        <v>1</v>
      </c>
      <c r="J749" s="7"/>
      <c r="K749" s="7">
        <v>741</v>
      </c>
      <c r="L749" s="7">
        <f>$AT$7*EXP(-'3.r(t)'!D747*$AT$21)</f>
        <v>0.93311670519824419</v>
      </c>
      <c r="M749" s="7">
        <f ca="1">$AT$8*EXP(-'3.r(t)'!E747*$AT$22)</f>
        <v>0.94583520330036075</v>
      </c>
      <c r="N749" s="7">
        <f ca="1">$AT$9*EXP(-'3.r(t)'!F747*$AT$23)</f>
        <v>0.97418074068084037</v>
      </c>
      <c r="O749" s="7">
        <v>1</v>
      </c>
      <c r="P749" s="7"/>
      <c r="Q749" s="7">
        <v>741</v>
      </c>
      <c r="R749" s="7">
        <f>$AU$7*EXP(-'3.r(t)'!D747*$AU$21)</f>
        <v>0.91099305977534117</v>
      </c>
      <c r="S749" s="7">
        <f ca="1">$AU$8*EXP(-'3.r(t)'!E747*$AU$22)</f>
        <v>0.91922709082284448</v>
      </c>
      <c r="T749" s="7">
        <f ca="1">$AU$9*EXP(-'3.r(t)'!F747*$AU$23)</f>
        <v>0.94858952864327439</v>
      </c>
      <c r="U749" s="7">
        <f ca="1">$AU$10*EXP(-'3.r(t)'!G747*$AU$24)</f>
        <v>0.97055045085261138</v>
      </c>
      <c r="V749" s="7">
        <v>1</v>
      </c>
      <c r="W749" s="7"/>
      <c r="X749" s="7">
        <v>741</v>
      </c>
      <c r="Y749" s="7">
        <f>$AV$7*EXP(-'3.r(t)'!D747*$AV$21)</f>
        <v>0.88900715067201674</v>
      </c>
      <c r="Z749" s="7">
        <f ca="1">$AV$8*EXP(-'3.r(t)'!E747*$AV$22)</f>
        <v>0.89297351445557205</v>
      </c>
      <c r="AA749" s="7">
        <f ca="1">$AV$9*EXP(-'3.r(t)'!F747*$AV$23)</f>
        <v>0.92325756488990685</v>
      </c>
      <c r="AB749" s="7">
        <f ca="1">$AV$10*EXP(-'3.r(t)'!G747*$AV$24)</f>
        <v>0.94154120962329324</v>
      </c>
      <c r="AC749" s="7">
        <f ca="1">$AV$11*EXP(-'3.r(t)'!H747*$AV$25)</f>
        <v>0.97198201757622638</v>
      </c>
      <c r="AD749" s="7">
        <v>1</v>
      </c>
      <c r="AE749" s="7"/>
      <c r="AF749" s="7">
        <v>741</v>
      </c>
      <c r="AG749" s="7">
        <f>$AW$7*EXP(-'3.r(t)'!D747*$AW$21)</f>
        <v>0.86718755429225491</v>
      </c>
      <c r="AH749" s="7">
        <f ca="1">$AW$8*EXP(-'3.r(t)'!E747*$AW$22)</f>
        <v>0.86710018129917465</v>
      </c>
      <c r="AI749" s="7">
        <f ca="1">$AW$9*EXP(-'3.r(t)'!F747*$AW$23)</f>
        <v>0.89821375121721658</v>
      </c>
      <c r="AJ749" s="7">
        <f ca="1">$AW$10*EXP(-'3.r(t)'!G747*$AW$24)</f>
        <v>0.91299871576694935</v>
      </c>
      <c r="AK749" s="7">
        <f ca="1">$AW$11*EXP(-'3.r(t)'!H747*$AW$25)</f>
        <v>0.94432919486021327</v>
      </c>
      <c r="AL749" s="7">
        <f ca="1">$AW$12*EXP(-'3.r(t)'!I747*$AW$26)</f>
        <v>0.96692096231742786</v>
      </c>
      <c r="AM749" s="7">
        <v>1</v>
      </c>
      <c r="AN749" s="7"/>
    </row>
    <row r="750" spans="2:40">
      <c r="B750" s="7">
        <v>742</v>
      </c>
      <c r="C750" s="7">
        <f>$AR$7*EXP(-'3.r(t)'!D748*$AR$21)</f>
        <v>0.97765346695821032</v>
      </c>
      <c r="D750" s="7">
        <v>1</v>
      </c>
      <c r="E750" s="7"/>
      <c r="F750" s="7">
        <v>742</v>
      </c>
      <c r="G750" s="48">
        <f>$AS$7*EXP(-'3.r(t)'!D748*$AS$21)</f>
        <v>0.9553476245219803</v>
      </c>
      <c r="H750" s="7">
        <f ca="1">$AS$8*EXP(-'3.r(t)'!E748*$AS$22)</f>
        <v>0.98255485597191361</v>
      </c>
      <c r="I750" s="7">
        <v>1</v>
      </c>
      <c r="J750" s="7"/>
      <c r="K750" s="7">
        <v>742</v>
      </c>
      <c r="L750" s="7">
        <f>$AT$7*EXP(-'3.r(t)'!D748*$AT$21)</f>
        <v>0.93311670519824419</v>
      </c>
      <c r="M750" s="7">
        <f ca="1">$AT$8*EXP(-'3.r(t)'!E748*$AT$22)</f>
        <v>0.96495932142627139</v>
      </c>
      <c r="N750" s="7">
        <f ca="1">$AT$9*EXP(-'3.r(t)'!F748*$AT$23)</f>
        <v>0.98274983002211957</v>
      </c>
      <c r="O750" s="7">
        <v>1</v>
      </c>
      <c r="P750" s="7"/>
      <c r="Q750" s="7">
        <v>742</v>
      </c>
      <c r="R750" s="7">
        <f>$AU$7*EXP(-'3.r(t)'!D748*$AU$21)</f>
        <v>0.91099305977534117</v>
      </c>
      <c r="S750" s="7">
        <f ca="1">$AU$8*EXP(-'3.r(t)'!E748*$AU$22)</f>
        <v>0.94724672521305397</v>
      </c>
      <c r="T750" s="7">
        <f ca="1">$AU$9*EXP(-'3.r(t)'!F748*$AU$23)</f>
        <v>0.96535089180716738</v>
      </c>
      <c r="U750" s="7">
        <f ca="1">$AU$10*EXP(-'3.r(t)'!G748*$AU$24)</f>
        <v>0.98608917255083561</v>
      </c>
      <c r="V750" s="7">
        <v>1</v>
      </c>
      <c r="W750" s="7"/>
      <c r="X750" s="7">
        <v>742</v>
      </c>
      <c r="Y750" s="7">
        <f>$AV$7*EXP(-'3.r(t)'!D748*$AV$21)</f>
        <v>0.88900715067201674</v>
      </c>
      <c r="Z750" s="7">
        <f ca="1">$AV$8*EXP(-'3.r(t)'!E748*$AV$22)</f>
        <v>0.9294491640910133</v>
      </c>
      <c r="AA750" s="7">
        <f ca="1">$AV$9*EXP(-'3.r(t)'!F748*$AV$23)</f>
        <v>0.9478359758759225</v>
      </c>
      <c r="AB750" s="7">
        <f ca="1">$AV$10*EXP(-'3.r(t)'!G748*$AV$24)</f>
        <v>0.97193110705155439</v>
      </c>
      <c r="AC750" s="7">
        <f ca="1">$AV$11*EXP(-'3.r(t)'!H748*$AV$25)</f>
        <v>0.98500110353831372</v>
      </c>
      <c r="AD750" s="7">
        <v>1</v>
      </c>
      <c r="AE750" s="7"/>
      <c r="AF750" s="7">
        <v>742</v>
      </c>
      <c r="AG750" s="7">
        <f>$AW$7*EXP(-'3.r(t)'!D748*$AW$21)</f>
        <v>0.86718755429225491</v>
      </c>
      <c r="AH750" s="7">
        <f ca="1">$AW$8*EXP(-'3.r(t)'!E748*$AW$22)</f>
        <v>0.91159745926079139</v>
      </c>
      <c r="AI750" s="7">
        <f ca="1">$AW$9*EXP(-'3.r(t)'!F748*$AW$23)</f>
        <v>0.93023666141652273</v>
      </c>
      <c r="AJ750" s="7">
        <f ca="1">$AW$10*EXP(-'3.r(t)'!G748*$AW$24)</f>
        <v>0.957556459310001</v>
      </c>
      <c r="AK750" s="7">
        <f ca="1">$AW$11*EXP(-'3.r(t)'!H748*$AW$25)</f>
        <v>0.96979600382752917</v>
      </c>
      <c r="AL750" s="7">
        <f ca="1">$AW$12*EXP(-'3.r(t)'!I748*$AW$26)</f>
        <v>0.98109285126538937</v>
      </c>
      <c r="AM750" s="7">
        <v>1</v>
      </c>
      <c r="AN750" s="7"/>
    </row>
    <row r="751" spans="2:40">
      <c r="B751" s="7">
        <v>743</v>
      </c>
      <c r="C751" s="7">
        <f>$AR$7*EXP(-'3.r(t)'!D749*$AR$21)</f>
        <v>0.97765346695821032</v>
      </c>
      <c r="D751" s="7">
        <v>1</v>
      </c>
      <c r="E751" s="7"/>
      <c r="F751" s="7">
        <v>743</v>
      </c>
      <c r="G751" s="48">
        <f>$AS$7*EXP(-'3.r(t)'!D749*$AS$21)</f>
        <v>0.9553476245219803</v>
      </c>
      <c r="H751" s="7">
        <f ca="1">$AS$8*EXP(-'3.r(t)'!E749*$AS$22)</f>
        <v>0.97676918223653142</v>
      </c>
      <c r="I751" s="7">
        <v>1</v>
      </c>
      <c r="J751" s="7"/>
      <c r="K751" s="7">
        <v>743</v>
      </c>
      <c r="L751" s="7">
        <f>$AT$7*EXP(-'3.r(t)'!D749*$AT$21)</f>
        <v>0.93311670519824419</v>
      </c>
      <c r="M751" s="7">
        <f ca="1">$AT$8*EXP(-'3.r(t)'!E749*$AT$22)</f>
        <v>0.95362865121897555</v>
      </c>
      <c r="N751" s="7">
        <f ca="1">$AT$9*EXP(-'3.r(t)'!F749*$AT$23)</f>
        <v>0.97938600514540597</v>
      </c>
      <c r="O751" s="7">
        <v>1</v>
      </c>
      <c r="P751" s="7"/>
      <c r="Q751" s="7">
        <v>743</v>
      </c>
      <c r="R751" s="7">
        <f>$AU$7*EXP(-'3.r(t)'!D749*$AU$21)</f>
        <v>0.91099305977534117</v>
      </c>
      <c r="S751" s="7">
        <f ca="1">$AU$8*EXP(-'3.r(t)'!E749*$AU$22)</f>
        <v>0.93061176785651956</v>
      </c>
      <c r="T751" s="7">
        <f ca="1">$AU$9*EXP(-'3.r(t)'!F749*$AU$23)</f>
        <v>0.9587536607483369</v>
      </c>
      <c r="U751" s="7">
        <f ca="1">$AU$10*EXP(-'3.r(t)'!G749*$AU$24)</f>
        <v>0.97978834654215885</v>
      </c>
      <c r="V751" s="7">
        <v>1</v>
      </c>
      <c r="W751" s="7"/>
      <c r="X751" s="7">
        <v>743</v>
      </c>
      <c r="Y751" s="7">
        <f>$AV$7*EXP(-'3.r(t)'!D749*$AV$21)</f>
        <v>0.88900715067201674</v>
      </c>
      <c r="Z751" s="7">
        <f ca="1">$AV$8*EXP(-'3.r(t)'!E749*$AV$22)</f>
        <v>0.907749902949466</v>
      </c>
      <c r="AA751" s="7">
        <f ca="1">$AV$9*EXP(-'3.r(t)'!F749*$AV$23)</f>
        <v>0.93813629463262282</v>
      </c>
      <c r="AB751" s="7">
        <f ca="1">$AV$10*EXP(-'3.r(t)'!G749*$AV$24)</f>
        <v>0.95955006937498344</v>
      </c>
      <c r="AC751" s="7">
        <f ca="1">$AV$11*EXP(-'3.r(t)'!H749*$AV$25)</f>
        <v>0.98103959520090411</v>
      </c>
      <c r="AD751" s="7">
        <v>1</v>
      </c>
      <c r="AE751" s="7"/>
      <c r="AF751" s="7">
        <v>743</v>
      </c>
      <c r="AG751" s="7">
        <f>$AW$7*EXP(-'3.r(t)'!D749*$AW$21)</f>
        <v>0.86718755429225491</v>
      </c>
      <c r="AH751" s="7">
        <f ca="1">$AW$8*EXP(-'3.r(t)'!E749*$AW$22)</f>
        <v>0.88507244196080559</v>
      </c>
      <c r="AI751" s="7">
        <f ca="1">$AW$9*EXP(-'3.r(t)'!F749*$AW$23)</f>
        <v>0.91756558794152898</v>
      </c>
      <c r="AJ751" s="7">
        <f ca="1">$AW$10*EXP(-'3.r(t)'!G749*$AW$24)</f>
        <v>0.93931796550923763</v>
      </c>
      <c r="AK751" s="7">
        <f ca="1">$AW$11*EXP(-'3.r(t)'!H749*$AW$25)</f>
        <v>0.96201097842077821</v>
      </c>
      <c r="AL751" s="7">
        <f ca="1">$AW$12*EXP(-'3.r(t)'!I749*$AW$26)</f>
        <v>0.97810521631570446</v>
      </c>
      <c r="AM751" s="7">
        <v>1</v>
      </c>
      <c r="AN751" s="7"/>
    </row>
    <row r="752" spans="2:40">
      <c r="B752" s="7">
        <v>744</v>
      </c>
      <c r="C752" s="7">
        <f>$AR$7*EXP(-'3.r(t)'!D750*$AR$21)</f>
        <v>0.97765346695821032</v>
      </c>
      <c r="D752" s="7">
        <v>1</v>
      </c>
      <c r="E752" s="7"/>
      <c r="F752" s="7">
        <v>744</v>
      </c>
      <c r="G752" s="48">
        <f>$AS$7*EXP(-'3.r(t)'!D750*$AS$21)</f>
        <v>0.9553476245219803</v>
      </c>
      <c r="H752" s="7">
        <f ca="1">$AS$8*EXP(-'3.r(t)'!E750*$AS$22)</f>
        <v>0.97378005365340947</v>
      </c>
      <c r="I752" s="7">
        <v>1</v>
      </c>
      <c r="J752" s="7"/>
      <c r="K752" s="7">
        <v>744</v>
      </c>
      <c r="L752" s="7">
        <f>$AT$7*EXP(-'3.r(t)'!D750*$AT$21)</f>
        <v>0.93311670519824419</v>
      </c>
      <c r="M752" s="7">
        <f ca="1">$AT$8*EXP(-'3.r(t)'!E750*$AT$22)</f>
        <v>0.94780095496544348</v>
      </c>
      <c r="N752" s="7">
        <f ca="1">$AT$9*EXP(-'3.r(t)'!F750*$AT$23)</f>
        <v>0.96988680032508889</v>
      </c>
      <c r="O752" s="7">
        <v>1</v>
      </c>
      <c r="P752" s="7"/>
      <c r="Q752" s="7">
        <v>744</v>
      </c>
      <c r="R752" s="7">
        <f>$AU$7*EXP(-'3.r(t)'!D750*$AU$21)</f>
        <v>0.91099305977534117</v>
      </c>
      <c r="S752" s="7">
        <f ca="1">$AU$8*EXP(-'3.r(t)'!E750*$AU$22)</f>
        <v>0.92209425635235753</v>
      </c>
      <c r="T752" s="7">
        <f ca="1">$AU$9*EXP(-'3.r(t)'!F750*$AU$23)</f>
        <v>0.94024567641191037</v>
      </c>
      <c r="U752" s="7">
        <f ca="1">$AU$10*EXP(-'3.r(t)'!G750*$AU$24)</f>
        <v>0.96558593550095828</v>
      </c>
      <c r="V752" s="7">
        <v>1</v>
      </c>
      <c r="W752" s="7"/>
      <c r="X752" s="7">
        <v>744</v>
      </c>
      <c r="Y752" s="7">
        <f>$AV$7*EXP(-'3.r(t)'!D750*$AV$21)</f>
        <v>0.88900715067201674</v>
      </c>
      <c r="Z752" s="7">
        <f ca="1">$AV$8*EXP(-'3.r(t)'!E750*$AV$22)</f>
        <v>0.89668914752614393</v>
      </c>
      <c r="AA752" s="7">
        <f ca="1">$AV$9*EXP(-'3.r(t)'!F750*$AV$23)</f>
        <v>0.91110284563457888</v>
      </c>
      <c r="AB752" s="7">
        <f ca="1">$AV$10*EXP(-'3.r(t)'!G750*$AV$24)</f>
        <v>0.93193358765352452</v>
      </c>
      <c r="AC752" s="7">
        <f ca="1">$AV$11*EXP(-'3.r(t)'!H750*$AV$25)</f>
        <v>0.96144992331973322</v>
      </c>
      <c r="AD752" s="7">
        <v>1</v>
      </c>
      <c r="AE752" s="7"/>
      <c r="AF752" s="7">
        <v>744</v>
      </c>
      <c r="AG752" s="7">
        <f>$AW$7*EXP(-'3.r(t)'!D750*$AW$21)</f>
        <v>0.86718755429225491</v>
      </c>
      <c r="AH752" s="7">
        <f ca="1">$AW$8*EXP(-'3.r(t)'!E750*$AW$22)</f>
        <v>0.87161249333285229</v>
      </c>
      <c r="AI752" s="7">
        <f ca="1">$AW$9*EXP(-'3.r(t)'!F750*$AW$23)</f>
        <v>0.88248175910103865</v>
      </c>
      <c r="AJ752" s="7">
        <f ca="1">$AW$10*EXP(-'3.r(t)'!G750*$AW$24)</f>
        <v>0.89905987083876504</v>
      </c>
      <c r="AK752" s="7">
        <f ca="1">$AW$11*EXP(-'3.r(t)'!H750*$AW$25)</f>
        <v>0.92397515680117559</v>
      </c>
      <c r="AL752" s="7">
        <f ca="1">$AW$12*EXP(-'3.r(t)'!I750*$AW$26)</f>
        <v>0.95950578977658685</v>
      </c>
      <c r="AM752" s="7">
        <v>1</v>
      </c>
      <c r="AN752" s="7"/>
    </row>
    <row r="753" spans="2:40">
      <c r="B753" s="7">
        <v>745</v>
      </c>
      <c r="C753" s="7">
        <f>$AR$7*EXP(-'3.r(t)'!D751*$AR$21)</f>
        <v>0.97765346695821032</v>
      </c>
      <c r="D753" s="7">
        <v>1</v>
      </c>
      <c r="E753" s="7"/>
      <c r="F753" s="7">
        <v>745</v>
      </c>
      <c r="G753" s="48">
        <f>$AS$7*EXP(-'3.r(t)'!D751*$AS$21)</f>
        <v>0.9553476245219803</v>
      </c>
      <c r="H753" s="7">
        <f ca="1">$AS$8*EXP(-'3.r(t)'!E751*$AS$22)</f>
        <v>0.97435685399121341</v>
      </c>
      <c r="I753" s="7">
        <v>1</v>
      </c>
      <c r="J753" s="7"/>
      <c r="K753" s="7">
        <v>745</v>
      </c>
      <c r="L753" s="7">
        <f>$AT$7*EXP(-'3.r(t)'!D751*$AT$21)</f>
        <v>0.93311670519824419</v>
      </c>
      <c r="M753" s="7">
        <f ca="1">$AT$8*EXP(-'3.r(t)'!E751*$AT$22)</f>
        <v>0.94892411171996838</v>
      </c>
      <c r="N753" s="7">
        <f ca="1">$AT$9*EXP(-'3.r(t)'!F751*$AT$23)</f>
        <v>0.97457911611951442</v>
      </c>
      <c r="O753" s="7">
        <v>1</v>
      </c>
      <c r="P753" s="7"/>
      <c r="Q753" s="7">
        <v>745</v>
      </c>
      <c r="R753" s="7">
        <f>$AU$7*EXP(-'3.r(t)'!D751*$AU$21)</f>
        <v>0.91099305977534117</v>
      </c>
      <c r="S753" s="7">
        <f ca="1">$AU$8*EXP(-'3.r(t)'!E751*$AU$22)</f>
        <v>0.9237337827892973</v>
      </c>
      <c r="T753" s="7">
        <f ca="1">$AU$9*EXP(-'3.r(t)'!F751*$AU$23)</f>
        <v>0.94936550792675733</v>
      </c>
      <c r="U753" s="7">
        <f ca="1">$AU$10*EXP(-'3.r(t)'!G751*$AU$24)</f>
        <v>0.97449481891487433</v>
      </c>
      <c r="V753" s="7">
        <v>1</v>
      </c>
      <c r="W753" s="7"/>
      <c r="X753" s="7">
        <v>745</v>
      </c>
      <c r="Y753" s="7">
        <f>$AV$7*EXP(-'3.r(t)'!D751*$AV$21)</f>
        <v>0.88900715067201674</v>
      </c>
      <c r="Z753" s="7">
        <f ca="1">$AV$8*EXP(-'3.r(t)'!E751*$AV$22)</f>
        <v>0.8988155838717613</v>
      </c>
      <c r="AA753" s="7">
        <f ca="1">$AV$9*EXP(-'3.r(t)'!F751*$AV$23)</f>
        <v>0.92439068182507922</v>
      </c>
      <c r="AB753" s="7">
        <f ca="1">$AV$10*EXP(-'3.r(t)'!G751*$AV$24)</f>
        <v>0.94920970657197101</v>
      </c>
      <c r="AC753" s="7">
        <f ca="1">$AV$11*EXP(-'3.r(t)'!H751*$AV$25)</f>
        <v>0.97770546585339768</v>
      </c>
      <c r="AD753" s="7">
        <v>1</v>
      </c>
      <c r="AE753" s="7"/>
      <c r="AF753" s="7">
        <v>745</v>
      </c>
      <c r="AG753" s="7">
        <f>$AW$7*EXP(-'3.r(t)'!D751*$AW$21)</f>
        <v>0.86718755429225491</v>
      </c>
      <c r="AH753" s="7">
        <f ca="1">$AW$8*EXP(-'3.r(t)'!E751*$AW$22)</f>
        <v>0.87419696975724037</v>
      </c>
      <c r="AI753" s="7">
        <f ca="1">$AW$9*EXP(-'3.r(t)'!F751*$AW$23)</f>
        <v>0.89968389256968462</v>
      </c>
      <c r="AJ753" s="7">
        <f ca="1">$AW$10*EXP(-'3.r(t)'!G751*$AW$24)</f>
        <v>0.92417544009963148</v>
      </c>
      <c r="AK753" s="7">
        <f ca="1">$AW$11*EXP(-'3.r(t)'!H751*$AW$25)</f>
        <v>0.95548317128368465</v>
      </c>
      <c r="AL753" s="7">
        <f ca="1">$AW$12*EXP(-'3.r(t)'!I751*$AW$26)</f>
        <v>0.97910973231030496</v>
      </c>
      <c r="AM753" s="7">
        <v>1</v>
      </c>
      <c r="AN753" s="7"/>
    </row>
    <row r="754" spans="2:40">
      <c r="B754" s="7">
        <v>746</v>
      </c>
      <c r="C754" s="7">
        <f>$AR$7*EXP(-'3.r(t)'!D752*$AR$21)</f>
        <v>0.97765346695821032</v>
      </c>
      <c r="D754" s="7">
        <v>1</v>
      </c>
      <c r="E754" s="7"/>
      <c r="F754" s="7">
        <v>746</v>
      </c>
      <c r="G754" s="48">
        <f>$AS$7*EXP(-'3.r(t)'!D752*$AS$21)</f>
        <v>0.9553476245219803</v>
      </c>
      <c r="H754" s="7">
        <f ca="1">$AS$8*EXP(-'3.r(t)'!E752*$AS$22)</f>
        <v>0.98220161990369392</v>
      </c>
      <c r="I754" s="7">
        <v>1</v>
      </c>
      <c r="J754" s="7"/>
      <c r="K754" s="7">
        <v>746</v>
      </c>
      <c r="L754" s="7">
        <f>$AT$7*EXP(-'3.r(t)'!D752*$AT$21)</f>
        <v>0.93311670519824419</v>
      </c>
      <c r="M754" s="7">
        <f ca="1">$AT$8*EXP(-'3.r(t)'!E752*$AT$22)</f>
        <v>0.96426562546823036</v>
      </c>
      <c r="N754" s="7">
        <f ca="1">$AT$9*EXP(-'3.r(t)'!F752*$AT$23)</f>
        <v>0.98024281859985329</v>
      </c>
      <c r="O754" s="7">
        <v>1</v>
      </c>
      <c r="P754" s="7"/>
      <c r="Q754" s="7">
        <v>746</v>
      </c>
      <c r="R754" s="7">
        <f>$AU$7*EXP(-'3.r(t)'!D752*$AU$21)</f>
        <v>0.91099305977534117</v>
      </c>
      <c r="S754" s="7">
        <f ca="1">$AU$8*EXP(-'3.r(t)'!E752*$AU$22)</f>
        <v>0.94622546488546355</v>
      </c>
      <c r="T754" s="7">
        <f ca="1">$AU$9*EXP(-'3.r(t)'!F752*$AU$23)</f>
        <v>0.96043192113505227</v>
      </c>
      <c r="U754" s="7">
        <f ca="1">$AU$10*EXP(-'3.r(t)'!G752*$AU$24)</f>
        <v>0.98182081910475272</v>
      </c>
      <c r="V754" s="7">
        <v>1</v>
      </c>
      <c r="W754" s="7"/>
      <c r="X754" s="7">
        <v>746</v>
      </c>
      <c r="Y754" s="7">
        <f>$AV$7*EXP(-'3.r(t)'!D752*$AV$21)</f>
        <v>0.88900715067201674</v>
      </c>
      <c r="Z754" s="7">
        <f ca="1">$AV$8*EXP(-'3.r(t)'!E752*$AV$22)</f>
        <v>0.9281133080373225</v>
      </c>
      <c r="AA754" s="7">
        <f ca="1">$AV$9*EXP(-'3.r(t)'!F752*$AV$23)</f>
        <v>0.94060062802970101</v>
      </c>
      <c r="AB754" s="7">
        <f ca="1">$AV$10*EXP(-'3.r(t)'!G752*$AV$24)</f>
        <v>0.96353517902397701</v>
      </c>
      <c r="AC754" s="7">
        <f ca="1">$AV$11*EXP(-'3.r(t)'!H752*$AV$25)</f>
        <v>0.97987140684932572</v>
      </c>
      <c r="AD754" s="7">
        <v>1</v>
      </c>
      <c r="AE754" s="7"/>
      <c r="AF754" s="7">
        <v>746</v>
      </c>
      <c r="AG754" s="7">
        <f>$AW$7*EXP(-'3.r(t)'!D752*$AW$21)</f>
        <v>0.86718755429225491</v>
      </c>
      <c r="AH754" s="7">
        <f ca="1">$AW$8*EXP(-'3.r(t)'!E752*$AW$22)</f>
        <v>0.90996000536165367</v>
      </c>
      <c r="AI754" s="7">
        <f ca="1">$AW$9*EXP(-'3.r(t)'!F752*$AW$23)</f>
        <v>0.92078072405173306</v>
      </c>
      <c r="AJ754" s="7">
        <f ca="1">$AW$10*EXP(-'3.r(t)'!G752*$AW$24)</f>
        <v>0.94517566238651851</v>
      </c>
      <c r="AK754" s="7">
        <f ca="1">$AW$11*EXP(-'3.r(t)'!H752*$AW$25)</f>
        <v>0.95972128302553716</v>
      </c>
      <c r="AL754" s="7">
        <f ca="1">$AW$12*EXP(-'3.r(t)'!I752*$AW$26)</f>
        <v>0.97498339897062314</v>
      </c>
      <c r="AM754" s="7">
        <v>1</v>
      </c>
      <c r="AN754" s="7"/>
    </row>
    <row r="755" spans="2:40">
      <c r="B755" s="7">
        <v>747</v>
      </c>
      <c r="C755" s="7">
        <f>$AR$7*EXP(-'3.r(t)'!D753*$AR$21)</f>
        <v>0.97765346695821032</v>
      </c>
      <c r="D755" s="7">
        <v>1</v>
      </c>
      <c r="E755" s="7"/>
      <c r="F755" s="7">
        <v>747</v>
      </c>
      <c r="G755" s="48">
        <f>$AS$7*EXP(-'3.r(t)'!D753*$AS$21)</f>
        <v>0.9553476245219803</v>
      </c>
      <c r="H755" s="7">
        <f ca="1">$AS$8*EXP(-'3.r(t)'!E753*$AS$22)</f>
        <v>0.97862157308567077</v>
      </c>
      <c r="I755" s="7">
        <v>1</v>
      </c>
      <c r="J755" s="7"/>
      <c r="K755" s="7">
        <v>747</v>
      </c>
      <c r="L755" s="7">
        <f>$AT$7*EXP(-'3.r(t)'!D753*$AT$21)</f>
        <v>0.93311670519824419</v>
      </c>
      <c r="M755" s="7">
        <f ca="1">$AT$8*EXP(-'3.r(t)'!E753*$AT$22)</f>
        <v>0.9572490930780978</v>
      </c>
      <c r="N755" s="7">
        <f ca="1">$AT$9*EXP(-'3.r(t)'!F753*$AT$23)</f>
        <v>0.97555598259158272</v>
      </c>
      <c r="O755" s="7">
        <v>1</v>
      </c>
      <c r="P755" s="7"/>
      <c r="Q755" s="7">
        <v>747</v>
      </c>
      <c r="R755" s="7">
        <f>$AU$7*EXP(-'3.r(t)'!D753*$AU$21)</f>
        <v>0.91099305977534117</v>
      </c>
      <c r="S755" s="7">
        <f ca="1">$AU$8*EXP(-'3.r(t)'!E753*$AU$22)</f>
        <v>0.93591638236601116</v>
      </c>
      <c r="T755" s="7">
        <f ca="1">$AU$9*EXP(-'3.r(t)'!F753*$AU$23)</f>
        <v>0.95126964912795642</v>
      </c>
      <c r="U755" s="7">
        <f ca="1">$AU$10*EXP(-'3.r(t)'!G753*$AU$24)</f>
        <v>0.97219528583231996</v>
      </c>
      <c r="V755" s="7">
        <v>1</v>
      </c>
      <c r="W755" s="7"/>
      <c r="X755" s="7">
        <v>747</v>
      </c>
      <c r="Y755" s="7">
        <f>$AV$7*EXP(-'3.r(t)'!D753*$AV$21)</f>
        <v>0.88900715067201674</v>
      </c>
      <c r="Z755" s="7">
        <f ca="1">$AV$8*EXP(-'3.r(t)'!E753*$AV$22)</f>
        <v>0.91465551393464861</v>
      </c>
      <c r="AA755" s="7">
        <f ca="1">$AV$9*EXP(-'3.r(t)'!F753*$AV$23)</f>
        <v>0.92717314969434861</v>
      </c>
      <c r="AB755" s="7">
        <f ca="1">$AV$10*EXP(-'3.r(t)'!G753*$AV$24)</f>
        <v>0.94473525733797359</v>
      </c>
      <c r="AC755" s="7">
        <f ca="1">$AV$11*EXP(-'3.r(t)'!H753*$AV$25)</f>
        <v>0.97520200307224991</v>
      </c>
      <c r="AD755" s="7">
        <v>1</v>
      </c>
      <c r="AE755" s="7"/>
      <c r="AF755" s="7">
        <v>747</v>
      </c>
      <c r="AG755" s="7">
        <f>$AW$7*EXP(-'3.r(t)'!D753*$AW$21)</f>
        <v>0.86718755429225491</v>
      </c>
      <c r="AH755" s="7">
        <f ca="1">$AW$8*EXP(-'3.r(t)'!E753*$AW$22)</f>
        <v>0.89349679837987839</v>
      </c>
      <c r="AI755" s="7">
        <f ca="1">$AW$9*EXP(-'3.r(t)'!F753*$AW$23)</f>
        <v>0.90329650153866992</v>
      </c>
      <c r="AJ755" s="7">
        <f ca="1">$AW$10*EXP(-'3.r(t)'!G753*$AW$24)</f>
        <v>0.917648485532782</v>
      </c>
      <c r="AK755" s="7">
        <f ca="1">$AW$11*EXP(-'3.r(t)'!H753*$AW$25)</f>
        <v>0.95059631281163948</v>
      </c>
      <c r="AL755" s="7">
        <f ca="1">$AW$12*EXP(-'3.r(t)'!I753*$AW$26)</f>
        <v>0.97202244914680058</v>
      </c>
      <c r="AM755" s="7">
        <v>1</v>
      </c>
      <c r="AN755" s="7"/>
    </row>
    <row r="756" spans="2:40">
      <c r="B756" s="7">
        <v>748</v>
      </c>
      <c r="C756" s="7">
        <f>$AR$7*EXP(-'3.r(t)'!D754*$AR$21)</f>
        <v>0.97765346695821032</v>
      </c>
      <c r="D756" s="7">
        <v>1</v>
      </c>
      <c r="E756" s="7"/>
      <c r="F756" s="7">
        <v>748</v>
      </c>
      <c r="G756" s="48">
        <f>$AS$7*EXP(-'3.r(t)'!D754*$AS$21)</f>
        <v>0.9553476245219803</v>
      </c>
      <c r="H756" s="7">
        <f ca="1">$AS$8*EXP(-'3.r(t)'!E754*$AS$22)</f>
        <v>0.97585780843757031</v>
      </c>
      <c r="I756" s="7">
        <v>1</v>
      </c>
      <c r="J756" s="7"/>
      <c r="K756" s="7">
        <v>748</v>
      </c>
      <c r="L756" s="7">
        <f>$AT$7*EXP(-'3.r(t)'!D754*$AT$21)</f>
        <v>0.93311670519824419</v>
      </c>
      <c r="M756" s="7">
        <f ca="1">$AT$8*EXP(-'3.r(t)'!E754*$AT$22)</f>
        <v>0.95184991634443272</v>
      </c>
      <c r="N756" s="7">
        <f ca="1">$AT$9*EXP(-'3.r(t)'!F754*$AT$23)</f>
        <v>0.9739104851259327</v>
      </c>
      <c r="O756" s="7">
        <v>1</v>
      </c>
      <c r="P756" s="7"/>
      <c r="Q756" s="7">
        <v>748</v>
      </c>
      <c r="R756" s="7">
        <f>$AU$7*EXP(-'3.r(t)'!D754*$AU$21)</f>
        <v>0.91099305977534117</v>
      </c>
      <c r="S756" s="7">
        <f ca="1">$AU$8*EXP(-'3.r(t)'!E754*$AU$22)</f>
        <v>0.92800927765158647</v>
      </c>
      <c r="T756" s="7">
        <f ca="1">$AU$9*EXP(-'3.r(t)'!F754*$AU$23)</f>
        <v>0.94806328947831808</v>
      </c>
      <c r="U756" s="7">
        <f ca="1">$AU$10*EXP(-'3.r(t)'!G754*$AU$24)</f>
        <v>0.97098792754624108</v>
      </c>
      <c r="V756" s="7">
        <v>1</v>
      </c>
      <c r="W756" s="7"/>
      <c r="X756" s="7">
        <v>748</v>
      </c>
      <c r="Y756" s="7">
        <f>$AV$7*EXP(-'3.r(t)'!D754*$AV$21)</f>
        <v>0.88900715067201674</v>
      </c>
      <c r="Z756" s="7">
        <f ca="1">$AV$8*EXP(-'3.r(t)'!E754*$AV$22)</f>
        <v>0.90436673998384076</v>
      </c>
      <c r="AA756" s="7">
        <f ca="1">$AV$9*EXP(-'3.r(t)'!F754*$AV$23)</f>
        <v>0.92248939243068928</v>
      </c>
      <c r="AB756" s="7">
        <f ca="1">$AV$10*EXP(-'3.r(t)'!G754*$AV$24)</f>
        <v>0.94239020241425575</v>
      </c>
      <c r="AC756" s="7">
        <f ca="1">$AV$11*EXP(-'3.r(t)'!H754*$AV$25)</f>
        <v>0.97405252615605054</v>
      </c>
      <c r="AD756" s="7">
        <v>1</v>
      </c>
      <c r="AE756" s="7"/>
      <c r="AF756" s="7">
        <v>748</v>
      </c>
      <c r="AG756" s="7">
        <f>$AW$7*EXP(-'3.r(t)'!D754*$AW$21)</f>
        <v>0.86718755429225491</v>
      </c>
      <c r="AH756" s="7">
        <f ca="1">$AW$8*EXP(-'3.r(t)'!E754*$AW$22)</f>
        <v>0.88095105894771497</v>
      </c>
      <c r="AI756" s="7">
        <f ca="1">$AW$9*EXP(-'3.r(t)'!F754*$AW$23)</f>
        <v>0.89721744221410782</v>
      </c>
      <c r="AJ756" s="7">
        <f ca="1">$AW$10*EXP(-'3.r(t)'!G754*$AW$24)</f>
        <v>0.91423387790575494</v>
      </c>
      <c r="AK756" s="7">
        <f ca="1">$AW$11*EXP(-'3.r(t)'!H754*$AW$25)</f>
        <v>0.94835668546213703</v>
      </c>
      <c r="AL756" s="7">
        <f ca="1">$AW$12*EXP(-'3.r(t)'!I754*$AW$26)</f>
        <v>0.9747787565794418</v>
      </c>
      <c r="AM756" s="7">
        <v>1</v>
      </c>
      <c r="AN756" s="7"/>
    </row>
    <row r="757" spans="2:40">
      <c r="B757" s="7">
        <v>749</v>
      </c>
      <c r="C757" s="7">
        <f>$AR$7*EXP(-'3.r(t)'!D755*$AR$21)</f>
        <v>0.97765346695821032</v>
      </c>
      <c r="D757" s="7">
        <v>1</v>
      </c>
      <c r="E757" s="7"/>
      <c r="F757" s="7">
        <v>749</v>
      </c>
      <c r="G757" s="48">
        <f>$AS$7*EXP(-'3.r(t)'!D755*$AS$21)</f>
        <v>0.9553476245219803</v>
      </c>
      <c r="H757" s="7">
        <f ca="1">$AS$8*EXP(-'3.r(t)'!E755*$AS$22)</f>
        <v>0.97737379954059578</v>
      </c>
      <c r="I757" s="7">
        <v>1</v>
      </c>
      <c r="J757" s="7"/>
      <c r="K757" s="7">
        <v>749</v>
      </c>
      <c r="L757" s="7">
        <f>$AT$7*EXP(-'3.r(t)'!D755*$AT$21)</f>
        <v>0.93311670519824419</v>
      </c>
      <c r="M757" s="7">
        <f ca="1">$AT$8*EXP(-'3.r(t)'!E755*$AT$22)</f>
        <v>0.9548096033732083</v>
      </c>
      <c r="N757" s="7">
        <f ca="1">$AT$9*EXP(-'3.r(t)'!F755*$AT$23)</f>
        <v>0.97228829554799723</v>
      </c>
      <c r="O757" s="7">
        <v>1</v>
      </c>
      <c r="P757" s="7"/>
      <c r="Q757" s="7">
        <v>749</v>
      </c>
      <c r="R757" s="7">
        <f>$AU$7*EXP(-'3.r(t)'!D755*$AU$21)</f>
        <v>0.91099305977534117</v>
      </c>
      <c r="S757" s="7">
        <f ca="1">$AU$8*EXP(-'3.r(t)'!E755*$AU$22)</f>
        <v>0.93234097578309638</v>
      </c>
      <c r="T757" s="7">
        <f ca="1">$AU$9*EXP(-'3.r(t)'!F755*$AU$23)</f>
        <v>0.94490764513350944</v>
      </c>
      <c r="U757" s="7">
        <f ca="1">$AU$10*EXP(-'3.r(t)'!G755*$AU$24)</f>
        <v>0.97041163967676403</v>
      </c>
      <c r="V757" s="7">
        <v>1</v>
      </c>
      <c r="W757" s="7"/>
      <c r="X757" s="7">
        <v>749</v>
      </c>
      <c r="Y757" s="7">
        <f>$AV$7*EXP(-'3.r(t)'!D755*$AV$21)</f>
        <v>0.88900715067201674</v>
      </c>
      <c r="Z757" s="7">
        <f ca="1">$AV$8*EXP(-'3.r(t)'!E755*$AV$22)</f>
        <v>0.90999956895519674</v>
      </c>
      <c r="AA757" s="7">
        <f ca="1">$AV$9*EXP(-'3.r(t)'!F755*$AV$23)</f>
        <v>0.91788744535668843</v>
      </c>
      <c r="AB757" s="7">
        <f ca="1">$AV$10*EXP(-'3.r(t)'!G755*$AV$24)</f>
        <v>0.94127190451711606</v>
      </c>
      <c r="AC757" s="7">
        <f ca="1">$AV$11*EXP(-'3.r(t)'!H755*$AV$25)</f>
        <v>0.97089233341405634</v>
      </c>
      <c r="AD757" s="7">
        <v>1</v>
      </c>
      <c r="AE757" s="7"/>
      <c r="AF757" s="7">
        <v>749</v>
      </c>
      <c r="AG757" s="7">
        <f>$AW$7*EXP(-'3.r(t)'!D755*$AW$21)</f>
        <v>0.86718755429225491</v>
      </c>
      <c r="AH757" s="7">
        <f ca="1">$AW$8*EXP(-'3.r(t)'!E755*$AW$22)</f>
        <v>0.88781512171411958</v>
      </c>
      <c r="AI757" s="7">
        <f ca="1">$AW$9*EXP(-'3.r(t)'!F755*$AW$23)</f>
        <v>0.891254576304357</v>
      </c>
      <c r="AJ757" s="7">
        <f ca="1">$AW$10*EXP(-'3.r(t)'!G755*$AW$24)</f>
        <v>0.91260703195469706</v>
      </c>
      <c r="AK757" s="7">
        <f ca="1">$AW$11*EXP(-'3.r(t)'!H755*$AW$25)</f>
        <v>0.94221301630131082</v>
      </c>
      <c r="AL757" s="7">
        <f ca="1">$AW$12*EXP(-'3.r(t)'!I755*$AW$26)</f>
        <v>0.97402918954561502</v>
      </c>
      <c r="AM757" s="7">
        <v>1</v>
      </c>
      <c r="AN757" s="7"/>
    </row>
    <row r="758" spans="2:40">
      <c r="B758" s="7">
        <v>750</v>
      </c>
      <c r="C758" s="7">
        <f>$AR$7*EXP(-'3.r(t)'!D756*$AR$21)</f>
        <v>0.97765346695821032</v>
      </c>
      <c r="D758" s="7">
        <v>1</v>
      </c>
      <c r="E758" s="7"/>
      <c r="F758" s="7">
        <v>750</v>
      </c>
      <c r="G758" s="48">
        <f>$AS$7*EXP(-'3.r(t)'!D756*$AS$21)</f>
        <v>0.9553476245219803</v>
      </c>
      <c r="H758" s="7">
        <f ca="1">$AS$8*EXP(-'3.r(t)'!E756*$AS$22)</f>
        <v>0.98358518947739904</v>
      </c>
      <c r="I758" s="7">
        <v>1</v>
      </c>
      <c r="J758" s="7"/>
      <c r="K758" s="7">
        <v>750</v>
      </c>
      <c r="L758" s="7">
        <f>$AT$7*EXP(-'3.r(t)'!D756*$AT$21)</f>
        <v>0.93311670519824419</v>
      </c>
      <c r="M758" s="7">
        <f ca="1">$AT$8*EXP(-'3.r(t)'!E756*$AT$22)</f>
        <v>0.96698414722077286</v>
      </c>
      <c r="N758" s="7">
        <f ca="1">$AT$9*EXP(-'3.r(t)'!F756*$AT$23)</f>
        <v>0.98026680709236591</v>
      </c>
      <c r="O758" s="7">
        <v>1</v>
      </c>
      <c r="P758" s="7"/>
      <c r="Q758" s="7">
        <v>750</v>
      </c>
      <c r="R758" s="7">
        <f>$AU$7*EXP(-'3.r(t)'!D756*$AU$21)</f>
        <v>0.91099305977534117</v>
      </c>
      <c r="S758" s="7">
        <f ca="1">$AU$8*EXP(-'3.r(t)'!E756*$AU$22)</f>
        <v>0.95022977647900797</v>
      </c>
      <c r="T758" s="7">
        <f ca="1">$AU$9*EXP(-'3.r(t)'!F756*$AU$23)</f>
        <v>0.96047892907108767</v>
      </c>
      <c r="U758" s="7">
        <f ca="1">$AU$10*EXP(-'3.r(t)'!G756*$AU$24)</f>
        <v>0.97994189216669136</v>
      </c>
      <c r="V758" s="7">
        <v>1</v>
      </c>
      <c r="W758" s="7"/>
      <c r="X758" s="7">
        <v>750</v>
      </c>
      <c r="Y758" s="7">
        <f>$AV$7*EXP(-'3.r(t)'!D756*$AV$21)</f>
        <v>0.88900715067201674</v>
      </c>
      <c r="Z758" s="7">
        <f ca="1">$AV$8*EXP(-'3.r(t)'!E756*$AV$22)</f>
        <v>0.93335388239832895</v>
      </c>
      <c r="AA758" s="7">
        <f ca="1">$AV$9*EXP(-'3.r(t)'!F756*$AV$23)</f>
        <v>0.94066968482728797</v>
      </c>
      <c r="AB758" s="7">
        <f ca="1">$AV$10*EXP(-'3.r(t)'!G756*$AV$24)</f>
        <v>0.95985084098515616</v>
      </c>
      <c r="AC758" s="7">
        <f ca="1">$AV$11*EXP(-'3.r(t)'!H756*$AV$25)</f>
        <v>0.98001230229379444</v>
      </c>
      <c r="AD758" s="7">
        <v>1</v>
      </c>
      <c r="AE758" s="7"/>
      <c r="AF758" s="7">
        <v>750</v>
      </c>
      <c r="AG758" s="7">
        <f>$AW$7*EXP(-'3.r(t)'!D756*$AW$21)</f>
        <v>0.86718755429225491</v>
      </c>
      <c r="AH758" s="7">
        <f ca="1">$AW$8*EXP(-'3.r(t)'!E756*$AW$22)</f>
        <v>0.91638712220567831</v>
      </c>
      <c r="AI758" s="7">
        <f ca="1">$AW$9*EXP(-'3.r(t)'!F756*$AW$23)</f>
        <v>0.92087086070730428</v>
      </c>
      <c r="AJ758" s="7">
        <f ca="1">$AW$10*EXP(-'3.r(t)'!G756*$AW$24)</f>
        <v>0.9397596448814447</v>
      </c>
      <c r="AK758" s="7">
        <f ca="1">$AW$11*EXP(-'3.r(t)'!H756*$AW$25)</f>
        <v>0.95999729899547348</v>
      </c>
      <c r="AL758" s="7">
        <f ca="1">$AW$12*EXP(-'3.r(t)'!I756*$AW$26)</f>
        <v>0.98124054854351839</v>
      </c>
      <c r="AM758" s="7">
        <v>1</v>
      </c>
      <c r="AN758" s="7"/>
    </row>
    <row r="759" spans="2:40">
      <c r="B759" s="7">
        <v>751</v>
      </c>
      <c r="C759" s="7">
        <f>$AR$7*EXP(-'3.r(t)'!D757*$AR$21)</f>
        <v>0.97765346695821032</v>
      </c>
      <c r="D759" s="7">
        <v>1</v>
      </c>
      <c r="E759" s="7"/>
      <c r="F759" s="7">
        <v>751</v>
      </c>
      <c r="G759" s="48">
        <f>$AS$7*EXP(-'3.r(t)'!D757*$AS$21)</f>
        <v>0.9553476245219803</v>
      </c>
      <c r="H759" s="7">
        <f ca="1">$AS$8*EXP(-'3.r(t)'!E757*$AS$22)</f>
        <v>0.97862618123267697</v>
      </c>
      <c r="I759" s="7">
        <v>1</v>
      </c>
      <c r="J759" s="7"/>
      <c r="K759" s="7">
        <v>751</v>
      </c>
      <c r="L759" s="7">
        <f>$AT$7*EXP(-'3.r(t)'!D757*$AT$21)</f>
        <v>0.93311670519824419</v>
      </c>
      <c r="M759" s="7">
        <f ca="1">$AT$8*EXP(-'3.r(t)'!E757*$AT$22)</f>
        <v>0.95725810811526735</v>
      </c>
      <c r="N759" s="7">
        <f ca="1">$AT$9*EXP(-'3.r(t)'!F757*$AT$23)</f>
        <v>0.97782448922375442</v>
      </c>
      <c r="O759" s="7">
        <v>1</v>
      </c>
      <c r="P759" s="7"/>
      <c r="Q759" s="7">
        <v>751</v>
      </c>
      <c r="R759" s="7">
        <f>$AU$7*EXP(-'3.r(t)'!D757*$AU$21)</f>
        <v>0.91099305977534117</v>
      </c>
      <c r="S759" s="7">
        <f ca="1">$AU$8*EXP(-'3.r(t)'!E757*$AU$22)</f>
        <v>0.93592960359688071</v>
      </c>
      <c r="T759" s="7">
        <f ca="1">$AU$9*EXP(-'3.r(t)'!F757*$AU$23)</f>
        <v>0.95569885780843311</v>
      </c>
      <c r="U759" s="7">
        <f ca="1">$AU$10*EXP(-'3.r(t)'!G757*$AU$24)</f>
        <v>0.97371964998606708</v>
      </c>
      <c r="V759" s="7">
        <v>1</v>
      </c>
      <c r="W759" s="7"/>
      <c r="X759" s="7">
        <v>751</v>
      </c>
      <c r="Y759" s="7">
        <f>$AV$7*EXP(-'3.r(t)'!D757*$AV$21)</f>
        <v>0.88900715067201674</v>
      </c>
      <c r="Z759" s="7">
        <f ca="1">$AV$8*EXP(-'3.r(t)'!E757*$AV$22)</f>
        <v>0.91467274182724723</v>
      </c>
      <c r="AA759" s="7">
        <f ca="1">$AV$9*EXP(-'3.r(t)'!F757*$AV$23)</f>
        <v>0.93365620090078805</v>
      </c>
      <c r="AB759" s="7">
        <f ca="1">$AV$10*EXP(-'3.r(t)'!G757*$AV$24)</f>
        <v>0.94770019577864473</v>
      </c>
      <c r="AC759" s="7">
        <f ca="1">$AV$11*EXP(-'3.r(t)'!H757*$AV$25)</f>
        <v>0.9721069300133145</v>
      </c>
      <c r="AD759" s="7">
        <v>1</v>
      </c>
      <c r="AE759" s="7"/>
      <c r="AF759" s="7">
        <v>751</v>
      </c>
      <c r="AG759" s="7">
        <f>$AW$7*EXP(-'3.r(t)'!D757*$AW$21)</f>
        <v>0.86718755429225491</v>
      </c>
      <c r="AH759" s="7">
        <f ca="1">$AW$8*EXP(-'3.r(t)'!E757*$AW$22)</f>
        <v>0.89351783512935234</v>
      </c>
      <c r="AI759" s="7">
        <f ca="1">$AW$9*EXP(-'3.r(t)'!F757*$AW$23)</f>
        <v>0.91172776597065075</v>
      </c>
      <c r="AJ759" s="7">
        <f ca="1">$AW$10*EXP(-'3.r(t)'!G757*$AW$24)</f>
        <v>0.92197176790798419</v>
      </c>
      <c r="AK759" s="7">
        <f ca="1">$AW$11*EXP(-'3.r(t)'!H757*$AW$25)</f>
        <v>0.9445719278297845</v>
      </c>
      <c r="AL759" s="7">
        <f ca="1">$AW$12*EXP(-'3.r(t)'!I757*$AW$26)</f>
        <v>0.96962857275212488</v>
      </c>
      <c r="AM759" s="7">
        <v>1</v>
      </c>
      <c r="AN759" s="7"/>
    </row>
    <row r="760" spans="2:40">
      <c r="B760" s="7">
        <v>752</v>
      </c>
      <c r="C760" s="7">
        <f>$AR$7*EXP(-'3.r(t)'!D758*$AR$21)</f>
        <v>0.97765346695821032</v>
      </c>
      <c r="D760" s="7">
        <v>1</v>
      </c>
      <c r="E760" s="7"/>
      <c r="F760" s="7">
        <v>752</v>
      </c>
      <c r="G760" s="48">
        <f>$AS$7*EXP(-'3.r(t)'!D758*$AS$21)</f>
        <v>0.9553476245219803</v>
      </c>
      <c r="H760" s="7">
        <f ca="1">$AS$8*EXP(-'3.r(t)'!E758*$AS$22)</f>
        <v>0.98143155533553439</v>
      </c>
      <c r="I760" s="7">
        <v>1</v>
      </c>
      <c r="J760" s="7"/>
      <c r="K760" s="7">
        <v>752</v>
      </c>
      <c r="L760" s="7">
        <f>$AT$7*EXP(-'3.r(t)'!D758*$AT$21)</f>
        <v>0.93311670519824419</v>
      </c>
      <c r="M760" s="7">
        <f ca="1">$AT$8*EXP(-'3.r(t)'!E758*$AT$22)</f>
        <v>0.96275421336690414</v>
      </c>
      <c r="N760" s="7">
        <f ca="1">$AT$9*EXP(-'3.r(t)'!F758*$AT$23)</f>
        <v>0.97966981681377607</v>
      </c>
      <c r="O760" s="7">
        <v>1</v>
      </c>
      <c r="P760" s="7"/>
      <c r="Q760" s="7">
        <v>752</v>
      </c>
      <c r="R760" s="7">
        <f>$AU$7*EXP(-'3.r(t)'!D758*$AU$21)</f>
        <v>0.91099305977534117</v>
      </c>
      <c r="S760" s="7">
        <f ca="1">$AU$8*EXP(-'3.r(t)'!E758*$AU$22)</f>
        <v>0.94400163356754052</v>
      </c>
      <c r="T760" s="7">
        <f ca="1">$AU$9*EXP(-'3.r(t)'!F758*$AU$23)</f>
        <v>0.9593094066966491</v>
      </c>
      <c r="U760" s="7">
        <f ca="1">$AU$10*EXP(-'3.r(t)'!G758*$AU$24)</f>
        <v>0.98274483687126479</v>
      </c>
      <c r="V760" s="7">
        <v>1</v>
      </c>
      <c r="W760" s="7"/>
      <c r="X760" s="7">
        <v>752</v>
      </c>
      <c r="Y760" s="7">
        <f>$AV$7*EXP(-'3.r(t)'!D758*$AV$21)</f>
        <v>0.88900715067201674</v>
      </c>
      <c r="Z760" s="7">
        <f ca="1">$AV$8*EXP(-'3.r(t)'!E758*$AV$22)</f>
        <v>0.92520609598351167</v>
      </c>
      <c r="AA760" s="7">
        <f ca="1">$AV$9*EXP(-'3.r(t)'!F758*$AV$23)</f>
        <v>0.93895210532267348</v>
      </c>
      <c r="AB760" s="7">
        <f ca="1">$AV$10*EXP(-'3.r(t)'!G758*$AV$24)</f>
        <v>0.9653496497713937</v>
      </c>
      <c r="AC760" s="7">
        <f ca="1">$AV$11*EXP(-'3.r(t)'!H758*$AV$25)</f>
        <v>0.97928834008979149</v>
      </c>
      <c r="AD760" s="7">
        <v>1</v>
      </c>
      <c r="AE760" s="7"/>
      <c r="AF760" s="7">
        <v>752</v>
      </c>
      <c r="AG760" s="7">
        <f>$AW$7*EXP(-'3.r(t)'!D758*$AW$21)</f>
        <v>0.86718755429225491</v>
      </c>
      <c r="AH760" s="7">
        <f ca="1">$AW$8*EXP(-'3.r(t)'!E758*$AW$22)</f>
        <v>0.90639846546150682</v>
      </c>
      <c r="AI760" s="7">
        <f ca="1">$AW$9*EXP(-'3.r(t)'!F758*$AW$23)</f>
        <v>0.9186296384297713</v>
      </c>
      <c r="AJ760" s="7">
        <f ca="1">$AW$10*EXP(-'3.r(t)'!G758*$AW$24)</f>
        <v>0.94784676475136953</v>
      </c>
      <c r="AK760" s="7">
        <f ca="1">$AW$11*EXP(-'3.r(t)'!H758*$AW$25)</f>
        <v>0.95857946974929742</v>
      </c>
      <c r="AL760" s="7">
        <f ca="1">$AW$12*EXP(-'3.r(t)'!I758*$AW$26)</f>
        <v>0.98098678250382731</v>
      </c>
      <c r="AM760" s="7">
        <v>1</v>
      </c>
      <c r="AN760" s="7"/>
    </row>
    <row r="761" spans="2:40">
      <c r="B761" s="7">
        <v>753</v>
      </c>
      <c r="C761" s="7">
        <f>$AR$7*EXP(-'3.r(t)'!D759*$AR$21)</f>
        <v>0.97765346695821032</v>
      </c>
      <c r="D761" s="7">
        <v>1</v>
      </c>
      <c r="E761" s="7"/>
      <c r="F761" s="7">
        <v>753</v>
      </c>
      <c r="G761" s="48">
        <f>$AS$7*EXP(-'3.r(t)'!D759*$AS$21)</f>
        <v>0.9553476245219803</v>
      </c>
      <c r="H761" s="7">
        <f ca="1">$AS$8*EXP(-'3.r(t)'!E759*$AS$22)</f>
        <v>0.97684159467670728</v>
      </c>
      <c r="I761" s="7">
        <v>1</v>
      </c>
      <c r="J761" s="7"/>
      <c r="K761" s="7">
        <v>753</v>
      </c>
      <c r="L761" s="7">
        <f>$AT$7*EXP(-'3.r(t)'!D759*$AT$21)</f>
        <v>0.93311670519824419</v>
      </c>
      <c r="M761" s="7">
        <f ca="1">$AT$8*EXP(-'3.r(t)'!E759*$AT$22)</f>
        <v>0.95377005031014395</v>
      </c>
      <c r="N761" s="7">
        <f ca="1">$AT$9*EXP(-'3.r(t)'!F759*$AT$23)</f>
        <v>0.97881632532083651</v>
      </c>
      <c r="O761" s="7">
        <v>1</v>
      </c>
      <c r="P761" s="7"/>
      <c r="Q761" s="7">
        <v>753</v>
      </c>
      <c r="R761" s="7">
        <f>$AU$7*EXP(-'3.r(t)'!D759*$AU$21)</f>
        <v>0.91099305977534117</v>
      </c>
      <c r="S761" s="7">
        <f ca="1">$AU$8*EXP(-'3.r(t)'!E759*$AU$22)</f>
        <v>0.93081875493010424</v>
      </c>
      <c r="T761" s="7">
        <f ca="1">$AU$9*EXP(-'3.r(t)'!F759*$AU$23)</f>
        <v>0.95763862793131105</v>
      </c>
      <c r="U761" s="7">
        <f ca="1">$AU$10*EXP(-'3.r(t)'!G759*$AU$24)</f>
        <v>0.98058399813542374</v>
      </c>
      <c r="V761" s="7">
        <v>1</v>
      </c>
      <c r="W761" s="7"/>
      <c r="X761" s="7">
        <v>753</v>
      </c>
      <c r="Y761" s="7">
        <f>$AV$7*EXP(-'3.r(t)'!D759*$AV$21)</f>
        <v>0.88900715067201674</v>
      </c>
      <c r="Z761" s="7">
        <f ca="1">$AV$8*EXP(-'3.r(t)'!E759*$AV$22)</f>
        <v>0.90801911576522532</v>
      </c>
      <c r="AA761" s="7">
        <f ca="1">$AV$9*EXP(-'3.r(t)'!F759*$AV$23)</f>
        <v>0.93650018840629268</v>
      </c>
      <c r="AB761" s="7">
        <f ca="1">$AV$10*EXP(-'3.r(t)'!G759*$AV$24)</f>
        <v>0.96110913575244317</v>
      </c>
      <c r="AC761" s="7">
        <f ca="1">$AV$11*EXP(-'3.r(t)'!H759*$AV$25)</f>
        <v>0.98069858927122111</v>
      </c>
      <c r="AD761" s="7">
        <v>1</v>
      </c>
      <c r="AE761" s="7"/>
      <c r="AF761" s="7">
        <v>753</v>
      </c>
      <c r="AG761" s="7">
        <f>$AW$7*EXP(-'3.r(t)'!D759*$AW$21)</f>
        <v>0.86718755429225491</v>
      </c>
      <c r="AH761" s="7">
        <f ca="1">$AW$8*EXP(-'3.r(t)'!E759*$AW$22)</f>
        <v>0.88540056328026417</v>
      </c>
      <c r="AI761" s="7">
        <f ca="1">$AW$9*EXP(-'3.r(t)'!F759*$AW$23)</f>
        <v>0.91543256703917553</v>
      </c>
      <c r="AJ761" s="7">
        <f ca="1">$AW$10*EXP(-'3.r(t)'!G759*$AW$24)</f>
        <v>0.94160818537807034</v>
      </c>
      <c r="AK761" s="7">
        <f ca="1">$AW$11*EXP(-'3.r(t)'!H759*$AW$25)</f>
        <v>0.96134231135596537</v>
      </c>
      <c r="AL761" s="7">
        <f ca="1">$AW$12*EXP(-'3.r(t)'!I759*$AW$26)</f>
        <v>0.98074248587908042</v>
      </c>
      <c r="AM761" s="7">
        <v>1</v>
      </c>
      <c r="AN761" s="7"/>
    </row>
    <row r="762" spans="2:40">
      <c r="B762" s="7">
        <v>754</v>
      </c>
      <c r="C762" s="7">
        <f>$AR$7*EXP(-'3.r(t)'!D760*$AR$21)</f>
        <v>0.97765346695821032</v>
      </c>
      <c r="D762" s="7">
        <v>1</v>
      </c>
      <c r="E762" s="7"/>
      <c r="F762" s="7">
        <v>754</v>
      </c>
      <c r="G762" s="48">
        <f>$AS$7*EXP(-'3.r(t)'!D760*$AS$21)</f>
        <v>0.9553476245219803</v>
      </c>
      <c r="H762" s="7">
        <f ca="1">$AS$8*EXP(-'3.r(t)'!E760*$AS$22)</f>
        <v>0.97987961932404133</v>
      </c>
      <c r="I762" s="7">
        <v>1</v>
      </c>
      <c r="J762" s="7"/>
      <c r="K762" s="7">
        <v>754</v>
      </c>
      <c r="L762" s="7">
        <f>$AT$7*EXP(-'3.r(t)'!D760*$AT$21)</f>
        <v>0.93311670519824419</v>
      </c>
      <c r="M762" s="7">
        <f ca="1">$AT$8*EXP(-'3.r(t)'!E760*$AT$22)</f>
        <v>0.95971181761160262</v>
      </c>
      <c r="N762" s="7">
        <f ca="1">$AT$9*EXP(-'3.r(t)'!F760*$AT$23)</f>
        <v>0.97978170843080903</v>
      </c>
      <c r="O762" s="7">
        <v>1</v>
      </c>
      <c r="P762" s="7"/>
      <c r="Q762" s="7">
        <v>754</v>
      </c>
      <c r="R762" s="7">
        <f>$AU$7*EXP(-'3.r(t)'!D760*$AU$21)</f>
        <v>0.91099305977534117</v>
      </c>
      <c r="S762" s="7">
        <f ca="1">$AU$8*EXP(-'3.r(t)'!E760*$AU$22)</f>
        <v>0.93953046685113162</v>
      </c>
      <c r="T762" s="7">
        <f ca="1">$AU$9*EXP(-'3.r(t)'!F760*$AU$23)</f>
        <v>0.95952855157317074</v>
      </c>
      <c r="U762" s="7">
        <f ca="1">$AU$10*EXP(-'3.r(t)'!G760*$AU$24)</f>
        <v>0.97990794913071699</v>
      </c>
      <c r="V762" s="7">
        <v>1</v>
      </c>
      <c r="W762" s="7"/>
      <c r="X762" s="7">
        <v>754</v>
      </c>
      <c r="Y762" s="7">
        <f>$AV$7*EXP(-'3.r(t)'!D760*$AV$21)</f>
        <v>0.88900715067201674</v>
      </c>
      <c r="Z762" s="7">
        <f ca="1">$AV$8*EXP(-'3.r(t)'!E760*$AV$22)</f>
        <v>0.91936785508475216</v>
      </c>
      <c r="AA762" s="7">
        <f ca="1">$AV$9*EXP(-'3.r(t)'!F760*$AV$23)</f>
        <v>0.9392738653710534</v>
      </c>
      <c r="AB762" s="7">
        <f ca="1">$AV$10*EXP(-'3.r(t)'!G760*$AV$24)</f>
        <v>0.95978434788463296</v>
      </c>
      <c r="AC762" s="7">
        <f ca="1">$AV$11*EXP(-'3.r(t)'!H760*$AV$25)</f>
        <v>0.98349752295232662</v>
      </c>
      <c r="AD762" s="7">
        <v>1</v>
      </c>
      <c r="AE762" s="7"/>
      <c r="AF762" s="7">
        <v>754</v>
      </c>
      <c r="AG762" s="7">
        <f>$AW$7*EXP(-'3.r(t)'!D760*$AW$21)</f>
        <v>0.86718755429225491</v>
      </c>
      <c r="AH762" s="7">
        <f ca="1">$AW$8*EXP(-'3.r(t)'!E760*$AW$22)</f>
        <v>0.89925466259716713</v>
      </c>
      <c r="AI762" s="7">
        <f ca="1">$AW$9*EXP(-'3.r(t)'!F760*$AW$23)</f>
        <v>0.91904939032894084</v>
      </c>
      <c r="AJ762" s="7">
        <f ca="1">$AW$10*EXP(-'3.r(t)'!G760*$AW$24)</f>
        <v>0.93966199463050348</v>
      </c>
      <c r="AK762" s="7">
        <f ca="1">$AW$11*EXP(-'3.r(t)'!H760*$AW$25)</f>
        <v>0.96683752284630387</v>
      </c>
      <c r="AL762" s="7">
        <f ca="1">$AW$12*EXP(-'3.r(t)'!I760*$AW$26)</f>
        <v>0.9829908401516555</v>
      </c>
      <c r="AM762" s="7">
        <v>1</v>
      </c>
      <c r="AN762" s="7"/>
    </row>
    <row r="763" spans="2:40">
      <c r="B763" s="7">
        <v>755</v>
      </c>
      <c r="C763" s="7">
        <f>$AR$7*EXP(-'3.r(t)'!D761*$AR$21)</f>
        <v>0.97765346695821032</v>
      </c>
      <c r="D763" s="7">
        <v>1</v>
      </c>
      <c r="E763" s="7"/>
      <c r="F763" s="7">
        <v>755</v>
      </c>
      <c r="G763" s="48">
        <f>$AS$7*EXP(-'3.r(t)'!D761*$AS$21)</f>
        <v>0.9553476245219803</v>
      </c>
      <c r="H763" s="7">
        <f ca="1">$AS$8*EXP(-'3.r(t)'!E761*$AS$22)</f>
        <v>0.97845819825118163</v>
      </c>
      <c r="I763" s="7">
        <v>1</v>
      </c>
      <c r="J763" s="7"/>
      <c r="K763" s="7">
        <v>755</v>
      </c>
      <c r="L763" s="7">
        <f>$AT$7*EXP(-'3.r(t)'!D761*$AT$21)</f>
        <v>0.93311670519824419</v>
      </c>
      <c r="M763" s="7">
        <f ca="1">$AT$8*EXP(-'3.r(t)'!E761*$AT$22)</f>
        <v>0.95692950609526395</v>
      </c>
      <c r="N763" s="7">
        <f ca="1">$AT$9*EXP(-'3.r(t)'!F761*$AT$23)</f>
        <v>0.97928526633098012</v>
      </c>
      <c r="O763" s="7">
        <v>1</v>
      </c>
      <c r="P763" s="7"/>
      <c r="Q763" s="7">
        <v>755</v>
      </c>
      <c r="R763" s="7">
        <f>$AU$7*EXP(-'3.r(t)'!D761*$AU$21)</f>
        <v>0.91099305977534117</v>
      </c>
      <c r="S763" s="7">
        <f ca="1">$AU$8*EXP(-'3.r(t)'!E761*$AU$22)</f>
        <v>0.93544772421526345</v>
      </c>
      <c r="T763" s="7">
        <f ca="1">$AU$9*EXP(-'3.r(t)'!F761*$AU$23)</f>
        <v>0.95855643771402033</v>
      </c>
      <c r="U763" s="7">
        <f ca="1">$AU$10*EXP(-'3.r(t)'!G761*$AU$24)</f>
        <v>0.97741880651811275</v>
      </c>
      <c r="V763" s="7">
        <v>1</v>
      </c>
      <c r="W763" s="7"/>
      <c r="X763" s="7">
        <v>755</v>
      </c>
      <c r="Y763" s="7">
        <f>$AV$7*EXP(-'3.r(t)'!D761*$AV$21)</f>
        <v>0.88900715067201674</v>
      </c>
      <c r="Z763" s="7">
        <f ca="1">$AV$8*EXP(-'3.r(t)'!E761*$AV$22)</f>
        <v>0.91404488248556603</v>
      </c>
      <c r="AA763" s="7">
        <f ca="1">$AV$9*EXP(-'3.r(t)'!F761*$AV$23)</f>
        <v>0.93784683669557389</v>
      </c>
      <c r="AB763" s="7">
        <f ca="1">$AV$10*EXP(-'3.r(t)'!G761*$AV$24)</f>
        <v>0.95491449082237501</v>
      </c>
      <c r="AC763" s="7">
        <f ca="1">$AV$11*EXP(-'3.r(t)'!H761*$AV$25)</f>
        <v>0.97618924413305674</v>
      </c>
      <c r="AD763" s="7">
        <v>1</v>
      </c>
      <c r="AE763" s="7"/>
      <c r="AF763" s="7">
        <v>755</v>
      </c>
      <c r="AG763" s="7">
        <f>$AW$7*EXP(-'3.r(t)'!D761*$AW$21)</f>
        <v>0.86718755429225491</v>
      </c>
      <c r="AH763" s="7">
        <f ca="1">$AW$8*EXP(-'3.r(t)'!E761*$AW$22)</f>
        <v>0.89275122846559285</v>
      </c>
      <c r="AI763" s="7">
        <f ca="1">$AW$9*EXP(-'3.r(t)'!F761*$AW$23)</f>
        <v>0.91718812610979894</v>
      </c>
      <c r="AJ763" s="7">
        <f ca="1">$AW$10*EXP(-'3.r(t)'!G761*$AW$24)</f>
        <v>0.93251943685025751</v>
      </c>
      <c r="AK763" s="7">
        <f ca="1">$AW$11*EXP(-'3.r(t)'!H761*$AW$25)</f>
        <v>0.95252195024048036</v>
      </c>
      <c r="AL763" s="7">
        <f ca="1">$AW$12*EXP(-'3.r(t)'!I761*$AW$26)</f>
        <v>0.97283575950968382</v>
      </c>
      <c r="AM763" s="7">
        <v>1</v>
      </c>
      <c r="AN763" s="7"/>
    </row>
    <row r="764" spans="2:40">
      <c r="B764" s="7">
        <v>756</v>
      </c>
      <c r="C764" s="7">
        <f>$AR$7*EXP(-'3.r(t)'!D762*$AR$21)</f>
        <v>0.97765346695821032</v>
      </c>
      <c r="D764" s="7">
        <v>1</v>
      </c>
      <c r="E764" s="7"/>
      <c r="F764" s="7">
        <v>756</v>
      </c>
      <c r="G764" s="48">
        <f>$AS$7*EXP(-'3.r(t)'!D762*$AS$21)</f>
        <v>0.9553476245219803</v>
      </c>
      <c r="H764" s="7">
        <f ca="1">$AS$8*EXP(-'3.r(t)'!E762*$AS$22)</f>
        <v>0.97809486892019859</v>
      </c>
      <c r="I764" s="7">
        <v>1</v>
      </c>
      <c r="J764" s="7"/>
      <c r="K764" s="7">
        <v>756</v>
      </c>
      <c r="L764" s="7">
        <f>$AT$7*EXP(-'3.r(t)'!D762*$AT$21)</f>
        <v>0.93311670519824419</v>
      </c>
      <c r="M764" s="7">
        <f ca="1">$AT$8*EXP(-'3.r(t)'!E762*$AT$22)</f>
        <v>0.95621896780955318</v>
      </c>
      <c r="N764" s="7">
        <f ca="1">$AT$9*EXP(-'3.r(t)'!F762*$AT$23)</f>
        <v>0.97477724287223655</v>
      </c>
      <c r="O764" s="7">
        <v>1</v>
      </c>
      <c r="P764" s="7"/>
      <c r="Q764" s="7">
        <v>756</v>
      </c>
      <c r="R764" s="7">
        <f>$AU$7*EXP(-'3.r(t)'!D762*$AU$21)</f>
        <v>0.91099305977534117</v>
      </c>
      <c r="S764" s="7">
        <f ca="1">$AU$8*EXP(-'3.r(t)'!E762*$AU$22)</f>
        <v>0.93440603615979667</v>
      </c>
      <c r="T764" s="7">
        <f ca="1">$AU$9*EXP(-'3.r(t)'!F762*$AU$23)</f>
        <v>0.94975154908328818</v>
      </c>
      <c r="U764" s="7">
        <f ca="1">$AU$10*EXP(-'3.r(t)'!G762*$AU$24)</f>
        <v>0.97139809939918131</v>
      </c>
      <c r="V764" s="7">
        <v>1</v>
      </c>
      <c r="W764" s="7"/>
      <c r="X764" s="7">
        <v>756</v>
      </c>
      <c r="Y764" s="7">
        <f>$AV$7*EXP(-'3.r(t)'!D762*$AV$21)</f>
        <v>0.88900715067201674</v>
      </c>
      <c r="Z764" s="7">
        <f ca="1">$AV$8*EXP(-'3.r(t)'!E762*$AV$22)</f>
        <v>0.91268799514933008</v>
      </c>
      <c r="AA764" s="7">
        <f ca="1">$AV$9*EXP(-'3.r(t)'!F762*$AV$23)</f>
        <v>0.92495456757712691</v>
      </c>
      <c r="AB764" s="7">
        <f ca="1">$AV$10*EXP(-'3.r(t)'!G762*$AV$24)</f>
        <v>0.94318655336258517</v>
      </c>
      <c r="AC764" s="7">
        <f ca="1">$AV$11*EXP(-'3.r(t)'!H762*$AV$25)</f>
        <v>0.97141537084869922</v>
      </c>
      <c r="AD764" s="7">
        <v>1</v>
      </c>
      <c r="AE764" s="7"/>
      <c r="AF764" s="7">
        <v>756</v>
      </c>
      <c r="AG764" s="7">
        <f>$AW$7*EXP(-'3.r(t)'!D762*$AW$21)</f>
        <v>0.86718755429225491</v>
      </c>
      <c r="AH764" s="7">
        <f ca="1">$AW$8*EXP(-'3.r(t)'!E762*$AW$22)</f>
        <v>0.89109493948765839</v>
      </c>
      <c r="AI764" s="7">
        <f ca="1">$AW$9*EXP(-'3.r(t)'!F762*$AW$23)</f>
        <v>0.90041571950456134</v>
      </c>
      <c r="AJ764" s="7">
        <f ca="1">$AW$10*EXP(-'3.r(t)'!G762*$AW$24)</f>
        <v>0.91539295956686428</v>
      </c>
      <c r="AK764" s="7">
        <f ca="1">$AW$11*EXP(-'3.r(t)'!H762*$AW$25)</f>
        <v>0.94322846447319175</v>
      </c>
      <c r="AL764" s="7">
        <f ca="1">$AW$12*EXP(-'3.r(t)'!I762*$AW$26)</f>
        <v>0.97113309031296335</v>
      </c>
      <c r="AM764" s="7">
        <v>1</v>
      </c>
      <c r="AN764" s="7"/>
    </row>
    <row r="765" spans="2:40">
      <c r="B765" s="7">
        <v>757</v>
      </c>
      <c r="C765" s="7">
        <f>$AR$7*EXP(-'3.r(t)'!D763*$AR$21)</f>
        <v>0.97765346695821032</v>
      </c>
      <c r="D765" s="7">
        <v>1</v>
      </c>
      <c r="E765" s="7"/>
      <c r="F765" s="7">
        <v>757</v>
      </c>
      <c r="G765" s="48">
        <f>$AS$7*EXP(-'3.r(t)'!D763*$AS$21)</f>
        <v>0.9553476245219803</v>
      </c>
      <c r="H765" s="7">
        <f ca="1">$AS$8*EXP(-'3.r(t)'!E763*$AS$22)</f>
        <v>0.97995043837031592</v>
      </c>
      <c r="I765" s="7">
        <v>1</v>
      </c>
      <c r="J765" s="7"/>
      <c r="K765" s="7">
        <v>757</v>
      </c>
      <c r="L765" s="7">
        <f>$AT$7*EXP(-'3.r(t)'!D763*$AT$21)</f>
        <v>0.93311670519824419</v>
      </c>
      <c r="M765" s="7">
        <f ca="1">$AT$8*EXP(-'3.r(t)'!E763*$AT$22)</f>
        <v>0.95985054553355831</v>
      </c>
      <c r="N765" s="7">
        <f ca="1">$AT$9*EXP(-'3.r(t)'!F763*$AT$23)</f>
        <v>0.98246738578821269</v>
      </c>
      <c r="O765" s="7">
        <v>1</v>
      </c>
      <c r="P765" s="7"/>
      <c r="Q765" s="7">
        <v>757</v>
      </c>
      <c r="R765" s="7">
        <f>$AU$7*EXP(-'3.r(t)'!D763*$AU$21)</f>
        <v>0.91099305977534117</v>
      </c>
      <c r="S765" s="7">
        <f ca="1">$AU$8*EXP(-'3.r(t)'!E763*$AU$22)</f>
        <v>0.93973419022458304</v>
      </c>
      <c r="T765" s="7">
        <f ca="1">$AU$9*EXP(-'3.r(t)'!F763*$AU$23)</f>
        <v>0.96479608405535411</v>
      </c>
      <c r="U765" s="7">
        <f ca="1">$AU$10*EXP(-'3.r(t)'!G763*$AU$24)</f>
        <v>0.98223756840010168</v>
      </c>
      <c r="V765" s="7">
        <v>1</v>
      </c>
      <c r="W765" s="7"/>
      <c r="X765" s="7">
        <v>757</v>
      </c>
      <c r="Y765" s="7">
        <f>$AV$7*EXP(-'3.r(t)'!D763*$AV$21)</f>
        <v>0.88900715067201674</v>
      </c>
      <c r="Z765" s="7">
        <f ca="1">$AV$8*EXP(-'3.r(t)'!E763*$AV$22)</f>
        <v>0.91963366656672096</v>
      </c>
      <c r="AA765" s="7">
        <f ca="1">$AV$9*EXP(-'3.r(t)'!F763*$AV$23)</f>
        <v>0.94701898095618298</v>
      </c>
      <c r="AB765" s="7">
        <f ca="1">$AV$10*EXP(-'3.r(t)'!G763*$AV$24)</f>
        <v>0.96435332796062212</v>
      </c>
      <c r="AC765" s="7">
        <f ca="1">$AV$11*EXP(-'3.r(t)'!H763*$AV$25)</f>
        <v>0.978435025720094</v>
      </c>
      <c r="AD765" s="7">
        <v>1</v>
      </c>
      <c r="AE765" s="7"/>
      <c r="AF765" s="7">
        <v>757</v>
      </c>
      <c r="AG765" s="7">
        <f>$AW$7*EXP(-'3.r(t)'!D763*$AW$21)</f>
        <v>0.86718755429225491</v>
      </c>
      <c r="AH765" s="7">
        <f ca="1">$AW$8*EXP(-'3.r(t)'!E763*$AW$22)</f>
        <v>0.89957966968129432</v>
      </c>
      <c r="AI765" s="7">
        <f ca="1">$AW$9*EXP(-'3.r(t)'!F763*$AW$23)</f>
        <v>0.92916771496898332</v>
      </c>
      <c r="AJ765" s="7">
        <f ca="1">$AW$10*EXP(-'3.r(t)'!G763*$AW$24)</f>
        <v>0.94637975738492386</v>
      </c>
      <c r="AK765" s="7">
        <f ca="1">$AW$11*EXP(-'3.r(t)'!H763*$AW$25)</f>
        <v>0.95690965866537148</v>
      </c>
      <c r="AL765" s="7">
        <f ca="1">$AW$12*EXP(-'3.r(t)'!I763*$AW$26)</f>
        <v>0.98159836254043609</v>
      </c>
      <c r="AM765" s="7">
        <v>1</v>
      </c>
      <c r="AN765" s="7"/>
    </row>
    <row r="766" spans="2:40">
      <c r="B766" s="7">
        <v>758</v>
      </c>
      <c r="C766" s="7">
        <f>$AR$7*EXP(-'3.r(t)'!D764*$AR$21)</f>
        <v>0.97765346695821032</v>
      </c>
      <c r="D766" s="7">
        <v>1</v>
      </c>
      <c r="E766" s="7"/>
      <c r="F766" s="7">
        <v>758</v>
      </c>
      <c r="G766" s="48">
        <f>$AS$7*EXP(-'3.r(t)'!D764*$AS$21)</f>
        <v>0.9553476245219803</v>
      </c>
      <c r="H766" s="7">
        <f ca="1">$AS$8*EXP(-'3.r(t)'!E764*$AS$22)</f>
        <v>0.97659221893873061</v>
      </c>
      <c r="I766" s="7">
        <v>1</v>
      </c>
      <c r="J766" s="7"/>
      <c r="K766" s="7">
        <v>758</v>
      </c>
      <c r="L766" s="7">
        <f>$AT$7*EXP(-'3.r(t)'!D764*$AT$21)</f>
        <v>0.93311670519824419</v>
      </c>
      <c r="M766" s="7">
        <f ca="1">$AT$8*EXP(-'3.r(t)'!E764*$AT$22)</f>
        <v>0.95328314076059195</v>
      </c>
      <c r="N766" s="7">
        <f ca="1">$AT$9*EXP(-'3.r(t)'!F764*$AT$23)</f>
        <v>0.97700789487682804</v>
      </c>
      <c r="O766" s="7">
        <v>1</v>
      </c>
      <c r="P766" s="7"/>
      <c r="Q766" s="7">
        <v>758</v>
      </c>
      <c r="R766" s="7">
        <f>$AU$7*EXP(-'3.r(t)'!D764*$AU$21)</f>
        <v>0.91099305977534117</v>
      </c>
      <c r="S766" s="7">
        <f ca="1">$AU$8*EXP(-'3.r(t)'!E764*$AU$22)</f>
        <v>0.93010605689825965</v>
      </c>
      <c r="T766" s="7">
        <f ca="1">$AU$9*EXP(-'3.r(t)'!F764*$AU$23)</f>
        <v>0.95410329045588937</v>
      </c>
      <c r="U766" s="7">
        <f ca="1">$AU$10*EXP(-'3.r(t)'!G764*$AU$24)</f>
        <v>0.97458506340146722</v>
      </c>
      <c r="V766" s="7">
        <v>1</v>
      </c>
      <c r="W766" s="7"/>
      <c r="X766" s="7">
        <v>758</v>
      </c>
      <c r="Y766" s="7">
        <f>$AV$7*EXP(-'3.r(t)'!D764*$AV$21)</f>
        <v>0.88900715067201674</v>
      </c>
      <c r="Z766" s="7">
        <f ca="1">$AV$8*EXP(-'3.r(t)'!E764*$AV$22)</f>
        <v>0.90709224597254678</v>
      </c>
      <c r="AA766" s="7">
        <f ca="1">$AV$9*EXP(-'3.r(t)'!F764*$AV$23)</f>
        <v>0.93131902734218297</v>
      </c>
      <c r="AB766" s="7">
        <f ca="1">$AV$10*EXP(-'3.r(t)'!G764*$AV$24)</f>
        <v>0.94938552055754155</v>
      </c>
      <c r="AC766" s="7">
        <f ca="1">$AV$11*EXP(-'3.r(t)'!H764*$AV$25)</f>
        <v>0.97658895569743298</v>
      </c>
      <c r="AD766" s="7">
        <v>1</v>
      </c>
      <c r="AE766" s="7"/>
      <c r="AF766" s="7">
        <v>758</v>
      </c>
      <c r="AG766" s="7">
        <f>$AW$7*EXP(-'3.r(t)'!D764*$AW$21)</f>
        <v>0.86718755429225491</v>
      </c>
      <c r="AH766" s="7">
        <f ca="1">$AW$8*EXP(-'3.r(t)'!E764*$AW$22)</f>
        <v>0.88427098037204976</v>
      </c>
      <c r="AI766" s="7">
        <f ca="1">$AW$9*EXP(-'3.r(t)'!F764*$AW$23)</f>
        <v>0.90868599461255251</v>
      </c>
      <c r="AJ766" s="7">
        <f ca="1">$AW$10*EXP(-'3.r(t)'!G764*$AW$24)</f>
        <v>0.92443221764304251</v>
      </c>
      <c r="AK766" s="7">
        <f ca="1">$AW$11*EXP(-'3.r(t)'!H764*$AW$25)</f>
        <v>0.95330215139311447</v>
      </c>
      <c r="AL766" s="7">
        <f ca="1">$AW$12*EXP(-'3.r(t)'!I764*$AW$26)</f>
        <v>0.97433328460487623</v>
      </c>
      <c r="AM766" s="7">
        <v>1</v>
      </c>
      <c r="AN766" s="7"/>
    </row>
    <row r="767" spans="2:40">
      <c r="B767" s="7">
        <v>759</v>
      </c>
      <c r="C767" s="7">
        <f>$AR$7*EXP(-'3.r(t)'!D765*$AR$21)</f>
        <v>0.97765346695821032</v>
      </c>
      <c r="D767" s="7">
        <v>1</v>
      </c>
      <c r="E767" s="7"/>
      <c r="F767" s="7">
        <v>759</v>
      </c>
      <c r="G767" s="48">
        <f>$AS$7*EXP(-'3.r(t)'!D765*$AS$21)</f>
        <v>0.9553476245219803</v>
      </c>
      <c r="H767" s="7">
        <f ca="1">$AS$8*EXP(-'3.r(t)'!E765*$AS$22)</f>
        <v>0.97856120323310269</v>
      </c>
      <c r="I767" s="7">
        <v>1</v>
      </c>
      <c r="J767" s="7"/>
      <c r="K767" s="7">
        <v>759</v>
      </c>
      <c r="L767" s="7">
        <f>$AT$7*EXP(-'3.r(t)'!D765*$AT$21)</f>
        <v>0.93311670519824419</v>
      </c>
      <c r="M767" s="7">
        <f ca="1">$AT$8*EXP(-'3.r(t)'!E765*$AT$22)</f>
        <v>0.95713099389502887</v>
      </c>
      <c r="N767" s="7">
        <f ca="1">$AT$9*EXP(-'3.r(t)'!F765*$AT$23)</f>
        <v>0.97778053260262876</v>
      </c>
      <c r="O767" s="7">
        <v>1</v>
      </c>
      <c r="P767" s="7"/>
      <c r="Q767" s="7">
        <v>759</v>
      </c>
      <c r="R767" s="7">
        <f>$AU$7*EXP(-'3.r(t)'!D765*$AU$21)</f>
        <v>0.91099305977534117</v>
      </c>
      <c r="S767" s="7">
        <f ca="1">$AU$8*EXP(-'3.r(t)'!E765*$AU$22)</f>
        <v>0.93574318677080115</v>
      </c>
      <c r="T767" s="7">
        <f ca="1">$AU$9*EXP(-'3.r(t)'!F765*$AU$23)</f>
        <v>0.95561293574607153</v>
      </c>
      <c r="U767" s="7">
        <f ca="1">$AU$10*EXP(-'3.r(t)'!G765*$AU$24)</f>
        <v>0.97870589945191799</v>
      </c>
      <c r="V767" s="7">
        <v>1</v>
      </c>
      <c r="W767" s="7"/>
      <c r="X767" s="7">
        <v>759</v>
      </c>
      <c r="Y767" s="7">
        <f>$AV$7*EXP(-'3.r(t)'!D765*$AV$21)</f>
        <v>0.88900715067201674</v>
      </c>
      <c r="Z767" s="7">
        <f ca="1">$AV$8*EXP(-'3.r(t)'!E765*$AV$22)</f>
        <v>0.91442983932945232</v>
      </c>
      <c r="AA767" s="7">
        <f ca="1">$AV$9*EXP(-'3.r(t)'!F765*$AV$23)</f>
        <v>0.93353029325338266</v>
      </c>
      <c r="AB767" s="7">
        <f ca="1">$AV$10*EXP(-'3.r(t)'!G765*$AV$24)</f>
        <v>0.95743106389907395</v>
      </c>
      <c r="AC767" s="7">
        <f ca="1">$AV$11*EXP(-'3.r(t)'!H765*$AV$25)</f>
        <v>0.98179549973930591</v>
      </c>
      <c r="AD767" s="7">
        <v>1</v>
      </c>
      <c r="AE767" s="7"/>
      <c r="AF767" s="7">
        <v>759</v>
      </c>
      <c r="AG767" s="7">
        <f>$AW$7*EXP(-'3.r(t)'!D765*$AW$21)</f>
        <v>0.86718755429225491</v>
      </c>
      <c r="AH767" s="7">
        <f ca="1">$AW$8*EXP(-'3.r(t)'!E765*$AW$22)</f>
        <v>0.89322123928289843</v>
      </c>
      <c r="AI767" s="7">
        <f ca="1">$AW$9*EXP(-'3.r(t)'!F765*$AW$23)</f>
        <v>0.91156383565335786</v>
      </c>
      <c r="AJ767" s="7">
        <f ca="1">$AW$10*EXP(-'3.r(t)'!G765*$AW$24)</f>
        <v>0.93620819454355797</v>
      </c>
      <c r="AK767" s="7">
        <f ca="1">$AW$11*EXP(-'3.r(t)'!H765*$AW$25)</f>
        <v>0.96349403501198994</v>
      </c>
      <c r="AL767" s="7">
        <f ca="1">$AW$12*EXP(-'3.r(t)'!I765*$AW$26)</f>
        <v>0.97611904452593812</v>
      </c>
      <c r="AM767" s="7">
        <v>1</v>
      </c>
      <c r="AN767" s="7"/>
    </row>
    <row r="768" spans="2:40">
      <c r="B768" s="7">
        <v>760</v>
      </c>
      <c r="C768" s="7">
        <f>$AR$7*EXP(-'3.r(t)'!D766*$AR$21)</f>
        <v>0.97765346695821032</v>
      </c>
      <c r="D768" s="7">
        <v>1</v>
      </c>
      <c r="E768" s="7"/>
      <c r="F768" s="7">
        <v>760</v>
      </c>
      <c r="G768" s="48">
        <f>$AS$7*EXP(-'3.r(t)'!D766*$AS$21)</f>
        <v>0.9553476245219803</v>
      </c>
      <c r="H768" s="7">
        <f ca="1">$AS$8*EXP(-'3.r(t)'!E766*$AS$22)</f>
        <v>0.98069025354200889</v>
      </c>
      <c r="I768" s="7">
        <v>1</v>
      </c>
      <c r="J768" s="7"/>
      <c r="K768" s="7">
        <v>760</v>
      </c>
      <c r="L768" s="7">
        <f>$AT$7*EXP(-'3.r(t)'!D766*$AT$21)</f>
        <v>0.93311670519824419</v>
      </c>
      <c r="M768" s="7">
        <f ca="1">$AT$8*EXP(-'3.r(t)'!E766*$AT$22)</f>
        <v>0.96130037405228641</v>
      </c>
      <c r="N768" s="7">
        <f ca="1">$AT$9*EXP(-'3.r(t)'!F766*$AT$23)</f>
        <v>0.98091755003730341</v>
      </c>
      <c r="O768" s="7">
        <v>1</v>
      </c>
      <c r="P768" s="7"/>
      <c r="Q768" s="7">
        <v>760</v>
      </c>
      <c r="R768" s="7">
        <f>$AU$7*EXP(-'3.r(t)'!D766*$AU$21)</f>
        <v>0.91099305977534117</v>
      </c>
      <c r="S768" s="7">
        <f ca="1">$AU$8*EXP(-'3.r(t)'!E766*$AU$22)</f>
        <v>0.941864158988865</v>
      </c>
      <c r="T768" s="7">
        <f ca="1">$AU$9*EXP(-'3.r(t)'!F766*$AU$23)</f>
        <v>0.96175456615566235</v>
      </c>
      <c r="U768" s="7">
        <f ca="1">$AU$10*EXP(-'3.r(t)'!G766*$AU$24)</f>
        <v>0.9773368482499426</v>
      </c>
      <c r="V768" s="7">
        <v>1</v>
      </c>
      <c r="W768" s="7"/>
      <c r="X768" s="7">
        <v>760</v>
      </c>
      <c r="Y768" s="7">
        <f>$AV$7*EXP(-'3.r(t)'!D766*$AV$21)</f>
        <v>0.88900715067201674</v>
      </c>
      <c r="Z768" s="7">
        <f ca="1">$AV$8*EXP(-'3.r(t)'!E766*$AV$22)</f>
        <v>0.92241392874009764</v>
      </c>
      <c r="AA768" s="7">
        <f ca="1">$AV$9*EXP(-'3.r(t)'!F766*$AV$23)</f>
        <v>0.94254429878092261</v>
      </c>
      <c r="AB768" s="7">
        <f ca="1">$AV$10*EXP(-'3.r(t)'!G766*$AV$24)</f>
        <v>0.95475435505222939</v>
      </c>
      <c r="AC768" s="7">
        <f ca="1">$AV$11*EXP(-'3.r(t)'!H766*$AV$25)</f>
        <v>0.97893376594476156</v>
      </c>
      <c r="AD768" s="7">
        <v>1</v>
      </c>
      <c r="AE768" s="7"/>
      <c r="AF768" s="7">
        <v>760</v>
      </c>
      <c r="AG768" s="7">
        <f>$AW$7*EXP(-'3.r(t)'!D766*$AW$21)</f>
        <v>0.86718755429225491</v>
      </c>
      <c r="AH768" s="7">
        <f ca="1">$AW$8*EXP(-'3.r(t)'!E766*$AW$22)</f>
        <v>0.90298049637344369</v>
      </c>
      <c r="AI768" s="7">
        <f ca="1">$AW$9*EXP(-'3.r(t)'!F766*$AW$23)</f>
        <v>0.92331855020324105</v>
      </c>
      <c r="AJ768" s="7">
        <f ca="1">$AW$10*EXP(-'3.r(t)'!G766*$AW$24)</f>
        <v>0.93228487638603796</v>
      </c>
      <c r="AK768" s="7">
        <f ca="1">$AW$11*EXP(-'3.r(t)'!H766*$AW$25)</f>
        <v>0.95788544338356418</v>
      </c>
      <c r="AL768" s="7">
        <f ca="1">$AW$12*EXP(-'3.r(t)'!I766*$AW$26)</f>
        <v>0.98034704579233667</v>
      </c>
      <c r="AM768" s="7">
        <v>1</v>
      </c>
      <c r="AN768" s="7"/>
    </row>
    <row r="769" spans="2:40">
      <c r="B769" s="7">
        <v>761</v>
      </c>
      <c r="C769" s="7">
        <f>$AR$7*EXP(-'3.r(t)'!D767*$AR$21)</f>
        <v>0.97765346695821032</v>
      </c>
      <c r="D769" s="7">
        <v>1</v>
      </c>
      <c r="E769" s="7"/>
      <c r="F769" s="7">
        <v>761</v>
      </c>
      <c r="G769" s="48">
        <f>$AS$7*EXP(-'3.r(t)'!D767*$AS$21)</f>
        <v>0.9553476245219803</v>
      </c>
      <c r="H769" s="7">
        <f ca="1">$AS$8*EXP(-'3.r(t)'!E767*$AS$22)</f>
        <v>0.9768266589762441</v>
      </c>
      <c r="I769" s="7">
        <v>1</v>
      </c>
      <c r="J769" s="7"/>
      <c r="K769" s="7">
        <v>761</v>
      </c>
      <c r="L769" s="7">
        <f>$AT$7*EXP(-'3.r(t)'!D767*$AT$21)</f>
        <v>0.93311670519824419</v>
      </c>
      <c r="M769" s="7">
        <f ca="1">$AT$8*EXP(-'3.r(t)'!E767*$AT$22)</f>
        <v>0.95374088465021212</v>
      </c>
      <c r="N769" s="7">
        <f ca="1">$AT$9*EXP(-'3.r(t)'!F767*$AT$23)</f>
        <v>0.978389762712914</v>
      </c>
      <c r="O769" s="7">
        <v>1</v>
      </c>
      <c r="P769" s="7"/>
      <c r="Q769" s="7">
        <v>761</v>
      </c>
      <c r="R769" s="7">
        <f>$AU$7*EXP(-'3.r(t)'!D767*$AU$21)</f>
        <v>0.91099305977534117</v>
      </c>
      <c r="S769" s="7">
        <f ca="1">$AU$8*EXP(-'3.r(t)'!E767*$AU$22)</f>
        <v>0.93077605951985354</v>
      </c>
      <c r="T769" s="7">
        <f ca="1">$AU$9*EXP(-'3.r(t)'!F767*$AU$23)</f>
        <v>0.9568041428280647</v>
      </c>
      <c r="U769" s="7">
        <f ca="1">$AU$10*EXP(-'3.r(t)'!G767*$AU$24)</f>
        <v>0.97801809089985625</v>
      </c>
      <c r="V769" s="7">
        <v>1</v>
      </c>
      <c r="W769" s="7"/>
      <c r="X769" s="7">
        <v>761</v>
      </c>
      <c r="Y769" s="7">
        <f>$AV$7*EXP(-'3.r(t)'!D767*$AV$21)</f>
        <v>0.88900715067201674</v>
      </c>
      <c r="Z769" s="7">
        <f ca="1">$AV$8*EXP(-'3.r(t)'!E767*$AV$22)</f>
        <v>0.90796358336133509</v>
      </c>
      <c r="AA769" s="7">
        <f ca="1">$AV$9*EXP(-'3.r(t)'!F767*$AV$23)</f>
        <v>0.93527635747411919</v>
      </c>
      <c r="AB769" s="7">
        <f ca="1">$AV$10*EXP(-'3.r(t)'!G767*$AV$24)</f>
        <v>0.95608582244160867</v>
      </c>
      <c r="AC769" s="7">
        <f ca="1">$AV$11*EXP(-'3.r(t)'!H767*$AV$25)</f>
        <v>0.97604191391428186</v>
      </c>
      <c r="AD769" s="7">
        <v>1</v>
      </c>
      <c r="AE769" s="7"/>
      <c r="AF769" s="7">
        <v>761</v>
      </c>
      <c r="AG769" s="7">
        <f>$AW$7*EXP(-'3.r(t)'!D767*$AW$21)</f>
        <v>0.86718755429225491</v>
      </c>
      <c r="AH769" s="7">
        <f ca="1">$AW$8*EXP(-'3.r(t)'!E767*$AW$22)</f>
        <v>0.88533287741750732</v>
      </c>
      <c r="AI769" s="7">
        <f ca="1">$AW$9*EXP(-'3.r(t)'!F767*$AW$23)</f>
        <v>0.91383784857078676</v>
      </c>
      <c r="AJ769" s="7">
        <f ca="1">$AW$10*EXP(-'3.r(t)'!G767*$AW$24)</f>
        <v>0.93423575449567497</v>
      </c>
      <c r="AK769" s="7">
        <f ca="1">$AW$11*EXP(-'3.r(t)'!H767*$AW$25)</f>
        <v>0.95223445541672092</v>
      </c>
      <c r="AL769" s="7">
        <f ca="1">$AW$12*EXP(-'3.r(t)'!I767*$AW$26)</f>
        <v>0.97482808101881868</v>
      </c>
      <c r="AM769" s="7">
        <v>1</v>
      </c>
      <c r="AN769" s="7"/>
    </row>
    <row r="770" spans="2:40">
      <c r="B770" s="7">
        <v>762</v>
      </c>
      <c r="C770" s="7">
        <f>$AR$7*EXP(-'3.r(t)'!D768*$AR$21)</f>
        <v>0.97765346695821032</v>
      </c>
      <c r="D770" s="7">
        <v>1</v>
      </c>
      <c r="E770" s="7"/>
      <c r="F770" s="7">
        <v>762</v>
      </c>
      <c r="G770" s="48">
        <f>$AS$7*EXP(-'3.r(t)'!D768*$AS$21)</f>
        <v>0.9553476245219803</v>
      </c>
      <c r="H770" s="7">
        <f ca="1">$AS$8*EXP(-'3.r(t)'!E768*$AS$22)</f>
        <v>0.97459714787287499</v>
      </c>
      <c r="I770" s="7">
        <v>1</v>
      </c>
      <c r="J770" s="7"/>
      <c r="K770" s="7">
        <v>762</v>
      </c>
      <c r="L770" s="7">
        <f>$AT$7*EXP(-'3.r(t)'!D768*$AT$21)</f>
        <v>0.93311670519824419</v>
      </c>
      <c r="M770" s="7">
        <f ca="1">$AT$8*EXP(-'3.r(t)'!E768*$AT$22)</f>
        <v>0.94939221285615072</v>
      </c>
      <c r="N770" s="7">
        <f ca="1">$AT$9*EXP(-'3.r(t)'!F768*$AT$23)</f>
        <v>0.96988028719691732</v>
      </c>
      <c r="O770" s="7">
        <v>1</v>
      </c>
      <c r="P770" s="7"/>
      <c r="Q770" s="7">
        <v>762</v>
      </c>
      <c r="R770" s="7">
        <f>$AU$7*EXP(-'3.r(t)'!D768*$AU$21)</f>
        <v>0.91099305977534117</v>
      </c>
      <c r="S770" s="7">
        <f ca="1">$AU$8*EXP(-'3.r(t)'!E768*$AU$22)</f>
        <v>0.92441737932089385</v>
      </c>
      <c r="T770" s="7">
        <f ca="1">$AU$9*EXP(-'3.r(t)'!F768*$AU$23)</f>
        <v>0.94023304829894083</v>
      </c>
      <c r="U770" s="7">
        <f ca="1">$AU$10*EXP(-'3.r(t)'!G768*$AU$24)</f>
        <v>0.97139635329536633</v>
      </c>
      <c r="V770" s="7">
        <v>1</v>
      </c>
      <c r="W770" s="7"/>
      <c r="X770" s="7">
        <v>762</v>
      </c>
      <c r="Y770" s="7">
        <f>$AV$7*EXP(-'3.r(t)'!D768*$AV$21)</f>
        <v>0.88900715067201674</v>
      </c>
      <c r="Z770" s="7">
        <f ca="1">$AV$8*EXP(-'3.r(t)'!E768*$AV$22)</f>
        <v>0.8997025681201728</v>
      </c>
      <c r="AA770" s="7">
        <f ca="1">$AV$9*EXP(-'3.r(t)'!F768*$AV$23)</f>
        <v>0.91108449063760566</v>
      </c>
      <c r="AB770" s="7">
        <f ca="1">$AV$10*EXP(-'3.r(t)'!G768*$AV$24)</f>
        <v>0.94318316257942436</v>
      </c>
      <c r="AC770" s="7">
        <f ca="1">$AV$11*EXP(-'3.r(t)'!H768*$AV$25)</f>
        <v>0.97600544030870051</v>
      </c>
      <c r="AD770" s="7">
        <v>1</v>
      </c>
      <c r="AE770" s="7"/>
      <c r="AF770" s="7">
        <v>762</v>
      </c>
      <c r="AG770" s="7">
        <f>$AW$7*EXP(-'3.r(t)'!D768*$AW$21)</f>
        <v>0.86718755429225491</v>
      </c>
      <c r="AH770" s="7">
        <f ca="1">$AW$8*EXP(-'3.r(t)'!E768*$AW$22)</f>
        <v>0.87527546486448649</v>
      </c>
      <c r="AI770" s="7">
        <f ca="1">$AW$9*EXP(-'3.r(t)'!F768*$AW$23)</f>
        <v>0.88245805464848792</v>
      </c>
      <c r="AJ770" s="7">
        <f ca="1">$AW$10*EXP(-'3.r(t)'!G768*$AW$24)</f>
        <v>0.9153880232747299</v>
      </c>
      <c r="AK770" s="7">
        <f ca="1">$AW$11*EXP(-'3.r(t)'!H768*$AW$25)</f>
        <v>0.95216328885201662</v>
      </c>
      <c r="AL770" s="7">
        <f ca="1">$AW$12*EXP(-'3.r(t)'!I768*$AW$26)</f>
        <v>0.97401532326612217</v>
      </c>
      <c r="AM770" s="7">
        <v>1</v>
      </c>
      <c r="AN770" s="7"/>
    </row>
    <row r="771" spans="2:40">
      <c r="B771" s="7">
        <v>763</v>
      </c>
      <c r="C771" s="7">
        <f>$AR$7*EXP(-'3.r(t)'!D769*$AR$21)</f>
        <v>0.97765346695821032</v>
      </c>
      <c r="D771" s="7">
        <v>1</v>
      </c>
      <c r="E771" s="7"/>
      <c r="F771" s="7">
        <v>763</v>
      </c>
      <c r="G771" s="48">
        <f>$AS$7*EXP(-'3.r(t)'!D769*$AS$21)</f>
        <v>0.9553476245219803</v>
      </c>
      <c r="H771" s="7">
        <f ca="1">$AS$8*EXP(-'3.r(t)'!E769*$AS$22)</f>
        <v>0.97418273787609633</v>
      </c>
      <c r="I771" s="7">
        <v>1</v>
      </c>
      <c r="J771" s="7"/>
      <c r="K771" s="7">
        <v>763</v>
      </c>
      <c r="L771" s="7">
        <f>$AT$7*EXP(-'3.r(t)'!D769*$AT$21)</f>
        <v>0.93311670519824419</v>
      </c>
      <c r="M771" s="7">
        <f ca="1">$AT$8*EXP(-'3.r(t)'!E769*$AT$22)</f>
        <v>0.94858499937802321</v>
      </c>
      <c r="N771" s="7">
        <f ca="1">$AT$9*EXP(-'3.r(t)'!F769*$AT$23)</f>
        <v>0.97356723217842345</v>
      </c>
      <c r="O771" s="7">
        <v>1</v>
      </c>
      <c r="P771" s="7"/>
      <c r="Q771" s="7">
        <v>763</v>
      </c>
      <c r="R771" s="7">
        <f>$AU$7*EXP(-'3.r(t)'!D769*$AU$21)</f>
        <v>0.91099305977534117</v>
      </c>
      <c r="S771" s="7">
        <f ca="1">$AU$8*EXP(-'3.r(t)'!E769*$AU$22)</f>
        <v>0.92323866173361557</v>
      </c>
      <c r="T771" s="7">
        <f ca="1">$AU$9*EXP(-'3.r(t)'!F769*$AU$23)</f>
        <v>0.94739512094394607</v>
      </c>
      <c r="U771" s="7">
        <f ca="1">$AU$10*EXP(-'3.r(t)'!G769*$AU$24)</f>
        <v>0.97345965457631622</v>
      </c>
      <c r="V771" s="7">
        <v>1</v>
      </c>
      <c r="W771" s="7"/>
      <c r="X771" s="7">
        <v>763</v>
      </c>
      <c r="Y771" s="7">
        <f>$AV$7*EXP(-'3.r(t)'!D769*$AV$21)</f>
        <v>0.88900715067201674</v>
      </c>
      <c r="Z771" s="7">
        <f ca="1">$AV$8*EXP(-'3.r(t)'!E769*$AV$22)</f>
        <v>0.89817328805164609</v>
      </c>
      <c r="AA771" s="7">
        <f ca="1">$AV$9*EXP(-'3.r(t)'!F769*$AV$23)</f>
        <v>0.92151434712861169</v>
      </c>
      <c r="AB771" s="7">
        <f ca="1">$AV$10*EXP(-'3.r(t)'!G769*$AV$24)</f>
        <v>0.94719416757005048</v>
      </c>
      <c r="AC771" s="7">
        <f ca="1">$AV$11*EXP(-'3.r(t)'!H769*$AV$25)</f>
        <v>0.97427108869100043</v>
      </c>
      <c r="AD771" s="7">
        <v>1</v>
      </c>
      <c r="AE771" s="7"/>
      <c r="AF771" s="7">
        <v>763</v>
      </c>
      <c r="AG771" s="7">
        <f>$AW$7*EXP(-'3.r(t)'!D769*$AW$21)</f>
        <v>0.86718755429225491</v>
      </c>
      <c r="AH771" s="7">
        <f ca="1">$AW$8*EXP(-'3.r(t)'!E769*$AW$22)</f>
        <v>0.87341616039934189</v>
      </c>
      <c r="AI771" s="7">
        <f ca="1">$AW$9*EXP(-'3.r(t)'!F769*$AW$23)</f>
        <v>0.89595322026341395</v>
      </c>
      <c r="AJ771" s="7">
        <f ca="1">$AW$10*EXP(-'3.r(t)'!G769*$AW$24)</f>
        <v>0.92123343086783016</v>
      </c>
      <c r="AK771" s="7">
        <f ca="1">$AW$11*EXP(-'3.r(t)'!H769*$AW$25)</f>
        <v>0.94878232677068397</v>
      </c>
      <c r="AL771" s="7">
        <f ca="1">$AW$12*EXP(-'3.r(t)'!I769*$AW$26)</f>
        <v>0.97258249919780648</v>
      </c>
      <c r="AM771" s="7">
        <v>1</v>
      </c>
      <c r="AN771" s="7"/>
    </row>
    <row r="772" spans="2:40">
      <c r="B772" s="7">
        <v>764</v>
      </c>
      <c r="C772" s="7">
        <f>$AR$7*EXP(-'3.r(t)'!D770*$AR$21)</f>
        <v>0.97765346695821032</v>
      </c>
      <c r="D772" s="7">
        <v>1</v>
      </c>
      <c r="E772" s="7"/>
      <c r="F772" s="7">
        <v>764</v>
      </c>
      <c r="G772" s="48">
        <f>$AS$7*EXP(-'3.r(t)'!D770*$AS$21)</f>
        <v>0.9553476245219803</v>
      </c>
      <c r="H772" s="7">
        <f ca="1">$AS$8*EXP(-'3.r(t)'!E770*$AS$22)</f>
        <v>0.97837586112008823</v>
      </c>
      <c r="I772" s="7">
        <v>1</v>
      </c>
      <c r="J772" s="7"/>
      <c r="K772" s="7">
        <v>764</v>
      </c>
      <c r="L772" s="7">
        <f>$AT$7*EXP(-'3.r(t)'!D770*$AT$21)</f>
        <v>0.93311670519824419</v>
      </c>
      <c r="M772" s="7">
        <f ca="1">$AT$8*EXP(-'3.r(t)'!E770*$AT$22)</f>
        <v>0.95676846188261955</v>
      </c>
      <c r="N772" s="7">
        <f ca="1">$AT$9*EXP(-'3.r(t)'!F770*$AT$23)</f>
        <v>0.97711262929758869</v>
      </c>
      <c r="O772" s="7">
        <v>1</v>
      </c>
      <c r="P772" s="7"/>
      <c r="Q772" s="7">
        <v>764</v>
      </c>
      <c r="R772" s="7">
        <f>$AU$7*EXP(-'3.r(t)'!D770*$AU$21)</f>
        <v>0.91099305977534117</v>
      </c>
      <c r="S772" s="7">
        <f ca="1">$AU$8*EXP(-'3.r(t)'!E770*$AU$22)</f>
        <v>0.93521159067122162</v>
      </c>
      <c r="T772" s="7">
        <f ca="1">$AU$9*EXP(-'3.r(t)'!F770*$AU$23)</f>
        <v>0.954307859553161</v>
      </c>
      <c r="U772" s="7">
        <f ca="1">$AU$10*EXP(-'3.r(t)'!G770*$AU$24)</f>
        <v>0.98046739140631411</v>
      </c>
      <c r="V772" s="7">
        <v>1</v>
      </c>
      <c r="W772" s="7"/>
      <c r="X772" s="7">
        <v>764</v>
      </c>
      <c r="Y772" s="7">
        <f>$AV$7*EXP(-'3.r(t)'!D770*$AV$21)</f>
        <v>0.88900715067201674</v>
      </c>
      <c r="Z772" s="7">
        <f ca="1">$AV$8*EXP(-'3.r(t)'!E770*$AV$22)</f>
        <v>0.91373725428305741</v>
      </c>
      <c r="AA772" s="7">
        <f ca="1">$AV$9*EXP(-'3.r(t)'!F770*$AV$23)</f>
        <v>0.93161856928883546</v>
      </c>
      <c r="AB772" s="7">
        <f ca="1">$AV$10*EXP(-'3.r(t)'!G770*$AV$24)</f>
        <v>0.96088056761486684</v>
      </c>
      <c r="AC772" s="7">
        <f ca="1">$AV$11*EXP(-'3.r(t)'!H770*$AV$25)</f>
        <v>0.97778736797286603</v>
      </c>
      <c r="AD772" s="7">
        <v>1</v>
      </c>
      <c r="AE772" s="7"/>
      <c r="AF772" s="7">
        <v>764</v>
      </c>
      <c r="AG772" s="7">
        <f>$AW$7*EXP(-'3.r(t)'!D770*$AW$21)</f>
        <v>0.86718755429225491</v>
      </c>
      <c r="AH772" s="7">
        <f ca="1">$AW$8*EXP(-'3.r(t)'!E770*$AW$22)</f>
        <v>0.89237566717453964</v>
      </c>
      <c r="AI772" s="7">
        <f ca="1">$AW$9*EXP(-'3.r(t)'!F770*$AW$23)</f>
        <v>0.90907569875402339</v>
      </c>
      <c r="AJ772" s="7">
        <f ca="1">$AW$10*EXP(-'3.r(t)'!G770*$AW$24)</f>
        <v>0.94127230963060959</v>
      </c>
      <c r="AK772" s="7">
        <f ca="1">$AW$11*EXP(-'3.r(t)'!H770*$AW$25)</f>
        <v>0.95564325911652115</v>
      </c>
      <c r="AL772" s="7">
        <f ca="1">$AW$12*EXP(-'3.r(t)'!I770*$AW$26)</f>
        <v>0.97631096858362176</v>
      </c>
      <c r="AM772" s="7">
        <v>1</v>
      </c>
      <c r="AN772" s="7"/>
    </row>
    <row r="773" spans="2:40">
      <c r="B773" s="7">
        <v>765</v>
      </c>
      <c r="C773" s="7">
        <f>$AR$7*EXP(-'3.r(t)'!D771*$AR$21)</f>
        <v>0.97765346695821032</v>
      </c>
      <c r="D773" s="7">
        <v>1</v>
      </c>
      <c r="E773" s="7"/>
      <c r="F773" s="7">
        <v>765</v>
      </c>
      <c r="G773" s="48">
        <f>$AS$7*EXP(-'3.r(t)'!D771*$AS$21)</f>
        <v>0.9553476245219803</v>
      </c>
      <c r="H773" s="7">
        <f ca="1">$AS$8*EXP(-'3.r(t)'!E771*$AS$22)</f>
        <v>0.97415975062542282</v>
      </c>
      <c r="I773" s="7">
        <v>1</v>
      </c>
      <c r="J773" s="7"/>
      <c r="K773" s="7">
        <v>765</v>
      </c>
      <c r="L773" s="7">
        <f>$AT$7*EXP(-'3.r(t)'!D771*$AT$21)</f>
        <v>0.93311670519824419</v>
      </c>
      <c r="M773" s="7">
        <f ca="1">$AT$8*EXP(-'3.r(t)'!E771*$AT$22)</f>
        <v>0.94854023343616534</v>
      </c>
      <c r="N773" s="7">
        <f ca="1">$AT$9*EXP(-'3.r(t)'!F771*$AT$23)</f>
        <v>0.97182216181986947</v>
      </c>
      <c r="O773" s="7">
        <v>1</v>
      </c>
      <c r="P773" s="7"/>
      <c r="Q773" s="7">
        <v>765</v>
      </c>
      <c r="R773" s="7">
        <f>$AU$7*EXP(-'3.r(t)'!D771*$AU$21)</f>
        <v>0.91099305977534117</v>
      </c>
      <c r="S773" s="7">
        <f ca="1">$AU$8*EXP(-'3.r(t)'!E771*$AU$22)</f>
        <v>0.92317330782121221</v>
      </c>
      <c r="T773" s="7">
        <f ca="1">$AU$9*EXP(-'3.r(t)'!F771*$AU$23)</f>
        <v>0.94400184847941582</v>
      </c>
      <c r="U773" s="7">
        <f ca="1">$AU$10*EXP(-'3.r(t)'!G771*$AU$24)</f>
        <v>0.97027434231820409</v>
      </c>
      <c r="V773" s="7">
        <v>1</v>
      </c>
      <c r="W773" s="7"/>
      <c r="X773" s="7">
        <v>765</v>
      </c>
      <c r="Y773" s="7">
        <f>$AV$7*EXP(-'3.r(t)'!D771*$AV$21)</f>
        <v>0.88900715067201674</v>
      </c>
      <c r="Z773" s="7">
        <f ca="1">$AV$8*EXP(-'3.r(t)'!E771*$AV$22)</f>
        <v>0.89808851626108877</v>
      </c>
      <c r="AA773" s="7">
        <f ca="1">$AV$9*EXP(-'3.r(t)'!F771*$AV$23)</f>
        <v>0.91656791942552485</v>
      </c>
      <c r="AB773" s="7">
        <f ca="1">$AV$10*EXP(-'3.r(t)'!G771*$AV$24)</f>
        <v>0.94100557423286268</v>
      </c>
      <c r="AC773" s="7">
        <f ca="1">$AV$11*EXP(-'3.r(t)'!H771*$AV$25)</f>
        <v>0.9686096962058538</v>
      </c>
      <c r="AD773" s="7">
        <v>1</v>
      </c>
      <c r="AE773" s="7"/>
      <c r="AF773" s="7">
        <v>765</v>
      </c>
      <c r="AG773" s="7">
        <f>$AW$7*EXP(-'3.r(t)'!D771*$AW$21)</f>
        <v>0.86718755429225491</v>
      </c>
      <c r="AH773" s="7">
        <f ca="1">$AW$8*EXP(-'3.r(t)'!E771*$AW$22)</f>
        <v>0.87331311767465114</v>
      </c>
      <c r="AI773" s="7">
        <f ca="1">$AW$9*EXP(-'3.r(t)'!F771*$AW$23)</f>
        <v>0.88954666659036619</v>
      </c>
      <c r="AJ773" s="7">
        <f ca="1">$AW$10*EXP(-'3.r(t)'!G771*$AW$24)</f>
        <v>0.91221972989777655</v>
      </c>
      <c r="AK773" s="7">
        <f ca="1">$AW$11*EXP(-'3.r(t)'!H771*$AW$25)</f>
        <v>0.93778780424710606</v>
      </c>
      <c r="AL773" s="7">
        <f ca="1">$AW$12*EXP(-'3.r(t)'!I771*$AW$26)</f>
        <v>0.97342159458434974</v>
      </c>
      <c r="AM773" s="7">
        <v>1</v>
      </c>
      <c r="AN773" s="7"/>
    </row>
    <row r="774" spans="2:40">
      <c r="B774" s="7">
        <v>766</v>
      </c>
      <c r="C774" s="7">
        <f>$AR$7*EXP(-'3.r(t)'!D772*$AR$21)</f>
        <v>0.97765346695821032</v>
      </c>
      <c r="D774" s="7">
        <v>1</v>
      </c>
      <c r="E774" s="7"/>
      <c r="F774" s="7">
        <v>766</v>
      </c>
      <c r="G774" s="48">
        <f>$AS$7*EXP(-'3.r(t)'!D772*$AS$21)</f>
        <v>0.9553476245219803</v>
      </c>
      <c r="H774" s="7">
        <f ca="1">$AS$8*EXP(-'3.r(t)'!E772*$AS$22)</f>
        <v>0.97155703101475444</v>
      </c>
      <c r="I774" s="7">
        <v>1</v>
      </c>
      <c r="J774" s="7"/>
      <c r="K774" s="7">
        <v>766</v>
      </c>
      <c r="L774" s="7">
        <f>$AT$7*EXP(-'3.r(t)'!D772*$AT$21)</f>
        <v>0.93311670519824419</v>
      </c>
      <c r="M774" s="7">
        <f ca="1">$AT$8*EXP(-'3.r(t)'!E772*$AT$22)</f>
        <v>0.94347846349998554</v>
      </c>
      <c r="N774" s="7">
        <f ca="1">$AT$9*EXP(-'3.r(t)'!F772*$AT$23)</f>
        <v>0.97160988420455907</v>
      </c>
      <c r="O774" s="7">
        <v>1</v>
      </c>
      <c r="P774" s="7"/>
      <c r="Q774" s="7">
        <v>766</v>
      </c>
      <c r="R774" s="7">
        <f>$AU$7*EXP(-'3.r(t)'!D772*$AU$21)</f>
        <v>0.91099305977534117</v>
      </c>
      <c r="S774" s="7">
        <f ca="1">$AU$8*EXP(-'3.r(t)'!E772*$AU$22)</f>
        <v>0.91579357141734796</v>
      </c>
      <c r="T774" s="7">
        <f ca="1">$AU$9*EXP(-'3.r(t)'!F772*$AU$23)</f>
        <v>0.94358949201500564</v>
      </c>
      <c r="U774" s="7">
        <f ca="1">$AU$10*EXP(-'3.r(t)'!G772*$AU$24)</f>
        <v>0.97144850534232063</v>
      </c>
      <c r="V774" s="7">
        <v>1</v>
      </c>
      <c r="W774" s="7"/>
      <c r="X774" s="7">
        <v>766</v>
      </c>
      <c r="Y774" s="7">
        <f>$AV$7*EXP(-'3.r(t)'!D772*$AV$21)</f>
        <v>0.88900715067201674</v>
      </c>
      <c r="Z774" s="7">
        <f ca="1">$AV$8*EXP(-'3.r(t)'!E772*$AV$22)</f>
        <v>0.88852901014168617</v>
      </c>
      <c r="AA774" s="7">
        <f ca="1">$AV$9*EXP(-'3.r(t)'!F772*$AV$23)</f>
        <v>0.91596742574508339</v>
      </c>
      <c r="AB774" s="7">
        <f ca="1">$AV$10*EXP(-'3.r(t)'!G772*$AV$24)</f>
        <v>0.94328443998866141</v>
      </c>
      <c r="AC774" s="7">
        <f ca="1">$AV$11*EXP(-'3.r(t)'!H772*$AV$25)</f>
        <v>0.97405137380839901</v>
      </c>
      <c r="AD774" s="7">
        <v>1</v>
      </c>
      <c r="AE774" s="7"/>
      <c r="AF774" s="7">
        <v>766</v>
      </c>
      <c r="AG774" s="7">
        <f>$AW$7*EXP(-'3.r(t)'!D772*$AW$21)</f>
        <v>0.86718755429225491</v>
      </c>
      <c r="AH774" s="7">
        <f ca="1">$AW$8*EXP(-'3.r(t)'!E772*$AW$22)</f>
        <v>0.86170888219383479</v>
      </c>
      <c r="AI774" s="7">
        <f ca="1">$AW$9*EXP(-'3.r(t)'!F772*$AW$23)</f>
        <v>0.88876969734103051</v>
      </c>
      <c r="AJ774" s="7">
        <f ca="1">$AW$10*EXP(-'3.r(t)'!G772*$AW$24)</f>
        <v>0.91553546645404227</v>
      </c>
      <c r="AK774" s="7">
        <f ca="1">$AW$11*EXP(-'3.r(t)'!H772*$AW$25)</f>
        <v>0.94835444156681625</v>
      </c>
      <c r="AL774" s="7">
        <f ca="1">$AW$12*EXP(-'3.r(t)'!I772*$AW$26)</f>
        <v>0.97401424653045432</v>
      </c>
      <c r="AM774" s="7">
        <v>1</v>
      </c>
      <c r="AN774" s="7"/>
    </row>
    <row r="775" spans="2:40">
      <c r="B775" s="7">
        <v>767</v>
      </c>
      <c r="C775" s="7">
        <f>$AR$7*EXP(-'3.r(t)'!D773*$AR$21)</f>
        <v>0.97765346695821032</v>
      </c>
      <c r="D775" s="7">
        <v>1</v>
      </c>
      <c r="E775" s="7"/>
      <c r="F775" s="7">
        <v>767</v>
      </c>
      <c r="G775" s="48">
        <f>$AS$7*EXP(-'3.r(t)'!D773*$AS$21)</f>
        <v>0.9553476245219803</v>
      </c>
      <c r="H775" s="7">
        <f ca="1">$AS$8*EXP(-'3.r(t)'!E773*$AS$22)</f>
        <v>0.97921186261459348</v>
      </c>
      <c r="I775" s="7">
        <v>1</v>
      </c>
      <c r="J775" s="7"/>
      <c r="K775" s="7">
        <v>767</v>
      </c>
      <c r="L775" s="7">
        <f>$AT$7*EXP(-'3.r(t)'!D773*$AT$21)</f>
        <v>0.93311670519824419</v>
      </c>
      <c r="M775" s="7">
        <f ca="1">$AT$8*EXP(-'3.r(t)'!E773*$AT$22)</f>
        <v>0.95840423730902324</v>
      </c>
      <c r="N775" s="7">
        <f ca="1">$AT$9*EXP(-'3.r(t)'!F773*$AT$23)</f>
        <v>0.98333963060560514</v>
      </c>
      <c r="O775" s="7">
        <v>1</v>
      </c>
      <c r="P775" s="7"/>
      <c r="Q775" s="7">
        <v>767</v>
      </c>
      <c r="R775" s="7">
        <f>$AU$7*EXP(-'3.r(t)'!D773*$AU$21)</f>
        <v>0.91099305977534117</v>
      </c>
      <c r="S775" s="7">
        <f ca="1">$AU$8*EXP(-'3.r(t)'!E773*$AU$22)</f>
        <v>0.93761099535754955</v>
      </c>
      <c r="T775" s="7">
        <f ca="1">$AU$9*EXP(-'3.r(t)'!F773*$AU$23)</f>
        <v>0.96650995661667172</v>
      </c>
      <c r="U775" s="7">
        <f ca="1">$AU$10*EXP(-'3.r(t)'!G773*$AU$24)</f>
        <v>0.97762984987745594</v>
      </c>
      <c r="V775" s="7">
        <v>1</v>
      </c>
      <c r="W775" s="7"/>
      <c r="X775" s="7">
        <v>767</v>
      </c>
      <c r="Y775" s="7">
        <f>$AV$7*EXP(-'3.r(t)'!D773*$AV$21)</f>
        <v>0.88900715067201674</v>
      </c>
      <c r="Z775" s="7">
        <f ca="1">$AV$8*EXP(-'3.r(t)'!E773*$AV$22)</f>
        <v>0.91686433615296048</v>
      </c>
      <c r="AA775" s="7">
        <f ca="1">$AV$9*EXP(-'3.r(t)'!F773*$AV$23)</f>
        <v>0.94954354101985161</v>
      </c>
      <c r="AB775" s="7">
        <f ca="1">$AV$10*EXP(-'3.r(t)'!G773*$AV$24)</f>
        <v>0.95532690383835706</v>
      </c>
      <c r="AC775" s="7">
        <f ca="1">$AV$11*EXP(-'3.r(t)'!H773*$AV$25)</f>
        <v>0.97779847253475127</v>
      </c>
      <c r="AD775" s="7">
        <v>1</v>
      </c>
      <c r="AE775" s="7"/>
      <c r="AF775" s="7">
        <v>767</v>
      </c>
      <c r="AG775" s="7">
        <f>$AW$7*EXP(-'3.r(t)'!D773*$AW$21)</f>
        <v>0.86718755429225491</v>
      </c>
      <c r="AH775" s="7">
        <f ca="1">$AW$8*EXP(-'3.r(t)'!E773*$AW$22)</f>
        <v>0.89619476901595363</v>
      </c>
      <c r="AI775" s="7">
        <f ca="1">$AW$9*EXP(-'3.r(t)'!F773*$AW$23)</f>
        <v>0.93247181108108457</v>
      </c>
      <c r="AJ775" s="7">
        <f ca="1">$AW$10*EXP(-'3.r(t)'!G773*$AW$24)</f>
        <v>0.93312361347238792</v>
      </c>
      <c r="AK775" s="7">
        <f ca="1">$AW$11*EXP(-'3.r(t)'!H773*$AW$25)</f>
        <v>0.95566496538992574</v>
      </c>
      <c r="AL775" s="7">
        <f ca="1">$AW$12*EXP(-'3.r(t)'!I773*$AW$26)</f>
        <v>0.9783107536459239</v>
      </c>
      <c r="AM775" s="7">
        <v>1</v>
      </c>
      <c r="AN775" s="7"/>
    </row>
    <row r="776" spans="2:40">
      <c r="B776" s="7">
        <v>768</v>
      </c>
      <c r="C776" s="7">
        <f>$AR$7*EXP(-'3.r(t)'!D774*$AR$21)</f>
        <v>0.97765346695821032</v>
      </c>
      <c r="D776" s="7">
        <v>1</v>
      </c>
      <c r="E776" s="7"/>
      <c r="F776" s="7">
        <v>768</v>
      </c>
      <c r="G776" s="48">
        <f>$AS$7*EXP(-'3.r(t)'!D774*$AS$21)</f>
        <v>0.9553476245219803</v>
      </c>
      <c r="H776" s="7">
        <f ca="1">$AS$8*EXP(-'3.r(t)'!E774*$AS$22)</f>
        <v>0.97876810109418044</v>
      </c>
      <c r="I776" s="7">
        <v>1</v>
      </c>
      <c r="J776" s="7"/>
      <c r="K776" s="7">
        <v>768</v>
      </c>
      <c r="L776" s="7">
        <f>$AT$7*EXP(-'3.r(t)'!D774*$AT$21)</f>
        <v>0.93311670519824419</v>
      </c>
      <c r="M776" s="7">
        <f ca="1">$AT$8*EXP(-'3.r(t)'!E774*$AT$22)</f>
        <v>0.95753577039626092</v>
      </c>
      <c r="N776" s="7">
        <f ca="1">$AT$9*EXP(-'3.r(t)'!F774*$AT$23)</f>
        <v>0.97636868747405936</v>
      </c>
      <c r="O776" s="7">
        <v>1</v>
      </c>
      <c r="P776" s="7"/>
      <c r="Q776" s="7">
        <v>768</v>
      </c>
      <c r="R776" s="7">
        <f>$AU$7*EXP(-'3.r(t)'!D774*$AU$21)</f>
        <v>0.91099305977534117</v>
      </c>
      <c r="S776" s="7">
        <f ca="1">$AU$8*EXP(-'3.r(t)'!E774*$AU$22)</f>
        <v>0.93633684672720197</v>
      </c>
      <c r="T776" s="7">
        <f ca="1">$AU$9*EXP(-'3.r(t)'!F774*$AU$23)</f>
        <v>0.95285525472193133</v>
      </c>
      <c r="U776" s="7">
        <f ca="1">$AU$10*EXP(-'3.r(t)'!G774*$AU$24)</f>
        <v>0.97666124778092522</v>
      </c>
      <c r="V776" s="7">
        <v>1</v>
      </c>
      <c r="W776" s="7"/>
      <c r="X776" s="7">
        <v>768</v>
      </c>
      <c r="Y776" s="7">
        <f>$AV$7*EXP(-'3.r(t)'!D774*$AV$21)</f>
        <v>0.88900715067201674</v>
      </c>
      <c r="Z776" s="7">
        <f ca="1">$AV$8*EXP(-'3.r(t)'!E774*$AV$22)</f>
        <v>0.91520343872287169</v>
      </c>
      <c r="AA776" s="7">
        <f ca="1">$AV$9*EXP(-'3.r(t)'!F774*$AV$23)</f>
        <v>0.92949227662996925</v>
      </c>
      <c r="AB776" s="7">
        <f ca="1">$AV$10*EXP(-'3.r(t)'!G774*$AV$24)</f>
        <v>0.95343483139676311</v>
      </c>
      <c r="AC776" s="7">
        <f ca="1">$AV$11*EXP(-'3.r(t)'!H774*$AV$25)</f>
        <v>0.97915147197240893</v>
      </c>
      <c r="AD776" s="7">
        <v>1</v>
      </c>
      <c r="AE776" s="7"/>
      <c r="AF776" s="7">
        <v>768</v>
      </c>
      <c r="AG776" s="7">
        <f>$AW$7*EXP(-'3.r(t)'!D774*$AW$21)</f>
        <v>0.86718755429225491</v>
      </c>
      <c r="AH776" s="7">
        <f ca="1">$AW$8*EXP(-'3.r(t)'!E774*$AW$22)</f>
        <v>0.89416591053556338</v>
      </c>
      <c r="AI776" s="7">
        <f ca="1">$AW$9*EXP(-'3.r(t)'!F774*$AW$23)</f>
        <v>0.90631029613357728</v>
      </c>
      <c r="AJ776" s="7">
        <f ca="1">$AW$10*EXP(-'3.r(t)'!G774*$AW$24)</f>
        <v>0.93035283993807016</v>
      </c>
      <c r="AK776" s="7">
        <f ca="1">$AW$11*EXP(-'3.r(t)'!H774*$AW$25)</f>
        <v>0.95831154090005943</v>
      </c>
      <c r="AL776" s="7">
        <f ca="1">$AW$12*EXP(-'3.r(t)'!I774*$AW$26)</f>
        <v>0.98303431578415712</v>
      </c>
      <c r="AM776" s="7">
        <v>1</v>
      </c>
      <c r="AN776" s="7"/>
    </row>
    <row r="777" spans="2:40">
      <c r="B777" s="7">
        <v>769</v>
      </c>
      <c r="C777" s="7">
        <f>$AR$7*EXP(-'3.r(t)'!D775*$AR$21)</f>
        <v>0.97765346695821032</v>
      </c>
      <c r="D777" s="7">
        <v>1</v>
      </c>
      <c r="E777" s="7"/>
      <c r="F777" s="7">
        <v>769</v>
      </c>
      <c r="G777" s="48">
        <f>$AS$7*EXP(-'3.r(t)'!D775*$AS$21)</f>
        <v>0.9553476245219803</v>
      </c>
      <c r="H777" s="7">
        <f ca="1">$AS$8*EXP(-'3.r(t)'!E775*$AS$22)</f>
        <v>0.9809001801182603</v>
      </c>
      <c r="I777" s="7">
        <v>1</v>
      </c>
      <c r="J777" s="7"/>
      <c r="K777" s="7">
        <v>769</v>
      </c>
      <c r="L777" s="7">
        <f>$AT$7*EXP(-'3.r(t)'!D775*$AT$21)</f>
        <v>0.93311670519824419</v>
      </c>
      <c r="M777" s="7">
        <f ca="1">$AT$8*EXP(-'3.r(t)'!E775*$AT$22)</f>
        <v>0.96171197005717846</v>
      </c>
      <c r="N777" s="7">
        <f ca="1">$AT$9*EXP(-'3.r(t)'!F775*$AT$23)</f>
        <v>0.98258088092164708</v>
      </c>
      <c r="O777" s="7">
        <v>1</v>
      </c>
      <c r="P777" s="7"/>
      <c r="Q777" s="7">
        <v>769</v>
      </c>
      <c r="R777" s="7">
        <f>$AU$7*EXP(-'3.r(t)'!D775*$AU$21)</f>
        <v>0.91099305977534117</v>
      </c>
      <c r="S777" s="7">
        <f ca="1">$AU$8*EXP(-'3.r(t)'!E775*$AU$22)</f>
        <v>0.94246913485644312</v>
      </c>
      <c r="T777" s="7">
        <f ca="1">$AU$9*EXP(-'3.r(t)'!F775*$AU$23)</f>
        <v>0.96501900440183908</v>
      </c>
      <c r="U777" s="7">
        <f ca="1">$AU$10*EXP(-'3.r(t)'!G775*$AU$24)</f>
        <v>0.98314501168933544</v>
      </c>
      <c r="V777" s="7">
        <v>1</v>
      </c>
      <c r="W777" s="7"/>
      <c r="X777" s="7">
        <v>769</v>
      </c>
      <c r="Y777" s="7">
        <f>$AV$7*EXP(-'3.r(t)'!D775*$AV$21)</f>
        <v>0.88900715067201674</v>
      </c>
      <c r="Z777" s="7">
        <f ca="1">$AV$8*EXP(-'3.r(t)'!E775*$AV$22)</f>
        <v>0.92320399015546062</v>
      </c>
      <c r="AA777" s="7">
        <f ca="1">$AV$9*EXP(-'3.r(t)'!F775*$AV$23)</f>
        <v>0.94734721921840581</v>
      </c>
      <c r="AB777" s="7">
        <f ca="1">$AV$10*EXP(-'3.r(t)'!G775*$AV$24)</f>
        <v>0.96613599279479212</v>
      </c>
      <c r="AC777" s="7">
        <f ca="1">$AV$11*EXP(-'3.r(t)'!H775*$AV$25)</f>
        <v>0.98474587690477755</v>
      </c>
      <c r="AD777" s="7">
        <v>1</v>
      </c>
      <c r="AE777" s="7"/>
      <c r="AF777" s="7">
        <v>769</v>
      </c>
      <c r="AG777" s="7">
        <f>$AW$7*EXP(-'3.r(t)'!D775*$AW$21)</f>
        <v>0.86718755429225491</v>
      </c>
      <c r="AH777" s="7">
        <f ca="1">$AW$8*EXP(-'3.r(t)'!E775*$AW$22)</f>
        <v>0.90394737034297634</v>
      </c>
      <c r="AI777" s="7">
        <f ca="1">$AW$9*EXP(-'3.r(t)'!F775*$AW$23)</f>
        <v>0.92959714108622671</v>
      </c>
      <c r="AJ777" s="7">
        <f ca="1">$AW$10*EXP(-'3.r(t)'!G775*$AW$24)</f>
        <v>0.94900512916059721</v>
      </c>
      <c r="AK777" s="7">
        <f ca="1">$AW$11*EXP(-'3.r(t)'!H775*$AW$25)</f>
        <v>0.96929349535146048</v>
      </c>
      <c r="AL777" s="7">
        <f ca="1">$AW$12*EXP(-'3.r(t)'!I775*$AW$26)</f>
        <v>0.98632721583407945</v>
      </c>
      <c r="AM777" s="7">
        <v>1</v>
      </c>
      <c r="AN777" s="7"/>
    </row>
    <row r="778" spans="2:40">
      <c r="B778" s="7">
        <v>770</v>
      </c>
      <c r="C778" s="7">
        <f>$AR$7*EXP(-'3.r(t)'!D776*$AR$21)</f>
        <v>0.97765346695821032</v>
      </c>
      <c r="D778" s="7">
        <v>1</v>
      </c>
      <c r="E778" s="7"/>
      <c r="F778" s="7">
        <v>770</v>
      </c>
      <c r="G778" s="48">
        <f>$AS$7*EXP(-'3.r(t)'!D776*$AS$21)</f>
        <v>0.9553476245219803</v>
      </c>
      <c r="H778" s="7">
        <f ca="1">$AS$8*EXP(-'3.r(t)'!E776*$AS$22)</f>
        <v>0.97957682301364102</v>
      </c>
      <c r="I778" s="7">
        <v>1</v>
      </c>
      <c r="J778" s="7"/>
      <c r="K778" s="7">
        <v>770</v>
      </c>
      <c r="L778" s="7">
        <f>$AT$7*EXP(-'3.r(t)'!D776*$AT$21)</f>
        <v>0.93311670519824419</v>
      </c>
      <c r="M778" s="7">
        <f ca="1">$AT$8*EXP(-'3.r(t)'!E776*$AT$22)</f>
        <v>0.95911878089072311</v>
      </c>
      <c r="N778" s="7">
        <f ca="1">$AT$9*EXP(-'3.r(t)'!F776*$AT$23)</f>
        <v>0.97610352921317656</v>
      </c>
      <c r="O778" s="7">
        <v>1</v>
      </c>
      <c r="P778" s="7"/>
      <c r="Q778" s="7">
        <v>770</v>
      </c>
      <c r="R778" s="7">
        <f>$AU$7*EXP(-'3.r(t)'!D776*$AU$21)</f>
        <v>0.91099305977534117</v>
      </c>
      <c r="S778" s="7">
        <f ca="1">$AU$8*EXP(-'3.r(t)'!E776*$AU$22)</f>
        <v>0.93865975237117605</v>
      </c>
      <c r="T778" s="7">
        <f ca="1">$AU$9*EXP(-'3.r(t)'!F776*$AU$23)</f>
        <v>0.95233777984258994</v>
      </c>
      <c r="U778" s="7">
        <f ca="1">$AU$10*EXP(-'3.r(t)'!G776*$AU$24)</f>
        <v>0.97328270084668345</v>
      </c>
      <c r="V778" s="7">
        <v>1</v>
      </c>
      <c r="W778" s="7"/>
      <c r="X778" s="7">
        <v>770</v>
      </c>
      <c r="Y778" s="7">
        <f>$AV$7*EXP(-'3.r(t)'!D776*$AV$21)</f>
        <v>0.88900715067201674</v>
      </c>
      <c r="Z778" s="7">
        <f ca="1">$AV$8*EXP(-'3.r(t)'!E776*$AV$22)</f>
        <v>0.91823199235192954</v>
      </c>
      <c r="AA778" s="7">
        <f ca="1">$AV$9*EXP(-'3.r(t)'!F776*$AV$23)</f>
        <v>0.92873519900706647</v>
      </c>
      <c r="AB778" s="7">
        <f ca="1">$AV$10*EXP(-'3.r(t)'!G776*$AV$24)</f>
        <v>0.94684984039435083</v>
      </c>
      <c r="AC778" s="7">
        <f ca="1">$AV$11*EXP(-'3.r(t)'!H776*$AV$25)</f>
        <v>0.96967475350800658</v>
      </c>
      <c r="AD778" s="7">
        <v>1</v>
      </c>
      <c r="AE778" s="7"/>
      <c r="AF778" s="7">
        <v>770</v>
      </c>
      <c r="AG778" s="7">
        <f>$AW$7*EXP(-'3.r(t)'!D776*$AW$21)</f>
        <v>0.86718755429225491</v>
      </c>
      <c r="AH778" s="7">
        <f ca="1">$AW$8*EXP(-'3.r(t)'!E776*$AW$22)</f>
        <v>0.89786611058919363</v>
      </c>
      <c r="AI778" s="7">
        <f ca="1">$AW$9*EXP(-'3.r(t)'!F776*$AW$23)</f>
        <v>0.90532616877753358</v>
      </c>
      <c r="AJ778" s="7">
        <f ca="1">$AW$10*EXP(-'3.r(t)'!G776*$AW$24)</f>
        <v>0.92073114175973847</v>
      </c>
      <c r="AK778" s="7">
        <f ca="1">$AW$11*EXP(-'3.r(t)'!H776*$AW$25)</f>
        <v>0.93985127083914244</v>
      </c>
      <c r="AL778" s="7">
        <f ca="1">$AW$12*EXP(-'3.r(t)'!I776*$AW$26)</f>
        <v>0.96829814003479753</v>
      </c>
      <c r="AM778" s="7">
        <v>1</v>
      </c>
      <c r="AN778" s="7"/>
    </row>
    <row r="779" spans="2:40">
      <c r="B779" s="7">
        <v>771</v>
      </c>
      <c r="C779" s="7">
        <f>$AR$7*EXP(-'3.r(t)'!D777*$AR$21)</f>
        <v>0.97765346695821032</v>
      </c>
      <c r="D779" s="7">
        <v>1</v>
      </c>
      <c r="E779" s="7"/>
      <c r="F779" s="7">
        <v>771</v>
      </c>
      <c r="G779" s="48">
        <f>$AS$7*EXP(-'3.r(t)'!D777*$AS$21)</f>
        <v>0.9553476245219803</v>
      </c>
      <c r="H779" s="7">
        <f ca="1">$AS$8*EXP(-'3.r(t)'!E777*$AS$22)</f>
        <v>0.97854432478260411</v>
      </c>
      <c r="I779" s="7">
        <v>1</v>
      </c>
      <c r="J779" s="7"/>
      <c r="K779" s="7">
        <v>771</v>
      </c>
      <c r="L779" s="7">
        <f>$AT$7*EXP(-'3.r(t)'!D777*$AT$21)</f>
        <v>0.93311670519824419</v>
      </c>
      <c r="M779" s="7">
        <f ca="1">$AT$8*EXP(-'3.r(t)'!E777*$AT$22)</f>
        <v>0.95709797654521755</v>
      </c>
      <c r="N779" s="7">
        <f ca="1">$AT$9*EXP(-'3.r(t)'!F777*$AT$23)</f>
        <v>0.9762875867395524</v>
      </c>
      <c r="O779" s="7">
        <v>1</v>
      </c>
      <c r="P779" s="7"/>
      <c r="Q779" s="7">
        <v>771</v>
      </c>
      <c r="R779" s="7">
        <f>$AU$7*EXP(-'3.r(t)'!D777*$AU$21)</f>
        <v>0.91099305977534117</v>
      </c>
      <c r="S779" s="7">
        <f ca="1">$AU$8*EXP(-'3.r(t)'!E777*$AU$22)</f>
        <v>0.93569476785967964</v>
      </c>
      <c r="T779" s="7">
        <f ca="1">$AU$9*EXP(-'3.r(t)'!F777*$AU$23)</f>
        <v>0.95269696604970544</v>
      </c>
      <c r="U779" s="7">
        <f ca="1">$AU$10*EXP(-'3.r(t)'!G777*$AU$24)</f>
        <v>0.97499379313705992</v>
      </c>
      <c r="V779" s="7">
        <v>1</v>
      </c>
      <c r="W779" s="7"/>
      <c r="X779" s="7">
        <v>771</v>
      </c>
      <c r="Y779" s="7">
        <f>$AV$7*EXP(-'3.r(t)'!D777*$AV$21)</f>
        <v>0.88900715067201674</v>
      </c>
      <c r="Z779" s="7">
        <f ca="1">$AV$8*EXP(-'3.r(t)'!E777*$AV$22)</f>
        <v>0.91436675177023496</v>
      </c>
      <c r="AA779" s="7">
        <f ca="1">$AV$9*EXP(-'3.r(t)'!F777*$AV$23)</f>
        <v>0.92926067484076269</v>
      </c>
      <c r="AB779" s="7">
        <f ca="1">$AV$10*EXP(-'3.r(t)'!G777*$AV$24)</f>
        <v>0.95018201021772097</v>
      </c>
      <c r="AC779" s="7">
        <f ca="1">$AV$11*EXP(-'3.r(t)'!H777*$AV$25)</f>
        <v>0.97256616720788314</v>
      </c>
      <c r="AD779" s="7">
        <v>1</v>
      </c>
      <c r="AE779" s="7"/>
      <c r="AF779" s="7">
        <v>771</v>
      </c>
      <c r="AG779" s="7">
        <f>$AW$7*EXP(-'3.r(t)'!D777*$AW$21)</f>
        <v>0.86718755429225491</v>
      </c>
      <c r="AH779" s="7">
        <f ca="1">$AW$8*EXP(-'3.r(t)'!E777*$AW$22)</f>
        <v>0.89314420950512152</v>
      </c>
      <c r="AI779" s="7">
        <f ca="1">$AW$9*EXP(-'3.r(t)'!F777*$AW$23)</f>
        <v>0.9060092079315949</v>
      </c>
      <c r="AJ779" s="7">
        <f ca="1">$AW$10*EXP(-'3.r(t)'!G777*$AW$24)</f>
        <v>0.92559579412869109</v>
      </c>
      <c r="AK779" s="7">
        <f ca="1">$AW$11*EXP(-'3.r(t)'!H777*$AW$25)</f>
        <v>0.94546459716758469</v>
      </c>
      <c r="AL779" s="7">
        <f ca="1">$AW$12*EXP(-'3.r(t)'!I777*$AW$26)</f>
        <v>0.97742660981020923</v>
      </c>
      <c r="AM779" s="7">
        <v>1</v>
      </c>
      <c r="AN779" s="7"/>
    </row>
    <row r="780" spans="2:40">
      <c r="B780" s="7">
        <v>772</v>
      </c>
      <c r="C780" s="7">
        <f>$AR$7*EXP(-'3.r(t)'!D778*$AR$21)</f>
        <v>0.97765346695821032</v>
      </c>
      <c r="D780" s="7">
        <v>1</v>
      </c>
      <c r="E780" s="7"/>
      <c r="F780" s="7">
        <v>772</v>
      </c>
      <c r="G780" s="48">
        <f>$AS$7*EXP(-'3.r(t)'!D778*$AS$21)</f>
        <v>0.9553476245219803</v>
      </c>
      <c r="H780" s="7">
        <f ca="1">$AS$8*EXP(-'3.r(t)'!E778*$AS$22)</f>
        <v>0.97753418442639384</v>
      </c>
      <c r="I780" s="7">
        <v>1</v>
      </c>
      <c r="J780" s="7"/>
      <c r="K780" s="7">
        <v>772</v>
      </c>
      <c r="L780" s="7">
        <f>$AT$7*EXP(-'3.r(t)'!D778*$AT$21)</f>
        <v>0.93311670519824419</v>
      </c>
      <c r="M780" s="7">
        <f ca="1">$AT$8*EXP(-'3.r(t)'!E778*$AT$22)</f>
        <v>0.95512299338630757</v>
      </c>
      <c r="N780" s="7">
        <f ca="1">$AT$9*EXP(-'3.r(t)'!F778*$AT$23)</f>
        <v>0.97495180060073483</v>
      </c>
      <c r="O780" s="7">
        <v>1</v>
      </c>
      <c r="P780" s="7"/>
      <c r="Q780" s="7">
        <v>772</v>
      </c>
      <c r="R780" s="7">
        <f>$AU$7*EXP(-'3.r(t)'!D778*$AU$21)</f>
        <v>0.91099305977534117</v>
      </c>
      <c r="S780" s="7">
        <f ca="1">$AU$8*EXP(-'3.r(t)'!E778*$AU$22)</f>
        <v>0.93280003640178655</v>
      </c>
      <c r="T780" s="7">
        <f ca="1">$AU$9*EXP(-'3.r(t)'!F778*$AU$23)</f>
        <v>0.95009173207036801</v>
      </c>
      <c r="U780" s="7">
        <f ca="1">$AU$10*EXP(-'3.r(t)'!G778*$AU$24)</f>
        <v>0.97470169802837991</v>
      </c>
      <c r="V780" s="7">
        <v>1</v>
      </c>
      <c r="W780" s="7"/>
      <c r="X780" s="7">
        <v>772</v>
      </c>
      <c r="Y780" s="7">
        <f>$AV$7*EXP(-'3.r(t)'!D778*$AV$21)</f>
        <v>0.88900715067201674</v>
      </c>
      <c r="Z780" s="7">
        <f ca="1">$AV$8*EXP(-'3.r(t)'!E778*$AV$22)</f>
        <v>0.91059703169093043</v>
      </c>
      <c r="AA780" s="7">
        <f ca="1">$AV$9*EXP(-'3.r(t)'!F778*$AV$23)</f>
        <v>0.92545156384223914</v>
      </c>
      <c r="AB780" s="7">
        <f ca="1">$AV$10*EXP(-'3.r(t)'!G778*$AV$24)</f>
        <v>0.94961277183829818</v>
      </c>
      <c r="AC780" s="7">
        <f ca="1">$AV$11*EXP(-'3.r(t)'!H778*$AV$25)</f>
        <v>0.97448364482963534</v>
      </c>
      <c r="AD780" s="7">
        <v>1</v>
      </c>
      <c r="AE780" s="7"/>
      <c r="AF780" s="7">
        <v>772</v>
      </c>
      <c r="AG780" s="7">
        <f>$AW$7*EXP(-'3.r(t)'!D778*$AW$21)</f>
        <v>0.86718755429225491</v>
      </c>
      <c r="AH780" s="7">
        <f ca="1">$AW$8*EXP(-'3.r(t)'!E778*$AW$22)</f>
        <v>0.88854380334601157</v>
      </c>
      <c r="AI780" s="7">
        <f ca="1">$AW$9*EXP(-'3.r(t)'!F778*$AW$23)</f>
        <v>0.90106085867993635</v>
      </c>
      <c r="AJ780" s="7">
        <f ca="1">$AW$10*EXP(-'3.r(t)'!G778*$AW$24)</f>
        <v>0.92476415494115549</v>
      </c>
      <c r="AK780" s="7">
        <f ca="1">$AW$11*EXP(-'3.r(t)'!H778*$AW$25)</f>
        <v>0.94919636247220962</v>
      </c>
      <c r="AL780" s="7">
        <f ca="1">$AW$12*EXP(-'3.r(t)'!I778*$AW$26)</f>
        <v>0.97291059626678711</v>
      </c>
      <c r="AM780" s="7">
        <v>1</v>
      </c>
      <c r="AN780" s="7"/>
    </row>
    <row r="781" spans="2:40">
      <c r="B781" s="7">
        <v>773</v>
      </c>
      <c r="C781" s="7">
        <f>$AR$7*EXP(-'3.r(t)'!D779*$AR$21)</f>
        <v>0.97765346695821032</v>
      </c>
      <c r="D781" s="7">
        <v>1</v>
      </c>
      <c r="E781" s="7"/>
      <c r="F781" s="7">
        <v>773</v>
      </c>
      <c r="G781" s="48">
        <f>$AS$7*EXP(-'3.r(t)'!D779*$AS$21)</f>
        <v>0.9553476245219803</v>
      </c>
      <c r="H781" s="7">
        <f ca="1">$AS$8*EXP(-'3.r(t)'!E779*$AS$22)</f>
        <v>0.9785617314662064</v>
      </c>
      <c r="I781" s="7">
        <v>1</v>
      </c>
      <c r="J781" s="7"/>
      <c r="K781" s="7">
        <v>773</v>
      </c>
      <c r="L781" s="7">
        <f>$AT$7*EXP(-'3.r(t)'!D779*$AT$21)</f>
        <v>0.93311670519824419</v>
      </c>
      <c r="M781" s="7">
        <f ca="1">$AT$8*EXP(-'3.r(t)'!E779*$AT$22)</f>
        <v>0.95713202722520863</v>
      </c>
      <c r="N781" s="7">
        <f ca="1">$AT$9*EXP(-'3.r(t)'!F779*$AT$23)</f>
        <v>0.98234689041512457</v>
      </c>
      <c r="O781" s="7">
        <v>1</v>
      </c>
      <c r="P781" s="7"/>
      <c r="Q781" s="7">
        <v>773</v>
      </c>
      <c r="R781" s="7">
        <f>$AU$7*EXP(-'3.r(t)'!D779*$AU$21)</f>
        <v>0.91099305977534117</v>
      </c>
      <c r="S781" s="7">
        <f ca="1">$AU$8*EXP(-'3.r(t)'!E779*$AU$22)</f>
        <v>0.93574470213067762</v>
      </c>
      <c r="T781" s="7">
        <f ca="1">$AU$9*EXP(-'3.r(t)'!F779*$AU$23)</f>
        <v>0.96455944243896741</v>
      </c>
      <c r="U781" s="7">
        <f ca="1">$AU$10*EXP(-'3.r(t)'!G779*$AU$24)</f>
        <v>0.98168202028185891</v>
      </c>
      <c r="V781" s="7">
        <v>1</v>
      </c>
      <c r="W781" s="7"/>
      <c r="X781" s="7">
        <v>773</v>
      </c>
      <c r="Y781" s="7">
        <f>$AV$7*EXP(-'3.r(t)'!D779*$AV$21)</f>
        <v>0.88900715067201674</v>
      </c>
      <c r="Z781" s="7">
        <f ca="1">$AV$8*EXP(-'3.r(t)'!E779*$AV$22)</f>
        <v>0.91443181378951344</v>
      </c>
      <c r="AA781" s="7">
        <f ca="1">$AV$9*EXP(-'3.r(t)'!F779*$AV$23)</f>
        <v>0.94667058035057161</v>
      </c>
      <c r="AB781" s="7">
        <f ca="1">$AV$10*EXP(-'3.r(t)'!G779*$AV$24)</f>
        <v>0.96326277067225863</v>
      </c>
      <c r="AC781" s="7">
        <f ca="1">$AV$11*EXP(-'3.r(t)'!H779*$AV$25)</f>
        <v>0.9793387016923597</v>
      </c>
      <c r="AD781" s="7">
        <v>1</v>
      </c>
      <c r="AE781" s="7"/>
      <c r="AF781" s="7">
        <v>773</v>
      </c>
      <c r="AG781" s="7">
        <f>$AW$7*EXP(-'3.r(t)'!D779*$AW$21)</f>
        <v>0.86718755429225491</v>
      </c>
      <c r="AH781" s="7">
        <f ca="1">$AW$8*EXP(-'3.r(t)'!E779*$AW$22)</f>
        <v>0.89322365011594274</v>
      </c>
      <c r="AI781" s="7">
        <f ca="1">$AW$9*EXP(-'3.r(t)'!F779*$AW$23)</f>
        <v>0.92871196522465493</v>
      </c>
      <c r="AJ781" s="7">
        <f ca="1">$AW$10*EXP(-'3.r(t)'!G779*$AW$24)</f>
        <v>0.94477486402814104</v>
      </c>
      <c r="AK781" s="7">
        <f ca="1">$AW$11*EXP(-'3.r(t)'!H779*$AW$25)</f>
        <v>0.95867806551039747</v>
      </c>
      <c r="AL781" s="7">
        <f ca="1">$AW$12*EXP(-'3.r(t)'!I779*$AW$26)</f>
        <v>0.97651044922473351</v>
      </c>
      <c r="AM781" s="7">
        <v>1</v>
      </c>
      <c r="AN781" s="7"/>
    </row>
    <row r="782" spans="2:40">
      <c r="B782" s="7">
        <v>774</v>
      </c>
      <c r="C782" s="7">
        <f>$AR$7*EXP(-'3.r(t)'!D780*$AR$21)</f>
        <v>0.97765346695821032</v>
      </c>
      <c r="D782" s="7">
        <v>1</v>
      </c>
      <c r="E782" s="7"/>
      <c r="F782" s="7">
        <v>774</v>
      </c>
      <c r="G782" s="48">
        <f>$AS$7*EXP(-'3.r(t)'!D780*$AS$21)</f>
        <v>0.9553476245219803</v>
      </c>
      <c r="H782" s="7">
        <f ca="1">$AS$8*EXP(-'3.r(t)'!E780*$AS$22)</f>
        <v>0.97794668601333101</v>
      </c>
      <c r="I782" s="7">
        <v>1</v>
      </c>
      <c r="J782" s="7"/>
      <c r="K782" s="7">
        <v>774</v>
      </c>
      <c r="L782" s="7">
        <f>$AT$7*EXP(-'3.r(t)'!D780*$AT$21)</f>
        <v>0.93311670519824419</v>
      </c>
      <c r="M782" s="7">
        <f ca="1">$AT$8*EXP(-'3.r(t)'!E780*$AT$22)</f>
        <v>0.95592925241031423</v>
      </c>
      <c r="N782" s="7">
        <f ca="1">$AT$9*EXP(-'3.r(t)'!F780*$AT$23)</f>
        <v>0.97779612271137828</v>
      </c>
      <c r="O782" s="7">
        <v>1</v>
      </c>
      <c r="P782" s="7"/>
      <c r="Q782" s="7">
        <v>774</v>
      </c>
      <c r="R782" s="7">
        <f>$AU$7*EXP(-'3.r(t)'!D780*$AU$21)</f>
        <v>0.91099305977534117</v>
      </c>
      <c r="S782" s="7">
        <f ca="1">$AU$8*EXP(-'3.r(t)'!E780*$AU$22)</f>
        <v>0.93398140855751843</v>
      </c>
      <c r="T782" s="7">
        <f ca="1">$AU$9*EXP(-'3.r(t)'!F780*$AU$23)</f>
        <v>0.95564340930913527</v>
      </c>
      <c r="U782" s="7">
        <f ca="1">$AU$10*EXP(-'3.r(t)'!G780*$AU$24)</f>
        <v>0.9769717811959957</v>
      </c>
      <c r="V782" s="7">
        <v>1</v>
      </c>
      <c r="W782" s="7"/>
      <c r="X782" s="7">
        <v>774</v>
      </c>
      <c r="Y782" s="7">
        <f>$AV$7*EXP(-'3.r(t)'!D780*$AV$21)</f>
        <v>0.88900715067201674</v>
      </c>
      <c r="Z782" s="7">
        <f ca="1">$AV$8*EXP(-'3.r(t)'!E780*$AV$22)</f>
        <v>0.9121350261771165</v>
      </c>
      <c r="AA782" s="7">
        <f ca="1">$AV$9*EXP(-'3.r(t)'!F780*$AV$23)</f>
        <v>0.93357494766312221</v>
      </c>
      <c r="AB782" s="7">
        <f ca="1">$AV$10*EXP(-'3.r(t)'!G780*$AV$24)</f>
        <v>0.95404122474712949</v>
      </c>
      <c r="AC782" s="7">
        <f ca="1">$AV$11*EXP(-'3.r(t)'!H780*$AV$25)</f>
        <v>0.97533292235763791</v>
      </c>
      <c r="AD782" s="7">
        <v>1</v>
      </c>
      <c r="AE782" s="7"/>
      <c r="AF782" s="7">
        <v>774</v>
      </c>
      <c r="AG782" s="7">
        <f>$AW$7*EXP(-'3.r(t)'!D780*$AW$21)</f>
        <v>0.86718755429225491</v>
      </c>
      <c r="AH782" s="7">
        <f ca="1">$AW$8*EXP(-'3.r(t)'!E780*$AW$22)</f>
        <v>0.8904201325817892</v>
      </c>
      <c r="AI782" s="7">
        <f ca="1">$AW$9*EXP(-'3.r(t)'!F780*$AW$23)</f>
        <v>0.91162197434091519</v>
      </c>
      <c r="AJ782" s="7">
        <f ca="1">$AW$10*EXP(-'3.r(t)'!G780*$AW$24)</f>
        <v>0.93124055053493238</v>
      </c>
      <c r="AK782" s="7">
        <f ca="1">$AW$11*EXP(-'3.r(t)'!H780*$AW$25)</f>
        <v>0.95085156196673182</v>
      </c>
      <c r="AL782" s="7">
        <f ca="1">$AW$12*EXP(-'3.r(t)'!I780*$AW$26)</f>
        <v>0.97754901195537225</v>
      </c>
      <c r="AM782" s="7">
        <v>1</v>
      </c>
      <c r="AN782" s="7"/>
    </row>
    <row r="783" spans="2:40">
      <c r="B783" s="7">
        <v>775</v>
      </c>
      <c r="C783" s="7">
        <f>$AR$7*EXP(-'3.r(t)'!D781*$AR$21)</f>
        <v>0.97765346695821032</v>
      </c>
      <c r="D783" s="7">
        <v>1</v>
      </c>
      <c r="E783" s="7"/>
      <c r="F783" s="7">
        <v>775</v>
      </c>
      <c r="G783" s="48">
        <f>$AS$7*EXP(-'3.r(t)'!D781*$AS$21)</f>
        <v>0.9553476245219803</v>
      </c>
      <c r="H783" s="7">
        <f ca="1">$AS$8*EXP(-'3.r(t)'!E781*$AS$22)</f>
        <v>0.97293864093193216</v>
      </c>
      <c r="I783" s="7">
        <v>1</v>
      </c>
      <c r="J783" s="7"/>
      <c r="K783" s="7">
        <v>775</v>
      </c>
      <c r="L783" s="7">
        <f>$AT$7*EXP(-'3.r(t)'!D781*$AT$21)</f>
        <v>0.93311670519824419</v>
      </c>
      <c r="M783" s="7">
        <f ca="1">$AT$8*EXP(-'3.r(t)'!E781*$AT$22)</f>
        <v>0.94616373260879094</v>
      </c>
      <c r="N783" s="7">
        <f ca="1">$AT$9*EXP(-'3.r(t)'!F781*$AT$23)</f>
        <v>0.97343440630891775</v>
      </c>
      <c r="O783" s="7">
        <v>1</v>
      </c>
      <c r="P783" s="7"/>
      <c r="Q783" s="7">
        <v>775</v>
      </c>
      <c r="R783" s="7">
        <f>$AU$7*EXP(-'3.r(t)'!D781*$AU$21)</f>
        <v>0.91099305977534117</v>
      </c>
      <c r="S783" s="7">
        <f ca="1">$AU$8*EXP(-'3.r(t)'!E781*$AU$22)</f>
        <v>0.91970606315597037</v>
      </c>
      <c r="T783" s="7">
        <f ca="1">$AU$9*EXP(-'3.r(t)'!F781*$AU$23)</f>
        <v>0.94713662827424261</v>
      </c>
      <c r="U783" s="7">
        <f ca="1">$AU$10*EXP(-'3.r(t)'!G781*$AU$24)</f>
        <v>0.97400767539561084</v>
      </c>
      <c r="V783" s="7">
        <v>1</v>
      </c>
      <c r="W783" s="7"/>
      <c r="X783" s="7">
        <v>775</v>
      </c>
      <c r="Y783" s="7">
        <f>$AV$7*EXP(-'3.r(t)'!D781*$AV$21)</f>
        <v>0.88900715067201674</v>
      </c>
      <c r="Z783" s="7">
        <f ca="1">$AV$8*EXP(-'3.r(t)'!E781*$AV$22)</f>
        <v>0.89359395852403856</v>
      </c>
      <c r="AA783" s="7">
        <f ca="1">$AV$9*EXP(-'3.r(t)'!F781*$AV$23)</f>
        <v>0.92113722603709447</v>
      </c>
      <c r="AB783" s="7">
        <f ca="1">$AV$10*EXP(-'3.r(t)'!G781*$AV$24)</f>
        <v>0.94826093645577425</v>
      </c>
      <c r="AC783" s="7">
        <f ca="1">$AV$11*EXP(-'3.r(t)'!H781*$AV$25)</f>
        <v>0.97081207648542478</v>
      </c>
      <c r="AD783" s="7">
        <v>1</v>
      </c>
      <c r="AE783" s="7"/>
      <c r="AF783" s="7">
        <v>775</v>
      </c>
      <c r="AG783" s="7">
        <f>$AW$7*EXP(-'3.r(t)'!D781*$AW$21)</f>
        <v>0.86718755429225491</v>
      </c>
      <c r="AH783" s="7">
        <f ca="1">$AW$8*EXP(-'3.r(t)'!E781*$AW$22)</f>
        <v>0.86785333056966274</v>
      </c>
      <c r="AI783" s="7">
        <f ca="1">$AW$9*EXP(-'3.r(t)'!F781*$AW$23)</f>
        <v>0.89546437302418136</v>
      </c>
      <c r="AJ783" s="7">
        <f ca="1">$AW$10*EXP(-'3.r(t)'!G781*$AW$24)</f>
        <v>0.92279016523711155</v>
      </c>
      <c r="AK783" s="7">
        <f ca="1">$AW$11*EXP(-'3.r(t)'!H781*$AW$25)</f>
        <v>0.94205725032242982</v>
      </c>
      <c r="AL783" s="7">
        <f ca="1">$AW$12*EXP(-'3.r(t)'!I781*$AW$26)</f>
        <v>0.9707329063144392</v>
      </c>
      <c r="AM783" s="7">
        <v>1</v>
      </c>
      <c r="AN783" s="7"/>
    </row>
    <row r="784" spans="2:40">
      <c r="B784" s="7">
        <v>776</v>
      </c>
      <c r="C784" s="7">
        <f>$AR$7*EXP(-'3.r(t)'!D782*$AR$21)</f>
        <v>0.97765346695821032</v>
      </c>
      <c r="D784" s="7">
        <v>1</v>
      </c>
      <c r="E784" s="7"/>
      <c r="F784" s="7">
        <v>776</v>
      </c>
      <c r="G784" s="48">
        <f>$AS$7*EXP(-'3.r(t)'!D782*$AS$21)</f>
        <v>0.9553476245219803</v>
      </c>
      <c r="H784" s="7">
        <f ca="1">$AS$8*EXP(-'3.r(t)'!E782*$AS$22)</f>
        <v>0.97837127816672254</v>
      </c>
      <c r="I784" s="7">
        <v>1</v>
      </c>
      <c r="J784" s="7"/>
      <c r="K784" s="7">
        <v>776</v>
      </c>
      <c r="L784" s="7">
        <f>$AT$7*EXP(-'3.r(t)'!D782*$AT$21)</f>
        <v>0.93311670519824419</v>
      </c>
      <c r="M784" s="7">
        <f ca="1">$AT$8*EXP(-'3.r(t)'!E782*$AT$22)</f>
        <v>0.95675949842563535</v>
      </c>
      <c r="N784" s="7">
        <f ca="1">$AT$9*EXP(-'3.r(t)'!F782*$AT$23)</f>
        <v>0.98102085499983838</v>
      </c>
      <c r="O784" s="7">
        <v>1</v>
      </c>
      <c r="P784" s="7"/>
      <c r="Q784" s="7">
        <v>776</v>
      </c>
      <c r="R784" s="7">
        <f>$AU$7*EXP(-'3.r(t)'!D782*$AU$21)</f>
        <v>0.91099305977534117</v>
      </c>
      <c r="S784" s="7">
        <f ca="1">$AU$8*EXP(-'3.r(t)'!E782*$AU$22)</f>
        <v>0.93519844844888966</v>
      </c>
      <c r="T784" s="7">
        <f ca="1">$AU$9*EXP(-'3.r(t)'!F782*$AU$23)</f>
        <v>0.96195715046284758</v>
      </c>
      <c r="U784" s="7">
        <f ca="1">$AU$10*EXP(-'3.r(t)'!G782*$AU$24)</f>
        <v>0.98070809465803499</v>
      </c>
      <c r="V784" s="7">
        <v>1</v>
      </c>
      <c r="W784" s="7"/>
      <c r="X784" s="7">
        <v>776</v>
      </c>
      <c r="Y784" s="7">
        <f>$AV$7*EXP(-'3.r(t)'!D782*$AV$21)</f>
        <v>0.88900715067201674</v>
      </c>
      <c r="Z784" s="7">
        <f ca="1">$AV$8*EXP(-'3.r(t)'!E782*$AV$22)</f>
        <v>0.91372013372247252</v>
      </c>
      <c r="AA784" s="7">
        <f ca="1">$AV$9*EXP(-'3.r(t)'!F782*$AV$23)</f>
        <v>0.9428421212378516</v>
      </c>
      <c r="AB784" s="7">
        <f ca="1">$AV$10*EXP(-'3.r(t)'!G782*$AV$24)</f>
        <v>0.96135241495926682</v>
      </c>
      <c r="AC784" s="7">
        <f ca="1">$AV$11*EXP(-'3.r(t)'!H782*$AV$25)</f>
        <v>0.98180315484428193</v>
      </c>
      <c r="AD784" s="7">
        <v>1</v>
      </c>
      <c r="AE784" s="7"/>
      <c r="AF784" s="7">
        <v>776</v>
      </c>
      <c r="AG784" s="7">
        <f>$AW$7*EXP(-'3.r(t)'!D782*$AW$21)</f>
        <v>0.86718755429225491</v>
      </c>
      <c r="AH784" s="7">
        <f ca="1">$AW$8*EXP(-'3.r(t)'!E782*$AW$22)</f>
        <v>0.8923547668339058</v>
      </c>
      <c r="AI784" s="7">
        <f ca="1">$AW$9*EXP(-'3.r(t)'!F782*$AW$23)</f>
        <v>0.92370756743385052</v>
      </c>
      <c r="AJ784" s="7">
        <f ca="1">$AW$10*EXP(-'3.r(t)'!G782*$AW$24)</f>
        <v>0.94196572259104905</v>
      </c>
      <c r="AK784" s="7">
        <f ca="1">$AW$11*EXP(-'3.r(t)'!H782*$AW$25)</f>
        <v>0.96350905988578073</v>
      </c>
      <c r="AL784" s="7">
        <f ca="1">$AW$12*EXP(-'3.r(t)'!I782*$AW$26)</f>
        <v>0.98416638132121126</v>
      </c>
      <c r="AM784" s="7">
        <v>1</v>
      </c>
      <c r="AN784" s="7"/>
    </row>
    <row r="785" spans="2:40">
      <c r="B785" s="7">
        <v>777</v>
      </c>
      <c r="C785" s="7">
        <f>$AR$7*EXP(-'3.r(t)'!D783*$AR$21)</f>
        <v>0.97765346695821032</v>
      </c>
      <c r="D785" s="7">
        <v>1</v>
      </c>
      <c r="E785" s="7"/>
      <c r="F785" s="7">
        <v>777</v>
      </c>
      <c r="G785" s="48">
        <f>$AS$7*EXP(-'3.r(t)'!D783*$AS$21)</f>
        <v>0.9553476245219803</v>
      </c>
      <c r="H785" s="7">
        <f ca="1">$AS$8*EXP(-'3.r(t)'!E783*$AS$22)</f>
        <v>0.97416159680575498</v>
      </c>
      <c r="I785" s="7">
        <v>1</v>
      </c>
      <c r="J785" s="7"/>
      <c r="K785" s="7">
        <v>777</v>
      </c>
      <c r="L785" s="7">
        <f>$AT$7*EXP(-'3.r(t)'!D783*$AT$21)</f>
        <v>0.93311670519824419</v>
      </c>
      <c r="M785" s="7">
        <f ca="1">$AT$8*EXP(-'3.r(t)'!E783*$AT$22)</f>
        <v>0.94854382869450249</v>
      </c>
      <c r="N785" s="7">
        <f ca="1">$AT$9*EXP(-'3.r(t)'!F783*$AT$23)</f>
        <v>0.97085713736031343</v>
      </c>
      <c r="O785" s="7">
        <v>1</v>
      </c>
      <c r="P785" s="7"/>
      <c r="Q785" s="7">
        <v>777</v>
      </c>
      <c r="R785" s="7">
        <f>$AU$7*EXP(-'3.r(t)'!D783*$AU$21)</f>
        <v>0.91099305977534117</v>
      </c>
      <c r="S785" s="7">
        <f ca="1">$AU$8*EXP(-'3.r(t)'!E783*$AU$22)</f>
        <v>0.92317855649105196</v>
      </c>
      <c r="T785" s="7">
        <f ca="1">$AU$9*EXP(-'3.r(t)'!F783*$AU$23)</f>
        <v>0.94212798183372093</v>
      </c>
      <c r="U785" s="7">
        <f ca="1">$AU$10*EXP(-'3.r(t)'!G783*$AU$24)</f>
        <v>0.96868221817156386</v>
      </c>
      <c r="V785" s="7">
        <v>1</v>
      </c>
      <c r="W785" s="7"/>
      <c r="X785" s="7">
        <v>777</v>
      </c>
      <c r="Y785" s="7">
        <f>$AV$7*EXP(-'3.r(t)'!D783*$AV$21)</f>
        <v>0.88900715067201674</v>
      </c>
      <c r="Z785" s="7">
        <f ca="1">$AV$8*EXP(-'3.r(t)'!E783*$AV$22)</f>
        <v>0.89809532433570904</v>
      </c>
      <c r="AA785" s="7">
        <f ca="1">$AV$9*EXP(-'3.r(t)'!F783*$AV$23)</f>
        <v>0.91384015977037847</v>
      </c>
      <c r="AB785" s="7">
        <f ca="1">$AV$10*EXP(-'3.r(t)'!G783*$AV$24)</f>
        <v>0.93791991395202512</v>
      </c>
      <c r="AC785" s="7">
        <f ca="1">$AV$11*EXP(-'3.r(t)'!H783*$AV$25)</f>
        <v>0.96907805675749836</v>
      </c>
      <c r="AD785" s="7">
        <v>1</v>
      </c>
      <c r="AE785" s="7"/>
      <c r="AF785" s="7">
        <v>777</v>
      </c>
      <c r="AG785" s="7">
        <f>$AW$7*EXP(-'3.r(t)'!D783*$AW$21)</f>
        <v>0.86718755429225491</v>
      </c>
      <c r="AH785" s="7">
        <f ca="1">$AW$8*EXP(-'3.r(t)'!E783*$AW$22)</f>
        <v>0.87332139300942924</v>
      </c>
      <c r="AI785" s="7">
        <f ca="1">$AW$9*EXP(-'3.r(t)'!F783*$AW$23)</f>
        <v>0.88601862812186127</v>
      </c>
      <c r="AJ785" s="7">
        <f ca="1">$AW$10*EXP(-'3.r(t)'!G783*$AW$24)</f>
        <v>0.90773650765208902</v>
      </c>
      <c r="AK785" s="7">
        <f ca="1">$AW$11*EXP(-'3.r(t)'!H783*$AW$25)</f>
        <v>0.93869493744166477</v>
      </c>
      <c r="AL785" s="7">
        <f ca="1">$AW$12*EXP(-'3.r(t)'!I783*$AW$26)</f>
        <v>0.96907564506036648</v>
      </c>
      <c r="AM785" s="7">
        <v>1</v>
      </c>
      <c r="AN785" s="7"/>
    </row>
    <row r="786" spans="2:40">
      <c r="B786" s="7">
        <v>778</v>
      </c>
      <c r="C786" s="7">
        <f>$AR$7*EXP(-'3.r(t)'!D784*$AR$21)</f>
        <v>0.97765346695821032</v>
      </c>
      <c r="D786" s="7">
        <v>1</v>
      </c>
      <c r="E786" s="7"/>
      <c r="F786" s="7">
        <v>778</v>
      </c>
      <c r="G786" s="48">
        <f>$AS$7*EXP(-'3.r(t)'!D784*$AS$21)</f>
        <v>0.9553476245219803</v>
      </c>
      <c r="H786" s="7">
        <f ca="1">$AS$8*EXP(-'3.r(t)'!E784*$AS$22)</f>
        <v>0.97805230213373795</v>
      </c>
      <c r="I786" s="7">
        <v>1</v>
      </c>
      <c r="J786" s="7"/>
      <c r="K786" s="7">
        <v>778</v>
      </c>
      <c r="L786" s="7">
        <f>$AT$7*EXP(-'3.r(t)'!D784*$AT$21)</f>
        <v>0.93311670519824419</v>
      </c>
      <c r="M786" s="7">
        <f ca="1">$AT$8*EXP(-'3.r(t)'!E784*$AT$22)</f>
        <v>0.95613574013051561</v>
      </c>
      <c r="N786" s="7">
        <f ca="1">$AT$9*EXP(-'3.r(t)'!F784*$AT$23)</f>
        <v>0.97879098715489243</v>
      </c>
      <c r="O786" s="7">
        <v>1</v>
      </c>
      <c r="P786" s="7"/>
      <c r="Q786" s="7">
        <v>778</v>
      </c>
      <c r="R786" s="7">
        <f>$AU$7*EXP(-'3.r(t)'!D784*$AU$21)</f>
        <v>0.91099305977534117</v>
      </c>
      <c r="S786" s="7">
        <f ca="1">$AU$8*EXP(-'3.r(t)'!E784*$AU$22)</f>
        <v>0.93428404513673602</v>
      </c>
      <c r="T786" s="7">
        <f ca="1">$AU$9*EXP(-'3.r(t)'!F784*$AU$23)</f>
        <v>0.95758904867568273</v>
      </c>
      <c r="U786" s="7">
        <f ca="1">$AU$10*EXP(-'3.r(t)'!G784*$AU$24)</f>
        <v>0.9788787008437978</v>
      </c>
      <c r="V786" s="7">
        <v>1</v>
      </c>
      <c r="W786" s="7"/>
      <c r="X786" s="7">
        <v>778</v>
      </c>
      <c r="Y786" s="7">
        <f>$AV$7*EXP(-'3.r(t)'!D784*$AV$21)</f>
        <v>0.88900715067201674</v>
      </c>
      <c r="Z786" s="7">
        <f ca="1">$AV$8*EXP(-'3.r(t)'!E784*$AV$22)</f>
        <v>0.91252912442970491</v>
      </c>
      <c r="AA786" s="7">
        <f ca="1">$AV$9*EXP(-'3.r(t)'!F784*$AV$23)</f>
        <v>0.93642746204597793</v>
      </c>
      <c r="AB786" s="7">
        <f ca="1">$AV$10*EXP(-'3.r(t)'!G784*$AV$24)</f>
        <v>0.95776918391281085</v>
      </c>
      <c r="AC786" s="7">
        <f ca="1">$AV$11*EXP(-'3.r(t)'!H784*$AV$25)</f>
        <v>0.97354198210856535</v>
      </c>
      <c r="AD786" s="7">
        <v>1</v>
      </c>
      <c r="AE786" s="7"/>
      <c r="AF786" s="7">
        <v>778</v>
      </c>
      <c r="AG786" s="7">
        <f>$AW$7*EXP(-'3.r(t)'!D784*$AW$21)</f>
        <v>0.86718755429225491</v>
      </c>
      <c r="AH786" s="7">
        <f ca="1">$AW$8*EXP(-'3.r(t)'!E784*$AW$22)</f>
        <v>0.89090105366007555</v>
      </c>
      <c r="AI786" s="7">
        <f ca="1">$AW$9*EXP(-'3.r(t)'!F784*$AW$23)</f>
        <v>0.91533778120024911</v>
      </c>
      <c r="AJ786" s="7">
        <f ca="1">$AW$10*EXP(-'3.r(t)'!G784*$AW$24)</f>
        <v>0.93670417595511557</v>
      </c>
      <c r="AK786" s="7">
        <f ca="1">$AW$11*EXP(-'3.r(t)'!H784*$AW$25)</f>
        <v>0.94736279456173422</v>
      </c>
      <c r="AL786" s="7">
        <f ca="1">$AW$12*EXP(-'3.r(t)'!I784*$AW$26)</f>
        <v>0.97754507122940226</v>
      </c>
      <c r="AM786" s="7">
        <v>1</v>
      </c>
      <c r="AN786" s="7"/>
    </row>
    <row r="787" spans="2:40">
      <c r="B787" s="7">
        <v>779</v>
      </c>
      <c r="C787" s="7">
        <f>$AR$7*EXP(-'3.r(t)'!D785*$AR$21)</f>
        <v>0.97765346695821032</v>
      </c>
      <c r="D787" s="7">
        <v>1</v>
      </c>
      <c r="E787" s="7"/>
      <c r="F787" s="7">
        <v>779</v>
      </c>
      <c r="G787" s="48">
        <f>$AS$7*EXP(-'3.r(t)'!D785*$AS$21)</f>
        <v>0.9553476245219803</v>
      </c>
      <c r="H787" s="7">
        <f ca="1">$AS$8*EXP(-'3.r(t)'!E785*$AS$22)</f>
        <v>0.97694739742071834</v>
      </c>
      <c r="I787" s="7">
        <v>1</v>
      </c>
      <c r="J787" s="7"/>
      <c r="K787" s="7">
        <v>779</v>
      </c>
      <c r="L787" s="7">
        <f>$AT$7*EXP(-'3.r(t)'!D785*$AT$21)</f>
        <v>0.93311670519824419</v>
      </c>
      <c r="M787" s="7">
        <f ca="1">$AT$8*EXP(-'3.r(t)'!E785*$AT$22)</f>
        <v>0.95397666918047741</v>
      </c>
      <c r="N787" s="7">
        <f ca="1">$AT$9*EXP(-'3.r(t)'!F785*$AT$23)</f>
        <v>0.97173641099516717</v>
      </c>
      <c r="O787" s="7">
        <v>1</v>
      </c>
      <c r="P787" s="7"/>
      <c r="Q787" s="7">
        <v>779</v>
      </c>
      <c r="R787" s="7">
        <f>$AU$7*EXP(-'3.r(t)'!D785*$AU$21)</f>
        <v>0.91099305977534117</v>
      </c>
      <c r="S787" s="7">
        <f ca="1">$AU$8*EXP(-'3.r(t)'!E785*$AU$22)</f>
        <v>0.931121241575393</v>
      </c>
      <c r="T787" s="7">
        <f ca="1">$AU$9*EXP(-'3.r(t)'!F785*$AU$23)</f>
        <v>0.94383526375053084</v>
      </c>
      <c r="U787" s="7">
        <f ca="1">$AU$10*EXP(-'3.r(t)'!G785*$AU$24)</f>
        <v>0.97388691045035858</v>
      </c>
      <c r="V787" s="7">
        <v>1</v>
      </c>
      <c r="W787" s="7"/>
      <c r="X787" s="7">
        <v>779</v>
      </c>
      <c r="Y787" s="7">
        <f>$AV$7*EXP(-'3.r(t)'!D785*$AV$21)</f>
        <v>0.88900715067201674</v>
      </c>
      <c r="Z787" s="7">
        <f ca="1">$AV$8*EXP(-'3.r(t)'!E785*$AV$22)</f>
        <v>0.90841257371798401</v>
      </c>
      <c r="AA787" s="7">
        <f ca="1">$AV$9*EXP(-'3.r(t)'!F785*$AV$23)</f>
        <v>0.91632531479120938</v>
      </c>
      <c r="AB787" s="7">
        <f ca="1">$AV$10*EXP(-'3.r(t)'!G785*$AV$24)</f>
        <v>0.94802580569933337</v>
      </c>
      <c r="AC787" s="7">
        <f ca="1">$AV$11*EXP(-'3.r(t)'!H785*$AV$25)</f>
        <v>0.97810034540236557</v>
      </c>
      <c r="AD787" s="7">
        <v>1</v>
      </c>
      <c r="AE787" s="7"/>
      <c r="AF787" s="7">
        <v>779</v>
      </c>
      <c r="AG787" s="7">
        <f>$AW$7*EXP(-'3.r(t)'!D785*$AW$21)</f>
        <v>0.86718755429225491</v>
      </c>
      <c r="AH787" s="7">
        <f ca="1">$AW$8*EXP(-'3.r(t)'!E785*$AW$22)</f>
        <v>0.88588016050737584</v>
      </c>
      <c r="AI787" s="7">
        <f ca="1">$AW$9*EXP(-'3.r(t)'!F785*$AW$23)</f>
        <v>0.88923274386725581</v>
      </c>
      <c r="AJ787" s="7">
        <f ca="1">$AW$10*EXP(-'3.r(t)'!G785*$AW$24)</f>
        <v>0.92244696397731751</v>
      </c>
      <c r="AK787" s="7">
        <f ca="1">$AW$11*EXP(-'3.r(t)'!H785*$AW$25)</f>
        <v>0.95625513578580712</v>
      </c>
      <c r="AL787" s="7">
        <f ca="1">$AW$12*EXP(-'3.r(t)'!I785*$AW$26)</f>
        <v>0.97703267758924628</v>
      </c>
      <c r="AM787" s="7">
        <v>1</v>
      </c>
      <c r="AN787" s="7"/>
    </row>
    <row r="788" spans="2:40">
      <c r="B788" s="7">
        <v>780</v>
      </c>
      <c r="C788" s="7">
        <f>$AR$7*EXP(-'3.r(t)'!D786*$AR$21)</f>
        <v>0.97765346695821032</v>
      </c>
      <c r="D788" s="7">
        <v>1</v>
      </c>
      <c r="E788" s="7"/>
      <c r="F788" s="7">
        <v>780</v>
      </c>
      <c r="G788" s="48">
        <f>$AS$7*EXP(-'3.r(t)'!D786*$AS$21)</f>
        <v>0.9553476245219803</v>
      </c>
      <c r="H788" s="7">
        <f ca="1">$AS$8*EXP(-'3.r(t)'!E786*$AS$22)</f>
        <v>0.97983164753227914</v>
      </c>
      <c r="I788" s="7">
        <v>1</v>
      </c>
      <c r="J788" s="7"/>
      <c r="K788" s="7">
        <v>780</v>
      </c>
      <c r="L788" s="7">
        <f>$AT$7*EXP(-'3.r(t)'!D786*$AT$21)</f>
        <v>0.93311670519824419</v>
      </c>
      <c r="M788" s="7">
        <f ca="1">$AT$8*EXP(-'3.r(t)'!E786*$AT$22)</f>
        <v>0.95961785103122998</v>
      </c>
      <c r="N788" s="7">
        <f ca="1">$AT$9*EXP(-'3.r(t)'!F786*$AT$23)</f>
        <v>0.97707074863395571</v>
      </c>
      <c r="O788" s="7">
        <v>1</v>
      </c>
      <c r="P788" s="7"/>
      <c r="Q788" s="7">
        <v>780</v>
      </c>
      <c r="R788" s="7">
        <f>$AU$7*EXP(-'3.r(t)'!D786*$AU$21)</f>
        <v>0.91099305977534117</v>
      </c>
      <c r="S788" s="7">
        <f ca="1">$AU$8*EXP(-'3.r(t)'!E786*$AU$22)</f>
        <v>0.9393924843300353</v>
      </c>
      <c r="T788" s="7">
        <f ca="1">$AU$9*EXP(-'3.r(t)'!F786*$AU$23)</f>
        <v>0.9542260548793845</v>
      </c>
      <c r="U788" s="7">
        <f ca="1">$AU$10*EXP(-'3.r(t)'!G786*$AU$24)</f>
        <v>0.97591665288620577</v>
      </c>
      <c r="V788" s="7">
        <v>1</v>
      </c>
      <c r="W788" s="7"/>
      <c r="X788" s="7">
        <v>780</v>
      </c>
      <c r="Y788" s="7">
        <f>$AV$7*EXP(-'3.r(t)'!D786*$AV$21)</f>
        <v>0.88900715067201674</v>
      </c>
      <c r="Z788" s="7">
        <f ca="1">$AV$8*EXP(-'3.r(t)'!E786*$AV$22)</f>
        <v>0.9191878309929522</v>
      </c>
      <c r="AA788" s="7">
        <f ca="1">$AV$9*EXP(-'3.r(t)'!F786*$AV$23)</f>
        <v>0.93149878228435767</v>
      </c>
      <c r="AB788" s="7">
        <f ca="1">$AV$10*EXP(-'3.r(t)'!G786*$AV$24)</f>
        <v>0.95198161086362021</v>
      </c>
      <c r="AC788" s="7">
        <f ca="1">$AV$11*EXP(-'3.r(t)'!H786*$AV$25)</f>
        <v>0.97708801519709154</v>
      </c>
      <c r="AD788" s="7">
        <v>1</v>
      </c>
      <c r="AE788" s="7"/>
      <c r="AF788" s="7">
        <v>780</v>
      </c>
      <c r="AG788" s="7">
        <f>$AW$7*EXP(-'3.r(t)'!D786*$AW$21)</f>
        <v>0.86718755429225491</v>
      </c>
      <c r="AH788" s="7">
        <f ca="1">$AW$8*EXP(-'3.r(t)'!E786*$AW$22)</f>
        <v>0.89903456089850553</v>
      </c>
      <c r="AI788" s="7">
        <f ca="1">$AW$9*EXP(-'3.r(t)'!F786*$AW$23)</f>
        <v>0.90891985082125981</v>
      </c>
      <c r="AJ788" s="7">
        <f ca="1">$AW$10*EXP(-'3.r(t)'!G786*$AW$24)</f>
        <v>0.92822659203878499</v>
      </c>
      <c r="AK788" s="7">
        <f ca="1">$AW$11*EXP(-'3.r(t)'!H786*$AW$25)</f>
        <v>0.95427671915304235</v>
      </c>
      <c r="AL788" s="7">
        <f ca="1">$AW$12*EXP(-'3.r(t)'!I786*$AW$26)</f>
        <v>0.97660477742519691</v>
      </c>
      <c r="AM788" s="7">
        <v>1</v>
      </c>
      <c r="AN788" s="7"/>
    </row>
    <row r="789" spans="2:40">
      <c r="B789" s="7">
        <v>781</v>
      </c>
      <c r="C789" s="7">
        <f>$AR$7*EXP(-'3.r(t)'!D787*$AR$21)</f>
        <v>0.97765346695821032</v>
      </c>
      <c r="D789" s="7">
        <v>1</v>
      </c>
      <c r="E789" s="7"/>
      <c r="F789" s="7">
        <v>781</v>
      </c>
      <c r="G789" s="48">
        <f>$AS$7*EXP(-'3.r(t)'!D787*$AS$21)</f>
        <v>0.9553476245219803</v>
      </c>
      <c r="H789" s="7">
        <f ca="1">$AS$8*EXP(-'3.r(t)'!E787*$AS$22)</f>
        <v>0.98109086094186437</v>
      </c>
      <c r="I789" s="7">
        <v>1</v>
      </c>
      <c r="J789" s="7"/>
      <c r="K789" s="7">
        <v>781</v>
      </c>
      <c r="L789" s="7">
        <f>$AT$7*EXP(-'3.r(t)'!D787*$AT$21)</f>
        <v>0.93311670519824419</v>
      </c>
      <c r="M789" s="7">
        <f ca="1">$AT$8*EXP(-'3.r(t)'!E787*$AT$22)</f>
        <v>0.96208590791181414</v>
      </c>
      <c r="N789" s="7">
        <f ca="1">$AT$9*EXP(-'3.r(t)'!F787*$AT$23)</f>
        <v>0.97925980255958156</v>
      </c>
      <c r="O789" s="7">
        <v>1</v>
      </c>
      <c r="P789" s="7"/>
      <c r="Q789" s="7">
        <v>781</v>
      </c>
      <c r="R789" s="7">
        <f>$AU$7*EXP(-'3.r(t)'!D787*$AU$21)</f>
        <v>0.91099305977534117</v>
      </c>
      <c r="S789" s="7">
        <f ca="1">$AU$8*EXP(-'3.r(t)'!E787*$AU$22)</f>
        <v>0.94301887191861311</v>
      </c>
      <c r="T789" s="7">
        <f ca="1">$AU$9*EXP(-'3.r(t)'!F787*$AU$23)</f>
        <v>0.95850658881809103</v>
      </c>
      <c r="U789" s="7">
        <f ca="1">$AU$10*EXP(-'3.r(t)'!G787*$AU$24)</f>
        <v>0.97315945883001942</v>
      </c>
      <c r="V789" s="7">
        <v>1</v>
      </c>
      <c r="W789" s="7"/>
      <c r="X789" s="7">
        <v>781</v>
      </c>
      <c r="Y789" s="7">
        <f>$AV$7*EXP(-'3.r(t)'!D787*$AV$21)</f>
        <v>0.88900715067201674</v>
      </c>
      <c r="Z789" s="7">
        <f ca="1">$AV$8*EXP(-'3.r(t)'!E787*$AV$22)</f>
        <v>0.92392205969294761</v>
      </c>
      <c r="AA789" s="7">
        <f ca="1">$AV$9*EXP(-'3.r(t)'!F787*$AV$23)</f>
        <v>0.93777367978006698</v>
      </c>
      <c r="AB789" s="7">
        <f ca="1">$AV$10*EXP(-'3.r(t)'!G787*$AV$24)</f>
        <v>0.94661006566978467</v>
      </c>
      <c r="AC789" s="7">
        <f ca="1">$AV$11*EXP(-'3.r(t)'!H787*$AV$25)</f>
        <v>0.97245364845253734</v>
      </c>
      <c r="AD789" s="7">
        <v>1</v>
      </c>
      <c r="AE789" s="7"/>
      <c r="AF789" s="7">
        <v>781</v>
      </c>
      <c r="AG789" s="7">
        <f>$AW$7*EXP(-'3.r(t)'!D787*$AW$21)</f>
        <v>0.86718755429225491</v>
      </c>
      <c r="AH789" s="7">
        <f ca="1">$AW$8*EXP(-'3.r(t)'!E787*$AW$22)</f>
        <v>0.90482632040897193</v>
      </c>
      <c r="AI789" s="7">
        <f ca="1">$AW$9*EXP(-'3.r(t)'!F787*$AW$23)</f>
        <v>0.91709273344472153</v>
      </c>
      <c r="AJ789" s="7">
        <f ca="1">$AW$10*EXP(-'3.r(t)'!G787*$AW$24)</f>
        <v>0.92038142303549542</v>
      </c>
      <c r="AK789" s="7">
        <f ca="1">$AW$11*EXP(-'3.r(t)'!H787*$AW$25)</f>
        <v>0.94524584321654881</v>
      </c>
      <c r="AL789" s="7">
        <f ca="1">$AW$12*EXP(-'3.r(t)'!I787*$AW$26)</f>
        <v>0.97728904064269706</v>
      </c>
      <c r="AM789" s="7">
        <v>1</v>
      </c>
      <c r="AN789" s="7"/>
    </row>
    <row r="790" spans="2:40">
      <c r="B790" s="7">
        <v>782</v>
      </c>
      <c r="C790" s="7">
        <f>$AR$7*EXP(-'3.r(t)'!D788*$AR$21)</f>
        <v>0.97765346695821032</v>
      </c>
      <c r="D790" s="7">
        <v>1</v>
      </c>
      <c r="E790" s="7"/>
      <c r="F790" s="7">
        <v>782</v>
      </c>
      <c r="G790" s="48">
        <f>$AS$7*EXP(-'3.r(t)'!D788*$AS$21)</f>
        <v>0.9553476245219803</v>
      </c>
      <c r="H790" s="7">
        <f ca="1">$AS$8*EXP(-'3.r(t)'!E788*$AS$22)</f>
        <v>0.97654955166022694</v>
      </c>
      <c r="I790" s="7">
        <v>1</v>
      </c>
      <c r="J790" s="7"/>
      <c r="K790" s="7">
        <v>782</v>
      </c>
      <c r="L790" s="7">
        <f>$AT$7*EXP(-'3.r(t)'!D788*$AT$21)</f>
        <v>0.93311670519824419</v>
      </c>
      <c r="M790" s="7">
        <f ca="1">$AT$8*EXP(-'3.r(t)'!E788*$AT$22)</f>
        <v>0.95319984476877873</v>
      </c>
      <c r="N790" s="7">
        <f ca="1">$AT$9*EXP(-'3.r(t)'!F788*$AT$23)</f>
        <v>0.97478178234785506</v>
      </c>
      <c r="O790" s="7">
        <v>1</v>
      </c>
      <c r="P790" s="7"/>
      <c r="Q790" s="7">
        <v>782</v>
      </c>
      <c r="R790" s="7">
        <f>$AU$7*EXP(-'3.r(t)'!D788*$AU$21)</f>
        <v>0.91099305977534117</v>
      </c>
      <c r="S790" s="7">
        <f ca="1">$AU$8*EXP(-'3.r(t)'!E788*$AU$22)</f>
        <v>0.92998415332505002</v>
      </c>
      <c r="T790" s="7">
        <f ca="1">$AU$9*EXP(-'3.r(t)'!F788*$AU$23)</f>
        <v>0.94976039496899378</v>
      </c>
      <c r="U790" s="7">
        <f ca="1">$AU$10*EXP(-'3.r(t)'!G788*$AU$24)</f>
        <v>0.9723466084342931</v>
      </c>
      <c r="V790" s="7">
        <v>1</v>
      </c>
      <c r="W790" s="7"/>
      <c r="X790" s="7">
        <v>782</v>
      </c>
      <c r="Y790" s="7">
        <f>$AV$7*EXP(-'3.r(t)'!D788*$AV$21)</f>
        <v>0.88900715067201674</v>
      </c>
      <c r="Z790" s="7">
        <f ca="1">$AV$8*EXP(-'3.r(t)'!E788*$AV$22)</f>
        <v>0.90693373305220459</v>
      </c>
      <c r="AA790" s="7">
        <f ca="1">$AV$9*EXP(-'3.r(t)'!F788*$AV$23)</f>
        <v>0.92496749000107137</v>
      </c>
      <c r="AB790" s="7">
        <f ca="1">$AV$10*EXP(-'3.r(t)'!G788*$AV$24)</f>
        <v>0.94502937710028001</v>
      </c>
      <c r="AC790" s="7">
        <f ca="1">$AV$11*EXP(-'3.r(t)'!H788*$AV$25)</f>
        <v>0.9756446849789091</v>
      </c>
      <c r="AD790" s="7">
        <v>1</v>
      </c>
      <c r="AE790" s="7"/>
      <c r="AF790" s="7">
        <v>782</v>
      </c>
      <c r="AG790" s="7">
        <f>$AW$7*EXP(-'3.r(t)'!D788*$AW$21)</f>
        <v>0.86718755429225491</v>
      </c>
      <c r="AH790" s="7">
        <f ca="1">$AW$8*EXP(-'3.r(t)'!E788*$AW$22)</f>
        <v>0.88407782841563876</v>
      </c>
      <c r="AI790" s="7">
        <f ca="1">$AW$9*EXP(-'3.r(t)'!F788*$AW$23)</f>
        <v>0.90043249233666123</v>
      </c>
      <c r="AJ790" s="7">
        <f ca="1">$AW$10*EXP(-'3.r(t)'!G788*$AW$24)</f>
        <v>0.91807704934122258</v>
      </c>
      <c r="AK790" s="7">
        <f ca="1">$AW$11*EXP(-'3.r(t)'!H788*$AW$25)</f>
        <v>0.95145953355619461</v>
      </c>
      <c r="AL790" s="7">
        <f ca="1">$AW$12*EXP(-'3.r(t)'!I788*$AW$26)</f>
        <v>0.97728392645360762</v>
      </c>
      <c r="AM790" s="7">
        <v>1</v>
      </c>
      <c r="AN790" s="7"/>
    </row>
    <row r="791" spans="2:40">
      <c r="B791" s="7">
        <v>783</v>
      </c>
      <c r="C791" s="7">
        <f>$AR$7*EXP(-'3.r(t)'!D789*$AR$21)</f>
        <v>0.97765346695821032</v>
      </c>
      <c r="D791" s="7">
        <v>1</v>
      </c>
      <c r="E791" s="7"/>
      <c r="F791" s="7">
        <v>783</v>
      </c>
      <c r="G791" s="48">
        <f>$AS$7*EXP(-'3.r(t)'!D789*$AS$21)</f>
        <v>0.9553476245219803</v>
      </c>
      <c r="H791" s="7">
        <f ca="1">$AS$8*EXP(-'3.r(t)'!E789*$AS$22)</f>
        <v>0.9768666920754383</v>
      </c>
      <c r="I791" s="7">
        <v>1</v>
      </c>
      <c r="J791" s="7"/>
      <c r="K791" s="7">
        <v>783</v>
      </c>
      <c r="L791" s="7">
        <f>$AT$7*EXP(-'3.r(t)'!D789*$AT$21)</f>
        <v>0.93311670519824419</v>
      </c>
      <c r="M791" s="7">
        <f ca="1">$AT$8*EXP(-'3.r(t)'!E789*$AT$22)</f>
        <v>0.95381906021079155</v>
      </c>
      <c r="N791" s="7">
        <f ca="1">$AT$9*EXP(-'3.r(t)'!F789*$AT$23)</f>
        <v>0.98123861961656988</v>
      </c>
      <c r="O791" s="7">
        <v>1</v>
      </c>
      <c r="P791" s="7"/>
      <c r="Q791" s="7">
        <v>783</v>
      </c>
      <c r="R791" s="7">
        <f>$AU$7*EXP(-'3.r(t)'!D789*$AU$21)</f>
        <v>0.91099305977534117</v>
      </c>
      <c r="S791" s="7">
        <f ca="1">$AU$8*EXP(-'3.r(t)'!E789*$AU$22)</f>
        <v>0.93089050165887177</v>
      </c>
      <c r="T791" s="7">
        <f ca="1">$AU$9*EXP(-'3.r(t)'!F789*$AU$23)</f>
        <v>0.96238426366654828</v>
      </c>
      <c r="U791" s="7">
        <f ca="1">$AU$10*EXP(-'3.r(t)'!G789*$AU$24)</f>
        <v>0.97788741582475036</v>
      </c>
      <c r="V791" s="7">
        <v>1</v>
      </c>
      <c r="W791" s="7"/>
      <c r="X791" s="7">
        <v>783</v>
      </c>
      <c r="Y791" s="7">
        <f>$AV$7*EXP(-'3.r(t)'!D789*$AV$21)</f>
        <v>0.88900715067201674</v>
      </c>
      <c r="Z791" s="7">
        <f ca="1">$AV$8*EXP(-'3.r(t)'!E789*$AV$22)</f>
        <v>0.90811243609964121</v>
      </c>
      <c r="AA791" s="7">
        <f ca="1">$AV$9*EXP(-'3.r(t)'!F789*$AV$23)</f>
        <v>0.94347013000466018</v>
      </c>
      <c r="AB791" s="7">
        <f ca="1">$AV$10*EXP(-'3.r(t)'!G789*$AV$24)</f>
        <v>0.95583035019360774</v>
      </c>
      <c r="AC791" s="7">
        <f ca="1">$AV$11*EXP(-'3.r(t)'!H789*$AV$25)</f>
        <v>0.97598297338490669</v>
      </c>
      <c r="AD791" s="7">
        <v>1</v>
      </c>
      <c r="AE791" s="7"/>
      <c r="AF791" s="7">
        <v>783</v>
      </c>
      <c r="AG791" s="7">
        <f>$AW$7*EXP(-'3.r(t)'!D789*$AW$21)</f>
        <v>0.86718755429225491</v>
      </c>
      <c r="AH791" s="7">
        <f ca="1">$AW$8*EXP(-'3.r(t)'!E789*$AW$22)</f>
        <v>0.88551430942374376</v>
      </c>
      <c r="AI791" s="7">
        <f ca="1">$AW$9*EXP(-'3.r(t)'!F789*$AW$23)</f>
        <v>0.92452800997484219</v>
      </c>
      <c r="AJ791" s="7">
        <f ca="1">$AW$10*EXP(-'3.r(t)'!G789*$AW$24)</f>
        <v>0.93386132885559103</v>
      </c>
      <c r="AK791" s="7">
        <f ca="1">$AW$11*EXP(-'3.r(t)'!H789*$AW$25)</f>
        <v>0.95211945316637325</v>
      </c>
      <c r="AL791" s="7">
        <f ca="1">$AW$12*EXP(-'3.r(t)'!I789*$AW$26)</f>
        <v>0.97063771062305138</v>
      </c>
      <c r="AM791" s="7">
        <v>1</v>
      </c>
      <c r="AN791" s="7"/>
    </row>
    <row r="792" spans="2:40">
      <c r="B792" s="7">
        <v>784</v>
      </c>
      <c r="C792" s="7">
        <f>$AR$7*EXP(-'3.r(t)'!D790*$AR$21)</f>
        <v>0.97765346695821032</v>
      </c>
      <c r="D792" s="7">
        <v>1</v>
      </c>
      <c r="E792" s="7"/>
      <c r="F792" s="7">
        <v>784</v>
      </c>
      <c r="G792" s="48">
        <f>$AS$7*EXP(-'3.r(t)'!D790*$AS$21)</f>
        <v>0.9553476245219803</v>
      </c>
      <c r="H792" s="7">
        <f ca="1">$AS$8*EXP(-'3.r(t)'!E790*$AS$22)</f>
        <v>0.97705746792332027</v>
      </c>
      <c r="I792" s="7">
        <v>1</v>
      </c>
      <c r="J792" s="7"/>
      <c r="K792" s="7">
        <v>784</v>
      </c>
      <c r="L792" s="7">
        <f>$AT$7*EXP(-'3.r(t)'!D790*$AT$21)</f>
        <v>0.93311670519824419</v>
      </c>
      <c r="M792" s="7">
        <f ca="1">$AT$8*EXP(-'3.r(t)'!E790*$AT$22)</f>
        <v>0.95419164617319507</v>
      </c>
      <c r="N792" s="7">
        <f ca="1">$AT$9*EXP(-'3.r(t)'!F790*$AT$23)</f>
        <v>0.97857994891348066</v>
      </c>
      <c r="O792" s="7">
        <v>1</v>
      </c>
      <c r="P792" s="7"/>
      <c r="Q792" s="7">
        <v>784</v>
      </c>
      <c r="R792" s="7">
        <f>$AU$7*EXP(-'3.r(t)'!D790*$AU$21)</f>
        <v>0.91099305977534117</v>
      </c>
      <c r="S792" s="7">
        <f ca="1">$AU$8*EXP(-'3.r(t)'!E790*$AU$22)</f>
        <v>0.9314359991486918</v>
      </c>
      <c r="T792" s="7">
        <f ca="1">$AU$9*EXP(-'3.r(t)'!F790*$AU$23)</f>
        <v>0.9571761594577044</v>
      </c>
      <c r="U792" s="7">
        <f ca="1">$AU$10*EXP(-'3.r(t)'!G790*$AU$24)</f>
        <v>0.97865186624914369</v>
      </c>
      <c r="V792" s="7">
        <v>1</v>
      </c>
      <c r="W792" s="7"/>
      <c r="X792" s="7">
        <v>784</v>
      </c>
      <c r="Y792" s="7">
        <f>$AV$7*EXP(-'3.r(t)'!D790*$AV$21)</f>
        <v>0.88900715067201674</v>
      </c>
      <c r="Z792" s="7">
        <f ca="1">$AV$8*EXP(-'3.r(t)'!E790*$AV$22)</f>
        <v>0.90882203825404406</v>
      </c>
      <c r="AA792" s="7">
        <f ca="1">$AV$9*EXP(-'3.r(t)'!F790*$AV$23)</f>
        <v>0.93582188005467704</v>
      </c>
      <c r="AB792" s="7">
        <f ca="1">$AV$10*EXP(-'3.r(t)'!G790*$AV$24)</f>
        <v>0.95732534952913673</v>
      </c>
      <c r="AC792" s="7">
        <f ca="1">$AV$11*EXP(-'3.r(t)'!H790*$AV$25)</f>
        <v>0.97789362114121525</v>
      </c>
      <c r="AD792" s="7">
        <v>1</v>
      </c>
      <c r="AE792" s="7"/>
      <c r="AF792" s="7">
        <v>784</v>
      </c>
      <c r="AG792" s="7">
        <f>$AW$7*EXP(-'3.r(t)'!D790*$AW$21)</f>
        <v>0.86718755429225491</v>
      </c>
      <c r="AH792" s="7">
        <f ca="1">$AW$8*EXP(-'3.r(t)'!E790*$AW$22)</f>
        <v>0.88637932376608308</v>
      </c>
      <c r="AI792" s="7">
        <f ca="1">$AW$9*EXP(-'3.r(t)'!F790*$AW$23)</f>
        <v>0.91454860838465335</v>
      </c>
      <c r="AJ792" s="7">
        <f ca="1">$AW$10*EXP(-'3.r(t)'!G790*$AW$24)</f>
        <v>0.93605314224087077</v>
      </c>
      <c r="AK792" s="7">
        <f ca="1">$AW$11*EXP(-'3.r(t)'!H790*$AW$25)</f>
        <v>0.95585096407251946</v>
      </c>
      <c r="AL792" s="7">
        <f ca="1">$AW$12*EXP(-'3.r(t)'!I790*$AW$26)</f>
        <v>0.9769270594507623</v>
      </c>
      <c r="AM792" s="7">
        <v>1</v>
      </c>
      <c r="AN792" s="7"/>
    </row>
    <row r="793" spans="2:40">
      <c r="B793" s="7">
        <v>785</v>
      </c>
      <c r="C793" s="7">
        <f>$AR$7*EXP(-'3.r(t)'!D791*$AR$21)</f>
        <v>0.97765346695821032</v>
      </c>
      <c r="D793" s="7">
        <v>1</v>
      </c>
      <c r="E793" s="7"/>
      <c r="F793" s="7">
        <v>785</v>
      </c>
      <c r="G793" s="48">
        <f>$AS$7*EXP(-'3.r(t)'!D791*$AS$21)</f>
        <v>0.9553476245219803</v>
      </c>
      <c r="H793" s="7">
        <f ca="1">$AS$8*EXP(-'3.r(t)'!E791*$AS$22)</f>
        <v>0.97560440931017145</v>
      </c>
      <c r="I793" s="7">
        <v>1</v>
      </c>
      <c r="J793" s="7"/>
      <c r="K793" s="7">
        <v>785</v>
      </c>
      <c r="L793" s="7">
        <f>$AT$7*EXP(-'3.r(t)'!D791*$AT$21)</f>
        <v>0.93311670519824419</v>
      </c>
      <c r="M793" s="7">
        <f ca="1">$AT$8*EXP(-'3.r(t)'!E791*$AT$22)</f>
        <v>0.95135565043719106</v>
      </c>
      <c r="N793" s="7">
        <f ca="1">$AT$9*EXP(-'3.r(t)'!F791*$AT$23)</f>
        <v>0.97442063372745558</v>
      </c>
      <c r="O793" s="7">
        <v>1</v>
      </c>
      <c r="P793" s="7"/>
      <c r="Q793" s="7">
        <v>785</v>
      </c>
      <c r="R793" s="7">
        <f>$AU$7*EXP(-'3.r(t)'!D791*$AU$21)</f>
        <v>0.91099305977534117</v>
      </c>
      <c r="S793" s="7">
        <f ca="1">$AU$8*EXP(-'3.r(t)'!E791*$AU$22)</f>
        <v>0.92728654218215467</v>
      </c>
      <c r="T793" s="7">
        <f ca="1">$AU$9*EXP(-'3.r(t)'!F791*$AU$23)</f>
        <v>0.94905676853205467</v>
      </c>
      <c r="U793" s="7">
        <f ca="1">$AU$10*EXP(-'3.r(t)'!G791*$AU$24)</f>
        <v>0.97420266250183629</v>
      </c>
      <c r="V793" s="7">
        <v>1</v>
      </c>
      <c r="W793" s="7"/>
      <c r="X793" s="7">
        <v>785</v>
      </c>
      <c r="Y793" s="7">
        <f>$AV$7*EXP(-'3.r(t)'!D791*$AV$21)</f>
        <v>0.88900715067201674</v>
      </c>
      <c r="Z793" s="7">
        <f ca="1">$AV$8*EXP(-'3.r(t)'!E791*$AV$22)</f>
        <v>0.90342776508119871</v>
      </c>
      <c r="AA793" s="7">
        <f ca="1">$AV$9*EXP(-'3.r(t)'!F791*$AV$23)</f>
        <v>0.92393979234232881</v>
      </c>
      <c r="AB793" s="7">
        <f ca="1">$AV$10*EXP(-'3.r(t)'!G791*$AV$24)</f>
        <v>0.94864064016468086</v>
      </c>
      <c r="AC793" s="7">
        <f ca="1">$AV$11*EXP(-'3.r(t)'!H791*$AV$25)</f>
        <v>0.9742142375146573</v>
      </c>
      <c r="AD793" s="7">
        <v>1</v>
      </c>
      <c r="AE793" s="7"/>
      <c r="AF793" s="7">
        <v>785</v>
      </c>
      <c r="AG793" s="7">
        <f>$AW$7*EXP(-'3.r(t)'!D791*$AW$21)</f>
        <v>0.86718755429225491</v>
      </c>
      <c r="AH793" s="7">
        <f ca="1">$AW$8*EXP(-'3.r(t)'!E791*$AW$22)</f>
        <v>0.87980787842890007</v>
      </c>
      <c r="AI793" s="7">
        <f ca="1">$AW$9*EXP(-'3.r(t)'!F791*$AW$23)</f>
        <v>0.89909882245242356</v>
      </c>
      <c r="AJ793" s="7">
        <f ca="1">$AW$10*EXP(-'3.r(t)'!G791*$AW$24)</f>
        <v>0.92334447772860695</v>
      </c>
      <c r="AK793" s="7">
        <f ca="1">$AW$11*EXP(-'3.r(t)'!H791*$AW$25)</f>
        <v>0.94867160231576209</v>
      </c>
      <c r="AL793" s="7">
        <f ca="1">$AW$12*EXP(-'3.r(t)'!I791*$AW$26)</f>
        <v>0.97156313198434174</v>
      </c>
      <c r="AM793" s="7">
        <v>1</v>
      </c>
      <c r="AN793" s="7"/>
    </row>
    <row r="794" spans="2:40">
      <c r="B794" s="7">
        <v>786</v>
      </c>
      <c r="C794" s="7">
        <f>$AR$7*EXP(-'3.r(t)'!D792*$AR$21)</f>
        <v>0.97765346695821032</v>
      </c>
      <c r="D794" s="7">
        <v>1</v>
      </c>
      <c r="E794" s="7"/>
      <c r="F794" s="7">
        <v>786</v>
      </c>
      <c r="G794" s="48">
        <f>$AS$7*EXP(-'3.r(t)'!D792*$AS$21)</f>
        <v>0.9553476245219803</v>
      </c>
      <c r="H794" s="7">
        <f ca="1">$AS$8*EXP(-'3.r(t)'!E792*$AS$22)</f>
        <v>0.97636316163626402</v>
      </c>
      <c r="I794" s="7">
        <v>1</v>
      </c>
      <c r="J794" s="7"/>
      <c r="K794" s="7">
        <v>786</v>
      </c>
      <c r="L794" s="7">
        <f>$AT$7*EXP(-'3.r(t)'!D792*$AT$21)</f>
        <v>0.93311670519824419</v>
      </c>
      <c r="M794" s="7">
        <f ca="1">$AT$8*EXP(-'3.r(t)'!E792*$AT$22)</f>
        <v>0.95283601277208363</v>
      </c>
      <c r="N794" s="7">
        <f ca="1">$AT$9*EXP(-'3.r(t)'!F792*$AT$23)</f>
        <v>0.97663623989162962</v>
      </c>
      <c r="O794" s="7">
        <v>1</v>
      </c>
      <c r="P794" s="7"/>
      <c r="Q794" s="7">
        <v>786</v>
      </c>
      <c r="R794" s="7">
        <f>$AU$7*EXP(-'3.r(t)'!D792*$AU$21)</f>
        <v>0.91099305977534117</v>
      </c>
      <c r="S794" s="7">
        <f ca="1">$AU$8*EXP(-'3.r(t)'!E792*$AU$22)</f>
        <v>0.92945174812621489</v>
      </c>
      <c r="T794" s="7">
        <f ca="1">$AU$9*EXP(-'3.r(t)'!F792*$AU$23)</f>
        <v>0.95337754442754941</v>
      </c>
      <c r="U794" s="7">
        <f ca="1">$AU$10*EXP(-'3.r(t)'!G792*$AU$24)</f>
        <v>0.97301940853588575</v>
      </c>
      <c r="V794" s="7">
        <v>1</v>
      </c>
      <c r="W794" s="7"/>
      <c r="X794" s="7">
        <v>786</v>
      </c>
      <c r="Y794" s="7">
        <f>$AV$7*EXP(-'3.r(t)'!D792*$AV$21)</f>
        <v>0.88900715067201674</v>
      </c>
      <c r="Z794" s="7">
        <f ca="1">$AV$8*EXP(-'3.r(t)'!E792*$AV$22)</f>
        <v>0.90624152031534155</v>
      </c>
      <c r="AA794" s="7">
        <f ca="1">$AV$9*EXP(-'3.r(t)'!F792*$AV$23)</f>
        <v>0.93025660693656043</v>
      </c>
      <c r="AB794" s="7">
        <f ca="1">$AV$10*EXP(-'3.r(t)'!G792*$AV$24)</f>
        <v>0.94633762629218021</v>
      </c>
      <c r="AC794" s="7">
        <f ca="1">$AV$11*EXP(-'3.r(t)'!H792*$AV$25)</f>
        <v>0.96937644175602755</v>
      </c>
      <c r="AD794" s="7">
        <v>1</v>
      </c>
      <c r="AE794" s="7"/>
      <c r="AF794" s="7">
        <v>786</v>
      </c>
      <c r="AG794" s="7">
        <f>$AW$7*EXP(-'3.r(t)'!D792*$AW$21)</f>
        <v>0.86718755429225491</v>
      </c>
      <c r="AH794" s="7">
        <f ca="1">$AW$8*EXP(-'3.r(t)'!E792*$AW$22)</f>
        <v>0.88323444880258029</v>
      </c>
      <c r="AI794" s="7">
        <f ca="1">$AW$9*EXP(-'3.r(t)'!F792*$AW$23)</f>
        <v>0.9073041223546453</v>
      </c>
      <c r="AJ794" s="7">
        <f ca="1">$AW$10*EXP(-'3.r(t)'!G792*$AW$24)</f>
        <v>0.91998411567217109</v>
      </c>
      <c r="AK794" s="7">
        <f ca="1">$AW$11*EXP(-'3.r(t)'!H792*$AW$25)</f>
        <v>0.93927308614013227</v>
      </c>
      <c r="AL794" s="7">
        <f ca="1">$AW$12*EXP(-'3.r(t)'!I792*$AW$26)</f>
        <v>0.97041986996697305</v>
      </c>
      <c r="AM794" s="7">
        <v>1</v>
      </c>
      <c r="AN794" s="7"/>
    </row>
    <row r="795" spans="2:40">
      <c r="B795" s="7">
        <v>787</v>
      </c>
      <c r="C795" s="7">
        <f>$AR$7*EXP(-'3.r(t)'!D793*$AR$21)</f>
        <v>0.97765346695821032</v>
      </c>
      <c r="D795" s="7">
        <v>1</v>
      </c>
      <c r="E795" s="7"/>
      <c r="F795" s="7">
        <v>787</v>
      </c>
      <c r="G795" s="48">
        <f>$AS$7*EXP(-'3.r(t)'!D793*$AS$21)</f>
        <v>0.9553476245219803</v>
      </c>
      <c r="H795" s="7">
        <f ca="1">$AS$8*EXP(-'3.r(t)'!E793*$AS$22)</f>
        <v>0.97785099982896773</v>
      </c>
      <c r="I795" s="7">
        <v>1</v>
      </c>
      <c r="J795" s="7"/>
      <c r="K795" s="7">
        <v>787</v>
      </c>
      <c r="L795" s="7">
        <f>$AT$7*EXP(-'3.r(t)'!D793*$AT$21)</f>
        <v>0.93311670519824419</v>
      </c>
      <c r="M795" s="7">
        <f ca="1">$AT$8*EXP(-'3.r(t)'!E793*$AT$22)</f>
        <v>0.95574219773926383</v>
      </c>
      <c r="N795" s="7">
        <f ca="1">$AT$9*EXP(-'3.r(t)'!F793*$AT$23)</f>
        <v>0.98118258916493251</v>
      </c>
      <c r="O795" s="7">
        <v>1</v>
      </c>
      <c r="P795" s="7"/>
      <c r="Q795" s="7">
        <v>787</v>
      </c>
      <c r="R795" s="7">
        <f>$AU$7*EXP(-'3.r(t)'!D793*$AU$21)</f>
        <v>0.91099305977534117</v>
      </c>
      <c r="S795" s="7">
        <f ca="1">$AU$8*EXP(-'3.r(t)'!E793*$AU$22)</f>
        <v>0.93370728203942088</v>
      </c>
      <c r="T795" s="7">
        <f ca="1">$AU$9*EXP(-'3.r(t)'!F793*$AU$23)</f>
        <v>0.96227435913503068</v>
      </c>
      <c r="U795" s="7">
        <f ca="1">$AU$10*EXP(-'3.r(t)'!G793*$AU$24)</f>
        <v>0.98109758272940084</v>
      </c>
      <c r="V795" s="7">
        <v>1</v>
      </c>
      <c r="W795" s="7"/>
      <c r="X795" s="7">
        <v>787</v>
      </c>
      <c r="Y795" s="7">
        <f>$AV$7*EXP(-'3.r(t)'!D793*$AV$21)</f>
        <v>0.88900715067201674</v>
      </c>
      <c r="Z795" s="7">
        <f ca="1">$AV$8*EXP(-'3.r(t)'!E793*$AV$22)</f>
        <v>0.91177809092566309</v>
      </c>
      <c r="AA795" s="7">
        <f ca="1">$AV$9*EXP(-'3.r(t)'!F793*$AV$23)</f>
        <v>0.94330851782006708</v>
      </c>
      <c r="AB795" s="7">
        <f ca="1">$AV$10*EXP(-'3.r(t)'!G793*$AV$24)</f>
        <v>0.96211616852366832</v>
      </c>
      <c r="AC795" s="7">
        <f ca="1">$AV$11*EXP(-'3.r(t)'!H793*$AV$25)</f>
        <v>0.9776989202901073</v>
      </c>
      <c r="AD795" s="7">
        <v>1</v>
      </c>
      <c r="AE795" s="7"/>
      <c r="AF795" s="7">
        <v>787</v>
      </c>
      <c r="AG795" s="7">
        <f>$AW$7*EXP(-'3.r(t)'!D793*$AW$21)</f>
        <v>0.86718755429225491</v>
      </c>
      <c r="AH795" s="7">
        <f ca="1">$AW$8*EXP(-'3.r(t)'!E793*$AW$22)</f>
        <v>0.88998460662200363</v>
      </c>
      <c r="AI795" s="7">
        <f ca="1">$AW$9*EXP(-'3.r(t)'!F793*$AW$23)</f>
        <v>0.92431685935712493</v>
      </c>
      <c r="AJ795" s="7">
        <f ca="1">$AW$10*EXP(-'3.r(t)'!G793*$AW$24)</f>
        <v>0.94308847300565901</v>
      </c>
      <c r="AK795" s="7">
        <f ca="1">$AW$11*EXP(-'3.r(t)'!H793*$AW$25)</f>
        <v>0.95547037774850729</v>
      </c>
      <c r="AL795" s="7">
        <f ca="1">$AW$12*EXP(-'3.r(t)'!I793*$AW$26)</f>
        <v>0.97385814081539301</v>
      </c>
      <c r="AM795" s="7">
        <v>1</v>
      </c>
      <c r="AN795" s="7"/>
    </row>
    <row r="796" spans="2:40">
      <c r="B796" s="7">
        <v>788</v>
      </c>
      <c r="C796" s="7">
        <f>$AR$7*EXP(-'3.r(t)'!D794*$AR$21)</f>
        <v>0.97765346695821032</v>
      </c>
      <c r="D796" s="7">
        <v>1</v>
      </c>
      <c r="E796" s="7"/>
      <c r="F796" s="7">
        <v>788</v>
      </c>
      <c r="G796" s="48">
        <f>$AS$7*EXP(-'3.r(t)'!D794*$AS$21)</f>
        <v>0.9553476245219803</v>
      </c>
      <c r="H796" s="7">
        <f ca="1">$AS$8*EXP(-'3.r(t)'!E794*$AS$22)</f>
        <v>0.97582709755278929</v>
      </c>
      <c r="I796" s="7">
        <v>1</v>
      </c>
      <c r="J796" s="7"/>
      <c r="K796" s="7">
        <v>788</v>
      </c>
      <c r="L796" s="7">
        <f>$AT$7*EXP(-'3.r(t)'!D794*$AT$21)</f>
        <v>0.93311670519824419</v>
      </c>
      <c r="M796" s="7">
        <f ca="1">$AT$8*EXP(-'3.r(t)'!E794*$AT$22)</f>
        <v>0.95179000660578117</v>
      </c>
      <c r="N796" s="7">
        <f ca="1">$AT$9*EXP(-'3.r(t)'!F794*$AT$23)</f>
        <v>0.97857505727400262</v>
      </c>
      <c r="O796" s="7">
        <v>1</v>
      </c>
      <c r="P796" s="7"/>
      <c r="Q796" s="7">
        <v>788</v>
      </c>
      <c r="R796" s="7">
        <f>$AU$7*EXP(-'3.r(t)'!D794*$AU$21)</f>
        <v>0.91099305977534117</v>
      </c>
      <c r="S796" s="7">
        <f ca="1">$AU$8*EXP(-'3.r(t)'!E794*$AU$22)</f>
        <v>0.92792166522838859</v>
      </c>
      <c r="T796" s="7">
        <f ca="1">$AU$9*EXP(-'3.r(t)'!F794*$AU$23)</f>
        <v>0.95716659018542993</v>
      </c>
      <c r="U796" s="7">
        <f ca="1">$AU$10*EXP(-'3.r(t)'!G794*$AU$24)</f>
        <v>0.9784774647357134</v>
      </c>
      <c r="V796" s="7">
        <v>1</v>
      </c>
      <c r="W796" s="7"/>
      <c r="X796" s="7">
        <v>788</v>
      </c>
      <c r="Y796" s="7">
        <f>$AV$7*EXP(-'3.r(t)'!D794*$AV$21)</f>
        <v>0.88900715067201674</v>
      </c>
      <c r="Z796" s="7">
        <f ca="1">$AV$8*EXP(-'3.r(t)'!E794*$AV$22)</f>
        <v>0.904252901301834</v>
      </c>
      <c r="AA796" s="7">
        <f ca="1">$AV$9*EXP(-'3.r(t)'!F794*$AV$23)</f>
        <v>0.9358078464122277</v>
      </c>
      <c r="AB796" s="7">
        <f ca="1">$AV$10*EXP(-'3.r(t)'!G794*$AV$24)</f>
        <v>0.95698417792557899</v>
      </c>
      <c r="AC796" s="7">
        <f ca="1">$AV$11*EXP(-'3.r(t)'!H794*$AV$25)</f>
        <v>0.97617081182377696</v>
      </c>
      <c r="AD796" s="7">
        <v>1</v>
      </c>
      <c r="AE796" s="7"/>
      <c r="AF796" s="7">
        <v>788</v>
      </c>
      <c r="AG796" s="7">
        <f>$AW$7*EXP(-'3.r(t)'!D794*$AW$21)</f>
        <v>0.86718755429225491</v>
      </c>
      <c r="AH796" s="7">
        <f ca="1">$AW$8*EXP(-'3.r(t)'!E794*$AW$22)</f>
        <v>0.88081244713652129</v>
      </c>
      <c r="AI796" s="7">
        <f ca="1">$AW$9*EXP(-'3.r(t)'!F794*$AW$23)</f>
        <v>0.9145303222608111</v>
      </c>
      <c r="AJ796" s="7">
        <f ca="1">$AW$10*EXP(-'3.r(t)'!G794*$AW$24)</f>
        <v>0.93555280090376569</v>
      </c>
      <c r="AK796" s="7">
        <f ca="1">$AW$11*EXP(-'3.r(t)'!H794*$AW$25)</f>
        <v>0.95248597972855009</v>
      </c>
      <c r="AL796" s="7">
        <f ca="1">$AW$12*EXP(-'3.r(t)'!I794*$AW$26)</f>
        <v>0.97586656656770254</v>
      </c>
      <c r="AM796" s="7">
        <v>1</v>
      </c>
      <c r="AN796" s="7"/>
    </row>
    <row r="797" spans="2:40">
      <c r="B797" s="7">
        <v>789</v>
      </c>
      <c r="C797" s="7">
        <f>$AR$7*EXP(-'3.r(t)'!D795*$AR$21)</f>
        <v>0.97765346695821032</v>
      </c>
      <c r="D797" s="7">
        <v>1</v>
      </c>
      <c r="E797" s="7"/>
      <c r="F797" s="7">
        <v>789</v>
      </c>
      <c r="G797" s="48">
        <f>$AS$7*EXP(-'3.r(t)'!D795*$AS$21)</f>
        <v>0.9553476245219803</v>
      </c>
      <c r="H797" s="7">
        <f ca="1">$AS$8*EXP(-'3.r(t)'!E795*$AS$22)</f>
        <v>0.98097837677827615</v>
      </c>
      <c r="I797" s="7">
        <v>1</v>
      </c>
      <c r="J797" s="7"/>
      <c r="K797" s="7">
        <v>789</v>
      </c>
      <c r="L797" s="7">
        <f>$AT$7*EXP(-'3.r(t)'!D795*$AT$21)</f>
        <v>0.93311670519824419</v>
      </c>
      <c r="M797" s="7">
        <f ca="1">$AT$8*EXP(-'3.r(t)'!E795*$AT$22)</f>
        <v>0.96186531014831378</v>
      </c>
      <c r="N797" s="7">
        <f ca="1">$AT$9*EXP(-'3.r(t)'!F795*$AT$23)</f>
        <v>0.98054031947237852</v>
      </c>
      <c r="O797" s="7">
        <v>1</v>
      </c>
      <c r="P797" s="7"/>
      <c r="Q797" s="7">
        <v>789</v>
      </c>
      <c r="R797" s="7">
        <f>$AU$7*EXP(-'3.r(t)'!D795*$AU$21)</f>
        <v>0.91099305977534117</v>
      </c>
      <c r="S797" s="7">
        <f ca="1">$AU$8*EXP(-'3.r(t)'!E795*$AU$22)</f>
        <v>0.94269455171937377</v>
      </c>
      <c r="T797" s="7">
        <f ca="1">$AU$9*EXP(-'3.r(t)'!F795*$AU$23)</f>
        <v>0.96101498624531134</v>
      </c>
      <c r="U797" s="7">
        <f ca="1">$AU$10*EXP(-'3.r(t)'!G795*$AU$24)</f>
        <v>0.97864862248427864</v>
      </c>
      <c r="V797" s="7">
        <v>1</v>
      </c>
      <c r="W797" s="7"/>
      <c r="X797" s="7">
        <v>789</v>
      </c>
      <c r="Y797" s="7">
        <f>$AV$7*EXP(-'3.r(t)'!D795*$AV$21)</f>
        <v>0.88900715067201674</v>
      </c>
      <c r="Z797" s="7">
        <f ca="1">$AV$8*EXP(-'3.r(t)'!E795*$AV$22)</f>
        <v>0.92349841400426358</v>
      </c>
      <c r="AA797" s="7">
        <f ca="1">$AV$9*EXP(-'3.r(t)'!F795*$AV$23)</f>
        <v>0.94145729671913192</v>
      </c>
      <c r="AB797" s="7">
        <f ca="1">$AV$10*EXP(-'3.r(t)'!G795*$AV$24)</f>
        <v>0.95731900338441656</v>
      </c>
      <c r="AC797" s="7">
        <f ca="1">$AV$11*EXP(-'3.r(t)'!H795*$AV$25)</f>
        <v>0.97975051812625058</v>
      </c>
      <c r="AD797" s="7">
        <v>1</v>
      </c>
      <c r="AE797" s="7"/>
      <c r="AF797" s="7">
        <v>789</v>
      </c>
      <c r="AG797" s="7">
        <f>$AW$7*EXP(-'3.r(t)'!D795*$AW$21)</f>
        <v>0.86718755429225491</v>
      </c>
      <c r="AH797" s="7">
        <f ca="1">$AW$8*EXP(-'3.r(t)'!E795*$AW$22)</f>
        <v>0.90430773798049724</v>
      </c>
      <c r="AI797" s="7">
        <f ca="1">$AW$9*EXP(-'3.r(t)'!F795*$AW$23)</f>
        <v>0.92189905022843077</v>
      </c>
      <c r="AJ797" s="7">
        <f ca="1">$AW$10*EXP(-'3.r(t)'!G795*$AW$24)</f>
        <v>0.93604383456057494</v>
      </c>
      <c r="AK797" s="7">
        <f ca="1">$AW$11*EXP(-'3.r(t)'!H795*$AW$25)</f>
        <v>0.95948449211027476</v>
      </c>
      <c r="AL797" s="7">
        <f ca="1">$AW$12*EXP(-'3.r(t)'!I795*$AW$26)</f>
        <v>0.97828059510167853</v>
      </c>
      <c r="AM797" s="7">
        <v>1</v>
      </c>
      <c r="AN797" s="7"/>
    </row>
    <row r="798" spans="2:40">
      <c r="B798" s="7">
        <v>790</v>
      </c>
      <c r="C798" s="7">
        <f>$AR$7*EXP(-'3.r(t)'!D796*$AR$21)</f>
        <v>0.97765346695821032</v>
      </c>
      <c r="D798" s="7">
        <v>1</v>
      </c>
      <c r="E798" s="7"/>
      <c r="F798" s="7">
        <v>790</v>
      </c>
      <c r="G798" s="48">
        <f>$AS$7*EXP(-'3.r(t)'!D796*$AS$21)</f>
        <v>0.9553476245219803</v>
      </c>
      <c r="H798" s="7">
        <f ca="1">$AS$8*EXP(-'3.r(t)'!E796*$AS$22)</f>
        <v>0.97816576292182611</v>
      </c>
      <c r="I798" s="7">
        <v>1</v>
      </c>
      <c r="J798" s="7"/>
      <c r="K798" s="7">
        <v>790</v>
      </c>
      <c r="L798" s="7">
        <f>$AT$7*EXP(-'3.r(t)'!D796*$AT$21)</f>
        <v>0.93311670519824419</v>
      </c>
      <c r="M798" s="7">
        <f ca="1">$AT$8*EXP(-'3.r(t)'!E796*$AT$22)</f>
        <v>0.95635758963037865</v>
      </c>
      <c r="N798" s="7">
        <f ca="1">$AT$9*EXP(-'3.r(t)'!F796*$AT$23)</f>
        <v>0.97292745541749948</v>
      </c>
      <c r="O798" s="7">
        <v>1</v>
      </c>
      <c r="P798" s="7"/>
      <c r="Q798" s="7">
        <v>790</v>
      </c>
      <c r="R798" s="7">
        <f>$AU$7*EXP(-'3.r(t)'!D796*$AU$21)</f>
        <v>0.91099305977534117</v>
      </c>
      <c r="S798" s="7">
        <f ca="1">$AU$8*EXP(-'3.r(t)'!E796*$AU$22)</f>
        <v>0.93460923296636267</v>
      </c>
      <c r="T798" s="7">
        <f ca="1">$AU$9*EXP(-'3.r(t)'!F796*$AU$23)</f>
        <v>0.94615037439465866</v>
      </c>
      <c r="U798" s="7">
        <f ca="1">$AU$10*EXP(-'3.r(t)'!G796*$AU$24)</f>
        <v>0.97128957398423976</v>
      </c>
      <c r="V798" s="7">
        <v>1</v>
      </c>
      <c r="W798" s="7"/>
      <c r="X798" s="7">
        <v>790</v>
      </c>
      <c r="Y798" s="7">
        <f>$AV$7*EXP(-'3.r(t)'!D796*$AV$21)</f>
        <v>0.88900715067201674</v>
      </c>
      <c r="Z798" s="7">
        <f ca="1">$AV$8*EXP(-'3.r(t)'!E796*$AV$22)</f>
        <v>0.91295263671491678</v>
      </c>
      <c r="AA798" s="7">
        <f ca="1">$AV$9*EXP(-'3.r(t)'!F796*$AV$23)</f>
        <v>0.91969882961827365</v>
      </c>
      <c r="AB798" s="7">
        <f ca="1">$AV$10*EXP(-'3.r(t)'!G796*$AV$24)</f>
        <v>0.94297581794056284</v>
      </c>
      <c r="AC798" s="7">
        <f ca="1">$AV$11*EXP(-'3.r(t)'!H796*$AV$25)</f>
        <v>0.97041295702127728</v>
      </c>
      <c r="AD798" s="7">
        <v>1</v>
      </c>
      <c r="AE798" s="7"/>
      <c r="AF798" s="7">
        <v>790</v>
      </c>
      <c r="AG798" s="7">
        <f>$AW$7*EXP(-'3.r(t)'!D796*$AW$21)</f>
        <v>0.86718755429225491</v>
      </c>
      <c r="AH798" s="7">
        <f ca="1">$AW$8*EXP(-'3.r(t)'!E796*$AW$22)</f>
        <v>0.89141792678970333</v>
      </c>
      <c r="AI798" s="7">
        <f ca="1">$AW$9*EXP(-'3.r(t)'!F796*$AW$23)</f>
        <v>0.89360044891740409</v>
      </c>
      <c r="AJ798" s="7">
        <f ca="1">$AW$10*EXP(-'3.r(t)'!G796*$AW$24)</f>
        <v>0.91508618842169365</v>
      </c>
      <c r="AK798" s="7">
        <f ca="1">$AW$11*EXP(-'3.r(t)'!H796*$AW$25)</f>
        <v>0.94128281394075652</v>
      </c>
      <c r="AL798" s="7">
        <f ca="1">$AW$12*EXP(-'3.r(t)'!I796*$AW$26)</f>
        <v>0.96971368519530077</v>
      </c>
      <c r="AM798" s="7">
        <v>1</v>
      </c>
      <c r="AN798" s="7"/>
    </row>
    <row r="799" spans="2:40">
      <c r="B799" s="7">
        <v>791</v>
      </c>
      <c r="C799" s="7">
        <f>$AR$7*EXP(-'3.r(t)'!D797*$AR$21)</f>
        <v>0.97765346695821032</v>
      </c>
      <c r="D799" s="7">
        <v>1</v>
      </c>
      <c r="E799" s="7"/>
      <c r="F799" s="7">
        <v>791</v>
      </c>
      <c r="G799" s="48">
        <f>$AS$7*EXP(-'3.r(t)'!D797*$AS$21)</f>
        <v>0.9553476245219803</v>
      </c>
      <c r="H799" s="7">
        <f ca="1">$AS$8*EXP(-'3.r(t)'!E797*$AS$22)</f>
        <v>0.98020863925617752</v>
      </c>
      <c r="I799" s="7">
        <v>1</v>
      </c>
      <c r="J799" s="7"/>
      <c r="K799" s="7">
        <v>791</v>
      </c>
      <c r="L799" s="7">
        <f>$AT$7*EXP(-'3.r(t)'!D797*$AT$21)</f>
        <v>0.93311670519824419</v>
      </c>
      <c r="M799" s="7">
        <f ca="1">$AT$8*EXP(-'3.r(t)'!E797*$AT$22)</f>
        <v>0.96035642195665061</v>
      </c>
      <c r="N799" s="7">
        <f ca="1">$AT$9*EXP(-'3.r(t)'!F797*$AT$23)</f>
        <v>0.98199497231090382</v>
      </c>
      <c r="O799" s="7">
        <v>1</v>
      </c>
      <c r="P799" s="7"/>
      <c r="Q799" s="7">
        <v>791</v>
      </c>
      <c r="R799" s="7">
        <f>$AU$7*EXP(-'3.r(t)'!D797*$AU$21)</f>
        <v>0.91099305977534117</v>
      </c>
      <c r="S799" s="7">
        <f ca="1">$AU$8*EXP(-'3.r(t)'!E797*$AU$22)</f>
        <v>0.94047719965103926</v>
      </c>
      <c r="T799" s="7">
        <f ca="1">$AU$9*EXP(-'3.r(t)'!F797*$AU$23)</f>
        <v>0.96386847444838164</v>
      </c>
      <c r="U799" s="7">
        <f ca="1">$AU$10*EXP(-'3.r(t)'!G797*$AU$24)</f>
        <v>0.98331834176623623</v>
      </c>
      <c r="V799" s="7">
        <v>1</v>
      </c>
      <c r="W799" s="7"/>
      <c r="X799" s="7">
        <v>791</v>
      </c>
      <c r="Y799" s="7">
        <f>$AV$7*EXP(-'3.r(t)'!D797*$AV$21)</f>
        <v>0.88900715067201674</v>
      </c>
      <c r="Z799" s="7">
        <f ca="1">$AV$8*EXP(-'3.r(t)'!E797*$AV$22)</f>
        <v>0.9206032833184562</v>
      </c>
      <c r="AA799" s="7">
        <f ca="1">$AV$9*EXP(-'3.r(t)'!F797*$AV$23)</f>
        <v>0.94565353275296082</v>
      </c>
      <c r="AB799" s="7">
        <f ca="1">$AV$10*EXP(-'3.r(t)'!G797*$AV$24)</f>
        <v>0.96647668554247468</v>
      </c>
      <c r="AC799" s="7">
        <f ca="1">$AV$11*EXP(-'3.r(t)'!H797*$AV$25)</f>
        <v>0.98311092632310526</v>
      </c>
      <c r="AD799" s="7">
        <v>1</v>
      </c>
      <c r="AE799" s="7"/>
      <c r="AF799" s="7">
        <v>791</v>
      </c>
      <c r="AG799" s="7">
        <f>$AW$7*EXP(-'3.r(t)'!D797*$AW$21)</f>
        <v>0.86718755429225491</v>
      </c>
      <c r="AH799" s="7">
        <f ca="1">$AW$8*EXP(-'3.r(t)'!E797*$AW$22)</f>
        <v>0.90076541689178724</v>
      </c>
      <c r="AI799" s="7">
        <f ca="1">$AW$9*EXP(-'3.r(t)'!F797*$AW$23)</f>
        <v>0.92738186494111796</v>
      </c>
      <c r="AJ799" s="7">
        <f ca="1">$AW$10*EXP(-'3.r(t)'!G797*$AW$24)</f>
        <v>0.94950715113646322</v>
      </c>
      <c r="AK799" s="7">
        <f ca="1">$AW$11*EXP(-'3.r(t)'!H797*$AW$25)</f>
        <v>0.96607757652004411</v>
      </c>
      <c r="AL799" s="7">
        <f ca="1">$AW$12*EXP(-'3.r(t)'!I797*$AW$26)</f>
        <v>0.98105383860780138</v>
      </c>
      <c r="AM799" s="7">
        <v>1</v>
      </c>
      <c r="AN799" s="7"/>
    </row>
    <row r="800" spans="2:40">
      <c r="B800" s="7">
        <v>792</v>
      </c>
      <c r="C800" s="7">
        <f>$AR$7*EXP(-'3.r(t)'!D798*$AR$21)</f>
        <v>0.97765346695821032</v>
      </c>
      <c r="D800" s="7">
        <v>1</v>
      </c>
      <c r="E800" s="7"/>
      <c r="F800" s="7">
        <v>792</v>
      </c>
      <c r="G800" s="48">
        <f>$AS$7*EXP(-'3.r(t)'!D798*$AS$21)</f>
        <v>0.9553476245219803</v>
      </c>
      <c r="H800" s="7">
        <f ca="1">$AS$8*EXP(-'3.r(t)'!E798*$AS$22)</f>
        <v>0.97707115008891066</v>
      </c>
      <c r="I800" s="7">
        <v>1</v>
      </c>
      <c r="J800" s="7"/>
      <c r="K800" s="7">
        <v>792</v>
      </c>
      <c r="L800" s="7">
        <f>$AT$7*EXP(-'3.r(t)'!D798*$AT$21)</f>
        <v>0.93311670519824419</v>
      </c>
      <c r="M800" s="7">
        <f ca="1">$AT$8*EXP(-'3.r(t)'!E798*$AT$22)</f>
        <v>0.95421837029116496</v>
      </c>
      <c r="N800" s="7">
        <f ca="1">$AT$9*EXP(-'3.r(t)'!F798*$AT$23)</f>
        <v>0.97213073253214033</v>
      </c>
      <c r="O800" s="7">
        <v>1</v>
      </c>
      <c r="P800" s="7"/>
      <c r="Q800" s="7">
        <v>792</v>
      </c>
      <c r="R800" s="7">
        <f>$AU$7*EXP(-'3.r(t)'!D798*$AU$21)</f>
        <v>0.91099305977534117</v>
      </c>
      <c r="S800" s="7">
        <f ca="1">$AU$8*EXP(-'3.r(t)'!E798*$AU$22)</f>
        <v>0.93147512962092216</v>
      </c>
      <c r="T800" s="7">
        <f ca="1">$AU$9*EXP(-'3.r(t)'!F798*$AU$23)</f>
        <v>0.94460141819348054</v>
      </c>
      <c r="U800" s="7">
        <f ca="1">$AU$10*EXP(-'3.r(t)'!G798*$AU$24)</f>
        <v>0.96870688751699963</v>
      </c>
      <c r="V800" s="7">
        <v>1</v>
      </c>
      <c r="W800" s="7"/>
      <c r="X800" s="7">
        <v>792</v>
      </c>
      <c r="Y800" s="7">
        <f>$AV$7*EXP(-'3.r(t)'!D798*$AV$21)</f>
        <v>0.88900715067201674</v>
      </c>
      <c r="Z800" s="7">
        <f ca="1">$AV$8*EXP(-'3.r(t)'!E798*$AV$22)</f>
        <v>0.90887294586274492</v>
      </c>
      <c r="AA800" s="7">
        <f ca="1">$AV$9*EXP(-'3.r(t)'!F798*$AV$23)</f>
        <v>0.91744127621430793</v>
      </c>
      <c r="AB800" s="7">
        <f ca="1">$AV$10*EXP(-'3.r(t)'!G798*$AV$24)</f>
        <v>0.93796768640936856</v>
      </c>
      <c r="AC800" s="7">
        <f ca="1">$AV$11*EXP(-'3.r(t)'!H798*$AV$25)</f>
        <v>0.969039799991113</v>
      </c>
      <c r="AD800" s="7">
        <v>1</v>
      </c>
      <c r="AE800" s="7"/>
      <c r="AF800" s="7">
        <v>792</v>
      </c>
      <c r="AG800" s="7">
        <f>$AW$7*EXP(-'3.r(t)'!D798*$AW$21)</f>
        <v>0.86718755429225491</v>
      </c>
      <c r="AH800" s="7">
        <f ca="1">$AW$8*EXP(-'3.r(t)'!E798*$AW$22)</f>
        <v>0.88644138730247901</v>
      </c>
      <c r="AI800" s="7">
        <f ca="1">$AW$9*EXP(-'3.r(t)'!F798*$AW$23)</f>
        <v>0.89067699194898597</v>
      </c>
      <c r="AJ800" s="7">
        <f ca="1">$AW$10*EXP(-'3.r(t)'!G798*$AW$24)</f>
        <v>0.90780586115732753</v>
      </c>
      <c r="AK800" s="7">
        <f ca="1">$AW$11*EXP(-'3.r(t)'!H798*$AW$25)</f>
        <v>0.93862082427021931</v>
      </c>
      <c r="AL800" s="7">
        <f ca="1">$AW$12*EXP(-'3.r(t)'!I798*$AW$26)</f>
        <v>0.96606438532540273</v>
      </c>
      <c r="AM800" s="7">
        <v>1</v>
      </c>
      <c r="AN800" s="7"/>
    </row>
    <row r="801" spans="2:40">
      <c r="B801" s="7">
        <v>793</v>
      </c>
      <c r="C801" s="7">
        <f>$AR$7*EXP(-'3.r(t)'!D799*$AR$21)</f>
        <v>0.97765346695821032</v>
      </c>
      <c r="D801" s="7">
        <v>1</v>
      </c>
      <c r="E801" s="7"/>
      <c r="F801" s="7">
        <v>793</v>
      </c>
      <c r="G801" s="48">
        <f>$AS$7*EXP(-'3.r(t)'!D799*$AS$21)</f>
        <v>0.9553476245219803</v>
      </c>
      <c r="H801" s="7">
        <f ca="1">$AS$8*EXP(-'3.r(t)'!E799*$AS$22)</f>
        <v>0.97533589977864865</v>
      </c>
      <c r="I801" s="7">
        <v>1</v>
      </c>
      <c r="J801" s="7"/>
      <c r="K801" s="7">
        <v>793</v>
      </c>
      <c r="L801" s="7">
        <f>$AT$7*EXP(-'3.r(t)'!D799*$AT$21)</f>
        <v>0.93311670519824419</v>
      </c>
      <c r="M801" s="7">
        <f ca="1">$AT$8*EXP(-'3.r(t)'!E799*$AT$22)</f>
        <v>0.95083205110762059</v>
      </c>
      <c r="N801" s="7">
        <f ca="1">$AT$9*EXP(-'3.r(t)'!F799*$AT$23)</f>
        <v>0.9749675862624545</v>
      </c>
      <c r="O801" s="7">
        <v>1</v>
      </c>
      <c r="P801" s="7"/>
      <c r="Q801" s="7">
        <v>793</v>
      </c>
      <c r="R801" s="7">
        <f>$AU$7*EXP(-'3.r(t)'!D799*$AU$21)</f>
        <v>0.91099305977534117</v>
      </c>
      <c r="S801" s="7">
        <f ca="1">$AU$8*EXP(-'3.r(t)'!E799*$AU$22)</f>
        <v>0.92652111896674494</v>
      </c>
      <c r="T801" s="7">
        <f ca="1">$AU$9*EXP(-'3.r(t)'!F799*$AU$23)</f>
        <v>0.95012249861306786</v>
      </c>
      <c r="U801" s="7">
        <f ca="1">$AU$10*EXP(-'3.r(t)'!G799*$AU$24)</f>
        <v>0.97348335061060598</v>
      </c>
      <c r="V801" s="7">
        <v>1</v>
      </c>
      <c r="W801" s="7"/>
      <c r="X801" s="7">
        <v>793</v>
      </c>
      <c r="Y801" s="7">
        <f>$AV$7*EXP(-'3.r(t)'!D799*$AV$21)</f>
        <v>0.88900715067201674</v>
      </c>
      <c r="Z801" s="7">
        <f ca="1">$AV$8*EXP(-'3.r(t)'!E799*$AV$22)</f>
        <v>0.90243359639242671</v>
      </c>
      <c r="AA801" s="7">
        <f ca="1">$AV$9*EXP(-'3.r(t)'!F799*$AV$23)</f>
        <v>0.92549651714716896</v>
      </c>
      <c r="AB801" s="7">
        <f ca="1">$AV$10*EXP(-'3.r(t)'!G799*$AV$24)</f>
        <v>0.94724028148662454</v>
      </c>
      <c r="AC801" s="7">
        <f ca="1">$AV$11*EXP(-'3.r(t)'!H799*$AV$25)</f>
        <v>0.97315000976021193</v>
      </c>
      <c r="AD801" s="7">
        <v>1</v>
      </c>
      <c r="AE801" s="7"/>
      <c r="AF801" s="7">
        <v>793</v>
      </c>
      <c r="AG801" s="7">
        <f>$AW$7*EXP(-'3.r(t)'!D799*$AW$21)</f>
        <v>0.86718755429225491</v>
      </c>
      <c r="AH801" s="7">
        <f ca="1">$AW$8*EXP(-'3.r(t)'!E799*$AW$22)</f>
        <v>0.87859782444171031</v>
      </c>
      <c r="AI801" s="7">
        <f ca="1">$AW$9*EXP(-'3.r(t)'!F799*$AW$23)</f>
        <v>0.90111921720535682</v>
      </c>
      <c r="AJ801" s="7">
        <f ca="1">$AW$10*EXP(-'3.r(t)'!G799*$AW$24)</f>
        <v>0.92130070672331843</v>
      </c>
      <c r="AK801" s="7">
        <f ca="1">$AW$11*EXP(-'3.r(t)'!H799*$AW$25)</f>
        <v>0.94660008423026243</v>
      </c>
      <c r="AL801" s="7">
        <f ca="1">$AW$12*EXP(-'3.r(t)'!I799*$AW$26)</f>
        <v>0.97636308796724158</v>
      </c>
      <c r="AM801" s="7">
        <v>1</v>
      </c>
      <c r="AN801" s="7"/>
    </row>
    <row r="802" spans="2:40">
      <c r="B802" s="7">
        <v>794</v>
      </c>
      <c r="C802" s="7">
        <f>$AR$7*EXP(-'3.r(t)'!D800*$AR$21)</f>
        <v>0.97765346695821032</v>
      </c>
      <c r="D802" s="7">
        <v>1</v>
      </c>
      <c r="E802" s="7"/>
      <c r="F802" s="7">
        <v>794</v>
      </c>
      <c r="G802" s="48">
        <f>$AS$7*EXP(-'3.r(t)'!D800*$AS$21)</f>
        <v>0.9553476245219803</v>
      </c>
      <c r="H802" s="7">
        <f ca="1">$AS$8*EXP(-'3.r(t)'!E800*$AS$22)</f>
        <v>0.9793042865710968</v>
      </c>
      <c r="I802" s="7">
        <v>1</v>
      </c>
      <c r="J802" s="7"/>
      <c r="K802" s="7">
        <v>794</v>
      </c>
      <c r="L802" s="7">
        <f>$AT$7*EXP(-'3.r(t)'!D800*$AT$21)</f>
        <v>0.93311670519824419</v>
      </c>
      <c r="M802" s="7">
        <f ca="1">$AT$8*EXP(-'3.r(t)'!E800*$AT$22)</f>
        <v>0.95858516586036036</v>
      </c>
      <c r="N802" s="7">
        <f ca="1">$AT$9*EXP(-'3.r(t)'!F800*$AT$23)</f>
        <v>0.97783529058495322</v>
      </c>
      <c r="O802" s="7">
        <v>1</v>
      </c>
      <c r="P802" s="7"/>
      <c r="Q802" s="7">
        <v>794</v>
      </c>
      <c r="R802" s="7">
        <f>$AU$7*EXP(-'3.r(t)'!D800*$AU$21)</f>
        <v>0.91099305977534117</v>
      </c>
      <c r="S802" s="7">
        <f ca="1">$AU$8*EXP(-'3.r(t)'!E800*$AU$22)</f>
        <v>0.93787651265987981</v>
      </c>
      <c r="T802" s="7">
        <f ca="1">$AU$9*EXP(-'3.r(t)'!F800*$AU$23)</f>
        <v>0.95571997183388224</v>
      </c>
      <c r="U802" s="7">
        <f ca="1">$AU$10*EXP(-'3.r(t)'!G800*$AU$24)</f>
        <v>0.97985097347627137</v>
      </c>
      <c r="V802" s="7">
        <v>1</v>
      </c>
      <c r="W802" s="7"/>
      <c r="X802" s="7">
        <v>794</v>
      </c>
      <c r="Y802" s="7">
        <f>$AV$7*EXP(-'3.r(t)'!D800*$AV$21)</f>
        <v>0.88900715067201674</v>
      </c>
      <c r="Z802" s="7">
        <f ca="1">$AV$8*EXP(-'3.r(t)'!E800*$AV$22)</f>
        <v>0.9172105420393889</v>
      </c>
      <c r="AA802" s="7">
        <f ca="1">$AV$9*EXP(-'3.r(t)'!F800*$AV$23)</f>
        <v>0.9336871416351602</v>
      </c>
      <c r="AB802" s="7">
        <f ca="1">$AV$10*EXP(-'3.r(t)'!G800*$AV$24)</f>
        <v>0.95967273994918145</v>
      </c>
      <c r="AC802" s="7">
        <f ca="1">$AV$11*EXP(-'3.r(t)'!H800*$AV$25)</f>
        <v>0.97877667688059278</v>
      </c>
      <c r="AD802" s="7">
        <v>1</v>
      </c>
      <c r="AE802" s="7"/>
      <c r="AF802" s="7">
        <v>794</v>
      </c>
      <c r="AG802" s="7">
        <f>$AW$7*EXP(-'3.r(t)'!D800*$AW$21)</f>
        <v>0.86718755429225491</v>
      </c>
      <c r="AH802" s="7">
        <f ca="1">$AW$8*EXP(-'3.r(t)'!E800*$AW$22)</f>
        <v>0.89661779036076916</v>
      </c>
      <c r="AI802" s="7">
        <f ca="1">$AW$9*EXP(-'3.r(t)'!F800*$AW$23)</f>
        <v>0.91176805158100094</v>
      </c>
      <c r="AJ802" s="7">
        <f ca="1">$AW$10*EXP(-'3.r(t)'!G800*$AW$24)</f>
        <v>0.93949809736552858</v>
      </c>
      <c r="AK802" s="7">
        <f ca="1">$AW$11*EXP(-'3.r(t)'!H800*$AW$25)</f>
        <v>0.95757804515107392</v>
      </c>
      <c r="AL802" s="7">
        <f ca="1">$AW$12*EXP(-'3.r(t)'!I800*$AW$26)</f>
        <v>0.97922486210082882</v>
      </c>
      <c r="AM802" s="7">
        <v>1</v>
      </c>
      <c r="AN802" s="7"/>
    </row>
    <row r="803" spans="2:40">
      <c r="B803" s="7">
        <v>795</v>
      </c>
      <c r="C803" s="7">
        <f>$AR$7*EXP(-'3.r(t)'!D801*$AR$21)</f>
        <v>0.97765346695821032</v>
      </c>
      <c r="D803" s="7">
        <v>1</v>
      </c>
      <c r="E803" s="7"/>
      <c r="F803" s="7">
        <v>795</v>
      </c>
      <c r="G803" s="48">
        <f>$AS$7*EXP(-'3.r(t)'!D801*$AS$21)</f>
        <v>0.9553476245219803</v>
      </c>
      <c r="H803" s="7">
        <f ca="1">$AS$8*EXP(-'3.r(t)'!E801*$AS$22)</f>
        <v>0.97577658714514826</v>
      </c>
      <c r="I803" s="7">
        <v>1</v>
      </c>
      <c r="J803" s="7"/>
      <c r="K803" s="7">
        <v>795</v>
      </c>
      <c r="L803" s="7">
        <f>$AT$7*EXP(-'3.r(t)'!D801*$AT$21)</f>
        <v>0.93311670519824419</v>
      </c>
      <c r="M803" s="7">
        <f ca="1">$AT$8*EXP(-'3.r(t)'!E801*$AT$22)</f>
        <v>0.95169147673893351</v>
      </c>
      <c r="N803" s="7">
        <f ca="1">$AT$9*EXP(-'3.r(t)'!F801*$AT$23)</f>
        <v>0.97440721692830068</v>
      </c>
      <c r="O803" s="7">
        <v>1</v>
      </c>
      <c r="P803" s="7"/>
      <c r="Q803" s="7">
        <v>795</v>
      </c>
      <c r="R803" s="7">
        <f>$AU$7*EXP(-'3.r(t)'!D801*$AU$21)</f>
        <v>0.91099305977534117</v>
      </c>
      <c r="S803" s="7">
        <f ca="1">$AU$8*EXP(-'3.r(t)'!E801*$AU$22)</f>
        <v>0.92777758045452896</v>
      </c>
      <c r="T803" s="7">
        <f ca="1">$AU$9*EXP(-'3.r(t)'!F801*$AU$23)</f>
        <v>0.94903063358386752</v>
      </c>
      <c r="U803" s="7">
        <f ca="1">$AU$10*EXP(-'3.r(t)'!G801*$AU$24)</f>
        <v>0.97781978603832065</v>
      </c>
      <c r="V803" s="7">
        <v>1</v>
      </c>
      <c r="W803" s="7"/>
      <c r="X803" s="7">
        <v>795</v>
      </c>
      <c r="Y803" s="7">
        <f>$AV$7*EXP(-'3.r(t)'!D801*$AV$21)</f>
        <v>0.88900715067201674</v>
      </c>
      <c r="Z803" s="7">
        <f ca="1">$AV$8*EXP(-'3.r(t)'!E801*$AV$22)</f>
        <v>0.90406569339733311</v>
      </c>
      <c r="AA803" s="7">
        <f ca="1">$AV$9*EXP(-'3.r(t)'!F801*$AV$23)</f>
        <v>0.92390162768269879</v>
      </c>
      <c r="AB803" s="7">
        <f ca="1">$AV$10*EXP(-'3.r(t)'!G801*$AV$24)</f>
        <v>0.95569814608485382</v>
      </c>
      <c r="AC803" s="7">
        <f ca="1">$AV$11*EXP(-'3.r(t)'!H801*$AV$25)</f>
        <v>0.9758874309768425</v>
      </c>
      <c r="AD803" s="7">
        <v>1</v>
      </c>
      <c r="AE803" s="7"/>
      <c r="AF803" s="7">
        <v>795</v>
      </c>
      <c r="AG803" s="7">
        <f>$AW$7*EXP(-'3.r(t)'!D801*$AW$21)</f>
        <v>0.86718755429225491</v>
      </c>
      <c r="AH803" s="7">
        <f ca="1">$AW$8*EXP(-'3.r(t)'!E801*$AW$22)</f>
        <v>0.88058450926546106</v>
      </c>
      <c r="AI803" s="7">
        <f ca="1">$AW$9*EXP(-'3.r(t)'!F801*$AW$23)</f>
        <v>0.89904930470305688</v>
      </c>
      <c r="AJ803" s="7">
        <f ca="1">$AW$10*EXP(-'3.r(t)'!G801*$AW$24)</f>
        <v>0.93366758730589239</v>
      </c>
      <c r="AK803" s="7">
        <f ca="1">$AW$11*EXP(-'3.r(t)'!H801*$AW$25)</f>
        <v>0.95193304964249514</v>
      </c>
      <c r="AL803" s="7">
        <f ca="1">$AW$12*EXP(-'3.r(t)'!I801*$AW$26)</f>
        <v>0.97717082949617251</v>
      </c>
      <c r="AM803" s="7">
        <v>1</v>
      </c>
      <c r="AN803" s="7"/>
    </row>
    <row r="804" spans="2:40">
      <c r="B804" s="7">
        <v>796</v>
      </c>
      <c r="C804" s="7">
        <f>$AR$7*EXP(-'3.r(t)'!D802*$AR$21)</f>
        <v>0.97765346695821032</v>
      </c>
      <c r="D804" s="7">
        <v>1</v>
      </c>
      <c r="E804" s="7"/>
      <c r="F804" s="7">
        <v>796</v>
      </c>
      <c r="G804" s="48">
        <f>$AS$7*EXP(-'3.r(t)'!D802*$AS$21)</f>
        <v>0.9553476245219803</v>
      </c>
      <c r="H804" s="7">
        <f ca="1">$AS$8*EXP(-'3.r(t)'!E802*$AS$22)</f>
        <v>0.9777026430391571</v>
      </c>
      <c r="I804" s="7">
        <v>1</v>
      </c>
      <c r="J804" s="7"/>
      <c r="K804" s="7">
        <v>796</v>
      </c>
      <c r="L804" s="7">
        <f>$AT$7*EXP(-'3.r(t)'!D802*$AT$21)</f>
        <v>0.93311670519824419</v>
      </c>
      <c r="M804" s="7">
        <f ca="1">$AT$8*EXP(-'3.r(t)'!E802*$AT$22)</f>
        <v>0.95545221472893838</v>
      </c>
      <c r="N804" s="7">
        <f ca="1">$AT$9*EXP(-'3.r(t)'!F802*$AT$23)</f>
        <v>0.97708107602547301</v>
      </c>
      <c r="O804" s="7">
        <v>1</v>
      </c>
      <c r="P804" s="7"/>
      <c r="Q804" s="7">
        <v>796</v>
      </c>
      <c r="R804" s="7">
        <f>$AU$7*EXP(-'3.r(t)'!D802*$AU$21)</f>
        <v>0.91099305977534117</v>
      </c>
      <c r="S804" s="7">
        <f ca="1">$AU$8*EXP(-'3.r(t)'!E802*$AU$22)</f>
        <v>0.9332823682235073</v>
      </c>
      <c r="T804" s="7">
        <f ca="1">$AU$9*EXP(-'3.r(t)'!F802*$AU$23)</f>
        <v>0.95424622684371596</v>
      </c>
      <c r="U804" s="7">
        <f ca="1">$AU$10*EXP(-'3.r(t)'!G802*$AU$24)</f>
        <v>0.9736057347041861</v>
      </c>
      <c r="V804" s="7">
        <v>1</v>
      </c>
      <c r="W804" s="7"/>
      <c r="X804" s="7">
        <v>796</v>
      </c>
      <c r="Y804" s="7">
        <f>$AV$7*EXP(-'3.r(t)'!D802*$AV$21)</f>
        <v>0.88900715067201674</v>
      </c>
      <c r="Z804" s="7">
        <f ca="1">$AV$8*EXP(-'3.r(t)'!E802*$AV$22)</f>
        <v>0.91122488725802253</v>
      </c>
      <c r="AA804" s="7">
        <f ca="1">$AV$9*EXP(-'3.r(t)'!F802*$AV$23)</f>
        <v>0.93152831971852035</v>
      </c>
      <c r="AB804" s="7">
        <f ca="1">$AV$10*EXP(-'3.r(t)'!G802*$AV$24)</f>
        <v>0.94747846620796961</v>
      </c>
      <c r="AC804" s="7">
        <f ca="1">$AV$11*EXP(-'3.r(t)'!H802*$AV$25)</f>
        <v>0.97590756185441163</v>
      </c>
      <c r="AD804" s="7">
        <v>1</v>
      </c>
      <c r="AE804" s="7"/>
      <c r="AF804" s="7">
        <v>796</v>
      </c>
      <c r="AG804" s="7">
        <f>$AW$7*EXP(-'3.r(t)'!D802*$AW$21)</f>
        <v>0.86718755429225491</v>
      </c>
      <c r="AH804" s="7">
        <f ca="1">$AW$8*EXP(-'3.r(t)'!E802*$AW$22)</f>
        <v>0.88930968170354641</v>
      </c>
      <c r="AI804" s="7">
        <f ca="1">$AW$9*EXP(-'3.r(t)'!F802*$AW$23)</f>
        <v>0.90895827964535514</v>
      </c>
      <c r="AJ804" s="7">
        <f ca="1">$AW$10*EXP(-'3.r(t)'!G802*$AW$24)</f>
        <v>0.92164822184236772</v>
      </c>
      <c r="AK804" s="7">
        <f ca="1">$AW$11*EXP(-'3.r(t)'!H802*$AW$25)</f>
        <v>0.95197232352741368</v>
      </c>
      <c r="AL804" s="7">
        <f ca="1">$AW$12*EXP(-'3.r(t)'!I802*$AW$26)</f>
        <v>0.97553277458047694</v>
      </c>
      <c r="AM804" s="7">
        <v>1</v>
      </c>
      <c r="AN804" s="7"/>
    </row>
    <row r="805" spans="2:40">
      <c r="B805" s="7">
        <v>797</v>
      </c>
      <c r="C805" s="7">
        <f>$AR$7*EXP(-'3.r(t)'!D803*$AR$21)</f>
        <v>0.97765346695821032</v>
      </c>
      <c r="D805" s="7">
        <v>1</v>
      </c>
      <c r="E805" s="7"/>
      <c r="F805" s="7">
        <v>797</v>
      </c>
      <c r="G805" s="48">
        <f>$AS$7*EXP(-'3.r(t)'!D803*$AS$21)</f>
        <v>0.9553476245219803</v>
      </c>
      <c r="H805" s="7">
        <f ca="1">$AS$8*EXP(-'3.r(t)'!E803*$AS$22)</f>
        <v>0.98248668043137855</v>
      </c>
      <c r="I805" s="7">
        <v>1</v>
      </c>
      <c r="J805" s="7"/>
      <c r="K805" s="7">
        <v>797</v>
      </c>
      <c r="L805" s="7">
        <f>$AT$7*EXP(-'3.r(t)'!D803*$AT$21)</f>
        <v>0.93311670519824419</v>
      </c>
      <c r="M805" s="7">
        <f ca="1">$AT$8*EXP(-'3.r(t)'!E803*$AT$22)</f>
        <v>0.964825416758053</v>
      </c>
      <c r="N805" s="7">
        <f ca="1">$AT$9*EXP(-'3.r(t)'!F803*$AT$23)</f>
        <v>0.9851957225075274</v>
      </c>
      <c r="O805" s="7">
        <v>1</v>
      </c>
      <c r="P805" s="7"/>
      <c r="Q805" s="7">
        <v>797</v>
      </c>
      <c r="R805" s="7">
        <f>$AU$7*EXP(-'3.r(t)'!D803*$AU$21)</f>
        <v>0.91099305977534117</v>
      </c>
      <c r="S805" s="7">
        <f ca="1">$AU$8*EXP(-'3.r(t)'!E803*$AU$22)</f>
        <v>0.94704956194117906</v>
      </c>
      <c r="T805" s="7">
        <f ca="1">$AU$9*EXP(-'3.r(t)'!F803*$AU$23)</f>
        <v>0.97016205057355998</v>
      </c>
      <c r="U805" s="7">
        <f ca="1">$AU$10*EXP(-'3.r(t)'!G803*$AU$24)</f>
        <v>0.98585336055634165</v>
      </c>
      <c r="V805" s="7">
        <v>1</v>
      </c>
      <c r="W805" s="7"/>
      <c r="X805" s="7">
        <v>797</v>
      </c>
      <c r="Y805" s="7">
        <f>$AV$7*EXP(-'3.r(t)'!D803*$AV$21)</f>
        <v>0.88900715067201674</v>
      </c>
      <c r="Z805" s="7">
        <f ca="1">$AV$8*EXP(-'3.r(t)'!E803*$AV$22)</f>
        <v>0.92919122793999154</v>
      </c>
      <c r="AA805" s="7">
        <f ca="1">$AV$9*EXP(-'3.r(t)'!F803*$AV$23)</f>
        <v>0.9549305979109981</v>
      </c>
      <c r="AB805" s="7">
        <f ca="1">$AV$10*EXP(-'3.r(t)'!G803*$AV$24)</f>
        <v>0.97146631012487805</v>
      </c>
      <c r="AC805" s="7">
        <f ca="1">$AV$11*EXP(-'3.r(t)'!H803*$AV$25)</f>
        <v>0.98814958569885114</v>
      </c>
      <c r="AD805" s="7">
        <v>1</v>
      </c>
      <c r="AE805" s="7"/>
      <c r="AF805" s="7">
        <v>797</v>
      </c>
      <c r="AG805" s="7">
        <f>$AW$7*EXP(-'3.r(t)'!D803*$AW$21)</f>
        <v>0.86718755429225491</v>
      </c>
      <c r="AH805" s="7">
        <f ca="1">$AW$8*EXP(-'3.r(t)'!E803*$AW$22)</f>
        <v>0.91128124268893695</v>
      </c>
      <c r="AI805" s="7">
        <f ca="1">$AW$9*EXP(-'3.r(t)'!F803*$AW$23)</f>
        <v>0.9395320770941159</v>
      </c>
      <c r="AJ805" s="7">
        <f ca="1">$AW$10*EXP(-'3.r(t)'!G803*$AW$24)</f>
        <v>0.95686965741374697</v>
      </c>
      <c r="AK805" s="7">
        <f ca="1">$AW$11*EXP(-'3.r(t)'!H803*$AW$25)</f>
        <v>0.97600567276125871</v>
      </c>
      <c r="AL805" s="7">
        <f ca="1">$AW$12*EXP(-'3.r(t)'!I803*$AW$26)</f>
        <v>0.9853236536177914</v>
      </c>
      <c r="AM805" s="7">
        <v>1</v>
      </c>
      <c r="AN805" s="7"/>
    </row>
    <row r="806" spans="2:40">
      <c r="B806" s="7">
        <v>798</v>
      </c>
      <c r="C806" s="7">
        <f>$AR$7*EXP(-'3.r(t)'!D804*$AR$21)</f>
        <v>0.97765346695821032</v>
      </c>
      <c r="D806" s="7">
        <v>1</v>
      </c>
      <c r="E806" s="7"/>
      <c r="F806" s="7">
        <v>798</v>
      </c>
      <c r="G806" s="48">
        <f>$AS$7*EXP(-'3.r(t)'!D804*$AS$21)</f>
        <v>0.9553476245219803</v>
      </c>
      <c r="H806" s="7">
        <f ca="1">$AS$8*EXP(-'3.r(t)'!E804*$AS$22)</f>
        <v>0.976847142350729</v>
      </c>
      <c r="I806" s="7">
        <v>1</v>
      </c>
      <c r="J806" s="7"/>
      <c r="K806" s="7">
        <v>798</v>
      </c>
      <c r="L806" s="7">
        <f>$AT$7*EXP(-'3.r(t)'!D804*$AT$21)</f>
        <v>0.93311670519824419</v>
      </c>
      <c r="M806" s="7">
        <f ca="1">$AT$8*EXP(-'3.r(t)'!E804*$AT$22)</f>
        <v>0.95378088363334512</v>
      </c>
      <c r="N806" s="7">
        <f ca="1">$AT$9*EXP(-'3.r(t)'!F804*$AT$23)</f>
        <v>0.97961712722311967</v>
      </c>
      <c r="O806" s="7">
        <v>1</v>
      </c>
      <c r="P806" s="7"/>
      <c r="Q806" s="7">
        <v>798</v>
      </c>
      <c r="R806" s="7">
        <f>$AU$7*EXP(-'3.r(t)'!D804*$AU$21)</f>
        <v>0.91099305977534117</v>
      </c>
      <c r="S806" s="7">
        <f ca="1">$AU$8*EXP(-'3.r(t)'!E804*$AU$22)</f>
        <v>0.93083461392417433</v>
      </c>
      <c r="T806" s="7">
        <f ca="1">$AU$9*EXP(-'3.r(t)'!F804*$AU$23)</f>
        <v>0.95920622037849101</v>
      </c>
      <c r="U806" s="7">
        <f ca="1">$AU$10*EXP(-'3.r(t)'!G804*$AU$24)</f>
        <v>0.97588570986987633</v>
      </c>
      <c r="V806" s="7">
        <v>1</v>
      </c>
      <c r="W806" s="7"/>
      <c r="X806" s="7">
        <v>798</v>
      </c>
      <c r="Y806" s="7">
        <f>$AV$7*EXP(-'3.r(t)'!D804*$AV$21)</f>
        <v>0.88900715067201674</v>
      </c>
      <c r="Z806" s="7">
        <f ca="1">$AV$8*EXP(-'3.r(t)'!E804*$AV$22)</f>
        <v>0.90803974321188574</v>
      </c>
      <c r="AA806" s="7">
        <f ca="1">$AV$9*EXP(-'3.r(t)'!F804*$AV$23)</f>
        <v>0.93880061446177199</v>
      </c>
      <c r="AB806" s="7">
        <f ca="1">$AV$10*EXP(-'3.r(t)'!G804*$AV$24)</f>
        <v>0.95192124358645691</v>
      </c>
      <c r="AC806" s="7">
        <f ca="1">$AV$11*EXP(-'3.r(t)'!H804*$AV$25)</f>
        <v>0.97661914661573113</v>
      </c>
      <c r="AD806" s="7">
        <v>1</v>
      </c>
      <c r="AE806" s="7"/>
      <c r="AF806" s="7">
        <v>798</v>
      </c>
      <c r="AG806" s="7">
        <f>$AW$7*EXP(-'3.r(t)'!D804*$AW$21)</f>
        <v>0.86718755429225491</v>
      </c>
      <c r="AH806" s="7">
        <f ca="1">$AW$8*EXP(-'3.r(t)'!E804*$AW$22)</f>
        <v>0.88542570537864673</v>
      </c>
      <c r="AI806" s="7">
        <f ca="1">$AW$9*EXP(-'3.r(t)'!F804*$AW$23)</f>
        <v>0.91843202770788346</v>
      </c>
      <c r="AJ806" s="7">
        <f ca="1">$AW$10*EXP(-'3.r(t)'!G804*$AW$24)</f>
        <v>0.92813830206083037</v>
      </c>
      <c r="AK806" s="7">
        <f ca="1">$AW$11*EXP(-'3.r(t)'!H804*$AW$25)</f>
        <v>0.95336109433338978</v>
      </c>
      <c r="AL806" s="7">
        <f ca="1">$AW$12*EXP(-'3.r(t)'!I804*$AW$26)</f>
        <v>0.97593119603750977</v>
      </c>
      <c r="AM806" s="7">
        <v>1</v>
      </c>
      <c r="AN806" s="7"/>
    </row>
    <row r="807" spans="2:40">
      <c r="B807" s="7">
        <v>799</v>
      </c>
      <c r="C807" s="7">
        <f>$AR$7*EXP(-'3.r(t)'!D805*$AR$21)</f>
        <v>0.97765346695821032</v>
      </c>
      <c r="D807" s="7">
        <v>1</v>
      </c>
      <c r="E807" s="7"/>
      <c r="F807" s="7">
        <v>799</v>
      </c>
      <c r="G807" s="48">
        <f>$AS$7*EXP(-'3.r(t)'!D805*$AS$21)</f>
        <v>0.9553476245219803</v>
      </c>
      <c r="H807" s="7">
        <f ca="1">$AS$8*EXP(-'3.r(t)'!E805*$AS$22)</f>
        <v>0.97804229303096901</v>
      </c>
      <c r="I807" s="7">
        <v>1</v>
      </c>
      <c r="J807" s="7"/>
      <c r="K807" s="7">
        <v>799</v>
      </c>
      <c r="L807" s="7">
        <f>$AT$7*EXP(-'3.r(t)'!D805*$AT$21)</f>
        <v>0.93311670519824419</v>
      </c>
      <c r="M807" s="7">
        <f ca="1">$AT$8*EXP(-'3.r(t)'!E805*$AT$22)</f>
        <v>0.95611617060055376</v>
      </c>
      <c r="N807" s="7">
        <f ca="1">$AT$9*EXP(-'3.r(t)'!F805*$AT$23)</f>
        <v>0.97711754666036499</v>
      </c>
      <c r="O807" s="7">
        <v>1</v>
      </c>
      <c r="P807" s="7"/>
      <c r="Q807" s="7">
        <v>799</v>
      </c>
      <c r="R807" s="7">
        <f>$AU$7*EXP(-'3.r(t)'!D805*$AU$21)</f>
        <v>0.91099305977534117</v>
      </c>
      <c r="S807" s="7">
        <f ca="1">$AU$8*EXP(-'3.r(t)'!E805*$AU$22)</f>
        <v>0.93425536185680069</v>
      </c>
      <c r="T807" s="7">
        <f ca="1">$AU$9*EXP(-'3.r(t)'!F805*$AU$23)</f>
        <v>0.95431746477084656</v>
      </c>
      <c r="U807" s="7">
        <f ca="1">$AU$10*EXP(-'3.r(t)'!G805*$AU$24)</f>
        <v>0.97964697777732934</v>
      </c>
      <c r="V807" s="7">
        <v>1</v>
      </c>
      <c r="W807" s="7"/>
      <c r="X807" s="7">
        <v>799</v>
      </c>
      <c r="Y807" s="7">
        <f>$AV$7*EXP(-'3.r(t)'!D805*$AV$21)</f>
        <v>0.88900715067201674</v>
      </c>
      <c r="Z807" s="7">
        <f ca="1">$AV$8*EXP(-'3.r(t)'!E805*$AV$22)</f>
        <v>0.91249177077259991</v>
      </c>
      <c r="AA807" s="7">
        <f ca="1">$AV$9*EXP(-'3.r(t)'!F805*$AV$23)</f>
        <v>0.9316326345953061</v>
      </c>
      <c r="AB807" s="7">
        <f ca="1">$AV$10*EXP(-'3.r(t)'!G805*$AV$24)</f>
        <v>0.95927319198116956</v>
      </c>
      <c r="AC807" s="7">
        <f ca="1">$AV$11*EXP(-'3.r(t)'!H805*$AV$25)</f>
        <v>0.97458220309186672</v>
      </c>
      <c r="AD807" s="7">
        <v>1</v>
      </c>
      <c r="AE807" s="7"/>
      <c r="AF807" s="7">
        <v>799</v>
      </c>
      <c r="AG807" s="7">
        <f>$AW$7*EXP(-'3.r(t)'!D805*$AW$21)</f>
        <v>0.86718755429225491</v>
      </c>
      <c r="AH807" s="7">
        <f ca="1">$AW$8*EXP(-'3.r(t)'!E805*$AW$22)</f>
        <v>0.89085546848188502</v>
      </c>
      <c r="AI807" s="7">
        <f ca="1">$AW$9*EXP(-'3.r(t)'!F805*$AW$23)</f>
        <v>0.90909399874775287</v>
      </c>
      <c r="AJ807" s="7">
        <f ca="1">$AW$10*EXP(-'3.r(t)'!G805*$AW$24)</f>
        <v>0.93891143568373314</v>
      </c>
      <c r="AK807" s="7">
        <f ca="1">$AW$11*EXP(-'3.r(t)'!H805*$AW$25)</f>
        <v>0.94938837364721629</v>
      </c>
      <c r="AL807" s="7">
        <f ca="1">$AW$12*EXP(-'3.r(t)'!I805*$AW$26)</f>
        <v>0.97398073766642779</v>
      </c>
      <c r="AM807" s="7">
        <v>1</v>
      </c>
      <c r="AN807" s="7"/>
    </row>
    <row r="808" spans="2:40">
      <c r="B808" s="7">
        <v>800</v>
      </c>
      <c r="C808" s="7">
        <f>$AR$7*EXP(-'3.r(t)'!D806*$AR$21)</f>
        <v>0.97765346695821032</v>
      </c>
      <c r="D808" s="7">
        <v>1</v>
      </c>
      <c r="E808" s="7"/>
      <c r="F808" s="7">
        <v>800</v>
      </c>
      <c r="G808" s="48">
        <f>$AS$7*EXP(-'3.r(t)'!D806*$AS$21)</f>
        <v>0.9553476245219803</v>
      </c>
      <c r="H808" s="7">
        <f ca="1">$AS$8*EXP(-'3.r(t)'!E806*$AS$22)</f>
        <v>0.97832373596518607</v>
      </c>
      <c r="I808" s="7">
        <v>1</v>
      </c>
      <c r="J808" s="7"/>
      <c r="K808" s="7">
        <v>800</v>
      </c>
      <c r="L808" s="7">
        <f>$AT$7*EXP(-'3.r(t)'!D806*$AT$21)</f>
        <v>0.93311670519824419</v>
      </c>
      <c r="M808" s="7">
        <f ca="1">$AT$8*EXP(-'3.r(t)'!E806*$AT$22)</f>
        <v>0.95666651665328628</v>
      </c>
      <c r="N808" s="7">
        <f ca="1">$AT$9*EXP(-'3.r(t)'!F806*$AT$23)</f>
        <v>0.978015253224917</v>
      </c>
      <c r="O808" s="7">
        <v>1</v>
      </c>
      <c r="P808" s="7"/>
      <c r="Q808" s="7">
        <v>800</v>
      </c>
      <c r="R808" s="7">
        <f>$AU$7*EXP(-'3.r(t)'!D806*$AU$21)</f>
        <v>0.91099305977534117</v>
      </c>
      <c r="S808" s="7">
        <f ca="1">$AU$8*EXP(-'3.r(t)'!E806*$AU$22)</f>
        <v>0.93506212218824203</v>
      </c>
      <c r="T808" s="7">
        <f ca="1">$AU$9*EXP(-'3.r(t)'!F806*$AU$23)</f>
        <v>0.95607178919595248</v>
      </c>
      <c r="U808" s="7">
        <f ca="1">$AU$10*EXP(-'3.r(t)'!G806*$AU$24)</f>
        <v>0.97852163559825633</v>
      </c>
      <c r="V808" s="7">
        <v>1</v>
      </c>
      <c r="W808" s="7"/>
      <c r="X808" s="7">
        <v>800</v>
      </c>
      <c r="Y808" s="7">
        <f>$AV$7*EXP(-'3.r(t)'!D806*$AV$21)</f>
        <v>0.88900715067201674</v>
      </c>
      <c r="Z808" s="7">
        <f ca="1">$AV$8*EXP(-'3.r(t)'!E806*$AV$22)</f>
        <v>0.91354254428801474</v>
      </c>
      <c r="AA808" s="7">
        <f ca="1">$AV$9*EXP(-'3.r(t)'!F806*$AV$23)</f>
        <v>0.93420274911249346</v>
      </c>
      <c r="AB808" s="7">
        <f ca="1">$AV$10*EXP(-'3.r(t)'!G806*$AV$24)</f>
        <v>0.957070581081924</v>
      </c>
      <c r="AC808" s="7">
        <f ca="1">$AV$11*EXP(-'3.r(t)'!H806*$AV$25)</f>
        <v>0.97583694022103817</v>
      </c>
      <c r="AD808" s="7">
        <v>1</v>
      </c>
      <c r="AE808" s="7"/>
      <c r="AF808" s="7">
        <v>800</v>
      </c>
      <c r="AG808" s="7">
        <f>$AW$7*EXP(-'3.r(t)'!D806*$AW$21)</f>
        <v>0.86718755429225491</v>
      </c>
      <c r="AH808" s="7">
        <f ca="1">$AW$8*EXP(-'3.r(t)'!E806*$AW$22)</f>
        <v>0.89213797598861277</v>
      </c>
      <c r="AI808" s="7">
        <f ca="1">$AW$9*EXP(-'3.r(t)'!F806*$AW$23)</f>
        <v>0.91243945090674528</v>
      </c>
      <c r="AJ808" s="7">
        <f ca="1">$AW$10*EXP(-'3.r(t)'!G806*$AW$24)</f>
        <v>0.93567950603851402</v>
      </c>
      <c r="AK808" s="7">
        <f ca="1">$AW$11*EXP(-'3.r(t)'!H806*$AW$25)</f>
        <v>0.95183454939696333</v>
      </c>
      <c r="AL808" s="7">
        <f ca="1">$AW$12*EXP(-'3.r(t)'!I806*$AW$26)</f>
        <v>0.97117672730853233</v>
      </c>
      <c r="AM808" s="7">
        <v>1</v>
      </c>
      <c r="AN808" s="7"/>
    </row>
    <row r="809" spans="2:40">
      <c r="B809" s="7">
        <v>801</v>
      </c>
      <c r="C809" s="7">
        <f>$AR$7*EXP(-'3.r(t)'!D807*$AR$21)</f>
        <v>0.97765346695821032</v>
      </c>
      <c r="D809" s="7">
        <v>1</v>
      </c>
      <c r="E809" s="7"/>
      <c r="F809" s="7">
        <v>801</v>
      </c>
      <c r="G809" s="48">
        <f>$AS$7*EXP(-'3.r(t)'!D807*$AS$21)</f>
        <v>0.9553476245219803</v>
      </c>
      <c r="H809" s="7">
        <f ca="1">$AS$8*EXP(-'3.r(t)'!E807*$AS$22)</f>
        <v>0.97909061906613304</v>
      </c>
      <c r="I809" s="7">
        <v>1</v>
      </c>
      <c r="J809" s="7"/>
      <c r="K809" s="7">
        <v>801</v>
      </c>
      <c r="L809" s="7">
        <f>$AT$7*EXP(-'3.r(t)'!D807*$AT$21)</f>
        <v>0.93311670519824419</v>
      </c>
      <c r="M809" s="7">
        <f ca="1">$AT$8*EXP(-'3.r(t)'!E807*$AT$22)</f>
        <v>0.95816691760077466</v>
      </c>
      <c r="N809" s="7">
        <f ca="1">$AT$9*EXP(-'3.r(t)'!F807*$AT$23)</f>
        <v>0.97838113580623298</v>
      </c>
      <c r="O809" s="7">
        <v>1</v>
      </c>
      <c r="P809" s="7"/>
      <c r="Q809" s="7">
        <v>801</v>
      </c>
      <c r="R809" s="7">
        <f>$AU$7*EXP(-'3.r(t)'!D807*$AU$21)</f>
        <v>0.91099305977534117</v>
      </c>
      <c r="S809" s="7">
        <f ca="1">$AU$8*EXP(-'3.r(t)'!E807*$AU$22)</f>
        <v>0.93726276057734403</v>
      </c>
      <c r="T809" s="7">
        <f ca="1">$AU$9*EXP(-'3.r(t)'!F807*$AU$23)</f>
        <v>0.95678726974951056</v>
      </c>
      <c r="U809" s="7">
        <f ca="1">$AU$10*EXP(-'3.r(t)'!G807*$AU$24)</f>
        <v>0.98006746520699439</v>
      </c>
      <c r="V809" s="7">
        <v>1</v>
      </c>
      <c r="W809" s="7"/>
      <c r="X809" s="7">
        <v>801</v>
      </c>
      <c r="Y809" s="7">
        <f>$AV$7*EXP(-'3.r(t)'!D807*$AV$21)</f>
        <v>0.88900715067201674</v>
      </c>
      <c r="Z809" s="7">
        <f ca="1">$AV$8*EXP(-'3.r(t)'!E807*$AV$22)</f>
        <v>0.91641032514483967</v>
      </c>
      <c r="AA809" s="7">
        <f ca="1">$AV$9*EXP(-'3.r(t)'!F807*$AV$23)</f>
        <v>0.93525161742361795</v>
      </c>
      <c r="AB809" s="7">
        <f ca="1">$AV$10*EXP(-'3.r(t)'!G807*$AV$24)</f>
        <v>0.96009685375785536</v>
      </c>
      <c r="AC809" s="7">
        <f ca="1">$AV$11*EXP(-'3.r(t)'!H807*$AV$25)</f>
        <v>0.97526792139914364</v>
      </c>
      <c r="AD809" s="7">
        <v>1</v>
      </c>
      <c r="AE809" s="7"/>
      <c r="AF809" s="7">
        <v>801</v>
      </c>
      <c r="AG809" s="7">
        <f>$AW$7*EXP(-'3.r(t)'!D807*$AW$21)</f>
        <v>0.86718755429225491</v>
      </c>
      <c r="AH809" s="7">
        <f ca="1">$AW$8*EXP(-'3.r(t)'!E807*$AW$22)</f>
        <v>0.89564008348819935</v>
      </c>
      <c r="AI809" s="7">
        <f ca="1">$AW$9*EXP(-'3.r(t)'!F807*$AW$23)</f>
        <v>0.91380561810447369</v>
      </c>
      <c r="AJ809" s="7">
        <f ca="1">$AW$10*EXP(-'3.r(t)'!G807*$AW$24)</f>
        <v>0.94012096303516268</v>
      </c>
      <c r="AK809" s="7">
        <f ca="1">$AW$11*EXP(-'3.r(t)'!H807*$AW$25)</f>
        <v>0.95072482738829001</v>
      </c>
      <c r="AL809" s="7">
        <f ca="1">$AW$12*EXP(-'3.r(t)'!I807*$AW$26)</f>
        <v>0.97818948304239561</v>
      </c>
      <c r="AM809" s="7">
        <v>1</v>
      </c>
      <c r="AN809" s="7"/>
    </row>
    <row r="810" spans="2:40">
      <c r="B810" s="7">
        <v>802</v>
      </c>
      <c r="C810" s="7">
        <f>$AR$7*EXP(-'3.r(t)'!D808*$AR$21)</f>
        <v>0.97765346695821032</v>
      </c>
      <c r="D810" s="7">
        <v>1</v>
      </c>
      <c r="E810" s="7"/>
      <c r="F810" s="7">
        <v>802</v>
      </c>
      <c r="G810" s="48">
        <f>$AS$7*EXP(-'3.r(t)'!D808*$AS$21)</f>
        <v>0.9553476245219803</v>
      </c>
      <c r="H810" s="7">
        <f ca="1">$AS$8*EXP(-'3.r(t)'!E808*$AS$22)</f>
        <v>0.97832030453424412</v>
      </c>
      <c r="I810" s="7">
        <v>1</v>
      </c>
      <c r="J810" s="7"/>
      <c r="K810" s="7">
        <v>802</v>
      </c>
      <c r="L810" s="7">
        <f>$AT$7*EXP(-'3.r(t)'!D808*$AT$21)</f>
        <v>0.93311670519824419</v>
      </c>
      <c r="M810" s="7">
        <f ca="1">$AT$8*EXP(-'3.r(t)'!E808*$AT$22)</f>
        <v>0.95665980572681353</v>
      </c>
      <c r="N810" s="7">
        <f ca="1">$AT$9*EXP(-'3.r(t)'!F808*$AT$23)</f>
        <v>0.97716085417947995</v>
      </c>
      <c r="O810" s="7">
        <v>1</v>
      </c>
      <c r="P810" s="7"/>
      <c r="Q810" s="7">
        <v>802</v>
      </c>
      <c r="R810" s="7">
        <f>$AU$7*EXP(-'3.r(t)'!D808*$AU$21)</f>
        <v>0.91099305977534117</v>
      </c>
      <c r="S810" s="7">
        <f ca="1">$AU$8*EXP(-'3.r(t)'!E808*$AU$22)</f>
        <v>0.9350522831450091</v>
      </c>
      <c r="T810" s="7">
        <f ca="1">$AU$9*EXP(-'3.r(t)'!F808*$AU$23)</f>
        <v>0.95440206060658228</v>
      </c>
      <c r="U810" s="7">
        <f ca="1">$AU$10*EXP(-'3.r(t)'!G808*$AU$24)</f>
        <v>0.97667047700206211</v>
      </c>
      <c r="V810" s="7">
        <v>1</v>
      </c>
      <c r="W810" s="7"/>
      <c r="X810" s="7">
        <v>802</v>
      </c>
      <c r="Y810" s="7">
        <f>$AV$7*EXP(-'3.r(t)'!D808*$AV$21)</f>
        <v>0.88900715067201674</v>
      </c>
      <c r="Z810" s="7">
        <f ca="1">$AV$8*EXP(-'3.r(t)'!E808*$AV$22)</f>
        <v>0.91352972750131944</v>
      </c>
      <c r="AA810" s="7">
        <f ca="1">$AV$9*EXP(-'3.r(t)'!F808*$AV$23)</f>
        <v>0.93175651473602117</v>
      </c>
      <c r="AB810" s="7">
        <f ca="1">$AV$10*EXP(-'3.r(t)'!G808*$AV$24)</f>
        <v>0.95345285095573518</v>
      </c>
      <c r="AC810" s="7">
        <f ca="1">$AV$11*EXP(-'3.r(t)'!H808*$AV$25)</f>
        <v>0.97482947361715078</v>
      </c>
      <c r="AD810" s="7">
        <v>1</v>
      </c>
      <c r="AE810" s="7"/>
      <c r="AF810" s="7">
        <v>802</v>
      </c>
      <c r="AG810" s="7">
        <f>$AW$7*EXP(-'3.r(t)'!D808*$AW$21)</f>
        <v>0.86718755429225491</v>
      </c>
      <c r="AH810" s="7">
        <f ca="1">$AW$8*EXP(-'3.r(t)'!E808*$AW$22)</f>
        <v>0.89212233040899547</v>
      </c>
      <c r="AI810" s="7">
        <f ca="1">$AW$9*EXP(-'3.r(t)'!F808*$AW$23)</f>
        <v>0.90925517986009163</v>
      </c>
      <c r="AJ810" s="7">
        <f ca="1">$AW$10*EXP(-'3.r(t)'!G808*$AW$24)</f>
        <v>0.93037921503973842</v>
      </c>
      <c r="AK810" s="7">
        <f ca="1">$AW$11*EXP(-'3.r(t)'!H808*$AW$25)</f>
        <v>0.94987019148087803</v>
      </c>
      <c r="AL810" s="7">
        <f ca="1">$AW$12*EXP(-'3.r(t)'!I808*$AW$26)</f>
        <v>0.97325754221365501</v>
      </c>
      <c r="AM810" s="7">
        <v>1</v>
      </c>
      <c r="AN810" s="7"/>
    </row>
    <row r="811" spans="2:40">
      <c r="B811" s="7">
        <v>803</v>
      </c>
      <c r="C811" s="7">
        <f>$AR$7*EXP(-'3.r(t)'!D809*$AR$21)</f>
        <v>0.97765346695821032</v>
      </c>
      <c r="D811" s="7">
        <v>1</v>
      </c>
      <c r="E811" s="7"/>
      <c r="F811" s="7">
        <v>803</v>
      </c>
      <c r="G811" s="48">
        <f>$AS$7*EXP(-'3.r(t)'!D809*$AS$21)</f>
        <v>0.9553476245219803</v>
      </c>
      <c r="H811" s="7">
        <f ca="1">$AS$8*EXP(-'3.r(t)'!E809*$AS$22)</f>
        <v>0.97957648612142334</v>
      </c>
      <c r="I811" s="7">
        <v>1</v>
      </c>
      <c r="J811" s="7"/>
      <c r="K811" s="7">
        <v>803</v>
      </c>
      <c r="L811" s="7">
        <f>$AT$7*EXP(-'3.r(t)'!D809*$AT$21)</f>
        <v>0.93311670519824419</v>
      </c>
      <c r="M811" s="7">
        <f ca="1">$AT$8*EXP(-'3.r(t)'!E809*$AT$22)</f>
        <v>0.95911812117810036</v>
      </c>
      <c r="N811" s="7">
        <f ca="1">$AT$9*EXP(-'3.r(t)'!F809*$AT$23)</f>
        <v>0.98106708253381025</v>
      </c>
      <c r="O811" s="7">
        <v>1</v>
      </c>
      <c r="P811" s="7"/>
      <c r="Q811" s="7">
        <v>803</v>
      </c>
      <c r="R811" s="7">
        <f>$AU$7*EXP(-'3.r(t)'!D809*$AU$21)</f>
        <v>0.91099305977534117</v>
      </c>
      <c r="S811" s="7">
        <f ca="1">$AU$8*EXP(-'3.r(t)'!E809*$AU$22)</f>
        <v>0.93865878391097135</v>
      </c>
      <c r="T811" s="7">
        <f ca="1">$AU$9*EXP(-'3.r(t)'!F809*$AU$23)</f>
        <v>0.96204781103210024</v>
      </c>
      <c r="U811" s="7">
        <f ca="1">$AU$10*EXP(-'3.r(t)'!G809*$AU$24)</f>
        <v>0.98042605138832017</v>
      </c>
      <c r="V811" s="7">
        <v>1</v>
      </c>
      <c r="W811" s="7"/>
      <c r="X811" s="7">
        <v>803</v>
      </c>
      <c r="Y811" s="7">
        <f>$AV$7*EXP(-'3.r(t)'!D809*$AV$21)</f>
        <v>0.88900715067201674</v>
      </c>
      <c r="Z811" s="7">
        <f ca="1">$AV$8*EXP(-'3.r(t)'!E809*$AV$22)</f>
        <v>0.91823072917360438</v>
      </c>
      <c r="AA811" s="7">
        <f ca="1">$AV$9*EXP(-'3.r(t)'!F809*$AV$23)</f>
        <v>0.94297541296091414</v>
      </c>
      <c r="AB811" s="7">
        <f ca="1">$AV$10*EXP(-'3.r(t)'!G809*$AV$24)</f>
        <v>0.9607995409884329</v>
      </c>
      <c r="AC811" s="7">
        <f ca="1">$AV$11*EXP(-'3.r(t)'!H809*$AV$25)</f>
        <v>0.98076889828738478</v>
      </c>
      <c r="AD811" s="7">
        <v>1</v>
      </c>
      <c r="AE811" s="7"/>
      <c r="AF811" s="7">
        <v>803</v>
      </c>
      <c r="AG811" s="7">
        <f>$AW$7*EXP(-'3.r(t)'!D809*$AW$21)</f>
        <v>0.86718755429225491</v>
      </c>
      <c r="AH811" s="7">
        <f ca="1">$AW$8*EXP(-'3.r(t)'!E809*$AW$22)</f>
        <v>0.89786456663730541</v>
      </c>
      <c r="AI811" s="7">
        <f ca="1">$AW$9*EXP(-'3.r(t)'!F809*$AW$23)</f>
        <v>0.92388168704012608</v>
      </c>
      <c r="AJ811" s="7">
        <f ca="1">$AW$10*EXP(-'3.r(t)'!G809*$AW$24)</f>
        <v>0.94115325241186931</v>
      </c>
      <c r="AK811" s="7">
        <f ca="1">$AW$11*EXP(-'3.r(t)'!H809*$AW$25)</f>
        <v>0.96148015891839123</v>
      </c>
      <c r="AL811" s="7">
        <f ca="1">$AW$12*EXP(-'3.r(t)'!I809*$AW$26)</f>
        <v>0.98211262497108931</v>
      </c>
      <c r="AM811" s="7">
        <v>1</v>
      </c>
      <c r="AN811" s="7"/>
    </row>
    <row r="812" spans="2:40">
      <c r="B812" s="7">
        <v>804</v>
      </c>
      <c r="C812" s="7">
        <f>$AR$7*EXP(-'3.r(t)'!D810*$AR$21)</f>
        <v>0.97765346695821032</v>
      </c>
      <c r="D812" s="7">
        <v>1</v>
      </c>
      <c r="E812" s="7"/>
      <c r="F812" s="7">
        <v>804</v>
      </c>
      <c r="G812" s="48">
        <f>$AS$7*EXP(-'3.r(t)'!D810*$AS$21)</f>
        <v>0.9553476245219803</v>
      </c>
      <c r="H812" s="7">
        <f ca="1">$AS$8*EXP(-'3.r(t)'!E810*$AS$22)</f>
        <v>0.9744905477378949</v>
      </c>
      <c r="I812" s="7">
        <v>1</v>
      </c>
      <c r="J812" s="7"/>
      <c r="K812" s="7">
        <v>804</v>
      </c>
      <c r="L812" s="7">
        <f>$AT$7*EXP(-'3.r(t)'!D810*$AT$21)</f>
        <v>0.93311670519824419</v>
      </c>
      <c r="M812" s="7">
        <f ca="1">$AT$8*EXP(-'3.r(t)'!E810*$AT$22)</f>
        <v>0.94918453770871569</v>
      </c>
      <c r="N812" s="7">
        <f ca="1">$AT$9*EXP(-'3.r(t)'!F810*$AT$23)</f>
        <v>0.97426670392635395</v>
      </c>
      <c r="O812" s="7">
        <v>1</v>
      </c>
      <c r="P812" s="7"/>
      <c r="Q812" s="7">
        <v>804</v>
      </c>
      <c r="R812" s="7">
        <f>$AU$7*EXP(-'3.r(t)'!D810*$AU$21)</f>
        <v>0.91099305977534117</v>
      </c>
      <c r="S812" s="7">
        <f ca="1">$AU$8*EXP(-'3.r(t)'!E810*$AU$22)</f>
        <v>0.92411407788136701</v>
      </c>
      <c r="T812" s="7">
        <f ca="1">$AU$9*EXP(-'3.r(t)'!F810*$AU$23)</f>
        <v>0.94875694610271555</v>
      </c>
      <c r="U812" s="7">
        <f ca="1">$AU$10*EXP(-'3.r(t)'!G810*$AU$24)</f>
        <v>0.97534406536858342</v>
      </c>
      <c r="V812" s="7">
        <v>1</v>
      </c>
      <c r="W812" s="7"/>
      <c r="X812" s="7">
        <v>804</v>
      </c>
      <c r="Y812" s="7">
        <f>$AV$7*EXP(-'3.r(t)'!D810*$AV$21)</f>
        <v>0.88900715067201674</v>
      </c>
      <c r="Z812" s="7">
        <f ca="1">$AV$8*EXP(-'3.r(t)'!E810*$AV$22)</f>
        <v>0.89930899963473809</v>
      </c>
      <c r="AA812" s="7">
        <f ca="1">$AV$9*EXP(-'3.r(t)'!F810*$AV$23)</f>
        <v>0.92350199557000912</v>
      </c>
      <c r="AB812" s="7">
        <f ca="1">$AV$10*EXP(-'3.r(t)'!G810*$AV$24)</f>
        <v>0.95086484975907815</v>
      </c>
      <c r="AC812" s="7">
        <f ca="1">$AV$11*EXP(-'3.r(t)'!H810*$AV$25)</f>
        <v>0.97274457076818943</v>
      </c>
      <c r="AD812" s="7">
        <v>1</v>
      </c>
      <c r="AE812" s="7"/>
      <c r="AF812" s="7">
        <v>804</v>
      </c>
      <c r="AG812" s="7">
        <f>$AW$7*EXP(-'3.r(t)'!D810*$AW$21)</f>
        <v>0.86718755429225491</v>
      </c>
      <c r="AH812" s="7">
        <f ca="1">$AW$8*EXP(-'3.r(t)'!E810*$AW$22)</f>
        <v>0.87479688725887861</v>
      </c>
      <c r="AI812" s="7">
        <f ca="1">$AW$9*EXP(-'3.r(t)'!F810*$AW$23)</f>
        <v>0.89853083237778675</v>
      </c>
      <c r="AJ812" s="7">
        <f ca="1">$AW$10*EXP(-'3.r(t)'!G810*$AW$24)</f>
        <v>0.92659372969008236</v>
      </c>
      <c r="AK812" s="7">
        <f ca="1">$AW$11*EXP(-'3.r(t)'!H810*$AW$25)</f>
        <v>0.94581149329953607</v>
      </c>
      <c r="AL812" s="7">
        <f ca="1">$AW$12*EXP(-'3.r(t)'!I810*$AW$26)</f>
        <v>0.97319626929388203</v>
      </c>
      <c r="AM812" s="7">
        <v>1</v>
      </c>
      <c r="AN812" s="7"/>
    </row>
    <row r="813" spans="2:40">
      <c r="B813" s="7">
        <v>805</v>
      </c>
      <c r="C813" s="7">
        <f>$AR$7*EXP(-'3.r(t)'!D811*$AR$21)</f>
        <v>0.97765346695821032</v>
      </c>
      <c r="D813" s="7">
        <v>1</v>
      </c>
      <c r="E813" s="7"/>
      <c r="F813" s="7">
        <v>805</v>
      </c>
      <c r="G813" s="48">
        <f>$AS$7*EXP(-'3.r(t)'!D811*$AS$21)</f>
        <v>0.9553476245219803</v>
      </c>
      <c r="H813" s="7">
        <f ca="1">$AS$8*EXP(-'3.r(t)'!E811*$AS$22)</f>
        <v>0.97639913269558476</v>
      </c>
      <c r="I813" s="7">
        <v>1</v>
      </c>
      <c r="J813" s="7"/>
      <c r="K813" s="7">
        <v>805</v>
      </c>
      <c r="L813" s="7">
        <f>$AT$7*EXP(-'3.r(t)'!D811*$AT$21)</f>
        <v>0.93311670519824419</v>
      </c>
      <c r="M813" s="7">
        <f ca="1">$AT$8*EXP(-'3.r(t)'!E811*$AT$22)</f>
        <v>0.95290622261500668</v>
      </c>
      <c r="N813" s="7">
        <f ca="1">$AT$9*EXP(-'3.r(t)'!F811*$AT$23)</f>
        <v>0.97523012470198756</v>
      </c>
      <c r="O813" s="7">
        <v>1</v>
      </c>
      <c r="P813" s="7"/>
      <c r="Q813" s="7">
        <v>805</v>
      </c>
      <c r="R813" s="7">
        <f>$AU$7*EXP(-'3.r(t)'!D811*$AU$21)</f>
        <v>0.91099305977534117</v>
      </c>
      <c r="S813" s="7">
        <f ca="1">$AU$8*EXP(-'3.r(t)'!E811*$AU$22)</f>
        <v>0.92955448017422071</v>
      </c>
      <c r="T813" s="7">
        <f ca="1">$AU$9*EXP(-'3.r(t)'!F811*$AU$23)</f>
        <v>0.95063426385871652</v>
      </c>
      <c r="U813" s="7">
        <f ca="1">$AU$10*EXP(-'3.r(t)'!G811*$AU$24)</f>
        <v>0.97573204630737431</v>
      </c>
      <c r="V813" s="7">
        <v>1</v>
      </c>
      <c r="W813" s="7"/>
      <c r="X813" s="7">
        <v>805</v>
      </c>
      <c r="Y813" s="7">
        <f>$AV$7*EXP(-'3.r(t)'!D811*$AV$21)</f>
        <v>0.88900715067201674</v>
      </c>
      <c r="Z813" s="7">
        <f ca="1">$AV$8*EXP(-'3.r(t)'!E811*$AV$22)</f>
        <v>0.90637507827940533</v>
      </c>
      <c r="AA813" s="7">
        <f ca="1">$AV$9*EXP(-'3.r(t)'!F811*$AV$23)</f>
        <v>0.92624436922878228</v>
      </c>
      <c r="AB813" s="7">
        <f ca="1">$AV$10*EXP(-'3.r(t)'!G811*$AV$24)</f>
        <v>0.95162148698236293</v>
      </c>
      <c r="AC813" s="7">
        <f ca="1">$AV$11*EXP(-'3.r(t)'!H811*$AV$25)</f>
        <v>0.97857710557667743</v>
      </c>
      <c r="AD813" s="7">
        <v>1</v>
      </c>
      <c r="AE813" s="7"/>
      <c r="AF813" s="7">
        <v>805</v>
      </c>
      <c r="AG813" s="7">
        <f>$AW$7*EXP(-'3.r(t)'!D811*$AW$21)</f>
        <v>0.86718755429225491</v>
      </c>
      <c r="AH813" s="7">
        <f ca="1">$AW$8*EXP(-'3.r(t)'!E811*$AW$22)</f>
        <v>0.88339716090133968</v>
      </c>
      <c r="AI813" s="7">
        <f ca="1">$AW$9*EXP(-'3.r(t)'!F811*$AW$23)</f>
        <v>0.90209021977843429</v>
      </c>
      <c r="AJ813" s="7">
        <f ca="1">$AW$10*EXP(-'3.r(t)'!G811*$AW$24)</f>
        <v>0.9276999354144202</v>
      </c>
      <c r="AK813" s="7">
        <f ca="1">$AW$11*EXP(-'3.r(t)'!H811*$AW$25)</f>
        <v>0.95718758710166729</v>
      </c>
      <c r="AL813" s="7">
        <f ca="1">$AW$12*EXP(-'3.r(t)'!I811*$AW$26)</f>
        <v>0.97874591059679883</v>
      </c>
      <c r="AM813" s="7">
        <v>1</v>
      </c>
      <c r="AN813" s="7"/>
    </row>
    <row r="814" spans="2:40">
      <c r="B814" s="7">
        <v>806</v>
      </c>
      <c r="C814" s="7">
        <f>$AR$7*EXP(-'3.r(t)'!D812*$AR$21)</f>
        <v>0.97765346695821032</v>
      </c>
      <c r="D814" s="7">
        <v>1</v>
      </c>
      <c r="E814" s="7"/>
      <c r="F814" s="7">
        <v>806</v>
      </c>
      <c r="G814" s="48">
        <f>$AS$7*EXP(-'3.r(t)'!D812*$AS$21)</f>
        <v>0.9553476245219803</v>
      </c>
      <c r="H814" s="7">
        <f ca="1">$AS$8*EXP(-'3.r(t)'!E812*$AS$22)</f>
        <v>0.97591013486027234</v>
      </c>
      <c r="I814" s="7">
        <v>1</v>
      </c>
      <c r="J814" s="7"/>
      <c r="K814" s="7">
        <v>806</v>
      </c>
      <c r="L814" s="7">
        <f>$AT$7*EXP(-'3.r(t)'!D812*$AT$21)</f>
        <v>0.93311670519824419</v>
      </c>
      <c r="M814" s="7">
        <f ca="1">$AT$8*EXP(-'3.r(t)'!E812*$AT$22)</f>
        <v>0.95195199727464097</v>
      </c>
      <c r="N814" s="7">
        <f ca="1">$AT$9*EXP(-'3.r(t)'!F812*$AT$23)</f>
        <v>0.97563930280106448</v>
      </c>
      <c r="O814" s="7">
        <v>1</v>
      </c>
      <c r="P814" s="7"/>
      <c r="Q814" s="7">
        <v>806</v>
      </c>
      <c r="R814" s="7">
        <f>$AU$7*EXP(-'3.r(t)'!D812*$AU$21)</f>
        <v>0.91099305977534117</v>
      </c>
      <c r="S814" s="7">
        <f ca="1">$AU$8*EXP(-'3.r(t)'!E812*$AU$22)</f>
        <v>0.92815856787346662</v>
      </c>
      <c r="T814" s="7">
        <f ca="1">$AU$9*EXP(-'3.r(t)'!F812*$AU$23)</f>
        <v>0.9514321479954102</v>
      </c>
      <c r="U814" s="7">
        <f ca="1">$AU$10*EXP(-'3.r(t)'!G812*$AU$24)</f>
        <v>0.97288023195252782</v>
      </c>
      <c r="V814" s="7">
        <v>1</v>
      </c>
      <c r="W814" s="7"/>
      <c r="X814" s="7">
        <v>806</v>
      </c>
      <c r="Y814" s="7">
        <f>$AV$7*EXP(-'3.r(t)'!D812*$AV$21)</f>
        <v>0.88900715067201674</v>
      </c>
      <c r="Z814" s="7">
        <f ca="1">$AV$8*EXP(-'3.r(t)'!E812*$AV$22)</f>
        <v>0.90456072760063888</v>
      </c>
      <c r="AA814" s="7">
        <f ca="1">$AV$9*EXP(-'3.r(t)'!F812*$AV$23)</f>
        <v>0.92741073378151562</v>
      </c>
      <c r="AB814" s="7">
        <f ca="1">$AV$10*EXP(-'3.r(t)'!G812*$AV$24)</f>
        <v>0.94606692538550863</v>
      </c>
      <c r="AC814" s="7">
        <f ca="1">$AV$11*EXP(-'3.r(t)'!H812*$AV$25)</f>
        <v>0.96747716343203927</v>
      </c>
      <c r="AD814" s="7">
        <v>1</v>
      </c>
      <c r="AE814" s="7"/>
      <c r="AF814" s="7">
        <v>806</v>
      </c>
      <c r="AG814" s="7">
        <f>$AW$7*EXP(-'3.r(t)'!D812*$AW$21)</f>
        <v>0.86718755429225491</v>
      </c>
      <c r="AH814" s="7">
        <f ca="1">$AW$8*EXP(-'3.r(t)'!E812*$AW$22)</f>
        <v>0.88118727144142284</v>
      </c>
      <c r="AI814" s="7">
        <f ca="1">$AW$9*EXP(-'3.r(t)'!F812*$AW$23)</f>
        <v>0.9036051357849485</v>
      </c>
      <c r="AJ814" s="7">
        <f ca="1">$AW$10*EXP(-'3.r(t)'!G812*$AW$24)</f>
        <v>0.9195894002182633</v>
      </c>
      <c r="AK814" s="7">
        <f ca="1">$AW$11*EXP(-'3.r(t)'!H812*$AW$25)</f>
        <v>0.93559609685610079</v>
      </c>
      <c r="AL814" s="7">
        <f ca="1">$AW$12*EXP(-'3.r(t)'!I812*$AW$26)</f>
        <v>0.97179000263264703</v>
      </c>
      <c r="AM814" s="7">
        <v>1</v>
      </c>
      <c r="AN814" s="7"/>
    </row>
    <row r="815" spans="2:40">
      <c r="B815" s="7">
        <v>807</v>
      </c>
      <c r="C815" s="7">
        <f>$AR$7*EXP(-'3.r(t)'!D813*$AR$21)</f>
        <v>0.97765346695821032</v>
      </c>
      <c r="D815" s="7">
        <v>1</v>
      </c>
      <c r="E815" s="7"/>
      <c r="F815" s="7">
        <v>807</v>
      </c>
      <c r="G815" s="48">
        <f>$AS$7*EXP(-'3.r(t)'!D813*$AS$21)</f>
        <v>0.9553476245219803</v>
      </c>
      <c r="H815" s="7">
        <f ca="1">$AS$8*EXP(-'3.r(t)'!E813*$AS$22)</f>
        <v>0.97517413688508614</v>
      </c>
      <c r="I815" s="7">
        <v>1</v>
      </c>
      <c r="J815" s="7"/>
      <c r="K815" s="7">
        <v>807</v>
      </c>
      <c r="L815" s="7">
        <f>$AT$7*EXP(-'3.r(t)'!D813*$AT$21)</f>
        <v>0.93311670519824419</v>
      </c>
      <c r="M815" s="7">
        <f ca="1">$AT$8*EXP(-'3.r(t)'!E813*$AT$22)</f>
        <v>0.95051667957458597</v>
      </c>
      <c r="N815" s="7">
        <f ca="1">$AT$9*EXP(-'3.r(t)'!F813*$AT$23)</f>
        <v>0.97733396528544469</v>
      </c>
      <c r="O815" s="7">
        <v>1</v>
      </c>
      <c r="P815" s="7"/>
      <c r="Q815" s="7">
        <v>807</v>
      </c>
      <c r="R815" s="7">
        <f>$AU$7*EXP(-'3.r(t)'!D813*$AU$21)</f>
        <v>0.91099305977534117</v>
      </c>
      <c r="S815" s="7">
        <f ca="1">$AU$8*EXP(-'3.r(t)'!E813*$AU$22)</f>
        <v>0.92606019505025294</v>
      </c>
      <c r="T815" s="7">
        <f ca="1">$AU$9*EXP(-'3.r(t)'!F813*$AU$23)</f>
        <v>0.9547402490026593</v>
      </c>
      <c r="U815" s="7">
        <f ca="1">$AU$10*EXP(-'3.r(t)'!G813*$AU$24)</f>
        <v>0.97581817530117088</v>
      </c>
      <c r="V815" s="7">
        <v>1</v>
      </c>
      <c r="W815" s="7"/>
      <c r="X815" s="7">
        <v>807</v>
      </c>
      <c r="Y815" s="7">
        <f>$AV$7*EXP(-'3.r(t)'!D813*$AV$21)</f>
        <v>0.88900715067201674</v>
      </c>
      <c r="Z815" s="7">
        <f ca="1">$AV$8*EXP(-'3.r(t)'!E813*$AV$22)</f>
        <v>0.90183505815821952</v>
      </c>
      <c r="AA815" s="7">
        <f ca="1">$AV$9*EXP(-'3.r(t)'!F813*$AV$23)</f>
        <v>0.93225180466731494</v>
      </c>
      <c r="AB815" s="7">
        <f ca="1">$AV$10*EXP(-'3.r(t)'!G813*$AV$24)</f>
        <v>0.95178949585100303</v>
      </c>
      <c r="AC815" s="7">
        <f ca="1">$AV$11*EXP(-'3.r(t)'!H813*$AV$25)</f>
        <v>0.97765841704958001</v>
      </c>
      <c r="AD815" s="7">
        <v>1</v>
      </c>
      <c r="AE815" s="7"/>
      <c r="AF815" s="7">
        <v>807</v>
      </c>
      <c r="AG815" s="7">
        <f>$AW$7*EXP(-'3.r(t)'!D813*$AW$21)</f>
        <v>0.86718755429225491</v>
      </c>
      <c r="AH815" s="7">
        <f ca="1">$AW$8*EXP(-'3.r(t)'!E813*$AW$22)</f>
        <v>0.87786947336541155</v>
      </c>
      <c r="AI815" s="7">
        <f ca="1">$AW$9*EXP(-'3.r(t)'!F813*$AW$23)</f>
        <v>0.90989967560080465</v>
      </c>
      <c r="AJ815" s="7">
        <f ca="1">$AW$10*EXP(-'3.r(t)'!G813*$AW$24)</f>
        <v>0.92794562453221197</v>
      </c>
      <c r="AK815" s="7">
        <f ca="1">$AW$11*EXP(-'3.r(t)'!H813*$AW$25)</f>
        <v>0.95539121463578147</v>
      </c>
      <c r="AL815" s="7">
        <f ca="1">$AW$12*EXP(-'3.r(t)'!I813*$AW$26)</f>
        <v>0.97918271107349675</v>
      </c>
      <c r="AM815" s="7">
        <v>1</v>
      </c>
      <c r="AN815" s="7"/>
    </row>
    <row r="816" spans="2:40">
      <c r="B816" s="7">
        <v>808</v>
      </c>
      <c r="C816" s="7">
        <f>$AR$7*EXP(-'3.r(t)'!D814*$AR$21)</f>
        <v>0.97765346695821032</v>
      </c>
      <c r="D816" s="7">
        <v>1</v>
      </c>
      <c r="E816" s="7"/>
      <c r="F816" s="7">
        <v>808</v>
      </c>
      <c r="G816" s="48">
        <f>$AS$7*EXP(-'3.r(t)'!D814*$AS$21)</f>
        <v>0.9553476245219803</v>
      </c>
      <c r="H816" s="7">
        <f ca="1">$AS$8*EXP(-'3.r(t)'!E814*$AS$22)</f>
        <v>0.97594407751070023</v>
      </c>
      <c r="I816" s="7">
        <v>1</v>
      </c>
      <c r="J816" s="7"/>
      <c r="K816" s="7">
        <v>808</v>
      </c>
      <c r="L816" s="7">
        <f>$AT$7*EXP(-'3.r(t)'!D814*$AT$21)</f>
        <v>0.93311670519824419</v>
      </c>
      <c r="M816" s="7">
        <f ca="1">$AT$8*EXP(-'3.r(t)'!E814*$AT$22)</f>
        <v>0.95201821717465718</v>
      </c>
      <c r="N816" s="7">
        <f ca="1">$AT$9*EXP(-'3.r(t)'!F814*$AT$23)</f>
        <v>0.97420020935416507</v>
      </c>
      <c r="O816" s="7">
        <v>1</v>
      </c>
      <c r="P816" s="7"/>
      <c r="Q816" s="7">
        <v>808</v>
      </c>
      <c r="R816" s="7">
        <f>$AU$7*EXP(-'3.r(t)'!D814*$AU$21)</f>
        <v>0.91099305977534117</v>
      </c>
      <c r="S816" s="7">
        <f ca="1">$AU$8*EXP(-'3.r(t)'!E814*$AU$22)</f>
        <v>0.92825541672182599</v>
      </c>
      <c r="T816" s="7">
        <f ca="1">$AU$9*EXP(-'3.r(t)'!F814*$AU$23)</f>
        <v>0.94862744350530648</v>
      </c>
      <c r="U816" s="7">
        <f ca="1">$AU$10*EXP(-'3.r(t)'!G814*$AU$24)</f>
        <v>0.97335056209758175</v>
      </c>
      <c r="V816" s="7">
        <v>1</v>
      </c>
      <c r="W816" s="7"/>
      <c r="X816" s="7">
        <v>808</v>
      </c>
      <c r="Y816" s="7">
        <f>$AV$7*EXP(-'3.r(t)'!D814*$AV$21)</f>
        <v>0.88900715067201674</v>
      </c>
      <c r="Z816" s="7">
        <f ca="1">$AV$8*EXP(-'3.r(t)'!E814*$AV$22)</f>
        <v>0.90468657849332612</v>
      </c>
      <c r="AA816" s="7">
        <f ca="1">$AV$9*EXP(-'3.r(t)'!F814*$AV$23)</f>
        <v>0.92331291896865286</v>
      </c>
      <c r="AB816" s="7">
        <f ca="1">$AV$10*EXP(-'3.r(t)'!G814*$AV$24)</f>
        <v>0.94698188148491236</v>
      </c>
      <c r="AC816" s="7">
        <f ca="1">$AV$11*EXP(-'3.r(t)'!H814*$AV$25)</f>
        <v>0.97603199005197239</v>
      </c>
      <c r="AD816" s="7">
        <v>1</v>
      </c>
      <c r="AE816" s="7"/>
      <c r="AF816" s="7">
        <v>808</v>
      </c>
      <c r="AG816" s="7">
        <f>$AW$7*EXP(-'3.r(t)'!D814*$AW$21)</f>
        <v>0.86718755429225491</v>
      </c>
      <c r="AH816" s="7">
        <f ca="1">$AW$8*EXP(-'3.r(t)'!E814*$AW$22)</f>
        <v>0.88134052280688291</v>
      </c>
      <c r="AI816" s="7">
        <f ca="1">$AW$9*EXP(-'3.r(t)'!F814*$AW$23)</f>
        <v>0.89828555536436727</v>
      </c>
      <c r="AJ816" s="7">
        <f ca="1">$AW$10*EXP(-'3.r(t)'!G814*$AW$24)</f>
        <v>0.92092374661205723</v>
      </c>
      <c r="AK816" s="7">
        <f ca="1">$AW$11*EXP(-'3.r(t)'!H814*$AW$25)</f>
        <v>0.95221509191307074</v>
      </c>
      <c r="AL816" s="7">
        <f ca="1">$AW$12*EXP(-'3.r(t)'!I814*$AW$26)</f>
        <v>0.97819385666999503</v>
      </c>
      <c r="AM816" s="7">
        <v>1</v>
      </c>
      <c r="AN816" s="7"/>
    </row>
    <row r="817" spans="2:40">
      <c r="B817" s="7">
        <v>809</v>
      </c>
      <c r="C817" s="7">
        <f>$AR$7*EXP(-'3.r(t)'!D815*$AR$21)</f>
        <v>0.97765346695821032</v>
      </c>
      <c r="D817" s="7">
        <v>1</v>
      </c>
      <c r="E817" s="7"/>
      <c r="F817" s="7">
        <v>809</v>
      </c>
      <c r="G817" s="48">
        <f>$AS$7*EXP(-'3.r(t)'!D815*$AS$21)</f>
        <v>0.9553476245219803</v>
      </c>
      <c r="H817" s="7">
        <f ca="1">$AS$8*EXP(-'3.r(t)'!E815*$AS$22)</f>
        <v>0.97754228021899081</v>
      </c>
      <c r="I817" s="7">
        <v>1</v>
      </c>
      <c r="J817" s="7"/>
      <c r="K817" s="7">
        <v>809</v>
      </c>
      <c r="L817" s="7">
        <f>$AT$7*EXP(-'3.r(t)'!D815*$AT$21)</f>
        <v>0.93311670519824419</v>
      </c>
      <c r="M817" s="7">
        <f ca="1">$AT$8*EXP(-'3.r(t)'!E815*$AT$22)</f>
        <v>0.95513881382471644</v>
      </c>
      <c r="N817" s="7">
        <f ca="1">$AT$9*EXP(-'3.r(t)'!F815*$AT$23)</f>
        <v>0.97738063485944982</v>
      </c>
      <c r="O817" s="7">
        <v>1</v>
      </c>
      <c r="P817" s="7"/>
      <c r="Q817" s="7">
        <v>809</v>
      </c>
      <c r="R817" s="7">
        <f>$AU$7*EXP(-'3.r(t)'!D815*$AU$21)</f>
        <v>0.91099305977534117</v>
      </c>
      <c r="S817" s="7">
        <f ca="1">$AU$8*EXP(-'3.r(t)'!E815*$AU$22)</f>
        <v>0.93282321252685352</v>
      </c>
      <c r="T817" s="7">
        <f ca="1">$AU$9*EXP(-'3.r(t)'!F815*$AU$23)</f>
        <v>0.95483143254101566</v>
      </c>
      <c r="U817" s="7">
        <f ca="1">$AU$10*EXP(-'3.r(t)'!G815*$AU$24)</f>
        <v>0.9787164472739166</v>
      </c>
      <c r="V817" s="7">
        <v>1</v>
      </c>
      <c r="W817" s="7"/>
      <c r="X817" s="7">
        <v>809</v>
      </c>
      <c r="Y817" s="7">
        <f>$AV$7*EXP(-'3.r(t)'!D815*$AV$21)</f>
        <v>0.88900715067201674</v>
      </c>
      <c r="Z817" s="7">
        <f ca="1">$AV$8*EXP(-'3.r(t)'!E815*$AV$22)</f>
        <v>0.91062719778192436</v>
      </c>
      <c r="AA817" s="7">
        <f ca="1">$AV$9*EXP(-'3.r(t)'!F815*$AV$23)</f>
        <v>0.93238536148744589</v>
      </c>
      <c r="AB817" s="7">
        <f ca="1">$AV$10*EXP(-'3.r(t)'!G815*$AV$24)</f>
        <v>0.95745170108305855</v>
      </c>
      <c r="AC817" s="7">
        <f ca="1">$AV$11*EXP(-'3.r(t)'!H815*$AV$25)</f>
        <v>0.97675316094784659</v>
      </c>
      <c r="AD817" s="7">
        <v>1</v>
      </c>
      <c r="AE817" s="7"/>
      <c r="AF817" s="7">
        <v>809</v>
      </c>
      <c r="AG817" s="7">
        <f>$AW$7*EXP(-'3.r(t)'!D815*$AW$21)</f>
        <v>0.86718755429225491</v>
      </c>
      <c r="AH817" s="7">
        <f ca="1">$AW$8*EXP(-'3.r(t)'!E815*$AW$22)</f>
        <v>0.88858059789300148</v>
      </c>
      <c r="AI817" s="7">
        <f ca="1">$AW$9*EXP(-'3.r(t)'!F815*$AW$23)</f>
        <v>0.91007348587857839</v>
      </c>
      <c r="AJ817" s="7">
        <f ca="1">$AW$10*EXP(-'3.r(t)'!G815*$AW$24)</f>
        <v>0.93623846430229052</v>
      </c>
      <c r="AK817" s="7">
        <f ca="1">$AW$11*EXP(-'3.r(t)'!H815*$AW$25)</f>
        <v>0.95362275788325934</v>
      </c>
      <c r="AL817" s="7">
        <f ca="1">$AW$12*EXP(-'3.r(t)'!I815*$AW$26)</f>
        <v>0.97220699318626314</v>
      </c>
      <c r="AM817" s="7">
        <v>1</v>
      </c>
      <c r="AN817" s="7"/>
    </row>
    <row r="818" spans="2:40">
      <c r="B818" s="7">
        <v>810</v>
      </c>
      <c r="C818" s="7">
        <f>$AR$7*EXP(-'3.r(t)'!D816*$AR$21)</f>
        <v>0.97765346695821032</v>
      </c>
      <c r="D818" s="7">
        <v>1</v>
      </c>
      <c r="E818" s="7"/>
      <c r="F818" s="7">
        <v>810</v>
      </c>
      <c r="G818" s="48">
        <f>$AS$7*EXP(-'3.r(t)'!D816*$AS$21)</f>
        <v>0.9553476245219803</v>
      </c>
      <c r="H818" s="7">
        <f ca="1">$AS$8*EXP(-'3.r(t)'!E816*$AS$22)</f>
        <v>0.97790237792420975</v>
      </c>
      <c r="I818" s="7">
        <v>1</v>
      </c>
      <c r="J818" s="7"/>
      <c r="K818" s="7">
        <v>810</v>
      </c>
      <c r="L818" s="7">
        <f>$AT$7*EXP(-'3.r(t)'!D816*$AT$21)</f>
        <v>0.93311670519824419</v>
      </c>
      <c r="M818" s="7">
        <f ca="1">$AT$8*EXP(-'3.r(t)'!E816*$AT$22)</f>
        <v>0.95584263329372743</v>
      </c>
      <c r="N818" s="7">
        <f ca="1">$AT$9*EXP(-'3.r(t)'!F816*$AT$23)</f>
        <v>0.97628494006767386</v>
      </c>
      <c r="O818" s="7">
        <v>1</v>
      </c>
      <c r="P818" s="7"/>
      <c r="Q818" s="7">
        <v>810</v>
      </c>
      <c r="R818" s="7">
        <f>$AU$7*EXP(-'3.r(t)'!D816*$AU$21)</f>
        <v>0.91099305977534117</v>
      </c>
      <c r="S818" s="7">
        <f ca="1">$AU$8*EXP(-'3.r(t)'!E816*$AU$22)</f>
        <v>0.93385446588111076</v>
      </c>
      <c r="T818" s="7">
        <f ca="1">$AU$9*EXP(-'3.r(t)'!F816*$AU$23)</f>
        <v>0.95269180061918024</v>
      </c>
      <c r="U818" s="7">
        <f ca="1">$AU$10*EXP(-'3.r(t)'!G816*$AU$24)</f>
        <v>0.97525623666252015</v>
      </c>
      <c r="V818" s="7">
        <v>1</v>
      </c>
      <c r="W818" s="7"/>
      <c r="X818" s="7">
        <v>810</v>
      </c>
      <c r="Y818" s="7">
        <f>$AV$7*EXP(-'3.r(t)'!D816*$AV$21)</f>
        <v>0.88900715067201674</v>
      </c>
      <c r="Z818" s="7">
        <f ca="1">$AV$8*EXP(-'3.r(t)'!E816*$AV$22)</f>
        <v>0.91196973203969778</v>
      </c>
      <c r="AA818" s="7">
        <f ca="1">$AV$9*EXP(-'3.r(t)'!F816*$AV$23)</f>
        <v>0.92925311730916482</v>
      </c>
      <c r="AB818" s="7">
        <f ca="1">$AV$10*EXP(-'3.r(t)'!G816*$AV$24)</f>
        <v>0.95069360871251563</v>
      </c>
      <c r="AC818" s="7">
        <f ca="1">$AV$11*EXP(-'3.r(t)'!H816*$AV$25)</f>
        <v>0.97347773447070607</v>
      </c>
      <c r="AD818" s="7">
        <v>1</v>
      </c>
      <c r="AE818" s="7"/>
      <c r="AF818" s="7">
        <v>810</v>
      </c>
      <c r="AG818" s="7">
        <f>$AW$7*EXP(-'3.r(t)'!D816*$AW$21)</f>
        <v>0.86718755429225491</v>
      </c>
      <c r="AH818" s="7">
        <f ca="1">$AW$8*EXP(-'3.r(t)'!E816*$AW$22)</f>
        <v>0.89021843835695169</v>
      </c>
      <c r="AI818" s="7">
        <f ca="1">$AW$9*EXP(-'3.r(t)'!F816*$AW$23)</f>
        <v>0.90599938337016861</v>
      </c>
      <c r="AJ818" s="7">
        <f ca="1">$AW$10*EXP(-'3.r(t)'!G816*$AW$24)</f>
        <v>0.92634343586112478</v>
      </c>
      <c r="AK818" s="7">
        <f ca="1">$AW$11*EXP(-'3.r(t)'!H816*$AW$25)</f>
        <v>0.94723775873485772</v>
      </c>
      <c r="AL818" s="7">
        <f ca="1">$AW$12*EXP(-'3.r(t)'!I816*$AW$26)</f>
        <v>0.97179952777471701</v>
      </c>
      <c r="AM818" s="7">
        <v>1</v>
      </c>
      <c r="AN818" s="7"/>
    </row>
    <row r="819" spans="2:40">
      <c r="B819" s="7">
        <v>811</v>
      </c>
      <c r="C819" s="7">
        <f>$AR$7*EXP(-'3.r(t)'!D817*$AR$21)</f>
        <v>0.97765346695821032</v>
      </c>
      <c r="D819" s="7">
        <v>1</v>
      </c>
      <c r="E819" s="7"/>
      <c r="F819" s="7">
        <v>811</v>
      </c>
      <c r="G819" s="48">
        <f>$AS$7*EXP(-'3.r(t)'!D817*$AS$21)</f>
        <v>0.9553476245219803</v>
      </c>
      <c r="H819" s="7">
        <f ca="1">$AS$8*EXP(-'3.r(t)'!E817*$AS$22)</f>
        <v>0.97485754867454832</v>
      </c>
      <c r="I819" s="7">
        <v>1</v>
      </c>
      <c r="J819" s="7"/>
      <c r="K819" s="7">
        <v>811</v>
      </c>
      <c r="L819" s="7">
        <f>$AT$7*EXP(-'3.r(t)'!D817*$AT$21)</f>
        <v>0.93311670519824419</v>
      </c>
      <c r="M819" s="7">
        <f ca="1">$AT$8*EXP(-'3.r(t)'!E817*$AT$22)</f>
        <v>0.94989961331659567</v>
      </c>
      <c r="N819" s="7">
        <f ca="1">$AT$9*EXP(-'3.r(t)'!F817*$AT$23)</f>
        <v>0.97277126021471749</v>
      </c>
      <c r="O819" s="7">
        <v>1</v>
      </c>
      <c r="P819" s="7"/>
      <c r="Q819" s="7">
        <v>811</v>
      </c>
      <c r="R819" s="7">
        <f>$AU$7*EXP(-'3.r(t)'!D817*$AU$21)</f>
        <v>0.91099305977534117</v>
      </c>
      <c r="S819" s="7">
        <f ca="1">$AU$8*EXP(-'3.r(t)'!E817*$AU$22)</f>
        <v>0.925158557407181</v>
      </c>
      <c r="T819" s="7">
        <f ca="1">$AU$9*EXP(-'3.r(t)'!F817*$AU$23)</f>
        <v>0.94584660603859938</v>
      </c>
      <c r="U819" s="7">
        <f ca="1">$AU$10*EXP(-'3.r(t)'!G817*$AU$24)</f>
        <v>0.97003752537592736</v>
      </c>
      <c r="V819" s="7">
        <v>1</v>
      </c>
      <c r="W819" s="7"/>
      <c r="X819" s="7">
        <v>811</v>
      </c>
      <c r="Y819" s="7">
        <f>$AV$7*EXP(-'3.r(t)'!D817*$AV$21)</f>
        <v>0.88900715067201674</v>
      </c>
      <c r="Z819" s="7">
        <f ca="1">$AV$8*EXP(-'3.r(t)'!E817*$AV$22)</f>
        <v>0.90066451299682937</v>
      </c>
      <c r="AA819" s="7">
        <f ca="1">$AV$9*EXP(-'3.r(t)'!F817*$AV$23)</f>
        <v>0.91925595132318305</v>
      </c>
      <c r="AB819" s="7">
        <f ca="1">$AV$10*EXP(-'3.r(t)'!G817*$AV$24)</f>
        <v>0.94054628378730831</v>
      </c>
      <c r="AC819" s="7">
        <f ca="1">$AV$11*EXP(-'3.r(t)'!H817*$AV$25)</f>
        <v>0.96876054736003581</v>
      </c>
      <c r="AD819" s="7">
        <v>1</v>
      </c>
      <c r="AE819" s="7"/>
      <c r="AF819" s="7">
        <v>811</v>
      </c>
      <c r="AG819" s="7">
        <f>$AW$7*EXP(-'3.r(t)'!D817*$AW$21)</f>
        <v>0.86718755429225491</v>
      </c>
      <c r="AH819" s="7">
        <f ca="1">$AW$8*EXP(-'3.r(t)'!E817*$AW$22)</f>
        <v>0.87644540601464871</v>
      </c>
      <c r="AI819" s="7">
        <f ca="1">$AW$9*EXP(-'3.r(t)'!F817*$AW$23)</f>
        <v>0.89302674737566656</v>
      </c>
      <c r="AJ819" s="7">
        <f ca="1">$AW$10*EXP(-'3.r(t)'!G817*$AW$24)</f>
        <v>0.91155195062554706</v>
      </c>
      <c r="AK819" s="7">
        <f ca="1">$AW$11*EXP(-'3.r(t)'!H817*$AW$25)</f>
        <v>0.93807992890615155</v>
      </c>
      <c r="AL819" s="7">
        <f ca="1">$AW$12*EXP(-'3.r(t)'!I817*$AW$26)</f>
        <v>0.96809563496451112</v>
      </c>
      <c r="AM819" s="7">
        <v>1</v>
      </c>
      <c r="AN819" s="7"/>
    </row>
    <row r="820" spans="2:40">
      <c r="B820" s="7">
        <v>812</v>
      </c>
      <c r="C820" s="7">
        <f>$AR$7*EXP(-'3.r(t)'!D818*$AR$21)</f>
        <v>0.97765346695821032</v>
      </c>
      <c r="D820" s="7">
        <v>1</v>
      </c>
      <c r="E820" s="7"/>
      <c r="F820" s="7">
        <v>812</v>
      </c>
      <c r="G820" s="48">
        <f>$AS$7*EXP(-'3.r(t)'!D818*$AS$21)</f>
        <v>0.9553476245219803</v>
      </c>
      <c r="H820" s="7">
        <f ca="1">$AS$8*EXP(-'3.r(t)'!E818*$AS$22)</f>
        <v>0.97667071722510335</v>
      </c>
      <c r="I820" s="7">
        <v>1</v>
      </c>
      <c r="J820" s="7"/>
      <c r="K820" s="7">
        <v>812</v>
      </c>
      <c r="L820" s="7">
        <f>$AT$7*EXP(-'3.r(t)'!D818*$AT$21)</f>
        <v>0.93311670519824419</v>
      </c>
      <c r="M820" s="7">
        <f ca="1">$AT$8*EXP(-'3.r(t)'!E818*$AT$22)</f>
        <v>0.95343639633437327</v>
      </c>
      <c r="N820" s="7">
        <f ca="1">$AT$9*EXP(-'3.r(t)'!F818*$AT$23)</f>
        <v>0.9736152120509971</v>
      </c>
      <c r="O820" s="7">
        <v>1</v>
      </c>
      <c r="P820" s="7"/>
      <c r="Q820" s="7">
        <v>812</v>
      </c>
      <c r="R820" s="7">
        <f>$AU$7*EXP(-'3.r(t)'!D818*$AU$21)</f>
        <v>0.91099305977534117</v>
      </c>
      <c r="S820" s="7">
        <f ca="1">$AU$8*EXP(-'3.r(t)'!E818*$AU$22)</f>
        <v>0.93033036014076265</v>
      </c>
      <c r="T820" s="7">
        <f ca="1">$AU$9*EXP(-'3.r(t)'!F818*$AU$23)</f>
        <v>0.94748850333350998</v>
      </c>
      <c r="U820" s="7">
        <f ca="1">$AU$10*EXP(-'3.r(t)'!G818*$AU$24)</f>
        <v>0.97339634913125328</v>
      </c>
      <c r="V820" s="7">
        <v>1</v>
      </c>
      <c r="W820" s="7"/>
      <c r="X820" s="7">
        <v>812</v>
      </c>
      <c r="Y820" s="7">
        <f>$AV$7*EXP(-'3.r(t)'!D818*$AV$21)</f>
        <v>0.88900715067201674</v>
      </c>
      <c r="Z820" s="7">
        <f ca="1">$AV$8*EXP(-'3.r(t)'!E818*$AV$22)</f>
        <v>0.90738392870832063</v>
      </c>
      <c r="AA820" s="7">
        <f ca="1">$AV$9*EXP(-'3.r(t)'!F818*$AV$23)</f>
        <v>0.92165059756466738</v>
      </c>
      <c r="AB820" s="7">
        <f ca="1">$AV$10*EXP(-'3.r(t)'!G818*$AV$24)</f>
        <v>0.9470709768485186</v>
      </c>
      <c r="AC820" s="7">
        <f ca="1">$AV$11*EXP(-'3.r(t)'!H818*$AV$25)</f>
        <v>0.98184087888179417</v>
      </c>
      <c r="AD820" s="7">
        <v>1</v>
      </c>
      <c r="AE820" s="7"/>
      <c r="AF820" s="7">
        <v>812</v>
      </c>
      <c r="AG820" s="7">
        <f>$AW$7*EXP(-'3.r(t)'!D818*$AW$21)</f>
        <v>0.86718755429225491</v>
      </c>
      <c r="AH820" s="7">
        <f ca="1">$AW$8*EXP(-'3.r(t)'!E818*$AW$22)</f>
        <v>0.88462642512742806</v>
      </c>
      <c r="AI820" s="7">
        <f ca="1">$AW$9*EXP(-'3.r(t)'!F818*$AW$23)</f>
        <v>0.89612985274585688</v>
      </c>
      <c r="AJ820" s="7">
        <f ca="1">$AW$10*EXP(-'3.r(t)'!G818*$AW$24)</f>
        <v>0.92105371525378166</v>
      </c>
      <c r="AK820" s="7">
        <f ca="1">$AW$11*EXP(-'3.r(t)'!H818*$AW$25)</f>
        <v>0.96358310354724619</v>
      </c>
      <c r="AL820" s="7">
        <f ca="1">$AW$12*EXP(-'3.r(t)'!I818*$AW$26)</f>
        <v>0.9788581076291345</v>
      </c>
      <c r="AM820" s="7">
        <v>1</v>
      </c>
      <c r="AN820" s="7"/>
    </row>
    <row r="821" spans="2:40">
      <c r="B821" s="7">
        <v>813</v>
      </c>
      <c r="C821" s="7">
        <f>$AR$7*EXP(-'3.r(t)'!D819*$AR$21)</f>
        <v>0.97765346695821032</v>
      </c>
      <c r="D821" s="7">
        <v>1</v>
      </c>
      <c r="E821" s="7"/>
      <c r="F821" s="7">
        <v>813</v>
      </c>
      <c r="G821" s="48">
        <f>$AS$7*EXP(-'3.r(t)'!D819*$AS$21)</f>
        <v>0.9553476245219803</v>
      </c>
      <c r="H821" s="7">
        <f ca="1">$AS$8*EXP(-'3.r(t)'!E819*$AS$22)</f>
        <v>0.97559187860144458</v>
      </c>
      <c r="I821" s="7">
        <v>1</v>
      </c>
      <c r="J821" s="7"/>
      <c r="K821" s="7">
        <v>813</v>
      </c>
      <c r="L821" s="7">
        <f>$AT$7*EXP(-'3.r(t)'!D819*$AT$21)</f>
        <v>0.93311670519824419</v>
      </c>
      <c r="M821" s="7">
        <f ca="1">$AT$8*EXP(-'3.r(t)'!E819*$AT$22)</f>
        <v>0.9513312120810713</v>
      </c>
      <c r="N821" s="7">
        <f ca="1">$AT$9*EXP(-'3.r(t)'!F819*$AT$23)</f>
        <v>0.97275247571051993</v>
      </c>
      <c r="O821" s="7">
        <v>1</v>
      </c>
      <c r="P821" s="7"/>
      <c r="Q821" s="7">
        <v>813</v>
      </c>
      <c r="R821" s="7">
        <f>$AU$7*EXP(-'3.r(t)'!D819*$AU$21)</f>
        <v>0.91099305977534117</v>
      </c>
      <c r="S821" s="7">
        <f ca="1">$AU$8*EXP(-'3.r(t)'!E819*$AU$22)</f>
        <v>0.92725081230573958</v>
      </c>
      <c r="T821" s="7">
        <f ca="1">$AU$9*EXP(-'3.r(t)'!F819*$AU$23)</f>
        <v>0.94581007722916099</v>
      </c>
      <c r="U821" s="7">
        <f ca="1">$AU$10*EXP(-'3.r(t)'!G819*$AU$24)</f>
        <v>0.97256012550641646</v>
      </c>
      <c r="V821" s="7">
        <v>1</v>
      </c>
      <c r="W821" s="7"/>
      <c r="X821" s="7">
        <v>813</v>
      </c>
      <c r="Y821" s="7">
        <f>$AV$7*EXP(-'3.r(t)'!D819*$AV$21)</f>
        <v>0.88900715067201674</v>
      </c>
      <c r="Z821" s="7">
        <f ca="1">$AV$8*EXP(-'3.r(t)'!E819*$AV$22)</f>
        <v>0.90338135130130781</v>
      </c>
      <c r="AA821" s="7">
        <f ca="1">$AV$9*EXP(-'3.r(t)'!F819*$AV$23)</f>
        <v>0.91920269902881901</v>
      </c>
      <c r="AB821" s="7">
        <f ca="1">$AV$10*EXP(-'3.r(t)'!G819*$AV$24)</f>
        <v>0.94544445966094182</v>
      </c>
      <c r="AC821" s="7">
        <f ca="1">$AV$11*EXP(-'3.r(t)'!H819*$AV$25)</f>
        <v>0.97388940565733984</v>
      </c>
      <c r="AD821" s="7">
        <v>1</v>
      </c>
      <c r="AE821" s="7"/>
      <c r="AF821" s="7">
        <v>813</v>
      </c>
      <c r="AG821" s="7">
        <f>$AW$7*EXP(-'3.r(t)'!D819*$AW$21)</f>
        <v>0.86718755429225491</v>
      </c>
      <c r="AH821" s="7">
        <f ca="1">$AW$8*EXP(-'3.r(t)'!E819*$AW$22)</f>
        <v>0.87975137841230899</v>
      </c>
      <c r="AI821" s="7">
        <f ca="1">$AW$9*EXP(-'3.r(t)'!F819*$AW$23)</f>
        <v>0.89295777091848871</v>
      </c>
      <c r="AJ821" s="7">
        <f ca="1">$AW$10*EXP(-'3.r(t)'!G819*$AW$24)</f>
        <v>0.91868198230461584</v>
      </c>
      <c r="AK821" s="7">
        <f ca="1">$AW$11*EXP(-'3.r(t)'!H819*$AW$25)</f>
        <v>0.94803907741092031</v>
      </c>
      <c r="AL821" s="7">
        <f ca="1">$AW$12*EXP(-'3.r(t)'!I819*$AW$26)</f>
        <v>0.97299722587698712</v>
      </c>
      <c r="AM821" s="7">
        <v>1</v>
      </c>
      <c r="AN821" s="7"/>
    </row>
    <row r="822" spans="2:40">
      <c r="B822" s="7">
        <v>814</v>
      </c>
      <c r="C822" s="7">
        <f>$AR$7*EXP(-'3.r(t)'!D820*$AR$21)</f>
        <v>0.97765346695821032</v>
      </c>
      <c r="D822" s="7">
        <v>1</v>
      </c>
      <c r="E822" s="7"/>
      <c r="F822" s="7">
        <v>814</v>
      </c>
      <c r="G822" s="48">
        <f>$AS$7*EXP(-'3.r(t)'!D820*$AS$21)</f>
        <v>0.9553476245219803</v>
      </c>
      <c r="H822" s="7">
        <f ca="1">$AS$8*EXP(-'3.r(t)'!E820*$AS$22)</f>
        <v>0.97661981419387955</v>
      </c>
      <c r="I822" s="7">
        <v>1</v>
      </c>
      <c r="J822" s="7"/>
      <c r="K822" s="7">
        <v>814</v>
      </c>
      <c r="L822" s="7">
        <f>$AT$7*EXP(-'3.r(t)'!D820*$AT$21)</f>
        <v>0.93311670519824419</v>
      </c>
      <c r="M822" s="7">
        <f ca="1">$AT$8*EXP(-'3.r(t)'!E820*$AT$22)</f>
        <v>0.95333701475763966</v>
      </c>
      <c r="N822" s="7">
        <f ca="1">$AT$9*EXP(-'3.r(t)'!F820*$AT$23)</f>
        <v>0.97603580385451694</v>
      </c>
      <c r="O822" s="7">
        <v>1</v>
      </c>
      <c r="P822" s="7"/>
      <c r="Q822" s="7">
        <v>814</v>
      </c>
      <c r="R822" s="7">
        <f>$AU$7*EXP(-'3.r(t)'!D820*$AU$21)</f>
        <v>0.91099305977534117</v>
      </c>
      <c r="S822" s="7">
        <f ca="1">$AU$8*EXP(-'3.r(t)'!E820*$AU$22)</f>
        <v>0.93018490425762401</v>
      </c>
      <c r="T822" s="7">
        <f ca="1">$AU$9*EXP(-'3.r(t)'!F820*$AU$23)</f>
        <v>0.95220563160574723</v>
      </c>
      <c r="U822" s="7">
        <f ca="1">$AU$10*EXP(-'3.r(t)'!G820*$AU$24)</f>
        <v>0.97984842014245821</v>
      </c>
      <c r="V822" s="7">
        <v>1</v>
      </c>
      <c r="W822" s="7"/>
      <c r="X822" s="7">
        <v>814</v>
      </c>
      <c r="Y822" s="7">
        <f>$AV$7*EXP(-'3.r(t)'!D820*$AV$21)</f>
        <v>0.88900715067201674</v>
      </c>
      <c r="Z822" s="7">
        <f ca="1">$AV$8*EXP(-'3.r(t)'!E820*$AV$22)</f>
        <v>0.90719477598441467</v>
      </c>
      <c r="AA822" s="7">
        <f ca="1">$AV$9*EXP(-'3.r(t)'!F820*$AV$23)</f>
        <v>0.92854189606778337</v>
      </c>
      <c r="AB822" s="7">
        <f ca="1">$AV$10*EXP(-'3.r(t)'!G820*$AV$24)</f>
        <v>0.95966773845052489</v>
      </c>
      <c r="AC822" s="7">
        <f ca="1">$AV$11*EXP(-'3.r(t)'!H820*$AV$25)</f>
        <v>0.98121632554149141</v>
      </c>
      <c r="AD822" s="7">
        <v>1</v>
      </c>
      <c r="AE822" s="7"/>
      <c r="AF822" s="7">
        <v>814</v>
      </c>
      <c r="AG822" s="7">
        <f>$AW$7*EXP(-'3.r(t)'!D820*$AW$21)</f>
        <v>0.86718755429225491</v>
      </c>
      <c r="AH822" s="7">
        <f ca="1">$AW$8*EXP(-'3.r(t)'!E820*$AW$22)</f>
        <v>0.88439592024926306</v>
      </c>
      <c r="AI822" s="7">
        <f ca="1">$AW$9*EXP(-'3.r(t)'!F820*$AW$23)</f>
        <v>0.90507493658039784</v>
      </c>
      <c r="AJ822" s="7">
        <f ca="1">$AW$10*EXP(-'3.r(t)'!G820*$AW$24)</f>
        <v>0.9394907528425146</v>
      </c>
      <c r="AK822" s="7">
        <f ca="1">$AW$11*EXP(-'3.r(t)'!H820*$AW$25)</f>
        <v>0.96235761446399992</v>
      </c>
      <c r="AL822" s="7">
        <f ca="1">$AW$12*EXP(-'3.r(t)'!I820*$AW$26)</f>
        <v>0.98442148915180039</v>
      </c>
      <c r="AM822" s="7">
        <v>1</v>
      </c>
      <c r="AN822" s="7"/>
    </row>
    <row r="823" spans="2:40">
      <c r="B823" s="7">
        <v>815</v>
      </c>
      <c r="C823" s="7">
        <f>$AR$7*EXP(-'3.r(t)'!D821*$AR$21)</f>
        <v>0.97765346695821032</v>
      </c>
      <c r="D823" s="7">
        <v>1</v>
      </c>
      <c r="E823" s="7"/>
      <c r="F823" s="7">
        <v>815</v>
      </c>
      <c r="G823" s="48">
        <f>$AS$7*EXP(-'3.r(t)'!D821*$AS$21)</f>
        <v>0.9553476245219803</v>
      </c>
      <c r="H823" s="7">
        <f ca="1">$AS$8*EXP(-'3.r(t)'!E821*$AS$22)</f>
        <v>0.97546619258306955</v>
      </c>
      <c r="I823" s="7">
        <v>1</v>
      </c>
      <c r="J823" s="7"/>
      <c r="K823" s="7">
        <v>815</v>
      </c>
      <c r="L823" s="7">
        <f>$AT$7*EXP(-'3.r(t)'!D821*$AT$21)</f>
        <v>0.93311670519824419</v>
      </c>
      <c r="M823" s="7">
        <f ca="1">$AT$8*EXP(-'3.r(t)'!E821*$AT$22)</f>
        <v>0.95108610686288753</v>
      </c>
      <c r="N823" s="7">
        <f ca="1">$AT$9*EXP(-'3.r(t)'!F821*$AT$23)</f>
        <v>0.97661613668798963</v>
      </c>
      <c r="O823" s="7">
        <v>1</v>
      </c>
      <c r="P823" s="7"/>
      <c r="Q823" s="7">
        <v>815</v>
      </c>
      <c r="R823" s="7">
        <f>$AU$7*EXP(-'3.r(t)'!D821*$AU$21)</f>
        <v>0.91099305977534117</v>
      </c>
      <c r="S823" s="7">
        <f ca="1">$AU$8*EXP(-'3.r(t)'!E821*$AU$22)</f>
        <v>0.92689248383374045</v>
      </c>
      <c r="T823" s="7">
        <f ca="1">$AU$9*EXP(-'3.r(t)'!F821*$AU$23)</f>
        <v>0.95333829594406805</v>
      </c>
      <c r="U823" s="7">
        <f ca="1">$AU$10*EXP(-'3.r(t)'!G821*$AU$24)</f>
        <v>0.97310676605627988</v>
      </c>
      <c r="V823" s="7">
        <v>1</v>
      </c>
      <c r="W823" s="7"/>
      <c r="X823" s="7">
        <v>815</v>
      </c>
      <c r="Y823" s="7">
        <f>$AV$7*EXP(-'3.r(t)'!D821*$AV$21)</f>
        <v>0.88900715067201674</v>
      </c>
      <c r="Z823" s="7">
        <f ca="1">$AV$8*EXP(-'3.r(t)'!E821*$AV$22)</f>
        <v>0.90291590886415174</v>
      </c>
      <c r="AA823" s="7">
        <f ca="1">$AV$9*EXP(-'3.r(t)'!F821*$AV$23)</f>
        <v>0.93019916256075641</v>
      </c>
      <c r="AB823" s="7">
        <f ca="1">$AV$10*EXP(-'3.r(t)'!G821*$AV$24)</f>
        <v>0.94650755798891639</v>
      </c>
      <c r="AC823" s="7">
        <f ca="1">$AV$11*EXP(-'3.r(t)'!H821*$AV$25)</f>
        <v>0.97393611746783315</v>
      </c>
      <c r="AD823" s="7">
        <v>1</v>
      </c>
      <c r="AE823" s="7"/>
      <c r="AF823" s="7">
        <v>815</v>
      </c>
      <c r="AG823" s="7">
        <f>$AW$7*EXP(-'3.r(t)'!D821*$AW$21)</f>
        <v>0.86718755429225491</v>
      </c>
      <c r="AH823" s="7">
        <f ca="1">$AW$8*EXP(-'3.r(t)'!E821*$AW$22)</f>
        <v>0.87918483022861982</v>
      </c>
      <c r="AI823" s="7">
        <f ca="1">$AW$9*EXP(-'3.r(t)'!F821*$AW$23)</f>
        <v>0.90722942041087229</v>
      </c>
      <c r="AJ823" s="7">
        <f ca="1">$AW$10*EXP(-'3.r(t)'!G821*$AW$24)</f>
        <v>0.92023192598111703</v>
      </c>
      <c r="AK823" s="7">
        <f ca="1">$AW$11*EXP(-'3.r(t)'!H821*$AW$25)</f>
        <v>0.94813002343313768</v>
      </c>
      <c r="AL823" s="7">
        <f ca="1">$AW$12*EXP(-'3.r(t)'!I821*$AW$26)</f>
        <v>0.97355880251691285</v>
      </c>
      <c r="AM823" s="7">
        <v>1</v>
      </c>
      <c r="AN823" s="7"/>
    </row>
    <row r="824" spans="2:40">
      <c r="B824" s="7">
        <v>816</v>
      </c>
      <c r="C824" s="7">
        <f>$AR$7*EXP(-'3.r(t)'!D822*$AR$21)</f>
        <v>0.97765346695821032</v>
      </c>
      <c r="D824" s="7">
        <v>1</v>
      </c>
      <c r="E824" s="7"/>
      <c r="F824" s="7">
        <v>816</v>
      </c>
      <c r="G824" s="48">
        <f>$AS$7*EXP(-'3.r(t)'!D822*$AS$21)</f>
        <v>0.9553476245219803</v>
      </c>
      <c r="H824" s="7">
        <f ca="1">$AS$8*EXP(-'3.r(t)'!E822*$AS$22)</f>
        <v>0.97777330730925249</v>
      </c>
      <c r="I824" s="7">
        <v>1</v>
      </c>
      <c r="J824" s="7"/>
      <c r="K824" s="7">
        <v>816</v>
      </c>
      <c r="L824" s="7">
        <f>$AT$7*EXP(-'3.r(t)'!D822*$AT$21)</f>
        <v>0.93311670519824419</v>
      </c>
      <c r="M824" s="7">
        <f ca="1">$AT$8*EXP(-'3.r(t)'!E822*$AT$22)</f>
        <v>0.95559033192386478</v>
      </c>
      <c r="N824" s="7">
        <f ca="1">$AT$9*EXP(-'3.r(t)'!F822*$AT$23)</f>
        <v>0.97436359290704055</v>
      </c>
      <c r="O824" s="7">
        <v>1</v>
      </c>
      <c r="P824" s="7"/>
      <c r="Q824" s="7">
        <v>816</v>
      </c>
      <c r="R824" s="7">
        <f>$AU$7*EXP(-'3.r(t)'!D822*$AU$21)</f>
        <v>0.91099305977534117</v>
      </c>
      <c r="S824" s="7">
        <f ca="1">$AU$8*EXP(-'3.r(t)'!E822*$AU$22)</f>
        <v>0.93348474412327109</v>
      </c>
      <c r="T824" s="7">
        <f ca="1">$AU$9*EXP(-'3.r(t)'!F822*$AU$23)</f>
        <v>0.94894565965290745</v>
      </c>
      <c r="U824" s="7">
        <f ca="1">$AU$10*EXP(-'3.r(t)'!G822*$AU$24)</f>
        <v>0.97370936025042809</v>
      </c>
      <c r="V824" s="7">
        <v>1</v>
      </c>
      <c r="W824" s="7"/>
      <c r="X824" s="7">
        <v>816</v>
      </c>
      <c r="Y824" s="7">
        <f>$AV$7*EXP(-'3.r(t)'!D822*$AV$21)</f>
        <v>0.88900715067201674</v>
      </c>
      <c r="Z824" s="7">
        <f ca="1">$AV$8*EXP(-'3.r(t)'!E822*$AV$22)</f>
        <v>0.91148835396017225</v>
      </c>
      <c r="AA824" s="7">
        <f ca="1">$AV$9*EXP(-'3.r(t)'!F822*$AV$23)</f>
        <v>0.92377754455043359</v>
      </c>
      <c r="AB824" s="7">
        <f ca="1">$AV$10*EXP(-'3.r(t)'!G822*$AV$24)</f>
        <v>0.94768016633186281</v>
      </c>
      <c r="AC824" s="7">
        <f ca="1">$AV$11*EXP(-'3.r(t)'!H822*$AV$25)</f>
        <v>0.97392371459034466</v>
      </c>
      <c r="AD824" s="7">
        <v>1</v>
      </c>
      <c r="AE824" s="7"/>
      <c r="AF824" s="7">
        <v>816</v>
      </c>
      <c r="AG824" s="7">
        <f>$AW$7*EXP(-'3.r(t)'!D822*$AW$21)</f>
        <v>0.86718755429225491</v>
      </c>
      <c r="AH824" s="7">
        <f ca="1">$AW$8*EXP(-'3.r(t)'!E822*$AW$22)</f>
        <v>0.88963110613983321</v>
      </c>
      <c r="AI824" s="7">
        <f ca="1">$AW$9*EXP(-'3.r(t)'!F822*$AW$23)</f>
        <v>0.89888831446586581</v>
      </c>
      <c r="AJ824" s="7">
        <f ca="1">$AW$10*EXP(-'3.r(t)'!G822*$AW$24)</f>
        <v>0.92194253953971472</v>
      </c>
      <c r="AK824" s="7">
        <f ca="1">$AW$11*EXP(-'3.r(t)'!H822*$AW$25)</f>
        <v>0.94810587510259481</v>
      </c>
      <c r="AL824" s="7">
        <f ca="1">$AW$12*EXP(-'3.r(t)'!I822*$AW$26)</f>
        <v>0.97444831576900626</v>
      </c>
      <c r="AM824" s="7">
        <v>1</v>
      </c>
      <c r="AN824" s="7"/>
    </row>
    <row r="825" spans="2:40">
      <c r="B825" s="7">
        <v>817</v>
      </c>
      <c r="C825" s="7">
        <f>$AR$7*EXP(-'3.r(t)'!D823*$AR$21)</f>
        <v>0.97765346695821032</v>
      </c>
      <c r="D825" s="7">
        <v>1</v>
      </c>
      <c r="E825" s="7"/>
      <c r="F825" s="7">
        <v>817</v>
      </c>
      <c r="G825" s="48">
        <f>$AS$7*EXP(-'3.r(t)'!D823*$AS$21)</f>
        <v>0.9553476245219803</v>
      </c>
      <c r="H825" s="7">
        <f ca="1">$AS$8*EXP(-'3.r(t)'!E823*$AS$22)</f>
        <v>0.97776233331198537</v>
      </c>
      <c r="I825" s="7">
        <v>1</v>
      </c>
      <c r="J825" s="7"/>
      <c r="K825" s="7">
        <v>817</v>
      </c>
      <c r="L825" s="7">
        <f>$AT$7*EXP(-'3.r(t)'!D823*$AT$21)</f>
        <v>0.93311670519824419</v>
      </c>
      <c r="M825" s="7">
        <f ca="1">$AT$8*EXP(-'3.r(t)'!E823*$AT$22)</f>
        <v>0.9555688819890702</v>
      </c>
      <c r="N825" s="7">
        <f ca="1">$AT$9*EXP(-'3.r(t)'!F823*$AT$23)</f>
        <v>0.97856763803637237</v>
      </c>
      <c r="O825" s="7">
        <v>1</v>
      </c>
      <c r="P825" s="7"/>
      <c r="Q825" s="7">
        <v>817</v>
      </c>
      <c r="R825" s="7">
        <f>$AU$7*EXP(-'3.r(t)'!D823*$AU$21)</f>
        <v>0.91099305977534117</v>
      </c>
      <c r="S825" s="7">
        <f ca="1">$AU$8*EXP(-'3.r(t)'!E823*$AU$22)</f>
        <v>0.93345331369666495</v>
      </c>
      <c r="T825" s="7">
        <f ca="1">$AU$9*EXP(-'3.r(t)'!F823*$AU$23)</f>
        <v>0.95715207638925037</v>
      </c>
      <c r="U825" s="7">
        <f ca="1">$AU$10*EXP(-'3.r(t)'!G823*$AU$24)</f>
        <v>0.97826409901461064</v>
      </c>
      <c r="V825" s="7">
        <v>1</v>
      </c>
      <c r="W825" s="7"/>
      <c r="X825" s="7">
        <v>817</v>
      </c>
      <c r="Y825" s="7">
        <f>$AV$7*EXP(-'3.r(t)'!D823*$AV$21)</f>
        <v>0.88900715067201674</v>
      </c>
      <c r="Z825" s="7">
        <f ca="1">$AV$8*EXP(-'3.r(t)'!E823*$AV$22)</f>
        <v>0.9114474344454544</v>
      </c>
      <c r="AA825" s="7">
        <f ca="1">$AV$9*EXP(-'3.r(t)'!F823*$AV$23)</f>
        <v>0.93578656160193785</v>
      </c>
      <c r="AB825" s="7">
        <f ca="1">$AV$10*EXP(-'3.r(t)'!G823*$AV$24)</f>
        <v>0.95656686559269188</v>
      </c>
      <c r="AC825" s="7">
        <f ca="1">$AV$11*EXP(-'3.r(t)'!H823*$AV$25)</f>
        <v>0.97947069533452602</v>
      </c>
      <c r="AD825" s="7">
        <v>1</v>
      </c>
      <c r="AE825" s="7"/>
      <c r="AF825" s="7">
        <v>817</v>
      </c>
      <c r="AG825" s="7">
        <f>$AW$7*EXP(-'3.r(t)'!D823*$AW$21)</f>
        <v>0.86718755429225491</v>
      </c>
      <c r="AH825" s="7">
        <f ca="1">$AW$8*EXP(-'3.r(t)'!E823*$AW$22)</f>
        <v>0.88958118357541027</v>
      </c>
      <c r="AI825" s="7">
        <f ca="1">$AW$9*EXP(-'3.r(t)'!F823*$AW$23)</f>
        <v>0.91450258789105765</v>
      </c>
      <c r="AJ825" s="7">
        <f ca="1">$AW$10*EXP(-'3.r(t)'!G823*$AW$24)</f>
        <v>0.93494091750160557</v>
      </c>
      <c r="AK825" s="7">
        <f ca="1">$AW$11*EXP(-'3.r(t)'!H823*$AW$25)</f>
        <v>0.95893650099691208</v>
      </c>
      <c r="AL825" s="7">
        <f ca="1">$AW$12*EXP(-'3.r(t)'!I823*$AW$26)</f>
        <v>0.98344153526838307</v>
      </c>
      <c r="AM825" s="7">
        <v>1</v>
      </c>
      <c r="AN825" s="7"/>
    </row>
    <row r="826" spans="2:40">
      <c r="B826" s="7">
        <v>818</v>
      </c>
      <c r="C826" s="7">
        <f>$AR$7*EXP(-'3.r(t)'!D824*$AR$21)</f>
        <v>0.97765346695821032</v>
      </c>
      <c r="D826" s="7">
        <v>1</v>
      </c>
      <c r="E826" s="7"/>
      <c r="F826" s="7">
        <v>818</v>
      </c>
      <c r="G826" s="48">
        <f>$AS$7*EXP(-'3.r(t)'!D824*$AS$21)</f>
        <v>0.9553476245219803</v>
      </c>
      <c r="H826" s="7">
        <f ca="1">$AS$8*EXP(-'3.r(t)'!E824*$AS$22)</f>
        <v>0.97967524071653111</v>
      </c>
      <c r="I826" s="7">
        <v>1</v>
      </c>
      <c r="J826" s="7"/>
      <c r="K826" s="7">
        <v>818</v>
      </c>
      <c r="L826" s="7">
        <f>$AT$7*EXP(-'3.r(t)'!D824*$AT$21)</f>
        <v>0.93311670519824419</v>
      </c>
      <c r="M826" s="7">
        <f ca="1">$AT$8*EXP(-'3.r(t)'!E824*$AT$22)</f>
        <v>0.95931151515489499</v>
      </c>
      <c r="N826" s="7">
        <f ca="1">$AT$9*EXP(-'3.r(t)'!F824*$AT$23)</f>
        <v>0.97907033253695486</v>
      </c>
      <c r="O826" s="7">
        <v>1</v>
      </c>
      <c r="P826" s="7"/>
      <c r="Q826" s="7">
        <v>818</v>
      </c>
      <c r="R826" s="7">
        <f>$AU$7*EXP(-'3.r(t)'!D824*$AU$21)</f>
        <v>0.91099305977534117</v>
      </c>
      <c r="S826" s="7">
        <f ca="1">$AU$8*EXP(-'3.r(t)'!E824*$AU$22)</f>
        <v>0.9389427011391156</v>
      </c>
      <c r="T826" s="7">
        <f ca="1">$AU$9*EXP(-'3.r(t)'!F824*$AU$23)</f>
        <v>0.95813571543893239</v>
      </c>
      <c r="U826" s="7">
        <f ca="1">$AU$10*EXP(-'3.r(t)'!G824*$AU$24)</f>
        <v>0.98043857942405166</v>
      </c>
      <c r="V826" s="7">
        <v>1</v>
      </c>
      <c r="W826" s="7"/>
      <c r="X826" s="7">
        <v>818</v>
      </c>
      <c r="Y826" s="7">
        <f>$AV$7*EXP(-'3.r(t)'!D824*$AV$21)</f>
        <v>0.88900715067201674</v>
      </c>
      <c r="Z826" s="7">
        <f ca="1">$AV$8*EXP(-'3.r(t)'!E824*$AV$22)</f>
        <v>0.91860106561457577</v>
      </c>
      <c r="AA826" s="7">
        <f ca="1">$AV$9*EXP(-'3.r(t)'!F824*$AV$23)</f>
        <v>0.93722945558939186</v>
      </c>
      <c r="AB826" s="7">
        <f ca="1">$AV$10*EXP(-'3.r(t)'!G824*$AV$24)</f>
        <v>0.96082409563560522</v>
      </c>
      <c r="AC826" s="7">
        <f ca="1">$AV$11*EXP(-'3.r(t)'!H824*$AV$25)</f>
        <v>0.98266940317407725</v>
      </c>
      <c r="AD826" s="7">
        <v>1</v>
      </c>
      <c r="AE826" s="7"/>
      <c r="AF826" s="7">
        <v>818</v>
      </c>
      <c r="AG826" s="7">
        <f>$AW$7*EXP(-'3.r(t)'!D824*$AW$21)</f>
        <v>0.86718755429225491</v>
      </c>
      <c r="AH826" s="7">
        <f ca="1">$AW$8*EXP(-'3.r(t)'!E824*$AW$22)</f>
        <v>0.89831724252695477</v>
      </c>
      <c r="AI826" s="7">
        <f ca="1">$AW$9*EXP(-'3.r(t)'!F824*$AW$23)</f>
        <v>0.91638317237761235</v>
      </c>
      <c r="AJ826" s="7">
        <f ca="1">$AW$10*EXP(-'3.r(t)'!G824*$AW$24)</f>
        <v>0.94118933147838446</v>
      </c>
      <c r="AK826" s="7">
        <f ca="1">$AW$11*EXP(-'3.r(t)'!H824*$AW$25)</f>
        <v>0.96521002471116435</v>
      </c>
      <c r="AL826" s="7">
        <f ca="1">$AW$12*EXP(-'3.r(t)'!I824*$AW$26)</f>
        <v>0.98012919505210239</v>
      </c>
      <c r="AM826" s="7">
        <v>1</v>
      </c>
      <c r="AN826" s="7"/>
    </row>
    <row r="827" spans="2:40">
      <c r="B827" s="7">
        <v>819</v>
      </c>
      <c r="C827" s="7">
        <f>$AR$7*EXP(-'3.r(t)'!D825*$AR$21)</f>
        <v>0.97765346695821032</v>
      </c>
      <c r="D827" s="7">
        <v>1</v>
      </c>
      <c r="E827" s="7"/>
      <c r="F827" s="7">
        <v>819</v>
      </c>
      <c r="G827" s="48">
        <f>$AS$7*EXP(-'3.r(t)'!D825*$AS$21)</f>
        <v>0.9553476245219803</v>
      </c>
      <c r="H827" s="7">
        <f ca="1">$AS$8*EXP(-'3.r(t)'!E825*$AS$22)</f>
        <v>0.98140159858924547</v>
      </c>
      <c r="I827" s="7">
        <v>1</v>
      </c>
      <c r="J827" s="7"/>
      <c r="K827" s="7">
        <v>819</v>
      </c>
      <c r="L827" s="7">
        <f>$AT$7*EXP(-'3.r(t)'!D825*$AT$21)</f>
        <v>0.93311670519824419</v>
      </c>
      <c r="M827" s="7">
        <f ca="1">$AT$8*EXP(-'3.r(t)'!E825*$AT$22)</f>
        <v>0.96269544096777471</v>
      </c>
      <c r="N827" s="7">
        <f ca="1">$AT$9*EXP(-'3.r(t)'!F825*$AT$23)</f>
        <v>0.9814708118016251</v>
      </c>
      <c r="O827" s="7">
        <v>1</v>
      </c>
      <c r="P827" s="7"/>
      <c r="Q827" s="7">
        <v>819</v>
      </c>
      <c r="R827" s="7">
        <f>$AU$7*EXP(-'3.r(t)'!D825*$AU$21)</f>
        <v>0.91099305977534117</v>
      </c>
      <c r="S827" s="7">
        <f ca="1">$AU$8*EXP(-'3.r(t)'!E825*$AU$22)</f>
        <v>0.94391519344614783</v>
      </c>
      <c r="T827" s="7">
        <f ca="1">$AU$9*EXP(-'3.r(t)'!F825*$AU$23)</f>
        <v>0.9628397788474915</v>
      </c>
      <c r="U827" s="7">
        <f ca="1">$AU$10*EXP(-'3.r(t)'!G825*$AU$24)</f>
        <v>0.98101676637915736</v>
      </c>
      <c r="V827" s="7">
        <v>1</v>
      </c>
      <c r="W827" s="7"/>
      <c r="X827" s="7">
        <v>819</v>
      </c>
      <c r="Y827" s="7">
        <f>$AV$7*EXP(-'3.r(t)'!D825*$AV$21)</f>
        <v>0.88900715067201674</v>
      </c>
      <c r="Z827" s="7">
        <f ca="1">$AV$8*EXP(-'3.r(t)'!E825*$AV$22)</f>
        <v>0.92509313896612166</v>
      </c>
      <c r="AA827" s="7">
        <f ca="1">$AV$9*EXP(-'3.r(t)'!F825*$AV$23)</f>
        <v>0.94414005339165041</v>
      </c>
      <c r="AB827" s="7">
        <f ca="1">$AV$10*EXP(-'3.r(t)'!G825*$AV$24)</f>
        <v>0.96195766947900962</v>
      </c>
      <c r="AC827" s="7">
        <f ca="1">$AV$11*EXP(-'3.r(t)'!H825*$AV$25)</f>
        <v>0.9800182028003448</v>
      </c>
      <c r="AD827" s="7">
        <v>1</v>
      </c>
      <c r="AE827" s="7"/>
      <c r="AF827" s="7">
        <v>819</v>
      </c>
      <c r="AG827" s="7">
        <f>$AW$7*EXP(-'3.r(t)'!D825*$AW$21)</f>
        <v>0.86718755429225491</v>
      </c>
      <c r="AH827" s="7">
        <f ca="1">$AW$8*EXP(-'3.r(t)'!E825*$AW$22)</f>
        <v>0.90626014154490497</v>
      </c>
      <c r="AI827" s="7">
        <f ca="1">$AW$9*EXP(-'3.r(t)'!F825*$AW$23)</f>
        <v>0.92540341125832248</v>
      </c>
      <c r="AJ827" s="7">
        <f ca="1">$AW$10*EXP(-'3.r(t)'!G825*$AW$24)</f>
        <v>0.94285543597160382</v>
      </c>
      <c r="AK827" s="7">
        <f ca="1">$AW$11*EXP(-'3.r(t)'!H825*$AW$25)</f>
        <v>0.96000885902873068</v>
      </c>
      <c r="AL827" s="7">
        <f ca="1">$AW$12*EXP(-'3.r(t)'!I825*$AW$26)</f>
        <v>0.98045856100993445</v>
      </c>
      <c r="AM827" s="7">
        <v>1</v>
      </c>
      <c r="AN827" s="7"/>
    </row>
    <row r="828" spans="2:40">
      <c r="B828" s="7">
        <v>820</v>
      </c>
      <c r="C828" s="7">
        <f>$AR$7*EXP(-'3.r(t)'!D826*$AR$21)</f>
        <v>0.97765346695821032</v>
      </c>
      <c r="D828" s="7">
        <v>1</v>
      </c>
      <c r="E828" s="7"/>
      <c r="F828" s="7">
        <v>820</v>
      </c>
      <c r="G828" s="48">
        <f>$AS$7*EXP(-'3.r(t)'!D826*$AS$21)</f>
        <v>0.9553476245219803</v>
      </c>
      <c r="H828" s="7">
        <f ca="1">$AS$8*EXP(-'3.r(t)'!E826*$AS$22)</f>
        <v>0.98004095930790724</v>
      </c>
      <c r="I828" s="7">
        <v>1</v>
      </c>
      <c r="J828" s="7"/>
      <c r="K828" s="7">
        <v>820</v>
      </c>
      <c r="L828" s="7">
        <f>$AT$7*EXP(-'3.r(t)'!D826*$AT$21)</f>
        <v>0.93311670519824419</v>
      </c>
      <c r="M828" s="7">
        <f ca="1">$AT$8*EXP(-'3.r(t)'!E826*$AT$22)</f>
        <v>0.96002788222511448</v>
      </c>
      <c r="N828" s="7">
        <f ca="1">$AT$9*EXP(-'3.r(t)'!F826*$AT$23)</f>
        <v>0.98231353228339313</v>
      </c>
      <c r="O828" s="7">
        <v>1</v>
      </c>
      <c r="P828" s="7"/>
      <c r="Q828" s="7">
        <v>820</v>
      </c>
      <c r="R828" s="7">
        <f>$AU$7*EXP(-'3.r(t)'!D826*$AU$21)</f>
        <v>0.91099305977534117</v>
      </c>
      <c r="S828" s="7">
        <f ca="1">$AU$8*EXP(-'3.r(t)'!E826*$AU$22)</f>
        <v>0.93999463241021119</v>
      </c>
      <c r="T828" s="7">
        <f ca="1">$AU$9*EXP(-'3.r(t)'!F826*$AU$23)</f>
        <v>0.96449393532544225</v>
      </c>
      <c r="U828" s="7">
        <f ca="1">$AU$10*EXP(-'3.r(t)'!G826*$AU$24)</f>
        <v>0.98356614274469301</v>
      </c>
      <c r="V828" s="7">
        <v>1</v>
      </c>
      <c r="W828" s="7"/>
      <c r="X828" s="7">
        <v>820</v>
      </c>
      <c r="Y828" s="7">
        <f>$AV$7*EXP(-'3.r(t)'!D826*$AV$21)</f>
        <v>0.88900715067201674</v>
      </c>
      <c r="Z828" s="7">
        <f ca="1">$AV$8*EXP(-'3.r(t)'!E826*$AV$22)</f>
        <v>0.91997351084342582</v>
      </c>
      <c r="AA828" s="7">
        <f ca="1">$AV$9*EXP(-'3.r(t)'!F826*$AV$23)</f>
        <v>0.94657414367460602</v>
      </c>
      <c r="AB828" s="7">
        <f ca="1">$AV$10*EXP(-'3.r(t)'!G826*$AV$24)</f>
        <v>0.96696386051921623</v>
      </c>
      <c r="AC828" s="7">
        <f ca="1">$AV$11*EXP(-'3.r(t)'!H826*$AV$25)</f>
        <v>0.98633126490987366</v>
      </c>
      <c r="AD828" s="7">
        <v>1</v>
      </c>
      <c r="AE828" s="7"/>
      <c r="AF828" s="7">
        <v>820</v>
      </c>
      <c r="AG828" s="7">
        <f>$AW$7*EXP(-'3.r(t)'!D826*$AW$21)</f>
        <v>0.86718755429225491</v>
      </c>
      <c r="AH828" s="7">
        <f ca="1">$AW$8*EXP(-'3.r(t)'!E826*$AW$22)</f>
        <v>0.89999523070023968</v>
      </c>
      <c r="AI828" s="7">
        <f ca="1">$AW$9*EXP(-'3.r(t)'!F826*$AW$23)</f>
        <v>0.92858582437400228</v>
      </c>
      <c r="AJ828" s="7">
        <f ca="1">$AW$10*EXP(-'3.r(t)'!G826*$AW$24)</f>
        <v>0.95022517323572764</v>
      </c>
      <c r="AK828" s="7">
        <f ca="1">$AW$11*EXP(-'3.r(t)'!H826*$AW$25)</f>
        <v>0.97241702869002367</v>
      </c>
      <c r="AL828" s="7">
        <f ca="1">$AW$12*EXP(-'3.r(t)'!I826*$AW$26)</f>
        <v>0.98938100876313295</v>
      </c>
      <c r="AM828" s="7">
        <v>1</v>
      </c>
      <c r="AN828" s="7"/>
    </row>
    <row r="829" spans="2:40">
      <c r="B829" s="7">
        <v>821</v>
      </c>
      <c r="C829" s="7">
        <f>$AR$7*EXP(-'3.r(t)'!D827*$AR$21)</f>
        <v>0.97765346695821032</v>
      </c>
      <c r="D829" s="7">
        <v>1</v>
      </c>
      <c r="E829" s="7"/>
      <c r="F829" s="7">
        <v>821</v>
      </c>
      <c r="G829" s="48">
        <f>$AS$7*EXP(-'3.r(t)'!D827*$AS$21)</f>
        <v>0.9553476245219803</v>
      </c>
      <c r="H829" s="7">
        <f ca="1">$AS$8*EXP(-'3.r(t)'!E827*$AS$22)</f>
        <v>0.97777332832623343</v>
      </c>
      <c r="I829" s="7">
        <v>1</v>
      </c>
      <c r="J829" s="7"/>
      <c r="K829" s="7">
        <v>821</v>
      </c>
      <c r="L829" s="7">
        <f>$AT$7*EXP(-'3.r(t)'!D827*$AT$21)</f>
        <v>0.93311670519824419</v>
      </c>
      <c r="M829" s="7">
        <f ca="1">$AT$8*EXP(-'3.r(t)'!E827*$AT$22)</f>
        <v>0.95559037300419258</v>
      </c>
      <c r="N829" s="7">
        <f ca="1">$AT$9*EXP(-'3.r(t)'!F827*$AT$23)</f>
        <v>0.9766425695700115</v>
      </c>
      <c r="O829" s="7">
        <v>1</v>
      </c>
      <c r="P829" s="7"/>
      <c r="Q829" s="7">
        <v>821</v>
      </c>
      <c r="R829" s="7">
        <f>$AU$7*EXP(-'3.r(t)'!D827*$AU$21)</f>
        <v>0.91099305977534117</v>
      </c>
      <c r="S829" s="7">
        <f ca="1">$AU$8*EXP(-'3.r(t)'!E827*$AU$22)</f>
        <v>0.93348480431830183</v>
      </c>
      <c r="T829" s="7">
        <f ca="1">$AU$9*EXP(-'3.r(t)'!F827*$AU$23)</f>
        <v>0.95338990234043774</v>
      </c>
      <c r="U829" s="7">
        <f ca="1">$AU$10*EXP(-'3.r(t)'!G827*$AU$24)</f>
        <v>0.97454306962471704</v>
      </c>
      <c r="V829" s="7">
        <v>1</v>
      </c>
      <c r="W829" s="7"/>
      <c r="X829" s="7">
        <v>821</v>
      </c>
      <c r="Y829" s="7">
        <f>$AV$7*EXP(-'3.r(t)'!D827*$AV$21)</f>
        <v>0.88900715067201674</v>
      </c>
      <c r="Z829" s="7">
        <f ca="1">$AV$8*EXP(-'3.r(t)'!E827*$AV$22)</f>
        <v>0.91148843232898769</v>
      </c>
      <c r="AA829" s="7">
        <f ca="1">$AV$9*EXP(-'3.r(t)'!F827*$AV$23)</f>
        <v>0.93027469431563681</v>
      </c>
      <c r="AB829" s="7">
        <f ca="1">$AV$10*EXP(-'3.r(t)'!G827*$AV$24)</f>
        <v>0.94930370640676609</v>
      </c>
      <c r="AC829" s="7">
        <f ca="1">$AV$11*EXP(-'3.r(t)'!H827*$AV$25)</f>
        <v>0.97385653394301464</v>
      </c>
      <c r="AD829" s="7">
        <v>1</v>
      </c>
      <c r="AE829" s="7"/>
      <c r="AF829" s="7">
        <v>821</v>
      </c>
      <c r="AG829" s="7">
        <f>$AW$7*EXP(-'3.r(t)'!D827*$AW$21)</f>
        <v>0.86718755429225491</v>
      </c>
      <c r="AH829" s="7">
        <f ca="1">$AW$8*EXP(-'3.r(t)'!E827*$AW$22)</f>
        <v>0.88963120175177435</v>
      </c>
      <c r="AI829" s="7">
        <f ca="1">$AW$9*EXP(-'3.r(t)'!F827*$AW$23)</f>
        <v>0.90732764390293807</v>
      </c>
      <c r="AJ829" s="7">
        <f ca="1">$AW$10*EXP(-'3.r(t)'!G827*$AW$24)</f>
        <v>0.92431272455129698</v>
      </c>
      <c r="AK829" s="7">
        <f ca="1">$AW$11*EXP(-'3.r(t)'!H827*$AW$25)</f>
        <v>0.94797508011593645</v>
      </c>
      <c r="AL829" s="7">
        <f ca="1">$AW$12*EXP(-'3.r(t)'!I827*$AW$26)</f>
        <v>0.97271688343205265</v>
      </c>
      <c r="AM829" s="7">
        <v>1</v>
      </c>
      <c r="AN829" s="7"/>
    </row>
    <row r="830" spans="2:40">
      <c r="B830" s="7">
        <v>822</v>
      </c>
      <c r="C830" s="7">
        <f>$AR$7*EXP(-'3.r(t)'!D828*$AR$21)</f>
        <v>0.97765346695821032</v>
      </c>
      <c r="D830" s="7">
        <v>1</v>
      </c>
      <c r="E830" s="7"/>
      <c r="F830" s="7">
        <v>822</v>
      </c>
      <c r="G830" s="48">
        <f>$AS$7*EXP(-'3.r(t)'!D828*$AS$21)</f>
        <v>0.9553476245219803</v>
      </c>
      <c r="H830" s="7">
        <f ca="1">$AS$8*EXP(-'3.r(t)'!E828*$AS$22)</f>
        <v>0.97595516975350471</v>
      </c>
      <c r="I830" s="7">
        <v>1</v>
      </c>
      <c r="J830" s="7"/>
      <c r="K830" s="7">
        <v>822</v>
      </c>
      <c r="L830" s="7">
        <f>$AT$7*EXP(-'3.r(t)'!D828*$AT$21)</f>
        <v>0.93311670519824419</v>
      </c>
      <c r="M830" s="7">
        <f ca="1">$AT$8*EXP(-'3.r(t)'!E828*$AT$22)</f>
        <v>0.95203985791714085</v>
      </c>
      <c r="N830" s="7">
        <f ca="1">$AT$9*EXP(-'3.r(t)'!F828*$AT$23)</f>
        <v>0.97789100165950338</v>
      </c>
      <c r="O830" s="7">
        <v>1</v>
      </c>
      <c r="P830" s="7"/>
      <c r="Q830" s="7">
        <v>822</v>
      </c>
      <c r="R830" s="7">
        <f>$AU$7*EXP(-'3.r(t)'!D828*$AU$21)</f>
        <v>0.91099305977534117</v>
      </c>
      <c r="S830" s="7">
        <f ca="1">$AU$8*EXP(-'3.r(t)'!E828*$AU$22)</f>
        <v>0.92828706777150272</v>
      </c>
      <c r="T830" s="7">
        <f ca="1">$AU$9*EXP(-'3.r(t)'!F828*$AU$23)</f>
        <v>0.95582887709405584</v>
      </c>
      <c r="U830" s="7">
        <f ca="1">$AU$10*EXP(-'3.r(t)'!G828*$AU$24)</f>
        <v>0.97667988134459649</v>
      </c>
      <c r="V830" s="7">
        <v>1</v>
      </c>
      <c r="W830" s="7"/>
      <c r="X830" s="7">
        <v>822</v>
      </c>
      <c r="Y830" s="7">
        <f>$AV$7*EXP(-'3.r(t)'!D828*$AV$21)</f>
        <v>0.88900715067201674</v>
      </c>
      <c r="Z830" s="7">
        <f ca="1">$AV$8*EXP(-'3.r(t)'!E828*$AV$22)</f>
        <v>0.90472770861340046</v>
      </c>
      <c r="AA830" s="7">
        <f ca="1">$AV$9*EXP(-'3.r(t)'!F828*$AV$23)</f>
        <v>0.93384673807672525</v>
      </c>
      <c r="AB830" s="7">
        <f ca="1">$AV$10*EXP(-'3.r(t)'!G828*$AV$24)</f>
        <v>0.95347121260499457</v>
      </c>
      <c r="AC830" s="7">
        <f ca="1">$AV$11*EXP(-'3.r(t)'!H828*$AV$25)</f>
        <v>0.97630571501255858</v>
      </c>
      <c r="AD830" s="7">
        <v>1</v>
      </c>
      <c r="AE830" s="7"/>
      <c r="AF830" s="7">
        <v>822</v>
      </c>
      <c r="AG830" s="7">
        <f>$AW$7*EXP(-'3.r(t)'!D828*$AW$21)</f>
        <v>0.86718755429225491</v>
      </c>
      <c r="AH830" s="7">
        <f ca="1">$AW$8*EXP(-'3.r(t)'!E828*$AW$22)</f>
        <v>0.88139060900302069</v>
      </c>
      <c r="AI830" s="7">
        <f ca="1">$AW$9*EXP(-'3.r(t)'!F828*$AW$23)</f>
        <v>0.91197585720871832</v>
      </c>
      <c r="AJ830" s="7">
        <f ca="1">$AW$10*EXP(-'3.r(t)'!G828*$AW$24)</f>
        <v>0.93040609111293149</v>
      </c>
      <c r="AK830" s="7">
        <f ca="1">$AW$11*EXP(-'3.r(t)'!H828*$AW$25)</f>
        <v>0.95274925798484356</v>
      </c>
      <c r="AL830" s="7">
        <f ca="1">$AW$12*EXP(-'3.r(t)'!I828*$AW$26)</f>
        <v>0.97665804350007213</v>
      </c>
      <c r="AM830" s="7">
        <v>1</v>
      </c>
      <c r="AN830" s="7"/>
    </row>
    <row r="831" spans="2:40">
      <c r="B831" s="7">
        <v>823</v>
      </c>
      <c r="C831" s="7">
        <f>$AR$7*EXP(-'3.r(t)'!D829*$AR$21)</f>
        <v>0.97765346695821032</v>
      </c>
      <c r="D831" s="7">
        <v>1</v>
      </c>
      <c r="E831" s="7"/>
      <c r="F831" s="7">
        <v>823</v>
      </c>
      <c r="G831" s="48">
        <f>$AS$7*EXP(-'3.r(t)'!D829*$AS$21)</f>
        <v>0.9553476245219803</v>
      </c>
      <c r="H831" s="7">
        <f ca="1">$AS$8*EXP(-'3.r(t)'!E829*$AS$22)</f>
        <v>0.97273634665464692</v>
      </c>
      <c r="I831" s="7">
        <v>1</v>
      </c>
      <c r="J831" s="7"/>
      <c r="K831" s="7">
        <v>823</v>
      </c>
      <c r="L831" s="7">
        <f>$AT$7*EXP(-'3.r(t)'!D829*$AT$21)</f>
        <v>0.93311670519824419</v>
      </c>
      <c r="M831" s="7">
        <f ca="1">$AT$8*EXP(-'3.r(t)'!E829*$AT$22)</f>
        <v>0.94577031908395959</v>
      </c>
      <c r="N831" s="7">
        <f ca="1">$AT$9*EXP(-'3.r(t)'!F829*$AT$23)</f>
        <v>0.97325961589385268</v>
      </c>
      <c r="O831" s="7">
        <v>1</v>
      </c>
      <c r="P831" s="7"/>
      <c r="Q831" s="7">
        <v>823</v>
      </c>
      <c r="R831" s="7">
        <f>$AU$7*EXP(-'3.r(t)'!D829*$AU$21)</f>
        <v>0.91099305977534117</v>
      </c>
      <c r="S831" s="7">
        <f ca="1">$AU$8*EXP(-'3.r(t)'!E829*$AU$22)</f>
        <v>0.91913250409190916</v>
      </c>
      <c r="T831" s="7">
        <f ca="1">$AU$9*EXP(-'3.r(t)'!F829*$AU$23)</f>
        <v>0.94679652206853215</v>
      </c>
      <c r="U831" s="7">
        <f ca="1">$AU$10*EXP(-'3.r(t)'!G829*$AU$24)</f>
        <v>0.97134314835024282</v>
      </c>
      <c r="V831" s="7">
        <v>1</v>
      </c>
      <c r="W831" s="7"/>
      <c r="X831" s="7">
        <v>823</v>
      </c>
      <c r="Y831" s="7">
        <f>$AV$7*EXP(-'3.r(t)'!D829*$AV$21)</f>
        <v>0.88900715067201674</v>
      </c>
      <c r="Z831" s="7">
        <f ca="1">$AV$8*EXP(-'3.r(t)'!E829*$AV$22)</f>
        <v>0.8928510028399872</v>
      </c>
      <c r="AA831" s="7">
        <f ca="1">$AV$9*EXP(-'3.r(t)'!F829*$AV$23)</f>
        <v>0.92064111541544369</v>
      </c>
      <c r="AB831" s="7">
        <f ca="1">$AV$10*EXP(-'3.r(t)'!G829*$AV$24)</f>
        <v>0.94307984608258688</v>
      </c>
      <c r="AC831" s="7">
        <f ca="1">$AV$11*EXP(-'3.r(t)'!H829*$AV$25)</f>
        <v>0.97236882313751283</v>
      </c>
      <c r="AD831" s="7">
        <v>1</v>
      </c>
      <c r="AE831" s="7"/>
      <c r="AF831" s="7">
        <v>823</v>
      </c>
      <c r="AG831" s="7">
        <f>$AW$7*EXP(-'3.r(t)'!D829*$AW$21)</f>
        <v>0.86718755429225491</v>
      </c>
      <c r="AH831" s="7">
        <f ca="1">$AW$8*EXP(-'3.r(t)'!E829*$AW$22)</f>
        <v>0.86695148144900325</v>
      </c>
      <c r="AI831" s="7">
        <f ca="1">$AW$9*EXP(-'3.r(t)'!F829*$AW$23)</f>
        <v>0.89482138594000349</v>
      </c>
      <c r="AJ831" s="7">
        <f ca="1">$AW$10*EXP(-'3.r(t)'!G829*$AW$24)</f>
        <v>0.91523761967723627</v>
      </c>
      <c r="AK831" s="7">
        <f ca="1">$AW$11*EXP(-'3.r(t)'!H829*$AW$25)</f>
        <v>0.94508094635067896</v>
      </c>
      <c r="AL831" s="7">
        <f ca="1">$AW$12*EXP(-'3.r(t)'!I829*$AW$26)</f>
        <v>0.97269608266609975</v>
      </c>
      <c r="AM831" s="7">
        <v>1</v>
      </c>
      <c r="AN831" s="7"/>
    </row>
    <row r="832" spans="2:40">
      <c r="B832" s="7">
        <v>824</v>
      </c>
      <c r="C832" s="7">
        <f>$AR$7*EXP(-'3.r(t)'!D830*$AR$21)</f>
        <v>0.97765346695821032</v>
      </c>
      <c r="D832" s="7">
        <v>1</v>
      </c>
      <c r="E832" s="7"/>
      <c r="F832" s="7">
        <v>824</v>
      </c>
      <c r="G832" s="48">
        <f>$AS$7*EXP(-'3.r(t)'!D830*$AS$21)</f>
        <v>0.9553476245219803</v>
      </c>
      <c r="H832" s="7">
        <f ca="1">$AS$8*EXP(-'3.r(t)'!E830*$AS$22)</f>
        <v>0.97387446880567152</v>
      </c>
      <c r="I832" s="7">
        <v>1</v>
      </c>
      <c r="J832" s="7"/>
      <c r="K832" s="7">
        <v>824</v>
      </c>
      <c r="L832" s="7">
        <f>$AT$7*EXP(-'3.r(t)'!D830*$AT$21)</f>
        <v>0.93311670519824419</v>
      </c>
      <c r="M832" s="7">
        <f ca="1">$AT$8*EXP(-'3.r(t)'!E830*$AT$22)</f>
        <v>0.94798475644985969</v>
      </c>
      <c r="N832" s="7">
        <f ca="1">$AT$9*EXP(-'3.r(t)'!F830*$AT$23)</f>
        <v>0.97339188908752738</v>
      </c>
      <c r="O832" s="7">
        <v>1</v>
      </c>
      <c r="P832" s="7"/>
      <c r="Q832" s="7">
        <v>824</v>
      </c>
      <c r="R832" s="7">
        <f>$AU$7*EXP(-'3.r(t)'!D830*$AU$21)</f>
        <v>0.91099305977534117</v>
      </c>
      <c r="S832" s="7">
        <f ca="1">$AU$8*EXP(-'3.r(t)'!E830*$AU$22)</f>
        <v>0.92236249385825886</v>
      </c>
      <c r="T832" s="7">
        <f ca="1">$AU$9*EXP(-'3.r(t)'!F830*$AU$23)</f>
        <v>0.94705389288290798</v>
      </c>
      <c r="U832" s="7">
        <f ca="1">$AU$10*EXP(-'3.r(t)'!G830*$AU$24)</f>
        <v>0.97007046657806928</v>
      </c>
      <c r="V832" s="7">
        <v>1</v>
      </c>
      <c r="W832" s="7"/>
      <c r="X832" s="7">
        <v>824</v>
      </c>
      <c r="Y832" s="7">
        <f>$AV$7*EXP(-'3.r(t)'!D830*$AV$21)</f>
        <v>0.88900715067201674</v>
      </c>
      <c r="Z832" s="7">
        <f ca="1">$AV$8*EXP(-'3.r(t)'!E830*$AV$22)</f>
        <v>0.89703696058984994</v>
      </c>
      <c r="AA832" s="7">
        <f ca="1">$AV$9*EXP(-'3.r(t)'!F830*$AV$23)</f>
        <v>0.92101653228142188</v>
      </c>
      <c r="AB832" s="7">
        <f ca="1">$AV$10*EXP(-'3.r(t)'!G830*$AV$24)</f>
        <v>0.94061016430845068</v>
      </c>
      <c r="AC832" s="7">
        <f ca="1">$AV$11*EXP(-'3.r(t)'!H830*$AV$25)</f>
        <v>0.97292950176253468</v>
      </c>
      <c r="AD832" s="7">
        <v>1</v>
      </c>
      <c r="AE832" s="7"/>
      <c r="AF832" s="7">
        <v>824</v>
      </c>
      <c r="AG832" s="7">
        <f>$AW$7*EXP(-'3.r(t)'!D830*$AW$21)</f>
        <v>0.86718755429225491</v>
      </c>
      <c r="AH832" s="7">
        <f ca="1">$AW$8*EXP(-'3.r(t)'!E830*$AW$22)</f>
        <v>0.87203512155068408</v>
      </c>
      <c r="AI832" s="7">
        <f ca="1">$AW$9*EXP(-'3.r(t)'!F830*$AW$23)</f>
        <v>0.89530793654549989</v>
      </c>
      <c r="AJ832" s="7">
        <f ca="1">$AW$10*EXP(-'3.r(t)'!G830*$AW$24)</f>
        <v>0.91164481910535189</v>
      </c>
      <c r="AK832" s="7">
        <f ca="1">$AW$11*EXP(-'3.r(t)'!H830*$AW$25)</f>
        <v>0.94617114883801845</v>
      </c>
      <c r="AL832" s="7">
        <f ca="1">$AW$12*EXP(-'3.r(t)'!I830*$AW$26)</f>
        <v>0.97294613179576361</v>
      </c>
      <c r="AM832" s="7">
        <v>1</v>
      </c>
      <c r="AN832" s="7"/>
    </row>
    <row r="833" spans="2:40">
      <c r="B833" s="7">
        <v>825</v>
      </c>
      <c r="C833" s="7">
        <f>$AR$7*EXP(-'3.r(t)'!D831*$AR$21)</f>
        <v>0.97765346695821032</v>
      </c>
      <c r="D833" s="7">
        <v>1</v>
      </c>
      <c r="E833" s="7"/>
      <c r="F833" s="7">
        <v>825</v>
      </c>
      <c r="G833" s="48">
        <f>$AS$7*EXP(-'3.r(t)'!D831*$AS$21)</f>
        <v>0.9553476245219803</v>
      </c>
      <c r="H833" s="7">
        <f ca="1">$AS$8*EXP(-'3.r(t)'!E831*$AS$22)</f>
        <v>0.98049602777802625</v>
      </c>
      <c r="I833" s="7">
        <v>1</v>
      </c>
      <c r="J833" s="7"/>
      <c r="K833" s="7">
        <v>825</v>
      </c>
      <c r="L833" s="7">
        <f>$AT$7*EXP(-'3.r(t)'!D831*$AT$21)</f>
        <v>0.93311670519824419</v>
      </c>
      <c r="M833" s="7">
        <f ca="1">$AT$8*EXP(-'3.r(t)'!E831*$AT$22)</f>
        <v>0.96091964056380985</v>
      </c>
      <c r="N833" s="7">
        <f ca="1">$AT$9*EXP(-'3.r(t)'!F831*$AT$23)</f>
        <v>0.97674816654234586</v>
      </c>
      <c r="O833" s="7">
        <v>1</v>
      </c>
      <c r="P833" s="7"/>
      <c r="Q833" s="7">
        <v>825</v>
      </c>
      <c r="R833" s="7">
        <f>$AU$7*EXP(-'3.r(t)'!D831*$AU$21)</f>
        <v>0.91099305977534117</v>
      </c>
      <c r="S833" s="7">
        <f ca="1">$AU$8*EXP(-'3.r(t)'!E831*$AU$22)</f>
        <v>0.94130466105126764</v>
      </c>
      <c r="T833" s="7">
        <f ca="1">$AU$9*EXP(-'3.r(t)'!F831*$AU$23)</f>
        <v>0.95359607916069145</v>
      </c>
      <c r="U833" s="7">
        <f ca="1">$AU$10*EXP(-'3.r(t)'!G831*$AU$24)</f>
        <v>0.97631396597699338</v>
      </c>
      <c r="V833" s="7">
        <v>1</v>
      </c>
      <c r="W833" s="7"/>
      <c r="X833" s="7">
        <v>825</v>
      </c>
      <c r="Y833" s="7">
        <f>$AV$7*EXP(-'3.r(t)'!D831*$AV$21)</f>
        <v>0.88900715067201674</v>
      </c>
      <c r="Z833" s="7">
        <f ca="1">$AV$8*EXP(-'3.r(t)'!E831*$AV$22)</f>
        <v>0.92168340925772541</v>
      </c>
      <c r="AA833" s="7">
        <f ca="1">$AV$9*EXP(-'3.r(t)'!F831*$AV$23)</f>
        <v>0.93057647763715945</v>
      </c>
      <c r="AB833" s="7">
        <f ca="1">$AV$10*EXP(-'3.r(t)'!G831*$AV$24)</f>
        <v>0.95275690606557595</v>
      </c>
      <c r="AC833" s="7">
        <f ca="1">$AV$11*EXP(-'3.r(t)'!H831*$AV$25)</f>
        <v>0.97832272959017974</v>
      </c>
      <c r="AD833" s="7">
        <v>1</v>
      </c>
      <c r="AE833" s="7"/>
      <c r="AF833" s="7">
        <v>825</v>
      </c>
      <c r="AG833" s="7">
        <f>$AW$7*EXP(-'3.r(t)'!D831*$AW$21)</f>
        <v>0.86718755429225491</v>
      </c>
      <c r="AH833" s="7">
        <f ca="1">$AW$8*EXP(-'3.r(t)'!E831*$AW$22)</f>
        <v>0.9020866737774127</v>
      </c>
      <c r="AI833" s="7">
        <f ca="1">$AW$9*EXP(-'3.r(t)'!F831*$AW$23)</f>
        <v>0.90772011744527037</v>
      </c>
      <c r="AJ833" s="7">
        <f ca="1">$AW$10*EXP(-'3.r(t)'!G831*$AW$24)</f>
        <v>0.92936074649507405</v>
      </c>
      <c r="AK833" s="7">
        <f ca="1">$AW$11*EXP(-'3.r(t)'!H831*$AW$25)</f>
        <v>0.95669001999336134</v>
      </c>
      <c r="AL833" s="7">
        <f ca="1">$AW$12*EXP(-'3.r(t)'!I831*$AW$26)</f>
        <v>0.97626120527104532</v>
      </c>
      <c r="AM833" s="7">
        <v>1</v>
      </c>
      <c r="AN833" s="7"/>
    </row>
    <row r="834" spans="2:40">
      <c r="B834" s="7">
        <v>826</v>
      </c>
      <c r="C834" s="7">
        <f>$AR$7*EXP(-'3.r(t)'!D832*$AR$21)</f>
        <v>0.97765346695821032</v>
      </c>
      <c r="D834" s="7">
        <v>1</v>
      </c>
      <c r="E834" s="7"/>
      <c r="F834" s="7">
        <v>826</v>
      </c>
      <c r="G834" s="48">
        <f>$AS$7*EXP(-'3.r(t)'!D832*$AS$21)</f>
        <v>0.9553476245219803</v>
      </c>
      <c r="H834" s="7">
        <f ca="1">$AS$8*EXP(-'3.r(t)'!E832*$AS$22)</f>
        <v>0.97656139522675434</v>
      </c>
      <c r="I834" s="7">
        <v>1</v>
      </c>
      <c r="J834" s="7"/>
      <c r="K834" s="7">
        <v>826</v>
      </c>
      <c r="L834" s="7">
        <f>$AT$7*EXP(-'3.r(t)'!D832*$AT$21)</f>
        <v>0.93311670519824419</v>
      </c>
      <c r="M834" s="7">
        <f ca="1">$AT$8*EXP(-'3.r(t)'!E832*$AT$22)</f>
        <v>0.95322296567281106</v>
      </c>
      <c r="N834" s="7">
        <f ca="1">$AT$9*EXP(-'3.r(t)'!F832*$AT$23)</f>
        <v>0.97807495251643384</v>
      </c>
      <c r="O834" s="7">
        <v>1</v>
      </c>
      <c r="P834" s="7"/>
      <c r="Q834" s="7">
        <v>826</v>
      </c>
      <c r="R834" s="7">
        <f>$AU$7*EXP(-'3.r(t)'!D832*$AU$21)</f>
        <v>0.91099305977534117</v>
      </c>
      <c r="S834" s="7">
        <f ca="1">$AU$8*EXP(-'3.r(t)'!E832*$AU$22)</f>
        <v>0.93001799020332998</v>
      </c>
      <c r="T834" s="7">
        <f ca="1">$AU$9*EXP(-'3.r(t)'!F832*$AU$23)</f>
        <v>0.95618851242759184</v>
      </c>
      <c r="U834" s="7">
        <f ca="1">$AU$10*EXP(-'3.r(t)'!G832*$AU$24)</f>
        <v>0.97388430301791484</v>
      </c>
      <c r="V834" s="7">
        <v>1</v>
      </c>
      <c r="W834" s="7"/>
      <c r="X834" s="7">
        <v>826</v>
      </c>
      <c r="Y834" s="7">
        <f>$AV$7*EXP(-'3.r(t)'!D832*$AV$21)</f>
        <v>0.88900715067201674</v>
      </c>
      <c r="Z834" s="7">
        <f ca="1">$AV$8*EXP(-'3.r(t)'!E832*$AV$22)</f>
        <v>0.90697773092365885</v>
      </c>
      <c r="AA834" s="7">
        <f ca="1">$AV$9*EXP(-'3.r(t)'!F832*$AV$23)</f>
        <v>0.93437383431741561</v>
      </c>
      <c r="AB834" s="7">
        <f ca="1">$AV$10*EXP(-'3.r(t)'!G832*$AV$24)</f>
        <v>0.94802072931950387</v>
      </c>
      <c r="AC834" s="7">
        <f ca="1">$AV$11*EXP(-'3.r(t)'!H832*$AV$25)</f>
        <v>0.9690783685049259</v>
      </c>
      <c r="AD834" s="7">
        <v>1</v>
      </c>
      <c r="AE834" s="7"/>
      <c r="AF834" s="7">
        <v>826</v>
      </c>
      <c r="AG834" s="7">
        <f>$AW$7*EXP(-'3.r(t)'!D832*$AW$21)</f>
        <v>0.86718755429225491</v>
      </c>
      <c r="AH834" s="7">
        <f ca="1">$AW$8*EXP(-'3.r(t)'!E832*$AW$22)</f>
        <v>0.88413144007587952</v>
      </c>
      <c r="AI834" s="7">
        <f ca="1">$AW$9*EXP(-'3.r(t)'!F832*$AW$23)</f>
        <v>0.91266225715175353</v>
      </c>
      <c r="AJ834" s="7">
        <f ca="1">$AW$10*EXP(-'3.r(t)'!G832*$AW$24)</f>
        <v>0.92243955486746265</v>
      </c>
      <c r="AK834" s="7">
        <f ca="1">$AW$11*EXP(-'3.r(t)'!H832*$AW$25)</f>
        <v>0.93869554138843048</v>
      </c>
      <c r="AL834" s="7">
        <f ca="1">$AW$12*EXP(-'3.r(t)'!I832*$AW$26)</f>
        <v>0.96641435226484884</v>
      </c>
      <c r="AM834" s="7">
        <v>1</v>
      </c>
      <c r="AN834" s="7"/>
    </row>
    <row r="835" spans="2:40">
      <c r="B835" s="7">
        <v>827</v>
      </c>
      <c r="C835" s="7">
        <f>$AR$7*EXP(-'3.r(t)'!D833*$AR$21)</f>
        <v>0.97765346695821032</v>
      </c>
      <c r="D835" s="7">
        <v>1</v>
      </c>
      <c r="E835" s="7"/>
      <c r="F835" s="7">
        <v>827</v>
      </c>
      <c r="G835" s="48">
        <f>$AS$7*EXP(-'3.r(t)'!D833*$AS$21)</f>
        <v>0.9553476245219803</v>
      </c>
      <c r="H835" s="7">
        <f ca="1">$AS$8*EXP(-'3.r(t)'!E833*$AS$22)</f>
        <v>0.98075498542274597</v>
      </c>
      <c r="I835" s="7">
        <v>1</v>
      </c>
      <c r="J835" s="7"/>
      <c r="K835" s="7">
        <v>827</v>
      </c>
      <c r="L835" s="7">
        <f>$AT$7*EXP(-'3.r(t)'!D833*$AT$21)</f>
        <v>0.93311670519824419</v>
      </c>
      <c r="M835" s="7">
        <f ca="1">$AT$8*EXP(-'3.r(t)'!E833*$AT$22)</f>
        <v>0.96142728228783836</v>
      </c>
      <c r="N835" s="7">
        <f ca="1">$AT$9*EXP(-'3.r(t)'!F833*$AT$23)</f>
        <v>0.97966343596019123</v>
      </c>
      <c r="O835" s="7">
        <v>1</v>
      </c>
      <c r="P835" s="7"/>
      <c r="Q835" s="7">
        <v>827</v>
      </c>
      <c r="R835" s="7">
        <f>$AU$7*EXP(-'3.r(t)'!D833*$AU$21)</f>
        <v>0.91099305977534117</v>
      </c>
      <c r="S835" s="7">
        <f ca="1">$AU$8*EXP(-'3.r(t)'!E833*$AU$22)</f>
        <v>0.94205067862419878</v>
      </c>
      <c r="T835" s="7">
        <f ca="1">$AU$9*EXP(-'3.r(t)'!F833*$AU$23)</f>
        <v>0.9592969102558544</v>
      </c>
      <c r="U835" s="7">
        <f ca="1">$AU$10*EXP(-'3.r(t)'!G833*$AU$24)</f>
        <v>0.98131905169675926</v>
      </c>
      <c r="V835" s="7">
        <v>1</v>
      </c>
      <c r="W835" s="7"/>
      <c r="X835" s="7">
        <v>827</v>
      </c>
      <c r="Y835" s="7">
        <f>$AV$7*EXP(-'3.r(t)'!D833*$AV$21)</f>
        <v>0.88900715067201674</v>
      </c>
      <c r="Z835" s="7">
        <f ca="1">$AV$8*EXP(-'3.r(t)'!E833*$AV$22)</f>
        <v>0.92265749392409602</v>
      </c>
      <c r="AA835" s="7">
        <f ca="1">$AV$9*EXP(-'3.r(t)'!F833*$AV$23)</f>
        <v>0.93893375849770844</v>
      </c>
      <c r="AB835" s="7">
        <f ca="1">$AV$10*EXP(-'3.r(t)'!G833*$AV$24)</f>
        <v>0.96255058591058529</v>
      </c>
      <c r="AC835" s="7">
        <f ca="1">$AV$11*EXP(-'3.r(t)'!H833*$AV$25)</f>
        <v>0.98237761946919377</v>
      </c>
      <c r="AD835" s="7">
        <v>1</v>
      </c>
      <c r="AE835" s="7"/>
      <c r="AF835" s="7">
        <v>827</v>
      </c>
      <c r="AG835" s="7">
        <f>$AW$7*EXP(-'3.r(t)'!D833*$AW$21)</f>
        <v>0.86718755429225491</v>
      </c>
      <c r="AH835" s="7">
        <f ca="1">$AW$8*EXP(-'3.r(t)'!E833*$AW$22)</f>
        <v>0.90327854839581145</v>
      </c>
      <c r="AI835" s="7">
        <f ca="1">$AW$9*EXP(-'3.r(t)'!F833*$AW$23)</f>
        <v>0.91860570553379572</v>
      </c>
      <c r="AJ835" s="7">
        <f ca="1">$AW$10*EXP(-'3.r(t)'!G833*$AW$24)</f>
        <v>0.94372728402435235</v>
      </c>
      <c r="AK835" s="7">
        <f ca="1">$AW$11*EXP(-'3.r(t)'!H833*$AW$25)</f>
        <v>0.96463691081638003</v>
      </c>
      <c r="AL835" s="7">
        <f ca="1">$AW$12*EXP(-'3.r(t)'!I833*$AW$26)</f>
        <v>0.98391915019686382</v>
      </c>
      <c r="AM835" s="7">
        <v>1</v>
      </c>
      <c r="AN835" s="7"/>
    </row>
    <row r="836" spans="2:40">
      <c r="B836" s="7">
        <v>828</v>
      </c>
      <c r="C836" s="7">
        <f>$AR$7*EXP(-'3.r(t)'!D834*$AR$21)</f>
        <v>0.97765346695821032</v>
      </c>
      <c r="D836" s="7">
        <v>1</v>
      </c>
      <c r="E836" s="7"/>
      <c r="F836" s="7">
        <v>828</v>
      </c>
      <c r="G836" s="48">
        <f>$AS$7*EXP(-'3.r(t)'!D834*$AS$21)</f>
        <v>0.9553476245219803</v>
      </c>
      <c r="H836" s="7">
        <f ca="1">$AS$8*EXP(-'3.r(t)'!E834*$AS$22)</f>
        <v>0.97846347001594269</v>
      </c>
      <c r="I836" s="7">
        <v>1</v>
      </c>
      <c r="J836" s="7"/>
      <c r="K836" s="7">
        <v>828</v>
      </c>
      <c r="L836" s="7">
        <f>$AT$7*EXP(-'3.r(t)'!D834*$AT$21)</f>
        <v>0.93311670519824419</v>
      </c>
      <c r="M836" s="7">
        <f ca="1">$AT$8*EXP(-'3.r(t)'!E834*$AT$22)</f>
        <v>0.95693981766677128</v>
      </c>
      <c r="N836" s="7">
        <f ca="1">$AT$9*EXP(-'3.r(t)'!F834*$AT$23)</f>
        <v>0.97542733240761248</v>
      </c>
      <c r="O836" s="7">
        <v>1</v>
      </c>
      <c r="P836" s="7"/>
      <c r="Q836" s="7">
        <v>828</v>
      </c>
      <c r="R836" s="7">
        <f>$AU$7*EXP(-'3.r(t)'!D834*$AU$21)</f>
        <v>0.91099305977534117</v>
      </c>
      <c r="S836" s="7">
        <f ca="1">$AU$8*EXP(-'3.r(t)'!E834*$AU$22)</f>
        <v>0.935462844391865</v>
      </c>
      <c r="T836" s="7">
        <f ca="1">$AU$9*EXP(-'3.r(t)'!F834*$AU$23)</f>
        <v>0.95101877076089159</v>
      </c>
      <c r="U836" s="7">
        <f ca="1">$AU$10*EXP(-'3.r(t)'!G834*$AU$24)</f>
        <v>0.96998698703959674</v>
      </c>
      <c r="V836" s="7">
        <v>1</v>
      </c>
      <c r="W836" s="7"/>
      <c r="X836" s="7">
        <v>828</v>
      </c>
      <c r="Y836" s="7">
        <f>$AV$7*EXP(-'3.r(t)'!D834*$AV$21)</f>
        <v>0.88900715067201674</v>
      </c>
      <c r="Z836" s="7">
        <f ca="1">$AV$8*EXP(-'3.r(t)'!E834*$AV$22)</f>
        <v>0.91406458151227232</v>
      </c>
      <c r="AA836" s="7">
        <f ca="1">$AV$9*EXP(-'3.r(t)'!F834*$AV$23)</f>
        <v>0.92680638878342314</v>
      </c>
      <c r="AB836" s="7">
        <f ca="1">$AV$10*EXP(-'3.r(t)'!G834*$AV$24)</f>
        <v>0.94044828261736413</v>
      </c>
      <c r="AC836" s="7">
        <f ca="1">$AV$11*EXP(-'3.r(t)'!H834*$AV$25)</f>
        <v>0.96973995460592299</v>
      </c>
      <c r="AD836" s="7">
        <v>1</v>
      </c>
      <c r="AE836" s="7"/>
      <c r="AF836" s="7">
        <v>828</v>
      </c>
      <c r="AG836" s="7">
        <f>$AW$7*EXP(-'3.r(t)'!D834*$AW$21)</f>
        <v>0.86718755429225491</v>
      </c>
      <c r="AH836" s="7">
        <f ca="1">$AW$8*EXP(-'3.r(t)'!E834*$AW$22)</f>
        <v>0.8927752786763713</v>
      </c>
      <c r="AI836" s="7">
        <f ca="1">$AW$9*EXP(-'3.r(t)'!F834*$AW$23)</f>
        <v>0.90282011155069319</v>
      </c>
      <c r="AJ836" s="7">
        <f ca="1">$AW$10*EXP(-'3.r(t)'!G834*$AW$24)</f>
        <v>0.91140948422263957</v>
      </c>
      <c r="AK836" s="7">
        <f ca="1">$AW$11*EXP(-'3.r(t)'!H834*$AW$25)</f>
        <v>0.9399776666120172</v>
      </c>
      <c r="AL836" s="7">
        <f ca="1">$AW$12*EXP(-'3.r(t)'!I834*$AW$26)</f>
        <v>0.97420144863119418</v>
      </c>
      <c r="AM836" s="7">
        <v>1</v>
      </c>
      <c r="AN836" s="7"/>
    </row>
    <row r="837" spans="2:40">
      <c r="B837" s="7">
        <v>829</v>
      </c>
      <c r="C837" s="7">
        <f>$AR$7*EXP(-'3.r(t)'!D835*$AR$21)</f>
        <v>0.97765346695821032</v>
      </c>
      <c r="D837" s="7">
        <v>1</v>
      </c>
      <c r="E837" s="7"/>
      <c r="F837" s="7">
        <v>829</v>
      </c>
      <c r="G837" s="48">
        <f>$AS$7*EXP(-'3.r(t)'!D835*$AS$21)</f>
        <v>0.9553476245219803</v>
      </c>
      <c r="H837" s="7">
        <f ca="1">$AS$8*EXP(-'3.r(t)'!E835*$AS$22)</f>
        <v>0.97842882656050523</v>
      </c>
      <c r="I837" s="7">
        <v>1</v>
      </c>
      <c r="J837" s="7"/>
      <c r="K837" s="7">
        <v>829</v>
      </c>
      <c r="L837" s="7">
        <f>$AT$7*EXP(-'3.r(t)'!D835*$AT$21)</f>
        <v>0.93311670519824419</v>
      </c>
      <c r="M837" s="7">
        <f ca="1">$AT$8*EXP(-'3.r(t)'!E835*$AT$22)</f>
        <v>0.95687205608739423</v>
      </c>
      <c r="N837" s="7">
        <f ca="1">$AT$9*EXP(-'3.r(t)'!F835*$AT$23)</f>
        <v>0.97485958265128847</v>
      </c>
      <c r="O837" s="7">
        <v>1</v>
      </c>
      <c r="P837" s="7"/>
      <c r="Q837" s="7">
        <v>829</v>
      </c>
      <c r="R837" s="7">
        <f>$AU$7*EXP(-'3.r(t)'!D835*$AU$21)</f>
        <v>0.91099305977534117</v>
      </c>
      <c r="S837" s="7">
        <f ca="1">$AU$8*EXP(-'3.r(t)'!E835*$AU$22)</f>
        <v>0.93536348498108068</v>
      </c>
      <c r="T837" s="7">
        <f ca="1">$AU$9*EXP(-'3.r(t)'!F835*$AU$23)</f>
        <v>0.94991200755965677</v>
      </c>
      <c r="U837" s="7">
        <f ca="1">$AU$10*EXP(-'3.r(t)'!G835*$AU$24)</f>
        <v>0.97292449684833049</v>
      </c>
      <c r="V837" s="7">
        <v>1</v>
      </c>
      <c r="W837" s="7"/>
      <c r="X837" s="7">
        <v>829</v>
      </c>
      <c r="Y837" s="7">
        <f>$AV$7*EXP(-'3.r(t)'!D835*$AV$21)</f>
        <v>0.88900715067201674</v>
      </c>
      <c r="Z837" s="7">
        <f ca="1">$AV$8*EXP(-'3.r(t)'!E835*$AV$22)</f>
        <v>0.91393513498784218</v>
      </c>
      <c r="AA837" s="7">
        <f ca="1">$AV$9*EXP(-'3.r(t)'!F835*$AV$23)</f>
        <v>0.92518898109706016</v>
      </c>
      <c r="AB837" s="7">
        <f ca="1">$AV$10*EXP(-'3.r(t)'!G835*$AV$24)</f>
        <v>0.94615301718836065</v>
      </c>
      <c r="AC837" s="7">
        <f ca="1">$AV$11*EXP(-'3.r(t)'!H835*$AV$25)</f>
        <v>0.97367535544423756</v>
      </c>
      <c r="AD837" s="7">
        <v>1</v>
      </c>
      <c r="AE837" s="7"/>
      <c r="AF837" s="7">
        <v>829</v>
      </c>
      <c r="AG837" s="7">
        <f>$AW$7*EXP(-'3.r(t)'!D835*$AW$21)</f>
        <v>0.86718755429225491</v>
      </c>
      <c r="AH837" s="7">
        <f ca="1">$AW$8*EXP(-'3.r(t)'!E835*$AW$22)</f>
        <v>0.8926172419612689</v>
      </c>
      <c r="AI837" s="7">
        <f ca="1">$AW$9*EXP(-'3.r(t)'!F835*$AW$23)</f>
        <v>0.90071999179414164</v>
      </c>
      <c r="AJ837" s="7">
        <f ca="1">$AW$10*EXP(-'3.r(t)'!G835*$AW$24)</f>
        <v>0.91971492660802712</v>
      </c>
      <c r="AK837" s="7">
        <f ca="1">$AW$11*EXP(-'3.r(t)'!H835*$AW$25)</f>
        <v>0.94762238601927062</v>
      </c>
      <c r="AL837" s="7">
        <f ca="1">$AW$12*EXP(-'3.r(t)'!I835*$AW$26)</f>
        <v>0.97104630051998353</v>
      </c>
      <c r="AM837" s="7">
        <v>1</v>
      </c>
      <c r="AN837" s="7"/>
    </row>
    <row r="838" spans="2:40">
      <c r="B838" s="7">
        <v>830</v>
      </c>
      <c r="C838" s="7">
        <f>$AR$7*EXP(-'3.r(t)'!D836*$AR$21)</f>
        <v>0.97765346695821032</v>
      </c>
      <c r="D838" s="7">
        <v>1</v>
      </c>
      <c r="E838" s="7"/>
      <c r="F838" s="7">
        <v>830</v>
      </c>
      <c r="G838" s="48">
        <f>$AS$7*EXP(-'3.r(t)'!D836*$AS$21)</f>
        <v>0.9553476245219803</v>
      </c>
      <c r="H838" s="7">
        <f ca="1">$AS$8*EXP(-'3.r(t)'!E836*$AS$22)</f>
        <v>0.97797438106327583</v>
      </c>
      <c r="I838" s="7">
        <v>1</v>
      </c>
      <c r="J838" s="7"/>
      <c r="K838" s="7">
        <v>830</v>
      </c>
      <c r="L838" s="7">
        <f>$AT$7*EXP(-'3.r(t)'!D836*$AT$21)</f>
        <v>0.93311670519824419</v>
      </c>
      <c r="M838" s="7">
        <f ca="1">$AT$8*EXP(-'3.r(t)'!E836*$AT$22)</f>
        <v>0.95598339622743955</v>
      </c>
      <c r="N838" s="7">
        <f ca="1">$AT$9*EXP(-'3.r(t)'!F836*$AT$23)</f>
        <v>0.97755795832755632</v>
      </c>
      <c r="O838" s="7">
        <v>1</v>
      </c>
      <c r="P838" s="7"/>
      <c r="Q838" s="7">
        <v>830</v>
      </c>
      <c r="R838" s="7">
        <f>$AU$7*EXP(-'3.r(t)'!D836*$AU$21)</f>
        <v>0.91099305977534117</v>
      </c>
      <c r="S838" s="7">
        <f ca="1">$AU$8*EXP(-'3.r(t)'!E836*$AU$22)</f>
        <v>0.93406076071853406</v>
      </c>
      <c r="T838" s="7">
        <f ca="1">$AU$9*EXP(-'3.r(t)'!F836*$AU$23)</f>
        <v>0.95517792882736219</v>
      </c>
      <c r="U838" s="7">
        <f ca="1">$AU$10*EXP(-'3.r(t)'!G836*$AU$24)</f>
        <v>0.97637067660256671</v>
      </c>
      <c r="V838" s="7">
        <v>1</v>
      </c>
      <c r="W838" s="7"/>
      <c r="X838" s="7">
        <v>830</v>
      </c>
      <c r="Y838" s="7">
        <f>$AV$7*EXP(-'3.r(t)'!D836*$AV$21)</f>
        <v>0.88900715067201674</v>
      </c>
      <c r="Z838" s="7">
        <f ca="1">$AV$8*EXP(-'3.r(t)'!E836*$AV$22)</f>
        <v>0.91223835572906997</v>
      </c>
      <c r="AA838" s="7">
        <f ca="1">$AV$9*EXP(-'3.r(t)'!F836*$AV$23)</f>
        <v>0.93289293386370098</v>
      </c>
      <c r="AB838" s="7">
        <f ca="1">$AV$10*EXP(-'3.r(t)'!G836*$AV$24)</f>
        <v>0.95286759383875752</v>
      </c>
      <c r="AC838" s="7">
        <f ca="1">$AV$11*EXP(-'3.r(t)'!H836*$AV$25)</f>
        <v>0.97484168239262947</v>
      </c>
      <c r="AD838" s="7">
        <v>1</v>
      </c>
      <c r="AE838" s="7"/>
      <c r="AF838" s="7">
        <v>830</v>
      </c>
      <c r="AG838" s="7">
        <f>$AW$7*EXP(-'3.r(t)'!D836*$AW$21)</f>
        <v>0.86718755429225491</v>
      </c>
      <c r="AH838" s="7">
        <f ca="1">$AW$8*EXP(-'3.r(t)'!E836*$AW$22)</f>
        <v>0.8905462213920039</v>
      </c>
      <c r="AI838" s="7">
        <f ca="1">$AW$9*EXP(-'3.r(t)'!F836*$AW$23)</f>
        <v>0.91073411410747007</v>
      </c>
      <c r="AJ838" s="7">
        <f ca="1">$AW$10*EXP(-'3.r(t)'!G836*$AW$24)</f>
        <v>0.92952270573965734</v>
      </c>
      <c r="AK838" s="7">
        <f ca="1">$AW$11*EXP(-'3.r(t)'!H836*$AW$25)</f>
        <v>0.94989398400015324</v>
      </c>
      <c r="AL838" s="7">
        <f ca="1">$AW$12*EXP(-'3.r(t)'!I836*$AW$26)</f>
        <v>0.97421273607056369</v>
      </c>
      <c r="AM838" s="7">
        <v>1</v>
      </c>
      <c r="AN838" s="7"/>
    </row>
    <row r="839" spans="2:40">
      <c r="B839" s="7">
        <v>831</v>
      </c>
      <c r="C839" s="7">
        <f>$AR$7*EXP(-'3.r(t)'!D837*$AR$21)</f>
        <v>0.97765346695821032</v>
      </c>
      <c r="D839" s="7">
        <v>1</v>
      </c>
      <c r="E839" s="7"/>
      <c r="F839" s="7">
        <v>831</v>
      </c>
      <c r="G839" s="48">
        <f>$AS$7*EXP(-'3.r(t)'!D837*$AS$21)</f>
        <v>0.9553476245219803</v>
      </c>
      <c r="H839" s="7">
        <f ca="1">$AS$8*EXP(-'3.r(t)'!E837*$AS$22)</f>
        <v>0.97957982127534682</v>
      </c>
      <c r="I839" s="7">
        <v>1</v>
      </c>
      <c r="J839" s="7"/>
      <c r="K839" s="7">
        <v>831</v>
      </c>
      <c r="L839" s="7">
        <f>$AT$7*EXP(-'3.r(t)'!D837*$AT$21)</f>
        <v>0.93311670519824419</v>
      </c>
      <c r="M839" s="7">
        <f ca="1">$AT$8*EXP(-'3.r(t)'!E837*$AT$22)</f>
        <v>0.95912465218829834</v>
      </c>
      <c r="N839" s="7">
        <f ca="1">$AT$9*EXP(-'3.r(t)'!F837*$AT$23)</f>
        <v>0.98091201457337251</v>
      </c>
      <c r="O839" s="7">
        <v>1</v>
      </c>
      <c r="P839" s="7"/>
      <c r="Q839" s="7">
        <v>831</v>
      </c>
      <c r="R839" s="7">
        <f>$AU$7*EXP(-'3.r(t)'!D837*$AU$21)</f>
        <v>0.91099305977534117</v>
      </c>
      <c r="S839" s="7">
        <f ca="1">$AU$8*EXP(-'3.r(t)'!E837*$AU$22)</f>
        <v>0.93866837146915238</v>
      </c>
      <c r="T839" s="7">
        <f ca="1">$AU$9*EXP(-'3.r(t)'!F837*$AU$23)</f>
        <v>0.9617437115375761</v>
      </c>
      <c r="U839" s="7">
        <f ca="1">$AU$10*EXP(-'3.r(t)'!G837*$AU$24)</f>
        <v>0.98334175303004445</v>
      </c>
      <c r="V839" s="7">
        <v>1</v>
      </c>
      <c r="W839" s="7"/>
      <c r="X839" s="7">
        <v>831</v>
      </c>
      <c r="Y839" s="7">
        <f>$AV$7*EXP(-'3.r(t)'!D837*$AV$21)</f>
        <v>0.88900715067201674</v>
      </c>
      <c r="Z839" s="7">
        <f ca="1">$AV$8*EXP(-'3.r(t)'!E837*$AV$22)</f>
        <v>0.91824323440010736</v>
      </c>
      <c r="AA839" s="7">
        <f ca="1">$AV$9*EXP(-'3.r(t)'!F837*$AV$23)</f>
        <v>0.94252834211710423</v>
      </c>
      <c r="AB839" s="7">
        <f ca="1">$AV$10*EXP(-'3.r(t)'!G837*$AV$24)</f>
        <v>0.96652270667121531</v>
      </c>
      <c r="AC839" s="7">
        <f ca="1">$AV$11*EXP(-'3.r(t)'!H837*$AV$25)</f>
        <v>0.98540872232352905</v>
      </c>
      <c r="AD839" s="7">
        <v>1</v>
      </c>
      <c r="AE839" s="7"/>
      <c r="AF839" s="7">
        <v>831</v>
      </c>
      <c r="AG839" s="7">
        <f>$AW$7*EXP(-'3.r(t)'!D837*$AW$21)</f>
        <v>0.86718755429225491</v>
      </c>
      <c r="AH839" s="7">
        <f ca="1">$AW$8*EXP(-'3.r(t)'!E837*$AW$22)</f>
        <v>0.89787985149236971</v>
      </c>
      <c r="AI839" s="7">
        <f ca="1">$AW$9*EXP(-'3.r(t)'!F837*$AW$23)</f>
        <v>0.92329770868289873</v>
      </c>
      <c r="AJ839" s="7">
        <f ca="1">$AW$10*EXP(-'3.r(t)'!G837*$AW$24)</f>
        <v>0.94957497156868065</v>
      </c>
      <c r="AK839" s="7">
        <f ca="1">$AW$11*EXP(-'3.r(t)'!H837*$AW$25)</f>
        <v>0.97059882295469901</v>
      </c>
      <c r="AL839" s="7">
        <f ca="1">$AW$12*EXP(-'3.r(t)'!I837*$AW$26)</f>
        <v>0.98660297158018173</v>
      </c>
      <c r="AM839" s="7">
        <v>1</v>
      </c>
      <c r="AN839" s="7"/>
    </row>
    <row r="840" spans="2:40">
      <c r="B840" s="7">
        <v>832</v>
      </c>
      <c r="C840" s="7">
        <f>$AR$7*EXP(-'3.r(t)'!D838*$AR$21)</f>
        <v>0.97765346695821032</v>
      </c>
      <c r="D840" s="7">
        <v>1</v>
      </c>
      <c r="E840" s="7"/>
      <c r="F840" s="7">
        <v>832</v>
      </c>
      <c r="G840" s="48">
        <f>$AS$7*EXP(-'3.r(t)'!D838*$AS$21)</f>
        <v>0.9553476245219803</v>
      </c>
      <c r="H840" s="7">
        <f ca="1">$AS$8*EXP(-'3.r(t)'!E838*$AS$22)</f>
        <v>0.97566606286416224</v>
      </c>
      <c r="I840" s="7">
        <v>1</v>
      </c>
      <c r="J840" s="7"/>
      <c r="K840" s="7">
        <v>832</v>
      </c>
      <c r="L840" s="7">
        <f>$AT$7*EXP(-'3.r(t)'!D838*$AT$21)</f>
        <v>0.93311670519824419</v>
      </c>
      <c r="M840" s="7">
        <f ca="1">$AT$8*EXP(-'3.r(t)'!E838*$AT$22)</f>
        <v>0.95147589653230935</v>
      </c>
      <c r="N840" s="7">
        <f ca="1">$AT$9*EXP(-'3.r(t)'!F838*$AT$23)</f>
        <v>0.97295852803106031</v>
      </c>
      <c r="O840" s="7">
        <v>1</v>
      </c>
      <c r="P840" s="7"/>
      <c r="Q840" s="7">
        <v>832</v>
      </c>
      <c r="R840" s="7">
        <f>$AU$7*EXP(-'3.r(t)'!D838*$AU$21)</f>
        <v>0.91099305977534117</v>
      </c>
      <c r="S840" s="7">
        <f ca="1">$AU$8*EXP(-'3.r(t)'!E838*$AU$22)</f>
        <v>0.92746235357659279</v>
      </c>
      <c r="T840" s="7">
        <f ca="1">$AU$9*EXP(-'3.r(t)'!F838*$AU$23)</f>
        <v>0.94621081021494025</v>
      </c>
      <c r="U840" s="7">
        <f ca="1">$AU$10*EXP(-'3.r(t)'!G838*$AU$24)</f>
        <v>0.97521263992917107</v>
      </c>
      <c r="V840" s="7">
        <v>1</v>
      </c>
      <c r="W840" s="7"/>
      <c r="X840" s="7">
        <v>832</v>
      </c>
      <c r="Y840" s="7">
        <f>$AV$7*EXP(-'3.r(t)'!D838*$AV$21)</f>
        <v>0.88900715067201674</v>
      </c>
      <c r="Z840" s="7">
        <f ca="1">$AV$8*EXP(-'3.r(t)'!E838*$AV$22)</f>
        <v>0.9036561560646752</v>
      </c>
      <c r="AA840" s="7">
        <f ca="1">$AV$9*EXP(-'3.r(t)'!F838*$AV$23)</f>
        <v>0.9197869503477083</v>
      </c>
      <c r="AB840" s="7">
        <f ca="1">$AV$10*EXP(-'3.r(t)'!G838*$AV$24)</f>
        <v>0.95060861318458134</v>
      </c>
      <c r="AC840" s="7">
        <f ca="1">$AV$11*EXP(-'3.r(t)'!H838*$AV$25)</f>
        <v>0.97516769489743005</v>
      </c>
      <c r="AD840" s="7">
        <v>1</v>
      </c>
      <c r="AE840" s="7"/>
      <c r="AF840" s="7">
        <v>832</v>
      </c>
      <c r="AG840" s="7">
        <f>$AW$7*EXP(-'3.r(t)'!D838*$AW$21)</f>
        <v>0.86718755429225491</v>
      </c>
      <c r="AH840" s="7">
        <f ca="1">$AW$8*EXP(-'3.r(t)'!E838*$AW$22)</f>
        <v>0.88008591191401053</v>
      </c>
      <c r="AI840" s="7">
        <f ca="1">$AW$9*EXP(-'3.r(t)'!F838*$AW$23)</f>
        <v>0.89371461089928117</v>
      </c>
      <c r="AJ840" s="7">
        <f ca="1">$AW$10*EXP(-'3.r(t)'!G838*$AW$24)</f>
        <v>0.92621921083926095</v>
      </c>
      <c r="AK840" s="7">
        <f ca="1">$AW$11*EXP(-'3.r(t)'!H838*$AW$25)</f>
        <v>0.95052942892357495</v>
      </c>
      <c r="AL840" s="7">
        <f ca="1">$AW$12*EXP(-'3.r(t)'!I838*$AW$26)</f>
        <v>0.97400819550472706</v>
      </c>
      <c r="AM840" s="7">
        <v>1</v>
      </c>
      <c r="AN840" s="7"/>
    </row>
    <row r="841" spans="2:40">
      <c r="B841" s="7">
        <v>833</v>
      </c>
      <c r="C841" s="7">
        <f>$AR$7*EXP(-'3.r(t)'!D839*$AR$21)</f>
        <v>0.97765346695821032</v>
      </c>
      <c r="D841" s="7">
        <v>1</v>
      </c>
      <c r="E841" s="7"/>
      <c r="F841" s="7">
        <v>833</v>
      </c>
      <c r="G841" s="48">
        <f>$AS$7*EXP(-'3.r(t)'!D839*$AS$21)</f>
        <v>0.9553476245219803</v>
      </c>
      <c r="H841" s="7">
        <f ca="1">$AS$8*EXP(-'3.r(t)'!E839*$AS$22)</f>
        <v>0.98026623765327126</v>
      </c>
      <c r="I841" s="7">
        <v>1</v>
      </c>
      <c r="J841" s="7"/>
      <c r="K841" s="7">
        <v>833</v>
      </c>
      <c r="L841" s="7">
        <f>$AT$7*EXP(-'3.r(t)'!D839*$AT$21)</f>
        <v>0.93311670519824419</v>
      </c>
      <c r="M841" s="7">
        <f ca="1">$AT$8*EXP(-'3.r(t)'!E839*$AT$22)</f>
        <v>0.96046928898009887</v>
      </c>
      <c r="N841" s="7">
        <f ca="1">$AT$9*EXP(-'3.r(t)'!F839*$AT$23)</f>
        <v>0.98334868987566582</v>
      </c>
      <c r="O841" s="7">
        <v>1</v>
      </c>
      <c r="P841" s="7"/>
      <c r="Q841" s="7">
        <v>833</v>
      </c>
      <c r="R841" s="7">
        <f>$AU$7*EXP(-'3.r(t)'!D839*$AU$21)</f>
        <v>0.91099305977534117</v>
      </c>
      <c r="S841" s="7">
        <f ca="1">$AU$8*EXP(-'3.r(t)'!E839*$AU$22)</f>
        <v>0.94064300056381778</v>
      </c>
      <c r="T841" s="7">
        <f ca="1">$AU$9*EXP(-'3.r(t)'!F839*$AU$23)</f>
        <v>0.96652776514339778</v>
      </c>
      <c r="U841" s="7">
        <f ca="1">$AU$10*EXP(-'3.r(t)'!G839*$AU$24)</f>
        <v>0.98092915798564506</v>
      </c>
      <c r="V841" s="7">
        <v>1</v>
      </c>
      <c r="W841" s="7"/>
      <c r="X841" s="7">
        <v>833</v>
      </c>
      <c r="Y841" s="7">
        <f>$AV$7*EXP(-'3.r(t)'!D839*$AV$21)</f>
        <v>0.88900715067201674</v>
      </c>
      <c r="Z841" s="7">
        <f ca="1">$AV$8*EXP(-'3.r(t)'!E839*$AV$22)</f>
        <v>0.92081968601189834</v>
      </c>
      <c r="AA841" s="7">
        <f ca="1">$AV$9*EXP(-'3.r(t)'!F839*$AV$23)</f>
        <v>0.94956978500622624</v>
      </c>
      <c r="AB841" s="7">
        <f ca="1">$AV$10*EXP(-'3.r(t)'!G839*$AV$24)</f>
        <v>0.96178586445817926</v>
      </c>
      <c r="AC841" s="7">
        <f ca="1">$AV$11*EXP(-'3.r(t)'!H839*$AV$25)</f>
        <v>0.98164392252174471</v>
      </c>
      <c r="AD841" s="7">
        <v>1</v>
      </c>
      <c r="AE841" s="7"/>
      <c r="AF841" s="7">
        <v>833</v>
      </c>
      <c r="AG841" s="7">
        <f>$AW$7*EXP(-'3.r(t)'!D839*$AW$21)</f>
        <v>0.86718755429225491</v>
      </c>
      <c r="AH841" s="7">
        <f ca="1">$AW$8*EXP(-'3.r(t)'!E839*$AW$22)</f>
        <v>0.90103009902087994</v>
      </c>
      <c r="AI841" s="7">
        <f ca="1">$AW$9*EXP(-'3.r(t)'!F839*$AW$23)</f>
        <v>0.93250617410454317</v>
      </c>
      <c r="AJ841" s="7">
        <f ca="1">$AW$10*EXP(-'3.r(t)'!G839*$AW$24)</f>
        <v>0.94260285718872028</v>
      </c>
      <c r="AK841" s="7">
        <f ca="1">$AW$11*EXP(-'3.r(t)'!H839*$AW$25)</f>
        <v>0.96319655458695486</v>
      </c>
      <c r="AL841" s="7">
        <f ca="1">$AW$12*EXP(-'3.r(t)'!I839*$AW$26)</f>
        <v>0.9835260919534411</v>
      </c>
      <c r="AM841" s="7">
        <v>1</v>
      </c>
      <c r="AN841" s="7"/>
    </row>
    <row r="842" spans="2:40">
      <c r="B842" s="7">
        <v>834</v>
      </c>
      <c r="C842" s="7">
        <f>$AR$7*EXP(-'3.r(t)'!D840*$AR$21)</f>
        <v>0.97765346695821032</v>
      </c>
      <c r="D842" s="7">
        <v>1</v>
      </c>
      <c r="E842" s="7"/>
      <c r="F842" s="7">
        <v>834</v>
      </c>
      <c r="G842" s="48">
        <f>$AS$7*EXP(-'3.r(t)'!D840*$AS$21)</f>
        <v>0.9553476245219803</v>
      </c>
      <c r="H842" s="7">
        <f ca="1">$AS$8*EXP(-'3.r(t)'!E840*$AS$22)</f>
        <v>0.97546062177569914</v>
      </c>
      <c r="I842" s="7">
        <v>1</v>
      </c>
      <c r="J842" s="7"/>
      <c r="K842" s="7">
        <v>834</v>
      </c>
      <c r="L842" s="7">
        <f>$AT$7*EXP(-'3.r(t)'!D840*$AT$21)</f>
        <v>0.93311670519824419</v>
      </c>
      <c r="M842" s="7">
        <f ca="1">$AT$8*EXP(-'3.r(t)'!E840*$AT$22)</f>
        <v>0.95107524374450347</v>
      </c>
      <c r="N842" s="7">
        <f ca="1">$AT$9*EXP(-'3.r(t)'!F840*$AT$23)</f>
        <v>0.97298094057829454</v>
      </c>
      <c r="O842" s="7">
        <v>1</v>
      </c>
      <c r="P842" s="7"/>
      <c r="Q842" s="7">
        <v>834</v>
      </c>
      <c r="R842" s="7">
        <f>$AU$7*EXP(-'3.r(t)'!D840*$AU$21)</f>
        <v>0.91099305977534117</v>
      </c>
      <c r="S842" s="7">
        <f ca="1">$AU$8*EXP(-'3.r(t)'!E840*$AU$22)</f>
        <v>0.92687660370371261</v>
      </c>
      <c r="T842" s="7">
        <f ca="1">$AU$9*EXP(-'3.r(t)'!F840*$AU$23)</f>
        <v>0.94625440351953238</v>
      </c>
      <c r="U842" s="7">
        <f ca="1">$AU$10*EXP(-'3.r(t)'!G840*$AU$24)</f>
        <v>0.97076968572191225</v>
      </c>
      <c r="V842" s="7">
        <v>1</v>
      </c>
      <c r="W842" s="7"/>
      <c r="X842" s="7">
        <v>834</v>
      </c>
      <c r="Y842" s="7">
        <f>$AV$7*EXP(-'3.r(t)'!D840*$AV$21)</f>
        <v>0.88900715067201674</v>
      </c>
      <c r="Z842" s="7">
        <f ca="1">$AV$8*EXP(-'3.r(t)'!E840*$AV$22)</f>
        <v>0.90289528312622369</v>
      </c>
      <c r="AA842" s="7">
        <f ca="1">$AV$9*EXP(-'3.r(t)'!F840*$AV$23)</f>
        <v>0.91985051495837955</v>
      </c>
      <c r="AB842" s="7">
        <f ca="1">$AV$10*EXP(-'3.r(t)'!G840*$AV$24)</f>
        <v>0.941966621774744</v>
      </c>
      <c r="AC842" s="7">
        <f ca="1">$AV$11*EXP(-'3.r(t)'!H840*$AV$25)</f>
        <v>0.96826534428804667</v>
      </c>
      <c r="AD842" s="7">
        <v>1</v>
      </c>
      <c r="AE842" s="7"/>
      <c r="AF842" s="7">
        <v>834</v>
      </c>
      <c r="AG842" s="7">
        <f>$AW$7*EXP(-'3.r(t)'!D840*$AW$21)</f>
        <v>0.86718755429225491</v>
      </c>
      <c r="AH842" s="7">
        <f ca="1">$AW$8*EXP(-'3.r(t)'!E840*$AW$22)</f>
        <v>0.87915972575330226</v>
      </c>
      <c r="AI842" s="7">
        <f ca="1">$AW$9*EXP(-'3.r(t)'!F840*$AW$23)</f>
        <v>0.89379696225333904</v>
      </c>
      <c r="AJ842" s="7">
        <f ca="1">$AW$10*EXP(-'3.r(t)'!G840*$AW$24)</f>
        <v>0.91361755955147284</v>
      </c>
      <c r="AK842" s="7">
        <f ca="1">$AW$11*EXP(-'3.r(t)'!H840*$AW$25)</f>
        <v>0.93712113401314834</v>
      </c>
      <c r="AL842" s="7">
        <f ca="1">$AW$12*EXP(-'3.r(t)'!I840*$AW$26)</f>
        <v>0.96507559615710803</v>
      </c>
      <c r="AM842" s="7">
        <v>1</v>
      </c>
      <c r="AN842" s="7"/>
    </row>
    <row r="843" spans="2:40">
      <c r="B843" s="7">
        <v>835</v>
      </c>
      <c r="C843" s="7">
        <f>$AR$7*EXP(-'3.r(t)'!D841*$AR$21)</f>
        <v>0.97765346695821032</v>
      </c>
      <c r="D843" s="7">
        <v>1</v>
      </c>
      <c r="E843" s="7"/>
      <c r="F843" s="7">
        <v>835</v>
      </c>
      <c r="G843" s="48">
        <f>$AS$7*EXP(-'3.r(t)'!D841*$AS$21)</f>
        <v>0.9553476245219803</v>
      </c>
      <c r="H843" s="7">
        <f ca="1">$AS$8*EXP(-'3.r(t)'!E841*$AS$22)</f>
        <v>0.97637884732403535</v>
      </c>
      <c r="I843" s="7">
        <v>1</v>
      </c>
      <c r="J843" s="7"/>
      <c r="K843" s="7">
        <v>835</v>
      </c>
      <c r="L843" s="7">
        <f>$AT$7*EXP(-'3.r(t)'!D841*$AT$21)</f>
        <v>0.93311670519824419</v>
      </c>
      <c r="M843" s="7">
        <f ca="1">$AT$8*EXP(-'3.r(t)'!E841*$AT$22)</f>
        <v>0.9528666284463263</v>
      </c>
      <c r="N843" s="7">
        <f ca="1">$AT$9*EXP(-'3.r(t)'!F841*$AT$23)</f>
        <v>0.97678097095034611</v>
      </c>
      <c r="O843" s="7">
        <v>1</v>
      </c>
      <c r="P843" s="7"/>
      <c r="Q843" s="7">
        <v>835</v>
      </c>
      <c r="R843" s="7">
        <f>$AU$7*EXP(-'3.r(t)'!D841*$AU$21)</f>
        <v>0.91099305977534117</v>
      </c>
      <c r="S843" s="7">
        <f ca="1">$AU$8*EXP(-'3.r(t)'!E841*$AU$22)</f>
        <v>0.92949654495401302</v>
      </c>
      <c r="T843" s="7">
        <f ca="1">$AU$9*EXP(-'3.r(t)'!F841*$AU$23)</f>
        <v>0.95366013391140492</v>
      </c>
      <c r="U843" s="7">
        <f ca="1">$AU$10*EXP(-'3.r(t)'!G841*$AU$24)</f>
        <v>0.97930969458913397</v>
      </c>
      <c r="V843" s="7">
        <v>1</v>
      </c>
      <c r="W843" s="7"/>
      <c r="X843" s="7">
        <v>835</v>
      </c>
      <c r="Y843" s="7">
        <f>$AV$7*EXP(-'3.r(t)'!D841*$AV$21)</f>
        <v>0.88900715067201674</v>
      </c>
      <c r="Z843" s="7">
        <f ca="1">$AV$8*EXP(-'3.r(t)'!E841*$AV$22)</f>
        <v>0.90629975833435228</v>
      </c>
      <c r="AA843" s="7">
        <f ca="1">$AV$9*EXP(-'3.r(t)'!F841*$AV$23)</f>
        <v>0.93067024193618142</v>
      </c>
      <c r="AB843" s="7">
        <f ca="1">$AV$10*EXP(-'3.r(t)'!G841*$AV$24)</f>
        <v>0.95861276831664122</v>
      </c>
      <c r="AC843" s="7">
        <f ca="1">$AV$11*EXP(-'3.r(t)'!H841*$AV$25)</f>
        <v>0.97331865592970213</v>
      </c>
      <c r="AD843" s="7">
        <v>1</v>
      </c>
      <c r="AE843" s="7"/>
      <c r="AF843" s="7">
        <v>835</v>
      </c>
      <c r="AG843" s="7">
        <f>$AW$7*EXP(-'3.r(t)'!D841*$AW$21)</f>
        <v>0.86718755429225491</v>
      </c>
      <c r="AH843" s="7">
        <f ca="1">$AW$8*EXP(-'3.r(t)'!E841*$AW$22)</f>
        <v>0.88330539875998104</v>
      </c>
      <c r="AI843" s="7">
        <f ca="1">$AW$9*EXP(-'3.r(t)'!F841*$AW$23)</f>
        <v>0.90784206790190969</v>
      </c>
      <c r="AJ843" s="7">
        <f ca="1">$AW$10*EXP(-'3.r(t)'!G841*$AW$24)</f>
        <v>0.93794199455068616</v>
      </c>
      <c r="AK843" s="7">
        <f ca="1">$AW$11*EXP(-'3.r(t)'!H841*$AW$25)</f>
        <v>0.94692820283362478</v>
      </c>
      <c r="AL843" s="7">
        <f ca="1">$AW$12*EXP(-'3.r(t)'!I841*$AW$26)</f>
        <v>0.97291649186906526</v>
      </c>
      <c r="AM843" s="7">
        <v>1</v>
      </c>
      <c r="AN843" s="7"/>
    </row>
    <row r="844" spans="2:40">
      <c r="B844" s="7">
        <v>836</v>
      </c>
      <c r="C844" s="7">
        <f>$AR$7*EXP(-'3.r(t)'!D842*$AR$21)</f>
        <v>0.97765346695821032</v>
      </c>
      <c r="D844" s="7">
        <v>1</v>
      </c>
      <c r="E844" s="7"/>
      <c r="F844" s="7">
        <v>836</v>
      </c>
      <c r="G844" s="48">
        <f>$AS$7*EXP(-'3.r(t)'!D842*$AS$21)</f>
        <v>0.9553476245219803</v>
      </c>
      <c r="H844" s="7">
        <f ca="1">$AS$8*EXP(-'3.r(t)'!E842*$AS$22)</f>
        <v>0.98018934318300455</v>
      </c>
      <c r="I844" s="7">
        <v>1</v>
      </c>
      <c r="J844" s="7"/>
      <c r="K844" s="7">
        <v>836</v>
      </c>
      <c r="L844" s="7">
        <f>$AT$7*EXP(-'3.r(t)'!D842*$AT$21)</f>
        <v>0.93311670519824419</v>
      </c>
      <c r="M844" s="7">
        <f ca="1">$AT$8*EXP(-'3.r(t)'!E842*$AT$22)</f>
        <v>0.96031861179124423</v>
      </c>
      <c r="N844" s="7">
        <f ca="1">$AT$9*EXP(-'3.r(t)'!F842*$AT$23)</f>
        <v>0.98668705951351143</v>
      </c>
      <c r="O844" s="7">
        <v>1</v>
      </c>
      <c r="P844" s="7"/>
      <c r="Q844" s="7">
        <v>836</v>
      </c>
      <c r="R844" s="7">
        <f>$AU$7*EXP(-'3.r(t)'!D842*$AU$21)</f>
        <v>0.91099305977534117</v>
      </c>
      <c r="S844" s="7">
        <f ca="1">$AU$8*EXP(-'3.r(t)'!E842*$AU$22)</f>
        <v>0.94042165894605656</v>
      </c>
      <c r="T844" s="7">
        <f ca="1">$AU$9*EXP(-'3.r(t)'!F842*$AU$23)</f>
        <v>0.97310143329410348</v>
      </c>
      <c r="U844" s="7">
        <f ca="1">$AU$10*EXP(-'3.r(t)'!G842*$AU$24)</f>
        <v>0.98162317857799186</v>
      </c>
      <c r="V844" s="7">
        <v>1</v>
      </c>
      <c r="W844" s="7"/>
      <c r="X844" s="7">
        <v>836</v>
      </c>
      <c r="Y844" s="7">
        <f>$AV$7*EXP(-'3.r(t)'!D842*$AV$21)</f>
        <v>0.88900715067201674</v>
      </c>
      <c r="Z844" s="7">
        <f ca="1">$AV$8*EXP(-'3.r(t)'!E842*$AV$22)</f>
        <v>0.92053079465403009</v>
      </c>
      <c r="AA844" s="7">
        <f ca="1">$AV$9*EXP(-'3.r(t)'!F842*$AV$23)</f>
        <v>0.95927373549166284</v>
      </c>
      <c r="AB844" s="7">
        <f ca="1">$AV$10*EXP(-'3.r(t)'!G842*$AV$24)</f>
        <v>0.96314729881307026</v>
      </c>
      <c r="AC844" s="7">
        <f ca="1">$AV$11*EXP(-'3.r(t)'!H842*$AV$25)</f>
        <v>0.98306820642165382</v>
      </c>
      <c r="AD844" s="7">
        <v>1</v>
      </c>
      <c r="AE844" s="7"/>
      <c r="AF844" s="7">
        <v>836</v>
      </c>
      <c r="AG844" s="7">
        <f>$AW$7*EXP(-'3.r(t)'!D842*$AW$21)</f>
        <v>0.86718755429225491</v>
      </c>
      <c r="AH844" s="7">
        <f ca="1">$AW$8*EXP(-'3.r(t)'!E842*$AW$22)</f>
        <v>0.90067675948564629</v>
      </c>
      <c r="AI844" s="7">
        <f ca="1">$AW$9*EXP(-'3.r(t)'!F842*$AW$23)</f>
        <v>0.94523386257604658</v>
      </c>
      <c r="AJ844" s="7">
        <f ca="1">$AW$10*EXP(-'3.r(t)'!G842*$AW$24)</f>
        <v>0.9446049857085469</v>
      </c>
      <c r="AK844" s="7">
        <f ca="1">$AW$11*EXP(-'3.r(t)'!H842*$AW$25)</f>
        <v>0.96599361886872892</v>
      </c>
      <c r="AL844" s="7">
        <f ca="1">$AW$12*EXP(-'3.r(t)'!I842*$AW$26)</f>
        <v>0.98639788059723443</v>
      </c>
      <c r="AM844" s="7">
        <v>1</v>
      </c>
      <c r="AN844" s="7"/>
    </row>
    <row r="845" spans="2:40">
      <c r="B845" s="7">
        <v>837</v>
      </c>
      <c r="C845" s="7">
        <f>$AR$7*EXP(-'3.r(t)'!D843*$AR$21)</f>
        <v>0.97765346695821032</v>
      </c>
      <c r="D845" s="7">
        <v>1</v>
      </c>
      <c r="E845" s="7"/>
      <c r="F845" s="7">
        <v>837</v>
      </c>
      <c r="G845" s="48">
        <f>$AS$7*EXP(-'3.r(t)'!D843*$AS$21)</f>
        <v>0.9553476245219803</v>
      </c>
      <c r="H845" s="7">
        <f ca="1">$AS$8*EXP(-'3.r(t)'!E843*$AS$22)</f>
        <v>0.97735461708032223</v>
      </c>
      <c r="I845" s="7">
        <v>1</v>
      </c>
      <c r="J845" s="7"/>
      <c r="K845" s="7">
        <v>837</v>
      </c>
      <c r="L845" s="7">
        <f>$AT$7*EXP(-'3.r(t)'!D843*$AT$21)</f>
        <v>0.93311670519824419</v>
      </c>
      <c r="M845" s="7">
        <f ca="1">$AT$8*EXP(-'3.r(t)'!E843*$AT$22)</f>
        <v>0.95477212453438898</v>
      </c>
      <c r="N845" s="7">
        <f ca="1">$AT$9*EXP(-'3.r(t)'!F843*$AT$23)</f>
        <v>0.97485909881145916</v>
      </c>
      <c r="O845" s="7">
        <v>1</v>
      </c>
      <c r="P845" s="7"/>
      <c r="Q845" s="7">
        <v>837</v>
      </c>
      <c r="R845" s="7">
        <f>$AU$7*EXP(-'3.r(t)'!D843*$AU$21)</f>
        <v>0.91099305977534117</v>
      </c>
      <c r="S845" s="7">
        <f ca="1">$AU$8*EXP(-'3.r(t)'!E843*$AU$22)</f>
        <v>0.93228608099444721</v>
      </c>
      <c r="T845" s="7">
        <f ca="1">$AU$9*EXP(-'3.r(t)'!F843*$AU$23)</f>
        <v>0.94991106464406605</v>
      </c>
      <c r="U845" s="7">
        <f ca="1">$AU$10*EXP(-'3.r(t)'!G843*$AU$24)</f>
        <v>0.97296380213150535</v>
      </c>
      <c r="V845" s="7">
        <v>1</v>
      </c>
      <c r="W845" s="7"/>
      <c r="X845" s="7">
        <v>837</v>
      </c>
      <c r="Y845" s="7">
        <f>$AV$7*EXP(-'3.r(t)'!D843*$AV$21)</f>
        <v>0.88900715067201674</v>
      </c>
      <c r="Z845" s="7">
        <f ca="1">$AV$8*EXP(-'3.r(t)'!E843*$AV$22)</f>
        <v>0.90992813050782584</v>
      </c>
      <c r="AA845" s="7">
        <f ca="1">$AV$9*EXP(-'3.r(t)'!F843*$AV$23)</f>
        <v>0.92518760353541585</v>
      </c>
      <c r="AB845" s="7">
        <f ca="1">$AV$10*EXP(-'3.r(t)'!G843*$AV$24)</f>
        <v>0.94622946621104498</v>
      </c>
      <c r="AC845" s="7">
        <f ca="1">$AV$11*EXP(-'3.r(t)'!H843*$AV$25)</f>
        <v>0.97246029025899372</v>
      </c>
      <c r="AD845" s="7">
        <v>1</v>
      </c>
      <c r="AE845" s="7"/>
      <c r="AF845" s="7">
        <v>837</v>
      </c>
      <c r="AG845" s="7">
        <f>$AW$7*EXP(-'3.r(t)'!D843*$AW$21)</f>
        <v>0.86718755429225491</v>
      </c>
      <c r="AH845" s="7">
        <f ca="1">$AW$8*EXP(-'3.r(t)'!E843*$AW$22)</f>
        <v>0.88772800146480935</v>
      </c>
      <c r="AI845" s="7">
        <f ca="1">$AW$9*EXP(-'3.r(t)'!F843*$AW$23)</f>
        <v>0.90071820362324839</v>
      </c>
      <c r="AJ845" s="7">
        <f ca="1">$AW$10*EXP(-'3.r(t)'!G843*$AW$24)</f>
        <v>0.91982639810303379</v>
      </c>
      <c r="AK845" s="7">
        <f ca="1">$AW$11*EXP(-'3.r(t)'!H843*$AW$25)</f>
        <v>0.94525875521784364</v>
      </c>
      <c r="AL845" s="7">
        <f ca="1">$AW$12*EXP(-'3.r(t)'!I843*$AW$26)</f>
        <v>0.96832371163891795</v>
      </c>
      <c r="AM845" s="7">
        <v>1</v>
      </c>
      <c r="AN845" s="7"/>
    </row>
    <row r="846" spans="2:40">
      <c r="B846" s="7">
        <v>838</v>
      </c>
      <c r="C846" s="7">
        <f>$AR$7*EXP(-'3.r(t)'!D844*$AR$21)</f>
        <v>0.97765346695821032</v>
      </c>
      <c r="D846" s="7">
        <v>1</v>
      </c>
      <c r="E846" s="7"/>
      <c r="F846" s="7">
        <v>838</v>
      </c>
      <c r="G846" s="48">
        <f>$AS$7*EXP(-'3.r(t)'!D844*$AS$21)</f>
        <v>0.9553476245219803</v>
      </c>
      <c r="H846" s="7">
        <f ca="1">$AS$8*EXP(-'3.r(t)'!E844*$AS$22)</f>
        <v>0.97644596117618387</v>
      </c>
      <c r="I846" s="7">
        <v>1</v>
      </c>
      <c r="J846" s="7"/>
      <c r="K846" s="7">
        <v>838</v>
      </c>
      <c r="L846" s="7">
        <f>$AT$7*EXP(-'3.r(t)'!D844*$AT$21)</f>
        <v>0.93311670519824419</v>
      </c>
      <c r="M846" s="7">
        <f ca="1">$AT$8*EXP(-'3.r(t)'!E844*$AT$22)</f>
        <v>0.9529976283099445</v>
      </c>
      <c r="N846" s="7">
        <f ca="1">$AT$9*EXP(-'3.r(t)'!F844*$AT$23)</f>
        <v>0.97395497865600367</v>
      </c>
      <c r="O846" s="7">
        <v>1</v>
      </c>
      <c r="P846" s="7"/>
      <c r="Q846" s="7">
        <v>838</v>
      </c>
      <c r="R846" s="7">
        <f>$AU$7*EXP(-'3.r(t)'!D844*$AU$21)</f>
        <v>0.91099305977534117</v>
      </c>
      <c r="S846" s="7">
        <f ca="1">$AU$8*EXP(-'3.r(t)'!E844*$AU$22)</f>
        <v>0.92968823196756234</v>
      </c>
      <c r="T846" s="7">
        <f ca="1">$AU$9*EXP(-'3.r(t)'!F844*$AU$23)</f>
        <v>0.94814991683615235</v>
      </c>
      <c r="U846" s="7">
        <f ca="1">$AU$10*EXP(-'3.r(t)'!G844*$AU$24)</f>
        <v>0.9743135362333325</v>
      </c>
      <c r="V846" s="7">
        <v>1</v>
      </c>
      <c r="W846" s="7"/>
      <c r="X846" s="7">
        <v>838</v>
      </c>
      <c r="Y846" s="7">
        <f>$AV$7*EXP(-'3.r(t)'!D844*$AV$21)</f>
        <v>0.88900715067201674</v>
      </c>
      <c r="Z846" s="7">
        <f ca="1">$AV$8*EXP(-'3.r(t)'!E844*$AV$22)</f>
        <v>0.90654897118816835</v>
      </c>
      <c r="AA846" s="7">
        <f ca="1">$AV$9*EXP(-'3.r(t)'!F844*$AV$23)</f>
        <v>0.92261583121123802</v>
      </c>
      <c r="AB846" s="7">
        <f ca="1">$AV$10*EXP(-'3.r(t)'!G844*$AV$24)</f>
        <v>0.94885658150191499</v>
      </c>
      <c r="AC846" s="7">
        <f ca="1">$AV$11*EXP(-'3.r(t)'!H844*$AV$25)</f>
        <v>0.97346806111394335</v>
      </c>
      <c r="AD846" s="7">
        <v>1</v>
      </c>
      <c r="AE846" s="7"/>
      <c r="AF846" s="7">
        <v>838</v>
      </c>
      <c r="AG846" s="7">
        <f>$AW$7*EXP(-'3.r(t)'!D844*$AW$21)</f>
        <v>0.86718755429225491</v>
      </c>
      <c r="AH846" s="7">
        <f ca="1">$AW$8*EXP(-'3.r(t)'!E844*$AW$22)</f>
        <v>0.8836090215722493</v>
      </c>
      <c r="AI846" s="7">
        <f ca="1">$AW$9*EXP(-'3.r(t)'!F844*$AW$23)</f>
        <v>0.89738141254858095</v>
      </c>
      <c r="AJ846" s="7">
        <f ca="1">$AW$10*EXP(-'3.r(t)'!G844*$AW$24)</f>
        <v>0.92365977033654689</v>
      </c>
      <c r="AK846" s="7">
        <f ca="1">$AW$11*EXP(-'3.r(t)'!H844*$AW$25)</f>
        <v>0.9472189336032103</v>
      </c>
      <c r="AL846" s="7">
        <f ca="1">$AW$12*EXP(-'3.r(t)'!I844*$AW$26)</f>
        <v>0.96943184094648405</v>
      </c>
      <c r="AM846" s="7">
        <v>1</v>
      </c>
      <c r="AN846" s="7"/>
    </row>
    <row r="847" spans="2:40">
      <c r="B847" s="7">
        <v>839</v>
      </c>
      <c r="C847" s="7">
        <f>$AR$7*EXP(-'3.r(t)'!D845*$AR$21)</f>
        <v>0.97765346695821032</v>
      </c>
      <c r="D847" s="7">
        <v>1</v>
      </c>
      <c r="E847" s="7"/>
      <c r="F847" s="7">
        <v>839</v>
      </c>
      <c r="G847" s="48">
        <f>$AS$7*EXP(-'3.r(t)'!D845*$AS$21)</f>
        <v>0.9553476245219803</v>
      </c>
      <c r="H847" s="7">
        <f ca="1">$AS$8*EXP(-'3.r(t)'!E845*$AS$22)</f>
        <v>0.97941174004627729</v>
      </c>
      <c r="I847" s="7">
        <v>1</v>
      </c>
      <c r="J847" s="7"/>
      <c r="K847" s="7">
        <v>839</v>
      </c>
      <c r="L847" s="7">
        <f>$AT$7*EXP(-'3.r(t)'!D845*$AT$21)</f>
        <v>0.93311670519824419</v>
      </c>
      <c r="M847" s="7">
        <f ca="1">$AT$8*EXP(-'3.r(t)'!E845*$AT$22)</f>
        <v>0.95879553756958991</v>
      </c>
      <c r="N847" s="7">
        <f ca="1">$AT$9*EXP(-'3.r(t)'!F845*$AT$23)</f>
        <v>0.97712492648505855</v>
      </c>
      <c r="O847" s="7">
        <v>1</v>
      </c>
      <c r="P847" s="7"/>
      <c r="Q847" s="7">
        <v>839</v>
      </c>
      <c r="R847" s="7">
        <f>$AU$7*EXP(-'3.r(t)'!D845*$AU$21)</f>
        <v>0.91099305977534117</v>
      </c>
      <c r="S847" s="7">
        <f ca="1">$AU$8*EXP(-'3.r(t)'!E845*$AU$22)</f>
        <v>0.93818527006092622</v>
      </c>
      <c r="T847" s="7">
        <f ca="1">$AU$9*EXP(-'3.r(t)'!F845*$AU$23)</f>
        <v>0.95433188007269321</v>
      </c>
      <c r="U847" s="7">
        <f ca="1">$AU$10*EXP(-'3.r(t)'!G845*$AU$24)</f>
        <v>0.97572322644315668</v>
      </c>
      <c r="V847" s="7">
        <v>1</v>
      </c>
      <c r="W847" s="7"/>
      <c r="X847" s="7">
        <v>839</v>
      </c>
      <c r="Y847" s="7">
        <f>$AV$7*EXP(-'3.r(t)'!D845*$AV$21)</f>
        <v>0.88900715067201674</v>
      </c>
      <c r="Z847" s="7">
        <f ca="1">$AV$8*EXP(-'3.r(t)'!E845*$AV$22)</f>
        <v>0.91761316943099647</v>
      </c>
      <c r="AA847" s="7">
        <f ca="1">$AV$9*EXP(-'3.r(t)'!F845*$AV$23)</f>
        <v>0.93165374363425091</v>
      </c>
      <c r="AB847" s="7">
        <f ca="1">$AV$10*EXP(-'3.r(t)'!G845*$AV$24)</f>
        <v>0.95160428321335766</v>
      </c>
      <c r="AC847" s="7">
        <f ca="1">$AV$11*EXP(-'3.r(t)'!H845*$AV$25)</f>
        <v>0.97361713491885937</v>
      </c>
      <c r="AD847" s="7">
        <v>1</v>
      </c>
      <c r="AE847" s="7"/>
      <c r="AF847" s="7">
        <v>839</v>
      </c>
      <c r="AG847" s="7">
        <f>$AW$7*EXP(-'3.r(t)'!D845*$AW$21)</f>
        <v>0.86718755429225491</v>
      </c>
      <c r="AH847" s="7">
        <f ca="1">$AW$8*EXP(-'3.r(t)'!E845*$AW$22)</f>
        <v>0.89710980210743907</v>
      </c>
      <c r="AI847" s="7">
        <f ca="1">$AW$9*EXP(-'3.r(t)'!F845*$AW$23)</f>
        <v>0.9091214633260708</v>
      </c>
      <c r="AJ847" s="7">
        <f ca="1">$AW$10*EXP(-'3.r(t)'!G845*$AW$24)</f>
        <v>0.92767477856874037</v>
      </c>
      <c r="AK847" s="7">
        <f ca="1">$AW$11*EXP(-'3.r(t)'!H845*$AW$25)</f>
        <v>0.94750906401024659</v>
      </c>
      <c r="AL847" s="7">
        <f ca="1">$AW$12*EXP(-'3.r(t)'!I845*$AW$26)</f>
        <v>0.97499994271148172</v>
      </c>
      <c r="AM847" s="7">
        <v>1</v>
      </c>
      <c r="AN847" s="7"/>
    </row>
    <row r="848" spans="2:40">
      <c r="B848" s="7">
        <v>840</v>
      </c>
      <c r="C848" s="7">
        <f>$AR$7*EXP(-'3.r(t)'!D846*$AR$21)</f>
        <v>0.97765346695821032</v>
      </c>
      <c r="D848" s="7">
        <v>1</v>
      </c>
      <c r="E848" s="7"/>
      <c r="F848" s="7">
        <v>840</v>
      </c>
      <c r="G848" s="48">
        <f>$AS$7*EXP(-'3.r(t)'!D846*$AS$21)</f>
        <v>0.9553476245219803</v>
      </c>
      <c r="H848" s="7">
        <f ca="1">$AS$8*EXP(-'3.r(t)'!E846*$AS$22)</f>
        <v>0.97328483471540794</v>
      </c>
      <c r="I848" s="7">
        <v>1</v>
      </c>
      <c r="J848" s="7"/>
      <c r="K848" s="7">
        <v>840</v>
      </c>
      <c r="L848" s="7">
        <f>$AT$7*EXP(-'3.r(t)'!D846*$AT$21)</f>
        <v>0.93311670519824419</v>
      </c>
      <c r="M848" s="7">
        <f ca="1">$AT$8*EXP(-'3.r(t)'!E846*$AT$22)</f>
        <v>0.94683718572196574</v>
      </c>
      <c r="N848" s="7">
        <f ca="1">$AT$9*EXP(-'3.r(t)'!F846*$AT$23)</f>
        <v>0.97707536484936142</v>
      </c>
      <c r="O848" s="7">
        <v>1</v>
      </c>
      <c r="P848" s="7"/>
      <c r="Q848" s="7">
        <v>840</v>
      </c>
      <c r="R848" s="7">
        <f>$AU$7*EXP(-'3.r(t)'!D846*$AU$21)</f>
        <v>0.91099305977534117</v>
      </c>
      <c r="S848" s="7">
        <f ca="1">$AU$8*EXP(-'3.r(t)'!E846*$AU$22)</f>
        <v>0.92068816977959334</v>
      </c>
      <c r="T848" s="7">
        <f ca="1">$AU$9*EXP(-'3.r(t)'!F846*$AU$23)</f>
        <v>0.95423507146989606</v>
      </c>
      <c r="U848" s="7">
        <f ca="1">$AU$10*EXP(-'3.r(t)'!G846*$AU$24)</f>
        <v>0.97955212991650398</v>
      </c>
      <c r="V848" s="7">
        <v>1</v>
      </c>
      <c r="W848" s="7"/>
      <c r="X848" s="7">
        <v>840</v>
      </c>
      <c r="Y848" s="7">
        <f>$AV$7*EXP(-'3.r(t)'!D846*$AV$21)</f>
        <v>0.88900715067201674</v>
      </c>
      <c r="Z848" s="7">
        <f ca="1">$AV$8*EXP(-'3.r(t)'!E846*$AV$22)</f>
        <v>0.89486648204728592</v>
      </c>
      <c r="AA848" s="7">
        <f ca="1">$AV$9*EXP(-'3.r(t)'!F846*$AV$23)</f>
        <v>0.93151198507243838</v>
      </c>
      <c r="AB848" s="7">
        <f ca="1">$AV$10*EXP(-'3.r(t)'!G846*$AV$24)</f>
        <v>0.95908745036657073</v>
      </c>
      <c r="AC848" s="7">
        <f ca="1">$AV$11*EXP(-'3.r(t)'!H846*$AV$25)</f>
        <v>0.97720319017911539</v>
      </c>
      <c r="AD848" s="7">
        <v>1</v>
      </c>
      <c r="AE848" s="7"/>
      <c r="AF848" s="7">
        <v>840</v>
      </c>
      <c r="AG848" s="7">
        <f>$AW$7*EXP(-'3.r(t)'!D846*$AW$21)</f>
        <v>0.86718755429225491</v>
      </c>
      <c r="AH848" s="7">
        <f ca="1">$AW$8*EXP(-'3.r(t)'!E846*$AW$22)</f>
        <v>0.869398439902061</v>
      </c>
      <c r="AI848" s="7">
        <f ca="1">$AW$9*EXP(-'3.r(t)'!F846*$AW$23)</f>
        <v>0.90893702787648734</v>
      </c>
      <c r="AJ848" s="7">
        <f ca="1">$AW$10*EXP(-'3.r(t)'!G846*$AW$24)</f>
        <v>0.9386387503549285</v>
      </c>
      <c r="AK848" s="7">
        <f ca="1">$AW$11*EXP(-'3.r(t)'!H846*$AW$25)</f>
        <v>0.95450170457923933</v>
      </c>
      <c r="AL848" s="7">
        <f ca="1">$AW$12*EXP(-'3.r(t)'!I846*$AW$26)</f>
        <v>0.97613171485883976</v>
      </c>
      <c r="AM848" s="7">
        <v>1</v>
      </c>
      <c r="AN848" s="7"/>
    </row>
    <row r="849" spans="2:40">
      <c r="B849" s="7">
        <v>841</v>
      </c>
      <c r="C849" s="7">
        <f>$AR$7*EXP(-'3.r(t)'!D847*$AR$21)</f>
        <v>0.97765346695821032</v>
      </c>
      <c r="D849" s="7">
        <v>1</v>
      </c>
      <c r="E849" s="7"/>
      <c r="F849" s="7">
        <v>841</v>
      </c>
      <c r="G849" s="48">
        <f>$AS$7*EXP(-'3.r(t)'!D847*$AS$21)</f>
        <v>0.9553476245219803</v>
      </c>
      <c r="H849" s="7">
        <f ca="1">$AS$8*EXP(-'3.r(t)'!E847*$AS$22)</f>
        <v>0.98059960086693365</v>
      </c>
      <c r="I849" s="7">
        <v>1</v>
      </c>
      <c r="J849" s="7"/>
      <c r="K849" s="7">
        <v>841</v>
      </c>
      <c r="L849" s="7">
        <f>$AT$7*EXP(-'3.r(t)'!D847*$AT$21)</f>
        <v>0.93311670519824419</v>
      </c>
      <c r="M849" s="7">
        <f ca="1">$AT$8*EXP(-'3.r(t)'!E847*$AT$22)</f>
        <v>0.96112266162487914</v>
      </c>
      <c r="N849" s="7">
        <f ca="1">$AT$9*EXP(-'3.r(t)'!F847*$AT$23)</f>
        <v>0.98015983736215229</v>
      </c>
      <c r="O849" s="7">
        <v>1</v>
      </c>
      <c r="P849" s="7"/>
      <c r="Q849" s="7">
        <v>841</v>
      </c>
      <c r="R849" s="7">
        <f>$AU$7*EXP(-'3.r(t)'!D847*$AU$21)</f>
        <v>0.91099305977534117</v>
      </c>
      <c r="S849" s="7">
        <f ca="1">$AU$8*EXP(-'3.r(t)'!E847*$AU$22)</f>
        <v>0.94160299208234521</v>
      </c>
      <c r="T849" s="7">
        <f ca="1">$AU$9*EXP(-'3.r(t)'!F847*$AU$23)</f>
        <v>0.96026931967616724</v>
      </c>
      <c r="U849" s="7">
        <f ca="1">$AU$10*EXP(-'3.r(t)'!G847*$AU$24)</f>
        <v>0.97947828795161263</v>
      </c>
      <c r="V849" s="7">
        <v>1</v>
      </c>
      <c r="W849" s="7"/>
      <c r="X849" s="7">
        <v>841</v>
      </c>
      <c r="Y849" s="7">
        <f>$AV$7*EXP(-'3.r(t)'!D847*$AV$21)</f>
        <v>0.88900715067201674</v>
      </c>
      <c r="Z849" s="7">
        <f ca="1">$AV$8*EXP(-'3.r(t)'!E847*$AV$22)</f>
        <v>0.92207291302702432</v>
      </c>
      <c r="AA849" s="7">
        <f ca="1">$AV$9*EXP(-'3.r(t)'!F847*$AV$23)</f>
        <v>0.94036177211893257</v>
      </c>
      <c r="AB849" s="7">
        <f ca="1">$AV$10*EXP(-'3.r(t)'!G847*$AV$24)</f>
        <v>0.95894285728098638</v>
      </c>
      <c r="AC849" s="7">
        <f ca="1">$AV$11*EXP(-'3.r(t)'!H847*$AV$25)</f>
        <v>0.97729333963739473</v>
      </c>
      <c r="AD849" s="7">
        <v>1</v>
      </c>
      <c r="AE849" s="7"/>
      <c r="AF849" s="7">
        <v>841</v>
      </c>
      <c r="AG849" s="7">
        <f>$AW$7*EXP(-'3.r(t)'!D847*$AW$21)</f>
        <v>0.86718755429225491</v>
      </c>
      <c r="AH849" s="7">
        <f ca="1">$AW$8*EXP(-'3.r(t)'!E847*$AW$22)</f>
        <v>0.90256322667387789</v>
      </c>
      <c r="AI849" s="7">
        <f ca="1">$AW$9*EXP(-'3.r(t)'!F847*$AW$23)</f>
        <v>0.92046897344890299</v>
      </c>
      <c r="AJ849" s="7">
        <f ca="1">$AW$10*EXP(-'3.r(t)'!G847*$AW$24)</f>
        <v>0.93842649303006298</v>
      </c>
      <c r="AK849" s="7">
        <f ca="1">$AW$11*EXP(-'3.r(t)'!H847*$AW$25)</f>
        <v>0.95467782308053606</v>
      </c>
      <c r="AL849" s="7">
        <f ca="1">$AW$12*EXP(-'3.r(t)'!I847*$AW$26)</f>
        <v>0.97422735420363016</v>
      </c>
      <c r="AM849" s="7">
        <v>1</v>
      </c>
      <c r="AN849" s="7"/>
    </row>
    <row r="850" spans="2:40">
      <c r="B850" s="7">
        <v>842</v>
      </c>
      <c r="C850" s="7">
        <f>$AR$7*EXP(-'3.r(t)'!D848*$AR$21)</f>
        <v>0.97765346695821032</v>
      </c>
      <c r="D850" s="7">
        <v>1</v>
      </c>
      <c r="E850" s="7"/>
      <c r="F850" s="7">
        <v>842</v>
      </c>
      <c r="G850" s="48">
        <f>$AS$7*EXP(-'3.r(t)'!D848*$AS$21)</f>
        <v>0.9553476245219803</v>
      </c>
      <c r="H850" s="7">
        <f ca="1">$AS$8*EXP(-'3.r(t)'!E848*$AS$22)</f>
        <v>0.97755968622139344</v>
      </c>
      <c r="I850" s="7">
        <v>1</v>
      </c>
      <c r="J850" s="7"/>
      <c r="K850" s="7">
        <v>842</v>
      </c>
      <c r="L850" s="7">
        <f>$AT$7*EXP(-'3.r(t)'!D848*$AT$21)</f>
        <v>0.93311670519824419</v>
      </c>
      <c r="M850" s="7">
        <f ca="1">$AT$8*EXP(-'3.r(t)'!E848*$AT$22)</f>
        <v>0.95517282830539396</v>
      </c>
      <c r="N850" s="7">
        <f ca="1">$AT$9*EXP(-'3.r(t)'!F848*$AT$23)</f>
        <v>0.97862077339469844</v>
      </c>
      <c r="O850" s="7">
        <v>1</v>
      </c>
      <c r="P850" s="7"/>
      <c r="Q850" s="7">
        <v>842</v>
      </c>
      <c r="R850" s="7">
        <f>$AU$7*EXP(-'3.r(t)'!D848*$AU$21)</f>
        <v>0.91099305977534117</v>
      </c>
      <c r="S850" s="7">
        <f ca="1">$AU$8*EXP(-'3.r(t)'!E848*$AU$22)</f>
        <v>0.93287304263400472</v>
      </c>
      <c r="T850" s="7">
        <f ca="1">$AU$9*EXP(-'3.r(t)'!F848*$AU$23)</f>
        <v>0.95725602423580403</v>
      </c>
      <c r="U850" s="7">
        <f ca="1">$AU$10*EXP(-'3.r(t)'!G848*$AU$24)</f>
        <v>0.978254952794266</v>
      </c>
      <c r="V850" s="7">
        <v>1</v>
      </c>
      <c r="W850" s="7"/>
      <c r="X850" s="7">
        <v>842</v>
      </c>
      <c r="Y850" s="7">
        <f>$AV$7*EXP(-'3.r(t)'!D848*$AV$21)</f>
        <v>0.88900715067201674</v>
      </c>
      <c r="Z850" s="7">
        <f ca="1">$AV$8*EXP(-'3.r(t)'!E848*$AV$22)</f>
        <v>0.91069205759561511</v>
      </c>
      <c r="AA850" s="7">
        <f ca="1">$AV$9*EXP(-'3.r(t)'!F848*$AV$23)</f>
        <v>0.93593900703028932</v>
      </c>
      <c r="AB850" s="7">
        <f ca="1">$AV$10*EXP(-'3.r(t)'!G848*$AV$24)</f>
        <v>0.95654897894953106</v>
      </c>
      <c r="AC850" s="7">
        <f ca="1">$AV$11*EXP(-'3.r(t)'!H848*$AV$25)</f>
        <v>0.98236337434664012</v>
      </c>
      <c r="AD850" s="7">
        <v>1</v>
      </c>
      <c r="AE850" s="7"/>
      <c r="AF850" s="7">
        <v>842</v>
      </c>
      <c r="AG850" s="7">
        <f>$AW$7*EXP(-'3.r(t)'!D848*$AW$21)</f>
        <v>0.86718755429225491</v>
      </c>
      <c r="AH850" s="7">
        <f ca="1">$AW$8*EXP(-'3.r(t)'!E848*$AW$22)</f>
        <v>0.88865971051625492</v>
      </c>
      <c r="AI850" s="7">
        <f ca="1">$AW$9*EXP(-'3.r(t)'!F848*$AW$23)</f>
        <v>0.91470123080030763</v>
      </c>
      <c r="AJ850" s="7">
        <f ca="1">$AW$10*EXP(-'3.r(t)'!G848*$AW$24)</f>
        <v>0.93491469422805151</v>
      </c>
      <c r="AK850" s="7">
        <f ca="1">$AW$11*EXP(-'3.r(t)'!H848*$AW$25)</f>
        <v>0.96460893527802793</v>
      </c>
      <c r="AL850" s="7">
        <f ca="1">$AW$12*EXP(-'3.r(t)'!I848*$AW$26)</f>
        <v>0.98326282259233366</v>
      </c>
      <c r="AM850" s="7">
        <v>1</v>
      </c>
      <c r="AN850" s="7"/>
    </row>
    <row r="851" spans="2:40">
      <c r="B851" s="7">
        <v>843</v>
      </c>
      <c r="C851" s="7">
        <f>$AR$7*EXP(-'3.r(t)'!D849*$AR$21)</f>
        <v>0.97765346695821032</v>
      </c>
      <c r="D851" s="7">
        <v>1</v>
      </c>
      <c r="E851" s="7"/>
      <c r="F851" s="7">
        <v>843</v>
      </c>
      <c r="G851" s="48">
        <f>$AS$7*EXP(-'3.r(t)'!D849*$AS$21)</f>
        <v>0.9553476245219803</v>
      </c>
      <c r="H851" s="7">
        <f ca="1">$AS$8*EXP(-'3.r(t)'!E849*$AS$22)</f>
        <v>0.98198997506740171</v>
      </c>
      <c r="I851" s="7">
        <v>1</v>
      </c>
      <c r="J851" s="7"/>
      <c r="K851" s="7">
        <v>843</v>
      </c>
      <c r="L851" s="7">
        <f>$AT$7*EXP(-'3.r(t)'!D849*$AT$21)</f>
        <v>0.93311670519824419</v>
      </c>
      <c r="M851" s="7">
        <f ca="1">$AT$8*EXP(-'3.r(t)'!E849*$AT$22)</f>
        <v>0.96385011026538692</v>
      </c>
      <c r="N851" s="7">
        <f ca="1">$AT$9*EXP(-'3.r(t)'!F849*$AT$23)</f>
        <v>0.98122751898125982</v>
      </c>
      <c r="O851" s="7">
        <v>1</v>
      </c>
      <c r="P851" s="7"/>
      <c r="Q851" s="7">
        <v>843</v>
      </c>
      <c r="R851" s="7">
        <f>$AU$7*EXP(-'3.r(t)'!D849*$AU$21)</f>
        <v>0.91099305977534117</v>
      </c>
      <c r="S851" s="7">
        <f ca="1">$AU$8*EXP(-'3.r(t)'!E849*$AU$22)</f>
        <v>0.94561391860061383</v>
      </c>
      <c r="T851" s="7">
        <f ca="1">$AU$9*EXP(-'3.r(t)'!F849*$AU$23)</f>
        <v>0.96236248911324906</v>
      </c>
      <c r="U851" s="7">
        <f ca="1">$AU$10*EXP(-'3.r(t)'!G849*$AU$24)</f>
        <v>0.98283967018161689</v>
      </c>
      <c r="V851" s="7">
        <v>1</v>
      </c>
      <c r="W851" s="7"/>
      <c r="X851" s="7">
        <v>843</v>
      </c>
      <c r="Y851" s="7">
        <f>$AV$7*EXP(-'3.r(t)'!D849*$AV$21)</f>
        <v>0.88900715067201674</v>
      </c>
      <c r="Z851" s="7">
        <f ca="1">$AV$8*EXP(-'3.r(t)'!E849*$AV$22)</f>
        <v>0.92731360702261678</v>
      </c>
      <c r="AA851" s="7">
        <f ca="1">$AV$9*EXP(-'3.r(t)'!F849*$AV$23)</f>
        <v>0.94343811027220426</v>
      </c>
      <c r="AB851" s="7">
        <f ca="1">$AV$10*EXP(-'3.r(t)'!G849*$AV$24)</f>
        <v>0.96553596816572074</v>
      </c>
      <c r="AC851" s="7">
        <f ca="1">$AV$11*EXP(-'3.r(t)'!H849*$AV$25)</f>
        <v>0.98503691377703828</v>
      </c>
      <c r="AD851" s="7">
        <v>1</v>
      </c>
      <c r="AE851" s="7"/>
      <c r="AF851" s="7">
        <v>843</v>
      </c>
      <c r="AG851" s="7">
        <f>$AW$7*EXP(-'3.r(t)'!D849*$AW$21)</f>
        <v>0.86718755429225491</v>
      </c>
      <c r="AH851" s="7">
        <f ca="1">$AW$8*EXP(-'3.r(t)'!E849*$AW$22)</f>
        <v>0.90898003672554528</v>
      </c>
      <c r="AI851" s="7">
        <f ca="1">$AW$9*EXP(-'3.r(t)'!F849*$AW$23)</f>
        <v>0.92448617438494463</v>
      </c>
      <c r="AJ851" s="7">
        <f ca="1">$AW$10*EXP(-'3.r(t)'!G849*$AW$24)</f>
        <v>0.94812118833715542</v>
      </c>
      <c r="AK851" s="7">
        <f ca="1">$AW$11*EXP(-'3.r(t)'!H849*$AW$25)</f>
        <v>0.96986652000781637</v>
      </c>
      <c r="AL851" s="7">
        <f ca="1">$AW$12*EXP(-'3.r(t)'!I849*$AW$26)</f>
        <v>0.98646517993738803</v>
      </c>
      <c r="AM851" s="7">
        <v>1</v>
      </c>
      <c r="AN851" s="7"/>
    </row>
    <row r="852" spans="2:40">
      <c r="B852" s="7">
        <v>844</v>
      </c>
      <c r="C852" s="7">
        <f>$AR$7*EXP(-'3.r(t)'!D850*$AR$21)</f>
        <v>0.97765346695821032</v>
      </c>
      <c r="D852" s="7">
        <v>1</v>
      </c>
      <c r="E852" s="7"/>
      <c r="F852" s="7">
        <v>844</v>
      </c>
      <c r="G852" s="48">
        <f>$AS$7*EXP(-'3.r(t)'!D850*$AS$21)</f>
        <v>0.9553476245219803</v>
      </c>
      <c r="H852" s="7">
        <f ca="1">$AS$8*EXP(-'3.r(t)'!E850*$AS$22)</f>
        <v>0.97736651187674495</v>
      </c>
      <c r="I852" s="7">
        <v>1</v>
      </c>
      <c r="J852" s="7"/>
      <c r="K852" s="7">
        <v>844</v>
      </c>
      <c r="L852" s="7">
        <f>$AT$7*EXP(-'3.r(t)'!D850*$AT$21)</f>
        <v>0.93311670519824419</v>
      </c>
      <c r="M852" s="7">
        <f ca="1">$AT$8*EXP(-'3.r(t)'!E850*$AT$22)</f>
        <v>0.95479536459272918</v>
      </c>
      <c r="N852" s="7">
        <f ca="1">$AT$9*EXP(-'3.r(t)'!F850*$AT$23)</f>
        <v>0.97451169953040839</v>
      </c>
      <c r="O852" s="7">
        <v>1</v>
      </c>
      <c r="P852" s="7"/>
      <c r="Q852" s="7">
        <v>844</v>
      </c>
      <c r="R852" s="7">
        <f>$AU$7*EXP(-'3.r(t)'!D850*$AU$21)</f>
        <v>0.91099305977534117</v>
      </c>
      <c r="S852" s="7">
        <f ca="1">$AU$8*EXP(-'3.r(t)'!E850*$AU$22)</f>
        <v>0.93232012029167821</v>
      </c>
      <c r="T852" s="7">
        <f ca="1">$AU$9*EXP(-'3.r(t)'!F850*$AU$23)</f>
        <v>0.94923416759820933</v>
      </c>
      <c r="U852" s="7">
        <f ca="1">$AU$10*EXP(-'3.r(t)'!G850*$AU$24)</f>
        <v>0.97510773944512408</v>
      </c>
      <c r="V852" s="7">
        <v>1</v>
      </c>
      <c r="W852" s="7"/>
      <c r="X852" s="7">
        <v>844</v>
      </c>
      <c r="Y852" s="7">
        <f>$AV$7*EXP(-'3.r(t)'!D850*$AV$21)</f>
        <v>0.88900715067201674</v>
      </c>
      <c r="Z852" s="7">
        <f ca="1">$AV$8*EXP(-'3.r(t)'!E850*$AV$22)</f>
        <v>0.90997242807299639</v>
      </c>
      <c r="AA852" s="7">
        <f ca="1">$AV$9*EXP(-'3.r(t)'!F850*$AV$23)</f>
        <v>0.92419886069460822</v>
      </c>
      <c r="AB852" s="7">
        <f ca="1">$AV$10*EXP(-'3.r(t)'!G850*$AV$24)</f>
        <v>0.95040411636750288</v>
      </c>
      <c r="AC852" s="7">
        <f ca="1">$AV$11*EXP(-'3.r(t)'!H850*$AV$25)</f>
        <v>0.97916767668707783</v>
      </c>
      <c r="AD852" s="7">
        <v>1</v>
      </c>
      <c r="AE852" s="7"/>
      <c r="AF852" s="7">
        <v>844</v>
      </c>
      <c r="AG852" s="7">
        <f>$AW$7*EXP(-'3.r(t)'!D850*$AW$21)</f>
        <v>0.86718755429225491</v>
      </c>
      <c r="AH852" s="7">
        <f ca="1">$AW$8*EXP(-'3.r(t)'!E850*$AW$22)</f>
        <v>0.88778202280311214</v>
      </c>
      <c r="AI852" s="7">
        <f ca="1">$AW$9*EXP(-'3.r(t)'!F850*$AW$23)</f>
        <v>0.89943497557559215</v>
      </c>
      <c r="AJ852" s="7">
        <f ca="1">$AW$10*EXP(-'3.r(t)'!G850*$AW$24)</f>
        <v>0.92592035173304599</v>
      </c>
      <c r="AK852" s="7">
        <f ca="1">$AW$11*EXP(-'3.r(t)'!H850*$AW$25)</f>
        <v>0.95834326080046439</v>
      </c>
      <c r="AL852" s="7">
        <f ca="1">$AW$12*EXP(-'3.r(t)'!I850*$AW$26)</f>
        <v>0.98007729971819557</v>
      </c>
      <c r="AM852" s="7">
        <v>1</v>
      </c>
      <c r="AN852" s="7"/>
    </row>
    <row r="853" spans="2:40">
      <c r="B853" s="7">
        <v>845</v>
      </c>
      <c r="C853" s="7">
        <f>$AR$7*EXP(-'3.r(t)'!D851*$AR$21)</f>
        <v>0.97765346695821032</v>
      </c>
      <c r="D853" s="7">
        <v>1</v>
      </c>
      <c r="E853" s="7"/>
      <c r="F853" s="7">
        <v>845</v>
      </c>
      <c r="G853" s="48">
        <f>$AS$7*EXP(-'3.r(t)'!D851*$AS$21)</f>
        <v>0.9553476245219803</v>
      </c>
      <c r="H853" s="7">
        <f ca="1">$AS$8*EXP(-'3.r(t)'!E851*$AS$22)</f>
        <v>0.97314026466427839</v>
      </c>
      <c r="I853" s="7">
        <v>1</v>
      </c>
      <c r="J853" s="7"/>
      <c r="K853" s="7">
        <v>845</v>
      </c>
      <c r="L853" s="7">
        <f>$AT$7*EXP(-'3.r(t)'!D851*$AT$21)</f>
        <v>0.93311670519824419</v>
      </c>
      <c r="M853" s="7">
        <f ca="1">$AT$8*EXP(-'3.r(t)'!E851*$AT$22)</f>
        <v>0.94655592348671824</v>
      </c>
      <c r="N853" s="7">
        <f ca="1">$AT$9*EXP(-'3.r(t)'!F851*$AT$23)</f>
        <v>0.97874750533987231</v>
      </c>
      <c r="O853" s="7">
        <v>1</v>
      </c>
      <c r="P853" s="7"/>
      <c r="Q853" s="7">
        <v>845</v>
      </c>
      <c r="R853" s="7">
        <f>$AU$7*EXP(-'3.r(t)'!D851*$AU$21)</f>
        <v>0.91099305977534117</v>
      </c>
      <c r="S853" s="7">
        <f ca="1">$AU$8*EXP(-'3.r(t)'!E851*$AU$22)</f>
        <v>0.92027795841808124</v>
      </c>
      <c r="T853" s="7">
        <f ca="1">$AU$9*EXP(-'3.r(t)'!F851*$AU$23)</f>
        <v>0.95750397068544935</v>
      </c>
      <c r="U853" s="7">
        <f ca="1">$AU$10*EXP(-'3.r(t)'!G851*$AU$24)</f>
        <v>0.98392979653250812</v>
      </c>
      <c r="V853" s="7">
        <v>1</v>
      </c>
      <c r="W853" s="7"/>
      <c r="X853" s="7">
        <v>845</v>
      </c>
      <c r="Y853" s="7">
        <f>$AV$7*EXP(-'3.r(t)'!D851*$AV$21)</f>
        <v>0.88900715067201674</v>
      </c>
      <c r="Z853" s="7">
        <f ca="1">$AV$8*EXP(-'3.r(t)'!E851*$AV$22)</f>
        <v>0.89433491280255695</v>
      </c>
      <c r="AA853" s="7">
        <f ca="1">$AV$9*EXP(-'3.r(t)'!F851*$AV$23)</f>
        <v>0.93630266801719697</v>
      </c>
      <c r="AB853" s="7">
        <f ca="1">$AV$10*EXP(-'3.r(t)'!G851*$AV$24)</f>
        <v>0.96767902355949031</v>
      </c>
      <c r="AC853" s="7">
        <f ca="1">$AV$11*EXP(-'3.r(t)'!H851*$AV$25)</f>
        <v>0.9841133563494503</v>
      </c>
      <c r="AD853" s="7">
        <v>1</v>
      </c>
      <c r="AE853" s="7"/>
      <c r="AF853" s="7">
        <v>845</v>
      </c>
      <c r="AG853" s="7">
        <f>$AW$7*EXP(-'3.r(t)'!D851*$AW$21)</f>
        <v>0.86718755429225491</v>
      </c>
      <c r="AH853" s="7">
        <f ca="1">$AW$8*EXP(-'3.r(t)'!E851*$AW$22)</f>
        <v>0.86875293696846467</v>
      </c>
      <c r="AI853" s="7">
        <f ca="1">$AW$9*EXP(-'3.r(t)'!F851*$AW$23)</f>
        <v>0.91517514016029555</v>
      </c>
      <c r="AJ853" s="7">
        <f ca="1">$AW$10*EXP(-'3.r(t)'!G851*$AW$24)</f>
        <v>0.95127954287751071</v>
      </c>
      <c r="AK853" s="7">
        <f ca="1">$AW$11*EXP(-'3.r(t)'!H851*$AW$25)</f>
        <v>0.96804870484825134</v>
      </c>
      <c r="AL853" s="7">
        <f ca="1">$AW$12*EXP(-'3.r(t)'!I851*$AW$26)</f>
        <v>0.98645693741228413</v>
      </c>
      <c r="AM853" s="7">
        <v>1</v>
      </c>
      <c r="AN853" s="7"/>
    </row>
    <row r="854" spans="2:40">
      <c r="B854" s="7">
        <v>846</v>
      </c>
      <c r="C854" s="7">
        <f>$AR$7*EXP(-'3.r(t)'!D852*$AR$21)</f>
        <v>0.97765346695821032</v>
      </c>
      <c r="D854" s="7">
        <v>1</v>
      </c>
      <c r="E854" s="7"/>
      <c r="F854" s="7">
        <v>846</v>
      </c>
      <c r="G854" s="48">
        <f>$AS$7*EXP(-'3.r(t)'!D852*$AS$21)</f>
        <v>0.9553476245219803</v>
      </c>
      <c r="H854" s="7">
        <f ca="1">$AS$8*EXP(-'3.r(t)'!E852*$AS$22)</f>
        <v>0.97898465187206063</v>
      </c>
      <c r="I854" s="7">
        <v>1</v>
      </c>
      <c r="J854" s="7"/>
      <c r="K854" s="7">
        <v>846</v>
      </c>
      <c r="L854" s="7">
        <f>$AT$7*EXP(-'3.r(t)'!D852*$AT$21)</f>
        <v>0.93311670519824419</v>
      </c>
      <c r="M854" s="7">
        <f ca="1">$AT$8*EXP(-'3.r(t)'!E852*$AT$22)</f>
        <v>0.9579595235900541</v>
      </c>
      <c r="N854" s="7">
        <f ca="1">$AT$9*EXP(-'3.r(t)'!F852*$AT$23)</f>
        <v>0.98472943552647829</v>
      </c>
      <c r="O854" s="7">
        <v>1</v>
      </c>
      <c r="P854" s="7"/>
      <c r="Q854" s="7">
        <v>846</v>
      </c>
      <c r="R854" s="7">
        <f>$AU$7*EXP(-'3.r(t)'!D852*$AU$21)</f>
        <v>0.91099305977534117</v>
      </c>
      <c r="S854" s="7">
        <f ca="1">$AU$8*EXP(-'3.r(t)'!E852*$AU$22)</f>
        <v>0.93695847304571334</v>
      </c>
      <c r="T854" s="7">
        <f ca="1">$AU$9*EXP(-'3.r(t)'!F852*$AU$23)</f>
        <v>0.96924392462055486</v>
      </c>
      <c r="U854" s="7">
        <f ca="1">$AU$10*EXP(-'3.r(t)'!G852*$AU$24)</f>
        <v>0.98148334352943611</v>
      </c>
      <c r="V854" s="7">
        <v>1</v>
      </c>
      <c r="W854" s="7"/>
      <c r="X854" s="7">
        <v>846</v>
      </c>
      <c r="Y854" s="7">
        <f>$AV$7*EXP(-'3.r(t)'!D852*$AV$21)</f>
        <v>0.88900715067201674</v>
      </c>
      <c r="Z854" s="7">
        <f ca="1">$AV$8*EXP(-'3.r(t)'!E852*$AV$22)</f>
        <v>0.91601365637993204</v>
      </c>
      <c r="AA854" s="7">
        <f ca="1">$AV$9*EXP(-'3.r(t)'!F852*$AV$23)</f>
        <v>0.95357535148318229</v>
      </c>
      <c r="AB854" s="7">
        <f ca="1">$AV$10*EXP(-'3.r(t)'!G852*$AV$24)</f>
        <v>0.96287291214549087</v>
      </c>
      <c r="AC854" s="7">
        <f ca="1">$AV$11*EXP(-'3.r(t)'!H852*$AV$25)</f>
        <v>0.98183173674373136</v>
      </c>
      <c r="AD854" s="7">
        <v>1</v>
      </c>
      <c r="AE854" s="7"/>
      <c r="AF854" s="7">
        <v>846</v>
      </c>
      <c r="AG854" s="7">
        <f>$AW$7*EXP(-'3.r(t)'!D852*$AW$21)</f>
        <v>0.86718755429225491</v>
      </c>
      <c r="AH854" s="7">
        <f ca="1">$AW$8*EXP(-'3.r(t)'!E852*$AW$22)</f>
        <v>0.89515551176933583</v>
      </c>
      <c r="AI854" s="7">
        <f ca="1">$AW$9*EXP(-'3.r(t)'!F852*$AW$23)</f>
        <v>0.93775464081443927</v>
      </c>
      <c r="AJ854" s="7">
        <f ca="1">$AW$10*EXP(-'3.r(t)'!G852*$AW$24)</f>
        <v>0.94420135811077943</v>
      </c>
      <c r="AK854" s="7">
        <f ca="1">$AW$11*EXP(-'3.r(t)'!H852*$AW$25)</f>
        <v>0.96356515935904885</v>
      </c>
      <c r="AL854" s="7">
        <f ca="1">$AW$12*EXP(-'3.r(t)'!I852*$AW$26)</f>
        <v>0.98399777538602362</v>
      </c>
      <c r="AM854" s="7">
        <v>1</v>
      </c>
      <c r="AN854" s="7"/>
    </row>
    <row r="855" spans="2:40">
      <c r="B855" s="7">
        <v>847</v>
      </c>
      <c r="C855" s="7">
        <f>$AR$7*EXP(-'3.r(t)'!D853*$AR$21)</f>
        <v>0.97765346695821032</v>
      </c>
      <c r="D855" s="7">
        <v>1</v>
      </c>
      <c r="E855" s="7"/>
      <c r="F855" s="7">
        <v>847</v>
      </c>
      <c r="G855" s="48">
        <f>$AS$7*EXP(-'3.r(t)'!D853*$AS$21)</f>
        <v>0.9553476245219803</v>
      </c>
      <c r="H855" s="7">
        <f ca="1">$AS$8*EXP(-'3.r(t)'!E853*$AS$22)</f>
        <v>0.97515423332925133</v>
      </c>
      <c r="I855" s="7">
        <v>1</v>
      </c>
      <c r="J855" s="7"/>
      <c r="K855" s="7">
        <v>847</v>
      </c>
      <c r="L855" s="7">
        <f>$AT$7*EXP(-'3.r(t)'!D853*$AT$21)</f>
        <v>0.93311670519824419</v>
      </c>
      <c r="M855" s="7">
        <f ca="1">$AT$8*EXP(-'3.r(t)'!E853*$AT$22)</f>
        <v>0.95047787938901751</v>
      </c>
      <c r="N855" s="7">
        <f ca="1">$AT$9*EXP(-'3.r(t)'!F853*$AT$23)</f>
        <v>0.97652702328685148</v>
      </c>
      <c r="O855" s="7">
        <v>1</v>
      </c>
      <c r="P855" s="7"/>
      <c r="Q855" s="7">
        <v>847</v>
      </c>
      <c r="R855" s="7">
        <f>$AU$7*EXP(-'3.r(t)'!D853*$AU$21)</f>
        <v>0.91099305977534117</v>
      </c>
      <c r="S855" s="7">
        <f ca="1">$AU$8*EXP(-'3.r(t)'!E853*$AU$22)</f>
        <v>0.92600349282476035</v>
      </c>
      <c r="T855" s="7">
        <f ca="1">$AU$9*EXP(-'3.r(t)'!F853*$AU$23)</f>
        <v>0.95316432515076166</v>
      </c>
      <c r="U855" s="7">
        <f ca="1">$AU$10*EXP(-'3.r(t)'!G853*$AU$24)</f>
        <v>0.9789256607725294</v>
      </c>
      <c r="V855" s="7">
        <v>1</v>
      </c>
      <c r="W855" s="7"/>
      <c r="X855" s="7">
        <v>847</v>
      </c>
      <c r="Y855" s="7">
        <f>$AV$7*EXP(-'3.r(t)'!D853*$AV$21)</f>
        <v>0.88900715067201674</v>
      </c>
      <c r="Z855" s="7">
        <f ca="1">$AV$8*EXP(-'3.r(t)'!E853*$AV$22)</f>
        <v>0.90176143366706629</v>
      </c>
      <c r="AA855" s="7">
        <f ca="1">$AV$9*EXP(-'3.r(t)'!F853*$AV$23)</f>
        <v>0.9299445518356354</v>
      </c>
      <c r="AB855" s="7">
        <f ca="1">$AV$10*EXP(-'3.r(t)'!G853*$AV$24)</f>
        <v>0.95786108059299924</v>
      </c>
      <c r="AC855" s="7">
        <f ca="1">$AV$11*EXP(-'3.r(t)'!H853*$AV$25)</f>
        <v>0.97977530468355201</v>
      </c>
      <c r="AD855" s="7">
        <v>1</v>
      </c>
      <c r="AE855" s="7"/>
      <c r="AF855" s="7">
        <v>847</v>
      </c>
      <c r="AG855" s="7">
        <f>$AW$7*EXP(-'3.r(t)'!D853*$AW$21)</f>
        <v>0.86718755429225491</v>
      </c>
      <c r="AH855" s="7">
        <f ca="1">$AW$8*EXP(-'3.r(t)'!E853*$AW$22)</f>
        <v>0.8777798893096681</v>
      </c>
      <c r="AI855" s="7">
        <f ca="1">$AW$9*EXP(-'3.r(t)'!F853*$AW$23)</f>
        <v>0.90689833747494708</v>
      </c>
      <c r="AJ855" s="7">
        <f ca="1">$AW$10*EXP(-'3.r(t)'!G853*$AW$24)</f>
        <v>0.93683899246986246</v>
      </c>
      <c r="AK855" s="7">
        <f ca="1">$AW$11*EXP(-'3.r(t)'!H853*$AW$25)</f>
        <v>0.95953304042484289</v>
      </c>
      <c r="AL855" s="7">
        <f ca="1">$AW$12*EXP(-'3.r(t)'!I853*$AW$26)</f>
        <v>0.97869248788347718</v>
      </c>
      <c r="AM855" s="7">
        <v>1</v>
      </c>
      <c r="AN855" s="7"/>
    </row>
    <row r="856" spans="2:40">
      <c r="B856" s="7">
        <v>848</v>
      </c>
      <c r="C856" s="7">
        <f>$AR$7*EXP(-'3.r(t)'!D854*$AR$21)</f>
        <v>0.97765346695821032</v>
      </c>
      <c r="D856" s="7">
        <v>1</v>
      </c>
      <c r="E856" s="7"/>
      <c r="F856" s="7">
        <v>848</v>
      </c>
      <c r="G856" s="48">
        <f>$AS$7*EXP(-'3.r(t)'!D854*$AS$21)</f>
        <v>0.9553476245219803</v>
      </c>
      <c r="H856" s="7">
        <f ca="1">$AS$8*EXP(-'3.r(t)'!E854*$AS$22)</f>
        <v>0.97983561885343784</v>
      </c>
      <c r="I856" s="7">
        <v>1</v>
      </c>
      <c r="J856" s="7"/>
      <c r="K856" s="7">
        <v>848</v>
      </c>
      <c r="L856" s="7">
        <f>$AT$7*EXP(-'3.r(t)'!D854*$AT$21)</f>
        <v>0.93311670519824419</v>
      </c>
      <c r="M856" s="7">
        <f ca="1">$AT$8*EXP(-'3.r(t)'!E854*$AT$22)</f>
        <v>0.95962562983365751</v>
      </c>
      <c r="N856" s="7">
        <f ca="1">$AT$9*EXP(-'3.r(t)'!F854*$AT$23)</f>
        <v>0.97905577348986672</v>
      </c>
      <c r="O856" s="7">
        <v>1</v>
      </c>
      <c r="P856" s="7"/>
      <c r="Q856" s="7">
        <v>848</v>
      </c>
      <c r="R856" s="7">
        <f>$AU$7*EXP(-'3.r(t)'!D854*$AU$21)</f>
        <v>0.91099305977534117</v>
      </c>
      <c r="S856" s="7">
        <f ca="1">$AU$8*EXP(-'3.r(t)'!E854*$AU$22)</f>
        <v>0.93940390663216022</v>
      </c>
      <c r="T856" s="7">
        <f ca="1">$AU$9*EXP(-'3.r(t)'!F854*$AU$23)</f>
        <v>0.95810722016373617</v>
      </c>
      <c r="U856" s="7">
        <f ca="1">$AU$10*EXP(-'3.r(t)'!G854*$AU$24)</f>
        <v>0.97747861177838813</v>
      </c>
      <c r="V856" s="7">
        <v>1</v>
      </c>
      <c r="W856" s="7"/>
      <c r="X856" s="7">
        <v>848</v>
      </c>
      <c r="Y856" s="7">
        <f>$AV$7*EXP(-'3.r(t)'!D854*$AV$21)</f>
        <v>0.88900715067201674</v>
      </c>
      <c r="Z856" s="7">
        <f ca="1">$AV$8*EXP(-'3.r(t)'!E854*$AV$22)</f>
        <v>0.91920273319491419</v>
      </c>
      <c r="AA856" s="7">
        <f ca="1">$AV$9*EXP(-'3.r(t)'!F854*$AV$23)</f>
        <v>0.9371876456261552</v>
      </c>
      <c r="AB856" s="7">
        <f ca="1">$AV$10*EXP(-'3.r(t)'!G854*$AV$24)</f>
        <v>0.9550313509778029</v>
      </c>
      <c r="AC856" s="7">
        <f ca="1">$AV$11*EXP(-'3.r(t)'!H854*$AV$25)</f>
        <v>0.97857763652088792</v>
      </c>
      <c r="AD856" s="7">
        <v>1</v>
      </c>
      <c r="AE856" s="7"/>
      <c r="AF856" s="7">
        <v>848</v>
      </c>
      <c r="AG856" s="7">
        <f>$AW$7*EXP(-'3.r(t)'!D854*$AW$21)</f>
        <v>0.86718755429225491</v>
      </c>
      <c r="AH856" s="7">
        <f ca="1">$AW$8*EXP(-'3.r(t)'!E854*$AW$22)</f>
        <v>0.89905278027284929</v>
      </c>
      <c r="AI856" s="7">
        <f ca="1">$AW$9*EXP(-'3.r(t)'!F854*$AW$23)</f>
        <v>0.91632866610681418</v>
      </c>
      <c r="AJ856" s="7">
        <f ca="1">$AW$10*EXP(-'3.r(t)'!G854*$AW$24)</f>
        <v>0.93269062134056779</v>
      </c>
      <c r="AK856" s="7">
        <f ca="1">$AW$11*EXP(-'3.r(t)'!H854*$AW$25)</f>
        <v>0.95718862577985164</v>
      </c>
      <c r="AL856" s="7">
        <f ca="1">$AW$12*EXP(-'3.r(t)'!I854*$AW$26)</f>
        <v>0.97981850273168603</v>
      </c>
      <c r="AM856" s="7">
        <v>1</v>
      </c>
      <c r="AN856" s="7"/>
    </row>
    <row r="857" spans="2:40">
      <c r="B857" s="7">
        <v>849</v>
      </c>
      <c r="C857" s="7">
        <f>$AR$7*EXP(-'3.r(t)'!D855*$AR$21)</f>
        <v>0.97765346695821032</v>
      </c>
      <c r="D857" s="7">
        <v>1</v>
      </c>
      <c r="E857" s="7"/>
      <c r="F857" s="7">
        <v>849</v>
      </c>
      <c r="G857" s="48">
        <f>$AS$7*EXP(-'3.r(t)'!D855*$AS$21)</f>
        <v>0.9553476245219803</v>
      </c>
      <c r="H857" s="7">
        <f ca="1">$AS$8*EXP(-'3.r(t)'!E855*$AS$22)</f>
        <v>0.97764344374828904</v>
      </c>
      <c r="I857" s="7">
        <v>1</v>
      </c>
      <c r="J857" s="7"/>
      <c r="K857" s="7">
        <v>849</v>
      </c>
      <c r="L857" s="7">
        <f>$AT$7*EXP(-'3.r(t)'!D855*$AT$21)</f>
        <v>0.93311670519824419</v>
      </c>
      <c r="M857" s="7">
        <f ca="1">$AT$8*EXP(-'3.r(t)'!E855*$AT$22)</f>
        <v>0.95533651414947685</v>
      </c>
      <c r="N857" s="7">
        <f ca="1">$AT$9*EXP(-'3.r(t)'!F855*$AT$23)</f>
        <v>0.97877004920530553</v>
      </c>
      <c r="O857" s="7">
        <v>1</v>
      </c>
      <c r="P857" s="7"/>
      <c r="Q857" s="7">
        <v>849</v>
      </c>
      <c r="R857" s="7">
        <f>$AU$7*EXP(-'3.r(t)'!D855*$AU$21)</f>
        <v>0.91099305977534117</v>
      </c>
      <c r="S857" s="7">
        <f ca="1">$AU$8*EXP(-'3.r(t)'!E855*$AU$22)</f>
        <v>0.93311284947614515</v>
      </c>
      <c r="T857" s="7">
        <f ca="1">$AU$9*EXP(-'3.r(t)'!F855*$AU$23)</f>
        <v>0.95754808030339778</v>
      </c>
      <c r="U857" s="7">
        <f ca="1">$AU$10*EXP(-'3.r(t)'!G855*$AU$24)</f>
        <v>0.97646381133999738</v>
      </c>
      <c r="V857" s="7">
        <v>1</v>
      </c>
      <c r="W857" s="7"/>
      <c r="X857" s="7">
        <v>849</v>
      </c>
      <c r="Y857" s="7">
        <f>$AV$7*EXP(-'3.r(t)'!D855*$AV$21)</f>
        <v>0.88900715067201674</v>
      </c>
      <c r="Z857" s="7">
        <f ca="1">$AV$8*EXP(-'3.r(t)'!E855*$AV$22)</f>
        <v>0.91100421088641992</v>
      </c>
      <c r="AA857" s="7">
        <f ca="1">$AV$9*EXP(-'3.r(t)'!F855*$AV$23)</f>
        <v>0.9363673681592467</v>
      </c>
      <c r="AB857" s="7">
        <f ca="1">$AV$10*EXP(-'3.r(t)'!G855*$AV$24)</f>
        <v>0.95304938812636575</v>
      </c>
      <c r="AC857" s="7">
        <f ca="1">$AV$11*EXP(-'3.r(t)'!H855*$AV$25)</f>
        <v>0.97541439854108469</v>
      </c>
      <c r="AD857" s="7">
        <v>1</v>
      </c>
      <c r="AE857" s="7"/>
      <c r="AF857" s="7">
        <v>849</v>
      </c>
      <c r="AG857" s="7">
        <f>$AW$7*EXP(-'3.r(t)'!D855*$AW$21)</f>
        <v>0.86718755429225491</v>
      </c>
      <c r="AH857" s="7">
        <f ca="1">$AW$8*EXP(-'3.r(t)'!E855*$AW$22)</f>
        <v>0.88904047854728352</v>
      </c>
      <c r="AI857" s="7">
        <f ca="1">$AW$9*EXP(-'3.r(t)'!F855*$AW$23)</f>
        <v>0.91525946138892167</v>
      </c>
      <c r="AJ857" s="7">
        <f ca="1">$AW$10*EXP(-'3.r(t)'!G855*$AW$24)</f>
        <v>0.92978872902370524</v>
      </c>
      <c r="AK857" s="7">
        <f ca="1">$AW$11*EXP(-'3.r(t)'!H855*$AW$25)</f>
        <v>0.95101043078042302</v>
      </c>
      <c r="AL857" s="7">
        <f ca="1">$AW$12*EXP(-'3.r(t)'!I855*$AW$26)</f>
        <v>0.97601464397669624</v>
      </c>
      <c r="AM857" s="7">
        <v>1</v>
      </c>
      <c r="AN857" s="7"/>
    </row>
    <row r="858" spans="2:40">
      <c r="B858" s="7">
        <v>850</v>
      </c>
      <c r="C858" s="7">
        <f>$AR$7*EXP(-'3.r(t)'!D856*$AR$21)</f>
        <v>0.97765346695821032</v>
      </c>
      <c r="D858" s="7">
        <v>1</v>
      </c>
      <c r="E858" s="7"/>
      <c r="F858" s="7">
        <v>850</v>
      </c>
      <c r="G858" s="48">
        <f>$AS$7*EXP(-'3.r(t)'!D856*$AS$21)</f>
        <v>0.9553476245219803</v>
      </c>
      <c r="H858" s="7">
        <f ca="1">$AS$8*EXP(-'3.r(t)'!E856*$AS$22)</f>
        <v>0.97892956748494964</v>
      </c>
      <c r="I858" s="7">
        <v>1</v>
      </c>
      <c r="J858" s="7"/>
      <c r="K858" s="7">
        <v>850</v>
      </c>
      <c r="L858" s="7">
        <f>$AT$7*EXP(-'3.r(t)'!D856*$AT$21)</f>
        <v>0.93311670519824419</v>
      </c>
      <c r="M858" s="7">
        <f ca="1">$AT$8*EXP(-'3.r(t)'!E856*$AT$22)</f>
        <v>0.95785172388436668</v>
      </c>
      <c r="N858" s="7">
        <f ca="1">$AT$9*EXP(-'3.r(t)'!F856*$AT$23)</f>
        <v>0.97875009527398871</v>
      </c>
      <c r="O858" s="7">
        <v>1</v>
      </c>
      <c r="P858" s="7"/>
      <c r="Q858" s="7">
        <v>850</v>
      </c>
      <c r="R858" s="7">
        <f>$AU$7*EXP(-'3.r(t)'!D856*$AU$21)</f>
        <v>0.91099305977534117</v>
      </c>
      <c r="S858" s="7">
        <f ca="1">$AU$8*EXP(-'3.r(t)'!E856*$AU$22)</f>
        <v>0.93680032282601611</v>
      </c>
      <c r="T858" s="7">
        <f ca="1">$AU$9*EXP(-'3.r(t)'!F856*$AU$23)</f>
        <v>0.95750903813229893</v>
      </c>
      <c r="U858" s="7">
        <f ca="1">$AU$10*EXP(-'3.r(t)'!G856*$AU$24)</f>
        <v>0.97826466147074043</v>
      </c>
      <c r="V858" s="7">
        <v>1</v>
      </c>
      <c r="W858" s="7"/>
      <c r="X858" s="7">
        <v>850</v>
      </c>
      <c r="Y858" s="7">
        <f>$AV$7*EXP(-'3.r(t)'!D856*$AV$21)</f>
        <v>0.88900715067201674</v>
      </c>
      <c r="Z858" s="7">
        <f ca="1">$AV$8*EXP(-'3.r(t)'!E856*$AV$22)</f>
        <v>0.91580750895060714</v>
      </c>
      <c r="AA858" s="7">
        <f ca="1">$AV$9*EXP(-'3.r(t)'!F856*$AV$23)</f>
        <v>0.93631010089021083</v>
      </c>
      <c r="AB858" s="7">
        <f ca="1">$AV$10*EXP(-'3.r(t)'!G856*$AV$24)</f>
        <v>0.95656796555547763</v>
      </c>
      <c r="AC858" s="7">
        <f ca="1">$AV$11*EXP(-'3.r(t)'!H856*$AV$25)</f>
        <v>0.9786198989130025</v>
      </c>
      <c r="AD858" s="7">
        <v>1</v>
      </c>
      <c r="AE858" s="7"/>
      <c r="AF858" s="7">
        <v>850</v>
      </c>
      <c r="AG858" s="7">
        <f>$AW$7*EXP(-'3.r(t)'!D856*$AW$21)</f>
        <v>0.86718755429225491</v>
      </c>
      <c r="AH858" s="7">
        <f ca="1">$AW$8*EXP(-'3.r(t)'!E856*$AW$22)</f>
        <v>0.89490370218265003</v>
      </c>
      <c r="AI858" s="7">
        <f ca="1">$AW$9*EXP(-'3.r(t)'!F856*$AW$23)</f>
        <v>0.91518482704159276</v>
      </c>
      <c r="AJ858" s="7">
        <f ca="1">$AW$10*EXP(-'3.r(t)'!G856*$AW$24)</f>
        <v>0.93494253014450923</v>
      </c>
      <c r="AK858" s="7">
        <f ca="1">$AW$11*EXP(-'3.r(t)'!H856*$AW$25)</f>
        <v>0.95727130487051493</v>
      </c>
      <c r="AL858" s="7">
        <f ca="1">$AW$12*EXP(-'3.r(t)'!I856*$AW$26)</f>
        <v>0.9800338818131038</v>
      </c>
      <c r="AM858" s="7">
        <v>1</v>
      </c>
      <c r="AN858" s="7"/>
    </row>
    <row r="859" spans="2:40">
      <c r="B859" s="7">
        <v>851</v>
      </c>
      <c r="C859" s="7">
        <f>$AR$7*EXP(-'3.r(t)'!D857*$AR$21)</f>
        <v>0.97765346695821032</v>
      </c>
      <c r="D859" s="7">
        <v>1</v>
      </c>
      <c r="E859" s="7"/>
      <c r="F859" s="7">
        <v>851</v>
      </c>
      <c r="G859" s="48">
        <f>$AS$7*EXP(-'3.r(t)'!D857*$AS$21)</f>
        <v>0.9553476245219803</v>
      </c>
      <c r="H859" s="7">
        <f ca="1">$AS$8*EXP(-'3.r(t)'!E857*$AS$22)</f>
        <v>0.97619676231573793</v>
      </c>
      <c r="I859" s="7">
        <v>1</v>
      </c>
      <c r="J859" s="7"/>
      <c r="K859" s="7">
        <v>851</v>
      </c>
      <c r="L859" s="7">
        <f>$AT$7*EXP(-'3.r(t)'!D857*$AT$21)</f>
        <v>0.93311670519824419</v>
      </c>
      <c r="M859" s="7">
        <f ca="1">$AT$8*EXP(-'3.r(t)'!E857*$AT$22)</f>
        <v>0.95251126116209994</v>
      </c>
      <c r="N859" s="7">
        <f ca="1">$AT$9*EXP(-'3.r(t)'!F857*$AT$23)</f>
        <v>0.97694177503571711</v>
      </c>
      <c r="O859" s="7">
        <v>1</v>
      </c>
      <c r="P859" s="7"/>
      <c r="Q859" s="7">
        <v>851</v>
      </c>
      <c r="R859" s="7">
        <f>$AU$7*EXP(-'3.r(t)'!D857*$AU$21)</f>
        <v>0.91099305977534117</v>
      </c>
      <c r="S859" s="7">
        <f ca="1">$AU$8*EXP(-'3.r(t)'!E857*$AU$22)</f>
        <v>0.92897661616132898</v>
      </c>
      <c r="T859" s="7">
        <f ca="1">$AU$9*EXP(-'3.r(t)'!F857*$AU$23)</f>
        <v>0.95397415532069074</v>
      </c>
      <c r="U859" s="7">
        <f ca="1">$AU$10*EXP(-'3.r(t)'!G857*$AU$24)</f>
        <v>0.97217635850903794</v>
      </c>
      <c r="V859" s="7">
        <v>1</v>
      </c>
      <c r="W859" s="7"/>
      <c r="X859" s="7">
        <v>851</v>
      </c>
      <c r="Y859" s="7">
        <f>$AV$7*EXP(-'3.r(t)'!D857*$AV$21)</f>
        <v>0.88900715067201674</v>
      </c>
      <c r="Z859" s="7">
        <f ca="1">$AV$8*EXP(-'3.r(t)'!E857*$AV$22)</f>
        <v>0.90562388362731072</v>
      </c>
      <c r="AA859" s="7">
        <f ca="1">$AV$9*EXP(-'3.r(t)'!F857*$AV$23)</f>
        <v>0.9311299567139727</v>
      </c>
      <c r="AB859" s="7">
        <f ca="1">$AV$10*EXP(-'3.r(t)'!G857*$AV$24)</f>
        <v>0.94469847226849268</v>
      </c>
      <c r="AC859" s="7">
        <f ca="1">$AV$11*EXP(-'3.r(t)'!H857*$AV$25)</f>
        <v>0.97212432223645573</v>
      </c>
      <c r="AD859" s="7">
        <v>1</v>
      </c>
      <c r="AE859" s="7"/>
      <c r="AF859" s="7">
        <v>851</v>
      </c>
      <c r="AG859" s="7">
        <f>$AW$7*EXP(-'3.r(t)'!D857*$AW$21)</f>
        <v>0.86718755429225491</v>
      </c>
      <c r="AH859" s="7">
        <f ca="1">$AW$8*EXP(-'3.r(t)'!E857*$AW$22)</f>
        <v>0.88248206725505707</v>
      </c>
      <c r="AI859" s="7">
        <f ca="1">$AW$9*EXP(-'3.r(t)'!F857*$AW$23)</f>
        <v>0.90844003518886551</v>
      </c>
      <c r="AJ859" s="7">
        <f ca="1">$AW$10*EXP(-'3.r(t)'!G857*$AW$24)</f>
        <v>0.91759489046297471</v>
      </c>
      <c r="AK859" s="7">
        <f ca="1">$AW$11*EXP(-'3.r(t)'!H857*$AW$25)</f>
        <v>0.94460572730635484</v>
      </c>
      <c r="AL859" s="7">
        <f ca="1">$AW$12*EXP(-'3.r(t)'!I857*$AW$26)</f>
        <v>0.97182448781503039</v>
      </c>
      <c r="AM859" s="7">
        <v>1</v>
      </c>
      <c r="AN859" s="7"/>
    </row>
    <row r="860" spans="2:40">
      <c r="B860" s="7">
        <v>852</v>
      </c>
      <c r="C860" s="7">
        <f>$AR$7*EXP(-'3.r(t)'!D858*$AR$21)</f>
        <v>0.97765346695821032</v>
      </c>
      <c r="D860" s="7">
        <v>1</v>
      </c>
      <c r="E860" s="7"/>
      <c r="F860" s="7">
        <v>852</v>
      </c>
      <c r="G860" s="48">
        <f>$AS$7*EXP(-'3.r(t)'!D858*$AS$21)</f>
        <v>0.9553476245219803</v>
      </c>
      <c r="H860" s="7">
        <f ca="1">$AS$8*EXP(-'3.r(t)'!E858*$AS$22)</f>
        <v>0.97478474284413652</v>
      </c>
      <c r="I860" s="7">
        <v>1</v>
      </c>
      <c r="J860" s="7"/>
      <c r="K860" s="7">
        <v>852</v>
      </c>
      <c r="L860" s="7">
        <f>$AT$7*EXP(-'3.r(t)'!D858*$AT$21)</f>
        <v>0.93311670519824419</v>
      </c>
      <c r="M860" s="7">
        <f ca="1">$AT$8*EXP(-'3.r(t)'!E858*$AT$22)</f>
        <v>0.94975773484879711</v>
      </c>
      <c r="N860" s="7">
        <f ca="1">$AT$9*EXP(-'3.r(t)'!F858*$AT$23)</f>
        <v>0.9758285418612942</v>
      </c>
      <c r="O860" s="7">
        <v>1</v>
      </c>
      <c r="P860" s="7"/>
      <c r="Q860" s="7">
        <v>852</v>
      </c>
      <c r="R860" s="7">
        <f>$AU$7*EXP(-'3.r(t)'!D858*$AU$21)</f>
        <v>0.91099305977534117</v>
      </c>
      <c r="S860" s="7">
        <f ca="1">$AU$8*EXP(-'3.r(t)'!E858*$AU$22)</f>
        <v>0.92495129048865854</v>
      </c>
      <c r="T860" s="7">
        <f ca="1">$AU$9*EXP(-'3.r(t)'!F858*$AU$23)</f>
        <v>0.95180127126972669</v>
      </c>
      <c r="U860" s="7">
        <f ca="1">$AU$10*EXP(-'3.r(t)'!G858*$AU$24)</f>
        <v>0.97619767763181131</v>
      </c>
      <c r="V860" s="7">
        <v>1</v>
      </c>
      <c r="W860" s="7"/>
      <c r="X860" s="7">
        <v>852</v>
      </c>
      <c r="Y860" s="7">
        <f>$AV$7*EXP(-'3.r(t)'!D858*$AV$21)</f>
        <v>0.88900715067201674</v>
      </c>
      <c r="Z860" s="7">
        <f ca="1">$AV$8*EXP(-'3.r(t)'!E858*$AV$22)</f>
        <v>0.90039548381471668</v>
      </c>
      <c r="AA860" s="7">
        <f ca="1">$AV$9*EXP(-'3.r(t)'!F858*$AV$23)</f>
        <v>0.92795049180039069</v>
      </c>
      <c r="AB860" s="7">
        <f ca="1">$AV$10*EXP(-'3.r(t)'!G858*$AV$24)</f>
        <v>0.95252995463502532</v>
      </c>
      <c r="AC860" s="7">
        <f ca="1">$AV$11*EXP(-'3.r(t)'!H858*$AV$25)</f>
        <v>0.97930331870655762</v>
      </c>
      <c r="AD860" s="7">
        <v>1</v>
      </c>
      <c r="AE860" s="7"/>
      <c r="AF860" s="7">
        <v>852</v>
      </c>
      <c r="AG860" s="7">
        <f>$AW$7*EXP(-'3.r(t)'!D858*$AW$21)</f>
        <v>0.86718755429225491</v>
      </c>
      <c r="AH860" s="7">
        <f ca="1">$AW$8*EXP(-'3.r(t)'!E858*$AW$22)</f>
        <v>0.87611817458874375</v>
      </c>
      <c r="AI860" s="7">
        <f ca="1">$AW$9*EXP(-'3.r(t)'!F858*$AW$23)</f>
        <v>0.90430640783786598</v>
      </c>
      <c r="AJ860" s="7">
        <f ca="1">$AW$10*EXP(-'3.r(t)'!G858*$AW$24)</f>
        <v>0.92902869874731164</v>
      </c>
      <c r="AK860" s="7">
        <f ca="1">$AW$11*EXP(-'3.r(t)'!H858*$AW$25)</f>
        <v>0.9586087937057598</v>
      </c>
      <c r="AL860" s="7">
        <f ca="1">$AW$12*EXP(-'3.r(t)'!I858*$AW$26)</f>
        <v>0.97888352751493379</v>
      </c>
      <c r="AM860" s="7">
        <v>1</v>
      </c>
      <c r="AN860" s="7"/>
    </row>
    <row r="861" spans="2:40">
      <c r="B861" s="7">
        <v>853</v>
      </c>
      <c r="C861" s="7">
        <f>$AR$7*EXP(-'3.r(t)'!D859*$AR$21)</f>
        <v>0.97765346695821032</v>
      </c>
      <c r="D861" s="7">
        <v>1</v>
      </c>
      <c r="E861" s="7"/>
      <c r="F861" s="7">
        <v>853</v>
      </c>
      <c r="G861" s="48">
        <f>$AS$7*EXP(-'3.r(t)'!D859*$AS$21)</f>
        <v>0.9553476245219803</v>
      </c>
      <c r="H861" s="7">
        <f ca="1">$AS$8*EXP(-'3.r(t)'!E859*$AS$22)</f>
        <v>0.97339552359624282</v>
      </c>
      <c r="I861" s="7">
        <v>1</v>
      </c>
      <c r="J861" s="7"/>
      <c r="K861" s="7">
        <v>853</v>
      </c>
      <c r="L861" s="7">
        <f>$AT$7*EXP(-'3.r(t)'!D859*$AT$21)</f>
        <v>0.93311670519824419</v>
      </c>
      <c r="M861" s="7">
        <f ca="1">$AT$8*EXP(-'3.r(t)'!E859*$AT$22)</f>
        <v>0.9470525601000106</v>
      </c>
      <c r="N861" s="7">
        <f ca="1">$AT$9*EXP(-'3.r(t)'!F859*$AT$23)</f>
        <v>0.97165718626677611</v>
      </c>
      <c r="O861" s="7">
        <v>1</v>
      </c>
      <c r="P861" s="7"/>
      <c r="Q861" s="7">
        <v>853</v>
      </c>
      <c r="R861" s="7">
        <f>$AU$7*EXP(-'3.r(t)'!D859*$AU$21)</f>
        <v>0.91099305977534117</v>
      </c>
      <c r="S861" s="7">
        <f ca="1">$AU$8*EXP(-'3.r(t)'!E859*$AU$22)</f>
        <v>0.92100232714598518</v>
      </c>
      <c r="T861" s="7">
        <f ca="1">$AU$9*EXP(-'3.r(t)'!F859*$AU$23)</f>
        <v>0.94368137007442698</v>
      </c>
      <c r="U861" s="7">
        <f ca="1">$AU$10*EXP(-'3.r(t)'!G859*$AU$24)</f>
        <v>0.97214010544638019</v>
      </c>
      <c r="V861" s="7">
        <v>1</v>
      </c>
      <c r="W861" s="7"/>
      <c r="X861" s="7">
        <v>853</v>
      </c>
      <c r="Y861" s="7">
        <f>$AV$7*EXP(-'3.r(t)'!D859*$AV$21)</f>
        <v>0.88900715067201674</v>
      </c>
      <c r="Z861" s="7">
        <f ca="1">$AV$8*EXP(-'3.r(t)'!E859*$AV$22)</f>
        <v>0.89527363384684389</v>
      </c>
      <c r="AA861" s="7">
        <f ca="1">$AV$9*EXP(-'3.r(t)'!F859*$AV$23)</f>
        <v>0.91610121171694758</v>
      </c>
      <c r="AB861" s="7">
        <f ca="1">$AV$10*EXP(-'3.r(t)'!G859*$AV$24)</f>
        <v>0.94462801679189223</v>
      </c>
      <c r="AC861" s="7">
        <f ca="1">$AV$11*EXP(-'3.r(t)'!H859*$AV$25)</f>
        <v>0.97180934687564935</v>
      </c>
      <c r="AD861" s="7">
        <v>1</v>
      </c>
      <c r="AE861" s="7"/>
      <c r="AF861" s="7">
        <v>853</v>
      </c>
      <c r="AG861" s="7">
        <f>$AW$7*EXP(-'3.r(t)'!D859*$AW$21)</f>
        <v>0.86718755429225491</v>
      </c>
      <c r="AH861" s="7">
        <f ca="1">$AW$8*EXP(-'3.r(t)'!E859*$AW$22)</f>
        <v>0.86989292326352552</v>
      </c>
      <c r="AI861" s="7">
        <f ca="1">$AW$9*EXP(-'3.r(t)'!F859*$AW$23)</f>
        <v>0.88894278619233424</v>
      </c>
      <c r="AJ861" s="7">
        <f ca="1">$AW$10*EXP(-'3.r(t)'!G859*$AW$24)</f>
        <v>0.9174922412338915</v>
      </c>
      <c r="AK861" s="7">
        <f ca="1">$AW$11*EXP(-'3.r(t)'!H859*$AW$25)</f>
        <v>0.94399370820050543</v>
      </c>
      <c r="AL861" s="7">
        <f ca="1">$AW$12*EXP(-'3.r(t)'!I859*$AW$26)</f>
        <v>0.9710590995002919</v>
      </c>
      <c r="AM861" s="7">
        <v>1</v>
      </c>
      <c r="AN861" s="7"/>
    </row>
    <row r="862" spans="2:40">
      <c r="B862" s="7">
        <v>854</v>
      </c>
      <c r="C862" s="7">
        <f>$AR$7*EXP(-'3.r(t)'!D860*$AR$21)</f>
        <v>0.97765346695821032</v>
      </c>
      <c r="D862" s="7">
        <v>1</v>
      </c>
      <c r="E862" s="7"/>
      <c r="F862" s="7">
        <v>854</v>
      </c>
      <c r="G862" s="48">
        <f>$AS$7*EXP(-'3.r(t)'!D860*$AS$21)</f>
        <v>0.9553476245219803</v>
      </c>
      <c r="H862" s="7">
        <f ca="1">$AS$8*EXP(-'3.r(t)'!E860*$AS$22)</f>
        <v>0.97495726478050282</v>
      </c>
      <c r="I862" s="7">
        <v>1</v>
      </c>
      <c r="J862" s="7"/>
      <c r="K862" s="7">
        <v>854</v>
      </c>
      <c r="L862" s="7">
        <f>$AT$7*EXP(-'3.r(t)'!D860*$AT$21)</f>
        <v>0.93311670519824419</v>
      </c>
      <c r="M862" s="7">
        <f ca="1">$AT$8*EXP(-'3.r(t)'!E860*$AT$22)</f>
        <v>0.95009394967883654</v>
      </c>
      <c r="N862" s="7">
        <f ca="1">$AT$9*EXP(-'3.r(t)'!F860*$AT$23)</f>
        <v>0.97306225484620867</v>
      </c>
      <c r="O862" s="7">
        <v>1</v>
      </c>
      <c r="P862" s="7"/>
      <c r="Q862" s="7">
        <v>854</v>
      </c>
      <c r="R862" s="7">
        <f>$AU$7*EXP(-'3.r(t)'!D860*$AU$21)</f>
        <v>0.91099305977534117</v>
      </c>
      <c r="S862" s="7">
        <f ca="1">$AU$8*EXP(-'3.r(t)'!E860*$AU$22)</f>
        <v>0.92544248395286022</v>
      </c>
      <c r="T862" s="7">
        <f ca="1">$AU$9*EXP(-'3.r(t)'!F860*$AU$23)</f>
        <v>0.94641257146726265</v>
      </c>
      <c r="U862" s="7">
        <f ca="1">$AU$10*EXP(-'3.r(t)'!G860*$AU$24)</f>
        <v>0.97116423884747061</v>
      </c>
      <c r="V862" s="7">
        <v>1</v>
      </c>
      <c r="W862" s="7"/>
      <c r="X862" s="7">
        <v>854</v>
      </c>
      <c r="Y862" s="7">
        <f>$AV$7*EXP(-'3.r(t)'!D860*$AV$21)</f>
        <v>0.88900715067201674</v>
      </c>
      <c r="Z862" s="7">
        <f ca="1">$AV$8*EXP(-'3.r(t)'!E860*$AV$22)</f>
        <v>0.90103307777389463</v>
      </c>
      <c r="AA862" s="7">
        <f ca="1">$AV$9*EXP(-'3.r(t)'!F860*$AV$23)</f>
        <v>0.92008115633856868</v>
      </c>
      <c r="AB862" s="7">
        <f ca="1">$AV$10*EXP(-'3.r(t)'!G860*$AV$24)</f>
        <v>0.94273247057888765</v>
      </c>
      <c r="AC862" s="7">
        <f ca="1">$AV$11*EXP(-'3.r(t)'!H860*$AV$25)</f>
        <v>0.97099714903833856</v>
      </c>
      <c r="AD862" s="7">
        <v>1</v>
      </c>
      <c r="AE862" s="7"/>
      <c r="AF862" s="7">
        <v>854</v>
      </c>
      <c r="AG862" s="7">
        <f>$AW$7*EXP(-'3.r(t)'!D860*$AW$21)</f>
        <v>0.86718755429225491</v>
      </c>
      <c r="AH862" s="7">
        <f ca="1">$AW$8*EXP(-'3.r(t)'!E860*$AW$22)</f>
        <v>0.87689374641044648</v>
      </c>
      <c r="AI862" s="7">
        <f ca="1">$AW$9*EXP(-'3.r(t)'!F860*$AW$23)</f>
        <v>0.89409578642957654</v>
      </c>
      <c r="AJ862" s="7">
        <f ca="1">$AW$10*EXP(-'3.r(t)'!G860*$AW$24)</f>
        <v>0.9147319861640445</v>
      </c>
      <c r="AK862" s="7">
        <f ca="1">$AW$11*EXP(-'3.r(t)'!H860*$AW$25)</f>
        <v>0.94241646620611641</v>
      </c>
      <c r="AL862" s="7">
        <f ca="1">$AW$12*EXP(-'3.r(t)'!I860*$AW$26)</f>
        <v>0.9663909850028477</v>
      </c>
      <c r="AM862" s="7">
        <v>1</v>
      </c>
      <c r="AN862" s="7"/>
    </row>
    <row r="863" spans="2:40">
      <c r="B863" s="7">
        <v>855</v>
      </c>
      <c r="C863" s="7">
        <f>$AR$7*EXP(-'3.r(t)'!D861*$AR$21)</f>
        <v>0.97765346695821032</v>
      </c>
      <c r="D863" s="7">
        <v>1</v>
      </c>
      <c r="E863" s="7"/>
      <c r="F863" s="7">
        <v>855</v>
      </c>
      <c r="G863" s="48">
        <f>$AS$7*EXP(-'3.r(t)'!D861*$AS$21)</f>
        <v>0.9553476245219803</v>
      </c>
      <c r="H863" s="7">
        <f ca="1">$AS$8*EXP(-'3.r(t)'!E861*$AS$22)</f>
        <v>0.97514607725290303</v>
      </c>
      <c r="I863" s="7">
        <v>1</v>
      </c>
      <c r="J863" s="7"/>
      <c r="K863" s="7">
        <v>855</v>
      </c>
      <c r="L863" s="7">
        <f>$AT$7*EXP(-'3.r(t)'!D861*$AT$21)</f>
        <v>0.93311670519824419</v>
      </c>
      <c r="M863" s="7">
        <f ca="1">$AT$8*EXP(-'3.r(t)'!E861*$AT$22)</f>
        <v>0.95046198008310745</v>
      </c>
      <c r="N863" s="7">
        <f ca="1">$AT$9*EXP(-'3.r(t)'!F861*$AT$23)</f>
        <v>0.97804408140667098</v>
      </c>
      <c r="O863" s="7">
        <v>1</v>
      </c>
      <c r="P863" s="7"/>
      <c r="Q863" s="7">
        <v>855</v>
      </c>
      <c r="R863" s="7">
        <f>$AU$7*EXP(-'3.r(t)'!D861*$AU$21)</f>
        <v>0.91099305977534117</v>
      </c>
      <c r="S863" s="7">
        <f ca="1">$AU$8*EXP(-'3.r(t)'!E861*$AU$22)</f>
        <v>0.92598025806324369</v>
      </c>
      <c r="T863" s="7">
        <f ca="1">$AU$9*EXP(-'3.r(t)'!F861*$AU$23)</f>
        <v>0.95612815276988794</v>
      </c>
      <c r="U863" s="7">
        <f ca="1">$AU$10*EXP(-'3.r(t)'!G861*$AU$24)</f>
        <v>0.9751069300522075</v>
      </c>
      <c r="V863" s="7">
        <v>1</v>
      </c>
      <c r="W863" s="7"/>
      <c r="X863" s="7">
        <v>855</v>
      </c>
      <c r="Y863" s="7">
        <f>$AV$7*EXP(-'3.r(t)'!D861*$AV$21)</f>
        <v>0.88900715067201674</v>
      </c>
      <c r="Z863" s="7">
        <f ca="1">$AV$8*EXP(-'3.r(t)'!E861*$AV$22)</f>
        <v>0.90173126513545288</v>
      </c>
      <c r="AA863" s="7">
        <f ca="1">$AV$9*EXP(-'3.r(t)'!F861*$AV$23)</f>
        <v>0.93428536181326682</v>
      </c>
      <c r="AB863" s="7">
        <f ca="1">$AV$10*EXP(-'3.r(t)'!G861*$AV$24)</f>
        <v>0.95040253859304924</v>
      </c>
      <c r="AC863" s="7">
        <f ca="1">$AV$11*EXP(-'3.r(t)'!H861*$AV$25)</f>
        <v>0.97286862372716365</v>
      </c>
      <c r="AD863" s="7">
        <v>1</v>
      </c>
      <c r="AE863" s="7"/>
      <c r="AF863" s="7">
        <v>855</v>
      </c>
      <c r="AG863" s="7">
        <f>$AW$7*EXP(-'3.r(t)'!D861*$AW$21)</f>
        <v>0.86718755429225491</v>
      </c>
      <c r="AH863" s="7">
        <f ca="1">$AW$8*EXP(-'3.r(t)'!E861*$AW$22)</f>
        <v>0.87774318168028764</v>
      </c>
      <c r="AI863" s="7">
        <f ca="1">$AW$9*EXP(-'3.r(t)'!F861*$AW$23)</f>
        <v>0.91254703668632609</v>
      </c>
      <c r="AJ863" s="7">
        <f ca="1">$AW$10*EXP(-'3.r(t)'!G861*$AW$24)</f>
        <v>0.92591804604090067</v>
      </c>
      <c r="AK863" s="7">
        <f ca="1">$AW$11*EXP(-'3.r(t)'!H861*$AW$25)</f>
        <v>0.9460527451130647</v>
      </c>
      <c r="AL863" s="7">
        <f ca="1">$AW$12*EXP(-'3.r(t)'!I861*$AW$26)</f>
        <v>0.97519479211341498</v>
      </c>
      <c r="AM863" s="7">
        <v>1</v>
      </c>
      <c r="AN863" s="7"/>
    </row>
    <row r="864" spans="2:40">
      <c r="B864" s="7">
        <v>856</v>
      </c>
      <c r="C864" s="7">
        <f>$AR$7*EXP(-'3.r(t)'!D862*$AR$21)</f>
        <v>0.97765346695821032</v>
      </c>
      <c r="D864" s="7">
        <v>1</v>
      </c>
      <c r="E864" s="7"/>
      <c r="F864" s="7">
        <v>856</v>
      </c>
      <c r="G864" s="48">
        <f>$AS$7*EXP(-'3.r(t)'!D862*$AS$21)</f>
        <v>0.9553476245219803</v>
      </c>
      <c r="H864" s="7">
        <f ca="1">$AS$8*EXP(-'3.r(t)'!E862*$AS$22)</f>
        <v>0.97355520809874263</v>
      </c>
      <c r="I864" s="7">
        <v>1</v>
      </c>
      <c r="J864" s="7"/>
      <c r="K864" s="7">
        <v>856</v>
      </c>
      <c r="L864" s="7">
        <f>$AT$7*EXP(-'3.r(t)'!D862*$AT$21)</f>
        <v>0.93311670519824419</v>
      </c>
      <c r="M864" s="7">
        <f ca="1">$AT$8*EXP(-'3.r(t)'!E862*$AT$22)</f>
        <v>0.94736331152173714</v>
      </c>
      <c r="N864" s="7">
        <f ca="1">$AT$9*EXP(-'3.r(t)'!F862*$AT$23)</f>
        <v>0.97069614030417373</v>
      </c>
      <c r="O864" s="7">
        <v>1</v>
      </c>
      <c r="P864" s="7"/>
      <c r="Q864" s="7">
        <v>856</v>
      </c>
      <c r="R864" s="7">
        <f>$AU$7*EXP(-'3.r(t)'!D862*$AU$21)</f>
        <v>0.91099305977534117</v>
      </c>
      <c r="S864" s="7">
        <f ca="1">$AU$8*EXP(-'3.r(t)'!E862*$AU$22)</f>
        <v>0.92145566987093963</v>
      </c>
      <c r="T864" s="7">
        <f ca="1">$AU$9*EXP(-'3.r(t)'!F862*$AU$23)</f>
        <v>0.94181554193040939</v>
      </c>
      <c r="U864" s="7">
        <f ca="1">$AU$10*EXP(-'3.r(t)'!G862*$AU$24)</f>
        <v>0.97149797315723563</v>
      </c>
      <c r="V864" s="7">
        <v>1</v>
      </c>
      <c r="W864" s="7"/>
      <c r="X864" s="7">
        <v>856</v>
      </c>
      <c r="Y864" s="7">
        <f>$AV$7*EXP(-'3.r(t)'!D862*$AV$21)</f>
        <v>0.88900715067201674</v>
      </c>
      <c r="Z864" s="7">
        <f ca="1">$AV$8*EXP(-'3.r(t)'!E862*$AV$22)</f>
        <v>0.89586125318218546</v>
      </c>
      <c r="AA864" s="7">
        <f ca="1">$AV$9*EXP(-'3.r(t)'!F862*$AV$23)</f>
        <v>0.91338560933225521</v>
      </c>
      <c r="AB864" s="7">
        <f ca="1">$AV$10*EXP(-'3.r(t)'!G862*$AV$24)</f>
        <v>0.94338050973995091</v>
      </c>
      <c r="AC864" s="7">
        <f ca="1">$AV$11*EXP(-'3.r(t)'!H862*$AV$25)</f>
        <v>0.97095165057681421</v>
      </c>
      <c r="AD864" s="7">
        <v>1</v>
      </c>
      <c r="AE864" s="7"/>
      <c r="AF864" s="7">
        <v>856</v>
      </c>
      <c r="AG864" s="7">
        <f>$AW$7*EXP(-'3.r(t)'!D862*$AW$21)</f>
        <v>0.86718755429225491</v>
      </c>
      <c r="AH864" s="7">
        <f ca="1">$AW$8*EXP(-'3.r(t)'!E862*$AW$22)</f>
        <v>0.87060668246184536</v>
      </c>
      <c r="AI864" s="7">
        <f ca="1">$AW$9*EXP(-'3.r(t)'!F862*$AW$23)</f>
        <v>0.88543106108769731</v>
      </c>
      <c r="AJ864" s="7">
        <f ca="1">$AW$10*EXP(-'3.r(t)'!G862*$AW$24)</f>
        <v>0.91567533545897628</v>
      </c>
      <c r="AK864" s="7">
        <f ca="1">$AW$11*EXP(-'3.r(t)'!H862*$AW$25)</f>
        <v>0.94232814978874857</v>
      </c>
      <c r="AL864" s="7">
        <f ca="1">$AW$12*EXP(-'3.r(t)'!I862*$AW$26)</f>
        <v>0.96722454689205883</v>
      </c>
      <c r="AM864" s="7">
        <v>1</v>
      </c>
      <c r="AN864" s="7"/>
    </row>
    <row r="865" spans="2:40">
      <c r="B865" s="7">
        <v>857</v>
      </c>
      <c r="C865" s="7">
        <f>$AR$7*EXP(-'3.r(t)'!D863*$AR$21)</f>
        <v>0.97765346695821032</v>
      </c>
      <c r="D865" s="7">
        <v>1</v>
      </c>
      <c r="E865" s="7"/>
      <c r="F865" s="7">
        <v>857</v>
      </c>
      <c r="G865" s="48">
        <f>$AS$7*EXP(-'3.r(t)'!D863*$AS$21)</f>
        <v>0.9553476245219803</v>
      </c>
      <c r="H865" s="7">
        <f ca="1">$AS$8*EXP(-'3.r(t)'!E863*$AS$22)</f>
        <v>0.97513631700151282</v>
      </c>
      <c r="I865" s="7">
        <v>1</v>
      </c>
      <c r="J865" s="7"/>
      <c r="K865" s="7">
        <v>857</v>
      </c>
      <c r="L865" s="7">
        <f>$AT$7*EXP(-'3.r(t)'!D863*$AT$21)</f>
        <v>0.93311670519824419</v>
      </c>
      <c r="M865" s="7">
        <f ca="1">$AT$8*EXP(-'3.r(t)'!E863*$AT$22)</f>
        <v>0.95044295380252564</v>
      </c>
      <c r="N865" s="7">
        <f ca="1">$AT$9*EXP(-'3.r(t)'!F863*$AT$23)</f>
        <v>0.97576875512251848</v>
      </c>
      <c r="O865" s="7">
        <v>1</v>
      </c>
      <c r="P865" s="7"/>
      <c r="Q865" s="7">
        <v>857</v>
      </c>
      <c r="R865" s="7">
        <f>$AU$7*EXP(-'3.r(t)'!D863*$AU$21)</f>
        <v>0.91099305977534117</v>
      </c>
      <c r="S865" s="7">
        <f ca="1">$AU$8*EXP(-'3.r(t)'!E863*$AU$22)</f>
        <v>0.92595245389158309</v>
      </c>
      <c r="T865" s="7">
        <f ca="1">$AU$9*EXP(-'3.r(t)'!F863*$AU$23)</f>
        <v>0.95168464555463528</v>
      </c>
      <c r="U865" s="7">
        <f ca="1">$AU$10*EXP(-'3.r(t)'!G863*$AU$24)</f>
        <v>0.97567902333331979</v>
      </c>
      <c r="V865" s="7">
        <v>1</v>
      </c>
      <c r="W865" s="7"/>
      <c r="X865" s="7">
        <v>857</v>
      </c>
      <c r="Y865" s="7">
        <f>$AV$7*EXP(-'3.r(t)'!D863*$AV$21)</f>
        <v>0.88900715067201674</v>
      </c>
      <c r="Z865" s="7">
        <f ca="1">$AV$8*EXP(-'3.r(t)'!E863*$AV$22)</f>
        <v>0.90169516391162785</v>
      </c>
      <c r="AA865" s="7">
        <f ca="1">$AV$9*EXP(-'3.r(t)'!F863*$AV$23)</f>
        <v>0.92777994216304394</v>
      </c>
      <c r="AB865" s="7">
        <f ca="1">$AV$10*EXP(-'3.r(t)'!G863*$AV$24)</f>
        <v>0.95151806426375352</v>
      </c>
      <c r="AC865" s="7">
        <f ca="1">$AV$11*EXP(-'3.r(t)'!H863*$AV$25)</f>
        <v>0.97626644794778805</v>
      </c>
      <c r="AD865" s="7">
        <v>1</v>
      </c>
      <c r="AE865" s="7"/>
      <c r="AF865" s="7">
        <v>857</v>
      </c>
      <c r="AG865" s="7">
        <f>$AW$7*EXP(-'3.r(t)'!D863*$AW$21)</f>
        <v>0.86718755429225491</v>
      </c>
      <c r="AH865" s="7">
        <f ca="1">$AW$8*EXP(-'3.r(t)'!E863*$AW$22)</f>
        <v>0.87769925583770581</v>
      </c>
      <c r="AI865" s="7">
        <f ca="1">$AW$9*EXP(-'3.r(t)'!F863*$AW$23)</f>
        <v>0.90408480922639278</v>
      </c>
      <c r="AJ865" s="7">
        <f ca="1">$AW$10*EXP(-'3.r(t)'!G863*$AW$24)</f>
        <v>0.92754870515565446</v>
      </c>
      <c r="AK865" s="7">
        <f ca="1">$AW$11*EXP(-'3.r(t)'!H863*$AW$25)</f>
        <v>0.9526726202802831</v>
      </c>
      <c r="AL865" s="7">
        <f ca="1">$AW$12*EXP(-'3.r(t)'!I863*$AW$26)</f>
        <v>0.97428648627140968</v>
      </c>
      <c r="AM865" s="7">
        <v>1</v>
      </c>
      <c r="AN865" s="7"/>
    </row>
    <row r="866" spans="2:40">
      <c r="B866" s="7">
        <v>858</v>
      </c>
      <c r="C866" s="7">
        <f>$AR$7*EXP(-'3.r(t)'!D864*$AR$21)</f>
        <v>0.97765346695821032</v>
      </c>
      <c r="D866" s="7">
        <v>1</v>
      </c>
      <c r="E866" s="7"/>
      <c r="F866" s="7">
        <v>858</v>
      </c>
      <c r="G866" s="48">
        <f>$AS$7*EXP(-'3.r(t)'!D864*$AS$21)</f>
        <v>0.9553476245219803</v>
      </c>
      <c r="H866" s="7">
        <f ca="1">$AS$8*EXP(-'3.r(t)'!E864*$AS$22)</f>
        <v>0.97737903062310783</v>
      </c>
      <c r="I866" s="7">
        <v>1</v>
      </c>
      <c r="J866" s="7"/>
      <c r="K866" s="7">
        <v>858</v>
      </c>
      <c r="L866" s="7">
        <f>$AT$7*EXP(-'3.r(t)'!D864*$AT$21)</f>
        <v>0.93311670519824419</v>
      </c>
      <c r="M866" s="7">
        <f ca="1">$AT$8*EXP(-'3.r(t)'!E864*$AT$22)</f>
        <v>0.95481982403021215</v>
      </c>
      <c r="N866" s="7">
        <f ca="1">$AT$9*EXP(-'3.r(t)'!F864*$AT$23)</f>
        <v>0.97790880331537045</v>
      </c>
      <c r="O866" s="7">
        <v>1</v>
      </c>
      <c r="P866" s="7"/>
      <c r="Q866" s="7">
        <v>858</v>
      </c>
      <c r="R866" s="7">
        <f>$AU$7*EXP(-'3.r(t)'!D864*$AU$21)</f>
        <v>0.91099305977534117</v>
      </c>
      <c r="S866" s="7">
        <f ca="1">$AU$8*EXP(-'3.r(t)'!E864*$AU$22)</f>
        <v>0.93235594603914218</v>
      </c>
      <c r="T866" s="7">
        <f ca="1">$AU$9*EXP(-'3.r(t)'!F864*$AU$23)</f>
        <v>0.95586367747893253</v>
      </c>
      <c r="U866" s="7">
        <f ca="1">$AU$10*EXP(-'3.r(t)'!G864*$AU$24)</f>
        <v>0.97697276194921212</v>
      </c>
      <c r="V866" s="7">
        <v>1</v>
      </c>
      <c r="W866" s="7"/>
      <c r="X866" s="7">
        <v>858</v>
      </c>
      <c r="Y866" s="7">
        <f>$AV$7*EXP(-'3.r(t)'!D864*$AV$21)</f>
        <v>0.88900715067201674</v>
      </c>
      <c r="Z866" s="7">
        <f ca="1">$AV$8*EXP(-'3.r(t)'!E864*$AV$22)</f>
        <v>0.91001905104506009</v>
      </c>
      <c r="AA866" s="7">
        <f ca="1">$AV$9*EXP(-'3.r(t)'!F864*$AV$23)</f>
        <v>0.93389773861010772</v>
      </c>
      <c r="AB866" s="7">
        <f ca="1">$AV$10*EXP(-'3.r(t)'!G864*$AV$24)</f>
        <v>0.95404314021590231</v>
      </c>
      <c r="AC866" s="7">
        <f ca="1">$AV$11*EXP(-'3.r(t)'!H864*$AV$25)</f>
        <v>0.97990253665159621</v>
      </c>
      <c r="AD866" s="7">
        <v>1</v>
      </c>
      <c r="AE866" s="7"/>
      <c r="AF866" s="7">
        <v>858</v>
      </c>
      <c r="AG866" s="7">
        <f>$AW$7*EXP(-'3.r(t)'!D864*$AW$21)</f>
        <v>0.86718755429225491</v>
      </c>
      <c r="AH866" s="7">
        <f ca="1">$AW$8*EXP(-'3.r(t)'!E864*$AW$22)</f>
        <v>0.88783888070926154</v>
      </c>
      <c r="AI866" s="7">
        <f ca="1">$AW$9*EXP(-'3.r(t)'!F864*$AW$23)</f>
        <v>0.9120422659338393</v>
      </c>
      <c r="AJ866" s="7">
        <f ca="1">$AW$10*EXP(-'3.r(t)'!G864*$AW$24)</f>
        <v>0.93124335507268752</v>
      </c>
      <c r="AK866" s="7">
        <f ca="1">$AW$11*EXP(-'3.r(t)'!H864*$AW$25)</f>
        <v>0.95978226328914096</v>
      </c>
      <c r="AL866" s="7">
        <f ca="1">$AW$12*EXP(-'3.r(t)'!I864*$AW$26)</f>
        <v>0.97713912415723947</v>
      </c>
      <c r="AM866" s="7">
        <v>1</v>
      </c>
      <c r="AN866" s="7"/>
    </row>
    <row r="867" spans="2:40">
      <c r="B867" s="7">
        <v>859</v>
      </c>
      <c r="C867" s="7">
        <f>$AR$7*EXP(-'3.r(t)'!D865*$AR$21)</f>
        <v>0.97765346695821032</v>
      </c>
      <c r="D867" s="7">
        <v>1</v>
      </c>
      <c r="E867" s="7"/>
      <c r="F867" s="7">
        <v>859</v>
      </c>
      <c r="G867" s="48">
        <f>$AS$7*EXP(-'3.r(t)'!D865*$AS$21)</f>
        <v>0.9553476245219803</v>
      </c>
      <c r="H867" s="7">
        <f ca="1">$AS$8*EXP(-'3.r(t)'!E865*$AS$22)</f>
        <v>0.97661782440167166</v>
      </c>
      <c r="I867" s="7">
        <v>1</v>
      </c>
      <c r="J867" s="7"/>
      <c r="K867" s="7">
        <v>859</v>
      </c>
      <c r="L867" s="7">
        <f>$AT$7*EXP(-'3.r(t)'!D865*$AT$21)</f>
        <v>0.93311670519824419</v>
      </c>
      <c r="M867" s="7">
        <f ca="1">$AT$8*EXP(-'3.r(t)'!E865*$AT$22)</f>
        <v>0.95333313005121967</v>
      </c>
      <c r="N867" s="7">
        <f ca="1">$AT$9*EXP(-'3.r(t)'!F865*$AT$23)</f>
        <v>0.9777458805934276</v>
      </c>
      <c r="O867" s="7">
        <v>1</v>
      </c>
      <c r="P867" s="7"/>
      <c r="Q867" s="7">
        <v>859</v>
      </c>
      <c r="R867" s="7">
        <f>$AU$7*EXP(-'3.r(t)'!D865*$AU$21)</f>
        <v>0.91099305977534117</v>
      </c>
      <c r="S867" s="7">
        <f ca="1">$AU$8*EXP(-'3.r(t)'!E865*$AU$22)</f>
        <v>0.93017921871589182</v>
      </c>
      <c r="T867" s="7">
        <f ca="1">$AU$9*EXP(-'3.r(t)'!F865*$AU$23)</f>
        <v>0.95554520414297928</v>
      </c>
      <c r="U867" s="7">
        <f ca="1">$AU$10*EXP(-'3.r(t)'!G865*$AU$24)</f>
        <v>0.97973851474698093</v>
      </c>
      <c r="V867" s="7">
        <v>1</v>
      </c>
      <c r="W867" s="7"/>
      <c r="X867" s="7">
        <v>859</v>
      </c>
      <c r="Y867" s="7">
        <f>$AV$7*EXP(-'3.r(t)'!D865*$AV$21)</f>
        <v>0.88900715067201674</v>
      </c>
      <c r="Z867" s="7">
        <f ca="1">$AV$8*EXP(-'3.r(t)'!E865*$AV$22)</f>
        <v>0.9071873826321466</v>
      </c>
      <c r="AA867" s="7">
        <f ca="1">$AV$9*EXP(-'3.r(t)'!F865*$AV$23)</f>
        <v>0.93343104535625443</v>
      </c>
      <c r="AB867" s="7">
        <f ca="1">$AV$10*EXP(-'3.r(t)'!G865*$AV$24)</f>
        <v>0.95945246689434327</v>
      </c>
      <c r="AC867" s="7">
        <f ca="1">$AV$11*EXP(-'3.r(t)'!H865*$AV$25)</f>
        <v>0.98189493717670751</v>
      </c>
      <c r="AD867" s="7">
        <v>1</v>
      </c>
      <c r="AE867" s="7"/>
      <c r="AF867" s="7">
        <v>859</v>
      </c>
      <c r="AG867" s="7">
        <f>$AW$7*EXP(-'3.r(t)'!D865*$AW$21)</f>
        <v>0.86718755429225491</v>
      </c>
      <c r="AH867" s="7">
        <f ca="1">$AW$8*EXP(-'3.r(t)'!E865*$AW$22)</f>
        <v>0.8843869108224911</v>
      </c>
      <c r="AI867" s="7">
        <f ca="1">$AW$9*EXP(-'3.r(t)'!F865*$AW$23)</f>
        <v>0.91143462122030117</v>
      </c>
      <c r="AJ867" s="7">
        <f ca="1">$AW$10*EXP(-'3.r(t)'!G865*$AW$24)</f>
        <v>0.93917465235380537</v>
      </c>
      <c r="AK867" s="7">
        <f ca="1">$AW$11*EXP(-'3.r(t)'!H865*$AW$25)</f>
        <v>0.9636892125811729</v>
      </c>
      <c r="AL867" s="7">
        <f ca="1">$AW$12*EXP(-'3.r(t)'!I865*$AW$26)</f>
        <v>0.97865196058543336</v>
      </c>
      <c r="AM867" s="7">
        <v>1</v>
      </c>
      <c r="AN867" s="7"/>
    </row>
    <row r="868" spans="2:40">
      <c r="B868" s="7">
        <v>860</v>
      </c>
      <c r="C868" s="7">
        <f>$AR$7*EXP(-'3.r(t)'!D866*$AR$21)</f>
        <v>0.97765346695821032</v>
      </c>
      <c r="D868" s="7">
        <v>1</v>
      </c>
      <c r="E868" s="7"/>
      <c r="F868" s="7">
        <v>860</v>
      </c>
      <c r="G868" s="48">
        <f>$AS$7*EXP(-'3.r(t)'!D866*$AS$21)</f>
        <v>0.9553476245219803</v>
      </c>
      <c r="H868" s="7">
        <f ca="1">$AS$8*EXP(-'3.r(t)'!E866*$AS$22)</f>
        <v>0.98212891855233264</v>
      </c>
      <c r="I868" s="7">
        <v>1</v>
      </c>
      <c r="J868" s="7"/>
      <c r="K868" s="7">
        <v>860</v>
      </c>
      <c r="L868" s="7">
        <f>$AT$7*EXP(-'3.r(t)'!D866*$AT$21)</f>
        <v>0.93311670519824419</v>
      </c>
      <c r="M868" s="7">
        <f ca="1">$AT$8*EXP(-'3.r(t)'!E866*$AT$22)</f>
        <v>0.96412288324883644</v>
      </c>
      <c r="N868" s="7">
        <f ca="1">$AT$9*EXP(-'3.r(t)'!F866*$AT$23)</f>
        <v>0.98051490771789063</v>
      </c>
      <c r="O868" s="7">
        <v>1</v>
      </c>
      <c r="P868" s="7"/>
      <c r="Q868" s="7">
        <v>860</v>
      </c>
      <c r="R868" s="7">
        <f>$AU$7*EXP(-'3.r(t)'!D866*$AU$21)</f>
        <v>0.91099305977534117</v>
      </c>
      <c r="S868" s="7">
        <f ca="1">$AU$8*EXP(-'3.r(t)'!E866*$AU$22)</f>
        <v>0.94601536511521644</v>
      </c>
      <c r="T868" s="7">
        <f ca="1">$AU$9*EXP(-'3.r(t)'!F866*$AU$23)</f>
        <v>0.96096517542171644</v>
      </c>
      <c r="U868" s="7">
        <f ca="1">$AU$10*EXP(-'3.r(t)'!G866*$AU$24)</f>
        <v>0.97923497280172633</v>
      </c>
      <c r="V868" s="7">
        <v>1</v>
      </c>
      <c r="W868" s="7"/>
      <c r="X868" s="7">
        <v>860</v>
      </c>
      <c r="Y868" s="7">
        <f>$AV$7*EXP(-'3.r(t)'!D866*$AV$21)</f>
        <v>0.88900715067201674</v>
      </c>
      <c r="Z868" s="7">
        <f ca="1">$AV$8*EXP(-'3.r(t)'!E866*$AV$22)</f>
        <v>0.92783854734021609</v>
      </c>
      <c r="AA868" s="7">
        <f ca="1">$AV$9*EXP(-'3.r(t)'!F866*$AV$23)</f>
        <v>0.9413841019880318</v>
      </c>
      <c r="AB868" s="7">
        <f ca="1">$AV$10*EXP(-'3.r(t)'!G866*$AV$24)</f>
        <v>0.95846648869293649</v>
      </c>
      <c r="AC868" s="7">
        <f ca="1">$AV$11*EXP(-'3.r(t)'!H866*$AV$25)</f>
        <v>0.97544385695253844</v>
      </c>
      <c r="AD868" s="7">
        <v>1</v>
      </c>
      <c r="AE868" s="7"/>
      <c r="AF868" s="7">
        <v>860</v>
      </c>
      <c r="AG868" s="7">
        <f>$AW$7*EXP(-'3.r(t)'!D866*$AW$21)</f>
        <v>0.86718755429225491</v>
      </c>
      <c r="AH868" s="7">
        <f ca="1">$AW$8*EXP(-'3.r(t)'!E866*$AW$22)</f>
        <v>0.90962328463146713</v>
      </c>
      <c r="AI868" s="7">
        <f ca="1">$AW$9*EXP(-'3.r(t)'!F866*$AW$23)</f>
        <v>0.92180348593119166</v>
      </c>
      <c r="AJ868" s="7">
        <f ca="1">$AW$10*EXP(-'3.r(t)'!G866*$AW$24)</f>
        <v>0.93772731469401227</v>
      </c>
      <c r="AK868" s="7">
        <f ca="1">$AW$11*EXP(-'3.r(t)'!H866*$AW$25)</f>
        <v>0.95106787442622509</v>
      </c>
      <c r="AL868" s="7">
        <f ca="1">$AW$12*EXP(-'3.r(t)'!I866*$AW$26)</f>
        <v>0.97532191753994113</v>
      </c>
      <c r="AM868" s="7">
        <v>1</v>
      </c>
      <c r="AN868" s="7"/>
    </row>
    <row r="869" spans="2:40">
      <c r="B869" s="7">
        <v>861</v>
      </c>
      <c r="C869" s="7">
        <f>$AR$7*EXP(-'3.r(t)'!D867*$AR$21)</f>
        <v>0.97765346695821032</v>
      </c>
      <c r="D869" s="7">
        <v>1</v>
      </c>
      <c r="E869" s="7"/>
      <c r="F869" s="7">
        <v>861</v>
      </c>
      <c r="G869" s="48">
        <f>$AS$7*EXP(-'3.r(t)'!D867*$AS$21)</f>
        <v>0.9553476245219803</v>
      </c>
      <c r="H869" s="7">
        <f ca="1">$AS$8*EXP(-'3.r(t)'!E867*$AS$22)</f>
        <v>0.97641782750169359</v>
      </c>
      <c r="I869" s="7">
        <v>1</v>
      </c>
      <c r="J869" s="7"/>
      <c r="K869" s="7">
        <v>861</v>
      </c>
      <c r="L869" s="7">
        <f>$AT$7*EXP(-'3.r(t)'!D867*$AT$21)</f>
        <v>0.93311670519824419</v>
      </c>
      <c r="M869" s="7">
        <f ca="1">$AT$8*EXP(-'3.r(t)'!E867*$AT$22)</f>
        <v>0.95294271295388244</v>
      </c>
      <c r="N869" s="7">
        <f ca="1">$AT$9*EXP(-'3.r(t)'!F867*$AT$23)</f>
        <v>0.97846913458358953</v>
      </c>
      <c r="O869" s="7">
        <v>1</v>
      </c>
      <c r="P869" s="7"/>
      <c r="Q869" s="7">
        <v>861</v>
      </c>
      <c r="R869" s="7">
        <f>$AU$7*EXP(-'3.r(t)'!D867*$AU$21)</f>
        <v>0.91099305977534117</v>
      </c>
      <c r="S869" s="7">
        <f ca="1">$AU$8*EXP(-'3.r(t)'!E867*$AU$22)</f>
        <v>0.92960787485552288</v>
      </c>
      <c r="T869" s="7">
        <f ca="1">$AU$9*EXP(-'3.r(t)'!F867*$AU$23)</f>
        <v>0.95695939059951973</v>
      </c>
      <c r="U869" s="7">
        <f ca="1">$AU$10*EXP(-'3.r(t)'!G867*$AU$24)</f>
        <v>0.97955206976947651</v>
      </c>
      <c r="V869" s="7">
        <v>1</v>
      </c>
      <c r="W869" s="7"/>
      <c r="X869" s="7">
        <v>861</v>
      </c>
      <c r="Y869" s="7">
        <f>$AV$7*EXP(-'3.r(t)'!D867*$AV$21)</f>
        <v>0.88900715067201674</v>
      </c>
      <c r="Z869" s="7">
        <f ca="1">$AV$8*EXP(-'3.r(t)'!E867*$AV$22)</f>
        <v>0.90644449658360426</v>
      </c>
      <c r="AA869" s="7">
        <f ca="1">$AV$9*EXP(-'3.r(t)'!F867*$AV$23)</f>
        <v>0.93550399882739632</v>
      </c>
      <c r="AB869" s="7">
        <f ca="1">$AV$10*EXP(-'3.r(t)'!G867*$AV$24)</f>
        <v>0.95908733258568779</v>
      </c>
      <c r="AC869" s="7">
        <f ca="1">$AV$11*EXP(-'3.r(t)'!H867*$AV$25)</f>
        <v>0.9818595520173854</v>
      </c>
      <c r="AD869" s="7">
        <v>1</v>
      </c>
      <c r="AE869" s="7"/>
      <c r="AF869" s="7">
        <v>861</v>
      </c>
      <c r="AG869" s="7">
        <f>$AW$7*EXP(-'3.r(t)'!D867*$AW$21)</f>
        <v>0.86718755429225491</v>
      </c>
      <c r="AH869" s="7">
        <f ca="1">$AW$8*EXP(-'3.r(t)'!E867*$AW$22)</f>
        <v>0.88348173477339631</v>
      </c>
      <c r="AI869" s="7">
        <f ca="1">$AW$9*EXP(-'3.r(t)'!F867*$AW$23)</f>
        <v>0.91413442504424924</v>
      </c>
      <c r="AJ869" s="7">
        <f ca="1">$AW$10*EXP(-'3.r(t)'!G867*$AW$24)</f>
        <v>0.93863857745041812</v>
      </c>
      <c r="AK869" s="7">
        <f ca="1">$AW$11*EXP(-'3.r(t)'!H867*$AW$25)</f>
        <v>0.96361975569615144</v>
      </c>
      <c r="AL869" s="7">
        <f ca="1">$AW$12*EXP(-'3.r(t)'!I867*$AW$26)</f>
        <v>0.98267436637647132</v>
      </c>
      <c r="AM869" s="7">
        <v>1</v>
      </c>
      <c r="AN869" s="7"/>
    </row>
    <row r="870" spans="2:40">
      <c r="B870" s="7">
        <v>862</v>
      </c>
      <c r="C870" s="7">
        <f>$AR$7*EXP(-'3.r(t)'!D868*$AR$21)</f>
        <v>0.97765346695821032</v>
      </c>
      <c r="D870" s="7">
        <v>1</v>
      </c>
      <c r="E870" s="7"/>
      <c r="F870" s="7">
        <v>862</v>
      </c>
      <c r="G870" s="48">
        <f>$AS$7*EXP(-'3.r(t)'!D868*$AS$21)</f>
        <v>0.9553476245219803</v>
      </c>
      <c r="H870" s="7">
        <f ca="1">$AS$8*EXP(-'3.r(t)'!E868*$AS$22)</f>
        <v>0.97532867195540729</v>
      </c>
      <c r="I870" s="7">
        <v>1</v>
      </c>
      <c r="J870" s="7"/>
      <c r="K870" s="7">
        <v>862</v>
      </c>
      <c r="L870" s="7">
        <f>$AT$7*EXP(-'3.r(t)'!D868*$AT$21)</f>
        <v>0.93311670519824419</v>
      </c>
      <c r="M870" s="7">
        <f ca="1">$AT$8*EXP(-'3.r(t)'!E868*$AT$22)</f>
        <v>0.95081795868974761</v>
      </c>
      <c r="N870" s="7">
        <f ca="1">$AT$9*EXP(-'3.r(t)'!F868*$AT$23)</f>
        <v>0.97340229936452261</v>
      </c>
      <c r="O870" s="7">
        <v>1</v>
      </c>
      <c r="P870" s="7"/>
      <c r="Q870" s="7">
        <v>862</v>
      </c>
      <c r="R870" s="7">
        <f>$AU$7*EXP(-'3.r(t)'!D868*$AU$21)</f>
        <v>0.91099305977534117</v>
      </c>
      <c r="S870" s="7">
        <f ca="1">$AU$8*EXP(-'3.r(t)'!E868*$AU$22)</f>
        <v>0.92650052088996326</v>
      </c>
      <c r="T870" s="7">
        <f ca="1">$AU$9*EXP(-'3.r(t)'!F868*$AU$23)</f>
        <v>0.94707415018356045</v>
      </c>
      <c r="U870" s="7">
        <f ca="1">$AU$10*EXP(-'3.r(t)'!G868*$AU$24)</f>
        <v>0.97458066590532222</v>
      </c>
      <c r="V870" s="7">
        <v>1</v>
      </c>
      <c r="W870" s="7"/>
      <c r="X870" s="7">
        <v>862</v>
      </c>
      <c r="Y870" s="7">
        <f>$AV$7*EXP(-'3.r(t)'!D868*$AV$21)</f>
        <v>0.88900715067201674</v>
      </c>
      <c r="Z870" s="7">
        <f ca="1">$AV$8*EXP(-'3.r(t)'!E868*$AV$22)</f>
        <v>0.9024068463957593</v>
      </c>
      <c r="AA870" s="7">
        <f ca="1">$AV$9*EXP(-'3.r(t)'!F868*$AV$23)</f>
        <v>0.92104608298921553</v>
      </c>
      <c r="AB870" s="7">
        <f ca="1">$AV$10*EXP(-'3.r(t)'!G868*$AV$24)</f>
        <v>0.94937695299396074</v>
      </c>
      <c r="AC870" s="7">
        <f ca="1">$AV$11*EXP(-'3.r(t)'!H868*$AV$25)</f>
        <v>0.97778970507827145</v>
      </c>
      <c r="AD870" s="7">
        <v>1</v>
      </c>
      <c r="AE870" s="7"/>
      <c r="AF870" s="7">
        <v>862</v>
      </c>
      <c r="AG870" s="7">
        <f>$AW$7*EXP(-'3.r(t)'!D868*$AW$21)</f>
        <v>0.86718755429225491</v>
      </c>
      <c r="AH870" s="7">
        <f ca="1">$AW$8*EXP(-'3.r(t)'!E868*$AW$22)</f>
        <v>0.87856527024342057</v>
      </c>
      <c r="AI870" s="7">
        <f ca="1">$AW$9*EXP(-'3.r(t)'!F868*$AW$23)</f>
        <v>0.89534623788431866</v>
      </c>
      <c r="AJ870" s="7">
        <f ca="1">$AW$10*EXP(-'3.r(t)'!G868*$AW$24)</f>
        <v>0.92441970410597951</v>
      </c>
      <c r="AK870" s="7">
        <f ca="1">$AW$11*EXP(-'3.r(t)'!H868*$AW$25)</f>
        <v>0.9556478274751824</v>
      </c>
      <c r="AL870" s="7">
        <f ca="1">$AW$12*EXP(-'3.r(t)'!I868*$AW$26)</f>
        <v>0.97856419966136043</v>
      </c>
      <c r="AM870" s="7">
        <v>1</v>
      </c>
      <c r="AN870" s="7"/>
    </row>
    <row r="871" spans="2:40">
      <c r="B871" s="7">
        <v>863</v>
      </c>
      <c r="C871" s="7">
        <f>$AR$7*EXP(-'3.r(t)'!D869*$AR$21)</f>
        <v>0.97765346695821032</v>
      </c>
      <c r="D871" s="7">
        <v>1</v>
      </c>
      <c r="E871" s="7"/>
      <c r="F871" s="7">
        <v>863</v>
      </c>
      <c r="G871" s="48">
        <f>$AS$7*EXP(-'3.r(t)'!D869*$AS$21)</f>
        <v>0.9553476245219803</v>
      </c>
      <c r="H871" s="7">
        <f ca="1">$AS$8*EXP(-'3.r(t)'!E869*$AS$22)</f>
        <v>0.97624173052889329</v>
      </c>
      <c r="I871" s="7">
        <v>1</v>
      </c>
      <c r="J871" s="7"/>
      <c r="K871" s="7">
        <v>863</v>
      </c>
      <c r="L871" s="7">
        <f>$AT$7*EXP(-'3.r(t)'!D869*$AT$21)</f>
        <v>0.93311670519824419</v>
      </c>
      <c r="M871" s="7">
        <f ca="1">$AT$8*EXP(-'3.r(t)'!E869*$AT$22)</f>
        <v>0.95259901747848374</v>
      </c>
      <c r="N871" s="7">
        <f ca="1">$AT$9*EXP(-'3.r(t)'!F869*$AT$23)</f>
        <v>0.97725103741079744</v>
      </c>
      <c r="O871" s="7">
        <v>1</v>
      </c>
      <c r="P871" s="7"/>
      <c r="Q871" s="7">
        <v>863</v>
      </c>
      <c r="R871" s="7">
        <f>$AU$7*EXP(-'3.r(t)'!D869*$AU$21)</f>
        <v>0.91099305977534117</v>
      </c>
      <c r="S871" s="7">
        <f ca="1">$AU$8*EXP(-'3.r(t)'!E869*$AU$22)</f>
        <v>0.92910500116871775</v>
      </c>
      <c r="T871" s="7">
        <f ca="1">$AU$9*EXP(-'3.r(t)'!F869*$AU$23)</f>
        <v>0.95457823433116196</v>
      </c>
      <c r="U871" s="7">
        <f ca="1">$AU$10*EXP(-'3.r(t)'!G869*$AU$24)</f>
        <v>0.97519387731529295</v>
      </c>
      <c r="V871" s="7">
        <v>1</v>
      </c>
      <c r="W871" s="7"/>
      <c r="X871" s="7">
        <v>863</v>
      </c>
      <c r="Y871" s="7">
        <f>$AV$7*EXP(-'3.r(t)'!D869*$AV$21)</f>
        <v>0.88900715067201674</v>
      </c>
      <c r="Z871" s="7">
        <f ca="1">$AV$8*EXP(-'3.r(t)'!E869*$AV$22)</f>
        <v>0.90579076433589101</v>
      </c>
      <c r="AA871" s="7">
        <f ca="1">$AV$9*EXP(-'3.r(t)'!F869*$AV$23)</f>
        <v>0.93201451699313898</v>
      </c>
      <c r="AB871" s="7">
        <f ca="1">$AV$10*EXP(-'3.r(t)'!G869*$AV$24)</f>
        <v>0.9505720350475656</v>
      </c>
      <c r="AC871" s="7">
        <f ca="1">$AV$11*EXP(-'3.r(t)'!H869*$AV$25)</f>
        <v>0.97589163578637339</v>
      </c>
      <c r="AD871" s="7">
        <v>1</v>
      </c>
      <c r="AE871" s="7"/>
      <c r="AF871" s="7">
        <v>863</v>
      </c>
      <c r="AG871" s="7">
        <f>$AW$7*EXP(-'3.r(t)'!D869*$AW$21)</f>
        <v>0.86718755429225491</v>
      </c>
      <c r="AH871" s="7">
        <f ca="1">$AW$8*EXP(-'3.r(t)'!E869*$AW$22)</f>
        <v>0.88268534234998097</v>
      </c>
      <c r="AI871" s="7">
        <f ca="1">$AW$9*EXP(-'3.r(t)'!F869*$AW$23)</f>
        <v>0.90959089090419665</v>
      </c>
      <c r="AJ871" s="7">
        <f ca="1">$AW$10*EXP(-'3.r(t)'!G869*$AW$24)</f>
        <v>0.92616575185495265</v>
      </c>
      <c r="AK871" s="7">
        <f ca="1">$AW$11*EXP(-'3.r(t)'!H869*$AW$25)</f>
        <v>0.95194125285457898</v>
      </c>
      <c r="AL871" s="7">
        <f ca="1">$AW$12*EXP(-'3.r(t)'!I869*$AW$26)</f>
        <v>0.97676243841406163</v>
      </c>
      <c r="AM871" s="7">
        <v>1</v>
      </c>
      <c r="AN871" s="7"/>
    </row>
    <row r="872" spans="2:40">
      <c r="B872" s="7">
        <v>864</v>
      </c>
      <c r="C872" s="7">
        <f>$AR$7*EXP(-'3.r(t)'!D870*$AR$21)</f>
        <v>0.97765346695821032</v>
      </c>
      <c r="D872" s="7">
        <v>1</v>
      </c>
      <c r="E872" s="7"/>
      <c r="F872" s="7">
        <v>864</v>
      </c>
      <c r="G872" s="48">
        <f>$AS$7*EXP(-'3.r(t)'!D870*$AS$21)</f>
        <v>0.9553476245219803</v>
      </c>
      <c r="H872" s="7">
        <f ca="1">$AS$8*EXP(-'3.r(t)'!E870*$AS$22)</f>
        <v>0.97912013761683447</v>
      </c>
      <c r="I872" s="7">
        <v>1</v>
      </c>
      <c r="J872" s="7"/>
      <c r="K872" s="7">
        <v>864</v>
      </c>
      <c r="L872" s="7">
        <f>$AT$7*EXP(-'3.r(t)'!D870*$AT$21)</f>
        <v>0.93311670519824419</v>
      </c>
      <c r="M872" s="7">
        <f ca="1">$AT$8*EXP(-'3.r(t)'!E870*$AT$22)</f>
        <v>0.95822469391799958</v>
      </c>
      <c r="N872" s="7">
        <f ca="1">$AT$9*EXP(-'3.r(t)'!F870*$AT$23)</f>
        <v>0.98289310370471616</v>
      </c>
      <c r="O872" s="7">
        <v>1</v>
      </c>
      <c r="P872" s="7"/>
      <c r="Q872" s="7">
        <v>864</v>
      </c>
      <c r="R872" s="7">
        <f>$AU$7*EXP(-'3.r(t)'!D870*$AU$21)</f>
        <v>0.91099305977534117</v>
      </c>
      <c r="S872" s="7">
        <f ca="1">$AU$8*EXP(-'3.r(t)'!E870*$AU$22)</f>
        <v>0.93734753558766992</v>
      </c>
      <c r="T872" s="7">
        <f ca="1">$AU$9*EXP(-'3.r(t)'!F870*$AU$23)</f>
        <v>0.96563238655792527</v>
      </c>
      <c r="U872" s="7">
        <f ca="1">$AU$10*EXP(-'3.r(t)'!G870*$AU$24)</f>
        <v>0.98459517777434613</v>
      </c>
      <c r="V872" s="7">
        <v>1</v>
      </c>
      <c r="W872" s="7"/>
      <c r="X872" s="7">
        <v>864</v>
      </c>
      <c r="Y872" s="7">
        <f>$AV$7*EXP(-'3.r(t)'!D870*$AV$21)</f>
        <v>0.88900715067201674</v>
      </c>
      <c r="Z872" s="7">
        <f ca="1">$AV$8*EXP(-'3.r(t)'!E870*$AV$22)</f>
        <v>0.91652084536630796</v>
      </c>
      <c r="AA872" s="7">
        <f ca="1">$AV$9*EXP(-'3.r(t)'!F870*$AV$23)</f>
        <v>0.94825058724186817</v>
      </c>
      <c r="AB872" s="7">
        <f ca="1">$AV$10*EXP(-'3.r(t)'!G870*$AV$24)</f>
        <v>0.96898824944662165</v>
      </c>
      <c r="AC872" s="7">
        <f ca="1">$AV$11*EXP(-'3.r(t)'!H870*$AV$25)</f>
        <v>0.98577536263035914</v>
      </c>
      <c r="AD872" s="7">
        <v>1</v>
      </c>
      <c r="AE872" s="7"/>
      <c r="AF872" s="7">
        <v>864</v>
      </c>
      <c r="AG872" s="7">
        <f>$AW$7*EXP(-'3.r(t)'!D870*$AW$21)</f>
        <v>0.86718755429225491</v>
      </c>
      <c r="AH872" s="7">
        <f ca="1">$AW$8*EXP(-'3.r(t)'!E870*$AW$22)</f>
        <v>0.89577510465428678</v>
      </c>
      <c r="AI872" s="7">
        <f ca="1">$AW$9*EXP(-'3.r(t)'!F870*$AW$23)</f>
        <v>0.93077925151070173</v>
      </c>
      <c r="AJ872" s="7">
        <f ca="1">$AW$10*EXP(-'3.r(t)'!G870*$AW$24)</f>
        <v>0.95321075291834534</v>
      </c>
      <c r="AK872" s="7">
        <f ca="1">$AW$11*EXP(-'3.r(t)'!H870*$AW$25)</f>
        <v>0.97132121731675514</v>
      </c>
      <c r="AL872" s="7">
        <f ca="1">$AW$12*EXP(-'3.r(t)'!I870*$AW$26)</f>
        <v>0.98388065678771586</v>
      </c>
      <c r="AM872" s="7">
        <v>1</v>
      </c>
      <c r="AN872" s="7"/>
    </row>
    <row r="873" spans="2:40">
      <c r="B873" s="7">
        <v>865</v>
      </c>
      <c r="C873" s="7">
        <f>$AR$7*EXP(-'3.r(t)'!D871*$AR$21)</f>
        <v>0.97765346695821032</v>
      </c>
      <c r="D873" s="7">
        <v>1</v>
      </c>
      <c r="E873" s="7"/>
      <c r="F873" s="7">
        <v>865</v>
      </c>
      <c r="G873" s="48">
        <f>$AS$7*EXP(-'3.r(t)'!D871*$AS$21)</f>
        <v>0.9553476245219803</v>
      </c>
      <c r="H873" s="7">
        <f ca="1">$AS$8*EXP(-'3.r(t)'!E871*$AS$22)</f>
        <v>0.97969970943551821</v>
      </c>
      <c r="I873" s="7">
        <v>1</v>
      </c>
      <c r="J873" s="7"/>
      <c r="K873" s="7">
        <v>865</v>
      </c>
      <c r="L873" s="7">
        <f>$AT$7*EXP(-'3.r(t)'!D871*$AT$21)</f>
        <v>0.93311670519824419</v>
      </c>
      <c r="M873" s="7">
        <f ca="1">$AT$8*EXP(-'3.r(t)'!E871*$AT$22)</f>
        <v>0.95935943596792828</v>
      </c>
      <c r="N873" s="7">
        <f ca="1">$AT$9*EXP(-'3.r(t)'!F871*$AT$23)</f>
        <v>0.98088968404173349</v>
      </c>
      <c r="O873" s="7">
        <v>1</v>
      </c>
      <c r="P873" s="7"/>
      <c r="Q873" s="7">
        <v>865</v>
      </c>
      <c r="R873" s="7">
        <f>$AU$7*EXP(-'3.r(t)'!D871*$AU$21)</f>
        <v>0.91099305977534117</v>
      </c>
      <c r="S873" s="7">
        <f ca="1">$AU$8*EXP(-'3.r(t)'!E871*$AU$22)</f>
        <v>0.93901305700187676</v>
      </c>
      <c r="T873" s="7">
        <f ca="1">$AU$9*EXP(-'3.r(t)'!F871*$AU$23)</f>
        <v>0.9616999237082785</v>
      </c>
      <c r="U873" s="7">
        <f ca="1">$AU$10*EXP(-'3.r(t)'!G871*$AU$24)</f>
        <v>0.98125879263447569</v>
      </c>
      <c r="V873" s="7">
        <v>1</v>
      </c>
      <c r="W873" s="7"/>
      <c r="X873" s="7">
        <v>865</v>
      </c>
      <c r="Y873" s="7">
        <f>$AV$7*EXP(-'3.r(t)'!D871*$AV$21)</f>
        <v>0.88900715067201674</v>
      </c>
      <c r="Z873" s="7">
        <f ca="1">$AV$8*EXP(-'3.r(t)'!E871*$AV$22)</f>
        <v>0.9186928422871119</v>
      </c>
      <c r="AA873" s="7">
        <f ca="1">$AV$9*EXP(-'3.r(t)'!F871*$AV$23)</f>
        <v>0.94246397340865151</v>
      </c>
      <c r="AB873" s="7">
        <f ca="1">$AV$10*EXP(-'3.r(t)'!G871*$AV$24)</f>
        <v>0.96243237641540802</v>
      </c>
      <c r="AC873" s="7">
        <f ca="1">$AV$11*EXP(-'3.r(t)'!H871*$AV$25)</f>
        <v>0.97732844814335573</v>
      </c>
      <c r="AD873" s="7">
        <v>1</v>
      </c>
      <c r="AE873" s="7"/>
      <c r="AF873" s="7">
        <v>865</v>
      </c>
      <c r="AG873" s="7">
        <f>$AW$7*EXP(-'3.r(t)'!D871*$AW$21)</f>
        <v>0.86718755429225491</v>
      </c>
      <c r="AH873" s="7">
        <f ca="1">$AW$8*EXP(-'3.r(t)'!E871*$AW$22)</f>
        <v>0.89842943159368138</v>
      </c>
      <c r="AI873" s="7">
        <f ca="1">$AW$9*EXP(-'3.r(t)'!F871*$AW$23)</f>
        <v>0.92321363580233728</v>
      </c>
      <c r="AJ873" s="7">
        <f ca="1">$AW$10*EXP(-'3.r(t)'!G871*$AW$24)</f>
        <v>0.94355344261434815</v>
      </c>
      <c r="AK873" s="7">
        <f ca="1">$AW$11*EXP(-'3.r(t)'!H871*$AW$25)</f>
        <v>0.95474641643470026</v>
      </c>
      <c r="AL873" s="7">
        <f ca="1">$AW$12*EXP(-'3.r(t)'!I871*$AW$26)</f>
        <v>0.97768315868496636</v>
      </c>
      <c r="AM873" s="7">
        <v>1</v>
      </c>
      <c r="AN873" s="7"/>
    </row>
    <row r="874" spans="2:40">
      <c r="B874" s="7">
        <v>866</v>
      </c>
      <c r="C874" s="7">
        <f>$AR$7*EXP(-'3.r(t)'!D872*$AR$21)</f>
        <v>0.97765346695821032</v>
      </c>
      <c r="D874" s="7">
        <v>1</v>
      </c>
      <c r="E874" s="7"/>
      <c r="F874" s="7">
        <v>866</v>
      </c>
      <c r="G874" s="48">
        <f>$AS$7*EXP(-'3.r(t)'!D872*$AS$21)</f>
        <v>0.9553476245219803</v>
      </c>
      <c r="H874" s="7">
        <f ca="1">$AS$8*EXP(-'3.r(t)'!E872*$AS$22)</f>
        <v>0.97956053370830498</v>
      </c>
      <c r="I874" s="7">
        <v>1</v>
      </c>
      <c r="J874" s="7"/>
      <c r="K874" s="7">
        <v>866</v>
      </c>
      <c r="L874" s="7">
        <f>$AT$7*EXP(-'3.r(t)'!D872*$AT$21)</f>
        <v>0.93311670519824419</v>
      </c>
      <c r="M874" s="7">
        <f ca="1">$AT$8*EXP(-'3.r(t)'!E872*$AT$22)</f>
        <v>0.95908688293558875</v>
      </c>
      <c r="N874" s="7">
        <f ca="1">$AT$9*EXP(-'3.r(t)'!F872*$AT$23)</f>
        <v>0.97879720910677936</v>
      </c>
      <c r="O874" s="7">
        <v>1</v>
      </c>
      <c r="P874" s="7"/>
      <c r="Q874" s="7">
        <v>866</v>
      </c>
      <c r="R874" s="7">
        <f>$AU$7*EXP(-'3.r(t)'!D872*$AU$21)</f>
        <v>0.91099305977534117</v>
      </c>
      <c r="S874" s="7">
        <f ca="1">$AU$8*EXP(-'3.r(t)'!E872*$AU$22)</f>
        <v>0.93861292645401306</v>
      </c>
      <c r="T874" s="7">
        <f ca="1">$AU$9*EXP(-'3.r(t)'!F872*$AU$23)</f>
        <v>0.95760122306634143</v>
      </c>
      <c r="U874" s="7">
        <f ca="1">$AU$10*EXP(-'3.r(t)'!G872*$AU$24)</f>
        <v>0.97867696470392662</v>
      </c>
      <c r="V874" s="7">
        <v>1</v>
      </c>
      <c r="W874" s="7"/>
      <c r="X874" s="7">
        <v>866</v>
      </c>
      <c r="Y874" s="7">
        <f>$AV$7*EXP(-'3.r(t)'!D872*$AV$21)</f>
        <v>0.88900715067201674</v>
      </c>
      <c r="Z874" s="7">
        <f ca="1">$AV$8*EXP(-'3.r(t)'!E872*$AV$22)</f>
        <v>0.91817091704733511</v>
      </c>
      <c r="AA874" s="7">
        <f ca="1">$AV$9*EXP(-'3.r(t)'!F872*$AV$23)</f>
        <v>0.93644532012925052</v>
      </c>
      <c r="AB874" s="7">
        <f ca="1">$AV$10*EXP(-'3.r(t)'!G872*$AV$24)</f>
        <v>0.95737445319087544</v>
      </c>
      <c r="AC874" s="7">
        <f ca="1">$AV$11*EXP(-'3.r(t)'!H872*$AV$25)</f>
        <v>0.97674353180004247</v>
      </c>
      <c r="AD874" s="7">
        <v>1</v>
      </c>
      <c r="AE874" s="7"/>
      <c r="AF874" s="7">
        <v>866</v>
      </c>
      <c r="AG874" s="7">
        <f>$AW$7*EXP(-'3.r(t)'!D872*$AW$21)</f>
        <v>0.86718755429225491</v>
      </c>
      <c r="AH874" s="7">
        <f ca="1">$AW$8*EXP(-'3.r(t)'!E872*$AW$22)</f>
        <v>0.89779146035005741</v>
      </c>
      <c r="AI874" s="7">
        <f ca="1">$AW$9*EXP(-'3.r(t)'!F872*$AW$23)</f>
        <v>0.91536105579927762</v>
      </c>
      <c r="AJ874" s="7">
        <f ca="1">$AW$10*EXP(-'3.r(t)'!G872*$AW$24)</f>
        <v>0.93612516199823204</v>
      </c>
      <c r="AK874" s="7">
        <f ca="1">$AW$11*EXP(-'3.r(t)'!H872*$AW$25)</f>
        <v>0.95360395573428314</v>
      </c>
      <c r="AL874" s="7">
        <f ca="1">$AW$12*EXP(-'3.r(t)'!I872*$AW$26)</f>
        <v>0.9786496602168322</v>
      </c>
      <c r="AM874" s="7">
        <v>1</v>
      </c>
      <c r="AN874" s="7"/>
    </row>
    <row r="875" spans="2:40">
      <c r="B875" s="7">
        <v>867</v>
      </c>
      <c r="C875" s="7">
        <f>$AR$7*EXP(-'3.r(t)'!D873*$AR$21)</f>
        <v>0.97765346695821032</v>
      </c>
      <c r="D875" s="7">
        <v>1</v>
      </c>
      <c r="E875" s="7"/>
      <c r="F875" s="7">
        <v>867</v>
      </c>
      <c r="G875" s="48">
        <f>$AS$7*EXP(-'3.r(t)'!D873*$AS$21)</f>
        <v>0.9553476245219803</v>
      </c>
      <c r="H875" s="7">
        <f ca="1">$AS$8*EXP(-'3.r(t)'!E873*$AS$22)</f>
        <v>0.97982190999654384</v>
      </c>
      <c r="I875" s="7">
        <v>1</v>
      </c>
      <c r="J875" s="7"/>
      <c r="K875" s="7">
        <v>867</v>
      </c>
      <c r="L875" s="7">
        <f>$AT$7*EXP(-'3.r(t)'!D873*$AT$21)</f>
        <v>0.93311670519824419</v>
      </c>
      <c r="M875" s="7">
        <f ca="1">$AT$8*EXP(-'3.r(t)'!E873*$AT$22)</f>
        <v>0.95959877782266734</v>
      </c>
      <c r="N875" s="7">
        <f ca="1">$AT$9*EXP(-'3.r(t)'!F873*$AT$23)</f>
        <v>0.97749119287513786</v>
      </c>
      <c r="O875" s="7">
        <v>1</v>
      </c>
      <c r="P875" s="7"/>
      <c r="Q875" s="7">
        <v>867</v>
      </c>
      <c r="R875" s="7">
        <f>$AU$7*EXP(-'3.r(t)'!D873*$AU$21)</f>
        <v>0.91099305977534117</v>
      </c>
      <c r="S875" s="7">
        <f ca="1">$AU$8*EXP(-'3.r(t)'!E873*$AU$22)</f>
        <v>0.93936447765051234</v>
      </c>
      <c r="T875" s="7">
        <f ca="1">$AU$9*EXP(-'3.r(t)'!F873*$AU$23)</f>
        <v>0.95504745940971103</v>
      </c>
      <c r="U875" s="7">
        <f ca="1">$AU$10*EXP(-'3.r(t)'!G873*$AU$24)</f>
        <v>0.97478254363291783</v>
      </c>
      <c r="V875" s="7">
        <v>1</v>
      </c>
      <c r="W875" s="7"/>
      <c r="X875" s="7">
        <v>867</v>
      </c>
      <c r="Y875" s="7">
        <f>$AV$7*EXP(-'3.r(t)'!D873*$AV$21)</f>
        <v>0.88900715067201674</v>
      </c>
      <c r="Z875" s="7">
        <f ca="1">$AV$8*EXP(-'3.r(t)'!E873*$AV$22)</f>
        <v>0.9191512920999757</v>
      </c>
      <c r="AA875" s="7">
        <f ca="1">$AV$9*EXP(-'3.r(t)'!F873*$AV$23)</f>
        <v>0.93270180218378707</v>
      </c>
      <c r="AB875" s="7">
        <f ca="1">$AV$10*EXP(-'3.r(t)'!G873*$AV$24)</f>
        <v>0.94977030763136916</v>
      </c>
      <c r="AC875" s="7">
        <f ca="1">$AV$11*EXP(-'3.r(t)'!H873*$AV$25)</f>
        <v>0.97580696337217943</v>
      </c>
      <c r="AD875" s="7">
        <v>1</v>
      </c>
      <c r="AE875" s="7"/>
      <c r="AF875" s="7">
        <v>867</v>
      </c>
      <c r="AG875" s="7">
        <f>$AW$7*EXP(-'3.r(t)'!D873*$AW$21)</f>
        <v>0.86718755429225491</v>
      </c>
      <c r="AH875" s="7">
        <f ca="1">$AW$8*EXP(-'3.r(t)'!E873*$AW$22)</f>
        <v>0.89898988890211595</v>
      </c>
      <c r="AI875" s="7">
        <f ca="1">$AW$9*EXP(-'3.r(t)'!F873*$AW$23)</f>
        <v>0.9104853335801989</v>
      </c>
      <c r="AJ875" s="7">
        <f ca="1">$AW$10*EXP(-'3.r(t)'!G873*$AW$24)</f>
        <v>0.92499428479103218</v>
      </c>
      <c r="AK875" s="7">
        <f ca="1">$AW$11*EXP(-'3.r(t)'!H873*$AW$25)</f>
        <v>0.95177607126194774</v>
      </c>
      <c r="AL875" s="7">
        <f ca="1">$AW$12*EXP(-'3.r(t)'!I873*$AW$26)</f>
        <v>0.97278475963120203</v>
      </c>
      <c r="AM875" s="7">
        <v>1</v>
      </c>
      <c r="AN875" s="7"/>
    </row>
    <row r="876" spans="2:40">
      <c r="B876" s="7">
        <v>868</v>
      </c>
      <c r="C876" s="7">
        <f>$AR$7*EXP(-'3.r(t)'!D874*$AR$21)</f>
        <v>0.97765346695821032</v>
      </c>
      <c r="D876" s="7">
        <v>1</v>
      </c>
      <c r="E876" s="7"/>
      <c r="F876" s="7">
        <v>868</v>
      </c>
      <c r="G876" s="48">
        <f>$AS$7*EXP(-'3.r(t)'!D874*$AS$21)</f>
        <v>0.9553476245219803</v>
      </c>
      <c r="H876" s="7">
        <f ca="1">$AS$8*EXP(-'3.r(t)'!E874*$AS$22)</f>
        <v>0.97853816667361138</v>
      </c>
      <c r="I876" s="7">
        <v>1</v>
      </c>
      <c r="J876" s="7"/>
      <c r="K876" s="7">
        <v>868</v>
      </c>
      <c r="L876" s="7">
        <f>$AT$7*EXP(-'3.r(t)'!D874*$AT$21)</f>
        <v>0.93311670519824419</v>
      </c>
      <c r="M876" s="7">
        <f ca="1">$AT$8*EXP(-'3.r(t)'!E874*$AT$22)</f>
        <v>0.95708593029455447</v>
      </c>
      <c r="N876" s="7">
        <f ca="1">$AT$9*EXP(-'3.r(t)'!F874*$AT$23)</f>
        <v>0.97604426095875196</v>
      </c>
      <c r="O876" s="7">
        <v>1</v>
      </c>
      <c r="P876" s="7"/>
      <c r="Q876" s="7">
        <v>868</v>
      </c>
      <c r="R876" s="7">
        <f>$AU$7*EXP(-'3.r(t)'!D874*$AU$21)</f>
        <v>0.91099305977534117</v>
      </c>
      <c r="S876" s="7">
        <f ca="1">$AU$8*EXP(-'3.r(t)'!E874*$AU$22)</f>
        <v>0.93567710261767656</v>
      </c>
      <c r="T876" s="7">
        <f ca="1">$AU$9*EXP(-'3.r(t)'!F874*$AU$23)</f>
        <v>0.95222213292083435</v>
      </c>
      <c r="U876" s="7">
        <f ca="1">$AU$10*EXP(-'3.r(t)'!G874*$AU$24)</f>
        <v>0.9761019575636567</v>
      </c>
      <c r="V876" s="7">
        <v>1</v>
      </c>
      <c r="W876" s="7"/>
      <c r="X876" s="7">
        <v>868</v>
      </c>
      <c r="Y876" s="7">
        <f>$AV$7*EXP(-'3.r(t)'!D874*$AV$21)</f>
        <v>0.88900715067201674</v>
      </c>
      <c r="Z876" s="7">
        <f ca="1">$AV$8*EXP(-'3.r(t)'!E874*$AV$22)</f>
        <v>0.91434373506339195</v>
      </c>
      <c r="AA876" s="7">
        <f ca="1">$AV$9*EXP(-'3.r(t)'!F874*$AV$23)</f>
        <v>0.92856603302140683</v>
      </c>
      <c r="AB876" s="7">
        <f ca="1">$AV$10*EXP(-'3.r(t)'!G874*$AV$24)</f>
        <v>0.95234316508579819</v>
      </c>
      <c r="AC876" s="7">
        <f ca="1">$AV$11*EXP(-'3.r(t)'!H874*$AV$25)</f>
        <v>0.97717933288430725</v>
      </c>
      <c r="AD876" s="7">
        <v>1</v>
      </c>
      <c r="AE876" s="7"/>
      <c r="AF876" s="7">
        <v>868</v>
      </c>
      <c r="AG876" s="7">
        <f>$AW$7*EXP(-'3.r(t)'!D874*$AW$21)</f>
        <v>0.86718755429225491</v>
      </c>
      <c r="AH876" s="7">
        <f ca="1">$AW$8*EXP(-'3.r(t)'!E874*$AW$22)</f>
        <v>0.8931161064850337</v>
      </c>
      <c r="AI876" s="7">
        <f ca="1">$AW$9*EXP(-'3.r(t)'!F874*$AW$23)</f>
        <v>0.9051063059729284</v>
      </c>
      <c r="AJ876" s="7">
        <f ca="1">$AW$10*EXP(-'3.r(t)'!G874*$AW$24)</f>
        <v>0.92875544065706594</v>
      </c>
      <c r="AK876" s="7">
        <f ca="1">$AW$11*EXP(-'3.r(t)'!H874*$AW$25)</f>
        <v>0.95445509901999448</v>
      </c>
      <c r="AL876" s="7">
        <f ca="1">$AW$12*EXP(-'3.r(t)'!I874*$AW$26)</f>
        <v>0.97450480462543221</v>
      </c>
      <c r="AM876" s="7">
        <v>1</v>
      </c>
      <c r="AN876" s="7"/>
    </row>
    <row r="877" spans="2:40">
      <c r="B877" s="7">
        <v>869</v>
      </c>
      <c r="C877" s="7">
        <f>$AR$7*EXP(-'3.r(t)'!D875*$AR$21)</f>
        <v>0.97765346695821032</v>
      </c>
      <c r="D877" s="7">
        <v>1</v>
      </c>
      <c r="E877" s="7"/>
      <c r="F877" s="7">
        <v>869</v>
      </c>
      <c r="G877" s="48">
        <f>$AS$7*EXP(-'3.r(t)'!D875*$AS$21)</f>
        <v>0.9553476245219803</v>
      </c>
      <c r="H877" s="7">
        <f ca="1">$AS$8*EXP(-'3.r(t)'!E875*$AS$22)</f>
        <v>0.97369242948596446</v>
      </c>
      <c r="I877" s="7">
        <v>1</v>
      </c>
      <c r="J877" s="7"/>
      <c r="K877" s="7">
        <v>869</v>
      </c>
      <c r="L877" s="7">
        <f>$AT$7*EXP(-'3.r(t)'!D875*$AT$21)</f>
        <v>0.93311670519824419</v>
      </c>
      <c r="M877" s="7">
        <f ca="1">$AT$8*EXP(-'3.r(t)'!E875*$AT$22)</f>
        <v>0.94763038968698543</v>
      </c>
      <c r="N877" s="7">
        <f ca="1">$AT$9*EXP(-'3.r(t)'!F875*$AT$23)</f>
        <v>0.97210857299890197</v>
      </c>
      <c r="O877" s="7">
        <v>1</v>
      </c>
      <c r="P877" s="7"/>
      <c r="Q877" s="7">
        <v>869</v>
      </c>
      <c r="R877" s="7">
        <f>$AU$7*EXP(-'3.r(t)'!D875*$AU$21)</f>
        <v>0.91099305977534117</v>
      </c>
      <c r="S877" s="7">
        <f ca="1">$AU$8*EXP(-'3.r(t)'!E875*$AU$22)</f>
        <v>0.92184535885964058</v>
      </c>
      <c r="T877" s="7">
        <f ca="1">$AU$9*EXP(-'3.r(t)'!F875*$AU$23)</f>
        <v>0.94455835466868177</v>
      </c>
      <c r="U877" s="7">
        <f ca="1">$AU$10*EXP(-'3.r(t)'!G875*$AU$24)</f>
        <v>0.97041511531074243</v>
      </c>
      <c r="V877" s="7">
        <v>1</v>
      </c>
      <c r="W877" s="7"/>
      <c r="X877" s="7">
        <v>869</v>
      </c>
      <c r="Y877" s="7">
        <f>$AV$7*EXP(-'3.r(t)'!D875*$AV$21)</f>
        <v>0.88900715067201674</v>
      </c>
      <c r="Z877" s="7">
        <f ca="1">$AV$8*EXP(-'3.r(t)'!E875*$AV$22)</f>
        <v>0.89636644206459748</v>
      </c>
      <c r="AA877" s="7">
        <f ca="1">$AV$9*EXP(-'3.r(t)'!F875*$AV$23)</f>
        <v>0.91737853895164001</v>
      </c>
      <c r="AB877" s="7">
        <f ca="1">$AV$10*EXP(-'3.r(t)'!G875*$AV$24)</f>
        <v>0.94127864706293696</v>
      </c>
      <c r="AC877" s="7">
        <f ca="1">$AV$11*EXP(-'3.r(t)'!H875*$AV$25)</f>
        <v>0.9736812248344735</v>
      </c>
      <c r="AD877" s="7">
        <v>1</v>
      </c>
      <c r="AE877" s="7"/>
      <c r="AF877" s="7">
        <v>869</v>
      </c>
      <c r="AG877" s="7">
        <f>$AW$7*EXP(-'3.r(t)'!D875*$AW$21)</f>
        <v>0.86718755429225491</v>
      </c>
      <c r="AH877" s="7">
        <f ca="1">$AW$8*EXP(-'3.r(t)'!E875*$AW$22)</f>
        <v>0.87122041005310435</v>
      </c>
      <c r="AI877" s="7">
        <f ca="1">$AW$9*EXP(-'3.r(t)'!F875*$AW$23)</f>
        <v>0.89059578348223789</v>
      </c>
      <c r="AJ877" s="7">
        <f ca="1">$AW$10*EXP(-'3.r(t)'!G875*$AW$24)</f>
        <v>0.91261683779143665</v>
      </c>
      <c r="AK877" s="7">
        <f ca="1">$AW$11*EXP(-'3.r(t)'!H875*$AW$25)</f>
        <v>0.94763381073555364</v>
      </c>
      <c r="AL877" s="7">
        <f ca="1">$AW$12*EXP(-'3.r(t)'!I875*$AW$26)</f>
        <v>0.97195830492759816</v>
      </c>
      <c r="AM877" s="7">
        <v>1</v>
      </c>
      <c r="AN877" s="7"/>
    </row>
    <row r="878" spans="2:40">
      <c r="B878" s="7">
        <v>870</v>
      </c>
      <c r="C878" s="7">
        <f>$AR$7*EXP(-'3.r(t)'!D876*$AR$21)</f>
        <v>0.97765346695821032</v>
      </c>
      <c r="D878" s="7">
        <v>1</v>
      </c>
      <c r="E878" s="7"/>
      <c r="F878" s="7">
        <v>870</v>
      </c>
      <c r="G878" s="48">
        <f>$AS$7*EXP(-'3.r(t)'!D876*$AS$21)</f>
        <v>0.9553476245219803</v>
      </c>
      <c r="H878" s="7">
        <f ca="1">$AS$8*EXP(-'3.r(t)'!E876*$AS$22)</f>
        <v>0.97502279676278392</v>
      </c>
      <c r="I878" s="7">
        <v>1</v>
      </c>
      <c r="J878" s="7"/>
      <c r="K878" s="7">
        <v>870</v>
      </c>
      <c r="L878" s="7">
        <f>$AT$7*EXP(-'3.r(t)'!D876*$AT$21)</f>
        <v>0.93311670519824419</v>
      </c>
      <c r="M878" s="7">
        <f ca="1">$AT$8*EXP(-'3.r(t)'!E876*$AT$22)</f>
        <v>0.95022167554865045</v>
      </c>
      <c r="N878" s="7">
        <f ca="1">$AT$9*EXP(-'3.r(t)'!F876*$AT$23)</f>
        <v>0.97496834716594061</v>
      </c>
      <c r="O878" s="7">
        <v>1</v>
      </c>
      <c r="P878" s="7"/>
      <c r="Q878" s="7">
        <v>870</v>
      </c>
      <c r="R878" s="7">
        <f>$AU$7*EXP(-'3.r(t)'!D876*$AU$21)</f>
        <v>0.91099305977534117</v>
      </c>
      <c r="S878" s="7">
        <f ca="1">$AU$8*EXP(-'3.r(t)'!E876*$AU$22)</f>
        <v>0.92562910800013909</v>
      </c>
      <c r="T878" s="7">
        <f ca="1">$AU$9*EXP(-'3.r(t)'!F876*$AU$23)</f>
        <v>0.95012398164042933</v>
      </c>
      <c r="U878" s="7">
        <f ca="1">$AU$10*EXP(-'3.r(t)'!G876*$AU$24)</f>
        <v>0.97746698656528708</v>
      </c>
      <c r="V878" s="7">
        <v>1</v>
      </c>
      <c r="W878" s="7"/>
      <c r="X878" s="7">
        <v>870</v>
      </c>
      <c r="Y878" s="7">
        <f>$AV$7*EXP(-'3.r(t)'!D876*$AV$21)</f>
        <v>0.88900715067201674</v>
      </c>
      <c r="Z878" s="7">
        <f ca="1">$AV$8*EXP(-'3.r(t)'!E876*$AV$22)</f>
        <v>0.9012753548021184</v>
      </c>
      <c r="AA878" s="7">
        <f ca="1">$AV$9*EXP(-'3.r(t)'!F876*$AV$23)</f>
        <v>0.92549868403174795</v>
      </c>
      <c r="AB878" s="7">
        <f ca="1">$AV$10*EXP(-'3.r(t)'!G876*$AV$24)</f>
        <v>0.95500863461998486</v>
      </c>
      <c r="AC878" s="7">
        <f ca="1">$AV$11*EXP(-'3.r(t)'!H876*$AV$25)</f>
        <v>0.97981747210918868</v>
      </c>
      <c r="AD878" s="7">
        <v>1</v>
      </c>
      <c r="AE878" s="7"/>
      <c r="AF878" s="7">
        <v>870</v>
      </c>
      <c r="AG878" s="7">
        <f>$AW$7*EXP(-'3.r(t)'!D876*$AW$21)</f>
        <v>0.86718755429225491</v>
      </c>
      <c r="AH878" s="7">
        <f ca="1">$AW$8*EXP(-'3.r(t)'!E876*$AW$22)</f>
        <v>0.87718848912912151</v>
      </c>
      <c r="AI878" s="7">
        <f ca="1">$AW$9*EXP(-'3.r(t)'!F876*$AW$23)</f>
        <v>0.90112203028577553</v>
      </c>
      <c r="AJ878" s="7">
        <f ca="1">$AW$10*EXP(-'3.r(t)'!G876*$AW$24)</f>
        <v>0.93265734409599055</v>
      </c>
      <c r="AK878" s="7">
        <f ca="1">$AW$11*EXP(-'3.r(t)'!H876*$AW$25)</f>
        <v>0.95961563468622646</v>
      </c>
      <c r="AL878" s="7">
        <f ca="1">$AW$12*EXP(-'3.r(t)'!I876*$AW$26)</f>
        <v>0.98033267679050895</v>
      </c>
      <c r="AM878" s="7">
        <v>1</v>
      </c>
      <c r="AN878" s="7"/>
    </row>
    <row r="879" spans="2:40">
      <c r="B879" s="7">
        <v>871</v>
      </c>
      <c r="C879" s="7">
        <f>$AR$7*EXP(-'3.r(t)'!D877*$AR$21)</f>
        <v>0.97765346695821032</v>
      </c>
      <c r="D879" s="7">
        <v>1</v>
      </c>
      <c r="E879" s="7"/>
      <c r="F879" s="7">
        <v>871</v>
      </c>
      <c r="G879" s="48">
        <f>$AS$7*EXP(-'3.r(t)'!D877*$AS$21)</f>
        <v>0.9553476245219803</v>
      </c>
      <c r="H879" s="7">
        <f ca="1">$AS$8*EXP(-'3.r(t)'!E877*$AS$22)</f>
        <v>0.97620450947150839</v>
      </c>
      <c r="I879" s="7">
        <v>1</v>
      </c>
      <c r="J879" s="7"/>
      <c r="K879" s="7">
        <v>871</v>
      </c>
      <c r="L879" s="7">
        <f>$AT$7*EXP(-'3.r(t)'!D877*$AT$21)</f>
        <v>0.93311670519824419</v>
      </c>
      <c r="M879" s="7">
        <f ca="1">$AT$8*EXP(-'3.r(t)'!E877*$AT$22)</f>
        <v>0.95252637959452924</v>
      </c>
      <c r="N879" s="7">
        <f ca="1">$AT$9*EXP(-'3.r(t)'!F877*$AT$23)</f>
        <v>0.97370158237133331</v>
      </c>
      <c r="O879" s="7">
        <v>1</v>
      </c>
      <c r="P879" s="7"/>
      <c r="Q879" s="7">
        <v>871</v>
      </c>
      <c r="R879" s="7">
        <f>$AU$7*EXP(-'3.r(t)'!D877*$AU$21)</f>
        <v>0.91099305977534117</v>
      </c>
      <c r="S879" s="7">
        <f ca="1">$AU$8*EXP(-'3.r(t)'!E877*$AU$22)</f>
        <v>0.92899873357846985</v>
      </c>
      <c r="T879" s="7">
        <f ca="1">$AU$9*EXP(-'3.r(t)'!F877*$AU$23)</f>
        <v>0.94765661598080564</v>
      </c>
      <c r="U879" s="7">
        <f ca="1">$AU$10*EXP(-'3.r(t)'!G877*$AU$24)</f>
        <v>0.97148556204469427</v>
      </c>
      <c r="V879" s="7">
        <v>1</v>
      </c>
      <c r="W879" s="7"/>
      <c r="X879" s="7">
        <v>871</v>
      </c>
      <c r="Y879" s="7">
        <f>$AV$7*EXP(-'3.r(t)'!D877*$AV$21)</f>
        <v>0.88900715067201674</v>
      </c>
      <c r="Z879" s="7">
        <f ca="1">$AV$8*EXP(-'3.r(t)'!E877*$AV$22)</f>
        <v>0.90565263231030746</v>
      </c>
      <c r="AA879" s="7">
        <f ca="1">$AV$9*EXP(-'3.r(t)'!F877*$AV$23)</f>
        <v>0.92189590079612782</v>
      </c>
      <c r="AB879" s="7">
        <f ca="1">$AV$10*EXP(-'3.r(t)'!G877*$AV$24)</f>
        <v>0.94335640608310245</v>
      </c>
      <c r="AC879" s="7">
        <f ca="1">$AV$11*EXP(-'3.r(t)'!H877*$AV$25)</f>
        <v>0.96691570390879322</v>
      </c>
      <c r="AD879" s="7">
        <v>1</v>
      </c>
      <c r="AE879" s="7"/>
      <c r="AF879" s="7">
        <v>871</v>
      </c>
      <c r="AG879" s="7">
        <f>$AW$7*EXP(-'3.r(t)'!D877*$AW$21)</f>
        <v>0.86718755429225491</v>
      </c>
      <c r="AH879" s="7">
        <f ca="1">$AW$8*EXP(-'3.r(t)'!E877*$AW$22)</f>
        <v>0.88251708496264314</v>
      </c>
      <c r="AI879" s="7">
        <f ca="1">$AW$9*EXP(-'3.r(t)'!F877*$AW$23)</f>
        <v>0.89644788114683327</v>
      </c>
      <c r="AJ879" s="7">
        <f ca="1">$AW$10*EXP(-'3.r(t)'!G877*$AW$24)</f>
        <v>0.91564024201121952</v>
      </c>
      <c r="AK879" s="7">
        <f ca="1">$AW$11*EXP(-'3.r(t)'!H877*$AW$25)</f>
        <v>0.9345104962157802</v>
      </c>
      <c r="AL879" s="7">
        <f ca="1">$AW$12*EXP(-'3.r(t)'!I877*$AW$26)</f>
        <v>0.97002577102417653</v>
      </c>
      <c r="AM879" s="7">
        <v>1</v>
      </c>
      <c r="AN879" s="7"/>
    </row>
    <row r="880" spans="2:40">
      <c r="B880" s="7">
        <v>872</v>
      </c>
      <c r="C880" s="7">
        <f>$AR$7*EXP(-'3.r(t)'!D878*$AR$21)</f>
        <v>0.97765346695821032</v>
      </c>
      <c r="D880" s="7">
        <v>1</v>
      </c>
      <c r="E880" s="7"/>
      <c r="F880" s="7">
        <v>872</v>
      </c>
      <c r="G880" s="48">
        <f>$AS$7*EXP(-'3.r(t)'!D878*$AS$21)</f>
        <v>0.9553476245219803</v>
      </c>
      <c r="H880" s="7">
        <f ca="1">$AS$8*EXP(-'3.r(t)'!E878*$AS$22)</f>
        <v>0.97968062730741667</v>
      </c>
      <c r="I880" s="7">
        <v>1</v>
      </c>
      <c r="J880" s="7"/>
      <c r="K880" s="7">
        <v>872</v>
      </c>
      <c r="L880" s="7">
        <f>$AT$7*EXP(-'3.r(t)'!D878*$AT$21)</f>
        <v>0.93311670519824419</v>
      </c>
      <c r="M880" s="7">
        <f ca="1">$AT$8*EXP(-'3.r(t)'!E878*$AT$22)</f>
        <v>0.95932206443215606</v>
      </c>
      <c r="N880" s="7">
        <f ca="1">$AT$9*EXP(-'3.r(t)'!F878*$AT$23)</f>
        <v>0.97984576590530148</v>
      </c>
      <c r="O880" s="7">
        <v>1</v>
      </c>
      <c r="P880" s="7"/>
      <c r="Q880" s="7">
        <v>872</v>
      </c>
      <c r="R880" s="7">
        <f>$AU$7*EXP(-'3.r(t)'!D878*$AU$21)</f>
        <v>0.91099305977534117</v>
      </c>
      <c r="S880" s="7">
        <f ca="1">$AU$8*EXP(-'3.r(t)'!E878*$AU$22)</f>
        <v>0.93895818911246087</v>
      </c>
      <c r="T880" s="7">
        <f ca="1">$AU$9*EXP(-'3.r(t)'!F878*$AU$23)</f>
        <v>0.95965402234785024</v>
      </c>
      <c r="U880" s="7">
        <f ca="1">$AU$10*EXP(-'3.r(t)'!G878*$AU$24)</f>
        <v>0.97892360965713288</v>
      </c>
      <c r="V880" s="7">
        <v>1</v>
      </c>
      <c r="W880" s="7"/>
      <c r="X880" s="7">
        <v>872</v>
      </c>
      <c r="Y880" s="7">
        <f>$AV$7*EXP(-'3.r(t)'!D878*$AV$21)</f>
        <v>0.88900715067201674</v>
      </c>
      <c r="Z880" s="7">
        <f ca="1">$AV$8*EXP(-'3.r(t)'!E878*$AV$22)</f>
        <v>0.91862126891759621</v>
      </c>
      <c r="AA880" s="7">
        <f ca="1">$AV$9*EXP(-'3.r(t)'!F878*$AV$23)</f>
        <v>0.93945810471218072</v>
      </c>
      <c r="AB880" s="7">
        <f ca="1">$AV$10*EXP(-'3.r(t)'!G878*$AV$24)</f>
        <v>0.95785706663845593</v>
      </c>
      <c r="AC880" s="7">
        <f ca="1">$AV$11*EXP(-'3.r(t)'!H878*$AV$25)</f>
        <v>0.97701168774744362</v>
      </c>
      <c r="AD880" s="7">
        <v>1</v>
      </c>
      <c r="AE880" s="7"/>
      <c r="AF880" s="7">
        <v>872</v>
      </c>
      <c r="AG880" s="7">
        <f>$AW$7*EXP(-'3.r(t)'!D878*$AW$21)</f>
        <v>0.86718755429225491</v>
      </c>
      <c r="AH880" s="7">
        <f ca="1">$AW$8*EXP(-'3.r(t)'!E878*$AW$22)</f>
        <v>0.89834193908190296</v>
      </c>
      <c r="AI880" s="7">
        <f ca="1">$AW$9*EXP(-'3.r(t)'!F878*$AW$23)</f>
        <v>0.9192897612447879</v>
      </c>
      <c r="AJ880" s="7">
        <f ca="1">$AW$10*EXP(-'3.r(t)'!G878*$AW$24)</f>
        <v>0.9368331036850478</v>
      </c>
      <c r="AK880" s="7">
        <f ca="1">$AW$11*EXP(-'3.r(t)'!H878*$AW$25)</f>
        <v>0.95412763398944445</v>
      </c>
      <c r="AL880" s="7">
        <f ca="1">$AW$12*EXP(-'3.r(t)'!I878*$AW$26)</f>
        <v>0.97472418428984831</v>
      </c>
      <c r="AM880" s="7">
        <v>1</v>
      </c>
      <c r="AN880" s="7"/>
    </row>
    <row r="881" spans="2:40">
      <c r="B881" s="7">
        <v>873</v>
      </c>
      <c r="C881" s="7">
        <f>$AR$7*EXP(-'3.r(t)'!D879*$AR$21)</f>
        <v>0.97765346695821032</v>
      </c>
      <c r="D881" s="7">
        <v>1</v>
      </c>
      <c r="E881" s="7"/>
      <c r="F881" s="7">
        <v>873</v>
      </c>
      <c r="G881" s="48">
        <f>$AS$7*EXP(-'3.r(t)'!D879*$AS$21)</f>
        <v>0.9553476245219803</v>
      </c>
      <c r="H881" s="7">
        <f ca="1">$AS$8*EXP(-'3.r(t)'!E879*$AS$22)</f>
        <v>0.97747046412184602</v>
      </c>
      <c r="I881" s="7">
        <v>1</v>
      </c>
      <c r="J881" s="7"/>
      <c r="K881" s="7">
        <v>873</v>
      </c>
      <c r="L881" s="7">
        <f>$AT$7*EXP(-'3.r(t)'!D879*$AT$21)</f>
        <v>0.93311670519824419</v>
      </c>
      <c r="M881" s="7">
        <f ca="1">$AT$8*EXP(-'3.r(t)'!E879*$AT$22)</f>
        <v>0.95499847857057285</v>
      </c>
      <c r="N881" s="7">
        <f ca="1">$AT$9*EXP(-'3.r(t)'!F879*$AT$23)</f>
        <v>0.97598461111119983</v>
      </c>
      <c r="O881" s="7">
        <v>1</v>
      </c>
      <c r="P881" s="7"/>
      <c r="Q881" s="7">
        <v>873</v>
      </c>
      <c r="R881" s="7">
        <f>$AU$7*EXP(-'3.r(t)'!D879*$AU$21)</f>
        <v>0.91099305977534117</v>
      </c>
      <c r="S881" s="7">
        <f ca="1">$AU$8*EXP(-'3.r(t)'!E879*$AU$22)</f>
        <v>0.93261763532887376</v>
      </c>
      <c r="T881" s="7">
        <f ca="1">$AU$9*EXP(-'3.r(t)'!F879*$AU$23)</f>
        <v>0.95210574850732921</v>
      </c>
      <c r="U881" s="7">
        <f ca="1">$AU$10*EXP(-'3.r(t)'!G879*$AU$24)</f>
        <v>0.97467394724700063</v>
      </c>
      <c r="V881" s="7">
        <v>1</v>
      </c>
      <c r="W881" s="7"/>
      <c r="X881" s="7">
        <v>873</v>
      </c>
      <c r="Y881" s="7">
        <f>$AV$7*EXP(-'3.r(t)'!D879*$AV$21)</f>
        <v>0.88900715067201674</v>
      </c>
      <c r="Z881" s="7">
        <f ca="1">$AV$8*EXP(-'3.r(t)'!E879*$AV$22)</f>
        <v>0.91035962680840432</v>
      </c>
      <c r="AA881" s="7">
        <f ca="1">$AV$9*EXP(-'3.r(t)'!F879*$AV$23)</f>
        <v>0.92839579861840715</v>
      </c>
      <c r="AB881" s="7">
        <f ca="1">$AV$10*EXP(-'3.r(t)'!G879*$AV$24)</f>
        <v>0.94955869966147133</v>
      </c>
      <c r="AC881" s="7">
        <f ca="1">$AV$11*EXP(-'3.r(t)'!H879*$AV$25)</f>
        <v>0.97238916153266453</v>
      </c>
      <c r="AD881" s="7">
        <v>1</v>
      </c>
      <c r="AE881" s="7"/>
      <c r="AF881" s="7">
        <v>873</v>
      </c>
      <c r="AG881" s="7">
        <f>$AW$7*EXP(-'3.r(t)'!D879*$AW$21)</f>
        <v>0.86718755429225491</v>
      </c>
      <c r="AH881" s="7">
        <f ca="1">$AW$8*EXP(-'3.r(t)'!E879*$AW$22)</f>
        <v>0.88825424364650851</v>
      </c>
      <c r="AI881" s="7">
        <f ca="1">$AW$9*EXP(-'3.r(t)'!F879*$AW$23)</f>
        <v>0.90488506803824187</v>
      </c>
      <c r="AJ881" s="7">
        <f ca="1">$AW$10*EXP(-'3.r(t)'!G879*$AW$24)</f>
        <v>0.92468517016879026</v>
      </c>
      <c r="AK881" s="7">
        <f ca="1">$AW$11*EXP(-'3.r(t)'!H879*$AW$25)</f>
        <v>0.94512048202953025</v>
      </c>
      <c r="AL881" s="7">
        <f ca="1">$AW$12*EXP(-'3.r(t)'!I879*$AW$26)</f>
        <v>0.97619907551144802</v>
      </c>
      <c r="AM881" s="7">
        <v>1</v>
      </c>
      <c r="AN881" s="7"/>
    </row>
    <row r="882" spans="2:40">
      <c r="B882" s="7">
        <v>874</v>
      </c>
      <c r="C882" s="7">
        <f>$AR$7*EXP(-'3.r(t)'!D880*$AR$21)</f>
        <v>0.97765346695821032</v>
      </c>
      <c r="D882" s="7">
        <v>1</v>
      </c>
      <c r="E882" s="7"/>
      <c r="F882" s="7">
        <v>874</v>
      </c>
      <c r="G882" s="48">
        <f>$AS$7*EXP(-'3.r(t)'!D880*$AS$21)</f>
        <v>0.9553476245219803</v>
      </c>
      <c r="H882" s="7">
        <f ca="1">$AS$8*EXP(-'3.r(t)'!E880*$AS$22)</f>
        <v>0.97724468916297735</v>
      </c>
      <c r="I882" s="7">
        <v>1</v>
      </c>
      <c r="J882" s="7"/>
      <c r="K882" s="7">
        <v>874</v>
      </c>
      <c r="L882" s="7">
        <f>$AT$7*EXP(-'3.r(t)'!D880*$AT$21)</f>
        <v>0.93311670519824419</v>
      </c>
      <c r="M882" s="7">
        <f ca="1">$AT$8*EXP(-'3.r(t)'!E880*$AT$22)</f>
        <v>0.9545573607078558</v>
      </c>
      <c r="N882" s="7">
        <f ca="1">$AT$9*EXP(-'3.r(t)'!F880*$AT$23)</f>
        <v>0.9748136756958431</v>
      </c>
      <c r="O882" s="7">
        <v>1</v>
      </c>
      <c r="P882" s="7"/>
      <c r="Q882" s="7">
        <v>874</v>
      </c>
      <c r="R882" s="7">
        <f>$AU$7*EXP(-'3.r(t)'!D880*$AU$21)</f>
        <v>0.91099305977534117</v>
      </c>
      <c r="S882" s="7">
        <f ca="1">$AU$8*EXP(-'3.r(t)'!E880*$AU$22)</f>
        <v>0.93197153986787573</v>
      </c>
      <c r="T882" s="7">
        <f ca="1">$AU$9*EXP(-'3.r(t)'!F880*$AU$23)</f>
        <v>0.94982254535971411</v>
      </c>
      <c r="U882" s="7">
        <f ca="1">$AU$10*EXP(-'3.r(t)'!G880*$AU$24)</f>
        <v>0.97351793351031835</v>
      </c>
      <c r="V882" s="7">
        <v>1</v>
      </c>
      <c r="W882" s="7"/>
      <c r="X882" s="7">
        <v>874</v>
      </c>
      <c r="Y882" s="7">
        <f>$AV$7*EXP(-'3.r(t)'!D880*$AV$21)</f>
        <v>0.88900715067201674</v>
      </c>
      <c r="Z882" s="7">
        <f ca="1">$AV$8*EXP(-'3.r(t)'!E880*$AV$22)</f>
        <v>0.90951882306455878</v>
      </c>
      <c r="AA882" s="7">
        <f ca="1">$AV$9*EXP(-'3.r(t)'!F880*$AV$23)</f>
        <v>0.92505828347644858</v>
      </c>
      <c r="AB882" s="7">
        <f ca="1">$AV$10*EXP(-'3.r(t)'!G880*$AV$24)</f>
        <v>0.94730758391661596</v>
      </c>
      <c r="AC882" s="7">
        <f ca="1">$AV$11*EXP(-'3.r(t)'!H880*$AV$25)</f>
        <v>0.97290702445855004</v>
      </c>
      <c r="AD882" s="7">
        <v>1</v>
      </c>
      <c r="AE882" s="7"/>
      <c r="AF882" s="7">
        <v>874</v>
      </c>
      <c r="AG882" s="7">
        <f>$AW$7*EXP(-'3.r(t)'!D880*$AW$21)</f>
        <v>0.86718755429225491</v>
      </c>
      <c r="AH882" s="7">
        <f ca="1">$AW$8*EXP(-'3.r(t)'!E880*$AW$22)</f>
        <v>0.88722887791665583</v>
      </c>
      <c r="AI882" s="7">
        <f ca="1">$AW$9*EXP(-'3.r(t)'!F880*$AW$23)</f>
        <v>0.90055034113840093</v>
      </c>
      <c r="AJ882" s="7">
        <f ca="1">$AW$10*EXP(-'3.r(t)'!G880*$AW$24)</f>
        <v>0.92139889756080962</v>
      </c>
      <c r="AK882" s="7">
        <f ca="1">$AW$11*EXP(-'3.r(t)'!H880*$AW$25)</f>
        <v>0.94612743111576125</v>
      </c>
      <c r="AL882" s="7">
        <f ca="1">$AW$12*EXP(-'3.r(t)'!I880*$AW$26)</f>
        <v>0.96896845765709139</v>
      </c>
      <c r="AM882" s="7">
        <v>1</v>
      </c>
      <c r="AN882" s="7"/>
    </row>
    <row r="883" spans="2:40">
      <c r="B883" s="7">
        <v>875</v>
      </c>
      <c r="C883" s="7">
        <f>$AR$7*EXP(-'3.r(t)'!D881*$AR$21)</f>
        <v>0.97765346695821032</v>
      </c>
      <c r="D883" s="7">
        <v>1</v>
      </c>
      <c r="E883" s="7"/>
      <c r="F883" s="7">
        <v>875</v>
      </c>
      <c r="G883" s="48">
        <f>$AS$7*EXP(-'3.r(t)'!D881*$AS$21)</f>
        <v>0.9553476245219803</v>
      </c>
      <c r="H883" s="7">
        <f ca="1">$AS$8*EXP(-'3.r(t)'!E881*$AS$22)</f>
        <v>0.97777697560330612</v>
      </c>
      <c r="I883" s="7">
        <v>1</v>
      </c>
      <c r="J883" s="7"/>
      <c r="K883" s="7">
        <v>875</v>
      </c>
      <c r="L883" s="7">
        <f>$AT$7*EXP(-'3.r(t)'!D881*$AT$21)</f>
        <v>0.93311670519824419</v>
      </c>
      <c r="M883" s="7">
        <f ca="1">$AT$8*EXP(-'3.r(t)'!E881*$AT$22)</f>
        <v>0.95559750207850436</v>
      </c>
      <c r="N883" s="7">
        <f ca="1">$AT$9*EXP(-'3.r(t)'!F881*$AT$23)</f>
        <v>0.97806225349121767</v>
      </c>
      <c r="O883" s="7">
        <v>1</v>
      </c>
      <c r="P883" s="7"/>
      <c r="Q883" s="7">
        <v>875</v>
      </c>
      <c r="R883" s="7">
        <f>$AU$7*EXP(-'3.r(t)'!D881*$AU$21)</f>
        <v>0.91099305977534117</v>
      </c>
      <c r="S883" s="7">
        <f ca="1">$AU$8*EXP(-'3.r(t)'!E881*$AU$22)</f>
        <v>0.93349525057509586</v>
      </c>
      <c r="T883" s="7">
        <f ca="1">$AU$9*EXP(-'3.r(t)'!F881*$AU$23)</f>
        <v>0.95616368287200171</v>
      </c>
      <c r="U883" s="7">
        <f ca="1">$AU$10*EXP(-'3.r(t)'!G881*$AU$24)</f>
        <v>0.97699316338618647</v>
      </c>
      <c r="V883" s="7">
        <v>1</v>
      </c>
      <c r="W883" s="7"/>
      <c r="X883" s="7">
        <v>875</v>
      </c>
      <c r="Y883" s="7">
        <f>$AV$7*EXP(-'3.r(t)'!D881*$AV$21)</f>
        <v>0.88900715067201674</v>
      </c>
      <c r="Z883" s="7">
        <f ca="1">$AV$8*EXP(-'3.r(t)'!E881*$AV$22)</f>
        <v>0.91150203249322326</v>
      </c>
      <c r="AA883" s="7">
        <f ca="1">$AV$9*EXP(-'3.r(t)'!F881*$AV$23)</f>
        <v>0.93433743992005258</v>
      </c>
      <c r="AB883" s="7">
        <f ca="1">$AV$10*EXP(-'3.r(t)'!G881*$AV$24)</f>
        <v>0.95408298585946372</v>
      </c>
      <c r="AC883" s="7">
        <f ca="1">$AV$11*EXP(-'3.r(t)'!H881*$AV$25)</f>
        <v>0.98179323420573028</v>
      </c>
      <c r="AD883" s="7">
        <v>1</v>
      </c>
      <c r="AE883" s="7"/>
      <c r="AF883" s="7">
        <v>875</v>
      </c>
      <c r="AG883" s="7">
        <f>$AW$7*EXP(-'3.r(t)'!D881*$AW$21)</f>
        <v>0.86718755429225491</v>
      </c>
      <c r="AH883" s="7">
        <f ca="1">$AW$8*EXP(-'3.r(t)'!E881*$AW$22)</f>
        <v>0.88964779432797969</v>
      </c>
      <c r="AI883" s="7">
        <f ca="1">$AW$9*EXP(-'3.r(t)'!F881*$AW$23)</f>
        <v>0.9126148591675004</v>
      </c>
      <c r="AJ883" s="7">
        <f ca="1">$AW$10*EXP(-'3.r(t)'!G881*$AW$24)</f>
        <v>0.93130169579648947</v>
      </c>
      <c r="AK883" s="7">
        <f ca="1">$AW$11*EXP(-'3.r(t)'!H881*$AW$25)</f>
        <v>0.96348958841273735</v>
      </c>
      <c r="AL883" s="7">
        <f ca="1">$AW$12*EXP(-'3.r(t)'!I881*$AW$26)</f>
        <v>0.97963360896221519</v>
      </c>
      <c r="AM883" s="7">
        <v>1</v>
      </c>
      <c r="AN883" s="7"/>
    </row>
    <row r="884" spans="2:40">
      <c r="B884" s="7">
        <v>876</v>
      </c>
      <c r="C884" s="7">
        <f>$AR$7*EXP(-'3.r(t)'!D882*$AR$21)</f>
        <v>0.97765346695821032</v>
      </c>
      <c r="D884" s="7">
        <v>1</v>
      </c>
      <c r="E884" s="7"/>
      <c r="F884" s="7">
        <v>876</v>
      </c>
      <c r="G884" s="48">
        <f>$AS$7*EXP(-'3.r(t)'!D882*$AS$21)</f>
        <v>0.9553476245219803</v>
      </c>
      <c r="H884" s="7">
        <f ca="1">$AS$8*EXP(-'3.r(t)'!E882*$AS$22)</f>
        <v>0.97767194782750011</v>
      </c>
      <c r="I884" s="7">
        <v>1</v>
      </c>
      <c r="J884" s="7"/>
      <c r="K884" s="7">
        <v>876</v>
      </c>
      <c r="L884" s="7">
        <f>$AT$7*EXP(-'3.r(t)'!D882*$AT$21)</f>
        <v>0.93311670519824419</v>
      </c>
      <c r="M884" s="7">
        <f ca="1">$AT$8*EXP(-'3.r(t)'!E882*$AT$22)</f>
        <v>0.9553922223625656</v>
      </c>
      <c r="N884" s="7">
        <f ca="1">$AT$9*EXP(-'3.r(t)'!F882*$AT$23)</f>
        <v>0.97505016593287475</v>
      </c>
      <c r="O884" s="7">
        <v>1</v>
      </c>
      <c r="P884" s="7"/>
      <c r="Q884" s="7">
        <v>876</v>
      </c>
      <c r="R884" s="7">
        <f>$AU$7*EXP(-'3.r(t)'!D882*$AU$21)</f>
        <v>0.91099305977534117</v>
      </c>
      <c r="S884" s="7">
        <f ca="1">$AU$8*EXP(-'3.r(t)'!E882*$AU$22)</f>
        <v>0.9331944691041193</v>
      </c>
      <c r="T884" s="7">
        <f ca="1">$AU$9*EXP(-'3.r(t)'!F882*$AU$23)</f>
        <v>0.95028345601659903</v>
      </c>
      <c r="U884" s="7">
        <f ca="1">$AU$10*EXP(-'3.r(t)'!G882*$AU$24)</f>
        <v>0.97708310236575424</v>
      </c>
      <c r="V884" s="7">
        <v>1</v>
      </c>
      <c r="W884" s="7"/>
      <c r="X884" s="7">
        <v>876</v>
      </c>
      <c r="Y884" s="7">
        <f>$AV$7*EXP(-'3.r(t)'!D882*$AV$21)</f>
        <v>0.88900715067201674</v>
      </c>
      <c r="Z884" s="7">
        <f ca="1">$AV$8*EXP(-'3.r(t)'!E882*$AV$22)</f>
        <v>0.91111046014131392</v>
      </c>
      <c r="AA884" s="7">
        <f ca="1">$AV$9*EXP(-'3.r(t)'!F882*$AV$23)</f>
        <v>0.92573170549188288</v>
      </c>
      <c r="AB884" s="7">
        <f ca="1">$AV$10*EXP(-'3.r(t)'!G882*$AV$24)</f>
        <v>0.95425865382328301</v>
      </c>
      <c r="AC884" s="7">
        <f ca="1">$AV$11*EXP(-'3.r(t)'!H882*$AV$25)</f>
        <v>0.97613879090000377</v>
      </c>
      <c r="AD884" s="7">
        <v>1</v>
      </c>
      <c r="AE884" s="7"/>
      <c r="AF884" s="7">
        <v>876</v>
      </c>
      <c r="AG884" s="7">
        <f>$AW$7*EXP(-'3.r(t)'!D882*$AW$21)</f>
        <v>0.86718755429225491</v>
      </c>
      <c r="AH884" s="7">
        <f ca="1">$AW$8*EXP(-'3.r(t)'!E882*$AW$22)</f>
        <v>0.88917009000288816</v>
      </c>
      <c r="AI884" s="7">
        <f ca="1">$AW$9*EXP(-'3.r(t)'!F882*$AW$23)</f>
        <v>0.90142455487546624</v>
      </c>
      <c r="AJ884" s="7">
        <f ca="1">$AW$10*EXP(-'3.r(t)'!G882*$AW$24)</f>
        <v>0.93155891776574029</v>
      </c>
      <c r="AK884" s="7">
        <f ca="1">$AW$11*EXP(-'3.r(t)'!H882*$AW$25)</f>
        <v>0.95242349275321436</v>
      </c>
      <c r="AL884" s="7">
        <f ca="1">$AW$12*EXP(-'3.r(t)'!I882*$AW$26)</f>
        <v>0.97757340178295637</v>
      </c>
      <c r="AM884" s="7">
        <v>1</v>
      </c>
      <c r="AN884" s="7"/>
    </row>
    <row r="885" spans="2:40">
      <c r="B885" s="7">
        <v>877</v>
      </c>
      <c r="C885" s="7">
        <f>$AR$7*EXP(-'3.r(t)'!D883*$AR$21)</f>
        <v>0.97765346695821032</v>
      </c>
      <c r="D885" s="7">
        <v>1</v>
      </c>
      <c r="E885" s="7"/>
      <c r="F885" s="7">
        <v>877</v>
      </c>
      <c r="G885" s="48">
        <f>$AS$7*EXP(-'3.r(t)'!D883*$AS$21)</f>
        <v>0.9553476245219803</v>
      </c>
      <c r="H885" s="7">
        <f ca="1">$AS$8*EXP(-'3.r(t)'!E883*$AS$22)</f>
        <v>0.97608012109653908</v>
      </c>
      <c r="I885" s="7">
        <v>1</v>
      </c>
      <c r="J885" s="7"/>
      <c r="K885" s="7">
        <v>877</v>
      </c>
      <c r="L885" s="7">
        <f>$AT$7*EXP(-'3.r(t)'!D883*$AT$21)</f>
        <v>0.93311670519824419</v>
      </c>
      <c r="M885" s="7">
        <f ca="1">$AT$8*EXP(-'3.r(t)'!E883*$AT$22)</f>
        <v>0.95228365246361701</v>
      </c>
      <c r="N885" s="7">
        <f ca="1">$AT$9*EXP(-'3.r(t)'!F883*$AT$23)</f>
        <v>0.97956939186196301</v>
      </c>
      <c r="O885" s="7">
        <v>1</v>
      </c>
      <c r="P885" s="7"/>
      <c r="Q885" s="7">
        <v>877</v>
      </c>
      <c r="R885" s="7">
        <f>$AU$7*EXP(-'3.r(t)'!D883*$AU$21)</f>
        <v>0.91099305977534117</v>
      </c>
      <c r="S885" s="7">
        <f ca="1">$AU$8*EXP(-'3.r(t)'!E883*$AU$22)</f>
        <v>0.92864365863859288</v>
      </c>
      <c r="T885" s="7">
        <f ca="1">$AU$9*EXP(-'3.r(t)'!F883*$AU$23)</f>
        <v>0.95911274112320355</v>
      </c>
      <c r="U885" s="7">
        <f ca="1">$AU$10*EXP(-'3.r(t)'!G883*$AU$24)</f>
        <v>0.97763039880682001</v>
      </c>
      <c r="V885" s="7">
        <v>1</v>
      </c>
      <c r="W885" s="7"/>
      <c r="X885" s="7">
        <v>877</v>
      </c>
      <c r="Y885" s="7">
        <f>$AV$7*EXP(-'3.r(t)'!D883*$AV$21)</f>
        <v>0.88900715067201674</v>
      </c>
      <c r="Z885" s="7">
        <f ca="1">$AV$8*EXP(-'3.r(t)'!E883*$AV$22)</f>
        <v>0.90519112602311225</v>
      </c>
      <c r="AA885" s="7">
        <f ca="1">$AV$9*EXP(-'3.r(t)'!F883*$AV$23)</f>
        <v>0.93866338185899312</v>
      </c>
      <c r="AB885" s="7">
        <f ca="1">$AV$10*EXP(-'3.r(t)'!G883*$AV$24)</f>
        <v>0.95532797665162517</v>
      </c>
      <c r="AC885" s="7">
        <f ca="1">$AV$11*EXP(-'3.r(t)'!H883*$AV$25)</f>
        <v>0.97701499620684928</v>
      </c>
      <c r="AD885" s="7">
        <v>1</v>
      </c>
      <c r="AE885" s="7"/>
      <c r="AF885" s="7">
        <v>877</v>
      </c>
      <c r="AG885" s="7">
        <f>$AW$7*EXP(-'3.r(t)'!D883*$AW$21)</f>
        <v>0.86718755429225491</v>
      </c>
      <c r="AH885" s="7">
        <f ca="1">$AW$8*EXP(-'3.r(t)'!E883*$AW$22)</f>
        <v>0.88195497480301632</v>
      </c>
      <c r="AI885" s="7">
        <f ca="1">$AW$9*EXP(-'3.r(t)'!F883*$AW$23)</f>
        <v>0.91825302520206298</v>
      </c>
      <c r="AJ885" s="7">
        <f ca="1">$AW$10*EXP(-'3.r(t)'!G883*$AW$24)</f>
        <v>0.93312518529194566</v>
      </c>
      <c r="AK885" s="7">
        <f ca="1">$AW$11*EXP(-'3.r(t)'!H883*$AW$25)</f>
        <v>0.95413409593443288</v>
      </c>
      <c r="AL885" s="7">
        <f ca="1">$AW$12*EXP(-'3.r(t)'!I883*$AW$26)</f>
        <v>0.98249842058375492</v>
      </c>
      <c r="AM885" s="7">
        <v>1</v>
      </c>
      <c r="AN885" s="7"/>
    </row>
    <row r="886" spans="2:40">
      <c r="B886" s="7">
        <v>878</v>
      </c>
      <c r="C886" s="7">
        <f>$AR$7*EXP(-'3.r(t)'!D884*$AR$21)</f>
        <v>0.97765346695821032</v>
      </c>
      <c r="D886" s="7">
        <v>1</v>
      </c>
      <c r="E886" s="7"/>
      <c r="F886" s="7">
        <v>878</v>
      </c>
      <c r="G886" s="48">
        <f>$AS$7*EXP(-'3.r(t)'!D884*$AS$21)</f>
        <v>0.9553476245219803</v>
      </c>
      <c r="H886" s="7">
        <f ca="1">$AS$8*EXP(-'3.r(t)'!E884*$AS$22)</f>
        <v>0.97757057520211021</v>
      </c>
      <c r="I886" s="7">
        <v>1</v>
      </c>
      <c r="J886" s="7"/>
      <c r="K886" s="7">
        <v>878</v>
      </c>
      <c r="L886" s="7">
        <f>$AT$7*EXP(-'3.r(t)'!D884*$AT$21)</f>
        <v>0.93311670519824419</v>
      </c>
      <c r="M886" s="7">
        <f ca="1">$AT$8*EXP(-'3.r(t)'!E884*$AT$22)</f>
        <v>0.95519410765351465</v>
      </c>
      <c r="N886" s="7">
        <f ca="1">$AT$9*EXP(-'3.r(t)'!F884*$AT$23)</f>
        <v>0.97657239222476955</v>
      </c>
      <c r="O886" s="7">
        <v>1</v>
      </c>
      <c r="P886" s="7"/>
      <c r="Q886" s="7">
        <v>878</v>
      </c>
      <c r="R886" s="7">
        <f>$AU$7*EXP(-'3.r(t)'!D884*$AU$21)</f>
        <v>0.91099305977534117</v>
      </c>
      <c r="S886" s="7">
        <f ca="1">$AU$8*EXP(-'3.r(t)'!E884*$AU$22)</f>
        <v>0.93290421663759493</v>
      </c>
      <c r="T886" s="7">
        <f ca="1">$AU$9*EXP(-'3.r(t)'!F884*$AU$23)</f>
        <v>0.95325289424636372</v>
      </c>
      <c r="U886" s="7">
        <f ca="1">$AU$10*EXP(-'3.r(t)'!G884*$AU$24)</f>
        <v>0.97276251188285812</v>
      </c>
      <c r="V886" s="7">
        <v>1</v>
      </c>
      <c r="W886" s="7"/>
      <c r="X886" s="7">
        <v>878</v>
      </c>
      <c r="Y886" s="7">
        <f>$AV$7*EXP(-'3.r(t)'!D884*$AV$21)</f>
        <v>0.88900715067201674</v>
      </c>
      <c r="Z886" s="7">
        <f ca="1">$AV$8*EXP(-'3.r(t)'!E884*$AV$22)</f>
        <v>0.91073263485789058</v>
      </c>
      <c r="AA886" s="7">
        <f ca="1">$AV$9*EXP(-'3.r(t)'!F884*$AV$23)</f>
        <v>0.9300741720790604</v>
      </c>
      <c r="AB886" s="7">
        <f ca="1">$AV$10*EXP(-'3.r(t)'!G884*$AV$24)</f>
        <v>0.94583798800416952</v>
      </c>
      <c r="AC886" s="7">
        <f ca="1">$AV$11*EXP(-'3.r(t)'!H884*$AV$25)</f>
        <v>0.97403402468059208</v>
      </c>
      <c r="AD886" s="7">
        <v>1</v>
      </c>
      <c r="AE886" s="7"/>
      <c r="AF886" s="7">
        <v>878</v>
      </c>
      <c r="AG886" s="7">
        <f>$AW$7*EXP(-'3.r(t)'!D884*$AW$21)</f>
        <v>0.86718755429225491</v>
      </c>
      <c r="AH886" s="7">
        <f ca="1">$AW$8*EXP(-'3.r(t)'!E884*$AW$22)</f>
        <v>0.88870920526406683</v>
      </c>
      <c r="AI886" s="7">
        <f ca="1">$AW$9*EXP(-'3.r(t)'!F884*$AW$23)</f>
        <v>0.90706688532192958</v>
      </c>
      <c r="AJ886" s="7">
        <f ca="1">$AW$10*EXP(-'3.r(t)'!G884*$AW$24)</f>
        <v>0.91925562522835802</v>
      </c>
      <c r="AK886" s="7">
        <f ca="1">$AW$11*EXP(-'3.r(t)'!H884*$AW$25)</f>
        <v>0.94832065900394624</v>
      </c>
      <c r="AL886" s="7">
        <f ca="1">$AW$12*EXP(-'3.r(t)'!I884*$AW$26)</f>
        <v>0.97711359472486015</v>
      </c>
      <c r="AM886" s="7">
        <v>1</v>
      </c>
      <c r="AN886" s="7"/>
    </row>
    <row r="887" spans="2:40">
      <c r="B887" s="7">
        <v>879</v>
      </c>
      <c r="C887" s="7">
        <f>$AR$7*EXP(-'3.r(t)'!D885*$AR$21)</f>
        <v>0.97765346695821032</v>
      </c>
      <c r="D887" s="7">
        <v>1</v>
      </c>
      <c r="E887" s="7"/>
      <c r="F887" s="7">
        <v>879</v>
      </c>
      <c r="G887" s="48">
        <f>$AS$7*EXP(-'3.r(t)'!D885*$AS$21)</f>
        <v>0.9553476245219803</v>
      </c>
      <c r="H887" s="7">
        <f ca="1">$AS$8*EXP(-'3.r(t)'!E885*$AS$22)</f>
        <v>0.97478915047559167</v>
      </c>
      <c r="I887" s="7">
        <v>1</v>
      </c>
      <c r="J887" s="7"/>
      <c r="K887" s="7">
        <v>879</v>
      </c>
      <c r="L887" s="7">
        <f>$AT$7*EXP(-'3.r(t)'!D885*$AT$21)</f>
        <v>0.93311670519824419</v>
      </c>
      <c r="M887" s="7">
        <f ca="1">$AT$8*EXP(-'3.r(t)'!E885*$AT$22)</f>
        <v>0.94976632380458803</v>
      </c>
      <c r="N887" s="7">
        <f ca="1">$AT$9*EXP(-'3.r(t)'!F885*$AT$23)</f>
        <v>0.97463766157875487</v>
      </c>
      <c r="O887" s="7">
        <v>1</v>
      </c>
      <c r="P887" s="7"/>
      <c r="Q887" s="7">
        <v>879</v>
      </c>
      <c r="R887" s="7">
        <f>$AU$7*EXP(-'3.r(t)'!D885*$AU$21)</f>
        <v>0.91099305977534117</v>
      </c>
      <c r="S887" s="7">
        <f ca="1">$AU$8*EXP(-'3.r(t)'!E885*$AU$22)</f>
        <v>0.92496383745207689</v>
      </c>
      <c r="T887" s="7">
        <f ca="1">$AU$9*EXP(-'3.r(t)'!F885*$AU$23)</f>
        <v>0.94947957297940788</v>
      </c>
      <c r="U887" s="7">
        <f ca="1">$AU$10*EXP(-'3.r(t)'!G885*$AU$24)</f>
        <v>0.97308918010005796</v>
      </c>
      <c r="V887" s="7">
        <v>1</v>
      </c>
      <c r="W887" s="7"/>
      <c r="X887" s="7">
        <v>879</v>
      </c>
      <c r="Y887" s="7">
        <f>$AV$7*EXP(-'3.r(t)'!D885*$AV$21)</f>
        <v>0.88900715067201674</v>
      </c>
      <c r="Z887" s="7">
        <f ca="1">$AV$8*EXP(-'3.r(t)'!E885*$AV$22)</f>
        <v>0.90041176900343201</v>
      </c>
      <c r="AA887" s="7">
        <f ca="1">$AV$9*EXP(-'3.r(t)'!F885*$AV$23)</f>
        <v>0.92455728336788146</v>
      </c>
      <c r="AB887" s="7">
        <f ca="1">$AV$10*EXP(-'3.r(t)'!G885*$AV$24)</f>
        <v>0.9464733477857753</v>
      </c>
      <c r="AC887" s="7">
        <f ca="1">$AV$11*EXP(-'3.r(t)'!H885*$AV$25)</f>
        <v>0.96687223905459385</v>
      </c>
      <c r="AD887" s="7">
        <v>1</v>
      </c>
      <c r="AE887" s="7"/>
      <c r="AF887" s="7">
        <v>879</v>
      </c>
      <c r="AG887" s="7">
        <f>$AW$7*EXP(-'3.r(t)'!D885*$AW$21)</f>
        <v>0.86718755429225491</v>
      </c>
      <c r="AH887" s="7">
        <f ca="1">$AW$8*EXP(-'3.r(t)'!E885*$AW$22)</f>
        <v>0.87613798224871575</v>
      </c>
      <c r="AI887" s="7">
        <f ca="1">$AW$9*EXP(-'3.r(t)'!F885*$AW$23)</f>
        <v>0.89990009729736542</v>
      </c>
      <c r="AJ887" s="7">
        <f ca="1">$AW$10*EXP(-'3.r(t)'!G885*$AW$24)</f>
        <v>0.92018203567163914</v>
      </c>
      <c r="AK887" s="7">
        <f ca="1">$AW$11*EXP(-'3.r(t)'!H885*$AW$25)</f>
        <v>0.93442648175751442</v>
      </c>
      <c r="AL887" s="7">
        <f ca="1">$AW$12*EXP(-'3.r(t)'!I885*$AW$26)</f>
        <v>0.96634757522752557</v>
      </c>
      <c r="AM887" s="7">
        <v>1</v>
      </c>
      <c r="AN887" s="7"/>
    </row>
    <row r="888" spans="2:40">
      <c r="B888" s="7">
        <v>880</v>
      </c>
      <c r="C888" s="7">
        <f>$AR$7*EXP(-'3.r(t)'!D886*$AR$21)</f>
        <v>0.97765346695821032</v>
      </c>
      <c r="D888" s="7">
        <v>1</v>
      </c>
      <c r="E888" s="7"/>
      <c r="F888" s="7">
        <v>880</v>
      </c>
      <c r="G888" s="48">
        <f>$AS$7*EXP(-'3.r(t)'!D886*$AS$21)</f>
        <v>0.9553476245219803</v>
      </c>
      <c r="H888" s="7">
        <f ca="1">$AS$8*EXP(-'3.r(t)'!E886*$AS$22)</f>
        <v>0.97679308972587942</v>
      </c>
      <c r="I888" s="7">
        <v>1</v>
      </c>
      <c r="J888" s="7"/>
      <c r="K888" s="7">
        <v>880</v>
      </c>
      <c r="L888" s="7">
        <f>$AT$7*EXP(-'3.r(t)'!D886*$AT$21)</f>
        <v>0.93311670519824419</v>
      </c>
      <c r="M888" s="7">
        <f ca="1">$AT$8*EXP(-'3.r(t)'!E886*$AT$22)</f>
        <v>0.95367533398958138</v>
      </c>
      <c r="N888" s="7">
        <f ca="1">$AT$9*EXP(-'3.r(t)'!F886*$AT$23)</f>
        <v>0.97689929280205645</v>
      </c>
      <c r="O888" s="7">
        <v>1</v>
      </c>
      <c r="P888" s="7"/>
      <c r="Q888" s="7">
        <v>880</v>
      </c>
      <c r="R888" s="7">
        <f>$AU$7*EXP(-'3.r(t)'!D886*$AU$21)</f>
        <v>0.91099305977534117</v>
      </c>
      <c r="S888" s="7">
        <f ca="1">$AU$8*EXP(-'3.r(t)'!E886*$AU$22)</f>
        <v>0.93068010273817259</v>
      </c>
      <c r="T888" s="7">
        <f ca="1">$AU$9*EXP(-'3.r(t)'!F886*$AU$23)</f>
        <v>0.95389119014742774</v>
      </c>
      <c r="U888" s="7">
        <f ca="1">$AU$10*EXP(-'3.r(t)'!G886*$AU$24)</f>
        <v>0.97554753578805087</v>
      </c>
      <c r="V888" s="7">
        <v>1</v>
      </c>
      <c r="W888" s="7"/>
      <c r="X888" s="7">
        <v>880</v>
      </c>
      <c r="Y888" s="7">
        <f>$AV$7*EXP(-'3.r(t)'!D886*$AV$21)</f>
        <v>0.88900715067201674</v>
      </c>
      <c r="Z888" s="7">
        <f ca="1">$AV$8*EXP(-'3.r(t)'!E886*$AV$22)</f>
        <v>0.90783877888172959</v>
      </c>
      <c r="AA888" s="7">
        <f ca="1">$AV$9*EXP(-'3.r(t)'!F886*$AV$23)</f>
        <v>0.9310084916646274</v>
      </c>
      <c r="AB888" s="7">
        <f ca="1">$AV$10*EXP(-'3.r(t)'!G886*$AV$24)</f>
        <v>0.95126161856565961</v>
      </c>
      <c r="AC888" s="7">
        <f ca="1">$AV$11*EXP(-'3.r(t)'!H886*$AV$25)</f>
        <v>0.97400557032428436</v>
      </c>
      <c r="AD888" s="7">
        <v>1</v>
      </c>
      <c r="AE888" s="7"/>
      <c r="AF888" s="7">
        <v>880</v>
      </c>
      <c r="AG888" s="7">
        <f>$AW$7*EXP(-'3.r(t)'!D886*$AW$21)</f>
        <v>0.86718755429225491</v>
      </c>
      <c r="AH888" s="7">
        <f ca="1">$AW$8*EXP(-'3.r(t)'!E886*$AW$22)</f>
        <v>0.88518076282211999</v>
      </c>
      <c r="AI888" s="7">
        <f ca="1">$AW$9*EXP(-'3.r(t)'!F886*$AW$23)</f>
        <v>0.90828203173109978</v>
      </c>
      <c r="AJ888" s="7">
        <f ca="1">$AW$10*EXP(-'3.r(t)'!G886*$AW$24)</f>
        <v>0.92717375192593821</v>
      </c>
      <c r="AK888" s="7">
        <f ca="1">$AW$11*EXP(-'3.r(t)'!H886*$AW$25)</f>
        <v>0.94826525342446288</v>
      </c>
      <c r="AL888" s="7">
        <f ca="1">$AW$12*EXP(-'3.r(t)'!I886*$AW$26)</f>
        <v>0.96877498188582412</v>
      </c>
      <c r="AM888" s="7">
        <v>1</v>
      </c>
      <c r="AN888" s="7"/>
    </row>
    <row r="889" spans="2:40">
      <c r="B889" s="7">
        <v>881</v>
      </c>
      <c r="C889" s="7">
        <f>$AR$7*EXP(-'3.r(t)'!D887*$AR$21)</f>
        <v>0.97765346695821032</v>
      </c>
      <c r="D889" s="7">
        <v>1</v>
      </c>
      <c r="E889" s="7"/>
      <c r="F889" s="7">
        <v>881</v>
      </c>
      <c r="G889" s="48">
        <f>$AS$7*EXP(-'3.r(t)'!D887*$AS$21)</f>
        <v>0.9553476245219803</v>
      </c>
      <c r="H889" s="7">
        <f ca="1">$AS$8*EXP(-'3.r(t)'!E887*$AS$22)</f>
        <v>0.98086934520105307</v>
      </c>
      <c r="I889" s="7">
        <v>1</v>
      </c>
      <c r="J889" s="7"/>
      <c r="K889" s="7">
        <v>881</v>
      </c>
      <c r="L889" s="7">
        <f>$AT$7*EXP(-'3.r(t)'!D887*$AT$21)</f>
        <v>0.93311670519824419</v>
      </c>
      <c r="M889" s="7">
        <f ca="1">$AT$8*EXP(-'3.r(t)'!E887*$AT$22)</f>
        <v>0.96165150754839623</v>
      </c>
      <c r="N889" s="7">
        <f ca="1">$AT$9*EXP(-'3.r(t)'!F887*$AT$23)</f>
        <v>0.97971450939895188</v>
      </c>
      <c r="O889" s="7">
        <v>1</v>
      </c>
      <c r="P889" s="7"/>
      <c r="Q889" s="7">
        <v>881</v>
      </c>
      <c r="R889" s="7">
        <f>$AU$7*EXP(-'3.r(t)'!D887*$AU$21)</f>
        <v>0.91099305977534117</v>
      </c>
      <c r="S889" s="7">
        <f ca="1">$AU$8*EXP(-'3.r(t)'!E887*$AU$22)</f>
        <v>0.94238025717611984</v>
      </c>
      <c r="T889" s="7">
        <f ca="1">$AU$9*EXP(-'3.r(t)'!F887*$AU$23)</f>
        <v>0.95939693617768496</v>
      </c>
      <c r="U889" s="7">
        <f ca="1">$AU$10*EXP(-'3.r(t)'!G887*$AU$24)</f>
        <v>0.97763062312169735</v>
      </c>
      <c r="V889" s="7">
        <v>1</v>
      </c>
      <c r="W889" s="7"/>
      <c r="X889" s="7">
        <v>881</v>
      </c>
      <c r="Y889" s="7">
        <f>$AV$7*EXP(-'3.r(t)'!D887*$AV$21)</f>
        <v>0.88900715067201674</v>
      </c>
      <c r="Z889" s="7">
        <f ca="1">$AV$8*EXP(-'3.r(t)'!E887*$AV$22)</f>
        <v>0.92308791075449159</v>
      </c>
      <c r="AA889" s="7">
        <f ca="1">$AV$9*EXP(-'3.r(t)'!F887*$AV$23)</f>
        <v>0.93908061630870387</v>
      </c>
      <c r="AB889" s="7">
        <f ca="1">$AV$10*EXP(-'3.r(t)'!G887*$AV$24)</f>
        <v>0.95532841504695876</v>
      </c>
      <c r="AC889" s="7">
        <f ca="1">$AV$11*EXP(-'3.r(t)'!H887*$AV$25)</f>
        <v>0.9826810242449534</v>
      </c>
      <c r="AD889" s="7">
        <v>1</v>
      </c>
      <c r="AE889" s="7"/>
      <c r="AF889" s="7">
        <v>881</v>
      </c>
      <c r="AG889" s="7">
        <f>$AW$7*EXP(-'3.r(t)'!D887*$AW$21)</f>
        <v>0.86718755429225491</v>
      </c>
      <c r="AH889" s="7">
        <f ca="1">$AW$8*EXP(-'3.r(t)'!E887*$AW$22)</f>
        <v>0.90380529987270042</v>
      </c>
      <c r="AI889" s="7">
        <f ca="1">$AW$9*EXP(-'3.r(t)'!F887*$AW$23)</f>
        <v>0.91879728161812668</v>
      </c>
      <c r="AJ889" s="7">
        <f ca="1">$AW$10*EXP(-'3.r(t)'!G887*$AW$24)</f>
        <v>0.93312582760189133</v>
      </c>
      <c r="AK889" s="7">
        <f ca="1">$AW$11*EXP(-'3.r(t)'!H887*$AW$25)</f>
        <v>0.9652328540378865</v>
      </c>
      <c r="AL889" s="7">
        <f ca="1">$AW$12*EXP(-'3.r(t)'!I887*$AW$26)</f>
        <v>0.98309300364576291</v>
      </c>
      <c r="AM889" s="7">
        <v>1</v>
      </c>
      <c r="AN889" s="7"/>
    </row>
    <row r="890" spans="2:40">
      <c r="B890" s="7">
        <v>882</v>
      </c>
      <c r="C890" s="7">
        <f>$AR$7*EXP(-'3.r(t)'!D888*$AR$21)</f>
        <v>0.97765346695821032</v>
      </c>
      <c r="D890" s="7">
        <v>1</v>
      </c>
      <c r="E890" s="7"/>
      <c r="F890" s="7">
        <v>882</v>
      </c>
      <c r="G890" s="48">
        <f>$AS$7*EXP(-'3.r(t)'!D888*$AS$21)</f>
        <v>0.9553476245219803</v>
      </c>
      <c r="H890" s="7">
        <f ca="1">$AS$8*EXP(-'3.r(t)'!E888*$AS$22)</f>
        <v>0.97697680949195698</v>
      </c>
      <c r="I890" s="7">
        <v>1</v>
      </c>
      <c r="J890" s="7"/>
      <c r="K890" s="7">
        <v>882</v>
      </c>
      <c r="L890" s="7">
        <f>$AT$7*EXP(-'3.r(t)'!D888*$AT$21)</f>
        <v>0.93311670519824419</v>
      </c>
      <c r="M890" s="7">
        <f ca="1">$AT$8*EXP(-'3.r(t)'!E888*$AT$22)</f>
        <v>0.95403411106975988</v>
      </c>
      <c r="N890" s="7">
        <f ca="1">$AT$9*EXP(-'3.r(t)'!F888*$AT$23)</f>
        <v>0.9733149989104799</v>
      </c>
      <c r="O890" s="7">
        <v>1</v>
      </c>
      <c r="P890" s="7"/>
      <c r="Q890" s="7">
        <v>882</v>
      </c>
      <c r="R890" s="7">
        <f>$AU$7*EXP(-'3.r(t)'!D888*$AU$21)</f>
        <v>0.91099305977534117</v>
      </c>
      <c r="S890" s="7">
        <f ca="1">$AU$8*EXP(-'3.r(t)'!E888*$AU$22)</f>
        <v>0.93120534138115907</v>
      </c>
      <c r="T890" s="7">
        <f ca="1">$AU$9*EXP(-'3.r(t)'!F888*$AU$23)</f>
        <v>0.94690427942044009</v>
      </c>
      <c r="U890" s="7">
        <f ca="1">$AU$10*EXP(-'3.r(t)'!G888*$AU$24)</f>
        <v>0.97216232360204702</v>
      </c>
      <c r="V890" s="7">
        <v>1</v>
      </c>
      <c r="W890" s="7"/>
      <c r="X890" s="7">
        <v>882</v>
      </c>
      <c r="Y890" s="7">
        <f>$AV$7*EXP(-'3.r(t)'!D888*$AV$21)</f>
        <v>0.88900715067201674</v>
      </c>
      <c r="Z890" s="7">
        <f ca="1">$AV$8*EXP(-'3.r(t)'!E888*$AV$22)</f>
        <v>0.90852197367954701</v>
      </c>
      <c r="AA890" s="7">
        <f ca="1">$AV$9*EXP(-'3.r(t)'!F888*$AV$23)</f>
        <v>0.92079829069388053</v>
      </c>
      <c r="AB890" s="7">
        <f ca="1">$AV$10*EXP(-'3.r(t)'!G888*$AV$24)</f>
        <v>0.94467119602510097</v>
      </c>
      <c r="AC890" s="7">
        <f ca="1">$AV$11*EXP(-'3.r(t)'!H888*$AV$25)</f>
        <v>0.97204964754307455</v>
      </c>
      <c r="AD890" s="7">
        <v>1</v>
      </c>
      <c r="AE890" s="7"/>
      <c r="AF890" s="7">
        <v>882</v>
      </c>
      <c r="AG890" s="7">
        <f>$AW$7*EXP(-'3.r(t)'!D888*$AW$21)</f>
        <v>0.86718755429225491</v>
      </c>
      <c r="AH890" s="7">
        <f ca="1">$AW$8*EXP(-'3.r(t)'!E888*$AW$22)</f>
        <v>0.88601352049875648</v>
      </c>
      <c r="AI890" s="7">
        <f ca="1">$AW$9*EXP(-'3.r(t)'!F888*$AW$23)</f>
        <v>0.89502508138636394</v>
      </c>
      <c r="AJ890" s="7">
        <f ca="1">$AW$10*EXP(-'3.r(t)'!G888*$AW$24)</f>
        <v>0.91755515022578915</v>
      </c>
      <c r="AK890" s="7">
        <f ca="1">$AW$11*EXP(-'3.r(t)'!H888*$AW$25)</f>
        <v>0.94446061122971625</v>
      </c>
      <c r="AL890" s="7">
        <f ca="1">$AW$12*EXP(-'3.r(t)'!I888*$AW$26)</f>
        <v>0.97119649372488615</v>
      </c>
      <c r="AM890" s="7">
        <v>1</v>
      </c>
      <c r="AN890" s="7"/>
    </row>
    <row r="891" spans="2:40">
      <c r="B891" s="7">
        <v>883</v>
      </c>
      <c r="C891" s="7">
        <f>$AR$7*EXP(-'3.r(t)'!D889*$AR$21)</f>
        <v>0.97765346695821032</v>
      </c>
      <c r="D891" s="7">
        <v>1</v>
      </c>
      <c r="E891" s="7"/>
      <c r="F891" s="7">
        <v>883</v>
      </c>
      <c r="G891" s="48">
        <f>$AS$7*EXP(-'3.r(t)'!D889*$AS$21)</f>
        <v>0.9553476245219803</v>
      </c>
      <c r="H891" s="7">
        <f ca="1">$AS$8*EXP(-'3.r(t)'!E889*$AS$22)</f>
        <v>0.97546340791157349</v>
      </c>
      <c r="I891" s="7">
        <v>1</v>
      </c>
      <c r="J891" s="7"/>
      <c r="K891" s="7">
        <v>883</v>
      </c>
      <c r="L891" s="7">
        <f>$AT$7*EXP(-'3.r(t)'!D889*$AT$21)</f>
        <v>0.93311670519824419</v>
      </c>
      <c r="M891" s="7">
        <f ca="1">$AT$8*EXP(-'3.r(t)'!E889*$AT$22)</f>
        <v>0.95108067672371521</v>
      </c>
      <c r="N891" s="7">
        <f ca="1">$AT$9*EXP(-'3.r(t)'!F889*$AT$23)</f>
        <v>0.9759790988924818</v>
      </c>
      <c r="O891" s="7">
        <v>1</v>
      </c>
      <c r="P891" s="7"/>
      <c r="Q891" s="7">
        <v>883</v>
      </c>
      <c r="R891" s="7">
        <f>$AU$7*EXP(-'3.r(t)'!D889*$AU$21)</f>
        <v>0.91099305977534117</v>
      </c>
      <c r="S891" s="7">
        <f ca="1">$AU$8*EXP(-'3.r(t)'!E889*$AU$22)</f>
        <v>0.92688454583323054</v>
      </c>
      <c r="T891" s="7">
        <f ca="1">$AU$9*EXP(-'3.r(t)'!F889*$AU$23)</f>
        <v>0.95209499382892948</v>
      </c>
      <c r="U891" s="7">
        <f ca="1">$AU$10*EXP(-'3.r(t)'!G889*$AU$24)</f>
        <v>0.97993578515003543</v>
      </c>
      <c r="V891" s="7">
        <v>1</v>
      </c>
      <c r="W891" s="7"/>
      <c r="X891" s="7">
        <v>883</v>
      </c>
      <c r="Y891" s="7">
        <f>$AV$7*EXP(-'3.r(t)'!D889*$AV$21)</f>
        <v>0.88900715067201674</v>
      </c>
      <c r="Z891" s="7">
        <f ca="1">$AV$8*EXP(-'3.r(t)'!E889*$AV$22)</f>
        <v>0.90290559866192255</v>
      </c>
      <c r="AA891" s="7">
        <f ca="1">$AV$9*EXP(-'3.r(t)'!F889*$AV$23)</f>
        <v>0.92838006837510945</v>
      </c>
      <c r="AB891" s="7">
        <f ca="1">$AV$10*EXP(-'3.r(t)'!G889*$AV$24)</f>
        <v>0.95983887740475504</v>
      </c>
      <c r="AC891" s="7">
        <f ca="1">$AV$11*EXP(-'3.r(t)'!H889*$AV$25)</f>
        <v>0.977690742650967</v>
      </c>
      <c r="AD891" s="7">
        <v>1</v>
      </c>
      <c r="AE891" s="7"/>
      <c r="AF891" s="7">
        <v>883</v>
      </c>
      <c r="AG891" s="7">
        <f>$AW$7*EXP(-'3.r(t)'!D889*$AW$21)</f>
        <v>0.86718755429225491</v>
      </c>
      <c r="AH891" s="7">
        <f ca="1">$AW$8*EXP(-'3.r(t)'!E889*$AW$22)</f>
        <v>0.87917228121883795</v>
      </c>
      <c r="AI891" s="7">
        <f ca="1">$AW$9*EXP(-'3.r(t)'!F889*$AW$23)</f>
        <v>0.90486462557594716</v>
      </c>
      <c r="AJ891" s="7">
        <f ca="1">$AW$10*EXP(-'3.r(t)'!G889*$AW$24)</f>
        <v>0.93974207519057773</v>
      </c>
      <c r="AK891" s="7">
        <f ca="1">$AW$11*EXP(-'3.r(t)'!H889*$AW$25)</f>
        <v>0.95545439438364999</v>
      </c>
      <c r="AL891" s="7">
        <f ca="1">$AW$12*EXP(-'3.r(t)'!I889*$AW$26)</f>
        <v>0.98283504648384334</v>
      </c>
      <c r="AM891" s="7">
        <v>1</v>
      </c>
      <c r="AN891" s="7"/>
    </row>
    <row r="892" spans="2:40">
      <c r="B892" s="7">
        <v>884</v>
      </c>
      <c r="C892" s="7">
        <f>$AR$7*EXP(-'3.r(t)'!D890*$AR$21)</f>
        <v>0.97765346695821032</v>
      </c>
      <c r="D892" s="7">
        <v>1</v>
      </c>
      <c r="E892" s="7"/>
      <c r="F892" s="7">
        <v>884</v>
      </c>
      <c r="G892" s="48">
        <f>$AS$7*EXP(-'3.r(t)'!D890*$AS$21)</f>
        <v>0.9553476245219803</v>
      </c>
      <c r="H892" s="7">
        <f ca="1">$AS$8*EXP(-'3.r(t)'!E890*$AS$22)</f>
        <v>0.97943088166591019</v>
      </c>
      <c r="I892" s="7">
        <v>1</v>
      </c>
      <c r="J892" s="7"/>
      <c r="K892" s="7">
        <v>884</v>
      </c>
      <c r="L892" s="7">
        <f>$AT$7*EXP(-'3.r(t)'!D890*$AT$21)</f>
        <v>0.93311670519824419</v>
      </c>
      <c r="M892" s="7">
        <f ca="1">$AT$8*EXP(-'3.r(t)'!E890*$AT$22)</f>
        <v>0.95883301532910614</v>
      </c>
      <c r="N892" s="7">
        <f ca="1">$AT$9*EXP(-'3.r(t)'!F890*$AT$23)</f>
        <v>0.97735239821911912</v>
      </c>
      <c r="O892" s="7">
        <v>1</v>
      </c>
      <c r="P892" s="7"/>
      <c r="Q892" s="7">
        <v>884</v>
      </c>
      <c r="R892" s="7">
        <f>$AU$7*EXP(-'3.r(t)'!D890*$AU$21)</f>
        <v>0.91099305977534117</v>
      </c>
      <c r="S892" s="7">
        <f ca="1">$AU$8*EXP(-'3.r(t)'!E890*$AU$22)</f>
        <v>0.93824027880494465</v>
      </c>
      <c r="T892" s="7">
        <f ca="1">$AU$9*EXP(-'3.r(t)'!F890*$AU$23)</f>
        <v>0.95477626295545404</v>
      </c>
      <c r="U892" s="7">
        <f ca="1">$AU$10*EXP(-'3.r(t)'!G890*$AU$24)</f>
        <v>0.98023019979783876</v>
      </c>
      <c r="V892" s="7">
        <v>1</v>
      </c>
      <c r="W892" s="7"/>
      <c r="X892" s="7">
        <v>884</v>
      </c>
      <c r="Y892" s="7">
        <f>$AV$7*EXP(-'3.r(t)'!D890*$AV$21)</f>
        <v>0.88900715067201674</v>
      </c>
      <c r="Z892" s="7">
        <f ca="1">$AV$8*EXP(-'3.r(t)'!E890*$AV$22)</f>
        <v>0.91768490684835313</v>
      </c>
      <c r="AA892" s="7">
        <f ca="1">$AV$9*EXP(-'3.r(t)'!F890*$AV$23)</f>
        <v>0.93230455365710485</v>
      </c>
      <c r="AB892" s="7">
        <f ca="1">$AV$10*EXP(-'3.r(t)'!G890*$AV$24)</f>
        <v>0.960415717398724</v>
      </c>
      <c r="AC892" s="7">
        <f ca="1">$AV$11*EXP(-'3.r(t)'!H890*$AV$25)</f>
        <v>0.97983039335659194</v>
      </c>
      <c r="AD892" s="7">
        <v>1</v>
      </c>
      <c r="AE892" s="7"/>
      <c r="AF892" s="7">
        <v>884</v>
      </c>
      <c r="AG892" s="7">
        <f>$AW$7*EXP(-'3.r(t)'!D890*$AW$21)</f>
        <v>0.86718755429225491</v>
      </c>
      <c r="AH892" s="7">
        <f ca="1">$AW$8*EXP(-'3.r(t)'!E890*$AW$22)</f>
        <v>0.89719747108840064</v>
      </c>
      <c r="AI892" s="7">
        <f ca="1">$AW$9*EXP(-'3.r(t)'!F890*$AW$23)</f>
        <v>0.90996832192014421</v>
      </c>
      <c r="AJ892" s="7">
        <f ca="1">$AW$10*EXP(-'3.r(t)'!G890*$AW$24)</f>
        <v>0.94058934590751186</v>
      </c>
      <c r="AK892" s="7">
        <f ca="1">$AW$11*EXP(-'3.r(t)'!H890*$AW$25)</f>
        <v>0.95964094452839388</v>
      </c>
      <c r="AL892" s="7">
        <f ca="1">$AW$12*EXP(-'3.r(t)'!I890*$AW$26)</f>
        <v>0.9785027839624042</v>
      </c>
      <c r="AM892" s="7">
        <v>1</v>
      </c>
      <c r="AN892" s="7"/>
    </row>
    <row r="893" spans="2:40">
      <c r="B893" s="7">
        <v>885</v>
      </c>
      <c r="C893" s="7">
        <f>$AR$7*EXP(-'3.r(t)'!D891*$AR$21)</f>
        <v>0.97765346695821032</v>
      </c>
      <c r="D893" s="7">
        <v>1</v>
      </c>
      <c r="E893" s="7"/>
      <c r="F893" s="7">
        <v>885</v>
      </c>
      <c r="G893" s="48">
        <f>$AS$7*EXP(-'3.r(t)'!D891*$AS$21)</f>
        <v>0.9553476245219803</v>
      </c>
      <c r="H893" s="7">
        <f ca="1">$AS$8*EXP(-'3.r(t)'!E891*$AS$22)</f>
        <v>0.98024406124693475</v>
      </c>
      <c r="I893" s="7">
        <v>1</v>
      </c>
      <c r="J893" s="7"/>
      <c r="K893" s="7">
        <v>885</v>
      </c>
      <c r="L893" s="7">
        <f>$AT$7*EXP(-'3.r(t)'!D891*$AT$21)</f>
        <v>0.93311670519824419</v>
      </c>
      <c r="M893" s="7">
        <f ca="1">$AT$8*EXP(-'3.r(t)'!E891*$AT$22)</f>
        <v>0.96042583238539503</v>
      </c>
      <c r="N893" s="7">
        <f ca="1">$AT$9*EXP(-'3.r(t)'!F891*$AT$23)</f>
        <v>0.98380135794051082</v>
      </c>
      <c r="O893" s="7">
        <v>1</v>
      </c>
      <c r="P893" s="7"/>
      <c r="Q893" s="7">
        <v>885</v>
      </c>
      <c r="R893" s="7">
        <f>$AU$7*EXP(-'3.r(t)'!D891*$AU$21)</f>
        <v>0.91099305977534117</v>
      </c>
      <c r="S893" s="7">
        <f ca="1">$AU$8*EXP(-'3.r(t)'!E891*$AU$22)</f>
        <v>0.94057916195950941</v>
      </c>
      <c r="T893" s="7">
        <f ca="1">$AU$9*EXP(-'3.r(t)'!F891*$AU$23)</f>
        <v>0.9674178196260117</v>
      </c>
      <c r="U893" s="7">
        <f ca="1">$AU$10*EXP(-'3.r(t)'!G891*$AU$24)</f>
        <v>0.98563778456642448</v>
      </c>
      <c r="V893" s="7">
        <v>1</v>
      </c>
      <c r="W893" s="7"/>
      <c r="X893" s="7">
        <v>885</v>
      </c>
      <c r="Y893" s="7">
        <f>$AV$7*EXP(-'3.r(t)'!D891*$AV$21)</f>
        <v>0.88900715067201674</v>
      </c>
      <c r="Z893" s="7">
        <f ca="1">$AV$8*EXP(-'3.r(t)'!E891*$AV$22)</f>
        <v>0.92073636261344916</v>
      </c>
      <c r="AA893" s="7">
        <f ca="1">$AV$9*EXP(-'3.r(t)'!F891*$AV$23)</f>
        <v>0.95088174429816874</v>
      </c>
      <c r="AB893" s="7">
        <f ca="1">$AV$10*EXP(-'3.r(t)'!G891*$AV$24)</f>
        <v>0.97104149661314765</v>
      </c>
      <c r="AC893" s="7">
        <f ca="1">$AV$11*EXP(-'3.r(t)'!H891*$AV$25)</f>
        <v>0.98095003476494125</v>
      </c>
      <c r="AD893" s="7">
        <v>1</v>
      </c>
      <c r="AE893" s="7"/>
      <c r="AF893" s="7">
        <v>885</v>
      </c>
      <c r="AG893" s="7">
        <f>$AW$7*EXP(-'3.r(t)'!D891*$AW$21)</f>
        <v>0.86718755429225491</v>
      </c>
      <c r="AH893" s="7">
        <f ca="1">$AW$8*EXP(-'3.r(t)'!E891*$AW$22)</f>
        <v>0.90092818433296729</v>
      </c>
      <c r="AI893" s="7">
        <f ca="1">$AW$9*EXP(-'3.r(t)'!F891*$AW$23)</f>
        <v>0.93422441435831238</v>
      </c>
      <c r="AJ893" s="7">
        <f ca="1">$AW$10*EXP(-'3.r(t)'!G891*$AW$24)</f>
        <v>0.95624208024525936</v>
      </c>
      <c r="AK893" s="7">
        <f ca="1">$AW$11*EXP(-'3.r(t)'!H891*$AW$25)</f>
        <v>0.96183533986285674</v>
      </c>
      <c r="AL893" s="7">
        <f ca="1">$AW$12*EXP(-'3.r(t)'!I891*$AW$26)</f>
        <v>0.97880231463077694</v>
      </c>
      <c r="AM893" s="7">
        <v>1</v>
      </c>
      <c r="AN893" s="7"/>
    </row>
    <row r="894" spans="2:40">
      <c r="B894" s="7">
        <v>886</v>
      </c>
      <c r="C894" s="7">
        <f>$AR$7*EXP(-'3.r(t)'!D892*$AR$21)</f>
        <v>0.97765346695821032</v>
      </c>
      <c r="D894" s="7">
        <v>1</v>
      </c>
      <c r="E894" s="7"/>
      <c r="F894" s="7">
        <v>886</v>
      </c>
      <c r="G894" s="48">
        <f>$AS$7*EXP(-'3.r(t)'!D892*$AS$21)</f>
        <v>0.9553476245219803</v>
      </c>
      <c r="H894" s="7">
        <f ca="1">$AS$8*EXP(-'3.r(t)'!E892*$AS$22)</f>
        <v>0.97730317177431569</v>
      </c>
      <c r="I894" s="7">
        <v>1</v>
      </c>
      <c r="J894" s="7"/>
      <c r="K894" s="7">
        <v>886</v>
      </c>
      <c r="L894" s="7">
        <f>$AT$7*EXP(-'3.r(t)'!D892*$AT$21)</f>
        <v>0.93311670519824419</v>
      </c>
      <c r="M894" s="7">
        <f ca="1">$AT$8*EXP(-'3.r(t)'!E892*$AT$22)</f>
        <v>0.95467161393051814</v>
      </c>
      <c r="N894" s="7">
        <f ca="1">$AT$9*EXP(-'3.r(t)'!F892*$AT$23)</f>
        <v>0.97623844858661091</v>
      </c>
      <c r="O894" s="7">
        <v>1</v>
      </c>
      <c r="P894" s="7"/>
      <c r="Q894" s="7">
        <v>886</v>
      </c>
      <c r="R894" s="7">
        <f>$AU$7*EXP(-'3.r(t)'!D892*$AU$21)</f>
        <v>0.91099305977534117</v>
      </c>
      <c r="S894" s="7">
        <f ca="1">$AU$8*EXP(-'3.r(t)'!E892*$AU$22)</f>
        <v>0.93213886968336745</v>
      </c>
      <c r="T894" s="7">
        <f ca="1">$AU$9*EXP(-'3.r(t)'!F892*$AU$23)</f>
        <v>0.952601066866404</v>
      </c>
      <c r="U894" s="7">
        <f ca="1">$AU$10*EXP(-'3.r(t)'!G892*$AU$24)</f>
        <v>0.97647205231715339</v>
      </c>
      <c r="V894" s="7">
        <v>1</v>
      </c>
      <c r="W894" s="7"/>
      <c r="X894" s="7">
        <v>886</v>
      </c>
      <c r="Y894" s="7">
        <f>$AV$7*EXP(-'3.r(t)'!D892*$AV$21)</f>
        <v>0.88900715067201674</v>
      </c>
      <c r="Z894" s="7">
        <f ca="1">$AV$8*EXP(-'3.r(t)'!E892*$AV$22)</f>
        <v>0.90973656100222067</v>
      </c>
      <c r="AA894" s="7">
        <f ca="1">$AV$9*EXP(-'3.r(t)'!F892*$AV$23)</f>
        <v>0.92912036826848621</v>
      </c>
      <c r="AB894" s="7">
        <f ca="1">$AV$10*EXP(-'3.r(t)'!G892*$AV$24)</f>
        <v>0.95306547493119675</v>
      </c>
      <c r="AC894" s="7">
        <f ca="1">$AV$11*EXP(-'3.r(t)'!H892*$AV$25)</f>
        <v>0.97400699981971395</v>
      </c>
      <c r="AD894" s="7">
        <v>1</v>
      </c>
      <c r="AE894" s="7"/>
      <c r="AF894" s="7">
        <v>886</v>
      </c>
      <c r="AG894" s="7">
        <f>$AW$7*EXP(-'3.r(t)'!D892*$AW$21)</f>
        <v>0.86718755429225491</v>
      </c>
      <c r="AH894" s="7">
        <f ca="1">$AW$8*EXP(-'3.r(t)'!E892*$AW$22)</f>
        <v>0.88749438804390168</v>
      </c>
      <c r="AI894" s="7">
        <f ca="1">$AW$9*EXP(-'3.r(t)'!F892*$AW$23)</f>
        <v>0.90582681799393627</v>
      </c>
      <c r="AJ894" s="7">
        <f ca="1">$AW$10*EXP(-'3.r(t)'!G892*$AW$24)</f>
        <v>0.92981227039488901</v>
      </c>
      <c r="AK894" s="7">
        <f ca="1">$AW$11*EXP(-'3.r(t)'!H892*$AW$25)</f>
        <v>0.94826803686201555</v>
      </c>
      <c r="AL894" s="7">
        <f ca="1">$AW$12*EXP(-'3.r(t)'!I892*$AW$26)</f>
        <v>0.97297794868005372</v>
      </c>
      <c r="AM894" s="7">
        <v>1</v>
      </c>
      <c r="AN894" s="7"/>
    </row>
    <row r="895" spans="2:40">
      <c r="B895" s="7">
        <v>887</v>
      </c>
      <c r="C895" s="7">
        <f>$AR$7*EXP(-'3.r(t)'!D893*$AR$21)</f>
        <v>0.97765346695821032</v>
      </c>
      <c r="D895" s="7">
        <v>1</v>
      </c>
      <c r="E895" s="7"/>
      <c r="F895" s="7">
        <v>887</v>
      </c>
      <c r="G895" s="48">
        <f>$AS$7*EXP(-'3.r(t)'!D893*$AS$21)</f>
        <v>0.9553476245219803</v>
      </c>
      <c r="H895" s="7">
        <f ca="1">$AS$8*EXP(-'3.r(t)'!E893*$AS$22)</f>
        <v>0.97906938188562254</v>
      </c>
      <c r="I895" s="7">
        <v>1</v>
      </c>
      <c r="J895" s="7"/>
      <c r="K895" s="7">
        <v>887</v>
      </c>
      <c r="L895" s="7">
        <f>$AT$7*EXP(-'3.r(t)'!D893*$AT$21)</f>
        <v>0.93311670519824419</v>
      </c>
      <c r="M895" s="7">
        <f ca="1">$AT$8*EXP(-'3.r(t)'!E893*$AT$22)</f>
        <v>0.95812535139086052</v>
      </c>
      <c r="N895" s="7">
        <f ca="1">$AT$9*EXP(-'3.r(t)'!F893*$AT$23)</f>
        <v>0.9750001261859188</v>
      </c>
      <c r="O895" s="7">
        <v>1</v>
      </c>
      <c r="P895" s="7"/>
      <c r="Q895" s="7">
        <v>887</v>
      </c>
      <c r="R895" s="7">
        <f>$AU$7*EXP(-'3.r(t)'!D893*$AU$21)</f>
        <v>0.91099305977534117</v>
      </c>
      <c r="S895" s="7">
        <f ca="1">$AU$8*EXP(-'3.r(t)'!E893*$AU$22)</f>
        <v>0.93720177218781875</v>
      </c>
      <c r="T895" s="7">
        <f ca="1">$AU$9*EXP(-'3.r(t)'!F893*$AU$23)</f>
        <v>0.95018592108937205</v>
      </c>
      <c r="U895" s="7">
        <f ca="1">$AU$10*EXP(-'3.r(t)'!G893*$AU$24)</f>
        <v>0.97395551654641332</v>
      </c>
      <c r="V895" s="7">
        <v>1</v>
      </c>
      <c r="W895" s="7"/>
      <c r="X895" s="7">
        <v>887</v>
      </c>
      <c r="Y895" s="7">
        <f>$AV$7*EXP(-'3.r(t)'!D893*$AV$21)</f>
        <v>0.88900715067201674</v>
      </c>
      <c r="Z895" s="7">
        <f ca="1">$AV$8*EXP(-'3.r(t)'!E893*$AV$22)</f>
        <v>0.91633081733254662</v>
      </c>
      <c r="AA895" s="7">
        <f ca="1">$AV$9*EXP(-'3.r(t)'!F893*$AV$23)</f>
        <v>0.92558918666169243</v>
      </c>
      <c r="AB895" s="7">
        <f ca="1">$AV$10*EXP(-'3.r(t)'!G893*$AV$24)</f>
        <v>0.94815937899145808</v>
      </c>
      <c r="AC895" s="7">
        <f ca="1">$AV$11*EXP(-'3.r(t)'!H893*$AV$25)</f>
        <v>0.97535926877297185</v>
      </c>
      <c r="AD895" s="7">
        <v>1</v>
      </c>
      <c r="AE895" s="7"/>
      <c r="AF895" s="7">
        <v>887</v>
      </c>
      <c r="AG895" s="7">
        <f>$AW$7*EXP(-'3.r(t)'!D893*$AW$21)</f>
        <v>0.86718755429225491</v>
      </c>
      <c r="AH895" s="7">
        <f ca="1">$AW$8*EXP(-'3.r(t)'!E893*$AW$22)</f>
        <v>0.89554295231045011</v>
      </c>
      <c r="AI895" s="7">
        <f ca="1">$AW$9*EXP(-'3.r(t)'!F893*$AW$23)</f>
        <v>0.90123952404949481</v>
      </c>
      <c r="AJ895" s="7">
        <f ca="1">$AW$10*EXP(-'3.r(t)'!G893*$AW$24)</f>
        <v>0.9226419248376454</v>
      </c>
      <c r="AK895" s="7">
        <f ca="1">$AW$11*EXP(-'3.r(t)'!H893*$AW$25)</f>
        <v>0.95090293287394401</v>
      </c>
      <c r="AL895" s="7">
        <f ca="1">$AW$12*EXP(-'3.r(t)'!I893*$AW$26)</f>
        <v>0.97470957012459469</v>
      </c>
      <c r="AM895" s="7">
        <v>1</v>
      </c>
      <c r="AN895" s="7"/>
    </row>
    <row r="896" spans="2:40">
      <c r="B896" s="7">
        <v>888</v>
      </c>
      <c r="C896" s="7">
        <f>$AR$7*EXP(-'3.r(t)'!D894*$AR$21)</f>
        <v>0.97765346695821032</v>
      </c>
      <c r="D896" s="7">
        <v>1</v>
      </c>
      <c r="E896" s="7"/>
      <c r="F896" s="7">
        <v>888</v>
      </c>
      <c r="G896" s="48">
        <f>$AS$7*EXP(-'3.r(t)'!D894*$AS$21)</f>
        <v>0.9553476245219803</v>
      </c>
      <c r="H896" s="7">
        <f ca="1">$AS$8*EXP(-'3.r(t)'!E894*$AS$22)</f>
        <v>0.97595342453008083</v>
      </c>
      <c r="I896" s="7">
        <v>1</v>
      </c>
      <c r="J896" s="7"/>
      <c r="K896" s="7">
        <v>888</v>
      </c>
      <c r="L896" s="7">
        <f>$AT$7*EXP(-'3.r(t)'!D894*$AT$21)</f>
        <v>0.93311670519824419</v>
      </c>
      <c r="M896" s="7">
        <f ca="1">$AT$8*EXP(-'3.r(t)'!E894*$AT$22)</f>
        <v>0.95203645300505801</v>
      </c>
      <c r="N896" s="7">
        <f ca="1">$AT$9*EXP(-'3.r(t)'!F894*$AT$23)</f>
        <v>0.97881042923311745</v>
      </c>
      <c r="O896" s="7">
        <v>1</v>
      </c>
      <c r="P896" s="7"/>
      <c r="Q896" s="7">
        <v>888</v>
      </c>
      <c r="R896" s="7">
        <f>$AU$7*EXP(-'3.r(t)'!D894*$AU$21)</f>
        <v>0.91099305977534117</v>
      </c>
      <c r="S896" s="7">
        <f ca="1">$AU$8*EXP(-'3.r(t)'!E894*$AU$22)</f>
        <v>0.92828208783342403</v>
      </c>
      <c r="T896" s="7">
        <f ca="1">$AU$9*EXP(-'3.r(t)'!F894*$AU$23)</f>
        <v>0.95762709092645837</v>
      </c>
      <c r="U896" s="7">
        <f ca="1">$AU$10*EXP(-'3.r(t)'!G894*$AU$24)</f>
        <v>0.98084055359248212</v>
      </c>
      <c r="V896" s="7">
        <v>1</v>
      </c>
      <c r="W896" s="7"/>
      <c r="X896" s="7">
        <v>888</v>
      </c>
      <c r="Y896" s="7">
        <f>$AV$7*EXP(-'3.r(t)'!D894*$AV$21)</f>
        <v>0.88900715067201674</v>
      </c>
      <c r="Z896" s="7">
        <f ca="1">$AV$8*EXP(-'3.r(t)'!E894*$AV$22)</f>
        <v>0.90472123721879982</v>
      </c>
      <c r="AA896" s="7">
        <f ca="1">$AV$9*EXP(-'3.r(t)'!F894*$AV$23)</f>
        <v>0.9364832649431587</v>
      </c>
      <c r="AB896" s="7">
        <f ca="1">$AV$10*EXP(-'3.r(t)'!G894*$AV$24)</f>
        <v>0.96161212183178169</v>
      </c>
      <c r="AC896" s="7">
        <f ca="1">$AV$11*EXP(-'3.r(t)'!H894*$AV$25)</f>
        <v>0.98229513029895132</v>
      </c>
      <c r="AD896" s="7">
        <v>1</v>
      </c>
      <c r="AE896" s="7"/>
      <c r="AF896" s="7">
        <v>888</v>
      </c>
      <c r="AG896" s="7">
        <f>$AW$7*EXP(-'3.r(t)'!D894*$AW$21)</f>
        <v>0.86718755429225491</v>
      </c>
      <c r="AH896" s="7">
        <f ca="1">$AW$8*EXP(-'3.r(t)'!E894*$AW$22)</f>
        <v>0.88138272842570176</v>
      </c>
      <c r="AI896" s="7">
        <f ca="1">$AW$9*EXP(-'3.r(t)'!F894*$AW$23)</f>
        <v>0.91541051010445718</v>
      </c>
      <c r="AJ896" s="7">
        <f ca="1">$AW$10*EXP(-'3.r(t)'!G894*$AW$24)</f>
        <v>0.94234745278045096</v>
      </c>
      <c r="AK896" s="7">
        <f ca="1">$AW$11*EXP(-'3.r(t)'!H894*$AW$25)</f>
        <v>0.96447491861299373</v>
      </c>
      <c r="AL896" s="7">
        <f ca="1">$AW$12*EXP(-'3.r(t)'!I894*$AW$26)</f>
        <v>0.98169592947478079</v>
      </c>
      <c r="AM896" s="7">
        <v>1</v>
      </c>
      <c r="AN896" s="7"/>
    </row>
    <row r="897" spans="2:40">
      <c r="B897" s="7">
        <v>889</v>
      </c>
      <c r="C897" s="7">
        <f>$AR$7*EXP(-'3.r(t)'!D895*$AR$21)</f>
        <v>0.97765346695821032</v>
      </c>
      <c r="D897" s="7">
        <v>1</v>
      </c>
      <c r="E897" s="7"/>
      <c r="F897" s="7">
        <v>889</v>
      </c>
      <c r="G897" s="48">
        <f>$AS$7*EXP(-'3.r(t)'!D895*$AS$21)</f>
        <v>0.9553476245219803</v>
      </c>
      <c r="H897" s="7">
        <f ca="1">$AS$8*EXP(-'3.r(t)'!E895*$AS$22)</f>
        <v>0.97556546009834311</v>
      </c>
      <c r="I897" s="7">
        <v>1</v>
      </c>
      <c r="J897" s="7"/>
      <c r="K897" s="7">
        <v>889</v>
      </c>
      <c r="L897" s="7">
        <f>$AT$7*EXP(-'3.r(t)'!D895*$AT$21)</f>
        <v>0.93311670519824419</v>
      </c>
      <c r="M897" s="7">
        <f ca="1">$AT$8*EXP(-'3.r(t)'!E895*$AT$22)</f>
        <v>0.95127968970406607</v>
      </c>
      <c r="N897" s="7">
        <f ca="1">$AT$9*EXP(-'3.r(t)'!F895*$AT$23)</f>
        <v>0.97227465850468608</v>
      </c>
      <c r="O897" s="7">
        <v>1</v>
      </c>
      <c r="P897" s="7"/>
      <c r="Q897" s="7">
        <v>889</v>
      </c>
      <c r="R897" s="7">
        <f>$AU$7*EXP(-'3.r(t)'!D895*$AU$21)</f>
        <v>0.91099305977534117</v>
      </c>
      <c r="S897" s="7">
        <f ca="1">$AU$8*EXP(-'3.r(t)'!E895*$AU$22)</f>
        <v>0.92717548598645616</v>
      </c>
      <c r="T897" s="7">
        <f ca="1">$AU$9*EXP(-'3.r(t)'!F895*$AU$23)</f>
        <v>0.94488113929943807</v>
      </c>
      <c r="U897" s="7">
        <f ca="1">$AU$10*EXP(-'3.r(t)'!G895*$AU$24)</f>
        <v>0.97096583079102095</v>
      </c>
      <c r="V897" s="7">
        <v>1</v>
      </c>
      <c r="W897" s="7"/>
      <c r="X897" s="7">
        <v>889</v>
      </c>
      <c r="Y897" s="7">
        <f>$AV$7*EXP(-'3.r(t)'!D895*$AV$21)</f>
        <v>0.88900715067201674</v>
      </c>
      <c r="Z897" s="7">
        <f ca="1">$AV$8*EXP(-'3.r(t)'!E895*$AV$22)</f>
        <v>0.90328350295240212</v>
      </c>
      <c r="AA897" s="7">
        <f ca="1">$AV$9*EXP(-'3.r(t)'!F895*$AV$23)</f>
        <v>0.91784882380171939</v>
      </c>
      <c r="AB897" s="7">
        <f ca="1">$AV$10*EXP(-'3.r(t)'!G895*$AV$24)</f>
        <v>0.94234731098771818</v>
      </c>
      <c r="AC897" s="7">
        <f ca="1">$AV$11*EXP(-'3.r(t)'!H895*$AV$25)</f>
        <v>0.97634784066283542</v>
      </c>
      <c r="AD897" s="7">
        <v>1</v>
      </c>
      <c r="AE897" s="7"/>
      <c r="AF897" s="7">
        <v>889</v>
      </c>
      <c r="AG897" s="7">
        <f>$AW$7*EXP(-'3.r(t)'!D895*$AW$21)</f>
        <v>0.86718755429225491</v>
      </c>
      <c r="AH897" s="7">
        <f ca="1">$AW$8*EXP(-'3.r(t)'!E895*$AW$22)</f>
        <v>0.87963226889368396</v>
      </c>
      <c r="AI897" s="7">
        <f ca="1">$AW$9*EXP(-'3.r(t)'!F895*$AW$23)</f>
        <v>0.89120457540807263</v>
      </c>
      <c r="AJ897" s="7">
        <f ca="1">$AW$10*EXP(-'3.r(t)'!G895*$AW$24)</f>
        <v>0.91417146371320857</v>
      </c>
      <c r="AK897" s="7">
        <f ca="1">$AW$11*EXP(-'3.r(t)'!H895*$AW$25)</f>
        <v>0.95283147823061864</v>
      </c>
      <c r="AL897" s="7">
        <f ca="1">$AW$12*EXP(-'3.r(t)'!I895*$AW$26)</f>
        <v>0.97215635440663184</v>
      </c>
      <c r="AM897" s="7">
        <v>1</v>
      </c>
      <c r="AN897" s="7"/>
    </row>
    <row r="898" spans="2:40">
      <c r="B898" s="7">
        <v>890</v>
      </c>
      <c r="C898" s="7">
        <f>$AR$7*EXP(-'3.r(t)'!D896*$AR$21)</f>
        <v>0.97765346695821032</v>
      </c>
      <c r="D898" s="7">
        <v>1</v>
      </c>
      <c r="E898" s="7"/>
      <c r="F898" s="7">
        <v>890</v>
      </c>
      <c r="G898" s="48">
        <f>$AS$7*EXP(-'3.r(t)'!D896*$AS$21)</f>
        <v>0.9553476245219803</v>
      </c>
      <c r="H898" s="7">
        <f ca="1">$AS$8*EXP(-'3.r(t)'!E896*$AS$22)</f>
        <v>0.97950679513662309</v>
      </c>
      <c r="I898" s="7">
        <v>1</v>
      </c>
      <c r="J898" s="7"/>
      <c r="K898" s="7">
        <v>890</v>
      </c>
      <c r="L898" s="7">
        <f>$AT$7*EXP(-'3.r(t)'!D896*$AT$21)</f>
        <v>0.93311670519824419</v>
      </c>
      <c r="M898" s="7">
        <f ca="1">$AT$8*EXP(-'3.r(t)'!E896*$AT$22)</f>
        <v>0.95898165504267885</v>
      </c>
      <c r="N898" s="7">
        <f ca="1">$AT$9*EXP(-'3.r(t)'!F896*$AT$23)</f>
        <v>0.98001701793415874</v>
      </c>
      <c r="O898" s="7">
        <v>1</v>
      </c>
      <c r="P898" s="7"/>
      <c r="Q898" s="7">
        <v>890</v>
      </c>
      <c r="R898" s="7">
        <f>$AU$7*EXP(-'3.r(t)'!D896*$AU$21)</f>
        <v>0.91099305977534117</v>
      </c>
      <c r="S898" s="7">
        <f ca="1">$AU$8*EXP(-'3.r(t)'!E896*$AU$22)</f>
        <v>0.93845845835563213</v>
      </c>
      <c r="T898" s="7">
        <f ca="1">$AU$9*EXP(-'3.r(t)'!F896*$AU$23)</f>
        <v>0.95998949771652842</v>
      </c>
      <c r="U898" s="7">
        <f ca="1">$AU$10*EXP(-'3.r(t)'!G896*$AU$24)</f>
        <v>0.9833117039246152</v>
      </c>
      <c r="V898" s="7">
        <v>1</v>
      </c>
      <c r="W898" s="7"/>
      <c r="X898" s="7">
        <v>890</v>
      </c>
      <c r="Y898" s="7">
        <f>$AV$7*EXP(-'3.r(t)'!D896*$AV$21)</f>
        <v>0.88900715067201674</v>
      </c>
      <c r="Z898" s="7">
        <f ca="1">$AV$8*EXP(-'3.r(t)'!E896*$AV$22)</f>
        <v>0.91796945064759816</v>
      </c>
      <c r="AA898" s="7">
        <f ca="1">$AV$9*EXP(-'3.r(t)'!F896*$AV$23)</f>
        <v>0.93995077069737154</v>
      </c>
      <c r="AB898" s="7">
        <f ca="1">$AV$10*EXP(-'3.r(t)'!G896*$AV$24)</f>
        <v>0.96646363728080098</v>
      </c>
      <c r="AC898" s="7">
        <f ca="1">$AV$11*EXP(-'3.r(t)'!H896*$AV$25)</f>
        <v>0.98788325606602923</v>
      </c>
      <c r="AD898" s="7">
        <v>1</v>
      </c>
      <c r="AE898" s="7"/>
      <c r="AF898" s="7">
        <v>890</v>
      </c>
      <c r="AG898" s="7">
        <f>$AW$7*EXP(-'3.r(t)'!D896*$AW$21)</f>
        <v>0.86718755429225491</v>
      </c>
      <c r="AH898" s="7">
        <f ca="1">$AW$8*EXP(-'3.r(t)'!E896*$AW$22)</f>
        <v>0.89754522371722556</v>
      </c>
      <c r="AI898" s="7">
        <f ca="1">$AW$9*EXP(-'3.r(t)'!F896*$AW$23)</f>
        <v>0.91993260328866733</v>
      </c>
      <c r="AJ898" s="7">
        <f ca="1">$AW$10*EXP(-'3.r(t)'!G896*$AW$24)</f>
        <v>0.94948792246369107</v>
      </c>
      <c r="AK898" s="7">
        <f ca="1">$AW$11*EXP(-'3.r(t)'!H896*$AW$25)</f>
        <v>0.97547963053781128</v>
      </c>
      <c r="AL898" s="7">
        <f ca="1">$AW$12*EXP(-'3.r(t)'!I896*$AW$26)</f>
        <v>0.98971825766387811</v>
      </c>
      <c r="AM898" s="7">
        <v>1</v>
      </c>
      <c r="AN898" s="7"/>
    </row>
    <row r="899" spans="2:40">
      <c r="B899" s="7">
        <v>891</v>
      </c>
      <c r="C899" s="7">
        <f>$AR$7*EXP(-'3.r(t)'!D897*$AR$21)</f>
        <v>0.97765346695821032</v>
      </c>
      <c r="D899" s="7">
        <v>1</v>
      </c>
      <c r="E899" s="7"/>
      <c r="F899" s="7">
        <v>891</v>
      </c>
      <c r="G899" s="48">
        <f>$AS$7*EXP(-'3.r(t)'!D897*$AS$21)</f>
        <v>0.9553476245219803</v>
      </c>
      <c r="H899" s="7">
        <f ca="1">$AS$8*EXP(-'3.r(t)'!E897*$AS$22)</f>
        <v>0.9758873609176697</v>
      </c>
      <c r="I899" s="7">
        <v>1</v>
      </c>
      <c r="J899" s="7"/>
      <c r="K899" s="7">
        <v>891</v>
      </c>
      <c r="L899" s="7">
        <f>$AT$7*EXP(-'3.r(t)'!D897*$AT$21)</f>
        <v>0.93311670519824419</v>
      </c>
      <c r="M899" s="7">
        <f ca="1">$AT$8*EXP(-'3.r(t)'!E897*$AT$22)</f>
        <v>0.95190756808713262</v>
      </c>
      <c r="N899" s="7">
        <f ca="1">$AT$9*EXP(-'3.r(t)'!F897*$AT$23)</f>
        <v>0.97513863631784303</v>
      </c>
      <c r="O899" s="7">
        <v>1</v>
      </c>
      <c r="P899" s="7"/>
      <c r="Q899" s="7">
        <v>891</v>
      </c>
      <c r="R899" s="7">
        <f>$AU$7*EXP(-'3.r(t)'!D897*$AU$21)</f>
        <v>0.91099305977534117</v>
      </c>
      <c r="S899" s="7">
        <f ca="1">$AU$8*EXP(-'3.r(t)'!E897*$AU$22)</f>
        <v>0.92809359056892282</v>
      </c>
      <c r="T899" s="7">
        <f ca="1">$AU$9*EXP(-'3.r(t)'!F897*$AU$23)</f>
        <v>0.95045591023530518</v>
      </c>
      <c r="U899" s="7">
        <f ca="1">$AU$10*EXP(-'3.r(t)'!G897*$AU$24)</f>
        <v>0.97401260360360931</v>
      </c>
      <c r="V899" s="7">
        <v>1</v>
      </c>
      <c r="W899" s="7"/>
      <c r="X899" s="7">
        <v>891</v>
      </c>
      <c r="Y899" s="7">
        <f>$AV$7*EXP(-'3.r(t)'!D897*$AV$21)</f>
        <v>0.88900715067201674</v>
      </c>
      <c r="Z899" s="7">
        <f ca="1">$AV$8*EXP(-'3.r(t)'!E897*$AV$22)</f>
        <v>0.90447629485517933</v>
      </c>
      <c r="AA899" s="7">
        <f ca="1">$AV$9*EXP(-'3.r(t)'!F897*$AV$23)</f>
        <v>0.92598371489990394</v>
      </c>
      <c r="AB899" s="7">
        <f ca="1">$AV$10*EXP(-'3.r(t)'!G897*$AV$24)</f>
        <v>0.94827053235336811</v>
      </c>
      <c r="AC899" s="7">
        <f ca="1">$AV$11*EXP(-'3.r(t)'!H897*$AV$25)</f>
        <v>0.97701591421313805</v>
      </c>
      <c r="AD899" s="7">
        <v>1</v>
      </c>
      <c r="AE899" s="7"/>
      <c r="AF899" s="7">
        <v>891</v>
      </c>
      <c r="AG899" s="7">
        <f>$AW$7*EXP(-'3.r(t)'!D897*$AW$21)</f>
        <v>0.86718755429225491</v>
      </c>
      <c r="AH899" s="7">
        <f ca="1">$AW$8*EXP(-'3.r(t)'!E897*$AW$22)</f>
        <v>0.88108445884104092</v>
      </c>
      <c r="AI899" s="7">
        <f ca="1">$AW$9*EXP(-'3.r(t)'!F897*$AW$23)</f>
        <v>0.90175175950483011</v>
      </c>
      <c r="AJ899" s="7">
        <f ca="1">$AW$10*EXP(-'3.r(t)'!G897*$AW$24)</f>
        <v>0.92280417249290125</v>
      </c>
      <c r="AK899" s="7">
        <f ca="1">$AW$11*EXP(-'3.r(t)'!H897*$AW$25)</f>
        <v>0.95413588894992452</v>
      </c>
      <c r="AL899" s="7">
        <f ca="1">$AW$12*EXP(-'3.r(t)'!I897*$AW$26)</f>
        <v>0.97267538351713634</v>
      </c>
      <c r="AM899" s="7">
        <v>1</v>
      </c>
      <c r="AN899" s="7"/>
    </row>
    <row r="900" spans="2:40">
      <c r="B900" s="7">
        <v>892</v>
      </c>
      <c r="C900" s="7">
        <f>$AR$7*EXP(-'3.r(t)'!D898*$AR$21)</f>
        <v>0.97765346695821032</v>
      </c>
      <c r="D900" s="7">
        <v>1</v>
      </c>
      <c r="E900" s="7"/>
      <c r="F900" s="7">
        <v>892</v>
      </c>
      <c r="G900" s="48">
        <f>$AS$7*EXP(-'3.r(t)'!D898*$AS$21)</f>
        <v>0.9553476245219803</v>
      </c>
      <c r="H900" s="7">
        <f ca="1">$AS$8*EXP(-'3.r(t)'!E898*$AS$22)</f>
        <v>0.97563091785562006</v>
      </c>
      <c r="I900" s="7">
        <v>1</v>
      </c>
      <c r="J900" s="7"/>
      <c r="K900" s="7">
        <v>892</v>
      </c>
      <c r="L900" s="7">
        <f>$AT$7*EXP(-'3.r(t)'!D898*$AT$21)</f>
        <v>0.93311670519824419</v>
      </c>
      <c r="M900" s="7">
        <f ca="1">$AT$8*EXP(-'3.r(t)'!E898*$AT$22)</f>
        <v>0.95140735048461855</v>
      </c>
      <c r="N900" s="7">
        <f ca="1">$AT$9*EXP(-'3.r(t)'!F898*$AT$23)</f>
        <v>0.97811034368318017</v>
      </c>
      <c r="O900" s="7">
        <v>1</v>
      </c>
      <c r="P900" s="7"/>
      <c r="Q900" s="7">
        <v>892</v>
      </c>
      <c r="R900" s="7">
        <f>$AU$7*EXP(-'3.r(t)'!D898*$AU$21)</f>
        <v>0.91099305977534117</v>
      </c>
      <c r="S900" s="7">
        <f ca="1">$AU$8*EXP(-'3.r(t)'!E898*$AU$22)</f>
        <v>0.92736213127888156</v>
      </c>
      <c r="T900" s="7">
        <f ca="1">$AU$9*EXP(-'3.r(t)'!F898*$AU$23)</f>
        <v>0.95625771211264754</v>
      </c>
      <c r="U900" s="7">
        <f ca="1">$AU$10*EXP(-'3.r(t)'!G898*$AU$24)</f>
        <v>0.97543355865693071</v>
      </c>
      <c r="V900" s="7">
        <v>1</v>
      </c>
      <c r="W900" s="7"/>
      <c r="X900" s="7">
        <v>892</v>
      </c>
      <c r="Y900" s="7">
        <f>$AV$7*EXP(-'3.r(t)'!D898*$AV$21)</f>
        <v>0.88900715067201674</v>
      </c>
      <c r="Z900" s="7">
        <f ca="1">$AV$8*EXP(-'3.r(t)'!E898*$AV$22)</f>
        <v>0.90352595870079788</v>
      </c>
      <c r="AA900" s="7">
        <f ca="1">$AV$9*EXP(-'3.r(t)'!F898*$AV$23)</f>
        <v>0.93447526757671806</v>
      </c>
      <c r="AB900" s="7">
        <f ca="1">$AV$10*EXP(-'3.r(t)'!G898*$AV$24)</f>
        <v>0.95103935213053681</v>
      </c>
      <c r="AC900" s="7">
        <f ca="1">$AV$11*EXP(-'3.r(t)'!H898*$AV$25)</f>
        <v>0.97263658293100175</v>
      </c>
      <c r="AD900" s="7">
        <v>1</v>
      </c>
      <c r="AE900" s="7"/>
      <c r="AF900" s="7">
        <v>892</v>
      </c>
      <c r="AG900" s="7">
        <f>$AW$7*EXP(-'3.r(t)'!D898*$AW$21)</f>
        <v>0.86718755429225491</v>
      </c>
      <c r="AH900" s="7">
        <f ca="1">$AW$8*EXP(-'3.r(t)'!E898*$AW$22)</f>
        <v>0.87992741301868638</v>
      </c>
      <c r="AI900" s="7">
        <f ca="1">$AW$9*EXP(-'3.r(t)'!F898*$AW$23)</f>
        <v>0.9127943612823608</v>
      </c>
      <c r="AJ900" s="7">
        <f ca="1">$AW$10*EXP(-'3.r(t)'!G898*$AW$24)</f>
        <v>0.92684881360890858</v>
      </c>
      <c r="AK900" s="7">
        <f ca="1">$AW$11*EXP(-'3.r(t)'!H898*$AW$25)</f>
        <v>0.94560150915494212</v>
      </c>
      <c r="AL900" s="7">
        <f ca="1">$AW$12*EXP(-'3.r(t)'!I898*$AW$26)</f>
        <v>0.97026392184364441</v>
      </c>
      <c r="AM900" s="7">
        <v>1</v>
      </c>
      <c r="AN900" s="7"/>
    </row>
    <row r="901" spans="2:40">
      <c r="B901" s="7">
        <v>893</v>
      </c>
      <c r="C901" s="7">
        <f>$AR$7*EXP(-'3.r(t)'!D899*$AR$21)</f>
        <v>0.97765346695821032</v>
      </c>
      <c r="D901" s="7">
        <v>1</v>
      </c>
      <c r="E901" s="7"/>
      <c r="F901" s="7">
        <v>893</v>
      </c>
      <c r="G901" s="48">
        <f>$AS$7*EXP(-'3.r(t)'!D899*$AS$21)</f>
        <v>0.9553476245219803</v>
      </c>
      <c r="H901" s="7">
        <f ca="1">$AS$8*EXP(-'3.r(t)'!E899*$AS$22)</f>
        <v>0.979695032996872</v>
      </c>
      <c r="I901" s="7">
        <v>1</v>
      </c>
      <c r="J901" s="7"/>
      <c r="K901" s="7">
        <v>893</v>
      </c>
      <c r="L901" s="7">
        <f>$AT$7*EXP(-'3.r(t)'!D899*$AT$21)</f>
        <v>0.93311670519824419</v>
      </c>
      <c r="M901" s="7">
        <f ca="1">$AT$8*EXP(-'3.r(t)'!E899*$AT$22)</f>
        <v>0.95935027729452849</v>
      </c>
      <c r="N901" s="7">
        <f ca="1">$AT$9*EXP(-'3.r(t)'!F899*$AT$23)</f>
        <v>0.97855883498895624</v>
      </c>
      <c r="O901" s="7">
        <v>1</v>
      </c>
      <c r="P901" s="7"/>
      <c r="Q901" s="7">
        <v>893</v>
      </c>
      <c r="R901" s="7">
        <f>$AU$7*EXP(-'3.r(t)'!D899*$AU$21)</f>
        <v>0.91099305977534117</v>
      </c>
      <c r="S901" s="7">
        <f ca="1">$AU$8*EXP(-'3.r(t)'!E899*$AU$22)</f>
        <v>0.93899961038365554</v>
      </c>
      <c r="T901" s="7">
        <f ca="1">$AU$9*EXP(-'3.r(t)'!F899*$AU$23)</f>
        <v>0.95713485567422441</v>
      </c>
      <c r="U901" s="7">
        <f ca="1">$AU$10*EXP(-'3.r(t)'!G899*$AU$24)</f>
        <v>0.97791158660637645</v>
      </c>
      <c r="V901" s="7">
        <v>1</v>
      </c>
      <c r="W901" s="7"/>
      <c r="X901" s="7">
        <v>893</v>
      </c>
      <c r="Y901" s="7">
        <f>$AV$7*EXP(-'3.r(t)'!D899*$AV$21)</f>
        <v>0.88900715067201674</v>
      </c>
      <c r="Z901" s="7">
        <f ca="1">$AV$8*EXP(-'3.r(t)'!E899*$AV$22)</f>
        <v>0.9186753014839073</v>
      </c>
      <c r="AA901" s="7">
        <f ca="1">$AV$9*EXP(-'3.r(t)'!F899*$AV$23)</f>
        <v>0.93576130724327888</v>
      </c>
      <c r="AB901" s="7">
        <f ca="1">$AV$10*EXP(-'3.r(t)'!G899*$AV$24)</f>
        <v>0.9558776019565749</v>
      </c>
      <c r="AC901" s="7">
        <f ca="1">$AV$11*EXP(-'3.r(t)'!H899*$AV$25)</f>
        <v>0.97595328174646279</v>
      </c>
      <c r="AD901" s="7">
        <v>1</v>
      </c>
      <c r="AE901" s="7"/>
      <c r="AF901" s="7">
        <v>893</v>
      </c>
      <c r="AG901" s="7">
        <f>$AW$7*EXP(-'3.r(t)'!D899*$AW$21)</f>
        <v>0.86718755429225491</v>
      </c>
      <c r="AH901" s="7">
        <f ca="1">$AW$8*EXP(-'3.r(t)'!E899*$AW$22)</f>
        <v>0.89840798925801213</v>
      </c>
      <c r="AI901" s="7">
        <f ca="1">$AW$9*EXP(-'3.r(t)'!F899*$AW$23)</f>
        <v>0.91446968142368334</v>
      </c>
      <c r="AJ901" s="7">
        <f ca="1">$AW$10*EXP(-'3.r(t)'!G899*$AW$24)</f>
        <v>0.93393057828802639</v>
      </c>
      <c r="AK901" s="7">
        <f ca="1">$AW$11*EXP(-'3.r(t)'!H899*$AW$25)</f>
        <v>0.95206152273662015</v>
      </c>
      <c r="AL901" s="7">
        <f ca="1">$AW$12*EXP(-'3.r(t)'!I899*$AW$26)</f>
        <v>0.98291111235805551</v>
      </c>
      <c r="AM901" s="7">
        <v>1</v>
      </c>
      <c r="AN901" s="7"/>
    </row>
    <row r="902" spans="2:40">
      <c r="B902" s="7">
        <v>894</v>
      </c>
      <c r="C902" s="7">
        <f>$AR$7*EXP(-'3.r(t)'!D900*$AR$21)</f>
        <v>0.97765346695821032</v>
      </c>
      <c r="D902" s="7">
        <v>1</v>
      </c>
      <c r="E902" s="7"/>
      <c r="F902" s="7">
        <v>894</v>
      </c>
      <c r="G902" s="48">
        <f>$AS$7*EXP(-'3.r(t)'!D900*$AS$21)</f>
        <v>0.9553476245219803</v>
      </c>
      <c r="H902" s="7">
        <f ca="1">$AS$8*EXP(-'3.r(t)'!E900*$AS$22)</f>
        <v>0.97858614734323057</v>
      </c>
      <c r="I902" s="7">
        <v>1</v>
      </c>
      <c r="J902" s="7"/>
      <c r="K902" s="7">
        <v>894</v>
      </c>
      <c r="L902" s="7">
        <f>$AT$7*EXP(-'3.r(t)'!D900*$AT$21)</f>
        <v>0.93311670519824419</v>
      </c>
      <c r="M902" s="7">
        <f ca="1">$AT$8*EXP(-'3.r(t)'!E900*$AT$22)</f>
        <v>0.95717979019950283</v>
      </c>
      <c r="N902" s="7">
        <f ca="1">$AT$9*EXP(-'3.r(t)'!F900*$AT$23)</f>
        <v>0.98003673787380463</v>
      </c>
      <c r="O902" s="7">
        <v>1</v>
      </c>
      <c r="P902" s="7"/>
      <c r="Q902" s="7">
        <v>894</v>
      </c>
      <c r="R902" s="7">
        <f>$AU$7*EXP(-'3.r(t)'!D900*$AU$21)</f>
        <v>0.91099305977534117</v>
      </c>
      <c r="S902" s="7">
        <f ca="1">$AU$8*EXP(-'3.r(t)'!E900*$AU$22)</f>
        <v>0.93581474655473695</v>
      </c>
      <c r="T902" s="7">
        <f ca="1">$AU$9*EXP(-'3.r(t)'!F900*$AU$23)</f>
        <v>0.9600281319954721</v>
      </c>
      <c r="U902" s="7">
        <f ca="1">$AU$10*EXP(-'3.r(t)'!G900*$AU$24)</f>
        <v>0.97795991993020825</v>
      </c>
      <c r="V902" s="7">
        <v>1</v>
      </c>
      <c r="W902" s="7"/>
      <c r="X902" s="7">
        <v>894</v>
      </c>
      <c r="Y902" s="7">
        <f>$AV$7*EXP(-'3.r(t)'!D900*$AV$21)</f>
        <v>0.88900715067201674</v>
      </c>
      <c r="Z902" s="7">
        <f ca="1">$AV$8*EXP(-'3.r(t)'!E900*$AV$22)</f>
        <v>0.91452308034780794</v>
      </c>
      <c r="AA902" s="7">
        <f ca="1">$AV$9*EXP(-'3.r(t)'!F900*$AV$23)</f>
        <v>0.94000751301442043</v>
      </c>
      <c r="AB902" s="7">
        <f ca="1">$AV$10*EXP(-'3.r(t)'!G900*$AV$24)</f>
        <v>0.95597209287793949</v>
      </c>
      <c r="AC902" s="7">
        <f ca="1">$AV$11*EXP(-'3.r(t)'!H900*$AV$25)</f>
        <v>0.97749789779744878</v>
      </c>
      <c r="AD902" s="7">
        <v>1</v>
      </c>
      <c r="AE902" s="7"/>
      <c r="AF902" s="7">
        <v>894</v>
      </c>
      <c r="AG902" s="7">
        <f>$AW$7*EXP(-'3.r(t)'!D900*$AW$21)</f>
        <v>0.86718755429225491</v>
      </c>
      <c r="AH902" s="7">
        <f ca="1">$AW$8*EXP(-'3.r(t)'!E900*$AW$22)</f>
        <v>0.89333508880405554</v>
      </c>
      <c r="AI902" s="7">
        <f ca="1">$AW$9*EXP(-'3.r(t)'!F900*$AW$23)</f>
        <v>0.92000664919865383</v>
      </c>
      <c r="AJ902" s="7">
        <f ca="1">$AW$10*EXP(-'3.r(t)'!G900*$AW$24)</f>
        <v>0.93406906381404986</v>
      </c>
      <c r="AK902" s="7">
        <f ca="1">$AW$11*EXP(-'3.r(t)'!H900*$AW$25)</f>
        <v>0.95507751387730477</v>
      </c>
      <c r="AL902" s="7">
        <f ca="1">$AW$12*EXP(-'3.r(t)'!I900*$AW$26)</f>
        <v>0.97878275212611165</v>
      </c>
      <c r="AM902" s="7">
        <v>1</v>
      </c>
      <c r="AN902" s="7"/>
    </row>
    <row r="903" spans="2:40">
      <c r="B903" s="7">
        <v>895</v>
      </c>
      <c r="C903" s="7">
        <f>$AR$7*EXP(-'3.r(t)'!D901*$AR$21)</f>
        <v>0.97765346695821032</v>
      </c>
      <c r="D903" s="7">
        <v>1</v>
      </c>
      <c r="E903" s="7"/>
      <c r="F903" s="7">
        <v>895</v>
      </c>
      <c r="G903" s="48">
        <f>$AS$7*EXP(-'3.r(t)'!D901*$AS$21)</f>
        <v>0.9553476245219803</v>
      </c>
      <c r="H903" s="7">
        <f ca="1">$AS$8*EXP(-'3.r(t)'!E901*$AS$22)</f>
        <v>0.97282420219709698</v>
      </c>
      <c r="I903" s="7">
        <v>1</v>
      </c>
      <c r="J903" s="7"/>
      <c r="K903" s="7">
        <v>895</v>
      </c>
      <c r="L903" s="7">
        <f>$AT$7*EXP(-'3.r(t)'!D901*$AT$21)</f>
        <v>0.93311670519824419</v>
      </c>
      <c r="M903" s="7">
        <f ca="1">$AT$8*EXP(-'3.r(t)'!E901*$AT$22)</f>
        <v>0.94594116685173035</v>
      </c>
      <c r="N903" s="7">
        <f ca="1">$AT$9*EXP(-'3.r(t)'!F901*$AT$23)</f>
        <v>0.97143827610020939</v>
      </c>
      <c r="O903" s="7">
        <v>1</v>
      </c>
      <c r="P903" s="7"/>
      <c r="Q903" s="7">
        <v>895</v>
      </c>
      <c r="R903" s="7">
        <f>$AU$7*EXP(-'3.r(t)'!D901*$AU$21)</f>
        <v>0.91099305977534117</v>
      </c>
      <c r="S903" s="7">
        <f ca="1">$AU$8*EXP(-'3.r(t)'!E901*$AU$22)</f>
        <v>0.91938156904711921</v>
      </c>
      <c r="T903" s="7">
        <f ca="1">$AU$9*EXP(-'3.r(t)'!F901*$AU$23)</f>
        <v>0.94325620330187654</v>
      </c>
      <c r="U903" s="7">
        <f ca="1">$AU$10*EXP(-'3.r(t)'!G901*$AU$24)</f>
        <v>0.97211608448735132</v>
      </c>
      <c r="V903" s="7">
        <v>1</v>
      </c>
      <c r="W903" s="7"/>
      <c r="X903" s="7">
        <v>895</v>
      </c>
      <c r="Y903" s="7">
        <f>$AV$7*EXP(-'3.r(t)'!D901*$AV$21)</f>
        <v>0.88900715067201674</v>
      </c>
      <c r="Z903" s="7">
        <f ca="1">$AV$8*EXP(-'3.r(t)'!E901*$AV$22)</f>
        <v>0.89317360839352178</v>
      </c>
      <c r="AA903" s="7">
        <f ca="1">$AV$9*EXP(-'3.r(t)'!F901*$AV$23)</f>
        <v>0.91548217026876466</v>
      </c>
      <c r="AB903" s="7">
        <f ca="1">$AV$10*EXP(-'3.r(t)'!G901*$AV$24)</f>
        <v>0.94458133506273989</v>
      </c>
      <c r="AC903" s="7">
        <f ca="1">$AV$11*EXP(-'3.r(t)'!H901*$AV$25)</f>
        <v>0.97371169901496057</v>
      </c>
      <c r="AD903" s="7">
        <v>1</v>
      </c>
      <c r="AE903" s="7"/>
      <c r="AF903" s="7">
        <v>895</v>
      </c>
      <c r="AG903" s="7">
        <f>$AW$7*EXP(-'3.r(t)'!D901*$AW$21)</f>
        <v>0.86718755429225491</v>
      </c>
      <c r="AH903" s="7">
        <f ca="1">$AW$8*EXP(-'3.r(t)'!E901*$AW$22)</f>
        <v>0.86734305853248872</v>
      </c>
      <c r="AI903" s="7">
        <f ca="1">$AW$9*EXP(-'3.r(t)'!F901*$AW$23)</f>
        <v>0.88814195699998288</v>
      </c>
      <c r="AJ903" s="7">
        <f ca="1">$AW$10*EXP(-'3.r(t)'!G901*$AW$24)</f>
        <v>0.91742423097843684</v>
      </c>
      <c r="AK903" s="7">
        <f ca="1">$AW$11*EXP(-'3.r(t)'!H901*$AW$25)</f>
        <v>0.94769312956591323</v>
      </c>
      <c r="AL903" s="7">
        <f ca="1">$AW$12*EXP(-'3.r(t)'!I901*$AW$26)</f>
        <v>0.97378218151588303</v>
      </c>
      <c r="AM903" s="7">
        <v>1</v>
      </c>
      <c r="AN903" s="7"/>
    </row>
    <row r="904" spans="2:40">
      <c r="B904" s="7">
        <v>896</v>
      </c>
      <c r="C904" s="7">
        <f>$AR$7*EXP(-'3.r(t)'!D902*$AR$21)</f>
        <v>0.97765346695821032</v>
      </c>
      <c r="D904" s="7">
        <v>1</v>
      </c>
      <c r="E904" s="7"/>
      <c r="F904" s="7">
        <v>896</v>
      </c>
      <c r="G904" s="48">
        <f>$AS$7*EXP(-'3.r(t)'!D902*$AS$21)</f>
        <v>0.9553476245219803</v>
      </c>
      <c r="H904" s="7">
        <f ca="1">$AS$8*EXP(-'3.r(t)'!E902*$AS$22)</f>
        <v>0.97347748681326629</v>
      </c>
      <c r="I904" s="7">
        <v>1</v>
      </c>
      <c r="J904" s="7"/>
      <c r="K904" s="7">
        <v>896</v>
      </c>
      <c r="L904" s="7">
        <f>$AT$7*EXP(-'3.r(t)'!D902*$AT$21)</f>
        <v>0.93311670519824419</v>
      </c>
      <c r="M904" s="7">
        <f ca="1">$AT$8*EXP(-'3.r(t)'!E902*$AT$22)</f>
        <v>0.94721205691443955</v>
      </c>
      <c r="N904" s="7">
        <f ca="1">$AT$9*EXP(-'3.r(t)'!F902*$AT$23)</f>
        <v>0.9760980634087254</v>
      </c>
      <c r="O904" s="7">
        <v>1</v>
      </c>
      <c r="P904" s="7"/>
      <c r="Q904" s="7">
        <v>896</v>
      </c>
      <c r="R904" s="7">
        <f>$AU$7*EXP(-'3.r(t)'!D902*$AU$21)</f>
        <v>0.91099305977534117</v>
      </c>
      <c r="S904" s="7">
        <f ca="1">$AU$8*EXP(-'3.r(t)'!E902*$AU$22)</f>
        <v>0.92123500133137137</v>
      </c>
      <c r="T904" s="7">
        <f ca="1">$AU$9*EXP(-'3.r(t)'!F902*$AU$23)</f>
        <v>0.95232711442166573</v>
      </c>
      <c r="U904" s="7">
        <f ca="1">$AU$10*EXP(-'3.r(t)'!G902*$AU$24)</f>
        <v>0.97346544074292019</v>
      </c>
      <c r="V904" s="7">
        <v>1</v>
      </c>
      <c r="W904" s="7"/>
      <c r="X904" s="7">
        <v>896</v>
      </c>
      <c r="Y904" s="7">
        <f>$AV$7*EXP(-'3.r(t)'!D902*$AV$21)</f>
        <v>0.88900715067201674</v>
      </c>
      <c r="Z904" s="7">
        <f ca="1">$AV$8*EXP(-'3.r(t)'!E902*$AV$22)</f>
        <v>0.8955752122868269</v>
      </c>
      <c r="AA904" s="7">
        <f ca="1">$AV$9*EXP(-'3.r(t)'!F902*$AV$23)</f>
        <v>0.92871959741438403</v>
      </c>
      <c r="AB904" s="7">
        <f ca="1">$AV$10*EXP(-'3.r(t)'!G902*$AV$24)</f>
        <v>0.94720542769679983</v>
      </c>
      <c r="AC904" s="7">
        <f ca="1">$AV$11*EXP(-'3.r(t)'!H902*$AV$25)</f>
        <v>0.97394853941838433</v>
      </c>
      <c r="AD904" s="7">
        <v>1</v>
      </c>
      <c r="AE904" s="7"/>
      <c r="AF904" s="7">
        <v>896</v>
      </c>
      <c r="AG904" s="7">
        <f>$AW$7*EXP(-'3.r(t)'!D902*$AW$21)</f>
        <v>0.86718755429225491</v>
      </c>
      <c r="AH904" s="7">
        <f ca="1">$AW$8*EXP(-'3.r(t)'!E902*$AW$22)</f>
        <v>0.87025922467448125</v>
      </c>
      <c r="AI904" s="7">
        <f ca="1">$AW$9*EXP(-'3.r(t)'!F902*$AW$23)</f>
        <v>0.90530589103406878</v>
      </c>
      <c r="AJ904" s="7">
        <f ca="1">$AW$10*EXP(-'3.r(t)'!G902*$AW$24)</f>
        <v>0.9212498581797498</v>
      </c>
      <c r="AK904" s="7">
        <f ca="1">$AW$11*EXP(-'3.r(t)'!H902*$AW$25)</f>
        <v>0.94815420920705873</v>
      </c>
      <c r="AL904" s="7">
        <f ca="1">$AW$12*EXP(-'3.r(t)'!I902*$AW$26)</f>
        <v>0.97541069009385029</v>
      </c>
      <c r="AM904" s="7">
        <v>1</v>
      </c>
      <c r="AN904" s="7"/>
    </row>
    <row r="905" spans="2:40">
      <c r="B905" s="7">
        <v>897</v>
      </c>
      <c r="C905" s="7">
        <f>$AR$7*EXP(-'3.r(t)'!D903*$AR$21)</f>
        <v>0.97765346695821032</v>
      </c>
      <c r="D905" s="7">
        <v>1</v>
      </c>
      <c r="E905" s="7"/>
      <c r="F905" s="7">
        <v>897</v>
      </c>
      <c r="G905" s="48">
        <f>$AS$7*EXP(-'3.r(t)'!D903*$AS$21)</f>
        <v>0.9553476245219803</v>
      </c>
      <c r="H905" s="7">
        <f ca="1">$AS$8*EXP(-'3.r(t)'!E903*$AS$22)</f>
        <v>0.97359483463131202</v>
      </c>
      <c r="I905" s="7">
        <v>1</v>
      </c>
      <c r="J905" s="7"/>
      <c r="K905" s="7">
        <v>897</v>
      </c>
      <c r="L905" s="7">
        <f>$AT$7*EXP(-'3.r(t)'!D903*$AT$21)</f>
        <v>0.93311670519824419</v>
      </c>
      <c r="M905" s="7">
        <f ca="1">$AT$8*EXP(-'3.r(t)'!E903*$AT$22)</f>
        <v>0.94744043398344258</v>
      </c>
      <c r="N905" s="7">
        <f ca="1">$AT$9*EXP(-'3.r(t)'!F903*$AT$23)</f>
        <v>0.97583650619038098</v>
      </c>
      <c r="O905" s="7">
        <v>1</v>
      </c>
      <c r="P905" s="7"/>
      <c r="Q905" s="7">
        <v>897</v>
      </c>
      <c r="R905" s="7">
        <f>$AU$7*EXP(-'3.r(t)'!D903*$AU$21)</f>
        <v>0.91099305977534117</v>
      </c>
      <c r="S905" s="7">
        <f ca="1">$AU$8*EXP(-'3.r(t)'!E903*$AU$22)</f>
        <v>0.9215681922396548</v>
      </c>
      <c r="T905" s="7">
        <f ca="1">$AU$9*EXP(-'3.r(t)'!F903*$AU$23)</f>
        <v>0.95181680778902045</v>
      </c>
      <c r="U905" s="7">
        <f ca="1">$AU$10*EXP(-'3.r(t)'!G903*$AU$24)</f>
        <v>0.97111812469413228</v>
      </c>
      <c r="V905" s="7">
        <v>1</v>
      </c>
      <c r="W905" s="7"/>
      <c r="X905" s="7">
        <v>897</v>
      </c>
      <c r="Y905" s="7">
        <f>$AV$7*EXP(-'3.r(t)'!D903*$AV$21)</f>
        <v>0.88900715067201674</v>
      </c>
      <c r="Z905" s="7">
        <f ca="1">$AV$8*EXP(-'3.r(t)'!E903*$AV$22)</f>
        <v>0.89600711873685668</v>
      </c>
      <c r="AA905" s="7">
        <f ca="1">$AV$9*EXP(-'3.r(t)'!F903*$AV$23)</f>
        <v>0.92797321268759936</v>
      </c>
      <c r="AB905" s="7">
        <f ca="1">$AV$10*EXP(-'3.r(t)'!G903*$AV$24)</f>
        <v>0.94264294447025065</v>
      </c>
      <c r="AC905" s="7">
        <f ca="1">$AV$11*EXP(-'3.r(t)'!H903*$AV$25)</f>
        <v>0.96780514064032463</v>
      </c>
      <c r="AD905" s="7">
        <v>1</v>
      </c>
      <c r="AE905" s="7"/>
      <c r="AF905" s="7">
        <v>897</v>
      </c>
      <c r="AG905" s="7">
        <f>$AW$7*EXP(-'3.r(t)'!D903*$AW$21)</f>
        <v>0.86718755429225491</v>
      </c>
      <c r="AH905" s="7">
        <f ca="1">$AW$8*EXP(-'3.r(t)'!E903*$AW$22)</f>
        <v>0.8707838780246373</v>
      </c>
      <c r="AI905" s="7">
        <f ca="1">$AW$9*EXP(-'3.r(t)'!F903*$AW$23)</f>
        <v>0.90433593057343298</v>
      </c>
      <c r="AJ905" s="7">
        <f ca="1">$AW$10*EXP(-'3.r(t)'!G903*$AW$24)</f>
        <v>0.9146016886722198</v>
      </c>
      <c r="AK905" s="7">
        <f ca="1">$AW$11*EXP(-'3.r(t)'!H903*$AW$25)</f>
        <v>0.93623054326931765</v>
      </c>
      <c r="AL905" s="7">
        <f ca="1">$AW$12*EXP(-'3.r(t)'!I903*$AW$26)</f>
        <v>0.96609307132909661</v>
      </c>
      <c r="AM905" s="7">
        <v>1</v>
      </c>
      <c r="AN905" s="7"/>
    </row>
    <row r="906" spans="2:40">
      <c r="B906" s="7">
        <v>898</v>
      </c>
      <c r="C906" s="7">
        <f>$AR$7*EXP(-'3.r(t)'!D904*$AR$21)</f>
        <v>0.97765346695821032</v>
      </c>
      <c r="D906" s="7">
        <v>1</v>
      </c>
      <c r="E906" s="7"/>
      <c r="F906" s="7">
        <v>898</v>
      </c>
      <c r="G906" s="48">
        <f>$AS$7*EXP(-'3.r(t)'!D904*$AS$21)</f>
        <v>0.9553476245219803</v>
      </c>
      <c r="H906" s="7">
        <f ca="1">$AS$8*EXP(-'3.r(t)'!E904*$AS$22)</f>
        <v>0.97967037038523908</v>
      </c>
      <c r="I906" s="7">
        <v>1</v>
      </c>
      <c r="J906" s="7"/>
      <c r="K906" s="7">
        <v>898</v>
      </c>
      <c r="L906" s="7">
        <f>$AT$7*EXP(-'3.r(t)'!D904*$AT$21)</f>
        <v>0.93311670519824419</v>
      </c>
      <c r="M906" s="7">
        <f ca="1">$AT$8*EXP(-'3.r(t)'!E904*$AT$22)</f>
        <v>0.95930197698738107</v>
      </c>
      <c r="N906" s="7">
        <f ca="1">$AT$9*EXP(-'3.r(t)'!F904*$AT$23)</f>
        <v>0.97943957657170189</v>
      </c>
      <c r="O906" s="7">
        <v>1</v>
      </c>
      <c r="P906" s="7"/>
      <c r="Q906" s="7">
        <v>898</v>
      </c>
      <c r="R906" s="7">
        <f>$AU$7*EXP(-'3.r(t)'!D904*$AU$21)</f>
        <v>0.91099305977534117</v>
      </c>
      <c r="S906" s="7">
        <f ca="1">$AU$8*EXP(-'3.r(t)'!E904*$AU$22)</f>
        <v>0.93892869770482967</v>
      </c>
      <c r="T906" s="7">
        <f ca="1">$AU$9*EXP(-'3.r(t)'!F904*$AU$23)</f>
        <v>0.95885854933265868</v>
      </c>
      <c r="U906" s="7">
        <f ca="1">$AU$10*EXP(-'3.r(t)'!G904*$AU$24)</f>
        <v>0.97571040352972316</v>
      </c>
      <c r="V906" s="7">
        <v>1</v>
      </c>
      <c r="W906" s="7"/>
      <c r="X906" s="7">
        <v>898</v>
      </c>
      <c r="Y906" s="7">
        <f>$AV$7*EXP(-'3.r(t)'!D904*$AV$21)</f>
        <v>0.88900715067201674</v>
      </c>
      <c r="Z906" s="7">
        <f ca="1">$AV$8*EXP(-'3.r(t)'!E904*$AV$22)</f>
        <v>0.91858279891570704</v>
      </c>
      <c r="AA906" s="7">
        <f ca="1">$AV$9*EXP(-'3.r(t)'!F904*$AV$23)</f>
        <v>0.93829024837968422</v>
      </c>
      <c r="AB906" s="7">
        <f ca="1">$AV$10*EXP(-'3.r(t)'!G904*$AV$24)</f>
        <v>0.95157927149110966</v>
      </c>
      <c r="AC906" s="7">
        <f ca="1">$AV$11*EXP(-'3.r(t)'!H904*$AV$25)</f>
        <v>0.97813087377814767</v>
      </c>
      <c r="AD906" s="7">
        <v>1</v>
      </c>
      <c r="AE906" s="7"/>
      <c r="AF906" s="7">
        <v>898</v>
      </c>
      <c r="AG906" s="7">
        <f>$AW$7*EXP(-'3.r(t)'!D904*$AW$21)</f>
        <v>0.86718755429225491</v>
      </c>
      <c r="AH906" s="7">
        <f ca="1">$AW$8*EXP(-'3.r(t)'!E904*$AW$22)</f>
        <v>0.89829491339739043</v>
      </c>
      <c r="AI906" s="7">
        <f ca="1">$AW$9*EXP(-'3.r(t)'!F904*$AW$23)</f>
        <v>0.91776636406155787</v>
      </c>
      <c r="AJ906" s="7">
        <f ca="1">$AW$10*EXP(-'3.r(t)'!G904*$AW$24)</f>
        <v>0.92763820466111468</v>
      </c>
      <c r="AK906" s="7">
        <f ca="1">$AW$11*EXP(-'3.r(t)'!H904*$AW$25)</f>
        <v>0.95631482980769211</v>
      </c>
      <c r="AL906" s="7">
        <f ca="1">$AW$12*EXP(-'3.r(t)'!I904*$AW$26)</f>
        <v>0.97497175113305024</v>
      </c>
      <c r="AM906" s="7">
        <v>1</v>
      </c>
      <c r="AN906" s="7"/>
    </row>
    <row r="907" spans="2:40">
      <c r="B907" s="7">
        <v>899</v>
      </c>
      <c r="C907" s="7">
        <f>$AR$7*EXP(-'3.r(t)'!D905*$AR$21)</f>
        <v>0.97765346695821032</v>
      </c>
      <c r="D907" s="7">
        <v>1</v>
      </c>
      <c r="E907" s="7"/>
      <c r="F907" s="7">
        <v>899</v>
      </c>
      <c r="G907" s="48">
        <f>$AS$7*EXP(-'3.r(t)'!D905*$AS$21)</f>
        <v>0.9553476245219803</v>
      </c>
      <c r="H907" s="7">
        <f ca="1">$AS$8*EXP(-'3.r(t)'!E905*$AS$22)</f>
        <v>0.97693215557397795</v>
      </c>
      <c r="I907" s="7">
        <v>1</v>
      </c>
      <c r="J907" s="7"/>
      <c r="K907" s="7">
        <v>899</v>
      </c>
      <c r="L907" s="7">
        <f>$AT$7*EXP(-'3.r(t)'!D905*$AT$21)</f>
        <v>0.93311670519824419</v>
      </c>
      <c r="M907" s="7">
        <f ca="1">$AT$8*EXP(-'3.r(t)'!E905*$AT$22)</f>
        <v>0.95394690247492442</v>
      </c>
      <c r="N907" s="7">
        <f ca="1">$AT$9*EXP(-'3.r(t)'!F905*$AT$23)</f>
        <v>0.97566934470998301</v>
      </c>
      <c r="O907" s="7">
        <v>1</v>
      </c>
      <c r="P907" s="7"/>
      <c r="Q907" s="7">
        <v>899</v>
      </c>
      <c r="R907" s="7">
        <f>$AU$7*EXP(-'3.r(t)'!D905*$AU$21)</f>
        <v>0.91099305977534117</v>
      </c>
      <c r="S907" s="7">
        <f ca="1">$AU$8*EXP(-'3.r(t)'!E905*$AU$22)</f>
        <v>0.9310776615856734</v>
      </c>
      <c r="T907" s="7">
        <f ca="1">$AU$9*EXP(-'3.r(t)'!F905*$AU$23)</f>
        <v>0.95149074194075833</v>
      </c>
      <c r="U907" s="7">
        <f ca="1">$AU$10*EXP(-'3.r(t)'!G905*$AU$24)</f>
        <v>0.97775165047638701</v>
      </c>
      <c r="V907" s="7">
        <v>1</v>
      </c>
      <c r="W907" s="7"/>
      <c r="X907" s="7">
        <v>899</v>
      </c>
      <c r="Y907" s="7">
        <f>$AV$7*EXP(-'3.r(t)'!D905*$AV$21)</f>
        <v>0.88900715067201674</v>
      </c>
      <c r="Z907" s="7">
        <f ca="1">$AV$8*EXP(-'3.r(t)'!E905*$AV$22)</f>
        <v>0.90835588464243799</v>
      </c>
      <c r="AA907" s="7">
        <f ca="1">$AV$9*EXP(-'3.r(t)'!F905*$AV$23)</f>
        <v>0.9274964069804903</v>
      </c>
      <c r="AB907" s="7">
        <f ca="1">$AV$10*EXP(-'3.r(t)'!G905*$AV$24)</f>
        <v>0.95556496252191325</v>
      </c>
      <c r="AC907" s="7">
        <f ca="1">$AV$11*EXP(-'3.r(t)'!H905*$AV$25)</f>
        <v>0.97943753692762614</v>
      </c>
      <c r="AD907" s="7">
        <v>1</v>
      </c>
      <c r="AE907" s="7"/>
      <c r="AF907" s="7">
        <v>899</v>
      </c>
      <c r="AG907" s="7">
        <f>$AW$7*EXP(-'3.r(t)'!D905*$AW$21)</f>
        <v>0.86718755429225491</v>
      </c>
      <c r="AH907" s="7">
        <f ca="1">$AW$8*EXP(-'3.r(t)'!E905*$AW$22)</f>
        <v>0.885811057358311</v>
      </c>
      <c r="AI907" s="7">
        <f ca="1">$AW$9*EXP(-'3.r(t)'!F905*$AW$23)</f>
        <v>0.90371643625001485</v>
      </c>
      <c r="AJ907" s="7">
        <f ca="1">$AW$10*EXP(-'3.r(t)'!G905*$AW$24)</f>
        <v>0.93347242394174024</v>
      </c>
      <c r="AK907" s="7">
        <f ca="1">$AW$11*EXP(-'3.r(t)'!H905*$AW$25)</f>
        <v>0.95887157558642711</v>
      </c>
      <c r="AL907" s="7">
        <f ca="1">$AW$12*EXP(-'3.r(t)'!I905*$AW$26)</f>
        <v>0.97896812461259086</v>
      </c>
      <c r="AM907" s="7">
        <v>1</v>
      </c>
      <c r="AN907" s="7"/>
    </row>
    <row r="908" spans="2:40">
      <c r="B908" s="7">
        <v>900</v>
      </c>
      <c r="C908" s="7">
        <f>$AR$7*EXP(-'3.r(t)'!D906*$AR$21)</f>
        <v>0.97765346695821032</v>
      </c>
      <c r="D908" s="7">
        <v>1</v>
      </c>
      <c r="E908" s="7"/>
      <c r="F908" s="7">
        <v>900</v>
      </c>
      <c r="G908" s="48">
        <f>$AS$7*EXP(-'3.r(t)'!D906*$AS$21)</f>
        <v>0.9553476245219803</v>
      </c>
      <c r="H908" s="7">
        <f ca="1">$AS$8*EXP(-'3.r(t)'!E906*$AS$22)</f>
        <v>0.97426155107048273</v>
      </c>
      <c r="I908" s="7">
        <v>1</v>
      </c>
      <c r="J908" s="7"/>
      <c r="K908" s="7">
        <v>900</v>
      </c>
      <c r="L908" s="7">
        <f>$AT$7*EXP(-'3.r(t)'!D906*$AT$21)</f>
        <v>0.93311670519824419</v>
      </c>
      <c r="M908" s="7">
        <f ca="1">$AT$8*EXP(-'3.r(t)'!E906*$AT$22)</f>
        <v>0.94873849016613443</v>
      </c>
      <c r="N908" s="7">
        <f ca="1">$AT$9*EXP(-'3.r(t)'!F906*$AT$23)</f>
        <v>0.97544304238798796</v>
      </c>
      <c r="O908" s="7">
        <v>1</v>
      </c>
      <c r="P908" s="7"/>
      <c r="Q908" s="7">
        <v>900</v>
      </c>
      <c r="R908" s="7">
        <f>$AU$7*EXP(-'3.r(t)'!D906*$AU$21)</f>
        <v>0.91099305977534117</v>
      </c>
      <c r="S908" s="7">
        <f ca="1">$AU$8*EXP(-'3.r(t)'!E906*$AU$22)</f>
        <v>0.92346275503398434</v>
      </c>
      <c r="T908" s="7">
        <f ca="1">$AU$9*EXP(-'3.r(t)'!F906*$AU$23)</f>
        <v>0.95104940473236799</v>
      </c>
      <c r="U908" s="7">
        <f ca="1">$AU$10*EXP(-'3.r(t)'!G906*$AU$24)</f>
        <v>0.97627845165176708</v>
      </c>
      <c r="V908" s="7">
        <v>1</v>
      </c>
      <c r="W908" s="7"/>
      <c r="X908" s="7">
        <v>900</v>
      </c>
      <c r="Y908" s="7">
        <f>$AV$7*EXP(-'3.r(t)'!D906*$AV$21)</f>
        <v>0.88900715067201674</v>
      </c>
      <c r="Z908" s="7">
        <f ca="1">$AV$8*EXP(-'3.r(t)'!E906*$AV$22)</f>
        <v>0.89846397887982199</v>
      </c>
      <c r="AA908" s="7">
        <f ca="1">$AV$9*EXP(-'3.r(t)'!F906*$AV$23)</f>
        <v>0.92685117021674535</v>
      </c>
      <c r="AB908" s="7">
        <f ca="1">$AV$10*EXP(-'3.r(t)'!G906*$AV$24)</f>
        <v>0.95268759249558632</v>
      </c>
      <c r="AC908" s="7">
        <f ca="1">$AV$11*EXP(-'3.r(t)'!H906*$AV$25)</f>
        <v>0.97680888408092847</v>
      </c>
      <c r="AD908" s="7">
        <v>1</v>
      </c>
      <c r="AE908" s="7"/>
      <c r="AF908" s="7">
        <v>900</v>
      </c>
      <c r="AG908" s="7">
        <f>$AW$7*EXP(-'3.r(t)'!D906*$AW$21)</f>
        <v>0.86718755429225491</v>
      </c>
      <c r="AH908" s="7">
        <f ca="1">$AW$8*EXP(-'3.r(t)'!E906*$AW$22)</f>
        <v>0.873769522524798</v>
      </c>
      <c r="AI908" s="7">
        <f ca="1">$AW$9*EXP(-'3.r(t)'!F906*$AW$23)</f>
        <v>0.90287827530483866</v>
      </c>
      <c r="AJ908" s="7">
        <f ca="1">$AW$10*EXP(-'3.r(t)'!G906*$AW$24)</f>
        <v>0.92925933110916847</v>
      </c>
      <c r="AK908" s="7">
        <f ca="1">$AW$11*EXP(-'3.r(t)'!H906*$AW$25)</f>
        <v>0.95373156810418414</v>
      </c>
      <c r="AL908" s="7">
        <f ca="1">$AW$12*EXP(-'3.r(t)'!I906*$AW$26)</f>
        <v>0.97600075691696486</v>
      </c>
      <c r="AM908" s="7">
        <v>1</v>
      </c>
      <c r="AN908" s="7"/>
    </row>
    <row r="909" spans="2:40">
      <c r="B909" s="7">
        <v>901</v>
      </c>
      <c r="C909" s="7">
        <f>$AR$7*EXP(-'3.r(t)'!D907*$AR$21)</f>
        <v>0.97765346695821032</v>
      </c>
      <c r="D909" s="7">
        <v>1</v>
      </c>
      <c r="E909" s="7"/>
      <c r="F909" s="7">
        <v>901</v>
      </c>
      <c r="G909" s="48">
        <f>$AS$7*EXP(-'3.r(t)'!D907*$AS$21)</f>
        <v>0.9553476245219803</v>
      </c>
      <c r="H909" s="7">
        <f ca="1">$AS$8*EXP(-'3.r(t)'!E907*$AS$22)</f>
        <v>0.97972355987151549</v>
      </c>
      <c r="I909" s="7">
        <v>1</v>
      </c>
      <c r="J909" s="7"/>
      <c r="K909" s="7">
        <v>901</v>
      </c>
      <c r="L909" s="7">
        <f>$AT$7*EXP(-'3.r(t)'!D907*$AT$21)</f>
        <v>0.93311670519824419</v>
      </c>
      <c r="M909" s="7">
        <f ca="1">$AT$8*EXP(-'3.r(t)'!E907*$AT$22)</f>
        <v>0.95940614705525884</v>
      </c>
      <c r="N909" s="7">
        <f ca="1">$AT$9*EXP(-'3.r(t)'!F907*$AT$23)</f>
        <v>0.98088890063629108</v>
      </c>
      <c r="O909" s="7">
        <v>1</v>
      </c>
      <c r="P909" s="7"/>
      <c r="Q909" s="7">
        <v>901</v>
      </c>
      <c r="R909" s="7">
        <f>$AU$7*EXP(-'3.r(t)'!D907*$AU$21)</f>
        <v>0.91099305977534117</v>
      </c>
      <c r="S909" s="7">
        <f ca="1">$AU$8*EXP(-'3.r(t)'!E907*$AU$22)</f>
        <v>0.93908163847380588</v>
      </c>
      <c r="T909" s="7">
        <f ca="1">$AU$9*EXP(-'3.r(t)'!F907*$AU$23)</f>
        <v>0.9616983875505114</v>
      </c>
      <c r="U909" s="7">
        <f ca="1">$AU$10*EXP(-'3.r(t)'!G907*$AU$24)</f>
        <v>0.98508476653354715</v>
      </c>
      <c r="V909" s="7">
        <v>1</v>
      </c>
      <c r="W909" s="7"/>
      <c r="X909" s="7">
        <v>901</v>
      </c>
      <c r="Y909" s="7">
        <f>$AV$7*EXP(-'3.r(t)'!D907*$AV$21)</f>
        <v>0.88900715067201674</v>
      </c>
      <c r="Z909" s="7">
        <f ca="1">$AV$8*EXP(-'3.r(t)'!E907*$AV$22)</f>
        <v>0.91878230653730808</v>
      </c>
      <c r="AA909" s="7">
        <f ca="1">$AV$9*EXP(-'3.r(t)'!F907*$AV$23)</f>
        <v>0.94246171526231226</v>
      </c>
      <c r="AB909" s="7">
        <f ca="1">$AV$10*EXP(-'3.r(t)'!G907*$AV$24)</f>
        <v>0.96995214550112596</v>
      </c>
      <c r="AC909" s="7">
        <f ca="1">$AV$11*EXP(-'3.r(t)'!H907*$AV$25)</f>
        <v>0.98434757743909362</v>
      </c>
      <c r="AD909" s="7">
        <v>1</v>
      </c>
      <c r="AE909" s="7"/>
      <c r="AF909" s="7">
        <v>901</v>
      </c>
      <c r="AG909" s="7">
        <f>$AW$7*EXP(-'3.r(t)'!D907*$AW$21)</f>
        <v>0.86718755429225491</v>
      </c>
      <c r="AH909" s="7">
        <f ca="1">$AW$8*EXP(-'3.r(t)'!E907*$AW$22)</f>
        <v>0.89853879662046476</v>
      </c>
      <c r="AI909" s="7">
        <f ca="1">$AW$9*EXP(-'3.r(t)'!F907*$AW$23)</f>
        <v>0.92321068644021365</v>
      </c>
      <c r="AJ909" s="7">
        <f ca="1">$AW$10*EXP(-'3.r(t)'!G907*$AW$24)</f>
        <v>0.95463340877369829</v>
      </c>
      <c r="AK909" s="7">
        <f ca="1">$AW$11*EXP(-'3.r(t)'!H907*$AW$25)</f>
        <v>0.9685095550196483</v>
      </c>
      <c r="AL909" s="7">
        <f ca="1">$AW$12*EXP(-'3.r(t)'!I907*$AW$26)</f>
        <v>0.98908258926384085</v>
      </c>
      <c r="AM909" s="7">
        <v>1</v>
      </c>
      <c r="AN909" s="7"/>
    </row>
    <row r="910" spans="2:40">
      <c r="B910" s="7">
        <v>902</v>
      </c>
      <c r="C910" s="7">
        <f>$AR$7*EXP(-'3.r(t)'!D908*$AR$21)</f>
        <v>0.97765346695821032</v>
      </c>
      <c r="D910" s="7">
        <v>1</v>
      </c>
      <c r="E910" s="7"/>
      <c r="F910" s="7">
        <v>902</v>
      </c>
      <c r="G910" s="48">
        <f>$AS$7*EXP(-'3.r(t)'!D908*$AS$21)</f>
        <v>0.9553476245219803</v>
      </c>
      <c r="H910" s="7">
        <f ca="1">$AS$8*EXP(-'3.r(t)'!E908*$AS$22)</f>
        <v>0.97897146038937088</v>
      </c>
      <c r="I910" s="7">
        <v>1</v>
      </c>
      <c r="J910" s="7"/>
      <c r="K910" s="7">
        <v>902</v>
      </c>
      <c r="L910" s="7">
        <f>$AT$7*EXP(-'3.r(t)'!D908*$AT$21)</f>
        <v>0.93311670519824419</v>
      </c>
      <c r="M910" s="7">
        <f ca="1">$AT$8*EXP(-'3.r(t)'!E908*$AT$22)</f>
        <v>0.95793370741140471</v>
      </c>
      <c r="N910" s="7">
        <f ca="1">$AT$9*EXP(-'3.r(t)'!F908*$AT$23)</f>
        <v>0.98278038631642017</v>
      </c>
      <c r="O910" s="7">
        <v>1</v>
      </c>
      <c r="P910" s="7"/>
      <c r="Q910" s="7">
        <v>902</v>
      </c>
      <c r="R910" s="7">
        <f>$AU$7*EXP(-'3.r(t)'!D908*$AU$21)</f>
        <v>0.91099305977534117</v>
      </c>
      <c r="S910" s="7">
        <f ca="1">$AU$8*EXP(-'3.r(t)'!E908*$AU$22)</f>
        <v>0.93692059797307492</v>
      </c>
      <c r="T910" s="7">
        <f ca="1">$AU$9*EXP(-'3.r(t)'!F908*$AU$23)</f>
        <v>0.96541092337090961</v>
      </c>
      <c r="U910" s="7">
        <f ca="1">$AU$10*EXP(-'3.r(t)'!G908*$AU$24)</f>
        <v>0.98477875632145229</v>
      </c>
      <c r="V910" s="7">
        <v>1</v>
      </c>
      <c r="W910" s="7"/>
      <c r="X910" s="7">
        <v>902</v>
      </c>
      <c r="Y910" s="7">
        <f>$AV$7*EXP(-'3.r(t)'!D908*$AV$21)</f>
        <v>0.88900715067201674</v>
      </c>
      <c r="Z910" s="7">
        <f ca="1">$AV$8*EXP(-'3.r(t)'!E908*$AV$22)</f>
        <v>0.91596428549740549</v>
      </c>
      <c r="AA910" s="7">
        <f ca="1">$AV$9*EXP(-'3.r(t)'!F908*$AV$23)</f>
        <v>0.94792439081531532</v>
      </c>
      <c r="AB910" s="7">
        <f ca="1">$AV$10*EXP(-'3.r(t)'!G908*$AV$24)</f>
        <v>0.96934962037846029</v>
      </c>
      <c r="AC910" s="7">
        <f ca="1">$AV$11*EXP(-'3.r(t)'!H908*$AV$25)</f>
        <v>0.98248926149086113</v>
      </c>
      <c r="AD910" s="7">
        <v>1</v>
      </c>
      <c r="AE910" s="7"/>
      <c r="AF910" s="7">
        <v>902</v>
      </c>
      <c r="AG910" s="7">
        <f>$AW$7*EXP(-'3.r(t)'!D908*$AW$21)</f>
        <v>0.86718755429225491</v>
      </c>
      <c r="AH910" s="7">
        <f ca="1">$AW$8*EXP(-'3.r(t)'!E908*$AW$22)</f>
        <v>0.89509520382584185</v>
      </c>
      <c r="AI910" s="7">
        <f ca="1">$AW$9*EXP(-'3.r(t)'!F908*$AW$23)</f>
        <v>0.93035236089587336</v>
      </c>
      <c r="AJ910" s="7">
        <f ca="1">$AW$10*EXP(-'3.r(t)'!G908*$AW$24)</f>
        <v>0.95374403302553279</v>
      </c>
      <c r="AK910" s="7">
        <f ca="1">$AW$11*EXP(-'3.r(t)'!H908*$AW$25)</f>
        <v>0.96485617504266463</v>
      </c>
      <c r="AL910" s="7">
        <f ca="1">$AW$12*EXP(-'3.r(t)'!I908*$AW$26)</f>
        <v>0.98621654978474693</v>
      </c>
      <c r="AM910" s="7">
        <v>1</v>
      </c>
      <c r="AN910" s="7"/>
    </row>
    <row r="911" spans="2:40">
      <c r="B911" s="7">
        <v>903</v>
      </c>
      <c r="C911" s="7">
        <f>$AR$7*EXP(-'3.r(t)'!D909*$AR$21)</f>
        <v>0.97765346695821032</v>
      </c>
      <c r="D911" s="7">
        <v>1</v>
      </c>
      <c r="E911" s="7"/>
      <c r="F911" s="7">
        <v>903</v>
      </c>
      <c r="G911" s="48">
        <f>$AS$7*EXP(-'3.r(t)'!D909*$AS$21)</f>
        <v>0.9553476245219803</v>
      </c>
      <c r="H911" s="7">
        <f ca="1">$AS$8*EXP(-'3.r(t)'!E909*$AS$22)</f>
        <v>0.9749732690115761</v>
      </c>
      <c r="I911" s="7">
        <v>1</v>
      </c>
      <c r="J911" s="7"/>
      <c r="K911" s="7">
        <v>903</v>
      </c>
      <c r="L911" s="7">
        <f>$AT$7*EXP(-'3.r(t)'!D909*$AT$21)</f>
        <v>0.93311670519824419</v>
      </c>
      <c r="M911" s="7">
        <f ca="1">$AT$8*EXP(-'3.r(t)'!E909*$AT$22)</f>
        <v>0.95012514211867583</v>
      </c>
      <c r="N911" s="7">
        <f ca="1">$AT$9*EXP(-'3.r(t)'!F909*$AT$23)</f>
        <v>0.97865964296625241</v>
      </c>
      <c r="O911" s="7">
        <v>1</v>
      </c>
      <c r="P911" s="7"/>
      <c r="Q911" s="7">
        <v>903</v>
      </c>
      <c r="R911" s="7">
        <f>$AU$7*EXP(-'3.r(t)'!D909*$AU$21)</f>
        <v>0.91099305977534117</v>
      </c>
      <c r="S911" s="7">
        <f ca="1">$AU$8*EXP(-'3.r(t)'!E909*$AU$22)</f>
        <v>0.92548805899195719</v>
      </c>
      <c r="T911" s="7">
        <f ca="1">$AU$9*EXP(-'3.r(t)'!F909*$AU$23)</f>
        <v>0.95733206772776913</v>
      </c>
      <c r="U911" s="7">
        <f ca="1">$AU$10*EXP(-'3.r(t)'!G909*$AU$24)</f>
        <v>0.97873120172708272</v>
      </c>
      <c r="V911" s="7">
        <v>1</v>
      </c>
      <c r="W911" s="7"/>
      <c r="X911" s="7">
        <v>903</v>
      </c>
      <c r="Y911" s="7">
        <f>$AV$7*EXP(-'3.r(t)'!D909*$AV$21)</f>
        <v>0.88900715067201674</v>
      </c>
      <c r="Z911" s="7">
        <f ca="1">$AV$8*EXP(-'3.r(t)'!E909*$AV$22)</f>
        <v>0.90109224219956907</v>
      </c>
      <c r="AA911" s="7">
        <f ca="1">$AV$9*EXP(-'3.r(t)'!F909*$AV$23)</f>
        <v>0.93605053437825136</v>
      </c>
      <c r="AB911" s="7">
        <f ca="1">$AV$10*EXP(-'3.r(t)'!G909*$AV$24)</f>
        <v>0.95748056906173362</v>
      </c>
      <c r="AC911" s="7">
        <f ca="1">$AV$11*EXP(-'3.r(t)'!H909*$AV$25)</f>
        <v>0.97725145386513124</v>
      </c>
      <c r="AD911" s="7">
        <v>1</v>
      </c>
      <c r="AE911" s="7"/>
      <c r="AF911" s="7">
        <v>903</v>
      </c>
      <c r="AG911" s="7">
        <f>$AW$7*EXP(-'3.r(t)'!D909*$AW$21)</f>
        <v>0.86718755429225491</v>
      </c>
      <c r="AH911" s="7">
        <f ca="1">$AW$8*EXP(-'3.r(t)'!E909*$AW$22)</f>
        <v>0.87696572121080052</v>
      </c>
      <c r="AI911" s="7">
        <f ca="1">$AW$9*EXP(-'3.r(t)'!F909*$AW$23)</f>
        <v>0.91484656253331798</v>
      </c>
      <c r="AJ911" s="7">
        <f ca="1">$AW$10*EXP(-'3.r(t)'!G909*$AW$24)</f>
        <v>0.93628080719391849</v>
      </c>
      <c r="AK911" s="7">
        <f ca="1">$AW$11*EXP(-'3.r(t)'!H909*$AW$25)</f>
        <v>0.95459599184450628</v>
      </c>
      <c r="AL911" s="7">
        <f ca="1">$AW$12*EXP(-'3.r(t)'!I909*$AW$26)</f>
        <v>0.98299063747958959</v>
      </c>
      <c r="AM911" s="7">
        <v>1</v>
      </c>
      <c r="AN911" s="7"/>
    </row>
    <row r="912" spans="2:40">
      <c r="B912" s="7">
        <v>904</v>
      </c>
      <c r="C912" s="7">
        <f>$AR$7*EXP(-'3.r(t)'!D910*$AR$21)</f>
        <v>0.97765346695821032</v>
      </c>
      <c r="D912" s="7">
        <v>1</v>
      </c>
      <c r="E912" s="7"/>
      <c r="F912" s="7">
        <v>904</v>
      </c>
      <c r="G912" s="48">
        <f>$AS$7*EXP(-'3.r(t)'!D910*$AS$21)</f>
        <v>0.9553476245219803</v>
      </c>
      <c r="H912" s="7">
        <f ca="1">$AS$8*EXP(-'3.r(t)'!E910*$AS$22)</f>
        <v>0.97337724964998906</v>
      </c>
      <c r="I912" s="7">
        <v>1</v>
      </c>
      <c r="J912" s="7"/>
      <c r="K912" s="7">
        <v>904</v>
      </c>
      <c r="L912" s="7">
        <f>$AT$7*EXP(-'3.r(t)'!D910*$AT$21)</f>
        <v>0.93311670519824419</v>
      </c>
      <c r="M912" s="7">
        <f ca="1">$AT$8*EXP(-'3.r(t)'!E910*$AT$22)</f>
        <v>0.94701700163541258</v>
      </c>
      <c r="N912" s="7">
        <f ca="1">$AT$9*EXP(-'3.r(t)'!F910*$AT$23)</f>
        <v>0.97777865173958789</v>
      </c>
      <c r="O912" s="7">
        <v>1</v>
      </c>
      <c r="P912" s="7"/>
      <c r="Q912" s="7">
        <v>904</v>
      </c>
      <c r="R912" s="7">
        <f>$AU$7*EXP(-'3.r(t)'!D910*$AU$21)</f>
        <v>0.91099305977534117</v>
      </c>
      <c r="S912" s="7">
        <f ca="1">$AU$8*EXP(-'3.r(t)'!E910*$AU$22)</f>
        <v>0.92095045707675771</v>
      </c>
      <c r="T912" s="7">
        <f ca="1">$AU$9*EXP(-'3.r(t)'!F910*$AU$23)</f>
        <v>0.95560925930690443</v>
      </c>
      <c r="U912" s="7">
        <f ca="1">$AU$10*EXP(-'3.r(t)'!G910*$AU$24)</f>
        <v>0.979684668809083</v>
      </c>
      <c r="V912" s="7">
        <v>1</v>
      </c>
      <c r="W912" s="7"/>
      <c r="X912" s="7">
        <v>904</v>
      </c>
      <c r="Y912" s="7">
        <f>$AV$7*EXP(-'3.r(t)'!D910*$AV$21)</f>
        <v>0.88900715067201674</v>
      </c>
      <c r="Z912" s="7">
        <f ca="1">$AV$8*EXP(-'3.r(t)'!E910*$AV$22)</f>
        <v>0.8952064064098072</v>
      </c>
      <c r="AA912" s="7">
        <f ca="1">$AV$9*EXP(-'3.r(t)'!F910*$AV$23)</f>
        <v>0.93352490603450289</v>
      </c>
      <c r="AB912" s="7">
        <f ca="1">$AV$10*EXP(-'3.r(t)'!G910*$AV$24)</f>
        <v>0.95934700773867054</v>
      </c>
      <c r="AC912" s="7">
        <f ca="1">$AV$11*EXP(-'3.r(t)'!H910*$AV$25)</f>
        <v>0.97720670304807911</v>
      </c>
      <c r="AD912" s="7">
        <v>1</v>
      </c>
      <c r="AE912" s="7"/>
      <c r="AF912" s="7">
        <v>904</v>
      </c>
      <c r="AG912" s="7">
        <f>$AW$7*EXP(-'3.r(t)'!D910*$AW$21)</f>
        <v>0.86718755429225491</v>
      </c>
      <c r="AH912" s="7">
        <f ca="1">$AW$8*EXP(-'3.r(t)'!E910*$AW$22)</f>
        <v>0.86981127207809328</v>
      </c>
      <c r="AI912" s="7">
        <f ca="1">$AW$9*EXP(-'3.r(t)'!F910*$AW$23)</f>
        <v>0.91155682172037988</v>
      </c>
      <c r="AJ912" s="7">
        <f ca="1">$AW$10*EXP(-'3.r(t)'!G910*$AW$24)</f>
        <v>0.93901981115907884</v>
      </c>
      <c r="AK912" s="7">
        <f ca="1">$AW$11*EXP(-'3.r(t)'!H910*$AW$25)</f>
        <v>0.95450856711402077</v>
      </c>
      <c r="AL912" s="7">
        <f ca="1">$AW$12*EXP(-'3.r(t)'!I910*$AW$26)</f>
        <v>0.97954512783693881</v>
      </c>
      <c r="AM912" s="7">
        <v>1</v>
      </c>
      <c r="AN912" s="7"/>
    </row>
    <row r="913" spans="2:40">
      <c r="B913" s="7">
        <v>905</v>
      </c>
      <c r="C913" s="7">
        <f>$AR$7*EXP(-'3.r(t)'!D911*$AR$21)</f>
        <v>0.97765346695821032</v>
      </c>
      <c r="D913" s="7">
        <v>1</v>
      </c>
      <c r="E913" s="7"/>
      <c r="F913" s="7">
        <v>905</v>
      </c>
      <c r="G913" s="48">
        <f>$AS$7*EXP(-'3.r(t)'!D911*$AS$21)</f>
        <v>0.9553476245219803</v>
      </c>
      <c r="H913" s="7">
        <f ca="1">$AS$8*EXP(-'3.r(t)'!E911*$AS$22)</f>
        <v>0.97859447130120536</v>
      </c>
      <c r="I913" s="7">
        <v>1</v>
      </c>
      <c r="J913" s="7"/>
      <c r="K913" s="7">
        <v>905</v>
      </c>
      <c r="L913" s="7">
        <f>$AT$7*EXP(-'3.r(t)'!D911*$AT$21)</f>
        <v>0.93311670519824419</v>
      </c>
      <c r="M913" s="7">
        <f ca="1">$AT$8*EXP(-'3.r(t)'!E911*$AT$22)</f>
        <v>0.95719607401520168</v>
      </c>
      <c r="N913" s="7">
        <f ca="1">$AT$9*EXP(-'3.r(t)'!F911*$AT$23)</f>
        <v>0.97832559929299301</v>
      </c>
      <c r="O913" s="7">
        <v>1</v>
      </c>
      <c r="P913" s="7"/>
      <c r="Q913" s="7">
        <v>905</v>
      </c>
      <c r="R913" s="7">
        <f>$AU$7*EXP(-'3.r(t)'!D911*$AU$21)</f>
        <v>0.91099305977534117</v>
      </c>
      <c r="S913" s="7">
        <f ca="1">$AU$8*EXP(-'3.r(t)'!E911*$AU$22)</f>
        <v>0.93583862717752275</v>
      </c>
      <c r="T913" s="7">
        <f ca="1">$AU$9*EXP(-'3.r(t)'!F911*$AU$23)</f>
        <v>0.95667865130049423</v>
      </c>
      <c r="U913" s="7">
        <f ca="1">$AU$10*EXP(-'3.r(t)'!G911*$AU$24)</f>
        <v>0.97736672916762224</v>
      </c>
      <c r="V913" s="7">
        <v>1</v>
      </c>
      <c r="W913" s="7"/>
      <c r="X913" s="7">
        <v>905</v>
      </c>
      <c r="Y913" s="7">
        <f>$AV$7*EXP(-'3.r(t)'!D911*$AV$21)</f>
        <v>0.88900715067201674</v>
      </c>
      <c r="Z913" s="7">
        <f ca="1">$AV$8*EXP(-'3.r(t)'!E911*$AV$22)</f>
        <v>0.91455419686764694</v>
      </c>
      <c r="AA913" s="7">
        <f ca="1">$AV$9*EXP(-'3.r(t)'!F911*$AV$23)</f>
        <v>0.93509236149467034</v>
      </c>
      <c r="AB913" s="7">
        <f ca="1">$AV$10*EXP(-'3.r(t)'!G911*$AV$24)</f>
        <v>0.95481273691403667</v>
      </c>
      <c r="AC913" s="7">
        <f ca="1">$AV$11*EXP(-'3.r(t)'!H911*$AV$25)</f>
        <v>0.9761570201912384</v>
      </c>
      <c r="AD913" s="7">
        <v>1</v>
      </c>
      <c r="AE913" s="7"/>
      <c r="AF913" s="7">
        <v>905</v>
      </c>
      <c r="AG913" s="7">
        <f>$AW$7*EXP(-'3.r(t)'!D911*$AW$21)</f>
        <v>0.86718755429225491</v>
      </c>
      <c r="AH913" s="7">
        <f ca="1">$AW$8*EXP(-'3.r(t)'!E911*$AW$22)</f>
        <v>0.89337308346738831</v>
      </c>
      <c r="AI913" s="7">
        <f ca="1">$AW$9*EXP(-'3.r(t)'!F911*$AW$23)</f>
        <v>0.91359815189313398</v>
      </c>
      <c r="AJ913" s="7">
        <f ca="1">$AW$10*EXP(-'3.r(t)'!G911*$AW$24)</f>
        <v>0.9323703895212937</v>
      </c>
      <c r="AK913" s="7">
        <f ca="1">$AW$11*EXP(-'3.r(t)'!H911*$AW$25)</f>
        <v>0.95245906590634943</v>
      </c>
      <c r="AL913" s="7">
        <f ca="1">$AW$12*EXP(-'3.r(t)'!I911*$AW$26)</f>
        <v>0.97398127519071942</v>
      </c>
      <c r="AM913" s="7">
        <v>1</v>
      </c>
      <c r="AN913" s="7"/>
    </row>
    <row r="914" spans="2:40">
      <c r="B914" s="7">
        <v>906</v>
      </c>
      <c r="C914" s="7">
        <f>$AR$7*EXP(-'3.r(t)'!D912*$AR$21)</f>
        <v>0.97765346695821032</v>
      </c>
      <c r="D914" s="7">
        <v>1</v>
      </c>
      <c r="E914" s="7"/>
      <c r="F914" s="7">
        <v>906</v>
      </c>
      <c r="G914" s="48">
        <f>$AS$7*EXP(-'3.r(t)'!D912*$AS$21)</f>
        <v>0.9553476245219803</v>
      </c>
      <c r="H914" s="7">
        <f ca="1">$AS$8*EXP(-'3.r(t)'!E912*$AS$22)</f>
        <v>0.97802008615883784</v>
      </c>
      <c r="I914" s="7">
        <v>1</v>
      </c>
      <c r="J914" s="7"/>
      <c r="K914" s="7">
        <v>906</v>
      </c>
      <c r="L914" s="7">
        <f>$AT$7*EXP(-'3.r(t)'!D912*$AT$21)</f>
        <v>0.93311670519824419</v>
      </c>
      <c r="M914" s="7">
        <f ca="1">$AT$8*EXP(-'3.r(t)'!E912*$AT$22)</f>
        <v>0.95607275303333905</v>
      </c>
      <c r="N914" s="7">
        <f ca="1">$AT$9*EXP(-'3.r(t)'!F912*$AT$23)</f>
        <v>0.97568476575736962</v>
      </c>
      <c r="O914" s="7">
        <v>1</v>
      </c>
      <c r="P914" s="7"/>
      <c r="Q914" s="7">
        <v>906</v>
      </c>
      <c r="R914" s="7">
        <f>$AU$7*EXP(-'3.r(t)'!D912*$AU$21)</f>
        <v>0.91099305977534117</v>
      </c>
      <c r="S914" s="7">
        <f ca="1">$AU$8*EXP(-'3.r(t)'!E912*$AU$22)</f>
        <v>0.93419172528880257</v>
      </c>
      <c r="T914" s="7">
        <f ca="1">$AU$9*EXP(-'3.r(t)'!F912*$AU$23)</f>
        <v>0.95152081995818638</v>
      </c>
      <c r="U914" s="7">
        <f ca="1">$AU$10*EXP(-'3.r(t)'!G912*$AU$24)</f>
        <v>0.97660502138794114</v>
      </c>
      <c r="V914" s="7">
        <v>1</v>
      </c>
      <c r="W914" s="7"/>
      <c r="X914" s="7">
        <v>906</v>
      </c>
      <c r="Y914" s="7">
        <f>$AV$7*EXP(-'3.r(t)'!D912*$AV$21)</f>
        <v>0.88900715067201674</v>
      </c>
      <c r="Z914" s="7">
        <f ca="1">$AV$8*EXP(-'3.r(t)'!E912*$AV$22)</f>
        <v>0.91240889951809956</v>
      </c>
      <c r="AA914" s="7">
        <f ca="1">$AV$9*EXP(-'3.r(t)'!F912*$AV$23)</f>
        <v>0.92754038661003013</v>
      </c>
      <c r="AB914" s="7">
        <f ca="1">$AV$10*EXP(-'3.r(t)'!G912*$AV$24)</f>
        <v>0.95332505606058715</v>
      </c>
      <c r="AC914" s="7">
        <f ca="1">$AV$11*EXP(-'3.r(t)'!H912*$AV$25)</f>
        <v>0.97442753786784175</v>
      </c>
      <c r="AD914" s="7">
        <v>1</v>
      </c>
      <c r="AE914" s="7"/>
      <c r="AF914" s="7">
        <v>906</v>
      </c>
      <c r="AG914" s="7">
        <f>$AW$7*EXP(-'3.r(t)'!D912*$AW$21)</f>
        <v>0.86718755429225491</v>
      </c>
      <c r="AH914" s="7">
        <f ca="1">$AW$8*EXP(-'3.r(t)'!E912*$AW$22)</f>
        <v>0.89075433678610338</v>
      </c>
      <c r="AI914" s="7">
        <f ca="1">$AW$9*EXP(-'3.r(t)'!F912*$AW$23)</f>
        <v>0.90377357275624204</v>
      </c>
      <c r="AJ914" s="7">
        <f ca="1">$AW$10*EXP(-'3.r(t)'!G912*$AW$24)</f>
        <v>0.93019216793518356</v>
      </c>
      <c r="AK914" s="7">
        <f ca="1">$AW$11*EXP(-'3.r(t)'!H912*$AW$25)</f>
        <v>0.94908706358109929</v>
      </c>
      <c r="AL914" s="7">
        <f ca="1">$AW$12*EXP(-'3.r(t)'!I912*$AW$26)</f>
        <v>0.97621405400276118</v>
      </c>
      <c r="AM914" s="7">
        <v>1</v>
      </c>
      <c r="AN914" s="7"/>
    </row>
    <row r="915" spans="2:40">
      <c r="B915" s="7">
        <v>907</v>
      </c>
      <c r="C915" s="7">
        <f>$AR$7*EXP(-'3.r(t)'!D913*$AR$21)</f>
        <v>0.97765346695821032</v>
      </c>
      <c r="D915" s="7">
        <v>1</v>
      </c>
      <c r="E915" s="7"/>
      <c r="F915" s="7">
        <v>907</v>
      </c>
      <c r="G915" s="48">
        <f>$AS$7*EXP(-'3.r(t)'!D913*$AS$21)</f>
        <v>0.9553476245219803</v>
      </c>
      <c r="H915" s="7">
        <f ca="1">$AS$8*EXP(-'3.r(t)'!E913*$AS$22)</f>
        <v>0.97607869060085861</v>
      </c>
      <c r="I915" s="7">
        <v>1</v>
      </c>
      <c r="J915" s="7"/>
      <c r="K915" s="7">
        <v>907</v>
      </c>
      <c r="L915" s="7">
        <f>$AT$7*EXP(-'3.r(t)'!D913*$AT$21)</f>
        <v>0.93311670519824419</v>
      </c>
      <c r="M915" s="7">
        <f ca="1">$AT$8*EXP(-'3.r(t)'!E913*$AT$22)</f>
        <v>0.95228086122420164</v>
      </c>
      <c r="N915" s="7">
        <f ca="1">$AT$9*EXP(-'3.r(t)'!F913*$AT$23)</f>
        <v>0.97231293467559432</v>
      </c>
      <c r="O915" s="7">
        <v>1</v>
      </c>
      <c r="P915" s="7"/>
      <c r="Q915" s="7">
        <v>907</v>
      </c>
      <c r="R915" s="7">
        <f>$AU$7*EXP(-'3.r(t)'!D913*$AU$21)</f>
        <v>0.91099305977534117</v>
      </c>
      <c r="S915" s="7">
        <f ca="1">$AU$8*EXP(-'3.r(t)'!E913*$AU$22)</f>
        <v>0.92863957571927058</v>
      </c>
      <c r="T915" s="7">
        <f ca="1">$AU$9*EXP(-'3.r(t)'!F913*$AU$23)</f>
        <v>0.94495553626855211</v>
      </c>
      <c r="U915" s="7">
        <f ca="1">$AU$10*EXP(-'3.r(t)'!G913*$AU$24)</f>
        <v>0.97045953398055362</v>
      </c>
      <c r="V915" s="7">
        <v>1</v>
      </c>
      <c r="W915" s="7"/>
      <c r="X915" s="7">
        <v>907</v>
      </c>
      <c r="Y915" s="7">
        <f>$AV$7*EXP(-'3.r(t)'!D913*$AV$21)</f>
        <v>0.88900715067201674</v>
      </c>
      <c r="Z915" s="7">
        <f ca="1">$AV$8*EXP(-'3.r(t)'!E913*$AV$22)</f>
        <v>0.90518581961794642</v>
      </c>
      <c r="AA915" s="7">
        <f ca="1">$AV$9*EXP(-'3.r(t)'!F913*$AV$23)</f>
        <v>0.91795722872993391</v>
      </c>
      <c r="AB915" s="7">
        <f ca="1">$AV$10*EXP(-'3.r(t)'!G913*$AV$24)</f>
        <v>0.94136481905604386</v>
      </c>
      <c r="AC915" s="7">
        <f ca="1">$AV$11*EXP(-'3.r(t)'!H913*$AV$25)</f>
        <v>0.97000507540200032</v>
      </c>
      <c r="AD915" s="7">
        <v>1</v>
      </c>
      <c r="AE915" s="7"/>
      <c r="AF915" s="7">
        <v>907</v>
      </c>
      <c r="AG915" s="7">
        <f>$AW$7*EXP(-'3.r(t)'!D913*$AW$21)</f>
        <v>0.86718755429225491</v>
      </c>
      <c r="AH915" s="7">
        <f ca="1">$AW$8*EXP(-'3.r(t)'!E913*$AW$22)</f>
        <v>0.88194851206980118</v>
      </c>
      <c r="AI915" s="7">
        <f ca="1">$AW$9*EXP(-'3.r(t)'!F913*$AW$23)</f>
        <v>0.89134492222367678</v>
      </c>
      <c r="AJ915" s="7">
        <f ca="1">$AW$10*EXP(-'3.r(t)'!G913*$AW$24)</f>
        <v>0.91274216276074693</v>
      </c>
      <c r="AK915" s="7">
        <f ca="1">$AW$11*EXP(-'3.r(t)'!H913*$AW$25)</f>
        <v>0.94049170481778788</v>
      </c>
      <c r="AL915" s="7">
        <f ca="1">$AW$12*EXP(-'3.r(t)'!I913*$AW$26)</f>
        <v>0.966189095908496</v>
      </c>
      <c r="AM915" s="7">
        <v>1</v>
      </c>
      <c r="AN915" s="7"/>
    </row>
    <row r="916" spans="2:40">
      <c r="B916" s="7">
        <v>908</v>
      </c>
      <c r="C916" s="7">
        <f>$AR$7*EXP(-'3.r(t)'!D914*$AR$21)</f>
        <v>0.97765346695821032</v>
      </c>
      <c r="D916" s="7">
        <v>1</v>
      </c>
      <c r="E916" s="7"/>
      <c r="F916" s="7">
        <v>908</v>
      </c>
      <c r="G916" s="48">
        <f>$AS$7*EXP(-'3.r(t)'!D914*$AS$21)</f>
        <v>0.9553476245219803</v>
      </c>
      <c r="H916" s="7">
        <f ca="1">$AS$8*EXP(-'3.r(t)'!E914*$AS$22)</f>
        <v>0.97784550657439551</v>
      </c>
      <c r="I916" s="7">
        <v>1</v>
      </c>
      <c r="J916" s="7"/>
      <c r="K916" s="7">
        <v>908</v>
      </c>
      <c r="L916" s="7">
        <f>$AT$7*EXP(-'3.r(t)'!D914*$AT$21)</f>
        <v>0.93311670519824419</v>
      </c>
      <c r="M916" s="7">
        <f ca="1">$AT$8*EXP(-'3.r(t)'!E914*$AT$22)</f>
        <v>0.95573145966065731</v>
      </c>
      <c r="N916" s="7">
        <f ca="1">$AT$9*EXP(-'3.r(t)'!F914*$AT$23)</f>
        <v>0.97425654635554759</v>
      </c>
      <c r="O916" s="7">
        <v>1</v>
      </c>
      <c r="P916" s="7"/>
      <c r="Q916" s="7">
        <v>908</v>
      </c>
      <c r="R916" s="7">
        <f>$AU$7*EXP(-'3.r(t)'!D914*$AU$21)</f>
        <v>0.91099305977534117</v>
      </c>
      <c r="S916" s="7">
        <f ca="1">$AU$8*EXP(-'3.r(t)'!E914*$AU$22)</f>
        <v>0.93369154632002138</v>
      </c>
      <c r="T916" s="7">
        <f ca="1">$AU$9*EXP(-'3.r(t)'!F914*$AU$23)</f>
        <v>0.9487371629866922</v>
      </c>
      <c r="U916" s="7">
        <f ca="1">$AU$10*EXP(-'3.r(t)'!G914*$AU$24)</f>
        <v>0.97125275432846525</v>
      </c>
      <c r="V916" s="7">
        <v>1</v>
      </c>
      <c r="W916" s="7"/>
      <c r="X916" s="7">
        <v>908</v>
      </c>
      <c r="Y916" s="7">
        <f>$AV$7*EXP(-'3.r(t)'!D914*$AV$21)</f>
        <v>0.88900715067201674</v>
      </c>
      <c r="Z916" s="7">
        <f ca="1">$AV$8*EXP(-'3.r(t)'!E914*$AV$22)</f>
        <v>0.9117576027860077</v>
      </c>
      <c r="AA916" s="7">
        <f ca="1">$AV$9*EXP(-'3.r(t)'!F914*$AV$23)</f>
        <v>0.92347311095636431</v>
      </c>
      <c r="AB916" s="7">
        <f ca="1">$AV$10*EXP(-'3.r(t)'!G914*$AV$24)</f>
        <v>0.94290432662043289</v>
      </c>
      <c r="AC916" s="7">
        <f ca="1">$AV$11*EXP(-'3.r(t)'!H914*$AV$25)</f>
        <v>0.96831305732672168</v>
      </c>
      <c r="AD916" s="7">
        <v>1</v>
      </c>
      <c r="AE916" s="7"/>
      <c r="AF916" s="7">
        <v>908</v>
      </c>
      <c r="AG916" s="7">
        <f>$AW$7*EXP(-'3.r(t)'!D914*$AW$21)</f>
        <v>0.86718755429225491</v>
      </c>
      <c r="AH916" s="7">
        <f ca="1">$AW$8*EXP(-'3.r(t)'!E914*$AW$22)</f>
        <v>0.88995960865665924</v>
      </c>
      <c r="AI916" s="7">
        <f ca="1">$AW$9*EXP(-'3.r(t)'!F914*$AW$23)</f>
        <v>0.89849336112773881</v>
      </c>
      <c r="AJ916" s="7">
        <f ca="1">$AW$10*EXP(-'3.r(t)'!G914*$AW$24)</f>
        <v>0.91498212507496501</v>
      </c>
      <c r="AK916" s="7">
        <f ca="1">$AW$11*EXP(-'3.r(t)'!H914*$AW$25)</f>
        <v>0.93721349299063061</v>
      </c>
      <c r="AL916" s="7">
        <f ca="1">$AW$12*EXP(-'3.r(t)'!I914*$AW$26)</f>
        <v>0.96794953443296405</v>
      </c>
      <c r="AM916" s="7">
        <v>1</v>
      </c>
      <c r="AN916" s="7"/>
    </row>
    <row r="917" spans="2:40">
      <c r="B917" s="7">
        <v>909</v>
      </c>
      <c r="C917" s="7">
        <f>$AR$7*EXP(-'3.r(t)'!D915*$AR$21)</f>
        <v>0.97765346695821032</v>
      </c>
      <c r="D917" s="7">
        <v>1</v>
      </c>
      <c r="E917" s="7"/>
      <c r="F917" s="7">
        <v>909</v>
      </c>
      <c r="G917" s="48">
        <f>$AS$7*EXP(-'3.r(t)'!D915*$AS$21)</f>
        <v>0.9553476245219803</v>
      </c>
      <c r="H917" s="7">
        <f ca="1">$AS$8*EXP(-'3.r(t)'!E915*$AS$22)</f>
        <v>0.97388864406092956</v>
      </c>
      <c r="I917" s="7">
        <v>1</v>
      </c>
      <c r="J917" s="7"/>
      <c r="K917" s="7">
        <v>909</v>
      </c>
      <c r="L917" s="7">
        <f>$AT$7*EXP(-'3.r(t)'!D915*$AT$21)</f>
        <v>0.93311670519824419</v>
      </c>
      <c r="M917" s="7">
        <f ca="1">$AT$8*EXP(-'3.r(t)'!E915*$AT$22)</f>
        <v>0.94801235348445057</v>
      </c>
      <c r="N917" s="7">
        <f ca="1">$AT$9*EXP(-'3.r(t)'!F915*$AT$23)</f>
        <v>0.97381424727405386</v>
      </c>
      <c r="O917" s="7">
        <v>1</v>
      </c>
      <c r="P917" s="7"/>
      <c r="Q917" s="7">
        <v>909</v>
      </c>
      <c r="R917" s="7">
        <f>$AU$7*EXP(-'3.r(t)'!D915*$AU$21)</f>
        <v>0.91099305977534117</v>
      </c>
      <c r="S917" s="7">
        <f ca="1">$AU$8*EXP(-'3.r(t)'!E915*$AU$22)</f>
        <v>0.92240277085859135</v>
      </c>
      <c r="T917" s="7">
        <f ca="1">$AU$9*EXP(-'3.r(t)'!F915*$AU$23)</f>
        <v>0.94787593126037661</v>
      </c>
      <c r="U917" s="7">
        <f ca="1">$AU$10*EXP(-'3.r(t)'!G915*$AU$24)</f>
        <v>0.97148623513989885</v>
      </c>
      <c r="V917" s="7">
        <v>1</v>
      </c>
      <c r="W917" s="7"/>
      <c r="X917" s="7">
        <v>909</v>
      </c>
      <c r="Y917" s="7">
        <f>$AV$7*EXP(-'3.r(t)'!D915*$AV$21)</f>
        <v>0.88900715067201674</v>
      </c>
      <c r="Z917" s="7">
        <f ca="1">$AV$8*EXP(-'3.r(t)'!E915*$AV$22)</f>
        <v>0.89708918910976043</v>
      </c>
      <c r="AA917" s="7">
        <f ca="1">$AV$9*EXP(-'3.r(t)'!F915*$AV$23)</f>
        <v>0.92221594956370578</v>
      </c>
      <c r="AB917" s="7">
        <f ca="1">$AV$10*EXP(-'3.r(t)'!G915*$AV$24)</f>
        <v>0.94335771329531037</v>
      </c>
      <c r="AC917" s="7">
        <f ca="1">$AV$11*EXP(-'3.r(t)'!H915*$AV$25)</f>
        <v>0.97309629511045093</v>
      </c>
      <c r="AD917" s="7">
        <v>1</v>
      </c>
      <c r="AE917" s="7"/>
      <c r="AF917" s="7">
        <v>909</v>
      </c>
      <c r="AG917" s="7">
        <f>$AW$7*EXP(-'3.r(t)'!D915*$AW$21)</f>
        <v>0.86718755429225491</v>
      </c>
      <c r="AH917" s="7">
        <f ca="1">$AW$8*EXP(-'3.r(t)'!E915*$AW$22)</f>
        <v>0.87209858804813389</v>
      </c>
      <c r="AI917" s="7">
        <f ca="1">$AW$9*EXP(-'3.r(t)'!F915*$AW$23)</f>
        <v>0.89686285734049054</v>
      </c>
      <c r="AJ917" s="7">
        <f ca="1">$AW$10*EXP(-'3.r(t)'!G915*$AW$24)</f>
        <v>0.91564214522061516</v>
      </c>
      <c r="AK917" s="7">
        <f ca="1">$AW$11*EXP(-'3.r(t)'!H915*$AW$25)</f>
        <v>0.94649558875021311</v>
      </c>
      <c r="AL917" s="7">
        <f ca="1">$AW$12*EXP(-'3.r(t)'!I915*$AW$26)</f>
        <v>0.97457346672342515</v>
      </c>
      <c r="AM917" s="7">
        <v>1</v>
      </c>
      <c r="AN917" s="7"/>
    </row>
    <row r="918" spans="2:40">
      <c r="B918" s="7">
        <v>910</v>
      </c>
      <c r="C918" s="7">
        <f>$AR$7*EXP(-'3.r(t)'!D916*$AR$21)</f>
        <v>0.97765346695821032</v>
      </c>
      <c r="D918" s="7">
        <v>1</v>
      </c>
      <c r="E918" s="7"/>
      <c r="F918" s="7">
        <v>910</v>
      </c>
      <c r="G918" s="48">
        <f>$AS$7*EXP(-'3.r(t)'!D916*$AS$21)</f>
        <v>0.9553476245219803</v>
      </c>
      <c r="H918" s="7">
        <f ca="1">$AS$8*EXP(-'3.r(t)'!E916*$AS$22)</f>
        <v>0.97687253094209769</v>
      </c>
      <c r="I918" s="7">
        <v>1</v>
      </c>
      <c r="J918" s="7"/>
      <c r="K918" s="7">
        <v>910</v>
      </c>
      <c r="L918" s="7">
        <f>$AT$7*EXP(-'3.r(t)'!D916*$AT$21)</f>
        <v>0.93311670519824419</v>
      </c>
      <c r="M918" s="7">
        <f ca="1">$AT$8*EXP(-'3.r(t)'!E916*$AT$22)</f>
        <v>0.95383046246045156</v>
      </c>
      <c r="N918" s="7">
        <f ca="1">$AT$9*EXP(-'3.r(t)'!F916*$AT$23)</f>
        <v>0.97268090606102076</v>
      </c>
      <c r="O918" s="7">
        <v>1</v>
      </c>
      <c r="P918" s="7"/>
      <c r="Q918" s="7">
        <v>910</v>
      </c>
      <c r="R918" s="7">
        <f>$AU$7*EXP(-'3.r(t)'!D916*$AU$21)</f>
        <v>0.91099305977534117</v>
      </c>
      <c r="S918" s="7">
        <f ca="1">$AU$8*EXP(-'3.r(t)'!E916*$AU$22)</f>
        <v>0.93090719394056909</v>
      </c>
      <c r="T918" s="7">
        <f ca="1">$AU$9*EXP(-'3.r(t)'!F916*$AU$23)</f>
        <v>0.94567090758994021</v>
      </c>
      <c r="U918" s="7">
        <f ca="1">$AU$10*EXP(-'3.r(t)'!G916*$AU$24)</f>
        <v>0.97207995501224786</v>
      </c>
      <c r="V918" s="7">
        <v>1</v>
      </c>
      <c r="W918" s="7"/>
      <c r="X918" s="7">
        <v>910</v>
      </c>
      <c r="Y918" s="7">
        <f>$AV$7*EXP(-'3.r(t)'!D916*$AV$21)</f>
        <v>0.88900715067201674</v>
      </c>
      <c r="Z918" s="7">
        <f ca="1">$AV$8*EXP(-'3.r(t)'!E916*$AV$22)</f>
        <v>0.90813414794633895</v>
      </c>
      <c r="AA918" s="7">
        <f ca="1">$AV$9*EXP(-'3.r(t)'!F916*$AV$23)</f>
        <v>0.91899982468047847</v>
      </c>
      <c r="AB918" s="7">
        <f ca="1">$AV$10*EXP(-'3.r(t)'!G916*$AV$24)</f>
        <v>0.94451112411943772</v>
      </c>
      <c r="AC918" s="7">
        <f ca="1">$AV$11*EXP(-'3.r(t)'!H916*$AV$25)</f>
        <v>0.97197018125616508</v>
      </c>
      <c r="AD918" s="7">
        <v>1</v>
      </c>
      <c r="AE918" s="7"/>
      <c r="AF918" s="7">
        <v>910</v>
      </c>
      <c r="AG918" s="7">
        <f>$AW$7*EXP(-'3.r(t)'!D916*$AW$21)</f>
        <v>0.86718755429225491</v>
      </c>
      <c r="AH918" s="7">
        <f ca="1">$AW$8*EXP(-'3.r(t)'!E916*$AW$22)</f>
        <v>0.88554077394458597</v>
      </c>
      <c r="AI918" s="7">
        <f ca="1">$AW$9*EXP(-'3.r(t)'!F916*$AW$23)</f>
        <v>0.89269500470174523</v>
      </c>
      <c r="AJ918" s="7">
        <f ca="1">$AW$10*EXP(-'3.r(t)'!G916*$AW$24)</f>
        <v>0.91732194435478065</v>
      </c>
      <c r="AK918" s="7">
        <f ca="1">$AW$11*EXP(-'3.r(t)'!H916*$AW$25)</f>
        <v>0.94430619584513842</v>
      </c>
      <c r="AL918" s="7">
        <f ca="1">$AW$12*EXP(-'3.r(t)'!I916*$AW$26)</f>
        <v>0.97275380760081109</v>
      </c>
      <c r="AM918" s="7">
        <v>1</v>
      </c>
      <c r="AN918" s="7"/>
    </row>
    <row r="919" spans="2:40">
      <c r="B919" s="7">
        <v>911</v>
      </c>
      <c r="C919" s="7">
        <f>$AR$7*EXP(-'3.r(t)'!D917*$AR$21)</f>
        <v>0.97765346695821032</v>
      </c>
      <c r="D919" s="7">
        <v>1</v>
      </c>
      <c r="E919" s="7"/>
      <c r="F919" s="7">
        <v>911</v>
      </c>
      <c r="G919" s="48">
        <f>$AS$7*EXP(-'3.r(t)'!D917*$AS$21)</f>
        <v>0.9553476245219803</v>
      </c>
      <c r="H919" s="7">
        <f ca="1">$AS$8*EXP(-'3.r(t)'!E917*$AS$22)</f>
        <v>0.97909787175536955</v>
      </c>
      <c r="I919" s="7">
        <v>1</v>
      </c>
      <c r="J919" s="7"/>
      <c r="K919" s="7">
        <v>911</v>
      </c>
      <c r="L919" s="7">
        <f>$AT$7*EXP(-'3.r(t)'!D917*$AT$21)</f>
        <v>0.93311670519824419</v>
      </c>
      <c r="M919" s="7">
        <f ca="1">$AT$8*EXP(-'3.r(t)'!E917*$AT$22)</f>
        <v>0.95818111304396136</v>
      </c>
      <c r="N919" s="7">
        <f ca="1">$AT$9*EXP(-'3.r(t)'!F917*$AT$23)</f>
        <v>0.97955300752457575</v>
      </c>
      <c r="O919" s="7">
        <v>1</v>
      </c>
      <c r="P919" s="7"/>
      <c r="Q919" s="7">
        <v>911</v>
      </c>
      <c r="R919" s="7">
        <f>$AU$7*EXP(-'3.r(t)'!D917*$AU$21)</f>
        <v>0.91099305977534117</v>
      </c>
      <c r="S919" s="7">
        <f ca="1">$AU$8*EXP(-'3.r(t)'!E917*$AU$22)</f>
        <v>0.93728358927008437</v>
      </c>
      <c r="T919" s="7">
        <f ca="1">$AU$9*EXP(-'3.r(t)'!F917*$AU$23)</f>
        <v>0.95908065703512713</v>
      </c>
      <c r="U919" s="7">
        <f ca="1">$AU$10*EXP(-'3.r(t)'!G917*$AU$24)</f>
        <v>0.981556138033439</v>
      </c>
      <c r="V919" s="7">
        <v>1</v>
      </c>
      <c r="W919" s="7"/>
      <c r="X919" s="7">
        <v>911</v>
      </c>
      <c r="Y919" s="7">
        <f>$AV$7*EXP(-'3.r(t)'!D917*$AV$21)</f>
        <v>0.88900715067201674</v>
      </c>
      <c r="Z919" s="7">
        <f ca="1">$AV$8*EXP(-'3.r(t)'!E917*$AV$22)</f>
        <v>0.9164374789670634</v>
      </c>
      <c r="AA919" s="7">
        <f ca="1">$AV$9*EXP(-'3.r(t)'!F917*$AV$23)</f>
        <v>0.93861628222388538</v>
      </c>
      <c r="AB919" s="7">
        <f ca="1">$AV$10*EXP(-'3.r(t)'!G917*$AV$24)</f>
        <v>0.96301574585897265</v>
      </c>
      <c r="AC919" s="7">
        <f ca="1">$AV$11*EXP(-'3.r(t)'!H917*$AV$25)</f>
        <v>0.98695935133186297</v>
      </c>
      <c r="AD919" s="7">
        <v>1</v>
      </c>
      <c r="AE919" s="7"/>
      <c r="AF919" s="7">
        <v>911</v>
      </c>
      <c r="AG919" s="7">
        <f>$AW$7*EXP(-'3.r(t)'!D917*$AW$21)</f>
        <v>0.86718755429225491</v>
      </c>
      <c r="AH919" s="7">
        <f ca="1">$AW$8*EXP(-'3.r(t)'!E917*$AW$22)</f>
        <v>0.89567325659446628</v>
      </c>
      <c r="AI919" s="7">
        <f ca="1">$AW$9*EXP(-'3.r(t)'!F917*$AW$23)</f>
        <v>0.91819159171899811</v>
      </c>
      <c r="AJ919" s="7">
        <f ca="1">$AW$10*EXP(-'3.r(t)'!G917*$AW$24)</f>
        <v>0.94441146183146596</v>
      </c>
      <c r="AK919" s="7">
        <f ca="1">$AW$11*EXP(-'3.r(t)'!H917*$AW$25)</f>
        <v>0.97365587494316042</v>
      </c>
      <c r="AL919" s="7">
        <f ca="1">$AW$12*EXP(-'3.r(t)'!I917*$AW$26)</f>
        <v>0.98381596816240957</v>
      </c>
      <c r="AM919" s="7">
        <v>1</v>
      </c>
      <c r="AN919" s="7"/>
    </row>
    <row r="920" spans="2:40">
      <c r="B920" s="7">
        <v>912</v>
      </c>
      <c r="C920" s="7">
        <f>$AR$7*EXP(-'3.r(t)'!D918*$AR$21)</f>
        <v>0.97765346695821032</v>
      </c>
      <c r="D920" s="7">
        <v>1</v>
      </c>
      <c r="E920" s="7"/>
      <c r="F920" s="7">
        <v>912</v>
      </c>
      <c r="G920" s="48">
        <f>$AS$7*EXP(-'3.r(t)'!D918*$AS$21)</f>
        <v>0.9553476245219803</v>
      </c>
      <c r="H920" s="7">
        <f ca="1">$AS$8*EXP(-'3.r(t)'!E918*$AS$22)</f>
        <v>0.97983075015929288</v>
      </c>
      <c r="I920" s="7">
        <v>1</v>
      </c>
      <c r="J920" s="7"/>
      <c r="K920" s="7">
        <v>912</v>
      </c>
      <c r="L920" s="7">
        <f>$AT$7*EXP(-'3.r(t)'!D918*$AT$21)</f>
        <v>0.93311670519824419</v>
      </c>
      <c r="M920" s="7">
        <f ca="1">$AT$8*EXP(-'3.r(t)'!E918*$AT$22)</f>
        <v>0.95961609331143305</v>
      </c>
      <c r="N920" s="7">
        <f ca="1">$AT$9*EXP(-'3.r(t)'!F918*$AT$23)</f>
        <v>0.9761288793914541</v>
      </c>
      <c r="O920" s="7">
        <v>1</v>
      </c>
      <c r="P920" s="7"/>
      <c r="Q920" s="7">
        <v>912</v>
      </c>
      <c r="R920" s="7">
        <f>$AU$7*EXP(-'3.r(t)'!D918*$AU$21)</f>
        <v>0.91099305977534117</v>
      </c>
      <c r="S920" s="7">
        <f ca="1">$AU$8*EXP(-'3.r(t)'!E918*$AU$22)</f>
        <v>0.93938990332134154</v>
      </c>
      <c r="T920" s="7">
        <f ca="1">$AU$9*EXP(-'3.r(t)'!F918*$AU$23)</f>
        <v>0.95238724641098005</v>
      </c>
      <c r="U920" s="7">
        <f ca="1">$AU$10*EXP(-'3.r(t)'!G918*$AU$24)</f>
        <v>0.97404229921425856</v>
      </c>
      <c r="V920" s="7">
        <v>1</v>
      </c>
      <c r="W920" s="7"/>
      <c r="X920" s="7">
        <v>912</v>
      </c>
      <c r="Y920" s="7">
        <f>$AV$7*EXP(-'3.r(t)'!D918*$AV$21)</f>
        <v>0.88900715067201674</v>
      </c>
      <c r="Z920" s="7">
        <f ca="1">$AV$8*EXP(-'3.r(t)'!E918*$AV$22)</f>
        <v>0.91918446366674778</v>
      </c>
      <c r="AA920" s="7">
        <f ca="1">$AV$9*EXP(-'3.r(t)'!F918*$AV$23)</f>
        <v>0.92880756084250893</v>
      </c>
      <c r="AB920" s="7">
        <f ca="1">$AV$10*EXP(-'3.r(t)'!G918*$AV$24)</f>
        <v>0.94832835481208466</v>
      </c>
      <c r="AC920" s="7">
        <f ca="1">$AV$11*EXP(-'3.r(t)'!H918*$AV$25)</f>
        <v>0.96876241333847213</v>
      </c>
      <c r="AD920" s="7">
        <v>1</v>
      </c>
      <c r="AE920" s="7"/>
      <c r="AF920" s="7">
        <v>912</v>
      </c>
      <c r="AG920" s="7">
        <f>$AW$7*EXP(-'3.r(t)'!D918*$AW$21)</f>
        <v>0.86718755429225491</v>
      </c>
      <c r="AH920" s="7">
        <f ca="1">$AW$8*EXP(-'3.r(t)'!E918*$AW$22)</f>
        <v>0.89903044402877119</v>
      </c>
      <c r="AI920" s="7">
        <f ca="1">$AW$9*EXP(-'3.r(t)'!F918*$AW$23)</f>
        <v>0.90542022057903904</v>
      </c>
      <c r="AJ920" s="7">
        <f ca="1">$AW$10*EXP(-'3.r(t)'!G918*$AW$24)</f>
        <v>0.92288857818370928</v>
      </c>
      <c r="AK920" s="7">
        <f ca="1">$AW$11*EXP(-'3.r(t)'!H918*$AW$25)</f>
        <v>0.9380835426755384</v>
      </c>
      <c r="AL920" s="7">
        <f ca="1">$AW$12*EXP(-'3.r(t)'!I918*$AW$26)</f>
        <v>0.96713762457470709</v>
      </c>
      <c r="AM920" s="7">
        <v>1</v>
      </c>
      <c r="AN920" s="7"/>
    </row>
    <row r="921" spans="2:40">
      <c r="B921" s="7">
        <v>913</v>
      </c>
      <c r="C921" s="7">
        <f>$AR$7*EXP(-'3.r(t)'!D919*$AR$21)</f>
        <v>0.97765346695821032</v>
      </c>
      <c r="D921" s="7">
        <v>1</v>
      </c>
      <c r="E921" s="7"/>
      <c r="F921" s="7">
        <v>913</v>
      </c>
      <c r="G921" s="48">
        <f>$AS$7*EXP(-'3.r(t)'!D919*$AS$21)</f>
        <v>0.9553476245219803</v>
      </c>
      <c r="H921" s="7">
        <f ca="1">$AS$8*EXP(-'3.r(t)'!E919*$AS$22)</f>
        <v>0.97765783004679152</v>
      </c>
      <c r="I921" s="7">
        <v>1</v>
      </c>
      <c r="J921" s="7"/>
      <c r="K921" s="7">
        <v>913</v>
      </c>
      <c r="L921" s="7">
        <f>$AT$7*EXP(-'3.r(t)'!D919*$AT$21)</f>
        <v>0.93311670519824419</v>
      </c>
      <c r="M921" s="7">
        <f ca="1">$AT$8*EXP(-'3.r(t)'!E919*$AT$22)</f>
        <v>0.95536463044785214</v>
      </c>
      <c r="N921" s="7">
        <f ca="1">$AT$9*EXP(-'3.r(t)'!F919*$AT$23)</f>
        <v>0.9771500994837462</v>
      </c>
      <c r="O921" s="7">
        <v>1</v>
      </c>
      <c r="P921" s="7"/>
      <c r="Q921" s="7">
        <v>913</v>
      </c>
      <c r="R921" s="7">
        <f>$AU$7*EXP(-'3.r(t)'!D919*$AU$21)</f>
        <v>0.91099305977534117</v>
      </c>
      <c r="S921" s="7">
        <f ca="1">$AU$8*EXP(-'3.r(t)'!E919*$AU$22)</f>
        <v>0.9331540431371298</v>
      </c>
      <c r="T921" s="7">
        <f ca="1">$AU$9*EXP(-'3.r(t)'!F919*$AU$23)</f>
        <v>0.95438105230024106</v>
      </c>
      <c r="U921" s="7">
        <f ca="1">$AU$10*EXP(-'3.r(t)'!G919*$AU$24)</f>
        <v>0.97532446371039028</v>
      </c>
      <c r="V921" s="7">
        <v>1</v>
      </c>
      <c r="W921" s="7"/>
      <c r="X921" s="7">
        <v>913</v>
      </c>
      <c r="Y921" s="7">
        <f>$AV$7*EXP(-'3.r(t)'!D919*$AV$21)</f>
        <v>0.88900715067201674</v>
      </c>
      <c r="Z921" s="7">
        <f ca="1">$AV$8*EXP(-'3.r(t)'!E919*$AV$22)</f>
        <v>0.91105783480376412</v>
      </c>
      <c r="AA921" s="7">
        <f ca="1">$AV$9*EXP(-'3.r(t)'!F919*$AV$23)</f>
        <v>0.9317257501567332</v>
      </c>
      <c r="AB921" s="7">
        <f ca="1">$AV$10*EXP(-'3.r(t)'!G919*$AV$24)</f>
        <v>0.95082663075279372</v>
      </c>
      <c r="AC921" s="7">
        <f ca="1">$AV$11*EXP(-'3.r(t)'!H919*$AV$25)</f>
        <v>0.97538921501662246</v>
      </c>
      <c r="AD921" s="7">
        <v>1</v>
      </c>
      <c r="AE921" s="7"/>
      <c r="AF921" s="7">
        <v>913</v>
      </c>
      <c r="AG921" s="7">
        <f>$AW$7*EXP(-'3.r(t)'!D919*$AW$21)</f>
        <v>0.86718755429225491</v>
      </c>
      <c r="AH921" s="7">
        <f ca="1">$AW$8*EXP(-'3.r(t)'!E919*$AW$22)</f>
        <v>0.8891058928770651</v>
      </c>
      <c r="AI921" s="7">
        <f ca="1">$AW$9*EXP(-'3.r(t)'!F919*$AW$23)</f>
        <v>0.9092151512350215</v>
      </c>
      <c r="AJ921" s="7">
        <f ca="1">$AW$10*EXP(-'3.r(t)'!G919*$AW$24)</f>
        <v>0.92653786506999536</v>
      </c>
      <c r="AK921" s="7">
        <f ca="1">$AW$11*EXP(-'3.r(t)'!H919*$AW$25)</f>
        <v>0.95096132450249227</v>
      </c>
      <c r="AL921" s="7">
        <f ca="1">$AW$12*EXP(-'3.r(t)'!I919*$AW$26)</f>
        <v>0.97473888736181435</v>
      </c>
      <c r="AM921" s="7">
        <v>1</v>
      </c>
      <c r="AN921" s="7"/>
    </row>
    <row r="922" spans="2:40">
      <c r="B922" s="7">
        <v>914</v>
      </c>
      <c r="C922" s="7">
        <f>$AR$7*EXP(-'3.r(t)'!D920*$AR$21)</f>
        <v>0.97765346695821032</v>
      </c>
      <c r="D922" s="7">
        <v>1</v>
      </c>
      <c r="E922" s="7"/>
      <c r="F922" s="7">
        <v>914</v>
      </c>
      <c r="G922" s="48">
        <f>$AS$7*EXP(-'3.r(t)'!D920*$AS$21)</f>
        <v>0.9553476245219803</v>
      </c>
      <c r="H922" s="7">
        <f ca="1">$AS$8*EXP(-'3.r(t)'!E920*$AS$22)</f>
        <v>0.98405385552201685</v>
      </c>
      <c r="I922" s="7">
        <v>1</v>
      </c>
      <c r="J922" s="7"/>
      <c r="K922" s="7">
        <v>914</v>
      </c>
      <c r="L922" s="7">
        <f>$AT$7*EXP(-'3.r(t)'!D920*$AT$21)</f>
        <v>0.93311670519824419</v>
      </c>
      <c r="M922" s="7">
        <f ca="1">$AT$8*EXP(-'3.r(t)'!E920*$AT$22)</f>
        <v>0.96790587847628151</v>
      </c>
      <c r="N922" s="7">
        <f ca="1">$AT$9*EXP(-'3.r(t)'!F920*$AT$23)</f>
        <v>0.97727000374219286</v>
      </c>
      <c r="O922" s="7">
        <v>1</v>
      </c>
      <c r="P922" s="7"/>
      <c r="Q922" s="7">
        <v>914</v>
      </c>
      <c r="R922" s="7">
        <f>$AU$7*EXP(-'3.r(t)'!D920*$AU$21)</f>
        <v>0.91099305977534117</v>
      </c>
      <c r="S922" s="7">
        <f ca="1">$AU$8*EXP(-'3.r(t)'!E920*$AU$22)</f>
        <v>0.95158874162540574</v>
      </c>
      <c r="T922" s="7">
        <f ca="1">$AU$9*EXP(-'3.r(t)'!F920*$AU$23)</f>
        <v>0.95461528729325684</v>
      </c>
      <c r="U922" s="7">
        <f ca="1">$AU$10*EXP(-'3.r(t)'!G920*$AU$24)</f>
        <v>0.97669849761736549</v>
      </c>
      <c r="V922" s="7">
        <v>1</v>
      </c>
      <c r="W922" s="7"/>
      <c r="X922" s="7">
        <v>914</v>
      </c>
      <c r="Y922" s="7">
        <f>$AV$7*EXP(-'3.r(t)'!D920*$AV$21)</f>
        <v>0.88900715067201674</v>
      </c>
      <c r="Z922" s="7">
        <f ca="1">$AV$8*EXP(-'3.r(t)'!E920*$AV$22)</f>
        <v>0.93513408007555954</v>
      </c>
      <c r="AA922" s="7">
        <f ca="1">$AV$9*EXP(-'3.r(t)'!F920*$AV$23)</f>
        <v>0.93206878321110287</v>
      </c>
      <c r="AB922" s="7">
        <f ca="1">$AV$10*EXP(-'3.r(t)'!G920*$AV$24)</f>
        <v>0.95350756074664322</v>
      </c>
      <c r="AC922" s="7">
        <f ca="1">$AV$11*EXP(-'3.r(t)'!H920*$AV$25)</f>
        <v>0.98121340576734228</v>
      </c>
      <c r="AD922" s="7">
        <v>1</v>
      </c>
      <c r="AE922" s="7"/>
      <c r="AF922" s="7">
        <v>914</v>
      </c>
      <c r="AG922" s="7">
        <f>$AW$7*EXP(-'3.r(t)'!D920*$AW$21)</f>
        <v>0.86718755429225491</v>
      </c>
      <c r="AH922" s="7">
        <f ca="1">$AW$8*EXP(-'3.r(t)'!E920*$AW$22)</f>
        <v>0.91857243879450512</v>
      </c>
      <c r="AI922" s="7">
        <f ca="1">$AW$9*EXP(-'3.r(t)'!F920*$AW$23)</f>
        <v>0.9096615057363806</v>
      </c>
      <c r="AJ922" s="7">
        <f ca="1">$AW$10*EXP(-'3.r(t)'!G920*$AW$24)</f>
        <v>0.93045929490280188</v>
      </c>
      <c r="AK922" s="7">
        <f ca="1">$AW$11*EXP(-'3.r(t)'!H920*$AW$25)</f>
        <v>0.96235188715875408</v>
      </c>
      <c r="AL922" s="7">
        <f ca="1">$AW$12*EXP(-'3.r(t)'!I920*$AW$26)</f>
        <v>0.98334024267515063</v>
      </c>
      <c r="AM922" s="7">
        <v>1</v>
      </c>
      <c r="AN922" s="7"/>
    </row>
    <row r="923" spans="2:40">
      <c r="B923" s="7">
        <v>915</v>
      </c>
      <c r="C923" s="7">
        <f>$AR$7*EXP(-'3.r(t)'!D921*$AR$21)</f>
        <v>0.97765346695821032</v>
      </c>
      <c r="D923" s="7">
        <v>1</v>
      </c>
      <c r="E923" s="7"/>
      <c r="F923" s="7">
        <v>915</v>
      </c>
      <c r="G923" s="48">
        <f>$AS$7*EXP(-'3.r(t)'!D921*$AS$21)</f>
        <v>0.9553476245219803</v>
      </c>
      <c r="H923" s="7">
        <f ca="1">$AS$8*EXP(-'3.r(t)'!E921*$AS$22)</f>
        <v>0.97837389020987342</v>
      </c>
      <c r="I923" s="7">
        <v>1</v>
      </c>
      <c r="J923" s="7"/>
      <c r="K923" s="7">
        <v>915</v>
      </c>
      <c r="L923" s="7">
        <f>$AT$7*EXP(-'3.r(t)'!D921*$AT$21)</f>
        <v>0.93311670519824419</v>
      </c>
      <c r="M923" s="7">
        <f ca="1">$AT$8*EXP(-'3.r(t)'!E921*$AT$22)</f>
        <v>0.95676460712104938</v>
      </c>
      <c r="N923" s="7">
        <f ca="1">$AT$9*EXP(-'3.r(t)'!F921*$AT$23)</f>
        <v>0.97733473801672355</v>
      </c>
      <c r="O923" s="7">
        <v>1</v>
      </c>
      <c r="P923" s="7"/>
      <c r="Q923" s="7">
        <v>915</v>
      </c>
      <c r="R923" s="7">
        <f>$AU$7*EXP(-'3.r(t)'!D921*$AU$21)</f>
        <v>0.91099305977534117</v>
      </c>
      <c r="S923" s="7">
        <f ca="1">$AU$8*EXP(-'3.r(t)'!E921*$AU$22)</f>
        <v>0.93520593881153113</v>
      </c>
      <c r="T923" s="7">
        <f ca="1">$AU$9*EXP(-'3.r(t)'!F921*$AU$23)</f>
        <v>0.9547417587382695</v>
      </c>
      <c r="U923" s="7">
        <f ca="1">$AU$10*EXP(-'3.r(t)'!G921*$AU$24)</f>
        <v>0.9784055479652688</v>
      </c>
      <c r="V923" s="7">
        <v>1</v>
      </c>
      <c r="W923" s="7"/>
      <c r="X923" s="7">
        <v>915</v>
      </c>
      <c r="Y923" s="7">
        <f>$AV$7*EXP(-'3.r(t)'!D921*$AV$21)</f>
        <v>0.88900715067201674</v>
      </c>
      <c r="Z923" s="7">
        <f ca="1">$AV$8*EXP(-'3.r(t)'!E921*$AV$22)</f>
        <v>0.91372989151495221</v>
      </c>
      <c r="AA923" s="7">
        <f ca="1">$AV$9*EXP(-'3.r(t)'!F921*$AV$23)</f>
        <v>0.93225401592996759</v>
      </c>
      <c r="AB923" s="7">
        <f ca="1">$AV$10*EXP(-'3.r(t)'!G921*$AV$24)</f>
        <v>0.95684350900939663</v>
      </c>
      <c r="AC923" s="7">
        <f ca="1">$AV$11*EXP(-'3.r(t)'!H921*$AV$25)</f>
        <v>0.97605182399188817</v>
      </c>
      <c r="AD923" s="7">
        <v>1</v>
      </c>
      <c r="AE923" s="7"/>
      <c r="AF923" s="7">
        <v>915</v>
      </c>
      <c r="AG923" s="7">
        <f>$AW$7*EXP(-'3.r(t)'!D921*$AW$21)</f>
        <v>0.86718755429225491</v>
      </c>
      <c r="AH923" s="7">
        <f ca="1">$AW$8*EXP(-'3.r(t)'!E921*$AW$22)</f>
        <v>0.89236667888434551</v>
      </c>
      <c r="AI923" s="7">
        <f ca="1">$AW$9*EXP(-'3.r(t)'!F921*$AW$23)</f>
        <v>0.90990255326104696</v>
      </c>
      <c r="AJ923" s="7">
        <f ca="1">$AW$10*EXP(-'3.r(t)'!G921*$AW$24)</f>
        <v>0.93534653046800398</v>
      </c>
      <c r="AK923" s="7">
        <f ca="1">$AW$11*EXP(-'3.r(t)'!H921*$AW$25)</f>
        <v>0.95225379222003892</v>
      </c>
      <c r="AL923" s="7">
        <f ca="1">$AW$12*EXP(-'3.r(t)'!I921*$AW$26)</f>
        <v>0.97347062642642335</v>
      </c>
      <c r="AM923" s="7">
        <v>1</v>
      </c>
      <c r="AN923" s="7"/>
    </row>
    <row r="924" spans="2:40">
      <c r="B924" s="7">
        <v>916</v>
      </c>
      <c r="C924" s="7">
        <f>$AR$7*EXP(-'3.r(t)'!D922*$AR$21)</f>
        <v>0.97765346695821032</v>
      </c>
      <c r="D924" s="7">
        <v>1</v>
      </c>
      <c r="E924" s="7"/>
      <c r="F924" s="7">
        <v>916</v>
      </c>
      <c r="G924" s="48">
        <f>$AS$7*EXP(-'3.r(t)'!D922*$AS$21)</f>
        <v>0.9553476245219803</v>
      </c>
      <c r="H924" s="7">
        <f ca="1">$AS$8*EXP(-'3.r(t)'!E922*$AS$22)</f>
        <v>0.97587049990699837</v>
      </c>
      <c r="I924" s="7">
        <v>1</v>
      </c>
      <c r="J924" s="7"/>
      <c r="K924" s="7">
        <v>916</v>
      </c>
      <c r="L924" s="7">
        <f>$AT$7*EXP(-'3.r(t)'!D922*$AT$21)</f>
        <v>0.93311670519824419</v>
      </c>
      <c r="M924" s="7">
        <f ca="1">$AT$8*EXP(-'3.r(t)'!E922*$AT$22)</f>
        <v>0.95187467497743061</v>
      </c>
      <c r="N924" s="7">
        <f ca="1">$AT$9*EXP(-'3.r(t)'!F922*$AT$23)</f>
        <v>0.9742514381989239</v>
      </c>
      <c r="O924" s="7">
        <v>1</v>
      </c>
      <c r="P924" s="7"/>
      <c r="Q924" s="7">
        <v>916</v>
      </c>
      <c r="R924" s="7">
        <f>$AU$7*EXP(-'3.r(t)'!D922*$AU$21)</f>
        <v>0.91099305977534117</v>
      </c>
      <c r="S924" s="7">
        <f ca="1">$AU$8*EXP(-'3.r(t)'!E922*$AU$22)</f>
        <v>0.92804548565581813</v>
      </c>
      <c r="T924" s="7">
        <f ca="1">$AU$9*EXP(-'3.r(t)'!F922*$AU$23)</f>
        <v>0.94872721430256712</v>
      </c>
      <c r="U924" s="7">
        <f ca="1">$AU$10*EXP(-'3.r(t)'!G922*$AU$24)</f>
        <v>0.97389148140385562</v>
      </c>
      <c r="V924" s="7">
        <v>1</v>
      </c>
      <c r="W924" s="7"/>
      <c r="X924" s="7">
        <v>916</v>
      </c>
      <c r="Y924" s="7">
        <f>$AV$7*EXP(-'3.r(t)'!D922*$AV$21)</f>
        <v>0.88900715067201674</v>
      </c>
      <c r="Z924" s="7">
        <f ca="1">$AV$8*EXP(-'3.r(t)'!E922*$AV$22)</f>
        <v>0.90441378768544123</v>
      </c>
      <c r="AA924" s="7">
        <f ca="1">$AV$9*EXP(-'3.r(t)'!F922*$AV$23)</f>
        <v>0.92345858535556746</v>
      </c>
      <c r="AB924" s="7">
        <f ca="1">$AV$10*EXP(-'3.r(t)'!G922*$AV$24)</f>
        <v>0.94803470486820962</v>
      </c>
      <c r="AC924" s="7">
        <f ca="1">$AV$11*EXP(-'3.r(t)'!H922*$AV$25)</f>
        <v>0.97156325211892158</v>
      </c>
      <c r="AD924" s="7">
        <v>1</v>
      </c>
      <c r="AE924" s="7"/>
      <c r="AF924" s="7">
        <v>916</v>
      </c>
      <c r="AG924" s="7">
        <f>$AW$7*EXP(-'3.r(t)'!D922*$AW$21)</f>
        <v>0.86718755429225491</v>
      </c>
      <c r="AH924" s="7">
        <f ca="1">$AW$8*EXP(-'3.r(t)'!E922*$AW$22)</f>
        <v>0.88100834626025071</v>
      </c>
      <c r="AI924" s="7">
        <f ca="1">$AW$9*EXP(-'3.r(t)'!F922*$AW$23)</f>
        <v>0.89847451759526253</v>
      </c>
      <c r="AJ924" s="7">
        <f ca="1">$AW$10*EXP(-'3.r(t)'!G922*$AW$24)</f>
        <v>0.92245995259618263</v>
      </c>
      <c r="AK924" s="7">
        <f ca="1">$AW$11*EXP(-'3.r(t)'!H922*$AW$25)</f>
        <v>0.94351566693010203</v>
      </c>
      <c r="AL924" s="7">
        <f ca="1">$AW$12*EXP(-'3.r(t)'!I922*$AW$26)</f>
        <v>0.96799535561826067</v>
      </c>
      <c r="AM924" s="7">
        <v>1</v>
      </c>
      <c r="AN924" s="7"/>
    </row>
    <row r="925" spans="2:40">
      <c r="B925" s="7">
        <v>917</v>
      </c>
      <c r="C925" s="7">
        <f>$AR$7*EXP(-'3.r(t)'!D923*$AR$21)</f>
        <v>0.97765346695821032</v>
      </c>
      <c r="D925" s="7">
        <v>1</v>
      </c>
      <c r="E925" s="7"/>
      <c r="F925" s="7">
        <v>917</v>
      </c>
      <c r="G925" s="48">
        <f>$AS$7*EXP(-'3.r(t)'!D923*$AS$21)</f>
        <v>0.9553476245219803</v>
      </c>
      <c r="H925" s="7">
        <f ca="1">$AS$8*EXP(-'3.r(t)'!E923*$AS$22)</f>
        <v>0.98261282387991788</v>
      </c>
      <c r="I925" s="7">
        <v>1</v>
      </c>
      <c r="J925" s="7"/>
      <c r="K925" s="7">
        <v>917</v>
      </c>
      <c r="L925" s="7">
        <f>$AT$7*EXP(-'3.r(t)'!D923*$AT$21)</f>
        <v>0.93311670519824419</v>
      </c>
      <c r="M925" s="7">
        <f ca="1">$AT$8*EXP(-'3.r(t)'!E923*$AT$22)</f>
        <v>0.96507318442920453</v>
      </c>
      <c r="N925" s="7">
        <f ca="1">$AT$9*EXP(-'3.r(t)'!F923*$AT$23)</f>
        <v>0.98042152513295755</v>
      </c>
      <c r="O925" s="7">
        <v>1</v>
      </c>
      <c r="P925" s="7"/>
      <c r="Q925" s="7">
        <v>917</v>
      </c>
      <c r="R925" s="7">
        <f>$AU$7*EXP(-'3.r(t)'!D923*$AU$21)</f>
        <v>0.91099305977534117</v>
      </c>
      <c r="S925" s="7">
        <f ca="1">$AU$8*EXP(-'3.r(t)'!E923*$AU$22)</f>
        <v>0.94741438959417601</v>
      </c>
      <c r="T925" s="7">
        <f ca="1">$AU$9*EXP(-'3.r(t)'!F923*$AU$23)</f>
        <v>0.96078214273514473</v>
      </c>
      <c r="U925" s="7">
        <f ca="1">$AU$10*EXP(-'3.r(t)'!G923*$AU$24)</f>
        <v>0.98234953136059422</v>
      </c>
      <c r="V925" s="7">
        <v>1</v>
      </c>
      <c r="W925" s="7"/>
      <c r="X925" s="7">
        <v>917</v>
      </c>
      <c r="Y925" s="7">
        <f>$AV$7*EXP(-'3.r(t)'!D923*$AV$21)</f>
        <v>0.88900715067201674</v>
      </c>
      <c r="Z925" s="7">
        <f ca="1">$AV$8*EXP(-'3.r(t)'!E923*$AV$22)</f>
        <v>0.92966852280259638</v>
      </c>
      <c r="AA925" s="7">
        <f ca="1">$AV$9*EXP(-'3.r(t)'!F923*$AV$23)</f>
        <v>0.941115160104113</v>
      </c>
      <c r="AB925" s="7">
        <f ca="1">$AV$10*EXP(-'3.r(t)'!G923*$AV$24)</f>
        <v>0.9645731892462468</v>
      </c>
      <c r="AC925" s="7">
        <f ca="1">$AV$11*EXP(-'3.r(t)'!H923*$AV$25)</f>
        <v>0.98077211792161789</v>
      </c>
      <c r="AD925" s="7">
        <v>1</v>
      </c>
      <c r="AE925" s="7"/>
      <c r="AF925" s="7">
        <v>917</v>
      </c>
      <c r="AG925" s="7">
        <f>$AW$7*EXP(-'3.r(t)'!D923*$AW$21)</f>
        <v>0.86718755429225491</v>
      </c>
      <c r="AH925" s="7">
        <f ca="1">$AW$8*EXP(-'3.r(t)'!E923*$AW$22)</f>
        <v>0.91186639912159795</v>
      </c>
      <c r="AI925" s="7">
        <f ca="1">$AW$9*EXP(-'3.r(t)'!F923*$AW$23)</f>
        <v>0.92145237206155939</v>
      </c>
      <c r="AJ925" s="7">
        <f ca="1">$AW$10*EXP(-'3.r(t)'!G923*$AW$24)</f>
        <v>0.94670342111352102</v>
      </c>
      <c r="AK925" s="7">
        <f ca="1">$AW$11*EXP(-'3.r(t)'!H923*$AW$25)</f>
        <v>0.96148647155640532</v>
      </c>
      <c r="AL925" s="7">
        <f ca="1">$AW$12*EXP(-'3.r(t)'!I923*$AW$26)</f>
        <v>0.98447621029644572</v>
      </c>
      <c r="AM925" s="7">
        <v>1</v>
      </c>
      <c r="AN925" s="7"/>
    </row>
    <row r="926" spans="2:40">
      <c r="B926" s="7">
        <v>918</v>
      </c>
      <c r="C926" s="7">
        <f>$AR$7*EXP(-'3.r(t)'!D924*$AR$21)</f>
        <v>0.97765346695821032</v>
      </c>
      <c r="D926" s="7">
        <v>1</v>
      </c>
      <c r="E926" s="7"/>
      <c r="F926" s="7">
        <v>918</v>
      </c>
      <c r="G926" s="48">
        <f>$AS$7*EXP(-'3.r(t)'!D924*$AS$21)</f>
        <v>0.9553476245219803</v>
      </c>
      <c r="H926" s="7">
        <f ca="1">$AS$8*EXP(-'3.r(t)'!E924*$AS$22)</f>
        <v>0.97787061177907852</v>
      </c>
      <c r="I926" s="7">
        <v>1</v>
      </c>
      <c r="J926" s="7"/>
      <c r="K926" s="7">
        <v>918</v>
      </c>
      <c r="L926" s="7">
        <f>$AT$7*EXP(-'3.r(t)'!D924*$AT$21)</f>
        <v>0.93311670519824419</v>
      </c>
      <c r="M926" s="7">
        <f ca="1">$AT$8*EXP(-'3.r(t)'!E924*$AT$22)</f>
        <v>0.95578053518795536</v>
      </c>
      <c r="N926" s="7">
        <f ca="1">$AT$9*EXP(-'3.r(t)'!F924*$AT$23)</f>
        <v>0.97643725413122384</v>
      </c>
      <c r="O926" s="7">
        <v>1</v>
      </c>
      <c r="P926" s="7"/>
      <c r="Q926" s="7">
        <v>918</v>
      </c>
      <c r="R926" s="7">
        <f>$AU$7*EXP(-'3.r(t)'!D924*$AU$21)</f>
        <v>0.91099305977534117</v>
      </c>
      <c r="S926" s="7">
        <f ca="1">$AU$8*EXP(-'3.r(t)'!E924*$AU$22)</f>
        <v>0.93376346295421508</v>
      </c>
      <c r="T926" s="7">
        <f ca="1">$AU$9*EXP(-'3.r(t)'!F924*$AU$23)</f>
        <v>0.9529890902176793</v>
      </c>
      <c r="U926" s="7">
        <f ca="1">$AU$10*EXP(-'3.r(t)'!G924*$AU$24)</f>
        <v>0.97174826543026316</v>
      </c>
      <c r="V926" s="7">
        <v>1</v>
      </c>
      <c r="W926" s="7"/>
      <c r="X926" s="7">
        <v>918</v>
      </c>
      <c r="Y926" s="7">
        <f>$AV$7*EXP(-'3.r(t)'!D924*$AV$21)</f>
        <v>0.88900715067201674</v>
      </c>
      <c r="Z926" s="7">
        <f ca="1">$AV$8*EXP(-'3.r(t)'!E924*$AV$22)</f>
        <v>0.91185124024759767</v>
      </c>
      <c r="AA926" s="7">
        <f ca="1">$AV$9*EXP(-'3.r(t)'!F924*$AV$23)</f>
        <v>0.92968811449795752</v>
      </c>
      <c r="AB926" s="7">
        <f ca="1">$AV$10*EXP(-'3.r(t)'!G924*$AV$24)</f>
        <v>0.94386666879572512</v>
      </c>
      <c r="AC926" s="7">
        <f ca="1">$AV$11*EXP(-'3.r(t)'!H924*$AV$25)</f>
        <v>0.96889131466923439</v>
      </c>
      <c r="AD926" s="7">
        <v>1</v>
      </c>
      <c r="AE926" s="7"/>
      <c r="AF926" s="7">
        <v>918</v>
      </c>
      <c r="AG926" s="7">
        <f>$AW$7*EXP(-'3.r(t)'!D924*$AW$21)</f>
        <v>0.86718755429225491</v>
      </c>
      <c r="AH926" s="7">
        <f ca="1">$AW$8*EXP(-'3.r(t)'!E924*$AW$22)</f>
        <v>0.8900738586340986</v>
      </c>
      <c r="AI926" s="7">
        <f ca="1">$AW$9*EXP(-'3.r(t)'!F924*$AW$23)</f>
        <v>0.90656490984468019</v>
      </c>
      <c r="AJ926" s="7">
        <f ca="1">$AW$10*EXP(-'3.r(t)'!G924*$AW$24)</f>
        <v>0.91638324896683354</v>
      </c>
      <c r="AK926" s="7">
        <f ca="1">$AW$11*EXP(-'3.r(t)'!H924*$AW$25)</f>
        <v>0.93833319782325508</v>
      </c>
      <c r="AL926" s="7">
        <f ca="1">$AW$12*EXP(-'3.r(t)'!I924*$AW$26)</f>
        <v>0.96922272913241891</v>
      </c>
      <c r="AM926" s="7">
        <v>1</v>
      </c>
      <c r="AN926" s="7"/>
    </row>
    <row r="927" spans="2:40">
      <c r="B927" s="7">
        <v>919</v>
      </c>
      <c r="C927" s="7">
        <f>$AR$7*EXP(-'3.r(t)'!D925*$AR$21)</f>
        <v>0.97765346695821032</v>
      </c>
      <c r="D927" s="7">
        <v>1</v>
      </c>
      <c r="E927" s="7"/>
      <c r="F927" s="7">
        <v>919</v>
      </c>
      <c r="G927" s="48">
        <f>$AS$7*EXP(-'3.r(t)'!D925*$AS$21)</f>
        <v>0.9553476245219803</v>
      </c>
      <c r="H927" s="7">
        <f ca="1">$AS$8*EXP(-'3.r(t)'!E925*$AS$22)</f>
        <v>0.97798465090716524</v>
      </c>
      <c r="I927" s="7">
        <v>1</v>
      </c>
      <c r="J927" s="7"/>
      <c r="K927" s="7">
        <v>919</v>
      </c>
      <c r="L927" s="7">
        <f>$AT$7*EXP(-'3.r(t)'!D925*$AT$21)</f>
        <v>0.93311670519824419</v>
      </c>
      <c r="M927" s="7">
        <f ca="1">$AT$8*EXP(-'3.r(t)'!E925*$AT$22)</f>
        <v>0.95600347415990727</v>
      </c>
      <c r="N927" s="7">
        <f ca="1">$AT$9*EXP(-'3.r(t)'!F925*$AT$23)</f>
        <v>0.97543300769908692</v>
      </c>
      <c r="O927" s="7">
        <v>1</v>
      </c>
      <c r="P927" s="7"/>
      <c r="Q927" s="7">
        <v>919</v>
      </c>
      <c r="R927" s="7">
        <f>$AU$7*EXP(-'3.r(t)'!D925*$AU$21)</f>
        <v>0.91099305977534117</v>
      </c>
      <c r="S927" s="7">
        <f ca="1">$AU$8*EXP(-'3.r(t)'!E925*$AU$22)</f>
        <v>0.93409018713025516</v>
      </c>
      <c r="T927" s="7">
        <f ca="1">$AU$9*EXP(-'3.r(t)'!F925*$AU$23)</f>
        <v>0.95102983734523638</v>
      </c>
      <c r="U927" s="7">
        <f ca="1">$AU$10*EXP(-'3.r(t)'!G925*$AU$24)</f>
        <v>0.97228048042037674</v>
      </c>
      <c r="V927" s="7">
        <v>1</v>
      </c>
      <c r="W927" s="7"/>
      <c r="X927" s="7">
        <v>919</v>
      </c>
      <c r="Y927" s="7">
        <f>$AV$7*EXP(-'3.r(t)'!D925*$AV$21)</f>
        <v>0.88900715067201674</v>
      </c>
      <c r="Z927" s="7">
        <f ca="1">$AV$8*EXP(-'3.r(t)'!E925*$AV$22)</f>
        <v>0.91227667449592609</v>
      </c>
      <c r="AA927" s="7">
        <f ca="1">$AV$9*EXP(-'3.r(t)'!F925*$AV$23)</f>
        <v>0.92682256608384983</v>
      </c>
      <c r="AB927" s="7">
        <f ca="1">$AV$10*EXP(-'3.r(t)'!G925*$AV$24)</f>
        <v>0.9449008410613251</v>
      </c>
      <c r="AC927" s="7">
        <f ca="1">$AV$11*EXP(-'3.r(t)'!H925*$AV$25)</f>
        <v>0.97325975244627339</v>
      </c>
      <c r="AD927" s="7">
        <v>1</v>
      </c>
      <c r="AE927" s="7"/>
      <c r="AF927" s="7">
        <v>919</v>
      </c>
      <c r="AG927" s="7">
        <f>$AW$7*EXP(-'3.r(t)'!D925*$AW$21)</f>
        <v>0.86718755429225491</v>
      </c>
      <c r="AH927" s="7">
        <f ca="1">$AW$8*EXP(-'3.r(t)'!E925*$AW$22)</f>
        <v>0.89059298111767293</v>
      </c>
      <c r="AI927" s="7">
        <f ca="1">$AW$9*EXP(-'3.r(t)'!F925*$AW$23)</f>
        <v>0.90284112310872167</v>
      </c>
      <c r="AJ927" s="7">
        <f ca="1">$AW$10*EXP(-'3.r(t)'!G925*$AW$24)</f>
        <v>0.91788975044200316</v>
      </c>
      <c r="AK927" s="7">
        <f ca="1">$AW$11*EXP(-'3.r(t)'!H925*$AW$25)</f>
        <v>0.94681359353975925</v>
      </c>
      <c r="AL927" s="7">
        <f ca="1">$AW$12*EXP(-'3.r(t)'!I925*$AW$26)</f>
        <v>0.97248902213255939</v>
      </c>
      <c r="AM927" s="7">
        <v>1</v>
      </c>
      <c r="AN927" s="7"/>
    </row>
    <row r="928" spans="2:40">
      <c r="B928" s="7">
        <v>920</v>
      </c>
      <c r="C928" s="7">
        <f>$AR$7*EXP(-'3.r(t)'!D926*$AR$21)</f>
        <v>0.97765346695821032</v>
      </c>
      <c r="D928" s="7">
        <v>1</v>
      </c>
      <c r="E928" s="7"/>
      <c r="F928" s="7">
        <v>920</v>
      </c>
      <c r="G928" s="48">
        <f>$AS$7*EXP(-'3.r(t)'!D926*$AS$21)</f>
        <v>0.9553476245219803</v>
      </c>
      <c r="H928" s="7">
        <f ca="1">$AS$8*EXP(-'3.r(t)'!E926*$AS$22)</f>
        <v>0.97827344672634053</v>
      </c>
      <c r="I928" s="7">
        <v>1</v>
      </c>
      <c r="J928" s="7"/>
      <c r="K928" s="7">
        <v>920</v>
      </c>
      <c r="L928" s="7">
        <f>$AT$7*EXP(-'3.r(t)'!D926*$AT$21)</f>
        <v>0.93311670519824419</v>
      </c>
      <c r="M928" s="7">
        <f ca="1">$AT$8*EXP(-'3.r(t)'!E926*$AT$22)</f>
        <v>0.95656816721603655</v>
      </c>
      <c r="N928" s="7">
        <f ca="1">$AT$9*EXP(-'3.r(t)'!F926*$AT$23)</f>
        <v>0.97379355096184161</v>
      </c>
      <c r="O928" s="7">
        <v>1</v>
      </c>
      <c r="P928" s="7"/>
      <c r="Q928" s="7">
        <v>920</v>
      </c>
      <c r="R928" s="7">
        <f>$AU$7*EXP(-'3.r(t)'!D926*$AU$21)</f>
        <v>0.91099305977534117</v>
      </c>
      <c r="S928" s="7">
        <f ca="1">$AU$8*EXP(-'3.r(t)'!E926*$AU$22)</f>
        <v>0.93491793327550332</v>
      </c>
      <c r="T928" s="7">
        <f ca="1">$AU$9*EXP(-'3.r(t)'!F926*$AU$23)</f>
        <v>0.94783564158952283</v>
      </c>
      <c r="U928" s="7">
        <f ca="1">$AU$10*EXP(-'3.r(t)'!G926*$AU$24)</f>
        <v>0.97071074625282239</v>
      </c>
      <c r="V928" s="7">
        <v>1</v>
      </c>
      <c r="W928" s="7"/>
      <c r="X928" s="7">
        <v>920</v>
      </c>
      <c r="Y928" s="7">
        <f>$AV$7*EXP(-'3.r(t)'!D926*$AV$21)</f>
        <v>0.88900715067201674</v>
      </c>
      <c r="Z928" s="7">
        <f ca="1">$AV$8*EXP(-'3.r(t)'!E926*$AV$22)</f>
        <v>0.913354721728591</v>
      </c>
      <c r="AA928" s="7">
        <f ca="1">$AV$9*EXP(-'3.r(t)'!F926*$AV$23)</f>
        <v>0.92215715170682289</v>
      </c>
      <c r="AB928" s="7">
        <f ca="1">$AV$10*EXP(-'3.r(t)'!G926*$AV$24)</f>
        <v>0.94185224381669885</v>
      </c>
      <c r="AC928" s="7">
        <f ca="1">$AV$11*EXP(-'3.r(t)'!H926*$AV$25)</f>
        <v>0.96701400221236122</v>
      </c>
      <c r="AD928" s="7">
        <v>1</v>
      </c>
      <c r="AE928" s="7"/>
      <c r="AF928" s="7">
        <v>920</v>
      </c>
      <c r="AG928" s="7">
        <f>$AW$7*EXP(-'3.r(t)'!D926*$AW$21)</f>
        <v>0.86718755429225491</v>
      </c>
      <c r="AH928" s="7">
        <f ca="1">$AW$8*EXP(-'3.r(t)'!E926*$AW$22)</f>
        <v>0.89190870460370153</v>
      </c>
      <c r="AI928" s="7">
        <f ca="1">$AW$9*EXP(-'3.r(t)'!F926*$AW$23)</f>
        <v>0.89678661626255352</v>
      </c>
      <c r="AJ928" s="7">
        <f ca="1">$AW$10*EXP(-'3.r(t)'!G926*$AW$24)</f>
        <v>0.91345116107789626</v>
      </c>
      <c r="AK928" s="7">
        <f ca="1">$AW$11*EXP(-'3.r(t)'!H926*$AW$25)</f>
        <v>0.9347005137435459</v>
      </c>
      <c r="AL928" s="7">
        <f ca="1">$AW$12*EXP(-'3.r(t)'!I926*$AW$26)</f>
        <v>0.96452731413772319</v>
      </c>
      <c r="AM928" s="7">
        <v>1</v>
      </c>
      <c r="AN928" s="7"/>
    </row>
    <row r="929" spans="2:40">
      <c r="B929" s="7">
        <v>921</v>
      </c>
      <c r="C929" s="7">
        <f>$AR$7*EXP(-'3.r(t)'!D927*$AR$21)</f>
        <v>0.97765346695821032</v>
      </c>
      <c r="D929" s="7">
        <v>1</v>
      </c>
      <c r="E929" s="7"/>
      <c r="F929" s="7">
        <v>921</v>
      </c>
      <c r="G929" s="48">
        <f>$AS$7*EXP(-'3.r(t)'!D927*$AS$21)</f>
        <v>0.9553476245219803</v>
      </c>
      <c r="H929" s="7">
        <f ca="1">$AS$8*EXP(-'3.r(t)'!E927*$AS$22)</f>
        <v>0.9796126552188138</v>
      </c>
      <c r="I929" s="7">
        <v>1</v>
      </c>
      <c r="J929" s="7"/>
      <c r="K929" s="7">
        <v>921</v>
      </c>
      <c r="L929" s="7">
        <f>$AT$7*EXP(-'3.r(t)'!D927*$AT$21)</f>
        <v>0.93311670519824419</v>
      </c>
      <c r="M929" s="7">
        <f ca="1">$AT$8*EXP(-'3.r(t)'!E927*$AT$22)</f>
        <v>0.95918894990391446</v>
      </c>
      <c r="N929" s="7">
        <f ca="1">$AT$9*EXP(-'3.r(t)'!F927*$AT$23)</f>
        <v>0.97798798134085618</v>
      </c>
      <c r="O929" s="7">
        <v>1</v>
      </c>
      <c r="P929" s="7"/>
      <c r="Q929" s="7">
        <v>921</v>
      </c>
      <c r="R929" s="7">
        <f>$AU$7*EXP(-'3.r(t)'!D927*$AU$21)</f>
        <v>0.91099305977534117</v>
      </c>
      <c r="S929" s="7">
        <f ca="1">$AU$8*EXP(-'3.r(t)'!E927*$AU$22)</f>
        <v>0.93876276260490765</v>
      </c>
      <c r="T929" s="7">
        <f ca="1">$AU$9*EXP(-'3.r(t)'!F927*$AU$23)</f>
        <v>0.95601846995503292</v>
      </c>
      <c r="U929" s="7">
        <f ca="1">$AU$10*EXP(-'3.r(t)'!G927*$AU$24)</f>
        <v>0.97792408900109751</v>
      </c>
      <c r="V929" s="7">
        <v>1</v>
      </c>
      <c r="W929" s="7"/>
      <c r="X929" s="7">
        <v>921</v>
      </c>
      <c r="Y929" s="7">
        <f>$AV$7*EXP(-'3.r(t)'!D927*$AV$21)</f>
        <v>0.88900715067201674</v>
      </c>
      <c r="Z929" s="7">
        <f ca="1">$AV$8*EXP(-'3.r(t)'!E927*$AV$22)</f>
        <v>0.91836635274808842</v>
      </c>
      <c r="AA929" s="7">
        <f ca="1">$AV$9*EXP(-'3.r(t)'!F927*$AV$23)</f>
        <v>0.93412460076496484</v>
      </c>
      <c r="AB929" s="7">
        <f ca="1">$AV$10*EXP(-'3.r(t)'!G927*$AV$24)</f>
        <v>0.95590204350250274</v>
      </c>
      <c r="AC929" s="7">
        <f ca="1">$AV$11*EXP(-'3.r(t)'!H927*$AV$25)</f>
        <v>0.98093173725889216</v>
      </c>
      <c r="AD929" s="7">
        <v>1</v>
      </c>
      <c r="AE929" s="7"/>
      <c r="AF929" s="7">
        <v>921</v>
      </c>
      <c r="AG929" s="7">
        <f>$AW$7*EXP(-'3.r(t)'!D927*$AW$21)</f>
        <v>0.86718755429225491</v>
      </c>
      <c r="AH929" s="7">
        <f ca="1">$AW$8*EXP(-'3.r(t)'!E927*$AW$22)</f>
        <v>0.89803033903824037</v>
      </c>
      <c r="AI929" s="7">
        <f ca="1">$AW$9*EXP(-'3.r(t)'!F927*$AW$23)</f>
        <v>0.91233768193320541</v>
      </c>
      <c r="AJ929" s="7">
        <f ca="1">$AW$10*EXP(-'3.r(t)'!G927*$AW$24)</f>
        <v>0.93396639906622059</v>
      </c>
      <c r="AK929" s="7">
        <f ca="1">$AW$11*EXP(-'3.r(t)'!H927*$AW$25)</f>
        <v>0.96179945827217772</v>
      </c>
      <c r="AL929" s="7">
        <f ca="1">$AW$12*EXP(-'3.r(t)'!I927*$AW$26)</f>
        <v>0.98127235639222832</v>
      </c>
      <c r="AM929" s="7">
        <v>1</v>
      </c>
      <c r="AN929" s="7"/>
    </row>
    <row r="930" spans="2:40">
      <c r="B930" s="7">
        <v>922</v>
      </c>
      <c r="C930" s="7">
        <f>$AR$7*EXP(-'3.r(t)'!D928*$AR$21)</f>
        <v>0.97765346695821032</v>
      </c>
      <c r="D930" s="7">
        <v>1</v>
      </c>
      <c r="E930" s="7"/>
      <c r="F930" s="7">
        <v>922</v>
      </c>
      <c r="G930" s="48">
        <f>$AS$7*EXP(-'3.r(t)'!D928*$AS$21)</f>
        <v>0.9553476245219803</v>
      </c>
      <c r="H930" s="7">
        <f ca="1">$AS$8*EXP(-'3.r(t)'!E928*$AS$22)</f>
        <v>0.97421303484563282</v>
      </c>
      <c r="I930" s="7">
        <v>1</v>
      </c>
      <c r="J930" s="7"/>
      <c r="K930" s="7">
        <v>922</v>
      </c>
      <c r="L930" s="7">
        <f>$AT$7*EXP(-'3.r(t)'!D928*$AT$21)</f>
        <v>0.93311670519824419</v>
      </c>
      <c r="M930" s="7">
        <f ca="1">$AT$8*EXP(-'3.r(t)'!E928*$AT$22)</f>
        <v>0.94864400206120603</v>
      </c>
      <c r="N930" s="7">
        <f ca="1">$AT$9*EXP(-'3.r(t)'!F928*$AT$23)</f>
        <v>0.9715868940325546</v>
      </c>
      <c r="O930" s="7">
        <v>1</v>
      </c>
      <c r="P930" s="7"/>
      <c r="Q930" s="7">
        <v>922</v>
      </c>
      <c r="R930" s="7">
        <f>$AU$7*EXP(-'3.r(t)'!D928*$AU$21)</f>
        <v>0.91099305977534117</v>
      </c>
      <c r="S930" s="7">
        <f ca="1">$AU$8*EXP(-'3.r(t)'!E928*$AU$22)</f>
        <v>0.92332480225664892</v>
      </c>
      <c r="T930" s="7">
        <f ca="1">$AU$9*EXP(-'3.r(t)'!F928*$AU$23)</f>
        <v>0.94354483823281776</v>
      </c>
      <c r="U930" s="7">
        <f ca="1">$AU$10*EXP(-'3.r(t)'!G928*$AU$24)</f>
        <v>0.96949335396043312</v>
      </c>
      <c r="V930" s="7">
        <v>1</v>
      </c>
      <c r="W930" s="7"/>
      <c r="X930" s="7">
        <v>922</v>
      </c>
      <c r="Y930" s="7">
        <f>$AV$7*EXP(-'3.r(t)'!D928*$AV$21)</f>
        <v>0.88900715067201674</v>
      </c>
      <c r="Z930" s="7">
        <f ca="1">$AV$8*EXP(-'3.r(t)'!E928*$AV$22)</f>
        <v>0.89828502560209322</v>
      </c>
      <c r="AA930" s="7">
        <f ca="1">$AV$9*EXP(-'3.r(t)'!F928*$AV$23)</f>
        <v>0.91590240659263655</v>
      </c>
      <c r="AB930" s="7">
        <f ca="1">$AV$10*EXP(-'3.r(t)'!G928*$AV$24)</f>
        <v>0.93949132492371912</v>
      </c>
      <c r="AC930" s="7">
        <f ca="1">$AV$11*EXP(-'3.r(t)'!H928*$AV$25)</f>
        <v>0.96974503289147584</v>
      </c>
      <c r="AD930" s="7">
        <v>1</v>
      </c>
      <c r="AE930" s="7"/>
      <c r="AF930" s="7">
        <v>922</v>
      </c>
      <c r="AG930" s="7">
        <f>$AW$7*EXP(-'3.r(t)'!D928*$AW$21)</f>
        <v>0.86718755429225491</v>
      </c>
      <c r="AH930" s="7">
        <f ca="1">$AW$8*EXP(-'3.r(t)'!E928*$AW$22)</f>
        <v>0.87355198455095229</v>
      </c>
      <c r="AI930" s="7">
        <f ca="1">$AW$9*EXP(-'3.r(t)'!F928*$AW$23)</f>
        <v>0.88868558027580746</v>
      </c>
      <c r="AJ930" s="7">
        <f ca="1">$AW$10*EXP(-'3.r(t)'!G928*$AW$24)</f>
        <v>0.91001872448023036</v>
      </c>
      <c r="AK930" s="7">
        <f ca="1">$AW$11*EXP(-'3.r(t)'!H928*$AW$25)</f>
        <v>0.9399875114935865</v>
      </c>
      <c r="AL930" s="7">
        <f ca="1">$AW$12*EXP(-'3.r(t)'!I928*$AW$26)</f>
        <v>0.97152120947278264</v>
      </c>
      <c r="AM930" s="7">
        <v>1</v>
      </c>
      <c r="AN930" s="7"/>
    </row>
    <row r="931" spans="2:40">
      <c r="B931" s="7">
        <v>923</v>
      </c>
      <c r="C931" s="7">
        <f>$AR$7*EXP(-'3.r(t)'!D929*$AR$21)</f>
        <v>0.97765346695821032</v>
      </c>
      <c r="D931" s="7">
        <v>1</v>
      </c>
      <c r="E931" s="7"/>
      <c r="F931" s="7">
        <v>923</v>
      </c>
      <c r="G931" s="48">
        <f>$AS$7*EXP(-'3.r(t)'!D929*$AS$21)</f>
        <v>0.9553476245219803</v>
      </c>
      <c r="H931" s="7">
        <f ca="1">$AS$8*EXP(-'3.r(t)'!E929*$AS$22)</f>
        <v>0.97879825074299676</v>
      </c>
      <c r="I931" s="7">
        <v>1</v>
      </c>
      <c r="J931" s="7"/>
      <c r="K931" s="7">
        <v>923</v>
      </c>
      <c r="L931" s="7">
        <f>$AT$7*EXP(-'3.r(t)'!D929*$AT$21)</f>
        <v>0.93311670519824419</v>
      </c>
      <c r="M931" s="7">
        <f ca="1">$AT$8*EXP(-'3.r(t)'!E929*$AT$22)</f>
        <v>0.95759476253508413</v>
      </c>
      <c r="N931" s="7">
        <f ca="1">$AT$9*EXP(-'3.r(t)'!F929*$AT$23)</f>
        <v>0.97974201231175673</v>
      </c>
      <c r="O931" s="7">
        <v>1</v>
      </c>
      <c r="P931" s="7"/>
      <c r="Q931" s="7">
        <v>923</v>
      </c>
      <c r="R931" s="7">
        <f>$AU$7*EXP(-'3.r(t)'!D929*$AU$21)</f>
        <v>0.91099305977534117</v>
      </c>
      <c r="S931" s="7">
        <f ca="1">$AU$8*EXP(-'3.r(t)'!E929*$AU$22)</f>
        <v>0.93642337722408242</v>
      </c>
      <c r="T931" s="7">
        <f ca="1">$AU$9*EXP(-'3.r(t)'!F929*$AU$23)</f>
        <v>0.95945080203429867</v>
      </c>
      <c r="U931" s="7">
        <f ca="1">$AU$10*EXP(-'3.r(t)'!G929*$AU$24)</f>
        <v>0.98145870534075119</v>
      </c>
      <c r="V931" s="7">
        <v>1</v>
      </c>
      <c r="W931" s="7"/>
      <c r="X931" s="7">
        <v>923</v>
      </c>
      <c r="Y931" s="7">
        <f>$AV$7*EXP(-'3.r(t)'!D929*$AV$21)</f>
        <v>0.88900715067201674</v>
      </c>
      <c r="Z931" s="7">
        <f ca="1">$AV$8*EXP(-'3.r(t)'!E929*$AV$22)</f>
        <v>0.91531621042934508</v>
      </c>
      <c r="AA931" s="7">
        <f ca="1">$AV$9*EXP(-'3.r(t)'!F929*$AV$23)</f>
        <v>0.93915970519767322</v>
      </c>
      <c r="AB931" s="7">
        <f ca="1">$AV$10*EXP(-'3.r(t)'!G929*$AV$24)</f>
        <v>0.96282457073067129</v>
      </c>
      <c r="AC931" s="7">
        <f ca="1">$AV$11*EXP(-'3.r(t)'!H929*$AV$25)</f>
        <v>0.98088683116410824</v>
      </c>
      <c r="AD931" s="7">
        <v>1</v>
      </c>
      <c r="AE931" s="7"/>
      <c r="AF931" s="7">
        <v>923</v>
      </c>
      <c r="AG931" s="7">
        <f>$AW$7*EXP(-'3.r(t)'!D929*$AW$21)</f>
        <v>0.86718755429225491</v>
      </c>
      <c r="AH931" s="7">
        <f ca="1">$AW$8*EXP(-'3.r(t)'!E929*$AW$22)</f>
        <v>0.89430363697488235</v>
      </c>
      <c r="AI931" s="7">
        <f ca="1">$AW$9*EXP(-'3.r(t)'!F929*$AW$23)</f>
        <v>0.91890045724884695</v>
      </c>
      <c r="AJ931" s="7">
        <f ca="1">$AW$10*EXP(-'3.r(t)'!G929*$AW$24)</f>
        <v>0.94413025300014997</v>
      </c>
      <c r="AK931" s="7">
        <f ca="1">$AW$11*EXP(-'3.r(t)'!H929*$AW$25)</f>
        <v>0.9617113998122816</v>
      </c>
      <c r="AL931" s="7">
        <f ca="1">$AW$12*EXP(-'3.r(t)'!I929*$AW$26)</f>
        <v>0.97784850942200285</v>
      </c>
      <c r="AM931" s="7">
        <v>1</v>
      </c>
      <c r="AN931" s="7"/>
    </row>
    <row r="932" spans="2:40">
      <c r="B932" s="7">
        <v>924</v>
      </c>
      <c r="C932" s="7">
        <f>$AR$7*EXP(-'3.r(t)'!D930*$AR$21)</f>
        <v>0.97765346695821032</v>
      </c>
      <c r="D932" s="7">
        <v>1</v>
      </c>
      <c r="E932" s="7"/>
      <c r="F932" s="7">
        <v>924</v>
      </c>
      <c r="G932" s="48">
        <f>$AS$7*EXP(-'3.r(t)'!D930*$AS$21)</f>
        <v>0.9553476245219803</v>
      </c>
      <c r="H932" s="7">
        <f ca="1">$AS$8*EXP(-'3.r(t)'!E930*$AS$22)</f>
        <v>0.97888162152797464</v>
      </c>
      <c r="I932" s="7">
        <v>1</v>
      </c>
      <c r="J932" s="7"/>
      <c r="K932" s="7">
        <v>924</v>
      </c>
      <c r="L932" s="7">
        <f>$AT$7*EXP(-'3.r(t)'!D930*$AT$21)</f>
        <v>0.93311670519824419</v>
      </c>
      <c r="M932" s="7">
        <f ca="1">$AT$8*EXP(-'3.r(t)'!E930*$AT$22)</f>
        <v>0.95775789896701158</v>
      </c>
      <c r="N932" s="7">
        <f ca="1">$AT$9*EXP(-'3.r(t)'!F930*$AT$23)</f>
        <v>0.97908957855641165</v>
      </c>
      <c r="O932" s="7">
        <v>1</v>
      </c>
      <c r="P932" s="7"/>
      <c r="Q932" s="7">
        <v>924</v>
      </c>
      <c r="R932" s="7">
        <f>$AU$7*EXP(-'3.r(t)'!D930*$AU$21)</f>
        <v>0.91099305977534117</v>
      </c>
      <c r="S932" s="7">
        <f ca="1">$AU$8*EXP(-'3.r(t)'!E930*$AU$22)</f>
        <v>0.93666268190796498</v>
      </c>
      <c r="T932" s="7">
        <f ca="1">$AU$9*EXP(-'3.r(t)'!F930*$AU$23)</f>
        <v>0.95817338480599101</v>
      </c>
      <c r="U932" s="7">
        <f ca="1">$AU$10*EXP(-'3.r(t)'!G930*$AU$24)</f>
        <v>0.98358707817357738</v>
      </c>
      <c r="V932" s="7">
        <v>1</v>
      </c>
      <c r="W932" s="7"/>
      <c r="X932" s="7">
        <v>924</v>
      </c>
      <c r="Y932" s="7">
        <f>$AV$7*EXP(-'3.r(t)'!D930*$AV$21)</f>
        <v>0.88900715067201674</v>
      </c>
      <c r="Z932" s="7">
        <f ca="1">$AV$8*EXP(-'3.r(t)'!E930*$AV$22)</f>
        <v>0.91562810465797251</v>
      </c>
      <c r="AA932" s="7">
        <f ca="1">$AV$9*EXP(-'3.r(t)'!F930*$AV$23)</f>
        <v>0.93728472728026146</v>
      </c>
      <c r="AB932" s="7">
        <f ca="1">$AV$10*EXP(-'3.r(t)'!G930*$AV$24)</f>
        <v>0.9670050250483776</v>
      </c>
      <c r="AC932" s="7">
        <f ca="1">$AV$11*EXP(-'3.r(t)'!H930*$AV$25)</f>
        <v>0.98350758073502176</v>
      </c>
      <c r="AD932" s="7">
        <v>1</v>
      </c>
      <c r="AE932" s="7"/>
      <c r="AF932" s="7">
        <v>924</v>
      </c>
      <c r="AG932" s="7">
        <f>$AW$7*EXP(-'3.r(t)'!D930*$AW$21)</f>
        <v>0.86718755429225491</v>
      </c>
      <c r="AH932" s="7">
        <f ca="1">$AW$8*EXP(-'3.r(t)'!E930*$AW$22)</f>
        <v>0.89468457093440801</v>
      </c>
      <c r="AI932" s="7">
        <f ca="1">$AW$9*EXP(-'3.r(t)'!F930*$AW$23)</f>
        <v>0.9164552295029309</v>
      </c>
      <c r="AJ932" s="7">
        <f ca="1">$AW$10*EXP(-'3.r(t)'!G930*$AW$24)</f>
        <v>0.95028585180357916</v>
      </c>
      <c r="AK932" s="7">
        <f ca="1">$AW$11*EXP(-'3.r(t)'!H930*$AW$25)</f>
        <v>0.96685729776429197</v>
      </c>
      <c r="AL932" s="7">
        <f ca="1">$AW$12*EXP(-'3.r(t)'!I930*$AW$26)</f>
        <v>0.98242670093943374</v>
      </c>
      <c r="AM932" s="7">
        <v>1</v>
      </c>
      <c r="AN932" s="7"/>
    </row>
    <row r="933" spans="2:40">
      <c r="B933" s="7">
        <v>925</v>
      </c>
      <c r="C933" s="7">
        <f>$AR$7*EXP(-'3.r(t)'!D931*$AR$21)</f>
        <v>0.97765346695821032</v>
      </c>
      <c r="D933" s="7">
        <v>1</v>
      </c>
      <c r="E933" s="7"/>
      <c r="F933" s="7">
        <v>925</v>
      </c>
      <c r="G933" s="48">
        <f>$AS$7*EXP(-'3.r(t)'!D931*$AS$21)</f>
        <v>0.9553476245219803</v>
      </c>
      <c r="H933" s="7">
        <f ca="1">$AS$8*EXP(-'3.r(t)'!E931*$AS$22)</f>
        <v>0.97404173402215055</v>
      </c>
      <c r="I933" s="7">
        <v>1</v>
      </c>
      <c r="J933" s="7"/>
      <c r="K933" s="7">
        <v>925</v>
      </c>
      <c r="L933" s="7">
        <f>$AT$7*EXP(-'3.r(t)'!D931*$AT$21)</f>
        <v>0.93311670519824419</v>
      </c>
      <c r="M933" s="7">
        <f ca="1">$AT$8*EXP(-'3.r(t)'!E931*$AT$22)</f>
        <v>0.9483104216100624</v>
      </c>
      <c r="N933" s="7">
        <f ca="1">$AT$9*EXP(-'3.r(t)'!F931*$AT$23)</f>
        <v>0.97697681548273752</v>
      </c>
      <c r="O933" s="7">
        <v>1</v>
      </c>
      <c r="P933" s="7"/>
      <c r="Q933" s="7">
        <v>925</v>
      </c>
      <c r="R933" s="7">
        <f>$AU$7*EXP(-'3.r(t)'!D931*$AU$21)</f>
        <v>0.91099305977534117</v>
      </c>
      <c r="S933" s="7">
        <f ca="1">$AU$8*EXP(-'3.r(t)'!E931*$AU$22)</f>
        <v>0.92283782923198643</v>
      </c>
      <c r="T933" s="7">
        <f ca="1">$AU$9*EXP(-'3.r(t)'!F931*$AU$23)</f>
        <v>0.95404258986036561</v>
      </c>
      <c r="U933" s="7">
        <f ca="1">$AU$10*EXP(-'3.r(t)'!G931*$AU$24)</f>
        <v>0.97256454481071919</v>
      </c>
      <c r="V933" s="7">
        <v>1</v>
      </c>
      <c r="W933" s="7"/>
      <c r="X933" s="7">
        <v>925</v>
      </c>
      <c r="Y933" s="7">
        <f>$AV$7*EXP(-'3.r(t)'!D931*$AV$21)</f>
        <v>0.88900715067201674</v>
      </c>
      <c r="Z933" s="7">
        <f ca="1">$AV$8*EXP(-'3.r(t)'!E931*$AV$22)</f>
        <v>0.89765339215679751</v>
      </c>
      <c r="AA933" s="7">
        <f ca="1">$AV$9*EXP(-'3.r(t)'!F931*$AV$23)</f>
        <v>0.93123015218422855</v>
      </c>
      <c r="AB933" s="7">
        <f ca="1">$AV$10*EXP(-'3.r(t)'!G931*$AV$24)</f>
        <v>0.94545305186239414</v>
      </c>
      <c r="AC933" s="7">
        <f ca="1">$AV$11*EXP(-'3.r(t)'!H931*$AV$25)</f>
        <v>0.96948263124751732</v>
      </c>
      <c r="AD933" s="7">
        <v>1</v>
      </c>
      <c r="AE933" s="7"/>
      <c r="AF933" s="7">
        <v>925</v>
      </c>
      <c r="AG933" s="7">
        <f>$AW$7*EXP(-'3.r(t)'!D931*$AW$21)</f>
        <v>0.86718755429225491</v>
      </c>
      <c r="AH933" s="7">
        <f ca="1">$AW$8*EXP(-'3.r(t)'!E931*$AW$22)</f>
        <v>0.87278424918801356</v>
      </c>
      <c r="AI933" s="7">
        <f ca="1">$AW$9*EXP(-'3.r(t)'!F931*$AW$23)</f>
        <v>0.90857037604801316</v>
      </c>
      <c r="AJ933" s="7">
        <f ca="1">$AW$10*EXP(-'3.r(t)'!G931*$AW$24)</f>
        <v>0.91869450580906287</v>
      </c>
      <c r="AK933" s="7">
        <f ca="1">$AW$11*EXP(-'3.r(t)'!H931*$AW$25)</f>
        <v>0.93947888110297051</v>
      </c>
      <c r="AL933" s="7">
        <f ca="1">$AW$12*EXP(-'3.r(t)'!I931*$AW$26)</f>
        <v>0.96951692725083705</v>
      </c>
      <c r="AM933" s="7">
        <v>1</v>
      </c>
      <c r="AN933" s="7"/>
    </row>
    <row r="934" spans="2:40">
      <c r="B934" s="7">
        <v>926</v>
      </c>
      <c r="C934" s="7">
        <f>$AR$7*EXP(-'3.r(t)'!D932*$AR$21)</f>
        <v>0.97765346695821032</v>
      </c>
      <c r="D934" s="7">
        <v>1</v>
      </c>
      <c r="E934" s="7"/>
      <c r="F934" s="7">
        <v>926</v>
      </c>
      <c r="G934" s="48">
        <f>$AS$7*EXP(-'3.r(t)'!D932*$AS$21)</f>
        <v>0.9553476245219803</v>
      </c>
      <c r="H934" s="7">
        <f ca="1">$AS$8*EXP(-'3.r(t)'!E932*$AS$22)</f>
        <v>0.97323872727492466</v>
      </c>
      <c r="I934" s="7">
        <v>1</v>
      </c>
      <c r="J934" s="7"/>
      <c r="K934" s="7">
        <v>926</v>
      </c>
      <c r="L934" s="7">
        <f>$AT$7*EXP(-'3.r(t)'!D932*$AT$21)</f>
        <v>0.93311670519824419</v>
      </c>
      <c r="M934" s="7">
        <f ca="1">$AT$8*EXP(-'3.r(t)'!E932*$AT$22)</f>
        <v>0.9467474787758241</v>
      </c>
      <c r="N934" s="7">
        <f ca="1">$AT$9*EXP(-'3.r(t)'!F932*$AT$23)</f>
        <v>0.96877069487189138</v>
      </c>
      <c r="O934" s="7">
        <v>1</v>
      </c>
      <c r="P934" s="7"/>
      <c r="Q934" s="7">
        <v>926</v>
      </c>
      <c r="R934" s="7">
        <f>$AU$7*EXP(-'3.r(t)'!D932*$AU$21)</f>
        <v>0.91099305977534117</v>
      </c>
      <c r="S934" s="7">
        <f ca="1">$AU$8*EXP(-'3.r(t)'!E932*$AU$22)</f>
        <v>0.92055732864502238</v>
      </c>
      <c r="T934" s="7">
        <f ca="1">$AU$9*EXP(-'3.r(t)'!F932*$AU$23)</f>
        <v>0.93808293017018707</v>
      </c>
      <c r="U934" s="7">
        <f ca="1">$AU$10*EXP(-'3.r(t)'!G932*$AU$24)</f>
        <v>0.96872095997001428</v>
      </c>
      <c r="V934" s="7">
        <v>1</v>
      </c>
      <c r="W934" s="7"/>
      <c r="X934" s="7">
        <v>926</v>
      </c>
      <c r="Y934" s="7">
        <f>$AV$7*EXP(-'3.r(t)'!D932*$AV$21)</f>
        <v>0.88900715067201674</v>
      </c>
      <c r="Z934" s="7">
        <f ca="1">$AV$8*EXP(-'3.r(t)'!E932*$AV$22)</f>
        <v>0.89469692399083145</v>
      </c>
      <c r="AA934" s="7">
        <f ca="1">$AV$9*EXP(-'3.r(t)'!F932*$AV$23)</f>
        <v>0.90796108585869117</v>
      </c>
      <c r="AB934" s="7">
        <f ca="1">$AV$10*EXP(-'3.r(t)'!G932*$AV$24)</f>
        <v>0.93799493841354298</v>
      </c>
      <c r="AC934" s="7">
        <f ca="1">$AV$11*EXP(-'3.r(t)'!H932*$AV$25)</f>
        <v>0.96523638534630973</v>
      </c>
      <c r="AD934" s="7">
        <v>1</v>
      </c>
      <c r="AE934" s="7"/>
      <c r="AF934" s="7">
        <v>926</v>
      </c>
      <c r="AG934" s="7">
        <f>$AW$7*EXP(-'3.r(t)'!D932*$AW$21)</f>
        <v>0.86718755429225491</v>
      </c>
      <c r="AH934" s="7">
        <f ca="1">$AW$8*EXP(-'3.r(t)'!E932*$AW$22)</f>
        <v>0.86919252927030344</v>
      </c>
      <c r="AI934" s="7">
        <f ca="1">$AW$9*EXP(-'3.r(t)'!F932*$AW$23)</f>
        <v>0.87842667201030455</v>
      </c>
      <c r="AJ934" s="7">
        <f ca="1">$AW$10*EXP(-'3.r(t)'!G932*$AW$24)</f>
        <v>0.90784542495441722</v>
      </c>
      <c r="AK934" s="7">
        <f ca="1">$AW$11*EXP(-'3.r(t)'!H932*$AW$25)</f>
        <v>0.9312672392949034</v>
      </c>
      <c r="AL934" s="7">
        <f ca="1">$AW$12*EXP(-'3.r(t)'!I932*$AW$26)</f>
        <v>0.96344289203187206</v>
      </c>
      <c r="AM934" s="7">
        <v>1</v>
      </c>
      <c r="AN934" s="7"/>
    </row>
    <row r="935" spans="2:40">
      <c r="B935" s="7">
        <v>927</v>
      </c>
      <c r="C935" s="7">
        <f>$AR$7*EXP(-'3.r(t)'!D933*$AR$21)</f>
        <v>0.97765346695821032</v>
      </c>
      <c r="D935" s="7">
        <v>1</v>
      </c>
      <c r="E935" s="7"/>
      <c r="F935" s="7">
        <v>927</v>
      </c>
      <c r="G935" s="48">
        <f>$AS$7*EXP(-'3.r(t)'!D933*$AS$21)</f>
        <v>0.9553476245219803</v>
      </c>
      <c r="H935" s="7">
        <f ca="1">$AS$8*EXP(-'3.r(t)'!E933*$AS$22)</f>
        <v>0.97316815690476255</v>
      </c>
      <c r="I935" s="7">
        <v>1</v>
      </c>
      <c r="J935" s="7"/>
      <c r="K935" s="7">
        <v>927</v>
      </c>
      <c r="L935" s="7">
        <f>$AT$7*EXP(-'3.r(t)'!D933*$AT$21)</f>
        <v>0.93311670519824419</v>
      </c>
      <c r="M935" s="7">
        <f ca="1">$AT$8*EXP(-'3.r(t)'!E933*$AT$22)</f>
        <v>0.94661018481937576</v>
      </c>
      <c r="N935" s="7">
        <f ca="1">$AT$9*EXP(-'3.r(t)'!F933*$AT$23)</f>
        <v>0.97296452882291184</v>
      </c>
      <c r="O935" s="7">
        <v>1</v>
      </c>
      <c r="P935" s="7"/>
      <c r="Q935" s="7">
        <v>927</v>
      </c>
      <c r="R935" s="7">
        <f>$AU$7*EXP(-'3.r(t)'!D933*$AU$21)</f>
        <v>0.91099305977534117</v>
      </c>
      <c r="S935" s="7">
        <f ca="1">$AU$8*EXP(-'3.r(t)'!E933*$AU$22)</f>
        <v>0.92035709197400495</v>
      </c>
      <c r="T935" s="7">
        <f ca="1">$AU$9*EXP(-'3.r(t)'!F933*$AU$23)</f>
        <v>0.9462224818976811</v>
      </c>
      <c r="U935" s="7">
        <f ca="1">$AU$10*EXP(-'3.r(t)'!G933*$AU$24)</f>
        <v>0.97013049090533066</v>
      </c>
      <c r="V935" s="7">
        <v>1</v>
      </c>
      <c r="W935" s="7"/>
      <c r="X935" s="7">
        <v>927</v>
      </c>
      <c r="Y935" s="7">
        <f>$AV$7*EXP(-'3.r(t)'!D933*$AV$21)</f>
        <v>0.88900715067201674</v>
      </c>
      <c r="Z935" s="7">
        <f ca="1">$AV$8*EXP(-'3.r(t)'!E933*$AV$22)</f>
        <v>0.89443745126633967</v>
      </c>
      <c r="AA935" s="7">
        <f ca="1">$AV$9*EXP(-'3.r(t)'!F933*$AV$23)</f>
        <v>0.91980396900961292</v>
      </c>
      <c r="AB935" s="7">
        <f ca="1">$AV$10*EXP(-'3.r(t)'!G933*$AV$24)</f>
        <v>0.94072657077792687</v>
      </c>
      <c r="AC935" s="7">
        <f ca="1">$AV$11*EXP(-'3.r(t)'!H933*$AV$25)</f>
        <v>0.96840248655424177</v>
      </c>
      <c r="AD935" s="7">
        <v>1</v>
      </c>
      <c r="AE935" s="7"/>
      <c r="AF935" s="7">
        <v>927</v>
      </c>
      <c r="AG935" s="7">
        <f>$AW$7*EXP(-'3.r(t)'!D933*$AW$21)</f>
        <v>0.86718755429225491</v>
      </c>
      <c r="AH935" s="7">
        <f ca="1">$AW$8*EXP(-'3.r(t)'!E933*$AW$22)</f>
        <v>0.86887744550956725</v>
      </c>
      <c r="AI935" s="7">
        <f ca="1">$AW$9*EXP(-'3.r(t)'!F933*$AW$23)</f>
        <v>0.89373665930038149</v>
      </c>
      <c r="AJ935" s="7">
        <f ca="1">$AW$10*EXP(-'3.r(t)'!G933*$AW$24)</f>
        <v>0.91181405707778473</v>
      </c>
      <c r="AK935" s="7">
        <f ca="1">$AW$11*EXP(-'3.r(t)'!H933*$AW$25)</f>
        <v>0.93738661499580966</v>
      </c>
      <c r="AL935" s="7">
        <f ca="1">$AW$12*EXP(-'3.r(t)'!I933*$AW$26)</f>
        <v>0.97183905489841282</v>
      </c>
      <c r="AM935" s="7">
        <v>1</v>
      </c>
      <c r="AN935" s="7"/>
    </row>
    <row r="936" spans="2:40">
      <c r="B936" s="7">
        <v>928</v>
      </c>
      <c r="C936" s="7">
        <f>$AR$7*EXP(-'3.r(t)'!D934*$AR$21)</f>
        <v>0.97765346695821032</v>
      </c>
      <c r="D936" s="7">
        <v>1</v>
      </c>
      <c r="E936" s="7"/>
      <c r="F936" s="7">
        <v>928</v>
      </c>
      <c r="G936" s="48">
        <f>$AS$7*EXP(-'3.r(t)'!D934*$AS$21)</f>
        <v>0.9553476245219803</v>
      </c>
      <c r="H936" s="7">
        <f ca="1">$AS$8*EXP(-'3.r(t)'!E934*$AS$22)</f>
        <v>0.98039241795524112</v>
      </c>
      <c r="I936" s="7">
        <v>1</v>
      </c>
      <c r="J936" s="7"/>
      <c r="K936" s="7">
        <v>928</v>
      </c>
      <c r="L936" s="7">
        <f>$AT$7*EXP(-'3.r(t)'!D934*$AT$21)</f>
        <v>0.93311670519824419</v>
      </c>
      <c r="M936" s="7">
        <f ca="1">$AT$8*EXP(-'3.r(t)'!E934*$AT$22)</f>
        <v>0.9607165689540984</v>
      </c>
      <c r="N936" s="7">
        <f ca="1">$AT$9*EXP(-'3.r(t)'!F934*$AT$23)</f>
        <v>0.98002780516148957</v>
      </c>
      <c r="O936" s="7">
        <v>1</v>
      </c>
      <c r="P936" s="7"/>
      <c r="Q936" s="7">
        <v>928</v>
      </c>
      <c r="R936" s="7">
        <f>$AU$7*EXP(-'3.r(t)'!D934*$AU$21)</f>
        <v>0.91099305977534117</v>
      </c>
      <c r="S936" s="7">
        <f ca="1">$AU$8*EXP(-'3.r(t)'!E934*$AU$22)</f>
        <v>0.94100628726653646</v>
      </c>
      <c r="T936" s="7">
        <f ca="1">$AU$9*EXP(-'3.r(t)'!F934*$AU$23)</f>
        <v>0.96001063139431297</v>
      </c>
      <c r="U936" s="7">
        <f ca="1">$AU$10*EXP(-'3.r(t)'!G934*$AU$24)</f>
        <v>0.98080443675456264</v>
      </c>
      <c r="V936" s="7">
        <v>1</v>
      </c>
      <c r="W936" s="7"/>
      <c r="X936" s="7">
        <v>928</v>
      </c>
      <c r="Y936" s="7">
        <f>$AV$7*EXP(-'3.r(t)'!D934*$AV$21)</f>
        <v>0.88900715067201674</v>
      </c>
      <c r="Z936" s="7">
        <f ca="1">$AV$8*EXP(-'3.r(t)'!E934*$AV$22)</f>
        <v>0.92129389082446933</v>
      </c>
      <c r="AA936" s="7">
        <f ca="1">$AV$9*EXP(-'3.r(t)'!F934*$AV$23)</f>
        <v>0.93998180967138456</v>
      </c>
      <c r="AB936" s="7">
        <f ca="1">$AV$10*EXP(-'3.r(t)'!G934*$AV$24)</f>
        <v>0.9615413055312293</v>
      </c>
      <c r="AC936" s="7">
        <f ca="1">$AV$11*EXP(-'3.r(t)'!H934*$AV$25)</f>
        <v>0.97676261725822044</v>
      </c>
      <c r="AD936" s="7">
        <v>1</v>
      </c>
      <c r="AE936" s="7"/>
      <c r="AF936" s="7">
        <v>928</v>
      </c>
      <c r="AG936" s="7">
        <f>$AW$7*EXP(-'3.r(t)'!D934*$AW$21)</f>
        <v>0.86718755429225491</v>
      </c>
      <c r="AH936" s="7">
        <f ca="1">$AW$8*EXP(-'3.r(t)'!E934*$AW$22)</f>
        <v>0.90161015328782801</v>
      </c>
      <c r="AI936" s="7">
        <f ca="1">$AW$9*EXP(-'3.r(t)'!F934*$AW$23)</f>
        <v>0.9199731074259847</v>
      </c>
      <c r="AJ936" s="7">
        <f ca="1">$AW$10*EXP(-'3.r(t)'!G934*$AW$24)</f>
        <v>0.94224335831716799</v>
      </c>
      <c r="AK936" s="7">
        <f ca="1">$AW$11*EXP(-'3.r(t)'!H934*$AW$25)</f>
        <v>0.95364122272533147</v>
      </c>
      <c r="AL936" s="7">
        <f ca="1">$AW$12*EXP(-'3.r(t)'!I934*$AW$26)</f>
        <v>0.9774126888054232</v>
      </c>
      <c r="AM936" s="7">
        <v>1</v>
      </c>
      <c r="AN936" s="7"/>
    </row>
    <row r="937" spans="2:40">
      <c r="B937" s="7">
        <v>929</v>
      </c>
      <c r="C937" s="7">
        <f>$AR$7*EXP(-'3.r(t)'!D935*$AR$21)</f>
        <v>0.97765346695821032</v>
      </c>
      <c r="D937" s="7">
        <v>1</v>
      </c>
      <c r="E937" s="7"/>
      <c r="F937" s="7">
        <v>929</v>
      </c>
      <c r="G937" s="48">
        <f>$AS$7*EXP(-'3.r(t)'!D935*$AS$21)</f>
        <v>0.9553476245219803</v>
      </c>
      <c r="H937" s="7">
        <f ca="1">$AS$8*EXP(-'3.r(t)'!E935*$AS$22)</f>
        <v>0.98273173266711822</v>
      </c>
      <c r="I937" s="7">
        <v>1</v>
      </c>
      <c r="J937" s="7"/>
      <c r="K937" s="7">
        <v>929</v>
      </c>
      <c r="L937" s="7">
        <f>$AT$7*EXP(-'3.r(t)'!D935*$AT$21)</f>
        <v>0.93311670519824419</v>
      </c>
      <c r="M937" s="7">
        <f ca="1">$AT$8*EXP(-'3.r(t)'!E935*$AT$22)</f>
        <v>0.96530677109241025</v>
      </c>
      <c r="N937" s="7">
        <f ca="1">$AT$9*EXP(-'3.r(t)'!F935*$AT$23)</f>
        <v>0.97975343726668118</v>
      </c>
      <c r="O937" s="7">
        <v>1</v>
      </c>
      <c r="P937" s="7"/>
      <c r="Q937" s="7">
        <v>929</v>
      </c>
      <c r="R937" s="7">
        <f>$AU$7*EXP(-'3.r(t)'!D935*$AU$21)</f>
        <v>0.91099305977534117</v>
      </c>
      <c r="S937" s="7">
        <f ca="1">$AU$8*EXP(-'3.r(t)'!E935*$AU$22)</f>
        <v>0.94775837919007777</v>
      </c>
      <c r="T937" s="7">
        <f ca="1">$AU$9*EXP(-'3.r(t)'!F935*$AU$23)</f>
        <v>0.95947317883541761</v>
      </c>
      <c r="U937" s="7">
        <f ca="1">$AU$10*EXP(-'3.r(t)'!G935*$AU$24)</f>
        <v>0.97880730202192956</v>
      </c>
      <c r="V937" s="7">
        <v>1</v>
      </c>
      <c r="W937" s="7"/>
      <c r="X937" s="7">
        <v>929</v>
      </c>
      <c r="Y937" s="7">
        <f>$AV$7*EXP(-'3.r(t)'!D935*$AV$21)</f>
        <v>0.88900715067201674</v>
      </c>
      <c r="Z937" s="7">
        <f ca="1">$AV$8*EXP(-'3.r(t)'!E935*$AV$22)</f>
        <v>0.93011861187802369</v>
      </c>
      <c r="AA937" s="7">
        <f ca="1">$AV$9*EXP(-'3.r(t)'!F935*$AV$23)</f>
        <v>0.93919256073194868</v>
      </c>
      <c r="AB937" s="7">
        <f ca="1">$AV$10*EXP(-'3.r(t)'!G935*$AV$24)</f>
        <v>0.95762947079541394</v>
      </c>
      <c r="AC937" s="7">
        <f ca="1">$AV$11*EXP(-'3.r(t)'!H935*$AV$25)</f>
        <v>0.97864453878000357</v>
      </c>
      <c r="AD937" s="7">
        <v>1</v>
      </c>
      <c r="AE937" s="7"/>
      <c r="AF937" s="7">
        <v>929</v>
      </c>
      <c r="AG937" s="7">
        <f>$AW$7*EXP(-'3.r(t)'!D935*$AW$21)</f>
        <v>0.86718755429225491</v>
      </c>
      <c r="AH937" s="7">
        <f ca="1">$AW$8*EXP(-'3.r(t)'!E935*$AW$22)</f>
        <v>0.91241827047284407</v>
      </c>
      <c r="AI937" s="7">
        <f ca="1">$AW$9*EXP(-'3.r(t)'!F935*$AW$23)</f>
        <v>0.91894331987925104</v>
      </c>
      <c r="AJ937" s="7">
        <f ca="1">$AW$10*EXP(-'3.r(t)'!G935*$AW$24)</f>
        <v>0.93649922299258592</v>
      </c>
      <c r="AK937" s="7">
        <f ca="1">$AW$11*EXP(-'3.r(t)'!H935*$AW$25)</f>
        <v>0.95731951017392558</v>
      </c>
      <c r="AL937" s="7">
        <f ca="1">$AW$12*EXP(-'3.r(t)'!I935*$AW$26)</f>
        <v>0.97744899034532784</v>
      </c>
      <c r="AM937" s="7">
        <v>1</v>
      </c>
      <c r="AN937" s="7"/>
    </row>
    <row r="938" spans="2:40">
      <c r="B938" s="7">
        <v>930</v>
      </c>
      <c r="C938" s="7">
        <f>$AR$7*EXP(-'3.r(t)'!D936*$AR$21)</f>
        <v>0.97765346695821032</v>
      </c>
      <c r="D938" s="7">
        <v>1</v>
      </c>
      <c r="E938" s="7"/>
      <c r="F938" s="7">
        <v>930</v>
      </c>
      <c r="G938" s="48">
        <f>$AS$7*EXP(-'3.r(t)'!D936*$AS$21)</f>
        <v>0.9553476245219803</v>
      </c>
      <c r="H938" s="7">
        <f ca="1">$AS$8*EXP(-'3.r(t)'!E936*$AS$22)</f>
        <v>0.97659508625073865</v>
      </c>
      <c r="I938" s="7">
        <v>1</v>
      </c>
      <c r="J938" s="7"/>
      <c r="K938" s="7">
        <v>930</v>
      </c>
      <c r="L938" s="7">
        <f>$AT$7*EXP(-'3.r(t)'!D936*$AT$21)</f>
        <v>0.93311670519824419</v>
      </c>
      <c r="M938" s="7">
        <f ca="1">$AT$8*EXP(-'3.r(t)'!E936*$AT$22)</f>
        <v>0.9532887385201404</v>
      </c>
      <c r="N938" s="7">
        <f ca="1">$AT$9*EXP(-'3.r(t)'!F936*$AT$23)</f>
        <v>0.97963029325196516</v>
      </c>
      <c r="O938" s="7">
        <v>1</v>
      </c>
      <c r="P938" s="7"/>
      <c r="Q938" s="7">
        <v>930</v>
      </c>
      <c r="R938" s="7">
        <f>$AU$7*EXP(-'3.r(t)'!D936*$AU$21)</f>
        <v>0.91099305977534117</v>
      </c>
      <c r="S938" s="7">
        <f ca="1">$AU$8*EXP(-'3.r(t)'!E936*$AU$22)</f>
        <v>0.93011424940290233</v>
      </c>
      <c r="T938" s="7">
        <f ca="1">$AU$9*EXP(-'3.r(t)'!F936*$AU$23)</f>
        <v>0.95923200396532626</v>
      </c>
      <c r="U938" s="7">
        <f ca="1">$AU$10*EXP(-'3.r(t)'!G936*$AU$24)</f>
        <v>0.97900875102039164</v>
      </c>
      <c r="V938" s="7">
        <v>1</v>
      </c>
      <c r="W938" s="7"/>
      <c r="X938" s="7">
        <v>930</v>
      </c>
      <c r="Y938" s="7">
        <f>$AV$7*EXP(-'3.r(t)'!D936*$AV$21)</f>
        <v>0.88900715067201674</v>
      </c>
      <c r="Z938" s="7">
        <f ca="1">$AV$8*EXP(-'3.r(t)'!E936*$AV$22)</f>
        <v>0.90710289904920871</v>
      </c>
      <c r="AA938" s="7">
        <f ca="1">$AV$9*EXP(-'3.r(t)'!F936*$AV$23)</f>
        <v>0.93883846733841902</v>
      </c>
      <c r="AB938" s="7">
        <f ca="1">$AV$10*EXP(-'3.r(t)'!G936*$AV$24)</f>
        <v>0.95802369210786298</v>
      </c>
      <c r="AC938" s="7">
        <f ca="1">$AV$11*EXP(-'3.r(t)'!H936*$AV$25)</f>
        <v>0.98086350775743503</v>
      </c>
      <c r="AD938" s="7">
        <v>1</v>
      </c>
      <c r="AE938" s="7"/>
      <c r="AF938" s="7">
        <v>930</v>
      </c>
      <c r="AG938" s="7">
        <f>$AW$7*EXP(-'3.r(t)'!D936*$AW$21)</f>
        <v>0.86718755429225491</v>
      </c>
      <c r="AH938" s="7">
        <f ca="1">$AW$8*EXP(-'3.r(t)'!E936*$AW$22)</f>
        <v>0.88428396171492674</v>
      </c>
      <c r="AI938" s="7">
        <f ca="1">$AW$9*EXP(-'3.r(t)'!F936*$AW$23)</f>
        <v>0.9184814035140505</v>
      </c>
      <c r="AJ938" s="7">
        <f ca="1">$AW$10*EXP(-'3.r(t)'!G936*$AW$24)</f>
        <v>0.93707756663713371</v>
      </c>
      <c r="AK938" s="7">
        <f ca="1">$AW$11*EXP(-'3.r(t)'!H936*$AW$25)</f>
        <v>0.96166566544478049</v>
      </c>
      <c r="AL938" s="7">
        <f ca="1">$AW$12*EXP(-'3.r(t)'!I936*$AW$26)</f>
        <v>0.97623860451972566</v>
      </c>
      <c r="AM938" s="7">
        <v>1</v>
      </c>
      <c r="AN938" s="7"/>
    </row>
    <row r="939" spans="2:40">
      <c r="B939" s="7">
        <v>931</v>
      </c>
      <c r="C939" s="7">
        <f>$AR$7*EXP(-'3.r(t)'!D937*$AR$21)</f>
        <v>0.97765346695821032</v>
      </c>
      <c r="D939" s="7">
        <v>1</v>
      </c>
      <c r="E939" s="7"/>
      <c r="F939" s="7">
        <v>931</v>
      </c>
      <c r="G939" s="48">
        <f>$AS$7*EXP(-'3.r(t)'!D937*$AS$21)</f>
        <v>0.9553476245219803</v>
      </c>
      <c r="H939" s="7">
        <f ca="1">$AS$8*EXP(-'3.r(t)'!E937*$AS$22)</f>
        <v>0.97415079158898144</v>
      </c>
      <c r="I939" s="7">
        <v>1</v>
      </c>
      <c r="J939" s="7"/>
      <c r="K939" s="7">
        <v>931</v>
      </c>
      <c r="L939" s="7">
        <f>$AT$7*EXP(-'3.r(t)'!D937*$AT$21)</f>
        <v>0.93311670519824419</v>
      </c>
      <c r="M939" s="7">
        <f ca="1">$AT$8*EXP(-'3.r(t)'!E937*$AT$22)</f>
        <v>0.94852278667256151</v>
      </c>
      <c r="N939" s="7">
        <f ca="1">$AT$9*EXP(-'3.r(t)'!F937*$AT$23)</f>
        <v>0.9762277604150239</v>
      </c>
      <c r="O939" s="7">
        <v>1</v>
      </c>
      <c r="P939" s="7"/>
      <c r="Q939" s="7">
        <v>931</v>
      </c>
      <c r="R939" s="7">
        <f>$AU$7*EXP(-'3.r(t)'!D937*$AU$21)</f>
        <v>0.91099305977534117</v>
      </c>
      <c r="S939" s="7">
        <f ca="1">$AU$8*EXP(-'3.r(t)'!E937*$AU$22)</f>
        <v>0.92314783766427533</v>
      </c>
      <c r="T939" s="7">
        <f ca="1">$AU$9*EXP(-'3.r(t)'!F937*$AU$23)</f>
        <v>0.9525802082166841</v>
      </c>
      <c r="U939" s="7">
        <f ca="1">$AU$10*EXP(-'3.r(t)'!G937*$AU$24)</f>
        <v>0.97585178477073664</v>
      </c>
      <c r="V939" s="7">
        <v>1</v>
      </c>
      <c r="W939" s="7"/>
      <c r="X939" s="7">
        <v>931</v>
      </c>
      <c r="Y939" s="7">
        <f>$AV$7*EXP(-'3.r(t)'!D937*$AV$21)</f>
        <v>0.88900715067201674</v>
      </c>
      <c r="Z939" s="7">
        <f ca="1">$AV$8*EXP(-'3.r(t)'!E937*$AV$22)</f>
        <v>0.89805547898257065</v>
      </c>
      <c r="AA939" s="7">
        <f ca="1">$AV$9*EXP(-'3.r(t)'!F937*$AV$23)</f>
        <v>0.92908985167939118</v>
      </c>
      <c r="AB939" s="7">
        <f ca="1">$AV$10*EXP(-'3.r(t)'!G937*$AV$24)</f>
        <v>0.95185506071092074</v>
      </c>
      <c r="AC939" s="7">
        <f ca="1">$AV$11*EXP(-'3.r(t)'!H937*$AV$25)</f>
        <v>0.97760772802665463</v>
      </c>
      <c r="AD939" s="7">
        <v>1</v>
      </c>
      <c r="AE939" s="7"/>
      <c r="AF939" s="7">
        <v>931</v>
      </c>
      <c r="AG939" s="7">
        <f>$AW$7*EXP(-'3.r(t)'!D937*$AW$21)</f>
        <v>0.86718755429225491</v>
      </c>
      <c r="AH939" s="7">
        <f ca="1">$AW$8*EXP(-'3.r(t)'!E937*$AW$22)</f>
        <v>0.87327296050262759</v>
      </c>
      <c r="AI939" s="7">
        <f ca="1">$AW$9*EXP(-'3.r(t)'!F937*$AW$23)</f>
        <v>0.90578714951549189</v>
      </c>
      <c r="AJ939" s="7">
        <f ca="1">$AW$10*EXP(-'3.r(t)'!G937*$AW$24)</f>
        <v>0.92804150971412747</v>
      </c>
      <c r="AK939" s="7">
        <f ca="1">$AW$11*EXP(-'3.r(t)'!H937*$AW$25)</f>
        <v>0.95529214815016961</v>
      </c>
      <c r="AL939" s="7">
        <f ca="1">$AW$12*EXP(-'3.r(t)'!I937*$AW$26)</f>
        <v>0.97421050594951941</v>
      </c>
      <c r="AM939" s="7">
        <v>1</v>
      </c>
      <c r="AN939" s="7"/>
    </row>
    <row r="940" spans="2:40">
      <c r="B940" s="7">
        <v>932</v>
      </c>
      <c r="C940" s="7">
        <f>$AR$7*EXP(-'3.r(t)'!D938*$AR$21)</f>
        <v>0.97765346695821032</v>
      </c>
      <c r="D940" s="7">
        <v>1</v>
      </c>
      <c r="E940" s="7"/>
      <c r="F940" s="7">
        <v>932</v>
      </c>
      <c r="G940" s="48">
        <f>$AS$7*EXP(-'3.r(t)'!D938*$AS$21)</f>
        <v>0.9553476245219803</v>
      </c>
      <c r="H940" s="7">
        <f ca="1">$AS$8*EXP(-'3.r(t)'!E938*$AS$22)</f>
        <v>0.98189660359502107</v>
      </c>
      <c r="I940" s="7">
        <v>1</v>
      </c>
      <c r="J940" s="7"/>
      <c r="K940" s="7">
        <v>932</v>
      </c>
      <c r="L940" s="7">
        <f>$AT$7*EXP(-'3.r(t)'!D938*$AT$21)</f>
        <v>0.93311670519824419</v>
      </c>
      <c r="M940" s="7">
        <f ca="1">$AT$8*EXP(-'3.r(t)'!E938*$AT$22)</f>
        <v>0.9636668256542551</v>
      </c>
      <c r="N940" s="7">
        <f ca="1">$AT$9*EXP(-'3.r(t)'!F938*$AT$23)</f>
        <v>0.98294233481102933</v>
      </c>
      <c r="O940" s="7">
        <v>1</v>
      </c>
      <c r="P940" s="7"/>
      <c r="Q940" s="7">
        <v>932</v>
      </c>
      <c r="R940" s="7">
        <f>$AU$7*EXP(-'3.r(t)'!D938*$AU$21)</f>
        <v>0.91099305977534117</v>
      </c>
      <c r="S940" s="7">
        <f ca="1">$AU$8*EXP(-'3.r(t)'!E938*$AU$22)</f>
        <v>0.94534420616634152</v>
      </c>
      <c r="T940" s="7">
        <f ca="1">$AU$9*EXP(-'3.r(t)'!F938*$AU$23)</f>
        <v>0.9657291220850589</v>
      </c>
      <c r="U940" s="7">
        <f ca="1">$AU$10*EXP(-'3.r(t)'!G938*$AU$24)</f>
        <v>0.9856135963177638</v>
      </c>
      <c r="V940" s="7">
        <v>1</v>
      </c>
      <c r="W940" s="7"/>
      <c r="X940" s="7">
        <v>932</v>
      </c>
      <c r="Y940" s="7">
        <f>$AV$7*EXP(-'3.r(t)'!D938*$AV$21)</f>
        <v>0.88900715067201674</v>
      </c>
      <c r="Z940" s="7">
        <f ca="1">$AV$8*EXP(-'3.r(t)'!E938*$AV$22)</f>
        <v>0.92696096680992635</v>
      </c>
      <c r="AA940" s="7">
        <f ca="1">$AV$9*EXP(-'3.r(t)'!F938*$AV$23)</f>
        <v>0.94839308217935137</v>
      </c>
      <c r="AB940" s="7">
        <f ca="1">$AV$10*EXP(-'3.r(t)'!G938*$AV$24)</f>
        <v>0.97099383710710152</v>
      </c>
      <c r="AC940" s="7">
        <f ca="1">$AV$11*EXP(-'3.r(t)'!H938*$AV$25)</f>
        <v>0.98585918695347241</v>
      </c>
      <c r="AD940" s="7">
        <v>1</v>
      </c>
      <c r="AE940" s="7"/>
      <c r="AF940" s="7">
        <v>932</v>
      </c>
      <c r="AG940" s="7">
        <f>$AW$7*EXP(-'3.r(t)'!D938*$AW$21)</f>
        <v>0.86718755429225491</v>
      </c>
      <c r="AH940" s="7">
        <f ca="1">$AW$8*EXP(-'3.r(t)'!E938*$AW$22)</f>
        <v>0.90854797189799064</v>
      </c>
      <c r="AI940" s="7">
        <f ca="1">$AW$9*EXP(-'3.r(t)'!F938*$AW$23)</f>
        <v>0.93096574884197802</v>
      </c>
      <c r="AJ940" s="7">
        <f ca="1">$AW$10*EXP(-'3.r(t)'!G938*$AW$24)</f>
        <v>0.95617168140109543</v>
      </c>
      <c r="AK940" s="7">
        <f ca="1">$AW$11*EXP(-'3.r(t)'!H938*$AW$25)</f>
        <v>0.97148641480169651</v>
      </c>
      <c r="AL940" s="7">
        <f ca="1">$AW$12*EXP(-'3.r(t)'!I938*$AW$26)</f>
        <v>0.98390017359087001</v>
      </c>
      <c r="AM940" s="7">
        <v>1</v>
      </c>
      <c r="AN940" s="7"/>
    </row>
    <row r="941" spans="2:40">
      <c r="B941" s="7">
        <v>933</v>
      </c>
      <c r="C941" s="7">
        <f>$AR$7*EXP(-'3.r(t)'!D939*$AR$21)</f>
        <v>0.97765346695821032</v>
      </c>
      <c r="D941" s="7">
        <v>1</v>
      </c>
      <c r="E941" s="7"/>
      <c r="F941" s="7">
        <v>933</v>
      </c>
      <c r="G941" s="48">
        <f>$AS$7*EXP(-'3.r(t)'!D939*$AS$21)</f>
        <v>0.9553476245219803</v>
      </c>
      <c r="H941" s="7">
        <f ca="1">$AS$8*EXP(-'3.r(t)'!E939*$AS$22)</f>
        <v>0.98039840602357065</v>
      </c>
      <c r="I941" s="7">
        <v>1</v>
      </c>
      <c r="J941" s="7"/>
      <c r="K941" s="7">
        <v>933</v>
      </c>
      <c r="L941" s="7">
        <f>$AT$7*EXP(-'3.r(t)'!D939*$AT$21)</f>
        <v>0.93311670519824419</v>
      </c>
      <c r="M941" s="7">
        <f ca="1">$AT$8*EXP(-'3.r(t)'!E939*$AT$22)</f>
        <v>0.96072830477319171</v>
      </c>
      <c r="N941" s="7">
        <f ca="1">$AT$9*EXP(-'3.r(t)'!F939*$AT$23)</f>
        <v>0.98009211580592703</v>
      </c>
      <c r="O941" s="7">
        <v>1</v>
      </c>
      <c r="P941" s="7"/>
      <c r="Q941" s="7">
        <v>933</v>
      </c>
      <c r="R941" s="7">
        <f>$AU$7*EXP(-'3.r(t)'!D939*$AU$21)</f>
        <v>0.91099305977534117</v>
      </c>
      <c r="S941" s="7">
        <f ca="1">$AU$8*EXP(-'3.r(t)'!E939*$AU$22)</f>
        <v>0.9410235298856956</v>
      </c>
      <c r="T941" s="7">
        <f ca="1">$AU$9*EXP(-'3.r(t)'!F939*$AU$23)</f>
        <v>0.96013662971341873</v>
      </c>
      <c r="U941" s="7">
        <f ca="1">$AU$10*EXP(-'3.r(t)'!G939*$AU$24)</f>
        <v>0.97664579651057937</v>
      </c>
      <c r="V941" s="7">
        <v>1</v>
      </c>
      <c r="W941" s="7"/>
      <c r="X941" s="7">
        <v>933</v>
      </c>
      <c r="Y941" s="7">
        <f>$AV$7*EXP(-'3.r(t)'!D939*$AV$21)</f>
        <v>0.88900715067201674</v>
      </c>
      <c r="Z941" s="7">
        <f ca="1">$AV$8*EXP(-'3.r(t)'!E939*$AV$22)</f>
        <v>0.92131639944943278</v>
      </c>
      <c r="AA941" s="7">
        <f ca="1">$AV$9*EXP(-'3.r(t)'!F939*$AV$23)</f>
        <v>0.94016687014385369</v>
      </c>
      <c r="AB941" s="7">
        <f ca="1">$AV$10*EXP(-'3.r(t)'!G939*$AV$24)</f>
        <v>0.95340466400179713</v>
      </c>
      <c r="AC941" s="7">
        <f ca="1">$AV$11*EXP(-'3.r(t)'!H939*$AV$25)</f>
        <v>0.97874017240494948</v>
      </c>
      <c r="AD941" s="7">
        <v>1</v>
      </c>
      <c r="AE941" s="7"/>
      <c r="AF941" s="7">
        <v>933</v>
      </c>
      <c r="AG941" s="7">
        <f>$AW$7*EXP(-'3.r(t)'!D939*$AW$21)</f>
        <v>0.86718755429225491</v>
      </c>
      <c r="AH941" s="7">
        <f ca="1">$AW$8*EXP(-'3.r(t)'!E939*$AW$22)</f>
        <v>0.90163768802319044</v>
      </c>
      <c r="AI941" s="7">
        <f ca="1">$AW$9*EXP(-'3.r(t)'!F939*$AW$23)</f>
        <v>0.92021461031794793</v>
      </c>
      <c r="AJ941" s="7">
        <f ca="1">$AW$10*EXP(-'3.r(t)'!G939*$AW$24)</f>
        <v>0.93030868469225014</v>
      </c>
      <c r="AK941" s="7">
        <f ca="1">$AW$11*EXP(-'3.r(t)'!H939*$AW$25)</f>
        <v>0.95750661878100651</v>
      </c>
      <c r="AL941" s="7">
        <f ca="1">$AW$12*EXP(-'3.r(t)'!I939*$AW$26)</f>
        <v>0.97460147168177047</v>
      </c>
      <c r="AM941" s="7">
        <v>1</v>
      </c>
      <c r="AN941" s="7"/>
    </row>
    <row r="942" spans="2:40">
      <c r="B942" s="7">
        <v>934</v>
      </c>
      <c r="C942" s="7">
        <f>$AR$7*EXP(-'3.r(t)'!D940*$AR$21)</f>
        <v>0.97765346695821032</v>
      </c>
      <c r="D942" s="7">
        <v>1</v>
      </c>
      <c r="E942" s="7"/>
      <c r="F942" s="7">
        <v>934</v>
      </c>
      <c r="G942" s="48">
        <f>$AS$7*EXP(-'3.r(t)'!D940*$AS$21)</f>
        <v>0.9553476245219803</v>
      </c>
      <c r="H942" s="7">
        <f ca="1">$AS$8*EXP(-'3.r(t)'!E940*$AS$22)</f>
        <v>0.98006288686012</v>
      </c>
      <c r="I942" s="7">
        <v>1</v>
      </c>
      <c r="J942" s="7"/>
      <c r="K942" s="7">
        <v>934</v>
      </c>
      <c r="L942" s="7">
        <f>$AT$7*EXP(-'3.r(t)'!D940*$AT$21)</f>
        <v>0.93311670519824419</v>
      </c>
      <c r="M942" s="7">
        <f ca="1">$AT$8*EXP(-'3.r(t)'!E940*$AT$22)</f>
        <v>0.96007084226022865</v>
      </c>
      <c r="N942" s="7">
        <f ca="1">$AT$9*EXP(-'3.r(t)'!F940*$AT$23)</f>
        <v>0.98312120550010751</v>
      </c>
      <c r="O942" s="7">
        <v>1</v>
      </c>
      <c r="P942" s="7"/>
      <c r="Q942" s="7">
        <v>934</v>
      </c>
      <c r="R942" s="7">
        <f>$AU$7*EXP(-'3.r(t)'!D940*$AU$21)</f>
        <v>0.91099305977534117</v>
      </c>
      <c r="S942" s="7">
        <f ca="1">$AU$8*EXP(-'3.r(t)'!E940*$AU$22)</f>
        <v>0.94005772847479907</v>
      </c>
      <c r="T942" s="7">
        <f ca="1">$AU$9*EXP(-'3.r(t)'!F940*$AU$23)</f>
        <v>0.96608063070286698</v>
      </c>
      <c r="U942" s="7">
        <f ca="1">$AU$10*EXP(-'3.r(t)'!G940*$AU$24)</f>
        <v>0.98142650348828486</v>
      </c>
      <c r="V942" s="7">
        <v>1</v>
      </c>
      <c r="W942" s="7"/>
      <c r="X942" s="7">
        <v>934</v>
      </c>
      <c r="Y942" s="7">
        <f>$AV$7*EXP(-'3.r(t)'!D940*$AV$21)</f>
        <v>0.88900715067201674</v>
      </c>
      <c r="Z942" s="7">
        <f ca="1">$AV$8*EXP(-'3.r(t)'!E940*$AV$22)</f>
        <v>0.92005584799080187</v>
      </c>
      <c r="AA942" s="7">
        <f ca="1">$AV$9*EXP(-'3.r(t)'!F940*$AV$23)</f>
        <v>0.94891092719468018</v>
      </c>
      <c r="AB942" s="7">
        <f ca="1">$AV$10*EXP(-'3.r(t)'!G940*$AV$24)</f>
        <v>0.96276139084144485</v>
      </c>
      <c r="AC942" s="7">
        <f ca="1">$AV$11*EXP(-'3.r(t)'!H940*$AV$25)</f>
        <v>0.987223982055358</v>
      </c>
      <c r="AD942" s="7">
        <v>1</v>
      </c>
      <c r="AE942" s="7"/>
      <c r="AF942" s="7">
        <v>934</v>
      </c>
      <c r="AG942" s="7">
        <f>$AW$7*EXP(-'3.r(t)'!D940*$AW$21)</f>
        <v>0.86718755429225491</v>
      </c>
      <c r="AH942" s="7">
        <f ca="1">$AW$8*EXP(-'3.r(t)'!E940*$AW$22)</f>
        <v>0.90009591820384549</v>
      </c>
      <c r="AI942" s="7">
        <f ca="1">$AW$9*EXP(-'3.r(t)'!F940*$AW$23)</f>
        <v>0.93164358288758298</v>
      </c>
      <c r="AJ942" s="7">
        <f ca="1">$AW$10*EXP(-'3.r(t)'!G940*$AW$24)</f>
        <v>0.94403732475332236</v>
      </c>
      <c r="AK942" s="7">
        <f ca="1">$AW$11*EXP(-'3.r(t)'!H940*$AW$25)</f>
        <v>0.97417807233864884</v>
      </c>
      <c r="AL942" s="7">
        <f ca="1">$AW$12*EXP(-'3.r(t)'!I940*$AW$26)</f>
        <v>0.98720266570891058</v>
      </c>
      <c r="AM942" s="7">
        <v>1</v>
      </c>
      <c r="AN942" s="7"/>
    </row>
    <row r="943" spans="2:40">
      <c r="B943" s="7">
        <v>935</v>
      </c>
      <c r="C943" s="7">
        <f>$AR$7*EXP(-'3.r(t)'!D941*$AR$21)</f>
        <v>0.97765346695821032</v>
      </c>
      <c r="D943" s="7">
        <v>1</v>
      </c>
      <c r="E943" s="7"/>
      <c r="F943" s="7">
        <v>935</v>
      </c>
      <c r="G943" s="48">
        <f>$AS$7*EXP(-'3.r(t)'!D941*$AS$21)</f>
        <v>0.9553476245219803</v>
      </c>
      <c r="H943" s="7">
        <f ca="1">$AS$8*EXP(-'3.r(t)'!E941*$AS$22)</f>
        <v>0.97529824682171584</v>
      </c>
      <c r="I943" s="7">
        <v>1</v>
      </c>
      <c r="J943" s="7"/>
      <c r="K943" s="7">
        <v>935</v>
      </c>
      <c r="L943" s="7">
        <f>$AT$7*EXP(-'3.r(t)'!D941*$AT$21)</f>
        <v>0.93311670519824419</v>
      </c>
      <c r="M943" s="7">
        <f ca="1">$AT$8*EXP(-'3.r(t)'!E941*$AT$22)</f>
        <v>0.95075863855874265</v>
      </c>
      <c r="N943" s="7">
        <f ca="1">$AT$9*EXP(-'3.r(t)'!F941*$AT$23)</f>
        <v>0.9734657856219987</v>
      </c>
      <c r="O943" s="7">
        <v>1</v>
      </c>
      <c r="P943" s="7"/>
      <c r="Q943" s="7">
        <v>935</v>
      </c>
      <c r="R943" s="7">
        <f>$AU$7*EXP(-'3.r(t)'!D941*$AU$21)</f>
        <v>0.91099305977534117</v>
      </c>
      <c r="S943" s="7">
        <f ca="1">$AU$8*EXP(-'3.r(t)'!E941*$AU$22)</f>
        <v>0.92641381773946452</v>
      </c>
      <c r="T943" s="7">
        <f ca="1">$AU$9*EXP(-'3.r(t)'!F941*$AU$23)</f>
        <v>0.94719769243147101</v>
      </c>
      <c r="U943" s="7">
        <f ca="1">$AU$10*EXP(-'3.r(t)'!G941*$AU$24)</f>
        <v>0.97240033328083841</v>
      </c>
      <c r="V943" s="7">
        <v>1</v>
      </c>
      <c r="W943" s="7"/>
      <c r="X943" s="7">
        <v>935</v>
      </c>
      <c r="Y943" s="7">
        <f>$AV$7*EXP(-'3.r(t)'!D941*$AV$21)</f>
        <v>0.88900715067201674</v>
      </c>
      <c r="Z943" s="7">
        <f ca="1">$AV$8*EXP(-'3.r(t)'!E941*$AV$22)</f>
        <v>0.90229425024209586</v>
      </c>
      <c r="AA943" s="7">
        <f ca="1">$AV$9*EXP(-'3.r(t)'!F941*$AV$23)</f>
        <v>0.92122630934355054</v>
      </c>
      <c r="AB943" s="7">
        <f ca="1">$AV$10*EXP(-'3.r(t)'!G941*$AV$24)</f>
        <v>0.94513381097285132</v>
      </c>
      <c r="AC943" s="7">
        <f ca="1">$AV$11*EXP(-'3.r(t)'!H941*$AV$25)</f>
        <v>0.97104275172805099</v>
      </c>
      <c r="AD943" s="7">
        <v>1</v>
      </c>
      <c r="AE943" s="7"/>
      <c r="AF943" s="7">
        <v>935</v>
      </c>
      <c r="AG943" s="7">
        <f>$AW$7*EXP(-'3.r(t)'!D941*$AW$21)</f>
        <v>0.86718755429225491</v>
      </c>
      <c r="AH943" s="7">
        <f ca="1">$AW$8*EXP(-'3.r(t)'!E941*$AW$22)</f>
        <v>0.87842824567455402</v>
      </c>
      <c r="AI943" s="7">
        <f ca="1">$AW$9*EXP(-'3.r(t)'!F941*$AW$23)</f>
        <v>0.89557984219374887</v>
      </c>
      <c r="AJ943" s="7">
        <f ca="1">$AW$10*EXP(-'3.r(t)'!G941*$AW$24)</f>
        <v>0.91822923665841305</v>
      </c>
      <c r="AK943" s="7">
        <f ca="1">$AW$11*EXP(-'3.r(t)'!H941*$AW$25)</f>
        <v>0.94250498909195102</v>
      </c>
      <c r="AL943" s="7">
        <f ca="1">$AW$12*EXP(-'3.r(t)'!I941*$AW$26)</f>
        <v>0.96852970440426667</v>
      </c>
      <c r="AM943" s="7">
        <v>1</v>
      </c>
      <c r="AN943" s="7"/>
    </row>
    <row r="944" spans="2:40">
      <c r="B944" s="7">
        <v>936</v>
      </c>
      <c r="C944" s="7">
        <f>$AR$7*EXP(-'3.r(t)'!D942*$AR$21)</f>
        <v>0.97765346695821032</v>
      </c>
      <c r="D944" s="7">
        <v>1</v>
      </c>
      <c r="E944" s="7"/>
      <c r="F944" s="7">
        <v>936</v>
      </c>
      <c r="G944" s="48">
        <f>$AS$7*EXP(-'3.r(t)'!D942*$AS$21)</f>
        <v>0.9553476245219803</v>
      </c>
      <c r="H944" s="7">
        <f ca="1">$AS$8*EXP(-'3.r(t)'!E942*$AS$22)</f>
        <v>0.9774023955021518</v>
      </c>
      <c r="I944" s="7">
        <v>1</v>
      </c>
      <c r="J944" s="7"/>
      <c r="K944" s="7">
        <v>936</v>
      </c>
      <c r="L944" s="7">
        <f>$AT$7*EXP(-'3.r(t)'!D942*$AT$21)</f>
        <v>0.93311670519824419</v>
      </c>
      <c r="M944" s="7">
        <f ca="1">$AT$8*EXP(-'3.r(t)'!E942*$AT$22)</f>
        <v>0.95486547574905789</v>
      </c>
      <c r="N944" s="7">
        <f ca="1">$AT$9*EXP(-'3.r(t)'!F942*$AT$23)</f>
        <v>0.97707845941494709</v>
      </c>
      <c r="O944" s="7">
        <v>1</v>
      </c>
      <c r="P944" s="7"/>
      <c r="Q944" s="7">
        <v>936</v>
      </c>
      <c r="R944" s="7">
        <f>$AU$7*EXP(-'3.r(t)'!D942*$AU$21)</f>
        <v>0.91099305977534117</v>
      </c>
      <c r="S944" s="7">
        <f ca="1">$AU$8*EXP(-'3.r(t)'!E942*$AU$22)</f>
        <v>0.93242281335672306</v>
      </c>
      <c r="T944" s="7">
        <f ca="1">$AU$9*EXP(-'3.r(t)'!F942*$AU$23)</f>
        <v>0.95424111593237093</v>
      </c>
      <c r="U944" s="7">
        <f ca="1">$AU$10*EXP(-'3.r(t)'!G942*$AU$24)</f>
        <v>0.98084858856838919</v>
      </c>
      <c r="V944" s="7">
        <v>1</v>
      </c>
      <c r="W944" s="7"/>
      <c r="X944" s="7">
        <v>936</v>
      </c>
      <c r="Y944" s="7">
        <f>$AV$7*EXP(-'3.r(t)'!D942*$AV$21)</f>
        <v>0.88900715067201674</v>
      </c>
      <c r="Z944" s="7">
        <f ca="1">$AV$8*EXP(-'3.r(t)'!E942*$AV$22)</f>
        <v>0.91010607254579468</v>
      </c>
      <c r="AA944" s="7">
        <f ca="1">$AV$9*EXP(-'3.r(t)'!F942*$AV$23)</f>
        <v>0.9315208358760666</v>
      </c>
      <c r="AB944" s="7">
        <f ca="1">$AV$10*EXP(-'3.r(t)'!G942*$AV$24)</f>
        <v>0.96162787681224238</v>
      </c>
      <c r="AC944" s="7">
        <f ca="1">$AV$11*EXP(-'3.r(t)'!H942*$AV$25)</f>
        <v>0.98481123992035247</v>
      </c>
      <c r="AD944" s="7">
        <v>1</v>
      </c>
      <c r="AE944" s="7"/>
      <c r="AF944" s="7">
        <v>936</v>
      </c>
      <c r="AG944" s="7">
        <f>$AW$7*EXP(-'3.r(t)'!D942*$AW$21)</f>
        <v>0.86718755429225491</v>
      </c>
      <c r="AH944" s="7">
        <f ca="1">$AW$8*EXP(-'3.r(t)'!E942*$AW$22)</f>
        <v>0.88794500760190742</v>
      </c>
      <c r="AI944" s="7">
        <f ca="1">$AW$9*EXP(-'3.r(t)'!F942*$AW$23)</f>
        <v>0.90894854297024552</v>
      </c>
      <c r="AJ944" s="7">
        <f ca="1">$AW$10*EXP(-'3.r(t)'!G942*$AW$24)</f>
        <v>0.94237061189967408</v>
      </c>
      <c r="AK944" s="7">
        <f ca="1">$AW$11*EXP(-'3.r(t)'!H942*$AW$25)</f>
        <v>0.96942217433344191</v>
      </c>
      <c r="AL944" s="7">
        <f ca="1">$AW$12*EXP(-'3.r(t)'!I942*$AW$26)</f>
        <v>0.98770723431257523</v>
      </c>
      <c r="AM944" s="7">
        <v>1</v>
      </c>
      <c r="AN944" s="7"/>
    </row>
    <row r="945" spans="2:40">
      <c r="B945" s="7">
        <v>937</v>
      </c>
      <c r="C945" s="7">
        <f>$AR$7*EXP(-'3.r(t)'!D943*$AR$21)</f>
        <v>0.97765346695821032</v>
      </c>
      <c r="D945" s="7">
        <v>1</v>
      </c>
      <c r="E945" s="7"/>
      <c r="F945" s="7">
        <v>937</v>
      </c>
      <c r="G945" s="48">
        <f>$AS$7*EXP(-'3.r(t)'!D943*$AS$21)</f>
        <v>0.9553476245219803</v>
      </c>
      <c r="H945" s="7">
        <f ca="1">$AS$8*EXP(-'3.r(t)'!E943*$AS$22)</f>
        <v>0.9735779397554235</v>
      </c>
      <c r="I945" s="7">
        <v>1</v>
      </c>
      <c r="J945" s="7"/>
      <c r="K945" s="7">
        <v>937</v>
      </c>
      <c r="L945" s="7">
        <f>$AT$7*EXP(-'3.r(t)'!D943*$AT$21)</f>
        <v>0.93311670519824419</v>
      </c>
      <c r="M945" s="7">
        <f ca="1">$AT$8*EXP(-'3.r(t)'!E943*$AT$22)</f>
        <v>0.94740755223614892</v>
      </c>
      <c r="N945" s="7">
        <f ca="1">$AT$9*EXP(-'3.r(t)'!F943*$AT$23)</f>
        <v>0.96748859875357729</v>
      </c>
      <c r="O945" s="7">
        <v>1</v>
      </c>
      <c r="P945" s="7"/>
      <c r="Q945" s="7">
        <v>937</v>
      </c>
      <c r="R945" s="7">
        <f>$AU$7*EXP(-'3.r(t)'!D943*$AU$21)</f>
        <v>0.91099305977534117</v>
      </c>
      <c r="S945" s="7">
        <f ca="1">$AU$8*EXP(-'3.r(t)'!E943*$AU$22)</f>
        <v>0.92152021691307751</v>
      </c>
      <c r="T945" s="7">
        <f ca="1">$AU$9*EXP(-'3.r(t)'!F943*$AU$23)</f>
        <v>0.93560160690259997</v>
      </c>
      <c r="U945" s="7">
        <f ca="1">$AU$10*EXP(-'3.r(t)'!G943*$AU$24)</f>
        <v>0.96732312446594249</v>
      </c>
      <c r="V945" s="7">
        <v>1</v>
      </c>
      <c r="W945" s="7"/>
      <c r="X945" s="7">
        <v>937</v>
      </c>
      <c r="Y945" s="7">
        <f>$AV$7*EXP(-'3.r(t)'!D943*$AV$21)</f>
        <v>0.88900715067201674</v>
      </c>
      <c r="Z945" s="7">
        <f ca="1">$AV$8*EXP(-'3.r(t)'!E943*$AV$22)</f>
        <v>0.8959449263977125</v>
      </c>
      <c r="AA945" s="7">
        <f ca="1">$AV$9*EXP(-'3.r(t)'!F943*$AV$23)</f>
        <v>0.90436099717414009</v>
      </c>
      <c r="AB945" s="7">
        <f ca="1">$AV$10*EXP(-'3.r(t)'!G943*$AV$24)</f>
        <v>0.9352898939324632</v>
      </c>
      <c r="AC945" s="7">
        <f ca="1">$AV$11*EXP(-'3.r(t)'!H943*$AV$25)</f>
        <v>0.97063747653190691</v>
      </c>
      <c r="AD945" s="7">
        <v>1</v>
      </c>
      <c r="AE945" s="7"/>
      <c r="AF945" s="7">
        <v>937</v>
      </c>
      <c r="AG945" s="7">
        <f>$AW$7*EXP(-'3.r(t)'!D943*$AW$21)</f>
        <v>0.86718755429225491</v>
      </c>
      <c r="AH945" s="7">
        <f ca="1">$AW$8*EXP(-'3.r(t)'!E943*$AW$22)</f>
        <v>0.8707083267047212</v>
      </c>
      <c r="AI945" s="7">
        <f ca="1">$AW$9*EXP(-'3.r(t)'!F943*$AW$23)</f>
        <v>0.87378576498610494</v>
      </c>
      <c r="AJ945" s="7">
        <f ca="1">$AW$10*EXP(-'3.r(t)'!G943*$AW$24)</f>
        <v>0.90392111131509989</v>
      </c>
      <c r="AK945" s="7">
        <f ca="1">$AW$11*EXP(-'3.r(t)'!H943*$AW$25)</f>
        <v>0.94171842396251015</v>
      </c>
      <c r="AL945" s="7">
        <f ca="1">$AW$12*EXP(-'3.r(t)'!I943*$AW$26)</f>
        <v>0.96969874220168006</v>
      </c>
      <c r="AM945" s="7">
        <v>1</v>
      </c>
      <c r="AN945" s="7"/>
    </row>
    <row r="946" spans="2:40">
      <c r="B946" s="7">
        <v>938</v>
      </c>
      <c r="C946" s="7">
        <f>$AR$7*EXP(-'3.r(t)'!D944*$AR$21)</f>
        <v>0.97765346695821032</v>
      </c>
      <c r="D946" s="7">
        <v>1</v>
      </c>
      <c r="E946" s="7"/>
      <c r="F946" s="7">
        <v>938</v>
      </c>
      <c r="G946" s="48">
        <f>$AS$7*EXP(-'3.r(t)'!D944*$AS$21)</f>
        <v>0.9553476245219803</v>
      </c>
      <c r="H946" s="7">
        <f ca="1">$AS$8*EXP(-'3.r(t)'!E944*$AS$22)</f>
        <v>0.97710458538345513</v>
      </c>
      <c r="I946" s="7">
        <v>1</v>
      </c>
      <c r="J946" s="7"/>
      <c r="K946" s="7">
        <v>938</v>
      </c>
      <c r="L946" s="7">
        <f>$AT$7*EXP(-'3.r(t)'!D944*$AT$21)</f>
        <v>0.93311670519824419</v>
      </c>
      <c r="M946" s="7">
        <f ca="1">$AT$8*EXP(-'3.r(t)'!E944*$AT$22)</f>
        <v>0.95428367795714919</v>
      </c>
      <c r="N946" s="7">
        <f ca="1">$AT$9*EXP(-'3.r(t)'!F944*$AT$23)</f>
        <v>0.9791253909349118</v>
      </c>
      <c r="O946" s="7">
        <v>1</v>
      </c>
      <c r="P946" s="7"/>
      <c r="Q946" s="7">
        <v>938</v>
      </c>
      <c r="R946" s="7">
        <f>$AU$7*EXP(-'3.r(t)'!D944*$AU$21)</f>
        <v>0.91099305977534117</v>
      </c>
      <c r="S946" s="7">
        <f ca="1">$AU$8*EXP(-'3.r(t)'!E944*$AU$22)</f>
        <v>0.93157075790064114</v>
      </c>
      <c r="T946" s="7">
        <f ca="1">$AU$9*EXP(-'3.r(t)'!F944*$AU$23)</f>
        <v>0.95824348073233079</v>
      </c>
      <c r="U946" s="7">
        <f ca="1">$AU$10*EXP(-'3.r(t)'!G944*$AU$24)</f>
        <v>0.97614072054692114</v>
      </c>
      <c r="V946" s="7">
        <v>1</v>
      </c>
      <c r="W946" s="7"/>
      <c r="X946" s="7">
        <v>938</v>
      </c>
      <c r="Y946" s="7">
        <f>$AV$7*EXP(-'3.r(t)'!D944*$AV$21)</f>
        <v>0.88900715067201674</v>
      </c>
      <c r="Z946" s="7">
        <f ca="1">$AV$8*EXP(-'3.r(t)'!E944*$AV$22)</f>
        <v>0.90899735847902541</v>
      </c>
      <c r="AA946" s="7">
        <f ca="1">$AV$9*EXP(-'3.r(t)'!F944*$AV$23)</f>
        <v>0.93738758086158236</v>
      </c>
      <c r="AB946" s="7">
        <f ca="1">$AV$10*EXP(-'3.r(t)'!G944*$AV$24)</f>
        <v>0.95241880553479419</v>
      </c>
      <c r="AC946" s="7">
        <f ca="1">$AV$11*EXP(-'3.r(t)'!H944*$AV$25)</f>
        <v>0.9724277632906202</v>
      </c>
      <c r="AD946" s="7">
        <v>1</v>
      </c>
      <c r="AE946" s="7"/>
      <c r="AF946" s="7">
        <v>938</v>
      </c>
      <c r="AG946" s="7">
        <f>$AW$7*EXP(-'3.r(t)'!D944*$AW$21)</f>
        <v>0.86718755429225491</v>
      </c>
      <c r="AH946" s="7">
        <f ca="1">$AW$8*EXP(-'3.r(t)'!E944*$AW$22)</f>
        <v>0.88659306744059818</v>
      </c>
      <c r="AI946" s="7">
        <f ca="1">$AW$9*EXP(-'3.r(t)'!F944*$AW$23)</f>
        <v>0.91658932241144908</v>
      </c>
      <c r="AJ946" s="7">
        <f ca="1">$AW$10*EXP(-'3.r(t)'!G944*$AW$24)</f>
        <v>0.92886609332309689</v>
      </c>
      <c r="AK946" s="7">
        <f ca="1">$AW$11*EXP(-'3.r(t)'!H944*$AW$25)</f>
        <v>0.94519552201904056</v>
      </c>
      <c r="AL946" s="7">
        <f ca="1">$AW$12*EXP(-'3.r(t)'!I944*$AW$26)</f>
        <v>0.97271973286428193</v>
      </c>
      <c r="AM946" s="7">
        <v>1</v>
      </c>
      <c r="AN946" s="7"/>
    </row>
    <row r="947" spans="2:40">
      <c r="B947" s="7">
        <v>939</v>
      </c>
      <c r="C947" s="7">
        <f>$AR$7*EXP(-'3.r(t)'!D945*$AR$21)</f>
        <v>0.97765346695821032</v>
      </c>
      <c r="D947" s="7">
        <v>1</v>
      </c>
      <c r="E947" s="7"/>
      <c r="F947" s="7">
        <v>939</v>
      </c>
      <c r="G947" s="48">
        <f>$AS$7*EXP(-'3.r(t)'!D945*$AS$21)</f>
        <v>0.9553476245219803</v>
      </c>
      <c r="H947" s="7">
        <f ca="1">$AS$8*EXP(-'3.r(t)'!E945*$AS$22)</f>
        <v>0.97910050524558911</v>
      </c>
      <c r="I947" s="7">
        <v>1</v>
      </c>
      <c r="J947" s="7"/>
      <c r="K947" s="7">
        <v>939</v>
      </c>
      <c r="L947" s="7">
        <f>$AT$7*EXP(-'3.r(t)'!D945*$AT$21)</f>
        <v>0.93311670519824419</v>
      </c>
      <c r="M947" s="7">
        <f ca="1">$AT$8*EXP(-'3.r(t)'!E945*$AT$22)</f>
        <v>0.95818626751126468</v>
      </c>
      <c r="N947" s="7">
        <f ca="1">$AT$9*EXP(-'3.r(t)'!F945*$AT$23)</f>
        <v>0.98115560579176464</v>
      </c>
      <c r="O947" s="7">
        <v>1</v>
      </c>
      <c r="P947" s="7"/>
      <c r="Q947" s="7">
        <v>939</v>
      </c>
      <c r="R947" s="7">
        <f>$AU$7*EXP(-'3.r(t)'!D945*$AU$21)</f>
        <v>0.91099305977534117</v>
      </c>
      <c r="S947" s="7">
        <f ca="1">$AU$8*EXP(-'3.r(t)'!E945*$AU$22)</f>
        <v>0.93729115235609139</v>
      </c>
      <c r="T947" s="7">
        <f ca="1">$AU$9*EXP(-'3.r(t)'!F945*$AU$23)</f>
        <v>0.96222143310194896</v>
      </c>
      <c r="U947" s="7">
        <f ca="1">$AU$10*EXP(-'3.r(t)'!G945*$AU$24)</f>
        <v>0.97992899433621083</v>
      </c>
      <c r="V947" s="7">
        <v>1</v>
      </c>
      <c r="W947" s="7"/>
      <c r="X947" s="7">
        <v>939</v>
      </c>
      <c r="Y947" s="7">
        <f>$AV$7*EXP(-'3.r(t)'!D945*$AV$21)</f>
        <v>0.88900715067201674</v>
      </c>
      <c r="Z947" s="7">
        <f ca="1">$AV$8*EXP(-'3.r(t)'!E945*$AV$22)</f>
        <v>0.91644733881435558</v>
      </c>
      <c r="AA947" s="7">
        <f ca="1">$AV$9*EXP(-'3.r(t)'!F945*$AV$23)</f>
        <v>0.94323069455035513</v>
      </c>
      <c r="AB947" s="7">
        <f ca="1">$AV$10*EXP(-'3.r(t)'!G945*$AV$24)</f>
        <v>0.95982557436055127</v>
      </c>
      <c r="AC947" s="7">
        <f ca="1">$AV$11*EXP(-'3.r(t)'!H945*$AV$25)</f>
        <v>0.98035528243689252</v>
      </c>
      <c r="AD947" s="7">
        <v>1</v>
      </c>
      <c r="AE947" s="7"/>
      <c r="AF947" s="7">
        <v>939</v>
      </c>
      <c r="AG947" s="7">
        <f>$AW$7*EXP(-'3.r(t)'!D945*$AW$21)</f>
        <v>0.86718755429225491</v>
      </c>
      <c r="AH947" s="7">
        <f ca="1">$AW$8*EXP(-'3.r(t)'!E945*$AW$22)</f>
        <v>0.89568530216987818</v>
      </c>
      <c r="AI947" s="7">
        <f ca="1">$AW$9*EXP(-'3.r(t)'!F945*$AW$23)</f>
        <v>0.92421518548651549</v>
      </c>
      <c r="AJ947" s="7">
        <f ca="1">$AW$10*EXP(-'3.r(t)'!G945*$AW$24)</f>
        <v>0.9397225384943505</v>
      </c>
      <c r="AK947" s="7">
        <f ca="1">$AW$11*EXP(-'3.r(t)'!H945*$AW$25)</f>
        <v>0.96066936734942232</v>
      </c>
      <c r="AL947" s="7">
        <f ca="1">$AW$12*EXP(-'3.r(t)'!I945*$AW$26)</f>
        <v>0.98340630552745101</v>
      </c>
      <c r="AM947" s="7">
        <v>1</v>
      </c>
      <c r="AN947" s="7"/>
    </row>
    <row r="948" spans="2:40">
      <c r="B948" s="7">
        <v>940</v>
      </c>
      <c r="C948" s="7">
        <f>$AR$7*EXP(-'3.r(t)'!D946*$AR$21)</f>
        <v>0.97765346695821032</v>
      </c>
      <c r="D948" s="7">
        <v>1</v>
      </c>
      <c r="E948" s="7"/>
      <c r="F948" s="7">
        <v>940</v>
      </c>
      <c r="G948" s="48">
        <f>$AS$7*EXP(-'3.r(t)'!D946*$AS$21)</f>
        <v>0.9553476245219803</v>
      </c>
      <c r="H948" s="7">
        <f ca="1">$AS$8*EXP(-'3.r(t)'!E946*$AS$22)</f>
        <v>0.97517553896638665</v>
      </c>
      <c r="I948" s="7">
        <v>1</v>
      </c>
      <c r="J948" s="7"/>
      <c r="K948" s="7">
        <v>940</v>
      </c>
      <c r="L948" s="7">
        <f>$AT$7*EXP(-'3.r(t)'!D946*$AT$21)</f>
        <v>0.93311670519824419</v>
      </c>
      <c r="M948" s="7">
        <f ca="1">$AT$8*EXP(-'3.r(t)'!E946*$AT$22)</f>
        <v>0.9505194128353851</v>
      </c>
      <c r="N948" s="7">
        <f ca="1">$AT$9*EXP(-'3.r(t)'!F946*$AT$23)</f>
        <v>0.97669438392448504</v>
      </c>
      <c r="O948" s="7">
        <v>1</v>
      </c>
      <c r="P948" s="7"/>
      <c r="Q948" s="7">
        <v>940</v>
      </c>
      <c r="R948" s="7">
        <f>$AU$7*EXP(-'3.r(t)'!D946*$AU$21)</f>
        <v>0.91099305977534117</v>
      </c>
      <c r="S948" s="7">
        <f ca="1">$AU$8*EXP(-'3.r(t)'!E946*$AU$22)</f>
        <v>0.92606418945545821</v>
      </c>
      <c r="T948" s="7">
        <f ca="1">$AU$9*EXP(-'3.r(t)'!F946*$AU$23)</f>
        <v>0.95349106645982828</v>
      </c>
      <c r="U948" s="7">
        <f ca="1">$AU$10*EXP(-'3.r(t)'!G946*$AU$24)</f>
        <v>0.97212543638930959</v>
      </c>
      <c r="V948" s="7">
        <v>1</v>
      </c>
      <c r="W948" s="7"/>
      <c r="X948" s="7">
        <v>940</v>
      </c>
      <c r="Y948" s="7">
        <f>$AV$7*EXP(-'3.r(t)'!D946*$AV$21)</f>
        <v>0.88900715067201674</v>
      </c>
      <c r="Z948" s="7">
        <f ca="1">$AV$8*EXP(-'3.r(t)'!E946*$AV$22)</f>
        <v>0.9018402447141397</v>
      </c>
      <c r="AA948" s="7">
        <f ca="1">$AV$9*EXP(-'3.r(t)'!F946*$AV$23)</f>
        <v>0.93042276529343704</v>
      </c>
      <c r="AB948" s="7">
        <f ca="1">$AV$10*EXP(-'3.r(t)'!G946*$AV$24)</f>
        <v>0.94459950917726876</v>
      </c>
      <c r="AC948" s="7">
        <f ca="1">$AV$11*EXP(-'3.r(t)'!H946*$AV$25)</f>
        <v>0.96774377128815348</v>
      </c>
      <c r="AD948" s="7">
        <v>1</v>
      </c>
      <c r="AE948" s="7"/>
      <c r="AF948" s="7">
        <v>940</v>
      </c>
      <c r="AG948" s="7">
        <f>$AW$7*EXP(-'3.r(t)'!D946*$AW$21)</f>
        <v>0.86718755429225491</v>
      </c>
      <c r="AH948" s="7">
        <f ca="1">$AW$8*EXP(-'3.r(t)'!E946*$AW$22)</f>
        <v>0.87787578427884605</v>
      </c>
      <c r="AI948" s="7">
        <f ca="1">$AW$9*EXP(-'3.r(t)'!F946*$AW$23)</f>
        <v>0.90752020703315417</v>
      </c>
      <c r="AJ948" s="7">
        <f ca="1">$AW$10*EXP(-'3.r(t)'!G946*$AW$24)</f>
        <v>0.91745070850762378</v>
      </c>
      <c r="AK948" s="7">
        <f ca="1">$AW$11*EXP(-'3.r(t)'!H946*$AW$25)</f>
        <v>0.93611181267397781</v>
      </c>
      <c r="AL948" s="7">
        <f ca="1">$AW$12*EXP(-'3.r(t)'!I946*$AW$26)</f>
        <v>0.96755188774236511</v>
      </c>
      <c r="AM948" s="7">
        <v>1</v>
      </c>
      <c r="AN948" s="7"/>
    </row>
    <row r="949" spans="2:40">
      <c r="B949" s="7">
        <v>941</v>
      </c>
      <c r="C949" s="7">
        <f>$AR$7*EXP(-'3.r(t)'!D947*$AR$21)</f>
        <v>0.97765346695821032</v>
      </c>
      <c r="D949" s="7">
        <v>1</v>
      </c>
      <c r="E949" s="7"/>
      <c r="F949" s="7">
        <v>941</v>
      </c>
      <c r="G949" s="48">
        <f>$AS$7*EXP(-'3.r(t)'!D947*$AS$21)</f>
        <v>0.9553476245219803</v>
      </c>
      <c r="H949" s="7">
        <f ca="1">$AS$8*EXP(-'3.r(t)'!E947*$AS$22)</f>
        <v>0.97577946916615765</v>
      </c>
      <c r="I949" s="7">
        <v>1</v>
      </c>
      <c r="J949" s="7"/>
      <c r="K949" s="7">
        <v>941</v>
      </c>
      <c r="L949" s="7">
        <f>$AT$7*EXP(-'3.r(t)'!D947*$AT$21)</f>
        <v>0.93311670519824419</v>
      </c>
      <c r="M949" s="7">
        <f ca="1">$AT$8*EXP(-'3.r(t)'!E947*$AT$22)</f>
        <v>0.95169709851530537</v>
      </c>
      <c r="N949" s="7">
        <f ca="1">$AT$9*EXP(-'3.r(t)'!F947*$AT$23)</f>
        <v>0.9756443026693582</v>
      </c>
      <c r="O949" s="7">
        <v>1</v>
      </c>
      <c r="P949" s="7"/>
      <c r="Q949" s="7">
        <v>941</v>
      </c>
      <c r="R949" s="7">
        <f>$AU$7*EXP(-'3.r(t)'!D947*$AU$21)</f>
        <v>0.91099305977534117</v>
      </c>
      <c r="S949" s="7">
        <f ca="1">$AU$8*EXP(-'3.r(t)'!E947*$AU$22)</f>
        <v>0.92778580123706755</v>
      </c>
      <c r="T949" s="7">
        <f ca="1">$AU$9*EXP(-'3.r(t)'!F947*$AU$23)</f>
        <v>0.95144189964769776</v>
      </c>
      <c r="U949" s="7">
        <f ca="1">$AU$10*EXP(-'3.r(t)'!G947*$AU$24)</f>
        <v>0.97854646715259785</v>
      </c>
      <c r="V949" s="7">
        <v>1</v>
      </c>
      <c r="W949" s="7"/>
      <c r="X949" s="7">
        <v>941</v>
      </c>
      <c r="Y949" s="7">
        <f>$AV$7*EXP(-'3.r(t)'!D947*$AV$21)</f>
        <v>0.88900715067201674</v>
      </c>
      <c r="Z949" s="7">
        <f ca="1">$AV$8*EXP(-'3.r(t)'!E947*$AV$22)</f>
        <v>0.90407637431712573</v>
      </c>
      <c r="AA949" s="7">
        <f ca="1">$AV$9*EXP(-'3.r(t)'!F947*$AV$23)</f>
        <v>0.92742499198720496</v>
      </c>
      <c r="AB949" s="7">
        <f ca="1">$AV$10*EXP(-'3.r(t)'!G947*$AV$24)</f>
        <v>0.95711915609717679</v>
      </c>
      <c r="AC949" s="7">
        <f ca="1">$AV$11*EXP(-'3.r(t)'!H947*$AV$25)</f>
        <v>0.97653960826995856</v>
      </c>
      <c r="AD949" s="7">
        <v>1</v>
      </c>
      <c r="AE949" s="7"/>
      <c r="AF949" s="7">
        <v>941</v>
      </c>
      <c r="AG949" s="7">
        <f>$AW$7*EXP(-'3.r(t)'!D947*$AW$21)</f>
        <v>0.86718755429225491</v>
      </c>
      <c r="AH949" s="7">
        <f ca="1">$AW$8*EXP(-'3.r(t)'!E947*$AW$22)</f>
        <v>0.88059751366667949</v>
      </c>
      <c r="AI949" s="7">
        <f ca="1">$AW$9*EXP(-'3.r(t)'!F947*$AW$23)</f>
        <v>0.90362365878370399</v>
      </c>
      <c r="AJ949" s="7">
        <f ca="1">$AW$10*EXP(-'3.r(t)'!G947*$AW$24)</f>
        <v>0.9357507409461634</v>
      </c>
      <c r="AK949" s="7">
        <f ca="1">$AW$11*EXP(-'3.r(t)'!H947*$AW$25)</f>
        <v>0.95320581235517698</v>
      </c>
      <c r="AL949" s="7">
        <f ca="1">$AW$12*EXP(-'3.r(t)'!I947*$AW$26)</f>
        <v>0.97572158014210497</v>
      </c>
      <c r="AM949" s="7">
        <v>1</v>
      </c>
      <c r="AN949" s="7"/>
    </row>
    <row r="950" spans="2:40">
      <c r="B950" s="7">
        <v>942</v>
      </c>
      <c r="C950" s="7">
        <f>$AR$7*EXP(-'3.r(t)'!D948*$AR$21)</f>
        <v>0.97765346695821032</v>
      </c>
      <c r="D950" s="7">
        <v>1</v>
      </c>
      <c r="E950" s="7"/>
      <c r="F950" s="7">
        <v>942</v>
      </c>
      <c r="G950" s="48">
        <f>$AS$7*EXP(-'3.r(t)'!D948*$AS$21)</f>
        <v>0.9553476245219803</v>
      </c>
      <c r="H950" s="7">
        <f ca="1">$AS$8*EXP(-'3.r(t)'!E948*$AS$22)</f>
        <v>0.9754945573889271</v>
      </c>
      <c r="I950" s="7">
        <v>1</v>
      </c>
      <c r="J950" s="7"/>
      <c r="K950" s="7">
        <v>942</v>
      </c>
      <c r="L950" s="7">
        <f>$AT$7*EXP(-'3.r(t)'!D948*$AT$21)</f>
        <v>0.93311670519824419</v>
      </c>
      <c r="M950" s="7">
        <f ca="1">$AT$8*EXP(-'3.r(t)'!E948*$AT$22)</f>
        <v>0.95114141942052788</v>
      </c>
      <c r="N950" s="7">
        <f ca="1">$AT$9*EXP(-'3.r(t)'!F948*$AT$23)</f>
        <v>0.97582558518568507</v>
      </c>
      <c r="O950" s="7">
        <v>1</v>
      </c>
      <c r="P950" s="7"/>
      <c r="Q950" s="7">
        <v>942</v>
      </c>
      <c r="R950" s="7">
        <f>$AU$7*EXP(-'3.r(t)'!D948*$AU$21)</f>
        <v>0.91099305977534117</v>
      </c>
      <c r="S950" s="7">
        <f ca="1">$AU$8*EXP(-'3.r(t)'!E948*$AU$22)</f>
        <v>0.9269733432937427</v>
      </c>
      <c r="T950" s="7">
        <f ca="1">$AU$9*EXP(-'3.r(t)'!F948*$AU$23)</f>
        <v>0.95179550352832654</v>
      </c>
      <c r="U950" s="7">
        <f ca="1">$AU$10*EXP(-'3.r(t)'!G948*$AU$24)</f>
        <v>0.97377055732690654</v>
      </c>
      <c r="V950" s="7">
        <v>1</v>
      </c>
      <c r="W950" s="7"/>
      <c r="X950" s="7">
        <v>942</v>
      </c>
      <c r="Y950" s="7">
        <f>$AV$7*EXP(-'3.r(t)'!D948*$AV$21)</f>
        <v>0.88900715067201674</v>
      </c>
      <c r="Z950" s="7">
        <f ca="1">$AV$8*EXP(-'3.r(t)'!E948*$AV$22)</f>
        <v>0.90302093414031748</v>
      </c>
      <c r="AA950" s="7">
        <f ca="1">$AV$9*EXP(-'3.r(t)'!F948*$AV$23)</f>
        <v>0.9279420569981025</v>
      </c>
      <c r="AB950" s="7">
        <f ca="1">$AV$10*EXP(-'3.r(t)'!G948*$AV$24)</f>
        <v>0.94779929238829841</v>
      </c>
      <c r="AC950" s="7">
        <f ca="1">$AV$11*EXP(-'3.r(t)'!H948*$AV$25)</f>
        <v>0.97163203097597306</v>
      </c>
      <c r="AD950" s="7">
        <v>1</v>
      </c>
      <c r="AE950" s="7"/>
      <c r="AF950" s="7">
        <v>942</v>
      </c>
      <c r="AG950" s="7">
        <f>$AW$7*EXP(-'3.r(t)'!D948*$AW$21)</f>
        <v>0.86718755429225491</v>
      </c>
      <c r="AH950" s="7">
        <f ca="1">$AW$8*EXP(-'3.r(t)'!E948*$AW$22)</f>
        <v>0.87931266324606971</v>
      </c>
      <c r="AI950" s="7">
        <f ca="1">$AW$9*EXP(-'3.r(t)'!F948*$AW$23)</f>
        <v>0.90429544800862227</v>
      </c>
      <c r="AJ950" s="7">
        <f ca="1">$AW$10*EXP(-'3.r(t)'!G948*$AW$24)</f>
        <v>0.92211638114930139</v>
      </c>
      <c r="AK950" s="7">
        <f ca="1">$AW$11*EXP(-'3.r(t)'!H948*$AW$25)</f>
        <v>0.94364925828614377</v>
      </c>
      <c r="AL950" s="7">
        <f ca="1">$AW$12*EXP(-'3.r(t)'!I948*$AW$26)</f>
        <v>0.96872574737096351</v>
      </c>
      <c r="AM950" s="7">
        <v>1</v>
      </c>
      <c r="AN950" s="7"/>
    </row>
    <row r="951" spans="2:40">
      <c r="B951" s="7">
        <v>943</v>
      </c>
      <c r="C951" s="7">
        <f>$AR$7*EXP(-'3.r(t)'!D949*$AR$21)</f>
        <v>0.97765346695821032</v>
      </c>
      <c r="D951" s="7">
        <v>1</v>
      </c>
      <c r="E951" s="7"/>
      <c r="F951" s="7">
        <v>943</v>
      </c>
      <c r="G951" s="48">
        <f>$AS$7*EXP(-'3.r(t)'!D949*$AS$21)</f>
        <v>0.9553476245219803</v>
      </c>
      <c r="H951" s="7">
        <f ca="1">$AS$8*EXP(-'3.r(t)'!E949*$AS$22)</f>
        <v>0.97878879930542628</v>
      </c>
      <c r="I951" s="7">
        <v>1</v>
      </c>
      <c r="J951" s="7"/>
      <c r="K951" s="7">
        <v>943</v>
      </c>
      <c r="L951" s="7">
        <f>$AT$7*EXP(-'3.r(t)'!D949*$AT$21)</f>
        <v>0.93311670519824419</v>
      </c>
      <c r="M951" s="7">
        <f ca="1">$AT$8*EXP(-'3.r(t)'!E949*$AT$22)</f>
        <v>0.95757626923799932</v>
      </c>
      <c r="N951" s="7">
        <f ca="1">$AT$9*EXP(-'3.r(t)'!F949*$AT$23)</f>
        <v>0.97800383434736382</v>
      </c>
      <c r="O951" s="7">
        <v>1</v>
      </c>
      <c r="P951" s="7"/>
      <c r="Q951" s="7">
        <v>943</v>
      </c>
      <c r="R951" s="7">
        <f>$AU$7*EXP(-'3.r(t)'!D949*$AU$21)</f>
        <v>0.91099305977534117</v>
      </c>
      <c r="S951" s="7">
        <f ca="1">$AU$8*EXP(-'3.r(t)'!E949*$AU$22)</f>
        <v>0.93639625070964339</v>
      </c>
      <c r="T951" s="7">
        <f ca="1">$AU$9*EXP(-'3.r(t)'!F949*$AU$23)</f>
        <v>0.95604946397571811</v>
      </c>
      <c r="U951" s="7">
        <f ca="1">$AU$10*EXP(-'3.r(t)'!G949*$AU$24)</f>
        <v>0.9790403312017979</v>
      </c>
      <c r="V951" s="7">
        <v>1</v>
      </c>
      <c r="W951" s="7"/>
      <c r="X951" s="7">
        <v>943</v>
      </c>
      <c r="Y951" s="7">
        <f>$AV$7*EXP(-'3.r(t)'!D949*$AV$21)</f>
        <v>0.88900715067201674</v>
      </c>
      <c r="Z951" s="7">
        <f ca="1">$AV$8*EXP(-'3.r(t)'!E949*$AV$22)</f>
        <v>0.9152808571633978</v>
      </c>
      <c r="AA951" s="7">
        <f ca="1">$AV$9*EXP(-'3.r(t)'!F949*$AV$23)</f>
        <v>0.93417002746868139</v>
      </c>
      <c r="AB951" s="7">
        <f ca="1">$AV$10*EXP(-'3.r(t)'!G949*$AV$24)</f>
        <v>0.95808549962474554</v>
      </c>
      <c r="AC951" s="7">
        <f ca="1">$AV$11*EXP(-'3.r(t)'!H949*$AV$25)</f>
        <v>0.98013643624683833</v>
      </c>
      <c r="AD951" s="7">
        <v>1</v>
      </c>
      <c r="AE951" s="7"/>
      <c r="AF951" s="7">
        <v>943</v>
      </c>
      <c r="AG951" s="7">
        <f>$AW$7*EXP(-'3.r(t)'!D949*$AW$21)</f>
        <v>0.86718755429225491</v>
      </c>
      <c r="AH951" s="7">
        <f ca="1">$AW$8*EXP(-'3.r(t)'!E949*$AW$22)</f>
        <v>0.89426046009061433</v>
      </c>
      <c r="AI951" s="7">
        <f ca="1">$AW$9*EXP(-'3.r(t)'!F949*$AW$23)</f>
        <v>0.9123968386801582</v>
      </c>
      <c r="AJ951" s="7">
        <f ca="1">$AW$10*EXP(-'3.r(t)'!G949*$AW$24)</f>
        <v>0.93716825234587253</v>
      </c>
      <c r="AK951" s="7">
        <f ca="1">$AW$11*EXP(-'3.r(t)'!H949*$AW$25)</f>
        <v>0.96024051187478721</v>
      </c>
      <c r="AL951" s="7">
        <f ca="1">$AW$12*EXP(-'3.r(t)'!I949*$AW$26)</f>
        <v>0.98322294137022304</v>
      </c>
      <c r="AM951" s="7">
        <v>1</v>
      </c>
      <c r="AN951" s="7"/>
    </row>
    <row r="952" spans="2:40">
      <c r="B952" s="7">
        <v>944</v>
      </c>
      <c r="C952" s="7">
        <f>$AR$7*EXP(-'3.r(t)'!D950*$AR$21)</f>
        <v>0.97765346695821032</v>
      </c>
      <c r="D952" s="7">
        <v>1</v>
      </c>
      <c r="E952" s="7"/>
      <c r="F952" s="7">
        <v>944</v>
      </c>
      <c r="G952" s="48">
        <f>$AS$7*EXP(-'3.r(t)'!D950*$AS$21)</f>
        <v>0.9553476245219803</v>
      </c>
      <c r="H952" s="7">
        <f ca="1">$AS$8*EXP(-'3.r(t)'!E950*$AS$22)</f>
        <v>0.97608098585406844</v>
      </c>
      <c r="I952" s="7">
        <v>1</v>
      </c>
      <c r="J952" s="7"/>
      <c r="K952" s="7">
        <v>944</v>
      </c>
      <c r="L952" s="7">
        <f>$AT$7*EXP(-'3.r(t)'!D950*$AT$21)</f>
        <v>0.93311670519824419</v>
      </c>
      <c r="M952" s="7">
        <f ca="1">$AT$8*EXP(-'3.r(t)'!E950*$AT$22)</f>
        <v>0.95228533981449215</v>
      </c>
      <c r="N952" s="7">
        <f ca="1">$AT$9*EXP(-'3.r(t)'!F950*$AT$23)</f>
        <v>0.97701513494799408</v>
      </c>
      <c r="O952" s="7">
        <v>1</v>
      </c>
      <c r="P952" s="7"/>
      <c r="Q952" s="7">
        <v>944</v>
      </c>
      <c r="R952" s="7">
        <f>$AU$7*EXP(-'3.r(t)'!D950*$AU$21)</f>
        <v>0.91099305977534117</v>
      </c>
      <c r="S952" s="7">
        <f ca="1">$AU$8*EXP(-'3.r(t)'!E950*$AU$22)</f>
        <v>0.92864612683446113</v>
      </c>
      <c r="T952" s="7">
        <f ca="1">$AU$9*EXP(-'3.r(t)'!F950*$AU$23)</f>
        <v>0.9541174311836228</v>
      </c>
      <c r="U952" s="7">
        <f ca="1">$AU$10*EXP(-'3.r(t)'!G950*$AU$24)</f>
        <v>0.9758939440521659</v>
      </c>
      <c r="V952" s="7">
        <v>1</v>
      </c>
      <c r="W952" s="7"/>
      <c r="X952" s="7">
        <v>944</v>
      </c>
      <c r="Y952" s="7">
        <f>$AV$7*EXP(-'3.r(t)'!D950*$AV$21)</f>
        <v>0.88900715067201674</v>
      </c>
      <c r="Z952" s="7">
        <f ca="1">$AV$8*EXP(-'3.r(t)'!E950*$AV$22)</f>
        <v>0.90519433384126169</v>
      </c>
      <c r="AA952" s="7">
        <f ca="1">$AV$9*EXP(-'3.r(t)'!F950*$AV$23)</f>
        <v>0.93133973198348308</v>
      </c>
      <c r="AB952" s="7">
        <f ca="1">$AV$10*EXP(-'3.r(t)'!G950*$AV$24)</f>
        <v>0.95193730761123796</v>
      </c>
      <c r="AC952" s="7">
        <f ca="1">$AV$11*EXP(-'3.r(t)'!H950*$AV$25)</f>
        <v>0.97460550501663867</v>
      </c>
      <c r="AD952" s="7">
        <v>1</v>
      </c>
      <c r="AE952" s="7"/>
      <c r="AF952" s="7">
        <v>944</v>
      </c>
      <c r="AG952" s="7">
        <f>$AW$7*EXP(-'3.r(t)'!D950*$AW$21)</f>
        <v>0.86718755429225491</v>
      </c>
      <c r="AH952" s="7">
        <f ca="1">$AW$8*EXP(-'3.r(t)'!E950*$AW$22)</f>
        <v>0.88195888164703395</v>
      </c>
      <c r="AI952" s="7">
        <f ca="1">$AW$9*EXP(-'3.r(t)'!F950*$AW$23)</f>
        <v>0.90871293001167419</v>
      </c>
      <c r="AJ952" s="7">
        <f ca="1">$AW$10*EXP(-'3.r(t)'!G950*$AW$24)</f>
        <v>0.92816179617815298</v>
      </c>
      <c r="AK952" s="7">
        <f ca="1">$AW$11*EXP(-'3.r(t)'!H950*$AW$25)</f>
        <v>0.94943377328793099</v>
      </c>
      <c r="AL952" s="7">
        <f ca="1">$AW$12*EXP(-'3.r(t)'!I950*$AW$26)</f>
        <v>0.96884010371717177</v>
      </c>
      <c r="AM952" s="7">
        <v>1</v>
      </c>
      <c r="AN952" s="7"/>
    </row>
    <row r="953" spans="2:40">
      <c r="B953" s="7">
        <v>945</v>
      </c>
      <c r="C953" s="7">
        <f>$AR$7*EXP(-'3.r(t)'!D951*$AR$21)</f>
        <v>0.97765346695821032</v>
      </c>
      <c r="D953" s="7">
        <v>1</v>
      </c>
      <c r="E953" s="7"/>
      <c r="F953" s="7">
        <v>945</v>
      </c>
      <c r="G953" s="48">
        <f>$AS$7*EXP(-'3.r(t)'!D951*$AS$21)</f>
        <v>0.9553476245219803</v>
      </c>
      <c r="H953" s="7">
        <f ca="1">$AS$8*EXP(-'3.r(t)'!E951*$AS$22)</f>
        <v>0.97295282691135854</v>
      </c>
      <c r="I953" s="7">
        <v>1</v>
      </c>
      <c r="J953" s="7"/>
      <c r="K953" s="7">
        <v>945</v>
      </c>
      <c r="L953" s="7">
        <f>$AT$7*EXP(-'3.r(t)'!D951*$AT$21)</f>
        <v>0.93311670519824419</v>
      </c>
      <c r="M953" s="7">
        <f ca="1">$AT$8*EXP(-'3.r(t)'!E951*$AT$22)</f>
        <v>0.94619132398307115</v>
      </c>
      <c r="N953" s="7">
        <f ca="1">$AT$9*EXP(-'3.r(t)'!F951*$AT$23)</f>
        <v>0.96809830037066824</v>
      </c>
      <c r="O953" s="7">
        <v>1</v>
      </c>
      <c r="P953" s="7"/>
      <c r="Q953" s="7">
        <v>945</v>
      </c>
      <c r="R953" s="7">
        <f>$AU$7*EXP(-'3.r(t)'!D951*$AU$21)</f>
        <v>0.91099305977534117</v>
      </c>
      <c r="S953" s="7">
        <f ca="1">$AU$8*EXP(-'3.r(t)'!E951*$AU$22)</f>
        <v>0.91974629320021084</v>
      </c>
      <c r="T953" s="7">
        <f ca="1">$AU$9*EXP(-'3.r(t)'!F951*$AU$23)</f>
        <v>0.9367811919757727</v>
      </c>
      <c r="U953" s="7">
        <f ca="1">$AU$10*EXP(-'3.r(t)'!G951*$AU$24)</f>
        <v>0.96694111129134552</v>
      </c>
      <c r="V953" s="7">
        <v>1</v>
      </c>
      <c r="W953" s="7"/>
      <c r="X953" s="7">
        <v>945</v>
      </c>
      <c r="Y953" s="7">
        <f>$AV$7*EXP(-'3.r(t)'!D951*$AV$21)</f>
        <v>0.88900715067201674</v>
      </c>
      <c r="Z953" s="7">
        <f ca="1">$AV$8*EXP(-'3.r(t)'!E951*$AV$22)</f>
        <v>0.89364607602549739</v>
      </c>
      <c r="AA953" s="7">
        <f ca="1">$AV$9*EXP(-'3.r(t)'!F951*$AV$23)</f>
        <v>0.90607183257869428</v>
      </c>
      <c r="AB953" s="7">
        <f ca="1">$AV$10*EXP(-'3.r(t)'!G951*$AV$24)</f>
        <v>0.93455131444064765</v>
      </c>
      <c r="AC953" s="7">
        <f ca="1">$AV$11*EXP(-'3.r(t)'!H951*$AV$25)</f>
        <v>0.96661748919794266</v>
      </c>
      <c r="AD953" s="7">
        <v>1</v>
      </c>
      <c r="AE953" s="7"/>
      <c r="AF953" s="7">
        <v>945</v>
      </c>
      <c r="AG953" s="7">
        <f>$AW$7*EXP(-'3.r(t)'!D951*$AW$21)</f>
        <v>0.86718755429225491</v>
      </c>
      <c r="AH953" s="7">
        <f ca="1">$AW$8*EXP(-'3.r(t)'!E951*$AW$22)</f>
        <v>0.86791660130428261</v>
      </c>
      <c r="AI953" s="7">
        <f ca="1">$AW$9*EXP(-'3.r(t)'!F951*$AW$23)</f>
        <v>0.87599045207155279</v>
      </c>
      <c r="AJ953" s="7">
        <f ca="1">$AW$10*EXP(-'3.r(t)'!G951*$AW$24)</f>
        <v>0.90285061042389425</v>
      </c>
      <c r="AK953" s="7">
        <f ca="1">$AW$11*EXP(-'3.r(t)'!H951*$AW$25)</f>
        <v>0.9339341444189978</v>
      </c>
      <c r="AL953" s="7">
        <f ca="1">$AW$12*EXP(-'3.r(t)'!I951*$AW$26)</f>
        <v>0.97116117943929114</v>
      </c>
      <c r="AM953" s="7">
        <v>1</v>
      </c>
      <c r="AN953" s="7"/>
    </row>
    <row r="954" spans="2:40">
      <c r="B954" s="7">
        <v>946</v>
      </c>
      <c r="C954" s="7">
        <f>$AR$7*EXP(-'3.r(t)'!D952*$AR$21)</f>
        <v>0.97765346695821032</v>
      </c>
      <c r="D954" s="7">
        <v>1</v>
      </c>
      <c r="E954" s="7"/>
      <c r="F954" s="7">
        <v>946</v>
      </c>
      <c r="G954" s="48">
        <f>$AS$7*EXP(-'3.r(t)'!D952*$AS$21)</f>
        <v>0.9553476245219803</v>
      </c>
      <c r="H954" s="7">
        <f ca="1">$AS$8*EXP(-'3.r(t)'!E952*$AS$22)</f>
        <v>0.97918548074664136</v>
      </c>
      <c r="I954" s="7">
        <v>1</v>
      </c>
      <c r="J954" s="7"/>
      <c r="K954" s="7">
        <v>946</v>
      </c>
      <c r="L954" s="7">
        <f>$AT$7*EXP(-'3.r(t)'!D952*$AT$21)</f>
        <v>0.93311670519824419</v>
      </c>
      <c r="M954" s="7">
        <f ca="1">$AT$8*EXP(-'3.r(t)'!E952*$AT$22)</f>
        <v>0.95835259546440932</v>
      </c>
      <c r="N954" s="7">
        <f ca="1">$AT$9*EXP(-'3.r(t)'!F952*$AT$23)</f>
        <v>0.97592151747812861</v>
      </c>
      <c r="O954" s="7">
        <v>1</v>
      </c>
      <c r="P954" s="7"/>
      <c r="Q954" s="7">
        <v>946</v>
      </c>
      <c r="R954" s="7">
        <f>$AU$7*EXP(-'3.r(t)'!D952*$AU$21)</f>
        <v>0.91099305977534117</v>
      </c>
      <c r="S954" s="7">
        <f ca="1">$AU$8*EXP(-'3.r(t)'!E952*$AU$22)</f>
        <v>0.93753521421971919</v>
      </c>
      <c r="T954" s="7">
        <f ca="1">$AU$9*EXP(-'3.r(t)'!F952*$AU$23)</f>
        <v>0.95198265257251191</v>
      </c>
      <c r="U954" s="7">
        <f ca="1">$AU$10*EXP(-'3.r(t)'!G952*$AU$24)</f>
        <v>0.97559815383219495</v>
      </c>
      <c r="V954" s="7">
        <v>1</v>
      </c>
      <c r="W954" s="7"/>
      <c r="X954" s="7">
        <v>946</v>
      </c>
      <c r="Y954" s="7">
        <f>$AV$7*EXP(-'3.r(t)'!D952*$AV$21)</f>
        <v>0.88900715067201674</v>
      </c>
      <c r="Z954" s="7">
        <f ca="1">$AV$8*EXP(-'3.r(t)'!E952*$AV$22)</f>
        <v>0.91676553172766351</v>
      </c>
      <c r="AA954" s="7">
        <f ca="1">$AV$9*EXP(-'3.r(t)'!F952*$AV$23)</f>
        <v>0.92821575865699479</v>
      </c>
      <c r="AB954" s="7">
        <f ca="1">$AV$10*EXP(-'3.r(t)'!G952*$AV$24)</f>
        <v>0.95136033697770095</v>
      </c>
      <c r="AC954" s="7">
        <f ca="1">$AV$11*EXP(-'3.r(t)'!H952*$AV$25)</f>
        <v>0.97454135972540734</v>
      </c>
      <c r="AD954" s="7">
        <v>1</v>
      </c>
      <c r="AE954" s="7"/>
      <c r="AF954" s="7">
        <v>946</v>
      </c>
      <c r="AG954" s="7">
        <f>$AW$7*EXP(-'3.r(t)'!D952*$AW$21)</f>
        <v>0.86718755429225491</v>
      </c>
      <c r="AH954" s="7">
        <f ca="1">$AW$8*EXP(-'3.r(t)'!E952*$AW$22)</f>
        <v>0.89607404938928181</v>
      </c>
      <c r="AI954" s="7">
        <f ca="1">$AW$9*EXP(-'3.r(t)'!F952*$AW$23)</f>
        <v>0.90465110143741589</v>
      </c>
      <c r="AJ954" s="7">
        <f ca="1">$AW$10*EXP(-'3.r(t)'!G952*$AW$24)</f>
        <v>0.92731808366384427</v>
      </c>
      <c r="AK954" s="7">
        <f ca="1">$AW$11*EXP(-'3.r(t)'!H952*$AW$25)</f>
        <v>0.94930880025749953</v>
      </c>
      <c r="AL954" s="7">
        <f ca="1">$AW$12*EXP(-'3.r(t)'!I952*$AW$26)</f>
        <v>0.9779799587463518</v>
      </c>
      <c r="AM954" s="7">
        <v>1</v>
      </c>
      <c r="AN954" s="7"/>
    </row>
    <row r="955" spans="2:40">
      <c r="B955" s="7">
        <v>947</v>
      </c>
      <c r="C955" s="7">
        <f>$AR$7*EXP(-'3.r(t)'!D953*$AR$21)</f>
        <v>0.97765346695821032</v>
      </c>
      <c r="D955" s="7">
        <v>1</v>
      </c>
      <c r="E955" s="7"/>
      <c r="F955" s="7">
        <v>947</v>
      </c>
      <c r="G955" s="48">
        <f>$AS$7*EXP(-'3.r(t)'!D953*$AS$21)</f>
        <v>0.9553476245219803</v>
      </c>
      <c r="H955" s="7">
        <f ca="1">$AS$8*EXP(-'3.r(t)'!E953*$AS$22)</f>
        <v>0.97943439942513943</v>
      </c>
      <c r="I955" s="7">
        <v>1</v>
      </c>
      <c r="J955" s="7"/>
      <c r="K955" s="7">
        <v>947</v>
      </c>
      <c r="L955" s="7">
        <f>$AT$7*EXP(-'3.r(t)'!D953*$AT$21)</f>
        <v>0.93311670519824419</v>
      </c>
      <c r="M955" s="7">
        <f ca="1">$AT$8*EXP(-'3.r(t)'!E953*$AT$22)</f>
        <v>0.95883990289985654</v>
      </c>
      <c r="N955" s="7">
        <f ca="1">$AT$9*EXP(-'3.r(t)'!F953*$AT$23)</f>
        <v>0.98284093567473485</v>
      </c>
      <c r="O955" s="7">
        <v>1</v>
      </c>
      <c r="P955" s="7"/>
      <c r="Q955" s="7">
        <v>947</v>
      </c>
      <c r="R955" s="7">
        <f>$AU$7*EXP(-'3.r(t)'!D953*$AU$21)</f>
        <v>0.91099305977534117</v>
      </c>
      <c r="S955" s="7">
        <f ca="1">$AU$8*EXP(-'3.r(t)'!E953*$AU$22)</f>
        <v>0.93825038829398411</v>
      </c>
      <c r="T955" s="7">
        <f ca="1">$AU$9*EXP(-'3.r(t)'!F953*$AU$23)</f>
        <v>0.96552988547770036</v>
      </c>
      <c r="U955" s="7">
        <f ca="1">$AU$10*EXP(-'3.r(t)'!G953*$AU$24)</f>
        <v>0.98384537944991501</v>
      </c>
      <c r="V955" s="7">
        <v>1</v>
      </c>
      <c r="W955" s="7"/>
      <c r="X955" s="7">
        <v>947</v>
      </c>
      <c r="Y955" s="7">
        <f>$AV$7*EXP(-'3.r(t)'!D953*$AV$21)</f>
        <v>0.88900715067201674</v>
      </c>
      <c r="Z955" s="7">
        <f ca="1">$AV$8*EXP(-'3.r(t)'!E953*$AV$22)</f>
        <v>0.91769809088003074</v>
      </c>
      <c r="AA955" s="7">
        <f ca="1">$AV$9*EXP(-'3.r(t)'!F953*$AV$23)</f>
        <v>0.94809960722376929</v>
      </c>
      <c r="AB955" s="7">
        <f ca="1">$AV$10*EXP(-'3.r(t)'!G953*$AV$24)</f>
        <v>0.96751298501472704</v>
      </c>
      <c r="AC955" s="7">
        <f ca="1">$AV$11*EXP(-'3.r(t)'!H953*$AV$25)</f>
        <v>0.98130755035104988</v>
      </c>
      <c r="AD955" s="7">
        <v>1</v>
      </c>
      <c r="AE955" s="7"/>
      <c r="AF955" s="7">
        <v>947</v>
      </c>
      <c r="AG955" s="7">
        <f>$AW$7*EXP(-'3.r(t)'!D953*$AW$21)</f>
        <v>0.86718755429225491</v>
      </c>
      <c r="AH955" s="7">
        <f ca="1">$AW$8*EXP(-'3.r(t)'!E953*$AW$22)</f>
        <v>0.89721358323788936</v>
      </c>
      <c r="AI955" s="7">
        <f ca="1">$AW$9*EXP(-'3.r(t)'!F953*$AW$23)</f>
        <v>0.9305816591009376</v>
      </c>
      <c r="AJ955" s="7">
        <f ca="1">$AW$10*EXP(-'3.r(t)'!G953*$AW$24)</f>
        <v>0.95103471640376147</v>
      </c>
      <c r="AK955" s="7">
        <f ca="1">$AW$11*EXP(-'3.r(t)'!H953*$AW$25)</f>
        <v>0.96253656576929558</v>
      </c>
      <c r="AL955" s="7">
        <f ca="1">$AW$12*EXP(-'3.r(t)'!I953*$AW$26)</f>
        <v>0.98192570936783186</v>
      </c>
      <c r="AM955" s="7">
        <v>1</v>
      </c>
      <c r="AN955" s="7"/>
    </row>
    <row r="956" spans="2:40">
      <c r="B956" s="7">
        <v>948</v>
      </c>
      <c r="C956" s="7">
        <f>$AR$7*EXP(-'3.r(t)'!D954*$AR$21)</f>
        <v>0.97765346695821032</v>
      </c>
      <c r="D956" s="7">
        <v>1</v>
      </c>
      <c r="E956" s="7"/>
      <c r="F956" s="7">
        <v>948</v>
      </c>
      <c r="G956" s="48">
        <f>$AS$7*EXP(-'3.r(t)'!D954*$AS$21)</f>
        <v>0.9553476245219803</v>
      </c>
      <c r="H956" s="7">
        <f ca="1">$AS$8*EXP(-'3.r(t)'!E954*$AS$22)</f>
        <v>0.97442015043203001</v>
      </c>
      <c r="I956" s="7">
        <v>1</v>
      </c>
      <c r="J956" s="7"/>
      <c r="K956" s="7">
        <v>948</v>
      </c>
      <c r="L956" s="7">
        <f>$AT$7*EXP(-'3.r(t)'!D954*$AT$21)</f>
        <v>0.93311670519824419</v>
      </c>
      <c r="M956" s="7">
        <f ca="1">$AT$8*EXP(-'3.r(t)'!E954*$AT$22)</f>
        <v>0.94904740426840684</v>
      </c>
      <c r="N956" s="7">
        <f ca="1">$AT$9*EXP(-'3.r(t)'!F954*$AT$23)</f>
        <v>0.97397167237733062</v>
      </c>
      <c r="O956" s="7">
        <v>1</v>
      </c>
      <c r="P956" s="7"/>
      <c r="Q956" s="7">
        <v>948</v>
      </c>
      <c r="R956" s="7">
        <f>$AU$7*EXP(-'3.r(t)'!D954*$AU$21)</f>
        <v>0.91099305977534117</v>
      </c>
      <c r="S956" s="7">
        <f ca="1">$AU$8*EXP(-'3.r(t)'!E954*$AU$22)</f>
        <v>0.92391381803666739</v>
      </c>
      <c r="T956" s="7">
        <f ca="1">$AU$9*EXP(-'3.r(t)'!F954*$AU$23)</f>
        <v>0.94818241995279118</v>
      </c>
      <c r="U956" s="7">
        <f ca="1">$AU$10*EXP(-'3.r(t)'!G954*$AU$24)</f>
        <v>0.97830920745879679</v>
      </c>
      <c r="V956" s="7">
        <v>1</v>
      </c>
      <c r="W956" s="7"/>
      <c r="X956" s="7">
        <v>948</v>
      </c>
      <c r="Y956" s="7">
        <f>$AV$7*EXP(-'3.r(t)'!D954*$AV$21)</f>
        <v>0.88900715067201674</v>
      </c>
      <c r="Z956" s="7">
        <f ca="1">$AV$8*EXP(-'3.r(t)'!E954*$AV$22)</f>
        <v>0.89904916306259164</v>
      </c>
      <c r="AA956" s="7">
        <f ca="1">$AV$9*EXP(-'3.r(t)'!F954*$AV$23)</f>
        <v>0.92266327330838105</v>
      </c>
      <c r="AB956" s="7">
        <f ca="1">$AV$10*EXP(-'3.r(t)'!G954*$AV$24)</f>
        <v>0.9566550835655917</v>
      </c>
      <c r="AC956" s="7">
        <f ca="1">$AV$11*EXP(-'3.r(t)'!H954*$AV$25)</f>
        <v>0.97523646814633702</v>
      </c>
      <c r="AD956" s="7">
        <v>1</v>
      </c>
      <c r="AE956" s="7"/>
      <c r="AF956" s="7">
        <v>948</v>
      </c>
      <c r="AG956" s="7">
        <f>$AW$7*EXP(-'3.r(t)'!D954*$AW$21)</f>
        <v>0.86718755429225491</v>
      </c>
      <c r="AH956" s="7">
        <f ca="1">$AW$8*EXP(-'3.r(t)'!E954*$AW$22)</f>
        <v>0.87448095578446705</v>
      </c>
      <c r="AI956" s="7">
        <f ca="1">$AW$9*EXP(-'3.r(t)'!F954*$AW$23)</f>
        <v>0.89744293909020967</v>
      </c>
      <c r="AJ956" s="7">
        <f ca="1">$AW$10*EXP(-'3.r(t)'!G954*$AW$24)</f>
        <v>0.93507025581094505</v>
      </c>
      <c r="AK956" s="7">
        <f ca="1">$AW$11*EXP(-'3.r(t)'!H954*$AW$25)</f>
        <v>0.95066350494451046</v>
      </c>
      <c r="AL956" s="7">
        <f ca="1">$AW$12*EXP(-'3.r(t)'!I954*$AW$26)</f>
        <v>0.97060433612893915</v>
      </c>
      <c r="AM956" s="7">
        <v>1</v>
      </c>
      <c r="AN956" s="7"/>
    </row>
    <row r="957" spans="2:40">
      <c r="B957" s="7">
        <v>949</v>
      </c>
      <c r="C957" s="7">
        <f>$AR$7*EXP(-'3.r(t)'!D955*$AR$21)</f>
        <v>0.97765346695821032</v>
      </c>
      <c r="D957" s="7">
        <v>1</v>
      </c>
      <c r="E957" s="7"/>
      <c r="F957" s="7">
        <v>949</v>
      </c>
      <c r="G957" s="48">
        <f>$AS$7*EXP(-'3.r(t)'!D955*$AS$21)</f>
        <v>0.9553476245219803</v>
      </c>
      <c r="H957" s="7">
        <f ca="1">$AS$8*EXP(-'3.r(t)'!E955*$AS$22)</f>
        <v>0.9808623044435959</v>
      </c>
      <c r="I957" s="7">
        <v>1</v>
      </c>
      <c r="J957" s="7"/>
      <c r="K957" s="7">
        <v>949</v>
      </c>
      <c r="L957" s="7">
        <f>$AT$7*EXP(-'3.r(t)'!D955*$AT$21)</f>
        <v>0.93311670519824419</v>
      </c>
      <c r="M957" s="7">
        <f ca="1">$AT$8*EXP(-'3.r(t)'!E955*$AT$22)</f>
        <v>0.96163770197733722</v>
      </c>
      <c r="N957" s="7">
        <f ca="1">$AT$9*EXP(-'3.r(t)'!F955*$AT$23)</f>
        <v>0.97964726704016525</v>
      </c>
      <c r="O957" s="7">
        <v>1</v>
      </c>
      <c r="P957" s="7"/>
      <c r="Q957" s="7">
        <v>949</v>
      </c>
      <c r="R957" s="7">
        <f>$AU$7*EXP(-'3.r(t)'!D955*$AU$21)</f>
        <v>0.91099305977534117</v>
      </c>
      <c r="S957" s="7">
        <f ca="1">$AU$8*EXP(-'3.r(t)'!E955*$AU$22)</f>
        <v>0.94235996388253707</v>
      </c>
      <c r="T957" s="7">
        <f ca="1">$AU$9*EXP(-'3.r(t)'!F955*$AU$23)</f>
        <v>0.95926524495845877</v>
      </c>
      <c r="U957" s="7">
        <f ca="1">$AU$10*EXP(-'3.r(t)'!G955*$AU$24)</f>
        <v>0.98204145339117543</v>
      </c>
      <c r="V957" s="7">
        <v>1</v>
      </c>
      <c r="W957" s="7"/>
      <c r="X957" s="7">
        <v>949</v>
      </c>
      <c r="Y957" s="7">
        <f>$AV$7*EXP(-'3.r(t)'!D955*$AV$21)</f>
        <v>0.88900715067201674</v>
      </c>
      <c r="Z957" s="7">
        <f ca="1">$AV$8*EXP(-'3.r(t)'!E955*$AV$22)</f>
        <v>0.92306140704879303</v>
      </c>
      <c r="AA957" s="7">
        <f ca="1">$AV$9*EXP(-'3.r(t)'!F955*$AV$23)</f>
        <v>0.93888726918189791</v>
      </c>
      <c r="AB957" s="7">
        <f ca="1">$AV$10*EXP(-'3.r(t)'!G955*$AV$24)</f>
        <v>0.96396827797434659</v>
      </c>
      <c r="AC957" s="7">
        <f ca="1">$AV$11*EXP(-'3.r(t)'!H955*$AV$25)</f>
        <v>0.98172874070552996</v>
      </c>
      <c r="AD957" s="7">
        <v>1</v>
      </c>
      <c r="AE957" s="7"/>
      <c r="AF957" s="7">
        <v>949</v>
      </c>
      <c r="AG957" s="7">
        <f>$AW$7*EXP(-'3.r(t)'!D955*$AW$21)</f>
        <v>0.86718755429225491</v>
      </c>
      <c r="AH957" s="7">
        <f ca="1">$AW$8*EXP(-'3.r(t)'!E955*$AW$22)</f>
        <v>0.9037728624100474</v>
      </c>
      <c r="AI957" s="7">
        <f ca="1">$AW$9*EXP(-'3.r(t)'!F955*$AW$23)</f>
        <v>0.91854506228046195</v>
      </c>
      <c r="AJ957" s="7">
        <f ca="1">$AW$10*EXP(-'3.r(t)'!G955*$AW$24)</f>
        <v>0.94581300380317224</v>
      </c>
      <c r="AK957" s="7">
        <f ca="1">$AW$11*EXP(-'3.r(t)'!H955*$AW$25)</f>
        <v>0.96336301028433946</v>
      </c>
      <c r="AL957" s="7">
        <f ca="1">$AW$12*EXP(-'3.r(t)'!I955*$AW$26)</f>
        <v>0.97777886581045359</v>
      </c>
      <c r="AM957" s="7">
        <v>1</v>
      </c>
      <c r="AN957" s="7"/>
    </row>
    <row r="958" spans="2:40">
      <c r="B958" s="7">
        <v>950</v>
      </c>
      <c r="C958" s="7">
        <f>$AR$7*EXP(-'3.r(t)'!D956*$AR$21)</f>
        <v>0.97765346695821032</v>
      </c>
      <c r="D958" s="7">
        <v>1</v>
      </c>
      <c r="E958" s="7"/>
      <c r="F958" s="7">
        <v>950</v>
      </c>
      <c r="G958" s="48">
        <f>$AS$7*EXP(-'3.r(t)'!D956*$AS$21)</f>
        <v>0.9553476245219803</v>
      </c>
      <c r="H958" s="7">
        <f ca="1">$AS$8*EXP(-'3.r(t)'!E956*$AS$22)</f>
        <v>0.97596640009834723</v>
      </c>
      <c r="I958" s="7">
        <v>1</v>
      </c>
      <c r="J958" s="7"/>
      <c r="K958" s="7">
        <v>950</v>
      </c>
      <c r="L958" s="7">
        <f>$AT$7*EXP(-'3.r(t)'!D956*$AT$21)</f>
        <v>0.93311670519824419</v>
      </c>
      <c r="M958" s="7">
        <f ca="1">$AT$8*EXP(-'3.r(t)'!E956*$AT$22)</f>
        <v>0.95206176834449363</v>
      </c>
      <c r="N958" s="7">
        <f ca="1">$AT$9*EXP(-'3.r(t)'!F956*$AT$23)</f>
        <v>0.9745767199985903</v>
      </c>
      <c r="O958" s="7">
        <v>1</v>
      </c>
      <c r="P958" s="7"/>
      <c r="Q958" s="7">
        <v>950</v>
      </c>
      <c r="R958" s="7">
        <f>$AU$7*EXP(-'3.r(t)'!D956*$AU$21)</f>
        <v>0.91099305977534117</v>
      </c>
      <c r="S958" s="7">
        <f ca="1">$AU$8*EXP(-'3.r(t)'!E956*$AU$22)</f>
        <v>0.92831911362002539</v>
      </c>
      <c r="T958" s="7">
        <f ca="1">$AU$9*EXP(-'3.r(t)'!F956*$AU$23)</f>
        <v>0.94936083967207363</v>
      </c>
      <c r="U958" s="7">
        <f ca="1">$AU$10*EXP(-'3.r(t)'!G956*$AU$24)</f>
        <v>0.97263665168107161</v>
      </c>
      <c r="V958" s="7">
        <v>1</v>
      </c>
      <c r="W958" s="7"/>
      <c r="X958" s="7">
        <v>950</v>
      </c>
      <c r="Y958" s="7">
        <f>$AV$7*EXP(-'3.r(t)'!D956*$AV$21)</f>
        <v>0.88900715067201674</v>
      </c>
      <c r="Z958" s="7">
        <f ca="1">$AV$8*EXP(-'3.r(t)'!E956*$AV$22)</f>
        <v>0.90476935224559429</v>
      </c>
      <c r="AA958" s="7">
        <f ca="1">$AV$9*EXP(-'3.r(t)'!F956*$AV$23)</f>
        <v>0.92438386366212322</v>
      </c>
      <c r="AB958" s="7">
        <f ca="1">$AV$10*EXP(-'3.r(t)'!G956*$AV$24)</f>
        <v>0.9455932506558401</v>
      </c>
      <c r="AC958" s="7">
        <f ca="1">$AV$11*EXP(-'3.r(t)'!H956*$AV$25)</f>
        <v>0.97418942465841651</v>
      </c>
      <c r="AD958" s="7">
        <v>1</v>
      </c>
      <c r="AE958" s="7"/>
      <c r="AF958" s="7">
        <v>950</v>
      </c>
      <c r="AG958" s="7">
        <f>$AW$7*EXP(-'3.r(t)'!D956*$AW$21)</f>
        <v>0.86718755429225491</v>
      </c>
      <c r="AH958" s="7">
        <f ca="1">$AW$8*EXP(-'3.r(t)'!E956*$AW$22)</f>
        <v>0.88144132110840201</v>
      </c>
      <c r="AI958" s="7">
        <f ca="1">$AW$9*EXP(-'3.r(t)'!F956*$AW$23)</f>
        <v>0.89967504467457105</v>
      </c>
      <c r="AJ958" s="7">
        <f ca="1">$AW$10*EXP(-'3.r(t)'!G956*$AW$24)</f>
        <v>0.91889885964091811</v>
      </c>
      <c r="AK958" s="7">
        <f ca="1">$AW$11*EXP(-'3.r(t)'!H956*$AW$25)</f>
        <v>0.94862327834057514</v>
      </c>
      <c r="AL958" s="7">
        <f ca="1">$AW$12*EXP(-'3.r(t)'!I956*$AW$26)</f>
        <v>0.97489645319859319</v>
      </c>
      <c r="AM958" s="7">
        <v>1</v>
      </c>
      <c r="AN958" s="7"/>
    </row>
    <row r="959" spans="2:40">
      <c r="B959" s="7">
        <v>951</v>
      </c>
      <c r="C959" s="7">
        <f>$AR$7*EXP(-'3.r(t)'!D957*$AR$21)</f>
        <v>0.97765346695821032</v>
      </c>
      <c r="D959" s="7">
        <v>1</v>
      </c>
      <c r="E959" s="7"/>
      <c r="F959" s="7">
        <v>951</v>
      </c>
      <c r="G959" s="48">
        <f>$AS$7*EXP(-'3.r(t)'!D957*$AS$21)</f>
        <v>0.9553476245219803</v>
      </c>
      <c r="H959" s="7">
        <f ca="1">$AS$8*EXP(-'3.r(t)'!E957*$AS$22)</f>
        <v>0.97848059816120569</v>
      </c>
      <c r="I959" s="7">
        <v>1</v>
      </c>
      <c r="J959" s="7"/>
      <c r="K959" s="7">
        <v>951</v>
      </c>
      <c r="L959" s="7">
        <f>$AT$7*EXP(-'3.r(t)'!D957*$AT$21)</f>
        <v>0.93311670519824419</v>
      </c>
      <c r="M959" s="7">
        <f ca="1">$AT$8*EXP(-'3.r(t)'!E957*$AT$22)</f>
        <v>0.95697332070120678</v>
      </c>
      <c r="N959" s="7">
        <f ca="1">$AT$9*EXP(-'3.r(t)'!F957*$AT$23)</f>
        <v>0.97671095676855257</v>
      </c>
      <c r="O959" s="7">
        <v>1</v>
      </c>
      <c r="P959" s="7"/>
      <c r="Q959" s="7">
        <v>951</v>
      </c>
      <c r="R959" s="7">
        <f>$AU$7*EXP(-'3.r(t)'!D957*$AU$21)</f>
        <v>0.91099305977534117</v>
      </c>
      <c r="S959" s="7">
        <f ca="1">$AU$8*EXP(-'3.r(t)'!E957*$AU$22)</f>
        <v>0.93551197149101584</v>
      </c>
      <c r="T959" s="7">
        <f ca="1">$AU$9*EXP(-'3.r(t)'!F957*$AU$23)</f>
        <v>0.95352342498075637</v>
      </c>
      <c r="U959" s="7">
        <f ca="1">$AU$10*EXP(-'3.r(t)'!G957*$AU$24)</f>
        <v>0.97920118371623543</v>
      </c>
      <c r="V959" s="7">
        <v>1</v>
      </c>
      <c r="W959" s="7"/>
      <c r="X959" s="7">
        <v>951</v>
      </c>
      <c r="Y959" s="7">
        <f>$AV$7*EXP(-'3.r(t)'!D957*$AV$21)</f>
        <v>0.88900715067201674</v>
      </c>
      <c r="Z959" s="7">
        <f ca="1">$AV$8*EXP(-'3.r(t)'!E957*$AV$22)</f>
        <v>0.91412858652631079</v>
      </c>
      <c r="AA959" s="7">
        <f ca="1">$AV$9*EXP(-'3.r(t)'!F957*$AV$23)</f>
        <v>0.93047012917708893</v>
      </c>
      <c r="AB959" s="7">
        <f ca="1">$AV$10*EXP(-'3.r(t)'!G957*$AV$24)</f>
        <v>0.95840034492094683</v>
      </c>
      <c r="AC959" s="7">
        <f ca="1">$AV$11*EXP(-'3.r(t)'!H957*$AV$25)</f>
        <v>0.98083373930179862</v>
      </c>
      <c r="AD959" s="7">
        <v>1</v>
      </c>
      <c r="AE959" s="7"/>
      <c r="AF959" s="7">
        <v>951</v>
      </c>
      <c r="AG959" s="7">
        <f>$AW$7*EXP(-'3.r(t)'!D957*$AW$21)</f>
        <v>0.86718755429225491</v>
      </c>
      <c r="AH959" s="7">
        <f ca="1">$AW$8*EXP(-'3.r(t)'!E957*$AW$22)</f>
        <v>0.89285342221724528</v>
      </c>
      <c r="AI959" s="7">
        <f ca="1">$AW$9*EXP(-'3.r(t)'!F957*$AW$23)</f>
        <v>0.90758180490426277</v>
      </c>
      <c r="AJ959" s="7">
        <f ca="1">$AW$10*EXP(-'3.r(t)'!G957*$AW$24)</f>
        <v>0.93763024752631086</v>
      </c>
      <c r="AK959" s="7">
        <f ca="1">$AW$11*EXP(-'3.r(t)'!H957*$AW$25)</f>
        <v>0.9616072946988734</v>
      </c>
      <c r="AL959" s="7">
        <f ca="1">$AW$12*EXP(-'3.r(t)'!I957*$AW$26)</f>
        <v>0.98352338910493653</v>
      </c>
      <c r="AM959" s="7">
        <v>1</v>
      </c>
      <c r="AN959" s="7"/>
    </row>
    <row r="960" spans="2:40">
      <c r="B960" s="7">
        <v>952</v>
      </c>
      <c r="C960" s="7">
        <f>$AR$7*EXP(-'3.r(t)'!D958*$AR$21)</f>
        <v>0.97765346695821032</v>
      </c>
      <c r="D960" s="7">
        <v>1</v>
      </c>
      <c r="E960" s="7"/>
      <c r="F960" s="7">
        <v>952</v>
      </c>
      <c r="G960" s="48">
        <f>$AS$7*EXP(-'3.r(t)'!D958*$AS$21)</f>
        <v>0.9553476245219803</v>
      </c>
      <c r="H960" s="7">
        <f ca="1">$AS$8*EXP(-'3.r(t)'!E958*$AS$22)</f>
        <v>0.98036220394722162</v>
      </c>
      <c r="I960" s="7">
        <v>1</v>
      </c>
      <c r="J960" s="7"/>
      <c r="K960" s="7">
        <v>952</v>
      </c>
      <c r="L960" s="7">
        <f>$AT$7*EXP(-'3.r(t)'!D958*$AT$21)</f>
        <v>0.93311670519824419</v>
      </c>
      <c r="M960" s="7">
        <f ca="1">$AT$8*EXP(-'3.r(t)'!E958*$AT$22)</f>
        <v>0.96065735460216206</v>
      </c>
      <c r="N960" s="7">
        <f ca="1">$AT$9*EXP(-'3.r(t)'!F958*$AT$23)</f>
        <v>0.97798357372418221</v>
      </c>
      <c r="O960" s="7">
        <v>1</v>
      </c>
      <c r="P960" s="7"/>
      <c r="Q960" s="7">
        <v>952</v>
      </c>
      <c r="R960" s="7">
        <f>$AU$7*EXP(-'3.r(t)'!D958*$AU$21)</f>
        <v>0.91099305977534117</v>
      </c>
      <c r="S960" s="7">
        <f ca="1">$AU$8*EXP(-'3.r(t)'!E958*$AU$22)</f>
        <v>0.94091928936206648</v>
      </c>
      <c r="T960" s="7">
        <f ca="1">$AU$9*EXP(-'3.r(t)'!F958*$AU$23)</f>
        <v>0.95600985276640948</v>
      </c>
      <c r="U960" s="7">
        <f ca="1">$AU$10*EXP(-'3.r(t)'!G958*$AU$24)</f>
        <v>0.97747126963764563</v>
      </c>
      <c r="V960" s="7">
        <v>1</v>
      </c>
      <c r="W960" s="7"/>
      <c r="X960" s="7">
        <v>952</v>
      </c>
      <c r="Y960" s="7">
        <f>$AV$7*EXP(-'3.r(t)'!D958*$AV$21)</f>
        <v>0.88900715067201674</v>
      </c>
      <c r="Z960" s="7">
        <f ca="1">$AV$8*EXP(-'3.r(t)'!E958*$AV$22)</f>
        <v>0.92118032530218752</v>
      </c>
      <c r="AA960" s="7">
        <f ca="1">$AV$9*EXP(-'3.r(t)'!F958*$AV$23)</f>
        <v>0.93411197102506427</v>
      </c>
      <c r="AB960" s="7">
        <f ca="1">$AV$10*EXP(-'3.r(t)'!G958*$AV$24)</f>
        <v>0.95501700396667999</v>
      </c>
      <c r="AC960" s="7">
        <f ca="1">$AV$11*EXP(-'3.r(t)'!H958*$AV$25)</f>
        <v>0.97491520281432609</v>
      </c>
      <c r="AD960" s="7">
        <v>1</v>
      </c>
      <c r="AE960" s="7"/>
      <c r="AF960" s="7">
        <v>952</v>
      </c>
      <c r="AG960" s="7">
        <f>$AW$7*EXP(-'3.r(t)'!D958*$AW$21)</f>
        <v>0.86718755429225491</v>
      </c>
      <c r="AH960" s="7">
        <f ca="1">$AW$8*EXP(-'3.r(t)'!E958*$AW$22)</f>
        <v>0.90147123148010355</v>
      </c>
      <c r="AI960" s="7">
        <f ca="1">$AW$9*EXP(-'3.r(t)'!F958*$AW$23)</f>
        <v>0.91232123507426077</v>
      </c>
      <c r="AJ960" s="7">
        <f ca="1">$AW$10*EXP(-'3.r(t)'!G958*$AW$24)</f>
        <v>0.93266960432508039</v>
      </c>
      <c r="AK960" s="7">
        <f ca="1">$AW$11*EXP(-'3.r(t)'!H958*$AW$25)</f>
        <v>0.95003726724500004</v>
      </c>
      <c r="AL960" s="7">
        <f ca="1">$AW$12*EXP(-'3.r(t)'!I958*$AW$26)</f>
        <v>0.97570291520570884</v>
      </c>
      <c r="AM960" s="7">
        <v>1</v>
      </c>
      <c r="AN960" s="7"/>
    </row>
    <row r="961" spans="2:40">
      <c r="B961" s="7">
        <v>953</v>
      </c>
      <c r="C961" s="7">
        <f>$AR$7*EXP(-'3.r(t)'!D959*$AR$21)</f>
        <v>0.97765346695821032</v>
      </c>
      <c r="D961" s="7">
        <v>1</v>
      </c>
      <c r="E961" s="7"/>
      <c r="F961" s="7">
        <v>953</v>
      </c>
      <c r="G961" s="48">
        <f>$AS$7*EXP(-'3.r(t)'!D959*$AS$21)</f>
        <v>0.9553476245219803</v>
      </c>
      <c r="H961" s="7">
        <f ca="1">$AS$8*EXP(-'3.r(t)'!E959*$AS$22)</f>
        <v>0.97536828305060064</v>
      </c>
      <c r="I961" s="7">
        <v>1</v>
      </c>
      <c r="J961" s="7"/>
      <c r="K961" s="7">
        <v>953</v>
      </c>
      <c r="L961" s="7">
        <f>$AT$7*EXP(-'3.r(t)'!D959*$AT$21)</f>
        <v>0.93311670519824419</v>
      </c>
      <c r="M961" s="7">
        <f ca="1">$AT$8*EXP(-'3.r(t)'!E959*$AT$22)</f>
        <v>0.95089519153762747</v>
      </c>
      <c r="N961" s="7">
        <f ca="1">$AT$9*EXP(-'3.r(t)'!F959*$AT$23)</f>
        <v>0.97292044082010065</v>
      </c>
      <c r="O961" s="7">
        <v>1</v>
      </c>
      <c r="P961" s="7"/>
      <c r="Q961" s="7">
        <v>953</v>
      </c>
      <c r="R961" s="7">
        <f>$AU$7*EXP(-'3.r(t)'!D959*$AU$21)</f>
        <v>0.91099305977534117</v>
      </c>
      <c r="S961" s="7">
        <f ca="1">$AU$8*EXP(-'3.r(t)'!E959*$AU$22)</f>
        <v>0.92661340957628813</v>
      </c>
      <c r="T961" s="7">
        <f ca="1">$AU$9*EXP(-'3.r(t)'!F959*$AU$23)</f>
        <v>0.94613673136301668</v>
      </c>
      <c r="U961" s="7">
        <f ca="1">$AU$10*EXP(-'3.r(t)'!G959*$AU$24)</f>
        <v>0.97146929582634467</v>
      </c>
      <c r="V961" s="7">
        <v>1</v>
      </c>
      <c r="W961" s="7"/>
      <c r="X961" s="7">
        <v>953</v>
      </c>
      <c r="Y961" s="7">
        <f>$AV$7*EXP(-'3.r(t)'!D959*$AV$21)</f>
        <v>0.88900715067201674</v>
      </c>
      <c r="Z961" s="7">
        <f ca="1">$AV$8*EXP(-'3.r(t)'!E959*$AV$22)</f>
        <v>0.90255345338958048</v>
      </c>
      <c r="AA961" s="7">
        <f ca="1">$AV$9*EXP(-'3.r(t)'!F959*$AV$23)</f>
        <v>0.91967893727027961</v>
      </c>
      <c r="AB961" s="7">
        <f ca="1">$AV$10*EXP(-'3.r(t)'!G959*$AV$24)</f>
        <v>0.94332481588059613</v>
      </c>
      <c r="AC961" s="7">
        <f ca="1">$AV$11*EXP(-'3.r(t)'!H959*$AV$25)</f>
        <v>0.97171716258741769</v>
      </c>
      <c r="AD961" s="7">
        <v>1</v>
      </c>
      <c r="AE961" s="7"/>
      <c r="AF961" s="7">
        <v>953</v>
      </c>
      <c r="AG961" s="7">
        <f>$AW$7*EXP(-'3.r(t)'!D959*$AW$21)</f>
        <v>0.86718755429225491</v>
      </c>
      <c r="AH961" s="7">
        <f ca="1">$AW$8*EXP(-'3.r(t)'!E959*$AW$22)</f>
        <v>0.87874369091541693</v>
      </c>
      <c r="AI961" s="7">
        <f ca="1">$AW$9*EXP(-'3.r(t)'!F959*$AW$23)</f>
        <v>0.89357467852903305</v>
      </c>
      <c r="AJ961" s="7">
        <f ca="1">$AW$10*EXP(-'3.r(t)'!G959*$AW$24)</f>
        <v>0.91559424929045408</v>
      </c>
      <c r="AK961" s="7">
        <f ca="1">$AW$11*EXP(-'3.r(t)'!H959*$AW$25)</f>
        <v>0.94381462521265369</v>
      </c>
      <c r="AL961" s="7">
        <f ca="1">$AW$12*EXP(-'3.r(t)'!I959*$AW$26)</f>
        <v>0.97369500704420131</v>
      </c>
      <c r="AM961" s="7">
        <v>1</v>
      </c>
      <c r="AN961" s="7"/>
    </row>
    <row r="962" spans="2:40">
      <c r="B962" s="7">
        <v>954</v>
      </c>
      <c r="C962" s="7">
        <f>$AR$7*EXP(-'3.r(t)'!D960*$AR$21)</f>
        <v>0.97765346695821032</v>
      </c>
      <c r="D962" s="7">
        <v>1</v>
      </c>
      <c r="E962" s="7"/>
      <c r="F962" s="7">
        <v>954</v>
      </c>
      <c r="G962" s="48">
        <f>$AS$7*EXP(-'3.r(t)'!D960*$AS$21)</f>
        <v>0.9553476245219803</v>
      </c>
      <c r="H962" s="7">
        <f ca="1">$AS$8*EXP(-'3.r(t)'!E960*$AS$22)</f>
        <v>0.9797226886481526</v>
      </c>
      <c r="I962" s="7">
        <v>1</v>
      </c>
      <c r="J962" s="7"/>
      <c r="K962" s="7">
        <v>954</v>
      </c>
      <c r="L962" s="7">
        <f>$AT$7*EXP(-'3.r(t)'!D960*$AT$21)</f>
        <v>0.93311670519824419</v>
      </c>
      <c r="M962" s="7">
        <f ca="1">$AT$8*EXP(-'3.r(t)'!E960*$AT$22)</f>
        <v>0.95940444074398401</v>
      </c>
      <c r="N962" s="7">
        <f ca="1">$AT$9*EXP(-'3.r(t)'!F960*$AT$23)</f>
        <v>0.9804730350576627</v>
      </c>
      <c r="O962" s="7">
        <v>1</v>
      </c>
      <c r="P962" s="7"/>
      <c r="Q962" s="7">
        <v>954</v>
      </c>
      <c r="R962" s="7">
        <f>$AU$7*EXP(-'3.r(t)'!D960*$AU$21)</f>
        <v>0.91099305977534117</v>
      </c>
      <c r="S962" s="7">
        <f ca="1">$AU$8*EXP(-'3.r(t)'!E960*$AU$22)</f>
        <v>0.93907913322895187</v>
      </c>
      <c r="T962" s="7">
        <f ca="1">$AU$9*EXP(-'3.r(t)'!F960*$AU$23)</f>
        <v>0.96088310158727763</v>
      </c>
      <c r="U962" s="7">
        <f ca="1">$AU$10*EXP(-'3.r(t)'!G960*$AU$24)</f>
        <v>0.97844037725648536</v>
      </c>
      <c r="V962" s="7">
        <v>1</v>
      </c>
      <c r="W962" s="7"/>
      <c r="X962" s="7">
        <v>954</v>
      </c>
      <c r="Y962" s="7">
        <f>$AV$7*EXP(-'3.r(t)'!D960*$AV$21)</f>
        <v>0.88900715067201674</v>
      </c>
      <c r="Z962" s="7">
        <f ca="1">$AV$8*EXP(-'3.r(t)'!E960*$AV$22)</f>
        <v>0.91877903841729569</v>
      </c>
      <c r="AA962" s="7">
        <f ca="1">$AV$9*EXP(-'3.r(t)'!F960*$AV$23)</f>
        <v>0.94126350237344369</v>
      </c>
      <c r="AB962" s="7">
        <f ca="1">$AV$10*EXP(-'3.r(t)'!G960*$AV$24)</f>
        <v>0.9569116336729705</v>
      </c>
      <c r="AC962" s="7">
        <f ca="1">$AV$11*EXP(-'3.r(t)'!H960*$AV$25)</f>
        <v>0.97740242821930212</v>
      </c>
      <c r="AD962" s="7">
        <v>1</v>
      </c>
      <c r="AE962" s="7"/>
      <c r="AF962" s="7">
        <v>954</v>
      </c>
      <c r="AG962" s="7">
        <f>$AW$7*EXP(-'3.r(t)'!D960*$AW$21)</f>
        <v>0.86718755429225491</v>
      </c>
      <c r="AH962" s="7">
        <f ca="1">$AW$8*EXP(-'3.r(t)'!E960*$AW$22)</f>
        <v>0.89853480148024412</v>
      </c>
      <c r="AI962" s="7">
        <f ca="1">$AW$9*EXP(-'3.r(t)'!F960*$AW$23)</f>
        <v>0.92164603440677906</v>
      </c>
      <c r="AJ962" s="7">
        <f ca="1">$AW$10*EXP(-'3.r(t)'!G960*$AW$24)</f>
        <v>0.93544642345145745</v>
      </c>
      <c r="AK962" s="7">
        <f ca="1">$AW$11*EXP(-'3.r(t)'!H960*$AW$25)</f>
        <v>0.95489096330802159</v>
      </c>
      <c r="AL962" s="7">
        <f ca="1">$AW$12*EXP(-'3.r(t)'!I960*$AW$26)</f>
        <v>0.97777311786892507</v>
      </c>
      <c r="AM962" s="7">
        <v>1</v>
      </c>
      <c r="AN962" s="7"/>
    </row>
    <row r="963" spans="2:40">
      <c r="B963" s="7">
        <v>955</v>
      </c>
      <c r="C963" s="7">
        <f>$AR$7*EXP(-'3.r(t)'!D961*$AR$21)</f>
        <v>0.97765346695821032</v>
      </c>
      <c r="D963" s="7">
        <v>1</v>
      </c>
      <c r="E963" s="7"/>
      <c r="F963" s="7">
        <v>955</v>
      </c>
      <c r="G963" s="48">
        <f>$AS$7*EXP(-'3.r(t)'!D961*$AS$21)</f>
        <v>0.9553476245219803</v>
      </c>
      <c r="H963" s="7">
        <f ca="1">$AS$8*EXP(-'3.r(t)'!E961*$AS$22)</f>
        <v>0.97706275392434316</v>
      </c>
      <c r="I963" s="7">
        <v>1</v>
      </c>
      <c r="J963" s="7"/>
      <c r="K963" s="7">
        <v>955</v>
      </c>
      <c r="L963" s="7">
        <f>$AT$7*EXP(-'3.r(t)'!D961*$AT$21)</f>
        <v>0.93311670519824419</v>
      </c>
      <c r="M963" s="7">
        <f ca="1">$AT$8*EXP(-'3.r(t)'!E961*$AT$22)</f>
        <v>0.95420197078935565</v>
      </c>
      <c r="N963" s="7">
        <f ca="1">$AT$9*EXP(-'3.r(t)'!F961*$AT$23)</f>
        <v>0.97644262934246684</v>
      </c>
      <c r="O963" s="7">
        <v>1</v>
      </c>
      <c r="P963" s="7"/>
      <c r="Q963" s="7">
        <v>955</v>
      </c>
      <c r="R963" s="7">
        <f>$AU$7*EXP(-'3.r(t)'!D961*$AU$21)</f>
        <v>0.91099305977534117</v>
      </c>
      <c r="S963" s="7">
        <f ca="1">$AU$8*EXP(-'3.r(t)'!E961*$AU$22)</f>
        <v>0.93145111678028381</v>
      </c>
      <c r="T963" s="7">
        <f ca="1">$AU$9*EXP(-'3.r(t)'!F961*$AU$23)</f>
        <v>0.95299958250840278</v>
      </c>
      <c r="U963" s="7">
        <f ca="1">$AU$10*EXP(-'3.r(t)'!G961*$AU$24)</f>
        <v>0.97334414260154822</v>
      </c>
      <c r="V963" s="7">
        <v>1</v>
      </c>
      <c r="W963" s="7"/>
      <c r="X963" s="7">
        <v>955</v>
      </c>
      <c r="Y963" s="7">
        <f>$AV$7*EXP(-'3.r(t)'!D961*$AV$21)</f>
        <v>0.88900715067201674</v>
      </c>
      <c r="Z963" s="7">
        <f ca="1">$AV$8*EXP(-'3.r(t)'!E961*$AV$22)</f>
        <v>0.90884170576948642</v>
      </c>
      <c r="AA963" s="7">
        <f ca="1">$AV$9*EXP(-'3.r(t)'!F961*$AV$23)</f>
        <v>0.92970346816505922</v>
      </c>
      <c r="AB963" s="7">
        <f ca="1">$AV$10*EXP(-'3.r(t)'!G961*$AV$24)</f>
        <v>0.94696939035042915</v>
      </c>
      <c r="AC963" s="7">
        <f ca="1">$AV$11*EXP(-'3.r(t)'!H961*$AV$25)</f>
        <v>0.97420411788827621</v>
      </c>
      <c r="AD963" s="7">
        <v>1</v>
      </c>
      <c r="AE963" s="7"/>
      <c r="AF963" s="7">
        <v>955</v>
      </c>
      <c r="AG963" s="7">
        <f>$AW$7*EXP(-'3.r(t)'!D961*$AW$21)</f>
        <v>0.86718755429225491</v>
      </c>
      <c r="AH963" s="7">
        <f ca="1">$AW$8*EXP(-'3.r(t)'!E961*$AW$22)</f>
        <v>0.88640330113109689</v>
      </c>
      <c r="AI963" s="7">
        <f ca="1">$AW$9*EXP(-'3.r(t)'!F961*$AW$23)</f>
        <v>0.90658487228717632</v>
      </c>
      <c r="AJ963" s="7">
        <f ca="1">$AW$10*EXP(-'3.r(t)'!G961*$AW$24)</f>
        <v>0.92090552554892158</v>
      </c>
      <c r="AK963" s="7">
        <f ca="1">$AW$11*EXP(-'3.r(t)'!H961*$AW$25)</f>
        <v>0.9486518938123486</v>
      </c>
      <c r="AL963" s="7">
        <f ca="1">$AW$12*EXP(-'3.r(t)'!I961*$AW$26)</f>
        <v>0.97341965333316594</v>
      </c>
      <c r="AM963" s="7">
        <v>1</v>
      </c>
      <c r="AN963" s="7"/>
    </row>
    <row r="964" spans="2:40">
      <c r="B964" s="7">
        <v>956</v>
      </c>
      <c r="C964" s="7">
        <f>$AR$7*EXP(-'3.r(t)'!D962*$AR$21)</f>
        <v>0.97765346695821032</v>
      </c>
      <c r="D964" s="7">
        <v>1</v>
      </c>
      <c r="E964" s="7"/>
      <c r="F964" s="7">
        <v>956</v>
      </c>
      <c r="G964" s="48">
        <f>$AS$7*EXP(-'3.r(t)'!D962*$AS$21)</f>
        <v>0.9553476245219803</v>
      </c>
      <c r="H964" s="7">
        <f ca="1">$AS$8*EXP(-'3.r(t)'!E962*$AS$22)</f>
        <v>0.97800436975802585</v>
      </c>
      <c r="I964" s="7">
        <v>1</v>
      </c>
      <c r="J964" s="7"/>
      <c r="K964" s="7">
        <v>956</v>
      </c>
      <c r="L964" s="7">
        <f>$AT$7*EXP(-'3.r(t)'!D962*$AT$21)</f>
        <v>0.93311670519824419</v>
      </c>
      <c r="M964" s="7">
        <f ca="1">$AT$8*EXP(-'3.r(t)'!E962*$AT$22)</f>
        <v>0.9560420258487472</v>
      </c>
      <c r="N964" s="7">
        <f ca="1">$AT$9*EXP(-'3.r(t)'!F962*$AT$23)</f>
        <v>0.97725913140294407</v>
      </c>
      <c r="O964" s="7">
        <v>1</v>
      </c>
      <c r="P964" s="7"/>
      <c r="Q964" s="7">
        <v>956</v>
      </c>
      <c r="R964" s="7">
        <f>$AU$7*EXP(-'3.r(t)'!D962*$AU$21)</f>
        <v>0.91099305977534117</v>
      </c>
      <c r="S964" s="7">
        <f ca="1">$AU$8*EXP(-'3.r(t)'!E962*$AU$22)</f>
        <v>0.93414668972400339</v>
      </c>
      <c r="T964" s="7">
        <f ca="1">$AU$9*EXP(-'3.r(t)'!F962*$AU$23)</f>
        <v>0.95459404681011106</v>
      </c>
      <c r="U964" s="7">
        <f ca="1">$AU$10*EXP(-'3.r(t)'!G962*$AU$24)</f>
        <v>0.97254442525010998</v>
      </c>
      <c r="V964" s="7">
        <v>1</v>
      </c>
      <c r="W964" s="7"/>
      <c r="X964" s="7">
        <v>956</v>
      </c>
      <c r="Y964" s="7">
        <f>$AV$7*EXP(-'3.r(t)'!D962*$AV$21)</f>
        <v>0.88900715067201674</v>
      </c>
      <c r="Z964" s="7">
        <f ca="1">$AV$8*EXP(-'3.r(t)'!E962*$AV$22)</f>
        <v>0.91235025271309489</v>
      </c>
      <c r="AA964" s="7">
        <f ca="1">$AV$9*EXP(-'3.r(t)'!F962*$AV$23)</f>
        <v>0.93203767515938085</v>
      </c>
      <c r="AB964" s="7">
        <f ca="1">$AV$10*EXP(-'3.r(t)'!G962*$AV$24)</f>
        <v>0.94541393486326974</v>
      </c>
      <c r="AC964" s="7">
        <f ca="1">$AV$11*EXP(-'3.r(t)'!H962*$AV$25)</f>
        <v>0.97240233903149431</v>
      </c>
      <c r="AD964" s="7">
        <v>1</v>
      </c>
      <c r="AE964" s="7"/>
      <c r="AF964" s="7">
        <v>956</v>
      </c>
      <c r="AG964" s="7">
        <f>$AW$7*EXP(-'3.r(t)'!D962*$AW$21)</f>
        <v>0.86718755429225491</v>
      </c>
      <c r="AH964" s="7">
        <f ca="1">$AW$8*EXP(-'3.r(t)'!E962*$AW$22)</f>
        <v>0.89068276871477303</v>
      </c>
      <c r="AI964" s="7">
        <f ca="1">$AW$9*EXP(-'3.r(t)'!F962*$AW$23)</f>
        <v>0.90962102569131575</v>
      </c>
      <c r="AJ964" s="7">
        <f ca="1">$AW$10*EXP(-'3.r(t)'!G962*$AW$24)</f>
        <v>0.91863749155478924</v>
      </c>
      <c r="AK964" s="7">
        <f ca="1">$AW$11*EXP(-'3.r(t)'!H962*$AW$25)</f>
        <v>0.94514609812836603</v>
      </c>
      <c r="AL964" s="7">
        <f ca="1">$AW$12*EXP(-'3.r(t)'!I962*$AW$26)</f>
        <v>0.97096365437747512</v>
      </c>
      <c r="AM964" s="7">
        <v>1</v>
      </c>
      <c r="AN964" s="7"/>
    </row>
    <row r="965" spans="2:40">
      <c r="B965" s="7">
        <v>957</v>
      </c>
      <c r="C965" s="7">
        <f>$AR$7*EXP(-'3.r(t)'!D963*$AR$21)</f>
        <v>0.97765346695821032</v>
      </c>
      <c r="D965" s="7">
        <v>1</v>
      </c>
      <c r="E965" s="7"/>
      <c r="F965" s="7">
        <v>957</v>
      </c>
      <c r="G965" s="48">
        <f>$AS$7*EXP(-'3.r(t)'!D963*$AS$21)</f>
        <v>0.9553476245219803</v>
      </c>
      <c r="H965" s="7">
        <f ca="1">$AS$8*EXP(-'3.r(t)'!E963*$AS$22)</f>
        <v>0.97618786733185736</v>
      </c>
      <c r="I965" s="7">
        <v>1</v>
      </c>
      <c r="J965" s="7"/>
      <c r="K965" s="7">
        <v>957</v>
      </c>
      <c r="L965" s="7">
        <f>$AT$7*EXP(-'3.r(t)'!D963*$AT$21)</f>
        <v>0.93311670519824419</v>
      </c>
      <c r="M965" s="7">
        <f ca="1">$AT$8*EXP(-'3.r(t)'!E963*$AT$22)</f>
        <v>0.95249390291212277</v>
      </c>
      <c r="N965" s="7">
        <f ca="1">$AT$9*EXP(-'3.r(t)'!F963*$AT$23)</f>
        <v>0.98078350394682345</v>
      </c>
      <c r="O965" s="7">
        <v>1</v>
      </c>
      <c r="P965" s="7"/>
      <c r="Q965" s="7">
        <v>957</v>
      </c>
      <c r="R965" s="7">
        <f>$AU$7*EXP(-'3.r(t)'!D963*$AU$21)</f>
        <v>0.91099305977534117</v>
      </c>
      <c r="S965" s="7">
        <f ca="1">$AU$8*EXP(-'3.r(t)'!E963*$AU$22)</f>
        <v>0.92895122223342885</v>
      </c>
      <c r="T965" s="7">
        <f ca="1">$AU$9*EXP(-'3.r(t)'!F963*$AU$23)</f>
        <v>0.96149172932309623</v>
      </c>
      <c r="U965" s="7">
        <f ca="1">$AU$10*EXP(-'3.r(t)'!G963*$AU$24)</f>
        <v>0.98143821827609634</v>
      </c>
      <c r="V965" s="7">
        <v>1</v>
      </c>
      <c r="W965" s="7"/>
      <c r="X965" s="7">
        <v>957</v>
      </c>
      <c r="Y965" s="7">
        <f>$AV$7*EXP(-'3.r(t)'!D963*$AV$21)</f>
        <v>0.88900715067201674</v>
      </c>
      <c r="Z965" s="7">
        <f ca="1">$AV$8*EXP(-'3.r(t)'!E963*$AV$22)</f>
        <v>0.90559087634821656</v>
      </c>
      <c r="AA965" s="7">
        <f ca="1">$AV$9*EXP(-'3.r(t)'!F963*$AV$23)</f>
        <v>0.9421579448604509</v>
      </c>
      <c r="AB965" s="7">
        <f ca="1">$AV$10*EXP(-'3.r(t)'!G963*$AV$24)</f>
        <v>0.96278437496237435</v>
      </c>
      <c r="AC965" s="7">
        <f ca="1">$AV$11*EXP(-'3.r(t)'!H963*$AV$25)</f>
        <v>0.98197066740440486</v>
      </c>
      <c r="AD965" s="7">
        <v>1</v>
      </c>
      <c r="AE965" s="7"/>
      <c r="AF965" s="7">
        <v>957</v>
      </c>
      <c r="AG965" s="7">
        <f>$AW$7*EXP(-'3.r(t)'!D963*$AW$21)</f>
        <v>0.86718755429225491</v>
      </c>
      <c r="AH965" s="7">
        <f ca="1">$AW$8*EXP(-'3.r(t)'!E963*$AW$22)</f>
        <v>0.8824418626517585</v>
      </c>
      <c r="AI965" s="7">
        <f ca="1">$AW$9*EXP(-'3.r(t)'!F963*$AW$23)</f>
        <v>0.92281395376968012</v>
      </c>
      <c r="AJ965" s="7">
        <f ca="1">$AW$10*EXP(-'3.r(t)'!G963*$AW$24)</f>
        <v>0.9440711306335835</v>
      </c>
      <c r="AK965" s="7">
        <f ca="1">$AW$11*EXP(-'3.r(t)'!H963*$AW$25)</f>
        <v>0.96383787047745184</v>
      </c>
      <c r="AL965" s="7">
        <f ca="1">$AW$12*EXP(-'3.r(t)'!I963*$AW$26)</f>
        <v>0.98136738974498128</v>
      </c>
      <c r="AM965" s="7">
        <v>1</v>
      </c>
      <c r="AN965" s="7"/>
    </row>
    <row r="966" spans="2:40">
      <c r="B966" s="7">
        <v>958</v>
      </c>
      <c r="C966" s="7">
        <f>$AR$7*EXP(-'3.r(t)'!D964*$AR$21)</f>
        <v>0.97765346695821032</v>
      </c>
      <c r="D966" s="7">
        <v>1</v>
      </c>
      <c r="E966" s="7"/>
      <c r="F966" s="7">
        <v>958</v>
      </c>
      <c r="G966" s="48">
        <f>$AS$7*EXP(-'3.r(t)'!D964*$AS$21)</f>
        <v>0.9553476245219803</v>
      </c>
      <c r="H966" s="7">
        <f ca="1">$AS$8*EXP(-'3.r(t)'!E964*$AS$22)</f>
        <v>0.97257307964102946</v>
      </c>
      <c r="I966" s="7">
        <v>1</v>
      </c>
      <c r="J966" s="7"/>
      <c r="K966" s="7">
        <v>958</v>
      </c>
      <c r="L966" s="7">
        <f>$AT$7*EXP(-'3.r(t)'!D964*$AT$21)</f>
        <v>0.93311670519824419</v>
      </c>
      <c r="M966" s="7">
        <f ca="1">$AT$8*EXP(-'3.r(t)'!E964*$AT$22)</f>
        <v>0.94545286381971427</v>
      </c>
      <c r="N966" s="7">
        <f ca="1">$AT$9*EXP(-'3.r(t)'!F964*$AT$23)</f>
        <v>0.97463585611497394</v>
      </c>
      <c r="O966" s="7">
        <v>1</v>
      </c>
      <c r="P966" s="7"/>
      <c r="Q966" s="7">
        <v>958</v>
      </c>
      <c r="R966" s="7">
        <f>$AU$7*EXP(-'3.r(t)'!D964*$AU$21)</f>
        <v>0.91099305977534117</v>
      </c>
      <c r="S966" s="7">
        <f ca="1">$AU$8*EXP(-'3.r(t)'!E964*$AU$22)</f>
        <v>0.91866977181983656</v>
      </c>
      <c r="T966" s="7">
        <f ca="1">$AU$9*EXP(-'3.r(t)'!F964*$AU$23)</f>
        <v>0.94947605526311296</v>
      </c>
      <c r="U966" s="7">
        <f ca="1">$AU$10*EXP(-'3.r(t)'!G964*$AU$24)</f>
        <v>0.97497186096107613</v>
      </c>
      <c r="V966" s="7">
        <v>1</v>
      </c>
      <c r="W966" s="7"/>
      <c r="X966" s="7">
        <v>958</v>
      </c>
      <c r="Y966" s="7">
        <f>$AV$7*EXP(-'3.r(t)'!D964*$AV$21)</f>
        <v>0.88900715067201674</v>
      </c>
      <c r="Z966" s="7">
        <f ca="1">$AV$8*EXP(-'3.r(t)'!E964*$AV$22)</f>
        <v>0.89225171847708762</v>
      </c>
      <c r="AA966" s="7">
        <f ca="1">$AV$9*EXP(-'3.r(t)'!F964*$AV$23)</f>
        <v>0.92455214529966778</v>
      </c>
      <c r="AB966" s="7">
        <f ca="1">$AV$10*EXP(-'3.r(t)'!G964*$AV$24)</f>
        <v>0.95013926261292214</v>
      </c>
      <c r="AC966" s="7">
        <f ca="1">$AV$11*EXP(-'3.r(t)'!H964*$AV$25)</f>
        <v>0.96986989512606425</v>
      </c>
      <c r="AD966" s="7">
        <v>1</v>
      </c>
      <c r="AE966" s="7"/>
      <c r="AF966" s="7">
        <v>958</v>
      </c>
      <c r="AG966" s="7">
        <f>$AW$7*EXP(-'3.r(t)'!D964*$AW$21)</f>
        <v>0.86718755429225491</v>
      </c>
      <c r="AH966" s="7">
        <f ca="1">$AW$8*EXP(-'3.r(t)'!E964*$AW$22)</f>
        <v>0.8662241668316002</v>
      </c>
      <c r="AI966" s="7">
        <f ca="1">$AW$9*EXP(-'3.r(t)'!F964*$AW$23)</f>
        <v>0.89989342925002214</v>
      </c>
      <c r="AJ966" s="7">
        <f ca="1">$AW$10*EXP(-'3.r(t)'!G964*$AW$24)</f>
        <v>0.92553333258275028</v>
      </c>
      <c r="AK966" s="7">
        <f ca="1">$AW$11*EXP(-'3.r(t)'!H964*$AW$25)</f>
        <v>0.94022958852058292</v>
      </c>
      <c r="AL966" s="7">
        <f ca="1">$AW$12*EXP(-'3.r(t)'!I964*$AW$26)</f>
        <v>0.96735283003940931</v>
      </c>
      <c r="AM966" s="7">
        <v>1</v>
      </c>
      <c r="AN966" s="7"/>
    </row>
    <row r="967" spans="2:40">
      <c r="B967" s="7">
        <v>959</v>
      </c>
      <c r="C967" s="7">
        <f>$AR$7*EXP(-'3.r(t)'!D965*$AR$21)</f>
        <v>0.97765346695821032</v>
      </c>
      <c r="D967" s="7">
        <v>1</v>
      </c>
      <c r="E967" s="7"/>
      <c r="F967" s="7">
        <v>959</v>
      </c>
      <c r="G967" s="48">
        <f>$AS$7*EXP(-'3.r(t)'!D965*$AS$21)</f>
        <v>0.9553476245219803</v>
      </c>
      <c r="H967" s="7">
        <f ca="1">$AS$8*EXP(-'3.r(t)'!E965*$AS$22)</f>
        <v>0.97899482439900976</v>
      </c>
      <c r="I967" s="7">
        <v>1</v>
      </c>
      <c r="J967" s="7"/>
      <c r="K967" s="7">
        <v>959</v>
      </c>
      <c r="L967" s="7">
        <f>$AT$7*EXP(-'3.r(t)'!D965*$AT$21)</f>
        <v>0.93311670519824419</v>
      </c>
      <c r="M967" s="7">
        <f ca="1">$AT$8*EXP(-'3.r(t)'!E965*$AT$22)</f>
        <v>0.95797943180757361</v>
      </c>
      <c r="N967" s="7">
        <f ca="1">$AT$9*EXP(-'3.r(t)'!F965*$AT$23)</f>
        <v>0.97976693129398817</v>
      </c>
      <c r="O967" s="7">
        <v>1</v>
      </c>
      <c r="P967" s="7"/>
      <c r="Q967" s="7">
        <v>959</v>
      </c>
      <c r="R967" s="7">
        <f>$AU$7*EXP(-'3.r(t)'!D965*$AU$21)</f>
        <v>0.91099305977534117</v>
      </c>
      <c r="S967" s="7">
        <f ca="1">$AU$8*EXP(-'3.r(t)'!E965*$AU$22)</f>
        <v>0.93698768086119077</v>
      </c>
      <c r="T967" s="7">
        <f ca="1">$AU$9*EXP(-'3.r(t)'!F965*$AU$23)</f>
        <v>0.95949960843687199</v>
      </c>
      <c r="U967" s="7">
        <f ca="1">$AU$10*EXP(-'3.r(t)'!G965*$AU$24)</f>
        <v>0.98071005230251229</v>
      </c>
      <c r="V967" s="7">
        <v>1</v>
      </c>
      <c r="W967" s="7"/>
      <c r="X967" s="7">
        <v>959</v>
      </c>
      <c r="Y967" s="7">
        <f>$AV$7*EXP(-'3.r(t)'!D965*$AV$21)</f>
        <v>0.88900715067201674</v>
      </c>
      <c r="Z967" s="7">
        <f ca="1">$AV$8*EXP(-'3.r(t)'!E965*$AV$22)</f>
        <v>0.91605172978108185</v>
      </c>
      <c r="AA967" s="7">
        <f ca="1">$AV$9*EXP(-'3.r(t)'!F965*$AV$23)</f>
        <v>0.9392313674279914</v>
      </c>
      <c r="AB967" s="7">
        <f ca="1">$AV$10*EXP(-'3.r(t)'!G965*$AV$24)</f>
        <v>0.96135625297821348</v>
      </c>
      <c r="AC967" s="7">
        <f ca="1">$AV$11*EXP(-'3.r(t)'!H965*$AV$25)</f>
        <v>0.98194128469913833</v>
      </c>
      <c r="AD967" s="7">
        <v>1</v>
      </c>
      <c r="AE967" s="7"/>
      <c r="AF967" s="7">
        <v>959</v>
      </c>
      <c r="AG967" s="7">
        <f>$AW$7*EXP(-'3.r(t)'!D965*$AW$21)</f>
        <v>0.86718755429225491</v>
      </c>
      <c r="AH967" s="7">
        <f ca="1">$AW$8*EXP(-'3.r(t)'!E965*$AW$22)</f>
        <v>0.89520202007153715</v>
      </c>
      <c r="AI967" s="7">
        <f ca="1">$AW$9*EXP(-'3.r(t)'!F965*$AW$23)</f>
        <v>0.91899394691239356</v>
      </c>
      <c r="AJ967" s="7">
        <f ca="1">$AW$10*EXP(-'3.r(t)'!G965*$AW$24)</f>
        <v>0.9419713635285073</v>
      </c>
      <c r="AK967" s="7">
        <f ca="1">$AW$11*EXP(-'3.r(t)'!H965*$AW$25)</f>
        <v>0.96378019107558677</v>
      </c>
      <c r="AL967" s="7">
        <f ca="1">$AW$12*EXP(-'3.r(t)'!I965*$AW$26)</f>
        <v>0.9852318530253209</v>
      </c>
      <c r="AM967" s="7">
        <v>1</v>
      </c>
      <c r="AN967" s="7"/>
    </row>
    <row r="968" spans="2:40">
      <c r="B968" s="7">
        <v>960</v>
      </c>
      <c r="C968" s="7">
        <f>$AR$7*EXP(-'3.r(t)'!D966*$AR$21)</f>
        <v>0.97765346695821032</v>
      </c>
      <c r="D968" s="7">
        <v>1</v>
      </c>
      <c r="E968" s="7"/>
      <c r="F968" s="7">
        <v>960</v>
      </c>
      <c r="G968" s="48">
        <f>$AS$7*EXP(-'3.r(t)'!D966*$AS$21)</f>
        <v>0.9553476245219803</v>
      </c>
      <c r="H968" s="7">
        <f ca="1">$AS$8*EXP(-'3.r(t)'!E966*$AS$22)</f>
        <v>0.97945791469104548</v>
      </c>
      <c r="I968" s="7">
        <v>1</v>
      </c>
      <c r="J968" s="7"/>
      <c r="K968" s="7">
        <v>960</v>
      </c>
      <c r="L968" s="7">
        <f>$AT$7*EXP(-'3.r(t)'!D966*$AT$21)</f>
        <v>0.93311670519824419</v>
      </c>
      <c r="M968" s="7">
        <f ca="1">$AT$8*EXP(-'3.r(t)'!E966*$AT$22)</f>
        <v>0.95888594507677316</v>
      </c>
      <c r="N968" s="7">
        <f ca="1">$AT$9*EXP(-'3.r(t)'!F966*$AT$23)</f>
        <v>0.97703051622400572</v>
      </c>
      <c r="O968" s="7">
        <v>1</v>
      </c>
      <c r="P968" s="7"/>
      <c r="Q968" s="7">
        <v>960</v>
      </c>
      <c r="R968" s="7">
        <f>$AU$7*EXP(-'3.r(t)'!D966*$AU$21)</f>
        <v>0.91099305977534117</v>
      </c>
      <c r="S968" s="7">
        <f ca="1">$AU$8*EXP(-'3.r(t)'!E966*$AU$22)</f>
        <v>0.93831796935025646</v>
      </c>
      <c r="T968" s="7">
        <f ca="1">$AU$9*EXP(-'3.r(t)'!F966*$AU$23)</f>
        <v>0.95414747300907932</v>
      </c>
      <c r="U968" s="7">
        <f ca="1">$AU$10*EXP(-'3.r(t)'!G966*$AU$24)</f>
        <v>0.9788033775127325</v>
      </c>
      <c r="V968" s="7">
        <v>1</v>
      </c>
      <c r="W968" s="7"/>
      <c r="X968" s="7">
        <v>960</v>
      </c>
      <c r="Y968" s="7">
        <f>$AV$7*EXP(-'3.r(t)'!D966*$AV$21)</f>
        <v>0.88900715067201674</v>
      </c>
      <c r="Z968" s="7">
        <f ca="1">$AV$8*EXP(-'3.r(t)'!E966*$AV$22)</f>
        <v>0.91778622620312211</v>
      </c>
      <c r="AA968" s="7">
        <f ca="1">$AV$9*EXP(-'3.r(t)'!F966*$AV$23)</f>
        <v>0.93138371928262675</v>
      </c>
      <c r="AB968" s="7">
        <f ca="1">$AV$10*EXP(-'3.r(t)'!G966*$AV$24)</f>
        <v>0.95762179161663485</v>
      </c>
      <c r="AC968" s="7">
        <f ca="1">$AV$11*EXP(-'3.r(t)'!H966*$AV$25)</f>
        <v>0.97732504950793431</v>
      </c>
      <c r="AD968" s="7">
        <v>1</v>
      </c>
      <c r="AE968" s="7"/>
      <c r="AF968" s="7">
        <v>960</v>
      </c>
      <c r="AG968" s="7">
        <f>$AW$7*EXP(-'3.r(t)'!D966*$AW$21)</f>
        <v>0.86718755429225491</v>
      </c>
      <c r="AH968" s="7">
        <f ca="1">$AW$8*EXP(-'3.r(t)'!E966*$AW$22)</f>
        <v>0.89732129453083698</v>
      </c>
      <c r="AI968" s="7">
        <f ca="1">$AW$9*EXP(-'3.r(t)'!F966*$AW$23)</f>
        <v>0.90877015530517047</v>
      </c>
      <c r="AJ968" s="7">
        <f ca="1">$AW$10*EXP(-'3.r(t)'!G966*$AW$24)</f>
        <v>0.93648795841046606</v>
      </c>
      <c r="AK968" s="7">
        <f ca="1">$AW$11*EXP(-'3.r(t)'!H966*$AW$25)</f>
        <v>0.95473977623231276</v>
      </c>
      <c r="AL968" s="7">
        <f ca="1">$AW$12*EXP(-'3.r(t)'!I966*$AW$26)</f>
        <v>0.97592365967716121</v>
      </c>
      <c r="AM968" s="7">
        <v>1</v>
      </c>
      <c r="AN968" s="7"/>
    </row>
    <row r="969" spans="2:40">
      <c r="B969" s="7">
        <v>961</v>
      </c>
      <c r="C969" s="7">
        <f>$AR$7*EXP(-'3.r(t)'!D967*$AR$21)</f>
        <v>0.97765346695821032</v>
      </c>
      <c r="D969" s="7">
        <v>1</v>
      </c>
      <c r="E969" s="7"/>
      <c r="F969" s="7">
        <v>961</v>
      </c>
      <c r="G969" s="48">
        <f>$AS$7*EXP(-'3.r(t)'!D967*$AS$21)</f>
        <v>0.9553476245219803</v>
      </c>
      <c r="H969" s="7">
        <f ca="1">$AS$8*EXP(-'3.r(t)'!E967*$AS$22)</f>
        <v>0.97698963110997228</v>
      </c>
      <c r="I969" s="7">
        <v>1</v>
      </c>
      <c r="J969" s="7"/>
      <c r="K969" s="7">
        <v>961</v>
      </c>
      <c r="L969" s="7">
        <f>$AT$7*EXP(-'3.r(t)'!D967*$AT$21)</f>
        <v>0.93311670519824419</v>
      </c>
      <c r="M969" s="7">
        <f ca="1">$AT$8*EXP(-'3.r(t)'!E967*$AT$22)</f>
        <v>0.95405915228075588</v>
      </c>
      <c r="N969" s="7">
        <f ca="1">$AT$9*EXP(-'3.r(t)'!F967*$AT$23)</f>
        <v>0.97787407035590423</v>
      </c>
      <c r="O969" s="7">
        <v>1</v>
      </c>
      <c r="P969" s="7"/>
      <c r="Q969" s="7">
        <v>961</v>
      </c>
      <c r="R969" s="7">
        <f>$AU$7*EXP(-'3.r(t)'!D967*$AU$21)</f>
        <v>0.91099305977534117</v>
      </c>
      <c r="S969" s="7">
        <f ca="1">$AU$8*EXP(-'3.r(t)'!E967*$AU$22)</f>
        <v>0.93124200463383089</v>
      </c>
      <c r="T969" s="7">
        <f ca="1">$AU$9*EXP(-'3.r(t)'!F967*$AU$23)</f>
        <v>0.95579577874510147</v>
      </c>
      <c r="U969" s="7">
        <f ca="1">$AU$10*EXP(-'3.r(t)'!G967*$AU$24)</f>
        <v>0.97987343807396532</v>
      </c>
      <c r="V969" s="7">
        <v>1</v>
      </c>
      <c r="W969" s="7"/>
      <c r="X969" s="7">
        <v>961</v>
      </c>
      <c r="Y969" s="7">
        <f>$AV$7*EXP(-'3.r(t)'!D967*$AV$21)</f>
        <v>0.88900715067201674</v>
      </c>
      <c r="Z969" s="7">
        <f ca="1">$AV$8*EXP(-'3.r(t)'!E967*$AV$22)</f>
        <v>0.90856966754866042</v>
      </c>
      <c r="AA969" s="7">
        <f ca="1">$AV$9*EXP(-'3.r(t)'!F967*$AV$23)</f>
        <v>0.93379823276625173</v>
      </c>
      <c r="AB969" s="7">
        <f ca="1">$AV$10*EXP(-'3.r(t)'!G967*$AV$24)</f>
        <v>0.95971674441463029</v>
      </c>
      <c r="AC969" s="7">
        <f ca="1">$AV$11*EXP(-'3.r(t)'!H967*$AV$25)</f>
        <v>0.98018037164086125</v>
      </c>
      <c r="AD969" s="7">
        <v>1</v>
      </c>
      <c r="AE969" s="7"/>
      <c r="AF969" s="7">
        <v>961</v>
      </c>
      <c r="AG969" s="7">
        <f>$AW$7*EXP(-'3.r(t)'!D967*$AW$21)</f>
        <v>0.86718755429225491</v>
      </c>
      <c r="AH969" s="7">
        <f ca="1">$AW$8*EXP(-'3.r(t)'!E967*$AW$22)</f>
        <v>0.88607166120887915</v>
      </c>
      <c r="AI969" s="7">
        <f ca="1">$AW$9*EXP(-'3.r(t)'!F967*$AW$23)</f>
        <v>0.91191269868052682</v>
      </c>
      <c r="AJ969" s="7">
        <f ca="1">$AW$10*EXP(-'3.r(t)'!G967*$AW$24)</f>
        <v>0.93956271718397499</v>
      </c>
      <c r="AK969" s="7">
        <f ca="1">$AW$11*EXP(-'3.r(t)'!H967*$AW$25)</f>
        <v>0.9603266008910778</v>
      </c>
      <c r="AL969" s="7">
        <f ca="1">$AW$12*EXP(-'3.r(t)'!I967*$AW$26)</f>
        <v>0.98104687771809185</v>
      </c>
      <c r="AM969" s="7">
        <v>1</v>
      </c>
      <c r="AN969" s="7"/>
    </row>
    <row r="970" spans="2:40">
      <c r="B970" s="7">
        <v>962</v>
      </c>
      <c r="C970" s="7">
        <f>$AR$7*EXP(-'3.r(t)'!D968*$AR$21)</f>
        <v>0.97765346695821032</v>
      </c>
      <c r="D970" s="7">
        <v>1</v>
      </c>
      <c r="E970" s="7"/>
      <c r="F970" s="7">
        <v>962</v>
      </c>
      <c r="G970" s="48">
        <f>$AS$7*EXP(-'3.r(t)'!D968*$AS$21)</f>
        <v>0.9553476245219803</v>
      </c>
      <c r="H970" s="7">
        <f ca="1">$AS$8*EXP(-'3.r(t)'!E968*$AS$22)</f>
        <v>0.97352755096392396</v>
      </c>
      <c r="I970" s="7">
        <v>1</v>
      </c>
      <c r="J970" s="7"/>
      <c r="K970" s="7">
        <v>962</v>
      </c>
      <c r="L970" s="7">
        <f>$AT$7*EXP(-'3.r(t)'!D968*$AT$21)</f>
        <v>0.93311670519824419</v>
      </c>
      <c r="M970" s="7">
        <f ca="1">$AT$8*EXP(-'3.r(t)'!E968*$AT$22)</f>
        <v>0.94730948615581634</v>
      </c>
      <c r="N970" s="7">
        <f ca="1">$AT$9*EXP(-'3.r(t)'!F968*$AT$23)</f>
        <v>0.97240663376688052</v>
      </c>
      <c r="O970" s="7">
        <v>1</v>
      </c>
      <c r="P970" s="7"/>
      <c r="Q970" s="7">
        <v>962</v>
      </c>
      <c r="R970" s="7">
        <f>$AU$7*EXP(-'3.r(t)'!D968*$AU$21)</f>
        <v>0.91099305977534117</v>
      </c>
      <c r="S970" s="7">
        <f ca="1">$AU$8*EXP(-'3.r(t)'!E968*$AU$22)</f>
        <v>0.92137714088921396</v>
      </c>
      <c r="T970" s="7">
        <f ca="1">$AU$9*EXP(-'3.r(t)'!F968*$AU$23)</f>
        <v>0.94513767051390485</v>
      </c>
      <c r="U970" s="7">
        <f ca="1">$AU$10*EXP(-'3.r(t)'!G968*$AU$24)</f>
        <v>0.97383672114857522</v>
      </c>
      <c r="V970" s="7">
        <v>1</v>
      </c>
      <c r="W970" s="7"/>
      <c r="X970" s="7">
        <v>962</v>
      </c>
      <c r="Y970" s="7">
        <f>$AV$7*EXP(-'3.r(t)'!D968*$AV$21)</f>
        <v>0.88900715067201674</v>
      </c>
      <c r="Z970" s="7">
        <f ca="1">$AV$8*EXP(-'3.r(t)'!E968*$AV$22)</f>
        <v>0.89575945762108311</v>
      </c>
      <c r="AA970" s="7">
        <f ca="1">$AV$9*EXP(-'3.r(t)'!F968*$AV$23)</f>
        <v>0.91822263725454722</v>
      </c>
      <c r="AB970" s="7">
        <f ca="1">$AV$10*EXP(-'3.r(t)'!G968*$AV$24)</f>
        <v>0.94792809511977427</v>
      </c>
      <c r="AC970" s="7">
        <f ca="1">$AV$11*EXP(-'3.r(t)'!H968*$AV$25)</f>
        <v>0.97681946534233832</v>
      </c>
      <c r="AD970" s="7">
        <v>1</v>
      </c>
      <c r="AE970" s="7"/>
      <c r="AF970" s="7">
        <v>962</v>
      </c>
      <c r="AG970" s="7">
        <f>$AW$7*EXP(-'3.r(t)'!D968*$AW$21)</f>
        <v>0.86718755429225491</v>
      </c>
      <c r="AH970" s="7">
        <f ca="1">$AW$8*EXP(-'3.r(t)'!E968*$AW$22)</f>
        <v>0.87048302682235223</v>
      </c>
      <c r="AI970" s="7">
        <f ca="1">$AW$9*EXP(-'3.r(t)'!F968*$AW$23)</f>
        <v>0.89168855760960097</v>
      </c>
      <c r="AJ970" s="7">
        <f ca="1">$AW$10*EXP(-'3.r(t)'!G968*$AW$24)</f>
        <v>0.92230435630075203</v>
      </c>
      <c r="AK970" s="7">
        <f ca="1">$AW$11*EXP(-'3.r(t)'!H968*$AW$25)</f>
        <v>0.9537522307698505</v>
      </c>
      <c r="AL970" s="7">
        <f ca="1">$AW$12*EXP(-'3.r(t)'!I968*$AW$26)</f>
        <v>0.97759447610005279</v>
      </c>
      <c r="AM970" s="7">
        <v>1</v>
      </c>
      <c r="AN970" s="7"/>
    </row>
    <row r="971" spans="2:40">
      <c r="B971" s="7">
        <v>963</v>
      </c>
      <c r="C971" s="7">
        <f>$AR$7*EXP(-'3.r(t)'!D969*$AR$21)</f>
        <v>0.97765346695821032</v>
      </c>
      <c r="D971" s="7">
        <v>1</v>
      </c>
      <c r="E971" s="7"/>
      <c r="F971" s="7">
        <v>963</v>
      </c>
      <c r="G971" s="48">
        <f>$AS$7*EXP(-'3.r(t)'!D969*$AS$21)</f>
        <v>0.9553476245219803</v>
      </c>
      <c r="H971" s="7">
        <f ca="1">$AS$8*EXP(-'3.r(t)'!E969*$AS$22)</f>
        <v>0.97576072033885808</v>
      </c>
      <c r="I971" s="7">
        <v>1</v>
      </c>
      <c r="J971" s="7"/>
      <c r="K971" s="7">
        <v>963</v>
      </c>
      <c r="L971" s="7">
        <f>$AT$7*EXP(-'3.r(t)'!D969*$AT$21)</f>
        <v>0.93311670519824419</v>
      </c>
      <c r="M971" s="7">
        <f ca="1">$AT$8*EXP(-'3.r(t)'!E969*$AT$22)</f>
        <v>0.95166052665929923</v>
      </c>
      <c r="N971" s="7">
        <f ca="1">$AT$9*EXP(-'3.r(t)'!F969*$AT$23)</f>
        <v>0.96838708512741245</v>
      </c>
      <c r="O971" s="7">
        <v>1</v>
      </c>
      <c r="P971" s="7"/>
      <c r="Q971" s="7">
        <v>963</v>
      </c>
      <c r="R971" s="7">
        <f>$AU$7*EXP(-'3.r(t)'!D969*$AU$21)</f>
        <v>0.91099305977534117</v>
      </c>
      <c r="S971" s="7">
        <f ca="1">$AU$8*EXP(-'3.r(t)'!E969*$AU$22)</f>
        <v>0.92773232226334112</v>
      </c>
      <c r="T971" s="7">
        <f ca="1">$AU$9*EXP(-'3.r(t)'!F969*$AU$23)</f>
        <v>0.93734016099360595</v>
      </c>
      <c r="U971" s="7">
        <f ca="1">$AU$10*EXP(-'3.r(t)'!G969*$AU$24)</f>
        <v>0.96619291894667836</v>
      </c>
      <c r="V971" s="7">
        <v>1</v>
      </c>
      <c r="W971" s="7"/>
      <c r="X971" s="7">
        <v>963</v>
      </c>
      <c r="Y971" s="7">
        <f>$AV$7*EXP(-'3.r(t)'!D969*$AV$21)</f>
        <v>0.88900715067201674</v>
      </c>
      <c r="Z971" s="7">
        <f ca="1">$AV$8*EXP(-'3.r(t)'!E969*$AV$22)</f>
        <v>0.90400689188254846</v>
      </c>
      <c r="AA971" s="7">
        <f ca="1">$AV$9*EXP(-'3.r(t)'!F969*$AV$23)</f>
        <v>0.90688292106465573</v>
      </c>
      <c r="AB971" s="7">
        <f ca="1">$AV$10*EXP(-'3.r(t)'!G969*$AV$24)</f>
        <v>0.93310561395107106</v>
      </c>
      <c r="AC971" s="7">
        <f ca="1">$AV$11*EXP(-'3.r(t)'!H969*$AV$25)</f>
        <v>0.9649424190859045</v>
      </c>
      <c r="AD971" s="7">
        <v>1</v>
      </c>
      <c r="AE971" s="7"/>
      <c r="AF971" s="7">
        <v>963</v>
      </c>
      <c r="AG971" s="7">
        <f>$AW$7*EXP(-'3.r(t)'!D969*$AW$21)</f>
        <v>0.86718755429225491</v>
      </c>
      <c r="AH971" s="7">
        <f ca="1">$AW$8*EXP(-'3.r(t)'!E969*$AW$22)</f>
        <v>0.88051291700945111</v>
      </c>
      <c r="AI971" s="7">
        <f ca="1">$AW$9*EXP(-'3.r(t)'!F969*$AW$23)</f>
        <v>0.87703615540586122</v>
      </c>
      <c r="AJ971" s="7">
        <f ca="1">$AW$10*EXP(-'3.r(t)'!G969*$AW$24)</f>
        <v>0.90075642902795738</v>
      </c>
      <c r="AK971" s="7">
        <f ca="1">$AW$11*EXP(-'3.r(t)'!H969*$AW$25)</f>
        <v>0.93070008400641435</v>
      </c>
      <c r="AL971" s="7">
        <f ca="1">$AW$12*EXP(-'3.r(t)'!I969*$AW$26)</f>
        <v>0.9637287224813752</v>
      </c>
      <c r="AM971" s="7">
        <v>1</v>
      </c>
      <c r="AN971" s="7"/>
    </row>
    <row r="972" spans="2:40">
      <c r="B972" s="7">
        <v>964</v>
      </c>
      <c r="C972" s="7">
        <f>$AR$7*EXP(-'3.r(t)'!D970*$AR$21)</f>
        <v>0.97765346695821032</v>
      </c>
      <c r="D972" s="7">
        <v>1</v>
      </c>
      <c r="E972" s="7"/>
      <c r="F972" s="7">
        <v>964</v>
      </c>
      <c r="G972" s="48">
        <f>$AS$7*EXP(-'3.r(t)'!D970*$AS$21)</f>
        <v>0.9553476245219803</v>
      </c>
      <c r="H972" s="7">
        <f ca="1">$AS$8*EXP(-'3.r(t)'!E970*$AS$22)</f>
        <v>0.97577712383128268</v>
      </c>
      <c r="I972" s="7">
        <v>1</v>
      </c>
      <c r="J972" s="7"/>
      <c r="K972" s="7">
        <v>964</v>
      </c>
      <c r="L972" s="7">
        <f>$AT$7*EXP(-'3.r(t)'!D970*$AT$21)</f>
        <v>0.93311670519824419</v>
      </c>
      <c r="M972" s="7">
        <f ca="1">$AT$8*EXP(-'3.r(t)'!E970*$AT$22)</f>
        <v>0.95169252361742396</v>
      </c>
      <c r="N972" s="7">
        <f ca="1">$AT$9*EXP(-'3.r(t)'!F970*$AT$23)</f>
        <v>0.97606841724625426</v>
      </c>
      <c r="O972" s="7">
        <v>1</v>
      </c>
      <c r="P972" s="7"/>
      <c r="Q972" s="7">
        <v>964</v>
      </c>
      <c r="R972" s="7">
        <f>$AU$7*EXP(-'3.r(t)'!D970*$AU$21)</f>
        <v>0.91099305977534117</v>
      </c>
      <c r="S972" s="7">
        <f ca="1">$AU$8*EXP(-'3.r(t)'!E970*$AU$22)</f>
        <v>0.9277791113140833</v>
      </c>
      <c r="T972" s="7">
        <f ca="1">$AU$9*EXP(-'3.r(t)'!F970*$AU$23)</f>
        <v>0.95226926692319691</v>
      </c>
      <c r="U972" s="7">
        <f ca="1">$AU$10*EXP(-'3.r(t)'!G970*$AU$24)</f>
        <v>0.97482231682663933</v>
      </c>
      <c r="V972" s="7">
        <v>1</v>
      </c>
      <c r="W972" s="7"/>
      <c r="X972" s="7">
        <v>964</v>
      </c>
      <c r="Y972" s="7">
        <f>$AV$7*EXP(-'3.r(t)'!D970*$AV$21)</f>
        <v>0.88900715067201674</v>
      </c>
      <c r="Z972" s="7">
        <f ca="1">$AV$8*EXP(-'3.r(t)'!E970*$AV$22)</f>
        <v>0.9040676823768965</v>
      </c>
      <c r="AA972" s="7">
        <f ca="1">$AV$9*EXP(-'3.r(t)'!F970*$AV$23)</f>
        <v>0.9286349784497091</v>
      </c>
      <c r="AB972" s="7">
        <f ca="1">$AV$10*EXP(-'3.r(t)'!G970*$AV$24)</f>
        <v>0.94984781449552314</v>
      </c>
      <c r="AC972" s="7">
        <f ca="1">$AV$11*EXP(-'3.r(t)'!H970*$AV$25)</f>
        <v>0.97487493144659465</v>
      </c>
      <c r="AD972" s="7">
        <v>1</v>
      </c>
      <c r="AE972" s="7"/>
      <c r="AF972" s="7">
        <v>964</v>
      </c>
      <c r="AG972" s="7">
        <f>$AW$7*EXP(-'3.r(t)'!D970*$AW$21)</f>
        <v>0.86718755429225491</v>
      </c>
      <c r="AH972" s="7">
        <f ca="1">$AW$8*EXP(-'3.r(t)'!E970*$AW$22)</f>
        <v>0.88058693091618723</v>
      </c>
      <c r="AI972" s="7">
        <f ca="1">$AW$9*EXP(-'3.r(t)'!F970*$AW$23)</f>
        <v>0.90519591182671766</v>
      </c>
      <c r="AJ972" s="7">
        <f ca="1">$AW$10*EXP(-'3.r(t)'!G970*$AW$24)</f>
        <v>0.92510751459264284</v>
      </c>
      <c r="AK972" s="7">
        <f ca="1">$AW$11*EXP(-'3.r(t)'!H970*$AW$25)</f>
        <v>0.94995878142420631</v>
      </c>
      <c r="AL972" s="7">
        <f ca="1">$AW$12*EXP(-'3.r(t)'!I970*$AW$26)</f>
        <v>0.97508941580449771</v>
      </c>
      <c r="AM972" s="7">
        <v>1</v>
      </c>
      <c r="AN972" s="7"/>
    </row>
    <row r="973" spans="2:40">
      <c r="B973" s="7">
        <v>965</v>
      </c>
      <c r="C973" s="7">
        <f>$AR$7*EXP(-'3.r(t)'!D971*$AR$21)</f>
        <v>0.97765346695821032</v>
      </c>
      <c r="D973" s="7">
        <v>1</v>
      </c>
      <c r="E973" s="7"/>
      <c r="F973" s="7">
        <v>965</v>
      </c>
      <c r="G973" s="48">
        <f>$AS$7*EXP(-'3.r(t)'!D971*$AS$21)</f>
        <v>0.9553476245219803</v>
      </c>
      <c r="H973" s="7">
        <f ca="1">$AS$8*EXP(-'3.r(t)'!E971*$AS$22)</f>
        <v>0.97565830929871689</v>
      </c>
      <c r="I973" s="7">
        <v>1</v>
      </c>
      <c r="J973" s="7"/>
      <c r="K973" s="7">
        <v>965</v>
      </c>
      <c r="L973" s="7">
        <f>$AT$7*EXP(-'3.r(t)'!D971*$AT$21)</f>
        <v>0.93311670519824419</v>
      </c>
      <c r="M973" s="7">
        <f ca="1">$AT$8*EXP(-'3.r(t)'!E971*$AT$22)</f>
        <v>0.95146077393739581</v>
      </c>
      <c r="N973" s="7">
        <f ca="1">$AT$9*EXP(-'3.r(t)'!F971*$AT$23)</f>
        <v>0.9722700275992614</v>
      </c>
      <c r="O973" s="7">
        <v>1</v>
      </c>
      <c r="P973" s="7"/>
      <c r="Q973" s="7">
        <v>965</v>
      </c>
      <c r="R973" s="7">
        <f>$AU$7*EXP(-'3.r(t)'!D971*$AU$21)</f>
        <v>0.91099305977534117</v>
      </c>
      <c r="S973" s="7">
        <f ca="1">$AU$8*EXP(-'3.r(t)'!E971*$AU$22)</f>
        <v>0.92744024227278876</v>
      </c>
      <c r="T973" s="7">
        <f ca="1">$AU$9*EXP(-'3.r(t)'!F971*$AU$23)</f>
        <v>0.94487213845850304</v>
      </c>
      <c r="U973" s="7">
        <f ca="1">$AU$10*EXP(-'3.r(t)'!G971*$AU$24)</f>
        <v>0.97259419594547836</v>
      </c>
      <c r="V973" s="7">
        <v>1</v>
      </c>
      <c r="W973" s="7"/>
      <c r="X973" s="7">
        <v>965</v>
      </c>
      <c r="Y973" s="7">
        <f>$AV$7*EXP(-'3.r(t)'!D971*$AV$21)</f>
        <v>0.88900715067201674</v>
      </c>
      <c r="Z973" s="7">
        <f ca="1">$AV$8*EXP(-'3.r(t)'!E971*$AV$22)</f>
        <v>0.90362743118065125</v>
      </c>
      <c r="AA973" s="7">
        <f ca="1">$AV$9*EXP(-'3.r(t)'!F971*$AV$23)</f>
        <v>0.91783570883215226</v>
      </c>
      <c r="AB973" s="7">
        <f ca="1">$AV$10*EXP(-'3.r(t)'!G971*$AV$24)</f>
        <v>0.94551070188334008</v>
      </c>
      <c r="AC973" s="7">
        <f ca="1">$AV$11*EXP(-'3.r(t)'!H971*$AV$25)</f>
        <v>0.96944247634382086</v>
      </c>
      <c r="AD973" s="7">
        <v>1</v>
      </c>
      <c r="AE973" s="7"/>
      <c r="AF973" s="7">
        <v>965</v>
      </c>
      <c r="AG973" s="7">
        <f>$AW$7*EXP(-'3.r(t)'!D971*$AW$21)</f>
        <v>0.86718755429225491</v>
      </c>
      <c r="AH973" s="7">
        <f ca="1">$AW$8*EXP(-'3.r(t)'!E971*$AW$22)</f>
        <v>0.88005094249404547</v>
      </c>
      <c r="AI973" s="7">
        <f ca="1">$AW$9*EXP(-'3.r(t)'!F971*$AW$23)</f>
        <v>0.89118759644197054</v>
      </c>
      <c r="AJ973" s="7">
        <f ca="1">$AW$10*EXP(-'3.r(t)'!G971*$AW$24)</f>
        <v>0.91877853467451887</v>
      </c>
      <c r="AK973" s="7">
        <f ca="1">$AW$11*EXP(-'3.r(t)'!H971*$AW$25)</f>
        <v>0.93940105835190246</v>
      </c>
      <c r="AL973" s="7">
        <f ca="1">$AW$12*EXP(-'3.r(t)'!I971*$AW$26)</f>
        <v>0.96224184554221781</v>
      </c>
      <c r="AM973" s="7">
        <v>1</v>
      </c>
      <c r="AN973" s="7"/>
    </row>
    <row r="974" spans="2:40">
      <c r="B974" s="7">
        <v>966</v>
      </c>
      <c r="C974" s="7">
        <f>$AR$7*EXP(-'3.r(t)'!D972*$AR$21)</f>
        <v>0.97765346695821032</v>
      </c>
      <c r="D974" s="7">
        <v>1</v>
      </c>
      <c r="E974" s="7"/>
      <c r="F974" s="7">
        <v>966</v>
      </c>
      <c r="G974" s="48">
        <f>$AS$7*EXP(-'3.r(t)'!D972*$AS$21)</f>
        <v>0.9553476245219803</v>
      </c>
      <c r="H974" s="7">
        <f ca="1">$AS$8*EXP(-'3.r(t)'!E972*$AS$22)</f>
        <v>0.97776174253558634</v>
      </c>
      <c r="I974" s="7">
        <v>1</v>
      </c>
      <c r="J974" s="7"/>
      <c r="K974" s="7">
        <v>966</v>
      </c>
      <c r="L974" s="7">
        <f>$AT$7*EXP(-'3.r(t)'!D972*$AT$21)</f>
        <v>0.93311670519824419</v>
      </c>
      <c r="M974" s="7">
        <f ca="1">$AT$8*EXP(-'3.r(t)'!E972*$AT$22)</f>
        <v>0.95556772725575034</v>
      </c>
      <c r="N974" s="7">
        <f ca="1">$AT$9*EXP(-'3.r(t)'!F972*$AT$23)</f>
        <v>0.97747284818535618</v>
      </c>
      <c r="O974" s="7">
        <v>1</v>
      </c>
      <c r="P974" s="7"/>
      <c r="Q974" s="7">
        <v>966</v>
      </c>
      <c r="R974" s="7">
        <f>$AU$7*EXP(-'3.r(t)'!D972*$AU$21)</f>
        <v>0.91099305977534117</v>
      </c>
      <c r="S974" s="7">
        <f ca="1">$AU$8*EXP(-'3.r(t)'!E972*$AU$22)</f>
        <v>0.93345162168470441</v>
      </c>
      <c r="T974" s="7">
        <f ca="1">$AU$9*EXP(-'3.r(t)'!F972*$AU$23)</f>
        <v>0.95501161277478097</v>
      </c>
      <c r="U974" s="7">
        <f ca="1">$AU$10*EXP(-'3.r(t)'!G972*$AU$24)</f>
        <v>0.976722022933178</v>
      </c>
      <c r="V974" s="7">
        <v>1</v>
      </c>
      <c r="W974" s="7"/>
      <c r="X974" s="7">
        <v>966</v>
      </c>
      <c r="Y974" s="7">
        <f>$AV$7*EXP(-'3.r(t)'!D972*$AV$21)</f>
        <v>0.88900715067201674</v>
      </c>
      <c r="Z974" s="7">
        <f ca="1">$AV$8*EXP(-'3.r(t)'!E972*$AV$22)</f>
        <v>0.9114452316150653</v>
      </c>
      <c r="AA974" s="7">
        <f ca="1">$AV$9*EXP(-'3.r(t)'!F972*$AV$23)</f>
        <v>0.93264929080290038</v>
      </c>
      <c r="AB974" s="7">
        <f ca="1">$AV$10*EXP(-'3.r(t)'!G972*$AV$24)</f>
        <v>0.95355349475125306</v>
      </c>
      <c r="AC974" s="7">
        <f ca="1">$AV$11*EXP(-'3.r(t)'!H972*$AV$25)</f>
        <v>0.97566369322671487</v>
      </c>
      <c r="AD974" s="7">
        <v>1</v>
      </c>
      <c r="AE974" s="7"/>
      <c r="AF974" s="7">
        <v>966</v>
      </c>
      <c r="AG974" s="7">
        <f>$AW$7*EXP(-'3.r(t)'!D972*$AW$21)</f>
        <v>0.86718755429225491</v>
      </c>
      <c r="AH974" s="7">
        <f ca="1">$AW$8*EXP(-'3.r(t)'!E972*$AW$22)</f>
        <v>0.88957849609750617</v>
      </c>
      <c r="AI974" s="7">
        <f ca="1">$AW$9*EXP(-'3.r(t)'!F972*$AW$23)</f>
        <v>0.91041698677182148</v>
      </c>
      <c r="AJ974" s="7">
        <f ca="1">$AW$10*EXP(-'3.r(t)'!G972*$AW$24)</f>
        <v>0.93052653123845797</v>
      </c>
      <c r="AK974" s="7">
        <f ca="1">$AW$11*EXP(-'3.r(t)'!H972*$AW$25)</f>
        <v>0.9514966080261279</v>
      </c>
      <c r="AL974" s="7">
        <f ca="1">$AW$12*EXP(-'3.r(t)'!I972*$AW$26)</f>
        <v>0.97141377640980353</v>
      </c>
      <c r="AM974" s="7">
        <v>1</v>
      </c>
      <c r="AN974" s="7"/>
    </row>
    <row r="975" spans="2:40">
      <c r="B975" s="7">
        <v>967</v>
      </c>
      <c r="C975" s="7">
        <f>$AR$7*EXP(-'3.r(t)'!D973*$AR$21)</f>
        <v>0.97765346695821032</v>
      </c>
      <c r="D975" s="7">
        <v>1</v>
      </c>
      <c r="E975" s="7"/>
      <c r="F975" s="7">
        <v>967</v>
      </c>
      <c r="G975" s="48">
        <f>$AS$7*EXP(-'3.r(t)'!D973*$AS$21)</f>
        <v>0.9553476245219803</v>
      </c>
      <c r="H975" s="7">
        <f ca="1">$AS$8*EXP(-'3.r(t)'!E973*$AS$22)</f>
        <v>0.97622966378288345</v>
      </c>
      <c r="I975" s="7">
        <v>1</v>
      </c>
      <c r="J975" s="7"/>
      <c r="K975" s="7">
        <v>967</v>
      </c>
      <c r="L975" s="7">
        <f>$AT$7*EXP(-'3.r(t)'!D973*$AT$21)</f>
        <v>0.93311670519824419</v>
      </c>
      <c r="M975" s="7">
        <f ca="1">$AT$8*EXP(-'3.r(t)'!E973*$AT$22)</f>
        <v>0.95257546859915665</v>
      </c>
      <c r="N975" s="7">
        <f ca="1">$AT$9*EXP(-'3.r(t)'!F973*$AT$23)</f>
        <v>0.97477074097923921</v>
      </c>
      <c r="O975" s="7">
        <v>1</v>
      </c>
      <c r="P975" s="7"/>
      <c r="Q975" s="7">
        <v>967</v>
      </c>
      <c r="R975" s="7">
        <f>$AU$7*EXP(-'3.r(t)'!D973*$AU$21)</f>
        <v>0.91099305977534117</v>
      </c>
      <c r="S975" s="7">
        <f ca="1">$AU$8*EXP(-'3.r(t)'!E973*$AU$22)</f>
        <v>0.92907054924413912</v>
      </c>
      <c r="T975" s="7">
        <f ca="1">$AU$9*EXP(-'3.r(t)'!F973*$AU$23)</f>
        <v>0.9497388791889162</v>
      </c>
      <c r="U975" s="7">
        <f ca="1">$AU$10*EXP(-'3.r(t)'!G973*$AU$24)</f>
        <v>0.97308481459527874</v>
      </c>
      <c r="V975" s="7">
        <v>1</v>
      </c>
      <c r="W975" s="7"/>
      <c r="X975" s="7">
        <v>967</v>
      </c>
      <c r="Y975" s="7">
        <f>$AV$7*EXP(-'3.r(t)'!D973*$AV$21)</f>
        <v>0.88900715067201674</v>
      </c>
      <c r="Z975" s="7">
        <f ca="1">$AV$8*EXP(-'3.r(t)'!E973*$AV$22)</f>
        <v>0.90574598139288309</v>
      </c>
      <c r="AA975" s="7">
        <f ca="1">$AV$9*EXP(-'3.r(t)'!F973*$AV$23)</f>
        <v>0.92493605899307008</v>
      </c>
      <c r="AB975" s="7">
        <f ca="1">$AV$10*EXP(-'3.r(t)'!G973*$AV$24)</f>
        <v>0.94646485560491556</v>
      </c>
      <c r="AC975" s="7">
        <f ca="1">$AV$11*EXP(-'3.r(t)'!H973*$AV$25)</f>
        <v>0.9747988176403739</v>
      </c>
      <c r="AD975" s="7">
        <v>1</v>
      </c>
      <c r="AE975" s="7"/>
      <c r="AF975" s="7">
        <v>967</v>
      </c>
      <c r="AG975" s="7">
        <f>$AW$7*EXP(-'3.r(t)'!D973*$AW$21)</f>
        <v>0.86718755429225491</v>
      </c>
      <c r="AH975" s="7">
        <f ca="1">$AW$8*EXP(-'3.r(t)'!E973*$AW$22)</f>
        <v>0.88263079194408212</v>
      </c>
      <c r="AI975" s="7">
        <f ca="1">$AW$9*EXP(-'3.r(t)'!F973*$AW$23)</f>
        <v>0.90039169617767278</v>
      </c>
      <c r="AJ975" s="7">
        <f ca="1">$AW$10*EXP(-'3.r(t)'!G973*$AW$24)</f>
        <v>0.9201696512741907</v>
      </c>
      <c r="AK975" s="7">
        <f ca="1">$AW$11*EXP(-'3.r(t)'!H973*$AW$25)</f>
        <v>0.94981045028212319</v>
      </c>
      <c r="AL975" s="7">
        <f ca="1">$AW$12*EXP(-'3.r(t)'!I973*$AW$26)</f>
        <v>0.97367608285412477</v>
      </c>
      <c r="AM975" s="7">
        <v>1</v>
      </c>
      <c r="AN975" s="7"/>
    </row>
    <row r="976" spans="2:40">
      <c r="B976" s="7">
        <v>968</v>
      </c>
      <c r="C976" s="7">
        <f>$AR$7*EXP(-'3.r(t)'!D974*$AR$21)</f>
        <v>0.97765346695821032</v>
      </c>
      <c r="D976" s="7">
        <v>1</v>
      </c>
      <c r="E976" s="7"/>
      <c r="F976" s="7">
        <v>968</v>
      </c>
      <c r="G976" s="48">
        <f>$AS$7*EXP(-'3.r(t)'!D974*$AS$21)</f>
        <v>0.9553476245219803</v>
      </c>
      <c r="H976" s="7">
        <f ca="1">$AS$8*EXP(-'3.r(t)'!E974*$AS$22)</f>
        <v>0.97675804390795551</v>
      </c>
      <c r="I976" s="7">
        <v>1</v>
      </c>
      <c r="J976" s="7"/>
      <c r="K976" s="7">
        <v>968</v>
      </c>
      <c r="L976" s="7">
        <f>$AT$7*EXP(-'3.r(t)'!D974*$AT$21)</f>
        <v>0.93311670519824419</v>
      </c>
      <c r="M976" s="7">
        <f ca="1">$AT$8*EXP(-'3.r(t)'!E974*$AT$22)</f>
        <v>0.95360690243965662</v>
      </c>
      <c r="N976" s="7">
        <f ca="1">$AT$9*EXP(-'3.r(t)'!F974*$AT$23)</f>
        <v>0.97777345159263762</v>
      </c>
      <c r="O976" s="7">
        <v>1</v>
      </c>
      <c r="P976" s="7"/>
      <c r="Q976" s="7">
        <v>968</v>
      </c>
      <c r="R976" s="7">
        <f>$AU$7*EXP(-'3.r(t)'!D974*$AU$21)</f>
        <v>0.91099305977534117</v>
      </c>
      <c r="S976" s="7">
        <f ca="1">$AU$8*EXP(-'3.r(t)'!E974*$AU$22)</f>
        <v>0.93057993226536018</v>
      </c>
      <c r="T976" s="7">
        <f ca="1">$AU$9*EXP(-'3.r(t)'!F974*$AU$23)</f>
        <v>0.95559909484820538</v>
      </c>
      <c r="U976" s="7">
        <f ca="1">$AU$10*EXP(-'3.r(t)'!G974*$AU$24)</f>
        <v>0.97394462186381425</v>
      </c>
      <c r="V976" s="7">
        <v>1</v>
      </c>
      <c r="W976" s="7"/>
      <c r="X976" s="7">
        <v>968</v>
      </c>
      <c r="Y976" s="7">
        <f>$AV$7*EXP(-'3.r(t)'!D974*$AV$21)</f>
        <v>0.88900715067201674</v>
      </c>
      <c r="Z976" s="7">
        <f ca="1">$AV$8*EXP(-'3.r(t)'!E974*$AV$22)</f>
        <v>0.90770849851564528</v>
      </c>
      <c r="AA976" s="7">
        <f ca="1">$AV$9*EXP(-'3.r(t)'!F974*$AV$23)</f>
        <v>0.93351001174058401</v>
      </c>
      <c r="AB976" s="7">
        <f ca="1">$AV$10*EXP(-'3.r(t)'!G974*$AV$24)</f>
        <v>0.94813816685694718</v>
      </c>
      <c r="AC976" s="7">
        <f ca="1">$AV$11*EXP(-'3.r(t)'!H974*$AV$25)</f>
        <v>0.9754687844267671</v>
      </c>
      <c r="AD976" s="7">
        <v>1</v>
      </c>
      <c r="AE976" s="7"/>
      <c r="AF976" s="7">
        <v>968</v>
      </c>
      <c r="AG976" s="7">
        <f>$AW$7*EXP(-'3.r(t)'!D974*$AW$21)</f>
        <v>0.86718755429225491</v>
      </c>
      <c r="AH976" s="7">
        <f ca="1">$AW$8*EXP(-'3.r(t)'!E974*$AW$22)</f>
        <v>0.88502197966622032</v>
      </c>
      <c r="AI976" s="7">
        <f ca="1">$AW$9*EXP(-'3.r(t)'!F974*$AW$23)</f>
        <v>0.91153743004475651</v>
      </c>
      <c r="AJ976" s="7">
        <f ca="1">$AW$10*EXP(-'3.r(t)'!G974*$AW$24)</f>
        <v>0.92261096312025859</v>
      </c>
      <c r="AK976" s="7">
        <f ca="1">$AW$11*EXP(-'3.r(t)'!H974*$AW$25)</f>
        <v>0.95111648413899508</v>
      </c>
      <c r="AL976" s="7">
        <f ca="1">$AW$12*EXP(-'3.r(t)'!I974*$AW$26)</f>
        <v>0.97498251256934854</v>
      </c>
      <c r="AM976" s="7">
        <v>1</v>
      </c>
      <c r="AN976" s="7"/>
    </row>
    <row r="977" spans="2:40">
      <c r="B977" s="7">
        <v>969</v>
      </c>
      <c r="C977" s="7">
        <f>$AR$7*EXP(-'3.r(t)'!D975*$AR$21)</f>
        <v>0.97765346695821032</v>
      </c>
      <c r="D977" s="7">
        <v>1</v>
      </c>
      <c r="E977" s="7"/>
      <c r="F977" s="7">
        <v>969</v>
      </c>
      <c r="G977" s="48">
        <f>$AS$7*EXP(-'3.r(t)'!D975*$AS$21)</f>
        <v>0.9553476245219803</v>
      </c>
      <c r="H977" s="7">
        <f ca="1">$AS$8*EXP(-'3.r(t)'!E975*$AS$22)</f>
        <v>0.97521946377281876</v>
      </c>
      <c r="I977" s="7">
        <v>1</v>
      </c>
      <c r="J977" s="7"/>
      <c r="K977" s="7">
        <v>969</v>
      </c>
      <c r="L977" s="7">
        <f>$AT$7*EXP(-'3.r(t)'!D975*$AT$21)</f>
        <v>0.93311670519824419</v>
      </c>
      <c r="M977" s="7">
        <f ca="1">$AT$8*EXP(-'3.r(t)'!E975*$AT$22)</f>
        <v>0.9506050432062334</v>
      </c>
      <c r="N977" s="7">
        <f ca="1">$AT$9*EXP(-'3.r(t)'!F975*$AT$23)</f>
        <v>0.97348069379292446</v>
      </c>
      <c r="O977" s="7">
        <v>1</v>
      </c>
      <c r="P977" s="7"/>
      <c r="Q977" s="7">
        <v>969</v>
      </c>
      <c r="R977" s="7">
        <f>$AU$7*EXP(-'3.r(t)'!D975*$AU$21)</f>
        <v>0.91099305977534117</v>
      </c>
      <c r="S977" s="7">
        <f ca="1">$AU$8*EXP(-'3.r(t)'!E975*$AU$22)</f>
        <v>0.92618933314771423</v>
      </c>
      <c r="T977" s="7">
        <f ca="1">$AU$9*EXP(-'3.r(t)'!F975*$AU$23)</f>
        <v>0.94722670442847379</v>
      </c>
      <c r="U977" s="7">
        <f ca="1">$AU$10*EXP(-'3.r(t)'!G975*$AU$24)</f>
        <v>0.97126575286113748</v>
      </c>
      <c r="V977" s="7">
        <v>1</v>
      </c>
      <c r="W977" s="7"/>
      <c r="X977" s="7">
        <v>969</v>
      </c>
      <c r="Y977" s="7">
        <f>$AV$7*EXP(-'3.r(t)'!D975*$AV$21)</f>
        <v>0.88900715067201674</v>
      </c>
      <c r="Z977" s="7">
        <f ca="1">$AV$8*EXP(-'3.r(t)'!E975*$AV$22)</f>
        <v>0.90200274195949004</v>
      </c>
      <c r="AA977" s="7">
        <f ca="1">$AV$9*EXP(-'3.r(t)'!F975*$AV$23)</f>
        <v>0.92126863443543827</v>
      </c>
      <c r="AB977" s="7">
        <f ca="1">$AV$10*EXP(-'3.r(t)'!G975*$AV$24)</f>
        <v>0.94292956506564063</v>
      </c>
      <c r="AC977" s="7">
        <f ca="1">$AV$11*EXP(-'3.r(t)'!H975*$AV$25)</f>
        <v>0.96914117680958201</v>
      </c>
      <c r="AD977" s="7">
        <v>1</v>
      </c>
      <c r="AE977" s="7"/>
      <c r="AF977" s="7">
        <v>969</v>
      </c>
      <c r="AG977" s="7">
        <f>$AW$7*EXP(-'3.r(t)'!D975*$AW$21)</f>
        <v>0.86718755429225491</v>
      </c>
      <c r="AH977" s="7">
        <f ca="1">$AW$8*EXP(-'3.r(t)'!E975*$AW$22)</f>
        <v>0.8780735127711673</v>
      </c>
      <c r="AI977" s="7">
        <f ca="1">$AW$9*EXP(-'3.r(t)'!F975*$AW$23)</f>
        <v>0.89563470499128039</v>
      </c>
      <c r="AJ977" s="7">
        <f ca="1">$AW$10*EXP(-'3.r(t)'!G975*$AW$24)</f>
        <v>0.91501886191046278</v>
      </c>
      <c r="AK977" s="7">
        <f ca="1">$AW$11*EXP(-'3.r(t)'!H975*$AW$25)</f>
        <v>0.9388172235723693</v>
      </c>
      <c r="AL977" s="7">
        <f ca="1">$AW$12*EXP(-'3.r(t)'!I975*$AW$26)</f>
        <v>0.96701144395181959</v>
      </c>
      <c r="AM977" s="7">
        <v>1</v>
      </c>
      <c r="AN977" s="7"/>
    </row>
    <row r="978" spans="2:40">
      <c r="B978" s="7">
        <v>970</v>
      </c>
      <c r="C978" s="7">
        <f>$AR$7*EXP(-'3.r(t)'!D976*$AR$21)</f>
        <v>0.97765346695821032</v>
      </c>
      <c r="D978" s="7">
        <v>1</v>
      </c>
      <c r="E978" s="7"/>
      <c r="F978" s="7">
        <v>970</v>
      </c>
      <c r="G978" s="48">
        <f>$AS$7*EXP(-'3.r(t)'!D976*$AS$21)</f>
        <v>0.9553476245219803</v>
      </c>
      <c r="H978" s="7">
        <f ca="1">$AS$8*EXP(-'3.r(t)'!E976*$AS$22)</f>
        <v>0.97581901601932197</v>
      </c>
      <c r="I978" s="7">
        <v>1</v>
      </c>
      <c r="J978" s="7"/>
      <c r="K978" s="7">
        <v>970</v>
      </c>
      <c r="L978" s="7">
        <f>$AT$7*EXP(-'3.r(t)'!D976*$AT$21)</f>
        <v>0.93311670519824419</v>
      </c>
      <c r="M978" s="7">
        <f ca="1">$AT$8*EXP(-'3.r(t)'!E976*$AT$22)</f>
        <v>0.95177424174136993</v>
      </c>
      <c r="N978" s="7">
        <f ca="1">$AT$9*EXP(-'3.r(t)'!F976*$AT$23)</f>
        <v>0.97423139399835457</v>
      </c>
      <c r="O978" s="7">
        <v>1</v>
      </c>
      <c r="P978" s="7"/>
      <c r="Q978" s="7">
        <v>970</v>
      </c>
      <c r="R978" s="7">
        <f>$AU$7*EXP(-'3.r(t)'!D976*$AU$21)</f>
        <v>0.91099305977534117</v>
      </c>
      <c r="S978" s="7">
        <f ca="1">$AU$8*EXP(-'3.r(t)'!E976*$AU$22)</f>
        <v>0.92789861103803095</v>
      </c>
      <c r="T978" s="7">
        <f ca="1">$AU$9*EXP(-'3.r(t)'!F976*$AU$23)</f>
        <v>0.94868817657123528</v>
      </c>
      <c r="U978" s="7">
        <f ca="1">$AU$10*EXP(-'3.r(t)'!G976*$AU$24)</f>
        <v>0.97674776329985669</v>
      </c>
      <c r="V978" s="7">
        <v>1</v>
      </c>
      <c r="W978" s="7"/>
      <c r="X978" s="7">
        <v>970</v>
      </c>
      <c r="Y978" s="7">
        <f>$AV$7*EXP(-'3.r(t)'!D976*$AV$21)</f>
        <v>0.88900715067201674</v>
      </c>
      <c r="Z978" s="7">
        <f ca="1">$AV$8*EXP(-'3.r(t)'!E976*$AV$22)</f>
        <v>0.90422294657185243</v>
      </c>
      <c r="AA978" s="7">
        <f ca="1">$AV$9*EXP(-'3.r(t)'!F976*$AV$23)</f>
        <v>0.92340158895539104</v>
      </c>
      <c r="AB978" s="7">
        <f ca="1">$AV$10*EXP(-'3.r(t)'!G976*$AV$24)</f>
        <v>0.95360375498794547</v>
      </c>
      <c r="AC978" s="7">
        <f ca="1">$AV$11*EXP(-'3.r(t)'!H976*$AV$25)</f>
        <v>0.97100247914755289</v>
      </c>
      <c r="AD978" s="7">
        <v>1</v>
      </c>
      <c r="AE978" s="7"/>
      <c r="AF978" s="7">
        <v>970</v>
      </c>
      <c r="AG978" s="7">
        <f>$AW$7*EXP(-'3.r(t)'!D976*$AW$21)</f>
        <v>0.86718755429225491</v>
      </c>
      <c r="AH978" s="7">
        <f ca="1">$AW$8*EXP(-'3.r(t)'!E976*$AW$22)</f>
        <v>0.88077597450020706</v>
      </c>
      <c r="AI978" s="7">
        <f ca="1">$AW$9*EXP(-'3.r(t)'!F976*$AW$23)</f>
        <v>0.89840057919719429</v>
      </c>
      <c r="AJ978" s="7">
        <f ca="1">$AW$10*EXP(-'3.r(t)'!G976*$AW$24)</f>
        <v>0.93060010199285159</v>
      </c>
      <c r="AK978" s="7">
        <f ca="1">$AW$11*EXP(-'3.r(t)'!H976*$AW$25)</f>
        <v>0.94242681267620054</v>
      </c>
      <c r="AL978" s="7">
        <f ca="1">$AW$12*EXP(-'3.r(t)'!I976*$AW$26)</f>
        <v>0.96974549379081154</v>
      </c>
      <c r="AM978" s="7">
        <v>1</v>
      </c>
      <c r="AN978" s="7"/>
    </row>
    <row r="979" spans="2:40">
      <c r="B979" s="7">
        <v>971</v>
      </c>
      <c r="C979" s="7">
        <f>$AR$7*EXP(-'3.r(t)'!D977*$AR$21)</f>
        <v>0.97765346695821032</v>
      </c>
      <c r="D979" s="7">
        <v>1</v>
      </c>
      <c r="E979" s="7"/>
      <c r="F979" s="7">
        <v>971</v>
      </c>
      <c r="G979" s="48">
        <f>$AS$7*EXP(-'3.r(t)'!D977*$AS$21)</f>
        <v>0.9553476245219803</v>
      </c>
      <c r="H979" s="7">
        <f ca="1">$AS$8*EXP(-'3.r(t)'!E977*$AS$22)</f>
        <v>0.97320542831189849</v>
      </c>
      <c r="I979" s="7">
        <v>1</v>
      </c>
      <c r="J979" s="7"/>
      <c r="K979" s="7">
        <v>971</v>
      </c>
      <c r="L979" s="7">
        <f>$AT$7*EXP(-'3.r(t)'!D977*$AT$21)</f>
        <v>0.93311670519824419</v>
      </c>
      <c r="M979" s="7">
        <f ca="1">$AT$8*EXP(-'3.r(t)'!E977*$AT$22)</f>
        <v>0.94668269473242772</v>
      </c>
      <c r="N979" s="7">
        <f ca="1">$AT$9*EXP(-'3.r(t)'!F977*$AT$23)</f>
        <v>0.96995971934011116</v>
      </c>
      <c r="O979" s="7">
        <v>1</v>
      </c>
      <c r="P979" s="7"/>
      <c r="Q979" s="7">
        <v>971</v>
      </c>
      <c r="R979" s="7">
        <f>$AU$7*EXP(-'3.r(t)'!D977*$AU$21)</f>
        <v>0.91099305977534117</v>
      </c>
      <c r="S979" s="7">
        <f ca="1">$AU$8*EXP(-'3.r(t)'!E977*$AU$22)</f>
        <v>0.92046284240602705</v>
      </c>
      <c r="T979" s="7">
        <f ca="1">$AU$9*EXP(-'3.r(t)'!F977*$AU$23)</f>
        <v>0.94038706273848172</v>
      </c>
      <c r="U979" s="7">
        <f ca="1">$AU$10*EXP(-'3.r(t)'!G977*$AU$24)</f>
        <v>0.96939574761443537</v>
      </c>
      <c r="V979" s="7">
        <v>1</v>
      </c>
      <c r="W979" s="7"/>
      <c r="X979" s="7">
        <v>971</v>
      </c>
      <c r="Y979" s="7">
        <f>$AV$7*EXP(-'3.r(t)'!D977*$AV$21)</f>
        <v>0.88900715067201674</v>
      </c>
      <c r="Z979" s="7">
        <f ca="1">$AV$8*EXP(-'3.r(t)'!E977*$AV$22)</f>
        <v>0.89457448352484714</v>
      </c>
      <c r="AA979" s="7">
        <f ca="1">$AV$9*EXP(-'3.r(t)'!F977*$AV$23)</f>
        <v>0.91130835946496747</v>
      </c>
      <c r="AB979" s="7">
        <f ca="1">$AV$10*EXP(-'3.r(t)'!G977*$AV$24)</f>
        <v>0.93930216282403023</v>
      </c>
      <c r="AC979" s="7">
        <f ca="1">$AV$11*EXP(-'3.r(t)'!H977*$AV$25)</f>
        <v>0.96872257771679537</v>
      </c>
      <c r="AD979" s="7">
        <v>1</v>
      </c>
      <c r="AE979" s="7"/>
      <c r="AF979" s="7">
        <v>971</v>
      </c>
      <c r="AG979" s="7">
        <f>$AW$7*EXP(-'3.r(t)'!D977*$AW$21)</f>
        <v>0.86718755429225491</v>
      </c>
      <c r="AH979" s="7">
        <f ca="1">$AW$8*EXP(-'3.r(t)'!E977*$AW$22)</f>
        <v>0.86904384411941749</v>
      </c>
      <c r="AI979" s="7">
        <f ca="1">$AW$9*EXP(-'3.r(t)'!F977*$AW$23)</f>
        <v>0.88274717959340088</v>
      </c>
      <c r="AJ979" s="7">
        <f ca="1">$AW$10*EXP(-'3.r(t)'!G977*$AW$24)</f>
        <v>0.90974389641709152</v>
      </c>
      <c r="AK979" s="7">
        <f ca="1">$AW$11*EXP(-'3.r(t)'!H977*$AW$25)</f>
        <v>0.93800639605572544</v>
      </c>
      <c r="AL979" s="7">
        <f ca="1">$AW$12*EXP(-'3.r(t)'!I977*$AW$26)</f>
        <v>0.96914347058573869</v>
      </c>
      <c r="AM979" s="7">
        <v>1</v>
      </c>
      <c r="AN979" s="7"/>
    </row>
    <row r="980" spans="2:40">
      <c r="B980" s="7">
        <v>972</v>
      </c>
      <c r="C980" s="7">
        <f>$AR$7*EXP(-'3.r(t)'!D978*$AR$21)</f>
        <v>0.97765346695821032</v>
      </c>
      <c r="D980" s="7">
        <v>1</v>
      </c>
      <c r="E980" s="7"/>
      <c r="F980" s="7">
        <v>972</v>
      </c>
      <c r="G980" s="48">
        <f>$AS$7*EXP(-'3.r(t)'!D978*$AS$21)</f>
        <v>0.9553476245219803</v>
      </c>
      <c r="H980" s="7">
        <f ca="1">$AS$8*EXP(-'3.r(t)'!E978*$AS$22)</f>
        <v>0.97294790428891109</v>
      </c>
      <c r="I980" s="7">
        <v>1</v>
      </c>
      <c r="J980" s="7"/>
      <c r="K980" s="7">
        <v>972</v>
      </c>
      <c r="L980" s="7">
        <f>$AT$7*EXP(-'3.r(t)'!D978*$AT$21)</f>
        <v>0.93311670519824419</v>
      </c>
      <c r="M980" s="7">
        <f ca="1">$AT$8*EXP(-'3.r(t)'!E978*$AT$22)</f>
        <v>0.9461817495602638</v>
      </c>
      <c r="N980" s="7">
        <f ca="1">$AT$9*EXP(-'3.r(t)'!F978*$AT$23)</f>
        <v>0.97362191373358187</v>
      </c>
      <c r="O980" s="7">
        <v>1</v>
      </c>
      <c r="P980" s="7"/>
      <c r="Q980" s="7">
        <v>972</v>
      </c>
      <c r="R980" s="7">
        <f>$AU$7*EXP(-'3.r(t)'!D978*$AU$21)</f>
        <v>0.91099305977534117</v>
      </c>
      <c r="S980" s="7">
        <f ca="1">$AU$8*EXP(-'3.r(t)'!E978*$AU$22)</f>
        <v>0.91973233299355961</v>
      </c>
      <c r="T980" s="7">
        <f ca="1">$AU$9*EXP(-'3.r(t)'!F978*$AU$23)</f>
        <v>0.94750154706778444</v>
      </c>
      <c r="U980" s="7">
        <f ca="1">$AU$10*EXP(-'3.r(t)'!G978*$AU$24)</f>
        <v>0.9705053458812799</v>
      </c>
      <c r="V980" s="7">
        <v>1</v>
      </c>
      <c r="W980" s="7"/>
      <c r="X980" s="7">
        <v>972</v>
      </c>
      <c r="Y980" s="7">
        <f>$AV$7*EXP(-'3.r(t)'!D978*$AV$21)</f>
        <v>0.88900715067201674</v>
      </c>
      <c r="Z980" s="7">
        <f ca="1">$AV$8*EXP(-'3.r(t)'!E978*$AV$22)</f>
        <v>0.89362799067242837</v>
      </c>
      <c r="AA980" s="7">
        <f ca="1">$AV$9*EXP(-'3.r(t)'!F978*$AV$23)</f>
        <v>0.92166962967981336</v>
      </c>
      <c r="AB980" s="7">
        <f ca="1">$AV$10*EXP(-'3.r(t)'!G978*$AV$24)</f>
        <v>0.94145369804178725</v>
      </c>
      <c r="AC980" s="7">
        <f ca="1">$AV$11*EXP(-'3.r(t)'!H978*$AV$25)</f>
        <v>0.96964334585058831</v>
      </c>
      <c r="AD980" s="7">
        <v>1</v>
      </c>
      <c r="AE980" s="7"/>
      <c r="AF980" s="7">
        <v>972</v>
      </c>
      <c r="AG980" s="7">
        <f>$AW$7*EXP(-'3.r(t)'!D978*$AW$21)</f>
        <v>0.86718755429225491</v>
      </c>
      <c r="AH980" s="7">
        <f ca="1">$AW$8*EXP(-'3.r(t)'!E978*$AW$22)</f>
        <v>0.86789464555065421</v>
      </c>
      <c r="AI980" s="7">
        <f ca="1">$AW$9*EXP(-'3.r(t)'!F978*$AW$23)</f>
        <v>0.89615452631200954</v>
      </c>
      <c r="AJ980" s="7">
        <f ca="1">$AW$10*EXP(-'3.r(t)'!G978*$AW$24)</f>
        <v>0.91287143067710741</v>
      </c>
      <c r="AK980" s="7">
        <f ca="1">$AW$11*EXP(-'3.r(t)'!H978*$AW$25)</f>
        <v>0.93979038846888197</v>
      </c>
      <c r="AL980" s="7">
        <f ca="1">$AW$12*EXP(-'3.r(t)'!I978*$AW$26)</f>
        <v>0.96810957720988167</v>
      </c>
      <c r="AM980" s="7">
        <v>1</v>
      </c>
      <c r="AN980" s="7"/>
    </row>
    <row r="981" spans="2:40">
      <c r="B981" s="7">
        <v>973</v>
      </c>
      <c r="C981" s="7">
        <f>$AR$7*EXP(-'3.r(t)'!D979*$AR$21)</f>
        <v>0.97765346695821032</v>
      </c>
      <c r="D981" s="7">
        <v>1</v>
      </c>
      <c r="E981" s="7"/>
      <c r="F981" s="7">
        <v>973</v>
      </c>
      <c r="G981" s="48">
        <f>$AS$7*EXP(-'3.r(t)'!D979*$AS$21)</f>
        <v>0.9553476245219803</v>
      </c>
      <c r="H981" s="7">
        <f ca="1">$AS$8*EXP(-'3.r(t)'!E979*$AS$22)</f>
        <v>0.97837841907184797</v>
      </c>
      <c r="I981" s="7">
        <v>1</v>
      </c>
      <c r="J981" s="7"/>
      <c r="K981" s="7">
        <v>973</v>
      </c>
      <c r="L981" s="7">
        <f>$AT$7*EXP(-'3.r(t)'!D979*$AT$21)</f>
        <v>0.93311670519824419</v>
      </c>
      <c r="M981" s="7">
        <f ca="1">$AT$8*EXP(-'3.r(t)'!E979*$AT$22)</f>
        <v>0.95677346480811554</v>
      </c>
      <c r="N981" s="7">
        <f ca="1">$AT$9*EXP(-'3.r(t)'!F979*$AT$23)</f>
        <v>0.97814635292819174</v>
      </c>
      <c r="O981" s="7">
        <v>1</v>
      </c>
      <c r="P981" s="7"/>
      <c r="Q981" s="7">
        <v>973</v>
      </c>
      <c r="R981" s="7">
        <f>$AU$7*EXP(-'3.r(t)'!D979*$AU$21)</f>
        <v>0.91099305977534117</v>
      </c>
      <c r="S981" s="7">
        <f ca="1">$AU$8*EXP(-'3.r(t)'!E979*$AU$22)</f>
        <v>0.93521892598830259</v>
      </c>
      <c r="T981" s="7">
        <f ca="1">$AU$9*EXP(-'3.r(t)'!F979*$AU$23)</f>
        <v>0.95632812288443858</v>
      </c>
      <c r="U981" s="7">
        <f ca="1">$AU$10*EXP(-'3.r(t)'!G979*$AU$24)</f>
        <v>0.98067908848868668</v>
      </c>
      <c r="V981" s="7">
        <v>1</v>
      </c>
      <c r="W981" s="7"/>
      <c r="X981" s="7">
        <v>973</v>
      </c>
      <c r="Y981" s="7">
        <f>$AV$7*EXP(-'3.r(t)'!D979*$AV$21)</f>
        <v>0.88900715067201674</v>
      </c>
      <c r="Z981" s="7">
        <f ca="1">$AV$8*EXP(-'3.r(t)'!E979*$AV$22)</f>
        <v>0.913746810140174</v>
      </c>
      <c r="AA981" s="7">
        <f ca="1">$AV$9*EXP(-'3.r(t)'!F979*$AV$23)</f>
        <v>0.93457847982036535</v>
      </c>
      <c r="AB981" s="7">
        <f ca="1">$AV$10*EXP(-'3.r(t)'!G979*$AV$24)</f>
        <v>0.96129554841818809</v>
      </c>
      <c r="AC981" s="7">
        <f ca="1">$AV$11*EXP(-'3.r(t)'!H979*$AV$25)</f>
        <v>0.97855640626381357</v>
      </c>
      <c r="AD981" s="7">
        <v>1</v>
      </c>
      <c r="AE981" s="7"/>
      <c r="AF981" s="7">
        <v>973</v>
      </c>
      <c r="AG981" s="7">
        <f>$AW$7*EXP(-'3.r(t)'!D979*$AW$21)</f>
        <v>0.86718755429225491</v>
      </c>
      <c r="AH981" s="7">
        <f ca="1">$AW$8*EXP(-'3.r(t)'!E979*$AW$22)</f>
        <v>0.89238733276204496</v>
      </c>
      <c r="AI981" s="7">
        <f ca="1">$AW$9*EXP(-'3.r(t)'!F979*$AW$23)</f>
        <v>0.91292878722386539</v>
      </c>
      <c r="AJ981" s="7">
        <f ca="1">$AW$10*EXP(-'3.r(t)'!G979*$AW$24)</f>
        <v>0.94188214417671912</v>
      </c>
      <c r="AK981" s="7">
        <f ca="1">$AW$11*EXP(-'3.r(t)'!H979*$AW$25)</f>
        <v>0.95714709378606921</v>
      </c>
      <c r="AL981" s="7">
        <f ca="1">$AW$12*EXP(-'3.r(t)'!I979*$AW$26)</f>
        <v>0.97884962866125591</v>
      </c>
      <c r="AM981" s="7">
        <v>1</v>
      </c>
      <c r="AN981" s="7"/>
    </row>
    <row r="982" spans="2:40">
      <c r="B982" s="7">
        <v>974</v>
      </c>
      <c r="C982" s="7">
        <f>$AR$7*EXP(-'3.r(t)'!D980*$AR$21)</f>
        <v>0.97765346695821032</v>
      </c>
      <c r="D982" s="7">
        <v>1</v>
      </c>
      <c r="E982" s="7"/>
      <c r="F982" s="7">
        <v>974</v>
      </c>
      <c r="G982" s="48">
        <f>$AS$7*EXP(-'3.r(t)'!D980*$AS$21)</f>
        <v>0.9553476245219803</v>
      </c>
      <c r="H982" s="7">
        <f ca="1">$AS$8*EXP(-'3.r(t)'!E980*$AS$22)</f>
        <v>0.97662711173261785</v>
      </c>
      <c r="I982" s="7">
        <v>1</v>
      </c>
      <c r="J982" s="7"/>
      <c r="K982" s="7">
        <v>974</v>
      </c>
      <c r="L982" s="7">
        <f>$AT$7*EXP(-'3.r(t)'!D980*$AT$21)</f>
        <v>0.93311670519824419</v>
      </c>
      <c r="M982" s="7">
        <f ca="1">$AT$8*EXP(-'3.r(t)'!E980*$AT$22)</f>
        <v>0.95335126193896236</v>
      </c>
      <c r="N982" s="7">
        <f ca="1">$AT$9*EXP(-'3.r(t)'!F980*$AT$23)</f>
        <v>0.9747257460761547</v>
      </c>
      <c r="O982" s="7">
        <v>1</v>
      </c>
      <c r="P982" s="7"/>
      <c r="Q982" s="7">
        <v>974</v>
      </c>
      <c r="R982" s="7">
        <f>$AU$7*EXP(-'3.r(t)'!D980*$AU$21)</f>
        <v>0.91099305977534117</v>
      </c>
      <c r="S982" s="7">
        <f ca="1">$AU$8*EXP(-'3.r(t)'!E980*$AU$22)</f>
        <v>0.93020575611111733</v>
      </c>
      <c r="T982" s="7">
        <f ca="1">$AU$9*EXP(-'3.r(t)'!F980*$AU$23)</f>
        <v>0.94965120232141831</v>
      </c>
      <c r="U982" s="7">
        <f ca="1">$AU$10*EXP(-'3.r(t)'!G980*$AU$24)</f>
        <v>0.97209725282780335</v>
      </c>
      <c r="V982" s="7">
        <v>1</v>
      </c>
      <c r="W982" s="7"/>
      <c r="X982" s="7">
        <v>974</v>
      </c>
      <c r="Y982" s="7">
        <f>$AV$7*EXP(-'3.r(t)'!D980*$AV$21)</f>
        <v>0.88900715067201674</v>
      </c>
      <c r="Z982" s="7">
        <f ca="1">$AV$8*EXP(-'3.r(t)'!E980*$AV$22)</f>
        <v>0.90722189140078313</v>
      </c>
      <c r="AA982" s="7">
        <f ca="1">$AV$9*EXP(-'3.r(t)'!F980*$AV$23)</f>
        <v>0.92480798122387942</v>
      </c>
      <c r="AB982" s="7">
        <f ca="1">$AV$10*EXP(-'3.r(t)'!G980*$AV$24)</f>
        <v>0.9445447388946322</v>
      </c>
      <c r="AC982" s="7">
        <f ca="1">$AV$11*EXP(-'3.r(t)'!H980*$AV$25)</f>
        <v>0.96924140807671189</v>
      </c>
      <c r="AD982" s="7">
        <v>1</v>
      </c>
      <c r="AE982" s="7"/>
      <c r="AF982" s="7">
        <v>974</v>
      </c>
      <c r="AG982" s="7">
        <f>$AW$7*EXP(-'3.r(t)'!D980*$AW$21)</f>
        <v>0.86718755429225491</v>
      </c>
      <c r="AH982" s="7">
        <f ca="1">$AW$8*EXP(-'3.r(t)'!E980*$AW$22)</f>
        <v>0.88442896284089056</v>
      </c>
      <c r="AI982" s="7">
        <f ca="1">$AW$9*EXP(-'3.r(t)'!F980*$AW$23)</f>
        <v>0.90022546126560499</v>
      </c>
      <c r="AJ982" s="7">
        <f ca="1">$AW$10*EXP(-'3.r(t)'!G980*$AW$24)</f>
        <v>0.91737091547514316</v>
      </c>
      <c r="AK982" s="7">
        <f ca="1">$AW$11*EXP(-'3.r(t)'!H980*$AW$25)</f>
        <v>0.93901142377385771</v>
      </c>
      <c r="AL982" s="7">
        <f ca="1">$AW$12*EXP(-'3.r(t)'!I980*$AW$26)</f>
        <v>0.96608553440612299</v>
      </c>
      <c r="AM982" s="7">
        <v>1</v>
      </c>
      <c r="AN982" s="7"/>
    </row>
    <row r="983" spans="2:40">
      <c r="B983" s="7">
        <v>975</v>
      </c>
      <c r="C983" s="7">
        <f>$AR$7*EXP(-'3.r(t)'!D981*$AR$21)</f>
        <v>0.97765346695821032</v>
      </c>
      <c r="D983" s="7">
        <v>1</v>
      </c>
      <c r="E983" s="7"/>
      <c r="F983" s="7">
        <v>975</v>
      </c>
      <c r="G983" s="48">
        <f>$AS$7*EXP(-'3.r(t)'!D981*$AS$21)</f>
        <v>0.9553476245219803</v>
      </c>
      <c r="H983" s="7">
        <f ca="1">$AS$8*EXP(-'3.r(t)'!E981*$AS$22)</f>
        <v>0.97306508629398847</v>
      </c>
      <c r="I983" s="7">
        <v>1</v>
      </c>
      <c r="J983" s="7"/>
      <c r="K983" s="7">
        <v>975</v>
      </c>
      <c r="L983" s="7">
        <f>$AT$7*EXP(-'3.r(t)'!D981*$AT$21)</f>
        <v>0.93311670519824419</v>
      </c>
      <c r="M983" s="7">
        <f ca="1">$AT$8*EXP(-'3.r(t)'!E981*$AT$22)</f>
        <v>0.94640967985544688</v>
      </c>
      <c r="N983" s="7">
        <f ca="1">$AT$9*EXP(-'3.r(t)'!F981*$AT$23)</f>
        <v>0.97388057578901699</v>
      </c>
      <c r="O983" s="7">
        <v>1</v>
      </c>
      <c r="P983" s="7"/>
      <c r="Q983" s="7">
        <v>975</v>
      </c>
      <c r="R983" s="7">
        <f>$AU$7*EXP(-'3.r(t)'!D981*$AU$21)</f>
        <v>0.91099305977534117</v>
      </c>
      <c r="S983" s="7">
        <f ca="1">$AU$8*EXP(-'3.r(t)'!E981*$AU$22)</f>
        <v>0.9200646911584599</v>
      </c>
      <c r="T983" s="7">
        <f ca="1">$AU$9*EXP(-'3.r(t)'!F981*$AU$23)</f>
        <v>0.9480050592623751</v>
      </c>
      <c r="U983" s="7">
        <f ca="1">$AU$10*EXP(-'3.r(t)'!G981*$AU$24)</f>
        <v>0.97225428066356778</v>
      </c>
      <c r="V983" s="7">
        <v>1</v>
      </c>
      <c r="W983" s="7"/>
      <c r="X983" s="7">
        <v>975</v>
      </c>
      <c r="Y983" s="7">
        <f>$AV$7*EXP(-'3.r(t)'!D981*$AV$21)</f>
        <v>0.88900715067201674</v>
      </c>
      <c r="Z983" s="7">
        <f ca="1">$AV$8*EXP(-'3.r(t)'!E981*$AV$22)</f>
        <v>0.8940585832623017</v>
      </c>
      <c r="AA983" s="7">
        <f ca="1">$AV$9*EXP(-'3.r(t)'!F981*$AV$23)</f>
        <v>0.92240440454176209</v>
      </c>
      <c r="AB983" s="7">
        <f ca="1">$AV$10*EXP(-'3.r(t)'!G981*$AV$24)</f>
        <v>0.94484991781603866</v>
      </c>
      <c r="AC983" s="7">
        <f ca="1">$AV$11*EXP(-'3.r(t)'!H981*$AV$25)</f>
        <v>0.97222452522011149</v>
      </c>
      <c r="AD983" s="7">
        <v>1</v>
      </c>
      <c r="AE983" s="7"/>
      <c r="AF983" s="7">
        <v>975</v>
      </c>
      <c r="AG983" s="7">
        <f>$AW$7*EXP(-'3.r(t)'!D981*$AW$21)</f>
        <v>0.86718755429225491</v>
      </c>
      <c r="AH983" s="7">
        <f ca="1">$AW$8*EXP(-'3.r(t)'!E981*$AW$22)</f>
        <v>0.86841741832803976</v>
      </c>
      <c r="AI983" s="7">
        <f ca="1">$AW$9*EXP(-'3.r(t)'!F981*$AW$23)</f>
        <v>0.89710723108889268</v>
      </c>
      <c r="AJ983" s="7">
        <f ca="1">$AW$10*EXP(-'3.r(t)'!G981*$AW$24)</f>
        <v>0.91781555012418869</v>
      </c>
      <c r="AK983" s="7">
        <f ca="1">$AW$11*EXP(-'3.r(t)'!H981*$AW$25)</f>
        <v>0.94480047027964442</v>
      </c>
      <c r="AL983" s="7">
        <f ca="1">$AW$12*EXP(-'3.r(t)'!I981*$AW$26)</f>
        <v>0.97251784179685841</v>
      </c>
      <c r="AM983" s="7">
        <v>1</v>
      </c>
      <c r="AN983" s="7"/>
    </row>
    <row r="984" spans="2:40">
      <c r="B984" s="7">
        <v>976</v>
      </c>
      <c r="C984" s="7">
        <f>$AR$7*EXP(-'3.r(t)'!D982*$AR$21)</f>
        <v>0.97765346695821032</v>
      </c>
      <c r="D984" s="7">
        <v>1</v>
      </c>
      <c r="E984" s="7"/>
      <c r="F984" s="7">
        <v>976</v>
      </c>
      <c r="G984" s="48">
        <f>$AS$7*EXP(-'3.r(t)'!D982*$AS$21)</f>
        <v>0.9553476245219803</v>
      </c>
      <c r="H984" s="7">
        <f ca="1">$AS$8*EXP(-'3.r(t)'!E982*$AS$22)</f>
        <v>0.97609317526249983</v>
      </c>
      <c r="I984" s="7">
        <v>1</v>
      </c>
      <c r="J984" s="7"/>
      <c r="K984" s="7">
        <v>976</v>
      </c>
      <c r="L984" s="7">
        <f>$AT$7*EXP(-'3.r(t)'!D982*$AT$21)</f>
        <v>0.93311670519824419</v>
      </c>
      <c r="M984" s="7">
        <f ca="1">$AT$8*EXP(-'3.r(t)'!E982*$AT$22)</f>
        <v>0.95230912445449278</v>
      </c>
      <c r="N984" s="7">
        <f ca="1">$AT$9*EXP(-'3.r(t)'!F982*$AT$23)</f>
        <v>0.97680987536311059</v>
      </c>
      <c r="O984" s="7">
        <v>1</v>
      </c>
      <c r="P984" s="7"/>
      <c r="Q984" s="7">
        <v>976</v>
      </c>
      <c r="R984" s="7">
        <f>$AU$7*EXP(-'3.r(t)'!D982*$AU$21)</f>
        <v>0.91099305977534117</v>
      </c>
      <c r="S984" s="7">
        <f ca="1">$AU$8*EXP(-'3.r(t)'!E982*$AU$22)</f>
        <v>0.9286809183787712</v>
      </c>
      <c r="T984" s="7">
        <f ca="1">$AU$9*EXP(-'3.r(t)'!F982*$AU$23)</f>
        <v>0.95371657521157771</v>
      </c>
      <c r="U984" s="7">
        <f ca="1">$AU$10*EXP(-'3.r(t)'!G982*$AU$24)</f>
        <v>0.97558523177538747</v>
      </c>
      <c r="V984" s="7">
        <v>1</v>
      </c>
      <c r="W984" s="7"/>
      <c r="X984" s="7">
        <v>976</v>
      </c>
      <c r="Y984" s="7">
        <f>$AV$7*EXP(-'3.r(t)'!D982*$AV$21)</f>
        <v>0.88900715067201674</v>
      </c>
      <c r="Z984" s="7">
        <f ca="1">$AV$8*EXP(-'3.r(t)'!E982*$AV$22)</f>
        <v>0.90523955136027223</v>
      </c>
      <c r="AA984" s="7">
        <f ca="1">$AV$9*EXP(-'3.r(t)'!F982*$AV$23)</f>
        <v>0.93075286416261871</v>
      </c>
      <c r="AB984" s="7">
        <f ca="1">$AV$10*EXP(-'3.r(t)'!G982*$AV$24)</f>
        <v>0.95133513510364043</v>
      </c>
      <c r="AC984" s="7">
        <f ca="1">$AV$11*EXP(-'3.r(t)'!H982*$AV$25)</f>
        <v>0.97713167124674372</v>
      </c>
      <c r="AD984" s="7">
        <v>1</v>
      </c>
      <c r="AE984" s="7"/>
      <c r="AF984" s="7">
        <v>976</v>
      </c>
      <c r="AG984" s="7">
        <f>$AW$7*EXP(-'3.r(t)'!D982*$AW$21)</f>
        <v>0.86718755429225491</v>
      </c>
      <c r="AH984" s="7">
        <f ca="1">$AW$8*EXP(-'3.r(t)'!E982*$AW$22)</f>
        <v>0.88201395302787033</v>
      </c>
      <c r="AI984" s="7">
        <f ca="1">$AW$9*EXP(-'3.r(t)'!F982*$AW$23)</f>
        <v>0.90794953030098946</v>
      </c>
      <c r="AJ984" s="7">
        <f ca="1">$AW$10*EXP(-'3.r(t)'!G982*$AW$24)</f>
        <v>0.92728123642855609</v>
      </c>
      <c r="AK984" s="7">
        <f ca="1">$AW$11*EXP(-'3.r(t)'!H982*$AW$25)</f>
        <v>0.95436199475127592</v>
      </c>
      <c r="AL984" s="7">
        <f ca="1">$AW$12*EXP(-'3.r(t)'!I982*$AW$26)</f>
        <v>0.97956628085526076</v>
      </c>
      <c r="AM984" s="7">
        <v>1</v>
      </c>
      <c r="AN984" s="7"/>
    </row>
    <row r="985" spans="2:40">
      <c r="B985" s="7">
        <v>977</v>
      </c>
      <c r="C985" s="7">
        <f>$AR$7*EXP(-'3.r(t)'!D983*$AR$21)</f>
        <v>0.97765346695821032</v>
      </c>
      <c r="D985" s="7">
        <v>1</v>
      </c>
      <c r="E985" s="7"/>
      <c r="F985" s="7">
        <v>977</v>
      </c>
      <c r="G985" s="48">
        <f>$AS$7*EXP(-'3.r(t)'!D983*$AS$21)</f>
        <v>0.9553476245219803</v>
      </c>
      <c r="H985" s="7">
        <f ca="1">$AS$8*EXP(-'3.r(t)'!E983*$AS$22)</f>
        <v>0.97892544524183722</v>
      </c>
      <c r="I985" s="7">
        <v>1</v>
      </c>
      <c r="J985" s="7"/>
      <c r="K985" s="7">
        <v>977</v>
      </c>
      <c r="L985" s="7">
        <f>$AT$7*EXP(-'3.r(t)'!D983*$AT$21)</f>
        <v>0.93311670519824419</v>
      </c>
      <c r="M985" s="7">
        <f ca="1">$AT$8*EXP(-'3.r(t)'!E983*$AT$22)</f>
        <v>0.957843656931464</v>
      </c>
      <c r="N985" s="7">
        <f ca="1">$AT$9*EXP(-'3.r(t)'!F983*$AT$23)</f>
        <v>0.98177324284601042</v>
      </c>
      <c r="O985" s="7">
        <v>1</v>
      </c>
      <c r="P985" s="7"/>
      <c r="Q985" s="7">
        <v>977</v>
      </c>
      <c r="R985" s="7">
        <f>$AU$7*EXP(-'3.r(t)'!D983*$AU$21)</f>
        <v>0.91099305977534117</v>
      </c>
      <c r="S985" s="7">
        <f ca="1">$AU$8*EXP(-'3.r(t)'!E983*$AU$22)</f>
        <v>0.93678848836147888</v>
      </c>
      <c r="T985" s="7">
        <f ca="1">$AU$9*EXP(-'3.r(t)'!F983*$AU$23)</f>
        <v>0.96343325040168115</v>
      </c>
      <c r="U985" s="7">
        <f ca="1">$AU$10*EXP(-'3.r(t)'!G983*$AU$24)</f>
        <v>0.97981672584024926</v>
      </c>
      <c r="V985" s="7">
        <v>1</v>
      </c>
      <c r="W985" s="7"/>
      <c r="X985" s="7">
        <v>977</v>
      </c>
      <c r="Y985" s="7">
        <f>$AV$7*EXP(-'3.r(t)'!D983*$AV$21)</f>
        <v>0.88900715067201674</v>
      </c>
      <c r="Z985" s="7">
        <f ca="1">$AV$8*EXP(-'3.r(t)'!E983*$AV$22)</f>
        <v>0.91579208329599104</v>
      </c>
      <c r="AA985" s="7">
        <f ca="1">$AV$9*EXP(-'3.r(t)'!F983*$AV$23)</f>
        <v>0.94501310612117939</v>
      </c>
      <c r="AB985" s="7">
        <f ca="1">$AV$10*EXP(-'3.r(t)'!G983*$AV$24)</f>
        <v>0.95960565638399797</v>
      </c>
      <c r="AC985" s="7">
        <f ca="1">$AV$11*EXP(-'3.r(t)'!H983*$AV$25)</f>
        <v>0.98003602680615465</v>
      </c>
      <c r="AD985" s="7">
        <v>1</v>
      </c>
      <c r="AE985" s="7"/>
      <c r="AF985" s="7">
        <v>977</v>
      </c>
      <c r="AG985" s="7">
        <f>$AW$7*EXP(-'3.r(t)'!D983*$AW$21)</f>
        <v>0.86718755429225491</v>
      </c>
      <c r="AH985" s="7">
        <f ca="1">$AW$8*EXP(-'3.r(t)'!E983*$AW$22)</f>
        <v>0.89488486027779468</v>
      </c>
      <c r="AI985" s="7">
        <f ca="1">$AW$9*EXP(-'3.r(t)'!F983*$AW$23)</f>
        <v>0.92654455617131659</v>
      </c>
      <c r="AJ985" s="7">
        <f ca="1">$AW$10*EXP(-'3.r(t)'!G983*$AW$24)</f>
        <v>0.93939958912753529</v>
      </c>
      <c r="AK985" s="7">
        <f ca="1">$AW$11*EXP(-'3.r(t)'!H983*$AW$25)</f>
        <v>0.96004377952109765</v>
      </c>
      <c r="AL985" s="7">
        <f ca="1">$AW$12*EXP(-'3.r(t)'!I983*$AW$26)</f>
        <v>0.97796296449721576</v>
      </c>
      <c r="AM985" s="7">
        <v>1</v>
      </c>
      <c r="AN985" s="7"/>
    </row>
    <row r="986" spans="2:40">
      <c r="B986" s="7">
        <v>978</v>
      </c>
      <c r="C986" s="7">
        <f>$AR$7*EXP(-'3.r(t)'!D984*$AR$21)</f>
        <v>0.97765346695821032</v>
      </c>
      <c r="D986" s="7">
        <v>1</v>
      </c>
      <c r="E986" s="7"/>
      <c r="F986" s="7">
        <v>978</v>
      </c>
      <c r="G986" s="48">
        <f>$AS$7*EXP(-'3.r(t)'!D984*$AS$21)</f>
        <v>0.9553476245219803</v>
      </c>
      <c r="H986" s="7">
        <f ca="1">$AS$8*EXP(-'3.r(t)'!E984*$AS$22)</f>
        <v>0.98047786147535931</v>
      </c>
      <c r="I986" s="7">
        <v>1</v>
      </c>
      <c r="J986" s="7"/>
      <c r="K986" s="7">
        <v>978</v>
      </c>
      <c r="L986" s="7">
        <f>$AT$7*EXP(-'3.r(t)'!D984*$AT$21)</f>
        <v>0.93311670519824419</v>
      </c>
      <c r="M986" s="7">
        <f ca="1">$AT$8*EXP(-'3.r(t)'!E984*$AT$22)</f>
        <v>0.96088403369785247</v>
      </c>
      <c r="N986" s="7">
        <f ca="1">$AT$9*EXP(-'3.r(t)'!F984*$AT$23)</f>
        <v>0.98144366826710128</v>
      </c>
      <c r="O986" s="7">
        <v>1</v>
      </c>
      <c r="P986" s="7"/>
      <c r="Q986" s="7">
        <v>978</v>
      </c>
      <c r="R986" s="7">
        <f>$AU$7*EXP(-'3.r(t)'!D984*$AU$21)</f>
        <v>0.91099305977534117</v>
      </c>
      <c r="S986" s="7">
        <f ca="1">$AU$8*EXP(-'3.r(t)'!E984*$AU$22)</f>
        <v>0.94125234148626646</v>
      </c>
      <c r="T986" s="7">
        <f ca="1">$AU$9*EXP(-'3.r(t)'!F984*$AU$23)</f>
        <v>0.96278652303372503</v>
      </c>
      <c r="U986" s="7">
        <f ca="1">$AU$10*EXP(-'3.r(t)'!G984*$AU$24)</f>
        <v>0.979344370558482</v>
      </c>
      <c r="V986" s="7">
        <v>1</v>
      </c>
      <c r="W986" s="7"/>
      <c r="X986" s="7">
        <v>978</v>
      </c>
      <c r="Y986" s="7">
        <f>$AV$7*EXP(-'3.r(t)'!D984*$AV$21)</f>
        <v>0.88900715067201674</v>
      </c>
      <c r="Z986" s="7">
        <f ca="1">$AV$8*EXP(-'3.r(t)'!E984*$AV$22)</f>
        <v>0.92161510458752605</v>
      </c>
      <c r="AA986" s="7">
        <f ca="1">$AV$9*EXP(-'3.r(t)'!F984*$AV$23)</f>
        <v>0.94406172221026941</v>
      </c>
      <c r="AB986" s="7">
        <f ca="1">$AV$10*EXP(-'3.r(t)'!G984*$AV$24)</f>
        <v>0.95868065575952011</v>
      </c>
      <c r="AC986" s="7">
        <f ca="1">$AV$11*EXP(-'3.r(t)'!H984*$AV$25)</f>
        <v>0.97704189049411694</v>
      </c>
      <c r="AD986" s="7">
        <v>1</v>
      </c>
      <c r="AE986" s="7"/>
      <c r="AF986" s="7">
        <v>978</v>
      </c>
      <c r="AG986" s="7">
        <f>$AW$7*EXP(-'3.r(t)'!D984*$AW$21)</f>
        <v>0.86718755429225491</v>
      </c>
      <c r="AH986" s="7">
        <f ca="1">$AW$8*EXP(-'3.r(t)'!E984*$AW$22)</f>
        <v>0.90200310907216397</v>
      </c>
      <c r="AI986" s="7">
        <f ca="1">$AW$9*EXP(-'3.r(t)'!F984*$AW$23)</f>
        <v>0.92530104376196887</v>
      </c>
      <c r="AJ986" s="7">
        <f ca="1">$AW$10*EXP(-'3.r(t)'!G984*$AW$24)</f>
        <v>0.93804163167164112</v>
      </c>
      <c r="AK986" s="7">
        <f ca="1">$AW$11*EXP(-'3.r(t)'!H984*$AW$25)</f>
        <v>0.954186625547078</v>
      </c>
      <c r="AL986" s="7">
        <f ca="1">$AW$12*EXP(-'3.r(t)'!I984*$AW$26)</f>
        <v>0.97613805832110367</v>
      </c>
      <c r="AM986" s="7">
        <v>1</v>
      </c>
      <c r="AN986" s="7"/>
    </row>
    <row r="987" spans="2:40">
      <c r="B987" s="7">
        <v>979</v>
      </c>
      <c r="C987" s="7">
        <f>$AR$7*EXP(-'3.r(t)'!D985*$AR$21)</f>
        <v>0.97765346695821032</v>
      </c>
      <c r="D987" s="7">
        <v>1</v>
      </c>
      <c r="E987" s="7"/>
      <c r="F987" s="7">
        <v>979</v>
      </c>
      <c r="G987" s="48">
        <f>$AS$7*EXP(-'3.r(t)'!D985*$AS$21)</f>
        <v>0.9553476245219803</v>
      </c>
      <c r="H987" s="7">
        <f ca="1">$AS$8*EXP(-'3.r(t)'!E985*$AS$22)</f>
        <v>0.97690520414099213</v>
      </c>
      <c r="I987" s="7">
        <v>1</v>
      </c>
      <c r="J987" s="7"/>
      <c r="K987" s="7">
        <v>979</v>
      </c>
      <c r="L987" s="7">
        <f>$AT$7*EXP(-'3.r(t)'!D985*$AT$21)</f>
        <v>0.93311670519824419</v>
      </c>
      <c r="M987" s="7">
        <f ca="1">$AT$8*EXP(-'3.r(t)'!E985*$AT$22)</f>
        <v>0.9538942685612537</v>
      </c>
      <c r="N987" s="7">
        <f ca="1">$AT$9*EXP(-'3.r(t)'!F985*$AT$23)</f>
        <v>0.97750368339726812</v>
      </c>
      <c r="O987" s="7">
        <v>1</v>
      </c>
      <c r="P987" s="7"/>
      <c r="Q987" s="7">
        <v>979</v>
      </c>
      <c r="R987" s="7">
        <f>$AU$7*EXP(-'3.r(t)'!D985*$AU$21)</f>
        <v>0.91099305977534117</v>
      </c>
      <c r="S987" s="7">
        <f ca="1">$AU$8*EXP(-'3.r(t)'!E985*$AU$22)</f>
        <v>0.93100060448980904</v>
      </c>
      <c r="T987" s="7">
        <f ca="1">$AU$9*EXP(-'3.r(t)'!F985*$AU$23)</f>
        <v>0.95507186703144653</v>
      </c>
      <c r="U987" s="7">
        <f ca="1">$AU$10*EXP(-'3.r(t)'!G985*$AU$24)</f>
        <v>0.97893697528528012</v>
      </c>
      <c r="V987" s="7">
        <v>1</v>
      </c>
      <c r="W987" s="7"/>
      <c r="X987" s="7">
        <v>979</v>
      </c>
      <c r="Y987" s="7">
        <f>$AV$7*EXP(-'3.r(t)'!D985*$AV$21)</f>
        <v>0.88900715067201674</v>
      </c>
      <c r="Z987" s="7">
        <f ca="1">$AV$8*EXP(-'3.r(t)'!E985*$AV$22)</f>
        <v>0.90825565053899704</v>
      </c>
      <c r="AA987" s="7">
        <f ca="1">$AV$9*EXP(-'3.r(t)'!F985*$AV$23)</f>
        <v>0.9327375572313551</v>
      </c>
      <c r="AB987" s="7">
        <f ca="1">$AV$10*EXP(-'3.r(t)'!G985*$AV$24)</f>
        <v>0.95788322281375393</v>
      </c>
      <c r="AC987" s="7">
        <f ca="1">$AV$11*EXP(-'3.r(t)'!H985*$AV$25)</f>
        <v>0.97885682395882578</v>
      </c>
      <c r="AD987" s="7">
        <v>1</v>
      </c>
      <c r="AE987" s="7"/>
      <c r="AF987" s="7">
        <v>979</v>
      </c>
      <c r="AG987" s="7">
        <f>$AW$7*EXP(-'3.r(t)'!D985*$AW$21)</f>
        <v>0.86718755429225491</v>
      </c>
      <c r="AH987" s="7">
        <f ca="1">$AW$8*EXP(-'3.r(t)'!E985*$AW$22)</f>
        <v>0.88568887609938773</v>
      </c>
      <c r="AI987" s="7">
        <f ca="1">$AW$9*EXP(-'3.r(t)'!F985*$AW$23)</f>
        <v>0.91053187171894034</v>
      </c>
      <c r="AJ987" s="7">
        <f ca="1">$AW$10*EXP(-'3.r(t)'!G985*$AW$24)</f>
        <v>0.93687147705883178</v>
      </c>
      <c r="AK987" s="7">
        <f ca="1">$AW$11*EXP(-'3.r(t)'!H985*$AW$25)</f>
        <v>0.95773487403048485</v>
      </c>
      <c r="AL987" s="7">
        <f ca="1">$AW$12*EXP(-'3.r(t)'!I985*$AW$26)</f>
        <v>0.97440805113146456</v>
      </c>
      <c r="AM987" s="7">
        <v>1</v>
      </c>
      <c r="AN987" s="7"/>
    </row>
    <row r="988" spans="2:40">
      <c r="B988" s="7">
        <v>980</v>
      </c>
      <c r="C988" s="7">
        <f>$AR$7*EXP(-'3.r(t)'!D986*$AR$21)</f>
        <v>0.97765346695821032</v>
      </c>
      <c r="D988" s="7">
        <v>1</v>
      </c>
      <c r="E988" s="7"/>
      <c r="F988" s="7">
        <v>980</v>
      </c>
      <c r="G988" s="48">
        <f>$AS$7*EXP(-'3.r(t)'!D986*$AS$21)</f>
        <v>0.9553476245219803</v>
      </c>
      <c r="H988" s="7">
        <f ca="1">$AS$8*EXP(-'3.r(t)'!E986*$AS$22)</f>
        <v>0.97956110401197016</v>
      </c>
      <c r="I988" s="7">
        <v>1</v>
      </c>
      <c r="J988" s="7"/>
      <c r="K988" s="7">
        <v>980</v>
      </c>
      <c r="L988" s="7">
        <f>$AT$7*EXP(-'3.r(t)'!D986*$AT$21)</f>
        <v>0.93311670519824419</v>
      </c>
      <c r="M988" s="7">
        <f ca="1">$AT$8*EXP(-'3.r(t)'!E986*$AT$22)</f>
        <v>0.95908799970357816</v>
      </c>
      <c r="N988" s="7">
        <f ca="1">$AT$9*EXP(-'3.r(t)'!F986*$AT$23)</f>
        <v>0.98207814116870251</v>
      </c>
      <c r="O988" s="7">
        <v>1</v>
      </c>
      <c r="P988" s="7"/>
      <c r="Q988" s="7">
        <v>980</v>
      </c>
      <c r="R988" s="7">
        <f>$AU$7*EXP(-'3.r(t)'!D986*$AU$21)</f>
        <v>0.91099305977534117</v>
      </c>
      <c r="S988" s="7">
        <f ca="1">$AU$8*EXP(-'3.r(t)'!E986*$AU$22)</f>
        <v>0.93861456584643066</v>
      </c>
      <c r="T988" s="7">
        <f ca="1">$AU$9*EXP(-'3.r(t)'!F986*$AU$23)</f>
        <v>0.96403174867490515</v>
      </c>
      <c r="U988" s="7">
        <f ca="1">$AU$10*EXP(-'3.r(t)'!G986*$AU$24)</f>
        <v>0.97875958384030337</v>
      </c>
      <c r="V988" s="7">
        <v>1</v>
      </c>
      <c r="W988" s="7"/>
      <c r="X988" s="7">
        <v>980</v>
      </c>
      <c r="Y988" s="7">
        <f>$AV$7*EXP(-'3.r(t)'!D986*$AV$21)</f>
        <v>0.88900715067201674</v>
      </c>
      <c r="Z988" s="7">
        <f ca="1">$AV$8*EXP(-'3.r(t)'!E986*$AV$22)</f>
        <v>0.91817305529884108</v>
      </c>
      <c r="AA988" s="7">
        <f ca="1">$AV$9*EXP(-'3.r(t)'!F986*$AV$23)</f>
        <v>0.94589382599581517</v>
      </c>
      <c r="AB988" s="7">
        <f ca="1">$AV$10*EXP(-'3.r(t)'!G986*$AV$24)</f>
        <v>0.95753610160406355</v>
      </c>
      <c r="AC988" s="7">
        <f ca="1">$AV$11*EXP(-'3.r(t)'!H986*$AV$25)</f>
        <v>0.97770372053816224</v>
      </c>
      <c r="AD988" s="7">
        <v>1</v>
      </c>
      <c r="AE988" s="7"/>
      <c r="AF988" s="7">
        <v>980</v>
      </c>
      <c r="AG988" s="7">
        <f>$AW$7*EXP(-'3.r(t)'!D986*$AW$21)</f>
        <v>0.86718755429225491</v>
      </c>
      <c r="AH988" s="7">
        <f ca="1">$AW$8*EXP(-'3.r(t)'!E986*$AW$22)</f>
        <v>0.89779407384018406</v>
      </c>
      <c r="AI988" s="7">
        <f ca="1">$AW$9*EXP(-'3.r(t)'!F986*$AW$23)</f>
        <v>0.92769607872727555</v>
      </c>
      <c r="AJ988" s="7">
        <f ca="1">$AW$10*EXP(-'3.r(t)'!G986*$AW$24)</f>
        <v>0.93636226285337509</v>
      </c>
      <c r="AK988" s="7">
        <f ca="1">$AW$11*EXP(-'3.r(t)'!H986*$AW$25)</f>
        <v>0.95547975999489509</v>
      </c>
      <c r="AL988" s="7">
        <f ca="1">$AW$12*EXP(-'3.r(t)'!I986*$AW$26)</f>
        <v>0.97768992744115057</v>
      </c>
      <c r="AM988" s="7">
        <v>1</v>
      </c>
      <c r="AN988" s="7"/>
    </row>
    <row r="989" spans="2:40">
      <c r="B989" s="7">
        <v>981</v>
      </c>
      <c r="C989" s="7">
        <f>$AR$7*EXP(-'3.r(t)'!D987*$AR$21)</f>
        <v>0.97765346695821032</v>
      </c>
      <c r="D989" s="7">
        <v>1</v>
      </c>
      <c r="E989" s="7"/>
      <c r="F989" s="7">
        <v>981</v>
      </c>
      <c r="G989" s="48">
        <f>$AS$7*EXP(-'3.r(t)'!D987*$AS$21)</f>
        <v>0.9553476245219803</v>
      </c>
      <c r="H989" s="7">
        <f ca="1">$AS$8*EXP(-'3.r(t)'!E987*$AS$22)</f>
        <v>0.97500063596634046</v>
      </c>
      <c r="I989" s="7">
        <v>1</v>
      </c>
      <c r="J989" s="7"/>
      <c r="K989" s="7">
        <v>981</v>
      </c>
      <c r="L989" s="7">
        <f>$AT$7*EXP(-'3.r(t)'!D987*$AT$21)</f>
        <v>0.93311670519824419</v>
      </c>
      <c r="M989" s="7">
        <f ca="1">$AT$8*EXP(-'3.r(t)'!E987*$AT$22)</f>
        <v>0.95017848183073261</v>
      </c>
      <c r="N989" s="7">
        <f ca="1">$AT$9*EXP(-'3.r(t)'!F987*$AT$23)</f>
        <v>0.97280454500733593</v>
      </c>
      <c r="O989" s="7">
        <v>1</v>
      </c>
      <c r="P989" s="7"/>
      <c r="Q989" s="7">
        <v>981</v>
      </c>
      <c r="R989" s="7">
        <f>$AU$7*EXP(-'3.r(t)'!D987*$AU$21)</f>
        <v>0.91099305977534117</v>
      </c>
      <c r="S989" s="7">
        <f ca="1">$AU$8*EXP(-'3.r(t)'!E987*$AU$22)</f>
        <v>0.92556599497726255</v>
      </c>
      <c r="T989" s="7">
        <f ca="1">$AU$9*EXP(-'3.r(t)'!F987*$AU$23)</f>
        <v>0.94591133419829154</v>
      </c>
      <c r="U989" s="7">
        <f ca="1">$AU$10*EXP(-'3.r(t)'!G987*$AU$24)</f>
        <v>0.97289748347174654</v>
      </c>
      <c r="V989" s="7">
        <v>1</v>
      </c>
      <c r="W989" s="7"/>
      <c r="X989" s="7">
        <v>981</v>
      </c>
      <c r="Y989" s="7">
        <f>$AV$7*EXP(-'3.r(t)'!D987*$AV$21)</f>
        <v>0.88900715067201674</v>
      </c>
      <c r="Z989" s="7">
        <f ca="1">$AV$8*EXP(-'3.r(t)'!E987*$AV$22)</f>
        <v>0.90119341908196782</v>
      </c>
      <c r="AA989" s="7">
        <f ca="1">$AV$9*EXP(-'3.r(t)'!F987*$AV$23)</f>
        <v>0.91935031561588765</v>
      </c>
      <c r="AB989" s="7">
        <f ca="1">$AV$10*EXP(-'3.r(t)'!G987*$AV$24)</f>
        <v>0.94610047779189033</v>
      </c>
      <c r="AC989" s="7">
        <f ca="1">$AV$11*EXP(-'3.r(t)'!H987*$AV$25)</f>
        <v>0.97461531284269198</v>
      </c>
      <c r="AD989" s="7">
        <v>1</v>
      </c>
      <c r="AE989" s="7"/>
      <c r="AF989" s="7">
        <v>981</v>
      </c>
      <c r="AG989" s="7">
        <f>$AW$7*EXP(-'3.r(t)'!D987*$AW$21)</f>
        <v>0.86718755429225491</v>
      </c>
      <c r="AH989" s="7">
        <f ca="1">$AW$8*EXP(-'3.r(t)'!E987*$AW$22)</f>
        <v>0.87708880780891263</v>
      </c>
      <c r="AI989" s="7">
        <f ca="1">$AW$9*EXP(-'3.r(t)'!F987*$AW$23)</f>
        <v>0.89314897851848807</v>
      </c>
      <c r="AJ989" s="7">
        <f ca="1">$AW$10*EXP(-'3.r(t)'!G987*$AW$24)</f>
        <v>0.91963832071742979</v>
      </c>
      <c r="AK989" s="7">
        <f ca="1">$AW$11*EXP(-'3.r(t)'!H987*$AW$25)</f>
        <v>0.94945288241075876</v>
      </c>
      <c r="AL989" s="7">
        <f ca="1">$AW$12*EXP(-'3.r(t)'!I987*$AW$26)</f>
        <v>0.97252807346062864</v>
      </c>
      <c r="AM989" s="7">
        <v>1</v>
      </c>
      <c r="AN989" s="7"/>
    </row>
    <row r="990" spans="2:40">
      <c r="B990" s="7">
        <v>982</v>
      </c>
      <c r="C990" s="7">
        <f>$AR$7*EXP(-'3.r(t)'!D988*$AR$21)</f>
        <v>0.97765346695821032</v>
      </c>
      <c r="D990" s="7">
        <v>1</v>
      </c>
      <c r="E990" s="7"/>
      <c r="F990" s="7">
        <v>982</v>
      </c>
      <c r="G990" s="48">
        <f>$AS$7*EXP(-'3.r(t)'!D988*$AS$21)</f>
        <v>0.9553476245219803</v>
      </c>
      <c r="H990" s="7">
        <f ca="1">$AS$8*EXP(-'3.r(t)'!E988*$AS$22)</f>
        <v>0.97736395886841254</v>
      </c>
      <c r="I990" s="7">
        <v>1</v>
      </c>
      <c r="J990" s="7"/>
      <c r="K990" s="7">
        <v>982</v>
      </c>
      <c r="L990" s="7">
        <f>$AT$7*EXP(-'3.r(t)'!D988*$AT$21)</f>
        <v>0.93311670519824419</v>
      </c>
      <c r="M990" s="7">
        <f ca="1">$AT$8*EXP(-'3.r(t)'!E988*$AT$22)</f>
        <v>0.95479037650011855</v>
      </c>
      <c r="N990" s="7">
        <f ca="1">$AT$9*EXP(-'3.r(t)'!F988*$AT$23)</f>
        <v>0.97531824575467618</v>
      </c>
      <c r="O990" s="7">
        <v>1</v>
      </c>
      <c r="P990" s="7"/>
      <c r="Q990" s="7">
        <v>982</v>
      </c>
      <c r="R990" s="7">
        <f>$AU$7*EXP(-'3.r(t)'!D988*$AU$21)</f>
        <v>0.91099305977534117</v>
      </c>
      <c r="S990" s="7">
        <f ca="1">$AU$8*EXP(-'3.r(t)'!E988*$AU$22)</f>
        <v>0.93231281428685031</v>
      </c>
      <c r="T990" s="7">
        <f ca="1">$AU$9*EXP(-'3.r(t)'!F988*$AU$23)</f>
        <v>0.95080606879924934</v>
      </c>
      <c r="U990" s="7">
        <f ca="1">$AU$10*EXP(-'3.r(t)'!G988*$AU$24)</f>
        <v>0.9743537634080609</v>
      </c>
      <c r="V990" s="7">
        <v>1</v>
      </c>
      <c r="W990" s="7"/>
      <c r="X990" s="7">
        <v>982</v>
      </c>
      <c r="Y990" s="7">
        <f>$AV$7*EXP(-'3.r(t)'!D988*$AV$21)</f>
        <v>0.88900715067201674</v>
      </c>
      <c r="Z990" s="7">
        <f ca="1">$AV$8*EXP(-'3.r(t)'!E988*$AV$22)</f>
        <v>0.90996292024533798</v>
      </c>
      <c r="AA990" s="7">
        <f ca="1">$AV$9*EXP(-'3.r(t)'!F988*$AV$23)</f>
        <v>0.92649547612843453</v>
      </c>
      <c r="AB990" s="7">
        <f ca="1">$AV$10*EXP(-'3.r(t)'!G988*$AV$24)</f>
        <v>0.9489349353501354</v>
      </c>
      <c r="AC990" s="7">
        <f ca="1">$AV$11*EXP(-'3.r(t)'!H988*$AV$25)</f>
        <v>0.97347453543159057</v>
      </c>
      <c r="AD990" s="7">
        <v>1</v>
      </c>
      <c r="AE990" s="7"/>
      <c r="AF990" s="7">
        <v>982</v>
      </c>
      <c r="AG990" s="7">
        <f>$AW$7*EXP(-'3.r(t)'!D988*$AW$21)</f>
        <v>0.86718755429225491</v>
      </c>
      <c r="AH990" s="7">
        <f ca="1">$AW$8*EXP(-'3.r(t)'!E988*$AW$22)</f>
        <v>0.88777042785365778</v>
      </c>
      <c r="AI990" s="7">
        <f ca="1">$AW$9*EXP(-'3.r(t)'!F988*$AW$23)</f>
        <v>0.90241631271929723</v>
      </c>
      <c r="AJ990" s="7">
        <f ca="1">$AW$10*EXP(-'3.r(t)'!G988*$AW$24)</f>
        <v>0.92377418245042686</v>
      </c>
      <c r="AK990" s="7">
        <f ca="1">$AW$11*EXP(-'3.r(t)'!H988*$AW$25)</f>
        <v>0.94723153312628861</v>
      </c>
      <c r="AL990" s="7">
        <f ca="1">$AW$12*EXP(-'3.r(t)'!I988*$AW$26)</f>
        <v>0.97461499509240113</v>
      </c>
      <c r="AM990" s="7">
        <v>1</v>
      </c>
      <c r="AN990" s="7"/>
    </row>
    <row r="991" spans="2:40">
      <c r="B991" s="7">
        <v>983</v>
      </c>
      <c r="C991" s="7">
        <f>$AR$7*EXP(-'3.r(t)'!D989*$AR$21)</f>
        <v>0.97765346695821032</v>
      </c>
      <c r="D991" s="7">
        <v>1</v>
      </c>
      <c r="E991" s="7"/>
      <c r="F991" s="7">
        <v>983</v>
      </c>
      <c r="G991" s="48">
        <f>$AS$7*EXP(-'3.r(t)'!D989*$AS$21)</f>
        <v>0.9553476245219803</v>
      </c>
      <c r="H991" s="7">
        <f ca="1">$AS$8*EXP(-'3.r(t)'!E989*$AS$22)</f>
        <v>0.97213605599366848</v>
      </c>
      <c r="I991" s="7">
        <v>1</v>
      </c>
      <c r="J991" s="7"/>
      <c r="K991" s="7">
        <v>983</v>
      </c>
      <c r="L991" s="7">
        <f>$AT$7*EXP(-'3.r(t)'!D989*$AT$21)</f>
        <v>0.93311670519824419</v>
      </c>
      <c r="M991" s="7">
        <f ca="1">$AT$8*EXP(-'3.r(t)'!E989*$AT$22)</f>
        <v>0.94460338024744095</v>
      </c>
      <c r="N991" s="7">
        <f ca="1">$AT$9*EXP(-'3.r(t)'!F989*$AT$23)</f>
        <v>0.9769930612301253</v>
      </c>
      <c r="O991" s="7">
        <v>1</v>
      </c>
      <c r="P991" s="7"/>
      <c r="Q991" s="7">
        <v>983</v>
      </c>
      <c r="R991" s="7">
        <f>$AU$7*EXP(-'3.r(t)'!D989*$AU$21)</f>
        <v>0.91099305977534117</v>
      </c>
      <c r="S991" s="7">
        <f ca="1">$AU$8*EXP(-'3.r(t)'!E989*$AU$22)</f>
        <v>0.91743192128052553</v>
      </c>
      <c r="T991" s="7">
        <f ca="1">$AU$9*EXP(-'3.r(t)'!F989*$AU$23)</f>
        <v>0.95407431889125105</v>
      </c>
      <c r="U991" s="7">
        <f ca="1">$AU$10*EXP(-'3.r(t)'!G989*$AU$24)</f>
        <v>0.97592803533629702</v>
      </c>
      <c r="V991" s="7">
        <v>1</v>
      </c>
      <c r="W991" s="7"/>
      <c r="X991" s="7">
        <v>983</v>
      </c>
      <c r="Y991" s="7">
        <f>$AV$7*EXP(-'3.r(t)'!D989*$AV$21)</f>
        <v>0.88900715067201674</v>
      </c>
      <c r="Z991" s="7">
        <f ca="1">$AV$8*EXP(-'3.r(t)'!E989*$AV$22)</f>
        <v>0.89064907344201205</v>
      </c>
      <c r="AA991" s="7">
        <f ca="1">$AV$9*EXP(-'3.r(t)'!F989*$AV$23)</f>
        <v>0.9312766080912882</v>
      </c>
      <c r="AB991" s="7">
        <f ca="1">$AV$10*EXP(-'3.r(t)'!G989*$AV$24)</f>
        <v>0.95200381756812236</v>
      </c>
      <c r="AC991" s="7">
        <f ca="1">$AV$11*EXP(-'3.r(t)'!H989*$AV$25)</f>
        <v>0.97760452251347352</v>
      </c>
      <c r="AD991" s="7">
        <v>1</v>
      </c>
      <c r="AE991" s="7"/>
      <c r="AF991" s="7">
        <v>983</v>
      </c>
      <c r="AG991" s="7">
        <f>$AW$7*EXP(-'3.r(t)'!D989*$AW$21)</f>
        <v>0.86718755429225491</v>
      </c>
      <c r="AH991" s="7">
        <f ca="1">$AW$8*EXP(-'3.r(t)'!E989*$AW$22)</f>
        <v>0.8642797351230046</v>
      </c>
      <c r="AI991" s="7">
        <f ca="1">$AW$9*EXP(-'3.r(t)'!F989*$AW$23)</f>
        <v>0.90863081053427952</v>
      </c>
      <c r="AJ991" s="7">
        <f ca="1">$AW$10*EXP(-'3.r(t)'!G989*$AW$24)</f>
        <v>0.92825907109134165</v>
      </c>
      <c r="AK991" s="7">
        <f ca="1">$AW$11*EXP(-'3.r(t)'!H989*$AW$25)</f>
        <v>0.95528588347679499</v>
      </c>
      <c r="AL991" s="7">
        <f ca="1">$AW$12*EXP(-'3.r(t)'!I989*$AW$26)</f>
        <v>0.98065910327679362</v>
      </c>
      <c r="AM991" s="7">
        <v>1</v>
      </c>
      <c r="AN991" s="7"/>
    </row>
    <row r="992" spans="2:40">
      <c r="B992" s="7">
        <v>984</v>
      </c>
      <c r="C992" s="7">
        <f>$AR$7*EXP(-'3.r(t)'!D990*$AR$21)</f>
        <v>0.97765346695821032</v>
      </c>
      <c r="D992" s="7">
        <v>1</v>
      </c>
      <c r="E992" s="7"/>
      <c r="F992" s="7">
        <v>984</v>
      </c>
      <c r="G992" s="48">
        <f>$AS$7*EXP(-'3.r(t)'!D990*$AS$21)</f>
        <v>0.9553476245219803</v>
      </c>
      <c r="H992" s="7">
        <f ca="1">$AS$8*EXP(-'3.r(t)'!E990*$AS$22)</f>
        <v>0.9770109943855142</v>
      </c>
      <c r="I992" s="7">
        <v>1</v>
      </c>
      <c r="J992" s="7"/>
      <c r="K992" s="7">
        <v>984</v>
      </c>
      <c r="L992" s="7">
        <f>$AT$7*EXP(-'3.r(t)'!D990*$AT$21)</f>
        <v>0.93311670519824419</v>
      </c>
      <c r="M992" s="7">
        <f ca="1">$AT$8*EXP(-'3.r(t)'!E990*$AT$22)</f>
        <v>0.95410087647258668</v>
      </c>
      <c r="N992" s="7">
        <f ca="1">$AT$9*EXP(-'3.r(t)'!F990*$AT$23)</f>
        <v>0.97947706650071475</v>
      </c>
      <c r="O992" s="7">
        <v>1</v>
      </c>
      <c r="P992" s="7"/>
      <c r="Q992" s="7">
        <v>984</v>
      </c>
      <c r="R992" s="7">
        <f>$AU$7*EXP(-'3.r(t)'!D990*$AU$21)</f>
        <v>0.91099305977534117</v>
      </c>
      <c r="S992" s="7">
        <f ca="1">$AU$8*EXP(-'3.r(t)'!E990*$AU$22)</f>
        <v>0.9313030947844223</v>
      </c>
      <c r="T992" s="7">
        <f ca="1">$AU$9*EXP(-'3.r(t)'!F990*$AU$23)</f>
        <v>0.95893195503891837</v>
      </c>
      <c r="U992" s="7">
        <f ca="1">$AU$10*EXP(-'3.r(t)'!G990*$AU$24)</f>
        <v>0.97962846121858183</v>
      </c>
      <c r="V992" s="7">
        <v>1</v>
      </c>
      <c r="W992" s="7"/>
      <c r="X992" s="7">
        <v>984</v>
      </c>
      <c r="Y992" s="7">
        <f>$AV$7*EXP(-'3.r(t)'!D990*$AV$21)</f>
        <v>0.88900715067201674</v>
      </c>
      <c r="Z992" s="7">
        <f ca="1">$AV$8*EXP(-'3.r(t)'!E990*$AV$22)</f>
        <v>0.90864913885599097</v>
      </c>
      <c r="AA992" s="7">
        <f ca="1">$AV$9*EXP(-'3.r(t)'!F990*$AV$23)</f>
        <v>0.93839799708244065</v>
      </c>
      <c r="AB992" s="7">
        <f ca="1">$AV$10*EXP(-'3.r(t)'!G990*$AV$24)</f>
        <v>0.95923692938668226</v>
      </c>
      <c r="AC992" s="7">
        <f ca="1">$AV$11*EXP(-'3.r(t)'!H990*$AV$25)</f>
        <v>0.98100209644024194</v>
      </c>
      <c r="AD992" s="7">
        <v>1</v>
      </c>
      <c r="AE992" s="7"/>
      <c r="AF992" s="7">
        <v>984</v>
      </c>
      <c r="AG992" s="7">
        <f>$AW$7*EXP(-'3.r(t)'!D990*$AW$21)</f>
        <v>0.86718755429225491</v>
      </c>
      <c r="AH992" s="7">
        <f ca="1">$AW$8*EXP(-'3.r(t)'!E990*$AW$22)</f>
        <v>0.88616854156615343</v>
      </c>
      <c r="AI992" s="7">
        <f ca="1">$AW$9*EXP(-'3.r(t)'!F990*$AW$23)</f>
        <v>0.9179068892034995</v>
      </c>
      <c r="AJ992" s="7">
        <f ca="1">$AW$10*EXP(-'3.r(t)'!G990*$AW$24)</f>
        <v>0.93885819687256589</v>
      </c>
      <c r="AK992" s="7">
        <f ca="1">$AW$11*EXP(-'3.r(t)'!H990*$AW$25)</f>
        <v>0.96193743698540846</v>
      </c>
      <c r="AL992" s="7">
        <f ca="1">$AW$12*EXP(-'3.r(t)'!I990*$AW$26)</f>
        <v>0.9784367303428515</v>
      </c>
      <c r="AM992" s="7">
        <v>1</v>
      </c>
      <c r="AN992" s="7"/>
    </row>
    <row r="993" spans="2:40">
      <c r="B993" s="7">
        <v>985</v>
      </c>
      <c r="C993" s="7">
        <f>$AR$7*EXP(-'3.r(t)'!D991*$AR$21)</f>
        <v>0.97765346695821032</v>
      </c>
      <c r="D993" s="7">
        <v>1</v>
      </c>
      <c r="E993" s="7"/>
      <c r="F993" s="7">
        <v>985</v>
      </c>
      <c r="G993" s="48">
        <f>$AS$7*EXP(-'3.r(t)'!D991*$AS$21)</f>
        <v>0.9553476245219803</v>
      </c>
      <c r="H993" s="7">
        <f ca="1">$AS$8*EXP(-'3.r(t)'!E991*$AS$22)</f>
        <v>0.98007940545889616</v>
      </c>
      <c r="I993" s="7">
        <v>1</v>
      </c>
      <c r="J993" s="7"/>
      <c r="K993" s="7">
        <v>985</v>
      </c>
      <c r="L993" s="7">
        <f>$AT$7*EXP(-'3.r(t)'!D991*$AT$21)</f>
        <v>0.93311670519824419</v>
      </c>
      <c r="M993" s="7">
        <f ca="1">$AT$8*EXP(-'3.r(t)'!E991*$AT$22)</f>
        <v>0.96010320581342856</v>
      </c>
      <c r="N993" s="7">
        <f ca="1">$AT$9*EXP(-'3.r(t)'!F991*$AT$23)</f>
        <v>0.97713481292974591</v>
      </c>
      <c r="O993" s="7">
        <v>1</v>
      </c>
      <c r="P993" s="7"/>
      <c r="Q993" s="7">
        <v>985</v>
      </c>
      <c r="R993" s="7">
        <f>$AU$7*EXP(-'3.r(t)'!D991*$AU$21)</f>
        <v>0.91099305977534117</v>
      </c>
      <c r="S993" s="7">
        <f ca="1">$AU$8*EXP(-'3.r(t)'!E991*$AU$22)</f>
        <v>0.94010526225567836</v>
      </c>
      <c r="T993" s="7">
        <f ca="1">$AU$9*EXP(-'3.r(t)'!F991*$AU$23)</f>
        <v>0.95435119182459094</v>
      </c>
      <c r="U993" s="7">
        <f ca="1">$AU$10*EXP(-'3.r(t)'!G991*$AU$24)</f>
        <v>0.97908262264715251</v>
      </c>
      <c r="V993" s="7">
        <v>1</v>
      </c>
      <c r="W993" s="7"/>
      <c r="X993" s="7">
        <v>985</v>
      </c>
      <c r="Y993" s="7">
        <f>$AV$7*EXP(-'3.r(t)'!D991*$AV$21)</f>
        <v>0.88900715067201674</v>
      </c>
      <c r="Z993" s="7">
        <f ca="1">$AV$8*EXP(-'3.r(t)'!E991*$AV$22)</f>
        <v>0.92011787836803016</v>
      </c>
      <c r="AA993" s="7">
        <f ca="1">$AV$9*EXP(-'3.r(t)'!F991*$AV$23)</f>
        <v>0.9316820230368581</v>
      </c>
      <c r="AB993" s="7">
        <f ca="1">$AV$10*EXP(-'3.r(t)'!G991*$AV$24)</f>
        <v>0.95816827393833293</v>
      </c>
      <c r="AC993" s="7">
        <f ca="1">$AV$11*EXP(-'3.r(t)'!H991*$AV$25)</f>
        <v>0.97986150259764715</v>
      </c>
      <c r="AD993" s="7">
        <v>1</v>
      </c>
      <c r="AE993" s="7"/>
      <c r="AF993" s="7">
        <v>985</v>
      </c>
      <c r="AG993" s="7">
        <f>$AW$7*EXP(-'3.r(t)'!D991*$AW$21)</f>
        <v>0.86718755429225491</v>
      </c>
      <c r="AH993" s="7">
        <f ca="1">$AW$8*EXP(-'3.r(t)'!E991*$AW$22)</f>
        <v>0.90017177468581677</v>
      </c>
      <c r="AI993" s="7">
        <f ca="1">$AW$9*EXP(-'3.r(t)'!F991*$AW$23)</f>
        <v>0.90915825745639223</v>
      </c>
      <c r="AJ993" s="7">
        <f ca="1">$AW$10*EXP(-'3.r(t)'!G991*$AW$24)</f>
        <v>0.93728970570412229</v>
      </c>
      <c r="AK993" s="7">
        <f ca="1">$AW$11*EXP(-'3.r(t)'!H991*$AW$25)</f>
        <v>0.95970188196326833</v>
      </c>
      <c r="AL993" s="7">
        <f ca="1">$AW$12*EXP(-'3.r(t)'!I991*$AW$26)</f>
        <v>0.98307930862071879</v>
      </c>
      <c r="AM993" s="7">
        <v>1</v>
      </c>
      <c r="AN993" s="7"/>
    </row>
    <row r="994" spans="2:40">
      <c r="B994" s="7">
        <v>986</v>
      </c>
      <c r="C994" s="7">
        <f>$AR$7*EXP(-'3.r(t)'!D992*$AR$21)</f>
        <v>0.97765346695821032</v>
      </c>
      <c r="D994" s="7">
        <v>1</v>
      </c>
      <c r="E994" s="7"/>
      <c r="F994" s="7">
        <v>986</v>
      </c>
      <c r="G994" s="48">
        <f>$AS$7*EXP(-'3.r(t)'!D992*$AS$21)</f>
        <v>0.9553476245219803</v>
      </c>
      <c r="H994" s="7">
        <f ca="1">$AS$8*EXP(-'3.r(t)'!E992*$AS$22)</f>
        <v>0.97658473911215915</v>
      </c>
      <c r="I994" s="7">
        <v>1</v>
      </c>
      <c r="J994" s="7"/>
      <c r="K994" s="7">
        <v>986</v>
      </c>
      <c r="L994" s="7">
        <f>$AT$7*EXP(-'3.r(t)'!D992*$AT$21)</f>
        <v>0.93311670519824419</v>
      </c>
      <c r="M994" s="7">
        <f ca="1">$AT$8*EXP(-'3.r(t)'!E992*$AT$22)</f>
        <v>0.9532685382169267</v>
      </c>
      <c r="N994" s="7">
        <f ca="1">$AT$9*EXP(-'3.r(t)'!F992*$AT$23)</f>
        <v>0.98068546545482893</v>
      </c>
      <c r="O994" s="7">
        <v>1</v>
      </c>
      <c r="P994" s="7"/>
      <c r="Q994" s="7">
        <v>986</v>
      </c>
      <c r="R994" s="7">
        <f>$AU$7*EXP(-'3.r(t)'!D992*$AU$21)</f>
        <v>0.91099305977534117</v>
      </c>
      <c r="S994" s="7">
        <f ca="1">$AU$8*EXP(-'3.r(t)'!E992*$AU$22)</f>
        <v>0.93008468571002212</v>
      </c>
      <c r="T994" s="7">
        <f ca="1">$AU$9*EXP(-'3.r(t)'!F992*$AU$23)</f>
        <v>0.96129951873312591</v>
      </c>
      <c r="U994" s="7">
        <f ca="1">$AU$10*EXP(-'3.r(t)'!G992*$AU$24)</f>
        <v>0.97511416882443713</v>
      </c>
      <c r="V994" s="7">
        <v>1</v>
      </c>
      <c r="W994" s="7"/>
      <c r="X994" s="7">
        <v>986</v>
      </c>
      <c r="Y994" s="7">
        <f>$AV$7*EXP(-'3.r(t)'!D992*$AV$21)</f>
        <v>0.88900715067201674</v>
      </c>
      <c r="Z994" s="7">
        <f ca="1">$AV$8*EXP(-'3.r(t)'!E992*$AV$22)</f>
        <v>0.90706445621709475</v>
      </c>
      <c r="AA994" s="7">
        <f ca="1">$AV$9*EXP(-'3.r(t)'!F992*$AV$23)</f>
        <v>0.94187544058386985</v>
      </c>
      <c r="AB994" s="7">
        <f ca="1">$AV$10*EXP(-'3.r(t)'!G992*$AV$24)</f>
        <v>0.95041664940044368</v>
      </c>
      <c r="AC994" s="7">
        <f ca="1">$AV$11*EXP(-'3.r(t)'!H992*$AV$25)</f>
        <v>0.97628257854471878</v>
      </c>
      <c r="AD994" s="7">
        <v>1</v>
      </c>
      <c r="AE994" s="7"/>
      <c r="AF994" s="7">
        <v>986</v>
      </c>
      <c r="AG994" s="7">
        <f>$AW$7*EXP(-'3.r(t)'!D992*$AW$21)</f>
        <v>0.86718755429225491</v>
      </c>
      <c r="AH994" s="7">
        <f ca="1">$AW$8*EXP(-'3.r(t)'!E992*$AW$22)</f>
        <v>0.88423711725021581</v>
      </c>
      <c r="AI994" s="7">
        <f ca="1">$AW$9*EXP(-'3.r(t)'!F992*$AW$23)</f>
        <v>0.92244503351855145</v>
      </c>
      <c r="AJ994" s="7">
        <f ca="1">$AW$10*EXP(-'3.r(t)'!G992*$AW$24)</f>
        <v>0.92593866703965055</v>
      </c>
      <c r="AK994" s="7">
        <f ca="1">$AW$11*EXP(-'3.r(t)'!H992*$AW$25)</f>
        <v>0.95270410206485334</v>
      </c>
      <c r="AL994" s="7">
        <f ca="1">$AW$12*EXP(-'3.r(t)'!I992*$AW$26)</f>
        <v>0.97450749203675324</v>
      </c>
      <c r="AM994" s="7">
        <v>1</v>
      </c>
      <c r="AN994" s="7"/>
    </row>
    <row r="995" spans="2:40">
      <c r="B995" s="7">
        <v>987</v>
      </c>
      <c r="C995" s="7">
        <f>$AR$7*EXP(-'3.r(t)'!D993*$AR$21)</f>
        <v>0.97765346695821032</v>
      </c>
      <c r="D995" s="7">
        <v>1</v>
      </c>
      <c r="E995" s="7"/>
      <c r="F995" s="7">
        <v>987</v>
      </c>
      <c r="G995" s="48">
        <f>$AS$7*EXP(-'3.r(t)'!D993*$AS$21)</f>
        <v>0.9553476245219803</v>
      </c>
      <c r="H995" s="7">
        <f ca="1">$AS$8*EXP(-'3.r(t)'!E993*$AS$22)</f>
        <v>0.97925678121348436</v>
      </c>
      <c r="I995" s="7">
        <v>1</v>
      </c>
      <c r="J995" s="7"/>
      <c r="K995" s="7">
        <v>987</v>
      </c>
      <c r="L995" s="7">
        <f>$AT$7*EXP(-'3.r(t)'!D993*$AT$21)</f>
        <v>0.93311670519824419</v>
      </c>
      <c r="M995" s="7">
        <f ca="1">$AT$8*EXP(-'3.r(t)'!E993*$AT$22)</f>
        <v>0.95849216754058542</v>
      </c>
      <c r="N995" s="7">
        <f ca="1">$AT$9*EXP(-'3.r(t)'!F993*$AT$23)</f>
        <v>0.98116399062755477</v>
      </c>
      <c r="O995" s="7">
        <v>1</v>
      </c>
      <c r="P995" s="7"/>
      <c r="Q995" s="7">
        <v>987</v>
      </c>
      <c r="R995" s="7">
        <f>$AU$7*EXP(-'3.r(t)'!D993*$AU$21)</f>
        <v>0.91099305977534117</v>
      </c>
      <c r="S995" s="7">
        <f ca="1">$AU$8*EXP(-'3.r(t)'!E993*$AU$22)</f>
        <v>0.93774003210377876</v>
      </c>
      <c r="T995" s="7">
        <f ca="1">$AU$9*EXP(-'3.r(t)'!F993*$AU$23)</f>
        <v>0.96223787922555448</v>
      </c>
      <c r="U995" s="7">
        <f ca="1">$AU$10*EXP(-'3.r(t)'!G993*$AU$24)</f>
        <v>0.98273880783397427</v>
      </c>
      <c r="V995" s="7">
        <v>1</v>
      </c>
      <c r="W995" s="7"/>
      <c r="X995" s="7">
        <v>987</v>
      </c>
      <c r="Y995" s="7">
        <f>$AV$7*EXP(-'3.r(t)'!D993*$AV$21)</f>
        <v>0.88900715067201674</v>
      </c>
      <c r="Z995" s="7">
        <f ca="1">$AV$8*EXP(-'3.r(t)'!E993*$AV$22)</f>
        <v>0.91703258205287608</v>
      </c>
      <c r="AA995" s="7">
        <f ca="1">$AV$9*EXP(-'3.r(t)'!F993*$AV$23)</f>
        <v>0.94325487695942667</v>
      </c>
      <c r="AB995" s="7">
        <f ca="1">$AV$10*EXP(-'3.r(t)'!G993*$AV$24)</f>
        <v>0.96533780516847023</v>
      </c>
      <c r="AC995" s="7">
        <f ca="1">$AV$11*EXP(-'3.r(t)'!H993*$AV$25)</f>
        <v>0.98217268675198488</v>
      </c>
      <c r="AD995" s="7">
        <v>1</v>
      </c>
      <c r="AE995" s="7"/>
      <c r="AF995" s="7">
        <v>987</v>
      </c>
      <c r="AG995" s="7">
        <f>$AW$7*EXP(-'3.r(t)'!D993*$AW$21)</f>
        <v>0.86718755429225491</v>
      </c>
      <c r="AH995" s="7">
        <f ca="1">$AW$8*EXP(-'3.r(t)'!E993*$AW$22)</f>
        <v>0.89640033998741098</v>
      </c>
      <c r="AI995" s="7">
        <f ca="1">$AW$9*EXP(-'3.r(t)'!F993*$AW$23)</f>
        <v>0.92424677881119432</v>
      </c>
      <c r="AJ995" s="7">
        <f ca="1">$AW$10*EXP(-'3.r(t)'!G993*$AW$24)</f>
        <v>0.94782932003464071</v>
      </c>
      <c r="AK995" s="7">
        <f ca="1">$AW$11*EXP(-'3.r(t)'!H993*$AW$25)</f>
        <v>0.96423448910024656</v>
      </c>
      <c r="AL995" s="7">
        <f ca="1">$AW$12*EXP(-'3.r(t)'!I993*$AW$26)</f>
        <v>0.98546800815110736</v>
      </c>
      <c r="AM995" s="7">
        <v>1</v>
      </c>
      <c r="AN995" s="7"/>
    </row>
    <row r="996" spans="2:40">
      <c r="B996" s="7">
        <v>988</v>
      </c>
      <c r="C996" s="7">
        <f>$AR$7*EXP(-'3.r(t)'!D994*$AR$21)</f>
        <v>0.97765346695821032</v>
      </c>
      <c r="D996" s="7">
        <v>1</v>
      </c>
      <c r="E996" s="7"/>
      <c r="F996" s="7">
        <v>988</v>
      </c>
      <c r="G996" s="48">
        <f>$AS$7*EXP(-'3.r(t)'!D994*$AS$21)</f>
        <v>0.9553476245219803</v>
      </c>
      <c r="H996" s="7">
        <f ca="1">$AS$8*EXP(-'3.r(t)'!E994*$AS$22)</f>
        <v>0.97444750808214364</v>
      </c>
      <c r="I996" s="7">
        <v>1</v>
      </c>
      <c r="J996" s="7"/>
      <c r="K996" s="7">
        <v>988</v>
      </c>
      <c r="L996" s="7">
        <f>$AT$7*EXP(-'3.r(t)'!D994*$AT$21)</f>
        <v>0.93311670519824419</v>
      </c>
      <c r="M996" s="7">
        <f ca="1">$AT$8*EXP(-'3.r(t)'!E994*$AT$22)</f>
        <v>0.94910069559513444</v>
      </c>
      <c r="N996" s="7">
        <f ca="1">$AT$9*EXP(-'3.r(t)'!F994*$AT$23)</f>
        <v>0.97302378661713207</v>
      </c>
      <c r="O996" s="7">
        <v>1</v>
      </c>
      <c r="P996" s="7"/>
      <c r="Q996" s="7">
        <v>988</v>
      </c>
      <c r="R996" s="7">
        <f>$AU$7*EXP(-'3.r(t)'!D994*$AU$21)</f>
        <v>0.91099305977534117</v>
      </c>
      <c r="S996" s="7">
        <f ca="1">$AU$8*EXP(-'3.r(t)'!E994*$AU$22)</f>
        <v>0.92399163915093319</v>
      </c>
      <c r="T996" s="7">
        <f ca="1">$AU$9*EXP(-'3.r(t)'!F994*$AU$23)</f>
        <v>0.94633774358080314</v>
      </c>
      <c r="U996" s="7">
        <f ca="1">$AU$10*EXP(-'3.r(t)'!G994*$AU$24)</f>
        <v>0.97388940786078704</v>
      </c>
      <c r="V996" s="7">
        <v>1</v>
      </c>
      <c r="W996" s="7"/>
      <c r="X996" s="7">
        <v>988</v>
      </c>
      <c r="Y996" s="7">
        <f>$AV$7*EXP(-'3.r(t)'!D994*$AV$21)</f>
        <v>0.88900715067201674</v>
      </c>
      <c r="Z996" s="7">
        <f ca="1">$AV$8*EXP(-'3.r(t)'!E994*$AV$22)</f>
        <v>0.8991501335044304</v>
      </c>
      <c r="AA996" s="7">
        <f ca="1">$AV$9*EXP(-'3.r(t)'!F994*$AV$23)</f>
        <v>0.9199720394964529</v>
      </c>
      <c r="AB996" s="7">
        <f ca="1">$AV$10*EXP(-'3.r(t)'!G994*$AV$24)</f>
        <v>0.94803066789132695</v>
      </c>
      <c r="AC996" s="7">
        <f ca="1">$AV$11*EXP(-'3.r(t)'!H994*$AV$25)</f>
        <v>0.97363040419115987</v>
      </c>
      <c r="AD996" s="7">
        <v>1</v>
      </c>
      <c r="AE996" s="7"/>
      <c r="AF996" s="7">
        <v>988</v>
      </c>
      <c r="AG996" s="7">
        <f>$AW$7*EXP(-'3.r(t)'!D994*$AW$21)</f>
        <v>0.86718755429225491</v>
      </c>
      <c r="AH996" s="7">
        <f ca="1">$AW$8*EXP(-'3.r(t)'!E994*$AW$22)</f>
        <v>0.87460372155139066</v>
      </c>
      <c r="AI996" s="7">
        <f ca="1">$AW$9*EXP(-'3.r(t)'!F994*$AW$23)</f>
        <v>0.89395440907436985</v>
      </c>
      <c r="AJ996" s="7">
        <f ca="1">$AW$10*EXP(-'3.r(t)'!G994*$AW$24)</f>
        <v>0.92245406049299228</v>
      </c>
      <c r="AK996" s="7">
        <f ca="1">$AW$11*EXP(-'3.r(t)'!H994*$AW$25)</f>
        <v>0.94753489108539279</v>
      </c>
      <c r="AL996" s="7">
        <f ca="1">$AW$12*EXP(-'3.r(t)'!I994*$AW$26)</f>
        <v>0.97362134488895413</v>
      </c>
      <c r="AM996" s="7">
        <v>1</v>
      </c>
      <c r="AN996" s="7"/>
    </row>
    <row r="997" spans="2:40">
      <c r="B997" s="7">
        <v>989</v>
      </c>
      <c r="C997" s="7">
        <f>$AR$7*EXP(-'3.r(t)'!D995*$AR$21)</f>
        <v>0.97765346695821032</v>
      </c>
      <c r="D997" s="7">
        <v>1</v>
      </c>
      <c r="E997" s="7"/>
      <c r="F997" s="7">
        <v>989</v>
      </c>
      <c r="G997" s="48">
        <f>$AS$7*EXP(-'3.r(t)'!D995*$AS$21)</f>
        <v>0.9553476245219803</v>
      </c>
      <c r="H997" s="7">
        <f ca="1">$AS$8*EXP(-'3.r(t)'!E995*$AS$22)</f>
        <v>0.97516317069665004</v>
      </c>
      <c r="I997" s="7">
        <v>1</v>
      </c>
      <c r="J997" s="7"/>
      <c r="K997" s="7">
        <v>989</v>
      </c>
      <c r="L997" s="7">
        <f>$AT$7*EXP(-'3.r(t)'!D995*$AT$21)</f>
        <v>0.93311670519824419</v>
      </c>
      <c r="M997" s="7">
        <f ca="1">$AT$8*EXP(-'3.r(t)'!E995*$AT$22)</f>
        <v>0.95049530188209541</v>
      </c>
      <c r="N997" s="7">
        <f ca="1">$AT$9*EXP(-'3.r(t)'!F995*$AT$23)</f>
        <v>0.97169421430891145</v>
      </c>
      <c r="O997" s="7">
        <v>1</v>
      </c>
      <c r="P997" s="7"/>
      <c r="Q997" s="7">
        <v>989</v>
      </c>
      <c r="R997" s="7">
        <f>$AU$7*EXP(-'3.r(t)'!D995*$AU$21)</f>
        <v>0.91099305977534117</v>
      </c>
      <c r="S997" s="7">
        <f ca="1">$AU$8*EXP(-'3.r(t)'!E995*$AU$22)</f>
        <v>0.92602895374877336</v>
      </c>
      <c r="T997" s="7">
        <f ca="1">$AU$9*EXP(-'3.r(t)'!F995*$AU$23)</f>
        <v>0.94375329531684249</v>
      </c>
      <c r="U997" s="7">
        <f ca="1">$AU$10*EXP(-'3.r(t)'!G995*$AU$24)</f>
        <v>0.97367012861059277</v>
      </c>
      <c r="V997" s="7">
        <v>1</v>
      </c>
      <c r="W997" s="7"/>
      <c r="X997" s="7">
        <v>989</v>
      </c>
      <c r="Y997" s="7">
        <f>$AV$7*EXP(-'3.r(t)'!D995*$AV$21)</f>
        <v>0.88900715067201674</v>
      </c>
      <c r="Z997" s="7">
        <f ca="1">$AV$8*EXP(-'3.r(t)'!E995*$AV$22)</f>
        <v>0.90179449298737113</v>
      </c>
      <c r="AA997" s="7">
        <f ca="1">$AV$9*EXP(-'3.r(t)'!F995*$AV$23)</f>
        <v>0.91620594843102565</v>
      </c>
      <c r="AB997" s="7">
        <f ca="1">$AV$10*EXP(-'3.r(t)'!G995*$AV$24)</f>
        <v>0.94760380207062966</v>
      </c>
      <c r="AC997" s="7">
        <f ca="1">$AV$11*EXP(-'3.r(t)'!H995*$AV$25)</f>
        <v>0.97371832240696432</v>
      </c>
      <c r="AD997" s="7">
        <v>1</v>
      </c>
      <c r="AE997" s="7"/>
      <c r="AF997" s="7">
        <v>989</v>
      </c>
      <c r="AG997" s="7">
        <f>$AW$7*EXP(-'3.r(t)'!D995*$AW$21)</f>
        <v>0.86718755429225491</v>
      </c>
      <c r="AH997" s="7">
        <f ca="1">$AW$8*EXP(-'3.r(t)'!E995*$AW$22)</f>
        <v>0.87782011466530918</v>
      </c>
      <c r="AI997" s="7">
        <f ca="1">$AW$9*EXP(-'3.r(t)'!F995*$AW$23)</f>
        <v>0.88907829774104208</v>
      </c>
      <c r="AJ997" s="7">
        <f ca="1">$AW$10*EXP(-'3.r(t)'!G995*$AW$24)</f>
        <v>0.92183110630759868</v>
      </c>
      <c r="AK997" s="7">
        <f ca="1">$AW$11*EXP(-'3.r(t)'!H995*$AW$25)</f>
        <v>0.94770602242619473</v>
      </c>
      <c r="AL997" s="7">
        <f ca="1">$AW$12*EXP(-'3.r(t)'!I995*$AW$26)</f>
        <v>0.97631842545948377</v>
      </c>
      <c r="AM997" s="7">
        <v>1</v>
      </c>
      <c r="AN997" s="7"/>
    </row>
    <row r="998" spans="2:40">
      <c r="B998" s="7">
        <v>990</v>
      </c>
      <c r="C998" s="7">
        <f>$AR$7*EXP(-'3.r(t)'!D996*$AR$21)</f>
        <v>0.97765346695821032</v>
      </c>
      <c r="D998" s="7">
        <v>1</v>
      </c>
      <c r="E998" s="7"/>
      <c r="F998" s="7">
        <v>990</v>
      </c>
      <c r="G998" s="48">
        <f>$AS$7*EXP(-'3.r(t)'!D996*$AS$21)</f>
        <v>0.9553476245219803</v>
      </c>
      <c r="H998" s="7">
        <f ca="1">$AS$8*EXP(-'3.r(t)'!E996*$AS$22)</f>
        <v>0.97575774298182127</v>
      </c>
      <c r="I998" s="7">
        <v>1</v>
      </c>
      <c r="J998" s="7"/>
      <c r="K998" s="7">
        <v>990</v>
      </c>
      <c r="L998" s="7">
        <f>$AT$7*EXP(-'3.r(t)'!D996*$AT$21)</f>
        <v>0.93311670519824419</v>
      </c>
      <c r="M998" s="7">
        <f ca="1">$AT$8*EXP(-'3.r(t)'!E996*$AT$22)</f>
        <v>0.95165471902883458</v>
      </c>
      <c r="N998" s="7">
        <f ca="1">$AT$9*EXP(-'3.r(t)'!F996*$AT$23)</f>
        <v>0.97757020474312484</v>
      </c>
      <c r="O998" s="7">
        <v>1</v>
      </c>
      <c r="P998" s="7"/>
      <c r="Q998" s="7">
        <v>990</v>
      </c>
      <c r="R998" s="7">
        <f>$AU$7*EXP(-'3.r(t)'!D996*$AU$21)</f>
        <v>0.91099305977534117</v>
      </c>
      <c r="S998" s="7">
        <f ca="1">$AU$8*EXP(-'3.r(t)'!E996*$AU$22)</f>
        <v>0.92772382986800672</v>
      </c>
      <c r="T998" s="7">
        <f ca="1">$AU$9*EXP(-'3.r(t)'!F996*$AU$23)</f>
        <v>0.95520186107409844</v>
      </c>
      <c r="U998" s="7">
        <f ca="1">$AU$10*EXP(-'3.r(t)'!G996*$AU$24)</f>
        <v>0.98137384185572996</v>
      </c>
      <c r="V998" s="7">
        <v>1</v>
      </c>
      <c r="W998" s="7"/>
      <c r="X998" s="7">
        <v>990</v>
      </c>
      <c r="Y998" s="7">
        <f>$AV$7*EXP(-'3.r(t)'!D996*$AV$21)</f>
        <v>0.88900715067201674</v>
      </c>
      <c r="Z998" s="7">
        <f ca="1">$AV$8*EXP(-'3.r(t)'!E996*$AV$22)</f>
        <v>0.90399585828012674</v>
      </c>
      <c r="AA998" s="7">
        <f ca="1">$AV$9*EXP(-'3.r(t)'!F996*$AV$23)</f>
        <v>0.93292799491836653</v>
      </c>
      <c r="AB998" s="7">
        <f ca="1">$AV$10*EXP(-'3.r(t)'!G996*$AV$24)</f>
        <v>0.962658073423034</v>
      </c>
      <c r="AC998" s="7">
        <f ca="1">$AV$11*EXP(-'3.r(t)'!H996*$AV$25)</f>
        <v>0.98279165308716721</v>
      </c>
      <c r="AD998" s="7">
        <v>1</v>
      </c>
      <c r="AE998" s="7"/>
      <c r="AF998" s="7">
        <v>990</v>
      </c>
      <c r="AG998" s="7">
        <f>$AW$7*EXP(-'3.r(t)'!D996*$AW$21)</f>
        <v>0.86718755429225491</v>
      </c>
      <c r="AH998" s="7">
        <f ca="1">$AW$8*EXP(-'3.r(t)'!E996*$AW$22)</f>
        <v>0.88049948346331541</v>
      </c>
      <c r="AI998" s="7">
        <f ca="1">$AW$9*EXP(-'3.r(t)'!F996*$AW$23)</f>
        <v>0.91077975206857331</v>
      </c>
      <c r="AJ998" s="7">
        <f ca="1">$AW$10*EXP(-'3.r(t)'!G996*$AW$24)</f>
        <v>0.94388536672389378</v>
      </c>
      <c r="AK998" s="7">
        <f ca="1">$AW$11*EXP(-'3.r(t)'!H996*$AW$25)</f>
        <v>0.96545019537488397</v>
      </c>
      <c r="AL998" s="7">
        <f ca="1">$AW$12*EXP(-'3.r(t)'!I996*$AW$26)</f>
        <v>0.98129853515664955</v>
      </c>
      <c r="AM998" s="7">
        <v>1</v>
      </c>
      <c r="AN998" s="7"/>
    </row>
    <row r="999" spans="2:40">
      <c r="B999" s="7">
        <v>991</v>
      </c>
      <c r="C999" s="7">
        <f>$AR$7*EXP(-'3.r(t)'!D997*$AR$21)</f>
        <v>0.97765346695821032</v>
      </c>
      <c r="D999" s="7">
        <v>1</v>
      </c>
      <c r="E999" s="7"/>
      <c r="F999" s="7">
        <v>991</v>
      </c>
      <c r="G999" s="48">
        <f>$AS$7*EXP(-'3.r(t)'!D997*$AS$21)</f>
        <v>0.9553476245219803</v>
      </c>
      <c r="H999" s="7">
        <f ca="1">$AS$8*EXP(-'3.r(t)'!E997*$AS$22)</f>
        <v>0.97867826095985588</v>
      </c>
      <c r="I999" s="7">
        <v>1</v>
      </c>
      <c r="J999" s="7"/>
      <c r="K999" s="7">
        <v>991</v>
      </c>
      <c r="L999" s="7">
        <f>$AT$7*EXP(-'3.r(t)'!D997*$AT$21)</f>
        <v>0.93311670519824419</v>
      </c>
      <c r="M999" s="7">
        <f ca="1">$AT$8*EXP(-'3.r(t)'!E997*$AT$22)</f>
        <v>0.95735999598339161</v>
      </c>
      <c r="N999" s="7">
        <f ca="1">$AT$9*EXP(-'3.r(t)'!F997*$AT$23)</f>
        <v>0.98166381860670637</v>
      </c>
      <c r="O999" s="7">
        <v>1</v>
      </c>
      <c r="P999" s="7"/>
      <c r="Q999" s="7">
        <v>991</v>
      </c>
      <c r="R999" s="7">
        <f>$AU$7*EXP(-'3.r(t)'!D997*$AU$21)</f>
        <v>0.91099305977534117</v>
      </c>
      <c r="S999" s="7">
        <f ca="1">$AU$8*EXP(-'3.r(t)'!E997*$AU$22)</f>
        <v>0.93607903415583471</v>
      </c>
      <c r="T999" s="7">
        <f ca="1">$AU$9*EXP(-'3.r(t)'!F997*$AU$23)</f>
        <v>0.96321850208516635</v>
      </c>
      <c r="U999" s="7">
        <f ca="1">$AU$10*EXP(-'3.r(t)'!G997*$AU$24)</f>
        <v>0.98213326573683557</v>
      </c>
      <c r="V999" s="7">
        <v>1</v>
      </c>
      <c r="W999" s="7"/>
      <c r="X999" s="7">
        <v>991</v>
      </c>
      <c r="Y999" s="7">
        <f>$AV$7*EXP(-'3.r(t)'!D997*$AV$21)</f>
        <v>0.88900715067201674</v>
      </c>
      <c r="Z999" s="7">
        <f ca="1">$AV$8*EXP(-'3.r(t)'!E997*$AV$22)</f>
        <v>0.9148674625918205</v>
      </c>
      <c r="AA999" s="7">
        <f ca="1">$AV$9*EXP(-'3.r(t)'!F997*$AV$23)</f>
        <v>0.94469716000191351</v>
      </c>
      <c r="AB999" s="7">
        <f ca="1">$AV$10*EXP(-'3.r(t)'!G997*$AV$24)</f>
        <v>0.96414853172152537</v>
      </c>
      <c r="AC999" s="7">
        <f ca="1">$AV$11*EXP(-'3.r(t)'!H997*$AV$25)</f>
        <v>0.97970840640177204</v>
      </c>
      <c r="AD999" s="7">
        <v>1</v>
      </c>
      <c r="AE999" s="7"/>
      <c r="AF999" s="7">
        <v>991</v>
      </c>
      <c r="AG999" s="7">
        <f>$AW$7*EXP(-'3.r(t)'!D997*$AW$21)</f>
        <v>0.86718755429225491</v>
      </c>
      <c r="AH999" s="7">
        <f ca="1">$AW$8*EXP(-'3.r(t)'!E997*$AW$22)</f>
        <v>0.89375561294008998</v>
      </c>
      <c r="AI999" s="7">
        <f ca="1">$AW$9*EXP(-'3.r(t)'!F997*$AW$23)</f>
        <v>0.9261315504794535</v>
      </c>
      <c r="AJ999" s="7">
        <f ca="1">$AW$10*EXP(-'3.r(t)'!G997*$AW$24)</f>
        <v>0.94607830450587416</v>
      </c>
      <c r="AK999" s="7">
        <f ca="1">$AW$11*EXP(-'3.r(t)'!H997*$AW$25)</f>
        <v>0.9594020125862156</v>
      </c>
      <c r="AL999" s="7">
        <f ca="1">$AW$12*EXP(-'3.r(t)'!I997*$AW$26)</f>
        <v>0.97996975201370806</v>
      </c>
      <c r="AM999" s="7">
        <v>1</v>
      </c>
      <c r="AN999" s="7"/>
    </row>
    <row r="1000" spans="2:40">
      <c r="B1000" s="7">
        <v>992</v>
      </c>
      <c r="C1000" s="7">
        <f>$AR$7*EXP(-'3.r(t)'!D998*$AR$21)</f>
        <v>0.97765346695821032</v>
      </c>
      <c r="D1000" s="7">
        <v>1</v>
      </c>
      <c r="E1000" s="7"/>
      <c r="F1000" s="7">
        <v>992</v>
      </c>
      <c r="G1000" s="48">
        <f>$AS$7*EXP(-'3.r(t)'!D998*$AS$21)</f>
        <v>0.9553476245219803</v>
      </c>
      <c r="H1000" s="7">
        <f ca="1">$AS$8*EXP(-'3.r(t)'!E998*$AS$22)</f>
        <v>0.97897711606712157</v>
      </c>
      <c r="I1000" s="7">
        <v>1</v>
      </c>
      <c r="J1000" s="7"/>
      <c r="K1000" s="7">
        <v>992</v>
      </c>
      <c r="L1000" s="7">
        <f>$AT$7*EXP(-'3.r(t)'!D998*$AT$21)</f>
        <v>0.93311670519824419</v>
      </c>
      <c r="M1000" s="7">
        <f ca="1">$AT$8*EXP(-'3.r(t)'!E998*$AT$22)</f>
        <v>0.95794477572181924</v>
      </c>
      <c r="N1000" s="7">
        <f ca="1">$AT$9*EXP(-'3.r(t)'!F998*$AT$23)</f>
        <v>0.97431833840274096</v>
      </c>
      <c r="O1000" s="7">
        <v>1</v>
      </c>
      <c r="P1000" s="7"/>
      <c r="Q1000" s="7">
        <v>992</v>
      </c>
      <c r="R1000" s="7">
        <f>$AU$7*EXP(-'3.r(t)'!D998*$AU$21)</f>
        <v>0.91099305977534117</v>
      </c>
      <c r="S1000" s="7">
        <f ca="1">$AU$8*EXP(-'3.r(t)'!E998*$AU$22)</f>
        <v>0.93693683629607194</v>
      </c>
      <c r="T1000" s="7">
        <f ca="1">$AU$9*EXP(-'3.r(t)'!F998*$AU$23)</f>
        <v>0.94885751377292038</v>
      </c>
      <c r="U1000" s="7">
        <f ca="1">$AU$10*EXP(-'3.r(t)'!G998*$AU$24)</f>
        <v>0.97519389689875835</v>
      </c>
      <c r="V1000" s="7">
        <v>1</v>
      </c>
      <c r="W1000" s="7"/>
      <c r="X1000" s="7">
        <v>992</v>
      </c>
      <c r="Y1000" s="7">
        <f>$AV$7*EXP(-'3.r(t)'!D998*$AV$21)</f>
        <v>0.88900715067201674</v>
      </c>
      <c r="Z1000" s="7">
        <f ca="1">$AV$8*EXP(-'3.r(t)'!E998*$AV$22)</f>
        <v>0.91598545238094276</v>
      </c>
      <c r="AA1000" s="7">
        <f ca="1">$AV$9*EXP(-'3.r(t)'!F998*$AV$23)</f>
        <v>0.92364883545184739</v>
      </c>
      <c r="AB1000" s="7">
        <f ca="1">$AV$10*EXP(-'3.r(t)'!G998*$AV$24)</f>
        <v>0.95057207322560433</v>
      </c>
      <c r="AC1000" s="7">
        <f ca="1">$AV$11*EXP(-'3.r(t)'!H998*$AV$25)</f>
        <v>0.9754833436732584</v>
      </c>
      <c r="AD1000" s="7">
        <v>1</v>
      </c>
      <c r="AE1000" s="7"/>
      <c r="AF1000" s="7">
        <v>992</v>
      </c>
      <c r="AG1000" s="7">
        <f>$AW$7*EXP(-'3.r(t)'!D998*$AW$21)</f>
        <v>0.86718755429225491</v>
      </c>
      <c r="AH1000" s="7">
        <f ca="1">$AW$8*EXP(-'3.r(t)'!E998*$AW$22)</f>
        <v>0.89512105967928834</v>
      </c>
      <c r="AI1000" s="7">
        <f ca="1">$AW$9*EXP(-'3.r(t)'!F998*$AW$23)</f>
        <v>0.89872132993780063</v>
      </c>
      <c r="AJ1000" s="7">
        <f ca="1">$AW$10*EXP(-'3.r(t)'!G998*$AW$24)</f>
        <v>0.92616580765165868</v>
      </c>
      <c r="AK1000" s="7">
        <f ca="1">$AW$11*EXP(-'3.r(t)'!H998*$AW$25)</f>
        <v>0.95114487590897379</v>
      </c>
      <c r="AL1000" s="7">
        <f ca="1">$AW$12*EXP(-'3.r(t)'!I998*$AW$26)</f>
        <v>0.97705059226758462</v>
      </c>
      <c r="AM1000" s="7">
        <v>1</v>
      </c>
      <c r="AN1000" s="7"/>
    </row>
    <row r="1001" spans="2:40">
      <c r="B1001" s="7">
        <v>993</v>
      </c>
      <c r="C1001" s="7">
        <f>$AR$7*EXP(-'3.r(t)'!D999*$AR$21)</f>
        <v>0.97765346695821032</v>
      </c>
      <c r="D1001" s="7">
        <v>1</v>
      </c>
      <c r="E1001" s="7"/>
      <c r="F1001" s="7">
        <v>993</v>
      </c>
      <c r="G1001" s="48">
        <f>$AS$7*EXP(-'3.r(t)'!D999*$AS$21)</f>
        <v>0.9553476245219803</v>
      </c>
      <c r="H1001" s="7">
        <f ca="1">$AS$8*EXP(-'3.r(t)'!E999*$AS$22)</f>
        <v>0.9798669876937961</v>
      </c>
      <c r="I1001" s="7">
        <v>1</v>
      </c>
      <c r="J1001" s="7"/>
      <c r="K1001" s="7">
        <v>993</v>
      </c>
      <c r="L1001" s="7">
        <f>$AT$7*EXP(-'3.r(t)'!D999*$AT$21)</f>
        <v>0.93311670519824419</v>
      </c>
      <c r="M1001" s="7">
        <f ca="1">$AT$8*EXP(-'3.r(t)'!E999*$AT$22)</f>
        <v>0.95968707447694435</v>
      </c>
      <c r="N1001" s="7">
        <f ca="1">$AT$9*EXP(-'3.r(t)'!F999*$AT$23)</f>
        <v>0.98188425212112218</v>
      </c>
      <c r="O1001" s="7">
        <v>1</v>
      </c>
      <c r="P1001" s="7"/>
      <c r="Q1001" s="7">
        <v>993</v>
      </c>
      <c r="R1001" s="7">
        <f>$AU$7*EXP(-'3.r(t)'!D999*$AU$21)</f>
        <v>0.91099305977534117</v>
      </c>
      <c r="S1001" s="7">
        <f ca="1">$AU$8*EXP(-'3.r(t)'!E999*$AU$22)</f>
        <v>0.9394941328518116</v>
      </c>
      <c r="T1001" s="7">
        <f ca="1">$AU$9*EXP(-'3.r(t)'!F999*$AU$23)</f>
        <v>0.96365113385685641</v>
      </c>
      <c r="U1001" s="7">
        <f ca="1">$AU$10*EXP(-'3.r(t)'!G999*$AU$24)</f>
        <v>0.98534408325933254</v>
      </c>
      <c r="V1001" s="7">
        <v>1</v>
      </c>
      <c r="W1001" s="7"/>
      <c r="X1001" s="7">
        <v>993</v>
      </c>
      <c r="Y1001" s="7">
        <f>$AV$7*EXP(-'3.r(t)'!D999*$AV$21)</f>
        <v>0.88900715067201674</v>
      </c>
      <c r="Z1001" s="7">
        <f ca="1">$AV$8*EXP(-'3.r(t)'!E999*$AV$22)</f>
        <v>0.91932044970955895</v>
      </c>
      <c r="AA1001" s="7">
        <f ca="1">$AV$9*EXP(-'3.r(t)'!F999*$AV$23)</f>
        <v>0.94533370076789147</v>
      </c>
      <c r="AB1001" s="7">
        <f ca="1">$AV$10*EXP(-'3.r(t)'!G999*$AV$24)</f>
        <v>0.97046287905252515</v>
      </c>
      <c r="AC1001" s="7">
        <f ca="1">$AV$11*EXP(-'3.r(t)'!H999*$AV$25)</f>
        <v>0.98791777342910958</v>
      </c>
      <c r="AD1001" s="7">
        <v>1</v>
      </c>
      <c r="AE1001" s="7"/>
      <c r="AF1001" s="7">
        <v>993</v>
      </c>
      <c r="AG1001" s="7">
        <f>$AW$7*EXP(-'3.r(t)'!D999*$AW$21)</f>
        <v>0.86718755429225491</v>
      </c>
      <c r="AH1001" s="7">
        <f ca="1">$AW$8*EXP(-'3.r(t)'!E999*$AW$22)</f>
        <v>0.89919670262272344</v>
      </c>
      <c r="AI1001" s="7">
        <f ca="1">$AW$9*EXP(-'3.r(t)'!F999*$AW$23)</f>
        <v>0.92696368548192021</v>
      </c>
      <c r="AJ1001" s="7">
        <f ca="1">$AW$10*EXP(-'3.r(t)'!G999*$AW$24)</f>
        <v>0.95538750910233716</v>
      </c>
      <c r="AK1001" s="7">
        <f ca="1">$AW$11*EXP(-'3.r(t)'!H999*$AW$25)</f>
        <v>0.9755477996714057</v>
      </c>
      <c r="AL1001" s="7">
        <f ca="1">$AW$12*EXP(-'3.r(t)'!I999*$AW$26)</f>
        <v>0.98681094175714579</v>
      </c>
      <c r="AM1001" s="7">
        <v>1</v>
      </c>
      <c r="AN1001" s="7"/>
    </row>
    <row r="1002" spans="2:40">
      <c r="B1002" s="7">
        <v>994</v>
      </c>
      <c r="C1002" s="7">
        <f>$AR$7*EXP(-'3.r(t)'!D1000*$AR$21)</f>
        <v>0.97765346695821032</v>
      </c>
      <c r="D1002" s="7">
        <v>1</v>
      </c>
      <c r="E1002" s="7"/>
      <c r="F1002" s="7">
        <v>994</v>
      </c>
      <c r="G1002" s="48">
        <f>$AS$7*EXP(-'3.r(t)'!D1000*$AS$21)</f>
        <v>0.9553476245219803</v>
      </c>
      <c r="H1002" s="7">
        <f ca="1">$AS$8*EXP(-'3.r(t)'!E1000*$AS$22)</f>
        <v>0.97502347938246159</v>
      </c>
      <c r="I1002" s="7">
        <v>1</v>
      </c>
      <c r="J1002" s="7"/>
      <c r="K1002" s="7">
        <v>994</v>
      </c>
      <c r="L1002" s="7">
        <f>$AT$7*EXP(-'3.r(t)'!D1000*$AT$21)</f>
        <v>0.93311670519824419</v>
      </c>
      <c r="M1002" s="7">
        <f ca="1">$AT$8*EXP(-'3.r(t)'!E1000*$AT$22)</f>
        <v>0.95022300606162535</v>
      </c>
      <c r="N1002" s="7">
        <f ca="1">$AT$9*EXP(-'3.r(t)'!F1000*$AT$23)</f>
        <v>0.97423648767789761</v>
      </c>
      <c r="O1002" s="7">
        <v>1</v>
      </c>
      <c r="P1002" s="7"/>
      <c r="Q1002" s="7">
        <v>994</v>
      </c>
      <c r="R1002" s="7">
        <f>$AU$7*EXP(-'3.r(t)'!D1000*$AU$21)</f>
        <v>0.91099305977534117</v>
      </c>
      <c r="S1002" s="7">
        <f ca="1">$AU$8*EXP(-'3.r(t)'!E1000*$AU$22)</f>
        <v>0.92563105211802388</v>
      </c>
      <c r="T1002" s="7">
        <f ca="1">$AU$9*EXP(-'3.r(t)'!F1000*$AU$23)</f>
        <v>0.94869809685551298</v>
      </c>
      <c r="U1002" s="7">
        <f ca="1">$AU$10*EXP(-'3.r(t)'!G1000*$AU$24)</f>
        <v>0.97193049615417448</v>
      </c>
      <c r="V1002" s="7">
        <v>1</v>
      </c>
      <c r="W1002" s="7"/>
      <c r="X1002" s="7">
        <v>994</v>
      </c>
      <c r="Y1002" s="7">
        <f>$AV$7*EXP(-'3.r(t)'!D1000*$AV$21)</f>
        <v>0.88900715067201674</v>
      </c>
      <c r="Z1002" s="7">
        <f ca="1">$AV$8*EXP(-'3.r(t)'!E1000*$AV$22)</f>
        <v>0.90127787875926235</v>
      </c>
      <c r="AA1002" s="7">
        <f ca="1">$AV$9*EXP(-'3.r(t)'!F1000*$AV$23)</f>
        <v>0.92341607279281779</v>
      </c>
      <c r="AB1002" s="7">
        <f ca="1">$AV$10*EXP(-'3.r(t)'!G1000*$AV$24)</f>
        <v>0.9442207062353839</v>
      </c>
      <c r="AC1002" s="7">
        <f ca="1">$AV$11*EXP(-'3.r(t)'!H1000*$AV$25)</f>
        <v>0.96772072629626282</v>
      </c>
      <c r="AD1002" s="7">
        <v>1</v>
      </c>
      <c r="AE1002" s="7"/>
      <c r="AF1002" s="7">
        <v>994</v>
      </c>
      <c r="AG1002" s="7">
        <f>$AW$7*EXP(-'3.r(t)'!D1000*$AW$21)</f>
        <v>0.86718755429225491</v>
      </c>
      <c r="AH1002" s="7">
        <f ca="1">$AW$8*EXP(-'3.r(t)'!E1000*$AW$22)</f>
        <v>0.87719155975969632</v>
      </c>
      <c r="AI1002" s="7">
        <f ca="1">$AW$9*EXP(-'3.r(t)'!F1000*$AW$23)</f>
        <v>0.8984193681648629</v>
      </c>
      <c r="AJ1002" s="7">
        <f ca="1">$AW$10*EXP(-'3.r(t)'!G1000*$AW$24)</f>
        <v>0.91689889022936821</v>
      </c>
      <c r="AK1002" s="7">
        <f ca="1">$AW$11*EXP(-'3.r(t)'!H1000*$AW$25)</f>
        <v>0.93606722973184908</v>
      </c>
      <c r="AL1002" s="7">
        <f ca="1">$AW$12*EXP(-'3.r(t)'!I1000*$AW$26)</f>
        <v>0.96390458554290903</v>
      </c>
      <c r="AM1002" s="7">
        <v>1</v>
      </c>
      <c r="AN1002" s="7"/>
    </row>
    <row r="1003" spans="2:40">
      <c r="B1003" s="7">
        <v>995</v>
      </c>
      <c r="C1003" s="7">
        <f>$AR$7*EXP(-'3.r(t)'!D1001*$AR$21)</f>
        <v>0.97765346695821032</v>
      </c>
      <c r="D1003" s="7">
        <v>1</v>
      </c>
      <c r="E1003" s="7"/>
      <c r="F1003" s="7">
        <v>995</v>
      </c>
      <c r="G1003" s="48">
        <f>$AS$7*EXP(-'3.r(t)'!D1001*$AS$21)</f>
        <v>0.9553476245219803</v>
      </c>
      <c r="H1003" s="7">
        <f ca="1">$AS$8*EXP(-'3.r(t)'!E1001*$AS$22)</f>
        <v>0.97640150025713957</v>
      </c>
      <c r="I1003" s="7">
        <v>1</v>
      </c>
      <c r="J1003" s="7"/>
      <c r="K1003" s="7">
        <v>995</v>
      </c>
      <c r="L1003" s="7">
        <f>$AT$7*EXP(-'3.r(t)'!D1001*$AT$21)</f>
        <v>0.93311670519824419</v>
      </c>
      <c r="M1003" s="7">
        <f ca="1">$AT$8*EXP(-'3.r(t)'!E1001*$AT$22)</f>
        <v>0.9529108438130347</v>
      </c>
      <c r="N1003" s="7">
        <f ca="1">$AT$9*EXP(-'3.r(t)'!F1001*$AT$23)</f>
        <v>0.97450143063954309</v>
      </c>
      <c r="O1003" s="7">
        <v>1</v>
      </c>
      <c r="P1003" s="7"/>
      <c r="Q1003" s="7">
        <v>995</v>
      </c>
      <c r="R1003" s="7">
        <f>$AU$7*EXP(-'3.r(t)'!D1001*$AU$21)</f>
        <v>0.91099305977534117</v>
      </c>
      <c r="S1003" s="7">
        <f ca="1">$AU$8*EXP(-'3.r(t)'!E1001*$AU$22)</f>
        <v>0.92956124211013325</v>
      </c>
      <c r="T1003" s="7">
        <f ca="1">$AU$9*EXP(-'3.r(t)'!F1001*$AU$23)</f>
        <v>0.94921416264450797</v>
      </c>
      <c r="U1003" s="7">
        <f ca="1">$AU$10*EXP(-'3.r(t)'!G1001*$AU$24)</f>
        <v>0.9730173289112336</v>
      </c>
      <c r="V1003" s="7">
        <v>1</v>
      </c>
      <c r="W1003" s="7"/>
      <c r="X1003" s="7">
        <v>995</v>
      </c>
      <c r="Y1003" s="7">
        <f>$AV$7*EXP(-'3.r(t)'!D1001*$AV$21)</f>
        <v>0.88900715067201674</v>
      </c>
      <c r="Z1003" s="7">
        <f ca="1">$AV$8*EXP(-'3.r(t)'!E1001*$AV$22)</f>
        <v>0.90638386938346405</v>
      </c>
      <c r="AA1003" s="7">
        <f ca="1">$AV$9*EXP(-'3.r(t)'!F1001*$AV$23)</f>
        <v>0.92416964484044017</v>
      </c>
      <c r="AB1003" s="7">
        <f ca="1">$AV$10*EXP(-'3.r(t)'!G1001*$AV$24)</f>
        <v>0.94633358110061161</v>
      </c>
      <c r="AC1003" s="7">
        <f ca="1">$AV$11*EXP(-'3.r(t)'!H1001*$AV$25)</f>
        <v>0.973535802417695</v>
      </c>
      <c r="AD1003" s="7">
        <v>1</v>
      </c>
      <c r="AE1003" s="7"/>
      <c r="AF1003" s="7">
        <v>995</v>
      </c>
      <c r="AG1003" s="7">
        <f>$AW$7*EXP(-'3.r(t)'!D1001*$AW$21)</f>
        <v>0.86718755429225491</v>
      </c>
      <c r="AH1003" s="7">
        <f ca="1">$AW$8*EXP(-'3.r(t)'!E1001*$AW$22)</f>
        <v>0.88340787121041642</v>
      </c>
      <c r="AI1003" s="7">
        <f ca="1">$AW$9*EXP(-'3.r(t)'!F1001*$AW$23)</f>
        <v>0.89939706508720785</v>
      </c>
      <c r="AJ1003" s="7">
        <f ca="1">$AW$10*EXP(-'3.r(t)'!G1001*$AW$24)</f>
        <v>0.9199782168662255</v>
      </c>
      <c r="AK1003" s="7">
        <f ca="1">$AW$11*EXP(-'3.r(t)'!H1001*$AW$25)</f>
        <v>0.9473507675701115</v>
      </c>
      <c r="AL1003" s="7">
        <f ca="1">$AW$12*EXP(-'3.r(t)'!I1001*$AW$26)</f>
        <v>0.96949332937562616</v>
      </c>
      <c r="AM1003" s="7">
        <v>1</v>
      </c>
      <c r="AN1003" s="7"/>
    </row>
    <row r="1004" spans="2:40">
      <c r="B1004" s="7">
        <v>996</v>
      </c>
      <c r="C1004" s="7">
        <f>$AR$7*EXP(-'3.r(t)'!D1002*$AR$21)</f>
        <v>0.97765346695821032</v>
      </c>
      <c r="D1004" s="7">
        <v>1</v>
      </c>
      <c r="E1004" s="7"/>
      <c r="F1004" s="7">
        <v>996</v>
      </c>
      <c r="G1004" s="48">
        <f>$AS$7*EXP(-'3.r(t)'!D1002*$AS$21)</f>
        <v>0.9553476245219803</v>
      </c>
      <c r="H1004" s="7">
        <f ca="1">$AS$8*EXP(-'3.r(t)'!E1002*$AS$22)</f>
        <v>0.9758187474756308</v>
      </c>
      <c r="I1004" s="7">
        <v>1</v>
      </c>
      <c r="J1004" s="7"/>
      <c r="K1004" s="7">
        <v>996</v>
      </c>
      <c r="L1004" s="7">
        <f>$AT$7*EXP(-'3.r(t)'!D1002*$AT$21)</f>
        <v>0.93311670519824419</v>
      </c>
      <c r="M1004" s="7">
        <f ca="1">$AT$8*EXP(-'3.r(t)'!E1002*$AT$22)</f>
        <v>0.95177371788821952</v>
      </c>
      <c r="N1004" s="7">
        <f ca="1">$AT$9*EXP(-'3.r(t)'!F1002*$AT$23)</f>
        <v>0.97782631111360641</v>
      </c>
      <c r="O1004" s="7">
        <v>1</v>
      </c>
      <c r="P1004" s="7"/>
      <c r="Q1004" s="7">
        <v>996</v>
      </c>
      <c r="R1004" s="7">
        <f>$AU$7*EXP(-'3.r(t)'!D1002*$AU$21)</f>
        <v>0.91099305977534117</v>
      </c>
      <c r="S1004" s="7">
        <f ca="1">$AU$8*EXP(-'3.r(t)'!E1002*$AU$22)</f>
        <v>0.92789784497000372</v>
      </c>
      <c r="T1004" s="7">
        <f ca="1">$AU$9*EXP(-'3.r(t)'!F1002*$AU$23)</f>
        <v>0.95570241914217313</v>
      </c>
      <c r="U1004" s="7">
        <f ca="1">$AU$10*EXP(-'3.r(t)'!G1002*$AU$24)</f>
        <v>0.98248702978109903</v>
      </c>
      <c r="V1004" s="7">
        <v>1</v>
      </c>
      <c r="W1004" s="7"/>
      <c r="X1004" s="7">
        <v>996</v>
      </c>
      <c r="Y1004" s="7">
        <f>$AV$7*EXP(-'3.r(t)'!D1002*$AV$21)</f>
        <v>0.88900715067201674</v>
      </c>
      <c r="Z1004" s="7">
        <f ca="1">$AV$8*EXP(-'3.r(t)'!E1002*$AV$22)</f>
        <v>0.9042219512099523</v>
      </c>
      <c r="AA1004" s="7">
        <f ca="1">$AV$9*EXP(-'3.r(t)'!F1002*$AV$23)</f>
        <v>0.93366141969601879</v>
      </c>
      <c r="AB1004" s="7">
        <f ca="1">$AV$10*EXP(-'3.r(t)'!G1002*$AV$24)</f>
        <v>0.96484322871305339</v>
      </c>
      <c r="AC1004" s="7">
        <f ca="1">$AV$11*EXP(-'3.r(t)'!H1002*$AV$25)</f>
        <v>0.98458992324166128</v>
      </c>
      <c r="AD1004" s="7">
        <v>1</v>
      </c>
      <c r="AE1004" s="7"/>
      <c r="AF1004" s="7">
        <v>996</v>
      </c>
      <c r="AG1004" s="7">
        <f>$AW$7*EXP(-'3.r(t)'!D1002*$AW$21)</f>
        <v>0.86718755429225491</v>
      </c>
      <c r="AH1004" s="7">
        <f ca="1">$AW$8*EXP(-'3.r(t)'!E1002*$AW$22)</f>
        <v>0.88077476256081444</v>
      </c>
      <c r="AI1004" s="7">
        <f ca="1">$AW$9*EXP(-'3.r(t)'!F1002*$AW$23)</f>
        <v>0.91173456094142602</v>
      </c>
      <c r="AJ1004" s="7">
        <f ca="1">$AW$10*EXP(-'3.r(t)'!G1002*$AW$24)</f>
        <v>0.94710100397452435</v>
      </c>
      <c r="AK1004" s="7">
        <f ca="1">$AW$11*EXP(-'3.r(t)'!H1002*$AW$25)</f>
        <v>0.96898650670630626</v>
      </c>
      <c r="AL1004" s="7">
        <f ca="1">$AW$12*EXP(-'3.r(t)'!I1002*$AW$26)</f>
        <v>0.98673038440879857</v>
      </c>
      <c r="AM1004" s="7">
        <v>1</v>
      </c>
      <c r="AN1004" s="7"/>
    </row>
    <row r="1005" spans="2:40">
      <c r="B1005" s="7">
        <v>997</v>
      </c>
      <c r="C1005" s="7">
        <f>$AR$7*EXP(-'3.r(t)'!D1003*$AR$21)</f>
        <v>0.97765346695821032</v>
      </c>
      <c r="D1005" s="7">
        <v>1</v>
      </c>
      <c r="E1005" s="7"/>
      <c r="F1005" s="7">
        <v>997</v>
      </c>
      <c r="G1005" s="48">
        <f>$AS$7*EXP(-'3.r(t)'!D1003*$AS$21)</f>
        <v>0.9553476245219803</v>
      </c>
      <c r="H1005" s="7">
        <f ca="1">$AS$8*EXP(-'3.r(t)'!E1003*$AS$22)</f>
        <v>0.9767987924896061</v>
      </c>
      <c r="I1005" s="7">
        <v>1</v>
      </c>
      <c r="J1005" s="7"/>
      <c r="K1005" s="7">
        <v>997</v>
      </c>
      <c r="L1005" s="7">
        <f>$AT$7*EXP(-'3.r(t)'!D1003*$AT$21)</f>
        <v>0.93311670519824419</v>
      </c>
      <c r="M1005" s="7">
        <f ca="1">$AT$8*EXP(-'3.r(t)'!E1003*$AT$22)</f>
        <v>0.95368646961499626</v>
      </c>
      <c r="N1005" s="7">
        <f ca="1">$AT$9*EXP(-'3.r(t)'!F1003*$AT$23)</f>
        <v>0.97784736898266811</v>
      </c>
      <c r="O1005" s="7">
        <v>1</v>
      </c>
      <c r="P1005" s="7"/>
      <c r="Q1005" s="7">
        <v>997</v>
      </c>
      <c r="R1005" s="7">
        <f>$AU$7*EXP(-'3.r(t)'!D1003*$AU$21)</f>
        <v>0.91099305977534117</v>
      </c>
      <c r="S1005" s="7">
        <f ca="1">$AU$8*EXP(-'3.r(t)'!E1003*$AU$22)</f>
        <v>0.93069640346687266</v>
      </c>
      <c r="T1005" s="7">
        <f ca="1">$AU$9*EXP(-'3.r(t)'!F1003*$AU$23)</f>
        <v>0.95574358243032764</v>
      </c>
      <c r="U1005" s="7">
        <f ca="1">$AU$10*EXP(-'3.r(t)'!G1003*$AU$24)</f>
        <v>0.97753673630014581</v>
      </c>
      <c r="V1005" s="7">
        <v>1</v>
      </c>
      <c r="W1005" s="7"/>
      <c r="X1005" s="7">
        <v>997</v>
      </c>
      <c r="Y1005" s="7">
        <f>$AV$7*EXP(-'3.r(t)'!D1003*$AV$21)</f>
        <v>0.88900715067201674</v>
      </c>
      <c r="Z1005" s="7">
        <f ca="1">$AV$8*EXP(-'3.r(t)'!E1003*$AV$22)</f>
        <v>0.90785997983186317</v>
      </c>
      <c r="AA1005" s="7">
        <f ca="1">$AV$9*EXP(-'3.r(t)'!F1003*$AV$23)</f>
        <v>0.93372174127800855</v>
      </c>
      <c r="AB1005" s="7">
        <f ca="1">$AV$10*EXP(-'3.r(t)'!G1003*$AV$24)</f>
        <v>0.95514493380265064</v>
      </c>
      <c r="AC1005" s="7">
        <f ca="1">$AV$11*EXP(-'3.r(t)'!H1003*$AV$25)</f>
        <v>0.97807025845413675</v>
      </c>
      <c r="AD1005" s="7">
        <v>1</v>
      </c>
      <c r="AE1005" s="7"/>
      <c r="AF1005" s="7">
        <v>997</v>
      </c>
      <c r="AG1005" s="7">
        <f>$AW$7*EXP(-'3.r(t)'!D1003*$AW$21)</f>
        <v>0.86718755429225491</v>
      </c>
      <c r="AH1005" s="7">
        <f ca="1">$AW$8*EXP(-'3.r(t)'!E1003*$AW$22)</f>
        <v>0.88520660266344264</v>
      </c>
      <c r="AI1005" s="7">
        <f ca="1">$AW$9*EXP(-'3.r(t)'!F1003*$AW$23)</f>
        <v>0.91181310170878715</v>
      </c>
      <c r="AJ1005" s="7">
        <f ca="1">$AW$10*EXP(-'3.r(t)'!G1003*$AW$24)</f>
        <v>0.93285701501726781</v>
      </c>
      <c r="AK1005" s="7">
        <f ca="1">$AW$11*EXP(-'3.r(t)'!H1003*$AW$25)</f>
        <v>0.95619630673744671</v>
      </c>
      <c r="AL1005" s="7">
        <f ca="1">$AW$12*EXP(-'3.r(t)'!I1003*$AW$26)</f>
        <v>0.97522873533539189</v>
      </c>
      <c r="AM1005" s="7">
        <v>1</v>
      </c>
      <c r="AN1005" s="7"/>
    </row>
    <row r="1006" spans="2:40">
      <c r="B1006" s="7">
        <v>998</v>
      </c>
      <c r="C1006" s="7">
        <f>$AR$7*EXP(-'3.r(t)'!D1004*$AR$21)</f>
        <v>0.97765346695821032</v>
      </c>
      <c r="D1006" s="7">
        <v>1</v>
      </c>
      <c r="E1006" s="7"/>
      <c r="F1006" s="7">
        <v>998</v>
      </c>
      <c r="G1006" s="48">
        <f>$AS$7*EXP(-'3.r(t)'!D1004*$AS$21)</f>
        <v>0.9553476245219803</v>
      </c>
      <c r="H1006" s="7">
        <f ca="1">$AS$8*EXP(-'3.r(t)'!E1004*$AS$22)</f>
        <v>0.9743259168921653</v>
      </c>
      <c r="I1006" s="7">
        <v>1</v>
      </c>
      <c r="J1006" s="7"/>
      <c r="K1006" s="7">
        <v>998</v>
      </c>
      <c r="L1006" s="7">
        <f>$AT$7*EXP(-'3.r(t)'!D1004*$AT$21)</f>
        <v>0.93311670519824419</v>
      </c>
      <c r="M1006" s="7">
        <f ca="1">$AT$8*EXP(-'3.r(t)'!E1004*$AT$22)</f>
        <v>0.94886385352390334</v>
      </c>
      <c r="N1006" s="7">
        <f ca="1">$AT$9*EXP(-'3.r(t)'!F1004*$AT$23)</f>
        <v>0.97410496466447138</v>
      </c>
      <c r="O1006" s="7">
        <v>1</v>
      </c>
      <c r="P1006" s="7"/>
      <c r="Q1006" s="7">
        <v>998</v>
      </c>
      <c r="R1006" s="7">
        <f>$AU$7*EXP(-'3.r(t)'!D1004*$AU$21)</f>
        <v>0.91099305977534117</v>
      </c>
      <c r="S1006" s="7">
        <f ca="1">$AU$8*EXP(-'3.r(t)'!E1004*$AU$22)</f>
        <v>0.92364579633121247</v>
      </c>
      <c r="T1006" s="7">
        <f ca="1">$AU$9*EXP(-'3.r(t)'!F1004*$AU$23)</f>
        <v>0.948441963541511</v>
      </c>
      <c r="U1006" s="7">
        <f ca="1">$AU$10*EXP(-'3.r(t)'!G1004*$AU$24)</f>
        <v>0.97674238176218808</v>
      </c>
      <c r="V1006" s="7">
        <v>1</v>
      </c>
      <c r="W1006" s="7"/>
      <c r="X1006" s="7">
        <v>998</v>
      </c>
      <c r="Y1006" s="7">
        <f>$AV$7*EXP(-'3.r(t)'!D1004*$AV$21)</f>
        <v>0.88900715067201674</v>
      </c>
      <c r="Z1006" s="7">
        <f ca="1">$AV$8*EXP(-'3.r(t)'!E1004*$AV$22)</f>
        <v>0.89870143504709721</v>
      </c>
      <c r="AA1006" s="7">
        <f ca="1">$AV$9*EXP(-'3.r(t)'!F1004*$AV$23)</f>
        <v>0.92304213667710466</v>
      </c>
      <c r="AB1006" s="7">
        <f ca="1">$AV$10*EXP(-'3.r(t)'!G1004*$AV$24)</f>
        <v>0.95359324697229619</v>
      </c>
      <c r="AC1006" s="7">
        <f ca="1">$AV$11*EXP(-'3.r(t)'!H1004*$AV$25)</f>
        <v>0.97981539432811116</v>
      </c>
      <c r="AD1006" s="7">
        <v>1</v>
      </c>
      <c r="AE1006" s="7"/>
      <c r="AF1006" s="7">
        <v>998</v>
      </c>
      <c r="AG1006" s="7">
        <f>$AW$7*EXP(-'3.r(t)'!D1004*$AW$21)</f>
        <v>0.86718755429225491</v>
      </c>
      <c r="AH1006" s="7">
        <f ca="1">$AW$8*EXP(-'3.r(t)'!E1004*$AW$22)</f>
        <v>0.87405819410872276</v>
      </c>
      <c r="AI1006" s="7">
        <f ca="1">$AW$9*EXP(-'3.r(t)'!F1004*$AW$23)</f>
        <v>0.89793431592919015</v>
      </c>
      <c r="AJ1006" s="7">
        <f ca="1">$AW$10*EXP(-'3.r(t)'!G1004*$AW$24)</f>
        <v>0.93058472023688898</v>
      </c>
      <c r="AK1006" s="7">
        <f ca="1">$AW$11*EXP(-'3.r(t)'!H1004*$AW$25)</f>
        <v>0.95961156480760068</v>
      </c>
      <c r="AL1006" s="7">
        <f ca="1">$AW$12*EXP(-'3.r(t)'!I1004*$AW$26)</f>
        <v>0.98178487042872487</v>
      </c>
      <c r="AM1006" s="7">
        <v>1</v>
      </c>
      <c r="AN1006" s="7"/>
    </row>
    <row r="1007" spans="2:40">
      <c r="B1007" s="7">
        <v>999</v>
      </c>
      <c r="C1007" s="7">
        <f>$AR$7*EXP(-'3.r(t)'!D1005*$AR$21)</f>
        <v>0.97765346695821032</v>
      </c>
      <c r="D1007" s="7">
        <v>1</v>
      </c>
      <c r="E1007" s="7"/>
      <c r="F1007" s="7">
        <v>999</v>
      </c>
      <c r="G1007" s="48">
        <f>$AS$7*EXP(-'3.r(t)'!D1005*$AS$21)</f>
        <v>0.9553476245219803</v>
      </c>
      <c r="H1007" s="7">
        <f ca="1">$AS$8*EXP(-'3.r(t)'!E1005*$AS$22)</f>
        <v>0.97281836167131797</v>
      </c>
      <c r="I1007" s="7">
        <v>1</v>
      </c>
      <c r="J1007" s="7"/>
      <c r="K1007" s="7">
        <v>999</v>
      </c>
      <c r="L1007" s="7">
        <f>$AT$7*EXP(-'3.r(t)'!D1005*$AT$21)</f>
        <v>0.93311670519824419</v>
      </c>
      <c r="M1007" s="7">
        <f ca="1">$AT$8*EXP(-'3.r(t)'!E1005*$AT$22)</f>
        <v>0.94592980862858311</v>
      </c>
      <c r="N1007" s="7">
        <f ca="1">$AT$9*EXP(-'3.r(t)'!F1005*$AT$23)</f>
        <v>0.96979656282084437</v>
      </c>
      <c r="O1007" s="7">
        <v>1</v>
      </c>
      <c r="P1007" s="7"/>
      <c r="Q1007" s="7">
        <v>999</v>
      </c>
      <c r="R1007" s="7">
        <f>$AU$7*EXP(-'3.r(t)'!D1005*$AU$21)</f>
        <v>0.91099305977534117</v>
      </c>
      <c r="S1007" s="7">
        <f ca="1">$AU$8*EXP(-'3.r(t)'!E1005*$AU$22)</f>
        <v>0.91936501012669503</v>
      </c>
      <c r="T1007" s="7">
        <f ca="1">$AU$9*EXP(-'3.r(t)'!F1005*$AU$23)</f>
        <v>0.94007072511612599</v>
      </c>
      <c r="U1007" s="7">
        <f ca="1">$AU$10*EXP(-'3.r(t)'!G1005*$AU$24)</f>
        <v>0.96766040063793091</v>
      </c>
      <c r="V1007" s="7">
        <v>1</v>
      </c>
      <c r="W1007" s="7"/>
      <c r="X1007" s="7">
        <v>999</v>
      </c>
      <c r="Y1007" s="7">
        <f>$AV$7*EXP(-'3.r(t)'!D1005*$AV$21)</f>
        <v>0.88900715067201674</v>
      </c>
      <c r="Z1007" s="7">
        <f ca="1">$AV$8*EXP(-'3.r(t)'!E1005*$AV$22)</f>
        <v>0.8931521592704631</v>
      </c>
      <c r="AA1007" s="7">
        <f ca="1">$AV$9*EXP(-'3.r(t)'!F1005*$AV$23)</f>
        <v>0.91084856442001605</v>
      </c>
      <c r="AB1007" s="7">
        <f ca="1">$AV$10*EXP(-'3.r(t)'!G1005*$AV$24)</f>
        <v>0.93594222195240195</v>
      </c>
      <c r="AC1007" s="7">
        <f ca="1">$AV$11*EXP(-'3.r(t)'!H1005*$AV$25)</f>
        <v>0.96582122425110284</v>
      </c>
      <c r="AD1007" s="7">
        <v>1</v>
      </c>
      <c r="AE1007" s="7"/>
      <c r="AF1007" s="7">
        <v>999</v>
      </c>
      <c r="AG1007" s="7">
        <f>$AW$7*EXP(-'3.r(t)'!D1005*$AW$21)</f>
        <v>0.86718755429225491</v>
      </c>
      <c r="AH1007" s="7">
        <f ca="1">$AW$8*EXP(-'3.r(t)'!E1005*$AW$22)</f>
        <v>0.8673170225916923</v>
      </c>
      <c r="AI1007" s="7">
        <f ca="1">$AW$9*EXP(-'3.r(t)'!F1005*$AW$23)</f>
        <v>0.88215338330021498</v>
      </c>
      <c r="AJ1007" s="7">
        <f ca="1">$AW$10*EXP(-'3.r(t)'!G1005*$AW$24)</f>
        <v>0.90486695047508936</v>
      </c>
      <c r="AK1007" s="7">
        <f ca="1">$AW$11*EXP(-'3.r(t)'!H1005*$AW$25)</f>
        <v>0.93239609502448462</v>
      </c>
      <c r="AL1007" s="7">
        <f ca="1">$AW$12*EXP(-'3.r(t)'!I1005*$AW$26)</f>
        <v>0.96758422891788032</v>
      </c>
      <c r="AM1007" s="7">
        <v>1</v>
      </c>
      <c r="AN1007" s="7"/>
    </row>
    <row r="1008" spans="2:40">
      <c r="B1008" s="7">
        <v>1000</v>
      </c>
      <c r="C1008" s="7">
        <f>$AR$7*EXP(-'3.r(t)'!D1006*$AR$21)</f>
        <v>0.97765346695821032</v>
      </c>
      <c r="D1008" s="7">
        <v>1</v>
      </c>
      <c r="E1008" s="7"/>
      <c r="F1008" s="7">
        <v>1000</v>
      </c>
      <c r="G1008" s="48">
        <f>$AS$7*EXP(-'3.r(t)'!D1006*$AS$21)</f>
        <v>0.9553476245219803</v>
      </c>
      <c r="H1008" s="7">
        <f ca="1">$AS$8*EXP(-'3.r(t)'!E1006*$AS$22)</f>
        <v>0.97561462595746962</v>
      </c>
      <c r="I1008" s="7">
        <v>1</v>
      </c>
      <c r="J1008" s="7"/>
      <c r="K1008" s="7">
        <v>1000</v>
      </c>
      <c r="L1008" s="7">
        <f>$AT$7*EXP(-'3.r(t)'!D1006*$AT$21)</f>
        <v>0.93311670519824419</v>
      </c>
      <c r="M1008" s="7">
        <f ca="1">$AT$8*EXP(-'3.r(t)'!E1006*$AT$22)</f>
        <v>0.95137557596425015</v>
      </c>
      <c r="N1008" s="7">
        <f ca="1">$AT$9*EXP(-'3.r(t)'!F1006*$AT$23)</f>
        <v>0.97371580664111534</v>
      </c>
      <c r="O1008" s="7">
        <v>1</v>
      </c>
      <c r="P1008" s="7"/>
      <c r="Q1008" s="7">
        <v>1000</v>
      </c>
      <c r="R1008" s="7">
        <f>$AU$7*EXP(-'3.r(t)'!D1006*$AU$21)</f>
        <v>0.91099305977534117</v>
      </c>
      <c r="S1008" s="7">
        <f ca="1">$AU$8*EXP(-'3.r(t)'!E1006*$AU$22)</f>
        <v>0.92731567445748919</v>
      </c>
      <c r="T1008" s="7">
        <f ca="1">$AU$9*EXP(-'3.r(t)'!F1006*$AU$23)</f>
        <v>0.94768430376948654</v>
      </c>
      <c r="U1008" s="7">
        <f ca="1">$AU$10*EXP(-'3.r(t)'!G1006*$AU$24)</f>
        <v>0.97119999214521247</v>
      </c>
      <c r="V1008" s="7">
        <v>1</v>
      </c>
      <c r="W1008" s="7"/>
      <c r="X1008" s="7">
        <v>1000</v>
      </c>
      <c r="Y1008" s="7">
        <f>$AV$7*EXP(-'3.r(t)'!D1006*$AV$21)</f>
        <v>0.88900715067201674</v>
      </c>
      <c r="Z1008" s="7">
        <f ca="1">$AV$8*EXP(-'3.r(t)'!E1006*$AV$22)</f>
        <v>0.90346560889467342</v>
      </c>
      <c r="AA1008" s="7">
        <f ca="1">$AV$9*EXP(-'3.r(t)'!F1006*$AV$23)</f>
        <v>0.92193630379374181</v>
      </c>
      <c r="AB1008" s="7">
        <f ca="1">$AV$10*EXP(-'3.r(t)'!G1006*$AV$24)</f>
        <v>0.9428018850276505</v>
      </c>
      <c r="AC1008" s="7">
        <f ca="1">$AV$11*EXP(-'3.r(t)'!H1006*$AV$25)</f>
        <v>0.96948646171053365</v>
      </c>
      <c r="AD1008" s="7">
        <v>1</v>
      </c>
      <c r="AE1008" s="7"/>
      <c r="AF1008" s="7">
        <v>1000</v>
      </c>
      <c r="AG1008" s="7">
        <f>$AW$7*EXP(-'3.r(t)'!D1006*$AW$21)</f>
        <v>0.86718755429225491</v>
      </c>
      <c r="AH1008" s="7">
        <f ca="1">$AW$8*EXP(-'3.r(t)'!E1006*$AW$22)</f>
        <v>0.87985394666599226</v>
      </c>
      <c r="AI1008" s="7">
        <f ca="1">$AW$9*EXP(-'3.r(t)'!F1006*$AW$23)</f>
        <v>0.89650026514684322</v>
      </c>
      <c r="AJ1008" s="7">
        <f ca="1">$AW$10*EXP(-'3.r(t)'!G1006*$AW$24)</f>
        <v>0.91483301713629694</v>
      </c>
      <c r="AK1008" s="7">
        <f ca="1">$AW$11*EXP(-'3.r(t)'!H1006*$AW$25)</f>
        <v>0.93948630495173635</v>
      </c>
      <c r="AL1008" s="7">
        <f ca="1">$AW$12*EXP(-'3.r(t)'!I1006*$AW$26)</f>
        <v>0.97161784853184086</v>
      </c>
      <c r="AM1008" s="7">
        <v>1</v>
      </c>
      <c r="AN1008" s="7"/>
    </row>
    <row r="1009" spans="31:40"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</row>
    <row r="1010" spans="31:40"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</row>
    <row r="1011" spans="31:40"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</row>
    <row r="1012" spans="31:40"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</row>
    <row r="1013" spans="31:40"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A1CD8-391A-4443-8119-88FAEE89F6F7}">
  <sheetPr codeName="Sheet4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44C80-5DF1-466F-8705-F4F595975C3C}">
  <sheetPr codeName="Sheet5"/>
  <dimension ref="A1"/>
  <sheetViews>
    <sheetView workbookViewId="0"/>
  </sheetViews>
  <sheetFormatPr defaultRowHeight="14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Satyapriya Ojha</dc:creator>
  <cp:keywords/>
  <dc:description/>
  <cp:lastModifiedBy>Bhavya Gupta</cp:lastModifiedBy>
  <cp:revision/>
  <dcterms:created xsi:type="dcterms:W3CDTF">2015-06-05T18:17:20Z</dcterms:created>
  <dcterms:modified xsi:type="dcterms:W3CDTF">2024-02-14T05:39:38Z</dcterms:modified>
  <cp:category/>
  <cp:contentStatus/>
</cp:coreProperties>
</file>